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図表集 08〜13シート
妥当性検証報告書 11シート
素案第10稿 第2章第4〜6節</t>
        </is>
      </c>
      <c r="F7" s="10" t="inlineStr">
        <is>
          <t>実施中</t>
        </is>
      </c>
      <c r="G7" s="17" t="n">
        <v>0.45</v>
      </c>
      <c r="H7" s="10" t="inlineStr">
        <is>
          <t>R8.9</t>
        </is>
      </c>
      <c r="I7" s="11" t="inlineStr">
        <is>
          <t>第10期分の在宅生活改善調査・居所変更実態調査・介護人材実態調査の確定集計が未受領（確認No.8）。健康とくらしの調査（令和7年度）は受領・分析済み。4調査を横断したクロス集計は資料受領後に実施</t>
        </is>
      </c>
      <c r="J7" s="5" t="inlineStr">
        <is>
          <t>8, 9, 10</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素案第10稿 第2章</t>
        </is>
      </c>
      <c r="F8" s="10" t="inlineStr">
        <is>
          <t>実施中</t>
        </is>
      </c>
      <c r="G8" s="17" t="n">
        <v>0.7</v>
      </c>
      <c r="H8" s="10" t="inlineStr">
        <is>
          <t>R8.9</t>
        </is>
      </c>
      <c r="I8" s="11" t="inlineStr">
        <is>
          <t>①類似保険者との比較が未実施（見える化のδ3系列が提供不可。選定条件の決定が必要。確認No.3）
②構成町別の分析は令和5年までの前回計画掲載値による。令和6〜8年の町別データが未受領（確認No.11）
③日常生活圏域別の分析が未実施（圏域別データが未受領。確認No.12）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推計資料（見える化の総括表）</t>
        </is>
      </c>
      <c r="F9" s="10" t="inlineStr">
        <is>
          <t>未着手</t>
        </is>
      </c>
      <c r="G9" s="17" t="n">
        <v>0.15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美瑛町4地区を含む6圏域別の面積・人口・高齢者人口・認定者数・受給者数・給付費（令和8年10月1日現在）。仕様書４（4）が求める圏域別の地域特性分析に必要。</t>
        </is>
      </c>
      <c r="F16" s="5" t="inlineStr">
        <is>
          <t>素案 第1章第7節・第2章
圏域別分析資料</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2" ht="32" customHeight="1">
      <c r="A32" s="3" t="inlineStr">
        <is>
          <t>区分</t>
        </is>
      </c>
      <c r="B32" s="3" t="inlineStr">
        <is>
          <t>件数</t>
        </is>
      </c>
      <c r="C32" s="3" t="inlineStr"/>
      <c r="D32" s="3" t="inlineStr"/>
      <c r="E32" s="3" t="inlineStr"/>
      <c r="F32" s="3" t="inlineStr"/>
      <c r="G32" s="3" t="inlineStr"/>
      <c r="H32" s="3" t="inlineStr"/>
      <c r="I32" s="3" t="inlineStr"/>
      <c r="J32" s="3" t="inlineStr"/>
    </row>
    <row r="33" ht="20" customHeight="1">
      <c r="A33" s="6" t="inlineStr">
        <is>
          <t>完了</t>
        </is>
      </c>
      <c r="B33" s="4">
        <f>COUNTIF(H5:H30,"完了")</f>
        <v/>
      </c>
      <c r="C33" s="5" t="inlineStr"/>
      <c r="D33" s="5" t="inlineStr"/>
      <c r="E33" s="5" t="inlineStr"/>
      <c r="F33" s="5" t="inlineStr"/>
      <c r="G33" s="5" t="inlineStr"/>
      <c r="H33" s="5" t="inlineStr"/>
      <c r="I33" s="5" t="inlineStr"/>
      <c r="J33" s="5" t="inlineStr"/>
    </row>
    <row r="34" ht="20" customHeight="1">
      <c r="A34" s="8" t="inlineStr">
        <is>
          <t>実施中</t>
        </is>
      </c>
      <c r="B34" s="4">
        <f>COUNTIF(H5:H30,"実施中")</f>
        <v/>
      </c>
      <c r="C34" s="5" t="inlineStr"/>
      <c r="D34" s="5" t="inlineStr"/>
      <c r="E34" s="5" t="inlineStr"/>
      <c r="F34" s="5" t="inlineStr"/>
      <c r="G34" s="5" t="inlineStr"/>
      <c r="H34" s="5" t="inlineStr"/>
      <c r="I34" s="5" t="inlineStr"/>
      <c r="J34" s="5" t="inlineStr"/>
    </row>
    <row r="35" ht="20" customHeight="1">
      <c r="A35" s="10" t="inlineStr">
        <is>
          <t>確認待ち</t>
        </is>
      </c>
      <c r="B35" s="4">
        <f>COUNTIF(H5:H30,"確認待ち")</f>
        <v/>
      </c>
      <c r="C35" s="5" t="inlineStr"/>
      <c r="D35" s="5" t="inlineStr"/>
      <c r="E35" s="5" t="inlineStr"/>
      <c r="F35" s="5" t="inlineStr"/>
      <c r="G35" s="5" t="inlineStr"/>
      <c r="H35" s="5" t="inlineStr"/>
      <c r="I35" s="5" t="inlineStr"/>
      <c r="J35" s="5" t="inlineStr"/>
    </row>
    <row r="36" ht="20" customHeight="1">
      <c r="A36" s="12" t="inlineStr">
        <is>
          <t>未着手</t>
        </is>
      </c>
      <c r="B36" s="4">
        <f>COUNTIF(H5:H30,"未着手")</f>
        <v/>
      </c>
      <c r="C36" s="5" t="inlineStr"/>
      <c r="D36" s="5" t="inlineStr"/>
      <c r="E36" s="5" t="inlineStr"/>
      <c r="F36" s="5" t="inlineStr"/>
      <c r="G36" s="5" t="inlineStr"/>
      <c r="H36" s="5" t="inlineStr"/>
      <c r="I36" s="5" t="inlineStr"/>
      <c r="J36" s="5" t="inlineStr"/>
    </row>
    <row r="37" ht="20" customHeight="1">
      <c r="A37" s="14" t="inlineStr">
        <is>
          <t>対象外</t>
        </is>
      </c>
      <c r="B37" s="4">
        <f>COUNTIF(H5:H30,"対象外")</f>
        <v/>
      </c>
      <c r="C37" s="5" t="inlineStr"/>
      <c r="D37" s="5" t="inlineStr"/>
      <c r="E37" s="5" t="inlineStr"/>
      <c r="F37" s="5" t="inlineStr"/>
      <c r="G37" s="5" t="inlineStr"/>
      <c r="H37" s="5" t="inlineStr"/>
      <c r="I37" s="5" t="inlineStr"/>
      <c r="J37" s="5" t="inlineStr"/>
    </row>
    <row r="39" ht="32" customHeight="1">
      <c r="A39" s="3" t="inlineStr">
        <is>
          <t>確認先</t>
        </is>
      </c>
      <c r="B39" s="3" t="inlineStr">
        <is>
          <t>件数</t>
        </is>
      </c>
      <c r="C39" s="3" t="inlineStr"/>
      <c r="D39" s="3" t="inlineStr"/>
      <c r="E39" s="3" t="inlineStr"/>
      <c r="F39" s="3" t="inlineStr"/>
      <c r="G39" s="3" t="inlineStr"/>
      <c r="H39" s="3" t="inlineStr"/>
      <c r="I39" s="3" t="inlineStr"/>
      <c r="J39" s="3" t="inlineStr"/>
    </row>
    <row r="40" ht="20" customHeight="1">
      <c r="A40" s="5" t="inlineStr">
        <is>
          <t>発注者</t>
        </is>
      </c>
      <c r="B40" s="4">
        <f>COUNTIF(G5:G30,"発注者")</f>
        <v/>
      </c>
      <c r="C40" s="5" t="inlineStr"/>
      <c r="D40" s="5" t="inlineStr"/>
      <c r="E40" s="5" t="inlineStr"/>
      <c r="F40" s="5" t="inlineStr"/>
      <c r="G40" s="5" t="inlineStr"/>
      <c r="H40" s="5" t="inlineStr"/>
      <c r="I40" s="5" t="inlineStr"/>
      <c r="J40" s="5" t="inlineStr"/>
    </row>
    <row r="41" ht="20" customHeight="1">
      <c r="A41" s="5" t="inlineStr">
        <is>
          <t>発注者・3町</t>
        </is>
      </c>
      <c r="B41" s="4">
        <f>COUNTIF(G5:G30,"発注者・3町")</f>
        <v/>
      </c>
      <c r="C41" s="5" t="inlineStr"/>
      <c r="D41" s="5" t="inlineStr"/>
      <c r="E41" s="5" t="inlineStr"/>
      <c r="F41" s="5" t="inlineStr"/>
      <c r="G41" s="5" t="inlineStr"/>
      <c r="H41" s="5" t="inlineStr"/>
      <c r="I41" s="5" t="inlineStr"/>
      <c r="J41" s="5" t="inlineStr"/>
    </row>
    <row r="42" ht="20" customHeight="1">
      <c r="A42" s="5" t="inlineStr">
        <is>
          <t>発注者・北海道</t>
        </is>
      </c>
      <c r="B42" s="4">
        <f>COUNTIF(G5:G30,"発注者・北海道")</f>
        <v/>
      </c>
      <c r="C42" s="5" t="inlineStr"/>
      <c r="D42" s="5" t="inlineStr"/>
      <c r="E42" s="5" t="inlineStr"/>
      <c r="F42" s="5" t="inlineStr"/>
      <c r="G42" s="5" t="inlineStr"/>
      <c r="H42" s="5" t="inlineStr"/>
      <c r="I42" s="5" t="inlineStr"/>
      <c r="J42" s="5" t="inlineStr"/>
    </row>
    <row r="43" ht="20" customHeight="1">
      <c r="A43" s="5" t="inlineStr">
        <is>
          <t>発注者・3町・北海道</t>
        </is>
      </c>
      <c r="B43" s="4">
        <f>COUNTIF(G5:G30,"発注者・3町・北海道")</f>
        <v/>
      </c>
      <c r="C43" s="5" t="inlineStr"/>
      <c r="D43" s="5" t="inlineStr"/>
      <c r="E43" s="5" t="inlineStr"/>
      <c r="F43" s="5" t="inlineStr"/>
      <c r="G43" s="5" t="inlineStr"/>
      <c r="H43" s="5" t="inlineStr"/>
      <c r="I43" s="5" t="inlineStr"/>
      <c r="J43" s="5" t="inlineStr"/>
    </row>
    <row r="44" ht="20" customHeight="1">
      <c r="A44" s="5" t="inlineStr">
        <is>
          <t>北海道</t>
        </is>
      </c>
      <c r="B44" s="4">
        <f>COUNTIF(G5:G30,"北海道")</f>
        <v/>
      </c>
      <c r="C44" s="5" t="inlineStr"/>
      <c r="D44" s="5" t="inlineStr"/>
      <c r="E44" s="5" t="inlineStr"/>
      <c r="F44" s="5" t="inlineStr"/>
      <c r="G44" s="5" t="inlineStr"/>
      <c r="H44" s="5" t="inlineStr"/>
      <c r="I44" s="5" t="inlineStr"/>
      <c r="J44" s="5" t="inlineStr"/>
    </row>
    <row r="46" ht="28" customHeight="1">
      <c r="A4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46:J46"/>
    <mergeCell ref="A2:J2"/>
  </mergeCells>
  <conditionalFormatting sqref="H5:H3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0.6</v>
      </c>
      <c r="G7" s="10" t="inlineStr">
        <is>
          <t>R9.3</t>
        </is>
      </c>
      <c r="H7" s="11" t="inlineStr">
        <is>
          <t>①推計資料（人口推計・サービス見込量・保険料算定）が未作成。②クロス集計表は4調査のデータ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実施中</t>
        </is>
      </c>
      <c r="G8" s="4" t="inlineStr">
        <is>
          <t>実施中</t>
        </is>
      </c>
      <c r="H8" s="4" t="inlineStr">
        <is>
          <t>完了</t>
        </is>
      </c>
      <c r="I8" s="11" t="inlineStr">
        <is>
          <t>令和7年11月17日〜12月8日実施分を受領済（65歳以上7,121人対象・回収4,798票・回収率67.4％・集計4,729票）。20指標について年齢階級別（広域連合）及び町別の集計を行い、図表集08シート（データ）・09シート（グラフ）に整理、素案の図8・図8-2として掲載した。H04＝19.1％（R7）、H05の基準値を確定済み。属性を掛け合わせた追加のクロス集計には個票データ（Excel・CSV）を要する。</t>
        </is>
      </c>
      <c r="J8" s="4" t="inlineStr">
        <is>
          <t>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受領済であり、20指標を年齢階級別及び町別に集計して素案及び図表集に反映している。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2026-07-29T10:51:22Z</dcterms:created>
  <dcterms:modified xmlns:dcterms="http://purl.org/dc/terms/" xmlns:xsi="http://www.w3.org/2001/XMLSchema-instance" xsi:type="dcterms:W3CDTF">2026-07-29T10:51:22Z</dcterms:modified>
</cp:coreProperties>
</file>