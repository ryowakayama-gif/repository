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145表36図で、未確定箇所は138箇所（要協議110・要確認27・要内訳1）である。確認事項は169件、成果品は122件、ビルドスクリプトは119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電子データは作成中。印刷・製本は令和9年3月。本文100頁程度に対する章別のページ配分が未確定（確認No.21）。【令和8年9月15〜18日】成果品は122件となった。9月に加えたものは、サービス見込量の算定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119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同様の構成の団体との比較（団体名の掲載と令和7年度の内訳）</t>
        </is>
      </c>
      <c r="E172" s="5" t="inlineStr">
        <is>
          <t>交付金の評価結果について、当連合と同様に複数の市町村で構成する広域連合・一部事務組合との比較をご要望いただいた。令和8年度及び令和6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6年度は40団体・210市町村を漏れなく割り当てられ、当連合の構成が東川町・美瑛町・東神楽町となることも確かめられた。38団体の構成市町村は令和6年度と令和8年度で完全に一致する。構成市町村の得点の平均により比べたところ、当連合は38団体中36位（令和6年度は34位）、市を含まず町村のみで構成する11団体の中で10位、北海道内の4団体の中で3か年とも最も低い。残るのは次の2点である。①成果品に団体名を掲げてよいか。本件で掲げる団体名は公表されている全国集計の行の名称であり、他団体が策定した計画その他の資料によるものではないが、念のためご確認をお願いしたい。②令和7年度は合計得点と順位のみである（令和8年度の集計に併載）。推進と支援の別、目標別・大項目別の内訳が要るときは令和7年度の全国集計結果の原本のご提供をお願いしたい。</t>
        </is>
      </c>
      <c r="F172" s="5" t="inlineStr">
        <is>
          <t>交付金評価の取りまとめと第10期への反映 06シート</t>
        </is>
      </c>
      <c r="G172" s="5" t="inlineStr">
        <is>
          <t>発注者</t>
        </is>
      </c>
      <c r="H172" s="10" t="inlineStr">
        <is>
          <t>一部確認済み</t>
        </is>
      </c>
      <c r="I172" s="10" t="inlineStr">
        <is>
          <t>R8.10</t>
        </is>
      </c>
      <c r="J172" s="11" t="inlineStr">
        <is>
          <t>令和8年度の原本を令和8年9月29日に、令和6年度の原本を同日に受領し、3か年の比較まで行えた。①が決着しない場合は団体名を伏せ、当連合の順位と平均との差のみを掲げる。②が決着しない場合は令和7年度を合計得点のみで扱う。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5" ht="32" customHeight="1">
      <c r="A175" s="3" t="inlineStr">
        <is>
          <t>区分</t>
        </is>
      </c>
      <c r="B175" s="3" t="inlineStr">
        <is>
          <t>件数</t>
        </is>
      </c>
      <c r="C175" s="3" t="inlineStr"/>
      <c r="D175" s="3" t="inlineStr"/>
      <c r="E175" s="3" t="inlineStr"/>
      <c r="F175" s="3" t="inlineStr"/>
      <c r="G175" s="3" t="inlineStr"/>
      <c r="H175" s="3" t="inlineStr"/>
      <c r="I175" s="3" t="inlineStr"/>
      <c r="J175" s="3" t="inlineStr"/>
    </row>
    <row r="176" ht="20" customHeight="1">
      <c r="A176" s="6" t="inlineStr">
        <is>
          <t>完了</t>
        </is>
      </c>
      <c r="B176" s="4">
        <f>COUNTIF(H5:H173,"完了")</f>
        <v/>
      </c>
      <c r="C176" s="5" t="inlineStr"/>
      <c r="D176" s="5" t="inlineStr"/>
      <c r="E176" s="5" t="inlineStr"/>
      <c r="F176" s="5" t="inlineStr"/>
      <c r="G176" s="5" t="inlineStr"/>
      <c r="H176" s="5" t="inlineStr"/>
      <c r="I176" s="5" t="inlineStr"/>
      <c r="J176" s="5" t="inlineStr"/>
    </row>
    <row r="177" ht="20" customHeight="1">
      <c r="A177" s="8" t="inlineStr">
        <is>
          <t>実施中</t>
        </is>
      </c>
      <c r="B177" s="4">
        <f>COUNTIF(H5:H173,"実施中")</f>
        <v/>
      </c>
      <c r="C177" s="5" t="inlineStr"/>
      <c r="D177" s="5" t="inlineStr"/>
      <c r="E177" s="5" t="inlineStr"/>
      <c r="F177" s="5" t="inlineStr"/>
      <c r="G177" s="5" t="inlineStr"/>
      <c r="H177" s="5" t="inlineStr"/>
      <c r="I177" s="5" t="inlineStr"/>
      <c r="J177" s="5" t="inlineStr"/>
    </row>
    <row r="178" ht="20" customHeight="1">
      <c r="A178" s="10" t="inlineStr">
        <is>
          <t>確認待ち</t>
        </is>
      </c>
      <c r="B178" s="4">
        <f>COUNTIF(H5:H173,"確認待ち")</f>
        <v/>
      </c>
      <c r="C178" s="5" t="inlineStr"/>
      <c r="D178" s="5" t="inlineStr"/>
      <c r="E178" s="5" t="inlineStr"/>
      <c r="F178" s="5" t="inlineStr"/>
      <c r="G178" s="5" t="inlineStr"/>
      <c r="H178" s="5" t="inlineStr"/>
      <c r="I178" s="5" t="inlineStr"/>
      <c r="J178" s="5" t="inlineStr"/>
    </row>
    <row r="179" ht="20" customHeight="1">
      <c r="A179" s="12" t="inlineStr">
        <is>
          <t>未着手</t>
        </is>
      </c>
      <c r="B179" s="4">
        <f>COUNTIF(H5:H173,"未着手")</f>
        <v/>
      </c>
      <c r="C179" s="5" t="inlineStr"/>
      <c r="D179" s="5" t="inlineStr"/>
      <c r="E179" s="5" t="inlineStr"/>
      <c r="F179" s="5" t="inlineStr"/>
      <c r="G179" s="5" t="inlineStr"/>
      <c r="H179" s="5" t="inlineStr"/>
      <c r="I179" s="5" t="inlineStr"/>
      <c r="J179" s="5" t="inlineStr"/>
    </row>
    <row r="180" ht="20" customHeight="1">
      <c r="A180" s="14" t="inlineStr">
        <is>
          <t>対象外</t>
        </is>
      </c>
      <c r="B180" s="4">
        <f>COUNTIF(H5:H173,"対象外")</f>
        <v/>
      </c>
      <c r="C180" s="5" t="inlineStr"/>
      <c r="D180" s="5" t="inlineStr"/>
      <c r="E180" s="5" t="inlineStr"/>
      <c r="F180" s="5" t="inlineStr"/>
      <c r="G180" s="5" t="inlineStr"/>
      <c r="H180" s="5" t="inlineStr"/>
      <c r="I180" s="5" t="inlineStr"/>
      <c r="J180" s="5" t="inlineStr"/>
    </row>
    <row r="182" ht="32" customHeight="1">
      <c r="A182" s="3" t="inlineStr">
        <is>
          <t>確認先</t>
        </is>
      </c>
      <c r="B182" s="3" t="inlineStr">
        <is>
          <t>件数</t>
        </is>
      </c>
      <c r="C182" s="3" t="inlineStr"/>
      <c r="D182" s="3" t="inlineStr"/>
      <c r="E182" s="3" t="inlineStr"/>
      <c r="F182" s="3" t="inlineStr"/>
      <c r="G182" s="3" t="inlineStr"/>
      <c r="H182" s="3" t="inlineStr"/>
      <c r="I182" s="3" t="inlineStr"/>
      <c r="J182" s="3" t="inlineStr"/>
    </row>
    <row r="183" ht="20" customHeight="1">
      <c r="A183" s="5" t="inlineStr">
        <is>
          <t>発注者</t>
        </is>
      </c>
      <c r="B183" s="4">
        <f>COUNTIF(G5:G173,"発注者")</f>
        <v/>
      </c>
      <c r="C183" s="5" t="inlineStr"/>
      <c r="D183" s="5" t="inlineStr"/>
      <c r="E183" s="5" t="inlineStr"/>
      <c r="F183" s="5" t="inlineStr"/>
      <c r="G183" s="5" t="inlineStr"/>
      <c r="H183" s="5" t="inlineStr"/>
      <c r="I183" s="5" t="inlineStr"/>
      <c r="J183" s="5" t="inlineStr"/>
    </row>
    <row r="184" ht="20" customHeight="1">
      <c r="A184" s="5" t="inlineStr">
        <is>
          <t>発注者・3町</t>
        </is>
      </c>
      <c r="B184" s="4">
        <f>COUNTIF(G5:G173,"発注者・3町")</f>
        <v/>
      </c>
      <c r="C184" s="5" t="inlineStr"/>
      <c r="D184" s="5" t="inlineStr"/>
      <c r="E184" s="5" t="inlineStr"/>
      <c r="F184" s="5" t="inlineStr"/>
      <c r="G184" s="5" t="inlineStr"/>
      <c r="H184" s="5" t="inlineStr"/>
      <c r="I184" s="5" t="inlineStr"/>
      <c r="J184" s="5" t="inlineStr"/>
    </row>
    <row r="185" ht="20" customHeight="1">
      <c r="A185" s="5" t="inlineStr">
        <is>
          <t>発注者・北海道</t>
        </is>
      </c>
      <c r="B185" s="4">
        <f>COUNTIF(G5:G173,"発注者・北海道")</f>
        <v/>
      </c>
      <c r="C185" s="5" t="inlineStr"/>
      <c r="D185" s="5" t="inlineStr"/>
      <c r="E185" s="5" t="inlineStr"/>
      <c r="F185" s="5" t="inlineStr"/>
      <c r="G185" s="5" t="inlineStr"/>
      <c r="H185" s="5" t="inlineStr"/>
      <c r="I185" s="5" t="inlineStr"/>
      <c r="J185" s="5" t="inlineStr"/>
    </row>
    <row r="186" ht="20" customHeight="1">
      <c r="A186" s="5" t="inlineStr">
        <is>
          <t>発注者・3町・北海道</t>
        </is>
      </c>
      <c r="B186" s="4">
        <f>COUNTIF(G5:G173,"発注者・3町・北海道")</f>
        <v/>
      </c>
      <c r="C186" s="5" t="inlineStr"/>
      <c r="D186" s="5" t="inlineStr"/>
      <c r="E186" s="5" t="inlineStr"/>
      <c r="F186" s="5" t="inlineStr"/>
      <c r="G186" s="5" t="inlineStr"/>
      <c r="H186" s="5" t="inlineStr"/>
      <c r="I186" s="5" t="inlineStr"/>
      <c r="J186" s="5" t="inlineStr"/>
    </row>
    <row r="187" ht="20" customHeight="1">
      <c r="A187" s="5" t="inlineStr">
        <is>
          <t>北海道</t>
        </is>
      </c>
      <c r="B187" s="4">
        <f>COUNTIF(G5:G173,"北海道")</f>
        <v/>
      </c>
      <c r="C187" s="5" t="inlineStr"/>
      <c r="D187" s="5" t="inlineStr"/>
      <c r="E187" s="5" t="inlineStr"/>
      <c r="F187" s="5" t="inlineStr"/>
      <c r="G187" s="5" t="inlineStr"/>
      <c r="H187" s="5" t="inlineStr"/>
      <c r="I187" s="5" t="inlineStr"/>
      <c r="J187" s="5" t="inlineStr"/>
    </row>
    <row r="189" ht="28" customHeight="1">
      <c r="A18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89:J189"/>
    <mergeCell ref="A2:J2"/>
  </mergeCells>
  <conditionalFormatting sqref="H5:H17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2026-09-29T00:27:53Z</dcterms:created>
  <dcterms:modified xmlns:dcterms="http://purl.org/dc/terms/" xmlns:xsi="http://www.w3.org/2001/XMLSchema-instance" xsi:type="dcterms:W3CDTF">2026-09-29T00:27:55Z</dcterms:modified>
</cp:coreProperties>
</file>