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351" customHeight="1">
      <c r="A23" s="16" t="inlineStr">
        <is>
          <t>【現時点の全体状況（令和8年10月15日）】全体進捗は67％（進捗を数値で表せる10業務の単純平均）。令和8年9月は、サービス見込量の算定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1062段落156表36図で、未確定箇所は275箇所（要協議158・要確認115・要内訳2）である。確認事項は189件、成果品は141件、作成に用いた処理は138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令和8年10月15日には、改正法の法律案要綱及び新旧対照条文により改正後の介護保険法第117条ほかの条文を確認し、ご決定・ご確認をお待ちしている事項の一覧を何をすれば決着するかという軸で区分した。参照条文の文字起こしにより介護保険法第117条の項の全体が確定し、医療計画との整合性の確保及び混合型特定施設の必要利用定員総数がいずれも都道府県介護保険事業支援計画の事項であることが分かったため、計画素案の6箇所を是正した。広域連合及び構成3町等から資料の徴求を要するものは64件であり、その全件に資料が届かない場合の扱いを付している。うち58件は資料が届かなくても計画本文を確定でき、未確定箇所の記号が残るものは6件である。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令和8年10月15日】社会福祉法等の一部を改正する法律案要綱（全31頁）及び令和5年改正の概要のご提供を受け、改正事項を原典により点検した。従前は部会資料（概要）によっていたため施行期日の例外を2件しか把握していなかったが、要綱 第10の1により4区分が確定し、公布の日から施行される1件を除きいずれも第10期計画の期間中に施行されることが分かった（介護支援専門員の資格に係る更新制の廃止は1年6月以内、特定施設の定義の改正及び有料老人ホームの登録制度は2年以内、被保険者証の添付等に関する規定及び登録施設介護支援等は3年以内）。介護保険法の改正事項16件のうち11件に記述の是正を要し、14件が新たに分かった。介護保険法第117条の改正後の号及び項（第2項第3号・第4号、第3項第4号・第5号、第5項及び第14項）が確定した。お示しいただいた記事の記述11件を原典により確かめた（一致8・一部一致1・確認できない2）。確認事項No.185・No.186を起票した。同日、新旧対照条文（全353頁）、参照条文（全45頁）、特定地域の考え方について（介護保険部会 第135回 資料3）及び介護保険における3つの加算の対象地域一覧のご提供を受け、改正後の条文を確認した（確認No.181は大きく解決）。介護保険法の改正が第3条関係（令和9年4月1日又は1年6月以内）と第4条関係（2年以内又は3年以内）の2つに分かれること、中長期的な推計のうち量が第2項第3号（定めるものとする）、費用の額及び保険料の水準が第3項第3号（定めるよう努めるものとする）であること、第115条の48の会議が改正後「支援会議」と称すること、第118条第2項により都道府県介護保険事業支援計画にも中長期的な推計が定めるものとされることを確かめた。特別地域加算の対象地域に構成3町がいずれも掲げられていないこと（確認No.1は解決）と、北海道が全域の豪雪地帯であるため中山間地域等における小規模事業所加算及び中山間地域等に居住する者へのサービス提供加算の地域の要件には該当することを確かめた。残るのは政令・省令・報酬改定の告示を待つ分、参照条文の内容（受領したものは画像であり読み取れない）及び附則の経過措置である</t>
        </is>
      </c>
      <c r="J5" s="5" t="inlineStr">
        <is>
          <t>1, 2, 22, 89, 130, 149, 170, 175, 176, 177, 178, 179, 180, 181, 182, 183, 184, 185, 186</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計画素案（1062段落156表36図）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1062段落156表36図となった。残る未確定箇所は275箇所（要協議158・要確認115・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令和8年10月15日】社会福祉法等の一部を改正する法律案要綱により21箇所を改めた。第1章第9節2に施行の日の表を新設し、改正事項の表を介護保険法の改正と社会福祉法その他の法律の改正に分け、改正事項ごとに施行の日の欄を設けて8件から18件に広げた。新たに加えたものは、特定福祉用具販売に係る費用の額の見直し、指定介護老人福祉施設等の指定の辞退、要介護認定等の申請の代行の拡大、電子資格確認の導入及び被保険者証に関する規定の整備、第1号介護予防支援事業の委託の見直し、地域ケア会議の見直し、成年後見制度等の適切な利用の支援、小規模市町村地域支援連携協働体制整備事業、災害時福祉業務従事者の登録、市町村老人福祉計画及び市町村地域福祉計画の記載事項、介護福祉士に関する改正、特定地域における介護老人保健施設等の開設許可の特例である。あわせて、中長期的な推計についての北海道の意見の聴取（第1章第5節）、区域ごとの入居定員総数の勘案（第2章第3節）、地域支援事業の量の中長期的な推計（第6章第3節2）を加え、第2章第8節の総給付費が令和9年度から令和32年度まで［要確認］であったものを算定の値に改めた。同日、新旧対照条文及び対象地域の一覧により15箇所を改めた。特定地域の基準①について、従前は「東川町・美瑛町は特別豪雪地帯を有し、美瑛町は過疎地域でもあるため、対象地域である可能性がある」としていたものを「構成3町はいずれも対象地域に掲げられていない」に改め、3つの加算の注に単位数、地域の要件、構成3町の判定及び事業所ごとの要件を示した。中長期的な推計について量（第117条第2項第3号）と費用の額及び保険料の水準（同条第3項第3号）の区別を第1章第9節2・第2章第8節・第6章第3節に加え、第5項の勘案及び第14項の意見の聴取の対象を「第2項第1号から第3号まで」に改め、第1章第8節に第118条第2項の改正を加えた。新たな章又は節は起こしていない。概要版は未着手</t>
        </is>
      </c>
      <c r="J10" s="5" t="inlineStr">
        <is>
          <t>17, 18, 24, 25, 88, 112, 114, 131, 154, 170, 171, 178, 179, 180, 181, 185, 186</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令和8年10月15日】ご決定・ご確認をお待ちしている事項の一覧を、何をすれば決着するかという軸で区分した（別冊「確認事項の資料徴求と公表資料による確認」）。広域連合及び構成3町等から資料の徴求を要するもの64件、公表資料により確認できるもの5件、国の政令・省令・告示の公表を待つもの3件、ご判断・ご決定をお願いするもの96件、資料の徴求を要しないもの18件である。資料の徴求を要する64件の全件に資料が届かない場合の扱いを付し、①安全側の置き方で算定する2件・②未確定箇所として残す6件・③当該の記載を掲げない14件・④現に確認できている値で確定する42件に分けた。うち58件は資料が届かなくても計画本文を確定でき、未確定箇所の記号が残るものは6件である。優先してご提供をお願いするものは、保険料の月額に効くもの、介護保険法第117条に関わるもの、影響度が優先であるもの及び資料が届かないと計画の記載に跡が残るものの4つの観点で掲げた</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電子データは作成中。印刷・製本は令和9年3月。本文100頁程度に対する章別のページ配分が未確定（確認No.21）。【令和8年9月15〜18日】成果品は141件となった。9月に加えたものは、サービス見込量の算定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138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令和8年10月15日】社会福祉法等の一部を改正する法律案要綱（全31頁）及び令和5年改正の概要のご提供を受けて改正事項を点検し、施行期日の4区分を確定したほか、介護保険法第117条の改正後の号及び項を確定した。法第117条第2項第3号が地域支援事業の量の中長期的な推計も求めるものであることから、令和17年度・令和22年度の量を算定して計画素案 第6章第3節2に加えた。お示しいただいた記事の記述11件を原典により確かめ、計画素案の21箇所を改めた（確認事項No.185・No.186を起票）。同日、新旧対照条文（全353頁）、参照条文（全45頁）、特定地域の考え方について（介護保険部会 第135回 資料3）及び介護保険における3つの加算の対象地域一覧のご提供を受け、改正後の条文を確認して計画素案の15箇所を改めた。特別地域加算の対象地域に構成3町がいずれも掲げられていないことを確認し確認事項No.1を解決した（北海道が全域の豪雪地帯であるため他の2つの加算の地域の要件には該当する）。確認事項No.181は大きく解決し、確認事項No.2に基準の内容を記録した。同日、参照条文（全16法令・原資料87頁）の文字起こしのご提供を受け、介護保険法第117条の項の全体（全14項）及び第3項の全10号、第118条並びに第115条の45の項及び号を確認した（確認事項No.181は解決）。当方の記述の誤り5件が分かり、医療計画及び地域医療構想との整合性の確保が都道府県介護保険事業支援計画の義務であること、混合型及び介護専用型の特定施設入居者生活介護に係る必要利用定員総数が都道府県介護保険事業支援計画の事項であること（確認事項No.113は解決）を含め計画素案の6箇所を是正した。確認事項No.187からNo.189までを起票した。同日、ご決定・ご確認をお待ちしている事項の一覧を何をすれば決着するかという軸で区分し、広域連合及び構成3町等から資料の徴求を要するもの64件、公表資料により確認できるもの5件、公表を待つもの3件、ご判断・ご決定をお願いするもの96件、資料の徴求を要しないもの18件に分けた。資料の徴求を要する64件の全件に資料が届かない場合の扱いを付し、うち58件は資料が届かなくても計画本文を確定できることを示した。新たな確認事項は起こしていない</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9"/>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解決</t>
        </is>
      </c>
      <c r="I23" s="10" t="inlineStr">
        <is>
          <t>R8.9</t>
        </is>
      </c>
      <c r="J23" s="11" t="inlineStr">
        <is>
          <t>サービス見込量算定の統合報告書 03・04シート。確認事項No.88（日常生活圏域と必要利用定員総数）と一体。【令和8年10月15日　解決】参照条文により、混合型特定施設入居者生活介護に係る必要利用定員総数は介護保険法第118条第4項により都道府県介護保険事業支援計画において定めることができる事項であり、第117条には現れないことを確かめた。介護専用型特定施設入居者生活介護に係る必要利用定員総数も第118条第2項第1号により都道府県が定める。すなわちいずれも本計画の記載事項ではない。当方が従前「第117条第3項の勘案事項」としていたのは誤りであった。あわせて第8条第21項により、介護専用型特定施設はその入居者が要介護者、その配偶者その他厚生労働省令で定める者に限られるものであり、類型は入居の要件により定まることが分かった。計画素案 第6章第4節4の記述を是正した</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第3章第4節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決着しない場合は介護保険事業財政調整基金を取り崩さないものとして算定する（安全側）。取り崩す場合の1億円あたりの月額への効きを併記する。（受託者の仮置き。令和8年10月の意見交換会で諮る）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解決</t>
        </is>
      </c>
      <c r="I100" s="10" t="inlineStr">
        <is>
          <t>R8.9</t>
        </is>
      </c>
      <c r="J100" s="11" t="inlineStr">
        <is>
          <t>【令和8年10月15日　解決】厚生労働省『介護保険における特別地域加算・中山間地域等小規模事業所加算・中山間地域等居住者サービス提供加算の対象地域一覧』により確認した。特別地域加算の対象地域のうち北海道で対象となるのは全域を範囲とする市町村22及び一部だけを対象とする市町村14であり、構成3町はいずれも掲げられていない。豪雪地帯、特別豪雪地帯、辺地又は過疎地域であることは対象となるための前提の一つであり、厚生労働大臣が別に定める地域として掲げられていなければ対象とならない。一方、北海道は全域が豪雪地帯であり、構成3町の地域区分は「その他」で特別地域加算の対象ではないため、中山間地域等における小規模事業所加算（所定単位数の10／100）及び中山間地域等に居住する者へのサービス提供加算（同5／100）の地域の要件には該当する（小規模事業所加算は事業所ごとの回数等の要件を併せて満たす必要がある）。1人1月あたり給付費は令和7年度の実績によっており現に算定されている加算を含むが、算定していない事業所が算定を始めた場合は単価を上げる側に働くため、事業所ごとの算定の状況の確認を要する［要確認］。計画素案 第1章第9節1・第1章第9節6・第6章第6節2に反映した。</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【令和8年10月15日】原典（『特定地域（中山間・人口減少地域）の考え方について』社会保障審議会介護保険部会 第135回 資料3）を確認した。①定義規定は改正後の介護保険法第42条第1項第3号であり、「人口の減少その他の厚生労働省令で定める基準に該当する地域として都道府県が定めるもの」である。基準は厚生労働省令で定められる。②基準の素案は「75歳以上人口密度＝5人／km²未満」又は「75歳以上人口＝1,000人未満かつ減少」であり、全国で356市町村（20.5％）が該当する見通しとされている。③市町村内の一部地域を指定する場合の範囲は、旧市町村単位、行政区単位又は日常生活圏域単位が考えられるとされており、日常生活圏域の設定（確認No.88）に関わる。④対象地域の特定は、介護保険事業（支援）計画の策定プロセスにおいて市町村の意向を確認し都道府県が決定することが適当とされている。⑤構成3町は特別地域加算の対象地域に掲げられていないため基準①には該当しない（確認No.1）。なお確定していないのは、厚生労働省令による基準、意向を示す時期及び手続並びに制度の適用単位である。
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第3章第2節・第3節・第4節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01・09シート【令和8年10月15日】参照条文（001685804）には認知症基本法が収録されていないため、本件は進んでいない。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令和8年10月15日】⑥について、現在の計画素案には上川管内の保険者の名称が現れている箇所がある（第6章第6節の保険料基準額の比較に20団体、第2章第2節の認定率等の比較に5団体、旭川市は圏域及び医療機関の説明として第2章第3節・第5章・第6章第4節にも現れる）。これらはいずれも公表されている一覧による保険者の名称であり、仕様書４（4）が求める類似保険者との比較分析に用いているものである。令和8年9月29日のご指示は公表されている全国集計の行の名称（広域連合・一部事務組合38団体）についてのものであったため、上川管内の保険者の名称を計画本文に掲げてよいかを確認する。掲げないこととなった場合は、管内の平均及び当広域連合の順位のみを示す形に改める（比較分析そのものは仕様書が求めるものであるため落と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10" t="inlineStr">
        <is>
          <t>未回答</t>
        </is>
      </c>
      <c r="I179" s="10" t="inlineStr">
        <is>
          <t>R8.11</t>
        </is>
      </c>
      <c r="J179" s="11" t="inlineStr">
        <is>
          <t>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10" t="inlineStr">
        <is>
          <t>未回答</t>
        </is>
      </c>
      <c r="I180" s="10" t="inlineStr">
        <is>
          <t>R8.12</t>
        </is>
      </c>
      <c r="J180" s="11" t="inlineStr">
        <is>
          <t>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10" t="inlineStr">
        <is>
          <t>未回答</t>
        </is>
      </c>
      <c r="I181" s="10" t="inlineStr">
        <is>
          <t>R8.12</t>
        </is>
      </c>
      <c r="J181" s="11" t="inlineStr">
        <is>
          <t>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10" t="inlineStr">
        <is>
          <t>未回答</t>
        </is>
      </c>
      <c r="I182" s="10" t="inlineStr">
        <is>
          <t>R8.11</t>
        </is>
      </c>
      <c r="J182" s="11" t="inlineStr">
        <is>
          <t>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令和8年10月15日】参照条文により、介護保険法第117条第7項が「老人福祉法第20条の8第1項に規定する市町村老人福祉計画と一体のものとして作成されなければならない」ことを定めていることを確かめた。条及び項は第20条の8第1項である。老人福祉法そのものの条文は参照条文に収録されていない（第18条及び第20条の6のみ）ため、同条の内容及び市町村老人福祉計画の記載事項はなお確認できてい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10" t="inlineStr">
        <is>
          <t>未回答</t>
        </is>
      </c>
      <c r="I183" s="10" t="inlineStr">
        <is>
          <t>R8.11</t>
        </is>
      </c>
      <c r="J183" s="11" t="inlineStr">
        <is>
          <t>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10" t="inlineStr">
        <is>
          <t>未回答</t>
        </is>
      </c>
      <c r="I184" s="10" t="inlineStr">
        <is>
          <t>R8.11</t>
        </is>
      </c>
      <c r="J184" s="11" t="inlineStr">
        <is>
          <t>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解決</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令和8年10月14日】社会福祉法等の一部を改正する法律案要綱を確認したことにより、改正後の第117条第2項第3号・第4号、第3項第4号・第5号、第5項及び第14項の号及び項が確定した。引き続き必要なのは、①改正後の条文及び新旧対照表（要綱は改正事項の要旨であり条文の文言を確認できない）、②附則第3条から第77条までの経過措置（有料老人ホームの登録制に係る経過措置の内容）、③改正に係らない号（第2項第1号・第2号、第3項第1号から第3号まで）の条文である。【令和8年10月15日　大きく解決】社会福祉法等の一部を改正する法律案の新旧対照条文（全353頁）を確認した。改正後の介護保険法第117条（第2項第3号・第4号、第3項第3号・第4号・第4号の2・第5号・第6号・第7号・第9号、第5項、第9項、第14項）、第115条の48（支援会議）、第118条第2項・第8項・第9項並びに第120条の3から第120条の5まで（協議会）の内容が確定した。介護保険法の改正は第3条関係（令和9年4月1日又は1年6月以内）と第4条関係（2年以内又は3年以内）の2つに分かれる。新たに分かった主なものは、①第3項第3号は改正前からあり、量が第2項第3号へ移ったうえで費用の額及び保険料の水準が残ること（量は定めるものとされる事項、費用の額及び保険料の水準は定めるよう努めるものとされる事項）、②第3項第9号（入居定員総数）は改正前からあり、第5項第1号（勘案事項）との二重の構造であること、③第5項及び第14項の対象はいずれも第2項第1号から第3号までであること、④第115条の48の会議は改正後「支援会議」と称し構成員として地域包括支援センターが明示されること、⑤第118条第2項により都道府県介護保険事業支援計画にも中長期的な推計が定めるものとされること、⑥第117条第3項第6号・第7号及び第115条の49に指定登録施設介護支援の事業が加わること（3年以内）である。計画素案15箇所に反映した。【令和8年10月15日　解決】参照条文（001685804）の文字起こしのご提供を受け、介護保険法第117条の項の全体（全14項）及び第3項の全10号、第118条並びに第115条の45の項及び号を確認した。改正されない項（第4項 作成の基準、第6項 加齢に伴う特性への留意、第7項 市町村老人福祉計画と一体、第10項 他計画との整合性の確保、第11項 他計画との調和、第12項 被保険者の意見の反映、第14項 都道府県知事への提出）の項番号が確定した。新旧対照条文と重なる6件の突合はいずれも一致した。文字起こしは未校正の光学文字認識によるものであるため、条、項及び号の番号を用い条文の文言は計画素案に引用しない。引き続き必要なのは、①附則第3条から第77条までの経過措置、②認知症基本法ほか関係法令の条文（確認No.149）、③医療法等の一部を改正する法律による改正の施行の状況（確認No.189）である</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10" t="inlineStr">
        <is>
          <t>一部提供（R8.10.14）</t>
        </is>
      </c>
      <c r="I186" s="10" t="inlineStr">
        <is>
          <t>R8.12</t>
        </is>
      </c>
      <c r="J186" s="11" t="inlineStr">
        <is>
          <t>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10" t="inlineStr">
        <is>
          <t>未回答</t>
        </is>
      </c>
      <c r="I187" s="10" t="inlineStr">
        <is>
          <t>R8.12</t>
        </is>
      </c>
      <c r="J187" s="11" t="inlineStr">
        <is>
          <t>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10" t="inlineStr">
        <is>
          <t>未回答</t>
        </is>
      </c>
      <c r="I188" s="10" t="inlineStr">
        <is>
          <t>R8.12</t>
        </is>
      </c>
      <c r="J188" s="11" t="inlineStr">
        <is>
          <t>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89" ht="88" customHeight="1">
      <c r="A189" s="4" t="n">
        <v>185</v>
      </c>
      <c r="B189" s="4" t="inlineStr">
        <is>
          <t>(5)(6)</t>
        </is>
      </c>
      <c r="C189" s="4" t="inlineStr">
        <is>
          <t>R8.11</t>
        </is>
      </c>
      <c r="D189" s="5" t="inlineStr">
        <is>
          <t>小規模市町村地域支援連携協働体制整備事業の対象となるかどうか</t>
        </is>
      </c>
      <c r="E189" s="5" t="inlineStr">
        <is>
          <t>社会福祉法等の一部を改正する法律案要綱 第1の4（3）により、小規模市町村（その人口規模、その人口の減少の状況等からみて福祉サービスを提供する体制の確保に支障を生じ、又は生ずるおそれがあると認められる市町村として厚生労働省令で定める基準に該当するもの）は、社会福祉法に基づく事業及び関係法律に基づく事業を一体のものとして実施することにより、包括的な支援体制を一体的に整備する事業を行うことができることとされました（社会福祉法第106条の6。施行は令和9年4月1日）。費用は小規模市町村の支弁とし、国及び都道府県が交付金を交付します。実施する場合は、関係法律に基づく事業についての市町村の支弁に係る費用から当該事業の実施に要する費用を除くこととされています（同法第106条の12）。①構成3町が厚生労働省令で定める基準に該当するかどうか。②「関係法律に基づく事業」に介護保険法の包括的支援事業（地域包括支援センターの運営）が含まれるかどうか。③含まれる場合、当該費用が本広域連合の地域支援事業費（B）から除かれるかどうか。地域支援事業費は保険料収納必要額の算定の基礎であるため、除かれる場合は保険料を下げる向きに働きます。</t>
        </is>
      </c>
      <c r="F189" s="5" t="inlineStr">
        <is>
          <t>計画素案 第1章第9節2・第6章第3節2・第6章第6節
サービス見込量の算定（地域支援事業費）</t>
        </is>
      </c>
      <c r="G189" s="5" t="inlineStr">
        <is>
          <t>発注者・3町</t>
        </is>
      </c>
      <c r="H189" s="10" t="inlineStr">
        <is>
          <t>未回答</t>
        </is>
      </c>
      <c r="I189" s="10" t="inlineStr">
        <is>
          <t>R8.12</t>
        </is>
      </c>
      <c r="J189" s="11" t="inlineStr">
        <is>
          <t>決着しない場合の当方の扱い＝現行の地域支援事業費（令和6年度決算による据え置き）により算定し、本事業を実施しないものとして扱う。厚生労働省令が示された時点で該当の有無を確かめ、該当する場合は費用の支弁の構造を改めて算定し直す。【令和8年10月15日】新旧対照条文により社会福祉法第106条の12（新設）の内容を確かめた。小規模市町村が本事業を実施する場合、介護保険法第122条の2（第3項を除く。地域支援事業に係る国の交付金）並びに第123条第3項及び第4項（都道府県の負担）の規定の適用について、第122条の2第1項の「費用」から本事業として行う社会福祉法第106条の6第2項第3号イに掲げる事業に要する費用を除き、第123条第4項の「費用」から同条第2項第1号イ及び第3号ロに掲げる事業に要する費用を除くこととされている。重層的支援体制整備事業（社会福祉法第106条の4）と同じ構造である。除かれるのは国の交付金及び都道府県の負担の対象となる費用であり、当該費用は社会福祉法による交付金等により支弁されることとなる。除かれる事業の内容（第106条の6第2項第1号イ・第3号イ・第3号ロ）は確かめていない。小規模市町村の基準は厚生労働省令で定められるため、①（該当の有無）は引き続き確認を要する【令和8年10月15日】参照条文には社会福祉法第106条の3（包括的な支援体制の整備）までが収録されており、第106条の6は改正法により新設される規定であるため現れない。本件は進んでいない</t>
        </is>
      </c>
    </row>
    <row r="190" ht="88" customHeight="1">
      <c r="A190" s="4" t="n">
        <v>186</v>
      </c>
      <c r="B190" s="4" t="inlineStr">
        <is>
          <t>(5)(6)</t>
        </is>
      </c>
      <c r="C190" s="4" t="inlineStr">
        <is>
          <t>R8.11</t>
        </is>
      </c>
      <c r="D190" s="5" t="inlineStr">
        <is>
          <t>特定施設の定義の改正による区域内3施設の扱い</t>
        </is>
      </c>
      <c r="E190" s="5" t="inlineStr">
        <is>
          <t>社会福祉法等の一部を改正する法律案要綱 第2の3により、介護保険法第8条第11項の「特定施設」が「登録有料老人ホームその他厚生労働省令で定める施設であって、地域密着型特定施設でないもの」に改められました（施行は公布の日から起算して2年を超えない範囲内において政令で定める日。令和10年6月まで）。登録有料老人ホーム事業の対象となる状態は政令で定められます（要綱 第6の4（1））。①区域内で特定施設入居者生活介護の指定を受けている3施設（定員156人）が登録有料老人ホームの登録を受けることとなるか。②登録を受けない場合、特定施設入居者生活介護の指定がどのように扱われるか（経過措置の有無）。③区域内の住宅型有料老人ホーム9施設（定員223人）のうち登録の対象となるものがあるか。特定施設入居者生活介護の見込量は令和7年度の実績（月61.5人）を基礎としており、対象となる施設の範囲が変わると見込量の前提が変わります。</t>
        </is>
      </c>
      <c r="F190" s="5" t="inlineStr">
        <is>
          <t>計画素案 第1章第9節2・第2章第3節・第6章第2節 注3・第6章第4節
サービス見込量の算定（施設・居住系サービス）</t>
        </is>
      </c>
      <c r="G190" s="5" t="inlineStr">
        <is>
          <t>発注者・北海道</t>
        </is>
      </c>
      <c r="H190" s="10" t="inlineStr">
        <is>
          <t>未回答</t>
        </is>
      </c>
      <c r="I190" s="10" t="inlineStr">
        <is>
          <t>R8.12</t>
        </is>
      </c>
      <c r="J190" s="11" t="inlineStr">
        <is>
          <t>決着しない場合の当方の扱い＝現行の指定の区分により特定施設入居者生活介護の見込量を算定し、定義の改正により対象となる施設の範囲が変わり得ることを計画素案の注に［要確認］として記載する。【令和8年10月15日】新旧対照条文により、現行の第8条第11項が「有料老人ホームその他厚生労働省令で定める施設であって、第20項に規定する地域密着型特定施設でないもの」であり、改正により「有料老人ホーム」が「老人福祉法第29条の18第5項に規定する登録有料老人ホーム」に置き換わることを確かめた。すなわち登録有料老人ホームを定義に加えるものではなく、登録を受けない有料老人ホームは特定施設に当たらなくなる。計画素案 第1章第9節2の記述を「定義に加える」から「有料老人ホームを登録有料老人ホームに改める」に是正した。【令和8年10月15日】参照条文により、現行の第8条第11項が「有料老人ホームその他厚生労働省令で定める施設であって地域密着型特定施設でないもの」であることを2つ目の原典で確かめた。また同条第21項により、介護専用型特定施設はその入居者が要介護者、その配偶者その他厚生労働省令で定める者に限られるものであり、類型は入居の要件により定まることが分かった</t>
        </is>
      </c>
    </row>
    <row r="191" ht="88" customHeight="1">
      <c r="A191" s="4" t="n">
        <v>187</v>
      </c>
      <c r="B191" s="4" t="inlineStr">
        <is>
          <t>(5)(6)</t>
        </is>
      </c>
      <c r="C191" s="4" t="inlineStr">
        <is>
          <t>R8.11</t>
        </is>
      </c>
      <c r="D191" s="5" t="inlineStr">
        <is>
          <t>「特定地域支援事業支援額」の内容</t>
        </is>
      </c>
      <c r="E191" s="5" t="inlineStr">
        <is>
          <t>介護保険法第123条第4項は、都道府県は市町村に対し特定地域支援事業支援額の100分の25に相当する額を交付するものと定めています（令和8年10月15日に参照条文により確認）。「特定地域支援事業支援額」は当方の整理にない語であり、内容を確認できていません。①同額の内容及び算定の方法。②特定地域（中山間・人口減少地域）に関わるものであるか。③当広域連合の地域支援事業費の財源に関わるか。地域支援事業費（B）は保険料収納必要額の算定の基礎であるため、財源の区分が変わると第1号被保険者の負担分が変わります。</t>
        </is>
      </c>
      <c r="F191" s="5" t="inlineStr">
        <is>
          <t>計画素案 第1章第9節1・第6章第3節2・第6章第6節
サービス見込量の算定（地域支援事業費）</t>
        </is>
      </c>
      <c r="G191" s="5" t="inlineStr">
        <is>
          <t>発注者</t>
        </is>
      </c>
      <c r="H191" s="10" t="inlineStr">
        <is>
          <t>未回答</t>
        </is>
      </c>
      <c r="I191" s="10" t="inlineStr">
        <is>
          <t>R8.12</t>
        </is>
      </c>
      <c r="J191" s="11" t="inlineStr">
        <is>
          <t>決着しない場合の当方の扱い＝現行の地域支援事業費（令和6年度決算による据え置き）により算定し、特定地域支援事業支援額を織り込まない。内容が示された時点で財源の区分を確かめ、再算定する</t>
        </is>
      </c>
    </row>
    <row r="192" ht="88" customHeight="1">
      <c r="A192" s="4" t="n">
        <v>188</v>
      </c>
      <c r="B192" s="4" t="inlineStr">
        <is>
          <t>(5)(6)</t>
        </is>
      </c>
      <c r="C192" s="4" t="inlineStr">
        <is>
          <t>R8.11</t>
        </is>
      </c>
      <c r="D192" s="5" t="inlineStr">
        <is>
          <t>地域支援事業費の政令で定める額</t>
        </is>
      </c>
      <c r="E192" s="5" t="inlineStr">
        <is>
          <t>介護保険法第115条の45第4項は、地域支援事業は、当該市町村における介護予防に関する事業の実施状況、介護保険の運営の状況、75歳以上の被保険者の数その他の状況を勘案して政令で定める額の範囲内で行うものと定めています（令和8年10月15日に参照条文により確認）。当方の地域支援事業費（第10期3か年531,483,777円）は令和6年度決算の水準を据え置いたものであり、政令で定める額との関係を確かめていません。①介護保険法施行令の当該規定及び当広域連合に係る額。②令和6年度の決算額が同額の範囲内であること。③第10期の見込額が同額の範囲内に収まるか。当方は外部の情報提供サイトへ接続できないため政令の条文を確認できません。</t>
        </is>
      </c>
      <c r="F192" s="5" t="inlineStr">
        <is>
          <t>計画素案 第6章第3節2・第6章第6節
サービス見込量の算定（地域支援事業費）</t>
        </is>
      </c>
      <c r="G192" s="5" t="inlineStr">
        <is>
          <t>発注者</t>
        </is>
      </c>
      <c r="H192" s="10" t="inlineStr">
        <is>
          <t>未回答</t>
        </is>
      </c>
      <c r="I192" s="10" t="inlineStr">
        <is>
          <t>R8.12</t>
        </is>
      </c>
      <c r="J192" s="11" t="inlineStr">
        <is>
          <t>決着しない場合の当方の扱い＝令和6年度決算の水準を据え置いたまま算定し、政令で定める額との関係を確かめていない旨を計画素案の注に［要確認］として記載する</t>
        </is>
      </c>
    </row>
    <row r="193" ht="88" customHeight="1">
      <c r="A193" s="4" t="n">
        <v>189</v>
      </c>
      <c r="B193" s="4" t="inlineStr">
        <is>
          <t>(1)(6)</t>
        </is>
      </c>
      <c r="C193" s="4" t="inlineStr">
        <is>
          <t>R8.12</t>
        </is>
      </c>
      <c r="D193" s="5" t="inlineStr">
        <is>
          <t>医療法等の一部を改正する法律による介護保険法の改正の施行の状況</t>
        </is>
      </c>
      <c r="E193" s="5" t="inlineStr">
        <is>
          <t>参照条文に収録されている介護保険法は、医療法等の一部を改正する法律（令和7年法律第87号）による改正後のものであり、その施行は公布の日から起算して2年を超えない範囲内において政令で定める日とされています（令和8年10月15日に確認）。このため、参照条文により確認した各項が本計画の策定の時点で施行されているかを確かめられていません。①同法による介護保険法の改正の内容及び施行の日。②第117条第5項（医療法第30条の18の5第1項の規定による協議の結果の考慮）が本計画の策定の時点で施行されているか。③医療法第30条の18の5（医療と介護の協議の場）の内容。令和8年9月18日の社会保障審議会介護保険部会で示された「医療と介護の協議の場の再編成」と関わります。</t>
        </is>
      </c>
      <c r="F193" s="5" t="inlineStr">
        <is>
          <t>計画素案 第1章第8節・第1章第9節1・第1章第9節6</t>
        </is>
      </c>
      <c r="G193" s="5" t="inlineStr">
        <is>
          <t>発注者</t>
        </is>
      </c>
      <c r="H193" s="10" t="inlineStr">
        <is>
          <t>未回答</t>
        </is>
      </c>
      <c r="I193" s="10" t="inlineStr">
        <is>
          <t>R8.12</t>
        </is>
      </c>
      <c r="J193" s="11" t="inlineStr">
        <is>
          <t>決着しない場合の当方の扱い＝医療との連携は第5章 基本目標1及び第6章第5節の記述により扱い、医療法の協議の結果の考慮については施行の時期を確認できていない旨を［要確認］として記載する</t>
        </is>
      </c>
    </row>
    <row r="195" ht="32" customHeight="1">
      <c r="A195" s="3" t="inlineStr">
        <is>
          <t>区分</t>
        </is>
      </c>
      <c r="B195" s="3" t="inlineStr">
        <is>
          <t>件数</t>
        </is>
      </c>
      <c r="C195" s="3" t="inlineStr"/>
      <c r="D195" s="3" t="inlineStr"/>
      <c r="E195" s="3" t="inlineStr"/>
      <c r="F195" s="3" t="inlineStr"/>
      <c r="G195" s="3" t="inlineStr"/>
      <c r="H195" s="3" t="inlineStr"/>
      <c r="I195" s="3" t="inlineStr"/>
      <c r="J195" s="3" t="inlineStr"/>
    </row>
    <row r="196" ht="20" customHeight="1">
      <c r="A196" s="6" t="inlineStr">
        <is>
          <t>完了</t>
        </is>
      </c>
      <c r="B196" s="4">
        <f>COUNTIF(H5:H193,"完了")</f>
        <v/>
      </c>
      <c r="C196" s="5" t="inlineStr"/>
      <c r="D196" s="5" t="inlineStr"/>
      <c r="E196" s="5" t="inlineStr"/>
      <c r="F196" s="5" t="inlineStr"/>
      <c r="G196" s="5" t="inlineStr"/>
      <c r="H196" s="5" t="inlineStr"/>
      <c r="I196" s="5" t="inlineStr"/>
      <c r="J196" s="5" t="inlineStr"/>
    </row>
    <row r="197" ht="20" customHeight="1">
      <c r="A197" s="8" t="inlineStr">
        <is>
          <t>実施中</t>
        </is>
      </c>
      <c r="B197" s="4">
        <f>COUNTIF(H5:H193,"実施中")</f>
        <v/>
      </c>
      <c r="C197" s="5" t="inlineStr"/>
      <c r="D197" s="5" t="inlineStr"/>
      <c r="E197" s="5" t="inlineStr"/>
      <c r="F197" s="5" t="inlineStr"/>
      <c r="G197" s="5" t="inlineStr"/>
      <c r="H197" s="5" t="inlineStr"/>
      <c r="I197" s="5" t="inlineStr"/>
      <c r="J197" s="5" t="inlineStr"/>
    </row>
    <row r="198" ht="20" customHeight="1">
      <c r="A198" s="10" t="inlineStr">
        <is>
          <t>確認待ち</t>
        </is>
      </c>
      <c r="B198" s="4">
        <f>COUNTIF(H5:H193,"確認待ち")</f>
        <v/>
      </c>
      <c r="C198" s="5" t="inlineStr"/>
      <c r="D198" s="5" t="inlineStr"/>
      <c r="E198" s="5" t="inlineStr"/>
      <c r="F198" s="5" t="inlineStr"/>
      <c r="G198" s="5" t="inlineStr"/>
      <c r="H198" s="5" t="inlineStr"/>
      <c r="I198" s="5" t="inlineStr"/>
      <c r="J198" s="5" t="inlineStr"/>
    </row>
    <row r="199" ht="20" customHeight="1">
      <c r="A199" s="12" t="inlineStr">
        <is>
          <t>未着手</t>
        </is>
      </c>
      <c r="B199" s="4">
        <f>COUNTIF(H5:H193,"未着手")</f>
        <v/>
      </c>
      <c r="C199" s="5" t="inlineStr"/>
      <c r="D199" s="5" t="inlineStr"/>
      <c r="E199" s="5" t="inlineStr"/>
      <c r="F199" s="5" t="inlineStr"/>
      <c r="G199" s="5" t="inlineStr"/>
      <c r="H199" s="5" t="inlineStr"/>
      <c r="I199" s="5" t="inlineStr"/>
      <c r="J199" s="5" t="inlineStr"/>
    </row>
    <row r="200" ht="20" customHeight="1">
      <c r="A200" s="14" t="inlineStr">
        <is>
          <t>対象外</t>
        </is>
      </c>
      <c r="B200" s="4">
        <f>COUNTIF(H5:H193,"対象外")</f>
        <v/>
      </c>
      <c r="C200" s="5" t="inlineStr"/>
      <c r="D200" s="5" t="inlineStr"/>
      <c r="E200" s="5" t="inlineStr"/>
      <c r="F200" s="5" t="inlineStr"/>
      <c r="G200" s="5" t="inlineStr"/>
      <c r="H200" s="5" t="inlineStr"/>
      <c r="I200" s="5" t="inlineStr"/>
      <c r="J200" s="5" t="inlineStr"/>
    </row>
    <row r="202" ht="32" customHeight="1">
      <c r="A202" s="3" t="inlineStr">
        <is>
          <t>確認先</t>
        </is>
      </c>
      <c r="B202" s="3" t="inlineStr">
        <is>
          <t>件数</t>
        </is>
      </c>
      <c r="C202" s="3" t="inlineStr"/>
      <c r="D202" s="3" t="inlineStr"/>
      <c r="E202" s="3" t="inlineStr"/>
      <c r="F202" s="3" t="inlineStr"/>
      <c r="G202" s="3" t="inlineStr"/>
      <c r="H202" s="3" t="inlineStr"/>
      <c r="I202" s="3" t="inlineStr"/>
      <c r="J202" s="3" t="inlineStr"/>
    </row>
    <row r="203" ht="20" customHeight="1">
      <c r="A203" s="5" t="inlineStr">
        <is>
          <t>発注者</t>
        </is>
      </c>
      <c r="B203" s="4">
        <f>COUNTIF(G5:G193,"発注者")</f>
        <v/>
      </c>
      <c r="C203" s="5" t="inlineStr"/>
      <c r="D203" s="5" t="inlineStr"/>
      <c r="E203" s="5" t="inlineStr"/>
      <c r="F203" s="5" t="inlineStr"/>
      <c r="G203" s="5" t="inlineStr"/>
      <c r="H203" s="5" t="inlineStr"/>
      <c r="I203" s="5" t="inlineStr"/>
      <c r="J203" s="5" t="inlineStr"/>
    </row>
    <row r="204" ht="20" customHeight="1">
      <c r="A204" s="5" t="inlineStr">
        <is>
          <t>発注者・3町</t>
        </is>
      </c>
      <c r="B204" s="4">
        <f>COUNTIF(G5:G193,"発注者・3町")</f>
        <v/>
      </c>
      <c r="C204" s="5" t="inlineStr"/>
      <c r="D204" s="5" t="inlineStr"/>
      <c r="E204" s="5" t="inlineStr"/>
      <c r="F204" s="5" t="inlineStr"/>
      <c r="G204" s="5" t="inlineStr"/>
      <c r="H204" s="5" t="inlineStr"/>
      <c r="I204" s="5" t="inlineStr"/>
      <c r="J204" s="5" t="inlineStr"/>
    </row>
    <row r="205" ht="20" customHeight="1">
      <c r="A205" s="5" t="inlineStr">
        <is>
          <t>発注者・北海道</t>
        </is>
      </c>
      <c r="B205" s="4">
        <f>COUNTIF(G5:G193,"発注者・北海道")</f>
        <v/>
      </c>
      <c r="C205" s="5" t="inlineStr"/>
      <c r="D205" s="5" t="inlineStr"/>
      <c r="E205" s="5" t="inlineStr"/>
      <c r="F205" s="5" t="inlineStr"/>
      <c r="G205" s="5" t="inlineStr"/>
      <c r="H205" s="5" t="inlineStr"/>
      <c r="I205" s="5" t="inlineStr"/>
      <c r="J205" s="5" t="inlineStr"/>
    </row>
    <row r="206" ht="20" customHeight="1">
      <c r="A206" s="5" t="inlineStr">
        <is>
          <t>発注者・3町・北海道</t>
        </is>
      </c>
      <c r="B206" s="4">
        <f>COUNTIF(G5:G193,"発注者・3町・北海道")</f>
        <v/>
      </c>
      <c r="C206" s="5" t="inlineStr"/>
      <c r="D206" s="5" t="inlineStr"/>
      <c r="E206" s="5" t="inlineStr"/>
      <c r="F206" s="5" t="inlineStr"/>
      <c r="G206" s="5" t="inlineStr"/>
      <c r="H206" s="5" t="inlineStr"/>
      <c r="I206" s="5" t="inlineStr"/>
      <c r="J206" s="5" t="inlineStr"/>
    </row>
    <row r="207" ht="20" customHeight="1">
      <c r="A207" s="5" t="inlineStr">
        <is>
          <t>北海道</t>
        </is>
      </c>
      <c r="B207" s="4">
        <f>COUNTIF(G5:G193,"北海道")</f>
        <v/>
      </c>
      <c r="C207" s="5" t="inlineStr"/>
      <c r="D207" s="5" t="inlineStr"/>
      <c r="E207" s="5" t="inlineStr"/>
      <c r="F207" s="5" t="inlineStr"/>
      <c r="G207" s="5" t="inlineStr"/>
      <c r="H207" s="5" t="inlineStr"/>
      <c r="I207" s="5" t="inlineStr"/>
      <c r="J207" s="5" t="inlineStr"/>
    </row>
    <row r="209" ht="39" customHeight="1">
      <c r="A209"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り、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209:J209"/>
    <mergeCell ref="A2:J2"/>
  </mergeCells>
  <conditionalFormatting sqref="H5:H19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93"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（1062段落156表36図）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（1062段落156表36図）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2026-10-15T05:49:19Z</dcterms:created>
  <dcterms:modified xmlns:dcterms="http://purl.org/dc/terms/" xmlns:xsi="http://www.w3.org/2001/XMLSchema-instance" xsi:type="dcterms:W3CDTF">2026-10-15T05:49:21Z</dcterms:modified>
</cp:coreProperties>
</file>