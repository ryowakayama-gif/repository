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6" ht="32" customHeight="1">
      <c r="A136" s="3" t="inlineStr">
        <is>
          <t>区分</t>
        </is>
      </c>
      <c r="B136" s="3" t="inlineStr">
        <is>
          <t>件数</t>
        </is>
      </c>
      <c r="C136" s="3" t="inlineStr"/>
      <c r="D136" s="3" t="inlineStr"/>
      <c r="E136" s="3" t="inlineStr"/>
      <c r="F136" s="3" t="inlineStr"/>
      <c r="G136" s="3" t="inlineStr"/>
      <c r="H136" s="3" t="inlineStr"/>
      <c r="I136" s="3" t="inlineStr"/>
      <c r="J136" s="3" t="inlineStr"/>
    </row>
    <row r="137" ht="20" customHeight="1">
      <c r="A137" s="6" t="inlineStr">
        <is>
          <t>完了</t>
        </is>
      </c>
      <c r="B137" s="4">
        <f>COUNTIF(H5:H134,"完了")</f>
        <v/>
      </c>
      <c r="C137" s="5" t="inlineStr"/>
      <c r="D137" s="5" t="inlineStr"/>
      <c r="E137" s="5" t="inlineStr"/>
      <c r="F137" s="5" t="inlineStr"/>
      <c r="G137" s="5" t="inlineStr"/>
      <c r="H137" s="5" t="inlineStr"/>
      <c r="I137" s="5" t="inlineStr"/>
      <c r="J137" s="5" t="inlineStr"/>
    </row>
    <row r="138" ht="20" customHeight="1">
      <c r="A138" s="8" t="inlineStr">
        <is>
          <t>実施中</t>
        </is>
      </c>
      <c r="B138" s="4">
        <f>COUNTIF(H5:H134,"実施中")</f>
        <v/>
      </c>
      <c r="C138" s="5" t="inlineStr"/>
      <c r="D138" s="5" t="inlineStr"/>
      <c r="E138" s="5" t="inlineStr"/>
      <c r="F138" s="5" t="inlineStr"/>
      <c r="G138" s="5" t="inlineStr"/>
      <c r="H138" s="5" t="inlineStr"/>
      <c r="I138" s="5" t="inlineStr"/>
      <c r="J138" s="5" t="inlineStr"/>
    </row>
    <row r="139" ht="20" customHeight="1">
      <c r="A139" s="10" t="inlineStr">
        <is>
          <t>確認待ち</t>
        </is>
      </c>
      <c r="B139" s="4">
        <f>COUNTIF(H5:H134,"確認待ち")</f>
        <v/>
      </c>
      <c r="C139" s="5" t="inlineStr"/>
      <c r="D139" s="5" t="inlineStr"/>
      <c r="E139" s="5" t="inlineStr"/>
      <c r="F139" s="5" t="inlineStr"/>
      <c r="G139" s="5" t="inlineStr"/>
      <c r="H139" s="5" t="inlineStr"/>
      <c r="I139" s="5" t="inlineStr"/>
      <c r="J139" s="5" t="inlineStr"/>
    </row>
    <row r="140" ht="20" customHeight="1">
      <c r="A140" s="12" t="inlineStr">
        <is>
          <t>未着手</t>
        </is>
      </c>
      <c r="B140" s="4">
        <f>COUNTIF(H5:H134,"未着手")</f>
        <v/>
      </c>
      <c r="C140" s="5" t="inlineStr"/>
      <c r="D140" s="5" t="inlineStr"/>
      <c r="E140" s="5" t="inlineStr"/>
      <c r="F140" s="5" t="inlineStr"/>
      <c r="G140" s="5" t="inlineStr"/>
      <c r="H140" s="5" t="inlineStr"/>
      <c r="I140" s="5" t="inlineStr"/>
      <c r="J140" s="5" t="inlineStr"/>
    </row>
    <row r="141" ht="20" customHeight="1">
      <c r="A141" s="14" t="inlineStr">
        <is>
          <t>対象外</t>
        </is>
      </c>
      <c r="B141" s="4">
        <f>COUNTIF(H5:H134,"対象外")</f>
        <v/>
      </c>
      <c r="C141" s="5" t="inlineStr"/>
      <c r="D141" s="5" t="inlineStr"/>
      <c r="E141" s="5" t="inlineStr"/>
      <c r="F141" s="5" t="inlineStr"/>
      <c r="G141" s="5" t="inlineStr"/>
      <c r="H141" s="5" t="inlineStr"/>
      <c r="I141" s="5" t="inlineStr"/>
      <c r="J141" s="5" t="inlineStr"/>
    </row>
    <row r="143" ht="32" customHeight="1">
      <c r="A143" s="3" t="inlineStr">
        <is>
          <t>確認先</t>
        </is>
      </c>
      <c r="B143" s="3" t="inlineStr">
        <is>
          <t>件数</t>
        </is>
      </c>
      <c r="C143" s="3" t="inlineStr"/>
      <c r="D143" s="3" t="inlineStr"/>
      <c r="E143" s="3" t="inlineStr"/>
      <c r="F143" s="3" t="inlineStr"/>
      <c r="G143" s="3" t="inlineStr"/>
      <c r="H143" s="3" t="inlineStr"/>
      <c r="I143" s="3" t="inlineStr"/>
      <c r="J143" s="3" t="inlineStr"/>
    </row>
    <row r="144" ht="20" customHeight="1">
      <c r="A144" s="5" t="inlineStr">
        <is>
          <t>発注者</t>
        </is>
      </c>
      <c r="B144" s="4">
        <f>COUNTIF(G5:G134,"発注者")</f>
        <v/>
      </c>
      <c r="C144" s="5" t="inlineStr"/>
      <c r="D144" s="5" t="inlineStr"/>
      <c r="E144" s="5" t="inlineStr"/>
      <c r="F144" s="5" t="inlineStr"/>
      <c r="G144" s="5" t="inlineStr"/>
      <c r="H144" s="5" t="inlineStr"/>
      <c r="I144" s="5" t="inlineStr"/>
      <c r="J144" s="5" t="inlineStr"/>
    </row>
    <row r="145" ht="20" customHeight="1">
      <c r="A145" s="5" t="inlineStr">
        <is>
          <t>発注者・3町</t>
        </is>
      </c>
      <c r="B145" s="4">
        <f>COUNTIF(G5:G134,"発注者・3町")</f>
        <v/>
      </c>
      <c r="C145" s="5" t="inlineStr"/>
      <c r="D145" s="5" t="inlineStr"/>
      <c r="E145" s="5" t="inlineStr"/>
      <c r="F145" s="5" t="inlineStr"/>
      <c r="G145" s="5" t="inlineStr"/>
      <c r="H145" s="5" t="inlineStr"/>
      <c r="I145" s="5" t="inlineStr"/>
      <c r="J145" s="5" t="inlineStr"/>
    </row>
    <row r="146" ht="20" customHeight="1">
      <c r="A146" s="5" t="inlineStr">
        <is>
          <t>発注者・北海道</t>
        </is>
      </c>
      <c r="B146" s="4">
        <f>COUNTIF(G5:G134,"発注者・北海道")</f>
        <v/>
      </c>
      <c r="C146" s="5" t="inlineStr"/>
      <c r="D146" s="5" t="inlineStr"/>
      <c r="E146" s="5" t="inlineStr"/>
      <c r="F146" s="5" t="inlineStr"/>
      <c r="G146" s="5" t="inlineStr"/>
      <c r="H146" s="5" t="inlineStr"/>
      <c r="I146" s="5" t="inlineStr"/>
      <c r="J146" s="5" t="inlineStr"/>
    </row>
    <row r="147" ht="20" customHeight="1">
      <c r="A147" s="5" t="inlineStr">
        <is>
          <t>発注者・3町・北海道</t>
        </is>
      </c>
      <c r="B147" s="4">
        <f>COUNTIF(G5:G134,"発注者・3町・北海道")</f>
        <v/>
      </c>
      <c r="C147" s="5" t="inlineStr"/>
      <c r="D147" s="5" t="inlineStr"/>
      <c r="E147" s="5" t="inlineStr"/>
      <c r="F147" s="5" t="inlineStr"/>
      <c r="G147" s="5" t="inlineStr"/>
      <c r="H147" s="5" t="inlineStr"/>
      <c r="I147" s="5" t="inlineStr"/>
      <c r="J147" s="5" t="inlineStr"/>
    </row>
    <row r="148" ht="20" customHeight="1">
      <c r="A148" s="5" t="inlineStr">
        <is>
          <t>北海道</t>
        </is>
      </c>
      <c r="B148" s="4">
        <f>COUNTIF(G5:G134,"北海道")</f>
        <v/>
      </c>
      <c r="C148" s="5" t="inlineStr"/>
      <c r="D148" s="5" t="inlineStr"/>
      <c r="E148" s="5" t="inlineStr"/>
      <c r="F148" s="5" t="inlineStr"/>
      <c r="G148" s="5" t="inlineStr"/>
      <c r="H148" s="5" t="inlineStr"/>
      <c r="I148" s="5" t="inlineStr"/>
      <c r="J148" s="5" t="inlineStr"/>
    </row>
    <row r="150" ht="28" customHeight="1">
      <c r="A15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50:J150"/>
    <mergeCell ref="A2:J2"/>
  </mergeCells>
  <conditionalFormatting sqref="H5:H13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3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2026-09-11T02:50:03Z</dcterms:created>
  <dcterms:modified xmlns:dcterms="http://purl.org/dc/terms/" xmlns:xsi="http://www.w3.org/2001/XMLSchema-instance" xsi:type="dcterms:W3CDTF">2026-09-11T02:50:04Z</dcterms:modified>
</cp:coreProperties>
</file>