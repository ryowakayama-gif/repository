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管理方法" sheetId="1" state="visible" r:id="rId1"/>
    <sheet xmlns:r="http://schemas.openxmlformats.org/officeDocument/2006/relationships" name="01_業務内容別の進捗" sheetId="2" state="visible" r:id="rId2"/>
    <sheet xmlns:r="http://schemas.openxmlformats.org/officeDocument/2006/relationships" name="02_月別工程管理" sheetId="3" state="visible" r:id="rId3"/>
    <sheet xmlns:r="http://schemas.openxmlformats.org/officeDocument/2006/relationships" name="03_確認事項一覧" sheetId="4" state="visible" r:id="rId4"/>
    <sheet xmlns:r="http://schemas.openxmlformats.org/officeDocument/2006/relationships" name="04_成果品管理" sheetId="5" state="visible" r:id="rId5"/>
    <sheet xmlns:r="http://schemas.openxmlformats.org/officeDocument/2006/relationships" name="05_調査別の状況" sheetId="6" state="visible" r:id="rId6"/>
    <sheet xmlns:r="http://schemas.openxmlformats.org/officeDocument/2006/relationships" name="06_資料提供依頼一覧" sheetId="7" state="visible" r:id="rId7"/>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游ゴシック"/>
      <b val="1"/>
      <color rgb="00FFFFFF"/>
      <sz val="14"/>
    </font>
    <font>
      <name val="游ゴシック"/>
      <sz val="9"/>
    </font>
    <font>
      <name val="游ゴシック"/>
      <b val="1"/>
      <color rgb="00FFFFFF"/>
      <sz val="9"/>
    </font>
    <font>
      <name val="游ゴシック"/>
      <i val="1"/>
      <sz val="9"/>
    </font>
    <font>
      <name val="游ゴシック"/>
      <b val="1"/>
      <sz val="9"/>
    </font>
  </fonts>
  <fills count="9">
    <fill>
      <patternFill/>
    </fill>
    <fill>
      <patternFill patternType="gray125"/>
    </fill>
    <fill>
      <patternFill patternType="solid">
        <fgColor rgb="001F4E78"/>
      </patternFill>
    </fill>
    <fill>
      <patternFill patternType="solid">
        <fgColor rgb="00F2F2F2"/>
      </patternFill>
    </fill>
    <fill>
      <patternFill patternType="solid">
        <fgColor rgb="005B9BD5"/>
      </patternFill>
    </fill>
    <fill>
      <patternFill patternType="solid">
        <fgColor rgb="00E2EFDA"/>
      </patternFill>
    </fill>
    <fill>
      <patternFill patternType="solid">
        <fgColor rgb="00DEEBF7"/>
      </patternFill>
    </fill>
    <fill>
      <patternFill patternType="solid">
        <fgColor rgb="00FFF2CC"/>
      </patternFill>
    </fill>
    <fill>
      <patternFill patternType="solid">
        <fgColor rgb="00FCE4D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4">
    <xf numFmtId="0" fontId="0" fillId="0" borderId="0" pivotButton="0" quotePrefix="0" xfId="0"/>
    <xf numFmtId="0" fontId="1" fillId="2" borderId="0" pivotButton="0" quotePrefix="0" xfId="0"/>
    <xf numFmtId="0" fontId="2" fillId="3" borderId="0" applyAlignment="1" pivotButton="0" quotePrefix="0" xfId="0">
      <alignment vertical="top" wrapText="1"/>
    </xf>
    <xf numFmtId="0" fontId="3" fillId="4"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0" borderId="1" applyAlignment="1" pivotButton="0" quotePrefix="0" xfId="0">
      <alignment horizontal="left" vertical="top" wrapText="1"/>
    </xf>
    <xf numFmtId="0" fontId="2" fillId="5" borderId="1" applyAlignment="1" pivotButton="0" quotePrefix="0" xfId="0">
      <alignment horizontal="center" vertical="top" wrapText="1"/>
    </xf>
    <xf numFmtId="0" fontId="2" fillId="5" borderId="1" applyAlignment="1" pivotButton="0" quotePrefix="0" xfId="0">
      <alignment horizontal="left" vertical="top" wrapText="1"/>
    </xf>
    <xf numFmtId="0" fontId="2" fillId="6" borderId="1" applyAlignment="1" pivotButton="0" quotePrefix="0" xfId="0">
      <alignment horizontal="center" vertical="top" wrapText="1"/>
    </xf>
    <xf numFmtId="0" fontId="2" fillId="6" borderId="1" applyAlignment="1" pivotButton="0" quotePrefix="0" xfId="0">
      <alignment horizontal="left" vertical="top" wrapText="1"/>
    </xf>
    <xf numFmtId="0" fontId="2" fillId="7" borderId="1" applyAlignment="1" pivotButton="0" quotePrefix="0" xfId="0">
      <alignment horizontal="center" vertical="top" wrapText="1"/>
    </xf>
    <xf numFmtId="0" fontId="2" fillId="7" borderId="1" applyAlignment="1" pivotButton="0" quotePrefix="0" xfId="0">
      <alignment horizontal="left" vertical="top" wrapText="1"/>
    </xf>
    <xf numFmtId="0" fontId="2" fillId="8" borderId="1" applyAlignment="1" pivotButton="0" quotePrefix="0" xfId="0">
      <alignment horizontal="center" vertical="top" wrapText="1"/>
    </xf>
    <xf numFmtId="0" fontId="2" fillId="8" borderId="1" applyAlignment="1" pivotButton="0" quotePrefix="0" xfId="0">
      <alignment horizontal="left" vertical="top" wrapText="1"/>
    </xf>
    <xf numFmtId="0" fontId="2" fillId="3" borderId="1" applyAlignment="1" pivotButton="0" quotePrefix="0" xfId="0">
      <alignment horizontal="center" vertical="top" wrapText="1"/>
    </xf>
    <xf numFmtId="0" fontId="2" fillId="3" borderId="1" applyAlignment="1" pivotButton="0" quotePrefix="0" xfId="0">
      <alignment horizontal="left" vertical="top" wrapText="1"/>
    </xf>
    <xf numFmtId="0" fontId="4" fillId="0" borderId="0" applyAlignment="1" pivotButton="0" quotePrefix="0" xfId="0">
      <alignment vertical="top" wrapText="1"/>
    </xf>
    <xf numFmtId="9" fontId="2" fillId="0" borderId="1" applyAlignment="1" pivotButton="0" quotePrefix="0" xfId="0">
      <alignment horizontal="center" vertical="top" wrapText="1"/>
    </xf>
    <xf numFmtId="0" fontId="5" fillId="3" borderId="1" applyAlignment="1" pivotButton="0" quotePrefix="0" xfId="0">
      <alignment horizontal="left" vertical="top" wrapText="1"/>
    </xf>
    <xf numFmtId="9" fontId="2" fillId="3" borderId="1" applyAlignment="1" pivotButton="0" quotePrefix="0" xfId="0">
      <alignment horizontal="center" vertical="top" wrapText="1"/>
    </xf>
    <xf numFmtId="9" fontId="2" fillId="7" borderId="1" applyAlignment="1" pivotButton="0" quotePrefix="0" xfId="0">
      <alignment horizontal="center" vertical="top" wrapText="1"/>
    </xf>
    <xf numFmtId="0" fontId="2" fillId="0" borderId="1" applyAlignment="1" pivotButton="0" quotePrefix="0" xfId="0">
      <alignment horizontal="right" vertical="top" wrapText="1"/>
    </xf>
    <xf numFmtId="0" fontId="0" fillId="0" borderId="4" pivotButton="0" quotePrefix="0" xfId="0"/>
    <xf numFmtId="0" fontId="0" fillId="0" borderId="5" pivotButton="0" quotePrefix="0" xfId="0"/>
  </cellXfs>
  <cellStyles count="1">
    <cellStyle name="Normal" xfId="0" builtinId="0" hidden="0"/>
  </cellStyles>
  <dxfs count="5">
    <dxf>
      <fill>
        <patternFill patternType="solid">
          <fgColor rgb="00E2EFDA"/>
          <bgColor rgb="00E2EFDA"/>
        </patternFill>
      </fill>
    </dxf>
    <dxf>
      <fill>
        <patternFill patternType="solid">
          <fgColor rgb="00DEEBF7"/>
          <bgColor rgb="00DEEBF7"/>
        </patternFill>
      </fill>
    </dxf>
    <dxf>
      <fill>
        <patternFill patternType="solid">
          <fgColor rgb="00FFF2CC"/>
          <bgColor rgb="00FFF2CC"/>
        </patternFill>
      </fill>
    </dxf>
    <dxf>
      <fill>
        <patternFill patternType="solid">
          <fgColor rgb="00FCE4D6"/>
          <bgColor rgb="00FCE4D6"/>
        </patternFill>
      </fill>
    </dxf>
    <dxf>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3"/>
  <sheetViews>
    <sheetView workbookViewId="0">
      <pane ySplit="3" topLeftCell="A4" activePane="bottomLeft" state="frozen"/>
      <selection pane="bottomLeft" activeCell="A1" sqref="A1"/>
    </sheetView>
  </sheetViews>
  <sheetFormatPr baseColWidth="8" defaultRowHeight="15"/>
  <cols>
    <col width="4" customWidth="1" min="1" max="1"/>
    <col width="24" customWidth="1" min="2" max="2"/>
    <col width="52" customWidth="1" min="3" max="3"/>
    <col width="44" customWidth="1" min="4" max="4"/>
    <col width="30" customWidth="1" min="5" max="5"/>
    <col width="20" customWidth="1" min="6" max="6"/>
  </cols>
  <sheetData>
    <row r="1" ht="26" customHeight="1">
      <c r="A1" s="1" t="inlineStr">
        <is>
          <t>第10期介護保険事業計画策定業務　業務工程管理表</t>
        </is>
      </c>
    </row>
    <row r="2" ht="52" customHeight="1">
      <c r="A2" s="2" t="inlineStr">
        <is>
          <t>業務仕様書「４．業務内容」（1）〜（12）及び「５．業務スケジュール（予定）」に沿って、業務内容別・月別の進捗を管理する。作成日：令和8年8月4日。</t>
        </is>
      </c>
    </row>
    <row r="4" ht="32" customHeight="1">
      <c r="A4" s="3" t="inlineStr">
        <is>
          <t>No.</t>
        </is>
      </c>
      <c r="B4" s="3" t="inlineStr">
        <is>
          <t>シート</t>
        </is>
      </c>
      <c r="C4" s="3" t="inlineStr">
        <is>
          <t>内容</t>
        </is>
      </c>
      <c r="D4" s="3" t="inlineStr">
        <is>
          <t>更新の頻度と担当</t>
        </is>
      </c>
      <c r="E4" s="3" t="inlineStr"/>
      <c r="F4" s="3" t="inlineStr"/>
    </row>
    <row r="5" ht="62" customHeight="1">
      <c r="A5" s="4" t="inlineStr">
        <is>
          <t>1</t>
        </is>
      </c>
      <c r="B5" s="5" t="inlineStr">
        <is>
          <t>01_業務内容別の進捗</t>
        </is>
      </c>
      <c r="C5" s="5" t="inlineStr">
        <is>
          <t>仕様書４（1）〜（12）の12業務について、作業項目・成果物・進捗・未了の理由を管理する。業務内容別の完了状況はここで確認する。</t>
        </is>
      </c>
      <c r="D5" s="5" t="inlineStr">
        <is>
          <t>受託者が随時更新。工程末に発注者が確認</t>
        </is>
      </c>
      <c r="E5" s="5" t="inlineStr"/>
      <c r="F5" s="5" t="inlineStr"/>
    </row>
    <row r="6" ht="62" customHeight="1">
      <c r="A6" s="4" t="inlineStr">
        <is>
          <t>2</t>
        </is>
      </c>
      <c r="B6" s="5" t="inlineStr">
        <is>
          <t>02_月別工程管理</t>
        </is>
      </c>
      <c r="C6" s="5" t="inlineStr">
        <is>
          <t>仕様書５の月別工程（令和8年8月〜令和9年3月）について、各月の業務内容・成果物・提出期日・発注者確認の状況を管理する。仕様書は「各工程終了後、発注者が指定する期日までに成果物を提出し、発注者の確認を受けた上で次工程へ進む」としているため、確認欄を必須とする。</t>
        </is>
      </c>
      <c r="D6" s="5" t="inlineStr">
        <is>
          <t>受託者が月次更新。確認欄は発注者が記入</t>
        </is>
      </c>
      <c r="E6" s="5" t="inlineStr"/>
      <c r="F6" s="5" t="inlineStr"/>
    </row>
    <row r="7" ht="62" customHeight="1">
      <c r="A7" s="4" t="inlineStr">
        <is>
          <t>3</t>
        </is>
      </c>
      <c r="B7" s="5" t="inlineStr">
        <is>
          <t>03_確認事項一覧</t>
        </is>
      </c>
      <c r="C7" s="5" t="inlineStr">
        <is>
          <t>発注者・構成3町・北海道への確認事項を、業務工程と成果物に紐づけて管理する。計画素案の本文には確認事項の注記を書かず、本シートで一元管理する。</t>
        </is>
      </c>
      <c r="D7" s="5" t="inlineStr">
        <is>
          <t>受託者が随時追加。回答欄は発注者が記入</t>
        </is>
      </c>
      <c r="E7" s="5" t="inlineStr"/>
      <c r="F7" s="5" t="inlineStr"/>
    </row>
    <row r="8" ht="62" customHeight="1">
      <c r="A8" s="4" t="inlineStr">
        <is>
          <t>4</t>
        </is>
      </c>
      <c r="B8" s="5" t="inlineStr">
        <is>
          <t>04_成果品管理</t>
        </is>
      </c>
      <c r="C8" s="5" t="inlineStr">
        <is>
          <t>仕様書４（10）の納品物について、形式・部数・提出期日・状態を管理する。</t>
        </is>
      </c>
      <c r="D8" s="5" t="inlineStr">
        <is>
          <t>受託者が随時更新</t>
        </is>
      </c>
      <c r="E8" s="5" t="inlineStr"/>
      <c r="F8" s="5" t="inlineStr"/>
    </row>
    <row r="9" ht="62" customHeight="1">
      <c r="A9" s="4" t="inlineStr">
        <is>
          <t>5</t>
        </is>
      </c>
      <c r="B9" s="5" t="inlineStr">
        <is>
          <t>05_調査別の状況</t>
        </is>
      </c>
      <c r="C9" s="5" t="inlineStr">
        <is>
          <t>仕様書４（3）の対象4調査について、貸与資料の受領・集計・クロス集計・分析の各段階の状況を管理する。</t>
        </is>
      </c>
      <c r="D9" s="5" t="inlineStr">
        <is>
          <t>受託者が随時更新</t>
        </is>
      </c>
      <c r="E9" s="5" t="inlineStr"/>
      <c r="F9" s="5" t="inlineStr"/>
    </row>
    <row r="10" ht="62" customHeight="1">
      <c r="A10" s="4" t="inlineStr">
        <is>
          <t>6</t>
        </is>
      </c>
      <c r="B10" s="5" t="inlineStr">
        <is>
          <t>06_資料提供依頼一覧</t>
        </is>
      </c>
      <c r="C10" s="5" t="inlineStr">
        <is>
          <t>成果物の主張を確定するために提供を要する資料を、領域別・優先度別に管理する。03シートが「決定」を求めるのに対し、本シートは「資料の提供」を求めるものである。</t>
        </is>
      </c>
      <c r="D10" s="5" t="inlineStr">
        <is>
          <t>受託者が随時追加。状態欄は受領時に更新</t>
        </is>
      </c>
      <c r="E10" s="5" t="inlineStr"/>
      <c r="F10" s="5" t="inlineStr"/>
    </row>
    <row r="12" ht="32" customHeight="1">
      <c r="A12" s="3" t="inlineStr">
        <is>
          <t>区分</t>
        </is>
      </c>
      <c r="B12" s="3" t="inlineStr">
        <is>
          <t>意味</t>
        </is>
      </c>
      <c r="C12" s="3" t="inlineStr">
        <is>
          <t>色</t>
        </is>
      </c>
      <c r="D12" s="3" t="inlineStr"/>
      <c r="E12" s="3" t="inlineStr"/>
      <c r="F12" s="3" t="inlineStr"/>
    </row>
    <row r="13" ht="24" customHeight="1">
      <c r="A13" s="6" t="inlineStr">
        <is>
          <t>完了</t>
        </is>
      </c>
      <c r="B13" s="5" t="inlineStr">
        <is>
          <t>当該項目の作業が終わり、成果物を提出済み又は提出可能な状態にある</t>
        </is>
      </c>
      <c r="C13" s="7" t="inlineStr"/>
      <c r="D13" s="5" t="inlineStr"/>
      <c r="E13" s="5" t="inlineStr"/>
      <c r="F13" s="5" t="inlineStr"/>
    </row>
    <row r="14" ht="24" customHeight="1">
      <c r="A14" s="8" t="inlineStr">
        <is>
          <t>実施中</t>
        </is>
      </c>
      <c r="B14" s="5" t="inlineStr">
        <is>
          <t>着手しているが完了していない</t>
        </is>
      </c>
      <c r="C14" s="9" t="inlineStr"/>
      <c r="D14" s="5" t="inlineStr"/>
      <c r="E14" s="5" t="inlineStr"/>
      <c r="F14" s="5" t="inlineStr"/>
    </row>
    <row r="15" ht="24" customHeight="1">
      <c r="A15" s="10" t="inlineStr">
        <is>
          <t>確認待ち</t>
        </is>
      </c>
      <c r="B15" s="5" t="inlineStr">
        <is>
          <t>受託者の作業は終わっており、発注者・3町・北海道からの回答又は資料の提供を待っている</t>
        </is>
      </c>
      <c r="C15" s="11" t="inlineStr"/>
      <c r="D15" s="5" t="inlineStr"/>
      <c r="E15" s="5" t="inlineStr"/>
      <c r="F15" s="5" t="inlineStr"/>
    </row>
    <row r="16" ht="24" customHeight="1">
      <c r="A16" s="12" t="inlineStr">
        <is>
          <t>未着手</t>
        </is>
      </c>
      <c r="B16" s="5" t="inlineStr">
        <is>
          <t>工程上まだ着手していない、又は前提条件が整っていない</t>
        </is>
      </c>
      <c r="C16" s="13" t="inlineStr"/>
      <c r="D16" s="5" t="inlineStr"/>
      <c r="E16" s="5" t="inlineStr"/>
      <c r="F16" s="5" t="inlineStr"/>
    </row>
    <row r="17" ht="24" customHeight="1">
      <c r="A17" s="14" t="inlineStr">
        <is>
          <t>対象外</t>
        </is>
      </c>
      <c r="B17" s="5" t="inlineStr">
        <is>
          <t>本業務の範囲外、又は該当がない</t>
        </is>
      </c>
      <c r="C17" s="15" t="inlineStr"/>
      <c r="D17" s="5" t="inlineStr"/>
      <c r="E17" s="5" t="inlineStr"/>
      <c r="F17" s="5" t="inlineStr"/>
    </row>
    <row r="19" ht="39" customHeight="1">
      <c r="A19" s="16" t="inlineStr">
        <is>
          <t>【本表の位置づけ】計画素案（第11稿）の本文には、確認事項や作業上の留意点を注記として書き込まない方針とする。本文の注記は、計画の読み手（住民・委員・関係機関）が計画を理解するために必要なものに限り、受託者と発注者の間の作業管理に関する事項は本表で管理する。確定していない数値は、本文では［要協議］［要確認］［要内訳］として空欄扱いのまま残し、その解消に必要な作業と確認事項は本表03シートで管理する。</t>
        </is>
      </c>
    </row>
    <row r="21" ht="28" customHeight="1">
      <c r="A21" s="16" t="inlineStr">
        <is>
          <t>【段階承認について】仕様書５は「受託者は各工程終了後、発注者が指定する期日までに成果物を提出し、発注者の確認を受けた上で次工程へ進むものとする」と定めている。02シートの「発注者確認」欄は、この段階承認を記録するためのものである。確認日と確認者を記入いただくことで、次工程への移行が可能となる。</t>
        </is>
      </c>
    </row>
    <row r="23" ht="117" customHeight="1">
      <c r="A23" s="16" t="inlineStr">
        <is>
          <t>【現時点の全体状況（令和8年7月29日）】契約上の業務期間は令和8年8月着手であるが、発注者から第9期計画、3町の高齢者福祉計画、業務仕様書、地域包括ケア「見える化」システムのデータ、令和7年度 健康とくらしの調査の成果物の貸与を受け、（1）制度改正等の整理、（2）第9期計画の評価・検証、（4）現状分析及び地域課題の整理を先行して実施している。成果物として、妥当性検証報告書（24シート）、追加調査報告書（8シート）、図表集（33シート133点）、修正指示書（66件）、計画素案（第11稿）、施策体系新旧対照表（5シート）、確認依頼書を作成済みである。また、健康とくらしの調査の個票データによる調査クロス集計・分析（24シート）、認定率の年齢調整分析（7シート）、保険料と施策評価の他団体比較（9シート）、保険料の所得段階と低所得者軽減の検証（10シート）、第9期評価のレッドチームレビュー（9シート・指摘29件）、主張の根拠水準の棚卸しと再レビュー（8シート・主張54件）、地域差の分析（15シート）、計画素案の別管理表（6シート）、必要事項の一覧（8シート）、人口推計の基礎の検証（9シート）、将来推計 第1段階（8シート）、将来推計 第2段階（8シート）、実施済み3調査の受領点検と集計（16シート）、要介護認定データの確認（7シート）、サービス受給者数データの確認（7シート）を作成した。人口推計の基礎は、社人研推計をそのまま用いることを受託者の案とし、これを作業上の前提として仮に置いて試算している（キックオフ会議でご意向を確認する）。レッドチームレビューの指摘のうち2件（3町の数値目標、認定率の年齢調整）は検証の結果が当初の説明と逆転したため、評価の記述を訂正している。</t>
        </is>
      </c>
    </row>
  </sheetData>
  <mergeCells count="5">
    <mergeCell ref="A2:F2"/>
    <mergeCell ref="A19:F19"/>
    <mergeCell ref="A1:F1"/>
    <mergeCell ref="A23:F23"/>
    <mergeCell ref="A21:F2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0"/>
  <sheetViews>
    <sheetView workbookViewId="0">
      <pane ySplit="4" topLeftCell="A5" activePane="bottomLeft" state="frozen"/>
      <selection pane="bottomLeft" activeCell="A1" sqref="A1"/>
    </sheetView>
  </sheetViews>
  <sheetFormatPr baseColWidth="8" defaultRowHeight="15"/>
  <cols>
    <col width="5" customWidth="1" min="1" max="1"/>
    <col width="20" customWidth="1" min="2" max="2"/>
    <col width="34" customWidth="1" min="3" max="3"/>
    <col width="32" customWidth="1" min="4" max="4"/>
    <col width="26" customWidth="1" min="5" max="5"/>
    <col width="9" customWidth="1" min="6" max="6"/>
    <col width="9" customWidth="1" min="7" max="7"/>
    <col width="12" customWidth="1" min="8" max="8"/>
    <col width="30" customWidth="1" min="9" max="9"/>
    <col width="12" customWidth="1" min="10" max="10"/>
  </cols>
  <sheetData>
    <row r="1" ht="26" customHeight="1">
      <c r="A1" s="1" t="inlineStr">
        <is>
          <t>仕様書４　業務内容別の進捗</t>
        </is>
      </c>
    </row>
    <row r="2" ht="52" customHeight="1">
      <c r="A2" s="2" t="inlineStr">
        <is>
          <t>仕様書「４．業務内容」（1）〜（12）ごとに、作業項目・成果物・進捗を管理する。状態欄はプルダウンから選択すると色が変わる。</t>
        </is>
      </c>
    </row>
    <row r="4" ht="32" customHeight="1">
      <c r="A4" s="3" t="inlineStr">
        <is>
          <t>No.</t>
        </is>
      </c>
      <c r="B4" s="3" t="inlineStr">
        <is>
          <t>業務内容（仕様書）</t>
        </is>
      </c>
      <c r="C4" s="3" t="inlineStr">
        <is>
          <t>仕様書の要求</t>
        </is>
      </c>
      <c r="D4" s="3" t="inlineStr">
        <is>
          <t>作業項目</t>
        </is>
      </c>
      <c r="E4" s="3" t="inlineStr">
        <is>
          <t>成果物</t>
        </is>
      </c>
      <c r="F4" s="3" t="inlineStr">
        <is>
          <t>状態</t>
        </is>
      </c>
      <c r="G4" s="3" t="inlineStr">
        <is>
          <t>進捗</t>
        </is>
      </c>
      <c r="H4" s="3" t="inlineStr">
        <is>
          <t>完了予定</t>
        </is>
      </c>
      <c r="I4" s="3" t="inlineStr">
        <is>
          <t>未了の理由・次の作業</t>
        </is>
      </c>
      <c r="J4" s="3" t="inlineStr">
        <is>
          <t>確認事項No.</t>
        </is>
      </c>
    </row>
    <row r="5" ht="118" customHeight="1">
      <c r="A5" s="4" t="inlineStr">
        <is>
          <t>(1)</t>
        </is>
      </c>
      <c r="B5" s="5" t="inlineStr">
        <is>
          <t>制度改正等の整理</t>
        </is>
      </c>
      <c r="C5" s="5" t="inlineStr">
        <is>
          <t>介護保険制度、高齢者福祉施策その他関連制度について、国及び北海道の制度改正、通知、各種指針等の動向を把握し、第10期計画へ反映すべき事項を整理する。反映すべき制度改正事項及び留意事項について情報提供及び技術的助言を行う。</t>
        </is>
      </c>
      <c r="D5" s="5" t="inlineStr">
        <is>
          <t>①国の基本指針案（第134回・第135回）の確認と反映事項の整理
②特定地域（中山間・人口減少地域）の考え方（第135回資料3）の確認
③北海道第9期計画（全8章）との整合の確認
④介護保険最新情報（Vol.1521・1525）の反映
⑤新別表「確認すべき指標・状況」11事項への対応整理
⑥告示後の最終照合</t>
        </is>
      </c>
      <c r="E5" s="5" t="inlineStr">
        <is>
          <t>妥当性検証報告書 07・17シート
追加調査報告書 01・05シート
素案第10稿 第1章第9節・資料6</t>
        </is>
      </c>
      <c r="F5" s="10" t="inlineStr">
        <is>
          <t>実施中</t>
        </is>
      </c>
      <c r="G5" s="17" t="n">
        <v>0.85</v>
      </c>
      <c r="H5" s="10" t="inlineStr">
        <is>
          <t>R8.10</t>
        </is>
      </c>
      <c r="I5" s="11" t="inlineStr">
        <is>
          <t>基本指針の告示待ち。告示後に最終照合を行う。特別地域加算の対象地域告示の確認が未了（確認No.1）</t>
        </is>
      </c>
      <c r="J5" s="5" t="inlineStr">
        <is>
          <t>1, 2, 22</t>
        </is>
      </c>
    </row>
    <row r="6" ht="118" customHeight="1">
      <c r="A6" s="4" t="inlineStr">
        <is>
          <t>(2)</t>
        </is>
      </c>
      <c r="B6" s="5" t="inlineStr">
        <is>
          <t>第9期計画の評価・検証</t>
        </is>
      </c>
      <c r="C6" s="5" t="inlineStr">
        <is>
          <t>第9期計画について、計画期間における各種施策、介護保険給付実績、地域支援事業、介護予防施策等の実施状況を整理し、成果及び課題を分析するとともに、第10期計画へ反映すべき事項を取りまとめる。</t>
        </is>
      </c>
      <c r="D6" s="5" t="inlineStr">
        <is>
          <t>①代表KPI4項目の3軸評価（目標比・推計比・全国北海道比）
②19施策の構造評価（評価可能性・妥当性）
③保険者機能強化推進交付金等による外部評価の分析
④給付実績の分析（受給率・利用率・サービス別給付動向）
⑤地域支援事業の実績整理
⑥令和6〜8年度の事業実績による達成度の再判定
⑦評価そのもののレッドチームレビュー（指摘29件）
⑧全成果物の主張の棚卸し（54主張・根拠水準5階層）
⑨地域差の分析（自給率・地域差指数・保険料の管内比較）
⑩人口推計の基礎の検証（見える化A系列 2000〜2050年）
⑪将来推計 第1段階（人口と認定者数・3シナリオ）
⑫将来推計 第2段階（サービス見込量・感度分析）
⑬需要3シナリオ（低位・標準・高位）の感度表
⑧レビュー指摘への対応（記述の修正16件・訂正1件）</t>
        </is>
      </c>
      <c r="E6" s="5" t="inlineStr">
        <is>
          <t>妥当性検証報告書 01・02・12・23シート
素案第10稿 第3章
施策体系新旧対照表
第9期評価のレッドチームレビュー（8シート）</t>
        </is>
      </c>
      <c r="F6" s="10" t="inlineStr">
        <is>
          <t>実施中</t>
        </is>
      </c>
      <c r="G6" s="17" t="n">
        <v>0.75</v>
      </c>
      <c r="H6" s="10" t="inlineStr">
        <is>
          <t>R8.9</t>
        </is>
      </c>
      <c r="I6" s="11" t="inlineStr">
        <is>
          <t>レッドチームレビューの指摘29件のうち、記述の修正により対応できる22件への対応を進めた（記述の修正・表現の限定・注記の追加）。うち2件（No.5・No.1）は指摘が的中し、評価の記述を訂正した。No.5は「3町の高齢者福祉計画に数値目標が1件も設定されていない」という所見を「数値目標を設定しているのは東川町のみ」に訂正。No.1は見える化B4・B5・B6系列の受領により年齢調整分析を実施し、従来の説明「軽度は改善・中重度は悪化」が逆であることが判明したため撤回した（認定率の年齢調整分析 7シート）。残る2件（人口推計の検証・保険者の自己評価）は資料の受領を要する。レッドチームレビューの結果、現時点の評価は「計画記載事項の検証」と「外部評価の分析」にとどまり、事業が計画どおり実施されたかというプロセス評価が空白であることを確認したため、進捗を0.80から0.65に改めた。令和6〜8年度の施策・事業実績、事業量、対象実人数、予算・決算が未受領（確認No.5）。受領後に施策単位の達成度を判定する。あわせて年齢階級別認定率（確認No.37）及び交付金評価の最新調査（確認No.38）を要する</t>
        </is>
      </c>
      <c r="J6" s="5" t="inlineStr">
        <is>
          <t>5, 6, 7, 23, 32, 34, 37, 38</t>
        </is>
      </c>
    </row>
    <row r="7" ht="118" customHeight="1">
      <c r="A7" s="4" t="inlineStr">
        <is>
          <t>(3)</t>
        </is>
      </c>
      <c r="B7" s="5" t="inlineStr">
        <is>
          <t>実施済み調査結果の集計・分析</t>
        </is>
      </c>
      <c r="C7" s="5" t="inlineStr">
        <is>
          <t>発注者が実施済みの4調査（在宅生活改善調査、居所変更実態調査、介護人材実態調査、健康とくらしの調査）について、貸与資料を基に集計、クロス集計、分析、課題整理及び第10期計画への反映を行う。単純集計及び必要なクロス集計を行うとともに、見える化システム、介護給付実績及び人口推計等と組み合わせた分析を実施する。</t>
        </is>
      </c>
      <c r="D7" s="5" t="inlineStr">
        <is>
          <t>①健康とくらしの調査（JAGES）の集計・分析
①-2 第9期の課題・第10期の施策に対する妥当性レビューと追加分析
②在宅生活改善調査の集計・分析
③居所変更実態調査の集計・分析
④介護人材実態調査の集計・分析
⑤4調査を横断したクロス集計
⑥見える化データ・給付実績・人口推計と組み合わせた分析</t>
        </is>
      </c>
      <c r="E7" s="5" t="inlineStr">
        <is>
          <t>調査クロス集計・分析（24シート）
図表集 08〜13シート
妥当性検証報告書 11シート
素案第10稿 第2章第4〜6節
実施済み3調査の受領点検と集計（11シート）</t>
        </is>
      </c>
      <c r="F7" s="10" t="inlineStr">
        <is>
          <t>実施中</t>
        </is>
      </c>
      <c r="G7" s="17" t="n">
        <v>0.95</v>
      </c>
      <c r="H7" s="10" t="inlineStr">
        <is>
          <t>R8.9</t>
        </is>
      </c>
      <c r="I7" s="11" t="inlineStr">
        <is>
          <t>健康とくらしの調査は個票データ4,729票によりクロス集計・分析を完了（作業項目①⑥）。第9期の課題20件及び第10期の施策体系に対する妥当性レビューを行い、不足と判定した4領域（介護・介助が必要な層、認知症、施設志向と在宅資源、地域重点度と社会参加の障壁）の分析を追加した（全24シート）。レビューにより、本調査の対象者が一般高齢者及び総合事業対象者であり要支援者・要介護者を含まないことが判明したため、H06・H11の位置づけを代替から補完に改めた（確認No.28）。令和8年8月4日に②③④の第10期分（23の法人・事業者、102ファイル）を受領し、点検と集計を行った（実施済み3調査の受領点検と集計 11シート）。同資料10シートで見える化のK系列・M2系列と突合し、グループホーム・特定施設・住宅型有料・サ高住の介護職員129人が見える化では把握できないことを確認した。令和8年8月5日、4調査を横断したクロス集計は行わず完了とするご意向をいただいた。利用者票の所在地区の記入形式が9種類に分かれ個票を地区に割り付けられないためである。これに代えて、各調査内のクロス集計と公表データによる供給構造の分析により調査相互を接続し、アンケート調査の集計分析報告書（14シート）として取りまとめ、発注者から提示のあった様式に合わせて実施済み調査 結果報告書（Word・8章50表39図）を作成した。点検事項35件のうち重大6件（職員数の二重計上、利用者票の回答の偏り、所在地区の記入形式、老健・通所リハと見える化の乖離、区域内最大の特定施設の未回答）は、計画本文へ反映する数値の確定に必要であり、ヒアリングシート項目13・14でご意向を確認する（確認No.8）。同日に北海道の施設・住まいの名簿5種を受領し、居所変更実態調査及び見える化K系列と突合した（住まいと施設の公表名簿との突合 7シート）。特定施設の区域内定員が58人ではなく156人であること、住宅型有料老人ホームが3施設ではなく9施設・定員223人であること、特別養護老人ホームの定員が160人＋地域密着型62人であることを確認し、将来推計 第2段階06シートを訂正した。同日受領した北海道の介護保険事業所一覧（47区分）により、区域内の指定事業所124件の「通常の事業実施地域」を整理し（確認No.15の解消）、13区分のうち10区分で見える化K系列の事業所数と一致することを確認した。あわせて同規模保険者40及び参加74市町村との比較分析を実施し、仕様書４（4）の類似保険者比較のうち住民の状態・社会参加の領域を充足した（確認No.3）</t>
        </is>
      </c>
      <c r="J7" s="5" t="inlineStr">
        <is>
          <t>3, 4, 8, 9, 10, 27, 28</t>
        </is>
      </c>
    </row>
    <row r="8" ht="118" customHeight="1">
      <c r="A8" s="4" t="inlineStr">
        <is>
          <t>(4)</t>
        </is>
      </c>
      <c r="B8" s="5" t="inlineStr">
        <is>
          <t>現状分析及び地域課題の整理</t>
        </is>
      </c>
      <c r="C8" s="5" t="inlineStr">
        <is>
          <t>人口、高齢者人口、要支援・要介護認定者数、介護給付実績、介護サービス利用状況、地域支援事業の実施状況等について分析し、現状及び地域課題を整理する。必要に応じ全国平均、北海道平均及び類似保険者との比較分析を行うとともに、構成町別及び日常生活圏域等の地域特性を踏まえた分析を実施する。2040年を見据えた提供体制、人材確保、地域包括ケア、給付適正化の課題を整理する。</t>
        </is>
      </c>
      <c r="D8" s="5" t="inlineStr">
        <is>
          <t>①人口・高齢者人口の分析
②認定者数・認定率の分析（年齢調整を含む）
③給付実績・受給率・利用率の分析
④サービス提供体制（事業所数・従事者数）の分析
⑤上川中部圏域内の比較
⑥類似保険者との比較
⑦構成町別の分析
⑧日常生活圏域別の分析
⑨2040年を見据えた課題の整理</t>
        </is>
      </c>
      <c r="E8" s="5" t="inlineStr">
        <is>
          <t>妥当性検証報告書 03〜06・13・14・21・22シート
図表集 01〜31シート
調査クロス集計・分析 01・02・19〜21シート
素案第10稿 第2章
実施済み3調査の受領点検と集計 05・10シート</t>
        </is>
      </c>
      <c r="F8" s="10" t="inlineStr">
        <is>
          <t>実施中</t>
        </is>
      </c>
      <c r="G8" s="17" t="n">
        <v>0.85</v>
      </c>
      <c r="H8" s="10" t="inlineStr">
        <is>
          <t>R8.9</t>
        </is>
      </c>
      <c r="I8" s="11" t="inlineStr">
        <is>
          <t>⑥類似保険者との比較は、健康とくらしの調査の同規模保険者40との比較により住民の状態・社会参加の領域を実施済み。給付・供給面は見える化のδ3系列が提供不可のため比較対象の選定条件の決定を要する（確認No.3）
⑦構成町別の分析は、健康とくらしの調査により3町別の20指標を整理済み。人口・世帯は令和5年までの前回計画掲載値による。令和6〜8年の町別データが未受領（確認No.11）
⑧日常生活圏域別の分析は、健康とくらしの調査の小学校区12地区別集計により着手済み。小学校区と6圏域の対応関係及び圏域別の給付データが未受領（確認No.12）。在宅生活改善調査の利用者票は所在地区の記入形式が統一されておらず、地区別の集計に用いられない（3調査の点検 No.3）
④サービス提供体制は、介護人材実態調査と見える化のK系列・M2系列の突合により従事者数の把握範囲を確定した（3調査の点検 10シート）</t>
        </is>
      </c>
      <c r="J8" s="5" t="inlineStr">
        <is>
          <t>3, 11, 12, 13, 26, 35</t>
        </is>
      </c>
    </row>
    <row r="9" ht="118" customHeight="1">
      <c r="A9" s="4" t="inlineStr">
        <is>
          <t>(5)</t>
        </is>
      </c>
      <c r="B9" s="5" t="inlineStr">
        <is>
          <t>将来推計</t>
        </is>
      </c>
      <c r="C9" s="5" t="inlineStr">
        <is>
          <t>第10期計画期間及び2040年を見据えた人口、高齢者人口、要支援・要介護認定者数、介護サービス利用者数、介護サービス見込量、介護給付費及び第1号被保険者介護保険料について推計を行う。国が示す推計ツール及び見える化システムを活用し、必要に応じ発注者と協議する。</t>
        </is>
      </c>
      <c r="D9" s="5" t="inlineStr">
        <is>
          <t>①実績値の準備（令和6〜8年度の介護保険事業状況報告）
②総人口・被保険者数の入力（社人研推計か保険者独自推計かの決定）
③自然体推計の実行と保存
④認定率・サービス利用率の施策反映
⑤事業所が存在しないサービスの見込量の直接入力
⑥給付費・保険料の算定
⑦需要3シナリオ（低位・標準・高位）の感度表
⑧シナリオ比較（基本・需要上振れ・供給制約・基金活用）</t>
        </is>
      </c>
      <c r="E9" s="5" t="inlineStr">
        <is>
          <t>素案第10稿 第6章
追加調査報告書 06シート
保険料と施策評価の他団体比較（9シート）
推計資料（見える化の総括表）</t>
        </is>
      </c>
      <c r="F9" s="10" t="inlineStr">
        <is>
          <t>実施中</t>
        </is>
      </c>
      <c r="G9" s="17" t="n">
        <v>0.78</v>
      </c>
      <c r="H9" s="10" t="inlineStr">
        <is>
          <t>R8.12</t>
        </is>
      </c>
      <c r="I9" s="11" t="inlineStr">
        <is>
          <t>令和8年8月4日に見える化B3系列（要介護度別認定者数）及びD系列（受給者数・利用率・1人当たり利用日数）を受領し、第2段階の算定チェーン（認定者数×利用率×1人当たり利用日数）が閉じた。同チェーンにより令和7年度の実績を1％未満の差で再現できることを検証した（サービス受給者数データの確認 05シート）。令和8年7月30日に見える化A系列（人口・2000〜2050年）を受領し、人口推計の基礎は社人研推計をそのまま用いることを受託者の案とし、これを仮に置いて第1段階（人口と認定者数）を試算し、将来推計（8シート）として取りまとめた（基礎の採用はキックオフ会議でご意向を確認する。確認No.14）。階級別人口は令和7年度の実績人口に社人研推計の伸び率を乗じて求め、基準年度の認定者数が実績1,984人と一致することを確認した。令和11年度の認定者数は認定率のシナリオにより2,004〜2,112人となる。第2段階（サービス見込量）は、利用率と1人当たり利用日数・回数を令和7年度の値で固定する案を基本とし、趨勢を見込む場合を感度分析として併記する形で試算し、将来推計 第2段階（8シート）として取りまとめた（置き方はヒアリングシート項目6でご意向を確認する）。この基本ケースを標準とする需要3シナリオ（低位・標準・高位）を感度表（8シート）として取りまとめた。令和11年度の幅は在宅＋0.0〜＋13.5％、居住系▲9.9〜＋5.4％、施設▲13.5〜＋5.4％、訪問介護▲3.4〜＋36.0％である。高位でも施設・居住系は区域内定員に収まる。採用値は標準とすることを受託者案とする。残るのは、居住系・施設の種別別受給者数、総合事業の実績、及び第3段階（給付費・保険料）である</t>
        </is>
      </c>
      <c r="J9" s="5" t="inlineStr">
        <is>
          <t>14, 15, 16, 29, 30, 31, 33, 36</t>
        </is>
      </c>
    </row>
    <row r="10" ht="118" customHeight="1">
      <c r="A10" s="4" t="inlineStr">
        <is>
          <t>(6)</t>
        </is>
      </c>
      <c r="B10" s="5" t="inlineStr">
        <is>
          <t>計画書の作成</t>
        </is>
      </c>
      <c r="C10" s="5" t="inlineStr">
        <is>
          <t>分析結果及び推計結果を踏まえ、第10期計画の骨子案、計画素案、計画最終案及び概要版原稿を作成する。国の基本指針、北海道支援計画及び構成町の高齢者保健福祉計画との整合を図るとともに、地域特性を踏まえた内容とする。</t>
        </is>
      </c>
      <c r="D10" s="5" t="inlineStr">
        <is>
          <t>①骨子案の作成
②計画素案の作成
③計画最終案の作成
④概要版原稿の作成
⑤3町計画との整合の確認</t>
        </is>
      </c>
      <c r="E10" s="5" t="inlineStr">
        <is>
          <t>骨子案（11節22表）
素案第11稿（620段落108表34図）
修正指示書（66件）</t>
        </is>
      </c>
      <c r="F10" s="10" t="inlineStr">
        <is>
          <t>実施中</t>
        </is>
      </c>
      <c r="G10" s="17" t="n">
        <v>0.66</v>
      </c>
      <c r="H10" s="10" t="inlineStr">
        <is>
          <t>R9.2</t>
        </is>
      </c>
      <c r="I10" s="11" t="inlineStr">
        <is>
          <t>骨子案を作成した（令和8年8月）。素案は第11稿まで作成済み。第6章の推計値が未確定のため素案は暫定。概要版は未着手。3町の第10期計画に共通指標を掲載する合意が未了（確認No.17）</t>
        </is>
      </c>
      <c r="J10" s="5" t="inlineStr">
        <is>
          <t>17, 18, 24, 25</t>
        </is>
      </c>
    </row>
    <row r="11" ht="118" customHeight="1">
      <c r="A11" s="4" t="inlineStr">
        <is>
          <t>(7)</t>
        </is>
      </c>
      <c r="B11" s="5" t="inlineStr">
        <is>
          <t>計画策定支援</t>
        </is>
      </c>
      <c r="C11" s="5" t="inlineStr">
        <is>
          <t>構成町との協議、計画内容の調整及び計画案の修正等、計画策定に必要な支援を行う。発注者からの指示に基づき、各種分析結果及び推計結果を反映した計画原稿の修正、図表の更新その他計画策定に必要な技術的支援を行う。</t>
        </is>
      </c>
      <c r="D11" s="5" t="inlineStr">
        <is>
          <t>①修正指示書の作成と管理
②図表の作成・更新
③3町との協議資料の作成
④計画原稿の修正</t>
        </is>
      </c>
      <c r="E11" s="5" t="inlineStr">
        <is>
          <t>修正指示書（66件）
図表集（33シート133点）
確認依頼書</t>
        </is>
      </c>
      <c r="F11" s="10" t="inlineStr">
        <is>
          <t>実施中</t>
        </is>
      </c>
      <c r="G11" s="17" t="n">
        <v>0.6</v>
      </c>
      <c r="H11" s="10" t="inlineStr">
        <is>
          <t>R9.3</t>
        </is>
      </c>
      <c r="I11" s="11" t="inlineStr">
        <is>
          <t>修正指示66件のうち反映済み57件、照会・資料待ち4件、別成果物で対応5件。3町との協議は令和8年10月以降</t>
        </is>
      </c>
      <c r="J11" s="5" t="inlineStr">
        <is>
          <t>―</t>
        </is>
      </c>
    </row>
    <row r="12" ht="118" customHeight="1">
      <c r="A12" s="4" t="inlineStr">
        <is>
          <t>(8)</t>
        </is>
      </c>
      <c r="B12" s="5" t="inlineStr">
        <is>
          <t>各種会議への技術的支援</t>
        </is>
      </c>
      <c r="C12" s="5" t="inlineStr">
        <is>
          <t>介護保険運営協議会、構成町との協議その他計画策定に必要な会議において、発注者から求めがあった場合は、分析結果、推計内容その他必要な事項について技術的助言を行う。会議に使用する資料原案、図表、グラフ、分析資料及び説明用データの作成支援を行う。</t>
        </is>
      </c>
      <c r="D12" s="5" t="inlineStr">
        <is>
          <t>①第1回介護保険事業計画策定委員会の資料原案作成
②第2回以降の委員会資料の作成
③3町との協議資料の作成
④説明用データの作成</t>
        </is>
      </c>
      <c r="E12" s="5" t="inlineStr">
        <is>
          <t>委員会資料原案（未作成）</t>
        </is>
      </c>
      <c r="F12" s="10" t="inlineStr">
        <is>
          <t>未着手</t>
        </is>
      </c>
      <c r="G12" s="17" t="n">
        <v>0.1</v>
      </c>
      <c r="H12" s="10" t="inlineStr">
        <is>
          <t>R8.9</t>
        </is>
      </c>
      <c r="I12" s="11" t="inlineStr">
        <is>
          <t>委員会の開催日程、審議事項、資料提出期限が未確定（確認No.19）。図表集と妥当性検証報告書が資料の素材となる</t>
        </is>
      </c>
      <c r="J12" s="5" t="inlineStr">
        <is>
          <t>19, 20</t>
        </is>
      </c>
    </row>
    <row r="13" ht="118" customHeight="1">
      <c r="A13" s="4" t="inlineStr">
        <is>
          <t>(9)</t>
        </is>
      </c>
      <c r="B13" s="5" t="inlineStr">
        <is>
          <t>パブリックコメント支援</t>
        </is>
      </c>
      <c r="C13" s="5" t="inlineStr">
        <is>
          <t>パブリックコメントの実施に当たり、計画素案の修正案の作成、提出意見の分類及び整理、意見に対する考え方の原案作成並びに計画への反映に関する技術的助言を行う。</t>
        </is>
      </c>
      <c r="D13" s="5" t="inlineStr">
        <is>
          <t>①パブリックコメント用の素案の整備
②提出意見の分類・整理
③意見に対する考え方の原案作成
④計画への反映</t>
        </is>
      </c>
      <c r="E13" s="5" t="inlineStr">
        <is>
          <t>パブリックコメント資料（未作成）</t>
        </is>
      </c>
      <c r="F13" s="10" t="inlineStr">
        <is>
          <t>未着手</t>
        </is>
      </c>
      <c r="G13" s="17" t="n">
        <v>0</v>
      </c>
      <c r="H13" s="10" t="inlineStr">
        <is>
          <t>R9.1</t>
        </is>
      </c>
      <c r="I13" s="11" t="inlineStr">
        <is>
          <t>実施期間が未確定（確認No.19）。令和9年1月の工程</t>
        </is>
      </c>
      <c r="J13" s="5" t="inlineStr">
        <is>
          <t>19</t>
        </is>
      </c>
    </row>
    <row r="14" ht="118" customHeight="1">
      <c r="A14" s="4" t="inlineStr">
        <is>
          <t>(10)</t>
        </is>
      </c>
      <c r="B14" s="5" t="inlineStr">
        <is>
          <t>成果品の作成</t>
        </is>
      </c>
      <c r="C14" s="5" t="inlineStr">
        <is>
          <t>成果品を納品する。編集可能な電子データ（Word、Excel等）及びPDF形式により提出し、図表、グラフ及び統計資料についても加工可能な形式で納品する。計画骨子案、計画素案、計画最終案その他必要と認める資料は指定期日までに提出する。</t>
        </is>
      </c>
      <c r="D14" s="5" t="inlineStr">
        <is>
          <t>①計画書の印刷・製本（A4判 表紙レザック 本文1色 100頁程度）200部
②計画書及び概要版の電子データ
③分析資料・推計資料・図表・グラフ・クロス集計表の電子データ
④打合せ資料・会議資料原案</t>
        </is>
      </c>
      <c r="E14" s="5" t="inlineStr">
        <is>
          <t>04シートを参照</t>
        </is>
      </c>
      <c r="F14" s="10" t="inlineStr">
        <is>
          <t>実施中</t>
        </is>
      </c>
      <c r="G14" s="17" t="n">
        <v>0.35</v>
      </c>
      <c r="H14" s="10" t="inlineStr">
        <is>
          <t>R9.3</t>
        </is>
      </c>
      <c r="I14" s="11" t="inlineStr">
        <is>
          <t>電子データは作成中。印刷・製本は令和9年3月。本文100頁程度に対する章別のページ配分が未確定（確認No.21）</t>
        </is>
      </c>
      <c r="J14" s="5" t="inlineStr">
        <is>
          <t>21</t>
        </is>
      </c>
    </row>
    <row r="15" ht="118" customHeight="1">
      <c r="A15" s="4" t="inlineStr">
        <is>
          <t>(11)</t>
        </is>
      </c>
      <c r="B15" s="5" t="inlineStr">
        <is>
          <t>成果品の帰属</t>
        </is>
      </c>
      <c r="C15" s="5" t="inlineStr">
        <is>
          <t>本業務により作成した成果品の著作権（著作権法第27条及び第28条に規定する権利を含む。）は、成果品の引渡しをもって発注者に帰属する。ただし、受託者が従前から保有する技術、ノウハウ等についてはこの限りでない。</t>
        </is>
      </c>
      <c r="D15" s="5" t="inlineStr">
        <is>
          <t>①引渡し時の権利帰属の確認</t>
        </is>
      </c>
      <c r="E15" s="5" t="inlineStr">
        <is>
          <t>―</t>
        </is>
      </c>
      <c r="F15" s="10" t="inlineStr">
        <is>
          <t>対象外</t>
        </is>
      </c>
      <c r="G15" s="17" t="n"/>
      <c r="H15" s="10" t="inlineStr">
        <is>
          <t>R9.3</t>
        </is>
      </c>
      <c r="I15" s="11" t="inlineStr">
        <is>
          <t>契約条項であり、成果品の引渡し時に確認する</t>
        </is>
      </c>
      <c r="J15" s="5" t="inlineStr">
        <is>
          <t>―</t>
        </is>
      </c>
    </row>
    <row r="16" ht="118" customHeight="1">
      <c r="A16" s="4" t="inlineStr">
        <is>
          <t>(12)</t>
        </is>
      </c>
      <c r="B16" s="5" t="inlineStr">
        <is>
          <t>その他</t>
        </is>
      </c>
      <c r="C16" s="5" t="inlineStr">
        <is>
          <t>仕様書に定めのない事項又は疑義が生じた場合は、発注者及び受託者が協議の上決定する。</t>
        </is>
      </c>
      <c r="D16" s="5" t="inlineStr">
        <is>
          <t>①疑義事項の整理と協議
②仕様書の対象外となる作業の取扱いの決定</t>
        </is>
      </c>
      <c r="E16" s="5" t="inlineStr">
        <is>
          <t>確認依頼書
03シート</t>
        </is>
      </c>
      <c r="F16" s="10" t="inlineStr">
        <is>
          <t>実施中</t>
        </is>
      </c>
      <c r="G16" s="17" t="n"/>
      <c r="H16" s="10" t="inlineStr">
        <is>
          <t>随時</t>
        </is>
      </c>
      <c r="I16" s="11" t="inlineStr">
        <is>
          <t>事業所実態調査は実施済みだが、受領した回答に受入困難・BCP等の設問がなく、H12・H16の基準値を算定できない。在宅介護実態調査（H07・H08）は実施されていない。代理指標への振替の決定を要する（確認No.4）</t>
        </is>
      </c>
      <c r="J16" s="5" t="inlineStr">
        <is>
          <t>4</t>
        </is>
      </c>
    </row>
    <row r="18" ht="22" customHeight="1">
      <c r="A18" s="5" t="inlineStr"/>
      <c r="B18" s="18" t="inlineStr">
        <is>
          <t>全体進捗（加重平均を除く単純平均）</t>
        </is>
      </c>
      <c r="C18" s="5" t="inlineStr"/>
      <c r="D18" s="5" t="inlineStr"/>
      <c r="E18" s="5" t="inlineStr"/>
      <c r="F18" s="5" t="inlineStr"/>
      <c r="G18" s="19">
        <f>ROUND(AVERAGE(G5:G16),2)</f>
        <v/>
      </c>
      <c r="H18" s="5" t="inlineStr"/>
      <c r="I18" s="5" t="inlineStr"/>
      <c r="J18" s="5" t="inlineStr"/>
    </row>
    <row r="20" ht="28" customHeight="1">
      <c r="A20" s="16" t="inlineStr">
        <is>
          <t>注1）進捗は、当該業務の作業項目のうち完了したものの割合を受託者が見積もったものである。注2）（1）（2）（4）は契約上の着手時期（令和8年8月）より前に、貸与資料の範囲で先行して実施している。注3）（11）成果品の帰属は契約条項であり、作業工程としては「対象外」としている。注4）「確認事項No.」は03シートの番号に対応する。確認事項が解消されない限り当該業務は完了しない。</t>
        </is>
      </c>
    </row>
  </sheetData>
  <mergeCells count="3">
    <mergeCell ref="A1:J1"/>
    <mergeCell ref="A20:J20"/>
    <mergeCell ref="A2:J2"/>
  </mergeCells>
  <conditionalFormatting sqref="F5:F16">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F5:F16" showDropDown="0" showInputMessage="0" showErrorMessage="0" allowBlank="1" type="list">
      <formula1>"完了,実施中,確認待ち,未着手,対象外"</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1"/>
  <sheetViews>
    <sheetView workbookViewId="0">
      <pane ySplit="4" topLeftCell="A5" activePane="bottomLeft" state="frozen"/>
      <selection pane="bottomLeft" activeCell="A1" sqref="A1"/>
    </sheetView>
  </sheetViews>
  <sheetFormatPr baseColWidth="8" defaultRowHeight="15"/>
  <cols>
    <col width="11" customWidth="1" min="1" max="1"/>
    <col width="40" customWidth="1" min="2" max="2"/>
    <col width="12" customWidth="1" min="3" max="3"/>
    <col width="30" customWidth="1" min="4" max="4"/>
    <col width="26" customWidth="1" min="5" max="5"/>
    <col width="9" customWidth="1" min="6" max="6"/>
    <col width="12" customWidth="1" min="7" max="7"/>
    <col width="12" customWidth="1" min="8" max="8"/>
    <col width="14" customWidth="1" min="9" max="9"/>
    <col width="26" customWidth="1" min="10" max="10"/>
  </cols>
  <sheetData>
    <row r="1" ht="26" customHeight="1">
      <c r="A1" s="1" t="inlineStr">
        <is>
          <t>仕様書５　業務スケジュール（予定）に沿った月別工程管理</t>
        </is>
      </c>
    </row>
    <row r="2" ht="52" customHeight="1">
      <c r="A2" s="2" t="inlineStr">
        <is>
          <t>仕様書５の月別工程について、業務内容・成果物・提出期日・発注者確認を管理する。仕様書は「受託者は各工程終了後、発注者が指定する期日までに成果物を提出し、発注者の確認を受けた上で次工程へ進むものとする」と定めているため、各月の末尾に発注者確認の欄を設けている。</t>
        </is>
      </c>
    </row>
    <row r="4" ht="32" customHeight="1">
      <c r="A4" s="3" t="inlineStr">
        <is>
          <t>年月</t>
        </is>
      </c>
      <c r="B4" s="3" t="inlineStr">
        <is>
          <t>業務内容（仕様書５のとおり）</t>
        </is>
      </c>
      <c r="C4" s="3" t="inlineStr">
        <is>
          <t>対応する業務内容</t>
        </is>
      </c>
      <c r="D4" s="3" t="inlineStr">
        <is>
          <t>工程末に提出する成果物</t>
        </is>
      </c>
      <c r="E4" s="3" t="inlineStr">
        <is>
          <t>現時点の状況</t>
        </is>
      </c>
      <c r="F4" s="3" t="inlineStr">
        <is>
          <t>状態</t>
        </is>
      </c>
      <c r="G4" s="3" t="inlineStr">
        <is>
          <t>提出期日</t>
        </is>
      </c>
      <c r="H4" s="3" t="inlineStr">
        <is>
          <t>提出日</t>
        </is>
      </c>
      <c r="I4" s="3" t="inlineStr">
        <is>
          <t>発注者確認（日・確認者）</t>
        </is>
      </c>
      <c r="J4" s="3" t="inlineStr">
        <is>
          <t>備考・次工程への条件</t>
        </is>
      </c>
    </row>
    <row r="5" ht="94" customHeight="1">
      <c r="A5" s="4" t="inlineStr">
        <is>
          <t>令和8年8月</t>
        </is>
      </c>
      <c r="B5" s="5" t="inlineStr">
        <is>
          <t>業務着手、キックオフ会議、第9期計画の評価・検証開始、各種資料整理</t>
        </is>
      </c>
      <c r="C5" s="4" t="inlineStr">
        <is>
          <t>(1)(2)(12)</t>
        </is>
      </c>
      <c r="D5" s="5" t="inlineStr">
        <is>
          <t>・キックオフ会議資料
・貸与資料の受領一覧
・第9期計画の評価・検証の中間報告</t>
        </is>
      </c>
      <c r="E5" s="5" t="inlineStr">
        <is>
          <t>貸与資料の受領と整理は先行実施済み。第9期計画の評価・検証は妥当性検証報告書（24シート）として先行して取りまとめ済み。令和8年8月4日に3調査の第10期分102ファイルを受領し、点検・集計・見える化との突合を完了した。キックオフ会議資料は第4稿。キックオフ会議の日程が未確定</t>
        </is>
      </c>
      <c r="F5" s="8" t="inlineStr">
        <is>
          <t>実施中</t>
        </is>
      </c>
      <c r="G5" s="10" t="inlineStr"/>
      <c r="H5" s="10" t="inlineStr"/>
      <c r="I5" s="11" t="inlineStr"/>
      <c r="J5" s="5" t="inlineStr">
        <is>
          <t>キックオフ会議で、①代表KPI4項目の代理指標、②人口推計の基礎及び認定率のシナリオ、③3調査の点検事項の重大6件の取扱い、④委員会日程についてご意向を確認する</t>
        </is>
      </c>
    </row>
    <row r="6" ht="94" customHeight="1">
      <c r="A6" s="4" t="inlineStr">
        <is>
          <t>令和8年9月</t>
        </is>
      </c>
      <c r="B6" s="5" t="inlineStr">
        <is>
          <t>実施済み調査（在宅生活改善調査、居所変更実態調査、介護人材実態調査及びJAGES調査）の集計・分析、介護給付実績分析、人口推計、現状分析</t>
        </is>
      </c>
      <c r="C6" s="4" t="inlineStr">
        <is>
          <t>(3)(4)(5)</t>
        </is>
      </c>
      <c r="D6" s="5" t="inlineStr">
        <is>
          <t>・4調査の集計・クロス集計表
・介護給付実績分析資料
・人口推計の基礎資料
・現状分析資料</t>
        </is>
      </c>
      <c r="E6" s="5" t="inlineStr">
        <is>
          <t>4調査すべての集計・クロス集計・分析を完了し、アンケート調査の集計分析報告書（14シート）として取りまとめ、発注者から提示のあった様式に合わせて実施済み調査 結果報告書（Word・8章50表39図）を作成した。4調査横断のクロス集計は発注者のご意向により行わない。介護給付実績分析・現状分析は見える化データにより先行実施済み（妥当性検証報告書・図表集）。人口推計は実績確定後</t>
        </is>
      </c>
      <c r="F6" s="8" t="inlineStr">
        <is>
          <t>実施中</t>
        </is>
      </c>
      <c r="G6" s="10" t="inlineStr"/>
      <c r="H6" s="10" t="inlineStr"/>
      <c r="I6" s="11" t="inlineStr"/>
      <c r="J6" s="5" t="inlineStr">
        <is>
          <t>計画本文への反映は点検事項の重大6件の取扱いによる。仕様書は9月に人口推計・現状分析を求めているが、令和6〜8年度の実績確定時期の確認を要する</t>
        </is>
      </c>
    </row>
    <row r="7" ht="94" customHeight="1">
      <c r="A7" s="4" t="inlineStr">
        <is>
          <t>令和8年10月</t>
        </is>
      </c>
      <c r="B7" s="5" t="inlineStr">
        <is>
          <t>地域課題整理、将来推計、第10期計画骨子案作成、構成町との協議・調整</t>
        </is>
      </c>
      <c r="C7" s="4" t="inlineStr">
        <is>
          <t>(4)(5)(6)(7)</t>
        </is>
      </c>
      <c r="D7" s="5" t="inlineStr">
        <is>
          <t>・地域課題整理資料
・将来推計結果（自然体・施策反映）
・第10期計画骨子案
・3町協議資料</t>
        </is>
      </c>
      <c r="E7" s="5" t="inlineStr">
        <is>
          <t>地域課題の整理は先行実施済み（妥当性検証報告書 主要所見20件）。骨子案を作成した（第10期介護保険事業計画_骨子案.docx・11節22表）。将来推計は第1段階（人口と認定者数）・第2段階（サービス見込量）を先行して試算済み。第3段階（給付費・保険料）が未着手</t>
        </is>
      </c>
      <c r="F7" s="8" t="inlineStr">
        <is>
          <t>実施中</t>
        </is>
      </c>
      <c r="G7" s="10" t="inlineStr"/>
      <c r="H7" s="10" t="inlineStr"/>
      <c r="I7" s="11" t="inlineStr"/>
      <c r="J7" s="5" t="inlineStr">
        <is>
          <t>骨子案 第10節の決定・確認を要する事項12件についてご意向を確認する</t>
        </is>
      </c>
    </row>
    <row r="8" ht="94" customHeight="1">
      <c r="A8" s="4" t="inlineStr">
        <is>
          <t>令和8年11月</t>
        </is>
      </c>
      <c r="B8" s="5" t="inlineStr">
        <is>
          <t>構成町意見反映、第10期計画骨子の整理</t>
        </is>
      </c>
      <c r="C8" s="4" t="inlineStr">
        <is>
          <t>(6)(7)</t>
        </is>
      </c>
      <c r="D8" s="5" t="inlineStr">
        <is>
          <t>・3町意見の整理表
・意見反映後の骨子</t>
        </is>
      </c>
      <c r="E8" s="5" t="inlineStr">
        <is>
          <t>3町との協議が前提。3町の第10期高齢者福祉計画の検討状況が未確認</t>
        </is>
      </c>
      <c r="F8" s="12" t="inlineStr">
        <is>
          <t>未着手</t>
        </is>
      </c>
      <c r="G8" s="10" t="inlineStr"/>
      <c r="H8" s="10" t="inlineStr"/>
      <c r="I8" s="11" t="inlineStr"/>
      <c r="J8" s="5" t="inlineStr">
        <is>
          <t>3町の計画策定の工程と担当課の確認が前提</t>
        </is>
      </c>
    </row>
    <row r="9" ht="94" customHeight="1">
      <c r="A9" s="4" t="inlineStr">
        <is>
          <t>令和8年12月</t>
        </is>
      </c>
      <c r="B9" s="5" t="inlineStr">
        <is>
          <t>第10期計画素案作成、介護サービス見込量及び介護保険料推計、令和9年度予算作成支援</t>
        </is>
      </c>
      <c r="C9" s="4" t="inlineStr">
        <is>
          <t>(5)(6)(7)</t>
        </is>
      </c>
      <c r="D9" s="5" t="inlineStr">
        <is>
          <t>・第10期計画素案（確定版）
・サービス見込量推計表
・保険料算定表
・予算資料</t>
        </is>
      </c>
      <c r="E9" s="5" t="inlineStr">
        <is>
          <t>素案は第11稿まで作成済み（暫定）。見込量・保険料は将来推計の完了後に確定する</t>
        </is>
      </c>
      <c r="F9" s="12" t="inlineStr">
        <is>
          <t>未着手</t>
        </is>
      </c>
      <c r="G9" s="10" t="inlineStr"/>
      <c r="H9" s="10" t="inlineStr"/>
      <c r="I9" s="11" t="inlineStr"/>
      <c r="J9" s="5" t="inlineStr">
        <is>
          <t>基金残高・収納率実績・所得段階別被保険者数の受領が前提</t>
        </is>
      </c>
    </row>
    <row r="10" ht="94" customHeight="1">
      <c r="A10" s="4" t="inlineStr">
        <is>
          <t>令和9年1月</t>
        </is>
      </c>
      <c r="B10" s="5" t="inlineStr">
        <is>
          <t>パブリックコメント支援、意見整理、計画案修正</t>
        </is>
      </c>
      <c r="C10" s="4" t="inlineStr">
        <is>
          <t>(9)(7)</t>
        </is>
      </c>
      <c r="D10" s="5" t="inlineStr">
        <is>
          <t>・パブリックコメント用素案
・意見の分類整理表
・意見に対する考え方（原案）</t>
        </is>
      </c>
      <c r="E10" s="5" t="inlineStr">
        <is>
          <t>未着手</t>
        </is>
      </c>
      <c r="F10" s="12" t="inlineStr">
        <is>
          <t>未着手</t>
        </is>
      </c>
      <c r="G10" s="10" t="inlineStr"/>
      <c r="H10" s="10" t="inlineStr"/>
      <c r="I10" s="11" t="inlineStr"/>
      <c r="J10" s="5" t="inlineStr">
        <is>
          <t>パブリックコメントの実施期間の確認を要する</t>
        </is>
      </c>
    </row>
    <row r="11" ht="94" customHeight="1">
      <c r="A11" s="4" t="inlineStr">
        <is>
          <t>令和9年2月</t>
        </is>
      </c>
      <c r="B11" s="5" t="inlineStr">
        <is>
          <t>第10期計画最終案作成、運営協議会等への資料原案作成支援</t>
        </is>
      </c>
      <c r="C11" s="4" t="inlineStr">
        <is>
          <t>(6)(8)</t>
        </is>
      </c>
      <c r="D11" s="5" t="inlineStr">
        <is>
          <t>・第10期計画最終案
・運営協議会資料原案</t>
        </is>
      </c>
      <c r="E11" s="5" t="inlineStr">
        <is>
          <t>未着手</t>
        </is>
      </c>
      <c r="F11" s="12" t="inlineStr">
        <is>
          <t>未着手</t>
        </is>
      </c>
      <c r="G11" s="10" t="inlineStr"/>
      <c r="H11" s="10" t="inlineStr"/>
      <c r="I11" s="11" t="inlineStr"/>
      <c r="J11" s="5" t="inlineStr">
        <is>
          <t>―</t>
        </is>
      </c>
    </row>
    <row r="12" ht="94" customHeight="1">
      <c r="A12" s="4" t="inlineStr">
        <is>
          <t>令和9年3月</t>
        </is>
      </c>
      <c r="B12" s="5" t="inlineStr">
        <is>
          <t>第10期計画書・概要版完成、成果品納品</t>
        </is>
      </c>
      <c r="C12" s="4" t="inlineStr">
        <is>
          <t>(6)(10)</t>
        </is>
      </c>
      <c r="D12" s="5" t="inlineStr">
        <is>
          <t>・計画書（印刷200部）
・計画書及び概要版の電子データ
・分析資料等の電子データ
・打合せ資料等</t>
        </is>
      </c>
      <c r="E12" s="5" t="inlineStr">
        <is>
          <t>未着手</t>
        </is>
      </c>
      <c r="F12" s="12" t="inlineStr">
        <is>
          <t>未着手</t>
        </is>
      </c>
      <c r="G12" s="10" t="inlineStr"/>
      <c r="H12" s="10" t="inlineStr"/>
      <c r="I12" s="11" t="inlineStr"/>
      <c r="J12" s="5" t="inlineStr">
        <is>
          <t>契約期間は令和9年3月26日まで。印刷・製本の所要日数を踏まえた入稿期限の確認を要する</t>
        </is>
      </c>
    </row>
    <row r="14" ht="32" customHeight="1">
      <c r="A14" s="3" t="inlineStr">
        <is>
          <t>区分</t>
        </is>
      </c>
      <c r="B14" s="3" t="inlineStr">
        <is>
          <t>件数</t>
        </is>
      </c>
      <c r="C14" s="3" t="inlineStr"/>
      <c r="D14" s="3" t="inlineStr"/>
      <c r="E14" s="3" t="inlineStr"/>
      <c r="F14" s="3" t="inlineStr"/>
      <c r="G14" s="3" t="inlineStr"/>
      <c r="H14" s="3" t="inlineStr"/>
      <c r="I14" s="3" t="inlineStr"/>
      <c r="J14" s="3" t="inlineStr"/>
    </row>
    <row r="15" ht="20" customHeight="1">
      <c r="A15" s="6" t="inlineStr">
        <is>
          <t>完了</t>
        </is>
      </c>
      <c r="B15" s="4">
        <f>COUNTIF(F5:F12,"完了")</f>
        <v/>
      </c>
      <c r="C15" s="5" t="inlineStr"/>
      <c r="D15" s="5" t="inlineStr"/>
      <c r="E15" s="5" t="inlineStr"/>
      <c r="F15" s="5" t="inlineStr"/>
      <c r="G15" s="5" t="inlineStr"/>
      <c r="H15" s="5" t="inlineStr"/>
      <c r="I15" s="5" t="inlineStr"/>
      <c r="J15" s="5" t="inlineStr"/>
    </row>
    <row r="16" ht="20" customHeight="1">
      <c r="A16" s="8" t="inlineStr">
        <is>
          <t>実施中</t>
        </is>
      </c>
      <c r="B16" s="4">
        <f>COUNTIF(F5:F12,"実施中")</f>
        <v/>
      </c>
      <c r="C16" s="5" t="inlineStr"/>
      <c r="D16" s="5" t="inlineStr"/>
      <c r="E16" s="5" t="inlineStr"/>
      <c r="F16" s="5" t="inlineStr"/>
      <c r="G16" s="5" t="inlineStr"/>
      <c r="H16" s="5" t="inlineStr"/>
      <c r="I16" s="5" t="inlineStr"/>
      <c r="J16" s="5" t="inlineStr"/>
    </row>
    <row r="17" ht="20" customHeight="1">
      <c r="A17" s="10" t="inlineStr">
        <is>
          <t>確認待ち</t>
        </is>
      </c>
      <c r="B17" s="4">
        <f>COUNTIF(F5:F12,"確認待ち")</f>
        <v/>
      </c>
      <c r="C17" s="5" t="inlineStr"/>
      <c r="D17" s="5" t="inlineStr"/>
      <c r="E17" s="5" t="inlineStr"/>
      <c r="F17" s="5" t="inlineStr"/>
      <c r="G17" s="5" t="inlineStr"/>
      <c r="H17" s="5" t="inlineStr"/>
      <c r="I17" s="5" t="inlineStr"/>
      <c r="J17" s="5" t="inlineStr"/>
    </row>
    <row r="18" ht="20" customHeight="1">
      <c r="A18" s="12" t="inlineStr">
        <is>
          <t>未着手</t>
        </is>
      </c>
      <c r="B18" s="4">
        <f>COUNTIF(F5:F12,"未着手")</f>
        <v/>
      </c>
      <c r="C18" s="5" t="inlineStr"/>
      <c r="D18" s="5" t="inlineStr"/>
      <c r="E18" s="5" t="inlineStr"/>
      <c r="F18" s="5" t="inlineStr"/>
      <c r="G18" s="5" t="inlineStr"/>
      <c r="H18" s="5" t="inlineStr"/>
      <c r="I18" s="5" t="inlineStr"/>
      <c r="J18" s="5" t="inlineStr"/>
    </row>
    <row r="19" ht="20" customHeight="1">
      <c r="A19" s="14" t="inlineStr">
        <is>
          <t>対象外</t>
        </is>
      </c>
      <c r="B19" s="4">
        <f>COUNTIF(F5:F12,"対象外")</f>
        <v/>
      </c>
      <c r="C19" s="5" t="inlineStr"/>
      <c r="D19" s="5" t="inlineStr"/>
      <c r="E19" s="5" t="inlineStr"/>
      <c r="F19" s="5" t="inlineStr"/>
      <c r="G19" s="5" t="inlineStr"/>
      <c r="H19" s="5" t="inlineStr"/>
      <c r="I19" s="5" t="inlineStr"/>
      <c r="J19" s="5" t="inlineStr"/>
    </row>
    <row r="21" ht="39" customHeight="1">
      <c r="A21" s="16" t="inlineStr">
        <is>
          <t>注1）「対応する業務内容」は仕様書４（1）〜（12）の番号。01シートと対応する。注2）「提出期日」は発注者が指定する期日を記入する欄。仕様書５は各工程終了後の成果物提出と発注者確認を次工程の条件としているため、期日を月ごとに定めていただく必要がある。注3）令和8年7月29日時点で、（1）制度改正等の整理、（2）第9期計画の評価・検証、（4）現状分析及び地域課題の整理、（6）計画書の作成の一部を先行実施している。先行実施分は8月・9月・10月の工程に前倒しで反映される。注4）仕様書は9月に人口推計・現状分析を求めているが、令和6〜8年度の給付実績・事業実績の確定時期によっては後ろ倒しとなる可能性がある。キックオフ会議で工程の調整を協議したい。</t>
        </is>
      </c>
    </row>
  </sheetData>
  <mergeCells count="3">
    <mergeCell ref="A1:J1"/>
    <mergeCell ref="A21:J21"/>
    <mergeCell ref="A2:J2"/>
  </mergeCells>
  <conditionalFormatting sqref="F5:F12">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F5:F12" showDropDown="0" showInputMessage="0" showErrorMessage="0" allowBlank="1" type="list">
      <formula1>"完了,実施中,確認待ち,未着手,対象外"</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58"/>
  <sheetViews>
    <sheetView workbookViewId="0">
      <pane ySplit="4" topLeftCell="A5" activePane="bottomLeft" state="frozen"/>
      <selection pane="bottomLeft" activeCell="A1" sqref="A1"/>
    </sheetView>
  </sheetViews>
  <sheetFormatPr baseColWidth="8" defaultRowHeight="15"/>
  <cols>
    <col width="5" customWidth="1" min="1" max="1"/>
    <col width="9" customWidth="1" min="2" max="2"/>
    <col width="11" customWidth="1" min="3" max="3"/>
    <col width="30" customWidth="1" min="4" max="4"/>
    <col width="40" customWidth="1" min="5" max="5"/>
    <col width="26" customWidth="1" min="6" max="6"/>
    <col width="26" customWidth="1" min="7" max="7"/>
    <col width="9" customWidth="1" min="8" max="8"/>
    <col width="11" customWidth="1" min="9" max="9"/>
    <col width="26" customWidth="1" min="10" max="10"/>
  </cols>
  <sheetData>
    <row r="1" ht="26" customHeight="1">
      <c r="A1" s="1" t="inlineStr">
        <is>
          <t>確認事項一覧（業務工程・成果物との紐づけ）</t>
        </is>
      </c>
    </row>
    <row r="2" ht="52" customHeight="1">
      <c r="A2" s="2" t="inlineStr">
        <is>
          <t>発注者・構成3町・北海道への確認事項を、業務工程と成果物に紐づけて管理する。計画素案の本文には確認事項の注記を書かず、本シートで一元管理する。「止めている成果物」は、当該確認事項が解消されないと確定できない成果物を示す。</t>
        </is>
      </c>
    </row>
    <row r="4" ht="32" customHeight="1">
      <c r="A4" s="3" t="inlineStr">
        <is>
          <t>No.</t>
        </is>
      </c>
      <c r="B4" s="3" t="inlineStr">
        <is>
          <t>業務内容</t>
        </is>
      </c>
      <c r="C4" s="3" t="inlineStr">
        <is>
          <t>工程（月）</t>
        </is>
      </c>
      <c r="D4" s="3" t="inlineStr">
        <is>
          <t>確認事項</t>
        </is>
      </c>
      <c r="E4" s="3" t="inlineStr">
        <is>
          <t>確認をお願いする内容</t>
        </is>
      </c>
      <c r="F4" s="3" t="inlineStr">
        <is>
          <t>止めている成果物</t>
        </is>
      </c>
      <c r="G4" s="3" t="inlineStr">
        <is>
          <t>確認先</t>
        </is>
      </c>
      <c r="H4" s="3" t="inlineStr">
        <is>
          <t>状態</t>
        </is>
      </c>
      <c r="I4" s="3" t="inlineStr">
        <is>
          <t>回答期限</t>
        </is>
      </c>
      <c r="J4" s="3" t="inlineStr">
        <is>
          <t>回答・対応</t>
        </is>
      </c>
    </row>
    <row r="5" ht="88" customHeight="1">
      <c r="A5" s="4" t="n">
        <v>1</v>
      </c>
      <c r="B5" s="4" t="inlineStr">
        <is>
          <t>(1)</t>
        </is>
      </c>
      <c r="C5" s="4" t="inlineStr">
        <is>
          <t>R8.8</t>
        </is>
      </c>
      <c r="D5" s="5" t="inlineStr">
        <is>
          <t>特別地域加算の対象地域告示</t>
        </is>
      </c>
      <c r="E5" s="5" t="inlineStr">
        <is>
          <t>厚生労働大臣が定める特別地域（特別地域加算の対象地域）の告示に、東川町・美瑛町が掲載されているかどうか。第10期から創設される特定地域（中山間・人口減少地域）の基準①に直結し、該当すれば人員基準の緩和や特定地域居宅サービス等事業が使える。</t>
        </is>
      </c>
      <c r="F5" s="5" t="inlineStr">
        <is>
          <t>素案 第1章第9節
追加調査報告書 01シート</t>
        </is>
      </c>
      <c r="G5" s="5" t="inlineStr">
        <is>
          <t>北海道</t>
        </is>
      </c>
      <c r="H5" s="10" t="inlineStr">
        <is>
          <t>確認待ち</t>
        </is>
      </c>
      <c r="I5" s="10" t="inlineStr">
        <is>
          <t>R8.9</t>
        </is>
      </c>
      <c r="J5" s="11" t="inlineStr"/>
    </row>
    <row r="6" ht="88" customHeight="1">
      <c r="A6" s="4" t="n">
        <v>2</v>
      </c>
      <c r="B6" s="4" t="inlineStr">
        <is>
          <t>(1)</t>
        </is>
      </c>
      <c r="C6" s="4" t="inlineStr">
        <is>
          <t>R8.9</t>
        </is>
      </c>
      <c r="D6" s="5" t="inlineStr">
        <is>
          <t>特定地域の指定に係る意向表明の手続</t>
        </is>
      </c>
      <c r="E6" s="5" t="inlineStr">
        <is>
          <t>特定地域の指定は「市町村が指定の要否を検討し、その意向を踏まえて都道府県が対象地域を定める」とされている。当広域連合が意向を示す時期と手続、及び制度の適用単位が市町村か保険者かの確認。</t>
        </is>
      </c>
      <c r="F6" s="5" t="inlineStr">
        <is>
          <t>素案 第1章第9節・第6章第4節</t>
        </is>
      </c>
      <c r="G6" s="5" t="inlineStr">
        <is>
          <t>北海道</t>
        </is>
      </c>
      <c r="H6" s="10" t="inlineStr">
        <is>
          <t>確認待ち</t>
        </is>
      </c>
      <c r="I6" s="10" t="inlineStr">
        <is>
          <t>R8.10</t>
        </is>
      </c>
      <c r="J6" s="11" t="inlineStr"/>
    </row>
    <row r="7" ht="88" customHeight="1">
      <c r="A7" s="4" t="n">
        <v>3</v>
      </c>
      <c r="B7" s="4" t="inlineStr">
        <is>
          <t>(4)</t>
        </is>
      </c>
      <c r="C7" s="4" t="inlineStr">
        <is>
          <t>R8.9</t>
        </is>
      </c>
      <c r="D7" s="5" t="inlineStr">
        <is>
          <t>類似保険者との比較分析の対象</t>
        </is>
      </c>
      <c r="E7" s="5" t="inlineStr">
        <is>
          <t>仕様書４（4）は「必要に応じ全国平均、北海道平均及び類似保険者との比較分析を行う」としているが、見える化のδ3系列（地域比較）は当広域連合のデータ登録がなく出力できない。健康とくらしの調査の同規模保険者40（人口5万未満・集計数82,106票）との比較により、住民の心身の状態と社会参加の領域は比較分析を実施済み（調査クロス集計・分析19〜21シート）。残るのは給付・供給面の類似保険者比較であり、比較対象の保険者と選定条件（人口規模、高齢化率、施設整備状況、財政力等）の決定を要する。</t>
        </is>
      </c>
      <c r="F7" s="5" t="inlineStr">
        <is>
          <t>素案 第2章第2節
分析資料</t>
        </is>
      </c>
      <c r="G7" s="5" t="inlineStr">
        <is>
          <t>発注者</t>
        </is>
      </c>
      <c r="H7" s="10" t="inlineStr">
        <is>
          <t>確認待ち</t>
        </is>
      </c>
      <c r="I7" s="10" t="inlineStr">
        <is>
          <t>R8.9</t>
        </is>
      </c>
      <c r="J7" s="11" t="inlineStr"/>
    </row>
    <row r="8" ht="88" customHeight="1">
      <c r="A8" s="4" t="n">
        <v>4</v>
      </c>
      <c r="B8" s="4" t="inlineStr">
        <is>
          <t>(12)</t>
        </is>
      </c>
      <c r="C8" s="4" t="inlineStr">
        <is>
          <t>R8.8</t>
        </is>
      </c>
      <c r="D8" s="5" t="inlineStr">
        <is>
          <t>代表KPI H07・H08・H12・H16の代理指標</t>
        </is>
      </c>
      <c r="E8" s="5" t="inlineStr">
        <is>
          <t>令和8年8月6日のご連絡により、事業所実態調査は実施済みで、現時点で提出されている調査結果はすべて受領しているとの確認を得た。受領した事業所票27件の項目は介護職員数、常勤・非常勤、外国人、派遣、採用・離職であり、欠員、受入困難、休廃止・縮小意向、ICT、生産性、BCPは含まれていない。このためH12・H16は基準値を算定できない。在宅介護実態調査（H07・H08）は実施されていない。調査クロス集計・分析の結果、H07（主介護者）・H08（支援者の不在）は健康とくらしの調査の大雪独自設問により算定できることが判明したが、指標の定義変更を伴う。①代理指標へ振り替える、②指標から外す、③2問に絞って事業所へ照会する、のいずれかの決定を要する。</t>
        </is>
      </c>
      <c r="F8" s="5" t="inlineStr">
        <is>
          <t>素案 第4章第3節・資料1
全16KPIの4項目</t>
        </is>
      </c>
      <c r="G8" s="5" t="inlineStr">
        <is>
          <t>発注者</t>
        </is>
      </c>
      <c r="H8" s="10" t="inlineStr">
        <is>
          <t>確認待ち</t>
        </is>
      </c>
      <c r="I8" s="10" t="inlineStr">
        <is>
          <t>R8.8</t>
        </is>
      </c>
      <c r="J8" s="11" t="inlineStr"/>
    </row>
    <row r="9" ht="88" customHeight="1">
      <c r="A9" s="4" t="n">
        <v>5</v>
      </c>
      <c r="B9" s="4" t="inlineStr">
        <is>
          <t>(2)</t>
        </is>
      </c>
      <c r="C9" s="4" t="inlineStr">
        <is>
          <t>R8.8</t>
        </is>
      </c>
      <c r="D9" s="5" t="inlineStr">
        <is>
          <t>第9期の施策・事業実績</t>
        </is>
      </c>
      <c r="E9" s="5" t="inlineStr">
        <is>
          <t>第9期計画（令和6〜8年度）の施策・事業実績、事業量、対象実人数、予算・決算。19施策の達成度を判定するために必要。記入様式を別冊「資料提供依頼_第9期の施策事業実績」として作成した（5区分14項目・7シート）。既存資料の写しでも足りる。</t>
        </is>
      </c>
      <c r="F9" s="5" t="inlineStr">
        <is>
          <t>素案 第3章第2節・第3節・第5節
妥当性検証報告書 12シート</t>
        </is>
      </c>
      <c r="G9" s="5" t="inlineStr">
        <is>
          <t>発注者</t>
        </is>
      </c>
      <c r="H9" s="10" t="inlineStr">
        <is>
          <t>確認待ち</t>
        </is>
      </c>
      <c r="I9" s="10" t="inlineStr">
        <is>
          <t>R8.8</t>
        </is>
      </c>
      <c r="J9" s="11" t="inlineStr"/>
    </row>
    <row r="10" ht="88" customHeight="1">
      <c r="A10" s="4" t="n">
        <v>6</v>
      </c>
      <c r="B10" s="4" t="inlineStr">
        <is>
          <t>(2)</t>
        </is>
      </c>
      <c r="C10" s="4" t="inlineStr">
        <is>
          <t>R8.8</t>
        </is>
      </c>
      <c r="D10" s="5" t="inlineStr">
        <is>
          <t>交付金の評価調書</t>
        </is>
      </c>
      <c r="E10" s="5" t="inlineStr">
        <is>
          <t>保険者機能強化推進交付金等の評価調書（令和4〜6年度分）。0点となっている10項目について、取組自体がないのか、取組はあるが要件を満たさないのかの判別に必要。特に推進Ⅰ「評価結果を関係者間で共有し取組を検討」と「今年度の評価得点」。</t>
        </is>
      </c>
      <c r="F10" s="5" t="inlineStr">
        <is>
          <t>素案 第3章第4節
追加調査報告書 02シート</t>
        </is>
      </c>
      <c r="G10" s="5" t="inlineStr">
        <is>
          <t>発注者</t>
        </is>
      </c>
      <c r="H10" s="10" t="inlineStr">
        <is>
          <t>確認待ち</t>
        </is>
      </c>
      <c r="I10" s="10" t="inlineStr">
        <is>
          <t>R8.9</t>
        </is>
      </c>
      <c r="J10" s="11" t="inlineStr"/>
    </row>
    <row r="11" ht="88" customHeight="1">
      <c r="A11" s="4" t="n">
        <v>7</v>
      </c>
      <c r="B11" s="4" t="inlineStr">
        <is>
          <t>(2)</t>
        </is>
      </c>
      <c r="C11" s="4" t="inlineStr">
        <is>
          <t>R8.8</t>
        </is>
      </c>
      <c r="D11" s="5" t="inlineStr">
        <is>
          <t>第9期の自己評価と北海道への報告の実績</t>
        </is>
      </c>
      <c r="E11" s="5" t="inlineStr">
        <is>
          <t>第9期計画の代表KPIについて令和6・7年度に実績を算定した資料の有無、運営協議会への報告の有無と議事録、及び介護保険法第117条に基づく北海道への報告の実績。</t>
        </is>
      </c>
      <c r="F11" s="5" t="inlineStr">
        <is>
          <t>素案 第1章第6節・第3章第4節</t>
        </is>
      </c>
      <c r="G11" s="5" t="inlineStr">
        <is>
          <t>発注者</t>
        </is>
      </c>
      <c r="H11" s="10" t="inlineStr">
        <is>
          <t>確認待ち</t>
        </is>
      </c>
      <c r="I11" s="10" t="inlineStr">
        <is>
          <t>R8.9</t>
        </is>
      </c>
      <c r="J11" s="11" t="inlineStr"/>
    </row>
    <row r="12" ht="88" customHeight="1">
      <c r="A12" s="4" t="n">
        <v>8</v>
      </c>
      <c r="B12" s="4" t="inlineStr">
        <is>
          <t>(3)</t>
        </is>
      </c>
      <c r="C12" s="4" t="inlineStr">
        <is>
          <t>R8.8</t>
        </is>
      </c>
      <c r="D12" s="5" t="inlineStr">
        <is>
          <t>3調査の点検事項の取扱い</t>
        </is>
      </c>
      <c r="E12" s="5" t="inlineStr">
        <is>
          <t>令和8年8月4日に第10期分102ファイルを受領し点検・集計した。重大6件（同一法人による職員数の二重計上、利用者票の回答の偏り、所在地区の記入形式、老健・通所リハと見える化の乖離、区域内最大の特定施設の未回答、区域内の施設数と未回答数）の取扱いと、事業所への照会の要否・方法の確認を要する。</t>
        </is>
      </c>
      <c r="F12" s="5" t="inlineStr">
        <is>
          <t>素案 第2章第5・6節
H06・H11・H13・H14の基準値</t>
        </is>
      </c>
      <c r="G12" s="5" t="inlineStr">
        <is>
          <t>発注者</t>
        </is>
      </c>
      <c r="H12" s="10" t="inlineStr">
        <is>
          <t>確認待ち</t>
        </is>
      </c>
      <c r="I12" s="10" t="inlineStr">
        <is>
          <t>R8.8</t>
        </is>
      </c>
      <c r="J12" s="11" t="inlineStr"/>
    </row>
    <row r="13" ht="88" customHeight="1">
      <c r="A13" s="4" t="n">
        <v>9</v>
      </c>
      <c r="B13" s="4" t="inlineStr">
        <is>
          <t>(3)</t>
        </is>
      </c>
      <c r="C13" s="4" t="inlineStr">
        <is>
          <t>R8.9</t>
        </is>
      </c>
      <c r="D13" s="5" t="inlineStr">
        <is>
          <t>調査の対象者範囲と回収率</t>
        </is>
      </c>
      <c r="E13" s="5" t="inlineStr">
        <is>
          <t>4調査の対象者の範囲（要介護度、年齢、居所等）、配布数、回収数、回収率。標本規模に応じた分析の深度（クロス集計の可否）の判断に必要。</t>
        </is>
      </c>
      <c r="F13" s="5" t="inlineStr">
        <is>
          <t>素案 第2章第4〜6節
クロス集計表</t>
        </is>
      </c>
      <c r="G13" s="5" t="inlineStr">
        <is>
          <t>発注者</t>
        </is>
      </c>
      <c r="H13" s="10" t="inlineStr">
        <is>
          <t>確認待ち</t>
        </is>
      </c>
      <c r="I13" s="10" t="inlineStr">
        <is>
          <t>R8.9</t>
        </is>
      </c>
      <c r="J13" s="11" t="inlineStr"/>
    </row>
    <row r="14" ht="88" customHeight="1">
      <c r="A14" s="4" t="n">
        <v>10</v>
      </c>
      <c r="B14" s="4" t="inlineStr">
        <is>
          <t>(3)</t>
        </is>
      </c>
      <c r="C14" s="4" t="inlineStr">
        <is>
          <t>R8.9</t>
        </is>
      </c>
      <c r="D14" s="5" t="inlineStr">
        <is>
          <t>介護人材実態調査の採用者数・退職者数</t>
        </is>
      </c>
      <c r="E14" s="5" t="inlineStr">
        <is>
          <t>北海道の評価指標⑥と同じ「採用率と離職率の差」を算定するため、各年9月30日現在の在籍者数と、年間の採用者数・退職者数。H14の基準値となる。</t>
        </is>
      </c>
      <c r="F14" s="5" t="inlineStr">
        <is>
          <t>素案 第4章第3節
H14の基準値</t>
        </is>
      </c>
      <c r="G14" s="5" t="inlineStr">
        <is>
          <t>発注者</t>
        </is>
      </c>
      <c r="H14" s="10" t="inlineStr">
        <is>
          <t>確認待ち</t>
        </is>
      </c>
      <c r="I14" s="10" t="inlineStr">
        <is>
          <t>R8.9</t>
        </is>
      </c>
      <c r="J14" s="11" t="inlineStr"/>
    </row>
    <row r="15" ht="88" customHeight="1">
      <c r="A15" s="4" t="n">
        <v>11</v>
      </c>
      <c r="B15" s="4" t="inlineStr">
        <is>
          <t>(4)</t>
        </is>
      </c>
      <c r="C15" s="4" t="inlineStr">
        <is>
          <t>R8.9</t>
        </is>
      </c>
      <c r="D15" s="5" t="inlineStr">
        <is>
          <t>町別の人口・世帯データ</t>
        </is>
      </c>
      <c r="E15" s="5" t="inlineStr">
        <is>
          <t>①住民基本台帳による町別・年齢4区分別人口（0〜39歳／40〜64歳／65〜74歳／75歳以上）令和6〜8年 各年10月1日現在、②町別高齢化率 令和6〜8年、③令和7年国勢調査による町別の高齢者を含む世帯（公表され次第）。あわせて、見える化の地域分析で市区町村を選択して人口系列（A1〜A4）を出力できるかの確認。</t>
        </is>
      </c>
      <c r="F15" s="5" t="inlineStr">
        <is>
          <t>素案 第2章第1節
図1・図2・図3</t>
        </is>
      </c>
      <c r="G15" s="5" t="inlineStr">
        <is>
          <t>発注者・3町</t>
        </is>
      </c>
      <c r="H15" s="10" t="inlineStr">
        <is>
          <t>確認待ち</t>
        </is>
      </c>
      <c r="I15" s="10" t="inlineStr">
        <is>
          <t>R8.9</t>
        </is>
      </c>
      <c r="J15" s="11" t="inlineStr"/>
    </row>
    <row r="16" ht="88" customHeight="1">
      <c r="A16" s="4" t="n">
        <v>12</v>
      </c>
      <c r="B16" s="4" t="inlineStr">
        <is>
          <t>(4)</t>
        </is>
      </c>
      <c r="C16" s="4" t="inlineStr">
        <is>
          <t>R8.9</t>
        </is>
      </c>
      <c r="D16" s="5" t="inlineStr">
        <is>
          <t>日常生活圏域別のデータ</t>
        </is>
      </c>
      <c r="E16" s="5" t="inlineStr">
        <is>
          <t>①美瑛町4地区を含む6圏域別の面積・人口・高齢者人口・認定者数・受給者数・給付費（令和8年10月1日現在）。仕様書４（4）が求める圏域別の地域特性分析に必要。②健康とくらしの調査の分析地域1（小学校区12地区）と6圏域の対応関係。美馬牛小学校区は美馬牛地区に対応すると考えられるが、美瑛・美沢・明徳・美瑛東の各小学校区と旭・北西地区、朗根内地区、市街地・周辺地区との対応が確定しない。対応が確定すれば、見える化のデータを待たずに圏域別分析ができる。</t>
        </is>
      </c>
      <c r="F16" s="5" t="inlineStr">
        <is>
          <t>素案 第1章第7節・第2章
圏域別分析資料
調査クロス集計・分析 01・18シート</t>
        </is>
      </c>
      <c r="G16" s="5" t="inlineStr">
        <is>
          <t>発注者・3町</t>
        </is>
      </c>
      <c r="H16" s="10" t="inlineStr">
        <is>
          <t>確認待ち</t>
        </is>
      </c>
      <c r="I16" s="10" t="inlineStr">
        <is>
          <t>R8.9</t>
        </is>
      </c>
      <c r="J16" s="11" t="inlineStr"/>
    </row>
    <row r="17" ht="88" customHeight="1">
      <c r="A17" s="4" t="n">
        <v>13</v>
      </c>
      <c r="B17" s="4" t="inlineStr">
        <is>
          <t>(4)</t>
        </is>
      </c>
      <c r="C17" s="4" t="inlineStr">
        <is>
          <t>R8.9</t>
        </is>
      </c>
      <c r="D17" s="5" t="inlineStr">
        <is>
          <t>訪問・通所困難地域の判定資料</t>
        </is>
      </c>
      <c r="E17" s="5" t="inlineStr">
        <is>
          <t>①区域内で訪問系・通所系サービスを提供する全事業所の運営規程における「通常の事業の実施地域」【令和8年8月4日に北海道の介護保険事業所一覧により解消。124件を整理した】、②中山間地域等居住者サービス提供加算・特別地域加算の算定事業所と件数、③3町の除雪計画における優先路線と冬期の通行支障の実績。残るのは②③である。</t>
        </is>
      </c>
      <c r="F17" s="5" t="inlineStr">
        <is>
          <t>素案 第1章第7節
追加調査報告書 03シート
住まいと施設の公表名簿との突合 08シート</t>
        </is>
      </c>
      <c r="G17" s="5" t="inlineStr">
        <is>
          <t>発注者・3町</t>
        </is>
      </c>
      <c r="H17" s="8" t="inlineStr">
        <is>
          <t>実施中</t>
        </is>
      </c>
      <c r="I17" s="10" t="inlineStr">
        <is>
          <t>R8.10</t>
        </is>
      </c>
      <c r="J17" s="11" t="inlineStr"/>
    </row>
    <row r="18" ht="88" customHeight="1">
      <c r="A18" s="4" t="n">
        <v>14</v>
      </c>
      <c r="B18" s="4" t="inlineStr">
        <is>
          <t>(5)</t>
        </is>
      </c>
      <c r="C18" s="4" t="inlineStr">
        <is>
          <t>R8.10</t>
        </is>
      </c>
      <c r="D18" s="5" t="inlineStr">
        <is>
          <t>人口推計の基礎とする系列</t>
        </is>
      </c>
      <c r="E18" s="5" t="inlineStr">
        <is>
          <t>総人口・第1号被保険者数について、①国立社会保障・人口問題研究所推計（見える化の初期値）をそのまま用いるか、②3町の総合計画等による推計人口に差し替えるかの決定。②の場合は5歳階級別・男女別の推計値が必要。東川町は25年以上人口増を続けており、社人研推計との乖離が大きい。</t>
        </is>
      </c>
      <c r="F18" s="5" t="inlineStr">
        <is>
          <t>素案 第6章第1節
将来推計</t>
        </is>
      </c>
      <c r="G18" s="5" t="inlineStr">
        <is>
          <t>発注者・3町</t>
        </is>
      </c>
      <c r="H18" s="10" t="inlineStr">
        <is>
          <t>確認待ち</t>
        </is>
      </c>
      <c r="I18" s="10" t="inlineStr">
        <is>
          <t>R8.10</t>
        </is>
      </c>
      <c r="J18" s="11" t="inlineStr"/>
    </row>
    <row r="19" ht="88" customHeight="1">
      <c r="A19" s="4" t="n">
        <v>15</v>
      </c>
      <c r="B19" s="4" t="inlineStr">
        <is>
          <t>(5)</t>
        </is>
      </c>
      <c r="C19" s="4" t="inlineStr">
        <is>
          <t>R8.10</t>
        </is>
      </c>
      <c r="D19" s="5" t="inlineStr">
        <is>
          <t>認定者数の基準月と月次推移</t>
        </is>
      </c>
      <c r="E19" s="5" t="inlineStr">
        <is>
          <t>令和3〜8年度の各月の認定者数。推計ガイドは9月末を目安としつつ「年度内平均値に近い月を選択する」としているため、当広域連合の月次推移を確認して基準月を選定する。</t>
        </is>
      </c>
      <c r="F19" s="5" t="inlineStr">
        <is>
          <t>素案 第6章第1節
将来推計</t>
        </is>
      </c>
      <c r="G19" s="5" t="inlineStr">
        <is>
          <t>発注者</t>
        </is>
      </c>
      <c r="H19" s="10" t="inlineStr">
        <is>
          <t>確認待ち</t>
        </is>
      </c>
      <c r="I19" s="10" t="inlineStr">
        <is>
          <t>R8.10</t>
        </is>
      </c>
      <c r="J19" s="11" t="inlineStr"/>
    </row>
    <row r="20" ht="88" customHeight="1">
      <c r="A20" s="4" t="n">
        <v>16</v>
      </c>
      <c r="B20" s="4" t="inlineStr">
        <is>
          <t>(5)</t>
        </is>
      </c>
      <c r="C20" s="4" t="inlineStr">
        <is>
          <t>R8.11</t>
        </is>
      </c>
      <c r="D20" s="5" t="inlineStr">
        <is>
          <t>保険料算定の前提</t>
        </is>
      </c>
      <c r="E20" s="5" t="inlineStr">
        <is>
          <t>①介護給付費準備基金の残高推移と取崩実績（第7期〜第9期）、②保険料収納率の実績（第7期〜第9期）、③所得段階別被保険者数、④地域支援事業費の区分別内訳（総合事業・包括的支援事業・任意事業）。</t>
        </is>
      </c>
      <c r="F20" s="5" t="inlineStr">
        <is>
          <t>素案 第6章第3節・第6節
保険料算定表</t>
        </is>
      </c>
      <c r="G20" s="5" t="inlineStr">
        <is>
          <t>発注者</t>
        </is>
      </c>
      <c r="H20" s="10" t="inlineStr">
        <is>
          <t>確認待ち</t>
        </is>
      </c>
      <c r="I20" s="10" t="inlineStr">
        <is>
          <t>R8.11</t>
        </is>
      </c>
      <c r="J20" s="11" t="inlineStr"/>
    </row>
    <row r="21" ht="88" customHeight="1">
      <c r="A21" s="4" t="n">
        <v>17</v>
      </c>
      <c r="B21" s="4" t="inlineStr">
        <is>
          <t>(6)</t>
        </is>
      </c>
      <c r="C21" s="4" t="inlineStr">
        <is>
          <t>R8.10</t>
        </is>
      </c>
      <c r="D21" s="5" t="inlineStr">
        <is>
          <t>3町計画への共通指標の掲載</t>
        </is>
      </c>
      <c r="E21" s="5" t="inlineStr">
        <is>
          <t>第9期は3町の高齢者福祉計画に数値目標が1件も設定されておらず、広域連合の代表KPIの検証への参画を明記していたのは東川町のみであった。第10期では3町の計画に共通指標を掲載していただく合意が、資料2の実効性の前提となる。あわせて3町の第10期計画の検討資料、策定工程、担当課の確認。</t>
        </is>
      </c>
      <c r="F21" s="5" t="inlineStr">
        <is>
          <t>素案 資料2
3町協議資料</t>
        </is>
      </c>
      <c r="G21" s="5" t="inlineStr">
        <is>
          <t>発注者・3町</t>
        </is>
      </c>
      <c r="H21" s="10" t="inlineStr">
        <is>
          <t>確認待ち</t>
        </is>
      </c>
      <c r="I21" s="10" t="inlineStr">
        <is>
          <t>R8.10</t>
        </is>
      </c>
      <c r="J21" s="11" t="inlineStr"/>
    </row>
    <row r="22" ht="88" customHeight="1">
      <c r="A22" s="4" t="n">
        <v>18</v>
      </c>
      <c r="B22" s="4" t="inlineStr">
        <is>
          <t>(6)</t>
        </is>
      </c>
      <c r="C22" s="4" t="inlineStr">
        <is>
          <t>R8.10</t>
        </is>
      </c>
      <c r="D22" s="5" t="inlineStr">
        <is>
          <t>骨子案の内容の確認</t>
        </is>
      </c>
      <c r="E22" s="5" t="inlineStr">
        <is>
          <t>令和8年8月に骨子案を作成した（11節22表）。第10節に決定・確認を要する事項12件を整理している。章立て、基本理念、5つの基本目標、代表KPI16項目の枠組み及び算定の枠組みについて、ご意向を確認する。</t>
        </is>
      </c>
      <c r="F22" s="5" t="inlineStr">
        <is>
          <t>骨子案
素案の次稿</t>
        </is>
      </c>
      <c r="G22" s="5" t="inlineStr">
        <is>
          <t>発注者</t>
        </is>
      </c>
      <c r="H22" s="10" t="inlineStr">
        <is>
          <t>確認待ち</t>
        </is>
      </c>
      <c r="I22" s="10" t="inlineStr">
        <is>
          <t>R8.9</t>
        </is>
      </c>
      <c r="J22" s="11" t="inlineStr"/>
    </row>
    <row r="23" ht="88" customHeight="1">
      <c r="A23" s="4" t="n">
        <v>19</v>
      </c>
      <c r="B23" s="4" t="inlineStr">
        <is>
          <t>(8)(9)</t>
        </is>
      </c>
      <c r="C23" s="4" t="inlineStr">
        <is>
          <t>R8.8</t>
        </is>
      </c>
      <c r="D23" s="5" t="inlineStr">
        <is>
          <t>会議日程とパブリックコメントの期間</t>
        </is>
      </c>
      <c r="E23" s="5" t="inlineStr">
        <is>
          <t>①介護保険事業計画策定委員会（運営協議会）の開催日程、審議事項、資料提出期限、②パブリックコメントの実施期間、③町別値・少数値の公表基準。工程の確定と資料作成の逆算に必要。</t>
        </is>
      </c>
      <c r="F23" s="5" t="inlineStr">
        <is>
          <t>委員会資料原案
パブリックコメント資料</t>
        </is>
      </c>
      <c r="G23" s="5" t="inlineStr">
        <is>
          <t>発注者</t>
        </is>
      </c>
      <c r="H23" s="10" t="inlineStr">
        <is>
          <t>確認待ち</t>
        </is>
      </c>
      <c r="I23" s="10" t="inlineStr">
        <is>
          <t>R8.8</t>
        </is>
      </c>
      <c r="J23" s="11" t="inlineStr"/>
    </row>
    <row r="24" ht="88" customHeight="1">
      <c r="A24" s="4" t="n">
        <v>20</v>
      </c>
      <c r="B24" s="4" t="inlineStr">
        <is>
          <t>(8)</t>
        </is>
      </c>
      <c r="C24" s="4" t="inlineStr">
        <is>
          <t>R8.9</t>
        </is>
      </c>
      <c r="D24" s="5" t="inlineStr">
        <is>
          <t>北海道・圏域との調整の場</t>
        </is>
      </c>
      <c r="E24" s="5" t="inlineStr">
        <is>
          <t>上川中部高齢者保健福祉圏域に関する北海道の調整方針、圏域連絡協議会の資料、及び圏域単位の協議の場の設置予定。24時間対応サービスの確保方策（第6章第4節）の検討に必要。</t>
        </is>
      </c>
      <c r="F24" s="5" t="inlineStr">
        <is>
          <t>素案 第6章第4節</t>
        </is>
      </c>
      <c r="G24" s="5" t="inlineStr">
        <is>
          <t>発注者・北海道</t>
        </is>
      </c>
      <c r="H24" s="10" t="inlineStr">
        <is>
          <t>確認待ち</t>
        </is>
      </c>
      <c r="I24" s="10" t="inlineStr">
        <is>
          <t>R8.10</t>
        </is>
      </c>
      <c r="J24" s="11" t="inlineStr"/>
    </row>
    <row r="25" ht="88" customHeight="1">
      <c r="A25" s="4" t="n">
        <v>21</v>
      </c>
      <c r="B25" s="4" t="inlineStr">
        <is>
          <t>(10)</t>
        </is>
      </c>
      <c r="C25" s="4" t="inlineStr">
        <is>
          <t>R8.10</t>
        </is>
      </c>
      <c r="D25" s="5" t="inlineStr">
        <is>
          <t>成果品の仕様</t>
        </is>
      </c>
      <c r="E25" s="5" t="inlineStr">
        <is>
          <t>①本文100頁程度に対する章別のページ配分、②図表の本文掲載点数の上限、③概要版の頁数と体裁、④印刷・製本の入稿期限。図表集は33シート133点あり、本文に何点まで掲載するかの決定を要する。</t>
        </is>
      </c>
      <c r="F25" s="5" t="inlineStr">
        <is>
          <t>計画書（印刷200部）
概要版</t>
        </is>
      </c>
      <c r="G25" s="5" t="inlineStr">
        <is>
          <t>発注者</t>
        </is>
      </c>
      <c r="H25" s="10" t="inlineStr">
        <is>
          <t>確認待ち</t>
        </is>
      </c>
      <c r="I25" s="10" t="inlineStr">
        <is>
          <t>R8.10</t>
        </is>
      </c>
      <c r="J25" s="11" t="inlineStr"/>
    </row>
    <row r="26" ht="88" customHeight="1">
      <c r="A26" s="4" t="n">
        <v>22</v>
      </c>
      <c r="B26" s="4" t="inlineStr">
        <is>
          <t>(1)</t>
        </is>
      </c>
      <c r="C26" s="4" t="inlineStr">
        <is>
          <t>R8.9</t>
        </is>
      </c>
      <c r="D26" s="5" t="inlineStr">
        <is>
          <t>北海道の評価指標の読替えの考え方</t>
        </is>
      </c>
      <c r="E26" s="5" t="inlineStr">
        <is>
          <t>北海道の評価指標には「市町村数」を単位とするものが多く、1保険者である当広域連合にはそのまま適用できない。北海道が管内の広域連合（道内24広域連合）に対して読替えの考え方を示しているかどうか。示されていない場合は、①日常生活圏域数、②実数・率、③3町のうち実施している町数のいずれに置き換えるかの決定を要する。</t>
        </is>
      </c>
      <c r="F26" s="5" t="inlineStr">
        <is>
          <t>素案 第1章第6節
追加調査報告書 04シート</t>
        </is>
      </c>
      <c r="G26" s="5" t="inlineStr">
        <is>
          <t>発注者・北海道</t>
        </is>
      </c>
      <c r="H26" s="10" t="inlineStr">
        <is>
          <t>確認待ち</t>
        </is>
      </c>
      <c r="I26" s="10" t="inlineStr">
        <is>
          <t>R8.9</t>
        </is>
      </c>
      <c r="J26" s="11" t="inlineStr"/>
    </row>
    <row r="27" ht="88" customHeight="1">
      <c r="A27" s="4" t="n">
        <v>23</v>
      </c>
      <c r="B27" s="4" t="inlineStr">
        <is>
          <t>(2)</t>
        </is>
      </c>
      <c r="C27" s="4" t="inlineStr">
        <is>
          <t>R8.9</t>
        </is>
      </c>
      <c r="D27" s="5" t="inlineStr">
        <is>
          <t>事業所の定員・稼働率データ</t>
        </is>
      </c>
      <c r="E27" s="5" t="inlineStr">
        <is>
          <t>①地域密着型通所介護4事業所の定員、登録者数、延べ利用者数（令和4〜8年度）、②施設・居住系サービスの入所者数・空床・休止床。地域密着型通所介護は事業所数4で不変、従事者は増加しているのに給付費が27.0％減少しており、稼働率の低下が疑われる。第10期基本指針案の別表 七が求める入所率・稼働率の把握にも必要。</t>
        </is>
      </c>
      <c r="F27" s="5" t="inlineStr">
        <is>
          <t>素案 第2章第3節・第6章第4節
図21・図22</t>
        </is>
      </c>
      <c r="G27" s="5" t="inlineStr">
        <is>
          <t>発注者・3町</t>
        </is>
      </c>
      <c r="H27" s="10" t="inlineStr">
        <is>
          <t>確認待ち</t>
        </is>
      </c>
      <c r="I27" s="10" t="inlineStr">
        <is>
          <t>R8.10</t>
        </is>
      </c>
      <c r="J27" s="11" t="inlineStr"/>
    </row>
    <row r="28" ht="88" customHeight="1">
      <c r="A28" s="4" t="n">
        <v>24</v>
      </c>
      <c r="B28" s="4" t="inlineStr">
        <is>
          <t>(6)</t>
        </is>
      </c>
      <c r="C28" s="4" t="inlineStr">
        <is>
          <t>R8.11</t>
        </is>
      </c>
      <c r="D28" s="5" t="inlineStr">
        <is>
          <t>24時間対応サービスの確保方策の決定</t>
        </is>
      </c>
      <c r="E28" s="5" t="inlineStr">
        <is>
          <t>定期巡回・随時対応型訪問介護看護、夜間対応型訪問介護、看護小規模多機能型居宅介護の3種別は制度創設以来13年間、区域内に事業所がない。①区域内に整備する、②区域外（旭川市）の事業所の利用により確保する、③特定地域居宅サービス等事業として広域連合が実施する、④整備しない、のいずれかの決定を要する。決定しないと第6章第2節の地域密着型サービスの見込量が確定しない。</t>
        </is>
      </c>
      <c r="F28" s="5" t="inlineStr">
        <is>
          <t>素案 第6章第2節・第4節
見込量表（3種別）</t>
        </is>
      </c>
      <c r="G28" s="5" t="inlineStr">
        <is>
          <t>発注者</t>
        </is>
      </c>
      <c r="H28" s="10" t="inlineStr">
        <is>
          <t>確認待ち</t>
        </is>
      </c>
      <c r="I28" s="10" t="inlineStr">
        <is>
          <t>R8.11</t>
        </is>
      </c>
      <c r="J28" s="11" t="inlineStr"/>
    </row>
    <row r="29" ht="88" customHeight="1">
      <c r="A29" s="4" t="n">
        <v>25</v>
      </c>
      <c r="B29" s="4" t="inlineStr">
        <is>
          <t>(6)</t>
        </is>
      </c>
      <c r="C29" s="4" t="inlineStr">
        <is>
          <t>R8.11</t>
        </is>
      </c>
      <c r="D29" s="5" t="inlineStr">
        <is>
          <t>代表KPIの目標値の決定</t>
        </is>
      </c>
      <c r="E29" s="5" t="inlineStr">
        <is>
          <t>計画素案で［要協議］としている代表KPIの令和11年度目標値。基準値が確定している指標については目標水準の考え方（維持・改善・低下抑制）の決定を、調査結果を要する指標については調査データの受領後の設定を要する。認定率や利用率は一律に低下を目標とせず、適正水準と要因を評価する方針としている。</t>
        </is>
      </c>
      <c r="F29" s="5" t="inlineStr">
        <is>
          <t>素案 第4章第3節・第5章
全16KPIの目標値</t>
        </is>
      </c>
      <c r="G29" s="5" t="inlineStr">
        <is>
          <t>発注者</t>
        </is>
      </c>
      <c r="H29" s="10" t="inlineStr">
        <is>
          <t>確認待ち</t>
        </is>
      </c>
      <c r="I29" s="10" t="inlineStr">
        <is>
          <t>R8.12</t>
        </is>
      </c>
      <c r="J29" s="11" t="inlineStr"/>
    </row>
    <row r="30" ht="88" customHeight="1">
      <c r="A30" s="4" t="n">
        <v>26</v>
      </c>
      <c r="B30" s="4" t="inlineStr">
        <is>
          <t>(4)</t>
        </is>
      </c>
      <c r="C30" s="4" t="inlineStr">
        <is>
          <t>R8.10</t>
        </is>
      </c>
      <c r="D30" s="5" t="inlineStr">
        <is>
          <t>認知症・医療介護連携の実績データ</t>
        </is>
      </c>
      <c r="E30" s="5" t="inlineStr">
        <is>
          <t>見える化システムのJ系列（認知症）及びL20〜L26（診療報酬側の連携指標）は当広域連合のデータ登録がなく取得できない。①認知症初期集中支援チームの訪問実績、認知症地域支援推進員の配置人数、認知症カフェの箇所数等（3町）、②医療側からの連携の実施状況（上川中部圏域の医療機関又は北海道の医療計画・地域医療構想の資料）。</t>
        </is>
      </c>
      <c r="F30" s="5" t="inlineStr">
        <is>
          <t>素案 第5章 基本目標1・5
図表集 認知症・医療連携</t>
        </is>
      </c>
      <c r="G30" s="5" t="inlineStr">
        <is>
          <t>発注者・3町・北海道</t>
        </is>
      </c>
      <c r="H30" s="10" t="inlineStr">
        <is>
          <t>確認待ち</t>
        </is>
      </c>
      <c r="I30" s="10" t="inlineStr">
        <is>
          <t>R8.10</t>
        </is>
      </c>
      <c r="J30" s="11" t="inlineStr"/>
    </row>
    <row r="31" ht="88" customHeight="1">
      <c r="A31" s="4" t="n">
        <v>27</v>
      </c>
      <c r="B31" s="4" t="inlineStr">
        <is>
          <t>(3)</t>
        </is>
      </c>
      <c r="C31" s="4" t="inlineStr">
        <is>
          <t>R8.9</t>
        </is>
      </c>
      <c r="D31" s="5" t="inlineStr">
        <is>
          <t>令和4年度 健康とくらしの調査の集計表</t>
        </is>
      </c>
      <c r="E31" s="5" t="inlineStr">
        <is>
          <t>第9期からの変化を検定するため、令和4年度調査の有効回答数（指標別）と集計表。現在は有効回答数を4,700と仮定して2標本の検定を行っており、4,000〜5,000の範囲では判定が変わらないことを確認しているが、確定値による検証を要する。</t>
        </is>
      </c>
      <c r="F31" s="5" t="inlineStr">
        <is>
          <t>調査クロス集計・分析 14シート
素案 第2章第4節</t>
        </is>
      </c>
      <c r="G31" s="5" t="inlineStr">
        <is>
          <t>発注者</t>
        </is>
      </c>
      <c r="H31" s="10" t="inlineStr">
        <is>
          <t>確認待ち</t>
        </is>
      </c>
      <c r="I31" s="10" t="inlineStr">
        <is>
          <t>R8.9</t>
        </is>
      </c>
      <c r="J31" s="11" t="inlineStr"/>
    </row>
    <row r="32" ht="88" customHeight="1">
      <c r="A32" s="4" t="n">
        <v>28</v>
      </c>
      <c r="B32" s="4" t="inlineStr">
        <is>
          <t>(3)</t>
        </is>
      </c>
      <c r="C32" s="4" t="inlineStr">
        <is>
          <t>R8.9</t>
        </is>
      </c>
      <c r="D32" s="5" t="inlineStr">
        <is>
          <t>調査対象者の範囲の確認</t>
        </is>
      </c>
      <c r="E32" s="5" t="inlineStr">
        <is>
          <t>令和7年度 健康とくらしの調査の対象者は「一般高齢者＋総合事業対象者」であり、要支援者・要介護者を含まないことを調査報告書で確認した。この理解で相違ないか、及び第10期の各調査（在宅生活改善・居所変更・介護人材）の対象者の範囲。母集団が異なる指標を併記する際の前提となる。</t>
        </is>
      </c>
      <c r="F32" s="5" t="inlineStr">
        <is>
          <t>調査クロス集計・分析 13・14シート
H06・H11の基準値</t>
        </is>
      </c>
      <c r="G32" s="5" t="inlineStr">
        <is>
          <t>発注者</t>
        </is>
      </c>
      <c r="H32" s="10" t="inlineStr">
        <is>
          <t>確認待ち</t>
        </is>
      </c>
      <c r="I32" s="10" t="inlineStr">
        <is>
          <t>R8.9</t>
        </is>
      </c>
      <c r="J32" s="11" t="inlineStr"/>
    </row>
    <row r="33" ht="88" customHeight="1">
      <c r="A33" s="4" t="n">
        <v>29</v>
      </c>
      <c r="B33" s="4" t="inlineStr">
        <is>
          <t>(5)</t>
        </is>
      </c>
      <c r="C33" s="4" t="inlineStr">
        <is>
          <t>R8.10</t>
        </is>
      </c>
      <c r="D33" s="5" t="inlineStr">
        <is>
          <t>重度化の速度の前提</t>
        </is>
      </c>
      <c r="E33" s="5" t="inlineStr">
        <is>
          <t>将来推計の認定者数に最も大きく影響する決定事項。交付金の成果指標では、長期的な要介護度の変化が要介護1・2で全国の0.86倍、要介護3〜5で全国の0.51倍と良好である一方、単年度変化率の前年度との差は軽度＋9.34（全国▲1.95）、中重度＋6.33（全国＋0.15）と全国と逆方向に動いている。①長期の良好な実績を将来に延長する、②直近の反転を反映する、③全国並みの重度化速度に収束すると置く、のいずれかの決定を要する。</t>
        </is>
      </c>
      <c r="F33" s="5" t="inlineStr">
        <is>
          <t>素案 第6章第1節
認定者数・給付費の推計</t>
        </is>
      </c>
      <c r="G33" s="5" t="inlineStr">
        <is>
          <t>発注者</t>
        </is>
      </c>
      <c r="H33" s="10" t="inlineStr">
        <is>
          <t>確認待ち</t>
        </is>
      </c>
      <c r="I33" s="10" t="inlineStr">
        <is>
          <t>R8.10</t>
        </is>
      </c>
      <c r="J33" s="11" t="inlineStr"/>
    </row>
    <row r="34" ht="88" customHeight="1">
      <c r="A34" s="4" t="n">
        <v>30</v>
      </c>
      <c r="B34" s="4" t="inlineStr">
        <is>
          <t>(5)</t>
        </is>
      </c>
      <c r="C34" s="4" t="inlineStr">
        <is>
          <t>R8.10</t>
        </is>
      </c>
      <c r="D34" s="5" t="inlineStr">
        <is>
          <t>施設入所者と在宅者を分けた要介護度の変化</t>
        </is>
      </c>
      <c r="E34" s="5" t="inlineStr">
        <is>
          <t>長期的な要介護度の変化が全国より良好である要因の特定に必要。施設及び居住系サービスの受給率が全国比1.08と高く、施設入所により在宅の重度化が見えにくくなっている可能性がある。介護老人福祉施設の定員が234人から160人へ減少しているため、この経路によるものであれば同じ実績は続かない。</t>
        </is>
      </c>
      <c r="F34" s="5" t="inlineStr">
        <is>
          <t>重度化の速度の前提
保険料と施策評価の他団体比較 05シート</t>
        </is>
      </c>
      <c r="G34" s="5" t="inlineStr">
        <is>
          <t>発注者</t>
        </is>
      </c>
      <c r="H34" s="10" t="inlineStr">
        <is>
          <t>確認待ち</t>
        </is>
      </c>
      <c r="I34" s="10" t="inlineStr">
        <is>
          <t>R8.10</t>
        </is>
      </c>
      <c r="J34" s="11" t="inlineStr"/>
    </row>
    <row r="35" ht="88" customHeight="1">
      <c r="A35" s="4" t="n">
        <v>31</v>
      </c>
      <c r="B35" s="4" t="inlineStr">
        <is>
          <t>(5)</t>
        </is>
      </c>
      <c r="C35" s="4" t="inlineStr">
        <is>
          <t>R8.10</t>
        </is>
      </c>
      <c r="D35" s="5" t="inlineStr">
        <is>
          <t>給付適正化の実施予定と推計での扱い</t>
        </is>
      </c>
      <c r="E35" s="5" t="inlineStr">
        <is>
          <t>交付金の推進Ⅱ（公正・公平な給付）は全国の39.0％で全8目標中最低であり、ケアプラン点検の実施割合と医療情報との突合の実施割合がいずれも0点である。第10期にこれらを実施するか、実施する場合に給付費の推計へ政策効果として見込むかの決定を要する。</t>
        </is>
      </c>
      <c r="F35" s="5" t="inlineStr">
        <is>
          <t>素案 第6章第2節・第5章・第7章
給付費の推計</t>
        </is>
      </c>
      <c r="G35" s="5" t="inlineStr">
        <is>
          <t>発注者</t>
        </is>
      </c>
      <c r="H35" s="10" t="inlineStr">
        <is>
          <t>確認待ち</t>
        </is>
      </c>
      <c r="I35" s="10" t="inlineStr">
        <is>
          <t>R8.10</t>
        </is>
      </c>
      <c r="J35" s="11" t="inlineStr"/>
    </row>
    <row r="36" ht="88" customHeight="1">
      <c r="A36" s="4" t="n">
        <v>32</v>
      </c>
      <c r="B36" s="4" t="inlineStr">
        <is>
          <t>(2)</t>
        </is>
      </c>
      <c r="C36" s="4" t="inlineStr">
        <is>
          <t>R8.9</t>
        </is>
      </c>
      <c r="D36" s="5" t="inlineStr">
        <is>
          <t>第7期の保険料基準額</t>
        </is>
      </c>
      <c r="E36" s="5" t="inlineStr">
        <is>
          <t>見える化システムの値は6,077円であるが、計画素案の第9稿までは5,900円としていた。剰余の累計＋159円／月は6,077円を前提としたときにのみ整合する（(6,077－6,024)×3＝159）。条例による第7期の基準額の確認を要する。</t>
        </is>
      </c>
      <c r="F36" s="5" t="inlineStr">
        <is>
          <t>素案 第6章第6節
保険料の推移</t>
        </is>
      </c>
      <c r="G36" s="5" t="inlineStr">
        <is>
          <t>発注者</t>
        </is>
      </c>
      <c r="H36" s="6" t="inlineStr">
        <is>
          <t>完了</t>
        </is>
      </c>
      <c r="I36" s="10" t="inlineStr">
        <is>
          <t>R8.9</t>
        </is>
      </c>
      <c r="J36" s="11" t="inlineStr">
        <is>
          <t>見える化C1（介護保険事業計画報告値）により6,077円を確認した（令和8年7月30日受領）。条例による確認は不要となった。</t>
        </is>
      </c>
    </row>
    <row r="37" ht="88" customHeight="1">
      <c r="A37" s="4" t="n">
        <v>33</v>
      </c>
      <c r="B37" s="4" t="inlineStr">
        <is>
          <t>(5)</t>
        </is>
      </c>
      <c r="C37" s="4" t="inlineStr">
        <is>
          <t>R8.10</t>
        </is>
      </c>
      <c r="D37" s="5" t="inlineStr">
        <is>
          <t>第10期の政令改正の内容（所得段階）</t>
        </is>
      </c>
      <c r="E37" s="5" t="inlineStr">
        <is>
          <t>第10期の標準段階数、標準乗率、公費軽減の乗率及び第1号被保険者負担割合。政令改正により定まるため告示後の確認を要する。当広域連合の現行16段階の乗率との相対的な関係が変わる可能性がある。</t>
        </is>
      </c>
      <c r="F37" s="5" t="inlineStr">
        <is>
          <t>第10期の段階設計
保険料の算定</t>
        </is>
      </c>
      <c r="G37" s="5" t="inlineStr">
        <is>
          <t>国の情報</t>
        </is>
      </c>
      <c r="H37" s="10" t="inlineStr">
        <is>
          <t>確認待ち</t>
        </is>
      </c>
      <c r="I37" s="10" t="inlineStr">
        <is>
          <t>告示後</t>
        </is>
      </c>
      <c r="J37" s="11" t="inlineStr"/>
    </row>
    <row r="38" ht="88" customHeight="1">
      <c r="A38" s="4" t="n">
        <v>34</v>
      </c>
      <c r="B38" s="4" t="inlineStr">
        <is>
          <t>(2)</t>
        </is>
      </c>
      <c r="C38" s="4" t="inlineStr">
        <is>
          <t>R8.10</t>
        </is>
      </c>
      <c r="D38" s="5" t="inlineStr">
        <is>
          <t>第9段階の乗率の経緯</t>
        </is>
      </c>
      <c r="E38" s="5" t="inlineStr">
        <is>
          <t>第9段階（合計所得320万円以上420万円未満）の乗率1.63は国標準1.70を下回っている。低所得者対策とは性格が異なるため、この設定の経緯と考え方の確認を要する。第8期の9段階制における乗率を引き継いだ可能性がある。</t>
        </is>
      </c>
      <c r="F38" s="5" t="inlineStr">
        <is>
          <t>第10期の段階設計
保険料の所得段階と低所得者軽減の検証 08シート</t>
        </is>
      </c>
      <c r="G38" s="5" t="inlineStr">
        <is>
          <t>発注者</t>
        </is>
      </c>
      <c r="H38" s="10" t="inlineStr">
        <is>
          <t>確認待ち</t>
        </is>
      </c>
      <c r="I38" s="10" t="inlineStr">
        <is>
          <t>R8.10</t>
        </is>
      </c>
      <c r="J38" s="11" t="inlineStr"/>
    </row>
    <row r="39" ht="88" customHeight="1">
      <c r="A39" s="4" t="n">
        <v>35</v>
      </c>
      <c r="B39" s="4" t="inlineStr">
        <is>
          <t>(4)</t>
        </is>
      </c>
      <c r="C39" s="4" t="inlineStr">
        <is>
          <t>R8.10</t>
        </is>
      </c>
      <c r="D39" s="5" t="inlineStr">
        <is>
          <t>上川管内の保険者の所得段階数と乗率</t>
        </is>
      </c>
      <c r="E39" s="5" t="inlineStr">
        <is>
          <t>上川管内21保険者の第9期の所得段階数と乗率。多段階化の状況を比較するために必要。北海道の資料又は各保険者の保険料条例による。</t>
        </is>
      </c>
      <c r="F39" s="5" t="inlineStr">
        <is>
          <t>保険料の所得段階と低所得者軽減の検証 05シート</t>
        </is>
      </c>
      <c r="G39" s="5" t="inlineStr">
        <is>
          <t>発注者・北海道</t>
        </is>
      </c>
      <c r="H39" s="10" t="inlineStr">
        <is>
          <t>確認待ち</t>
        </is>
      </c>
      <c r="I39" s="10" t="inlineStr">
        <is>
          <t>R8.10</t>
        </is>
      </c>
      <c r="J39" s="11" t="inlineStr"/>
    </row>
    <row r="40" ht="88" customHeight="1">
      <c r="A40" s="4" t="n">
        <v>36</v>
      </c>
      <c r="B40" s="4" t="inlineStr">
        <is>
          <t>(5)</t>
        </is>
      </c>
      <c r="C40" s="4" t="inlineStr">
        <is>
          <t>R8.10</t>
        </is>
      </c>
      <c r="D40" s="5" t="inlineStr">
        <is>
          <t>所得段階別被保険者数の実績と収納率</t>
        </is>
      </c>
      <c r="E40" s="5" t="inlineStr">
        <is>
          <t>①令和5〜8年度の所得段階別被保険者数（各年度）、②第7期〜第9期の保険料収納率（可能であれば所得段階別）、③公費軽減の対象者数と適用率。第9期計画は3年間の推計値のみを掲載しており実績が確認できない。低所得層の収納率が低い場合、軽減の効果と滞納対策の必要性を検証できる。</t>
        </is>
      </c>
      <c r="F40" s="5" t="inlineStr">
        <is>
          <t>所得段階別被保険者数の推計
保険料の算定
素案 第6章第7節</t>
        </is>
      </c>
      <c r="G40" s="5" t="inlineStr">
        <is>
          <t>発注者</t>
        </is>
      </c>
      <c r="H40" s="10" t="inlineStr">
        <is>
          <t>確認待ち</t>
        </is>
      </c>
      <c r="I40" s="10" t="inlineStr">
        <is>
          <t>R8.10</t>
        </is>
      </c>
      <c r="J40" s="11" t="inlineStr"/>
    </row>
    <row r="41" ht="88" customHeight="1">
      <c r="A41" s="4" t="n">
        <v>37</v>
      </c>
      <c r="B41" s="4" t="inlineStr">
        <is>
          <t>(2)</t>
        </is>
      </c>
      <c r="C41" s="4" t="inlineStr">
        <is>
          <t>R8.8</t>
        </is>
      </c>
      <c r="D41" s="5" t="inlineStr">
        <is>
          <t>年齢階級別・要介護度別の認定率</t>
        </is>
      </c>
      <c r="E41" s="5" t="inlineStr">
        <is>
          <t>見える化B4系列の年齢階級別認定率（65〜74歳を含む）及び要介護度別の認定率。第9期の評価で「年齢層をそろえると認定率は低下している」としているが、根拠は合計・75歳以上・85歳以上の3系列のみで、65〜74歳を確認していない。また性・年齢調整済み要介護2以上認定率（W144）は上昇しており、整合を実証するには要介護度別の推移が必要（レッドチームレビュー No.1）。</t>
        </is>
      </c>
      <c r="F41" s="5" t="inlineStr">
        <is>
          <t>素案 第3章第4節
妥当性検証 所見7</t>
        </is>
      </c>
      <c r="G41" s="5" t="inlineStr">
        <is>
          <t>発注者</t>
        </is>
      </c>
      <c r="H41" s="6" t="inlineStr">
        <is>
          <t>完了</t>
        </is>
      </c>
      <c r="I41" s="10" t="inlineStr">
        <is>
          <t>R8.8</t>
        </is>
      </c>
      <c r="J41" s="11" t="inlineStr">
        <is>
          <t>令和8年7月29日にB4a・B4c・B4d・B4e・B5a・B6a・B6bを受領。認定率の年齢調整分析（7シート）として分析済み</t>
        </is>
      </c>
    </row>
    <row r="42" ht="88" customHeight="1">
      <c r="A42" s="4" t="n">
        <v>38</v>
      </c>
      <c r="B42" s="4" t="inlineStr">
        <is>
          <t>(2)</t>
        </is>
      </c>
      <c r="C42" s="4" t="inlineStr">
        <is>
          <t>R8.9</t>
        </is>
      </c>
      <c r="D42" s="5" t="inlineStr">
        <is>
          <t>交付金評価の令和6年・令和7年調査の結果</t>
        </is>
      </c>
      <c r="E42" s="5" t="inlineStr">
        <is>
          <t>現在用いている令和5年調査（令和6年度分指標）は評価対象が主に令和4年度の実施状況であり、第9期ではなく第8期の取組を反映している。第9期の評価とするには令和6年・令和7年調査の得点が必要（レッドチームレビュー No.2）。取得できない場合は「第8期の取組を反映した評価」と明記して用いる。</t>
        </is>
      </c>
      <c r="F42" s="5" t="inlineStr">
        <is>
          <t>素案 第3章第4節
妥当性検証 所見18・19</t>
        </is>
      </c>
      <c r="G42" s="5" t="inlineStr">
        <is>
          <t>発注者</t>
        </is>
      </c>
      <c r="H42" s="10" t="inlineStr">
        <is>
          <t>確認待ち</t>
        </is>
      </c>
      <c r="I42" s="10" t="inlineStr">
        <is>
          <t>R8.9</t>
        </is>
      </c>
      <c r="J42" s="11" t="inlineStr"/>
    </row>
    <row r="44" ht="32" customHeight="1">
      <c r="A44" s="3" t="inlineStr">
        <is>
          <t>区分</t>
        </is>
      </c>
      <c r="B44" s="3" t="inlineStr">
        <is>
          <t>件数</t>
        </is>
      </c>
      <c r="C44" s="3" t="inlineStr"/>
      <c r="D44" s="3" t="inlineStr"/>
      <c r="E44" s="3" t="inlineStr"/>
      <c r="F44" s="3" t="inlineStr"/>
      <c r="G44" s="3" t="inlineStr"/>
      <c r="H44" s="3" t="inlineStr"/>
      <c r="I44" s="3" t="inlineStr"/>
      <c r="J44" s="3" t="inlineStr"/>
    </row>
    <row r="45" ht="20" customHeight="1">
      <c r="A45" s="6" t="inlineStr">
        <is>
          <t>完了</t>
        </is>
      </c>
      <c r="B45" s="4">
        <f>COUNTIF(H5:H42,"完了")</f>
        <v/>
      </c>
      <c r="C45" s="5" t="inlineStr"/>
      <c r="D45" s="5" t="inlineStr"/>
      <c r="E45" s="5" t="inlineStr"/>
      <c r="F45" s="5" t="inlineStr"/>
      <c r="G45" s="5" t="inlineStr"/>
      <c r="H45" s="5" t="inlineStr"/>
      <c r="I45" s="5" t="inlineStr"/>
      <c r="J45" s="5" t="inlineStr"/>
    </row>
    <row r="46" ht="20" customHeight="1">
      <c r="A46" s="8" t="inlineStr">
        <is>
          <t>実施中</t>
        </is>
      </c>
      <c r="B46" s="4">
        <f>COUNTIF(H5:H42,"実施中")</f>
        <v/>
      </c>
      <c r="C46" s="5" t="inlineStr"/>
      <c r="D46" s="5" t="inlineStr"/>
      <c r="E46" s="5" t="inlineStr"/>
      <c r="F46" s="5" t="inlineStr"/>
      <c r="G46" s="5" t="inlineStr"/>
      <c r="H46" s="5" t="inlineStr"/>
      <c r="I46" s="5" t="inlineStr"/>
      <c r="J46" s="5" t="inlineStr"/>
    </row>
    <row r="47" ht="20" customHeight="1">
      <c r="A47" s="10" t="inlineStr">
        <is>
          <t>確認待ち</t>
        </is>
      </c>
      <c r="B47" s="4">
        <f>COUNTIF(H5:H42,"確認待ち")</f>
        <v/>
      </c>
      <c r="C47" s="5" t="inlineStr"/>
      <c r="D47" s="5" t="inlineStr"/>
      <c r="E47" s="5" t="inlineStr"/>
      <c r="F47" s="5" t="inlineStr"/>
      <c r="G47" s="5" t="inlineStr"/>
      <c r="H47" s="5" t="inlineStr"/>
      <c r="I47" s="5" t="inlineStr"/>
      <c r="J47" s="5" t="inlineStr"/>
    </row>
    <row r="48" ht="20" customHeight="1">
      <c r="A48" s="12" t="inlineStr">
        <is>
          <t>未着手</t>
        </is>
      </c>
      <c r="B48" s="4">
        <f>COUNTIF(H5:H42,"未着手")</f>
        <v/>
      </c>
      <c r="C48" s="5" t="inlineStr"/>
      <c r="D48" s="5" t="inlineStr"/>
      <c r="E48" s="5" t="inlineStr"/>
      <c r="F48" s="5" t="inlineStr"/>
      <c r="G48" s="5" t="inlineStr"/>
      <c r="H48" s="5" t="inlineStr"/>
      <c r="I48" s="5" t="inlineStr"/>
      <c r="J48" s="5" t="inlineStr"/>
    </row>
    <row r="49" ht="20" customHeight="1">
      <c r="A49" s="14" t="inlineStr">
        <is>
          <t>対象外</t>
        </is>
      </c>
      <c r="B49" s="4">
        <f>COUNTIF(H5:H42,"対象外")</f>
        <v/>
      </c>
      <c r="C49" s="5" t="inlineStr"/>
      <c r="D49" s="5" t="inlineStr"/>
      <c r="E49" s="5" t="inlineStr"/>
      <c r="F49" s="5" t="inlineStr"/>
      <c r="G49" s="5" t="inlineStr"/>
      <c r="H49" s="5" t="inlineStr"/>
      <c r="I49" s="5" t="inlineStr"/>
      <c r="J49" s="5" t="inlineStr"/>
    </row>
    <row r="51" ht="32" customHeight="1">
      <c r="A51" s="3" t="inlineStr">
        <is>
          <t>確認先</t>
        </is>
      </c>
      <c r="B51" s="3" t="inlineStr">
        <is>
          <t>件数</t>
        </is>
      </c>
      <c r="C51" s="3" t="inlineStr"/>
      <c r="D51" s="3" t="inlineStr"/>
      <c r="E51" s="3" t="inlineStr"/>
      <c r="F51" s="3" t="inlineStr"/>
      <c r="G51" s="3" t="inlineStr"/>
      <c r="H51" s="3" t="inlineStr"/>
      <c r="I51" s="3" t="inlineStr"/>
      <c r="J51" s="3" t="inlineStr"/>
    </row>
    <row r="52" ht="20" customHeight="1">
      <c r="A52" s="5" t="inlineStr">
        <is>
          <t>発注者</t>
        </is>
      </c>
      <c r="B52" s="4">
        <f>COUNTIF(G5:G42,"発注者")</f>
        <v/>
      </c>
      <c r="C52" s="5" t="inlineStr"/>
      <c r="D52" s="5" t="inlineStr"/>
      <c r="E52" s="5" t="inlineStr"/>
      <c r="F52" s="5" t="inlineStr"/>
      <c r="G52" s="5" t="inlineStr"/>
      <c r="H52" s="5" t="inlineStr"/>
      <c r="I52" s="5" t="inlineStr"/>
      <c r="J52" s="5" t="inlineStr"/>
    </row>
    <row r="53" ht="20" customHeight="1">
      <c r="A53" s="5" t="inlineStr">
        <is>
          <t>発注者・3町</t>
        </is>
      </c>
      <c r="B53" s="4">
        <f>COUNTIF(G5:G42,"発注者・3町")</f>
        <v/>
      </c>
      <c r="C53" s="5" t="inlineStr"/>
      <c r="D53" s="5" t="inlineStr"/>
      <c r="E53" s="5" t="inlineStr"/>
      <c r="F53" s="5" t="inlineStr"/>
      <c r="G53" s="5" t="inlineStr"/>
      <c r="H53" s="5" t="inlineStr"/>
      <c r="I53" s="5" t="inlineStr"/>
      <c r="J53" s="5" t="inlineStr"/>
    </row>
    <row r="54" ht="20" customHeight="1">
      <c r="A54" s="5" t="inlineStr">
        <is>
          <t>発注者・北海道</t>
        </is>
      </c>
      <c r="B54" s="4">
        <f>COUNTIF(G5:G42,"発注者・北海道")</f>
        <v/>
      </c>
      <c r="C54" s="5" t="inlineStr"/>
      <c r="D54" s="5" t="inlineStr"/>
      <c r="E54" s="5" t="inlineStr"/>
      <c r="F54" s="5" t="inlineStr"/>
      <c r="G54" s="5" t="inlineStr"/>
      <c r="H54" s="5" t="inlineStr"/>
      <c r="I54" s="5" t="inlineStr"/>
      <c r="J54" s="5" t="inlineStr"/>
    </row>
    <row r="55" ht="20" customHeight="1">
      <c r="A55" s="5" t="inlineStr">
        <is>
          <t>発注者・3町・北海道</t>
        </is>
      </c>
      <c r="B55" s="4">
        <f>COUNTIF(G5:G42,"発注者・3町・北海道")</f>
        <v/>
      </c>
      <c r="C55" s="5" t="inlineStr"/>
      <c r="D55" s="5" t="inlineStr"/>
      <c r="E55" s="5" t="inlineStr"/>
      <c r="F55" s="5" t="inlineStr"/>
      <c r="G55" s="5" t="inlineStr"/>
      <c r="H55" s="5" t="inlineStr"/>
      <c r="I55" s="5" t="inlineStr"/>
      <c r="J55" s="5" t="inlineStr"/>
    </row>
    <row r="56" ht="20" customHeight="1">
      <c r="A56" s="5" t="inlineStr">
        <is>
          <t>北海道</t>
        </is>
      </c>
      <c r="B56" s="4">
        <f>COUNTIF(G5:G42,"北海道")</f>
        <v/>
      </c>
      <c r="C56" s="5" t="inlineStr"/>
      <c r="D56" s="5" t="inlineStr"/>
      <c r="E56" s="5" t="inlineStr"/>
      <c r="F56" s="5" t="inlineStr"/>
      <c r="G56" s="5" t="inlineStr"/>
      <c r="H56" s="5" t="inlineStr"/>
      <c r="I56" s="5" t="inlineStr"/>
      <c r="J56" s="5" t="inlineStr"/>
    </row>
    <row r="58" ht="28" customHeight="1">
      <c r="A58" s="16" t="inlineStr">
        <is>
          <t>注1）本シートの確認事項は、計画素案の本文には注記として記載しない。本文には確定していない数値を［要協議］［要確認］［要内訳］として残すにとどめ、その解消に必要な作業は本シートで管理する。注2）「止めている成果物」が確定しない限り、当該成果物を含む工程は完了しない。01シートの「未了の理由・次の作業」及び02シートの「備考・次工程への条件」と対応する。注3）確認事項の詳細な背景と根拠は、妥当性検証報告書及び追加調査報告書に記載している。発注者への依頼文としては確認依頼書（第8版）を別途提出している。</t>
        </is>
      </c>
    </row>
  </sheetData>
  <mergeCells count="3">
    <mergeCell ref="A58:J58"/>
    <mergeCell ref="A1:J1"/>
    <mergeCell ref="A2:J2"/>
  </mergeCells>
  <conditionalFormatting sqref="H5:H42">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H5:H42" showDropDown="0" showInputMessage="0" showErrorMessage="0" allowBlank="1" type="list">
      <formula1>"完了,実施中,確認待ち,未着手,対象外"</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0"/>
  <sheetViews>
    <sheetView workbookViewId="0">
      <pane ySplit="4" topLeftCell="A5" activePane="bottomLeft" state="frozen"/>
      <selection pane="bottomLeft" activeCell="A1" sqref="A1"/>
    </sheetView>
  </sheetViews>
  <sheetFormatPr baseColWidth="8" defaultRowHeight="15"/>
  <cols>
    <col width="5" customWidth="1" min="1" max="1"/>
    <col width="30" customWidth="1" min="2" max="2"/>
    <col width="34" customWidth="1" min="3" max="3"/>
    <col width="30" customWidth="1" min="4" max="4"/>
    <col width="9" customWidth="1" min="5" max="5"/>
    <col width="12" customWidth="1" min="6" max="6"/>
    <col width="12" customWidth="1" min="7" max="7"/>
    <col width="30" customWidth="1" min="8" max="8"/>
    <col width="26" customWidth="1" min="9" max="9"/>
  </cols>
  <sheetData>
    <row r="1" ht="26" customHeight="1">
      <c r="A1" s="1" t="inlineStr">
        <is>
          <t>仕様書４（10）　成果品の管理</t>
        </is>
      </c>
    </row>
    <row r="2" ht="52" customHeight="1">
      <c r="A2" s="2" t="inlineStr">
        <is>
          <t>仕様書４（10）が定める納品物と、その作成状況を管理する。成果品は編集可能な電子データ（Word、Excel等）及びPDF形式により提出し、図表、グラフ及び統計資料についても発注者が加工可能な形式で納品する。計画骨子案・計画素案・計画最終案その他発注者が必要と認める資料は、発注者が指定する期日までに提出する。</t>
        </is>
      </c>
    </row>
    <row r="4" ht="32" customHeight="1">
      <c r="A4" s="3" t="inlineStr">
        <is>
          <t>No.</t>
        </is>
      </c>
      <c r="B4" s="3" t="inlineStr">
        <is>
          <t>納品物（仕様書４（10））</t>
        </is>
      </c>
      <c r="C4" s="3" t="inlineStr">
        <is>
          <t>現在のファイル・稿</t>
        </is>
      </c>
      <c r="D4" s="3" t="inlineStr">
        <is>
          <t>形式・仕様</t>
        </is>
      </c>
      <c r="E4" s="3" t="inlineStr">
        <is>
          <t>状態</t>
        </is>
      </c>
      <c r="F4" s="3" t="inlineStr">
        <is>
          <t>進捗</t>
        </is>
      </c>
      <c r="G4" s="3" t="inlineStr">
        <is>
          <t>納品期日</t>
        </is>
      </c>
      <c r="H4" s="3" t="inlineStr">
        <is>
          <t>確定していない事項</t>
        </is>
      </c>
      <c r="I4" s="3" t="inlineStr">
        <is>
          <t>確認事項No.</t>
        </is>
      </c>
    </row>
    <row r="5" ht="76" customHeight="1">
      <c r="A5" s="4" t="n">
        <v>1</v>
      </c>
      <c r="B5" s="5" t="inlineStr">
        <is>
          <t>第10期介護保険事業計画書
（A4判表紙レザック本文1色
100頁程度）200部</t>
        </is>
      </c>
      <c r="C5" s="5" t="inlineStr">
        <is>
          <t>第10期介護保険事業計画_素案_第11稿.docx
（577段落・98表・34図）</t>
        </is>
      </c>
      <c r="D5" s="5" t="inlineStr">
        <is>
          <t>印刷・製本200部
入稿用PDF及びWord</t>
        </is>
      </c>
      <c r="E5" s="8" t="inlineStr">
        <is>
          <t>実施中</t>
        </is>
      </c>
      <c r="F5" s="20" t="n">
        <v>0.55</v>
      </c>
      <c r="G5" s="10" t="inlineStr">
        <is>
          <t>R9.3</t>
        </is>
      </c>
      <c r="H5" s="11" t="inlineStr">
        <is>
          <t>①本文100頁程度に対する章別のページ配分、②図表の本文掲載点数の上限、③印刷・製本の入稿期限。図表集は133点あり、本文への掲載点数の決定を要する。また未確定の数値を［要協議］［要確認］［要内訳］として本文に残している。</t>
        </is>
      </c>
      <c r="I5" s="5" t="inlineStr">
        <is>
          <t>21</t>
        </is>
      </c>
    </row>
    <row r="6" ht="76" customHeight="1">
      <c r="A6" s="4" t="n">
        <v>2</v>
      </c>
      <c r="B6" s="5" t="inlineStr">
        <is>
          <t>第10期介護保険事業計画書及び
概要版電子データ
（Word、Excel、PDF等）一式</t>
        </is>
      </c>
      <c r="C6" s="5" t="inlineStr">
        <is>
          <t>計画書：作成中（上記）
概要版：未着手</t>
        </is>
      </c>
      <c r="D6" s="5" t="inlineStr">
        <is>
          <t>Word（編集可能）
及びPDF</t>
        </is>
      </c>
      <c r="E6" s="12" t="inlineStr">
        <is>
          <t>未着手</t>
        </is>
      </c>
      <c r="F6" s="20" t="n">
        <v>0</v>
      </c>
      <c r="G6" s="10" t="inlineStr">
        <is>
          <t>R9.3</t>
        </is>
      </c>
      <c r="H6" s="11" t="inlineStr">
        <is>
          <t>概要版の頁数、体裁、掲載内容（本文からの抜粋範囲）。仕様書は概要版の仕様を定めていないため、発注者の指定を要する。</t>
        </is>
      </c>
      <c r="I6" s="5" t="inlineStr">
        <is>
          <t>21</t>
        </is>
      </c>
    </row>
    <row r="7" ht="76" customHeight="1">
      <c r="A7" s="4" t="n">
        <v>3</v>
      </c>
      <c r="B7" s="5" t="inlineStr">
        <is>
          <t>分析資料、推計資料、図表、
グラフ、クロス集計表等
電子データ 一式</t>
        </is>
      </c>
      <c r="C7" s="5" t="inlineStr">
        <is>
          <t>第10期計画_調査クロス集計・分析.xlsx（24シート）
第10期計画_保険料と施策評価の他団体比較.xlsx（9シート）
第10期計画_保険料の所得段階と低所得者軽減の検証.xlsx（10シート）
第10期計画_第9期評価のレッドチームレビュー.xlsx（9シート）
第10期計画_認定率の年齢調整分析.xlsx（7シート）
第10期計画_図表集_白黒.xlsx（33シート133点）
第10期計画_妥当性検証報告書.xlsx（24シート）
第10期計画_追加調査報告書.xlsx（8シート）
第10期計画_施策体系新旧対照表.xlsx（5シート）
第10期計画_地域差の分析.xlsx（15シート）
第10期計画_人口推計の基礎の検証.xlsx（9シート）
第10期計画_将来推計_人口と認定者数.xlsx（8シート）
第10期計画_将来推計_第2段階_サービス見込量.xlsx（8シート）
第10期計画_主張の根拠水準の棚卸しと再レビュー.xlsx（8シート）
第10期計画_実施済み3調査の受領点検と集計.xlsx（16シート）
第10期計画_アンケート調査の集計分析報告書.xlsx（14シート）
第10期計画_実施済み調査_結果報告書.docx（8章50表39図）
第10期計画_要介護認定データの確認.xlsx（7シート）
第10期計画_サービス受給者数データの確認.xlsx（7シート）
figures/*.png（34点）</t>
        </is>
      </c>
      <c r="D7" s="5" t="inlineStr">
        <is>
          <t>Excel（計算式・元数値を保持）
PNG及びPDF</t>
        </is>
      </c>
      <c r="E7" s="8" t="inlineStr">
        <is>
          <t>実施中</t>
        </is>
      </c>
      <c r="F7" s="20" t="n">
        <v>0.85</v>
      </c>
      <c r="G7" s="10" t="inlineStr">
        <is>
          <t>R9.3</t>
        </is>
      </c>
      <c r="H7" s="11" t="inlineStr">
        <is>
          <t>①推計資料は第1段階（人口・認定者数）と第2段階（サービス見込量）を作成済み。第3段階（給付費・保険料）が未作成。②クロス集計表は4調査すべて作成済み。4調査横断のクロス集計は発注者のご意向により行わない（アンケート調査の集計分析報告書 13シート）。③図表の元数値はシート内に保持しているが、発注者側での再計算を想定した様式の指定があれば合わせる。</t>
        </is>
      </c>
      <c r="I7" s="5" t="inlineStr">
        <is>
          <t>8, 9, 11, 14</t>
        </is>
      </c>
    </row>
    <row r="8" ht="76" customHeight="1">
      <c r="A8" s="4" t="n">
        <v>4</v>
      </c>
      <c r="B8" s="5" t="inlineStr">
        <is>
          <t>打合せ資料、会議資料原案
その他業務で作成した資料 一式</t>
        </is>
      </c>
      <c r="C8" s="5" t="inlineStr">
        <is>
          <t>第10期計画_確認依頼書.docx（第9版）
第10期計画素案_第9稿→第10稿_修正指示書.xlsx（66件）
第10期計画_業務工程管理表.xlsx（本表）
第10期計画_キックオフ会議資料_第4稿.docx（13章18表）
第10期計画_キックオフ会議ヒアリングシート.docx（16項目）
第10期計画_キックオフ資料の点検結果.xlsx（6シート）
第10期計画_必要事項の一覧.xlsx（8シート）
第10期計画_計画素案の別管理表.xlsx（6シート）
第10期計画_成果品一覧.xlsx（4シート）</t>
        </is>
      </c>
      <c r="D8" s="5" t="inlineStr">
        <is>
          <t>Word及びExcel</t>
        </is>
      </c>
      <c r="E8" s="8" t="inlineStr">
        <is>
          <t>実施中</t>
        </is>
      </c>
      <c r="F8" s="20" t="n">
        <v>0.55</v>
      </c>
      <c r="G8" s="10" t="inlineStr">
        <is>
          <t>R9.3</t>
        </is>
      </c>
      <c r="H8" s="11" t="inlineStr">
        <is>
          <t>①キックオフ会議資料は第4稿まで作成済み。会議日程が未確定。②運営協議会等への資料原案は開催日程と審議事項の確定を要する。③パブリックコメント資料は実施期間の確定を要する。</t>
        </is>
      </c>
      <c r="I8" s="5" t="inlineStr">
        <is>
          <t>19</t>
        </is>
      </c>
    </row>
    <row r="9" ht="76" customHeight="1">
      <c r="A9" s="4" t="n">
        <v>5</v>
      </c>
      <c r="B9" s="5" t="inlineStr">
        <is>
          <t>計画骨子案
（発注者が必要と認める資料）</t>
        </is>
      </c>
      <c r="C9" s="5" t="inlineStr">
        <is>
          <t>第10期介護保険事業計画_骨子案.docx（11節22表）</t>
        </is>
      </c>
      <c r="D9" s="5" t="inlineStr">
        <is>
          <t>Word及びPDF</t>
        </is>
      </c>
      <c r="E9" s="8" t="inlineStr">
        <is>
          <t>実施中</t>
        </is>
      </c>
      <c r="F9" s="20" t="n">
        <v>0.85</v>
      </c>
      <c r="G9" s="10" t="inlineStr">
        <is>
          <t>R8.11</t>
        </is>
      </c>
      <c r="H9" s="11" t="inlineStr">
        <is>
          <t>第10節の決定・確認を要する事項12件についてご意向を確認したうえで、令和8年11月に構成3町の意見を反映して確定する。</t>
        </is>
      </c>
      <c r="I9" s="5" t="inlineStr">
        <is>
          <t>18</t>
        </is>
      </c>
    </row>
    <row r="10" ht="76" customHeight="1">
      <c r="A10" s="4" t="n">
        <v>6</v>
      </c>
      <c r="B10" s="5" t="inlineStr">
        <is>
          <t>計画素案
（発注者が必要と認める資料）</t>
        </is>
      </c>
      <c r="C10" s="5" t="inlineStr">
        <is>
          <t>第10期介護保険事業計画_素案_第11稿.docx</t>
        </is>
      </c>
      <c r="D10" s="5" t="inlineStr">
        <is>
          <t>Word及びPDF</t>
        </is>
      </c>
      <c r="E10" s="8" t="inlineStr">
        <is>
          <t>実施中</t>
        </is>
      </c>
      <c r="F10" s="20" t="n">
        <v>0.55</v>
      </c>
      <c r="G10" s="10" t="inlineStr">
        <is>
          <t>R8.12</t>
        </is>
      </c>
      <c r="H10" s="11" t="inlineStr">
        <is>
          <t>第6章の見込量・保険料が未算定。図表レイアウトを発注者にて確認中。</t>
        </is>
      </c>
      <c r="I10" s="5" t="inlineStr">
        <is>
          <t>14, 15, 16, 29, 30, 31, 33, 36</t>
        </is>
      </c>
    </row>
    <row r="11" ht="76" customHeight="1">
      <c r="A11" s="4" t="n">
        <v>7</v>
      </c>
      <c r="B11" s="5" t="inlineStr">
        <is>
          <t>計画最終案
（発注者が必要と認める資料）</t>
        </is>
      </c>
      <c r="C11" s="5" t="inlineStr">
        <is>
          <t>未着手</t>
        </is>
      </c>
      <c r="D11" s="5" t="inlineStr">
        <is>
          <t>Word及びPDF</t>
        </is>
      </c>
      <c r="E11" s="12" t="inlineStr">
        <is>
          <t>未着手</t>
        </is>
      </c>
      <c r="F11" s="20" t="n">
        <v>0</v>
      </c>
      <c r="G11" s="10" t="inlineStr">
        <is>
          <t>R9.2</t>
        </is>
      </c>
      <c r="H11" s="11" t="inlineStr">
        <is>
          <t>パブリックコメントの意見反映後に作成する。</t>
        </is>
      </c>
      <c r="I11" s="5" t="inlineStr">
        <is>
          <t>19</t>
        </is>
      </c>
    </row>
    <row r="13" ht="32" customHeight="1">
      <c r="A13" s="3" t="inlineStr">
        <is>
          <t>区分</t>
        </is>
      </c>
      <c r="B13" s="3" t="inlineStr">
        <is>
          <t>件数</t>
        </is>
      </c>
      <c r="C13" s="3" t="inlineStr"/>
      <c r="D13" s="3" t="inlineStr"/>
      <c r="E13" s="3" t="inlineStr"/>
      <c r="F13" s="3" t="inlineStr"/>
      <c r="G13" s="3" t="inlineStr"/>
      <c r="H13" s="3" t="inlineStr"/>
      <c r="I13" s="3" t="inlineStr"/>
    </row>
    <row r="14" ht="20" customHeight="1">
      <c r="A14" s="6" t="inlineStr">
        <is>
          <t>完了</t>
        </is>
      </c>
      <c r="B14" s="4">
        <f>COUNTIF(E5:E11,"完了")</f>
        <v/>
      </c>
      <c r="C14" s="5" t="inlineStr"/>
      <c r="D14" s="5" t="inlineStr"/>
      <c r="E14" s="5" t="inlineStr"/>
      <c r="F14" s="5" t="inlineStr"/>
      <c r="G14" s="5" t="inlineStr"/>
      <c r="H14" s="5" t="inlineStr"/>
      <c r="I14" s="5" t="inlineStr"/>
    </row>
    <row r="15" ht="20" customHeight="1">
      <c r="A15" s="8" t="inlineStr">
        <is>
          <t>実施中</t>
        </is>
      </c>
      <c r="B15" s="4">
        <f>COUNTIF(E5:E11,"実施中")</f>
        <v/>
      </c>
      <c r="C15" s="5" t="inlineStr"/>
      <c r="D15" s="5" t="inlineStr"/>
      <c r="E15" s="5" t="inlineStr"/>
      <c r="F15" s="5" t="inlineStr"/>
      <c r="G15" s="5" t="inlineStr"/>
      <c r="H15" s="5" t="inlineStr"/>
      <c r="I15" s="5" t="inlineStr"/>
    </row>
    <row r="16" ht="20" customHeight="1">
      <c r="A16" s="10" t="inlineStr">
        <is>
          <t>確認待ち</t>
        </is>
      </c>
      <c r="B16" s="4">
        <f>COUNTIF(E5:E11,"確認待ち")</f>
        <v/>
      </c>
      <c r="C16" s="5" t="inlineStr"/>
      <c r="D16" s="5" t="inlineStr"/>
      <c r="E16" s="5" t="inlineStr"/>
      <c r="F16" s="5" t="inlineStr"/>
      <c r="G16" s="5" t="inlineStr"/>
      <c r="H16" s="5" t="inlineStr"/>
      <c r="I16" s="5" t="inlineStr"/>
    </row>
    <row r="17" ht="20" customHeight="1">
      <c r="A17" s="12" t="inlineStr">
        <is>
          <t>未着手</t>
        </is>
      </c>
      <c r="B17" s="4">
        <f>COUNTIF(E5:E11,"未着手")</f>
        <v/>
      </c>
      <c r="C17" s="5" t="inlineStr"/>
      <c r="D17" s="5" t="inlineStr"/>
      <c r="E17" s="5" t="inlineStr"/>
      <c r="F17" s="5" t="inlineStr"/>
      <c r="G17" s="5" t="inlineStr"/>
      <c r="H17" s="5" t="inlineStr"/>
      <c r="I17" s="5" t="inlineStr"/>
    </row>
    <row r="18" ht="20" customHeight="1">
      <c r="A18" s="14" t="inlineStr">
        <is>
          <t>対象外</t>
        </is>
      </c>
      <c r="B18" s="4">
        <f>COUNTIF(E5:E11,"対象外")</f>
        <v/>
      </c>
      <c r="C18" s="5" t="inlineStr"/>
      <c r="D18" s="5" t="inlineStr"/>
      <c r="E18" s="5" t="inlineStr"/>
      <c r="F18" s="5" t="inlineStr"/>
      <c r="G18" s="5" t="inlineStr"/>
      <c r="H18" s="5" t="inlineStr"/>
      <c r="I18" s="5" t="inlineStr"/>
    </row>
    <row r="20" ht="28" customHeight="1">
      <c r="A20" s="16" t="inlineStr">
        <is>
          <t>注1）成果品は編集可能な電子データ及びPDF形式により提出する。図表・グラフ・統計資料は、元数値と計算式を保持したExcelで納品する。注2）納品期日は仕様書５の月別工程から設定した予定であり、発注者が指定する期日が示された場合はそれによる。注3）「確定していない事項」は、当該成果品を完成させるために解消が必要な事項である。詳細は03シートの確認事項No.に対応する。</t>
        </is>
      </c>
    </row>
  </sheetData>
  <mergeCells count="3">
    <mergeCell ref="A1:I1"/>
    <mergeCell ref="A20:I20"/>
    <mergeCell ref="A2:I2"/>
  </mergeCells>
  <conditionalFormatting sqref="E5:E11">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E5:E11" showDropDown="0" showInputMessage="0" showErrorMessage="0" allowBlank="1" type="list">
      <formula1>"完了,実施中,確認待ち,未着手,対象外"</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7"/>
  <sheetViews>
    <sheetView workbookViewId="0">
      <pane ySplit="4" topLeftCell="A5" activePane="bottomLeft" state="frozen"/>
      <selection pane="bottomLeft" activeCell="A1" sqref="A1"/>
    </sheetView>
  </sheetViews>
  <sheetFormatPr baseColWidth="8" defaultRowHeight="15"/>
  <cols>
    <col width="5" customWidth="1" min="1" max="1"/>
    <col width="24" customWidth="1" min="2" max="2"/>
    <col width="30" customWidth="1" min="3" max="3"/>
    <col width="11" customWidth="1" min="4" max="4"/>
    <col width="11" customWidth="1" min="5" max="5"/>
    <col width="11" customWidth="1" min="6" max="6"/>
    <col width="11" customWidth="1" min="7" max="7"/>
    <col width="11" customWidth="1" min="8" max="8"/>
    <col width="26" customWidth="1" min="9" max="9"/>
    <col width="26" customWidth="1" min="10" max="10"/>
  </cols>
  <sheetData>
    <row r="1" ht="26" customHeight="1">
      <c r="A1" s="1" t="inlineStr">
        <is>
          <t>仕様書４（3）　実施済み調査結果の集計・分析の状況</t>
        </is>
      </c>
    </row>
    <row r="2" ht="52" customHeight="1">
      <c r="A2" s="2" t="inlineStr">
        <is>
          <t>仕様書４（3）が定める対象4調査について、資料の受領から分析・計画への反映までを段階別に管理する。仕様書は「新たなアンケート調査の企画、設計、配布、回収、入力及び督促は行わない」と定めており、本業務の範囲は貸与資料に基づく集計・クロス集計・分析・課題整理・計画への反映である。</t>
        </is>
      </c>
    </row>
    <row r="4" ht="32" customHeight="1">
      <c r="A4" s="3" t="inlineStr">
        <is>
          <t>No.</t>
        </is>
      </c>
      <c r="B4" s="3" t="inlineStr">
        <is>
          <t>対象調査</t>
        </is>
      </c>
      <c r="C4" s="3" t="inlineStr">
        <is>
          <t>計画での用途</t>
        </is>
      </c>
      <c r="D4" s="3" t="inlineStr">
        <is>
          <t>①資料の受領</t>
        </is>
      </c>
      <c r="E4" s="3" t="inlineStr">
        <is>
          <t>②単純集計</t>
        </is>
      </c>
      <c r="F4" s="3" t="inlineStr">
        <is>
          <t>③クロス集計</t>
        </is>
      </c>
      <c r="G4" s="3" t="inlineStr">
        <is>
          <t>④分析・課題整理</t>
        </is>
      </c>
      <c r="H4" s="3" t="inlineStr">
        <is>
          <t>⑤計画への反映</t>
        </is>
      </c>
      <c r="I4" s="3" t="inlineStr">
        <is>
          <t>現時点の状況</t>
        </is>
      </c>
      <c r="J4" s="3" t="inlineStr">
        <is>
          <t>確認事項No.</t>
        </is>
      </c>
    </row>
    <row r="5" ht="88" customHeight="1">
      <c r="A5" s="4" t="n">
        <v>1</v>
      </c>
      <c r="B5" s="5" t="inlineStr">
        <is>
          <t>①在宅生活改善調査</t>
        </is>
      </c>
      <c r="C5" s="5" t="inlineStr">
        <is>
          <t>在宅生活の継続を困難にしている要因の把握。第2章第5節（在宅生活の課題）、第5章基本目標2（在宅生活の支援）の根拠。代表KPI H06（在宅生活継続困難割合）の基準値。</t>
        </is>
      </c>
      <c r="D5" s="4" t="inlineStr">
        <is>
          <t>受領済</t>
        </is>
      </c>
      <c r="E5" s="4" t="inlineStr">
        <is>
          <t>完了</t>
        </is>
      </c>
      <c r="F5" s="4" t="inlineStr">
        <is>
          <t>完了</t>
        </is>
      </c>
      <c r="G5" s="4" t="inlineStr">
        <is>
          <t>完了</t>
        </is>
      </c>
      <c r="H5" s="4" t="inlineStr">
        <is>
          <t>実施中</t>
        </is>
      </c>
      <c r="I5" s="11" t="inlineStr">
        <is>
          <t>第9期計画に掲載された令和5年5月25日実施分（居宅介護支援事業所12事業所・91人）を再整理し、図表集12シートに結果概要としてまとめた（要介護度別内訳を含む）。令和8年8月4日に第10期分（事業所票15件・利用者票99票）を受領し集計した。利用者票の所在地区の記入形式が不統一であり地区別集計はできない。回答の36.4％が同一法人の小規模多機能2事業所からの提出である。</t>
        </is>
      </c>
      <c r="J5" s="4" t="inlineStr">
        <is>
          <t>8, 9</t>
        </is>
      </c>
    </row>
    <row r="6" ht="88" customHeight="1">
      <c r="A6" s="4" t="n">
        <v>2</v>
      </c>
      <c r="B6" s="5" t="inlineStr">
        <is>
          <t>②居所変更実態調査</t>
        </is>
      </c>
      <c r="C6" s="5" t="inlineStr">
        <is>
          <t>在宅から施設・住まいへの移行の実態把握。第2章第6節（住まいと施設）、第6章第2節（施設・居住系の見込量）の根拠。代表KPI H11（供給不足を理由とする住替え割合）の基準値。</t>
        </is>
      </c>
      <c r="D6" s="4" t="inlineStr">
        <is>
          <t>受領済</t>
        </is>
      </c>
      <c r="E6" s="4" t="inlineStr">
        <is>
          <t>完了</t>
        </is>
      </c>
      <c r="F6" s="4" t="inlineStr">
        <is>
          <t>完了</t>
        </is>
      </c>
      <c r="G6" s="4" t="inlineStr">
        <is>
          <t>完了</t>
        </is>
      </c>
      <c r="H6" s="4" t="inlineStr">
        <is>
          <t>実施中</t>
        </is>
      </c>
      <c r="I6" s="11" t="inlineStr">
        <is>
          <t>第9期計画に掲載された令和5年5月25日実施分（施設・居住系21施設回答）を再整理し、図表集11シートに結果概要としてまとめた（退居・退所者の居所変更／死亡の別を含む）。令和8年8月4日に第10期分（施設等票18件・定員652人・入所者536人）を受領し集計した。新規入所335人の入所前の居場所は病院・診療所57.0％・自宅27.5％、退去349人の退去先は病院・診療所47.0％・死亡27.2％・自宅12.3％である。</t>
        </is>
      </c>
      <c r="J6" s="4" t="inlineStr">
        <is>
          <t>8, 9</t>
        </is>
      </c>
    </row>
    <row r="7" ht="88" customHeight="1">
      <c r="A7" s="4" t="n">
        <v>3</v>
      </c>
      <c r="B7" s="5" t="inlineStr">
        <is>
          <t>③介護人材実態調査</t>
        </is>
      </c>
      <c r="C7" s="5" t="inlineStr">
        <is>
          <t>介護人材の確保・定着の実態把握。第2章第7節（介護人材）、第5章基本目標4（人材の確保）の根拠。代表KPI H13・H14（人材の確保と定着）の基準値。</t>
        </is>
      </c>
      <c r="D7" s="4" t="inlineStr">
        <is>
          <t>受領済</t>
        </is>
      </c>
      <c r="E7" s="4" t="inlineStr">
        <is>
          <t>完了</t>
        </is>
      </c>
      <c r="F7" s="4" t="inlineStr">
        <is>
          <t>完了</t>
        </is>
      </c>
      <c r="G7" s="4" t="inlineStr">
        <is>
          <t>完了</t>
        </is>
      </c>
      <c r="H7" s="4" t="inlineStr">
        <is>
          <t>実施中</t>
        </is>
      </c>
      <c r="I7" s="11" t="inlineStr">
        <is>
          <t>第9期計画に掲載された令和5年5月25日実施分（施設系35事業所中27施設回答・回収率77.1％・該当職員405人）を再整理し、図表集13シートにまとめた。令和8年8月4日に第10期分（事業所票27件・職員個票317人・職員票26件）を受領し集計した。介護職員348人（重複を除く）、介護福祉士67.1％、勤続1年未満19.9％、外国人職員11.6％、令和6年度の採用83人・離職65人である。北海道の評価指標⑥と同じ「採用率と離職率の差」（H14）の算定には、各年9月30日現在の在籍者数を要するが、本調査は令和7年4月1日現在である。</t>
        </is>
      </c>
      <c r="J7" s="4" t="inlineStr">
        <is>
          <t>8, 9, 10</t>
        </is>
      </c>
    </row>
    <row r="8" ht="88" customHeight="1">
      <c r="A8" s="4" t="n">
        <v>4</v>
      </c>
      <c r="B8" s="5" t="inlineStr">
        <is>
          <t>④健康とくらしの調査
（JAGES調査）</t>
        </is>
      </c>
      <c r="C8" s="5" t="inlineStr">
        <is>
          <t>高齢者の健康状態、社会参加、生活支援ニーズの把握。第2章第4節（高齢者の状況）、第5章基本目標1（介護予防・社会参加）の根拠。代表KPI H04（フレイル該当割合）・H05（社会参加率）の基準値。</t>
        </is>
      </c>
      <c r="D8" s="4" t="inlineStr">
        <is>
          <t>受領済</t>
        </is>
      </c>
      <c r="E8" s="4" t="inlineStr">
        <is>
          <t>完了</t>
        </is>
      </c>
      <c r="F8" s="4" t="inlineStr">
        <is>
          <t>完了</t>
        </is>
      </c>
      <c r="G8" s="4" t="inlineStr">
        <is>
          <t>完了</t>
        </is>
      </c>
      <c r="H8" s="4" t="inlineStr">
        <is>
          <t>実施中</t>
        </is>
      </c>
      <c r="I8" s="11" t="inlineStr">
        <is>
          <t>令和7年11月17日〜12月8日実施分の個票データ4,729票を受領済（65歳以上7,121人対象・回収4,798票・回収率67.4％）。20指標の年齢階級別・町別集計に加え、小学校区12地区別の集計、年齢調整による地域比較、社会参加・世帯構成・経済状況・移動制約・在宅生活の課題との関連分析を実施し、調査クロス集計・分析（13シート）として取りまとめた。H04＝19.1％、H05の基準値を確定。大雪独自設問によりH06・H07・H08・H11の代替データ源を特定した（確認No.4）。計画素案への反映は次稿で行う。</t>
        </is>
      </c>
      <c r="J8" s="4" t="inlineStr">
        <is>
          <t>4, 8, 9</t>
        </is>
      </c>
    </row>
    <row r="10" ht="32" customHeight="1">
      <c r="A10" s="3" t="inlineStr">
        <is>
          <t>段階</t>
        </is>
      </c>
      <c r="B10" s="3" t="inlineStr">
        <is>
          <t>作業の内容</t>
        </is>
      </c>
      <c r="C10" s="3" t="inlineStr">
        <is>
          <t>仕様書の根拠</t>
        </is>
      </c>
      <c r="D10" s="3" t="inlineStr"/>
      <c r="E10" s="3" t="inlineStr"/>
      <c r="F10" s="3" t="inlineStr"/>
      <c r="G10" s="3" t="inlineStr"/>
      <c r="H10" s="3" t="inlineStr"/>
      <c r="I10" s="3" t="inlineStr"/>
      <c r="J10" s="3" t="inlineStr"/>
    </row>
    <row r="11" ht="32" customHeight="1">
      <c r="A11" s="5" t="inlineStr">
        <is>
          <t>①資料の受領</t>
        </is>
      </c>
      <c r="B11" s="5" t="inlineStr">
        <is>
          <t>調査票、回答データ（Excel、CSV等）、集計資料、分析資料及び報告書の受領と内容確認</t>
        </is>
      </c>
      <c r="C11" s="5" t="inlineStr">
        <is>
          <t>仕様書４（3）</t>
        </is>
      </c>
      <c r="D11" s="5" t="inlineStr"/>
      <c r="E11" s="5" t="inlineStr"/>
      <c r="F11" s="5" t="inlineStr"/>
      <c r="G11" s="5" t="inlineStr"/>
      <c r="H11" s="5" t="inlineStr"/>
      <c r="I11" s="5" t="inlineStr"/>
      <c r="J11" s="5" t="inlineStr"/>
    </row>
    <row r="12" ht="32" customHeight="1">
      <c r="A12" s="5" t="inlineStr">
        <is>
          <t>②単純集計</t>
        </is>
      </c>
      <c r="B12" s="5" t="inlineStr">
        <is>
          <t>各設問の単純集計（度数・構成比）の作成と、既存集計資料との照合</t>
        </is>
      </c>
      <c r="C12" s="5" t="inlineStr">
        <is>
          <t>仕様書４（3）</t>
        </is>
      </c>
      <c r="D12" s="5" t="inlineStr"/>
      <c r="E12" s="5" t="inlineStr"/>
      <c r="F12" s="5" t="inlineStr"/>
      <c r="G12" s="5" t="inlineStr"/>
      <c r="H12" s="5" t="inlineStr"/>
      <c r="I12" s="5" t="inlineStr"/>
      <c r="J12" s="5" t="inlineStr"/>
    </row>
    <row r="13" ht="32" customHeight="1">
      <c r="A13" s="5" t="inlineStr">
        <is>
          <t>③クロス集計</t>
        </is>
      </c>
      <c r="B13" s="5" t="inlineStr">
        <is>
          <t>必要なクロス集計の作成（属性別・要介護度別・町別・圏域別等）</t>
        </is>
      </c>
      <c r="C13" s="5" t="inlineStr">
        <is>
          <t>仕様書４（3）</t>
        </is>
      </c>
      <c r="D13" s="5" t="inlineStr"/>
      <c r="E13" s="5" t="inlineStr"/>
      <c r="F13" s="5" t="inlineStr"/>
      <c r="G13" s="5" t="inlineStr"/>
      <c r="H13" s="5" t="inlineStr"/>
      <c r="I13" s="5" t="inlineStr"/>
      <c r="J13" s="5" t="inlineStr"/>
    </row>
    <row r="14" ht="32" customHeight="1">
      <c r="A14" s="5" t="inlineStr">
        <is>
          <t>④分析・課題整理</t>
        </is>
      </c>
      <c r="B14" s="5" t="inlineStr">
        <is>
          <t>見える化システム、介護給付実績及び人口推計等と組み合わせた分析。地域課題、介護サービス基盤、介護予防施策及び介護人材確保等の視点からの課題整理</t>
        </is>
      </c>
      <c r="C14" s="5" t="inlineStr">
        <is>
          <t>仕様書４（3）</t>
        </is>
      </c>
      <c r="D14" s="5" t="inlineStr"/>
      <c r="E14" s="5" t="inlineStr"/>
      <c r="F14" s="5" t="inlineStr"/>
      <c r="G14" s="5" t="inlineStr"/>
      <c r="H14" s="5" t="inlineStr"/>
      <c r="I14" s="5" t="inlineStr"/>
      <c r="J14" s="5" t="inlineStr"/>
    </row>
    <row r="15" ht="32" customHeight="1">
      <c r="A15" s="5" t="inlineStr">
        <is>
          <t>⑤計画への反映</t>
        </is>
      </c>
      <c r="B15" s="5" t="inlineStr">
        <is>
          <t>第10期計画の該当章への反映、代表KPIの基準値の設定</t>
        </is>
      </c>
      <c r="C15" s="5" t="inlineStr">
        <is>
          <t>仕様書４（3）</t>
        </is>
      </c>
      <c r="D15" s="5" t="inlineStr"/>
      <c r="E15" s="5" t="inlineStr"/>
      <c r="F15" s="5" t="inlineStr"/>
      <c r="G15" s="5" t="inlineStr"/>
      <c r="H15" s="5" t="inlineStr"/>
      <c r="I15" s="5" t="inlineStr"/>
      <c r="J15" s="5" t="inlineStr"/>
    </row>
    <row r="17" ht="39" customHeight="1">
      <c r="A17" s="16" t="inlineStr">
        <is>
          <t>注1）4調査はいずれも発注者において実施済みであり、本業務では新たな調査の企画、設計、配布、回収、入力及び督促は行わない。契約締結後に発注者から貸与される資料に基づき、集計・クロス集計・分析・課題整理・計画への反映を行う。注2）健康とくらしの調査（令和7年度）は個票データを受領済であり、単純集計・クロス集計・分析を完了している（調査クロス集計・分析 13シート）。他の3調査は令和8年8月4日に第10期分を受領し、点検と集計を行った。点検事項35件のうち重大6件の取扱いが決まるまでは、計画素案の該当箇所を令和5年調査又は見える化システムの数値により暫定的に記述し、確定を要する箇所を［要確認］としている。注3）代表KPIのうちH12・H16は事業所実態調査をデータ源としているが、受領した事業所票に受入困難・BCPの設問がなく、基準値を算定できない。H07・H08の在宅介護実態調査は実施されていない（確認事項No.4）。</t>
        </is>
      </c>
    </row>
  </sheetData>
  <mergeCells count="3">
    <mergeCell ref="A17:J17"/>
    <mergeCell ref="A1:J1"/>
    <mergeCell ref="A2:J2"/>
  </mergeCells>
  <conditionalFormatting sqref="E5:E8">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conditionalFormatting sqref="F5:F8">
    <cfRule type="cellIs" priority="6" operator="equal" dxfId="0">
      <formula>"完了"</formula>
    </cfRule>
    <cfRule type="cellIs" priority="7" operator="equal" dxfId="1">
      <formula>"実施中"</formula>
    </cfRule>
    <cfRule type="cellIs" priority="8" operator="equal" dxfId="2">
      <formula>"確認待ち"</formula>
    </cfRule>
    <cfRule type="cellIs" priority="9" operator="equal" dxfId="3">
      <formula>"未着手"</formula>
    </cfRule>
    <cfRule type="cellIs" priority="10" operator="equal" dxfId="4">
      <formula>"対象外"</formula>
    </cfRule>
  </conditionalFormatting>
  <conditionalFormatting sqref="G5:G8">
    <cfRule type="cellIs" priority="11" operator="equal" dxfId="0">
      <formula>"完了"</formula>
    </cfRule>
    <cfRule type="cellIs" priority="12" operator="equal" dxfId="1">
      <formula>"実施中"</formula>
    </cfRule>
    <cfRule type="cellIs" priority="13" operator="equal" dxfId="2">
      <formula>"確認待ち"</formula>
    </cfRule>
    <cfRule type="cellIs" priority="14" operator="equal" dxfId="3">
      <formula>"未着手"</formula>
    </cfRule>
    <cfRule type="cellIs" priority="15" operator="equal" dxfId="4">
      <formula>"対象外"</formula>
    </cfRule>
  </conditionalFormatting>
  <conditionalFormatting sqref="H5:H8">
    <cfRule type="cellIs" priority="16" operator="equal" dxfId="0">
      <formula>"完了"</formula>
    </cfRule>
    <cfRule type="cellIs" priority="17" operator="equal" dxfId="1">
      <formula>"実施中"</formula>
    </cfRule>
    <cfRule type="cellIs" priority="18" operator="equal" dxfId="2">
      <formula>"確認待ち"</formula>
    </cfRule>
    <cfRule type="cellIs" priority="19" operator="equal" dxfId="3">
      <formula>"未着手"</formula>
    </cfRule>
    <cfRule type="cellIs" priority="20" operator="equal" dxfId="4">
      <formula>"対象外"</formula>
    </cfRule>
  </conditionalFormatting>
  <conditionalFormatting sqref="D5:D8">
    <cfRule type="cellIs" priority="21" operator="equal" dxfId="0">
      <formula>"受領済"</formula>
    </cfRule>
    <cfRule type="cellIs" priority="22" operator="equal" dxfId="2">
      <formula>"一部受領"</formula>
    </cfRule>
    <cfRule type="cellIs" priority="23" operator="equal" dxfId="3">
      <formula>"未受領"</formula>
    </cfRule>
  </conditionalFormatting>
  <dataValidations count="5">
    <dataValidation sqref="E5:E8" showDropDown="0" showInputMessage="0" showErrorMessage="0" allowBlank="1" type="list">
      <formula1>"完了,実施中,確認待ち,未着手,対象外"</formula1>
    </dataValidation>
    <dataValidation sqref="F5:F8" showDropDown="0" showInputMessage="0" showErrorMessage="0" allowBlank="1" type="list">
      <formula1>"完了,実施中,確認待ち,未着手,対象外"</formula1>
    </dataValidation>
    <dataValidation sqref="G5:G8" showDropDown="0" showInputMessage="0" showErrorMessage="0" allowBlank="1" type="list">
      <formula1>"完了,実施中,確認待ち,未着手,対象外"</formula1>
    </dataValidation>
    <dataValidation sqref="H5:H8" showDropDown="0" showInputMessage="0" showErrorMessage="0" allowBlank="1" type="list">
      <formula1>"完了,実施中,確認待ち,未着手,対象外"</formula1>
    </dataValidation>
    <dataValidation sqref="D5:D8" showDropDown="0" showInputMessage="0" showErrorMessage="0" allowBlank="1" type="list">
      <formula1>"受領済,一部受領,未受領"</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2"/>
  <sheetViews>
    <sheetView workbookViewId="0">
      <pane ySplit="4" topLeftCell="A5" activePane="bottomLeft" state="frozen"/>
      <selection pane="bottomLeft" activeCell="A1" sqref="A1"/>
    </sheetView>
  </sheetViews>
  <sheetFormatPr baseColWidth="8" defaultRowHeight="15"/>
  <cols>
    <col width="5" customWidth="1" min="1" max="1"/>
    <col width="8" customWidth="1" min="2" max="2"/>
    <col width="30" customWidth="1" min="3" max="3"/>
    <col width="40" customWidth="1" min="4" max="4"/>
    <col width="30" customWidth="1" min="5" max="5"/>
    <col width="16" customWidth="1" min="6" max="6"/>
    <col width="11" customWidth="1" min="7" max="7"/>
    <col width="9" customWidth="1" min="8" max="8"/>
    <col width="11" customWidth="1" min="9" max="9"/>
    <col width="22" customWidth="1" min="10" max="10"/>
  </cols>
  <sheetData>
    <row r="1" ht="26" customHeight="1">
      <c r="A1" s="1" t="inlineStr">
        <is>
          <t>資料提供依頼一覧（20件）</t>
        </is>
      </c>
    </row>
    <row r="2" ht="52" customHeight="1">
      <c r="A2" s="2" t="inlineStr">
        <is>
          <t>成果物の主張を確定するために提供を要する資料を一覧化する。03シートの確認事項が発注者・3町・北海道の「決定」を求めるものであるのに対し、本シートは「資料の提供」を求めるものである。根拠及び各資料が確定する主張は、「主張の根拠水準の棚卸しと再レビュー」06シートに対応する。</t>
        </is>
      </c>
    </row>
    <row r="4" ht="32" customHeight="1">
      <c r="A4" s="3" t="inlineStr">
        <is>
          <t>No.</t>
        </is>
      </c>
      <c r="B4" s="3" t="inlineStr">
        <is>
          <t>領域</t>
        </is>
      </c>
      <c r="C4" s="3" t="inlineStr">
        <is>
          <t>資料</t>
        </is>
      </c>
      <c r="D4" s="3" t="inlineStr">
        <is>
          <t>内容</t>
        </is>
      </c>
      <c r="E4" s="3" t="inlineStr">
        <is>
          <t>確定する主張</t>
        </is>
      </c>
      <c r="F4" s="3" t="inlineStr">
        <is>
          <t>入手先</t>
        </is>
      </c>
      <c r="G4" s="3" t="inlineStr">
        <is>
          <t>希望時期</t>
        </is>
      </c>
      <c r="H4" s="3" t="inlineStr">
        <is>
          <t>優先度</t>
        </is>
      </c>
      <c r="I4" s="3" t="inlineStr">
        <is>
          <t>状態</t>
        </is>
      </c>
      <c r="J4" s="3" t="inlineStr">
        <is>
          <t>備考</t>
        </is>
      </c>
    </row>
    <row r="5" ht="56" customHeight="1">
      <c r="A5" s="4" t="n">
        <v>13</v>
      </c>
      <c r="B5" s="4" t="inlineStr">
        <is>
          <t>G</t>
        </is>
      </c>
      <c r="C5" s="5" t="inlineStr">
        <is>
          <t>令和6〜8年度の施策・事業実績、事業量、対象実人数、予算・決算</t>
        </is>
      </c>
      <c r="D5" s="5" t="inlineStr">
        <is>
          <t>第9期のプロセス評価（事業が計画どおり実施されたか）に必要。現時点で最大の空白。5区分14項目に展開し、記入様式を別冊「資料提供依頼_第9期の施策事業実績」（7シート）として作成した。既存資料（事務事業評価表、実施計画、介護保険事業状況報告、決算書）の写しのご提供でも足りる。</t>
        </is>
      </c>
      <c r="E5" s="5" t="inlineStr">
        <is>
          <t>第9期の評価の完成</t>
        </is>
      </c>
      <c r="F5" s="5" t="inlineStr">
        <is>
          <t>発注者</t>
        </is>
      </c>
      <c r="G5" s="4" t="inlineStr">
        <is>
          <t>R8.8</t>
        </is>
      </c>
      <c r="H5" s="12" t="inlineStr">
        <is>
          <t>最高</t>
        </is>
      </c>
      <c r="I5" s="4" t="inlineStr">
        <is>
          <t>確認待ち</t>
        </is>
      </c>
      <c r="J5" s="5" t="inlineStr">
        <is>
          <t>確認事項No.1と対応。仕様書４（2）が完了しない。代替できない項目が3件ある（同別冊06シート）</t>
        </is>
      </c>
    </row>
    <row r="6" ht="56" customHeight="1">
      <c r="A6" s="4" t="n">
        <v>3</v>
      </c>
      <c r="B6" s="4" t="inlineStr">
        <is>
          <t>A</t>
        </is>
      </c>
      <c r="C6" s="5" t="inlineStr">
        <is>
          <t>令和6年・令和7年の町別住民基本台帳人口（年齢4区分別）</t>
        </is>
      </c>
      <c r="D6" s="5" t="inlineStr">
        <is>
          <t>第9期計画の推計と社人研推計のどちらが実績に近いかを検証する。</t>
        </is>
      </c>
      <c r="E6" s="5" t="inlineStr">
        <is>
          <t>東川町の人口推計の乖離の要因、第10期の人口推計の基礎</t>
        </is>
      </c>
      <c r="F6" s="5" t="inlineStr">
        <is>
          <t>3町</t>
        </is>
      </c>
      <c r="G6" s="4" t="inlineStr">
        <is>
          <t>R8.9</t>
        </is>
      </c>
      <c r="H6" s="10" t="inlineStr">
        <is>
          <t>高</t>
        </is>
      </c>
      <c r="I6" s="4" t="inlineStr">
        <is>
          <t>確認待ち</t>
        </is>
      </c>
      <c r="J6" s="5" t="inlineStr">
        <is>
          <t>確認事項No.11と対応</t>
        </is>
      </c>
    </row>
    <row r="7" ht="56" customHeight="1">
      <c r="A7" s="4" t="n">
        <v>5</v>
      </c>
      <c r="B7" s="4" t="inlineStr">
        <is>
          <t>G</t>
        </is>
      </c>
      <c r="C7" s="5" t="inlineStr">
        <is>
          <t>保険者機能強化推進交付金等の評価調書（令和4〜7年度分）</t>
        </is>
      </c>
      <c r="D7" s="5" t="inlineStr">
        <is>
          <t>①0点10項目が取組の不在か要件未充足かの判別、②成果指標の分子・分母の実数、③評価対象期間の確認、④令和6年・令和7年調査の得点。</t>
        </is>
      </c>
      <c r="E7" s="5" t="inlineStr">
        <is>
          <t>交付金評価の解釈、W144の要因、評価対象期間</t>
        </is>
      </c>
      <c r="F7" s="5" t="inlineStr">
        <is>
          <t>発注者</t>
        </is>
      </c>
      <c r="G7" s="4" t="inlineStr">
        <is>
          <t>R8.9</t>
        </is>
      </c>
      <c r="H7" s="10" t="inlineStr">
        <is>
          <t>高</t>
        </is>
      </c>
      <c r="I7" s="4" t="inlineStr">
        <is>
          <t>確認待ち</t>
        </is>
      </c>
      <c r="J7" s="5" t="inlineStr">
        <is>
          <t>確認事項No.6・38と対応</t>
        </is>
      </c>
    </row>
    <row r="8" ht="56" customHeight="1">
      <c r="A8" s="4" t="n">
        <v>6</v>
      </c>
      <c r="B8" s="4" t="inlineStr">
        <is>
          <t>C</t>
        </is>
      </c>
      <c r="C8" s="5" t="inlineStr">
        <is>
          <t>国民健康保険団体連合会の給付実績情報と指定事業所台帳（一部解消）</t>
        </is>
      </c>
      <c r="D8" s="5" t="inlineStr">
        <is>
          <t>自給率（δ）は見える化から受領し、区域外の事業所による給付の割合が確定した（R8.7.30）。残るのは区域外事業所の所在地の特定（No.18）と町別給付費による金額換算（No.17）である。</t>
        </is>
      </c>
      <c r="E8" s="5" t="inlineStr">
        <is>
          <t>給付水準の要因（区域外利用との関係は無相関と判明）</t>
        </is>
      </c>
      <c r="F8" s="5" t="inlineStr">
        <is>
          <t>発注者・国保連</t>
        </is>
      </c>
      <c r="G8" s="4" t="inlineStr">
        <is>
          <t>R8.10</t>
        </is>
      </c>
      <c r="H8" s="10" t="inlineStr">
        <is>
          <t>高</t>
        </is>
      </c>
      <c r="I8" s="4" t="inlineStr">
        <is>
          <t>実施中</t>
        </is>
      </c>
      <c r="J8" s="5" t="inlineStr">
        <is>
          <t>確認事項No.30と対応。No.17・No.18に分割</t>
        </is>
      </c>
    </row>
    <row r="9" ht="56" customHeight="1">
      <c r="A9" s="4" t="n">
        <v>7</v>
      </c>
      <c r="B9" s="4" t="inlineStr">
        <is>
          <t>D</t>
        </is>
      </c>
      <c r="C9" s="5" t="inlineStr">
        <is>
          <t>事業所・施設の定員と稼働の実績</t>
        </is>
      </c>
      <c r="D9" s="5" t="inlineStr">
        <is>
          <t>①地域密着型通所介護4事業所の定員・登録者数・延べ利用者数（令和4〜8年度）、②施設・居住系の定員・入所者数・空床・休止床、③介護老人福祉施設の定員減少（234人→160人）の経緯。</t>
        </is>
      </c>
      <c r="E9" s="5" t="inlineStr">
        <is>
          <t>稼働率の低下の有無、定員減少の経緯</t>
        </is>
      </c>
      <c r="F9" s="5" t="inlineStr">
        <is>
          <t>発注者・3町</t>
        </is>
      </c>
      <c r="G9" s="4" t="inlineStr">
        <is>
          <t>R8.10</t>
        </is>
      </c>
      <c r="H9" s="10" t="inlineStr">
        <is>
          <t>高</t>
        </is>
      </c>
      <c r="I9" s="4" t="inlineStr">
        <is>
          <t>確認待ち</t>
        </is>
      </c>
      <c r="J9" s="5" t="inlineStr">
        <is>
          <t>第6章の見込量算定に直結</t>
        </is>
      </c>
    </row>
    <row r="10" ht="56" customHeight="1">
      <c r="A10" s="4" t="n">
        <v>8</v>
      </c>
      <c r="B10" s="4" t="inlineStr">
        <is>
          <t>E</t>
        </is>
      </c>
      <c r="C10" s="5" t="inlineStr">
        <is>
          <t>未利用認定者の内訳とケアプランのサービス構成</t>
        </is>
      </c>
      <c r="D10" s="5" t="inlineStr">
        <is>
          <t>①居宅サービス計画未作成者の要介護度別内訳、②認定から初回利用までの期間、③新規認定者数と認定申請件数の推移、④訪問介護と通所介護の同一利用者における組合せ。</t>
        </is>
      </c>
      <c r="E10" s="5" t="inlineStr">
        <is>
          <t>利用率低下の要因、訪問と通所の代替関係、要介護5の受給率低下の要因</t>
        </is>
      </c>
      <c r="F10" s="5" t="inlineStr">
        <is>
          <t>発注者</t>
        </is>
      </c>
      <c r="G10" s="4" t="inlineStr">
        <is>
          <t>R8.10</t>
        </is>
      </c>
      <c r="H10" s="10" t="inlineStr">
        <is>
          <t>高</t>
        </is>
      </c>
      <c r="I10" s="4" t="inlineStr">
        <is>
          <t>確認待ち</t>
        </is>
      </c>
      <c r="J10" s="5" t="inlineStr">
        <is>
          <t>確認事項No.23と対応</t>
        </is>
      </c>
    </row>
    <row r="11" ht="56" customHeight="1">
      <c r="A11" s="4" t="n">
        <v>9</v>
      </c>
      <c r="B11" s="4" t="inlineStr">
        <is>
          <t>H</t>
        </is>
      </c>
      <c r="C11" s="5" t="inlineStr">
        <is>
          <t>決算書及び介護給付費準備基金の積立・取崩実績</t>
        </is>
      </c>
      <c r="D11" s="5" t="inlineStr">
        <is>
          <t>第7期から第9期の各年度。令和8年度末の残高見込を含む。</t>
        </is>
      </c>
      <c r="E11" s="5" t="inlineStr">
        <is>
          <t>第9期の剰余額（現在は概算）</t>
        </is>
      </c>
      <c r="F11" s="5" t="inlineStr">
        <is>
          <t>発注者</t>
        </is>
      </c>
      <c r="G11" s="4" t="inlineStr">
        <is>
          <t>R8.10</t>
        </is>
      </c>
      <c r="H11" s="10" t="inlineStr">
        <is>
          <t>高</t>
        </is>
      </c>
      <c r="I11" s="4" t="inlineStr">
        <is>
          <t>確認待ち</t>
        </is>
      </c>
      <c r="J11" s="5" t="inlineStr">
        <is>
          <t>確認事項No.16と対応</t>
        </is>
      </c>
    </row>
    <row r="12" ht="56" customHeight="1">
      <c r="A12" s="4" t="n">
        <v>11</v>
      </c>
      <c r="B12" s="4" t="inlineStr">
        <is>
          <t>H</t>
        </is>
      </c>
      <c r="C12" s="5" t="inlineStr">
        <is>
          <t>第10期の政令改正の内容（所得段階・乗率・負担割合）</t>
        </is>
      </c>
      <c r="D12" s="5" t="inlineStr">
        <is>
          <t>標準段階数、標準乗率、公費軽減の乗率、第1号被保険者負担割合。</t>
        </is>
      </c>
      <c r="E12" s="5" t="inlineStr">
        <is>
          <t>第10期の段階設計と保険料算定</t>
        </is>
      </c>
      <c r="F12" s="5" t="inlineStr">
        <is>
          <t>国の情報</t>
        </is>
      </c>
      <c r="G12" s="4" t="inlineStr">
        <is>
          <t>告示後</t>
        </is>
      </c>
      <c r="H12" s="10" t="inlineStr">
        <is>
          <t>高</t>
        </is>
      </c>
      <c r="I12" s="4" t="inlineStr">
        <is>
          <t>未着手</t>
        </is>
      </c>
      <c r="J12" s="5" t="inlineStr">
        <is>
          <t>国の告示を待つ。受託者が随時確認する</t>
        </is>
      </c>
    </row>
    <row r="13" ht="56" customHeight="1">
      <c r="A13" s="4" t="n">
        <v>14</v>
      </c>
      <c r="B13" s="4" t="inlineStr">
        <is>
          <t>F</t>
        </is>
      </c>
      <c r="C13" s="5" t="inlineStr">
        <is>
          <t>在宅生活改善調査・居所変更実態調査・介護人材実態調査の第10期分</t>
        </is>
      </c>
      <c r="D13" s="5" t="inlineStr">
        <is>
          <t>令和8年8月4日に102ファイルを受領。残るのは点検事項35件の解消。</t>
        </is>
      </c>
      <c r="E13" s="5" t="inlineStr">
        <is>
          <t>4調査横断のクロス集計、H06・H11・H13・H14の基準値</t>
        </is>
      </c>
      <c r="F13" s="5" t="inlineStr">
        <is>
          <t>発注者</t>
        </is>
      </c>
      <c r="G13" s="4" t="inlineStr">
        <is>
          <t>R8.8</t>
        </is>
      </c>
      <c r="H13" s="10" t="inlineStr">
        <is>
          <t>高</t>
        </is>
      </c>
      <c r="I13" s="4" t="inlineStr">
        <is>
          <t>実施中</t>
        </is>
      </c>
      <c r="J13" s="5" t="inlineStr">
        <is>
          <t>確認事項No.8・9と対応。重大6件の取扱いが決まると着手できる</t>
        </is>
      </c>
    </row>
    <row r="14" ht="56" customHeight="1">
      <c r="A14" s="4" t="n">
        <v>17</v>
      </c>
      <c r="B14" s="4" t="inlineStr">
        <is>
          <t>C</t>
        </is>
      </c>
      <c r="C14" s="5" t="inlineStr">
        <is>
          <t>町別・サービス区分別の給付費（令和4〜7年度）</t>
        </is>
      </c>
      <c r="D14" s="5" t="inlineStr">
        <is>
          <t>自給率と掛け合わせて区域外への給付費の流出額を算定する。自給率の加重平均の算定にも必要。</t>
        </is>
      </c>
      <c r="E14" s="5" t="inlineStr">
        <is>
          <t>給付費の地域内還流の議論</t>
        </is>
      </c>
      <c r="F14" s="5" t="inlineStr">
        <is>
          <t>発注者・国保連</t>
        </is>
      </c>
      <c r="G14" s="4" t="inlineStr">
        <is>
          <t>R8.10</t>
        </is>
      </c>
      <c r="H14" s="10" t="inlineStr">
        <is>
          <t>高</t>
        </is>
      </c>
      <c r="I14" s="4" t="inlineStr">
        <is>
          <t>確認待ち</t>
        </is>
      </c>
      <c r="J14" s="5" t="inlineStr">
        <is>
          <t>自給率（δ）は受領済（R8.7.30）。金額換算に必要</t>
        </is>
      </c>
    </row>
    <row r="15" ht="56" customHeight="1">
      <c r="A15" s="4" t="n">
        <v>18</v>
      </c>
      <c r="B15" s="4" t="inlineStr">
        <is>
          <t>D</t>
        </is>
      </c>
      <c r="C15" s="5" t="inlineStr">
        <is>
          <t>指定事業所台帳（区域外事業所の所在地、区域内の地域密着型事業所）</t>
        </is>
      </c>
      <c r="D15" s="5" t="inlineStr">
        <is>
          <t>①区域外の事業所が旭川市か他の市町村かを特定する。圏域を越えた利用の調整（第6章第4節）の根拠となる。②区域内の地域密着型サービスは広域連合が指定権者であり、グループホームくるみの郷は介護サービス情報公表システムに掲載がないため定員を公表資料で確認できない。同事業所の定員及び休止の状況。③事業所票に所在町の記入欄がないため、事業所の所在町。</t>
        </is>
      </c>
      <c r="E15" s="5" t="inlineStr">
        <is>
          <t>区域外利用の内訳、認知症対応型共同生活介護の区域内定員、居所変更実態調査の定員ベースの把握率</t>
        </is>
      </c>
      <c r="F15" s="5" t="inlineStr">
        <is>
          <t>発注者・国保連</t>
        </is>
      </c>
      <c r="G15" s="4" t="inlineStr">
        <is>
          <t>R8.10</t>
        </is>
      </c>
      <c r="H15" s="10" t="inlineStr">
        <is>
          <t>高</t>
        </is>
      </c>
      <c r="I15" s="4" t="inlineStr">
        <is>
          <t>確認待ち</t>
        </is>
      </c>
      <c r="J15" s="5" t="inlineStr">
        <is>
          <t>依頼No.6の残る部分。自給率では所在地が分からない。②は点検事項No.35に対応する</t>
        </is>
      </c>
    </row>
    <row r="16" ht="56" customHeight="1">
      <c r="A16" s="4" t="n">
        <v>19</v>
      </c>
      <c r="B16" s="4" t="inlineStr">
        <is>
          <t>B</t>
        </is>
      </c>
      <c r="C16" s="5" t="inlineStr">
        <is>
          <t>居住系・施設サービスの種別別受給者数と総合事業の実績</t>
        </is>
      </c>
      <c r="D16" s="5" t="inlineStr">
        <is>
          <t>第2段階の算定チェーンは見える化B3・D45・D46系列により閉じた。残るのは、グループホーム・特定施設等の種別別受給者数と介護予防・日常生活支援総合事業の実績である。</t>
        </is>
      </c>
      <c r="E16" s="5" t="inlineStr">
        <is>
          <t>サービス種別ごとの見込量の様式</t>
        </is>
      </c>
      <c r="F16" s="5" t="inlineStr">
        <is>
          <t>発注者</t>
        </is>
      </c>
      <c r="G16" s="4" t="inlineStr">
        <is>
          <t>R8.10</t>
        </is>
      </c>
      <c r="H16" s="10" t="inlineStr">
        <is>
          <t>高</t>
        </is>
      </c>
      <c r="I16" s="4" t="inlineStr">
        <is>
          <t>実施中</t>
        </is>
      </c>
      <c r="J16" s="5" t="inlineStr">
        <is>
          <t>施設・居住系は定員により見込むため代替可能（将来推計 第2段階 06シートで区域内定員と突合済み）。総合事業は広域連合の実績によるほかない</t>
        </is>
      </c>
    </row>
    <row r="17" ht="56" customHeight="1">
      <c r="A17" s="4" t="n">
        <v>10</v>
      </c>
      <c r="B17" s="4" t="inlineStr">
        <is>
          <t>H</t>
        </is>
      </c>
      <c r="C17" s="5" t="inlineStr">
        <is>
          <t>第7期（平成30〜令和2年度）の保険料条例</t>
        </is>
      </c>
      <c r="D17" s="5" t="inlineStr">
        <is>
          <t>基準額が6,077円か5,900円かを確定する。</t>
        </is>
      </c>
      <c r="E17" s="5" t="inlineStr">
        <is>
          <t>第7期の保険料基準額</t>
        </is>
      </c>
      <c r="F17" s="5" t="inlineStr">
        <is>
          <t>発注者</t>
        </is>
      </c>
      <c r="G17" s="4" t="inlineStr">
        <is>
          <t>R8.9</t>
        </is>
      </c>
      <c r="H17" s="8" t="inlineStr">
        <is>
          <t>中</t>
        </is>
      </c>
      <c r="I17" s="4" t="inlineStr">
        <is>
          <t>完了</t>
        </is>
      </c>
      <c r="J17" s="5" t="inlineStr">
        <is>
          <t>見える化C1により6,077円を確認（R8.7.30）。依頼は解消</t>
        </is>
      </c>
    </row>
    <row r="18" ht="56" customHeight="1">
      <c r="A18" s="4" t="n">
        <v>12</v>
      </c>
      <c r="B18" s="4" t="inlineStr">
        <is>
          <t>I</t>
        </is>
      </c>
      <c r="C18" s="5" t="inlineStr">
        <is>
          <t>小学校区と日常生活圏域の対応関係</t>
        </is>
      </c>
      <c r="D18" s="5" t="inlineStr">
        <is>
          <t>健康とくらしの調査の分析地域1（小学校区12地区）と第9期の6圏域の対応。美馬牛小学校区以外が不明。</t>
        </is>
      </c>
      <c r="E18" s="5" t="inlineStr">
        <is>
          <t>圏域別の分析、圏域設定の見直し</t>
        </is>
      </c>
      <c r="F18" s="5" t="inlineStr">
        <is>
          <t>美瑛町・3町</t>
        </is>
      </c>
      <c r="G18" s="4" t="inlineStr">
        <is>
          <t>R8.9</t>
        </is>
      </c>
      <c r="H18" s="8" t="inlineStr">
        <is>
          <t>中</t>
        </is>
      </c>
      <c r="I18" s="4" t="inlineStr">
        <is>
          <t>確認待ち</t>
        </is>
      </c>
      <c r="J18" s="5" t="inlineStr">
        <is>
          <t>確認事項No.20と対応</t>
        </is>
      </c>
    </row>
    <row r="19" ht="56" customHeight="1">
      <c r="A19" s="4" t="n">
        <v>15</v>
      </c>
      <c r="B19" s="4" t="inlineStr">
        <is>
          <t>G</t>
        </is>
      </c>
      <c r="C19" s="5" t="inlineStr">
        <is>
          <t>第9期の自己評価と北海道への報告の実績</t>
        </is>
      </c>
      <c r="D19" s="5" t="inlineStr">
        <is>
          <t>介護保険法第117条に基づく評価・公表の実績。受託者の評価との対照に必要。</t>
        </is>
      </c>
      <c r="E19" s="5" t="inlineStr">
        <is>
          <t>評価の枠組みの整理</t>
        </is>
      </c>
      <c r="F19" s="5" t="inlineStr">
        <is>
          <t>発注者</t>
        </is>
      </c>
      <c r="G19" s="4" t="inlineStr">
        <is>
          <t>R8.9</t>
        </is>
      </c>
      <c r="H19" s="8" t="inlineStr">
        <is>
          <t>中</t>
        </is>
      </c>
      <c r="I19" s="4" t="inlineStr">
        <is>
          <t>確認待ち</t>
        </is>
      </c>
      <c r="J19" s="5" t="inlineStr">
        <is>
          <t>確認事項No.7と対応</t>
        </is>
      </c>
    </row>
    <row r="20" ht="56" customHeight="1">
      <c r="A20" s="4" t="n">
        <v>16</v>
      </c>
      <c r="B20" s="4" t="inlineStr">
        <is>
          <t>C</t>
        </is>
      </c>
      <c r="C20" s="5" t="inlineStr">
        <is>
          <t>見える化システムD49の指標定義</t>
        </is>
      </c>
      <c r="D20" s="5" t="inlineStr">
        <is>
          <t>性・年齢調整の適用範囲と指数化の基準。受給率×受給者単価が給付月額指数に一致しない理由の特定に必要。</t>
        </is>
      </c>
      <c r="E20" s="5" t="inlineStr">
        <is>
          <t>地域差指数の分解の可否</t>
        </is>
      </c>
      <c r="F20" s="5" t="inlineStr">
        <is>
          <t>見える化システム・厚生労働省</t>
        </is>
      </c>
      <c r="G20" s="4" t="inlineStr">
        <is>
          <t>R8.10</t>
        </is>
      </c>
      <c r="H20" s="8" t="inlineStr">
        <is>
          <t>中</t>
        </is>
      </c>
      <c r="I20" s="4" t="inlineStr">
        <is>
          <t>未着手</t>
        </is>
      </c>
      <c r="J20" s="5" t="inlineStr">
        <is>
          <t>受託者側で確認する</t>
        </is>
      </c>
    </row>
    <row r="21" ht="56" customHeight="1">
      <c r="A21" s="4" t="n">
        <v>20</v>
      </c>
      <c r="B21" s="4" t="inlineStr">
        <is>
          <t>―</t>
        </is>
      </c>
      <c r="C21" s="5" t="inlineStr">
        <is>
          <t>（受託者の作業）会議資料・委員会資料の作成時の留保の照合</t>
        </is>
      </c>
      <c r="D21" s="5" t="inlineStr">
        <is>
          <t>分析資料に付した留保（確認していない範囲、概算値である旨、単純平均か加重平均か、時点の違い等）が、会議資料へ転記する際に落ちていないかを照合する。キックオフ資料第3稿の自己点検で、12件中5件がこの類であった。</t>
        </is>
      </c>
      <c r="E21" s="5" t="inlineStr">
        <is>
          <t>会議資料・委員会資料の記述の正確性</t>
        </is>
      </c>
      <c r="F21" s="5" t="inlineStr">
        <is>
          <t>受託者</t>
        </is>
      </c>
      <c r="G21" s="4" t="inlineStr">
        <is>
          <t>随時</t>
        </is>
      </c>
      <c r="H21" s="8" t="inlineStr">
        <is>
          <t>中</t>
        </is>
      </c>
      <c r="I21" s="4" t="inlineStr">
        <is>
          <t>実施中</t>
        </is>
      </c>
      <c r="J21" s="5" t="inlineStr">
        <is>
          <t>キックオフ資料の点検結果05シートに手順を記録</t>
        </is>
      </c>
    </row>
    <row r="22" ht="56" customHeight="1">
      <c r="A22" s="4" t="n">
        <v>1</v>
      </c>
      <c r="B22" s="4" t="inlineStr">
        <is>
          <t>B</t>
        </is>
      </c>
      <c r="C22" s="5" t="inlineStr">
        <is>
          <t>見える化B5a・B6a・B6bの令和8年3月末の値</t>
        </is>
      </c>
      <c r="D22" s="5" t="inlineStr">
        <is>
          <t>調整済み認定率は令和7年3月末までしか出力されていない。第9期の評価には令和8年3月末（令和7年度末）の値が必要。</t>
        </is>
      </c>
      <c r="E22" s="5" t="inlineStr">
        <is>
          <t>中重度・軽度の認定率の推移</t>
        </is>
      </c>
      <c r="F22" s="5" t="inlineStr">
        <is>
          <t>見える化システム</t>
        </is>
      </c>
      <c r="G22" s="4" t="inlineStr">
        <is>
          <t>R8.9</t>
        </is>
      </c>
      <c r="H22" s="14" t="inlineStr">
        <is>
          <t>低</t>
        </is>
      </c>
      <c r="I22" s="4" t="inlineStr">
        <is>
          <t>未着手</t>
        </is>
      </c>
      <c r="J22" s="5" t="inlineStr">
        <is>
          <t>受託者側で出力を試行する</t>
        </is>
      </c>
    </row>
    <row r="23" ht="56" customHeight="1">
      <c r="A23" s="4" t="n">
        <v>2</v>
      </c>
      <c r="B23" s="4" t="inlineStr">
        <is>
          <t>I</t>
        </is>
      </c>
      <c r="C23" s="5" t="inlineStr">
        <is>
          <t>訪問系・通所系事業所の運営規程における通常の事業の実施地域【令和8年8月4日受領済】</t>
        </is>
      </c>
      <c r="D23" s="5" t="inlineStr">
        <is>
          <t>居宅サービスは北海道、地域密着型は広域連合が保有する。訪問・通所困難地域の判定の唯一の客観的根拠。北海道の介護保険事業所一覧（令和8年6月30日現在・47区分）に収録されており、区域内124件を抽出して整理した。</t>
        </is>
      </c>
      <c r="E23" s="5" t="inlineStr">
        <is>
          <t>訪問・通所困難地域の判定</t>
        </is>
      </c>
      <c r="F23" s="5" t="inlineStr">
        <is>
          <t>北海道・広域連合</t>
        </is>
      </c>
      <c r="G23" s="4" t="inlineStr">
        <is>
          <t>受領済</t>
        </is>
      </c>
      <c r="H23" s="14" t="inlineStr">
        <is>
          <t>低</t>
        </is>
      </c>
      <c r="I23" s="4" t="inlineStr">
        <is>
          <t>完了</t>
        </is>
      </c>
      <c r="J23" s="5" t="inlineStr">
        <is>
          <t>確認事項No.15と対応。住まいと施設の公表名簿との突合 08シート</t>
        </is>
      </c>
    </row>
    <row r="24" ht="56" customHeight="1">
      <c r="A24" s="4" t="n">
        <v>4</v>
      </c>
      <c r="B24" s="4" t="inlineStr">
        <is>
          <t>A</t>
        </is>
      </c>
      <c r="C24" s="5" t="inlineStr">
        <is>
          <t>令和7年国勢調査による町別の高齢者を含む世帯</t>
        </is>
      </c>
      <c r="D24" s="5" t="inlineStr">
        <is>
          <t>高齢者単身世帯・夫婦世帯の最新値。公表され次第。</t>
        </is>
      </c>
      <c r="E24" s="5" t="inlineStr">
        <is>
          <t>世帯構成の現状</t>
        </is>
      </c>
      <c r="F24" s="5" t="inlineStr">
        <is>
          <t>総務省・3町</t>
        </is>
      </c>
      <c r="G24" s="4" t="inlineStr">
        <is>
          <t>公表後</t>
        </is>
      </c>
      <c r="H24" s="14" t="inlineStr">
        <is>
          <t>低</t>
        </is>
      </c>
      <c r="I24" s="4" t="inlineStr">
        <is>
          <t>未着手</t>
        </is>
      </c>
      <c r="J24" s="5" t="inlineStr">
        <is>
          <t>公表待ち</t>
        </is>
      </c>
    </row>
    <row r="26" ht="32" customHeight="1">
      <c r="A26" s="3" t="inlineStr">
        <is>
          <t>優先度</t>
        </is>
      </c>
      <c r="B26" s="3" t="inlineStr">
        <is>
          <t>件数</t>
        </is>
      </c>
      <c r="C26" s="3" t="inlineStr">
        <is>
          <t>内容</t>
        </is>
      </c>
      <c r="D26" s="3" t="inlineStr"/>
      <c r="E26" s="3" t="inlineStr"/>
      <c r="F26" s="3" t="inlineStr"/>
      <c r="G26" s="3" t="inlineStr"/>
      <c r="H26" s="3" t="inlineStr"/>
      <c r="I26" s="3" t="inlineStr"/>
      <c r="J26" s="3" t="inlineStr"/>
    </row>
    <row r="27" ht="32" customHeight="1">
      <c r="A27" s="13" t="inlineStr">
        <is>
          <t>最高</t>
        </is>
      </c>
      <c r="B27" s="21" t="n">
        <v>1</v>
      </c>
      <c r="C27" s="5" t="inlineStr">
        <is>
          <t>No.13 令和6〜8年度の施策・事業実績、事業量、対象</t>
        </is>
      </c>
      <c r="D27" s="22" t="n"/>
      <c r="E27" s="22" t="n"/>
      <c r="F27" s="22" t="n"/>
      <c r="G27" s="22" t="n"/>
      <c r="H27" s="22" t="n"/>
      <c r="I27" s="22" t="n"/>
      <c r="J27" s="23" t="n"/>
    </row>
    <row r="28" ht="32" customHeight="1">
      <c r="A28" s="11" t="inlineStr">
        <is>
          <t>高</t>
        </is>
      </c>
      <c r="B28" s="21" t="n">
        <v>11</v>
      </c>
      <c r="C28" s="5" t="inlineStr">
        <is>
          <t>No.3 令和6年・令和7年の町別住民基本台帳人口（年、No.5 保険者機能強化推進交付金等の評価調書（令和4、No.6 国民健康保険団体連合会の給付実績情報と指定事、No.7 事業所・施設の定員と稼働の実績、No.8 未利用認定者の内訳とケアプランのサービス構成、No.9 決算書及び介護給付費準備基金の積立・取崩実績、No.11 第10期の政令改正の内容（所得段階・乗率・負、No.14 在宅生活改善調査・居所変更実態調査・介護人材、No.17 町別・サービス区分別の給付費（令和4〜7年度、No.18 指定事業所台帳（区域外事業所の所在地、区域内、No.19 居住系・施設サービスの種別別受給者数と総合事</t>
        </is>
      </c>
      <c r="D28" s="22" t="n"/>
      <c r="E28" s="22" t="n"/>
      <c r="F28" s="22" t="n"/>
      <c r="G28" s="22" t="n"/>
      <c r="H28" s="22" t="n"/>
      <c r="I28" s="22" t="n"/>
      <c r="J28" s="23" t="n"/>
    </row>
    <row r="29" ht="32" customHeight="1">
      <c r="A29" s="9" t="inlineStr">
        <is>
          <t>中</t>
        </is>
      </c>
      <c r="B29" s="21" t="n">
        <v>5</v>
      </c>
      <c r="C29" s="5" t="inlineStr">
        <is>
          <t>No.10 第7期（平成30〜令和2年度）の保険料条例、No.12 小学校区と日常生活圏域の対応関係、No.16 見える化システムD49の指標定義、No.20 （受託者の作業）会議資料・委員会資料の作成時、No.15 第9期の自己評価と北海道への報告の実績</t>
        </is>
      </c>
      <c r="D29" s="22" t="n"/>
      <c r="E29" s="22" t="n"/>
      <c r="F29" s="22" t="n"/>
      <c r="G29" s="22" t="n"/>
      <c r="H29" s="22" t="n"/>
      <c r="I29" s="22" t="n"/>
      <c r="J29" s="23" t="n"/>
    </row>
    <row r="30" ht="32" customHeight="1">
      <c r="A30" s="15" t="inlineStr">
        <is>
          <t>低</t>
        </is>
      </c>
      <c r="B30" s="21" t="n">
        <v>3</v>
      </c>
      <c r="C30" s="5" t="inlineStr">
        <is>
          <t>No.1 見える化B5a・B6a・B6bの令和8年3月、No.2 訪問系・通所系事業所の運営規程における通常の、No.4 令和7年国勢調査による町別の高齢者を含む世帯</t>
        </is>
      </c>
      <c r="D30" s="22" t="n"/>
      <c r="E30" s="22" t="n"/>
      <c r="F30" s="22" t="n"/>
      <c r="G30" s="22" t="n"/>
      <c r="H30" s="22" t="n"/>
      <c r="I30" s="22" t="n"/>
      <c r="J30" s="23" t="n"/>
    </row>
    <row r="32" ht="39" customHeight="1">
      <c r="A32" s="16" t="inlineStr">
        <is>
          <t>注1）最高優先の2件（No.13 事業実績、No.14 3調査の第10期分）は、いずれも業務内容そのものが進まない資料である。No.13がなければ仕様書４（2）のプロセス評価ができず、No.14がなければ仕様書４（3）が完了しない。注2）高優先の資料は、いずれも成果物の主張の根拠を推論・仮説から算定又は確認に引き上げるために必要である。特にNo.6（国保連の給付実績情報と指定事業所台帳）は、給付水準の要因という第10期の中心論点を確定する手段である。注3）本シートは令和8年7月29日の主張の棚卸し（全成果物46主張のMECEな分類）に基づく。各資料が確定する主張の詳細は、「主張の根拠水準の棚卸しと再レビュー」01・06シートに示している。</t>
        </is>
      </c>
    </row>
  </sheetData>
  <mergeCells count="7">
    <mergeCell ref="A1:J1"/>
    <mergeCell ref="A32:J32"/>
    <mergeCell ref="C29:J29"/>
    <mergeCell ref="C30:J30"/>
    <mergeCell ref="C28:J28"/>
    <mergeCell ref="C27:J27"/>
    <mergeCell ref="A2:J2"/>
  </mergeCells>
  <conditionalFormatting sqref="I5:I24">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I5:I24" showDropDown="0" showInputMessage="0" showErrorMessage="0" allowBlank="1" type="list">
      <formula1>"完了,実施中,確認待ち,未着手,対象外"</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2026-08-05T23:23:30Z</dcterms:created>
  <dcterms:modified xmlns:dcterms="http://purl.org/dc/terms/" xmlns:xsi="http://www.w3.org/2001/XMLSchema-instance" xsi:type="dcterms:W3CDTF">2026-08-05T23:23:30Z</dcterms:modified>
</cp:coreProperties>
</file>