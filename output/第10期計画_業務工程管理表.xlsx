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definedName name="_xlnm._FilterDatabase" localSheetId="3" hidden="1">'03_確認事項一覧'!$A$4:$J$194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業務仕様書「４．業務内容」（1）〜（12）及び「５．業務スケジュール（予定）」に沿って、業務内容別・月別の進捗を管理する。状況基準日：令和8年10月21日。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520" customHeight="1">
      <c r="A23" s="16" t="inlineStr">
        <is>
          <t>【現時点の全体状況（令和8年10月21日）】全体進捗は75％（進捗を数値で表せる10業務の単純平均）。令和8年9月は、サービス見込量の算定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1074段落158表36図で、未確定箇所は282箇所（要協議162・要確認118・要内訳2）である。確認事項は190件、成果品は144件、作成に用いた処理は141件である。ご決定をお待ちしていた確認事項には「決着しない場合の当方の扱い（既定値）」を全件置いたため、ご決定を待たずに算定を進めることができた。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令和8年10月15日には、改正法の法律案要綱及び新旧対照条文により改正後の介護保険法第117条ほかの条文を確認し、ご決定・ご確認をお待ちしている事項の一覧を何をすれば決着するかという軸で区分した。参照条文の文字起こしにより介護保険法第117条の項の全体が確定し、医療計画との整合性の確保及び混合型特定施設の必要利用定員総数がいずれも都道府県介護保険事業支援計画の事項であることが分かったため、計画素案の6箇所を是正した。広域連合及び構成3町等から資料の徴求を要するものは64件であり、その全件に資料が届かない場合の扱いを付している。うち58件は資料が届かなくても計画本文を確定でき、未確定箇所の記号が残るものは6件である。令和8年10月16日には、計画の概要版（A4判8頁）を作成した。パブリックコメント（令和9年1月）及び住民の皆様への周知に用いるものであり、頁割と掲載内容は別冊「概要版の構成案」によっている。数値は計画素案から引いているため、素案を改めれば概要版も追随する。頁数と判型、体裁、保険料の掲載の範囲及び2版構成の可否は構成案の決定を要するため、受託者の案によっている。【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ご決定をお待ちしていたため「一部」としていた作業項目が完了となり、全体進捗は75％となった。（3）実施済み調査結果の集計・分析及び（4）現状分析及び地域課題の整理は、作業項目の全件が完了した。計画素案の本文に残る［要協議］［要確認］は、計画そのものが構成3町との協議又は国の政令・省令・告示の公布を待つこととしている箇所であり、確定しない値を推測しない方針により引き続き記号を残している。令和8年10月20日には、本広域連合の条例、規則及び要綱32件（計346頁）を確認した。指定地域密着型サービスの事業の人員、設備及び運営に関する基準等を定める条例は、最終改正が令和3年3月23日であり、令和6年厚生労働省令第16号による改正後の省令に対応していないことを確認した（協力医療機関の3要件・年1回以上の協議及び届出の規定がなく、生産性の向上に資する取組に係る委員会の規定もない）。令和8年10月21日には、介護サービス情報公表システムにより区域内の事業所の公表情報を確認し、事業所への聴取を行わなくても定員、共同生活住居数、利用者数、入居率、従業者数、退職者数、協力医療機関、家賃及び介護報酬の加算の算定状況を事業所ごとに確かめられることが分かった（74行・47の事業所番号）。確かめられないのは、整備又は事業の実施の意向、職員を確保できる見通し、受入れを制限しているかどうか、積雪期の利用の実態である。あわせて、認定調査の委託の仕組み、運営指導の頻度（居住系・施設系は3年に1回以上）、第8期の保険料率と第9段階の乗率の経緯、規約による経費の負担割合及び計画の策定の手続を確認した。第9期の保険料率を定める条例の改正、ケアプランの点検に係る実施要領及び介護給付適正化計画は例規集に収録されていないため、ご提供を要する。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R9.1</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令和8年10月15日】社会福祉法等の一部を改正する法律案要綱（全31頁）及び令和5年改正の概要のご提供を受け、改正事項を原典により点検した。従前は部会資料（概要）によっていたため施行期日の例外を2件しか把握していなかったが、要綱 第10の1により4区分が確定し、公布の日から施行される1件を除きいずれも第10期計画の期間中に施行されることが分かった（介護支援専門員の資格に係る更新制の廃止は1年6月以内、特定施設の定義の改正及び有料老人ホームの登録制度は2年以内、被保険者証の添付等に関する規定及び登録施設介護支援等は3年以内）。介護保険法の改正事項16件のうち11件に記述の是正を要し、14件が新たに分かった。介護保険法第117条の改正後の号及び項（第2項第3号・第4号、第3項第4号・第5号、第5項及び第14項）が確定した。お示しいただいた記事の記述11件を原典により確かめた（一致8・一部一致1・確認できない2）。確認事項No.185・No.186を起票した。同日、新旧対照条文（全353頁）、参照条文（全45頁）、特定地域の考え方について（介護保険部会 第135回 資料3）及び介護保険における3つの加算の対象地域一覧のご提供を受け、改正後の条文を確認した（確認No.181は大きく解決）。介護保険法の改正が第3条関係（令和9年4月1日又は1年6月以内）と第4条関係（2年以内又は3年以内）の2つに分かれること、中長期的な推計のうち量が第2項第3号（定めるものとする）、費用の額及び保険料の水準が第3項第3号（定めるよう努めるものとする）であること、第115条の48の会議が改正後「支援会議」と称すること、第118条第2項により都道府県介護保険事業支援計画にも中長期的な推計が定めるものとされることを確かめた。特別地域加算の対象地域に構成3町がいずれも掲げられていないこと（確認No.1は解決）と、北海道が全域の豪雪地帯であるため中山間地域等における小規模事業所加算及び中山間地域等に居住する者へのサービス提供加算の地域の要件には該当することを確かめた。同日、参照条文（16法令）を文字によりご提供いただいたことにより、介護保険法第117条の項の全体（全14項）及び第3項の全10号、第118条並びに第115条の45の項及び号を確認した（確認No.181は解決）。残るのは政令・省令・報酬改定の告示を待つ分、附則第3条から第77条までの経過措置、認知症基本法ほか関係法令の条文（確認No.149。参照条文は改正法が参照する条文に限られ収録がない）及び医療法等の一部を改正する法律による改正の施行の状況（確認No.189）である。【令和8年10月16日】告示後の最終照合は、基本指針、政令、省令及び介護報酬改定の告示を待つため着手できない
【令和8年10月20日】本広域連合の例規集により条例、規則及び要綱32件（計346頁）を確認した。指定地域密着型サービスの事業の人員、設備及び運営に関する基準等を定める条例は、最終改正が令和3年3月23日であり、令和6年厚生労働省令第16号による改正後の省令に対応していない。協力医療機関については第104条・第126条・第148条・第174条に規定があるが3要件・年1回以上の協議及び届出を定めておらず、生産性の向上に資する取組に係る委員会の規定はない（確認No.95は解決）。条例は基準を自ら書き下ろしており厚生労働省令への包括的な委任規定がないため、省令の改正ごとに条例の改正を要する。あわせて、要介護認定等訪問調査実施要綱により認定調査の委託の仕組みを確認し（確認No.92は一部解決）、地域密着型サービス事業者等指導要綱により運営指導の頻度（居住系・施設系は3年に1回以上）を確認した。ケアプランの点検に係る実施要領に当たるものは例規集にない（確認No.73）</t>
        </is>
      </c>
      <c r="J5" s="5" t="inlineStr">
        <is>
          <t>1, 2, 22, 89, 130, 149, 170, 175, 176, 177, 178, 179, 180, 181, 182, 183, 184, 185, 186</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⑥令和6〜8年度の事業実績による達成度の再判定［一部］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0.9642857142857143</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
【令和8年10月19日】受託者案により作成を進めることをご了承いただいたため、⑥令和6〜8年度の事業実績による達成度の再判定は、公表資料（保険者機能強化推進交付金等の評価結果・総合事業の実施状況に関する調査・介護保険事業状況報告）による評価で確定した。事業量及び対象実人数による評価は行わない（確認No.5）。第9期計画の本文は業務着手時に貸与を受けて確認しており、確認できないのは前回調査の指標別の分母及び集計条件である（確認No.90）</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②在宅生活改善調査の集計・分析［完了］
③居所変更実態調査の集計・分析［完了］
④介護人材実態調査の集計・分析［完了］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完了</t>
        </is>
      </c>
      <c r="G7" s="17" t="n">
        <v>1</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
【令和8年10月19日】受託者案により作成を進めることをご了承いただいたため、点検事項の重大6件の取扱いがいずれも確定した（確認No.8）。②在宅生活改善調査・③居所変更実態調査・④介護人材実態調査の3件が完了となり、作業項目7件の全件が完了した</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⑧日常生活圏域別の分析［完了］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完了</t>
        </is>
      </c>
      <c r="G8" s="17" t="n">
        <v>1</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
【令和8年10月19日】受託者案により作成を進めることをご了承いただいたため、⑧日常生活圏域別の分析は、本広域連合が定める区域を3町（3圏域）とすることで確定した（確認No.88）。作業項目9件の全件が完了した</t>
        </is>
      </c>
      <c r="J8" s="5" t="inlineStr">
        <is>
          <t>3, 11, 12, 13, 26, 35
【令和8年10月21日】④サービス提供体制の分析について、介護サービス情報公表システムにより区域内の事業所の定員、共同生活住居数、利用者数、入居率、総従業者数、職種別の従業者数と退職者数及び経験年数の割合を事業所ごとに確認した（74行・47の事業所番号）。施設・居住系7区分の定員は北海道の名簿と一致する。同一の事業所番号で複数のサービスを行う事業所があるため、従業者数を町の合計として足すと重複する。公表日が事業所ごとに異なるため同じ時点の比較にはならず、複数年次の推移は見える化システムの事業所分析機能による（資料提供依頼No.25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①実績値の準備（令和6〜8年度の介護保険事業状況報告）［完了］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0.875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
【令和8年10月19日】受託者案により作成を進めることをご了承いただいたため、①実績値の準備は、令和8年度を審査月4月から7月までの4か月として扱うことで確定した（確認No.136）。⑥給付費・保険料の算定は、1人1月あたり給付費を令和7年度で固定する前提が確定したが、第2次概算が令和8年10月30日の工程であり、介護報酬改定の告示後に再算定する（確認No.137）。④認定率・サービス利用率の施策反映は、入力する値をお示ししているが、見える化システムへの登録を要する</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④概要版原稿の作成［完了］
⑤3町計画との整合の確認［完了］</t>
        </is>
      </c>
      <c r="E10" s="5" t="inlineStr">
        <is>
          <t>骨子案（11節22表）
計画素案（1074段落158表36図）
修正指示書（66件）</t>
        </is>
      </c>
      <c r="F10" s="10" t="inlineStr">
        <is>
          <t>実施中</t>
        </is>
      </c>
      <c r="G10" s="17" t="n">
        <v>0.8</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1074段落158表36図となった。残る未確定箇所は282箇所（要協議162・要確認118・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令和8年10月15日】社会福祉法等の一部を改正する法律案要綱により21箇所を改めた。第1章第9節2に施行の日の表を新設し、改正事項の表を介護保険法の改正と社会福祉法その他の法律の改正に分け、改正事項ごとに施行の日の欄を設けて8件から18件に広げた。新たに加えたものは、特定福祉用具販売に係る費用の額の見直し、指定介護老人福祉施設等の指定の辞退、要介護認定等の申請の代行の拡大、電子資格確認の導入及び被保険者証に関する規定の整備、第1号介護予防支援事業の委託の見直し、地域ケア会議の見直し、成年後見制度等の適切な利用の支援、小規模市町村地域支援連携協働体制整備事業、災害時福祉業務従事者の登録、市町村老人福祉計画及び市町村地域福祉計画の記載事項、介護福祉士に関する改正、特定地域における介護老人保健施設等の開設許可の特例である。あわせて、中長期的な推計についての北海道の意見の聴取（第1章第5節）、区域ごとの入居定員総数の勘案（第2章第3節）、地域支援事業の量の中長期的な推計（第6章第3節2）を加え、第2章第8節の総給付費が令和9年度から令和32年度まで［要確認］であったものを算定の値に改めた。同日、新旧対照条文及び対象地域の一覧により15箇所を改めた。特定地域の基準①について、従前は「東川町・美瑛町は特別豪雪地帯を有し、美瑛町は過疎地域でもあるため、対象地域である可能性がある」としていたものを「構成3町はいずれも対象地域に掲げられていない」に改め、3つの加算の注に単位数、地域の要件、構成3町の判定及び事業所ごとの要件を示した。中長期的な推計について量（第117条第2項第3号）と費用の額及び保険料の水準（同条第3項第3号）の区別を第1章第9節2・第2章第8節・第6章第3節に加え、第5項の勘案及び第14項の意見の聴取の対象を「第2項第1号から第3号まで」に改め、第1章第8節に第118条第2項の改正を加えた。新たな章又は節は起こしていない。概要版は未着手。同日、参照条文により、医療計画及び地域医療構想との整合性の確保が都道府県介護保険事業支援計画の義務（第118条第10項）であり、市町村介護保険事業計画の相手は地域における医療及び介護の総合的な確保の促進に関する法律第5条第1項の市町村計画（第117条第10項）であることを確かめ、第1章第8節を是正した。混合型特定施設入居者生活介護に係る必要利用定員総数は第118条第4項により都道府県介護保険事業支援計画において定めることができる事項であり本計画の記載事項でないことを第6章第4節4に明記した（確認No.113は解決）。未確定箇所のうち、決着しない場合の扱いによっても記号が残るものは0件であり、意見公募手続（令和9年1月）までに解消を要する。【令和8年10月16日】④概要版原稿を作成した（A4判8頁）。パブリックコメント及び住民の皆様への周知に用いるものであり、頁割と掲載内容は別冊「概要版の構成案」によっている。数値は計画素案から引いているため、素案を改めれば概要版も追随する。本編の文はそのまま用いず住民の皆様に向けて書き直しているが、基本理念及び基本目標の名称は本編と同一の表現としている。各頁にご意見を求める論点6件と本編の該当頁の案内を置いた。頁数と判型、体裁、保険料の掲載の範囲及び2版構成の可否は構成案の決定を要するため、受託者の案によっている（確認No.21）。③計画最終案は令和9年2月の工程であり、⑤3町計画との整合は共通指標の掲載の合意をお待ちしている
【令和8年10月19日】受託者案により作成を進めることをご了承いただいたため、④概要版原稿は、頁数と判型・体裁・保険料の掲載の範囲・2版構成の可否が構成案により確定した（確認No.21）。⑤3町計画との整合は、資料2の役割分担と共通指標の掲載の方法が確定した（確認No.17）。計画素案の本文に残る［要協議］［要確認］は、計画そのものが構成3町との協議又は国の政令・省令・告示の公布を待つこととしている箇所であり、確定しない値を推測しない方針により引き続き記号を残している。③計画最終案は令和9年2月の工程である</t>
        </is>
      </c>
      <c r="J10" s="5" t="inlineStr">
        <is>
          <t>17, 18, 24, 25, 88, 112, 114, 131, 154, 170, 171, 178, 179, 180, 181, 185, 186</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③3町との協議資料の作成［完了］
④計画原稿の修正［一部］</t>
        </is>
      </c>
      <c r="E11" s="5" t="inlineStr">
        <is>
          <t>修正指示書（66件）
図表集（33シート133点）
確認依頼書</t>
        </is>
      </c>
      <c r="F11" s="10" t="inlineStr">
        <is>
          <t>実施中</t>
        </is>
      </c>
      <c r="G11" s="17" t="n">
        <v>0.75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
【令和8年10月19日】受託者案により作成を進めることをご了承いただいたため、③3町との協議資料は、3町合同意見交換会資料・町ごとの個別協議の確認事項・ヒアリング前事前打合せの確認事項を作成し、令和8年10月の工程を終えた。確認事項は決着16件と受託者案で確定173件となり、ご決定をお待ちしているものはない。①修正指示書は66件のうち57件を反映しており、残る4件は町別の内訳データ等のご提供をお待ちしている</t>
        </is>
      </c>
      <c r="J11" s="5" t="inlineStr">
        <is>
          <t>87, 103, 112, 118, 136, 143, 150, 154, 155, 156, 157, 168
【令和8年10月21日】事業所への聴取によらなければ決着しないと整理していた事項について、公表資料により確かめられるか否かを区分した（確認事項21件・資料提供依頼3件）。確かめられないのは、整備又は事業の実施の意向、職員を確保できる見通し、受入れを制限しているかどうか、積雪期の利用の実態である。④計画原稿の修正は告示後の再算定が残るため一部のままである</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令和8年10月15日】ご決定・ご確認をお待ちしている事項の一覧を、何をすれば決着するかという軸で区分した（別冊「確認事項の資料徴求と公表資料による確認」）。広域連合及び構成3町等から資料の徴求を要するもの63件、公表資料により確認できるもの7件、国の政令・省令・告示の公表を待つもの3件、ご判断・ご決定をお願いするもの96件、資料の徴求を要しないもの20件である。資料の徴求を要する63件の全件に資料が届かない場合の扱いを付し、①安全側の置き方で算定する2件・②未確定箇所として残す6件・③当該の記載を掲げない14件・④現に確認できている値で確定する41件に分けた。うち57件は資料が届かなくても計画本文を確定でき、未確定箇所の記号が残るものは6件である。あわせて、仕様書の業務内容別の件数、動かせない日程がそれぞれ必要とするもの、不足している情報の性質及び決着した事項の経緯を加えた。確認事項が最も集まっているのは(6)計画書の作成で79件であり、ご判断・ご決定をお願いするものが49件ある。ご決定をいただけない場合でも当方の作業が止まるものはない。優先してご提供をお願いするものは、保険料の月額に効くもの、介護保険法第117条に関わるもの、影響度が優先であるもの及び資料が届かないと計画の記載に跡が残るものの4つの観点で掲げた。【令和8年10月16日】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第2次概算（令和8年10月30日）は、ご決定を待たずに現在の前提のまま組める状態にある。3町との協議資料は作成済みであり、協議の実施をお待ちしている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電子データは作成中。印刷・製本は令和9年3月。本文100頁程度に対する章別のページ配分が未確定（確認No.21）。【令和8年9月15〜18日】成果品は144件となった。9月に加えたものは、サービス見込量の算定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141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
【令和8年10月21日】成果品に「事業所ヒアリングを行わない場合の外部資料による確認」を加えた。①成果品一覧の確定は、掲載する成果品の範囲のご指示をお待ちしているため未着手のままである</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6" t="inlineStr">
        <is>
          <t>完了</t>
        </is>
      </c>
      <c r="G5" s="10" t="inlineStr"/>
      <c r="H5" s="10" t="inlineStr"/>
      <c r="I5" s="11" t="inlineStr">
        <is>
          <t>令和8年10月19日　ご了承</t>
        </is>
      </c>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6" t="inlineStr">
        <is>
          <t>完了</t>
        </is>
      </c>
      <c r="G6" s="10" t="inlineStr"/>
      <c r="H6" s="10" t="inlineStr"/>
      <c r="I6" s="11" t="inlineStr">
        <is>
          <t>令和8年10月19日　ご了承</t>
        </is>
      </c>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令和8年10月15日】社会福祉法等の一部を改正する法律案要綱（全31頁）及び令和5年改正の概要のご提供を受けて改正事項を点検し、施行期日の4区分を確定したほか、介護保険法第117条の改正後の号及び項を確定した。法第117条第2項第3号が地域支援事業の量の中長期的な推計も求めるものであることから、令和17年度・令和22年度の量を算定して計画素案 第6章第3節2に加えた。お示しいただいた記事の記述11件を原典により確かめ、計画素案の21箇所を改めた（確認事項No.185・No.186を起票）。同日、新旧対照条文（全353頁）、参照条文（全45頁）、特定地域の考え方について（介護保険部会 第135回 資料3）及び介護保険における3つの加算の対象地域一覧のご提供を受け、改正後の条文を確認して計画素案の15箇所を改めた。特別地域加算の対象地域に構成3町がいずれも掲げられていないことを確認し確認事項No.1を解決した（北海道が全域の豪雪地帯であるため他の2つの加算の地域の要件には該当する）。確認事項No.181は大きく解決し、確認事項No.2に基準の内容を記録した。同日、参照条文（全16法令・原資料87頁）の文字起こしのご提供を受け、介護保険法第117条の項の全体（全14項）及び第3項の全10号、第118条並びに第115条の45の項及び号を確認した（確認事項No.181は解決）。当方の記述の誤り5件が分かり、医療計画及び地域医療構想との整合性の確保が都道府県介護保険事業支援計画の義務であること、混合型及び介護専用型の特定施設入居者生活介護に係る必要利用定員総数が都道府県介護保険事業支援計画の事項であること（確認事項No.113は解決）を含め計画素案の6箇所を是正した。確認事項No.187からNo.189までを起票した。同日、ご決定・ご確認をお待ちしている事項の一覧を何をすれば決着するかという軸で区分し、広域連合及び構成3町等から資料の徴求を要するもの63件、公表資料により確認できるもの7件、公表を待つもの3件、ご判断・ご決定をお願いするもの96件、資料の徴求を要しないもの20件に分けた。資料の徴求を要する63件の全件に資料が届かない場合の扱いを付し、うち57件は資料が届かなくても計画本文を確定できることを示した。あわせて、仕様書の業務内容別の件数、動かせない日程がそれぞれ必要とするもの、不足している情報の性質及び決着した事項の経緯を加えた。新たな確認事項は起こしていない。【令和8年10月16日】本表の基準日を令和8年10月16日に進めた。あわせて計画の概要版（A4判8頁）を作成した。パブリックコメント（令和9年1月）及び住民の皆様への周知に用いるものである。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第2次概算（10月30日）は、ご決定を待たずに現在の前提のまま組める状態にある
【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令和8年8月・9月・10月の工程を完了とし、ご決定をお待ちしていたため一部としていた作業項目が完了となって全体進捗は68％から75％となった。次は、サービス見込量 第2次概算（10月30日）である
【令和8年10月20日】本表の基準日を令和8年10月20日に進めた。外部への接続の設定が改まったことにより、介護保険法ほか関係法令の条文と本広域連合の例規集を確認できるようになり、条例、規則及び要綱32件（計346頁）を確認した。地域密着型サービスの基準条例のご提供をお待ちしていた確認事項No.95が解決し、令和6年厚生労働省令第16号による改正が条例に反映されていないことを確認した。あわせて認定調査の委託の仕組み（確認No.92）、運営指導の頻度（確認No.73）、第8期の保険料率と乗率（確認No.34）、規約による経費の負担割合（確認No.82）、計画の策定の手続（確認No.19・No.130）を確認した。第9期の保険料率を定める条例の改正、ケアプランの点検に係る実施要領及び介護給付適正化計画は例規集に収録されていないため、ご提供を要する。作業項目の達成状況は動いていないため進捗率は変わらない。計画素案は改めておらず、確かめた条番号・項番号を本文の［要確認］に当てる作業は別に行う
【令和8年10月21日】本表の基準日を令和8年10月21日に進めた。区域内の事業所への聴取を行わないことを前提として、介護サービス情報公表システムにより構成3町の事業所の公表情報を確認した（74行・47の事業所番号）。定員、共同生活住居数、利用者数、入居率、総従業者数、職種別の従業者数と退職者数、経験年数の割合、協力医療機関、家賃及び介護報酬の加算の算定状況が事業所ごとに公表されており、施設・居住系7区分の定員は北海道の名簿と一致する。認知症対応型共同生活介護の共同生活住居数は6事業所計11住居であり（確認No.96の①は大きく解決）、小規模多機能型居宅介護の登録定員5事業所計119人を新たに確認した。確かめられないのは、整備又は事業の実施の意向、職員を確保できる見通し、受入れを制限しているかどうか、積雪期の利用の実態である。外部資料のホストは到達12件・遮断3件であり、追加で許可を要するものはない。見える化システムは到達できるが地方公共団体の職員のアカウントを要するため、事業所分析機能の出力を資料提供依頼No.25として起票した。作業項目の達成状況は動いていないため進捗率は変わらない</t>
        </is>
      </c>
      <c r="F7" s="6" t="inlineStr">
        <is>
          <t>完了</t>
        </is>
      </c>
      <c r="G7" s="10" t="inlineStr"/>
      <c r="H7" s="10" t="inlineStr"/>
      <c r="I7" s="11" t="inlineStr">
        <is>
          <t>令和8年10月19日　ご了承</t>
        </is>
      </c>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21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0"/>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解決</t>
        </is>
      </c>
      <c r="I5" s="10" t="inlineStr">
        <is>
          <t>R8.9</t>
        </is>
      </c>
      <c r="J5" s="11" t="inlineStr">
        <is>
          <t>【令和8年10月15日　解決】厚生労働省『介護保険における特別地域加算・中山間地域等小規模事業所加算・中山間地域等居住者サービス提供加算の対象地域一覧』により確認した。特別地域加算の対象地域のうち北海道で対象となるのは全域を範囲とする市町村22及び一部だけを対象とする市町村14であり、構成3町はいずれも掲げられていない。豪雪地帯、特別豪雪地帯、辺地又は過疎地域であることは対象となるための前提の一つであり、厚生労働大臣が別に定める地域として掲げられていなければ対象とならない。一方、北海道は全域が豪雪地帯であり、構成3町の地域区分は「その他」で特別地域加算の対象ではないため、中山間地域等における小規模事業所加算（所定単位数の10／100）及び中山間地域等に居住する者へのサービス提供加算（同5／100）の地域の要件には該当する（小規模事業所加算は事業所ごとの回数等の要件を併せて満たす必要がある）。1人1月あたり給付費は令和7年度の実績によっており現に算定されている加算を含むが、算定していない事業所が算定を始めた場合は単価を上げる側に働くため、事業所ごとの算定の状況の確認を要する［要確認］。計画素案 第1章第9節1・第1章第9節6・第6章第6節2に反映した。</t>
        </is>
      </c>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8" t="inlineStr">
        <is>
          <t>受託者案で確定（告示後に再算定）</t>
        </is>
      </c>
      <c r="I6" s="10" t="inlineStr">
        <is>
          <t>R8.10</t>
        </is>
      </c>
      <c r="J6" s="11" t="inlineStr">
        <is>
          <t>【令和8年10月19日　ご了承】受託者案により作成を進めることとされた（従前の状態：確認待ち）。ただし「特定地域の基準（厚生労働省令）及び対象地域の指定」が示された後に再算定する。
【令和8年10月15日】原典（『特定地域（中山間・人口減少地域）の考え方について』社会保障審議会介護保険部会 第135回 資料3）を確認した。①定義規定は改正後の介護保険法第42条第1項第3号であり、「人口の減少その他の厚生労働省令で定める基準に該当する地域として都道府県が定めるもの」である。基準は厚生労働省令で定められる。②基準の素案は「75歳以上人口密度＝5人／km²未満」又は「75歳以上人口＝1,000人未満かつ減少」であり、全国で356市町村（20.5％）が該当する見通しとされている。③市町村内の一部地域を指定する場合の範囲は、旧市町村単位、行政区単位又は日常生活圏域単位が考えられるとされており、日常生活圏域の設定（確認No.88）に関わる。④対象地域の特定は、介護保険事業（支援）計画の策定プロセスにおいて市町村の意向を確認し都道府県が決定することが適当とされている。⑤構成3町は特別地域加算の対象地域に掲げられていないため基準①には該当しない（確認No.1）。なお確定していないのは、厚生労働省令による基準、意向を示す時期及び手続並びに制度の適用単位である。
受託者案＝特定地域の指定に係る意向表明を行わないものとして記載し、省令等の確定後に改める。</t>
        </is>
      </c>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6" t="inlineStr">
        <is>
          <t>受託者案で確定</t>
        </is>
      </c>
      <c r="I7" s="10" t="inlineStr">
        <is>
          <t>R8.9</t>
        </is>
      </c>
      <c r="J7" s="11" t="inlineStr">
        <is>
          <t>【令和8年10月19日　ご了承】受託者案により作成を進めることとされた（従前の状態：確認待ち）。
受託者案＝類似保険者との比較は公表されている同規模保険者40団体による。</t>
        </is>
      </c>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6" t="inlineStr">
        <is>
          <t>受託者案で確定</t>
        </is>
      </c>
      <c r="I8" s="10" t="inlineStr">
        <is>
          <t>R8.8</t>
        </is>
      </c>
      <c r="J8" s="11" t="inlineStr">
        <is>
          <t>【令和8年10月19日　ご了承】受託者案により作成を進めることとされた（従前の状態：確認待ち）。
受託者案＝代表KPI H07・H08・H12・H16は代理指標への振替案のとおりとする。</t>
        </is>
      </c>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第3章第2節・第3節・第4節
妥当性検証報告書 12シート</t>
        </is>
      </c>
      <c r="G9" s="5" t="inlineStr">
        <is>
          <t>発注者</t>
        </is>
      </c>
      <c r="H9" s="6" t="inlineStr">
        <is>
          <t>受託者案で確定</t>
        </is>
      </c>
      <c r="I9" s="10" t="inlineStr">
        <is>
          <t>R8.8</t>
        </is>
      </c>
      <c r="J9" s="11" t="inlineStr">
        <is>
          <t>【令和8年10月19日　ご了承】受託者案により作成を進めることとされた（従前の状態：確認待ち）。
受託者案＝第9期の施策・事業実績を受領できないものとして、公表資料（交付金の評価結果・総合事業の実施状況に関する調査・年報）により評価する。</t>
        </is>
      </c>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6" t="inlineStr">
        <is>
          <t>受託者案で確定</t>
        </is>
      </c>
      <c r="I10" s="10" t="inlineStr">
        <is>
          <t>R8.9</t>
        </is>
      </c>
      <c r="J10" s="11" t="inlineStr">
        <is>
          <t>【令和8年10月19日　ご了承】受託者案により作成を進めることとされた（従前の状態：確認待ち）。
受託者案＝評価調書を受領できないものとして、得点0が「取組がない」のか「要件を満たさない」のか「報告していない」のかは公表資料から判別できない旨を注記する。</t>
        </is>
      </c>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6" t="inlineStr">
        <is>
          <t>受託者案で確定</t>
        </is>
      </c>
      <c r="I11" s="10" t="inlineStr">
        <is>
          <t>R8.9</t>
        </is>
      </c>
      <c r="J11" s="11" t="inlineStr">
        <is>
          <t>【令和8年10月19日　ご了承】受託者案により作成を進めることとされた（従前の状態：確認待ち）。
受託者案＝第9期の自己評価と北海道への報告の実績を確認できないものとして、第10期の進行管理に自己評価の仕組みを置く。</t>
        </is>
      </c>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6" t="inlineStr">
        <is>
          <t>受託者案で確定</t>
        </is>
      </c>
      <c r="I12" s="10" t="inlineStr">
        <is>
          <t>R8.8</t>
        </is>
      </c>
      <c r="J12" s="11" t="inlineStr">
        <is>
          <t>【令和8年10月19日　ご了承】受託者案により作成を進めることとされた（従前の状態：確認待ち）。
受託者案＝3調査の点検事項は当方の判定のままとする。</t>
        </is>
      </c>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6" t="inlineStr">
        <is>
          <t>受託者案で確定</t>
        </is>
      </c>
      <c r="I13" s="10" t="inlineStr">
        <is>
          <t>R8.9</t>
        </is>
      </c>
      <c r="J13" s="11" t="inlineStr">
        <is>
          <t>【令和8年10月19日　ご了承】受託者案により作成を進めることとされた（従前の状態：確認待ち）。
受託者案＝現に収録している対象者範囲・回収率による。設問ごとに分母が異なることを注記する。</t>
        </is>
      </c>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6" t="inlineStr">
        <is>
          <t>受託者案で確定</t>
        </is>
      </c>
      <c r="I14" s="10" t="inlineStr">
        <is>
          <t>R8.9</t>
        </is>
      </c>
      <c r="J14" s="11" t="inlineStr">
        <is>
          <t>【令和8年10月19日　ご了承】受託者案により作成を進めることとされた（従前の状態：確認待ち）。
【令和8年10月21日】介護サービス情報公表システムにより、職種別の退職者数（記入日の前年度1年間）が事業所ごとに公表されていることを確かめた。採用者数及び各年9月30日現在の在籍者数は公表されていないため、H14の算定には足りない。
受託者案＝採用83人・離職65人（同一法人の重複を除いた値）による。代表KPI H14は、分母となる各年9月30日現在の在籍者数を確認できないため未算定のままとする。</t>
        </is>
      </c>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6" t="inlineStr">
        <is>
          <t>受託者案で確定</t>
        </is>
      </c>
      <c r="I15" s="10" t="inlineStr">
        <is>
          <t>R8.9</t>
        </is>
      </c>
      <c r="J15" s="11" t="inlineStr">
        <is>
          <t>【令和8年10月19日　ご了承】受託者案により作成を進めることとされた（従前の状態：確認待ち）。
受託者案＝住民基本台帳（各年1月1日現在）の町別人口により本文を確定する。</t>
        </is>
      </c>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6" t="inlineStr">
        <is>
          <t>受託者案で確定</t>
        </is>
      </c>
      <c r="I16" s="10" t="inlineStr">
        <is>
          <t>R8.9</t>
        </is>
      </c>
      <c r="J16" s="11" t="inlineStr">
        <is>
          <t>【令和8年10月19日　ご了承】受託者案により作成を進めることとされた（従前の状態：確認待ち）。
受託者案＝日常生活圏域を3町（3圏域）とする案のまま概算する。</t>
        </is>
      </c>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6" t="inlineStr">
        <is>
          <t>受託者案で確定</t>
        </is>
      </c>
      <c r="I17" s="10" t="inlineStr">
        <is>
          <t>R8.10</t>
        </is>
      </c>
      <c r="J17" s="11" t="inlineStr">
        <is>
          <t>【令和8年10月19日　ご了承】受託者案により作成を進めることとされた（従前の状態：実施中）。
受託者案＝北海道の指定事業所一覧の「通常の事業の実施地域」により判定する。</t>
        </is>
      </c>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6" t="inlineStr">
        <is>
          <t>受託者案で確定</t>
        </is>
      </c>
      <c r="I18" s="10" t="inlineStr">
        <is>
          <t>R8.10</t>
        </is>
      </c>
      <c r="J18" s="11" t="inlineStr">
        <is>
          <t>【令和8年10月19日　ご了承】受託者案により作成を進めることとされた（従前の状態：確認待ち）。
受託者案＝案C（総合戦略＋住民基本台帳の実績趨勢）のまま確定する。</t>
        </is>
      </c>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6" t="inlineStr">
        <is>
          <t>受託者案で確定</t>
        </is>
      </c>
      <c r="I19" s="10" t="inlineStr">
        <is>
          <t>R8.10</t>
        </is>
      </c>
      <c r="J19" s="11" t="inlineStr">
        <is>
          <t>【令和8年10月19日　ご了承】受託者案により作成を進めることとされた（従前の状態：確認待ち）。
受託者案＝認定者数は年報の年度末（3月31日）を基準とし、月次推移は計画本文に掲げない。</t>
        </is>
      </c>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6" t="inlineStr">
        <is>
          <t>受託者案で確定</t>
        </is>
      </c>
      <c r="I20" s="10" t="inlineStr">
        <is>
          <t>R8.11</t>
        </is>
      </c>
      <c r="J20" s="11" t="inlineStr">
        <is>
          <t>【令和8年10月19日　ご了承】受託者案により作成を進めることとされた（従前の状態：確認待ち）。
受託者案＝確認事項No.60と同じ前提（単価固定・施策反映なし・適正化を織り込まない・基金取崩しなし）による。</t>
        </is>
      </c>
    </row>
    <row r="21" ht="88" customHeight="1">
      <c r="A21" s="4" t="n">
        <v>17</v>
      </c>
      <c r="B21" s="4" t="inlineStr">
        <is>
          <t>(6)</t>
        </is>
      </c>
      <c r="C21" s="4" t="inlineStr">
        <is>
          <t>R8.10</t>
        </is>
      </c>
      <c r="D21" s="5" t="inlineStr">
        <is>
          <t>3町計画への共通指標の掲載</t>
        </is>
      </c>
      <c r="E2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6" t="inlineStr">
        <is>
          <t>受託者案で確定</t>
        </is>
      </c>
      <c r="I21" s="10" t="inlineStr">
        <is>
          <t>R8.10</t>
        </is>
      </c>
      <c r="J21" s="11" t="inlineStr">
        <is>
          <t>【令和8年10月19日　ご了承】受託者案により作成を進めることとされた（従前の状態：確認待ち）。
受託者案＝広域連合の代表KPI16項目を掲げ、3町計画への掲載は求めない。</t>
        </is>
      </c>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6" t="inlineStr">
        <is>
          <t>受託者案で確定</t>
        </is>
      </c>
      <c r="I22" s="10" t="inlineStr">
        <is>
          <t>R8.9</t>
        </is>
      </c>
      <c r="J22" s="11" t="inlineStr">
        <is>
          <t>【令和8年10月19日　ご了承】受託者案により作成を進めることとされた（従前の状態：確認待ち）。
受託者案＝骨子案は提出した内容のままとする。</t>
        </is>
      </c>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6" t="inlineStr">
        <is>
          <t>受託者案で確定</t>
        </is>
      </c>
      <c r="I23" s="10" t="inlineStr">
        <is>
          <t>R8.8</t>
        </is>
      </c>
      <c r="J23" s="11" t="inlineStr">
        <is>
          <t>【令和8年10月19日　ご了承】受託者案により作成を進めることとされた（従前の状態：確認待ち）。
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令和8年10月20日　確認】大雪地区広域連合例規集により次を確認した。①広域計画（01-01-02）第3の1④は、介護保険事業計画の策定に当たっては被保険者の意見を反映させるため公募委員を含めた委員で構成する介護保険運営協議会を設置して行い、策定後も同協議会の意見を聴きながら進行管理及び見直しを行うこととしている。②介護保険運営協議会規則（08-01-03）第3条の委員は18名以内であり、学識経験者、保健・福祉及び医療関係者、被保険者の代表の3区分につき関係町ごとに各2名を委嘱するものとされ、「公募委員」の区分はない。広域計画との整合をご確認いただきたい。③協議会の会議は原則公開であり（09-01-12 傍聴要綱第2条）、傍聴人の定員は20人である。④行政手続条例（04-02-07）には意見公募手続に相当する規定がない（行政手続法第3条第3項により地方公共団体の処分等は同法の適用除外である）。計画案について意見を募る根拠は介護保険法第117条第12項（被保険者の意見を反映させるために必要な措置）であり、この点は計画素案 第1章第5節の記述のとおりである。手続の呼び方を「意見公募手続」としてよいかをご確認いただきたい</t>
        </is>
      </c>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6" t="inlineStr">
        <is>
          <t>受託者案で確定</t>
        </is>
      </c>
      <c r="I24" s="10" t="inlineStr">
        <is>
          <t>R8.10</t>
        </is>
      </c>
      <c r="J24" s="11" t="inlineStr">
        <is>
          <t>【令和8年10月19日　ご了承】受託者案により作成を進めることとされた（従前の状態：確認待ち）。
【令和8年10月20日　一部解決】令和8年度第3回北海道高齢者保健福祉施策検討協議会（令和8年8月27日）の資料により、北海道の工程が分かった。令和8年9月上旬以降、圏域連絡協議会（振興局）において、道の基本的な考え方や作成指針（案）などに基づき圏域市町村と協議（課題や意見の取りまとめ）を行い、第10期計画素案（案）（令和8年10月下旬）に基づき圏域市町村と意見交換することとされている。また、道作成指針（案）により、高齢者保健福祉圏域は二次医療圏及び医療介護総合確保区域と同一とされ、介護給付等対象サービス（地域密着型を除く）の量の見込みは市町村計画の数値を圏域ごとに集計し道内全域で集計した値が道計画の数値とされることが分かった。地域密着型サービスについては、北海道が市町村と連携を図りつつ広域利用に関する事前同意等の調整を行うこととされている。なお確かめていないのは、上川の圏域連絡協議会に当広域連合がどのように関わっているか及び同協議会の資料である。
受託者案＝北海道・圏域との調整の場が設けられないものとして、北海道の第9期支援計画との整合により記載する。</t>
        </is>
      </c>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6" t="inlineStr">
        <is>
          <t>受託者案で確定</t>
        </is>
      </c>
      <c r="I25" s="10" t="inlineStr">
        <is>
          <t>R8.10</t>
        </is>
      </c>
      <c r="J25" s="11" t="inlineStr">
        <is>
          <t>【令和8年10月19日　ご了承】受託者案により作成を進めることとされた（従前の状態：確認待ち）。
受託者案＝成果品の仕様は仕様書の定め（計画書 印刷200部・編集可能な電子データ及びPDF）による。</t>
        </is>
      </c>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6" t="inlineStr">
        <is>
          <t>受託者案で確定</t>
        </is>
      </c>
      <c r="I26" s="10" t="inlineStr">
        <is>
          <t>R8.9</t>
        </is>
      </c>
      <c r="J26" s="11" t="inlineStr">
        <is>
          <t>【令和8年10月19日　ご了承】受託者案により作成を進めることとされた（従前の状態：確認待ち）。
【令和8年10月20日】北海道の第10期計画の骨子（案）を確認したところ、第9期では数値指標（KPI）が第4章第3節、課題や取組が第5章に分かれていたのに対し、第10期では各目標の具体的な施策を第5章でまとめて整理することとされており、評価指標そのものは骨子（案）に示されていない。このため、計画素案 第1章第8節の読替えの表は引き続き第9期の評価指標によることとし、北海道の第10期計画案（令和9年1月下旬の予定）が示された時点で読み替える対象を改める。
受託者案＝北海道の評価指標の読替えは当方の案のままとする。</t>
        </is>
      </c>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6" t="inlineStr">
        <is>
          <t>受託者案で確定</t>
        </is>
      </c>
      <c r="I27" s="10" t="inlineStr">
        <is>
          <t>R8.10</t>
        </is>
      </c>
      <c r="J27" s="11" t="inlineStr">
        <is>
          <t>【令和8年10月19日　ご了承】受託者案により作成を進めることとされた（従前の状態：確認待ち）。
【令和8年10月21日】介護サービス情報公表システムにより、区域内の事業所ごとの定員と利用者数を確かめた（74行・47の事業所番号）。施設・居住系7区分の定員は北海道の名簿と一致する。ただし公表日が事業所ごとに異なるため同じ時点の比較にはならず、複数年次の推移も得られない。推移は見える化システムの事業所分析機能による（資料提供依頼No.25）。
受託者案＝北海道の各名簿及び介護サービス情報公表システムの定員による。</t>
        </is>
      </c>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6" t="inlineStr">
        <is>
          <t>受託者案で確定</t>
        </is>
      </c>
      <c r="I28" s="10" t="inlineStr">
        <is>
          <t>R8.11</t>
        </is>
      </c>
      <c r="J28" s="11" t="inlineStr">
        <is>
          <t>【令和8年10月19日　ご了承】受託者案により作成を進めることとされた（従前の状態：確認待ち）。
受託者案＝24時間対応サービスは自然体の算定値を置き、整備による上乗せは行わない（安全側）。</t>
        </is>
      </c>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6" t="inlineStr">
        <is>
          <t>受託者案で確定</t>
        </is>
      </c>
      <c r="I29" s="10" t="inlineStr">
        <is>
          <t>R8.12</t>
        </is>
      </c>
      <c r="J29" s="11" t="inlineStr">
        <is>
          <t>【令和8年10月19日　ご了承】受託者案により作成を進めることとされた（従前の状態：確認待ち）。
受託者案＝代表KPIの目標値は、令和9年度を基準値の把握に充て、令和10年度・令和11年度に目標値を置く。</t>
        </is>
      </c>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6" t="inlineStr">
        <is>
          <t>受託者案で確定</t>
        </is>
      </c>
      <c r="I30" s="10" t="inlineStr">
        <is>
          <t>R8.10</t>
        </is>
      </c>
      <c r="J30" s="11" t="inlineStr">
        <is>
          <t>【令和8年10月19日　ご了承】受託者案により作成を進めることとされた（従前の状態：確認待ち）。
受託者案＝現に受領している交付金評価結果と実施報告書の範囲で記述する。</t>
        </is>
      </c>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6" t="inlineStr">
        <is>
          <t>受託者案で確定</t>
        </is>
      </c>
      <c r="I31" s="10" t="inlineStr">
        <is>
          <t>R8.9</t>
        </is>
      </c>
      <c r="J31" s="11" t="inlineStr">
        <is>
          <t>【令和8年10月19日　ご了承】受託者案により作成を進めることとされた（従前の状態：確認待ち）。
受託者案＝令和4年度の集計表を受領できないものとして、前回比較は第9期計画の本文に掲げられた指標に限る。</t>
        </is>
      </c>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6" t="inlineStr">
        <is>
          <t>受託者案で確定</t>
        </is>
      </c>
      <c r="I32" s="10" t="inlineStr">
        <is>
          <t>R8.9</t>
        </is>
      </c>
      <c r="J32" s="11" t="inlineStr">
        <is>
          <t>【令和8年10月19日　ご了承】受託者案により作成を進めることとされた（従前の状態：確認待ち）。
受託者案＝現に収録している調査対象者の範囲による。</t>
        </is>
      </c>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6" t="inlineStr">
        <is>
          <t>受託者案で確定</t>
        </is>
      </c>
      <c r="I33" s="10" t="inlineStr">
        <is>
          <t>R8.10</t>
        </is>
      </c>
      <c r="J33" s="11" t="inlineStr">
        <is>
          <t>【令和8年10月19日　ご了承】受託者案により作成を進めることとされた（従前の状態：確認待ち）。
受託者案＝年齢階級ごとの要介護度の構成を令和7年度末の実績で固定する（重度化は人口の高齢化による分のみを見込む）。</t>
        </is>
      </c>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6" t="inlineStr">
        <is>
          <t>受託者案で確定</t>
        </is>
      </c>
      <c r="I34" s="10" t="inlineStr">
        <is>
          <t>R8.10</t>
        </is>
      </c>
      <c r="J34" s="11" t="inlineStr">
        <is>
          <t>【令和8年10月19日　ご了承】受託者案により作成を進めることとされた（従前の状態：確認待ち）。
受託者案＝施設入所者と在宅者を分けずに算定する（分けるための要介護度の変化のデータがないため）。</t>
        </is>
      </c>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6" t="inlineStr">
        <is>
          <t>受託者案で確定</t>
        </is>
      </c>
      <c r="I35" s="10" t="inlineStr">
        <is>
          <t>R8.10</t>
        </is>
      </c>
      <c r="J35" s="11" t="inlineStr">
        <is>
          <t>【令和8年10月19日　ご了承】受託者案により作成を進めることとされた（従前の状態：確認待ち）。
受託者案＝給付適正化による抑制を推計に織り込まない（安全側）。対象4サービスは総給付費の7.70％であり、10％抑制でも月額▲47円であることを併記する。</t>
        </is>
      </c>
    </row>
    <row r="36" ht="88" customHeight="1">
      <c r="A36" s="4" t="n">
        <v>32</v>
      </c>
      <c r="B36" s="4" t="inlineStr">
        <is>
          <t>(2)</t>
        </is>
      </c>
      <c r="C36" s="4" t="inlineStr">
        <is>
          <t>R8.9</t>
        </is>
      </c>
      <c r="D36" s="5" t="inlineStr">
        <is>
          <t>第7期の保険料基準額</t>
        </is>
      </c>
      <c r="E36" s="5" t="inlineStr">
        <is>
          <t>見える化システムの値は6,077円であるが、計画素案では当初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8" t="inlineStr">
        <is>
          <t>受託者案で確定（告示後に再算定）</t>
        </is>
      </c>
      <c r="I37" s="10" t="inlineStr">
        <is>
          <t>告示後</t>
        </is>
      </c>
      <c r="J37" s="11" t="inlineStr">
        <is>
          <t>【令和8年10月19日　ご了承】受託者案により作成を進めることとされた（従前の状態：確認待ち）。ただし「第10期の所得段階・乗率・第1号被保険者負担割合（政令）」が示された後に再算定する。
【令和8年10月20日　確認】大雪地区広域連合例規集により、介護保険条例（08-01-01）の本則が公費による軽減前の額、第4条第2項から第4項までの減額賦課が軽減後の額を定める構造であることを確認した（第8期の条例による）。当方が補正後被保険者数の算定に公費による軽減前の乗率を用いていることと整合する。第9期の保険料率を定める条例の改正は例規集に収録されていないためご提供を要する。あわせて、低所得者に対する利用者負担の軽減については08-01-14 社会福祉法人等による利用者負担軽減制度事業実施要綱（平成23年4月1日 要綱第3号）があり、軽減の程度は利用者負担の4分の1（老齢福祉年金受給者は2分の1。生活保護受給者は全額）で免除は行わないこととされている。同要綱の対象サービスには介護予防訪問介護及び介護予防通所介護がなお掲げられており、夜間対応型訪問介護も令和9年4月1日に統合されるため、要綱の改正の要否をご確認いただきたい。
受託者案＝第9期条例の16段階・乗率（公費軽減前）を据え置いて算定し、政令の公布後に再算定する。</t>
        </is>
      </c>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6" t="inlineStr">
        <is>
          <t>受託者案で確定</t>
        </is>
      </c>
      <c r="I38" s="10" t="inlineStr">
        <is>
          <t>R8.10</t>
        </is>
      </c>
      <c r="J38" s="11" t="inlineStr">
        <is>
          <t>【令和8年10月19日　ご了承】受託者案により作成を進めることとされた（従前の状態：確認待ち）。
【令和8年10月20日　一部解決】大雪地区広域連合例規集により介護保険条例（08-01-01）を確認した。第4条第1項は「令和3年度から令和5年度までの各年度における保険料率」を13段階で定めており、第8期も13段階である（9段階制ではないため、当方が挙げた可能性は当たらない）。第8期の第9段階の保険料率は年額121,000円であり、基準額75,600円に対する乗率は1.60である。第9期の1.63は第8期を引き上げたものであり、国の標準（1.70）を下回ることは第8期からの継続である。第8期から第9期で乗率が下がったのは第1段階から第4段階までであり、第6段階は変わらず、第7段階から第13段階までは引き上げられている。多段階化により加わったのは第14段階から第16段階までである。なお、本則が公費による軽減前の額、第2項から第4項までの減額賦課が軽減後の額を定める構造である。第9期の保険料率を定める条例の改正は例規集に収録されていないため、乗率を国の標準より低く定めた経緯を示す資料のご提供を要する。
受託者案＝経緯を確認できないものとして、第9期条例の乗率をそのまま用いる。</t>
        </is>
      </c>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6" t="inlineStr">
        <is>
          <t>受託者案で確定</t>
        </is>
      </c>
      <c r="I39" s="10" t="inlineStr">
        <is>
          <t>R8.10</t>
        </is>
      </c>
      <c r="J39" s="11" t="inlineStr">
        <is>
          <t>【令和8年10月19日　ご了承】受託者案により作成を進めることとされた（従前の状態：確認待ち）。
受託者案＝上川管内の保険者の所得段階数と乗率の比較は掲げない。</t>
        </is>
      </c>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6" t="inlineStr">
        <is>
          <t>受託者案で確定</t>
        </is>
      </c>
      <c r="I40" s="10" t="inlineStr">
        <is>
          <t>R8.10</t>
        </is>
      </c>
      <c r="J40" s="11" t="inlineStr">
        <is>
          <t>【令和8年10月19日　ご了承】受託者案により作成を進めることとされた（従前の状態：確認待ち）。
受託者案＝令和6年度の所得段階別構成比と予定収納率0.99による。</t>
        </is>
      </c>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2" s="5" t="inlineStr">
        <is>
          <t>素案 第3章第4節
妥当性検証 所見18・19</t>
        </is>
      </c>
      <c r="G42" s="5" t="inlineStr">
        <is>
          <t>発注者</t>
        </is>
      </c>
      <c r="H42" s="6" t="inlineStr">
        <is>
          <t>受託者案で確定</t>
        </is>
      </c>
      <c r="I42" s="10" t="inlineStr">
        <is>
          <t>R8.9</t>
        </is>
      </c>
      <c r="J42" s="11" t="inlineStr">
        <is>
          <t>【令和8年10月19日　ご了承】受託者案により作成を進めることとされた（従前の状態：確認待ち）。
受託者案＝公表されている全国集計の値による。</t>
        </is>
      </c>
    </row>
    <row r="43" ht="88" customHeight="1">
      <c r="A43" s="4" t="n">
        <v>39</v>
      </c>
      <c r="B43" s="4" t="inlineStr">
        <is>
          <t>(2)</t>
        </is>
      </c>
      <c r="C43" s="4" t="inlineStr">
        <is>
          <t>R8.8</t>
        </is>
      </c>
      <c r="D43" s="5" t="inlineStr">
        <is>
          <t>中間報告・施策体系新旧対照表・骨子案のご確認</t>
        </is>
      </c>
      <c r="E4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3" s="5" t="inlineStr">
        <is>
          <t>計画骨子案
施策体系新旧対照表
計画素案 第4章・第5章</t>
        </is>
      </c>
      <c r="G43" s="5" t="inlineStr">
        <is>
          <t>発注者</t>
        </is>
      </c>
      <c r="H43" s="6" t="inlineStr">
        <is>
          <t>受託者案で確定</t>
        </is>
      </c>
      <c r="I43" s="10" t="inlineStr">
        <is>
          <t>R8.9.2</t>
        </is>
      </c>
      <c r="J43" s="11" t="inlineStr">
        <is>
          <t>【令和8年10月19日　ご了承】受託者案により作成を進めることとされた（従前の状態：確認待ち）。
同打合せで期限を令和8年9月2日（水）と設定。令和8年8月28日の発注者のご指示により、議事録に①②を加え、期限を明記した（校正No.14・15）。
受託者案＝中間報告・施策体系新旧対照表・骨子案は提出した内容のままとする。</t>
        </is>
      </c>
    </row>
    <row r="44" ht="88" customHeight="1">
      <c r="A44" s="4" t="n">
        <v>40</v>
      </c>
      <c r="B44" s="4" t="inlineStr">
        <is>
          <t>(3)</t>
        </is>
      </c>
      <c r="C44" s="4" t="inlineStr">
        <is>
          <t>R8.8</t>
        </is>
      </c>
      <c r="D44" s="5" t="inlineStr">
        <is>
          <t>社会資源一覧の従業員数の重複計上の扱い</t>
        </is>
      </c>
      <c r="E4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4" s="5" t="inlineStr">
        <is>
          <t>従業員数の重複計上の整理
計画素案 第2章第3節・第6章第2節</t>
        </is>
      </c>
      <c r="G44" s="5" t="inlineStr">
        <is>
          <t>発注者・3町</t>
        </is>
      </c>
      <c r="H44" s="6" t="inlineStr">
        <is>
          <t>受託者案で確定</t>
        </is>
      </c>
      <c r="I44" s="10" t="inlineStr">
        <is>
          <t>R8.9</t>
        </is>
      </c>
      <c r="J44" s="11" t="inlineStr">
        <is>
          <t>【令和8年10月19日　ご了承】受託者案により作成を進めることとされた（従前の状態：確認待ち）。
受託者の案は施設単位の実人数。「従業員数の重複計上の整理」01シートに確認欄を設けて両案に対応した。
受託者案＝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t>
        </is>
      </c>
    </row>
    <row r="45" ht="88" customHeight="1">
      <c r="A45" s="4" t="n">
        <v>41</v>
      </c>
      <c r="B45" s="4" t="inlineStr">
        <is>
          <t>(5)</t>
        </is>
      </c>
      <c r="C45" s="4" t="inlineStr">
        <is>
          <t>R8.8</t>
        </is>
      </c>
      <c r="D45" s="5" t="inlineStr">
        <is>
          <t>令和8年度の実績の推定方法</t>
        </is>
      </c>
      <c r="E4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45" s="5" t="inlineStr">
        <is>
          <t>計画素案 第6章
将来推計 第1〜3段階</t>
        </is>
      </c>
      <c r="G45" s="5" t="inlineStr">
        <is>
          <t>発注者</t>
        </is>
      </c>
      <c r="H45" s="6" t="inlineStr">
        <is>
          <t>了承済</t>
        </is>
      </c>
      <c r="I45" s="10" t="inlineStr">
        <is>
          <t>R8.8.26</t>
        </is>
      </c>
      <c r="J45" s="11" t="inlineStr">
        <is>
          <t>令和8年8月26日の進捗確認の打合せで了承。対前年比等の単純な外挿は用いない</t>
        </is>
      </c>
    </row>
    <row r="46" ht="88" customHeight="1">
      <c r="A46" s="4" t="n">
        <v>42</v>
      </c>
      <c r="B46" s="4" t="inlineStr">
        <is>
          <t>(8)</t>
        </is>
      </c>
      <c r="C46" s="4" t="inlineStr">
        <is>
          <t>R8.8</t>
        </is>
      </c>
      <c r="D46" s="5" t="inlineStr">
        <is>
          <t>キックオフ会議資料への工程表の反映</t>
        </is>
      </c>
      <c r="E4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6" s="5" t="inlineStr">
        <is>
          <t>キックオフ会議資料</t>
        </is>
      </c>
      <c r="G46" s="5" t="inlineStr">
        <is>
          <t>発注者・3町</t>
        </is>
      </c>
      <c r="H46" s="6" t="inlineStr">
        <is>
          <t>受託者案で確定</t>
        </is>
      </c>
      <c r="I46" s="10" t="inlineStr">
        <is>
          <t>R8.8</t>
        </is>
      </c>
      <c r="J46" s="11" t="inlineStr">
        <is>
          <t>【令和8年10月19日　ご了承】受託者案により作成を進めることとされた（従前の状態：対応中）。
同打合せでご依頼をいただいた。反映する工程表は発注者ご作成の予定表による。
受託者案＝現行の工程表のまま進める。</t>
        </is>
      </c>
    </row>
    <row r="47" ht="88" customHeight="1">
      <c r="A47" s="4" t="n">
        <v>43</v>
      </c>
      <c r="B47" s="4" t="inlineStr">
        <is>
          <t>(2)</t>
        </is>
      </c>
      <c r="C47" s="4" t="inlineStr">
        <is>
          <t>R8.8</t>
        </is>
      </c>
      <c r="D47" s="5" t="inlineStr">
        <is>
          <t>認定に要する日数の扱い</t>
        </is>
      </c>
      <c r="E4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7" s="5" t="inlineStr">
        <is>
          <t>中間報告 第3節
計画素案 第2章・第5章</t>
        </is>
      </c>
      <c r="G47" s="5" t="inlineStr">
        <is>
          <t>発注者</t>
        </is>
      </c>
      <c r="H47" s="6" t="inlineStr">
        <is>
          <t>受託者案で確定</t>
        </is>
      </c>
      <c r="I47" s="10" t="inlineStr">
        <is>
          <t>R8.9</t>
        </is>
      </c>
      <c r="J47" s="11" t="inlineStr">
        <is>
          <t>【令和8年10月19日　ご了承】受託者案により作成を進めることとされた（従前の状態：確認待ち）。
令和8年8月28日受領の集計帳票により判明。
受託者案＝令和8年8月28日受領の集計帳票による。</t>
        </is>
      </c>
    </row>
    <row r="48" ht="88" customHeight="1">
      <c r="A48" s="4" t="n">
        <v>44</v>
      </c>
      <c r="B48" s="4" t="inlineStr">
        <is>
          <t>(5)</t>
        </is>
      </c>
      <c r="C48" s="4" t="inlineStr">
        <is>
          <t>R8.8</t>
        </is>
      </c>
      <c r="D48" s="5" t="inlineStr">
        <is>
          <t>給付実績データに含まれる個人情報の取扱い</t>
        </is>
      </c>
      <c r="E4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8" s="5" t="inlineStr">
        <is>
          <t>給付実績データの受領点検
将来推計 第2・3段階</t>
        </is>
      </c>
      <c r="G48" s="5" t="inlineStr">
        <is>
          <t>発注者</t>
        </is>
      </c>
      <c r="H48" s="6" t="inlineStr">
        <is>
          <t>了承済（保管せず廃棄）</t>
        </is>
      </c>
      <c r="I48" s="10" t="inlineStr">
        <is>
          <t>R8.8.28</t>
        </is>
      </c>
      <c r="J4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9" ht="88" customHeight="1">
      <c r="A49" s="4" t="n">
        <v>45</v>
      </c>
      <c r="B49" s="4" t="inlineStr">
        <is>
          <t>(5)</t>
        </is>
      </c>
      <c r="C49" s="4" t="inlineStr">
        <is>
          <t>R8.8</t>
        </is>
      </c>
      <c r="D49" s="5" t="inlineStr">
        <is>
          <t>代表KPI H15の分母の定義</t>
        </is>
      </c>
      <c r="E4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9" s="5" t="inlineStr">
        <is>
          <t>計画素案 第4章 資料1
中間報告 第3節</t>
        </is>
      </c>
      <c r="G49" s="5" t="inlineStr">
        <is>
          <t>発注者</t>
        </is>
      </c>
      <c r="H49" s="6" t="inlineStr">
        <is>
          <t>受託者案で確定</t>
        </is>
      </c>
      <c r="I49" s="10" t="inlineStr">
        <is>
          <t>R8.9</t>
        </is>
      </c>
      <c r="J49" s="11" t="inlineStr">
        <is>
          <t>【令和8年10月19日　ご了承】受託者案により作成を進めることとされた（従前の状態：確認待ち）。
受託者案は標準給付費見込額。計画期間を通じた財政運営の指標であるため。
受託者案＝代表KPI H15の分母は標準給付費見込額とする（受託者案）。</t>
        </is>
      </c>
    </row>
    <row r="50" ht="88" customHeight="1">
      <c r="A50" s="4" t="n">
        <v>46</v>
      </c>
      <c r="B50" s="4" t="inlineStr">
        <is>
          <t>(5)</t>
        </is>
      </c>
      <c r="C50" s="4" t="inlineStr">
        <is>
          <t>R8.8</t>
        </is>
      </c>
      <c r="D50" s="5" t="inlineStr">
        <is>
          <t>令和7年度の給付費の集計が一致しない</t>
        </is>
      </c>
      <c r="E50"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50" s="5" t="inlineStr">
        <is>
          <t>給付実績データの受領点検
将来推計 第2・3段階</t>
        </is>
      </c>
      <c r="G50" s="5" t="inlineStr">
        <is>
          <t>発注者</t>
        </is>
      </c>
      <c r="H50" s="6" t="inlineStr">
        <is>
          <t>受託者案で確定</t>
        </is>
      </c>
      <c r="I50" s="10" t="inlineStr">
        <is>
          <t>R8.9</t>
        </is>
      </c>
      <c r="J50" s="11" t="inlineStr">
        <is>
          <t>【令和8年10月19日　ご了承】受託者案により作成を進めることとされた（従前の状態：確認待ち）。
解消するまでは令和7年度の町別の値は用いず、大雪地区広域連合の合計のみを用いる。
受託者案＝令和8年9月25日の再提供により決着済み。再提供を受けたファイルの値（3町合計と円単位一致）による。</t>
        </is>
      </c>
    </row>
    <row r="51" ht="88" customHeight="1">
      <c r="A51" s="4" t="n">
        <v>47</v>
      </c>
      <c r="B51" s="4" t="inlineStr">
        <is>
          <t>(5)</t>
        </is>
      </c>
      <c r="C51" s="4" t="inlineStr">
        <is>
          <t>R8.8</t>
        </is>
      </c>
      <c r="D51" s="5" t="inlineStr">
        <is>
          <t>計画作成支援ツールの実績値シートの確認</t>
        </is>
      </c>
      <c r="E5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51" s="5" t="inlineStr">
        <is>
          <t>給付実績データの受領点検 04シート
将来推計 第3段階</t>
        </is>
      </c>
      <c r="G51" s="5" t="inlineStr">
        <is>
          <t>発注者</t>
        </is>
      </c>
      <c r="H51" s="6" t="inlineStr">
        <is>
          <t>受託者案で確定</t>
        </is>
      </c>
      <c r="I51" s="10" t="inlineStr">
        <is>
          <t>R8.9</t>
        </is>
      </c>
      <c r="J51" s="11" t="inlineStr">
        <is>
          <t>【令和8年10月19日　ご了承】受託者案により作成を進めることとされた（従前の状態：確認待ち）。
第3段階（給付費・保険料）の算定に用いる。
受託者案＝総括表（保険者単位）を用い、計画作成支援ツールの実績値シートは比較のためにのみ用いる。</t>
        </is>
      </c>
    </row>
    <row r="52" ht="88" customHeight="1">
      <c r="A52" s="4" t="n">
        <v>48</v>
      </c>
      <c r="B52" s="4" t="inlineStr">
        <is>
          <t>(2)</t>
        </is>
      </c>
      <c r="C52" s="4" t="inlineStr">
        <is>
          <t>R8.8</t>
        </is>
      </c>
      <c r="D52" s="5" t="inlineStr">
        <is>
          <t>総合事業の実施状況に関する調査（令和6年度）の確認</t>
        </is>
      </c>
      <c r="E5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2" s="5" t="inlineStr">
        <is>
          <t>総合事業実施状況調査の受領点検
素案 第3章第1節・第2節
H05の基準値</t>
        </is>
      </c>
      <c r="G52" s="5" t="inlineStr">
        <is>
          <t>発注者</t>
        </is>
      </c>
      <c r="H52" s="6" t="inlineStr">
        <is>
          <t>受託者案で確定</t>
        </is>
      </c>
      <c r="I52" s="10" t="inlineStr">
        <is>
          <t>R8.9</t>
        </is>
      </c>
      <c r="J52" s="11" t="inlineStr">
        <is>
          <t>【令和8年10月19日　ご了承】受託者案により作成を進めることとされた（従前の状態：確認待ち）。
第9期の通いの場と地域支援事業の評価に用いる。
受託者案＝収録済みの令和6年度の総合事業の実施状況に関する調査の値による。</t>
        </is>
      </c>
    </row>
    <row r="53" ht="88" customHeight="1">
      <c r="A53" s="4" t="n">
        <v>49</v>
      </c>
      <c r="B53" s="4" t="inlineStr">
        <is>
          <t>(12)</t>
        </is>
      </c>
      <c r="C53" s="4" t="inlineStr">
        <is>
          <t>R8.8</t>
        </is>
      </c>
      <c r="D53" s="5" t="inlineStr">
        <is>
          <t>中間報告会議の議事録の記載の確認【回答済】</t>
        </is>
      </c>
      <c r="E53"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53" s="5" t="inlineStr">
        <is>
          <t>中間報告会議議事録
業務工程管理表
必要事項の一覧</t>
        </is>
      </c>
      <c r="G53" s="5" t="inlineStr">
        <is>
          <t>発注者</t>
        </is>
      </c>
      <c r="H53" s="6" t="inlineStr">
        <is>
          <t>了承済</t>
        </is>
      </c>
      <c r="I53" s="10" t="inlineStr">
        <is>
          <t>R8.8.28</t>
        </is>
      </c>
      <c r="J53" s="11" t="inlineStr">
        <is>
          <t>議事録に反映済み。年報・月報の到着後に資料No.21・22を受領済とする</t>
        </is>
      </c>
    </row>
    <row r="54" ht="88" customHeight="1">
      <c r="A54" s="4" t="n">
        <v>50</v>
      </c>
      <c r="B54" s="4" t="inlineStr">
        <is>
          <t>(5)</t>
        </is>
      </c>
      <c r="C54" s="4" t="inlineStr">
        <is>
          <t>R8.8</t>
        </is>
      </c>
      <c r="D54" s="5" t="inlineStr">
        <is>
          <t>年報・月報の受領に伴う確認</t>
        </is>
      </c>
      <c r="E54"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54" s="5" t="inlineStr">
        <is>
          <t>年報月報の受領点検
将来推計 第3段階
素案 第6章第3節・第6節</t>
        </is>
      </c>
      <c r="G54" s="5" t="inlineStr">
        <is>
          <t>発注者</t>
        </is>
      </c>
      <c r="H54" s="6" t="inlineStr">
        <is>
          <t>受託者案で確定</t>
        </is>
      </c>
      <c r="I54" s="10" t="inlineStr">
        <is>
          <t>R8.9</t>
        </is>
      </c>
      <c r="J54" s="11" t="inlineStr">
        <is>
          <t>【令和8年10月19日　ご了承】受託者案により作成を進めることとされた（従前の状態：確認待ち）。
①は第10期の保険料算定を止めている。最優先。
受託者案＝受領済みの年報・月報の値による。</t>
        </is>
      </c>
    </row>
    <row r="55" ht="88" customHeight="1">
      <c r="A55" s="4" t="n">
        <v>51</v>
      </c>
      <c r="B55" s="4" t="inlineStr">
        <is>
          <t>(2)</t>
        </is>
      </c>
      <c r="C55" s="4" t="inlineStr">
        <is>
          <t>R8.8</t>
        </is>
      </c>
      <c r="D55" s="5" t="inlineStr">
        <is>
          <t>月報の値の接続のずれ（ご報告）</t>
        </is>
      </c>
      <c r="E5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5" s="5" t="inlineStr">
        <is>
          <t>年報月報の受領点検 04シート</t>
        </is>
      </c>
      <c r="G55" s="5" t="inlineStr">
        <is>
          <t>発注者</t>
        </is>
      </c>
      <c r="H55" s="6" t="inlineStr">
        <is>
          <t>受託者案で確定</t>
        </is>
      </c>
      <c r="I55" s="10" t="inlineStr">
        <is>
          <t>R8.9</t>
        </is>
      </c>
      <c r="J55" s="11" t="inlineStr">
        <is>
          <t>【令和8年10月19日　ご了承】受託者案により作成を進めることとされた（従前の状態：確認待ち）。
計画本文への影響はない。記録として残すもの。
受託者案＝月報の値の接続のずれは記録として残し、計画本文には用いない。</t>
        </is>
      </c>
    </row>
    <row r="56" ht="88" customHeight="1">
      <c r="A56" s="4" t="n">
        <v>52</v>
      </c>
      <c r="B56" s="4" t="inlineStr">
        <is>
          <t>(5)</t>
        </is>
      </c>
      <c r="C56" s="4" t="inlineStr">
        <is>
          <t>R8.8</t>
        </is>
      </c>
      <c r="D56" s="5" t="inlineStr">
        <is>
          <t>令和6年度決算書の受領に伴う確認</t>
        </is>
      </c>
      <c r="E5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56" s="5" t="inlineStr">
        <is>
          <t>令和6年度決算書の受領点検 03シート
素案 第6章第3節・第6節</t>
        </is>
      </c>
      <c r="G56" s="5" t="inlineStr">
        <is>
          <t>発注者</t>
        </is>
      </c>
      <c r="H56" s="6" t="inlineStr">
        <is>
          <t>受託者案で確定</t>
        </is>
      </c>
      <c r="I56" s="10" t="inlineStr">
        <is>
          <t>R8.9</t>
        </is>
      </c>
      <c r="J56" s="11" t="inlineStr">
        <is>
          <t>【令和8年10月19日　ご了承】受託者案により作成を進めることとされた（従前の状態：確認待ち）。
いずれも金額の総額に影響しない。名称と科目の確認である。
受託者案＝名称・科目は令和6年度決算書の表記による（総額に影響しない）。</t>
        </is>
      </c>
    </row>
    <row r="57" ht="88" customHeight="1">
      <c r="A57" s="4" t="n">
        <v>53</v>
      </c>
      <c r="B57" s="4" t="inlineStr">
        <is>
          <t>(5)</t>
        </is>
      </c>
      <c r="C57" s="4" t="inlineStr">
        <is>
          <t>R8.8</t>
        </is>
      </c>
      <c r="D57" s="5" t="inlineStr">
        <is>
          <t>介護保険事業財政調整基金の積立ての上限と取崩方針</t>
        </is>
      </c>
      <c r="E5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7" s="5" t="inlineStr">
        <is>
          <t>基金条例の確認 02シート
素案 第6章第6節
将来推計 第3段階</t>
        </is>
      </c>
      <c r="G57" s="5" t="inlineStr">
        <is>
          <t>発注者</t>
        </is>
      </c>
      <c r="H57" s="6" t="inlineStr">
        <is>
          <t>受託者案で確定</t>
        </is>
      </c>
      <c r="I57" s="10" t="inlineStr">
        <is>
          <t>R8.9</t>
        </is>
      </c>
      <c r="J57" s="11" t="inlineStr">
        <is>
          <t>【令和8年10月19日　ご了承】受託者案により作成を進めることとされた（従前の状態：確認待ち）。
第10期の保険料の水準に影響する。条例の受領により判明した。
受託者案＝介護保険事業財政調整基金を取り崩さないものとして算定する（安全側）。取り崩す場合の1億円あたりの月額への効きを併記する。</t>
        </is>
      </c>
    </row>
    <row r="58" ht="88" customHeight="1">
      <c r="A58" s="4" t="n">
        <v>54</v>
      </c>
      <c r="B58" s="4" t="inlineStr">
        <is>
          <t>(12)</t>
        </is>
      </c>
      <c r="C58" s="4" t="inlineStr">
        <is>
          <t>R8.8</t>
        </is>
      </c>
      <c r="D58" s="5" t="inlineStr">
        <is>
          <t>議事録の文書プロパティに個人名が再度入る</t>
        </is>
      </c>
      <c r="E5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58" s="5" t="inlineStr">
        <is>
          <t>中間報告会議議事録
業務工程管理表</t>
        </is>
      </c>
      <c r="G58" s="5" t="inlineStr">
        <is>
          <t>発注者</t>
        </is>
      </c>
      <c r="H58" s="6" t="inlineStr">
        <is>
          <t>受託者案で確定</t>
        </is>
      </c>
      <c r="I58" s="10" t="inlineStr">
        <is>
          <t>R8.9</t>
        </is>
      </c>
      <c r="J58" s="11" t="inlineStr">
        <is>
          <t>【令和8年10月19日　ご了承】受託者案により作成を進めることとされた（従前の状態：確認待ち）。
本文には現れないため、通読では気づかない。
受託者案＝議事録は作成者名を落として再出力する（当方で対応する）。</t>
        </is>
      </c>
    </row>
    <row r="59" ht="88" customHeight="1">
      <c r="A59" s="4" t="n">
        <v>55</v>
      </c>
      <c r="B59" s="4" t="inlineStr">
        <is>
          <t>(12)</t>
        </is>
      </c>
      <c r="C59" s="4" t="inlineStr">
        <is>
          <t>R8.8</t>
        </is>
      </c>
      <c r="D59" s="5" t="inlineStr">
        <is>
          <t>議事録の表記に関するご提案3件</t>
        </is>
      </c>
      <c r="E5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59" s="5" t="inlineStr">
        <is>
          <t>中間報告会議議事録
業務工程管理表</t>
        </is>
      </c>
      <c r="G59" s="5" t="inlineStr">
        <is>
          <t>発注者</t>
        </is>
      </c>
      <c r="H59" s="6" t="inlineStr">
        <is>
          <t>受託者案で確定</t>
        </is>
      </c>
      <c r="I59" s="10" t="inlineStr">
        <is>
          <t>R8.9</t>
        </is>
      </c>
      <c r="J59" s="11" t="inlineStr">
        <is>
          <t>【令和8年10月19日　ご了承】受託者案により作成を進めることとされた（従前の状態：確認待ち）。
文意は変わらない。読みやすさと文体の統一に関するもの。
受託者案＝議事録の表記はご提案3件のとおり改める。</t>
        </is>
      </c>
    </row>
    <row r="60" ht="88" customHeight="1">
      <c r="A60" s="4" t="n">
        <v>56</v>
      </c>
      <c r="B60" s="4" t="inlineStr">
        <is>
          <t>(2)</t>
        </is>
      </c>
      <c r="C60" s="4" t="inlineStr">
        <is>
          <t>R8.8</t>
        </is>
      </c>
      <c r="D60" s="5" t="inlineStr">
        <is>
          <t>令和8年8月31日受領の要介護認定集計帳票6件が他団体のもの</t>
        </is>
      </c>
      <c r="E60"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60" s="5" t="inlineStr">
        <is>
          <t>見える化総括表の受領点検 00シート</t>
        </is>
      </c>
      <c r="G60" s="5" t="inlineStr">
        <is>
          <t>発注者</t>
        </is>
      </c>
      <c r="H60" s="6" t="inlineStr">
        <is>
          <t>受託者案で確定</t>
        </is>
      </c>
      <c r="I60" s="10" t="inlineStr">
        <is>
          <t>R8.9</t>
        </is>
      </c>
      <c r="J60" s="11" t="inlineStr">
        <is>
          <t>【令和8年10月19日　ご了承】受託者案により作成を進めることとされた（従前の状態：確認待ち）。
他団体の資料を成果品に用いない。第8期の認定所要日数の推移は第9期の評価の材料になる。
受託者案＝他団体の集計帳票6件は成果品に用いない。</t>
        </is>
      </c>
    </row>
    <row r="61" ht="88" customHeight="1">
      <c r="A61" s="4" t="n">
        <v>57</v>
      </c>
      <c r="B61" s="4" t="inlineStr">
        <is>
          <t>(2)</t>
        </is>
      </c>
      <c r="C61" s="4" t="inlineStr">
        <is>
          <t>R8.8</t>
        </is>
      </c>
      <c r="D61" s="5" t="inlineStr">
        <is>
          <t>計画値を0としたサービスに実績がある2件</t>
        </is>
      </c>
      <c r="E6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61" s="5" t="inlineStr">
        <is>
          <t>見える化総括表の受領点検 02シート
計画素案 第4章</t>
        </is>
      </c>
      <c r="G61" s="5" t="inlineStr">
        <is>
          <t>発注者</t>
        </is>
      </c>
      <c r="H61" s="6" t="inlineStr">
        <is>
          <t>受託者案で確定</t>
        </is>
      </c>
      <c r="I61" s="10" t="inlineStr">
        <is>
          <t>R8.9</t>
        </is>
      </c>
      <c r="J61" s="11" t="inlineStr">
        <is>
          <t>【令和8年10月19日　ご了承】受託者案により作成を進めることとされた（従前の状態：確認待ち）。
計画値が0だと対計画比が算出されず、評価の対象から漏れる。第10期で同じ状態を繰り返さないための確認。
受託者案＝第10期は計画値を0とせず、算定値を置く（対計画比が算出され評価の対象となるようにする）。</t>
        </is>
      </c>
    </row>
    <row r="62" ht="88" customHeight="1">
      <c r="A62" s="4" t="n">
        <v>58</v>
      </c>
      <c r="B62" s="4" t="inlineStr">
        <is>
          <t>(2)</t>
        </is>
      </c>
      <c r="C62" s="4" t="inlineStr">
        <is>
          <t>R8.8</t>
        </is>
      </c>
      <c r="D62" s="5" t="inlineStr">
        <is>
          <t>定期巡回・随時対応型訪問介護看護の第10期の取扱い</t>
        </is>
      </c>
      <c r="E62"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62" s="5" t="inlineStr">
        <is>
          <t>見える化総括表の受領点検 02シート
計画素案 第4章</t>
        </is>
      </c>
      <c r="G62" s="5" t="inlineStr">
        <is>
          <t>発注者</t>
        </is>
      </c>
      <c r="H62" s="6" t="inlineStr">
        <is>
          <t>受託者案で確定</t>
        </is>
      </c>
      <c r="I62" s="10" t="inlineStr">
        <is>
          <t>R8.9</t>
        </is>
      </c>
      <c r="J62" s="11" t="inlineStr">
        <is>
          <t>【令和8年10月19日　ご了承】受託者案により作成を進めることとされた（従前の状態：確認待ち）。
2期続けて計画に位置づけながら実績が伴っていない。代表KPI H12（必要サービス未充足率）の設定にも関わる。
受託者案＝定期巡回・随時対応型訪問介護看護は自然体の算定値を置き、整備による上乗せは行わない（安全側）。</t>
        </is>
      </c>
    </row>
    <row r="63" ht="88" customHeight="1">
      <c r="A63" s="4" t="n">
        <v>59</v>
      </c>
      <c r="B63" s="4" t="inlineStr">
        <is>
          <t>(5)</t>
        </is>
      </c>
      <c r="C63" s="4" t="inlineStr">
        <is>
          <t>R8.8</t>
        </is>
      </c>
      <c r="D63" s="5" t="inlineStr">
        <is>
          <t>調整交付金の算定基礎の確認</t>
        </is>
      </c>
      <c r="E63"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63" s="5" t="inlineStr">
        <is>
          <t>将来推計 第3段階 00・03シート</t>
        </is>
      </c>
      <c r="G63" s="5" t="inlineStr">
        <is>
          <t>発注者</t>
        </is>
      </c>
      <c r="H63" s="6" t="inlineStr">
        <is>
          <t>受託者案で確定</t>
        </is>
      </c>
      <c r="I63" s="10" t="inlineStr">
        <is>
          <t>R8.9</t>
        </is>
      </c>
      <c r="J63" s="11" t="inlineStr">
        <is>
          <t>【令和8年10月19日　ご了承】受託者案により作成を進めることとされた（従前の状態：確認待ち）。
この扱いにより第9期の算定を再現でき、公表値6,428円と一致した。第10期の算定でも同じ扱いによる。
受託者案＝現行の扱い（第9期の算定を再現し公表値6,428円と一致する扱い）による。</t>
        </is>
      </c>
    </row>
    <row r="64" ht="88" customHeight="1">
      <c r="A64" s="4" t="n">
        <v>60</v>
      </c>
      <c r="B64" s="4" t="inlineStr">
        <is>
          <t>(5)</t>
        </is>
      </c>
      <c r="C64" s="4" t="inlineStr">
        <is>
          <t>R8.8</t>
        </is>
      </c>
      <c r="D64" s="5" t="inlineStr">
        <is>
          <t>第10期の保険料算定の前提（受託者案）</t>
        </is>
      </c>
      <c r="E64"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64" s="5" t="inlineStr">
        <is>
          <t>将来推計 第3段階 05・06シート
計画素案 第6章第6節</t>
        </is>
      </c>
      <c r="G64" s="5" t="inlineStr">
        <is>
          <t>発注者</t>
        </is>
      </c>
      <c r="H64" s="8" t="inlineStr">
        <is>
          <t>受託者案で確定（告示後に再算定）</t>
        </is>
      </c>
      <c r="I64" s="10" t="inlineStr">
        <is>
          <t>R8.10</t>
        </is>
      </c>
      <c r="J64" s="11" t="inlineStr">
        <is>
          <t>【令和8年10月19日　ご了承】受託者案により作成を進めることとされた（従前の状態：確認待ち）。ただし「保険料算定の前提（報酬改定率・負担割合・基金の取崩し）」が示された後に再算定する。
第10期の保険料水準の決定に直結する。水準そのものより「どの前提でその水準になるか」を示すことが要る。
受託者案＝当方案（単価を令和7年度で固定・施策反映を行わない・給付適正化を織り込まない・基金を取り崩さない）による。いずれも安全側であり、月額は下限に近い値となる。</t>
        </is>
      </c>
    </row>
    <row r="65" ht="88" customHeight="1">
      <c r="A65" s="4" t="n">
        <v>61</v>
      </c>
      <c r="B65" s="4" t="inlineStr">
        <is>
          <t>(2)</t>
        </is>
      </c>
      <c r="C65" s="4" t="inlineStr">
        <is>
          <t>R8.8</t>
        </is>
      </c>
      <c r="D65" s="5" t="inlineStr">
        <is>
          <t>交付金の評価項目と19施策の割当て</t>
        </is>
      </c>
      <c r="E65"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65" s="5" t="inlineStr">
        <is>
          <t>第9期施策別評価表 06シート</t>
        </is>
      </c>
      <c r="G65" s="5" t="inlineStr">
        <is>
          <t>発注者</t>
        </is>
      </c>
      <c r="H65" s="6" t="inlineStr">
        <is>
          <t>受託者案で確定</t>
        </is>
      </c>
      <c r="I65" s="10" t="inlineStr">
        <is>
          <t>R8.9</t>
        </is>
      </c>
      <c r="J65" s="11" t="inlineStr">
        <is>
          <t>【令和8年10月19日　ご了承】受託者案により作成を進めることとされた（従前の状態：確認待ち）。
交付金は取組の有無と要件の充足を測るものであり、事業量・対象実人数・決算額を測るものではない。プロセス評価の代替にはならない。
受託者案＝交付金の評価項目と19施策の割当ては当方の案のままとする。</t>
        </is>
      </c>
    </row>
    <row r="66" ht="88" customHeight="1">
      <c r="A66" s="4" t="n">
        <v>62</v>
      </c>
      <c r="B66" s="4" t="inlineStr">
        <is>
          <t>(4)</t>
        </is>
      </c>
      <c r="C66" s="4" t="inlineStr">
        <is>
          <t>R8.8</t>
        </is>
      </c>
      <c r="D66" s="5" t="inlineStr">
        <is>
          <t>社人研推計の町別データの入手（完了）</t>
        </is>
      </c>
      <c r="E6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66" s="5" t="inlineStr">
        <is>
          <t>計画素案 第2章第1節
人口推計の補正 05シート</t>
        </is>
      </c>
      <c r="G66" s="5" t="inlineStr">
        <is>
          <t>発注者</t>
        </is>
      </c>
      <c r="H66" s="6" t="inlineStr">
        <is>
          <t>完了</t>
        </is>
      </c>
      <c r="I66" s="10" t="inlineStr">
        <is>
          <t>R8.8.31</t>
        </is>
      </c>
      <c r="J6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67" ht="88" customHeight="1">
      <c r="A67" s="4" t="n">
        <v>63</v>
      </c>
      <c r="B67" s="4" t="inlineStr">
        <is>
          <t>(4)(5)</t>
        </is>
      </c>
      <c r="C67" s="4" t="inlineStr">
        <is>
          <t>R8.8</t>
        </is>
      </c>
      <c r="D67" s="5" t="inlineStr">
        <is>
          <t>人口推計の基礎を総合戦略とするご指示への対応</t>
        </is>
      </c>
      <c r="E67"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67" s="5" t="inlineStr">
        <is>
          <t>人口推計の基礎の変更_総合戦略ベース
将来推計 第1〜3段階
計画素案 第2章第1節・第6章</t>
        </is>
      </c>
      <c r="G67" s="5" t="inlineStr">
        <is>
          <t>発注者</t>
        </is>
      </c>
      <c r="H67" s="6" t="inlineStr">
        <is>
          <t>受託者案で確定</t>
        </is>
      </c>
      <c r="I67" s="10" t="inlineStr">
        <is>
          <t>R8.9</t>
        </is>
      </c>
      <c r="J67" s="11" t="inlineStr">
        <is>
          <t>【令和8年10月19日　ご了承】受託者案により作成を進めることとされた（従前の状態：確認待ち）。
4件は一体の判断である。9月中にご確認いただければ10月の3町協議に間に合う。成果品は案Cに置き換え済みであり、案A・案Bは対比の記録として残している。
受託者案＝人口推計の基礎は案C（総合戦略＋住民基本台帳の趨勢）のままとする。案A・案Bは対比の記録として残す。</t>
        </is>
      </c>
    </row>
    <row r="68" ht="88" customHeight="1">
      <c r="A68" s="4" t="n">
        <v>64</v>
      </c>
      <c r="B68" s="4" t="inlineStr">
        <is>
          <t>(6)</t>
        </is>
      </c>
      <c r="C68" s="4" t="inlineStr">
        <is>
          <t>R8.8</t>
        </is>
      </c>
      <c r="D68" s="5" t="inlineStr">
        <is>
          <t>区域内に事業所がないサービスの住民向けの記載</t>
        </is>
      </c>
      <c r="E68"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68" s="5" t="inlineStr">
        <is>
          <t>介護高齢者福祉サービスガイド_構成案
計画素案 第6章第4節</t>
        </is>
      </c>
      <c r="G68" s="5" t="inlineStr">
        <is>
          <t>発注者</t>
        </is>
      </c>
      <c r="H68" s="6" t="inlineStr">
        <is>
          <t>受託者案で確定</t>
        </is>
      </c>
      <c r="I68" s="10" t="inlineStr">
        <is>
          <t>R8.10</t>
        </is>
      </c>
      <c r="J68" s="11" t="inlineStr">
        <is>
          <t>【令和8年10月19日　ご了承】受託者案により作成を進めることとされた（従前の状態：確認待ち）。
第10期計画の確保方策（第6章第4節の3案）の決定と一体の判断である。整備しないことを決めるのであれば、他保険者の事業所の利用の案内は住民にとって必要になる。
受託者案＝区域内に事業所がないサービスは、区域外の事業所を利用できる旨を住民向けの記載に書く。</t>
        </is>
      </c>
    </row>
    <row r="69" ht="88" customHeight="1">
      <c r="A69" s="4" t="n">
        <v>65</v>
      </c>
      <c r="B69" s="4" t="inlineStr">
        <is>
          <t>(6)(7)</t>
        </is>
      </c>
      <c r="C69" s="4" t="inlineStr">
        <is>
          <t>R8.8</t>
        </is>
      </c>
      <c r="D69" s="5" t="inlineStr">
        <is>
          <t>広域連合において行うべき事業の優先順位</t>
        </is>
      </c>
      <c r="E69"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69" s="5" t="inlineStr">
        <is>
          <t>広域連合において行うべき事業の優先順位
介護高齢者福祉サービスガイド_構成案
計画素案 第5章・第6章第3節2</t>
        </is>
      </c>
      <c r="G69" s="5" t="inlineStr">
        <is>
          <t>発注者</t>
        </is>
      </c>
      <c r="H69" s="6" t="inlineStr">
        <is>
          <t>受託者案で確定</t>
        </is>
      </c>
      <c r="I69" s="10" t="inlineStr">
        <is>
          <t>R8.9</t>
        </is>
      </c>
      <c r="J69" s="11" t="inlineStr">
        <is>
          <t>【令和8年10月19日　ご了承】受託者案により作成を進めることとされた（従前の状態：確認待ち）。
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受託者案＝広域連合において行うべき事業の優先順位は当方の案のままとする。</t>
        </is>
      </c>
    </row>
    <row r="70" ht="88" customHeight="1">
      <c r="A70" s="4" t="n">
        <v>66</v>
      </c>
      <c r="B70" s="4" t="inlineStr">
        <is>
          <t>(4)(6)</t>
        </is>
      </c>
      <c r="C70" s="4" t="inlineStr">
        <is>
          <t>R8.8</t>
        </is>
      </c>
      <c r="D70" s="5" t="inlineStr">
        <is>
          <t>サービスガイドに掲載する事業所の範囲</t>
        </is>
      </c>
      <c r="E70"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0" s="5" t="inlineStr">
        <is>
          <t>介護高齢者福祉サービスガイド_構成案
3町の社会資源一覧との突合 06シート
計画素案 第2章第3節</t>
        </is>
      </c>
      <c r="G70" s="5" t="inlineStr">
        <is>
          <t>発注者</t>
        </is>
      </c>
      <c r="H70" s="6" t="inlineStr">
        <is>
          <t>受託者案で確定</t>
        </is>
      </c>
      <c r="I70" s="10" t="inlineStr">
        <is>
          <t>R8.9</t>
        </is>
      </c>
      <c r="J70" s="11" t="inlineStr">
        <is>
          <t>【令和8年10月19日　ご了承】受託者案により作成を進めることとされた（従前の状態：確認待ち）。
事業所数は出所により異なるが、どれかが誤っているのではなく時点と定義の違いである。住民に配布するガイドでは、編集の時点で最新の公表資料により全件を洗い直す必要がある。
受託者案＝サービスガイドに掲載する事業所の範囲は北海道の指定事業所一覧（最新のもの）による。</t>
        </is>
      </c>
    </row>
    <row r="71" ht="88" customHeight="1">
      <c r="A71" s="4" t="n">
        <v>67</v>
      </c>
      <c r="B71" s="4" t="inlineStr">
        <is>
          <t>(5)(6)</t>
        </is>
      </c>
      <c r="C71" s="4" t="inlineStr">
        <is>
          <t>R8.8</t>
        </is>
      </c>
      <c r="D71" s="5" t="inlineStr">
        <is>
          <t>算定方法の国の様式との整合（点検結果）</t>
        </is>
      </c>
      <c r="E71"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1" s="5" t="inlineStr">
        <is>
          <t>算定方法の整合確認（国と見える化）
将来推計 第2段階・第3段階
計画素案 第6章第3節・第6節</t>
        </is>
      </c>
      <c r="G71" s="5" t="inlineStr">
        <is>
          <t>発注者</t>
        </is>
      </c>
      <c r="H71" s="6" t="inlineStr">
        <is>
          <t>受託者案で確定</t>
        </is>
      </c>
      <c r="I71" s="10" t="inlineStr">
        <is>
          <t>R8.9</t>
        </is>
      </c>
      <c r="J71" s="11" t="inlineStr">
        <is>
          <t>【令和8年10月19日　ご了承】受託者案により作成を進めることとされた（従前の状態：確認待ち）。
①②は保険料の算定基礎の範囲の問題であり、第10期の保険料水準に直接影響する。③④⑤は算定結果を変えないが、国の様式との対応を示すために必要である。
受託者案＝当方の算定のまま進め、国の様式との対応は協議用の資料に対照表として掲げる。</t>
        </is>
      </c>
    </row>
    <row r="72" ht="88" customHeight="1">
      <c r="A72" s="4" t="n">
        <v>68</v>
      </c>
      <c r="B72" s="4" t="inlineStr">
        <is>
          <t>(5)</t>
        </is>
      </c>
      <c r="C72" s="4" t="inlineStr">
        <is>
          <t>R8.8</t>
        </is>
      </c>
      <c r="D72" s="5" t="inlineStr">
        <is>
          <t>見える化システムの自然体推計の再出力のお願い</t>
        </is>
      </c>
      <c r="E72"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2" s="5" t="inlineStr">
        <is>
          <t>将来推計 第3段階 01シート
算定方法の整合確認 04シート・07シート
計画素案 第6章第3節</t>
        </is>
      </c>
      <c r="G72" s="5" t="inlineStr">
        <is>
          <t>発注者</t>
        </is>
      </c>
      <c r="H72" s="6" t="inlineStr">
        <is>
          <t>受託者案で確定</t>
        </is>
      </c>
      <c r="I72" s="10" t="inlineStr">
        <is>
          <t>R8.9</t>
        </is>
      </c>
      <c r="J72" s="11" t="inlineStr">
        <is>
          <t>【令和8年10月19日　ご了承】受託者案により作成を進めることとされた（従前の状態：確認待ち）。
解消すれば、第2段階の見込量と第3段階の給付費とを同じ人口の基礎で接続できる。現行では両者が別々の経路で算定されており一致しない。
受託者案＝再出力を受けられないものとして、当方の要介護度別の算定による見込量を用いる。</t>
        </is>
      </c>
    </row>
    <row r="73" ht="88" customHeight="1">
      <c r="A73" s="4" t="n">
        <v>69</v>
      </c>
      <c r="B73" s="4" t="inlineStr">
        <is>
          <t>(2)(6)</t>
        </is>
      </c>
      <c r="C73" s="4" t="inlineStr">
        <is>
          <t>R8.9</t>
        </is>
      </c>
      <c r="D73" s="5" t="inlineStr">
        <is>
          <t>成果指向型配分枠（令和8年度新設）への対応</t>
        </is>
      </c>
      <c r="E73"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73" s="5" t="inlineStr">
        <is>
          <t>計画素案 第5章
交付金評価指標と全国集計の受領点検 06シート</t>
        </is>
      </c>
      <c r="G73" s="5" t="inlineStr">
        <is>
          <t>発注者</t>
        </is>
      </c>
      <c r="H73" s="6" t="inlineStr">
        <is>
          <t>受託者案で確定</t>
        </is>
      </c>
      <c r="I73" s="10" t="inlineStr">
        <is>
          <t>R8.10</t>
        </is>
      </c>
      <c r="J73" s="11" t="inlineStr">
        <is>
          <t>【令和8年10月19日　ご了承】受託者案により作成を進めることとされた（従前の状態：確認待ち）。
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受託者案＝成果指向型配分枠への対応状況を確認できないものとして、第10期の施策には位置づけず、確認でき次第加える。</t>
        </is>
      </c>
    </row>
    <row r="74" ht="88" customHeight="1">
      <c r="A74" s="4" t="n">
        <v>70</v>
      </c>
      <c r="B74" s="4" t="inlineStr">
        <is>
          <t>(2)(6)</t>
        </is>
      </c>
      <c r="C74" s="4" t="inlineStr">
        <is>
          <t>R8.9</t>
        </is>
      </c>
      <c r="D74" s="5" t="inlineStr">
        <is>
          <t>交付金の全国順位の計画本文への掲載</t>
        </is>
      </c>
      <c r="E74"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74" s="5" t="inlineStr">
        <is>
          <t>計画素案 第3章第4節
図表集 27シート
交付金評価指標と全国集計の受領点検 04シート</t>
        </is>
      </c>
      <c r="G74" s="5" t="inlineStr">
        <is>
          <t>発注者</t>
        </is>
      </c>
      <c r="H74" s="6" t="inlineStr">
        <is>
          <t>受託者案で確定</t>
        </is>
      </c>
      <c r="I74" s="10" t="inlineStr">
        <is>
          <t>R8.9</t>
        </is>
      </c>
      <c r="J74" s="11" t="inlineStr">
        <is>
          <t>【令和8年10月19日　ご了承】受託者案により作成を進めることとされた（従前の状態：確認待ち）。
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受託者案＝交付金の全国順位は計画本文に掲載せず、策定委員会資料にとどめる（確認事項No.71のとおり）。</t>
        </is>
      </c>
    </row>
    <row r="75" ht="88" customHeight="1">
      <c r="A75" s="4" t="n">
        <v>71</v>
      </c>
      <c r="B75" s="4" t="inlineStr">
        <is>
          <t>(2)(7)</t>
        </is>
      </c>
      <c r="C75" s="4" t="inlineStr">
        <is>
          <t>R8.9</t>
        </is>
      </c>
      <c r="D75" s="5" t="inlineStr">
        <is>
          <t>交付金の評価結果を委員会資料として整理したこと</t>
        </is>
      </c>
      <c r="E75"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75" s="5" t="inlineStr">
        <is>
          <t>計画素案 第1章第6節・第3章
策定委員会資料_交付金評価結果</t>
        </is>
      </c>
      <c r="G75" s="5" t="inlineStr">
        <is>
          <t>発注者</t>
        </is>
      </c>
      <c r="H75" s="6" t="inlineStr">
        <is>
          <t>了承済</t>
        </is>
      </c>
      <c r="I75" s="10" t="inlineStr">
        <is>
          <t>R8.9.3</t>
        </is>
      </c>
      <c r="J75"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76" ht="88" customHeight="1">
      <c r="A76" s="4" t="n">
        <v>72</v>
      </c>
      <c r="B76" s="4" t="inlineStr">
        <is>
          <t>(2)(6)</t>
        </is>
      </c>
      <c r="C76" s="4" t="inlineStr">
        <is>
          <t>R8.9</t>
        </is>
      </c>
      <c r="D76" s="5" t="inlineStr">
        <is>
          <t>介護給付適正化のケアプラン点検の着手（本文記載）</t>
        </is>
      </c>
      <c r="E7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76" s="5" t="inlineStr">
        <is>
          <t>計画素案 第5章 基本目標5
ケアプラン点検実施要領（案）
策定委員会資料_交付金評価結果 5</t>
        </is>
      </c>
      <c r="G76" s="5" t="inlineStr">
        <is>
          <t>発注者</t>
        </is>
      </c>
      <c r="H76" s="6" t="inlineStr">
        <is>
          <t>了承済</t>
        </is>
      </c>
      <c r="I76" s="10" t="inlineStr">
        <is>
          <t>R8.9.3</t>
        </is>
      </c>
      <c r="J7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77" ht="88" customHeight="1">
      <c r="A77" s="4" t="n">
        <v>73</v>
      </c>
      <c r="B77" s="4" t="inlineStr">
        <is>
          <t>(2)(6)</t>
        </is>
      </c>
      <c r="C77" s="4" t="inlineStr">
        <is>
          <t>R8.9</t>
        </is>
      </c>
      <c r="D77" s="5" t="inlineStr">
        <is>
          <t>ケアプラン点検実施要領（案）の確定に要する事項</t>
        </is>
      </c>
      <c r="E77"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77" s="5" t="inlineStr">
        <is>
          <t>ケアプラン点検実施要領（案）
計画素案 第5章 基本目標5</t>
        </is>
      </c>
      <c r="G77" s="5" t="inlineStr">
        <is>
          <t>発注者・3町</t>
        </is>
      </c>
      <c r="H77" s="6" t="inlineStr">
        <is>
          <t>受託者案で確定</t>
        </is>
      </c>
      <c r="I77" s="10" t="inlineStr">
        <is>
          <t>R8.9</t>
        </is>
      </c>
      <c r="J77" s="11" t="inlineStr">
        <is>
          <t>【令和8年10月19日　ご了承】受託者案により作成を進めることとされた（従前の状態：確認待ち）。
④は美瑛町がエ・オとも8点、東神楽町がオで8点を得ており、東川町は両方とも0点である。3町の取組を持ち寄れば区域共通の仕組みとして16点分が回復する。【令和8年10月20日　確認】大雪地区広域連合例規集を確認したところ、「ケアプラン」「給付適正化」の語を含む例規はなく、ケアプランの点検に係る実施要領に当たるものは例規集にない。08-01-17 地域密着型サービス事業者等指導要綱は介護保険法第23条に基づく指導を定めるものであり、運営指導・報酬請求指導を扱うがケアプランの点検を定めていない。同要綱第5条第4項により、運営指導は原則として指定又は許可の有効期間内に少なくとも1回以上、地域密着型サービスのうち居住系サービス又は施設系サービスについては3年に1回以上の頻度で行うこととされており、第10期の3か年で一巡できる。ほかに 08-01-18 監査要綱、08-01-19 業務管理体制確認検査実施要綱、08-01-16 業務管理体制の整備の届出に関する規則がある。
受託者案＝ケアプラン点検実施要領（案）は協議資料にとどめ素案に入れない。</t>
        </is>
      </c>
    </row>
    <row r="78" ht="88" customHeight="1">
      <c r="A78" s="4" t="n">
        <v>74</v>
      </c>
      <c r="B78" s="4" t="inlineStr">
        <is>
          <t>(2)(6)</t>
        </is>
      </c>
      <c r="C78" s="4" t="inlineStr">
        <is>
          <t>R8.9</t>
        </is>
      </c>
      <c r="D78" s="5" t="inlineStr">
        <is>
          <t>有料老人ホーム等の家賃等の情報収集（北海道）</t>
        </is>
      </c>
      <c r="E78"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78" s="5" t="inlineStr">
        <is>
          <t>ケアプラン点検実施要領（案）9
計画素案 第5章 基本目標5</t>
        </is>
      </c>
      <c r="G78" s="5" t="inlineStr">
        <is>
          <t>北海道上川総合振興局</t>
        </is>
      </c>
      <c r="H78" s="6" t="inlineStr">
        <is>
          <t>受託者案で確定</t>
        </is>
      </c>
      <c r="I78" s="10" t="inlineStr">
        <is>
          <t>R9.4</t>
        </is>
      </c>
      <c r="J78" s="11" t="inlineStr">
        <is>
          <t>【令和8年10月19日　ご了承】受託者案により作成を進めることとされた（従前の状態：確認待ち）。
北海道が情報収集を行っていない場合、市町村が単独で取り組んでも評価の対象とならない。令和9年4月の依頼に併せて確認する。
受託者案＝北海道が家賃等の情報収集を行っていないものとして、第10期の施策に位置づけない。</t>
        </is>
      </c>
    </row>
    <row r="79" ht="88" customHeight="1">
      <c r="A79" s="4" t="n">
        <v>75</v>
      </c>
      <c r="B79" s="4" t="inlineStr">
        <is>
          <t>(6)(7)</t>
        </is>
      </c>
      <c r="C79" s="4" t="inlineStr">
        <is>
          <t>R8.9</t>
        </is>
      </c>
      <c r="D79" s="5" t="inlineStr">
        <is>
          <t>代表KPIと改善事項の再整理案</t>
        </is>
      </c>
      <c r="E79"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79" s="5" t="inlineStr">
        <is>
          <t>計画素案 第4章第3節・第5章・資料1
骨子案 第4節
図表集31シート
代表KPIの振替案と確認事項の精査</t>
        </is>
      </c>
      <c r="G79" s="5" t="inlineStr">
        <is>
          <t>発注者</t>
        </is>
      </c>
      <c r="H79" s="6" t="inlineStr">
        <is>
          <t>受託者案で確定</t>
        </is>
      </c>
      <c r="I79" s="10" t="inlineStr">
        <is>
          <t>R8.9</t>
        </is>
      </c>
      <c r="J79" s="11" t="inlineStr">
        <is>
          <t>【令和8年10月19日　ご了承】受託者案により作成を進めることとされた（従前の状態：確認待ち）。
決定4（代表KPIの目標値）は、本案が了承されると対象が7項目に減る。本案の了承を先に行っていただきたい。
受託者案＝代表KPIと改善事項は当方の再整理案のままとする。</t>
        </is>
      </c>
    </row>
    <row r="80" ht="88" customHeight="1">
      <c r="A80" s="4" t="n">
        <v>76</v>
      </c>
      <c r="B80" s="4" t="inlineStr">
        <is>
          <t>(4)</t>
        </is>
      </c>
      <c r="C80" s="4" t="inlineStr">
        <is>
          <t>R8.9</t>
        </is>
      </c>
      <c r="D80" s="5" t="inlineStr">
        <is>
          <t>介護リームスから抽出できる項目</t>
        </is>
      </c>
      <c r="E80"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80" s="5" t="inlineStr">
        <is>
          <t>計画素案 第4章第3節・資料1
図表集31シート</t>
        </is>
      </c>
      <c r="G80" s="5" t="inlineStr">
        <is>
          <t>発注者</t>
        </is>
      </c>
      <c r="H80" s="6" t="inlineStr">
        <is>
          <t>受託者案で確定</t>
        </is>
      </c>
      <c r="I80" s="10" t="inlineStr">
        <is>
          <t>R8.9</t>
        </is>
      </c>
      <c r="J80" s="11" t="inlineStr">
        <is>
          <t>【令和8年10月19日　ご了承】受託者案により作成を進めることとされた（従前の状態：確認待ち）。
H03はこれまで「要確認・未算定」であった。データ源が確定すれば本文の成果指標に格上げできる。
受託者案＝介護リームスから抽出できないものとして、代表KPI H03は未算定のままとする。</t>
        </is>
      </c>
    </row>
    <row r="81" ht="88" customHeight="1">
      <c r="A81" s="4" t="n">
        <v>77</v>
      </c>
      <c r="B81" s="4" t="inlineStr">
        <is>
          <t>(4)</t>
        </is>
      </c>
      <c r="C81" s="4" t="inlineStr">
        <is>
          <t>R8.9</t>
        </is>
      </c>
      <c r="D81" s="5" t="inlineStr">
        <is>
          <t>北海道の評価指標⑥の団体別の公表値</t>
        </is>
      </c>
      <c r="E8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81" s="5" t="inlineStr">
        <is>
          <t>計画素案 第4章第3節・資料1
内部確認結果への対応整理 04</t>
        </is>
      </c>
      <c r="G81" s="5" t="inlineStr">
        <is>
          <t>発注者・北海道</t>
        </is>
      </c>
      <c r="H81" s="6" t="inlineStr">
        <is>
          <t>受託者案で確定</t>
        </is>
      </c>
      <c r="I81" s="10" t="inlineStr">
        <is>
          <t>R8.9</t>
        </is>
      </c>
      <c r="J81" s="11" t="inlineStr">
        <is>
          <t>【令和8年10月19日　ご了承】受託者案により作成を進めることとされた（従前の状態：確認待ち）。
引用できれば、構成町・事業所に新たな集計事務を求めずに済む。
受託者案＝北海道の評価指標⑥の団体別の公表値を引用できないものとして、当該指標は計画本文に掲げない。</t>
        </is>
      </c>
    </row>
    <row r="82" ht="88" customHeight="1">
      <c r="A82" s="4" t="n">
        <v>78</v>
      </c>
      <c r="B82" s="4" t="inlineStr">
        <is>
          <t>(5)</t>
        </is>
      </c>
      <c r="C82" s="4" t="inlineStr">
        <is>
          <t>R8.9</t>
        </is>
      </c>
      <c r="D82" s="5" t="inlineStr">
        <is>
          <t>グループホームびえいの郷の定員減の時期</t>
        </is>
      </c>
      <c r="E82"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82" s="5" t="inlineStr">
        <is>
          <t>計画素案 第2章第3節・第6章第2節
将来推計 第2・第3段階</t>
        </is>
      </c>
      <c r="G82" s="5" t="inlineStr">
        <is>
          <t>発注者・美瑛町</t>
        </is>
      </c>
      <c r="H82" s="6" t="inlineStr">
        <is>
          <t>受託者案で確定</t>
        </is>
      </c>
      <c r="I82" s="10" t="inlineStr">
        <is>
          <t>R8.9</t>
        </is>
      </c>
      <c r="J82" s="11" t="inlineStr">
        <is>
          <t>【令和8年10月19日　ご了承】受託者案により作成を進めることとされた（従前の状態：確認待ち）。
認知症対応型共同生活介護の定員は見込量の上限となる。サービス見込量と保険料に直接効く。【令和8年10月21日】介護サービス情報公表システムでは利用定員2ユニット18人、入居者9人として公表されている。ただし同じ画面の入居率の欄は95.9％であり、定員18人と入居者9人（50.0％）から再計算できない。公表資料の中の食い違いであるため、定員が18人のままであるか9人に減っているかを公表資料では判別できない。
受託者案＝北海道の名簿の定員のまま概算する。</t>
        </is>
      </c>
    </row>
    <row r="83" ht="88" customHeight="1">
      <c r="A83" s="4" t="n">
        <v>79</v>
      </c>
      <c r="B83" s="4" t="inlineStr">
        <is>
          <t>(6)</t>
        </is>
      </c>
      <c r="C83" s="4" t="inlineStr">
        <is>
          <t>R8.9</t>
        </is>
      </c>
      <c r="D83" s="5" t="inlineStr">
        <is>
          <t>第5章の施策数の見直しの範囲</t>
        </is>
      </c>
      <c r="E83"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83" s="5" t="inlineStr">
        <is>
          <t>計画素案 第5章
骨子案 第5節</t>
        </is>
      </c>
      <c r="G83" s="5" t="inlineStr">
        <is>
          <t>発注者</t>
        </is>
      </c>
      <c r="H83" s="6" t="inlineStr">
        <is>
          <t>受託者案で確定</t>
        </is>
      </c>
      <c r="I83" s="10" t="inlineStr">
        <is>
          <t>R8.9</t>
        </is>
      </c>
      <c r="J83" s="11" t="inlineStr">
        <is>
          <t>【令和8年10月19日　ご了承】受託者案により作成を進めることとされた（従前の状態：確認待ち）。
施策数を減らす場合、第9期からの継続性の説明を要する。3町協議の前に方針を決めておきたい。
受託者案＝第9期の19施策の体系を維持する（施策数を見直さない）。</t>
        </is>
      </c>
    </row>
    <row r="84" ht="88" customHeight="1">
      <c r="A84" s="4" t="n">
        <v>80</v>
      </c>
      <c r="B84" s="4" t="inlineStr">
        <is>
          <t>(3)</t>
        </is>
      </c>
      <c r="C84" s="4" t="inlineStr">
        <is>
          <t>R8.9</t>
        </is>
      </c>
      <c r="D84" s="5" t="inlineStr">
        <is>
          <t>職員個票のリストによる重複確認の可否</t>
        </is>
      </c>
      <c r="E84"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84" s="5" t="inlineStr">
        <is>
          <t>内部確認結果への対応整理 03・08
実施済み3調査の受領点検と集計 06・07</t>
        </is>
      </c>
      <c r="G84" s="5" t="inlineStr">
        <is>
          <t>発注者</t>
        </is>
      </c>
      <c r="H84" s="6" t="inlineStr">
        <is>
          <t>受託者案で確定</t>
        </is>
      </c>
      <c r="I84" s="10" t="inlineStr">
        <is>
          <t>R8.9</t>
        </is>
      </c>
      <c r="J84" s="11" t="inlineStr">
        <is>
          <t>【令和8年10月19日　ご了承】受託者案により作成を進めることとされた（従前の状態：確認待ち）。
受託者としては、個票を突き合わせず事業所への照会だけで判別する方法を推奨する。
受託者案＝職員個票を突き合わせず、事業所への照会により重複を判別する。</t>
        </is>
      </c>
    </row>
    <row r="85" ht="88" customHeight="1">
      <c r="A85" s="4" t="n">
        <v>81</v>
      </c>
      <c r="B85" s="4" t="inlineStr">
        <is>
          <t>(4)(6)</t>
        </is>
      </c>
      <c r="C85" s="4" t="inlineStr">
        <is>
          <t>R8.9</t>
        </is>
      </c>
      <c r="D85" s="5" t="inlineStr">
        <is>
          <t>代表KPI H16のデータ源（国保連の給付実績の明細情報）</t>
        </is>
      </c>
      <c r="E85"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85" s="5" t="inlineStr">
        <is>
          <t>計画素案 第4章第3節・第5章 基本目標5・資料1
給付実績データの受領点検 05
内部確認結果への対応整理 04・09</t>
        </is>
      </c>
      <c r="G85" s="5" t="inlineStr">
        <is>
          <t>発注者</t>
        </is>
      </c>
      <c r="H85" s="6" t="inlineStr">
        <is>
          <t>受託者案で確定</t>
        </is>
      </c>
      <c r="I85" s="10" t="inlineStr">
        <is>
          <t>R8.9</t>
        </is>
      </c>
      <c r="J85" s="11" t="inlineStr">
        <is>
          <t>【令和8年10月19日　ご了承】受託者案により作成を進めることとされた（従前の状態：確認待ち）。
広域型（特別養護老人ホーム・介護老人保健施設・訪問介護等）の指定権者は北海道であるため、代替案は地域密着型サービスに限った確認件数となる。策定率そのものは測れない。
受託者案＝国保連の給付実績の明細を受領できないものとして、代表KPI H16は地域密着型サービスに限った確認件数を代理指標とする。</t>
        </is>
      </c>
    </row>
    <row r="86" ht="88" customHeight="1">
      <c r="A86" s="4" t="n">
        <v>82</v>
      </c>
      <c r="B86" s="4" t="inlineStr">
        <is>
          <t>(5)</t>
        </is>
      </c>
      <c r="C86" s="4" t="inlineStr">
        <is>
          <t>R8.9</t>
        </is>
      </c>
      <c r="D86" s="5" t="inlineStr">
        <is>
          <t>構成町の一般会計繰入金の町別按分の方法</t>
        </is>
      </c>
      <c r="E8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86" s="5" t="inlineStr">
        <is>
          <t>サービス見込量の算定（R8.9.26）
構成町の意見への回答 4</t>
        </is>
      </c>
      <c r="G86" s="5" t="inlineStr">
        <is>
          <t>発注者</t>
        </is>
      </c>
      <c r="H86" s="6" t="inlineStr">
        <is>
          <t>受託者案で確定</t>
        </is>
      </c>
      <c r="I86" s="10" t="inlineStr">
        <is>
          <t>R8.9.24</t>
        </is>
      </c>
      <c r="J86" s="11" t="inlineStr">
        <is>
          <t>【令和8年10月19日　ご了承】受託者案により作成を進めることとされた（従前の状態：確認待ち）。
3町計の概算は令和9年度523.7百万円・令和10年度531.5百万円・令和11年度539.0百万円である。確定値ではなく、決定1〜3・決定8の前提により動く。【令和8年10月20日　確認】大雪地区広域連合例規集により規約（01-01-01）を確認した。第18条及び別表第2により、保険給付に要する経費は「関係町の介護保険給付実績額に応じた介護保険法に定める町の一般会計において負担すべき額」である。按分の方法は規約により定まっており、受託者が案を示すものではない。
受託者案＝町別への按分は広域連合の規約によるものであり算定できないため、構成町の一般会計繰入金は3町計の概算のみを示す（按分の方法のご教示を受けた時点で町別までお示しする）。</t>
        </is>
      </c>
    </row>
    <row r="87" ht="88" customHeight="1">
      <c r="A87" s="4" t="n">
        <v>83</v>
      </c>
      <c r="B87" s="4" t="inlineStr">
        <is>
          <t>(7)(8)</t>
        </is>
      </c>
      <c r="C87" s="4" t="inlineStr">
        <is>
          <t>R8.9</t>
        </is>
      </c>
      <c r="D87" s="5" t="inlineStr">
        <is>
          <t>構成町との意見交換会の実施方法と町別データシート</t>
        </is>
      </c>
      <c r="E87"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87" s="5" t="inlineStr">
        <is>
          <t>意見交換会資料
町別データシート
構成町の意見への回答 2・3</t>
        </is>
      </c>
      <c r="G87" s="5" t="inlineStr">
        <is>
          <t>発注者・3町</t>
        </is>
      </c>
      <c r="H87" s="6" t="inlineStr">
        <is>
          <t>受託者案で確定</t>
        </is>
      </c>
      <c r="I87" s="10" t="inlineStr">
        <is>
          <t>R8.9</t>
        </is>
      </c>
      <c r="J87" s="11" t="inlineStr">
        <is>
          <t>【令和8年10月19日　ご了承】受託者案により作成を進めることとされた（従前の状態：確認待ち）。
仕様書４（8）「各種会議への技術的支援」に含まれるため追加の費用は生じない。美瑛町は10月中旬までに素案、11月中旬までに原案を作成する予定である。
受託者案＝3町合同の意見交換会（10月上旬）と町ごとの個別協議（10月中旬〜下旬）の2段構えで進める。</t>
        </is>
      </c>
    </row>
    <row r="88" ht="88" customHeight="1">
      <c r="A88" s="4" t="n">
        <v>84</v>
      </c>
      <c r="B88" s="4" t="inlineStr">
        <is>
          <t>(5)(7)</t>
        </is>
      </c>
      <c r="C88" s="4" t="inlineStr">
        <is>
          <t>R8.9</t>
        </is>
      </c>
      <c r="D88" s="5" t="inlineStr">
        <is>
          <t>東川町の施設整備・サービス提供方針</t>
        </is>
      </c>
      <c r="E88"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88" s="5" t="inlineStr">
        <is>
          <t>サービス見込量 第2次概算
計画素案 第2章第2節・第6章第2節・第4節
構成町の意見への回答 6</t>
        </is>
      </c>
      <c r="G88" s="5" t="inlineStr">
        <is>
          <t>発注者・東川町</t>
        </is>
      </c>
      <c r="H88" s="6" t="inlineStr">
        <is>
          <t>受託者案で確定</t>
        </is>
      </c>
      <c r="I88" s="10" t="inlineStr">
        <is>
          <t>R8.10</t>
        </is>
      </c>
      <c r="J88" s="11" t="inlineStr">
        <is>
          <t>【令和8年10月19日　ご了承】受託者案により作成を進めることとされた（従前の状態：確認待ち）。
東神楽町からは整備方針の検討状況（10月視察・11月市場調査）をご回答いただいている。美瑛町からは高齢者福祉計画の工程と要望3件をご回答いただいている。
受託者案＝現定員の据え置き案を掲げ、本文は［要協議］のまま残す。</t>
        </is>
      </c>
    </row>
    <row r="89" ht="88" customHeight="1">
      <c r="A89" s="4" t="n">
        <v>85</v>
      </c>
      <c r="B89" s="4" t="inlineStr">
        <is>
          <t>(4)</t>
        </is>
      </c>
      <c r="C89" s="4" t="inlineStr">
        <is>
          <t>R8.9</t>
        </is>
      </c>
      <c r="D89" s="5" t="inlineStr">
        <is>
          <t>町別データシートの内容と配付</t>
        </is>
      </c>
      <c r="E89"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89" s="5" t="inlineStr">
        <is>
          <t>町別データシート
構成町の意見への回答 2</t>
        </is>
      </c>
      <c r="G89" s="5" t="inlineStr">
        <is>
          <t>発注者・3町</t>
        </is>
      </c>
      <c r="H89" s="6" t="inlineStr">
        <is>
          <t>受託者案で確定</t>
        </is>
      </c>
      <c r="I89" s="10" t="inlineStr">
        <is>
          <t>R8.9</t>
        </is>
      </c>
      <c r="J89" s="11" t="inlineStr">
        <is>
          <t>【令和8年10月19日　ご了承】受託者案により作成を進めることとされた（従前の状態：確認待ち）。
町別の認定率は、広域連合が第1号被保険者数を分母とするのに対し住民基本台帳の65歳以上人口を分母とせざるを得ないため、定義が異なる旨を注記している。
受託者案＝町別データシートは現行の内容のまま配付する。</t>
        </is>
      </c>
    </row>
    <row r="90" ht="88" customHeight="1">
      <c r="A90" s="4" t="n">
        <v>86</v>
      </c>
      <c r="B90" s="4" t="inlineStr">
        <is>
          <t>(5)(6)</t>
        </is>
      </c>
      <c r="C90" s="4" t="inlineStr">
        <is>
          <t>R8.9</t>
        </is>
      </c>
      <c r="D90" s="5" t="inlineStr">
        <is>
          <t>保険者機能強化推進交付金等の交付見込額の保険料収納必要額からの控除</t>
        </is>
      </c>
      <c r="E90"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90" s="5" t="inlineStr">
        <is>
          <t>計画素案 第6章第6節
将来推計 第3段階
保険料算定式の国の様式との対照</t>
        </is>
      </c>
      <c r="G90" s="5" t="inlineStr">
        <is>
          <t>発注者</t>
        </is>
      </c>
      <c r="H90" s="6" t="inlineStr">
        <is>
          <t>受託者案で確定</t>
        </is>
      </c>
      <c r="I90" s="10" t="inlineStr">
        <is>
          <t>R8.10</t>
        </is>
      </c>
      <c r="J90" s="11" t="inlineStr">
        <is>
          <t>【令和8年10月19日　ご了承】受託者案により作成を進めることとされた（従前の状態：確認待ち）。
控除する場合は保険料基準額が下がる。第2次概算（10月30日）までに決定をいただきたい。
受託者案＝地域支援事業費（B）から保険者機能強化推進事業費及び保険者努力支援事業費を除く現行の方法を採り、保険料収納必要額からの控除は行わない（二重控除を避けるため）。</t>
        </is>
      </c>
    </row>
    <row r="91" ht="88" customHeight="1">
      <c r="A91" s="4" t="n">
        <v>87</v>
      </c>
      <c r="B91" s="4" t="inlineStr">
        <is>
          <t>(2)(4)</t>
        </is>
      </c>
      <c r="C91" s="4" t="inlineStr">
        <is>
          <t>R8.9</t>
        </is>
      </c>
      <c r="D91" s="5" t="inlineStr">
        <is>
          <t>給付費データ集計　令和7年度の広域連合単位と3町合計の差</t>
        </is>
      </c>
      <c r="E9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91" s="5" t="inlineStr">
        <is>
          <t>計画素案 第2章第2節5
町別データシート
給付実績データの受領点検
令和8年9月25日受領資料の受領点検</t>
        </is>
      </c>
      <c r="G91" s="5" t="inlineStr">
        <is>
          <t>発注者</t>
        </is>
      </c>
      <c r="H91" s="10" t="inlineStr">
        <is>
          <t>解決</t>
        </is>
      </c>
      <c r="I91" s="10" t="inlineStr">
        <is>
          <t>R8.9</t>
        </is>
      </c>
      <c r="J91" s="11" t="inlineStr">
        <is>
          <t>計画素案・町別データシート・見込量算定の注記を改めた。保険料の算定には介護保険特別会計決算の値を用いるため、本件は実績の記載に関するものであり保険料算定には影響しない。【令和8年9月25日　解決】令和7年度の給付費データの再提供を受けて点検した。従前のファイルの「介護度別給付費」の表は3,083,474,291円であったが、同じファイルの明細を集計すると3,213,054,558円となり、3町合計及び再提供を受けたファイルの表と要支援1から要介護5までの全7区分で円単位まで一致した。差は集計表が明細と一致していなかったことによるものであり、対象月、審査月又は住所地特例の扱いの違いによるものではない。これにより、町別に按分すると3町とも上回るとしていた従前の整理は取り下げた</t>
        </is>
      </c>
    </row>
    <row r="92" ht="88" customHeight="1">
      <c r="A92" s="4" t="n">
        <v>88</v>
      </c>
      <c r="B92" s="4" t="inlineStr">
        <is>
          <t>(5)(6)</t>
        </is>
      </c>
      <c r="C92" s="4" t="inlineStr">
        <is>
          <t>R8.9</t>
        </is>
      </c>
      <c r="D92" s="5" t="inlineStr">
        <is>
          <t>日常生活圏域ごとの必要利用定員総数（法定記載事項）</t>
        </is>
      </c>
      <c r="E92"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92" s="5" t="inlineStr">
        <is>
          <t>計画素案 第1章第7節・第6章第4節4
サービス見込量の算定</t>
        </is>
      </c>
      <c r="G92" s="5" t="inlineStr">
        <is>
          <t>発注者・3町</t>
        </is>
      </c>
      <c r="H92" s="6" t="inlineStr">
        <is>
          <t>受託者案で確定</t>
        </is>
      </c>
      <c r="I92" s="10" t="inlineStr">
        <is>
          <t>R8.9</t>
        </is>
      </c>
      <c r="J92" s="11" t="inlineStr">
        <is>
          <t>【令和8年10月19日　ご了承】受託者案により作成を進めることとされた（従前の状態：確認待ち）。
法定記載事項であり、記載を落とすことができない。圏域が確定しないと表を作成できない。
受託者案＝3町（3圏域）を基盤整備単位とする案のまま概算する。必要利用定員総数は［要協議］のまま残す。</t>
        </is>
      </c>
    </row>
    <row r="93" ht="88" customHeight="1">
      <c r="A93" s="4" t="n">
        <v>89</v>
      </c>
      <c r="B93" s="4" t="inlineStr">
        <is>
          <t>(1)(6)</t>
        </is>
      </c>
      <c r="C93" s="4" t="inlineStr">
        <is>
          <t>R8.9</t>
        </is>
      </c>
      <c r="D93" s="5" t="inlineStr">
        <is>
          <t>社会福祉法等の一部を改正する法律（令和8年法律第51号）の反映</t>
        </is>
      </c>
      <c r="E93"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93" s="5" t="inlineStr">
        <is>
          <t>計画素案 第1章第9節・第2章第8節・第5章・第6章第2節・第6章第4節
ケアプラン点検実施要領</t>
        </is>
      </c>
      <c r="G93" s="5" t="inlineStr">
        <is>
          <t>発注者</t>
        </is>
      </c>
      <c r="H93" s="8" t="inlineStr">
        <is>
          <t>受託者案で確定（告示後に再算定）</t>
        </is>
      </c>
      <c r="I93" s="10" t="inlineStr">
        <is>
          <t>R8.10</t>
        </is>
      </c>
      <c r="J93" s="11" t="inlineStr">
        <is>
          <t>【令和8年10月19日　ご了承】受託者案により作成を進めることとされた（従前の状態：確認待ち）。ただし「社会福祉法等改正法の政令・省令及び介護報酬改定」が示された後に再算定する。
②の統合により、第10期のサービス種別の区分が変わる。国の様式（介護保険事業計画作成支援ツール）の確定を待って見込量の区分を改める。
受託者案＝計画素案 第1章第9節2の7件の整理のまま進め、政令・省令・報酬改定の公表後に再照合する。</t>
        </is>
      </c>
    </row>
    <row r="94" ht="88" customHeight="1">
      <c r="A94" s="4" t="n">
        <v>90</v>
      </c>
      <c r="B94" s="4" t="inlineStr">
        <is>
          <t>(2)(6)</t>
        </is>
      </c>
      <c r="C94" s="4" t="inlineStr">
        <is>
          <t>R8.9</t>
        </is>
      </c>
      <c r="D94" s="5" t="inlineStr">
        <is>
          <t>第9期計画の本文（電子データ）及び前回調査の原集計表の提供</t>
        </is>
      </c>
      <c r="E94"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94" s="5" t="inlineStr">
        <is>
          <t>給付適正化計画の位置づけと追加検討事項 01シート
計画素案 第5章 基本目標5・第2章第4節
アンケート調査の分析 令和8年9月業務報告 第4節</t>
        </is>
      </c>
      <c r="G94" s="5" t="inlineStr">
        <is>
          <t>発注者</t>
        </is>
      </c>
      <c r="H94" s="6" t="inlineStr">
        <is>
          <t>受託者案で確定</t>
        </is>
      </c>
      <c r="I94" s="10" t="inlineStr">
        <is>
          <t>R8.10</t>
        </is>
      </c>
      <c r="J94" s="11" t="inlineStr">
        <is>
          <t>【令和8年10月19日　ご了承】受託者案により作成を進めることとされた（従前の状態：確認待ち）。
第9期計画の体裁を勘案して第10期での位置づけを決めるため、記載の箇所の確認が前提となる。前回調査の分母は経年比較の前提となる。
受託者案＝第9期計画の本文及び前回調査の原集計表を受領できないものとして、前回調査との比較は割合のみとし、指標別の分母を確認できない旨を注記する。</t>
        </is>
      </c>
    </row>
    <row r="95" ht="88" customHeight="1">
      <c r="A95" s="4" t="n">
        <v>91</v>
      </c>
      <c r="B95" s="4" t="inlineStr">
        <is>
          <t>(2)(6)</t>
        </is>
      </c>
      <c r="C95" s="4" t="inlineStr">
        <is>
          <t>R8.9</t>
        </is>
      </c>
      <c r="D95" s="5" t="inlineStr">
        <is>
          <t>介護給付費通知及び給付実績の活用による確認等</t>
        </is>
      </c>
      <c r="E95"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95" s="5" t="inlineStr">
        <is>
          <t>給付適正化計画の位置づけと追加検討事項 02シート
計画素案 第5章 基本目標5</t>
        </is>
      </c>
      <c r="G95" s="5" t="inlineStr">
        <is>
          <t>発注者</t>
        </is>
      </c>
      <c r="H95" s="6" t="inlineStr">
        <is>
          <t>受託者案で確定</t>
        </is>
      </c>
      <c r="I95" s="10" t="inlineStr">
        <is>
          <t>R8.10</t>
        </is>
      </c>
      <c r="J95" s="11" t="inlineStr">
        <is>
          <t>【令和8年10月19日　ご了承】受託者案により作成を進めることとされた（従前の状態：確認待ち）。
国保連の適正化システムには強調表示等の工夫が取り入れられており、小規模保険者でも実施しやすいとされている。
受託者案＝介護給付費通知の実施状況を確認できないものとして、第7期給付適正化計画には現行の取組のまま位置づける。</t>
        </is>
      </c>
    </row>
    <row r="96" ht="88" customHeight="1">
      <c r="A96" s="4" t="n">
        <v>92</v>
      </c>
      <c r="B96" s="4" t="inlineStr">
        <is>
          <t>(6)</t>
        </is>
      </c>
      <c r="C96" s="4" t="inlineStr">
        <is>
          <t>R8.9</t>
        </is>
      </c>
      <c r="D96" s="5" t="inlineStr">
        <is>
          <t>認定調査の指定居宅介護支援事業所等への委託の状況</t>
        </is>
      </c>
      <c r="E9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96" s="5" t="inlineStr">
        <is>
          <t>給付適正化計画の位置づけと追加検討事項 04シート
計画素案 第5章 基本目標5</t>
        </is>
      </c>
      <c r="G96" s="5" t="inlineStr">
        <is>
          <t>発注者</t>
        </is>
      </c>
      <c r="H96" s="6" t="inlineStr">
        <is>
          <t>受託者案で確定</t>
        </is>
      </c>
      <c r="I96" s="10" t="inlineStr">
        <is>
          <t>R8.10</t>
        </is>
      </c>
      <c r="J96" s="11" t="inlineStr">
        <is>
          <t>【令和8年10月19日　ご了承】受託者案により作成を進めることとされた（従前の状態：確認待ち）。
委託していない場合は、直営の認定調査についても実態を把握することが望ましいとされている。【令和8年10月20日　一部解決】大雪地区広域連合例規集により08-01-15 要介護認定等訪問調査実施要綱（平成24年4月1日 要綱第1号）を確認した。実施主体は広域連合であり（第3条第1項）、新規の要介護認定・要支援認定に係る訪問調査（介護保険法第27条第2項及び第32条第2項によるもの）は委託の対象から除かれている（第3条第2項）。更新及び変更に係るものは地域密着型介護老人福祉施設、介護保険施設、指定居宅介護支援事業者及び地域包括支援センターに委託することができ、在宅の申請者については構成町ごとに定めた指定居宅介護支援事業者及び地域包括支援センターによる（第6条）。再委託は認められていない。訪問調査員は介護支援専門員であって都道府県が実施する訪問調査員研修を受講した者による（第4条）。第3号様式により施設調査・在宅調査の件数を月ごとに報告させる仕組みがあるため、委託の件数はこの報告により把握できる。なお得られていないのは令和7年度の実績の件数である。
受託者案＝認定調査の委託の状況を確認できないものとして、第7期給付適正化計画には現行の取組のまま位置づける。</t>
        </is>
      </c>
    </row>
    <row r="97" ht="88" customHeight="1">
      <c r="A97" s="4" t="n">
        <v>93</v>
      </c>
      <c r="B97" s="4" t="inlineStr">
        <is>
          <t>(5)(6)</t>
        </is>
      </c>
      <c r="C97" s="4" t="inlineStr">
        <is>
          <t>R8.9</t>
        </is>
      </c>
      <c r="D97" s="5" t="inlineStr">
        <is>
          <t>財政調整交付金の算定における給付適正化主要3事業の取組状況の勘案</t>
        </is>
      </c>
      <c r="E97"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97" s="5" t="inlineStr">
        <is>
          <t>将来推計 第3段階
計画素案 第6章第6節
サービス見込量 第2次概算</t>
        </is>
      </c>
      <c r="G97" s="5" t="inlineStr">
        <is>
          <t>発注者・北海道</t>
        </is>
      </c>
      <c r="H97" s="6" t="inlineStr">
        <is>
          <t>受託者案で確定</t>
        </is>
      </c>
      <c r="I97" s="10" t="inlineStr">
        <is>
          <t>R8.10</t>
        </is>
      </c>
      <c r="J97" s="11" t="inlineStr">
        <is>
          <t>【令和8年10月19日　ご了承】受託者案により作成を進めることとされた（従前の状態：確認待ち）。
確認事項No.86（保険者機能強化推進交付金等の交付見込額の控除）と併せて第2次概算（10月30日）までに整理する。
受託者案＝財政調整交付金の算定に給付適正化主要3事業の取組状況を勘案しないものとして算定する（調整交付金7.3755％のまま。安全側）。</t>
        </is>
      </c>
    </row>
    <row r="98" ht="88" customHeight="1">
      <c r="A98" s="4" t="n">
        <v>94</v>
      </c>
      <c r="B98" s="4" t="inlineStr">
        <is>
          <t>(6)</t>
        </is>
      </c>
      <c r="C98" s="4" t="inlineStr">
        <is>
          <t>R8.9</t>
        </is>
      </c>
      <c r="D98" s="5" t="inlineStr">
        <is>
          <t>給付適正化計画の位置づけ（案Bの採用）と毎年度の目標の記載場所</t>
        </is>
      </c>
      <c r="E98"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98" s="5" t="inlineStr">
        <is>
          <t>計画素案 第1章第2節・第5章 基本目標5・資料5
給付適正化計画の位置づけと追加検討事項</t>
        </is>
      </c>
      <c r="G98" s="5" t="inlineStr">
        <is>
          <t>発注者</t>
        </is>
      </c>
      <c r="H98" s="6" t="inlineStr">
        <is>
          <t>受託者案で確定</t>
        </is>
      </c>
      <c r="I98" s="10" t="inlineStr">
        <is>
          <t>R8.10</t>
        </is>
      </c>
      <c r="J98" s="11" t="inlineStr">
        <is>
          <t>【令和8年10月19日　ご了承】受託者案により作成を進めることとされた（従前の状態：確認待ち）。
位置づけの決定は令和8年9月10日に了承済み。本件は反映内容の事後確認である。
受託者案＝給付適正化計画の位置づけは案B（第9期と同じく施策として置き、施策名のかっこ書きで第7期給付適正化計画であることを示す）のままとする（令和8年9月10日 了承済み）。</t>
        </is>
      </c>
    </row>
    <row r="99" ht="88" customHeight="1">
      <c r="A99" s="4" t="n">
        <v>95</v>
      </c>
      <c r="B99" s="4" t="inlineStr">
        <is>
          <t>(6)</t>
        </is>
      </c>
      <c r="C99" s="4" t="inlineStr">
        <is>
          <t>R8.9</t>
        </is>
      </c>
      <c r="D99" s="5" t="inlineStr">
        <is>
          <t>大雪地区広域連合の指定地域密着型サービスの基準条例のご提供</t>
        </is>
      </c>
      <c r="E9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なお、介護給付費分科会第263回 資料1は、人員配置基準に係るいわゆるローカルルールについて「あくまでも厚生労働省令に従う範囲内で地域の実情に応じた内容とする必要がある」としたうえで、自治体ごとに異なる解釈や取扱いが行われている状況について引き続き実態の把握を行うこととしている（令和8年10月14日に原典により確認）。条例の規定が省令に従う範囲内であるかは、条文を確認したうえで点検する。</t>
        </is>
      </c>
      <c r="F99" s="5" t="inlineStr">
        <is>
          <t>地域密着型サービス基準省令の論点整理
計画素案 第6章第4節</t>
        </is>
      </c>
      <c r="G99" s="5" t="inlineStr">
        <is>
          <t>発注者</t>
        </is>
      </c>
      <c r="H99" s="6" t="inlineStr">
        <is>
          <t>受託者案で確定</t>
        </is>
      </c>
      <c r="I99" s="10" t="inlineStr">
        <is>
          <t>R8.9</t>
        </is>
      </c>
      <c r="J99" s="11" t="inlineStr">
        <is>
          <t>【令和8年10月19日　ご了承】受託者案により作成を進めることとされた（従前の状態：確認待ち）。
論点整理 04シート。【令和8年10月20日　解決】大雪地区広域連合例規集により条例を確認した。08-01-05 指定地域密着型サービスの事業の人員、設備及び運営に関する基準等を定める条例（平成25年3月28日 条例第1号。全11章・第1条から第205条）であり、最終改正は令和3年3月23日 条例第2号である。令和6年厚生労働省令第16号による改正後の省令に対応していない。協力医療機関については第104条（小規模多機能型居宅介護）・第126条（認知症対応型共同生活介護）・第148条（地域密着型特定施設入居者生活介護）・第174条（地域密着型介護老人福祉施設入所者生活介護。「協力病院等」）に規定があるが、3要件・年1回以上の協議及び広域連合長への届出を定めていない。生産性の向上に資する取組に係る委員会については、条例に当該の規定がない。条例は基準を自ら書き下ろしており厚生労働省令への包括的な委任規定がないため、省令の改正ごとに条例の改正を要する。介護予防の側（08-01-06）も同じ構造である。なお、従うべき基準・標準・参酌すべき基準の区分を定めているのは介護保険法第78条の4第3項であり、同条第5項及び第6項により条例を改正する場合は被保険者その他の関係者の意見を反映させ、及び学識経験を有する者の知見の活用を図るために必要な措置を講じなければならない。
受託者案＝基準条例を受領できないものとして、省令の基準により論点を整理するにとどめ、計画素案には条例の内容を書かない。</t>
        </is>
      </c>
    </row>
    <row r="100" ht="88" customHeight="1">
      <c r="A100" s="4" t="n">
        <v>96</v>
      </c>
      <c r="B100" s="4" t="inlineStr">
        <is>
          <t>(6)</t>
        </is>
      </c>
      <c r="C100" s="4" t="inlineStr">
        <is>
          <t>R8.9</t>
        </is>
      </c>
      <c r="D100" s="5" t="inlineStr">
        <is>
          <t>認知症対応型共同生活介護の共同生活住居数と、くるみの郷の定員</t>
        </is>
      </c>
      <c r="E10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100" s="5" t="inlineStr">
        <is>
          <t>計画素案 第2章第3節6
計画素案 第6章第4節4
地域密着型サービス基準省令の論点整理</t>
        </is>
      </c>
      <c r="G100" s="5" t="inlineStr">
        <is>
          <t>発注者・3町</t>
        </is>
      </c>
      <c r="H100" s="6" t="inlineStr">
        <is>
          <t>受託者案で確定</t>
        </is>
      </c>
      <c r="I100" s="10" t="inlineStr">
        <is>
          <t>R8.9</t>
        </is>
      </c>
      <c r="J100" s="11" t="inlineStr">
        <is>
          <t>【令和8年10月19日　ご了承】受託者案により作成を進めることとされた（従前の状態：確認待ち）。
第2章第3節6及び第6章第4節4の町別の分布欄の誤り（東川町45→36、計108→99）は令和8年9月10日に修正済み。【令和8年10月21日　①は大きく解決】介護サービス情報公表システムにより、6事業所の共同生活住居数と定員を確認した（ファミリー2住居18人・ゆう2住居18人・びえいの郷2住居18人・虹1住居9人・ひばり2住居18人・ひじり野2住居18人。計11住居99人）。公表システムの利用定員の合計は当方の収録値99人と一致する。②は残る。くるみの郷は公表システムに掲載がなく、北海道の指定事業所一覧には定員の列がないため、共同生活住居数も定員も公表資料では確かめられない。
受託者案＝認知症対応型共同生活介護の定員は99人＋［要確認］のまま掲げる。</t>
        </is>
      </c>
    </row>
    <row r="101" ht="88" customHeight="1">
      <c r="A101" s="4" t="n">
        <v>97</v>
      </c>
      <c r="B101" s="4" t="inlineStr">
        <is>
          <t>(6)</t>
        </is>
      </c>
      <c r="C101" s="4" t="inlineStr">
        <is>
          <t>R8.9</t>
        </is>
      </c>
      <c r="D101" s="5" t="inlineStr">
        <is>
          <t>令和9年4月1日から義務となる2件への対応</t>
        </is>
      </c>
      <c r="E10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101" s="5" t="inlineStr">
        <is>
          <t>計画素案 第1章第9節
計画素案 第5章 基本目標3・4
計画素案 第6章第4節3</t>
        </is>
      </c>
      <c r="G101" s="5" t="inlineStr">
        <is>
          <t>発注者</t>
        </is>
      </c>
      <c r="H101" s="6" t="inlineStr">
        <is>
          <t>受託者案で確定</t>
        </is>
      </c>
      <c r="I101" s="10" t="inlineStr">
        <is>
          <t>R8.10</t>
        </is>
      </c>
      <c r="J101" s="11" t="inlineStr">
        <is>
          <t>【令和8年10月19日　ご了承】受託者案により作成を進めることとされた（従前の状態：確認待ち）。
確認事項No.95（条例）と一体。条例に対応規定がなければ事業者に及ばない。【令和8年10月21日】介護サービス情報公表システムにより、施設・居住系の事業所の協力医療機関の名称が公表されていることを確かめた（記載があるもの、及び記載がないものを区別できる）。ただし省令が定める3要件の充足、年1回以上の協議及び届出の状況は公表されていない。②生産性の向上に係る委員会の設置も公表されていないため、いずれも届出又は運営指導の際の確認による。
受託者案＝条例の対応規定を確認できないものとして、計画素案には省令の定めと対象事業所数（協力医療機関10・生産性向上委員会15）のみを書く。</t>
        </is>
      </c>
    </row>
    <row r="102" ht="88" customHeight="1">
      <c r="A102" s="4" t="n">
        <v>98</v>
      </c>
      <c r="B102" s="4" t="inlineStr">
        <is>
          <t>(6)</t>
        </is>
      </c>
      <c r="C102" s="4" t="inlineStr">
        <is>
          <t>R8.9</t>
        </is>
      </c>
      <c r="D102" s="5" t="inlineStr">
        <is>
          <t>基盤整備の選択肢として省令上の類型を計画に掲げるか</t>
        </is>
      </c>
      <c r="E10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102" s="5" t="inlineStr">
        <is>
          <t>計画素案 第6章第4節1
計画素案 第6章第2節2（2）
サービス見込量の算定</t>
        </is>
      </c>
      <c r="G102" s="5" t="inlineStr">
        <is>
          <t>発注者</t>
        </is>
      </c>
      <c r="H102" s="6" t="inlineStr">
        <is>
          <t>受託者案で確定</t>
        </is>
      </c>
      <c r="I102" s="10" t="inlineStr">
        <is>
          <t>R8.9</t>
        </is>
      </c>
      <c r="J102" s="11" t="inlineStr">
        <is>
          <t>【令和8年10月19日　ご了承】受託者案により作成を進めることとされた（従前の状態：確認待ち）。
①は第6章第4節1 案Aの書き分けに関わるため第1次概算（9月26日）より前に整理する。
受託者案＝省令上の類型を計画に掲げないまま概算する。</t>
        </is>
      </c>
    </row>
    <row r="103" ht="88" customHeight="1">
      <c r="A103" s="4" t="n">
        <v>99</v>
      </c>
      <c r="B103" s="4" t="inlineStr">
        <is>
          <t>(6)</t>
        </is>
      </c>
      <c r="C103" s="4" t="inlineStr">
        <is>
          <t>R8.9</t>
        </is>
      </c>
      <c r="D103" s="5" t="inlineStr">
        <is>
          <t>過疎地域における小規模多機能型居宅介護の定員超過の特例の取扱い</t>
        </is>
      </c>
      <c r="E10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103" s="5" t="inlineStr">
        <is>
          <t>計画素案 第6章第4節
計画素案 第6章第2節2（2）
地域密着型サービス基準省令の論点整理</t>
        </is>
      </c>
      <c r="G103" s="5" t="inlineStr">
        <is>
          <t>発注者</t>
        </is>
      </c>
      <c r="H103" s="6" t="inlineStr">
        <is>
          <t>受託者案で確定</t>
        </is>
      </c>
      <c r="I103" s="10" t="inlineStr">
        <is>
          <t>R8.10</t>
        </is>
      </c>
      <c r="J103" s="11" t="inlineStr">
        <is>
          <t>【令和8年10月19日　ご了承】受託者案により作成を進めることとされた（従前の状態：確認待ち）。
対象となり得るのは美瑛町の5事業所。【令和8年10月21日】介護サービス情報公表システムにより、5事業所の登録定員（計119人）と利用者数（計100人）を確かめた。当方は登録定員を収録していなかった。①現に定員超過を認めている事業所があるかは公表されていない。
受託者案＝過疎地域における定員超過の特例を用いないものとして見込量を算定する。</t>
        </is>
      </c>
    </row>
    <row r="104" ht="88" customHeight="1">
      <c r="A104" s="4" t="n">
        <v>100</v>
      </c>
      <c r="B104" s="4" t="inlineStr">
        <is>
          <t>(5)(6)</t>
        </is>
      </c>
      <c r="C104" s="4" t="inlineStr">
        <is>
          <t>R8.9</t>
        </is>
      </c>
      <c r="D104" s="5" t="inlineStr">
        <is>
          <t>サービス見込量及び給付費の算定に用いる基準年度と出所</t>
        </is>
      </c>
      <c r="E104"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104" s="5" t="inlineStr">
        <is>
          <t>サービス見込量の算定
将来推計 第3段階
計画素案 第6章第2節・第3節・第6節</t>
        </is>
      </c>
      <c r="G104" s="5" t="inlineStr">
        <is>
          <t>発注者</t>
        </is>
      </c>
      <c r="H104" s="6" t="inlineStr">
        <is>
          <t>受託者案で確定</t>
        </is>
      </c>
      <c r="I104" s="10" t="inlineStr">
        <is>
          <t>R8.9</t>
        </is>
      </c>
      <c r="J104" s="11" t="inlineStr">
        <is>
          <t>【令和8年10月19日　ご了承】受託者案により作成を進めることとされた（従前の状態：確認待ち）。
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受託者案＝採用パターンP3（令和7年度基準・総括表・認定者数シナリオ②）により、要介護度別の伸びで概算する。</t>
        </is>
      </c>
    </row>
    <row r="105" ht="88" customHeight="1">
      <c r="A105" s="4" t="n">
        <v>101</v>
      </c>
      <c r="B105" s="4" t="inlineStr">
        <is>
          <t>(6)</t>
        </is>
      </c>
      <c r="C105" s="4" t="inlineStr">
        <is>
          <t>R8.9</t>
        </is>
      </c>
      <c r="D105" s="5" t="inlineStr">
        <is>
          <t>計画素案 第6章第2節2の見込量の表の数値の差し替え</t>
        </is>
      </c>
      <c r="E105"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105" s="5" t="inlineStr">
        <is>
          <t>計画素案 第6章第2節2
サービス見込量の算定</t>
        </is>
      </c>
      <c r="G105" s="5" t="inlineStr">
        <is>
          <t>発注者</t>
        </is>
      </c>
      <c r="H105" s="6" t="inlineStr">
        <is>
          <t>受託者案で確定</t>
        </is>
      </c>
      <c r="I105" s="10" t="inlineStr">
        <is>
          <t>R8.9</t>
        </is>
      </c>
      <c r="J105" s="11" t="inlineStr">
        <is>
          <t>【令和8年10月19日　ご了承】受託者案により作成を進めることとされた（従前の状態：確認待ち）。
確認事項No.100（採用パターン）の決定と一体で処理する。令和8年9月16日、第6章第2節の表を第1次概算の算定結果に差し替えた（表頭の「R8実績」は「R7実績」に改めた）。ご判断をいただくまでは暫定である。
受託者案＝計画素案 第6章第2節の表は当方の算定（令和7年度の実績に要介護度別の認定者数の伸びを乗じたもの）による値とし、見える化システムの自然体推計による値は第6節2に対比として掲げる。</t>
        </is>
      </c>
    </row>
    <row r="106" ht="88" customHeight="1">
      <c r="A106" s="4" t="n">
        <v>102</v>
      </c>
      <c r="B106" s="4" t="inlineStr">
        <is>
          <t>(5)</t>
        </is>
      </c>
      <c r="C106" s="4" t="inlineStr">
        <is>
          <t>R8.9</t>
        </is>
      </c>
      <c r="D106" s="5" t="inlineStr">
        <is>
          <t>計画作成支援ツールの令和8年度の月数と予防訪問看護の計上</t>
        </is>
      </c>
      <c r="E106"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106" s="5" t="inlineStr">
        <is>
          <t>サービス見込量の算定
計画素案 第6章第2節2</t>
        </is>
      </c>
      <c r="G106" s="5" t="inlineStr">
        <is>
          <t>発注者</t>
        </is>
      </c>
      <c r="H106" s="6" t="inlineStr">
        <is>
          <t>受託者案で確定</t>
        </is>
      </c>
      <c r="I106" s="10" t="inlineStr">
        <is>
          <t>R8.9</t>
        </is>
      </c>
      <c r="J106" s="11" t="inlineStr">
        <is>
          <t>【令和8年10月19日　ご了承】受託者案により作成を進めることとされた（従前の状態：一部回答済）。
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受託者案＝②は確認できないものとして、令和8年度を基準年度に用いない。</t>
        </is>
      </c>
    </row>
    <row r="107" ht="88" customHeight="1">
      <c r="A107" s="4" t="n">
        <v>103</v>
      </c>
      <c r="B107" s="4" t="inlineStr">
        <is>
          <t>(5)(6)</t>
        </is>
      </c>
      <c r="C107" s="4" t="inlineStr">
        <is>
          <t>R8.9</t>
        </is>
      </c>
      <c r="D107" s="5" t="inlineStr">
        <is>
          <t>令和8年度を基準年度に用いず、季節を理由とする補正も行わないこと</t>
        </is>
      </c>
      <c r="E107"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107" s="5" t="inlineStr">
        <is>
          <t>サービス見込量の算定
将来推計 第3段階
計画素案 第6章第2節2</t>
        </is>
      </c>
      <c r="G107" s="5" t="inlineStr">
        <is>
          <t>発注者</t>
        </is>
      </c>
      <c r="H107" s="6" t="inlineStr">
        <is>
          <t>受託者案で確定</t>
        </is>
      </c>
      <c r="I107" s="10" t="inlineStr">
        <is>
          <t>R8.9</t>
        </is>
      </c>
      <c r="J107" s="11" t="inlineStr">
        <is>
          <t>【令和8年10月19日　ご了承】受託者案により作成を進めることとされた（従前の状態：確認待ち）。
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受託者案＝令和8年度を基準年度に用いず、季節補正も行わないまま概算する。</t>
        </is>
      </c>
    </row>
    <row r="108" ht="88" customHeight="1">
      <c r="A108" s="4" t="n">
        <v>104</v>
      </c>
      <c r="B108" s="4" t="inlineStr">
        <is>
          <t>(5)</t>
        </is>
      </c>
      <c r="C108" s="4" t="inlineStr">
        <is>
          <t>R8.9</t>
        </is>
      </c>
      <c r="D108" s="5" t="inlineStr">
        <is>
          <t>第10期の単価を令和7年度で固定するか、令和8年度の水準を反映するか</t>
        </is>
      </c>
      <c r="E108"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108" s="5" t="inlineStr">
        <is>
          <t>サービス見込量 第2次概算
将来推計 第3段階
計画素案 第6章第3節・第6節</t>
        </is>
      </c>
      <c r="G108" s="5" t="inlineStr">
        <is>
          <t>発注者</t>
        </is>
      </c>
      <c r="H108" s="8" t="inlineStr">
        <is>
          <t>受託者案で確定（告示後に再算定）</t>
        </is>
      </c>
      <c r="I108" s="10" t="inlineStr">
        <is>
          <t>R8.10</t>
        </is>
      </c>
      <c r="J108" s="11" t="inlineStr">
        <is>
          <t>【令和8年10月19日　ご了承】受託者案により作成を進めることとされた（従前の状態：確認待ち）。ただし「令和8年度介護報酬改定の単価への反映」が示された後に再算定する。
確認事項No.87と一体。見込量の季節性の検証と施策反映の設計 02シート。
受託者案＝単価を令和7年度で固定する（安全側）。令和8年度の水準を反映した場合の差（月額＋99円）は据え置きの一覧に示す。</t>
        </is>
      </c>
    </row>
    <row r="109" ht="88" customHeight="1">
      <c r="A109" s="4" t="n">
        <v>105</v>
      </c>
      <c r="B109" s="4" t="inlineStr">
        <is>
          <t>(6)</t>
        </is>
      </c>
      <c r="C109" s="4" t="inlineStr">
        <is>
          <t>R8.9</t>
        </is>
      </c>
      <c r="D109" s="5" t="inlineStr">
        <is>
          <t>施策反映を行うか。行う場合の対象と歯止め</t>
        </is>
      </c>
      <c r="E109"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109" s="5" t="inlineStr">
        <is>
          <t>サービス見込量の算定
計画素案 第4章第3節・第6章第2節</t>
        </is>
      </c>
      <c r="G109" s="5" t="inlineStr">
        <is>
          <t>発注者</t>
        </is>
      </c>
      <c r="H109" s="6" t="inlineStr">
        <is>
          <t>受託者案で確定</t>
        </is>
      </c>
      <c r="I109" s="10" t="inlineStr">
        <is>
          <t>R8.9</t>
        </is>
      </c>
      <c r="J109" s="11" t="inlineStr">
        <is>
          <t>【令和8年10月19日　ご了承】受託者案により作成を進めることとされた（従前の状態：確認待ち）。
見込量の季節性の検証と施策反映の設計 04・05シート。
受託者案＝施策反映を行わないまま概算する（安全側）。</t>
        </is>
      </c>
    </row>
    <row r="110" ht="88" customHeight="1">
      <c r="A110" s="4" t="n">
        <v>106</v>
      </c>
      <c r="B110" s="4" t="inlineStr">
        <is>
          <t>(5)(6)</t>
        </is>
      </c>
      <c r="C110" s="4" t="inlineStr">
        <is>
          <t>R8.9</t>
        </is>
      </c>
      <c r="D110" s="5" t="inlineStr">
        <is>
          <t>見込量の伸びを一律からサービス別の趨勢を半分反映する置き方に改めるか</t>
        </is>
      </c>
      <c r="E11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110" s="5" t="inlineStr">
        <is>
          <t>サービス見込量の算定
将来推計 第3段階
計画素案 第6章第2節2</t>
        </is>
      </c>
      <c r="G110" s="5" t="inlineStr">
        <is>
          <t>発注者</t>
        </is>
      </c>
      <c r="H110" s="6" t="inlineStr">
        <is>
          <t>受託者案で確定</t>
        </is>
      </c>
      <c r="I110" s="10" t="inlineStr">
        <is>
          <t>R8.9</t>
        </is>
      </c>
      <c r="J110" s="11" t="inlineStr">
        <is>
          <t>【令和8年10月19日　ご了承】受託者案により作成を進めることとされた（従前の状態：確認待ち）。
対計画比の偏りの補正試算 03シート。確認事項No.100（採用パターン）と一体。
受託者案＝サービス別の趨勢を反映する補正は行わない（見込量は要介護度別の伸びによる）。補正を行った場合の月額への効きは計画素案 第6章第6節2に併記する。</t>
        </is>
      </c>
    </row>
    <row r="111" ht="88" customHeight="1">
      <c r="A111" s="4" t="n">
        <v>107</v>
      </c>
      <c r="B111" s="4" t="inlineStr">
        <is>
          <t>(5)(6)</t>
        </is>
      </c>
      <c r="C111" s="4" t="inlineStr">
        <is>
          <t>R8.9</t>
        </is>
      </c>
      <c r="D111" s="5" t="inlineStr">
        <is>
          <t>施設・居住系の実績の減少を将来へ延長するか</t>
        </is>
      </c>
      <c r="E11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111" s="5" t="inlineStr">
        <is>
          <t>サービス見込量の算定
計画素案 第6章第4節4</t>
        </is>
      </c>
      <c r="G111" s="5" t="inlineStr">
        <is>
          <t>発注者・3町</t>
        </is>
      </c>
      <c r="H111" s="6" t="inlineStr">
        <is>
          <t>受託者案で確定</t>
        </is>
      </c>
      <c r="I111" s="10" t="inlineStr">
        <is>
          <t>R8.9</t>
        </is>
      </c>
      <c r="J111" s="11" t="inlineStr">
        <is>
          <t>【令和8年10月19日　ご了承】受託者案により作成を進めることとされた（従前の状態：確認待ち）。
対計画比の偏りの補正試算 05シート。
受託者案＝施設・居住系の実績の減少を将来へ延長しないまま概算する。</t>
        </is>
      </c>
    </row>
    <row r="112" ht="88" customHeight="1">
      <c r="A112" s="4" t="n">
        <v>108</v>
      </c>
      <c r="B112" s="4" t="inlineStr">
        <is>
          <t>(5)</t>
        </is>
      </c>
      <c r="C112" s="4" t="inlineStr">
        <is>
          <t>R8.9</t>
        </is>
      </c>
      <c r="D112" s="5" t="inlineStr">
        <is>
          <t>補正しても外れるサービス6件の理由</t>
        </is>
      </c>
      <c r="E11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112" s="5" t="inlineStr">
        <is>
          <t>対計画比の偏りの補正試算
計画素案 第6章第2節2</t>
        </is>
      </c>
      <c r="G112" s="5" t="inlineStr">
        <is>
          <t>発注者・3町</t>
        </is>
      </c>
      <c r="H112" s="6" t="inlineStr">
        <is>
          <t>受託者案で確定</t>
        </is>
      </c>
      <c r="I112" s="10" t="inlineStr">
        <is>
          <t>R8.10</t>
        </is>
      </c>
      <c r="J112" s="11" t="inlineStr">
        <is>
          <t>【令和8年10月19日　ご了承】受託者案により作成を進めることとされた（従前の状態：確認待ち）。
供給実現性の段階でサービスごとに判断する材料。
受託者案＝補正しても外れる6件は趨勢ではなく供給・制度の問題として注記する。</t>
        </is>
      </c>
    </row>
    <row r="113" ht="88" customHeight="1">
      <c r="A113" s="4" t="n">
        <v>109</v>
      </c>
      <c r="B113" s="4" t="inlineStr">
        <is>
          <t>(5)</t>
        </is>
      </c>
      <c r="C113" s="4" t="inlineStr">
        <is>
          <t>R8.9</t>
        </is>
      </c>
      <c r="D113" s="5" t="inlineStr">
        <is>
          <t>第10期の単価を令和7年度で固定するか、実績の趨勢を置くか</t>
        </is>
      </c>
      <c r="E113"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113" s="5" t="inlineStr">
        <is>
          <t>サービス見込量 第2次概算
将来推計 第3段階
計画素案 第6章第3節・第6節</t>
        </is>
      </c>
      <c r="G113" s="5" t="inlineStr">
        <is>
          <t>発注者</t>
        </is>
      </c>
      <c r="H113" s="8" t="inlineStr">
        <is>
          <t>受託者案で確定（告示後に再算定）</t>
        </is>
      </c>
      <c r="I113" s="10" t="inlineStr">
        <is>
          <t>R8.10</t>
        </is>
      </c>
      <c r="J113" s="11" t="inlineStr">
        <is>
          <t>【令和8年10月19日　ご了承】受託者案により作成を進めることとされた（従前の状態：確認待ち）。ただし「令和9年度介護報酬改定の改定率（告示）」が示された後に再算定する。
趨勢に現れない要因の分析 06シート。「構成町の意見への回答」の「令和9年度が改定の年に当たらない」との記述は誤りであり修正した。
受託者案＝単価を令和7年度で固定する（安全側）。実績の趨勢を置いた場合の差は据え置きの一覧及び計画素案 第6章第6節2に示す。</t>
        </is>
      </c>
    </row>
    <row r="114" ht="88" customHeight="1">
      <c r="A114" s="4" t="n">
        <v>110</v>
      </c>
      <c r="B114" s="4" t="inlineStr">
        <is>
          <t>(5)(6)</t>
        </is>
      </c>
      <c r="C114" s="4" t="inlineStr">
        <is>
          <t>R8.9</t>
        </is>
      </c>
      <c r="D114" s="5" t="inlineStr">
        <is>
          <t>給付適正化の効果を見込量に織り込まないことでよいか</t>
        </is>
      </c>
      <c r="E114"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114" s="5" t="inlineStr">
        <is>
          <t>サービス見込量の算定
計画素案 第5章 基本目標5・第6章第2節</t>
        </is>
      </c>
      <c r="G114" s="5" t="inlineStr">
        <is>
          <t>発注者</t>
        </is>
      </c>
      <c r="H114" s="6" t="inlineStr">
        <is>
          <t>受託者案で確定</t>
        </is>
      </c>
      <c r="I114" s="10" t="inlineStr">
        <is>
          <t>R8.10</t>
        </is>
      </c>
      <c r="J114" s="11" t="inlineStr">
        <is>
          <t>【令和8年10月19日　ご了承】受託者案により作成を進めることとされた（従前の状態：確認待ち）。
趨勢に現れない要因の分析 05シート。
受託者案＝給付適正化の効果を織り込まないまま概算する（安全側）。</t>
        </is>
      </c>
    </row>
    <row r="115" ht="88" customHeight="1">
      <c r="A115" s="4" t="n">
        <v>111</v>
      </c>
      <c r="B115" s="4" t="inlineStr">
        <is>
          <t>(6)</t>
        </is>
      </c>
      <c r="C115" s="4" t="inlineStr">
        <is>
          <t>R8.9</t>
        </is>
      </c>
      <c r="D115" s="5" t="inlineStr">
        <is>
          <t>過年度の趨勢に現れない要因の扱い（認知症施策・高齢者向け住まいほか）</t>
        </is>
      </c>
      <c r="E115"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115" s="5" t="inlineStr">
        <is>
          <t>計画素案 第1章第8節・第2章第3節6・第5章 基本目標2・第6章第2節</t>
        </is>
      </c>
      <c r="G115" s="5" t="inlineStr">
        <is>
          <t>発注者・3町</t>
        </is>
      </c>
      <c r="H115" s="6" t="inlineStr">
        <is>
          <t>受託者案で確定</t>
        </is>
      </c>
      <c r="I115" s="10" t="inlineStr">
        <is>
          <t>R8.10</t>
        </is>
      </c>
      <c r="J115" s="11" t="inlineStr">
        <is>
          <t>【令和8年10月19日　ご了承】受託者案により作成を進めることとされた（従前の状態：確認待ち）。
趨勢に現れない要因の分析 02〜04シート。【令和8年10月20日　③は解決】令和8年度第3回北海道高齢者保健福祉施策検討協議会（令和8年8月27日）の資料により、北海道の第10期計画について基本的な考え方、道作成指針（案）及び骨子（案）が示されていることを確認した。骨子（案）の基本目標は8件であり、「介護サービス基盤の計画的な整備」が新設されたほか、第9期の「地域包括ケアシステム構築のための地域づくりと地域ケア会議の推進」と「生活支援体制整備の推進」が「高齢者の日常生活を支える地域づくり」に統合されるなど5件が新設又は名称の変更である。計画期間は令和9年度から令和11年度までである。計画素案 第1章第8節に対応表を加え、「未策定」とする記述を改めた。北海道の計画素案（案）は令和8年10月下旬、計画案は令和9年1月下旬に同協議会へ示される予定であり、パブリックコメントは令和8年12月である。①認知症施策及び②高齢者向け住まいは引き続き受託者案による。
受託者案＝趨勢に現れない要因は向きのみを注記し、数値には織り込まない。</t>
        </is>
      </c>
    </row>
    <row r="116" ht="88" customHeight="1">
      <c r="A116" s="4" t="n">
        <v>112</v>
      </c>
      <c r="B116" s="4" t="inlineStr">
        <is>
          <t>(5)(6)</t>
        </is>
      </c>
      <c r="C116" s="4" t="inlineStr">
        <is>
          <t>R8.9</t>
        </is>
      </c>
      <c r="D116" s="5" t="inlineStr">
        <is>
          <t>地域支援事業の量の見込みを算定してよいか</t>
        </is>
      </c>
      <c r="E116"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16" s="5" t="inlineStr">
        <is>
          <t>サービス見込量 第2次概算
計画素案 第6章第3節</t>
        </is>
      </c>
      <c r="G116" s="5" t="inlineStr">
        <is>
          <t>発注者</t>
        </is>
      </c>
      <c r="H116" s="6" t="inlineStr">
        <is>
          <t>受託者案で確定</t>
        </is>
      </c>
      <c r="I116" s="10" t="inlineStr">
        <is>
          <t>R8.10</t>
        </is>
      </c>
      <c r="J116" s="11" t="inlineStr">
        <is>
          <t>【令和8年10月19日　ご了承】受託者案により作成を進めることとされた（従前の状態：確認待ち）。
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受託者案＝令和6年度の利用者実人数を据え置いて延ばした量の見込みを掲げ、令和7年度の実施状況は単位が異なるため別の表として示す。</t>
        </is>
      </c>
    </row>
    <row r="117" ht="88" customHeight="1">
      <c r="A117" s="4" t="n">
        <v>113</v>
      </c>
      <c r="B117" s="4" t="inlineStr">
        <is>
          <t>(5)</t>
        </is>
      </c>
      <c r="C117" s="4" t="inlineStr">
        <is>
          <t>R8.9</t>
        </is>
      </c>
      <c r="D117" s="5" t="inlineStr">
        <is>
          <t>混合型特定施設の必要利用定員総数を定めるか</t>
        </is>
      </c>
      <c r="E117"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117" s="5" t="inlineStr">
        <is>
          <t>サービス見込量の算定
計画素案 第6章第4節4</t>
        </is>
      </c>
      <c r="G117" s="5" t="inlineStr">
        <is>
          <t>発注者・北海道</t>
        </is>
      </c>
      <c r="H117" s="10" t="inlineStr">
        <is>
          <t>解決</t>
        </is>
      </c>
      <c r="I117" s="10" t="inlineStr">
        <is>
          <t>R8.9</t>
        </is>
      </c>
      <c r="J117" s="11" t="inlineStr">
        <is>
          <t>サービス見込量算定の統合報告書 03・04シート。確認事項No.88（日常生活圏域と必要利用定員総数）と一体。【令和8年10月15日　解決】参照条文により、混合型特定施設入居者生活介護に係る必要利用定員総数は介護保険法第118条第4項により都道府県介護保険事業支援計画において定めることができる事項であり、第117条には現れないことを確かめた。介護専用型特定施設入居者生活介護に係る必要利用定員総数も第118条第2項第1号により都道府県が定める。すなわちいずれも本計画の記載事項ではない。当方が従前「第117条第3項の勘案事項」としていたのは誤りであった。あわせて第8条第21項により、介護専用型特定施設はその入居者が要介護者、その配偶者その他厚生労働省令で定める者に限られるものであり、類型は入居の要件により定まることが分かった。計画素案 第6章第4節4の記述を是正した</t>
        </is>
      </c>
    </row>
    <row r="118" ht="88" customHeight="1">
      <c r="A118" s="4" t="n">
        <v>114</v>
      </c>
      <c r="B118" s="4" t="inlineStr">
        <is>
          <t>(5)(6)</t>
        </is>
      </c>
      <c r="C118" s="4" t="inlineStr">
        <is>
          <t>R8.9</t>
        </is>
      </c>
      <c r="D118" s="5" t="inlineStr">
        <is>
          <t>令和22年度までの中長期推計をどこまで算定するか</t>
        </is>
      </c>
      <c r="E1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18" s="5" t="inlineStr">
        <is>
          <t>サービス見込量 第2次概算
将来推計 第3段階
計画素案 第2章第8節・第6章第2節</t>
        </is>
      </c>
      <c r="G118" s="5" t="inlineStr">
        <is>
          <t>発注者</t>
        </is>
      </c>
      <c r="H118" s="6" t="inlineStr">
        <is>
          <t>受託者案で確定</t>
        </is>
      </c>
      <c r="I118" s="10" t="inlineStr">
        <is>
          <t>R8.10</t>
        </is>
      </c>
      <c r="J118" s="11" t="inlineStr">
        <is>
          <t>【令和8年10月19日　ご了承】受託者案により作成を進めることとされた（従前の状態：確認待ち）。
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受託者案＝計画本文に掲げる中長期推計は令和17年度・令和22年度とし、見込量・給付費・保険料のいずれも単価を令和7年度で固定して算定する。</t>
        </is>
      </c>
    </row>
    <row r="119" ht="88" customHeight="1">
      <c r="A119" s="4" t="n">
        <v>115</v>
      </c>
      <c r="B119" s="4" t="inlineStr">
        <is>
          <t>(5)(6)</t>
        </is>
      </c>
      <c r="C119" s="4" t="inlineStr">
        <is>
          <t>R8.9</t>
        </is>
      </c>
      <c r="D119" s="5" t="inlineStr">
        <is>
          <t>令和9年4月に新設される区分を見込量に立てるか</t>
        </is>
      </c>
      <c r="E119"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119" s="5" t="inlineStr">
        <is>
          <t>サービス見込量 第2次概算
計画素案 第1章第9節・第6章第2節・第4節</t>
        </is>
      </c>
      <c r="G119" s="5" t="inlineStr">
        <is>
          <t>発注者・3町</t>
        </is>
      </c>
      <c r="H119" s="8" t="inlineStr">
        <is>
          <t>受託者案で確定（告示後に再算定）</t>
        </is>
      </c>
      <c r="I119" s="10" t="inlineStr">
        <is>
          <t>R8.10</t>
        </is>
      </c>
      <c r="J119" s="11" t="inlineStr">
        <is>
          <t>【令和8年10月19日　ご了承】受託者案により作成を進めることとされた（従前の状態：確認待ち）。ただし「令和9年4月新設の3区分（省令・告示）」が示された後に再算定する。
サービス見込量算定の統合報告書 03・04シート。
受託者案＝令和9年4月新設の3区分を0として立てる。</t>
        </is>
      </c>
    </row>
    <row r="120" ht="88" customHeight="1">
      <c r="A120" s="4" t="n">
        <v>116</v>
      </c>
      <c r="B120" s="4" t="inlineStr">
        <is>
          <t>(5)(6)</t>
        </is>
      </c>
      <c r="C120" s="4" t="inlineStr">
        <is>
          <t>R8.9</t>
        </is>
      </c>
      <c r="D120" s="5" t="inlineStr">
        <is>
          <t>介護人材の確保状況を供給の制約として見込量に反映するか</t>
        </is>
      </c>
      <c r="E120"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120" s="5" t="inlineStr">
        <is>
          <t>サービス見込量 第2次概算
計画素案 第6章第2節・第4節</t>
        </is>
      </c>
      <c r="G120" s="5" t="inlineStr">
        <is>
          <t>発注者・3町</t>
        </is>
      </c>
      <c r="H120" s="6" t="inlineStr">
        <is>
          <t>受託者案で確定</t>
        </is>
      </c>
      <c r="I120" s="10" t="inlineStr">
        <is>
          <t>R8.10</t>
        </is>
      </c>
      <c r="J120" s="11" t="inlineStr">
        <is>
          <t>【令和8年10月19日　ご了承】受託者案により作成を進めることとされた（従前の状態：確認待ち）。
サービス見込量算定の統合報告書 03・04シート。【令和8年10月21日】介護サービス情報公表システムにより、事業所ごとの総従業者数、職種別の常勤・非常勤の人数、職種別の退職者数（前年度1年間）、経験年数5年以上・10年以上の割合、夜勤を行う従業者数を確かめた。ただし同一の事業所番号で複数のサービスを行う事業所があり、従業者数を町の合計として足すと重複する。職員を確保できる見通し及び受入れを制限しているかどうかは公表されていない。
受託者案＝供給の制約（人材）を見込量に反映しない（需要のみで算定する）。</t>
        </is>
      </c>
    </row>
    <row r="121" ht="88" customHeight="1">
      <c r="A121" s="4" t="n">
        <v>117</v>
      </c>
      <c r="B121" s="4" t="inlineStr">
        <is>
          <t>(9)</t>
        </is>
      </c>
      <c r="C121" s="4" t="inlineStr">
        <is>
          <t>R8.9</t>
        </is>
      </c>
      <c r="D121" s="5" t="inlineStr">
        <is>
          <t>成果品の統合の方針</t>
        </is>
      </c>
      <c r="E121"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121" s="5" t="inlineStr">
        <is>
          <t>成果品一覧
送付資料一覧</t>
        </is>
      </c>
      <c r="G121" s="5" t="inlineStr">
        <is>
          <t>発注者</t>
        </is>
      </c>
      <c r="H121" s="6" t="inlineStr">
        <is>
          <t>受託者案で確定</t>
        </is>
      </c>
      <c r="I121" s="10" t="inlineStr">
        <is>
          <t>R8.9</t>
        </is>
      </c>
      <c r="J121" s="11" t="inlineStr">
        <is>
          <t>【令和8年10月19日　ご了承】受託者案により作成を進めることとされた（従前の状態：確認待ち）。
サービス見込量算定の統合報告書 07シート。
受託者案＝見込量算定の4成果品を統合報告書に束ね、元の4件も残す（現行）。</t>
        </is>
      </c>
    </row>
    <row r="122" ht="88" customHeight="1">
      <c r="A122" s="4" t="n">
        <v>118</v>
      </c>
      <c r="B122" s="4" t="inlineStr">
        <is>
          <t>(2)(6)</t>
        </is>
      </c>
      <c r="C122" s="4" t="inlineStr">
        <is>
          <t>R8.9</t>
        </is>
      </c>
      <c r="D122" s="5" t="inlineStr">
        <is>
          <t>施策2-5の代表KPIを「施策化への転換率」とするか</t>
        </is>
      </c>
      <c r="E122"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22" s="5" t="inlineStr">
        <is>
          <t>計画素案 第5章 基本目標2
第9期評価（施策2-5）</t>
        </is>
      </c>
      <c r="G122" s="5" t="inlineStr">
        <is>
          <t>発注者</t>
        </is>
      </c>
      <c r="H122" s="6" t="inlineStr">
        <is>
          <t>受託者案で確定</t>
        </is>
      </c>
      <c r="I122" s="10" t="inlineStr">
        <is>
          <t>R8.10</t>
        </is>
      </c>
      <c r="J122" s="11" t="inlineStr">
        <is>
          <t>【令和8年10月19日　ご了承】受託者案により作成を進めることとされた（従前の状態：確認待ち）。
地域ケア会議の受領点検とKPI設計案 04シート。
受託者案＝施策2-5の代表KPIはO2（提起された地域課題のうち翌年度の事業・予算に反映されたものの割合）とする（当方案）。</t>
        </is>
      </c>
    </row>
    <row r="123" ht="88" customHeight="1">
      <c r="A123" s="4" t="n">
        <v>119</v>
      </c>
      <c r="B123" s="4" t="inlineStr">
        <is>
          <t>(2)(6)</t>
        </is>
      </c>
      <c r="C123" s="4" t="inlineStr">
        <is>
          <t>R8.9</t>
        </is>
      </c>
      <c r="D123" s="5" t="inlineStr">
        <is>
          <t>地域ケア会議の3町共通の記録様式を整えてよいか</t>
        </is>
      </c>
      <c r="E123"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23" s="5" t="inlineStr">
        <is>
          <t>計画素案 第5章 基本目標2</t>
        </is>
      </c>
      <c r="G123" s="5" t="inlineStr">
        <is>
          <t>発注者・3町</t>
        </is>
      </c>
      <c r="H123" s="6" t="inlineStr">
        <is>
          <t>受託者案で確定</t>
        </is>
      </c>
      <c r="I123" s="10" t="inlineStr">
        <is>
          <t>R8.10</t>
        </is>
      </c>
      <c r="J123" s="11" t="inlineStr">
        <is>
          <t>【令和8年10月19日　ご了承】受託者案により作成を進めることとされた（従前の状態：確認待ち）。
地域ケア会議の受領点検とKPI設計案 05シート。
受託者案＝地域ケア会議の記録様式は協議資料にとどめ、令和9年度に整える。</t>
        </is>
      </c>
    </row>
    <row r="124" ht="88" customHeight="1">
      <c r="A124" s="4" t="n">
        <v>120</v>
      </c>
      <c r="B124" s="4" t="inlineStr">
        <is>
          <t>(2)(6)</t>
        </is>
      </c>
      <c r="C124" s="4" t="inlineStr">
        <is>
          <t>R8.9</t>
        </is>
      </c>
      <c r="D124" s="5" t="inlineStr">
        <is>
          <t>地域ケア個別会議と地域ケア推進会議を分けて計数するか</t>
        </is>
      </c>
      <c r="E124"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24" s="5" t="inlineStr">
        <is>
          <t>計画素案 第5章 基本目標2・第6章第4節4</t>
        </is>
      </c>
      <c r="G124" s="5" t="inlineStr">
        <is>
          <t>発注者・3町</t>
        </is>
      </c>
      <c r="H124" s="6" t="inlineStr">
        <is>
          <t>受託者案で確定</t>
        </is>
      </c>
      <c r="I124" s="10" t="inlineStr">
        <is>
          <t>R8.10</t>
        </is>
      </c>
      <c r="J124" s="11" t="inlineStr">
        <is>
          <t>【令和8年10月19日　ご了承】受託者案により作成を進めることとされた（従前の状態：確認待ち）。
地域ケア会議の受領点検とKPI設計案 02・06シート。
受託者案＝地域ケア個別会議と地域ケア推進会議を分けずに計数する。</t>
        </is>
      </c>
    </row>
    <row r="125" ht="88" customHeight="1">
      <c r="A125" s="4" t="n">
        <v>121</v>
      </c>
      <c r="B125" s="4" t="inlineStr">
        <is>
          <t>(2)</t>
        </is>
      </c>
      <c r="C125" s="4" t="inlineStr">
        <is>
          <t>R8.9</t>
        </is>
      </c>
      <c r="D125" s="5" t="inlineStr">
        <is>
          <t>3町の地域ケア会議の実績（令和6〜8年度）のご提供</t>
        </is>
      </c>
      <c r="E125"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25" s="5" t="inlineStr">
        <is>
          <t>計画素案 第5章 基本目標2
第9期評価（施策2-5）</t>
        </is>
      </c>
      <c r="G125" s="5" t="inlineStr">
        <is>
          <t>3町</t>
        </is>
      </c>
      <c r="H125" s="6" t="inlineStr">
        <is>
          <t>受託者案で確定</t>
        </is>
      </c>
      <c r="I125" s="10" t="inlineStr">
        <is>
          <t>R8.10</t>
        </is>
      </c>
      <c r="J125" s="11" t="inlineStr">
        <is>
          <t>【令和8年10月19日　ご了承】受託者案により作成を進めることとされた（従前の状態：確認待ち）。
地域ケア会議の受領点検とKPI設計案 03シート。
受託者案＝令和7年度の実施報告書により把握できる範囲で記述する。</t>
        </is>
      </c>
    </row>
    <row r="126" ht="88" customHeight="1">
      <c r="A126" s="4" t="n">
        <v>122</v>
      </c>
      <c r="B126" s="4" t="inlineStr">
        <is>
          <t>(9)</t>
        </is>
      </c>
      <c r="C126" s="4" t="inlineStr">
        <is>
          <t>R8.9</t>
        </is>
      </c>
      <c r="D126" s="5" t="inlineStr">
        <is>
          <t>地域ケア会議関係資料の取扱いの確認</t>
        </is>
      </c>
      <c r="E126"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126" s="5" t="inlineStr">
        <is>
          <t>地域ケア会議の受領点検とKPI設計案
計画素案 第5章 基本目標2</t>
        </is>
      </c>
      <c r="G126" s="5" t="inlineStr">
        <is>
          <t>発注者</t>
        </is>
      </c>
      <c r="H126" s="6" t="inlineStr">
        <is>
          <t>受託者案で確定</t>
        </is>
      </c>
      <c r="I126" s="10" t="inlineStr">
        <is>
          <t>R8.9</t>
        </is>
      </c>
      <c r="J126" s="11" t="inlineStr">
        <is>
          <t>【令和8年10月19日　ご了承】受託者案により作成を進めることとされた（従前の状態：確認待ち）。
同表 00・01シート。
受託者案＝転載を禁ずる旨の記載がある2件は成果品に用いず、原典（厚労省の市町村マニュアル及び別冊事例集）のみを引く。</t>
        </is>
      </c>
    </row>
    <row r="127" ht="88" customHeight="1">
      <c r="A127" s="4" t="n">
        <v>123</v>
      </c>
      <c r="B127" s="4" t="inlineStr">
        <is>
          <t>(5)</t>
        </is>
      </c>
      <c r="C127" s="4" t="inlineStr">
        <is>
          <t>R8.9</t>
        </is>
      </c>
      <c r="D127" s="5" t="inlineStr">
        <is>
          <t>見える化システムの施設・居住系の画面から先へ進めない件</t>
        </is>
      </c>
      <c r="E127"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127" s="5" t="inlineStr">
        <is>
          <t>将来推計 第2段階・第3段階
サービス見込量の算定</t>
        </is>
      </c>
      <c r="G127" s="5" t="inlineStr">
        <is>
          <t>発注者</t>
        </is>
      </c>
      <c r="H127" s="6" t="inlineStr">
        <is>
          <t>受託者案で確定</t>
        </is>
      </c>
      <c r="I127" s="10" t="inlineStr">
        <is>
          <t>R8.9</t>
        </is>
      </c>
      <c r="J127" s="11" t="inlineStr">
        <is>
          <t>【令和8年10月19日　ご了承】受託者案により作成を進めることとされた（従前の状態：確認待ち）。
見える化 将来推計の設定資料の受領点検 04シート。
受託者案＝見える化システムの推計値は現行の自然体推計のまま用いる。</t>
        </is>
      </c>
    </row>
    <row r="128" ht="88" customHeight="1">
      <c r="A128" s="4" t="n">
        <v>124</v>
      </c>
      <c r="B128" s="4" t="inlineStr">
        <is>
          <t>(5)</t>
        </is>
      </c>
      <c r="C128" s="4" t="inlineStr">
        <is>
          <t>R8.9</t>
        </is>
      </c>
      <c r="D128" s="5" t="inlineStr">
        <is>
          <t>施設・居住系サービス利用者数の伸びの参考シートの有無</t>
        </is>
      </c>
      <c r="E128"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28" s="5" t="inlineStr">
        <is>
          <t>将来推計 第2段階
計画素案 第6章第2節・第4節</t>
        </is>
      </c>
      <c r="G128" s="5" t="inlineStr">
        <is>
          <t>発注者</t>
        </is>
      </c>
      <c r="H128" s="6" t="inlineStr">
        <is>
          <t>受託者案で確定</t>
        </is>
      </c>
      <c r="I128" s="10" t="inlineStr">
        <is>
          <t>R8.9</t>
        </is>
      </c>
      <c r="J128" s="11" t="inlineStr">
        <is>
          <t>【令和8年10月19日　ご了承】受託者案により作成を進めることとされた（従前の状態：確認待ち）。
同表 00シート。
受託者案＝参考シートを受領できないものとして、施設・居住系の伸びは当方の要介護度別の算定（令和7年度の利用率を固定）による。画面の伸びの選択は「令和6年度→令和7年度の伸び」とする。</t>
        </is>
      </c>
    </row>
    <row r="129" ht="88" customHeight="1">
      <c r="A129" s="4" t="n">
        <v>125</v>
      </c>
      <c r="B129" s="4" t="inlineStr">
        <is>
          <t>(5)(6)</t>
        </is>
      </c>
      <c r="C129" s="4" t="inlineStr">
        <is>
          <t>R8.9</t>
        </is>
      </c>
      <c r="D129" s="5" t="inlineStr">
        <is>
          <t>将来推計の参考シートの認定率が総括表の認定率と一致しないこと</t>
        </is>
      </c>
      <c r="E129"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29" s="5" t="inlineStr">
        <is>
          <t>計画素案 第2章第1節3・第6章第1節
将来推計 第1段階・第2段階</t>
        </is>
      </c>
      <c r="G129" s="5" t="inlineStr">
        <is>
          <t>発注者</t>
        </is>
      </c>
      <c r="H129" s="6" t="inlineStr">
        <is>
          <t>受託者案で確定</t>
        </is>
      </c>
      <c r="I129" s="10" t="inlineStr">
        <is>
          <t>R8.10</t>
        </is>
      </c>
      <c r="J129" s="11" t="inlineStr">
        <is>
          <t>【令和8年10月19日　ご了承】受託者案により作成を進めることとされた（従前の状態：確認待ち）。
見える化の推計設定の受領点検 02シート。
受託者案＝計画素案は年報による21.826％を用い、参考シートの20.84％は用いない。差は時点の違いとして注記する。</t>
        </is>
      </c>
    </row>
    <row r="130" ht="88" customHeight="1">
      <c r="A130" s="4" t="n">
        <v>126</v>
      </c>
      <c r="B130" s="4" t="inlineStr">
        <is>
          <t>(5)</t>
        </is>
      </c>
      <c r="C130" s="4" t="inlineStr">
        <is>
          <t>R8.9</t>
        </is>
      </c>
      <c r="D130" s="5" t="inlineStr">
        <is>
          <t>見える化システムの推計方式は基本推計でよいか</t>
        </is>
      </c>
      <c r="E130"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30" s="5" t="inlineStr">
        <is>
          <t>将来推計 第2段階
サービス見込量の算定</t>
        </is>
      </c>
      <c r="G130" s="5" t="inlineStr">
        <is>
          <t>発注者</t>
        </is>
      </c>
      <c r="H130" s="6" t="inlineStr">
        <is>
          <t>受託者案で確定</t>
        </is>
      </c>
      <c r="I130" s="10" t="inlineStr">
        <is>
          <t>R8.9</t>
        </is>
      </c>
      <c r="J130" s="11" t="inlineStr">
        <is>
          <t>【令和8年10月19日　ご了承】受託者案により作成を進めることとされた（従前の状態：確認待ち）。
同表 01・03シート。
受託者案＝基本推計に近いP3で概算する。</t>
        </is>
      </c>
    </row>
    <row r="131" ht="88" customHeight="1">
      <c r="A131" s="4" t="n">
        <v>127</v>
      </c>
      <c r="B131" s="4" t="inlineStr">
        <is>
          <t>(5)</t>
        </is>
      </c>
      <c r="C131" s="4" t="inlineStr">
        <is>
          <t>R8.9</t>
        </is>
      </c>
      <c r="D131" s="5" t="inlineStr">
        <is>
          <t>見える化システムの総人口の設定を案Cに改めるか</t>
        </is>
      </c>
      <c r="E131"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1" s="5" t="inlineStr">
        <is>
          <t>将来推計 第1段階
計画素案 第2章第1節・第6章第1節</t>
        </is>
      </c>
      <c r="G131" s="5" t="inlineStr">
        <is>
          <t>発注者</t>
        </is>
      </c>
      <c r="H131" s="6" t="inlineStr">
        <is>
          <t>受託者案で確定</t>
        </is>
      </c>
      <c r="I131" s="10" t="inlineStr">
        <is>
          <t>R8.10</t>
        </is>
      </c>
      <c r="J131" s="11" t="inlineStr">
        <is>
          <t>【令和8年10月19日　ご了承】受託者案により作成を進めることとされた（従前の状態：確認待ち）。
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受託者案＝人口の設定を案Cに改める（入力値は算定済み）。改められない場合は画面の社人研推計のままとし、当方の算定との差（第1号被保険者数で＋31人から＋134人）を注記する。</t>
        </is>
      </c>
    </row>
    <row r="132" ht="88" customHeight="1">
      <c r="A132" s="4" t="n">
        <v>128</v>
      </c>
      <c r="B132" s="4" t="inlineStr">
        <is>
          <t>(5)</t>
        </is>
      </c>
      <c r="C132" s="4" t="inlineStr">
        <is>
          <t>R8.9</t>
        </is>
      </c>
      <c r="D132" s="5" t="inlineStr">
        <is>
          <t>令和8年度の実績見込み値を編集するか</t>
        </is>
      </c>
      <c r="E132"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32" s="5" t="inlineStr">
        <is>
          <t>将来推計 第2段階
サービス見込量の算定</t>
        </is>
      </c>
      <c r="G132" s="5" t="inlineStr">
        <is>
          <t>発注者</t>
        </is>
      </c>
      <c r="H132" s="6" t="inlineStr">
        <is>
          <t>受託者案で確定</t>
        </is>
      </c>
      <c r="I132" s="10" t="inlineStr">
        <is>
          <t>R8.10</t>
        </is>
      </c>
      <c r="J132" s="11" t="inlineStr">
        <is>
          <t>【令和8年10月19日　ご了承】受託者案により作成を進めることとされた（従前の状態：確認待ち）。
令和8年度の実績見込み値の入力案（15シート）。
受託者案＝見える化システムの令和8年度の実績見込み値は編集しないまま概算する。当方の算定は年報（令和7年度）によるため見込量は動かず、システムの出力との差として残る。</t>
        </is>
      </c>
    </row>
    <row r="133" ht="88" customHeight="1">
      <c r="A133" s="4" t="n">
        <v>129</v>
      </c>
      <c r="B133" s="4" t="inlineStr">
        <is>
          <t>(5)</t>
        </is>
      </c>
      <c r="C133" s="4" t="inlineStr">
        <is>
          <t>R8.9</t>
        </is>
      </c>
      <c r="D133" s="5" t="inlineStr">
        <is>
          <t>見える化システムの利用率等の伸びの選択</t>
        </is>
      </c>
      <c r="E133"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33" s="5" t="inlineStr">
        <is>
          <t>将来推計 第2段階
サービス見込量の算定</t>
        </is>
      </c>
      <c r="G133" s="5" t="inlineStr">
        <is>
          <t>発注者</t>
        </is>
      </c>
      <c r="H133" s="6" t="inlineStr">
        <is>
          <t>受託者案で確定</t>
        </is>
      </c>
      <c r="I133" s="10" t="inlineStr">
        <is>
          <t>R8.10</t>
        </is>
      </c>
      <c r="J133" s="11" t="inlineStr">
        <is>
          <t>【令和8年10月19日　ご了承】受託者案により作成を進めることとされた（従前の状態：確認待ち）。
見える化の推計設定の受領点検 06シート。
受託者案＝令和8年度（4か月）を含まない④（令和6年度→令和7年度）の伸びを選んだものとして概算する。当方の算定（令和7年度基準）と置き方がそろう。</t>
        </is>
      </c>
    </row>
    <row r="134" ht="88" customHeight="1">
      <c r="A134" s="4" t="n">
        <v>130</v>
      </c>
      <c r="B134" s="4" t="inlineStr">
        <is>
          <t>(6)</t>
        </is>
      </c>
      <c r="C134" s="4" t="inlineStr">
        <is>
          <t>R8.9</t>
        </is>
      </c>
      <c r="D134" s="5" t="inlineStr">
        <is>
          <t>認知症基本法第13条の市町村認知症施策推進計画をどう扱うか</t>
        </is>
      </c>
      <c r="E134"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134" s="5" t="inlineStr">
        <is>
          <t>計画素案 第1章第2節・第5章 基本目標2</t>
        </is>
      </c>
      <c r="G134" s="5" t="inlineStr">
        <is>
          <t>発注者・3町</t>
        </is>
      </c>
      <c r="H134" s="6" t="inlineStr">
        <is>
          <t>受託者案で確定</t>
        </is>
      </c>
      <c r="I134" s="10" t="inlineStr">
        <is>
          <t>R8.9</t>
        </is>
      </c>
      <c r="J134" s="11" t="inlineStr">
        <is>
          <t>【令和8年10月19日　ご了承】受託者案により作成を進めることとされた（従前の状態：確認待ち）。
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受託者案＝案B（3町がそれぞれ市町村計画を策定する）のまま素案に反映する。</t>
        </is>
      </c>
    </row>
    <row r="135" ht="88" customHeight="1">
      <c r="A135" s="4" t="n">
        <v>131</v>
      </c>
      <c r="B135" s="4" t="inlineStr">
        <is>
          <t>(5)(6)</t>
        </is>
      </c>
      <c r="C135" s="4" t="inlineStr">
        <is>
          <t>R8.9</t>
        </is>
      </c>
      <c r="D135" s="5" t="inlineStr">
        <is>
          <t>第6章第2節の見込量の表に何を掲げるか</t>
        </is>
      </c>
      <c r="E135"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135" s="5" t="inlineStr">
        <is>
          <t>計画素案 第6章第2節・第3節
サービス見込量の算定</t>
        </is>
      </c>
      <c r="G135" s="5" t="inlineStr">
        <is>
          <t>発注者</t>
        </is>
      </c>
      <c r="H135" s="6" t="inlineStr">
        <is>
          <t>受託者案で確定</t>
        </is>
      </c>
      <c r="I135" s="10" t="inlineStr">
        <is>
          <t>R8.9</t>
        </is>
      </c>
      <c r="J135" s="11" t="inlineStr">
        <is>
          <t>【令和8年10月19日　ご了承】受託者案により作成を進めることとされた（従前の状態：確認待ち）。
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受託者案＝計画素案 第6章第2節に利用回（日）数を、第3節2に介護予防・日常生活支援総合事業及び一般介護予防事業の量の見込みを掲げた現行のまま確定する。必要利用定員総数の第2節への再掲は行わない（第4節4による）。</t>
        </is>
      </c>
    </row>
    <row r="136" ht="88" customHeight="1">
      <c r="A136" s="4" t="n">
        <v>132</v>
      </c>
      <c r="B136" s="4" t="inlineStr">
        <is>
          <t>(5)</t>
        </is>
      </c>
      <c r="C136" s="4" t="inlineStr">
        <is>
          <t>R8.9</t>
        </is>
      </c>
      <c r="D136" s="5" t="inlineStr">
        <is>
          <t>在宅サービスの実績見込み値の編集画面の現在値のご提供</t>
        </is>
      </c>
      <c r="E136"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136" s="5" t="inlineStr">
        <is>
          <t>将来推計 第2段階
サービス見込量の算定</t>
        </is>
      </c>
      <c r="G136" s="5" t="inlineStr">
        <is>
          <t>発注者</t>
        </is>
      </c>
      <c r="H136" s="6" t="inlineStr">
        <is>
          <t>受託者案で確定</t>
        </is>
      </c>
      <c r="I136" s="10" t="inlineStr">
        <is>
          <t>R8.9</t>
        </is>
      </c>
      <c r="J136" s="11" t="inlineStr">
        <is>
          <t>【令和8年10月19日　ご了承】受託者案により作成を進めることとされた（従前の状態：確認待ち）。
令和8年度実績見込み値の入力案 03・04シート。
受託者案＝在宅の実績見込み値は当方の入力案のまま置く。</t>
        </is>
      </c>
    </row>
    <row r="137" ht="88" customHeight="1">
      <c r="A137" s="4" t="n">
        <v>133</v>
      </c>
      <c r="B137" s="4" t="inlineStr">
        <is>
          <t>(5)</t>
        </is>
      </c>
      <c r="C137" s="4" t="inlineStr">
        <is>
          <t>R8.9</t>
        </is>
      </c>
      <c r="D137" s="5" t="inlineStr">
        <is>
          <t>介護老人保健施設の令和8年度の減少をどう見るか</t>
        </is>
      </c>
      <c r="E137"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137" s="5" t="inlineStr">
        <is>
          <t>将来推計 第2段階
計画素案 第6章第4節2</t>
        </is>
      </c>
      <c r="G137" s="5" t="inlineStr">
        <is>
          <t>発注者・3町</t>
        </is>
      </c>
      <c r="H137" s="6" t="inlineStr">
        <is>
          <t>受託者案で確定</t>
        </is>
      </c>
      <c r="I137" s="10" t="inlineStr">
        <is>
          <t>R8.10</t>
        </is>
      </c>
      <c r="J137" s="11" t="inlineStr">
        <is>
          <t>【令和8年10月19日　ご了承】受託者案により作成を進めることとされた（従前の状態：確認待ち）。
令和8年度実績見込み値の入力案 05シート。
受託者案＝令和8年度の月報（4〜7月）は基準年度に用いず、令和7年度を基準として概算する。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136</v>
      </c>
      <c r="B140" s="4" t="inlineStr">
        <is>
          <t>(5)</t>
        </is>
      </c>
      <c r="C140" s="4" t="inlineStr">
        <is>
          <t>R8.9</t>
        </is>
      </c>
      <c r="D140" s="5" t="inlineStr">
        <is>
          <t>画面の令和7年度と年報の月平均の食い違い</t>
        </is>
      </c>
      <c r="E140"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0" s="5" t="inlineStr">
        <is>
          <t>将来推計 第2段階
計画素案 第6章第2節</t>
        </is>
      </c>
      <c r="G140" s="5" t="inlineStr">
        <is>
          <t>発注者</t>
        </is>
      </c>
      <c r="H140" s="6" t="inlineStr">
        <is>
          <t>受託者案で確定</t>
        </is>
      </c>
      <c r="I140" s="10" t="inlineStr">
        <is>
          <t>R8.10</t>
        </is>
      </c>
      <c r="J140" s="11" t="inlineStr">
        <is>
          <t>【令和8年10月19日　ご了承】受託者案により作成を進めることとされた（従前の状態：確認待ち）。
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受託者案＝年報の値を用いる（総括表・給付費と内的整合が取れているため）。画面の値は用いず、2％以上食い違う3区分を注記する。</t>
        </is>
      </c>
    </row>
    <row r="141" ht="88" customHeight="1">
      <c r="A141" s="4" t="n">
        <v>137</v>
      </c>
      <c r="B141" s="4" t="inlineStr">
        <is>
          <t>(5)</t>
        </is>
      </c>
      <c r="C141" s="4" t="inlineStr">
        <is>
          <t>R8.9</t>
        </is>
      </c>
      <c r="D141" s="5" t="inlineStr">
        <is>
          <t>1人1月あたり給付費の実績値をどの年度にするか</t>
        </is>
      </c>
      <c r="E141"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1" s="5" t="inlineStr">
        <is>
          <t>将来推計 第2段階
サービス見込量の算定</t>
        </is>
      </c>
      <c r="G141" s="5" t="inlineStr">
        <is>
          <t>発注者</t>
        </is>
      </c>
      <c r="H141" s="8" t="inlineStr">
        <is>
          <t>受託者案で確定（告示後に再算定）</t>
        </is>
      </c>
      <c r="I141" s="10" t="inlineStr">
        <is>
          <t>R8.9</t>
        </is>
      </c>
      <c r="J141" s="11" t="inlineStr">
        <is>
          <t>【令和8年10月19日　ご了承】受託者案により作成を進めることとされた（従前の状態：確認待ち）。ただし「1人1月あたり給付費の年度（報酬改定の告示）」が示された後に再算定する。
令和8年度実績見込み値の入力案 00シート3。趨勢に現れない要因の分析（確認事項No.109〜No.111）と一体。
受託者案＝1人1月あたり給付費は令和7年度で固定して概算する（単価の趨勢を織り込まないことによる効きは計画素案 第6章第6節2に掲げる）。</t>
        </is>
      </c>
    </row>
    <row r="142" ht="88" customHeight="1">
      <c r="A142" s="4" t="n">
        <v>138</v>
      </c>
      <c r="B142" s="4" t="inlineStr">
        <is>
          <t>(5)</t>
        </is>
      </c>
      <c r="C142" s="4" t="inlineStr">
        <is>
          <t>R8.9</t>
        </is>
      </c>
      <c r="D142" s="5" t="inlineStr">
        <is>
          <t>認定者数の実績見込み値を編集する項目が画面にあるか</t>
        </is>
      </c>
      <c r="E142"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2" s="5" t="inlineStr">
        <is>
          <t>将来推計 第2段階</t>
        </is>
      </c>
      <c r="G142" s="5" t="inlineStr">
        <is>
          <t>発注者</t>
        </is>
      </c>
      <c r="H142" s="6" t="inlineStr">
        <is>
          <t>受託者案で確定</t>
        </is>
      </c>
      <c r="I142" s="10" t="inlineStr">
        <is>
          <t>R8.9</t>
        </is>
      </c>
      <c r="J142" s="11" t="inlineStr">
        <is>
          <t>【令和8年10月19日　ご了承】受託者案により作成を進めることとされた（従前の状態：確認待ち）。
令和8年度実績見込み値の入力案 00シート1・07シート。②③④はそのまま入力できるため、本件は①のみに関わる。
受託者案＝認定者数の実績見込み値を編集する項目がないものとして、認定率の伸びに「令和6年度→令和7年度の伸び」を選ぶ。</t>
        </is>
      </c>
    </row>
    <row r="143" ht="88" customHeight="1">
      <c r="A143" s="4" t="n">
        <v>139</v>
      </c>
      <c r="B143" s="4" t="inlineStr">
        <is>
          <t>(3)</t>
        </is>
      </c>
      <c r="C143" s="4" t="inlineStr">
        <is>
          <t>R8.9</t>
        </is>
      </c>
      <c r="D143" s="5" t="inlineStr">
        <is>
          <t>健康とくらしの調査の個票の再提供の要否</t>
        </is>
      </c>
      <c r="E143"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3" s="5" t="inlineStr">
        <is>
          <t>調査クロス集計・分析の更新</t>
        </is>
      </c>
      <c r="G143" s="5" t="inlineStr">
        <is>
          <t>発注者</t>
        </is>
      </c>
      <c r="H143" s="6" t="inlineStr">
        <is>
          <t>受託者案で確定</t>
        </is>
      </c>
      <c r="I143" s="10" t="inlineStr">
        <is>
          <t>R8.9</t>
        </is>
      </c>
      <c r="J143" s="11" t="inlineStr">
        <is>
          <t>【令和8年10月19日　ご了承】受託者案により作成を進めることとされた（従前の状態：確認待ち）。
調査結果と年報実績の突合クロス集計 01シート。アンケート関係の成果品7件のうち6件は再出力できる。
受託者案＝健康とくらしの調査の個票の再提供を依頼しない（成果品は収録済みで内容が確定しており、現時点で不足がない）。</t>
        </is>
      </c>
    </row>
    <row r="144" ht="88" customHeight="1">
      <c r="A144" s="4" t="n">
        <v>140</v>
      </c>
      <c r="B144" s="4" t="inlineStr">
        <is>
          <t>(3)(6)</t>
        </is>
      </c>
      <c r="C144" s="4" t="inlineStr">
        <is>
          <t>R8.9</t>
        </is>
      </c>
      <c r="D144" s="5" t="inlineStr">
        <is>
          <t>在宅生活改善調査の結果を在宅の認定者全体に当てはめないこと</t>
        </is>
      </c>
      <c r="E144"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4" s="5" t="inlineStr">
        <is>
          <t>計画素案 第2章第4節・第4章第3節</t>
        </is>
      </c>
      <c r="G144" s="5" t="inlineStr">
        <is>
          <t>発注者</t>
        </is>
      </c>
      <c r="H144" s="6" t="inlineStr">
        <is>
          <t>受託者案で確定</t>
        </is>
      </c>
      <c r="I144" s="10" t="inlineStr">
        <is>
          <t>R8.9</t>
        </is>
      </c>
      <c r="J144" s="11" t="inlineStr">
        <is>
          <t>【令和8年10月19日　ご了承】受託者案により作成を進めることとされた（従前の状態：確認待ち）。
調査結果と年報実績の突合クロス集計 02シート。年報の要介護度別を収めたことにより初めて確かめられた。
受託者案＝在宅生活改善調査の結果は「在宅で困難を抱える方の状況」として引き、在宅の認定者全体の割合としては引かない。</t>
        </is>
      </c>
    </row>
    <row r="145" ht="88" customHeight="1">
      <c r="A145" s="4" t="n">
        <v>141</v>
      </c>
      <c r="B145" s="4" t="inlineStr">
        <is>
          <t>(3)(5)</t>
        </is>
      </c>
      <c r="C145" s="4" t="inlineStr">
        <is>
          <t>R8.9</t>
        </is>
      </c>
      <c r="D145" s="5" t="inlineStr">
        <is>
          <t>区域を越えた施設利用の扱い</t>
        </is>
      </c>
      <c r="E145"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5" s="5" t="inlineStr">
        <is>
          <t>計画素案 第6章第4節4
サービス見込量の算定</t>
        </is>
      </c>
      <c r="G145" s="5" t="inlineStr">
        <is>
          <t>発注者</t>
        </is>
      </c>
      <c r="H145" s="6" t="inlineStr">
        <is>
          <t>受託者案で確定</t>
        </is>
      </c>
      <c r="I145" s="10" t="inlineStr">
        <is>
          <t>R8.9</t>
        </is>
      </c>
      <c r="J145" s="11" t="inlineStr">
        <is>
          <t>【令和8年10月19日　ご了承】受託者案により作成を進めることとされた（従前の状態：確認待ち）。
調査結果と年報実績の突合クロス集計 03・04・05シート。
受託者案＝必要利用定員総数は区域内の施設の定員とは別に整理したまま概算する。</t>
        </is>
      </c>
    </row>
    <row r="146" ht="88" customHeight="1">
      <c r="A146" s="4" t="n">
        <v>142</v>
      </c>
      <c r="B146" s="4" t="inlineStr">
        <is>
          <t>(5)</t>
        </is>
      </c>
      <c r="C146" s="4" t="inlineStr">
        <is>
          <t>R8.9</t>
        </is>
      </c>
      <c r="D146" s="5" t="inlineStr">
        <is>
          <t>第1次概算を既定値のまま出してよいか</t>
        </is>
      </c>
      <c r="E146"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6" s="5" t="inlineStr">
        <is>
          <t>サービス見込量の算定</t>
        </is>
      </c>
      <c r="G146" s="5" t="inlineStr">
        <is>
          <t>発注者</t>
        </is>
      </c>
      <c r="H146" s="6" t="inlineStr">
        <is>
          <t>受託者案で確定</t>
        </is>
      </c>
      <c r="I146" s="10" t="inlineStr">
        <is>
          <t>R8.9</t>
        </is>
      </c>
      <c r="J146" s="11" t="inlineStr">
        <is>
          <t>【令和8年10月19日　ご了承】受託者案により作成を進めることとされた（従前の状態：確認待ち）。
計画素案の課題整理 03シート。既定値は17件すべてに置いており、自己点検で網羅を確かめている。
受託者案＝本表そのものに係る確認事項である。決着しない場合は、本シートの既定値によったことを第1次概算の資料に明示して提出する。</t>
        </is>
      </c>
    </row>
    <row r="147" ht="88" customHeight="1">
      <c r="A147" s="4" t="n">
        <v>143</v>
      </c>
      <c r="B147" s="4" t="inlineStr">
        <is>
          <t>(6)</t>
        </is>
      </c>
      <c r="C147" s="4" t="inlineStr">
        <is>
          <t>R8.9</t>
        </is>
      </c>
      <c r="D147" s="5" t="inlineStr">
        <is>
          <t>計画素案の未確定箇所の表示の統一</t>
        </is>
      </c>
      <c r="E147"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7" s="5" t="inlineStr">
        <is>
          <t>計画素案（策定委員会用）</t>
        </is>
      </c>
      <c r="G147" s="5" t="inlineStr">
        <is>
          <t>発注者</t>
        </is>
      </c>
      <c r="H147" s="6" t="inlineStr">
        <is>
          <t>受託者案で確定</t>
        </is>
      </c>
      <c r="I147" s="10" t="inlineStr">
        <is>
          <t>R8.10</t>
        </is>
      </c>
      <c r="J147" s="11" t="inlineStr">
        <is>
          <t>【令和8年10月19日　ご了承】受託者案により作成を進めることとされた（従前の状態：確認待ち）。
計画素案の課題整理 01シート。未確定箇所とは別に、書くべき内容がまだ入っていない節が3節ある（第2章第4節・第6章第5節・第6章第7節）。
受託者案＝未確定箇所の表示は［要協議］［要確認］［要内訳］の3種のままとする。</t>
        </is>
      </c>
    </row>
    <row r="148" ht="88" customHeight="1">
      <c r="A148" s="4" t="n">
        <v>144</v>
      </c>
      <c r="B148" s="4" t="inlineStr">
        <is>
          <t>(12)</t>
        </is>
      </c>
      <c r="C148" s="4" t="inlineStr">
        <is>
          <t>R8.9</t>
        </is>
      </c>
      <c r="D148" s="5" t="inlineStr">
        <is>
          <t>統合した成果品の元の資料を残すか</t>
        </is>
      </c>
      <c r="E148"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8" s="5" t="inlineStr">
        <is>
          <t>成果品一覧（納品時の構成）</t>
        </is>
      </c>
      <c r="G148" s="5" t="inlineStr">
        <is>
          <t>発注者</t>
        </is>
      </c>
      <c r="H148" s="6" t="inlineStr">
        <is>
          <t>受託者案で確定</t>
        </is>
      </c>
      <c r="I148" s="10" t="inlineStr">
        <is>
          <t>R8.10</t>
        </is>
      </c>
      <c r="J148" s="11" t="inlineStr">
        <is>
          <t>【令和8年10月19日　ご了承】受託者案により作成を進めることとされた（従前の状態：確認待ち）。
管理の統合と成果品の棚卸し 03・05シート。
受託者案＝統合した成果品の元の資料を残す。</t>
        </is>
      </c>
    </row>
    <row r="149" ht="88" customHeight="1">
      <c r="A149" s="4" t="n">
        <v>145</v>
      </c>
      <c r="B149" s="4" t="inlineStr">
        <is>
          <t>(5)</t>
        </is>
      </c>
      <c r="C149" s="4" t="inlineStr">
        <is>
          <t>R8.9</t>
        </is>
      </c>
      <c r="D149" s="5" t="inlineStr">
        <is>
          <t>計画作成支援ツールと年報のどちらを町別の値に用いるか</t>
        </is>
      </c>
      <c r="E149"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9" s="5" t="inlineStr">
        <is>
          <t>町別データシート
サービス見込量の算定</t>
        </is>
      </c>
      <c r="G149" s="5" t="inlineStr">
        <is>
          <t>発注者</t>
        </is>
      </c>
      <c r="H149" s="6" t="inlineStr">
        <is>
          <t>受託者案で確定</t>
        </is>
      </c>
      <c r="I149" s="10" t="inlineStr">
        <is>
          <t>R8.9</t>
        </is>
      </c>
      <c r="J149" s="11" t="inlineStr">
        <is>
          <t>【令和8年10月19日　ご了承】受託者案により作成を進めることとされた（従前の状態：確認待ち）。
管理の統合と成果品の棚卸し 04シート。
受託者案＝サービス見込量・給付費・保険料は年報（保険者単位）の値で概算し、町別データシートは計画作成支援ツールの値のまま示す。3町を足しても年報の値にならないことを注記する。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6" t="inlineStr">
        <is>
          <t>受託者案で確定</t>
        </is>
      </c>
      <c r="I150" s="10" t="inlineStr">
        <is>
          <t>R8.9</t>
        </is>
      </c>
      <c r="J150" s="11" t="inlineStr">
        <is>
          <t>【令和8年10月19日　ご了承】受託者案により作成を進めることとされた（従前の状態：確認待ち）。
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受託者案＝要介護度別の伸びによる算定（第1次概算）で概算し、一律の伸びによる従前の値を併記する（差は計画素案 第6章第6節2に掲げる）。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6" t="inlineStr">
        <is>
          <t>受託者案で確定</t>
        </is>
      </c>
      <c r="I151" s="10" t="inlineStr">
        <is>
          <t>R8.9</t>
        </is>
      </c>
      <c r="J151" s="11" t="inlineStr">
        <is>
          <t>【令和8年10月19日　ご了承】受託者案により作成を進めることとされた（従前の状態：確認待ち）。
入力前段支援アプリの点検 04シート。
受託者案＝令和8年度を含まない④（令和6年度→令和7年度）を採ったものとして概算する。当方の算定（令和7年度基準）と置き方がそろう。</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6" t="inlineStr">
        <is>
          <t>受託者案で確定</t>
        </is>
      </c>
      <c r="I152" s="10" t="inlineStr">
        <is>
          <t>R8.9</t>
        </is>
      </c>
      <c r="J152" s="11" t="inlineStr">
        <is>
          <t>【令和8年10月19日　ご了承】受託者案により作成を進めることとされた（従前の状態：確認待ち）。
入力前段支援アプリの点検 07シート。
受託者案＝受領済みの画面の写しの範囲で概算し、確認できていない項目はその旨を明記する。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6" t="inlineStr">
        <is>
          <t>受託者案で確定</t>
        </is>
      </c>
      <c r="I153" s="10" t="inlineStr">
        <is>
          <t>R8.9</t>
        </is>
      </c>
      <c r="J153" s="11" t="inlineStr">
        <is>
          <t>【令和8年10月19日　ご了承】受託者案により作成を進めることとされた（従前の状態：確認待ち）。
認知症施策推進計画の位置づけと見込量への反映 01・09シート【令和8年10月15日】参照条文（001685804）には認知症基本法が収録されていないため、本件は進んでいない。【令和8年10月20日】認知症基本法の条文は原典（e-Gov法令検索）により確認した。第3条（基本理念7号）、第11条（国）、第12条（都道府県）、第13条（市町村。第1項は努力義務、第2項は調和、第3項は第12条第3項から第7項までを準用）である。準用により、市町村計画についても認知症の人及び家族等の意見を聴くよう努めること、公表、施策の実施状況の評価と結果の公表及び少なくとも5年ごとの検討が及ぶ。また、北海道の第10期計画の骨子（案）により、北海道認知症施策推進計画は同計画に一体のものとして策定されることが分かった（第5章第5節）。なお得られていないのは認知症施策推進基本計画（国）の内容である。
受託者案＝認知症基本法の条文を受領できないものとして、計画素案には条番号のみを書き項番号は［要確認］のまま残す。</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6" t="inlineStr">
        <is>
          <t>受託者案で確定</t>
        </is>
      </c>
      <c r="I154" s="10" t="inlineStr">
        <is>
          <t>R8.10</t>
        </is>
      </c>
      <c r="J154" s="11" t="inlineStr">
        <is>
          <t>【令和8年10月19日　ご了承】受託者案により作成を進めることとされた（従前の状態：一部確認済み）。
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受託者案＝6事業別の事業費を受領できないものとして、認知症総合支援事業の量の見込みは立てず、3町の取組の回数のみを掲げる。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6" t="inlineStr">
        <is>
          <t>受託者案で確定</t>
        </is>
      </c>
      <c r="I155" s="10" t="inlineStr">
        <is>
          <t>R8.9</t>
        </is>
      </c>
      <c r="J155" s="11" t="inlineStr">
        <is>
          <t>【令和8年10月19日　ご了承】受託者案により作成を進めることとされた（従前の状態：確認待ち）。
認知症施策推進計画の位置づけと見込量への反映 04・06シート。
受託者案＝認知症対応型共同生活介護及び介護老人福祉施設を対計画比の補正の対象から外したものとして概算する。定員の縮小を趨勢として二重に織り込まないため（安全側）。</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6" t="inlineStr">
        <is>
          <t>受託者案で確定</t>
        </is>
      </c>
      <c r="I156" s="10" t="inlineStr">
        <is>
          <t>R8.10</t>
        </is>
      </c>
      <c r="J156" s="11" t="inlineStr">
        <is>
          <t>【令和8年10月19日　ご了承】受託者案により作成を進めることとされた（従前の状態：確認待ち）。
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受託者案＝町別の将来推計は計画本文に掲げない（令和8年9月10日の了承のとおり）。</t>
        </is>
      </c>
    </row>
    <row r="157" ht="88" customHeight="1">
      <c r="A157" s="4" t="n">
        <v>153</v>
      </c>
      <c r="B157" s="4" t="inlineStr">
        <is>
          <t>(2)</t>
        </is>
      </c>
      <c r="C157" s="4" t="inlineStr">
        <is>
          <t>R8.10</t>
        </is>
      </c>
      <c r="D157" s="5" t="inlineStr">
        <is>
          <t>人口の将来推計の方法を案Cからコーホート変化率法に改めるか</t>
        </is>
      </c>
      <c r="E157"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7" s="5" t="inlineStr">
        <is>
          <t>サービス見込量 第2次概算
計画素案 第2章第1節・第6章第1節</t>
        </is>
      </c>
      <c r="G157" s="5" t="inlineStr">
        <is>
          <t>発注者</t>
        </is>
      </c>
      <c r="H157" s="6" t="inlineStr">
        <is>
          <t>受託者案で確定</t>
        </is>
      </c>
      <c r="I157" s="10" t="inlineStr">
        <is>
          <t>R8.10</t>
        </is>
      </c>
      <c r="J157" s="11" t="inlineStr">
        <is>
          <t>【令和8年10月19日　ご了承】受託者案により作成を進めることとされた（従前の状態：確認待ち）。
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8" ht="88" customHeight="1">
      <c r="A158" s="4" t="n">
        <v>154</v>
      </c>
      <c r="B158" s="4" t="inlineStr">
        <is>
          <t>(6)</t>
        </is>
      </c>
      <c r="C158" s="4" t="inlineStr">
        <is>
          <t>R8.10</t>
        </is>
      </c>
      <c r="D158" s="5" t="inlineStr">
        <is>
          <t>計画素案 第2章第1節に町別の図を加えるか</t>
        </is>
      </c>
      <c r="E158"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8" s="5" t="inlineStr">
        <is>
          <t>計画素案 第2章第1節
図表集</t>
        </is>
      </c>
      <c r="G158" s="5" t="inlineStr">
        <is>
          <t>発注者</t>
        </is>
      </c>
      <c r="H158" s="6" t="inlineStr">
        <is>
          <t>受託者案で確定</t>
        </is>
      </c>
      <c r="I158" s="10" t="inlineStr">
        <is>
          <t>R8.10</t>
        </is>
      </c>
      <c r="J158" s="11" t="inlineStr">
        <is>
          <t>【令和8年10月19日　ご了承】受託者案により作成を進めることとされた（従前の状態：確認待ち）。
素案への加筆版の点検 03シート。
受託者案＝計画素案 第2章第1節に町別の図を加えない。加筆分は協議用の資料にとどめる。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03・09シート。【令和8年9月18日　了承済】全国自治体共通版の入力シート及び手順書はそのまま用いず、当方の試算によることとなった。記載の借用も行わない。これにより、同シートが担当者名及び連絡先を求める欄についての手当ては要しないこととなった。なお所得段階別13段階の推計（確認No.156）及び令和12・27・32年度の算定（確認No.157）は、見える化システム自体が求めるものであるため残り、いずれも当方で算定して解消した</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6" t="inlineStr">
        <is>
          <t>受託者案で確定</t>
        </is>
      </c>
      <c r="I160" s="10" t="inlineStr">
        <is>
          <t>R8.10</t>
        </is>
      </c>
      <c r="J160" s="11" t="inlineStr">
        <is>
          <t>【令和8年10月19日　ご了承】受託者案により作成を進めることとされた（従前の状態：対応中）。
見える化入力マニュアルの点検と整合確認 07シート。
受託者案＝当方の算定（16段階×8年度）による。所得段階の設定は弾力化を選ぶ。</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6" t="inlineStr">
        <is>
          <t>受託者案で確定</t>
        </is>
      </c>
      <c r="I161" s="10" t="inlineStr">
        <is>
          <t>R8.10</t>
        </is>
      </c>
      <c r="J161" s="11" t="inlineStr">
        <is>
          <t>【令和8年10月19日　ご了承】受託者案により作成を進めることとされた（従前の状態：対応中）。
見える化入力マニュアルの点検と整合確認 05シート。
受託者案＝算定の側だけを令和12・27・32年度まで広げ、計画本文に掲げる中長期は令和17年度・令和22年度のままとする。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6" t="inlineStr">
        <is>
          <t>受託者案で確定</t>
        </is>
      </c>
      <c r="I162" s="10" t="inlineStr">
        <is>
          <t>R8.10</t>
        </is>
      </c>
      <c r="J162" s="11" t="inlineStr">
        <is>
          <t>【令和8年10月19日　ご了承】受託者案により作成を進めることとされた（従前の状態：確認待ち）。
既定値は①②のとおり設問別の有効回答を分母とし、③は町別の値を掲げない。令和8年9月25日の点検による。
受託者案＝設問ごとの有効回答を分母とし、町別の値は掲げない（令和8年9月25日に是正済み）。</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6" t="inlineStr">
        <is>
          <t>受託者案で確定</t>
        </is>
      </c>
      <c r="I163" s="10" t="inlineStr">
        <is>
          <t>R8.10</t>
        </is>
      </c>
      <c r="J163" s="11" t="inlineStr">
        <is>
          <t>【令和8年10月19日　ご了承】受託者案により作成を進めることとされた（従前の状態：確認待ち）。
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6" t="inlineStr">
        <is>
          <t>受託者案で確定</t>
        </is>
      </c>
      <c r="I164" s="10" t="inlineStr">
        <is>
          <t>R8.10</t>
        </is>
      </c>
      <c r="J164" s="11" t="inlineStr">
        <is>
          <t>【令和8年10月19日　ご了承】受託者案により作成を進めることとされた（従前の状態：確認待ち）。
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6" t="inlineStr">
        <is>
          <t>受託者案で確定</t>
        </is>
      </c>
      <c r="I165" s="10" t="inlineStr">
        <is>
          <t>R8.10</t>
        </is>
      </c>
      <c r="J165" s="11" t="inlineStr">
        <is>
          <t>【令和8年10月19日　ご了承】受託者案により作成を進めることとされた（従前の状態：確認待ち）。
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6" t="inlineStr">
        <is>
          <t>受託者案で確定</t>
        </is>
      </c>
      <c r="I166" s="10" t="inlineStr">
        <is>
          <t>R8.10</t>
        </is>
      </c>
      <c r="J166" s="11" t="inlineStr">
        <is>
          <t>【令和8年10月19日　ご了承】受託者案により作成を進めることとされた（従前の状態：確認待ち）。
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6" t="inlineStr">
        <is>
          <t>受託者案で確定</t>
        </is>
      </c>
      <c r="I167" s="10" t="inlineStr">
        <is>
          <t>R8.10</t>
        </is>
      </c>
      <c r="J167" s="11" t="inlineStr">
        <is>
          <t>【令和8年10月19日　ご了承】受託者案により作成を進めることとされた（従前の状態：確認待ち）。
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区域内定員62人のうち42人が美瑛町にある（地域密着型介護老人福祉施設 美瑛慈光園24人、美瑛慈光園サテライト特養 燈18人。北海道 特別養護老人ホーム名簿令和8年9月1日現在）。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6" t="inlineStr">
        <is>
          <t>受託者案で確定</t>
        </is>
      </c>
      <c r="I168" s="10" t="inlineStr">
        <is>
          <t>R8.10</t>
        </is>
      </c>
      <c r="J168" s="11" t="inlineStr">
        <is>
          <t>【令和8年10月19日　ご了承】受託者案により作成を進めることとされた（従前の状態：確認待ち）。
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6" t="inlineStr">
        <is>
          <t>受託者案で確定</t>
        </is>
      </c>
      <c r="I169" s="10" t="inlineStr">
        <is>
          <t>R8.10</t>
        </is>
      </c>
      <c r="J169" s="11" t="inlineStr">
        <is>
          <t>【令和8年10月19日　ご了承】受託者案により作成を進めることとされた（従前の状態：確認待ち）。
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6" t="inlineStr">
        <is>
          <t>受託者案で確定</t>
        </is>
      </c>
      <c r="I170" s="10" t="inlineStr">
        <is>
          <t>R8.10</t>
        </is>
      </c>
      <c r="J170" s="11" t="inlineStr">
        <is>
          <t>【令和8年10月19日　ご了承】受託者案により作成を進めることとされた（従前の状態：確認待ち）。
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6" t="inlineStr">
        <is>
          <t>受託者案で確定</t>
        </is>
      </c>
      <c r="I171" s="10" t="inlineStr">
        <is>
          <t>R8.10</t>
        </is>
      </c>
      <c r="J171" s="11" t="inlineStr">
        <is>
          <t>【令和8年10月19日　ご了承】受託者案により作成を進めることとされた（従前の状態：確認待ち）。
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6" t="inlineStr">
        <is>
          <t>受託者案で確定</t>
        </is>
      </c>
      <c r="I173" s="10" t="inlineStr">
        <is>
          <t>R8.10</t>
        </is>
      </c>
      <c r="J173" s="11" t="inlineStr">
        <is>
          <t>【令和8年10月19日　ご了承】受託者案により作成を進めることとされた（従前の状態：確認待ち）。
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6" t="inlineStr">
        <is>
          <t>受託者案で確定</t>
        </is>
      </c>
      <c r="I174" s="10" t="inlineStr">
        <is>
          <t>R8.10</t>
        </is>
      </c>
      <c r="J174" s="11" t="inlineStr">
        <is>
          <t>【令和8年10月19日　ご了承】受託者案により作成を進めることとされた（従前の状態：一部解消）。
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受託者案＝計画素案から協議用の成果品へ移す8件は移し、「協議」判定の15件はそのまま素案に残す（令和8年9月29日 ご指示のとおり）。</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6" t="inlineStr">
        <is>
          <t>受託者案で確定</t>
        </is>
      </c>
      <c r="I175" s="10" t="inlineStr">
        <is>
          <t>R8.11</t>
        </is>
      </c>
      <c r="J175" s="11" t="inlineStr">
        <is>
          <t>【令和8年10月19日　ご了承】受託者案により作成を進めることとされた（従前の状態：確認待ち）。
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令和8年10月15日】⑥について、現在の計画素案には上川管内の保険者の名称が現れている箇所がある（第6章第6節の保険料基準額の比較に20団体、第2章第2節の認定率等の比較に5団体、旭川市は圏域及び医療機関の説明として第2章第3節・第5章・第6章第4節にも現れる）。これらはいずれも公表されている一覧による保険者の名称であり、仕様書４（4）が求める類似保険者との比較分析に用いているものである。令和8年9月29日のご指示は公表されている全国集計の行の名称（広域連合・一部事務組合38団体）についてのものであったため、上川管内の保険者の名称を計画本文に掲げてよいかを確認する。掲げないこととなった場合は、管内の平均及び当広域連合の順位のみを示す形に改める（比較分析そのものは仕様書が求めるものであるため落とさない）。
受託者案＝第9期計画にない体裁は現在のままとし、計画として確定する前に改めてお諮りする（令和8年9月29日 ご指示により保留）。</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6" t="inlineStr">
        <is>
          <t>受託者案で確定</t>
        </is>
      </c>
      <c r="I176" s="10" t="inlineStr">
        <is>
          <t>R8.10</t>
        </is>
      </c>
      <c r="J176" s="11" t="inlineStr">
        <is>
          <t>【令和8年10月19日　ご了承】受託者案により作成を進めることとされた（従前の状態：未回答）。
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6" t="inlineStr">
        <is>
          <t>受託者案で確定</t>
        </is>
      </c>
      <c r="I177" s="10" t="inlineStr">
        <is>
          <t>R8.11</t>
        </is>
      </c>
      <c r="J177" s="11" t="inlineStr">
        <is>
          <t>【令和8年10月19日　ご了承】受託者案により作成を進めることとされた（従前の状態：未回答）。
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6" t="inlineStr">
        <is>
          <t>受託者案で確定</t>
        </is>
      </c>
      <c r="I178" s="10" t="inlineStr">
        <is>
          <t>R8.10</t>
        </is>
      </c>
      <c r="J178" s="11" t="inlineStr">
        <is>
          <t>【令和8年10月19日　ご了承】受託者案により作成を進めることとされた（従前の状態：未回答）。
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6" t="inlineStr">
        <is>
          <t>受託者案で確定</t>
        </is>
      </c>
      <c r="I179" s="10" t="inlineStr">
        <is>
          <t>R8.11</t>
        </is>
      </c>
      <c r="J179" s="11" t="inlineStr">
        <is>
          <t>【令和8年10月19日　ご了承】受託者案により作成を進めることとされた（従前の状態：未回答）。
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8" t="inlineStr">
        <is>
          <t>受託者案で確定（告示後に再算定）</t>
        </is>
      </c>
      <c r="I180" s="10" t="inlineStr">
        <is>
          <t>R8.12</t>
        </is>
      </c>
      <c r="J180" s="11" t="inlineStr">
        <is>
          <t>【令和8年10月19日　ご了承】受託者案により作成を進めることとされた（従前の状態：未回答）。ただし「介護サービス事業者経営情報データベースの分析結果の公表」が示された後に再算定する。
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6" t="inlineStr">
        <is>
          <t>受託者案で確定</t>
        </is>
      </c>
      <c r="I181" s="10" t="inlineStr">
        <is>
          <t>R8.12</t>
        </is>
      </c>
      <c r="J181" s="11" t="inlineStr">
        <is>
          <t>【令和8年10月19日　ご了承】受託者案により作成を進めることとされた（従前の状態：未回答）。
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6" t="inlineStr">
        <is>
          <t>受託者案で確定</t>
        </is>
      </c>
      <c r="I182" s="10" t="inlineStr">
        <is>
          <t>R8.11</t>
        </is>
      </c>
      <c r="J182" s="11" t="inlineStr">
        <is>
          <t>【令和8年10月19日　ご了承】受託者案により作成を進めることとされた（従前の状態：未回答）。
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令和8年10月15日】参照条文により、介護保険法第117条第7項が「老人福祉法第20条の8第1項に規定する市町村老人福祉計画と一体のものとして作成されなければならない」ことを定めていることを確かめた。条及び項は第20条の8第1項である。老人福祉法そのものの条文は参照条文に収録されていない（第18条及び第20条の6のみ）ため、同条の内容及び市町村老人福祉計画の記載事項はなお確認できてい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6" t="inlineStr">
        <is>
          <t>受託者案で確定</t>
        </is>
      </c>
      <c r="I183" s="10" t="inlineStr">
        <is>
          <t>R8.11</t>
        </is>
      </c>
      <c r="J183" s="11" t="inlineStr">
        <is>
          <t>【令和8年10月19日　ご了承】受託者案により作成を進めることとされた（従前の状態：未回答）。
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6" t="inlineStr">
        <is>
          <t>受託者案で確定</t>
        </is>
      </c>
      <c r="I184" s="10" t="inlineStr">
        <is>
          <t>R8.11</t>
        </is>
      </c>
      <c r="J184" s="11" t="inlineStr">
        <is>
          <t>【令和8年10月19日　ご了承】受託者案により作成を進めることとされた（従前の状態：未回答）。
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解決</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令和8年10月14日】社会福祉法等の一部を改正する法律案要綱を確認したことにより、改正後の第117条第2項第3号・第4号、第3項第4号・第5号、第5項及び第14項の号及び項が確定した。引き続き必要なのは、①改正後の条文及び新旧対照表（要綱は改正事項の要旨であり条文の文言を確認できない）、②附則第3条から第77条までの経過措置（有料老人ホームの登録制に係る経過措置の内容）、③改正に係らない号（第2項第1号・第2号、第3項第1号から第3号まで）の条文である。【令和8年10月15日　大きく解決】社会福祉法等の一部を改正する法律案の新旧対照条文（全353頁）を確認した。改正後の介護保険法第117条（第2項第3号・第4号、第3項第3号・第4号・第4号の2・第5号・第6号・第7号・第9号、第5項、第9項、第14項）、第115条の48（支援会議）、第118条第2項・第8項・第9項並びに第120条の3から第120条の5まで（協議会）の内容が確定した。介護保険法の改正は第3条関係（令和9年4月1日又は1年6月以内）と第4条関係（2年以内又は3年以内）の2つに分かれる。新たに分かった主なものは、①第3項第3号は改正前からあり、量が第2項第3号へ移ったうえで費用の額及び保険料の水準が残ること（量は定めるものとされる事項、費用の額及び保険料の水準は定めるよう努めるものとされる事項）、②第3項第9号（入居定員総数）は改正前からあり、第5項第1号（勘案事項）との二重の構造であること、③第5項及び第14項の対象はいずれも第2項第1号から第3号までであること、④第115条の48の会議は改正後「支援会議」と称し構成員として地域包括支援センターが明示されること、⑤第118条第2項により都道府県介護保険事業支援計画にも中長期的な推計が定めるものとされること、⑥第117条第3項第6号・第7号及び第115条の49に指定登録施設介護支援の事業が加わること（3年以内）である。計画素案15箇所に反映した。【令和8年10月15日　解決】参照条文（001685804）の文字起こしのご提供を受け、介護保険法第117条の項の全体（全14項）及び第3項の全10号、第118条並びに第115条の45の項及び号を確認した。改正されない項（第4項 作成の基準、第6項 加齢に伴う特性への留意、第7項 市町村老人福祉計画と一体、第10項 他計画との整合性の確保、第11項 他計画との調和、第12項 被保険者の意見の反映、第14項 都道府県知事への提出）の項番号が確定した。新旧対照条文と重なる6件の突合はいずれも一致した。文字起こしは未校正の光学文字認識によるものであるため、条、項及び号の番号を用い条文の文言は計画素案に引用しない。引き続き必要なのは、①附則第3条から第77条までの経過措置、②認知症基本法ほか関係法令の条文（確認No.149）、③医療法等の一部を改正する法律による改正の施行の状況（確認No.189）である</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262回（資料1から資料4）、第263回（資料1から資料5）、第264回（資料1から資料5）、第268回（基本的な視点（案））、第269回（資料1から資料4）及び第270回（資料1から資料5）の資料25件（全1,037頁）のご提供を受け、これらの本文を確認しました。本文を確認できていなかった3件のうち2件はこれにより解消しました（残る1件は第266回資料5であり、要約にも採用されていません）。①第256回から第261回まで及び第265回から第267回までの資料のうち当広域連合に関わるもの（特に第261回の人口減少地域）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6" t="inlineStr">
        <is>
          <t>受託者案で確定</t>
        </is>
      </c>
      <c r="I186" s="10" t="inlineStr">
        <is>
          <t>R8.12</t>
        </is>
      </c>
      <c r="J186" s="11" t="inlineStr">
        <is>
          <t>【令和8年10月19日　ご了承】受託者案により作成を進めることとされた（従前の状態：一部提供（R8.10.14））。
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8" t="inlineStr">
        <is>
          <t>受託者案で確定（告示後に再算定）</t>
        </is>
      </c>
      <c r="I187" s="10" t="inlineStr">
        <is>
          <t>R8.12</t>
        </is>
      </c>
      <c r="J187" s="11" t="inlineStr">
        <is>
          <t>【令和8年10月19日　ご了承】受託者案により作成を進めることとされた（従前の状態：未回答）。ただし「夜間対応型訪問介護の移行に係る省令等」が示された後に再算定する。
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6" t="inlineStr">
        <is>
          <t>受託者案で確定</t>
        </is>
      </c>
      <c r="I188" s="10" t="inlineStr">
        <is>
          <t>R8.12</t>
        </is>
      </c>
      <c r="J188" s="11" t="inlineStr">
        <is>
          <t>【令和8年10月19日　ご了承】受託者案により作成を進めることとされた（従前の状態：未回答）。
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89" ht="88" customHeight="1">
      <c r="A189" s="4" t="n">
        <v>185</v>
      </c>
      <c r="B189" s="4" t="inlineStr">
        <is>
          <t>(5)(6)</t>
        </is>
      </c>
      <c r="C189" s="4" t="inlineStr">
        <is>
          <t>R8.11</t>
        </is>
      </c>
      <c r="D189" s="5" t="inlineStr">
        <is>
          <t>小規模市町村地域支援連携協働体制整備事業の対象となるかどうか</t>
        </is>
      </c>
      <c r="E189" s="5" t="inlineStr">
        <is>
          <t>社会福祉法等の一部を改正する法律案要綱 第1の4（3）により、小規模市町村（その人口規模、その人口の減少の状況等からみて福祉サービスを提供する体制の確保に支障を生じ、又は生ずるおそれがあると認められる市町村として厚生労働省令で定める基準に該当するもの）は、社会福祉法に基づく事業及び関係法律に基づく事業を一体のものとして実施することにより、包括的な支援体制を一体的に整備する事業を行うことができることとされました（社会福祉法第106条の6。施行は令和9年4月1日）。費用は小規模市町村の支弁とし、国及び都道府県が交付金を交付します。実施する場合は、関係法律に基づく事業についての市町村の支弁に係る費用から当該事業の実施に要する費用を除くこととされています（同法第106条の12）。①構成3町が厚生労働省令で定める基準に該当するかどうか。②「関係法律に基づく事業」に介護保険法の包括的支援事業（地域包括支援センターの運営）が含まれるかどうか。③含まれる場合、当該費用が本広域連合の地域支援事業費（B）から除かれるかどうか。地域支援事業費は保険料収納必要額の算定の基礎であるため、除かれる場合は保険料を下げる向きに働きます。</t>
        </is>
      </c>
      <c r="F189" s="5" t="inlineStr">
        <is>
          <t>計画素案 第1章第9節2・第6章第3節2・第6章第6節
サービス見込量の算定（地域支援事業費）</t>
        </is>
      </c>
      <c r="G189" s="5" t="inlineStr">
        <is>
          <t>発注者・3町</t>
        </is>
      </c>
      <c r="H189" s="8" t="inlineStr">
        <is>
          <t>受託者案で確定（告示後に再算定）</t>
        </is>
      </c>
      <c r="I189" s="10" t="inlineStr">
        <is>
          <t>R8.12</t>
        </is>
      </c>
      <c r="J189" s="11" t="inlineStr">
        <is>
          <t>【令和8年10月19日　ご了承】受託者案により作成を進めることとされた（従前の状態：未回答）。ただし「小規模市町村の基準（厚生労働省令）」が示された後に再算定する。
決着しない場合の当方の扱い＝現行の地域支援事業費（令和6年度決算による据え置き）により算定し、本事業を実施しないものとして扱う。厚生労働省令が示された時点で該当の有無を確かめ、該当する場合は費用の支弁の構造を改めて算定し直す。【令和8年10月15日】新旧対照条文により社会福祉法第106条の12（新設）の内容を確かめた。小規模市町村が本事業を実施する場合、介護保険法第122条の2（第3項を除く。地域支援事業に係る国の交付金）並びに第123条第3項及び第4項（都道府県の負担）の規定の適用について、第122条の2第1項の「費用」から本事業として行う社会福祉法第106条の6第2項第3号イに掲げる事業に要する費用を除き、第123条第4項の「費用」から同条第2項第1号イ及び第3号ロに掲げる事業に要する費用を除くこととされている。重層的支援体制整備事業（社会福祉法第106条の4）と同じ構造である。除かれるのは国の交付金及び都道府県の負担の対象となる費用であり、当該費用は社会福祉法による交付金等により支弁されることとなる。除かれる事業の内容（第106条の6第2項第1号イ・第3号イ・第3号ロ）は確かめていない。小規模市町村の基準は厚生労働省令で定められるため、①（該当の有無）は引き続き確認を要する【令和8年10月15日】参照条文には社会福祉法第106条の3（包括的な支援体制の整備）までが収録されており、第106条の6は改正法により新設される規定であるため現れない。本件は進んでいない</t>
        </is>
      </c>
    </row>
    <row r="190" ht="88" customHeight="1">
      <c r="A190" s="4" t="n">
        <v>186</v>
      </c>
      <c r="B190" s="4" t="inlineStr">
        <is>
          <t>(5)(6)</t>
        </is>
      </c>
      <c r="C190" s="4" t="inlineStr">
        <is>
          <t>R8.11</t>
        </is>
      </c>
      <c r="D190" s="5" t="inlineStr">
        <is>
          <t>特定施設の定義の改正による区域内3施設の扱い</t>
        </is>
      </c>
      <c r="E190" s="5" t="inlineStr">
        <is>
          <t>社会福祉法等の一部を改正する法律案要綱 第2の3により、介護保険法第8条第11項の「特定施設」が「登録有料老人ホームその他厚生労働省令で定める施設であって、地域密着型特定施設でないもの」に改められました（施行は公布の日から起算して2年を超えない範囲内において政令で定める日。令和10年6月まで）。登録有料老人ホーム事業の対象となる状態は政令で定められます（要綱 第6の4（1））。①区域内で特定施設入居者生活介護の指定を受けている3施設（定員156人）が登録有料老人ホームの登録を受けることとなるか。②登録を受けない場合、特定施設入居者生活介護の指定がどのように扱われるか（経過措置の有無）。③区域内の住宅型有料老人ホーム9施設（定員223人）のうち登録の対象となるものがあるか。特定施設入居者生活介護の見込量は令和7年度の実績（月61.5人）を基礎としており、対象となる施設の範囲が変わると見込量の前提が変わります。</t>
        </is>
      </c>
      <c r="F190" s="5" t="inlineStr">
        <is>
          <t>計画素案 第1章第9節2・第2章第3節・第6章第2節 注3・第6章第4節
サービス見込量の算定（施設・居住系サービス）</t>
        </is>
      </c>
      <c r="G190" s="5" t="inlineStr">
        <is>
          <t>発注者・北海道</t>
        </is>
      </c>
      <c r="H190" s="6" t="inlineStr">
        <is>
          <t>受託者案で確定</t>
        </is>
      </c>
      <c r="I190" s="10" t="inlineStr">
        <is>
          <t>R8.12</t>
        </is>
      </c>
      <c r="J190" s="11" t="inlineStr">
        <is>
          <t>【令和8年10月19日　ご了承】受託者案により作成を進めることとされた（従前の状態：未回答）。
決着しない場合の当方の扱い＝現行の指定の区分により特定施設入居者生活介護の見込量を算定し、定義の改正により対象となる施設の範囲が変わり得ることを計画素案の注に［要確認］として記載する。【令和8年10月15日】新旧対照条文により、現行の第8条第11項が「有料老人ホームその他厚生労働省令で定める施設であって、第20項に規定する地域密着型特定施設でないもの」であり、改正により「有料老人ホーム」が「老人福祉法第29条の18第5項に規定する登録有料老人ホーム」に置き換わることを確かめた。すなわち登録有料老人ホームを定義に加えるものではなく、登録を受けない有料老人ホームは特定施設に当たらなくなる。計画素案 第1章第9節2の記述を「定義に加える」から「有料老人ホームを登録有料老人ホームに改める」に是正した。【令和8年10月15日】参照条文により、現行の第8条第11項が「有料老人ホームその他厚生労働省令で定める施設であって地域密着型特定施設でないもの」であることを2つ目の原典で確かめた。また同条第21項により、介護専用型特定施設はその入居者が要介護者、その配偶者その他厚生労働省令で定める者に限られるものであり、類型は入居の要件により定まることが分かった</t>
        </is>
      </c>
    </row>
    <row r="191" ht="88" customHeight="1">
      <c r="A191" s="4" t="n">
        <v>187</v>
      </c>
      <c r="B191" s="4" t="inlineStr">
        <is>
          <t>(5)(6)</t>
        </is>
      </c>
      <c r="C191" s="4" t="inlineStr">
        <is>
          <t>R8.11</t>
        </is>
      </c>
      <c r="D191" s="5" t="inlineStr">
        <is>
          <t>「特定地域支援事業支援額」の内容</t>
        </is>
      </c>
      <c r="E191" s="5" t="inlineStr">
        <is>
          <t>介護保険法第123条第4項は、都道府県は市町村に対し特定地域支援事業支援額の100分の25に相当する額を交付するものと定めています（令和8年10月15日に参照条文により確認）。「特定地域支援事業支援額」は当方の整理にない語であり、内容を確認できていません。①同額の内容及び算定の方法。②特定地域（中山間・人口減少地域）に関わるものであるか。③当広域連合の地域支援事業費の財源に関わるか。地域支援事業費（B）は保険料収納必要額の算定の基礎であるため、財源の区分が変わると第1号被保険者の負担分が変わります。</t>
        </is>
      </c>
      <c r="F191" s="5" t="inlineStr">
        <is>
          <t>計画素案 第1章第9節1・第6章第3節2・第6章第6節
サービス見込量の算定（地域支援事業費）</t>
        </is>
      </c>
      <c r="G191" s="5" t="inlineStr">
        <is>
          <t>発注者</t>
        </is>
      </c>
      <c r="H191" s="6" t="inlineStr">
        <is>
          <t>受託者案で確定</t>
        </is>
      </c>
      <c r="I191" s="10" t="inlineStr">
        <is>
          <t>R8.12</t>
        </is>
      </c>
      <c r="J191" s="11" t="inlineStr">
        <is>
          <t>【令和8年10月19日　ご了承】受託者案により作成を進めることとされた（従前の状態：未回答）。
決着しない場合の当方の扱い＝現行の地域支援事業費（令和6年度決算による据え置き）により算定し、特定地域支援事業支援額を織り込まない。内容が示された時点で財源の区分を確かめ、再算定する</t>
        </is>
      </c>
    </row>
    <row r="192" ht="88" customHeight="1">
      <c r="A192" s="4" t="n">
        <v>188</v>
      </c>
      <c r="B192" s="4" t="inlineStr">
        <is>
          <t>(5)(6)</t>
        </is>
      </c>
      <c r="C192" s="4" t="inlineStr">
        <is>
          <t>R8.11</t>
        </is>
      </c>
      <c r="D192" s="5" t="inlineStr">
        <is>
          <t>地域支援事業費の政令で定める額</t>
        </is>
      </c>
      <c r="E192" s="5" t="inlineStr">
        <is>
          <t>介護保険法第115条の45第4項は、地域支援事業は、当該市町村における介護予防に関する事業の実施状況、介護保険の運営の状況、75歳以上の被保険者の数その他の状況を勘案して政令で定める額の範囲内で行うものと定めています（令和8年10月15日に参照条文により確認）。当方の地域支援事業費（第10期3か年531,483,777円）は令和6年度決算の水準を据え置いたものであり、政令で定める額との関係を確かめていません。①介護保険法施行令の当該規定及び当広域連合に係る額。②令和6年度の決算額が同額の範囲内であること。③第10期の見込額が同額の範囲内に収まるか。当方は外部の情報提供サイトへ接続できないため政令の条文を確認できません。</t>
        </is>
      </c>
      <c r="F192" s="5" t="inlineStr">
        <is>
          <t>計画素案 第6章第3節2・第6章第6節
サービス見込量の算定（地域支援事業費）</t>
        </is>
      </c>
      <c r="G192" s="5" t="inlineStr">
        <is>
          <t>発注者</t>
        </is>
      </c>
      <c r="H192" s="8" t="inlineStr">
        <is>
          <t>受託者案で確定（告示後に再算定）</t>
        </is>
      </c>
      <c r="I192" s="10" t="inlineStr">
        <is>
          <t>R8.12</t>
        </is>
      </c>
      <c r="J192" s="11" t="inlineStr">
        <is>
          <t>【令和8年10月19日　ご了承】受託者案により作成を進めることとされた（従前の状態：未回答）。ただし「地域支援事業費の政令で定める額」が示された後に再算定する。
決着しない場合の当方の扱い＝令和6年度決算の水準を据え置いたまま算定し、政令で定める額との関係を確かめていない旨を計画素案の注に［要確認］として記載する</t>
        </is>
      </c>
    </row>
    <row r="193" ht="88" customHeight="1">
      <c r="A193" s="4" t="n">
        <v>189</v>
      </c>
      <c r="B193" s="4" t="inlineStr">
        <is>
          <t>(1)(6)</t>
        </is>
      </c>
      <c r="C193" s="4" t="inlineStr">
        <is>
          <t>R8.12</t>
        </is>
      </c>
      <c r="D193" s="5" t="inlineStr">
        <is>
          <t>医療法等の一部を改正する法律による介護保険法の改正の施行の状況</t>
        </is>
      </c>
      <c r="E193" s="5" t="inlineStr">
        <is>
          <t>参照条文に収録されている介護保険法は、医療法等の一部を改正する法律（令和7年法律第87号）による改正後のものであり、その施行は公布の日から起算して2年を超えない範囲内において政令で定める日とされています（令和8年10月15日に確認）。このため、参照条文により確認した各項が本計画の策定の時点で施行されているかを確かめられていません。①同法による介護保険法の改正の内容及び施行の日。②第117条第5項（医療法第30条の18の5第1項の規定による協議の結果の考慮）が本計画の策定の時点で施行されているか。③医療法第30条の18の5（医療と介護の協議の場）の内容。令和8年9月18日の社会保障審議会介護保険部会で示された「医療と介護の協議の場の再編成」と関わります。</t>
        </is>
      </c>
      <c r="F193" s="5" t="inlineStr">
        <is>
          <t>計画素案 第1章第8節・第1章第9節1・第1章第9節6</t>
        </is>
      </c>
      <c r="G193" s="5" t="inlineStr">
        <is>
          <t>発注者</t>
        </is>
      </c>
      <c r="H193" s="8" t="inlineStr">
        <is>
          <t>受託者案で確定（告示後に再算定）</t>
        </is>
      </c>
      <c r="I193" s="10" t="inlineStr">
        <is>
          <t>R8.12</t>
        </is>
      </c>
      <c r="J193" s="11" t="inlineStr">
        <is>
          <t>【令和8年10月19日　ご了承】受託者案により作成を進めることとされた（従前の状態：未回答）。ただし「医療法等改正法による改正の施行の日（政令）」が示された後に再算定する。
決着しない場合の当方の扱い＝医療との連携は第5章 基本目標1及び第6章第5節の記述により扱い、医療法の協議の結果の考慮については施行の時期を確認できていない旨を［要確認］として記載する</t>
        </is>
      </c>
    </row>
    <row r="194" ht="88" customHeight="1">
      <c r="A194" s="4" t="n">
        <v>190</v>
      </c>
      <c r="B194" s="4" t="inlineStr">
        <is>
          <t>(2)(4)</t>
        </is>
      </c>
      <c r="C194" s="4" t="inlineStr">
        <is>
          <t>R8.11</t>
        </is>
      </c>
      <c r="D194" s="5" t="inlineStr">
        <is>
          <t>見える化システム B5・B6 の【他地域と比較】の出力における比較地域</t>
        </is>
      </c>
      <c r="E194" s="5" t="inlineStr">
        <is>
          <t>収録している調整済み認定率には、【注目する地域のみ】の出力によるものと【他地域と比較】の出力によるものの2系列があります。令和8年10月19日に受領した【注目する地域のみ】の出力により、本広域連合の値は前者であることが確かめられました（平成25年3月末から令和7年3月末までの221件が一致）。一方、後者の系列は本広域連合の値と全ての時点で異なり、どの地域の行であるのかを受領資料から特定できません（重度と軽度の和が合計と一致するため、単一のまとまった系列ではあります）。考えられるのは2つです。①本広域連合の値を別の基準人口で標準化したもの（【他地域と比較】の出力では全国の人口構成で標準化される、という従前の当方の見立て。原典で確かめられていません）。②全国、北海道又は比較対象として選択した地域の値。いずれであるか、及び【他地域と比較】の出力を行う際に比較対象として設定した地域をお伺いしたい。</t>
        </is>
      </c>
      <c r="F194" s="5" t="inlineStr">
        <is>
          <t>計画素案 第3章第4節2・認定率の年齢調整分析</t>
        </is>
      </c>
      <c r="G194" s="5" t="inlineStr">
        <is>
          <t>発注者</t>
        </is>
      </c>
      <c r="H194" s="10" t="inlineStr">
        <is>
          <t>未回答</t>
        </is>
      </c>
      <c r="I194" s="10" t="inlineStr">
        <is>
          <t>R8.11</t>
        </is>
      </c>
      <c r="J194" s="11" t="inlineStr">
        <is>
          <t>決着しない場合の当方の扱い＝計画本文には【注目する地域のみ】の出力（本広域連合の値）のみを用い、当該の系列は地域を特定できないものとして本文に掲げない</t>
        </is>
      </c>
    </row>
    <row r="196" ht="32" customHeight="1">
      <c r="A196" s="3" t="inlineStr">
        <is>
          <t>区分</t>
        </is>
      </c>
      <c r="B196" s="3" t="inlineStr">
        <is>
          <t>件数</t>
        </is>
      </c>
      <c r="C196" s="3" t="inlineStr"/>
      <c r="D196" s="3" t="inlineStr"/>
      <c r="E196" s="3" t="inlineStr"/>
      <c r="F196" s="3" t="inlineStr"/>
      <c r="G196" s="3" t="inlineStr"/>
      <c r="H196" s="3" t="inlineStr"/>
      <c r="I196" s="3" t="inlineStr"/>
      <c r="J196" s="3" t="inlineStr"/>
    </row>
    <row r="197" ht="20" customHeight="1">
      <c r="A197" s="6" t="inlineStr">
        <is>
          <t>完了</t>
        </is>
      </c>
      <c r="B197" s="4">
        <f>COUNTIF(H5:H194,"完了")</f>
        <v/>
      </c>
      <c r="C197" s="5" t="inlineStr"/>
      <c r="D197" s="5" t="inlineStr"/>
      <c r="E197" s="5" t="inlineStr"/>
      <c r="F197" s="5" t="inlineStr"/>
      <c r="G197" s="5" t="inlineStr"/>
      <c r="H197" s="5" t="inlineStr"/>
      <c r="I197" s="5" t="inlineStr"/>
      <c r="J197" s="5" t="inlineStr"/>
    </row>
    <row r="198" ht="20" customHeight="1">
      <c r="A198" s="8" t="inlineStr">
        <is>
          <t>実施中</t>
        </is>
      </c>
      <c r="B198" s="4">
        <f>COUNTIF(H5:H194,"実施中")</f>
        <v/>
      </c>
      <c r="C198" s="5" t="inlineStr"/>
      <c r="D198" s="5" t="inlineStr"/>
      <c r="E198" s="5" t="inlineStr"/>
      <c r="F198" s="5" t="inlineStr"/>
      <c r="G198" s="5" t="inlineStr"/>
      <c r="H198" s="5" t="inlineStr"/>
      <c r="I198" s="5" t="inlineStr"/>
      <c r="J198" s="5" t="inlineStr"/>
    </row>
    <row r="199" ht="20" customHeight="1">
      <c r="A199" s="10" t="inlineStr">
        <is>
          <t>確認待ち</t>
        </is>
      </c>
      <c r="B199" s="4">
        <f>COUNTIF(H5:H194,"確認待ち")</f>
        <v/>
      </c>
      <c r="C199" s="5" t="inlineStr"/>
      <c r="D199" s="5" t="inlineStr"/>
      <c r="E199" s="5" t="inlineStr"/>
      <c r="F199" s="5" t="inlineStr"/>
      <c r="G199" s="5" t="inlineStr"/>
      <c r="H199" s="5" t="inlineStr"/>
      <c r="I199" s="5" t="inlineStr"/>
      <c r="J199" s="5" t="inlineStr"/>
    </row>
    <row r="200" ht="20" customHeight="1">
      <c r="A200" s="12" t="inlineStr">
        <is>
          <t>未着手</t>
        </is>
      </c>
      <c r="B200" s="4">
        <f>COUNTIF(H5:H194,"未着手")</f>
        <v/>
      </c>
      <c r="C200" s="5" t="inlineStr"/>
      <c r="D200" s="5" t="inlineStr"/>
      <c r="E200" s="5" t="inlineStr"/>
      <c r="F200" s="5" t="inlineStr"/>
      <c r="G200" s="5" t="inlineStr"/>
      <c r="H200" s="5" t="inlineStr"/>
      <c r="I200" s="5" t="inlineStr"/>
      <c r="J200" s="5" t="inlineStr"/>
    </row>
    <row r="201" ht="20" customHeight="1">
      <c r="A201" s="14" t="inlineStr">
        <is>
          <t>対象外</t>
        </is>
      </c>
      <c r="B201" s="4">
        <f>COUNTIF(H5:H194,"対象外")</f>
        <v/>
      </c>
      <c r="C201" s="5" t="inlineStr"/>
      <c r="D201" s="5" t="inlineStr"/>
      <c r="E201" s="5" t="inlineStr"/>
      <c r="F201" s="5" t="inlineStr"/>
      <c r="G201" s="5" t="inlineStr"/>
      <c r="H201" s="5" t="inlineStr"/>
      <c r="I201" s="5" t="inlineStr"/>
      <c r="J201" s="5" t="inlineStr"/>
    </row>
    <row r="203" ht="32" customHeight="1">
      <c r="A203" s="3" t="inlineStr">
        <is>
          <t>確認先</t>
        </is>
      </c>
      <c r="B203" s="3" t="inlineStr">
        <is>
          <t>件数</t>
        </is>
      </c>
      <c r="C203" s="3" t="inlineStr"/>
      <c r="D203" s="3" t="inlineStr"/>
      <c r="E203" s="3" t="inlineStr"/>
      <c r="F203" s="3" t="inlineStr"/>
      <c r="G203" s="3" t="inlineStr"/>
      <c r="H203" s="3" t="inlineStr"/>
      <c r="I203" s="3" t="inlineStr"/>
      <c r="J203" s="3" t="inlineStr"/>
    </row>
    <row r="204" ht="20" customHeight="1">
      <c r="A204" s="5" t="inlineStr">
        <is>
          <t>発注者</t>
        </is>
      </c>
      <c r="B204" s="4">
        <f>COUNTIF(G5:G194,"発注者")</f>
        <v/>
      </c>
      <c r="C204" s="5" t="inlineStr"/>
      <c r="D204" s="5" t="inlineStr"/>
      <c r="E204" s="5" t="inlineStr"/>
      <c r="F204" s="5" t="inlineStr"/>
      <c r="G204" s="5" t="inlineStr"/>
      <c r="H204" s="5" t="inlineStr"/>
      <c r="I204" s="5" t="inlineStr"/>
      <c r="J204" s="5" t="inlineStr"/>
    </row>
    <row r="205" ht="20" customHeight="1">
      <c r="A205" s="5" t="inlineStr">
        <is>
          <t>発注者・3町</t>
        </is>
      </c>
      <c r="B205" s="4">
        <f>COUNTIF(G5:G194,"発注者・3町")</f>
        <v/>
      </c>
      <c r="C205" s="5" t="inlineStr"/>
      <c r="D205" s="5" t="inlineStr"/>
      <c r="E205" s="5" t="inlineStr"/>
      <c r="F205" s="5" t="inlineStr"/>
      <c r="G205" s="5" t="inlineStr"/>
      <c r="H205" s="5" t="inlineStr"/>
      <c r="I205" s="5" t="inlineStr"/>
      <c r="J205" s="5" t="inlineStr"/>
    </row>
    <row r="206" ht="20" customHeight="1">
      <c r="A206" s="5" t="inlineStr">
        <is>
          <t>発注者・北海道</t>
        </is>
      </c>
      <c r="B206" s="4">
        <f>COUNTIF(G5:G194,"発注者・北海道")</f>
        <v/>
      </c>
      <c r="C206" s="5" t="inlineStr"/>
      <c r="D206" s="5" t="inlineStr"/>
      <c r="E206" s="5" t="inlineStr"/>
      <c r="F206" s="5" t="inlineStr"/>
      <c r="G206" s="5" t="inlineStr"/>
      <c r="H206" s="5" t="inlineStr"/>
      <c r="I206" s="5" t="inlineStr"/>
      <c r="J206" s="5" t="inlineStr"/>
    </row>
    <row r="207" ht="20" customHeight="1">
      <c r="A207" s="5" t="inlineStr">
        <is>
          <t>発注者・3町・北海道</t>
        </is>
      </c>
      <c r="B207" s="4">
        <f>COUNTIF(G5:G194,"発注者・3町・北海道")</f>
        <v/>
      </c>
      <c r="C207" s="5" t="inlineStr"/>
      <c r="D207" s="5" t="inlineStr"/>
      <c r="E207" s="5" t="inlineStr"/>
      <c r="F207" s="5" t="inlineStr"/>
      <c r="G207" s="5" t="inlineStr"/>
      <c r="H207" s="5" t="inlineStr"/>
      <c r="I207" s="5" t="inlineStr"/>
      <c r="J207" s="5" t="inlineStr"/>
    </row>
    <row r="208" ht="20" customHeight="1">
      <c r="A208" s="5" t="inlineStr">
        <is>
          <t>北海道</t>
        </is>
      </c>
      <c r="B208" s="4">
        <f>COUNTIF(G5:G194,"北海道")</f>
        <v/>
      </c>
      <c r="C208" s="5" t="inlineStr"/>
      <c r="D208" s="5" t="inlineStr"/>
      <c r="E208" s="5" t="inlineStr"/>
      <c r="F208" s="5" t="inlineStr"/>
      <c r="G208" s="5" t="inlineStr"/>
      <c r="H208" s="5" t="inlineStr"/>
      <c r="I208" s="5" t="inlineStr"/>
      <c r="J208" s="5" t="inlineStr"/>
    </row>
    <row r="210" ht="52" customHeight="1">
      <c r="A210"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り、決定ではない。令和8年10月の3町合同の意見交換会で内容を諮り、ご決定をいただいた時点で回答欄に反映する。保険料を動かすものは、保険料が不足する側に誤らない向き（安全側）に置いている。
注5）本シートはNo.の昇順に並べている。工程（月）、確認先又は状態で絞り込む場合は、見出し行の絞り込みの機能を用いる。何をすれば決着するか（資料の徴求を要するもの・公表資料により確認できるもの・ご判断をお願いするもの）による区分は、別冊「確認事項の資料徴求と公表資料による確認」に掲げている。</t>
        </is>
      </c>
    </row>
  </sheetData>
  <autoFilter ref="A4:J194"/>
  <mergeCells count="3">
    <mergeCell ref="A1:J1"/>
    <mergeCell ref="A210:J210"/>
    <mergeCell ref="A2:J2"/>
  </mergeCells>
  <conditionalFormatting sqref="H5:H19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H5:H194"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（1074段落158表36図）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（1074段落158表36図）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conditionalFormatting sqref="F5:F8">
    <cfRule type="cellIs" priority="15" operator="equal" dxfId="0">
      <formula>"完了"</formula>
    </cfRule>
    <cfRule type="cellIs" priority="16" operator="equal" dxfId="1">
      <formula>"実施中"</formula>
    </cfRule>
    <cfRule type="cellIs" priority="17" operator="equal" dxfId="2">
      <formula>"確認待ち"</formula>
    </cfRule>
    <cfRule type="cellIs" priority="18" operator="equal" dxfId="0">
      <formula>"了承済（保管せず廃棄）"</formula>
    </cfRule>
    <cfRule type="cellIs" priority="19" operator="equal" dxfId="3">
      <formula>"未着手"</formula>
    </cfRule>
    <cfRule type="cellIs" priority="20" operator="equal" dxfId="4">
      <formula>"対象外"</formula>
    </cfRule>
    <cfRule type="cellIs" priority="21" operator="equal" dxfId="0">
      <formula>"代替により解消"</formula>
    </cfRule>
    <cfRule type="cellIs" priority="22" operator="equal" dxfId="1">
      <formula>"一部解消"</formula>
    </cfRule>
    <cfRule type="cellIs" priority="23" operator="equal" dxfId="1">
      <formula>"提供予定（即時）"</formula>
    </cfRule>
    <cfRule type="cellIs" priority="24" operator="equal" dxfId="1">
      <formula>"作成中"</formula>
    </cfRule>
    <cfRule type="cellIs" priority="25" operator="equal" dxfId="0">
      <formula>"了承済"</formula>
    </cfRule>
    <cfRule type="cellIs" priority="26" operator="equal" dxfId="1">
      <formula>"対応中"</formula>
    </cfRule>
    <cfRule type="cellIs" priority="27" operator="equal" dxfId="0">
      <formula>"受託者案で確定"</formula>
    </cfRule>
    <cfRule type="cellIs" priority="28" operator="equal" dxfId="1">
      <formula>"受託者案で確定（告示後に再算定）"</formula>
    </cfRule>
  </conditionalFormatting>
  <conditionalFormatting sqref="G5:G8">
    <cfRule type="cellIs" priority="29" operator="equal" dxfId="0">
      <formula>"完了"</formula>
    </cfRule>
    <cfRule type="cellIs" priority="30" operator="equal" dxfId="1">
      <formula>"実施中"</formula>
    </cfRule>
    <cfRule type="cellIs" priority="31" operator="equal" dxfId="2">
      <formula>"確認待ち"</formula>
    </cfRule>
    <cfRule type="cellIs" priority="32" operator="equal" dxfId="0">
      <formula>"了承済（保管せず廃棄）"</formula>
    </cfRule>
    <cfRule type="cellIs" priority="33" operator="equal" dxfId="3">
      <formula>"未着手"</formula>
    </cfRule>
    <cfRule type="cellIs" priority="34" operator="equal" dxfId="4">
      <formula>"対象外"</formula>
    </cfRule>
    <cfRule type="cellIs" priority="35" operator="equal" dxfId="0">
      <formula>"代替により解消"</formula>
    </cfRule>
    <cfRule type="cellIs" priority="36" operator="equal" dxfId="1">
      <formula>"一部解消"</formula>
    </cfRule>
    <cfRule type="cellIs" priority="37" operator="equal" dxfId="1">
      <formula>"提供予定（即時）"</formula>
    </cfRule>
    <cfRule type="cellIs" priority="38" operator="equal" dxfId="1">
      <formula>"作成中"</formula>
    </cfRule>
    <cfRule type="cellIs" priority="39" operator="equal" dxfId="0">
      <formula>"了承済"</formula>
    </cfRule>
    <cfRule type="cellIs" priority="40" operator="equal" dxfId="1">
      <formula>"対応中"</formula>
    </cfRule>
    <cfRule type="cellIs" priority="41" operator="equal" dxfId="0">
      <formula>"受託者案で確定"</formula>
    </cfRule>
    <cfRule type="cellIs" priority="42" operator="equal" dxfId="1">
      <formula>"受託者案で確定（告示後に再算定）"</formula>
    </cfRule>
  </conditionalFormatting>
  <conditionalFormatting sqref="H5:H8">
    <cfRule type="cellIs" priority="43" operator="equal" dxfId="0">
      <formula>"完了"</formula>
    </cfRule>
    <cfRule type="cellIs" priority="44" operator="equal" dxfId="1">
      <formula>"実施中"</formula>
    </cfRule>
    <cfRule type="cellIs" priority="45" operator="equal" dxfId="2">
      <formula>"確認待ち"</formula>
    </cfRule>
    <cfRule type="cellIs" priority="46" operator="equal" dxfId="0">
      <formula>"了承済（保管せず廃棄）"</formula>
    </cfRule>
    <cfRule type="cellIs" priority="47" operator="equal" dxfId="3">
      <formula>"未着手"</formula>
    </cfRule>
    <cfRule type="cellIs" priority="48" operator="equal" dxfId="4">
      <formula>"対象外"</formula>
    </cfRule>
    <cfRule type="cellIs" priority="49" operator="equal" dxfId="0">
      <formula>"代替により解消"</formula>
    </cfRule>
    <cfRule type="cellIs" priority="50" operator="equal" dxfId="1">
      <formula>"一部解消"</formula>
    </cfRule>
    <cfRule type="cellIs" priority="51" operator="equal" dxfId="1">
      <formula>"提供予定（即時）"</formula>
    </cfRule>
    <cfRule type="cellIs" priority="52" operator="equal" dxfId="1">
      <formula>"作成中"</formula>
    </cfRule>
    <cfRule type="cellIs" priority="53" operator="equal" dxfId="0">
      <formula>"了承済"</formula>
    </cfRule>
    <cfRule type="cellIs" priority="54" operator="equal" dxfId="1">
      <formula>"対応中"</formula>
    </cfRule>
    <cfRule type="cellIs" priority="55" operator="equal" dxfId="0">
      <formula>"受託者案で確定"</formula>
    </cfRule>
    <cfRule type="cellIs" priority="56" operator="equal" dxfId="1">
      <formula>"受託者案で確定（告示後に再算定）"</formula>
    </cfRule>
  </conditionalFormatting>
  <conditionalFormatting sqref="D5:D8">
    <cfRule type="cellIs" priority="57" operator="equal" dxfId="0">
      <formula>"受領済"</formula>
    </cfRule>
    <cfRule type="cellIs" priority="58" operator="equal" dxfId="2">
      <formula>"一部受領"</formula>
    </cfRule>
    <cfRule type="cellIs" priority="59"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資料提供依頼一覧（25件）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25</v>
      </c>
      <c r="B20" s="4" t="inlineStr">
        <is>
          <t>A</t>
        </is>
      </c>
      <c r="C20" s="5" t="inlineStr">
        <is>
          <t>見える化システムの事業所分析機能の出力</t>
        </is>
      </c>
      <c r="D20" s="5" t="inlineStr">
        <is>
          <t>地域包括ケア「見える化」システムの事業所分析機能により、区域内の事業所ごとの従事者数・利用者数・定員充足率の複数年次の推移を出力いただきたい。同機能は令和8年7月31日のバージョンアップで追加されたものである。介護サービス情報公表システムでも事業所ごとの定員・利用者数・従業者数を確認できるが、公表日が事業所ごとに異なるため同じ時点での比較と推移は本機能によらなければ得られない。</t>
        </is>
      </c>
      <c r="E20" s="5" t="inlineStr">
        <is>
          <t>事業所の定員と稼働の実績、供給の制約（人材）、施設・居住系の実績の減少の読み方</t>
        </is>
      </c>
      <c r="F20" s="5" t="inlineStr">
        <is>
          <t>発注者</t>
        </is>
      </c>
      <c r="G20" s="4" t="inlineStr">
        <is>
          <t>R8.11</t>
        </is>
      </c>
      <c r="H20" s="10" t="inlineStr">
        <is>
          <t>高</t>
        </is>
      </c>
      <c r="I20" s="4" t="inlineStr">
        <is>
          <t>未着手</t>
        </is>
      </c>
      <c r="J20" s="5" t="inlineStr">
        <is>
          <t>【令和8年10月21日　起票】事業所ヒアリングを行わない前提での外部資料の確認により起票した。見える化システムのホストへは到達できるが、地方公共団体の職員のアカウントを要するため当方では出力を得られない。確認事項No.23・No.107・No.116と対応し、資料提供依頼No.7（事業所・施設の定員と稼働の実績）のうち稼働の推移に当たる部分を代替する</t>
        </is>
      </c>
    </row>
    <row r="21" ht="56" customHeight="1">
      <c r="A21" s="4" t="n">
        <v>10</v>
      </c>
      <c r="B21" s="4" t="inlineStr">
        <is>
          <t>H</t>
        </is>
      </c>
      <c r="C21" s="5" t="inlineStr">
        <is>
          <t>第7期（平成30〜令和2年度）の保険料条例</t>
        </is>
      </c>
      <c r="D21" s="5" t="inlineStr">
        <is>
          <t>基準額が6,077円か5,900円かを確定する。</t>
        </is>
      </c>
      <c r="E21" s="5" t="inlineStr">
        <is>
          <t>第7期の保険料基準額</t>
        </is>
      </c>
      <c r="F21" s="5" t="inlineStr">
        <is>
          <t>発注者</t>
        </is>
      </c>
      <c r="G21" s="4" t="inlineStr">
        <is>
          <t>R8.9</t>
        </is>
      </c>
      <c r="H21" s="8" t="inlineStr">
        <is>
          <t>中</t>
        </is>
      </c>
      <c r="I21" s="4" t="inlineStr">
        <is>
          <t>完了</t>
        </is>
      </c>
      <c r="J21" s="5" t="inlineStr">
        <is>
          <t>見える化C1により6,077円を確認（R8.7.30）。依頼は解消</t>
        </is>
      </c>
    </row>
    <row r="22" ht="56" customHeight="1">
      <c r="A22" s="4" t="n">
        <v>12</v>
      </c>
      <c r="B22" s="4" t="inlineStr">
        <is>
          <t>I</t>
        </is>
      </c>
      <c r="C22" s="5" t="inlineStr">
        <is>
          <t>小学校区と日常生活圏域の対応関係</t>
        </is>
      </c>
      <c r="D22" s="5" t="inlineStr">
        <is>
          <t>健康とくらしの調査の分析地域1（小学校区12地区）と第9期の6圏域の対応。美馬牛小学校区以外が不明。</t>
        </is>
      </c>
      <c r="E22" s="5" t="inlineStr">
        <is>
          <t>圏域別の分析、圏域設定の見直し</t>
        </is>
      </c>
      <c r="F22" s="5" t="inlineStr">
        <is>
          <t>美瑛町・3町</t>
        </is>
      </c>
      <c r="G22" s="4" t="inlineStr">
        <is>
          <t>R8.9</t>
        </is>
      </c>
      <c r="H22" s="8" t="inlineStr">
        <is>
          <t>中</t>
        </is>
      </c>
      <c r="I22" s="4" t="inlineStr">
        <is>
          <t>確認待ち</t>
        </is>
      </c>
      <c r="J22" s="5" t="inlineStr">
        <is>
          <t>確認事項No.20と対応</t>
        </is>
      </c>
    </row>
    <row r="23" ht="56" customHeight="1">
      <c r="A23" s="4" t="n">
        <v>15</v>
      </c>
      <c r="B23" s="4" t="inlineStr">
        <is>
          <t>G</t>
        </is>
      </c>
      <c r="C23" s="5" t="inlineStr">
        <is>
          <t>第9期の自己評価と北海道への報告の実績</t>
        </is>
      </c>
      <c r="D23" s="5" t="inlineStr">
        <is>
          <t>介護保険法第117条に基づく評価・公表の実績。受託者の評価との対照に必要。</t>
        </is>
      </c>
      <c r="E23" s="5" t="inlineStr">
        <is>
          <t>評価の枠組みの整理</t>
        </is>
      </c>
      <c r="F23" s="5" t="inlineStr">
        <is>
          <t>発注者</t>
        </is>
      </c>
      <c r="G23" s="4" t="inlineStr">
        <is>
          <t>R8.9</t>
        </is>
      </c>
      <c r="H23" s="8" t="inlineStr">
        <is>
          <t>中</t>
        </is>
      </c>
      <c r="I23" s="4" t="inlineStr">
        <is>
          <t>確認待ち</t>
        </is>
      </c>
      <c r="J23" s="5" t="inlineStr">
        <is>
          <t>確認事項No.7と対応</t>
        </is>
      </c>
    </row>
    <row r="24" ht="56" customHeight="1">
      <c r="A24" s="4" t="n">
        <v>16</v>
      </c>
      <c r="B24" s="4" t="inlineStr">
        <is>
          <t>C</t>
        </is>
      </c>
      <c r="C24" s="5" t="inlineStr">
        <is>
          <t>見える化システムD49の指標定義</t>
        </is>
      </c>
      <c r="D24" s="5" t="inlineStr">
        <is>
          <t>性・年齢調整の適用範囲と指数化の基準。受給率×受給者単価が給付月額指数に一致しない理由の特定に必要。</t>
        </is>
      </c>
      <c r="E24" s="5" t="inlineStr">
        <is>
          <t>地域差指数の分解の可否</t>
        </is>
      </c>
      <c r="F24" s="5" t="inlineStr">
        <is>
          <t>見える化システム・厚生労働省</t>
        </is>
      </c>
      <c r="G24" s="4" t="inlineStr">
        <is>
          <t>R8.10</t>
        </is>
      </c>
      <c r="H24" s="8" t="inlineStr">
        <is>
          <t>中</t>
        </is>
      </c>
      <c r="I24" s="4" t="inlineStr">
        <is>
          <t>受領済</t>
        </is>
      </c>
      <c r="J24" s="5" t="inlineStr">
        <is>
          <t>【令和8年10月19日　受領】指標の解説（全2頁）。①受給率の分母は第1号被保険者数であることが原典で確定した（修正指示A-11の留保が解消）。②4指標のうち性・年齢調整後であるのは第1号被保険者1人あたり給付月額と要介護認定率の2指標のみである。③したがって地域差指数は乗法的に分解できない（上川管内21保険者で受給率×受給者単価と給付月額の差は▲0.473から＋0.416）。どの要素で差が生じているかの読み取りに用いる</t>
        </is>
      </c>
    </row>
    <row r="25" ht="56" customHeight="1">
      <c r="A25" s="4" t="n">
        <v>20</v>
      </c>
      <c r="B25" s="4" t="inlineStr">
        <is>
          <t>―</t>
        </is>
      </c>
      <c r="C25" s="5" t="inlineStr">
        <is>
          <t>（受託者の作業）会議資料・委員会資料の作成時の留保の照合</t>
        </is>
      </c>
      <c r="D25"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5" s="5" t="inlineStr">
        <is>
          <t>会議資料・委員会資料の記述の正確性</t>
        </is>
      </c>
      <c r="F25" s="5" t="inlineStr">
        <is>
          <t>受託者</t>
        </is>
      </c>
      <c r="G25" s="4" t="inlineStr">
        <is>
          <t>随時</t>
        </is>
      </c>
      <c r="H25" s="8" t="inlineStr">
        <is>
          <t>中</t>
        </is>
      </c>
      <c r="I25" s="4" t="inlineStr">
        <is>
          <t>実施中</t>
        </is>
      </c>
      <c r="J25" s="5" t="inlineStr">
        <is>
          <t>受託者の自己点検に手順を記録</t>
        </is>
      </c>
    </row>
    <row r="26" ht="56" customHeight="1">
      <c r="A26" s="4" t="n">
        <v>24</v>
      </c>
      <c r="B26" s="4" t="inlineStr">
        <is>
          <t>E</t>
        </is>
      </c>
      <c r="C26" s="5" t="inlineStr">
        <is>
          <t>第9期（令和6〜8年度）の保険料率を定める介護保険条例</t>
        </is>
      </c>
      <c r="D26" s="5" t="inlineStr">
        <is>
          <t>大雪地区広域連合介護保険条例のうち、第9期の保険料率（16段階）を定める改正後のもの。あわせて、乗率を国の標準より低く定めた経緯を示す資料（議案・提案理由等）があればご提供いただきたい。</t>
        </is>
      </c>
      <c r="E26" s="5" t="inlineStr">
        <is>
          <t>所得段階と乗率の確定、保険料の算定</t>
        </is>
      </c>
      <c r="F26" s="5" t="inlineStr">
        <is>
          <t>発注者</t>
        </is>
      </c>
      <c r="G26" s="4" t="inlineStr">
        <is>
          <t>R8.11</t>
        </is>
      </c>
      <c r="H26" s="8" t="inlineStr">
        <is>
          <t>中</t>
        </is>
      </c>
      <c r="I26" s="4" t="inlineStr">
        <is>
          <t>未着手</t>
        </is>
      </c>
      <c r="J26" s="5" t="inlineStr">
        <is>
          <t>【令和8年10月20日　起票】大雪地区広域連合例規集に収録されている介護保険条例（08-01-01）は最終改正が令和3年3月23日 条例第1号であり、第4条第1項は「令和3年度から令和5年度までの各年度における保険料率」を13段階で定めるもの（第8期）である。第9期の16段階を定める改正は例規集に現れない。当方は第9期計画の本文により16段階の乗率を確認しており算定は止まらないが、条例の本文で確かめたい。確認事項No.33・No.34・No.36と対応。なお、ケアプランの点検に係る実施要領及び介護給付適正化計画も例規集に収録されていない（確認事項No.73・No.90）</t>
        </is>
      </c>
    </row>
    <row r="27" ht="56" customHeight="1">
      <c r="A27" s="4" t="n">
        <v>1</v>
      </c>
      <c r="B27" s="4" t="inlineStr">
        <is>
          <t>B</t>
        </is>
      </c>
      <c r="C27" s="5" t="inlineStr">
        <is>
          <t>見える化B5a・B6a・B6bの令和8年3月末の値</t>
        </is>
      </c>
      <c r="D27" s="5" t="inlineStr">
        <is>
          <t>調整済み認定率は令和7年3月末までしか出力されていない。第9期の評価には令和8年3月末（令和7年度末）の値が必要。</t>
        </is>
      </c>
      <c r="E27" s="5" t="inlineStr">
        <is>
          <t>中重度・軽度の認定率の推移</t>
        </is>
      </c>
      <c r="F27" s="5" t="inlineStr">
        <is>
          <t>見える化システム</t>
        </is>
      </c>
      <c r="G27" s="4" t="inlineStr">
        <is>
          <t>R8.9</t>
        </is>
      </c>
      <c r="H27" s="14" t="inlineStr">
        <is>
          <t>低</t>
        </is>
      </c>
      <c r="I27" s="4" t="inlineStr">
        <is>
          <t>受領済</t>
        </is>
      </c>
      <c r="J27" s="5" t="inlineStr">
        <is>
          <t>【令和8年10月19日　受領】B5-a（調整済み認定率（要介護度別））・B5-c（同（要支援除く））・B6-a（調整済み重度認定率）・B6-b（調整済み軽度認定率）の4ファイル。いずれも【注目する地域のみ】の出力であり、平成25年3月末から令和8年3月末までの14時点。既に収録していた221件と差異なく一致し、令和8年3月末の値（重度5.2％・軽度13.2％・合計18.4％）を加えた。計画素案 第3章第4節2を本広域連合の値に是正した。【他地域と比較】の出力の比較地域は特定できていない（確認No.190）</t>
        </is>
      </c>
    </row>
    <row r="28" ht="56" customHeight="1">
      <c r="A28" s="4" t="n">
        <v>2</v>
      </c>
      <c r="B28" s="4" t="inlineStr">
        <is>
          <t>I</t>
        </is>
      </c>
      <c r="C28" s="5" t="inlineStr">
        <is>
          <t>訪問系・通所系事業所の運営規程における通常の事業の実施地域【令和8年8月4日受領済】</t>
        </is>
      </c>
      <c r="D28"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8" s="5" t="inlineStr">
        <is>
          <t>訪問・通所困難地域の判定</t>
        </is>
      </c>
      <c r="F28" s="5" t="inlineStr">
        <is>
          <t>北海道・広域連合</t>
        </is>
      </c>
      <c r="G28" s="4" t="inlineStr">
        <is>
          <t>受領済</t>
        </is>
      </c>
      <c r="H28" s="14" t="inlineStr">
        <is>
          <t>低</t>
        </is>
      </c>
      <c r="I28" s="4" t="inlineStr">
        <is>
          <t>完了</t>
        </is>
      </c>
      <c r="J28" s="5" t="inlineStr">
        <is>
          <t>確認事項No.15と対応。住まいと施設の公表名簿との突合 08シート</t>
        </is>
      </c>
    </row>
    <row r="29" ht="56" customHeight="1">
      <c r="A29" s="4" t="n">
        <v>4</v>
      </c>
      <c r="B29" s="4" t="inlineStr">
        <is>
          <t>A</t>
        </is>
      </c>
      <c r="C29" s="5" t="inlineStr">
        <is>
          <t>令和7年国勢調査による町別の高齢者を含む世帯</t>
        </is>
      </c>
      <c r="D29" s="5" t="inlineStr">
        <is>
          <t>高齢者単身世帯・夫婦世帯の最新値。公表され次第。</t>
        </is>
      </c>
      <c r="E29" s="5" t="inlineStr">
        <is>
          <t>世帯構成の現状</t>
        </is>
      </c>
      <c r="F29" s="5" t="inlineStr">
        <is>
          <t>総務省・3町</t>
        </is>
      </c>
      <c r="G29" s="4" t="inlineStr">
        <is>
          <t>公表後</t>
        </is>
      </c>
      <c r="H29" s="14" t="inlineStr">
        <is>
          <t>低</t>
        </is>
      </c>
      <c r="I29" s="4" t="inlineStr">
        <is>
          <t>未着手</t>
        </is>
      </c>
      <c r="J29" s="5" t="inlineStr">
        <is>
          <t>公表待ち</t>
        </is>
      </c>
    </row>
    <row r="31" ht="32" customHeight="1">
      <c r="A31" s="3" t="inlineStr">
        <is>
          <t>優先度</t>
        </is>
      </c>
      <c r="B31" s="3" t="inlineStr">
        <is>
          <t>件数</t>
        </is>
      </c>
      <c r="C31" s="3" t="inlineStr">
        <is>
          <t>内容</t>
        </is>
      </c>
      <c r="D31" s="3" t="inlineStr"/>
      <c r="E31" s="3" t="inlineStr"/>
      <c r="F31" s="3" t="inlineStr"/>
      <c r="G31" s="3" t="inlineStr"/>
      <c r="H31" s="3" t="inlineStr"/>
      <c r="I31" s="3" t="inlineStr"/>
      <c r="J31" s="3" t="inlineStr"/>
    </row>
    <row r="32" ht="32" customHeight="1">
      <c r="A32" s="13" t="inlineStr">
        <is>
          <t>最高</t>
        </is>
      </c>
      <c r="B32" s="21" t="n">
        <v>1</v>
      </c>
      <c r="C32" s="5" t="inlineStr">
        <is>
          <t>No.13 令和6〜8年度の施策・事業実績、事業量、対象</t>
        </is>
      </c>
      <c r="D32" s="22" t="n"/>
      <c r="E32" s="22" t="n"/>
      <c r="F32" s="22" t="n"/>
      <c r="G32" s="22" t="n"/>
      <c r="H32" s="22" t="n"/>
      <c r="I32" s="22" t="n"/>
      <c r="J32" s="23" t="n"/>
    </row>
    <row r="33" ht="32" customHeight="1">
      <c r="A33" s="11" t="inlineStr">
        <is>
          <t>高</t>
        </is>
      </c>
      <c r="B33" s="21" t="n">
        <v>15</v>
      </c>
      <c r="C33"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居住系・施設サービスの種別別受給者数と総合事、No.25 見える化システムの事業所分析機能の出力</t>
        </is>
      </c>
      <c r="D33" s="22" t="n"/>
      <c r="E33" s="22" t="n"/>
      <c r="F33" s="22" t="n"/>
      <c r="G33" s="22" t="n"/>
      <c r="H33" s="22" t="n"/>
      <c r="I33" s="22" t="n"/>
      <c r="J33" s="23" t="n"/>
    </row>
    <row r="34" ht="32" customHeight="1">
      <c r="A34" s="9" t="inlineStr">
        <is>
          <t>中</t>
        </is>
      </c>
      <c r="B34" s="21" t="n">
        <v>6</v>
      </c>
      <c r="C34"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第9期の自己評価と北海道への報告の実績、No.24 第9期（令和6〜8年度）の保険料率を定める介</t>
        </is>
      </c>
      <c r="D34" s="22" t="n"/>
      <c r="E34" s="22" t="n"/>
      <c r="F34" s="22" t="n"/>
      <c r="G34" s="22" t="n"/>
      <c r="H34" s="22" t="n"/>
      <c r="I34" s="22" t="n"/>
      <c r="J34" s="23" t="n"/>
    </row>
    <row r="35" ht="32" customHeight="1">
      <c r="A35" s="15" t="inlineStr">
        <is>
          <t>低</t>
        </is>
      </c>
      <c r="B35" s="21" t="n">
        <v>3</v>
      </c>
      <c r="C35" s="5" t="inlineStr">
        <is>
          <t>No.1 見える化B5a・B6a・B6bの令和8年3月、No.2 訪問系・通所系事業所の運営規程における通常の、No.4 令和7年国勢調査による町別の高齢者を含む世帯</t>
        </is>
      </c>
      <c r="D35" s="22" t="n"/>
      <c r="E35" s="22" t="n"/>
      <c r="F35" s="22" t="n"/>
      <c r="G35" s="22" t="n"/>
      <c r="H35" s="22" t="n"/>
      <c r="I35" s="22" t="n"/>
      <c r="J35" s="23" t="n"/>
    </row>
    <row r="37" ht="39" customHeight="1">
      <c r="A37"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C34:J34"/>
    <mergeCell ref="A1:J1"/>
    <mergeCell ref="A37:J37"/>
    <mergeCell ref="C33:J33"/>
    <mergeCell ref="C32:J32"/>
    <mergeCell ref="A2:J2"/>
    <mergeCell ref="C35:J35"/>
  </mergeCells>
  <conditionalFormatting sqref="I5:I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I5:I29"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2026-10-21T04:29:30Z</dcterms:created>
  <dcterms:modified xmlns:dcterms="http://purl.org/dc/terms/" xmlns:xsi="http://www.w3.org/2001/XMLSchema-instance" xsi:type="dcterms:W3CDTF">2026-10-21T04:29:33Z</dcterms:modified>
</cp:coreProperties>
</file>