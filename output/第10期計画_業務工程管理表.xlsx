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i val="1"/>
      <sz val="9"/>
    </font>
    <font>
      <name val="游ゴシック"/>
      <b val="1"/>
      <sz val="9"/>
    </font>
  </fonts>
  <fills count="9">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1">
    <xf numFmtId="0" fontId="0" fillId="0" borderId="0" pivotButton="0" quotePrefix="0" xfId="0"/>
    <xf numFmtId="0" fontId="1" fillId="2" borderId="0" pivotButton="0" quotePrefix="0" xfId="0"/>
    <xf numFmtId="0" fontId="2" fillId="3" borderId="0" applyAlignment="1" pivotButton="0" quotePrefix="0" xfId="0">
      <alignment vertical="top" wrapTex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2" fillId="5"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left" vertical="top" wrapText="1"/>
    </xf>
    <xf numFmtId="0" fontId="2" fillId="8" borderId="1" applyAlignment="1" pivotButton="0" quotePrefix="0" xfId="0">
      <alignment horizontal="center" vertical="top" wrapText="1"/>
    </xf>
    <xf numFmtId="0" fontId="2" fillId="8"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left" vertical="top" wrapText="1"/>
    </xf>
    <xf numFmtId="0" fontId="4" fillId="0" borderId="0" applyAlignment="1" pivotButton="0" quotePrefix="0" xfId="0">
      <alignment vertical="top" wrapText="1"/>
    </xf>
    <xf numFmtId="9" fontId="2" fillId="0" borderId="1" applyAlignment="1" pivotButton="0" quotePrefix="0" xfId="0">
      <alignment horizontal="center" vertical="top" wrapText="1"/>
    </xf>
    <xf numFmtId="0" fontId="5" fillId="3" borderId="1" applyAlignment="1" pivotButton="0" quotePrefix="0" xfId="0">
      <alignment horizontal="left" vertical="top" wrapText="1"/>
    </xf>
    <xf numFmtId="9" fontId="2" fillId="3" borderId="1" applyAlignment="1" pivotButton="0" quotePrefix="0" xfId="0">
      <alignment horizontal="center" vertical="top" wrapText="1"/>
    </xf>
    <xf numFmtId="9" fontId="2" fillId="7" borderId="1" applyAlignment="1" pivotButton="0" quotePrefix="0" xfId="0">
      <alignment horizontal="center" vertical="top" wrapText="1"/>
    </xf>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2"/>
  <sheetViews>
    <sheetView workbookViewId="0">
      <pane ySplit="3" topLeftCell="A4" activePane="bottomLeft" state="frozen"/>
      <selection pane="bottomLeft" activeCell="A1" sqref="A1"/>
    </sheetView>
  </sheetViews>
  <sheetFormatPr baseColWidth="8" defaultRowHeight="15"/>
  <cols>
    <col width="4" customWidth="1" min="1" max="1"/>
    <col width="24" customWidth="1" min="2" max="2"/>
    <col width="52" customWidth="1" min="3" max="3"/>
    <col width="44" customWidth="1" min="4" max="4"/>
    <col width="30" customWidth="1" min="5" max="5"/>
    <col width="20" customWidth="1" min="6" max="6"/>
  </cols>
  <sheetData>
    <row r="1" ht="26" customHeight="1">
      <c r="A1" s="1" t="inlineStr">
        <is>
          <t>第10期介護保険事業計画策定業務　業務工程管理表</t>
        </is>
      </c>
    </row>
    <row r="2" ht="52" customHeight="1">
      <c r="A2" s="2" t="inlineStr">
        <is>
          <t>業務仕様書「４．業務内容」（1）〜（12）及び「５．業務スケジュール（予定）」に沿って、業務内容別・月別の進捗を管理する。作成日：令和8年7月29日。</t>
        </is>
      </c>
    </row>
    <row r="4" ht="32" customHeight="1">
      <c r="A4" s="3" t="inlineStr">
        <is>
          <t>No.</t>
        </is>
      </c>
      <c r="B4" s="3" t="inlineStr">
        <is>
          <t>シート</t>
        </is>
      </c>
      <c r="C4" s="3" t="inlineStr">
        <is>
          <t>内容</t>
        </is>
      </c>
      <c r="D4" s="3" t="inlineStr">
        <is>
          <t>更新の頻度と担当</t>
        </is>
      </c>
      <c r="E4" s="3" t="inlineStr"/>
      <c r="F4" s="3" t="inlineStr"/>
    </row>
    <row r="5" ht="62" customHeight="1">
      <c r="A5" s="4" t="inlineStr">
        <is>
          <t>1</t>
        </is>
      </c>
      <c r="B5" s="5" t="inlineStr">
        <is>
          <t>01_業務内容別の進捗</t>
        </is>
      </c>
      <c r="C5" s="5" t="inlineStr">
        <is>
          <t>仕様書４（1）〜（12）の12業務について、作業項目・成果物・進捗・未了の理由を管理する。業務内容別の完了状況はここで確認する。</t>
        </is>
      </c>
      <c r="D5" s="5" t="inlineStr">
        <is>
          <t>受託者が随時更新。工程末に発注者が確認</t>
        </is>
      </c>
      <c r="E5" s="5" t="inlineStr"/>
      <c r="F5" s="5" t="inlineStr"/>
    </row>
    <row r="6" ht="62" customHeight="1">
      <c r="A6" s="4" t="inlineStr">
        <is>
          <t>2</t>
        </is>
      </c>
      <c r="B6" s="5" t="inlineStr">
        <is>
          <t>02_月別工程管理</t>
        </is>
      </c>
      <c r="C6" s="5" t="inlineStr">
        <is>
          <t>仕様書５の月別工程（令和8年8月〜令和9年3月）について、各月の業務内容・成果物・提出期日・発注者確認の状況を管理する。仕様書は「各工程終了後、発注者が指定する期日までに成果物を提出し、発注者の確認を受けた上で次工程へ進む」としているため、確認欄を必須とする。</t>
        </is>
      </c>
      <c r="D6" s="5" t="inlineStr">
        <is>
          <t>受託者が月次更新。確認欄は発注者が記入</t>
        </is>
      </c>
      <c r="E6" s="5" t="inlineStr"/>
      <c r="F6" s="5" t="inlineStr"/>
    </row>
    <row r="7" ht="62" customHeight="1">
      <c r="A7" s="4" t="inlineStr">
        <is>
          <t>3</t>
        </is>
      </c>
      <c r="B7" s="5" t="inlineStr">
        <is>
          <t>03_確認事項一覧</t>
        </is>
      </c>
      <c r="C7" s="5" t="inlineStr">
        <is>
          <t>発注者・構成3町・北海道への確認事項を、業務工程と成果物に紐づけて管理する。計画素案の本文には確認事項の注記を書かず、本シートで一元管理する。</t>
        </is>
      </c>
      <c r="D7" s="5" t="inlineStr">
        <is>
          <t>受託者が随時追加。回答欄は発注者が記入</t>
        </is>
      </c>
      <c r="E7" s="5" t="inlineStr"/>
      <c r="F7" s="5" t="inlineStr"/>
    </row>
    <row r="8" ht="62" customHeight="1">
      <c r="A8" s="4" t="inlineStr">
        <is>
          <t>4</t>
        </is>
      </c>
      <c r="B8" s="5" t="inlineStr">
        <is>
          <t>04_成果品管理</t>
        </is>
      </c>
      <c r="C8" s="5" t="inlineStr">
        <is>
          <t>仕様書４（10）の納品物について、形式・部数・提出期日・状態を管理する。</t>
        </is>
      </c>
      <c r="D8" s="5" t="inlineStr">
        <is>
          <t>受託者が随時更新</t>
        </is>
      </c>
      <c r="E8" s="5" t="inlineStr"/>
      <c r="F8" s="5" t="inlineStr"/>
    </row>
    <row r="9" ht="62" customHeight="1">
      <c r="A9" s="4" t="inlineStr">
        <is>
          <t>5</t>
        </is>
      </c>
      <c r="B9" s="5" t="inlineStr">
        <is>
          <t>05_調査別の状況</t>
        </is>
      </c>
      <c r="C9" s="5" t="inlineStr">
        <is>
          <t>仕様書４（3）の対象4調査について、貸与資料の受領・集計・クロス集計・分析の各段階の状況を管理する。</t>
        </is>
      </c>
      <c r="D9" s="5" t="inlineStr">
        <is>
          <t>受託者が随時更新</t>
        </is>
      </c>
      <c r="E9" s="5" t="inlineStr"/>
      <c r="F9" s="5" t="inlineStr"/>
    </row>
    <row r="11" ht="32" customHeight="1">
      <c r="A11" s="3" t="inlineStr">
        <is>
          <t>区分</t>
        </is>
      </c>
      <c r="B11" s="3" t="inlineStr">
        <is>
          <t>意味</t>
        </is>
      </c>
      <c r="C11" s="3" t="inlineStr">
        <is>
          <t>色</t>
        </is>
      </c>
      <c r="D11" s="3" t="inlineStr"/>
      <c r="E11" s="3" t="inlineStr"/>
      <c r="F11" s="3" t="inlineStr"/>
    </row>
    <row r="12" ht="24" customHeight="1">
      <c r="A12" s="6" t="inlineStr">
        <is>
          <t>完了</t>
        </is>
      </c>
      <c r="B12" s="5" t="inlineStr">
        <is>
          <t>当該項目の作業が終わり、成果物を提出済み又は提出可能な状態にある</t>
        </is>
      </c>
      <c r="C12" s="7" t="inlineStr"/>
      <c r="D12" s="5" t="inlineStr"/>
      <c r="E12" s="5" t="inlineStr"/>
      <c r="F12" s="5" t="inlineStr"/>
    </row>
    <row r="13" ht="24" customHeight="1">
      <c r="A13" s="8" t="inlineStr">
        <is>
          <t>実施中</t>
        </is>
      </c>
      <c r="B13" s="5" t="inlineStr">
        <is>
          <t>着手しているが完了していない</t>
        </is>
      </c>
      <c r="C13" s="9" t="inlineStr"/>
      <c r="D13" s="5" t="inlineStr"/>
      <c r="E13" s="5" t="inlineStr"/>
      <c r="F13" s="5" t="inlineStr"/>
    </row>
    <row r="14" ht="24" customHeight="1">
      <c r="A14" s="10" t="inlineStr">
        <is>
          <t>確認待ち</t>
        </is>
      </c>
      <c r="B14" s="5" t="inlineStr">
        <is>
          <t>受託者の作業は終わっており、発注者・3町・北海道からの回答又は資料の提供を待っている</t>
        </is>
      </c>
      <c r="C14" s="11" t="inlineStr"/>
      <c r="D14" s="5" t="inlineStr"/>
      <c r="E14" s="5" t="inlineStr"/>
      <c r="F14" s="5" t="inlineStr"/>
    </row>
    <row r="15" ht="24" customHeight="1">
      <c r="A15" s="12" t="inlineStr">
        <is>
          <t>未着手</t>
        </is>
      </c>
      <c r="B15" s="5" t="inlineStr">
        <is>
          <t>工程上まだ着手していない、又は前提条件が整っていない</t>
        </is>
      </c>
      <c r="C15" s="13" t="inlineStr"/>
      <c r="D15" s="5" t="inlineStr"/>
      <c r="E15" s="5" t="inlineStr"/>
      <c r="F15" s="5" t="inlineStr"/>
    </row>
    <row r="16" ht="24" customHeight="1">
      <c r="A16" s="14" t="inlineStr">
        <is>
          <t>対象外</t>
        </is>
      </c>
      <c r="B16" s="5" t="inlineStr">
        <is>
          <t>本業務の範囲外、又は該当がない</t>
        </is>
      </c>
      <c r="C16" s="15" t="inlineStr"/>
      <c r="D16" s="5" t="inlineStr"/>
      <c r="E16" s="5" t="inlineStr"/>
      <c r="F16" s="5" t="inlineStr"/>
    </row>
    <row r="18" ht="39" customHeight="1">
      <c r="A18" s="16" t="inlineStr">
        <is>
          <t>【本表の位置づけ】計画素案（第10稿）の本文には、確認事項や作業上の留意点を注記として書き込まない方針とする。本文の注記は、計画の読み手（住民・委員・関係機関）が計画を理解するために必要なものに限り、受託者と発注者の間の作業管理に関する事項は本表で管理する。確定していない数値は、本文では［要協議］［要確認］［要内訳］として空欄扱いのまま残し、その解消に必要な作業と確認事項は本表03シートで管理する。</t>
        </is>
      </c>
    </row>
    <row r="20" ht="28" customHeight="1">
      <c r="A20" s="16" t="inlineStr">
        <is>
          <t>【段階承認について】仕様書５は「受託者は各工程終了後、発注者が指定する期日までに成果物を提出し、発注者の確認を受けた上で次工程へ進むものとする」と定めている。02シートの「発注者確認」欄は、この段階承認を記録するためのものである。確認日と確認者を記入いただくことで、次工程への移行が可能となる。</t>
        </is>
      </c>
    </row>
    <row r="22" ht="52" customHeight="1">
      <c r="A22" s="16" t="inlineStr">
        <is>
          <t>【現時点の全体状況（令和8年7月29日）】契約上の業務期間は令和8年8月着手であるが、発注者から第9期計画、3町の高齢者福祉計画、業務仕様書、地域包括ケア「見える化」システムのデータ、令和7年度 健康とくらしの調査の成果物の貸与を受け、（1）制度改正等の整理、（2）第9期計画の評価・検証、（4）現状分析及び地域課題の整理を先行して実施している。成果物として、妥当性検証報告書（24シート）、追加調査報告書（8シート）、図表集（33シート133点）、修正指示書（66件）、計画素案（第10稿）、施策体系新旧対照表（5シート）、確認依頼書を作成済みである。</t>
        </is>
      </c>
    </row>
  </sheetData>
  <mergeCells count="5">
    <mergeCell ref="A2:F2"/>
    <mergeCell ref="A1:F1"/>
    <mergeCell ref="A22:F22"/>
    <mergeCell ref="A18:F18"/>
    <mergeCell ref="A20:F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ySplit="4" topLeftCell="A5" activePane="bottomLeft" state="frozen"/>
      <selection pane="bottomLeft" activeCell="A1" sqref="A1"/>
    </sheetView>
  </sheetViews>
  <sheetFormatPr baseColWidth="8" defaultRowHeight="15"/>
  <cols>
    <col width="5" customWidth="1" min="1" max="1"/>
    <col width="20" customWidth="1" min="2" max="2"/>
    <col width="34" customWidth="1" min="3" max="3"/>
    <col width="32" customWidth="1" min="4" max="4"/>
    <col width="26" customWidth="1" min="5" max="5"/>
    <col width="9" customWidth="1" min="6" max="6"/>
    <col width="9" customWidth="1" min="7" max="7"/>
    <col width="12" customWidth="1" min="8" max="8"/>
    <col width="30" customWidth="1" min="9" max="9"/>
    <col width="12" customWidth="1" min="10" max="10"/>
  </cols>
  <sheetData>
    <row r="1" ht="26" customHeight="1">
      <c r="A1" s="1" t="inlineStr">
        <is>
          <t>仕様書４　業務内容別の進捗</t>
        </is>
      </c>
    </row>
    <row r="2" ht="52" customHeight="1">
      <c r="A2" s="2" t="inlineStr">
        <is>
          <t>仕様書「４．業務内容」（1）〜（12）ごとに、作業項目・成果物・進捗を管理する。状態欄はプルダウンから選択すると色が変わる。</t>
        </is>
      </c>
    </row>
    <row r="4" ht="32" customHeight="1">
      <c r="A4" s="3" t="inlineStr">
        <is>
          <t>No.</t>
        </is>
      </c>
      <c r="B4" s="3" t="inlineStr">
        <is>
          <t>業務内容（仕様書）</t>
        </is>
      </c>
      <c r="C4" s="3" t="inlineStr">
        <is>
          <t>仕様書の要求</t>
        </is>
      </c>
      <c r="D4" s="3" t="inlineStr">
        <is>
          <t>作業項目</t>
        </is>
      </c>
      <c r="E4" s="3" t="inlineStr">
        <is>
          <t>成果物</t>
        </is>
      </c>
      <c r="F4" s="3" t="inlineStr">
        <is>
          <t>状態</t>
        </is>
      </c>
      <c r="G4" s="3" t="inlineStr">
        <is>
          <t>進捗</t>
        </is>
      </c>
      <c r="H4" s="3" t="inlineStr">
        <is>
          <t>完了予定</t>
        </is>
      </c>
      <c r="I4" s="3" t="inlineStr">
        <is>
          <t>未了の理由・次の作業</t>
        </is>
      </c>
      <c r="J4" s="3" t="inlineStr">
        <is>
          <t>確認事項No.</t>
        </is>
      </c>
    </row>
    <row r="5" ht="118" customHeight="1">
      <c r="A5" s="4" t="inlineStr">
        <is>
          <t>(1)</t>
        </is>
      </c>
      <c r="B5" s="5" t="inlineStr">
        <is>
          <t>制度改正等の整理</t>
        </is>
      </c>
      <c r="C5" s="5" t="inlineStr">
        <is>
          <t>介護保険制度、高齢者福祉施策その他関連制度について、国及び北海道の制度改正、通知、各種指針等の動向を把握し、第10期計画へ反映すべき事項を整理する。反映すべき制度改正事項及び留意事項について情報提供及び技術的助言を行う。</t>
        </is>
      </c>
      <c r="D5" s="5" t="inlineStr">
        <is>
          <t>①国の基本指針案（第134回・第135回）の確認と反映事項の整理
②特定地域（中山間・人口減少地域）の考え方（第135回資料3）の確認
③北海道第9期計画（全8章）との整合の確認
④介護保険最新情報（Vol.1521・1525）の反映
⑤新別表「確認すべき指標・状況」11事項への対応整理
⑥告示後の最終照合</t>
        </is>
      </c>
      <c r="E5" s="5" t="inlineStr">
        <is>
          <t>妥当性検証報告書 07・17シート
追加調査報告書 01・05シート
素案第10稿 第1章第9節・資料6</t>
        </is>
      </c>
      <c r="F5" s="10" t="inlineStr">
        <is>
          <t>実施中</t>
        </is>
      </c>
      <c r="G5" s="17" t="n">
        <v>0.85</v>
      </c>
      <c r="H5" s="10" t="inlineStr">
        <is>
          <t>R8.10</t>
        </is>
      </c>
      <c r="I5" s="11" t="inlineStr">
        <is>
          <t>基本指針の告示待ち。告示後に最終照合を行う。特別地域加算の対象地域告示の確認が未了（確認No.1）</t>
        </is>
      </c>
      <c r="J5" s="5" t="inlineStr">
        <is>
          <t>1, 2, 22</t>
        </is>
      </c>
    </row>
    <row r="6" ht="118" customHeight="1">
      <c r="A6" s="4" t="inlineStr">
        <is>
          <t>(2)</t>
        </is>
      </c>
      <c r="B6" s="5" t="inlineStr">
        <is>
          <t>第9期計画の評価・検証</t>
        </is>
      </c>
      <c r="C6" s="5" t="inlineStr">
        <is>
          <t>第9期計画について、計画期間における各種施策、介護保険給付実績、地域支援事業、介護予防施策等の実施状況を整理し、成果及び課題を分析するとともに、第10期計画へ反映すべき事項を取りまとめる。</t>
        </is>
      </c>
      <c r="D6" s="5" t="inlineStr">
        <is>
          <t>①代表KPI4項目の3軸評価（目標比・推計比・全国北海道比）
②19施策の構造評価（評価可能性・妥当性）
③保険者機能強化推進交付金等による外部評価の分析
④給付実績の分析（受給率・利用率・サービス別給付動向）
⑤地域支援事業の実績整理
⑥令和6〜8年度の事業実績による達成度の再判定</t>
        </is>
      </c>
      <c r="E6" s="5" t="inlineStr">
        <is>
          <t>妥当性検証報告書 01・02・12・23シート
素案第10稿 第3章
施策体系新旧対照表</t>
        </is>
      </c>
      <c r="F6" s="10" t="inlineStr">
        <is>
          <t>実施中</t>
        </is>
      </c>
      <c r="G6" s="17" t="n">
        <v>0.8</v>
      </c>
      <c r="H6" s="10" t="inlineStr">
        <is>
          <t>R8.9</t>
        </is>
      </c>
      <c r="I6" s="11" t="inlineStr">
        <is>
          <t>令和6〜8年度の施策・事業実績、事業量、対象実人数、予算・決算が未受領（確認No.5）。受領後に施策単位の達成度を判定する</t>
        </is>
      </c>
      <c r="J6" s="5" t="inlineStr">
        <is>
          <t>5, 6, 7, 23</t>
        </is>
      </c>
    </row>
    <row r="7" ht="118" customHeight="1">
      <c r="A7" s="4" t="inlineStr">
        <is>
          <t>(3)</t>
        </is>
      </c>
      <c r="B7" s="5" t="inlineStr">
        <is>
          <t>実施済み調査結果の集計・分析</t>
        </is>
      </c>
      <c r="C7" s="5" t="inlineStr">
        <is>
          <t>発注者が実施済みの4調査（在宅生活改善調査、居所変更実態調査、介護人材実態調査、健康とくらしの調査）について、貸与資料を基に集計、クロス集計、分析、課題整理及び第10期計画への反映を行う。単純集計及び必要なクロス集計を行うとともに、見える化システム、介護給付実績及び人口推計等と組み合わせた分析を実施する。</t>
        </is>
      </c>
      <c r="D7" s="5" t="inlineStr">
        <is>
          <t>①健康とくらしの調査（JAGES）の集計・分析
①-2 第9期の課題・第10期の施策に対する妥当性レビューと追加分析
②在宅生活改善調査の集計・分析
③居所変更実態調査の集計・分析
④介護人材実態調査の集計・分析
⑤4調査を横断したクロス集計
⑥見える化データ・給付実績・人口推計と組み合わせた分析</t>
        </is>
      </c>
      <c r="E7" s="5" t="inlineStr">
        <is>
          <t>調査クロス集計・分析（13シート）
図表集 08〜13シート
妥当性検証報告書 11シート
素案第10稿 第2章第4〜6節</t>
        </is>
      </c>
      <c r="F7" s="10" t="inlineStr">
        <is>
          <t>実施中</t>
        </is>
      </c>
      <c r="G7" s="17" t="n">
        <v>0.7</v>
      </c>
      <c r="H7" s="10" t="inlineStr">
        <is>
          <t>R8.9</t>
        </is>
      </c>
      <c r="I7" s="11" t="inlineStr">
        <is>
          <t>健康とくらしの調査は個票データ4,729票によりクロス集計・分析を完了（作業項目①⑥）。第9期の課題20件及び第10期の施策体系に対する妥当性レビューを行い、不足と判定した4領域（介護・介助が必要な層、認知症、施設志向と在宅資源、地域重点度と社会参加の障壁）の分析を追加した（全19シート）。レビューにより、本調査の対象者が一般高齢者及び総合事業対象者であり要支援者・要介護者を含まないことが判明したため、H06・H11の位置づけを代替から補完に改めた（確認No.28）。第10期分の3調査が未受領のため②③④は令和5年調査分の再整理にとどまり、⑤4調査横断のクロス集計は未着手（確認No.8）</t>
        </is>
      </c>
      <c r="J7" s="5" t="inlineStr">
        <is>
          <t>4, 8, 9, 10, 27, 28</t>
        </is>
      </c>
    </row>
    <row r="8" ht="118" customHeight="1">
      <c r="A8" s="4" t="inlineStr">
        <is>
          <t>(4)</t>
        </is>
      </c>
      <c r="B8" s="5" t="inlineStr">
        <is>
          <t>現状分析及び地域課題の整理</t>
        </is>
      </c>
      <c r="C8" s="5" t="inlineStr">
        <is>
          <t>人口、高齢者人口、要支援・要介護認定者数、介護給付実績、介護サービス利用状況、地域支援事業の実施状況等について分析し、現状及び地域課題を整理する。必要に応じ全国平均、北海道平均及び類似保険者との比較分析を行うとともに、構成町別及び日常生活圏域等の地域特性を踏まえた分析を実施する。2040年を見据えた提供体制、人材確保、地域包括ケア、給付適正化の課題を整理する。</t>
        </is>
      </c>
      <c r="D8" s="5" t="inlineStr">
        <is>
          <t>①人口・高齢者人口の分析
②認定者数・認定率の分析（年齢調整を含む）
③給付実績・受給率・利用率の分析
④サービス提供体制（事業所数・従事者数）の分析
⑤上川中部圏域内の比較
⑥類似保険者との比較
⑦構成町別の分析
⑧日常生活圏域別の分析
⑨2040年を見据えた課題の整理</t>
        </is>
      </c>
      <c r="E8" s="5" t="inlineStr">
        <is>
          <t>妥当性検証報告書 03〜06・13・14・21・22シート
図表集 01〜31シート
素案第10稿 第2章</t>
        </is>
      </c>
      <c r="F8" s="10" t="inlineStr">
        <is>
          <t>実施中</t>
        </is>
      </c>
      <c r="G8" s="17" t="n">
        <v>0.7</v>
      </c>
      <c r="H8" s="10" t="inlineStr">
        <is>
          <t>R8.9</t>
        </is>
      </c>
      <c r="I8" s="11" t="inlineStr">
        <is>
          <t>①類似保険者との比較が未実施（見える化のδ3系列が提供不可。選定条件の決定が必要。確認No.3）
②構成町別の分析は令和5年までの前回計画掲載値による。令和6〜8年の町別データが未受領（確認No.11）
③日常生活圏域別の分析が未実施（圏域別データが未受領。確認No.12）</t>
        </is>
      </c>
      <c r="J8" s="5" t="inlineStr">
        <is>
          <t>3, 11, 12, 13, 26</t>
        </is>
      </c>
    </row>
    <row r="9" ht="118" customHeight="1">
      <c r="A9" s="4" t="inlineStr">
        <is>
          <t>(5)</t>
        </is>
      </c>
      <c r="B9" s="5" t="inlineStr">
        <is>
          <t>将来推計</t>
        </is>
      </c>
      <c r="C9" s="5" t="inlineStr">
        <is>
          <t>第10期計画期間及び2040年を見据えた人口、高齢者人口、要支援・要介護認定者数、介護サービス利用者数、介護サービス見込量、介護給付費及び第1号被保険者介護保険料について推計を行う。国が示す推計ツール及び見える化システムを活用し、必要に応じ発注者と協議する。</t>
        </is>
      </c>
      <c r="D9" s="5" t="inlineStr">
        <is>
          <t>①実績値の準備（令和6〜8年度の介護保険事業状況報告）
②総人口・被保険者数の入力（社人研推計か保険者独自推計かの決定）
③自然体推計の実行と保存
④認定率・サービス利用率の施策反映
⑤事業所が存在しないサービスの見込量の直接入力
⑥給付費・保険料の算定
⑦シナリオ比較（基本・需要上振れ・供給制約・基金活用）</t>
        </is>
      </c>
      <c r="E9" s="5" t="inlineStr">
        <is>
          <t>素案第10稿 第6章
追加調査報告書 06シート
推計資料（見える化の総括表）</t>
        </is>
      </c>
      <c r="F9" s="10" t="inlineStr">
        <is>
          <t>未着手</t>
        </is>
      </c>
      <c r="G9" s="17" t="n">
        <v>0.15</v>
      </c>
      <c r="H9" s="10" t="inlineStr">
        <is>
          <t>R8.12</t>
        </is>
      </c>
      <c r="I9" s="11" t="inlineStr">
        <is>
          <t>自然体推計の構造と補正手順は整理済み（追加調査報告書06シート）。令和6〜8年度の実績確定後に着手する。総人口・被保険者数を社人研推計とするか3町の総合計画等による推計に差し替えるかの決定が必要（確認No.14）</t>
        </is>
      </c>
      <c r="J9" s="5" t="inlineStr">
        <is>
          <t>14, 15, 16</t>
        </is>
      </c>
    </row>
    <row r="10" ht="118" customHeight="1">
      <c r="A10" s="4" t="inlineStr">
        <is>
          <t>(6)</t>
        </is>
      </c>
      <c r="B10" s="5" t="inlineStr">
        <is>
          <t>計画書の作成</t>
        </is>
      </c>
      <c r="C10" s="5" t="inlineStr">
        <is>
          <t>分析結果及び推計結果を踏まえ、第10期計画の骨子案、計画素案、計画最終案及び概要版原稿を作成する。国の基本指針、北海道支援計画及び構成町の高齢者保健福祉計画との整合を図るとともに、地域特性を踏まえた内容とする。</t>
        </is>
      </c>
      <c r="D10" s="5" t="inlineStr">
        <is>
          <t>①骨子案の作成
②計画素案の作成
③計画最終案の作成
④概要版原稿の作成
⑤3町計画との整合の確認</t>
        </is>
      </c>
      <c r="E10" s="5" t="inlineStr">
        <is>
          <t>素案第10稿（565段落98表34図）
修正指示書（66件）</t>
        </is>
      </c>
      <c r="F10" s="10" t="inlineStr">
        <is>
          <t>実施中</t>
        </is>
      </c>
      <c r="G10" s="17" t="n">
        <v>0.55</v>
      </c>
      <c r="H10" s="10" t="inlineStr">
        <is>
          <t>R9.2</t>
        </is>
      </c>
      <c r="I10" s="11" t="inlineStr">
        <is>
          <t>素案は第10稿まで作成済み。骨子案は素案に統合している。第6章の推計値が未確定のため素案は暫定。概要版は未着手。3町の第10期計画に共通指標を掲載する合意が未了（確認No.17）</t>
        </is>
      </c>
      <c r="J10" s="5" t="inlineStr">
        <is>
          <t>17, 18, 24, 25</t>
        </is>
      </c>
    </row>
    <row r="11" ht="118" customHeight="1">
      <c r="A11" s="4" t="inlineStr">
        <is>
          <t>(7)</t>
        </is>
      </c>
      <c r="B11" s="5" t="inlineStr">
        <is>
          <t>計画策定支援</t>
        </is>
      </c>
      <c r="C11" s="5" t="inlineStr">
        <is>
          <t>構成町との協議、計画内容の調整及び計画案の修正等、計画策定に必要な支援を行う。発注者からの指示に基づき、各種分析結果及び推計結果を反映した計画原稿の修正、図表の更新その他計画策定に必要な技術的支援を行う。</t>
        </is>
      </c>
      <c r="D11" s="5" t="inlineStr">
        <is>
          <t>①修正指示書の作成と管理
②図表の作成・更新
③3町との協議資料の作成
④計画原稿の修正</t>
        </is>
      </c>
      <c r="E11" s="5" t="inlineStr">
        <is>
          <t>修正指示書（66件）
図表集（33シート133点）
確認依頼書</t>
        </is>
      </c>
      <c r="F11" s="10" t="inlineStr">
        <is>
          <t>実施中</t>
        </is>
      </c>
      <c r="G11" s="17" t="n">
        <v>0.6</v>
      </c>
      <c r="H11" s="10" t="inlineStr">
        <is>
          <t>R9.3</t>
        </is>
      </c>
      <c r="I11" s="11" t="inlineStr">
        <is>
          <t>修正指示66件のうち反映済み57件、照会・資料待ち4件、別成果物で対応5件。3町との協議は令和8年10月以降</t>
        </is>
      </c>
      <c r="J11" s="5" t="inlineStr">
        <is>
          <t>―</t>
        </is>
      </c>
    </row>
    <row r="12" ht="118" customHeight="1">
      <c r="A12" s="4" t="inlineStr">
        <is>
          <t>(8)</t>
        </is>
      </c>
      <c r="B12" s="5" t="inlineStr">
        <is>
          <t>各種会議への技術的支援</t>
        </is>
      </c>
      <c r="C12" s="5" t="inlineStr">
        <is>
          <t>介護保険運営協議会、構成町との協議その他計画策定に必要な会議において、発注者から求めがあった場合は、分析結果、推計内容その他必要な事項について技術的助言を行う。会議に使用する資料原案、図表、グラフ、分析資料及び説明用データの作成支援を行う。</t>
        </is>
      </c>
      <c r="D12" s="5" t="inlineStr">
        <is>
          <t>①第1回介護保険事業計画策定委員会の資料原案作成
②第2回以降の委員会資料の作成
③3町との協議資料の作成
④説明用データの作成</t>
        </is>
      </c>
      <c r="E12" s="5" t="inlineStr">
        <is>
          <t>委員会資料原案（未作成）</t>
        </is>
      </c>
      <c r="F12" s="10" t="inlineStr">
        <is>
          <t>未着手</t>
        </is>
      </c>
      <c r="G12" s="17" t="n">
        <v>0.1</v>
      </c>
      <c r="H12" s="10" t="inlineStr">
        <is>
          <t>R8.9</t>
        </is>
      </c>
      <c r="I12" s="11" t="inlineStr">
        <is>
          <t>委員会の開催日程、審議事項、資料提出期限が未確定（確認No.19）。図表集と妥当性検証報告書が資料の素材となる</t>
        </is>
      </c>
      <c r="J12" s="5" t="inlineStr">
        <is>
          <t>19, 20</t>
        </is>
      </c>
    </row>
    <row r="13" ht="118" customHeight="1">
      <c r="A13" s="4" t="inlineStr">
        <is>
          <t>(9)</t>
        </is>
      </c>
      <c r="B13" s="5" t="inlineStr">
        <is>
          <t>パブリックコメント支援</t>
        </is>
      </c>
      <c r="C13" s="5" t="inlineStr">
        <is>
          <t>パブリックコメントの実施に当たり、計画素案の修正案の作成、提出意見の分類及び整理、意見に対する考え方の原案作成並びに計画への反映に関する技術的助言を行う。</t>
        </is>
      </c>
      <c r="D13" s="5" t="inlineStr">
        <is>
          <t>①パブリックコメント用の素案の整備
②提出意見の分類・整理
③意見に対する考え方の原案作成
④計画への反映</t>
        </is>
      </c>
      <c r="E13" s="5" t="inlineStr">
        <is>
          <t>パブリックコメント資料（未作成）</t>
        </is>
      </c>
      <c r="F13" s="10" t="inlineStr">
        <is>
          <t>未着手</t>
        </is>
      </c>
      <c r="G13" s="17" t="n">
        <v>0</v>
      </c>
      <c r="H13" s="10" t="inlineStr">
        <is>
          <t>R9.1</t>
        </is>
      </c>
      <c r="I13" s="11" t="inlineStr">
        <is>
          <t>実施期間が未確定（確認No.19）。令和9年1月の工程</t>
        </is>
      </c>
      <c r="J13" s="5" t="inlineStr">
        <is>
          <t>19</t>
        </is>
      </c>
    </row>
    <row r="14" ht="118" customHeight="1">
      <c r="A14" s="4" t="inlineStr">
        <is>
          <t>(10)</t>
        </is>
      </c>
      <c r="B14" s="5" t="inlineStr">
        <is>
          <t>成果品の作成</t>
        </is>
      </c>
      <c r="C14" s="5" t="inlineStr">
        <is>
          <t>成果品を納品する。編集可能な電子データ（Word、Excel等）及びPDF形式により提出し、図表、グラフ及び統計資料についても加工可能な形式で納品する。計画骨子案、計画素案、計画最終案その他必要と認める資料は指定期日までに提出する。</t>
        </is>
      </c>
      <c r="D14" s="5" t="inlineStr">
        <is>
          <t>①計画書の印刷・製本（A4判 表紙レザック 本文1色 100頁程度）200部
②計画書及び概要版の電子データ
③分析資料・推計資料・図表・グラフ・クロス集計表の電子データ
④打合せ資料・会議資料原案</t>
        </is>
      </c>
      <c r="E14" s="5" t="inlineStr">
        <is>
          <t>04シートを参照</t>
        </is>
      </c>
      <c r="F14" s="10" t="inlineStr">
        <is>
          <t>実施中</t>
        </is>
      </c>
      <c r="G14" s="17" t="n">
        <v>0.35</v>
      </c>
      <c r="H14" s="10" t="inlineStr">
        <is>
          <t>R9.3</t>
        </is>
      </c>
      <c r="I14" s="11" t="inlineStr">
        <is>
          <t>電子データは作成中。印刷・製本は令和9年3月。本文100頁程度に対する章別のページ配分が未確定（確認No.21）</t>
        </is>
      </c>
      <c r="J14" s="5" t="inlineStr">
        <is>
          <t>21</t>
        </is>
      </c>
    </row>
    <row r="15" ht="118" customHeight="1">
      <c r="A15" s="4" t="inlineStr">
        <is>
          <t>(11)</t>
        </is>
      </c>
      <c r="B15" s="5" t="inlineStr">
        <is>
          <t>成果品の帰属</t>
        </is>
      </c>
      <c r="C15" s="5" t="inlineStr">
        <is>
          <t>本業務により作成した成果品の著作権（著作権法第27条及び第28条に規定する権利を含む。）は、成果品の引渡しをもって発注者に帰属する。ただし、受託者が従前から保有する技術、ノウハウ等についてはこの限りでない。</t>
        </is>
      </c>
      <c r="D15" s="5" t="inlineStr">
        <is>
          <t>①引渡し時の権利帰属の確認</t>
        </is>
      </c>
      <c r="E15" s="5" t="inlineStr">
        <is>
          <t>―</t>
        </is>
      </c>
      <c r="F15" s="10" t="inlineStr">
        <is>
          <t>対象外</t>
        </is>
      </c>
      <c r="G15" s="17" t="n"/>
      <c r="H15" s="10" t="inlineStr">
        <is>
          <t>R9.3</t>
        </is>
      </c>
      <c r="I15" s="11" t="inlineStr">
        <is>
          <t>契約条項であり、成果品の引渡し時に確認する</t>
        </is>
      </c>
      <c r="J15" s="5" t="inlineStr">
        <is>
          <t>―</t>
        </is>
      </c>
    </row>
    <row r="16" ht="118" customHeight="1">
      <c r="A16" s="4" t="inlineStr">
        <is>
          <t>(12)</t>
        </is>
      </c>
      <c r="B16" s="5" t="inlineStr">
        <is>
          <t>その他</t>
        </is>
      </c>
      <c r="C16" s="5" t="inlineStr">
        <is>
          <t>仕様書に定めのない事項又は疑義が生じた場合は、発注者及び受託者が協議の上決定する。</t>
        </is>
      </c>
      <c r="D16" s="5" t="inlineStr">
        <is>
          <t>①疑義事項の整理と協議
②仕様書の対象外となる作業の取扱いの決定</t>
        </is>
      </c>
      <c r="E16" s="5" t="inlineStr">
        <is>
          <t>確認依頼書
03シート</t>
        </is>
      </c>
      <c r="F16" s="10" t="inlineStr">
        <is>
          <t>実施中</t>
        </is>
      </c>
      <c r="G16" s="17" t="n"/>
      <c r="H16" s="10" t="inlineStr">
        <is>
          <t>随時</t>
        </is>
      </c>
      <c r="I16" s="11" t="inlineStr">
        <is>
          <t>事業所実態調査・在宅介護実態調査が仕様書の対象外であり、H07・H08・H12・H16のデータ源が確保できない。取扱いの決定を要する（確認No.4）</t>
        </is>
      </c>
      <c r="J16" s="5" t="inlineStr">
        <is>
          <t>4</t>
        </is>
      </c>
    </row>
    <row r="18" ht="22" customHeight="1">
      <c r="A18" s="5" t="inlineStr"/>
      <c r="B18" s="18" t="inlineStr">
        <is>
          <t>全体進捗（加重平均を除く単純平均）</t>
        </is>
      </c>
      <c r="C18" s="5" t="inlineStr"/>
      <c r="D18" s="5" t="inlineStr"/>
      <c r="E18" s="5" t="inlineStr"/>
      <c r="F18" s="5" t="inlineStr"/>
      <c r="G18" s="19">
        <f>ROUND(AVERAGE(G5:G16),2)</f>
        <v/>
      </c>
      <c r="H18" s="5" t="inlineStr"/>
      <c r="I18" s="5" t="inlineStr"/>
      <c r="J18" s="5" t="inlineStr"/>
    </row>
    <row r="20" ht="28" customHeight="1">
      <c r="A20" s="16" t="inlineStr">
        <is>
          <t>注1）進捗は、当該業務の作業項目のうち完了したものの割合を受託者が見積もったものである。注2）（1）（2）（4）は契約上の着手時期（令和8年8月）より前に、貸与資料の範囲で先行して実施している。注3）（11）成果品の帰属は契約条項であり、作業工程としては「対象外」としている。注4）「確認事項No.」は03シートの番号に対応する。確認事項が解消されない限り当該業務は完了しない。</t>
        </is>
      </c>
    </row>
  </sheetData>
  <mergeCells count="3">
    <mergeCell ref="A1:J1"/>
    <mergeCell ref="A20:J20"/>
    <mergeCell ref="A2:J2"/>
  </mergeCells>
  <conditionalFormatting sqref="F5:F16">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F5:F16" showDropDown="0" showInputMessage="0" showErrorMessage="0" allowBlank="1" type="list">
      <formula1>"完了,実施中,確認待ち,未着手,対象外"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1"/>
  <sheetViews>
    <sheetView workbookViewId="0">
      <pane ySplit="4" topLeftCell="A5" activePane="bottomLeft" state="frozen"/>
      <selection pane="bottomLeft" activeCell="A1" sqref="A1"/>
    </sheetView>
  </sheetViews>
  <sheetFormatPr baseColWidth="8" defaultRowHeight="15"/>
  <cols>
    <col width="11" customWidth="1" min="1" max="1"/>
    <col width="40" customWidth="1" min="2" max="2"/>
    <col width="12" customWidth="1" min="3" max="3"/>
    <col width="30" customWidth="1" min="4" max="4"/>
    <col width="26" customWidth="1" min="5" max="5"/>
    <col width="9" customWidth="1" min="6" max="6"/>
    <col width="12" customWidth="1" min="7" max="7"/>
    <col width="12" customWidth="1" min="8" max="8"/>
    <col width="14" customWidth="1" min="9" max="9"/>
    <col width="26" customWidth="1" min="10" max="10"/>
  </cols>
  <sheetData>
    <row r="1" ht="26" customHeight="1">
      <c r="A1" s="1" t="inlineStr">
        <is>
          <t>仕様書５　業務スケジュール（予定）に沿った月別工程管理</t>
        </is>
      </c>
    </row>
    <row r="2" ht="52" customHeight="1">
      <c r="A2" s="2" t="inlineStr">
        <is>
          <t>仕様書５の月別工程について、業務内容・成果物・提出期日・発注者確認を管理する。仕様書は「受託者は各工程終了後、発注者が指定する期日までに成果物を提出し、発注者の確認を受けた上で次工程へ進むものとする」と定めているため、各月の末尾に発注者確認の欄を設けている。</t>
        </is>
      </c>
    </row>
    <row r="4" ht="32" customHeight="1">
      <c r="A4" s="3" t="inlineStr">
        <is>
          <t>年月</t>
        </is>
      </c>
      <c r="B4" s="3" t="inlineStr">
        <is>
          <t>業務内容（仕様書５のとおり）</t>
        </is>
      </c>
      <c r="C4" s="3" t="inlineStr">
        <is>
          <t>対応する業務内容</t>
        </is>
      </c>
      <c r="D4" s="3" t="inlineStr">
        <is>
          <t>工程末に提出する成果物</t>
        </is>
      </c>
      <c r="E4" s="3" t="inlineStr">
        <is>
          <t>現時点の状況</t>
        </is>
      </c>
      <c r="F4" s="3" t="inlineStr">
        <is>
          <t>状態</t>
        </is>
      </c>
      <c r="G4" s="3" t="inlineStr">
        <is>
          <t>提出期日</t>
        </is>
      </c>
      <c r="H4" s="3" t="inlineStr">
        <is>
          <t>提出日</t>
        </is>
      </c>
      <c r="I4" s="3" t="inlineStr">
        <is>
          <t>発注者確認（日・確認者）</t>
        </is>
      </c>
      <c r="J4" s="3" t="inlineStr">
        <is>
          <t>備考・次工程への条件</t>
        </is>
      </c>
    </row>
    <row r="5" ht="94" customHeight="1">
      <c r="A5" s="4" t="inlineStr">
        <is>
          <t>令和8年8月</t>
        </is>
      </c>
      <c r="B5" s="5" t="inlineStr">
        <is>
          <t>業務着手、キックオフ会議、第9期計画の評価・検証開始、各種資料整理</t>
        </is>
      </c>
      <c r="C5" s="4" t="inlineStr">
        <is>
          <t>(1)(2)(12)</t>
        </is>
      </c>
      <c r="D5" s="5" t="inlineStr">
        <is>
          <t>・キックオフ会議資料
・貸与資料の受領一覧
・第9期計画の評価・検証の中間報告</t>
        </is>
      </c>
      <c r="E5" s="5" t="inlineStr">
        <is>
          <t>貸与資料の受領と整理は先行実施済み。第9期計画の評価・検証は妥当性検証報告書（24シート）として先行して取りまとめ済み。キックオフ会議の日程が未確定</t>
        </is>
      </c>
      <c r="F5" s="8" t="inlineStr">
        <is>
          <t>実施中</t>
        </is>
      </c>
      <c r="G5" s="10" t="inlineStr"/>
      <c r="H5" s="10" t="inlineStr"/>
      <c r="I5" s="11" t="inlineStr"/>
      <c r="J5" s="5" t="inlineStr">
        <is>
          <t>キックオフ会議で、①事業所実態調査の取扱い、②工程の前倒しの可否、③委員会日程を決定いただきたい</t>
        </is>
      </c>
    </row>
    <row r="6" ht="94" customHeight="1">
      <c r="A6" s="4" t="inlineStr">
        <is>
          <t>令和8年9月</t>
        </is>
      </c>
      <c r="B6" s="5" t="inlineStr">
        <is>
          <t>実施済み調査（在宅生活改善調査、居所変更実態調査、介護人材実態調査及びJAGES調査）の集計・分析、介護給付実績分析、人口推計、現状分析</t>
        </is>
      </c>
      <c r="C6" s="4" t="inlineStr">
        <is>
          <t>(3)(4)(5)</t>
        </is>
      </c>
      <c r="D6" s="5" t="inlineStr">
        <is>
          <t>・4調査の集計・クロス集計表
・介護給付実績分析資料
・人口推計の基礎資料
・現状分析資料</t>
        </is>
      </c>
      <c r="E6" s="5" t="inlineStr">
        <is>
          <t>JAGES調査は分析済み。他3調査は第10期分の確定集計が未受領。介護給付実績分析・現状分析は見える化データにより先行実施済み（妥当性検証報告書・図表集）。人口推計は実績確定後</t>
        </is>
      </c>
      <c r="F6" s="8" t="inlineStr">
        <is>
          <t>実施中</t>
        </is>
      </c>
      <c r="G6" s="10" t="inlineStr"/>
      <c r="H6" s="10" t="inlineStr"/>
      <c r="I6" s="11" t="inlineStr"/>
      <c r="J6" s="5" t="inlineStr">
        <is>
          <t>3調査の確定集計の受領が前提。仕様書は9月に人口推計・現状分析を求めているが、令和6〜8年度の実績確定時期の確認を要する</t>
        </is>
      </c>
    </row>
    <row r="7" ht="94" customHeight="1">
      <c r="A7" s="4" t="inlineStr">
        <is>
          <t>令和8年10月</t>
        </is>
      </c>
      <c r="B7" s="5" t="inlineStr">
        <is>
          <t>地域課題整理、将来推計、第10期計画骨子案作成、構成町との協議・調整</t>
        </is>
      </c>
      <c r="C7" s="4" t="inlineStr">
        <is>
          <t>(4)(5)(6)(7)</t>
        </is>
      </c>
      <c r="D7" s="5" t="inlineStr">
        <is>
          <t>・地域課題整理資料
・将来推計結果（自然体・施策反映）
・第10期計画骨子案
・3町協議資料</t>
        </is>
      </c>
      <c r="E7" s="5" t="inlineStr">
        <is>
          <t>地域課題の整理は先行実施済み（妥当性検証報告書 主要所見20件）。骨子案は計画素案（第10稿）に統合して先行作成済み。将来推計は未着手</t>
        </is>
      </c>
      <c r="F7" s="12" t="inlineStr">
        <is>
          <t>未着手</t>
        </is>
      </c>
      <c r="G7" s="10" t="inlineStr"/>
      <c r="H7" s="10" t="inlineStr"/>
      <c r="I7" s="11" t="inlineStr"/>
      <c r="J7" s="5" t="inlineStr">
        <is>
          <t>骨子案を素案に統合してよいか、又は骨子案を別に作成するかの確認を要する</t>
        </is>
      </c>
    </row>
    <row r="8" ht="94" customHeight="1">
      <c r="A8" s="4" t="inlineStr">
        <is>
          <t>令和8年11月</t>
        </is>
      </c>
      <c r="B8" s="5" t="inlineStr">
        <is>
          <t>構成町意見反映、第10期計画骨子の整理</t>
        </is>
      </c>
      <c r="C8" s="4" t="inlineStr">
        <is>
          <t>(6)(7)</t>
        </is>
      </c>
      <c r="D8" s="5" t="inlineStr">
        <is>
          <t>・3町意見の整理表
・意見反映後の骨子</t>
        </is>
      </c>
      <c r="E8" s="5" t="inlineStr">
        <is>
          <t>3町との協議が前提。3町の第10期高齢者福祉計画の検討状況が未確認</t>
        </is>
      </c>
      <c r="F8" s="12" t="inlineStr">
        <is>
          <t>未着手</t>
        </is>
      </c>
      <c r="G8" s="10" t="inlineStr"/>
      <c r="H8" s="10" t="inlineStr"/>
      <c r="I8" s="11" t="inlineStr"/>
      <c r="J8" s="5" t="inlineStr">
        <is>
          <t>3町の計画策定の工程と担当課の確認が前提</t>
        </is>
      </c>
    </row>
    <row r="9" ht="94" customHeight="1">
      <c r="A9" s="4" t="inlineStr">
        <is>
          <t>令和8年12月</t>
        </is>
      </c>
      <c r="B9" s="5" t="inlineStr">
        <is>
          <t>第10期計画素案作成、介護サービス見込量及び介護保険料推計、令和9年度予算作成支援</t>
        </is>
      </c>
      <c r="C9" s="4" t="inlineStr">
        <is>
          <t>(5)(6)(7)</t>
        </is>
      </c>
      <c r="D9" s="5" t="inlineStr">
        <is>
          <t>・第10期計画素案（確定版）
・サービス見込量推計表
・保険料算定表
・予算資料</t>
        </is>
      </c>
      <c r="E9" s="5" t="inlineStr">
        <is>
          <t>素案は第10稿まで作成済み（暫定）。見込量・保険料は将来推計の完了後に確定する</t>
        </is>
      </c>
      <c r="F9" s="12" t="inlineStr">
        <is>
          <t>未着手</t>
        </is>
      </c>
      <c r="G9" s="10" t="inlineStr"/>
      <c r="H9" s="10" t="inlineStr"/>
      <c r="I9" s="11" t="inlineStr"/>
      <c r="J9" s="5" t="inlineStr">
        <is>
          <t>基金残高・収納率実績・所得段階別被保険者数の受領が前提</t>
        </is>
      </c>
    </row>
    <row r="10" ht="94" customHeight="1">
      <c r="A10" s="4" t="inlineStr">
        <is>
          <t>令和9年1月</t>
        </is>
      </c>
      <c r="B10" s="5" t="inlineStr">
        <is>
          <t>パブリックコメント支援、意見整理、計画案修正</t>
        </is>
      </c>
      <c r="C10" s="4" t="inlineStr">
        <is>
          <t>(9)(7)</t>
        </is>
      </c>
      <c r="D10" s="5" t="inlineStr">
        <is>
          <t>・パブリックコメント用素案
・意見の分類整理表
・意見に対する考え方（原案）</t>
        </is>
      </c>
      <c r="E10" s="5" t="inlineStr">
        <is>
          <t>未着手</t>
        </is>
      </c>
      <c r="F10" s="12" t="inlineStr">
        <is>
          <t>未着手</t>
        </is>
      </c>
      <c r="G10" s="10" t="inlineStr"/>
      <c r="H10" s="10" t="inlineStr"/>
      <c r="I10" s="11" t="inlineStr"/>
      <c r="J10" s="5" t="inlineStr">
        <is>
          <t>パブリックコメントの実施期間の確認を要する</t>
        </is>
      </c>
    </row>
    <row r="11" ht="94" customHeight="1">
      <c r="A11" s="4" t="inlineStr">
        <is>
          <t>令和9年2月</t>
        </is>
      </c>
      <c r="B11" s="5" t="inlineStr">
        <is>
          <t>第10期計画最終案作成、運営協議会等への資料原案作成支援</t>
        </is>
      </c>
      <c r="C11" s="4" t="inlineStr">
        <is>
          <t>(6)(8)</t>
        </is>
      </c>
      <c r="D11" s="5" t="inlineStr">
        <is>
          <t>・第10期計画最終案
・運営協議会資料原案</t>
        </is>
      </c>
      <c r="E11" s="5" t="inlineStr">
        <is>
          <t>未着手</t>
        </is>
      </c>
      <c r="F11" s="12" t="inlineStr">
        <is>
          <t>未着手</t>
        </is>
      </c>
      <c r="G11" s="10" t="inlineStr"/>
      <c r="H11" s="10" t="inlineStr"/>
      <c r="I11" s="11" t="inlineStr"/>
      <c r="J11" s="5" t="inlineStr">
        <is>
          <t>―</t>
        </is>
      </c>
    </row>
    <row r="12" ht="94" customHeight="1">
      <c r="A12" s="4" t="inlineStr">
        <is>
          <t>令和9年3月</t>
        </is>
      </c>
      <c r="B12" s="5" t="inlineStr">
        <is>
          <t>第10期計画書・概要版完成、成果品納品</t>
        </is>
      </c>
      <c r="C12" s="4" t="inlineStr">
        <is>
          <t>(6)(10)</t>
        </is>
      </c>
      <c r="D12" s="5" t="inlineStr">
        <is>
          <t>・計画書（印刷200部）
・計画書及び概要版の電子データ
・分析資料等の電子データ
・打合せ資料等</t>
        </is>
      </c>
      <c r="E12" s="5" t="inlineStr">
        <is>
          <t>未着手</t>
        </is>
      </c>
      <c r="F12" s="12" t="inlineStr">
        <is>
          <t>未着手</t>
        </is>
      </c>
      <c r="G12" s="10" t="inlineStr"/>
      <c r="H12" s="10" t="inlineStr"/>
      <c r="I12" s="11" t="inlineStr"/>
      <c r="J12" s="5" t="inlineStr">
        <is>
          <t>契約期間は令和9年3月26日まで。印刷・製本の所要日数を踏まえた入稿期限の確認を要する</t>
        </is>
      </c>
    </row>
    <row r="14" ht="32" customHeight="1">
      <c r="A14" s="3" t="inlineStr">
        <is>
          <t>区分</t>
        </is>
      </c>
      <c r="B14" s="3" t="inlineStr">
        <is>
          <t>件数</t>
        </is>
      </c>
      <c r="C14" s="3" t="inlineStr"/>
      <c r="D14" s="3" t="inlineStr"/>
      <c r="E14" s="3" t="inlineStr"/>
      <c r="F14" s="3" t="inlineStr"/>
      <c r="G14" s="3" t="inlineStr"/>
      <c r="H14" s="3" t="inlineStr"/>
      <c r="I14" s="3" t="inlineStr"/>
      <c r="J14" s="3" t="inlineStr"/>
    </row>
    <row r="15" ht="20" customHeight="1">
      <c r="A15" s="6" t="inlineStr">
        <is>
          <t>完了</t>
        </is>
      </c>
      <c r="B15" s="4">
        <f>COUNTIF(F5:F12,"完了")</f>
        <v/>
      </c>
      <c r="C15" s="5" t="inlineStr"/>
      <c r="D15" s="5" t="inlineStr"/>
      <c r="E15" s="5" t="inlineStr"/>
      <c r="F15" s="5" t="inlineStr"/>
      <c r="G15" s="5" t="inlineStr"/>
      <c r="H15" s="5" t="inlineStr"/>
      <c r="I15" s="5" t="inlineStr"/>
      <c r="J15" s="5" t="inlineStr"/>
    </row>
    <row r="16" ht="20" customHeight="1">
      <c r="A16" s="8" t="inlineStr">
        <is>
          <t>実施中</t>
        </is>
      </c>
      <c r="B16" s="4">
        <f>COUNTIF(F5:F12,"実施中")</f>
        <v/>
      </c>
      <c r="C16" s="5" t="inlineStr"/>
      <c r="D16" s="5" t="inlineStr"/>
      <c r="E16" s="5" t="inlineStr"/>
      <c r="F16" s="5" t="inlineStr"/>
      <c r="G16" s="5" t="inlineStr"/>
      <c r="H16" s="5" t="inlineStr"/>
      <c r="I16" s="5" t="inlineStr"/>
      <c r="J16" s="5" t="inlineStr"/>
    </row>
    <row r="17" ht="20" customHeight="1">
      <c r="A17" s="10" t="inlineStr">
        <is>
          <t>確認待ち</t>
        </is>
      </c>
      <c r="B17" s="4">
        <f>COUNTIF(F5:F12,"確認待ち")</f>
        <v/>
      </c>
      <c r="C17" s="5" t="inlineStr"/>
      <c r="D17" s="5" t="inlineStr"/>
      <c r="E17" s="5" t="inlineStr"/>
      <c r="F17" s="5" t="inlineStr"/>
      <c r="G17" s="5" t="inlineStr"/>
      <c r="H17" s="5" t="inlineStr"/>
      <c r="I17" s="5" t="inlineStr"/>
      <c r="J17" s="5" t="inlineStr"/>
    </row>
    <row r="18" ht="20" customHeight="1">
      <c r="A18" s="12" t="inlineStr">
        <is>
          <t>未着手</t>
        </is>
      </c>
      <c r="B18" s="4">
        <f>COUNTIF(F5:F12,"未着手")</f>
        <v/>
      </c>
      <c r="C18" s="5" t="inlineStr"/>
      <c r="D18" s="5" t="inlineStr"/>
      <c r="E18" s="5" t="inlineStr"/>
      <c r="F18" s="5" t="inlineStr"/>
      <c r="G18" s="5" t="inlineStr"/>
      <c r="H18" s="5" t="inlineStr"/>
      <c r="I18" s="5" t="inlineStr"/>
      <c r="J18" s="5" t="inlineStr"/>
    </row>
    <row r="19" ht="20" customHeight="1">
      <c r="A19" s="14" t="inlineStr">
        <is>
          <t>対象外</t>
        </is>
      </c>
      <c r="B19" s="4">
        <f>COUNTIF(F5:F12,"対象外")</f>
        <v/>
      </c>
      <c r="C19" s="5" t="inlineStr"/>
      <c r="D19" s="5" t="inlineStr"/>
      <c r="E19" s="5" t="inlineStr"/>
      <c r="F19" s="5" t="inlineStr"/>
      <c r="G19" s="5" t="inlineStr"/>
      <c r="H19" s="5" t="inlineStr"/>
      <c r="I19" s="5" t="inlineStr"/>
      <c r="J19" s="5" t="inlineStr"/>
    </row>
    <row r="21" ht="39" customHeight="1">
      <c r="A21" s="16" t="inlineStr">
        <is>
          <t>注1）「対応する業務内容」は仕様書４（1）〜（12）の番号。01シートと対応する。注2）「提出期日」は発注者が指定する期日を記入する欄。仕様書５は各工程終了後の成果物提出と発注者確認を次工程の条件としているため、期日を月ごとに定めていただく必要がある。注3）令和8年7月29日時点で、（1）制度改正等の整理、（2）第9期計画の評価・検証、（4）現状分析及び地域課題の整理、（6）計画書の作成の一部を先行実施している。先行実施分は8月・9月・10月の工程に前倒しで反映される。注4）仕様書は9月に人口推計・現状分析を求めているが、令和6〜8年度の給付実績・事業実績の確定時期によっては後ろ倒しとなる可能性がある。キックオフ会議で工程の調整を協議したい。</t>
        </is>
      </c>
    </row>
  </sheetData>
  <mergeCells count="3">
    <mergeCell ref="A1:J1"/>
    <mergeCell ref="A21:J21"/>
    <mergeCell ref="A2:J2"/>
  </mergeCells>
  <conditionalFormatting sqref="F5:F1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F5:F12" showDropDown="0" showInputMessage="0" showErrorMessage="0" allowBlank="1" type="list">
      <formula1>"完了,実施中,確認待ち,未着手,対象外"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48"/>
  <sheetViews>
    <sheetView workbookViewId="0">
      <pane ySplit="4" topLeftCell="A5" activePane="bottomLeft" state="frozen"/>
      <selection pane="bottomLeft" activeCell="A1" sqref="A1"/>
    </sheetView>
  </sheetViews>
  <sheetFormatPr baseColWidth="8" defaultRowHeight="15"/>
  <cols>
    <col width="5" customWidth="1" min="1" max="1"/>
    <col width="9" customWidth="1" min="2" max="2"/>
    <col width="11" customWidth="1" min="3" max="3"/>
    <col width="30" customWidth="1" min="4" max="4"/>
    <col width="40" customWidth="1" min="5" max="5"/>
    <col width="26" customWidth="1" min="6" max="6"/>
    <col width="26" customWidth="1" min="7" max="7"/>
    <col width="9" customWidth="1" min="8" max="8"/>
    <col width="11" customWidth="1" min="9" max="9"/>
    <col width="26" customWidth="1" min="10" max="10"/>
  </cols>
  <sheetData>
    <row r="1" ht="26" customHeight="1">
      <c r="A1" s="1" t="inlineStr">
        <is>
          <t>確認事項一覧（業務工程・成果物との紐づけ）</t>
        </is>
      </c>
    </row>
    <row r="2" ht="52" customHeight="1">
      <c r="A2" s="2" t="inlineStr">
        <is>
          <t>発注者・構成3町・北海道への確認事項を、業務工程と成果物に紐づけて管理する。計画素案の本文には確認事項の注記を書かず、本シートで一元管理する。「止めている成果物」は、当該確認事項が解消されないと確定できない成果物を示す。</t>
        </is>
      </c>
    </row>
    <row r="4" ht="32" customHeight="1">
      <c r="A4" s="3" t="inlineStr">
        <is>
          <t>No.</t>
        </is>
      </c>
      <c r="B4" s="3" t="inlineStr">
        <is>
          <t>業務内容</t>
        </is>
      </c>
      <c r="C4" s="3" t="inlineStr">
        <is>
          <t>工程（月）</t>
        </is>
      </c>
      <c r="D4" s="3" t="inlineStr">
        <is>
          <t>確認事項</t>
        </is>
      </c>
      <c r="E4" s="3" t="inlineStr">
        <is>
          <t>確認をお願いする内容</t>
        </is>
      </c>
      <c r="F4" s="3" t="inlineStr">
        <is>
          <t>止めている成果物</t>
        </is>
      </c>
      <c r="G4" s="3" t="inlineStr">
        <is>
          <t>確認先</t>
        </is>
      </c>
      <c r="H4" s="3" t="inlineStr">
        <is>
          <t>状態</t>
        </is>
      </c>
      <c r="I4" s="3" t="inlineStr">
        <is>
          <t>回答期限</t>
        </is>
      </c>
      <c r="J4" s="3" t="inlineStr">
        <is>
          <t>回答・対応</t>
        </is>
      </c>
    </row>
    <row r="5" ht="88" customHeight="1">
      <c r="A5" s="4" t="n">
        <v>1</v>
      </c>
      <c r="B5" s="4" t="inlineStr">
        <is>
          <t>(1)</t>
        </is>
      </c>
      <c r="C5" s="4" t="inlineStr">
        <is>
          <t>R8.8</t>
        </is>
      </c>
      <c r="D5" s="5" t="inlineStr">
        <is>
          <t>特別地域加算の対象地域告示</t>
        </is>
      </c>
      <c r="E5" s="5" t="inlineStr">
        <is>
          <t>厚生労働大臣が定める特別地域（特別地域加算の対象地域）の告示に、東川町・美瑛町が掲載されているかどうか。第10期から創設される特定地域（中山間・人口減少地域）の基準①に直結し、該当すれば人員基準の緩和や特定地域居宅サービス等事業が使える。</t>
        </is>
      </c>
      <c r="F5" s="5" t="inlineStr">
        <is>
          <t>素案 第1章第9節
追加調査報告書 01シート</t>
        </is>
      </c>
      <c r="G5" s="5" t="inlineStr">
        <is>
          <t>北海道</t>
        </is>
      </c>
      <c r="H5" s="10" t="inlineStr">
        <is>
          <t>確認待ち</t>
        </is>
      </c>
      <c r="I5" s="10" t="inlineStr">
        <is>
          <t>R8.9</t>
        </is>
      </c>
      <c r="J5" s="11" t="inlineStr"/>
    </row>
    <row r="6" ht="88" customHeight="1">
      <c r="A6" s="4" t="n">
        <v>2</v>
      </c>
      <c r="B6" s="4" t="inlineStr">
        <is>
          <t>(1)</t>
        </is>
      </c>
      <c r="C6" s="4" t="inlineStr">
        <is>
          <t>R8.9</t>
        </is>
      </c>
      <c r="D6" s="5" t="inlineStr">
        <is>
          <t>特定地域の指定に係る意向表明の手続</t>
        </is>
      </c>
      <c r="E6" s="5" t="inlineStr">
        <is>
          <t>特定地域の指定は「市町村が指定の要否を検討し、その意向を踏まえて都道府県が対象地域を定める」とされている。当広域連合が意向を示す時期と手続、及び制度の適用単位が市町村か保険者かの確認。</t>
        </is>
      </c>
      <c r="F6" s="5" t="inlineStr">
        <is>
          <t>素案 第1章第9節・第6章第4節</t>
        </is>
      </c>
      <c r="G6" s="5" t="inlineStr">
        <is>
          <t>北海道</t>
        </is>
      </c>
      <c r="H6" s="10" t="inlineStr">
        <is>
          <t>確認待ち</t>
        </is>
      </c>
      <c r="I6" s="10" t="inlineStr">
        <is>
          <t>R8.10</t>
        </is>
      </c>
      <c r="J6" s="11" t="inlineStr"/>
    </row>
    <row r="7" ht="88" customHeight="1">
      <c r="A7" s="4" t="n">
        <v>3</v>
      </c>
      <c r="B7" s="4" t="inlineStr">
        <is>
          <t>(4)</t>
        </is>
      </c>
      <c r="C7" s="4" t="inlineStr">
        <is>
          <t>R8.9</t>
        </is>
      </c>
      <c r="D7" s="5" t="inlineStr">
        <is>
          <t>類似保険者との比較分析の対象</t>
        </is>
      </c>
      <c r="E7" s="5" t="inlineStr">
        <is>
          <t>仕様書４（4）は「必要に応じ全国平均、北海道平均及び類似保険者との比較分析を行う」としているが、見える化のδ3系列（地域比較）は当広域連合のデータ登録がなく出力できない。比較対象の保険者と選定条件（人口規模、高齢化率、施設整備状況、財政力等）の決定を要する。</t>
        </is>
      </c>
      <c r="F7" s="5" t="inlineStr">
        <is>
          <t>素案 第2章第2節
分析資料</t>
        </is>
      </c>
      <c r="G7" s="5" t="inlineStr">
        <is>
          <t>発注者</t>
        </is>
      </c>
      <c r="H7" s="10" t="inlineStr">
        <is>
          <t>確認待ち</t>
        </is>
      </c>
      <c r="I7" s="10" t="inlineStr">
        <is>
          <t>R8.9</t>
        </is>
      </c>
      <c r="J7" s="11" t="inlineStr"/>
    </row>
    <row r="8" ht="88" customHeight="1">
      <c r="A8" s="4" t="n">
        <v>4</v>
      </c>
      <c r="B8" s="4" t="inlineStr">
        <is>
          <t>(12)</t>
        </is>
      </c>
      <c r="C8" s="4" t="inlineStr">
        <is>
          <t>R8.8</t>
        </is>
      </c>
      <c r="D8" s="5" t="inlineStr">
        <is>
          <t>事業所実態調査・在宅介護実態調査の取扱い</t>
        </is>
      </c>
      <c r="E8" s="5" t="inlineStr">
        <is>
          <t>仕様書４（3）の対象4調査に事業所実態調査・在宅介護実態調査が含まれておらず、「新たなアンケート調査の企画、設計、配布、回収、入力及び督促は行わない」とされている。一方、代表KPIのH07・H08・H12・H16はこれらをデータ源としている。調査クロス集計・分析の結果、H07（主介護者）・H08（支援者の不在）は健康とくらしの調査の大雪独自設問により算定できることが判明したが、指標の定義変更を伴う。H12・H16は事業所側の情報を要するため算定できない。①発注者が実施する、②代理指標へ振り替える、③指標から外す、のいずれかの決定を要する。</t>
        </is>
      </c>
      <c r="F8" s="5" t="inlineStr">
        <is>
          <t>素案 第4章第3節・資料1
全16KPIの4項目</t>
        </is>
      </c>
      <c r="G8" s="5" t="inlineStr">
        <is>
          <t>発注者</t>
        </is>
      </c>
      <c r="H8" s="10" t="inlineStr">
        <is>
          <t>確認待ち</t>
        </is>
      </c>
      <c r="I8" s="10" t="inlineStr">
        <is>
          <t>R8.8</t>
        </is>
      </c>
      <c r="J8" s="11" t="inlineStr"/>
    </row>
    <row r="9" ht="88" customHeight="1">
      <c r="A9" s="4" t="n">
        <v>5</v>
      </c>
      <c r="B9" s="4" t="inlineStr">
        <is>
          <t>(2)</t>
        </is>
      </c>
      <c r="C9" s="4" t="inlineStr">
        <is>
          <t>R8.8</t>
        </is>
      </c>
      <c r="D9" s="5" t="inlineStr">
        <is>
          <t>第9期の施策・事業実績</t>
        </is>
      </c>
      <c r="E9" s="5" t="inlineStr">
        <is>
          <t>第9期計画（令和6〜8年度）の施策・事業実績、事業量、対象実人数、予算・決算。19施策の達成度を判定するために必要。</t>
        </is>
      </c>
      <c r="F9" s="5" t="inlineStr">
        <is>
          <t>素案 第3章第5節
妥当性検証報告書 12シート</t>
        </is>
      </c>
      <c r="G9" s="5" t="inlineStr">
        <is>
          <t>発注者</t>
        </is>
      </c>
      <c r="H9" s="10" t="inlineStr">
        <is>
          <t>確認待ち</t>
        </is>
      </c>
      <c r="I9" s="10" t="inlineStr">
        <is>
          <t>R8.8</t>
        </is>
      </c>
      <c r="J9" s="11" t="inlineStr"/>
    </row>
    <row r="10" ht="88" customHeight="1">
      <c r="A10" s="4" t="n">
        <v>6</v>
      </c>
      <c r="B10" s="4" t="inlineStr">
        <is>
          <t>(2)</t>
        </is>
      </c>
      <c r="C10" s="4" t="inlineStr">
        <is>
          <t>R8.8</t>
        </is>
      </c>
      <c r="D10" s="5" t="inlineStr">
        <is>
          <t>交付金の評価調書</t>
        </is>
      </c>
      <c r="E10" s="5" t="inlineStr">
        <is>
          <t>保険者機能強化推進交付金等の評価調書（令和4〜6年度分）。0点となっている10項目について、取組自体がないのか、取組はあるが要件を満たさないのかの判別に必要。特に推進Ⅰ「評価結果を関係者間で共有し取組を検討」と「今年度の評価得点」。</t>
        </is>
      </c>
      <c r="F10" s="5" t="inlineStr">
        <is>
          <t>素案 第3章第4節
追加調査報告書 02シート</t>
        </is>
      </c>
      <c r="G10" s="5" t="inlineStr">
        <is>
          <t>発注者</t>
        </is>
      </c>
      <c r="H10" s="10" t="inlineStr">
        <is>
          <t>確認待ち</t>
        </is>
      </c>
      <c r="I10" s="10" t="inlineStr">
        <is>
          <t>R8.9</t>
        </is>
      </c>
      <c r="J10" s="11" t="inlineStr"/>
    </row>
    <row r="11" ht="88" customHeight="1">
      <c r="A11" s="4" t="n">
        <v>7</v>
      </c>
      <c r="B11" s="4" t="inlineStr">
        <is>
          <t>(2)</t>
        </is>
      </c>
      <c r="C11" s="4" t="inlineStr">
        <is>
          <t>R8.8</t>
        </is>
      </c>
      <c r="D11" s="5" t="inlineStr">
        <is>
          <t>第9期の自己評価と北海道への報告の実績</t>
        </is>
      </c>
      <c r="E11" s="5" t="inlineStr">
        <is>
          <t>第9期計画の代表KPIについて令和6・7年度に実績を算定した資料の有無、運営協議会への報告の有無と議事録、及び介護保険法第117条に基づく北海道への報告の実績。</t>
        </is>
      </c>
      <c r="F11" s="5" t="inlineStr">
        <is>
          <t>素案 第1章第6節・第3章第4節</t>
        </is>
      </c>
      <c r="G11" s="5" t="inlineStr">
        <is>
          <t>発注者</t>
        </is>
      </c>
      <c r="H11" s="10" t="inlineStr">
        <is>
          <t>確認待ち</t>
        </is>
      </c>
      <c r="I11" s="10" t="inlineStr">
        <is>
          <t>R8.9</t>
        </is>
      </c>
      <c r="J11" s="11" t="inlineStr"/>
    </row>
    <row r="12" ht="88" customHeight="1">
      <c r="A12" s="4" t="n">
        <v>8</v>
      </c>
      <c r="B12" s="4" t="inlineStr">
        <is>
          <t>(3)</t>
        </is>
      </c>
      <c r="C12" s="4" t="inlineStr">
        <is>
          <t>R8.8</t>
        </is>
      </c>
      <c r="D12" s="5" t="inlineStr">
        <is>
          <t>3調査の確定集計</t>
        </is>
      </c>
      <c r="E12" s="5" t="inlineStr">
        <is>
          <t>在宅生活改善調査・居所変更実態調査・介護人材実態調査（第10期分）の調査票、回答データ（Excel、CSV等）、集計資料、分析資料及び報告書。仕様書４（3）は契約締結後に貸与するとしている。</t>
        </is>
      </c>
      <c r="F12" s="5" t="inlineStr">
        <is>
          <t>素案 第2章第5・6節
H06・H11・H13・H14の基準値</t>
        </is>
      </c>
      <c r="G12" s="5" t="inlineStr">
        <is>
          <t>発注者</t>
        </is>
      </c>
      <c r="H12" s="10" t="inlineStr">
        <is>
          <t>確認待ち</t>
        </is>
      </c>
      <c r="I12" s="10" t="inlineStr">
        <is>
          <t>R8.8</t>
        </is>
      </c>
      <c r="J12" s="11" t="inlineStr"/>
    </row>
    <row r="13" ht="88" customHeight="1">
      <c r="A13" s="4" t="n">
        <v>9</v>
      </c>
      <c r="B13" s="4" t="inlineStr">
        <is>
          <t>(3)</t>
        </is>
      </c>
      <c r="C13" s="4" t="inlineStr">
        <is>
          <t>R8.9</t>
        </is>
      </c>
      <c r="D13" s="5" t="inlineStr">
        <is>
          <t>調査の対象者範囲と回収率</t>
        </is>
      </c>
      <c r="E13" s="5" t="inlineStr">
        <is>
          <t>4調査の対象者の範囲（要介護度、年齢、居所等）、配布数、回収数、回収率。標本規模に応じた分析の深度（クロス集計の可否）の判断に必要。</t>
        </is>
      </c>
      <c r="F13" s="5" t="inlineStr">
        <is>
          <t>素案 第2章第4〜6節
クロス集計表</t>
        </is>
      </c>
      <c r="G13" s="5" t="inlineStr">
        <is>
          <t>発注者</t>
        </is>
      </c>
      <c r="H13" s="10" t="inlineStr">
        <is>
          <t>確認待ち</t>
        </is>
      </c>
      <c r="I13" s="10" t="inlineStr">
        <is>
          <t>R8.9</t>
        </is>
      </c>
      <c r="J13" s="11" t="inlineStr"/>
    </row>
    <row r="14" ht="88" customHeight="1">
      <c r="A14" s="4" t="n">
        <v>10</v>
      </c>
      <c r="B14" s="4" t="inlineStr">
        <is>
          <t>(3)</t>
        </is>
      </c>
      <c r="C14" s="4" t="inlineStr">
        <is>
          <t>R8.9</t>
        </is>
      </c>
      <c r="D14" s="5" t="inlineStr">
        <is>
          <t>介護人材実態調査の採用者数・退職者数</t>
        </is>
      </c>
      <c r="E14" s="5" t="inlineStr">
        <is>
          <t>北海道の評価指標⑥と同じ「採用率と離職率の差」を算定するため、各年9月30日現在の在籍者数と、年間の採用者数・退職者数。H14の基準値となる。</t>
        </is>
      </c>
      <c r="F14" s="5" t="inlineStr">
        <is>
          <t>素案 第4章第3節
H14の基準値</t>
        </is>
      </c>
      <c r="G14" s="5" t="inlineStr">
        <is>
          <t>発注者</t>
        </is>
      </c>
      <c r="H14" s="10" t="inlineStr">
        <is>
          <t>確認待ち</t>
        </is>
      </c>
      <c r="I14" s="10" t="inlineStr">
        <is>
          <t>R8.9</t>
        </is>
      </c>
      <c r="J14" s="11" t="inlineStr"/>
    </row>
    <row r="15" ht="88" customHeight="1">
      <c r="A15" s="4" t="n">
        <v>11</v>
      </c>
      <c r="B15" s="4" t="inlineStr">
        <is>
          <t>(4)</t>
        </is>
      </c>
      <c r="C15" s="4" t="inlineStr">
        <is>
          <t>R8.9</t>
        </is>
      </c>
      <c r="D15" s="5" t="inlineStr">
        <is>
          <t>町別の人口・世帯データ</t>
        </is>
      </c>
      <c r="E15" s="5" t="inlineStr">
        <is>
          <t>①住民基本台帳による町別・年齢4区分別人口（0〜39歳／40〜64歳／65〜74歳／75歳以上）令和6〜8年 各年10月1日現在、②町別高齢化率 令和6〜8年、③令和7年国勢調査による町別の高齢者を含む世帯（公表され次第）。あわせて、見える化の地域分析で市区町村を選択して人口系列（A1〜A4）を出力できるかの確認。</t>
        </is>
      </c>
      <c r="F15" s="5" t="inlineStr">
        <is>
          <t>素案 第2章第1節
図1・図2・図3</t>
        </is>
      </c>
      <c r="G15" s="5" t="inlineStr">
        <is>
          <t>発注者・3町</t>
        </is>
      </c>
      <c r="H15" s="10" t="inlineStr">
        <is>
          <t>確認待ち</t>
        </is>
      </c>
      <c r="I15" s="10" t="inlineStr">
        <is>
          <t>R8.9</t>
        </is>
      </c>
      <c r="J15" s="11" t="inlineStr"/>
    </row>
    <row r="16" ht="88" customHeight="1">
      <c r="A16" s="4" t="n">
        <v>12</v>
      </c>
      <c r="B16" s="4" t="inlineStr">
        <is>
          <t>(4)</t>
        </is>
      </c>
      <c r="C16" s="4" t="inlineStr">
        <is>
          <t>R8.9</t>
        </is>
      </c>
      <c r="D16" s="5" t="inlineStr">
        <is>
          <t>日常生活圏域別のデータ</t>
        </is>
      </c>
      <c r="E16" s="5" t="inlineStr">
        <is>
          <t>①美瑛町4地区を含む6圏域別の面積・人口・高齢者人口・認定者数・受給者数・給付費（令和8年10月1日現在）。仕様書４（4）が求める圏域別の地域特性分析に必要。②健康とくらしの調査の分析地域1（小学校区12地区）と6圏域の対応関係。美馬牛小学校区は美馬牛地区に対応すると考えられるが、美瑛・美沢・明徳・美瑛東の各小学校区と旭・北西地区、朗根内地区、市街地・周辺地区との対応が確定しない。対応が確定すれば、見える化のデータを待たずに圏域別分析ができる。</t>
        </is>
      </c>
      <c r="F16" s="5" t="inlineStr">
        <is>
          <t>素案 第1章第7節・第2章
圏域別分析資料
調査クロス集計・分析 01・18シート</t>
        </is>
      </c>
      <c r="G16" s="5" t="inlineStr">
        <is>
          <t>発注者・3町</t>
        </is>
      </c>
      <c r="H16" s="10" t="inlineStr">
        <is>
          <t>確認待ち</t>
        </is>
      </c>
      <c r="I16" s="10" t="inlineStr">
        <is>
          <t>R8.9</t>
        </is>
      </c>
      <c r="J16" s="11" t="inlineStr"/>
    </row>
    <row r="17" ht="88" customHeight="1">
      <c r="A17" s="4" t="n">
        <v>13</v>
      </c>
      <c r="B17" s="4" t="inlineStr">
        <is>
          <t>(4)</t>
        </is>
      </c>
      <c r="C17" s="4" t="inlineStr">
        <is>
          <t>R8.9</t>
        </is>
      </c>
      <c r="D17" s="5" t="inlineStr">
        <is>
          <t>訪問・通所困難地域の判定資料</t>
        </is>
      </c>
      <c r="E17" s="5" t="inlineStr">
        <is>
          <t>①区域内で訪問系・通所系サービスを提供する全事業所の運営規程における「通常の事業の実施地域」（居宅サービスは北海道、地域密着型は広域連合が保有）、②中山間地域等居住者サービス提供加算・特別地域加算の算定事業所と件数、③3町の除雪計画における優先路線と冬期の通行支障の実績。</t>
        </is>
      </c>
      <c r="F17" s="5" t="inlineStr">
        <is>
          <t>素案 第1章第7節
追加調査報告書 03シート</t>
        </is>
      </c>
      <c r="G17" s="5" t="inlineStr">
        <is>
          <t>発注者・3町・北海道</t>
        </is>
      </c>
      <c r="H17" s="10" t="inlineStr">
        <is>
          <t>確認待ち</t>
        </is>
      </c>
      <c r="I17" s="10" t="inlineStr">
        <is>
          <t>R8.10</t>
        </is>
      </c>
      <c r="J17" s="11" t="inlineStr"/>
    </row>
    <row r="18" ht="88" customHeight="1">
      <c r="A18" s="4" t="n">
        <v>14</v>
      </c>
      <c r="B18" s="4" t="inlineStr">
        <is>
          <t>(5)</t>
        </is>
      </c>
      <c r="C18" s="4" t="inlineStr">
        <is>
          <t>R8.10</t>
        </is>
      </c>
      <c r="D18" s="5" t="inlineStr">
        <is>
          <t>人口推計の基礎とする系列</t>
        </is>
      </c>
      <c r="E18" s="5" t="inlineStr">
        <is>
          <t>総人口・第1号被保険者数について、①国立社会保障・人口問題研究所推計（見える化の初期値）をそのまま用いるか、②3町の総合計画等による推計人口に差し替えるかの決定。②の場合は5歳階級別・男女別の推計値が必要。東川町は25年以上人口増を続けており、社人研推計との乖離が大きい。</t>
        </is>
      </c>
      <c r="F18" s="5" t="inlineStr">
        <is>
          <t>素案 第6章第1節
将来推計</t>
        </is>
      </c>
      <c r="G18" s="5" t="inlineStr">
        <is>
          <t>発注者・3町</t>
        </is>
      </c>
      <c r="H18" s="10" t="inlineStr">
        <is>
          <t>確認待ち</t>
        </is>
      </c>
      <c r="I18" s="10" t="inlineStr">
        <is>
          <t>R8.10</t>
        </is>
      </c>
      <c r="J18" s="11" t="inlineStr"/>
    </row>
    <row r="19" ht="88" customHeight="1">
      <c r="A19" s="4" t="n">
        <v>15</v>
      </c>
      <c r="B19" s="4" t="inlineStr">
        <is>
          <t>(5)</t>
        </is>
      </c>
      <c r="C19" s="4" t="inlineStr">
        <is>
          <t>R8.10</t>
        </is>
      </c>
      <c r="D19" s="5" t="inlineStr">
        <is>
          <t>認定者数の基準月と月次推移</t>
        </is>
      </c>
      <c r="E19" s="5" t="inlineStr">
        <is>
          <t>令和3〜8年度の各月の認定者数。推計ガイドは9月末を目安としつつ「年度内平均値に近い月を選択する」としているため、当広域連合の月次推移を確認して基準月を選定する。</t>
        </is>
      </c>
      <c r="F19" s="5" t="inlineStr">
        <is>
          <t>素案 第6章第1節
将来推計</t>
        </is>
      </c>
      <c r="G19" s="5" t="inlineStr">
        <is>
          <t>発注者</t>
        </is>
      </c>
      <c r="H19" s="10" t="inlineStr">
        <is>
          <t>確認待ち</t>
        </is>
      </c>
      <c r="I19" s="10" t="inlineStr">
        <is>
          <t>R8.10</t>
        </is>
      </c>
      <c r="J19" s="11" t="inlineStr"/>
    </row>
    <row r="20" ht="88" customHeight="1">
      <c r="A20" s="4" t="n">
        <v>16</v>
      </c>
      <c r="B20" s="4" t="inlineStr">
        <is>
          <t>(5)</t>
        </is>
      </c>
      <c r="C20" s="4" t="inlineStr">
        <is>
          <t>R8.11</t>
        </is>
      </c>
      <c r="D20" s="5" t="inlineStr">
        <is>
          <t>保険料算定の前提</t>
        </is>
      </c>
      <c r="E20" s="5" t="inlineStr">
        <is>
          <t>①介護給付費準備基金の残高推移と取崩実績（第7期〜第9期）、②保険料収納率の実績（第7期〜第9期）、③所得段階別被保険者数、④地域支援事業費の区分別内訳（総合事業・包括的支援事業・任意事業）。</t>
        </is>
      </c>
      <c r="F20" s="5" t="inlineStr">
        <is>
          <t>素案 第6章第3節・第6節
保険料算定表</t>
        </is>
      </c>
      <c r="G20" s="5" t="inlineStr">
        <is>
          <t>発注者</t>
        </is>
      </c>
      <c r="H20" s="10" t="inlineStr">
        <is>
          <t>確認待ち</t>
        </is>
      </c>
      <c r="I20" s="10" t="inlineStr">
        <is>
          <t>R8.11</t>
        </is>
      </c>
      <c r="J20" s="11" t="inlineStr"/>
    </row>
    <row r="21" ht="88" customHeight="1">
      <c r="A21" s="4" t="n">
        <v>17</v>
      </c>
      <c r="B21" s="4" t="inlineStr">
        <is>
          <t>(6)</t>
        </is>
      </c>
      <c r="C21" s="4" t="inlineStr">
        <is>
          <t>R8.10</t>
        </is>
      </c>
      <c r="D21" s="5" t="inlineStr">
        <is>
          <t>3町計画への共通指標の掲載</t>
        </is>
      </c>
      <c r="E21" s="5" t="inlineStr">
        <is>
          <t>第9期は3町の高齢者福祉計画に数値目標が1件も設定されておらず、広域連合の代表KPIの検証への参画を明記していたのは東川町のみであった。第10期では3町の計画に共通指標を掲載していただく合意が、資料2の実効性の前提となる。あわせて3町の第10期計画の検討資料、策定工程、担当課の確認。</t>
        </is>
      </c>
      <c r="F21" s="5" t="inlineStr">
        <is>
          <t>素案 資料2
3町協議資料</t>
        </is>
      </c>
      <c r="G21" s="5" t="inlineStr">
        <is>
          <t>発注者・3町</t>
        </is>
      </c>
      <c r="H21" s="10" t="inlineStr">
        <is>
          <t>確認待ち</t>
        </is>
      </c>
      <c r="I21" s="10" t="inlineStr">
        <is>
          <t>R8.10</t>
        </is>
      </c>
      <c r="J21" s="11" t="inlineStr"/>
    </row>
    <row r="22" ht="88" customHeight="1">
      <c r="A22" s="4" t="n">
        <v>18</v>
      </c>
      <c r="B22" s="4" t="inlineStr">
        <is>
          <t>(6)</t>
        </is>
      </c>
      <c r="C22" s="4" t="inlineStr">
        <is>
          <t>R8.10</t>
        </is>
      </c>
      <c r="D22" s="5" t="inlineStr">
        <is>
          <t>骨子案の取扱い</t>
        </is>
      </c>
      <c r="E22" s="5" t="inlineStr">
        <is>
          <t>仕様書は骨子案・計画素案・計画最終案・概要版原稿の作成を求めている。現在、骨子案の内容は計画素案（第10稿）に統合して先行作成しているが、骨子案を別に作成する必要があるかの確認。</t>
        </is>
      </c>
      <c r="F22" s="5" t="inlineStr">
        <is>
          <t>骨子案</t>
        </is>
      </c>
      <c r="G22" s="5" t="inlineStr">
        <is>
          <t>発注者</t>
        </is>
      </c>
      <c r="H22" s="10" t="inlineStr">
        <is>
          <t>確認待ち</t>
        </is>
      </c>
      <c r="I22" s="10" t="inlineStr">
        <is>
          <t>R8.9</t>
        </is>
      </c>
      <c r="J22" s="11" t="inlineStr"/>
    </row>
    <row r="23" ht="88" customHeight="1">
      <c r="A23" s="4" t="n">
        <v>19</v>
      </c>
      <c r="B23" s="4" t="inlineStr">
        <is>
          <t>(8)(9)</t>
        </is>
      </c>
      <c r="C23" s="4" t="inlineStr">
        <is>
          <t>R8.8</t>
        </is>
      </c>
      <c r="D23" s="5" t="inlineStr">
        <is>
          <t>会議日程とパブリックコメントの期間</t>
        </is>
      </c>
      <c r="E23" s="5" t="inlineStr">
        <is>
          <t>①介護保険事業計画策定委員会（運営協議会）の開催日程、審議事項、資料提出期限、②パブリックコメントの実施期間、③町別値・少数値の公表基準。工程の確定と資料作成の逆算に必要。</t>
        </is>
      </c>
      <c r="F23" s="5" t="inlineStr">
        <is>
          <t>委員会資料原案
パブリックコメント資料</t>
        </is>
      </c>
      <c r="G23" s="5" t="inlineStr">
        <is>
          <t>発注者</t>
        </is>
      </c>
      <c r="H23" s="10" t="inlineStr">
        <is>
          <t>確認待ち</t>
        </is>
      </c>
      <c r="I23" s="10" t="inlineStr">
        <is>
          <t>R8.8</t>
        </is>
      </c>
      <c r="J23" s="11" t="inlineStr"/>
    </row>
    <row r="24" ht="88" customHeight="1">
      <c r="A24" s="4" t="n">
        <v>20</v>
      </c>
      <c r="B24" s="4" t="inlineStr">
        <is>
          <t>(8)</t>
        </is>
      </c>
      <c r="C24" s="4" t="inlineStr">
        <is>
          <t>R8.9</t>
        </is>
      </c>
      <c r="D24" s="5" t="inlineStr">
        <is>
          <t>北海道・圏域との調整の場</t>
        </is>
      </c>
      <c r="E24" s="5" t="inlineStr">
        <is>
          <t>上川中部高齢者保健福祉圏域に関する北海道の調整方針、圏域連絡協議会の資料、及び圏域単位の協議の場の設置予定。24時間対応サービスの確保方策（第6章第4節）の検討に必要。</t>
        </is>
      </c>
      <c r="F24" s="5" t="inlineStr">
        <is>
          <t>素案 第6章第4節</t>
        </is>
      </c>
      <c r="G24" s="5" t="inlineStr">
        <is>
          <t>発注者・北海道</t>
        </is>
      </c>
      <c r="H24" s="10" t="inlineStr">
        <is>
          <t>確認待ち</t>
        </is>
      </c>
      <c r="I24" s="10" t="inlineStr">
        <is>
          <t>R8.10</t>
        </is>
      </c>
      <c r="J24" s="11" t="inlineStr"/>
    </row>
    <row r="25" ht="88" customHeight="1">
      <c r="A25" s="4" t="n">
        <v>21</v>
      </c>
      <c r="B25" s="4" t="inlineStr">
        <is>
          <t>(10)</t>
        </is>
      </c>
      <c r="C25" s="4" t="inlineStr">
        <is>
          <t>R8.10</t>
        </is>
      </c>
      <c r="D25" s="5" t="inlineStr">
        <is>
          <t>成果品の仕様</t>
        </is>
      </c>
      <c r="E25" s="5" t="inlineStr">
        <is>
          <t>①本文100頁程度に対する章別のページ配分、②図表の本文掲載点数の上限、③概要版の頁数と体裁、④印刷・製本の入稿期限。図表集は33シート133点あり、本文に何点まで掲載するかの決定を要する。</t>
        </is>
      </c>
      <c r="F25" s="5" t="inlineStr">
        <is>
          <t>計画書（印刷200部）
概要版</t>
        </is>
      </c>
      <c r="G25" s="5" t="inlineStr">
        <is>
          <t>発注者</t>
        </is>
      </c>
      <c r="H25" s="10" t="inlineStr">
        <is>
          <t>確認待ち</t>
        </is>
      </c>
      <c r="I25" s="10" t="inlineStr">
        <is>
          <t>R8.10</t>
        </is>
      </c>
      <c r="J25" s="11" t="inlineStr"/>
    </row>
    <row r="26" ht="88" customHeight="1">
      <c r="A26" s="4" t="n">
        <v>22</v>
      </c>
      <c r="B26" s="4" t="inlineStr">
        <is>
          <t>(1)</t>
        </is>
      </c>
      <c r="C26" s="4" t="inlineStr">
        <is>
          <t>R8.9</t>
        </is>
      </c>
      <c r="D26" s="5" t="inlineStr">
        <is>
          <t>北海道の評価指標の読替えの考え方</t>
        </is>
      </c>
      <c r="E26" s="5" t="inlineStr">
        <is>
          <t>北海道の評価指標には「市町村数」を単位とするものが多く、1保険者である当広域連合にはそのまま適用できない。北海道が管内の広域連合（道内24広域連合）に対して読替えの考え方を示しているかどうか。示されていない場合は、①日常生活圏域数、②実数・率、③3町のうち実施している町数のいずれに置き換えるかの決定を要する。</t>
        </is>
      </c>
      <c r="F26" s="5" t="inlineStr">
        <is>
          <t>素案 第1章第6節
追加調査報告書 04シート</t>
        </is>
      </c>
      <c r="G26" s="5" t="inlineStr">
        <is>
          <t>発注者・北海道</t>
        </is>
      </c>
      <c r="H26" s="10" t="inlineStr">
        <is>
          <t>確認待ち</t>
        </is>
      </c>
      <c r="I26" s="10" t="inlineStr">
        <is>
          <t>R8.9</t>
        </is>
      </c>
      <c r="J26" s="11" t="inlineStr"/>
    </row>
    <row r="27" ht="88" customHeight="1">
      <c r="A27" s="4" t="n">
        <v>23</v>
      </c>
      <c r="B27" s="4" t="inlineStr">
        <is>
          <t>(2)</t>
        </is>
      </c>
      <c r="C27" s="4" t="inlineStr">
        <is>
          <t>R8.9</t>
        </is>
      </c>
      <c r="D27" s="5" t="inlineStr">
        <is>
          <t>事業所の定員・稼働率データ</t>
        </is>
      </c>
      <c r="E27" s="5" t="inlineStr">
        <is>
          <t>①地域密着型通所介護4事業所の定員、登録者数、延べ利用者数（令和4〜8年度）、②施設・居住系サービスの入所者数・空床・休止床。地域密着型通所介護は事業所数4で不変、従事者は増加しているのに給付費が27.0％減少しており、稼働率の低下が疑われる。第10期基本指針案の別表 七が求める入所率・稼働率の把握にも必要。</t>
        </is>
      </c>
      <c r="F27" s="5" t="inlineStr">
        <is>
          <t>素案 第2章第3節・第6章第4節
図21・図22</t>
        </is>
      </c>
      <c r="G27" s="5" t="inlineStr">
        <is>
          <t>発注者・3町</t>
        </is>
      </c>
      <c r="H27" s="10" t="inlineStr">
        <is>
          <t>確認待ち</t>
        </is>
      </c>
      <c r="I27" s="10" t="inlineStr">
        <is>
          <t>R8.10</t>
        </is>
      </c>
      <c r="J27" s="11" t="inlineStr"/>
    </row>
    <row r="28" ht="88" customHeight="1">
      <c r="A28" s="4" t="n">
        <v>24</v>
      </c>
      <c r="B28" s="4" t="inlineStr">
        <is>
          <t>(6)</t>
        </is>
      </c>
      <c r="C28" s="4" t="inlineStr">
        <is>
          <t>R8.11</t>
        </is>
      </c>
      <c r="D28" s="5" t="inlineStr">
        <is>
          <t>24時間対応サービスの確保方策の決定</t>
        </is>
      </c>
      <c r="E28" s="5" t="inlineStr">
        <is>
          <t>定期巡回・随時対応型訪問介護看護、夜間対応型訪問介護、看護小規模多機能型居宅介護の3種別は制度創設以来13年間、区域内に事業所がない。①区域内に整備する、②区域外（旭川市）の事業所の利用により確保する、③特定地域居宅サービス等事業として広域連合が実施する、④整備しない、のいずれかの決定を要する。決定しないと第6章第2節の地域密着型サービスの見込量が確定しない。</t>
        </is>
      </c>
      <c r="F28" s="5" t="inlineStr">
        <is>
          <t>素案 第6章第2節・第4節
見込量表（3種別）</t>
        </is>
      </c>
      <c r="G28" s="5" t="inlineStr">
        <is>
          <t>発注者</t>
        </is>
      </c>
      <c r="H28" s="10" t="inlineStr">
        <is>
          <t>確認待ち</t>
        </is>
      </c>
      <c r="I28" s="10" t="inlineStr">
        <is>
          <t>R8.11</t>
        </is>
      </c>
      <c r="J28" s="11" t="inlineStr"/>
    </row>
    <row r="29" ht="88" customHeight="1">
      <c r="A29" s="4" t="n">
        <v>25</v>
      </c>
      <c r="B29" s="4" t="inlineStr">
        <is>
          <t>(6)</t>
        </is>
      </c>
      <c r="C29" s="4" t="inlineStr">
        <is>
          <t>R8.11</t>
        </is>
      </c>
      <c r="D29" s="5" t="inlineStr">
        <is>
          <t>代表KPIの目標値の決定</t>
        </is>
      </c>
      <c r="E29" s="5" t="inlineStr">
        <is>
          <t>計画素案で［要協議］としている代表KPIの令和11年度目標値。基準値が確定している指標については目標水準の考え方（維持・改善・低下抑制）の決定を、調査結果を要する指標については調査データの受領後の設定を要する。認定率や利用率は一律に低下を目標とせず、適正水準と要因を評価する方針としている。</t>
        </is>
      </c>
      <c r="F29" s="5" t="inlineStr">
        <is>
          <t>素案 第4章第3節・第5章
全16KPIの目標値</t>
        </is>
      </c>
      <c r="G29" s="5" t="inlineStr">
        <is>
          <t>発注者</t>
        </is>
      </c>
      <c r="H29" s="10" t="inlineStr">
        <is>
          <t>確認待ち</t>
        </is>
      </c>
      <c r="I29" s="10" t="inlineStr">
        <is>
          <t>R8.12</t>
        </is>
      </c>
      <c r="J29" s="11" t="inlineStr"/>
    </row>
    <row r="30" ht="88" customHeight="1">
      <c r="A30" s="4" t="n">
        <v>26</v>
      </c>
      <c r="B30" s="4" t="inlineStr">
        <is>
          <t>(4)</t>
        </is>
      </c>
      <c r="C30" s="4" t="inlineStr">
        <is>
          <t>R8.10</t>
        </is>
      </c>
      <c r="D30" s="5" t="inlineStr">
        <is>
          <t>認知症・医療介護連携の実績データ</t>
        </is>
      </c>
      <c r="E30" s="5" t="inlineStr">
        <is>
          <t>見える化システムのJ系列（認知症）及びL20〜L26（診療報酬側の連携指標）は当広域連合のデータ登録がなく取得できない。①認知症初期集中支援チームの訪問実績、認知症地域支援推進員の配置人数、認知症カフェの箇所数等（3町）、②医療側からの連携の実施状況（上川中部圏域の医療機関又は北海道の医療計画・地域医療構想の資料）。</t>
        </is>
      </c>
      <c r="F30" s="5" t="inlineStr">
        <is>
          <t>素案 第5章 基本目標1・5
図表集 認知症・医療連携</t>
        </is>
      </c>
      <c r="G30" s="5" t="inlineStr">
        <is>
          <t>発注者・3町・北海道</t>
        </is>
      </c>
      <c r="H30" s="10" t="inlineStr">
        <is>
          <t>確認待ち</t>
        </is>
      </c>
      <c r="I30" s="10" t="inlineStr">
        <is>
          <t>R8.10</t>
        </is>
      </c>
      <c r="J30" s="11" t="inlineStr"/>
    </row>
    <row r="31" ht="88" customHeight="1">
      <c r="A31" s="4" t="n">
        <v>27</v>
      </c>
      <c r="B31" s="4" t="inlineStr">
        <is>
          <t>(3)</t>
        </is>
      </c>
      <c r="C31" s="4" t="inlineStr">
        <is>
          <t>R8.9</t>
        </is>
      </c>
      <c r="D31" s="5" t="inlineStr">
        <is>
          <t>令和4年度 健康とくらしの調査の集計表</t>
        </is>
      </c>
      <c r="E31" s="5" t="inlineStr">
        <is>
          <t>第9期からの変化を検定するため、令和4年度調査の有効回答数（指標別）と集計表。現在は有効回答数を4,700と仮定して2標本の検定を行っており、4,000〜5,000の範囲では判定が変わらないことを確認しているが、確定値による検証を要する。</t>
        </is>
      </c>
      <c r="F31" s="5" t="inlineStr">
        <is>
          <t>調査クロス集計・分析 14シート
素案 第2章第4節</t>
        </is>
      </c>
      <c r="G31" s="5" t="inlineStr">
        <is>
          <t>発注者</t>
        </is>
      </c>
      <c r="H31" s="10" t="inlineStr">
        <is>
          <t>確認待ち</t>
        </is>
      </c>
      <c r="I31" s="10" t="inlineStr">
        <is>
          <t>R8.9</t>
        </is>
      </c>
      <c r="J31" s="11" t="inlineStr"/>
    </row>
    <row r="32" ht="88" customHeight="1">
      <c r="A32" s="4" t="n">
        <v>28</v>
      </c>
      <c r="B32" s="4" t="inlineStr">
        <is>
          <t>(3)</t>
        </is>
      </c>
      <c r="C32" s="4" t="inlineStr">
        <is>
          <t>R8.9</t>
        </is>
      </c>
      <c r="D32" s="5" t="inlineStr">
        <is>
          <t>調査対象者の範囲の確認</t>
        </is>
      </c>
      <c r="E32" s="5" t="inlineStr">
        <is>
          <t>令和7年度 健康とくらしの調査の対象者は「一般高齢者＋総合事業対象者」であり、要支援者・要介護者を含まないことを調査報告書で確認した。この理解で相違ないか、及び第10期の各調査（在宅生活改善・居所変更・介護人材）の対象者の範囲。母集団が異なる指標を併記する際の前提となる。</t>
        </is>
      </c>
      <c r="F32" s="5" t="inlineStr">
        <is>
          <t>調査クロス集計・分析 13・14シート
H06・H11の基準値</t>
        </is>
      </c>
      <c r="G32" s="5" t="inlineStr">
        <is>
          <t>発注者</t>
        </is>
      </c>
      <c r="H32" s="10" t="inlineStr">
        <is>
          <t>確認待ち</t>
        </is>
      </c>
      <c r="I32" s="10" t="inlineStr">
        <is>
          <t>R8.9</t>
        </is>
      </c>
      <c r="J32" s="11" t="inlineStr"/>
    </row>
    <row r="34" ht="32" customHeight="1">
      <c r="A34" s="3" t="inlineStr">
        <is>
          <t>区分</t>
        </is>
      </c>
      <c r="B34" s="3" t="inlineStr">
        <is>
          <t>件数</t>
        </is>
      </c>
      <c r="C34" s="3" t="inlineStr"/>
      <c r="D34" s="3" t="inlineStr"/>
      <c r="E34" s="3" t="inlineStr"/>
      <c r="F34" s="3" t="inlineStr"/>
      <c r="G34" s="3" t="inlineStr"/>
      <c r="H34" s="3" t="inlineStr"/>
      <c r="I34" s="3" t="inlineStr"/>
      <c r="J34" s="3" t="inlineStr"/>
    </row>
    <row r="35" ht="20" customHeight="1">
      <c r="A35" s="6" t="inlineStr">
        <is>
          <t>完了</t>
        </is>
      </c>
      <c r="B35" s="4">
        <f>COUNTIF(H5:H32,"完了")</f>
        <v/>
      </c>
      <c r="C35" s="5" t="inlineStr"/>
      <c r="D35" s="5" t="inlineStr"/>
      <c r="E35" s="5" t="inlineStr"/>
      <c r="F35" s="5" t="inlineStr"/>
      <c r="G35" s="5" t="inlineStr"/>
      <c r="H35" s="5" t="inlineStr"/>
      <c r="I35" s="5" t="inlineStr"/>
      <c r="J35" s="5" t="inlineStr"/>
    </row>
    <row r="36" ht="20" customHeight="1">
      <c r="A36" s="8" t="inlineStr">
        <is>
          <t>実施中</t>
        </is>
      </c>
      <c r="B36" s="4">
        <f>COUNTIF(H5:H32,"実施中")</f>
        <v/>
      </c>
      <c r="C36" s="5" t="inlineStr"/>
      <c r="D36" s="5" t="inlineStr"/>
      <c r="E36" s="5" t="inlineStr"/>
      <c r="F36" s="5" t="inlineStr"/>
      <c r="G36" s="5" t="inlineStr"/>
      <c r="H36" s="5" t="inlineStr"/>
      <c r="I36" s="5" t="inlineStr"/>
      <c r="J36" s="5" t="inlineStr"/>
    </row>
    <row r="37" ht="20" customHeight="1">
      <c r="A37" s="10" t="inlineStr">
        <is>
          <t>確認待ち</t>
        </is>
      </c>
      <c r="B37" s="4">
        <f>COUNTIF(H5:H32,"確認待ち")</f>
        <v/>
      </c>
      <c r="C37" s="5" t="inlineStr"/>
      <c r="D37" s="5" t="inlineStr"/>
      <c r="E37" s="5" t="inlineStr"/>
      <c r="F37" s="5" t="inlineStr"/>
      <c r="G37" s="5" t="inlineStr"/>
      <c r="H37" s="5" t="inlineStr"/>
      <c r="I37" s="5" t="inlineStr"/>
      <c r="J37" s="5" t="inlineStr"/>
    </row>
    <row r="38" ht="20" customHeight="1">
      <c r="A38" s="12" t="inlineStr">
        <is>
          <t>未着手</t>
        </is>
      </c>
      <c r="B38" s="4">
        <f>COUNTIF(H5:H32,"未着手")</f>
        <v/>
      </c>
      <c r="C38" s="5" t="inlineStr"/>
      <c r="D38" s="5" t="inlineStr"/>
      <c r="E38" s="5" t="inlineStr"/>
      <c r="F38" s="5" t="inlineStr"/>
      <c r="G38" s="5" t="inlineStr"/>
      <c r="H38" s="5" t="inlineStr"/>
      <c r="I38" s="5" t="inlineStr"/>
      <c r="J38" s="5" t="inlineStr"/>
    </row>
    <row r="39" ht="20" customHeight="1">
      <c r="A39" s="14" t="inlineStr">
        <is>
          <t>対象外</t>
        </is>
      </c>
      <c r="B39" s="4">
        <f>COUNTIF(H5:H32,"対象外")</f>
        <v/>
      </c>
      <c r="C39" s="5" t="inlineStr"/>
      <c r="D39" s="5" t="inlineStr"/>
      <c r="E39" s="5" t="inlineStr"/>
      <c r="F39" s="5" t="inlineStr"/>
      <c r="G39" s="5" t="inlineStr"/>
      <c r="H39" s="5" t="inlineStr"/>
      <c r="I39" s="5" t="inlineStr"/>
      <c r="J39" s="5" t="inlineStr"/>
    </row>
    <row r="41" ht="32" customHeight="1">
      <c r="A41" s="3" t="inlineStr">
        <is>
          <t>確認先</t>
        </is>
      </c>
      <c r="B41" s="3" t="inlineStr">
        <is>
          <t>件数</t>
        </is>
      </c>
      <c r="C41" s="3" t="inlineStr"/>
      <c r="D41" s="3" t="inlineStr"/>
      <c r="E41" s="3" t="inlineStr"/>
      <c r="F41" s="3" t="inlineStr"/>
      <c r="G41" s="3" t="inlineStr"/>
      <c r="H41" s="3" t="inlineStr"/>
      <c r="I41" s="3" t="inlineStr"/>
      <c r="J41" s="3" t="inlineStr"/>
    </row>
    <row r="42" ht="20" customHeight="1">
      <c r="A42" s="5" t="inlineStr">
        <is>
          <t>発注者</t>
        </is>
      </c>
      <c r="B42" s="4">
        <f>COUNTIF(G5:G32,"発注者")</f>
        <v/>
      </c>
      <c r="C42" s="5" t="inlineStr"/>
      <c r="D42" s="5" t="inlineStr"/>
      <c r="E42" s="5" t="inlineStr"/>
      <c r="F42" s="5" t="inlineStr"/>
      <c r="G42" s="5" t="inlineStr"/>
      <c r="H42" s="5" t="inlineStr"/>
      <c r="I42" s="5" t="inlineStr"/>
      <c r="J42" s="5" t="inlineStr"/>
    </row>
    <row r="43" ht="20" customHeight="1">
      <c r="A43" s="5" t="inlineStr">
        <is>
          <t>発注者・3町</t>
        </is>
      </c>
      <c r="B43" s="4">
        <f>COUNTIF(G5:G32,"発注者・3町")</f>
        <v/>
      </c>
      <c r="C43" s="5" t="inlineStr"/>
      <c r="D43" s="5" t="inlineStr"/>
      <c r="E43" s="5" t="inlineStr"/>
      <c r="F43" s="5" t="inlineStr"/>
      <c r="G43" s="5" t="inlineStr"/>
      <c r="H43" s="5" t="inlineStr"/>
      <c r="I43" s="5" t="inlineStr"/>
      <c r="J43" s="5" t="inlineStr"/>
    </row>
    <row r="44" ht="20" customHeight="1">
      <c r="A44" s="5" t="inlineStr">
        <is>
          <t>発注者・北海道</t>
        </is>
      </c>
      <c r="B44" s="4">
        <f>COUNTIF(G5:G32,"発注者・北海道")</f>
        <v/>
      </c>
      <c r="C44" s="5" t="inlineStr"/>
      <c r="D44" s="5" t="inlineStr"/>
      <c r="E44" s="5" t="inlineStr"/>
      <c r="F44" s="5" t="inlineStr"/>
      <c r="G44" s="5" t="inlineStr"/>
      <c r="H44" s="5" t="inlineStr"/>
      <c r="I44" s="5" t="inlineStr"/>
      <c r="J44" s="5" t="inlineStr"/>
    </row>
    <row r="45" ht="20" customHeight="1">
      <c r="A45" s="5" t="inlineStr">
        <is>
          <t>発注者・3町・北海道</t>
        </is>
      </c>
      <c r="B45" s="4">
        <f>COUNTIF(G5:G32,"発注者・3町・北海道")</f>
        <v/>
      </c>
      <c r="C45" s="5" t="inlineStr"/>
      <c r="D45" s="5" t="inlineStr"/>
      <c r="E45" s="5" t="inlineStr"/>
      <c r="F45" s="5" t="inlineStr"/>
      <c r="G45" s="5" t="inlineStr"/>
      <c r="H45" s="5" t="inlineStr"/>
      <c r="I45" s="5" t="inlineStr"/>
      <c r="J45" s="5" t="inlineStr"/>
    </row>
    <row r="46" ht="20" customHeight="1">
      <c r="A46" s="5" t="inlineStr">
        <is>
          <t>北海道</t>
        </is>
      </c>
      <c r="B46" s="4">
        <f>COUNTIF(G5:G32,"北海道")</f>
        <v/>
      </c>
      <c r="C46" s="5" t="inlineStr"/>
      <c r="D46" s="5" t="inlineStr"/>
      <c r="E46" s="5" t="inlineStr"/>
      <c r="F46" s="5" t="inlineStr"/>
      <c r="G46" s="5" t="inlineStr"/>
      <c r="H46" s="5" t="inlineStr"/>
      <c r="I46" s="5" t="inlineStr"/>
      <c r="J46" s="5" t="inlineStr"/>
    </row>
    <row r="48" ht="28" customHeight="1">
      <c r="A48" s="16" t="inlineStr">
        <is>
          <t>注1）本シートの確認事項は、計画素案の本文には注記として記載しない。本文には確定していない数値を［要協議］［要確認］［要内訳］として残すにとどめ、その解消に必要な作業は本シートで管理する。注2）「止めている成果物」が確定しない限り、当該成果物を含む工程は完了しない。01シートの「未了の理由・次の作業」及び02シートの「備考・次工程への条件」と対応する。注3）確認事項の詳細な背景と根拠は、妥当性検証報告書及び追加調査報告書に記載している。発注者への依頼文としては確認依頼書（第8版）を別途提出している。</t>
        </is>
      </c>
    </row>
  </sheetData>
  <mergeCells count="3">
    <mergeCell ref="A1:J1"/>
    <mergeCell ref="A48:J48"/>
    <mergeCell ref="A2:J2"/>
  </mergeCells>
  <conditionalFormatting sqref="H5:H3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H5:H32"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34" customWidth="1" min="3" max="3"/>
    <col width="30" customWidth="1" min="4" max="4"/>
    <col width="9" customWidth="1" min="5" max="5"/>
    <col width="12" customWidth="1" min="6" max="6"/>
    <col width="12" customWidth="1" min="7" max="7"/>
    <col width="30" customWidth="1" min="8" max="8"/>
    <col width="26" customWidth="1" min="9" max="9"/>
  </cols>
  <sheetData>
    <row r="1" ht="26" customHeight="1">
      <c r="A1" s="1" t="inlineStr">
        <is>
          <t>仕様書４（10）　成果品の管理</t>
        </is>
      </c>
    </row>
    <row r="2" ht="52" customHeight="1">
      <c r="A2" s="2" t="inlineStr">
        <is>
          <t>仕様書４（10）が定める納品物と、その作成状況を管理する。成果品は編集可能な電子データ（Word、Excel等）及びPDF形式により提出し、図表、グラフ及び統計資料についても発注者が加工可能な形式で納品する。計画骨子案・計画素案・計画最終案その他発注者が必要と認める資料は、発注者が指定する期日までに提出する。</t>
        </is>
      </c>
    </row>
    <row r="4" ht="32" customHeight="1">
      <c r="A4" s="3" t="inlineStr">
        <is>
          <t>No.</t>
        </is>
      </c>
      <c r="B4" s="3" t="inlineStr">
        <is>
          <t>納品物（仕様書４（10））</t>
        </is>
      </c>
      <c r="C4" s="3" t="inlineStr">
        <is>
          <t>現在のファイル・稿</t>
        </is>
      </c>
      <c r="D4" s="3" t="inlineStr">
        <is>
          <t>形式・仕様</t>
        </is>
      </c>
      <c r="E4" s="3" t="inlineStr">
        <is>
          <t>状態</t>
        </is>
      </c>
      <c r="F4" s="3" t="inlineStr">
        <is>
          <t>進捗</t>
        </is>
      </c>
      <c r="G4" s="3" t="inlineStr">
        <is>
          <t>納品期日</t>
        </is>
      </c>
      <c r="H4" s="3" t="inlineStr">
        <is>
          <t>確定していない事項</t>
        </is>
      </c>
      <c r="I4" s="3" t="inlineStr">
        <is>
          <t>確認事項No.</t>
        </is>
      </c>
    </row>
    <row r="5" ht="76" customHeight="1">
      <c r="A5" s="4" t="n">
        <v>1</v>
      </c>
      <c r="B5" s="5" t="inlineStr">
        <is>
          <t>第10期介護保険事業計画書
（A4判表紙レザック本文1色
100頁程度）200部</t>
        </is>
      </c>
      <c r="C5" s="5" t="inlineStr">
        <is>
          <t>第10期介護保険事業計画_素案_第10稿.docx
（577段落・98表・34図）</t>
        </is>
      </c>
      <c r="D5" s="5" t="inlineStr">
        <is>
          <t>印刷・製本200部
入稿用PDF及びWord</t>
        </is>
      </c>
      <c r="E5" s="8" t="inlineStr">
        <is>
          <t>実施中</t>
        </is>
      </c>
      <c r="F5" s="20" t="n">
        <v>0.55</v>
      </c>
      <c r="G5" s="10" t="inlineStr">
        <is>
          <t>R9.3</t>
        </is>
      </c>
      <c r="H5" s="11" t="inlineStr">
        <is>
          <t>①本文100頁程度に対する章別のページ配分、②図表の本文掲載点数の上限、③印刷・製本の入稿期限。図表集は133点あり、本文への掲載点数の決定を要する。また未確定の数値を［要協議］［要確認］［要内訳］として本文に残している。</t>
        </is>
      </c>
      <c r="I5" s="5" t="inlineStr">
        <is>
          <t>21</t>
        </is>
      </c>
    </row>
    <row r="6" ht="76" customHeight="1">
      <c r="A6" s="4" t="n">
        <v>2</v>
      </c>
      <c r="B6" s="5" t="inlineStr">
        <is>
          <t>第10期介護保険事業計画書及び
概要版電子データ
（Word、Excel、PDF等）一式</t>
        </is>
      </c>
      <c r="C6" s="5" t="inlineStr">
        <is>
          <t>計画書：作成中（上記）
概要版：未着手</t>
        </is>
      </c>
      <c r="D6" s="5" t="inlineStr">
        <is>
          <t>Word（編集可能）
及びPDF</t>
        </is>
      </c>
      <c r="E6" s="12" t="inlineStr">
        <is>
          <t>未着手</t>
        </is>
      </c>
      <c r="F6" s="20" t="n">
        <v>0</v>
      </c>
      <c r="G6" s="10" t="inlineStr">
        <is>
          <t>R9.3</t>
        </is>
      </c>
      <c r="H6" s="11" t="inlineStr">
        <is>
          <t>概要版の頁数、体裁、掲載内容（本文からの抜粋範囲）。仕様書は概要版の仕様を定めていないため、発注者の指定を要する。</t>
        </is>
      </c>
      <c r="I6" s="5" t="inlineStr">
        <is>
          <t>21</t>
        </is>
      </c>
    </row>
    <row r="7" ht="76" customHeight="1">
      <c r="A7" s="4" t="n">
        <v>3</v>
      </c>
      <c r="B7" s="5" t="inlineStr">
        <is>
          <t>分析資料、推計資料、図表、
グラフ、クロス集計表等
電子データ 一式</t>
        </is>
      </c>
      <c r="C7" s="5" t="inlineStr">
        <is>
          <t>第10期計画_調査クロス集計・分析.xlsx（13シート）
第10期計画_図表集_白黒.xlsx（33シート133点）
第10期計画_妥当性検証報告書.xlsx（24シート）
第10期計画_追加調査報告書.xlsx（8シート）
第10期計画_施策体系新旧対照表.xlsx（5シート）
figures/*.png（34点）</t>
        </is>
      </c>
      <c r="D7" s="5" t="inlineStr">
        <is>
          <t>Excel（計算式・元数値を保持）
PNG及びPDF</t>
        </is>
      </c>
      <c r="E7" s="8" t="inlineStr">
        <is>
          <t>実施中</t>
        </is>
      </c>
      <c r="F7" s="20" t="n">
        <v>0.7</v>
      </c>
      <c r="G7" s="10" t="inlineStr">
        <is>
          <t>R9.3</t>
        </is>
      </c>
      <c r="H7" s="11" t="inlineStr">
        <is>
          <t>①推計資料（人口推計・サービス見込量・保険料算定）が未作成。②クロス集計表は健康とくらしの調査分を作成済み。他の3調査分は第10期データの受領後に作成する。③図表の元数値はシート内に保持しているが、発注者側での再計算を想定した様式の指定があれば合わせる。</t>
        </is>
      </c>
      <c r="I7" s="5" t="inlineStr">
        <is>
          <t>8, 9, 11, 14</t>
        </is>
      </c>
    </row>
    <row r="8" ht="76" customHeight="1">
      <c r="A8" s="4" t="n">
        <v>4</v>
      </c>
      <c r="B8" s="5" t="inlineStr">
        <is>
          <t>打合せ資料、会議資料原案
その他業務で作成した資料 一式</t>
        </is>
      </c>
      <c r="C8" s="5" t="inlineStr">
        <is>
          <t>第10期計画_確認依頼書.docx（第8版）
第10期計画素案_第9稿→第10稿_修正指示書.xlsx（66件）
第10期計画_業務工程管理表.xlsx（本表）</t>
        </is>
      </c>
      <c r="D8" s="5" t="inlineStr">
        <is>
          <t>Word及びExcel</t>
        </is>
      </c>
      <c r="E8" s="8" t="inlineStr">
        <is>
          <t>実施中</t>
        </is>
      </c>
      <c r="F8" s="20" t="n">
        <v>0.35</v>
      </c>
      <c r="G8" s="10" t="inlineStr">
        <is>
          <t>R9.3</t>
        </is>
      </c>
      <c r="H8" s="11" t="inlineStr">
        <is>
          <t>①キックオフ会議資料は日程確定後に作成する。②運営協議会等への資料原案は開催日程と審議事項の確定を要する。③パブリックコメント資料は実施期間の確定を要する。</t>
        </is>
      </c>
      <c r="I8" s="5" t="inlineStr">
        <is>
          <t>19</t>
        </is>
      </c>
    </row>
    <row r="9" ht="76" customHeight="1">
      <c r="A9" s="4" t="n">
        <v>5</v>
      </c>
      <c r="B9" s="5" t="inlineStr">
        <is>
          <t>計画骨子案
（発注者が必要と認める資料）</t>
        </is>
      </c>
      <c r="C9" s="5" t="inlineStr">
        <is>
          <t>計画素案（第10稿）に統合して先行作成</t>
        </is>
      </c>
      <c r="D9" s="5" t="inlineStr">
        <is>
          <t>Word及びPDF</t>
        </is>
      </c>
      <c r="E9" s="10" t="inlineStr">
        <is>
          <t>確認待ち</t>
        </is>
      </c>
      <c r="F9" s="20" t="n">
        <v>0.7</v>
      </c>
      <c r="G9" s="10" t="inlineStr">
        <is>
          <t>R8.11</t>
        </is>
      </c>
      <c r="H9" s="11" t="inlineStr">
        <is>
          <t>骨子案を計画素案とは別に作成する必要があるかの確認。仕様書５は令和8年10月に骨子案作成、11月に骨子の整理としている。</t>
        </is>
      </c>
      <c r="I9" s="5" t="inlineStr">
        <is>
          <t>18</t>
        </is>
      </c>
    </row>
    <row r="10" ht="76" customHeight="1">
      <c r="A10" s="4" t="n">
        <v>6</v>
      </c>
      <c r="B10" s="5" t="inlineStr">
        <is>
          <t>計画素案
（発注者が必要と認める資料）</t>
        </is>
      </c>
      <c r="C10" s="5" t="inlineStr">
        <is>
          <t>第10期介護保険事業計画_素案_第10稿.docx</t>
        </is>
      </c>
      <c r="D10" s="5" t="inlineStr">
        <is>
          <t>Word及びPDF</t>
        </is>
      </c>
      <c r="E10" s="8" t="inlineStr">
        <is>
          <t>実施中</t>
        </is>
      </c>
      <c r="F10" s="20" t="n">
        <v>0.55</v>
      </c>
      <c r="G10" s="10" t="inlineStr">
        <is>
          <t>R8.12</t>
        </is>
      </c>
      <c r="H10" s="11" t="inlineStr">
        <is>
          <t>第6章の見込量・保険料が未算定。図表レイアウトを発注者にて確認中。</t>
        </is>
      </c>
      <c r="I10" s="5" t="inlineStr">
        <is>
          <t>14, 15, 16</t>
        </is>
      </c>
    </row>
    <row r="11" ht="76" customHeight="1">
      <c r="A11" s="4" t="n">
        <v>7</v>
      </c>
      <c r="B11" s="5" t="inlineStr">
        <is>
          <t>計画最終案
（発注者が必要と認める資料）</t>
        </is>
      </c>
      <c r="C11" s="5" t="inlineStr">
        <is>
          <t>未着手</t>
        </is>
      </c>
      <c r="D11" s="5" t="inlineStr">
        <is>
          <t>Word及びPDF</t>
        </is>
      </c>
      <c r="E11" s="12" t="inlineStr">
        <is>
          <t>未着手</t>
        </is>
      </c>
      <c r="F11" s="20" t="n">
        <v>0</v>
      </c>
      <c r="G11" s="10" t="inlineStr">
        <is>
          <t>R9.2</t>
        </is>
      </c>
      <c r="H11" s="11" t="inlineStr">
        <is>
          <t>パブリックコメントの意見反映後に作成する。</t>
        </is>
      </c>
      <c r="I11" s="5" t="inlineStr">
        <is>
          <t>19</t>
        </is>
      </c>
    </row>
    <row r="13" ht="32" customHeight="1">
      <c r="A13" s="3" t="inlineStr">
        <is>
          <t>区分</t>
        </is>
      </c>
      <c r="B13" s="3" t="inlineStr">
        <is>
          <t>件数</t>
        </is>
      </c>
      <c r="C13" s="3" t="inlineStr"/>
      <c r="D13" s="3" t="inlineStr"/>
      <c r="E13" s="3" t="inlineStr"/>
      <c r="F13" s="3" t="inlineStr"/>
      <c r="G13" s="3" t="inlineStr"/>
      <c r="H13" s="3" t="inlineStr"/>
      <c r="I13" s="3" t="inlineStr"/>
    </row>
    <row r="14" ht="20" customHeight="1">
      <c r="A14" s="6" t="inlineStr">
        <is>
          <t>完了</t>
        </is>
      </c>
      <c r="B14" s="4">
        <f>COUNTIF(E5:E11,"完了")</f>
        <v/>
      </c>
      <c r="C14" s="5" t="inlineStr"/>
      <c r="D14" s="5" t="inlineStr"/>
      <c r="E14" s="5" t="inlineStr"/>
      <c r="F14" s="5" t="inlineStr"/>
      <c r="G14" s="5" t="inlineStr"/>
      <c r="H14" s="5" t="inlineStr"/>
      <c r="I14" s="5" t="inlineStr"/>
    </row>
    <row r="15" ht="20" customHeight="1">
      <c r="A15" s="8" t="inlineStr">
        <is>
          <t>実施中</t>
        </is>
      </c>
      <c r="B15" s="4">
        <f>COUNTIF(E5:E11,"実施中")</f>
        <v/>
      </c>
      <c r="C15" s="5" t="inlineStr"/>
      <c r="D15" s="5" t="inlineStr"/>
      <c r="E15" s="5" t="inlineStr"/>
      <c r="F15" s="5" t="inlineStr"/>
      <c r="G15" s="5" t="inlineStr"/>
      <c r="H15" s="5" t="inlineStr"/>
      <c r="I15" s="5" t="inlineStr"/>
    </row>
    <row r="16" ht="20" customHeight="1">
      <c r="A16" s="10" t="inlineStr">
        <is>
          <t>確認待ち</t>
        </is>
      </c>
      <c r="B16" s="4">
        <f>COUNTIF(E5:E11,"確認待ち")</f>
        <v/>
      </c>
      <c r="C16" s="5" t="inlineStr"/>
      <c r="D16" s="5" t="inlineStr"/>
      <c r="E16" s="5" t="inlineStr"/>
      <c r="F16" s="5" t="inlineStr"/>
      <c r="G16" s="5" t="inlineStr"/>
      <c r="H16" s="5" t="inlineStr"/>
      <c r="I16" s="5" t="inlineStr"/>
    </row>
    <row r="17" ht="20" customHeight="1">
      <c r="A17" s="12" t="inlineStr">
        <is>
          <t>未着手</t>
        </is>
      </c>
      <c r="B17" s="4">
        <f>COUNTIF(E5:E11,"未着手")</f>
        <v/>
      </c>
      <c r="C17" s="5" t="inlineStr"/>
      <c r="D17" s="5" t="inlineStr"/>
      <c r="E17" s="5" t="inlineStr"/>
      <c r="F17" s="5" t="inlineStr"/>
      <c r="G17" s="5" t="inlineStr"/>
      <c r="H17" s="5" t="inlineStr"/>
      <c r="I17" s="5" t="inlineStr"/>
    </row>
    <row r="18" ht="20" customHeight="1">
      <c r="A18" s="14" t="inlineStr">
        <is>
          <t>対象外</t>
        </is>
      </c>
      <c r="B18" s="4">
        <f>COUNTIF(E5:E11,"対象外")</f>
        <v/>
      </c>
      <c r="C18" s="5" t="inlineStr"/>
      <c r="D18" s="5" t="inlineStr"/>
      <c r="E18" s="5" t="inlineStr"/>
      <c r="F18" s="5" t="inlineStr"/>
      <c r="G18" s="5" t="inlineStr"/>
      <c r="H18" s="5" t="inlineStr"/>
      <c r="I18" s="5" t="inlineStr"/>
    </row>
    <row r="20" ht="28" customHeight="1">
      <c r="A20" s="16" t="inlineStr">
        <is>
          <t>注1）成果品は編集可能な電子データ及びPDF形式により提出する。図表・グラフ・統計資料は、元数値と計算式を保持したExcelで納品する。注2）納品期日は仕様書５の月別工程から設定した予定であり、発注者が指定する期日が示された場合はそれによる。注3）「確定していない事項」は、当該成果品を完成させるために解消が必要な事項である。詳細は03シートの確認事項No.に対応する。</t>
        </is>
      </c>
    </row>
  </sheetData>
  <mergeCells count="3">
    <mergeCell ref="A1:I1"/>
    <mergeCell ref="A20:I20"/>
    <mergeCell ref="A2:I2"/>
  </mergeCells>
  <conditionalFormatting sqref="E5:E1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E5:E11"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7"/>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1" customWidth="1" min="4" max="4"/>
    <col width="11" customWidth="1" min="5" max="5"/>
    <col width="11" customWidth="1" min="6" max="6"/>
    <col width="11" customWidth="1" min="7" max="7"/>
    <col width="11" customWidth="1" min="8" max="8"/>
    <col width="26" customWidth="1" min="9" max="9"/>
    <col width="26" customWidth="1" min="10" max="10"/>
  </cols>
  <sheetData>
    <row r="1" ht="26" customHeight="1">
      <c r="A1" s="1" t="inlineStr">
        <is>
          <t>仕様書４（3）　実施済み調査結果の集計・分析の状況</t>
        </is>
      </c>
    </row>
    <row r="2" ht="52" customHeight="1">
      <c r="A2" s="2" t="inlineStr">
        <is>
          <t>仕様書４（3）が定める対象4調査について、資料の受領から分析・計画への反映までを段階別に管理する。仕様書は「新たなアンケート調査の企画、設計、配布、回収、入力及び督促は行わない」と定めており、本業務の範囲は貸与資料に基づく集計・クロス集計・分析・課題整理・計画への反映である。</t>
        </is>
      </c>
    </row>
    <row r="4" ht="32" customHeight="1">
      <c r="A4" s="3" t="inlineStr">
        <is>
          <t>No.</t>
        </is>
      </c>
      <c r="B4" s="3" t="inlineStr">
        <is>
          <t>対象調査</t>
        </is>
      </c>
      <c r="C4" s="3" t="inlineStr">
        <is>
          <t>計画での用途</t>
        </is>
      </c>
      <c r="D4" s="3" t="inlineStr">
        <is>
          <t>①資料の受領</t>
        </is>
      </c>
      <c r="E4" s="3" t="inlineStr">
        <is>
          <t>②単純集計</t>
        </is>
      </c>
      <c r="F4" s="3" t="inlineStr">
        <is>
          <t>③クロス集計</t>
        </is>
      </c>
      <c r="G4" s="3" t="inlineStr">
        <is>
          <t>④分析・課題整理</t>
        </is>
      </c>
      <c r="H4" s="3" t="inlineStr">
        <is>
          <t>⑤計画への反映</t>
        </is>
      </c>
      <c r="I4" s="3" t="inlineStr">
        <is>
          <t>現時点の状況</t>
        </is>
      </c>
      <c r="J4" s="3" t="inlineStr">
        <is>
          <t>確認事項No.</t>
        </is>
      </c>
    </row>
    <row r="5" ht="88" customHeight="1">
      <c r="A5" s="4" t="n">
        <v>1</v>
      </c>
      <c r="B5" s="5" t="inlineStr">
        <is>
          <t>①在宅生活改善調査</t>
        </is>
      </c>
      <c r="C5" s="5" t="inlineStr">
        <is>
          <t>在宅生活の継続を困難にしている要因の把握。第2章第5節（在宅生活の課題）、第5章基本目標2（在宅生活の支援）の根拠。代表KPI H06（在宅生活継続困難割合）の基準値。</t>
        </is>
      </c>
      <c r="D5" s="4" t="inlineStr">
        <is>
          <t>一部受領</t>
        </is>
      </c>
      <c r="E5" s="4" t="inlineStr">
        <is>
          <t>完了</t>
        </is>
      </c>
      <c r="F5" s="4" t="inlineStr">
        <is>
          <t>未着手</t>
        </is>
      </c>
      <c r="G5" s="4" t="inlineStr">
        <is>
          <t>実施中</t>
        </is>
      </c>
      <c r="H5" s="4" t="inlineStr">
        <is>
          <t>実施中</t>
        </is>
      </c>
      <c r="I5" s="11" t="inlineStr">
        <is>
          <t>第9期計画に掲載された令和5年5月25日実施分（居宅介護支援事業所12事業所・91人）を再整理し、図表集12シートに結果概要としてまとめた（要介護度別内訳を含む）。第10期分の調査票・回答データ・集計資料は未受領のため、クロス集計とH06の基準値の算定ができない。</t>
        </is>
      </c>
      <c r="J5" s="4" t="inlineStr">
        <is>
          <t>8, 9</t>
        </is>
      </c>
    </row>
    <row r="6" ht="88" customHeight="1">
      <c r="A6" s="4" t="n">
        <v>2</v>
      </c>
      <c r="B6" s="5" t="inlineStr">
        <is>
          <t>②居所変更実態調査</t>
        </is>
      </c>
      <c r="C6" s="5" t="inlineStr">
        <is>
          <t>在宅から施設・住まいへの移行の実態把握。第2章第6節（住まいと施設）、第6章第2節（施設・居住系の見込量）の根拠。代表KPI H11（供給不足を理由とする住替え割合）の基準値。</t>
        </is>
      </c>
      <c r="D6" s="4" t="inlineStr">
        <is>
          <t>一部受領</t>
        </is>
      </c>
      <c r="E6" s="4" t="inlineStr">
        <is>
          <t>完了</t>
        </is>
      </c>
      <c r="F6" s="4" t="inlineStr">
        <is>
          <t>未着手</t>
        </is>
      </c>
      <c r="G6" s="4" t="inlineStr">
        <is>
          <t>実施中</t>
        </is>
      </c>
      <c r="H6" s="4" t="inlineStr">
        <is>
          <t>実施中</t>
        </is>
      </c>
      <c r="I6" s="11" t="inlineStr">
        <is>
          <t>第9期計画に掲載された令和5年5月25日実施分（施設・居住系21施設回答）を再整理し、図表集11シートに結果概要としてまとめた（退居・退所者の居所変更／死亡の別を含む）。第10期分は未受領。介護老人福祉施設の定員が234人から160人へ減少しており、移行先の実態把握が第6章の見込量算定に直結する。</t>
        </is>
      </c>
      <c r="J6" s="4" t="inlineStr">
        <is>
          <t>8, 9</t>
        </is>
      </c>
    </row>
    <row r="7" ht="88" customHeight="1">
      <c r="A7" s="4" t="n">
        <v>3</v>
      </c>
      <c r="B7" s="5" t="inlineStr">
        <is>
          <t>③介護人材実態調査</t>
        </is>
      </c>
      <c r="C7" s="5" t="inlineStr">
        <is>
          <t>介護人材の確保・定着の実態把握。第2章第7節（介護人材）、第5章基本目標4（人材の確保）の根拠。代表KPI H13・H14（人材の確保と定着）の基準値。</t>
        </is>
      </c>
      <c r="D7" s="4" t="inlineStr">
        <is>
          <t>一部受領</t>
        </is>
      </c>
      <c r="E7" s="4" t="inlineStr">
        <is>
          <t>完了</t>
        </is>
      </c>
      <c r="F7" s="4" t="inlineStr">
        <is>
          <t>未着手</t>
        </is>
      </c>
      <c r="G7" s="4" t="inlineStr">
        <is>
          <t>実施中</t>
        </is>
      </c>
      <c r="H7" s="4" t="inlineStr">
        <is>
          <t>実施中</t>
        </is>
      </c>
      <c r="I7" s="11" t="inlineStr">
        <is>
          <t>第9期計画に掲載された令和5年5月25日実施分（施設系35事業所中27施設回答・回収率77.1％・該当職員405人）を再整理し、図表集13シートにまとめた。第10期分は未受領。北海道の評価指標⑥と同じ「採用率と離職率の差」（H14）の算定には、各年9月30日現在の在籍者数と年間の採用者数・退職者数を要する。</t>
        </is>
      </c>
      <c r="J7" s="4" t="inlineStr">
        <is>
          <t>8, 9, 10</t>
        </is>
      </c>
    </row>
    <row r="8" ht="88" customHeight="1">
      <c r="A8" s="4" t="n">
        <v>4</v>
      </c>
      <c r="B8" s="5" t="inlineStr">
        <is>
          <t>④健康とくらしの調査
（JAGES調査）</t>
        </is>
      </c>
      <c r="C8" s="5" t="inlineStr">
        <is>
          <t>高齢者の健康状態、社会参加、生活支援ニーズの把握。第2章第4節（高齢者の状況）、第5章基本目標1（介護予防・社会参加）の根拠。代表KPI H04（フレイル該当割合）・H05（社会参加率）の基準値。</t>
        </is>
      </c>
      <c r="D8" s="4" t="inlineStr">
        <is>
          <t>受領済</t>
        </is>
      </c>
      <c r="E8" s="4" t="inlineStr">
        <is>
          <t>完了</t>
        </is>
      </c>
      <c r="F8" s="4" t="inlineStr">
        <is>
          <t>完了</t>
        </is>
      </c>
      <c r="G8" s="4" t="inlineStr">
        <is>
          <t>完了</t>
        </is>
      </c>
      <c r="H8" s="4" t="inlineStr">
        <is>
          <t>実施中</t>
        </is>
      </c>
      <c r="I8" s="11" t="inlineStr">
        <is>
          <t>令和7年11月17日〜12月8日実施分の個票データ4,729票を受領済（65歳以上7,121人対象・回収4,798票・回収率67.4％）。20指標の年齢階級別・町別集計に加え、小学校区12地区別の集計、年齢調整による地域比較、社会参加・世帯構成・経済状況・移動制約・在宅生活の課題との関連分析を実施し、調査クロス集計・分析（13シート）として取りまとめた。H04＝19.1％、H05の基準値を確定。大雪独自設問によりH06・H07・H08・H11の代替データ源を特定した（確認No.4）。計画素案への反映は次稿で行う。</t>
        </is>
      </c>
      <c r="J8" s="4" t="inlineStr">
        <is>
          <t>4, 8, 9</t>
        </is>
      </c>
    </row>
    <row r="10" ht="32" customHeight="1">
      <c r="A10" s="3" t="inlineStr">
        <is>
          <t>段階</t>
        </is>
      </c>
      <c r="B10" s="3" t="inlineStr">
        <is>
          <t>作業の内容</t>
        </is>
      </c>
      <c r="C10" s="3" t="inlineStr">
        <is>
          <t>仕様書の根拠</t>
        </is>
      </c>
      <c r="D10" s="3" t="inlineStr"/>
      <c r="E10" s="3" t="inlineStr"/>
      <c r="F10" s="3" t="inlineStr"/>
      <c r="G10" s="3" t="inlineStr"/>
      <c r="H10" s="3" t="inlineStr"/>
      <c r="I10" s="3" t="inlineStr"/>
      <c r="J10" s="3" t="inlineStr"/>
    </row>
    <row r="11" ht="32" customHeight="1">
      <c r="A11" s="5" t="inlineStr">
        <is>
          <t>①資料の受領</t>
        </is>
      </c>
      <c r="B11" s="5" t="inlineStr">
        <is>
          <t>調査票、回答データ（Excel、CSV等）、集計資料、分析資料及び報告書の受領と内容確認</t>
        </is>
      </c>
      <c r="C11" s="5" t="inlineStr">
        <is>
          <t>仕様書４（3）</t>
        </is>
      </c>
      <c r="D11" s="5" t="inlineStr"/>
      <c r="E11" s="5" t="inlineStr"/>
      <c r="F11" s="5" t="inlineStr"/>
      <c r="G11" s="5" t="inlineStr"/>
      <c r="H11" s="5" t="inlineStr"/>
      <c r="I11" s="5" t="inlineStr"/>
      <c r="J11" s="5" t="inlineStr"/>
    </row>
    <row r="12" ht="32" customHeight="1">
      <c r="A12" s="5" t="inlineStr">
        <is>
          <t>②単純集計</t>
        </is>
      </c>
      <c r="B12" s="5" t="inlineStr">
        <is>
          <t>各設問の単純集計（度数・構成比）の作成と、既存集計資料との照合</t>
        </is>
      </c>
      <c r="C12" s="5" t="inlineStr">
        <is>
          <t>仕様書４（3）</t>
        </is>
      </c>
      <c r="D12" s="5" t="inlineStr"/>
      <c r="E12" s="5" t="inlineStr"/>
      <c r="F12" s="5" t="inlineStr"/>
      <c r="G12" s="5" t="inlineStr"/>
      <c r="H12" s="5" t="inlineStr"/>
      <c r="I12" s="5" t="inlineStr"/>
      <c r="J12" s="5" t="inlineStr"/>
    </row>
    <row r="13" ht="32" customHeight="1">
      <c r="A13" s="5" t="inlineStr">
        <is>
          <t>③クロス集計</t>
        </is>
      </c>
      <c r="B13" s="5" t="inlineStr">
        <is>
          <t>必要なクロス集計の作成（属性別・要介護度別・町別・圏域別等）</t>
        </is>
      </c>
      <c r="C13" s="5" t="inlineStr">
        <is>
          <t>仕様書４（3）</t>
        </is>
      </c>
      <c r="D13" s="5" t="inlineStr"/>
      <c r="E13" s="5" t="inlineStr"/>
      <c r="F13" s="5" t="inlineStr"/>
      <c r="G13" s="5" t="inlineStr"/>
      <c r="H13" s="5" t="inlineStr"/>
      <c r="I13" s="5" t="inlineStr"/>
      <c r="J13" s="5" t="inlineStr"/>
    </row>
    <row r="14" ht="32" customHeight="1">
      <c r="A14" s="5" t="inlineStr">
        <is>
          <t>④分析・課題整理</t>
        </is>
      </c>
      <c r="B14" s="5" t="inlineStr">
        <is>
          <t>見える化システム、介護給付実績及び人口推計等と組み合わせた分析。地域課題、介護サービス基盤、介護予防施策及び介護人材確保等の視点からの課題整理</t>
        </is>
      </c>
      <c r="C14" s="5" t="inlineStr">
        <is>
          <t>仕様書４（3）</t>
        </is>
      </c>
      <c r="D14" s="5" t="inlineStr"/>
      <c r="E14" s="5" t="inlineStr"/>
      <c r="F14" s="5" t="inlineStr"/>
      <c r="G14" s="5" t="inlineStr"/>
      <c r="H14" s="5" t="inlineStr"/>
      <c r="I14" s="5" t="inlineStr"/>
      <c r="J14" s="5" t="inlineStr"/>
    </row>
    <row r="15" ht="32" customHeight="1">
      <c r="A15" s="5" t="inlineStr">
        <is>
          <t>⑤計画への反映</t>
        </is>
      </c>
      <c r="B15" s="5" t="inlineStr">
        <is>
          <t>第10期計画の該当章への反映、代表KPIの基準値の設定</t>
        </is>
      </c>
      <c r="C15" s="5" t="inlineStr">
        <is>
          <t>仕様書４（3）</t>
        </is>
      </c>
      <c r="D15" s="5" t="inlineStr"/>
      <c r="E15" s="5" t="inlineStr"/>
      <c r="F15" s="5" t="inlineStr"/>
      <c r="G15" s="5" t="inlineStr"/>
      <c r="H15" s="5" t="inlineStr"/>
      <c r="I15" s="5" t="inlineStr"/>
      <c r="J15" s="5" t="inlineStr"/>
    </row>
    <row r="17" ht="39" customHeight="1">
      <c r="A17" s="16" t="inlineStr">
        <is>
          <t>注1）4調査はいずれも発注者において実施済みであり、本業務では新たな調査の企画、設計、配布、回収、入力及び督促は行わない。契約締結後に発注者から貸与される資料に基づき、集計・クロス集計・分析・課題整理・計画への反映を行う。注2）健康とくらしの調査（令和7年度）は個票データを受領済であり、単純集計・クロス集計・分析を完了している（調査クロス集計・分析 13シート）。他の3調査は第9期計画に掲載された令和5年調査分を再整理した段階であり、第10期分の調査票・回答データ・集計資料は未受領である。このため計画素案の該当箇所は令和5年調査又は見える化システムの数値により暫定的に記述し、確定を要する箇所を［要確認］としている。注3）代表KPIのうちH07・H08・H12・H16は事業所実態調査・在宅介護実態調査をデータ源としているが、これらは仕様書４（3）の対象4調査に含まれていない（確認事項No.4）。</t>
        </is>
      </c>
    </row>
  </sheetData>
  <mergeCells count="3">
    <mergeCell ref="A17:J17"/>
    <mergeCell ref="A1:J1"/>
    <mergeCell ref="A2:J2"/>
  </mergeCells>
  <conditionalFormatting sqref="E5:E8">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conditionalFormatting sqref="F5:F8">
    <cfRule type="cellIs" priority="6" operator="equal" dxfId="0">
      <formula>"完了"</formula>
    </cfRule>
    <cfRule type="cellIs" priority="7" operator="equal" dxfId="1">
      <formula>"実施中"</formula>
    </cfRule>
    <cfRule type="cellIs" priority="8" operator="equal" dxfId="2">
      <formula>"確認待ち"</formula>
    </cfRule>
    <cfRule type="cellIs" priority="9" operator="equal" dxfId="3">
      <formula>"未着手"</formula>
    </cfRule>
    <cfRule type="cellIs" priority="10" operator="equal" dxfId="4">
      <formula>"対象外"</formula>
    </cfRule>
  </conditionalFormatting>
  <conditionalFormatting sqref="G5:G8">
    <cfRule type="cellIs" priority="11" operator="equal" dxfId="0">
      <formula>"完了"</formula>
    </cfRule>
    <cfRule type="cellIs" priority="12" operator="equal" dxfId="1">
      <formula>"実施中"</formula>
    </cfRule>
    <cfRule type="cellIs" priority="13" operator="equal" dxfId="2">
      <formula>"確認待ち"</formula>
    </cfRule>
    <cfRule type="cellIs" priority="14" operator="equal" dxfId="3">
      <formula>"未着手"</formula>
    </cfRule>
    <cfRule type="cellIs" priority="15" operator="equal" dxfId="4">
      <formula>"対象外"</formula>
    </cfRule>
  </conditionalFormatting>
  <conditionalFormatting sqref="H5:H8">
    <cfRule type="cellIs" priority="16" operator="equal" dxfId="0">
      <formula>"完了"</formula>
    </cfRule>
    <cfRule type="cellIs" priority="17" operator="equal" dxfId="1">
      <formula>"実施中"</formula>
    </cfRule>
    <cfRule type="cellIs" priority="18" operator="equal" dxfId="2">
      <formula>"確認待ち"</formula>
    </cfRule>
    <cfRule type="cellIs" priority="19" operator="equal" dxfId="3">
      <formula>"未着手"</formula>
    </cfRule>
    <cfRule type="cellIs" priority="20" operator="equal" dxfId="4">
      <formula>"対象外"</formula>
    </cfRule>
  </conditionalFormatting>
  <conditionalFormatting sqref="D5:D8">
    <cfRule type="cellIs" priority="21" operator="equal" dxfId="0">
      <formula>"受領済"</formula>
    </cfRule>
    <cfRule type="cellIs" priority="22" operator="equal" dxfId="2">
      <formula>"一部受領"</formula>
    </cfRule>
    <cfRule type="cellIs" priority="23" operator="equal" dxfId="3">
      <formula>"未受領"</formula>
    </cfRule>
  </conditionalFormatting>
  <dataValidations count="5">
    <dataValidation sqref="E5:E8" showDropDown="0" showInputMessage="0" showErrorMessage="0" allowBlank="1" type="list">
      <formula1>"完了,実施中,確認待ち,未着手,対象外"</formula1>
    </dataValidation>
    <dataValidation sqref="F5:F8" showDropDown="0" showInputMessage="0" showErrorMessage="0" allowBlank="1" type="list">
      <formula1>"完了,実施中,確認待ち,未着手,対象外"</formula1>
    </dataValidation>
    <dataValidation sqref="G5:G8" showDropDown="0" showInputMessage="0" showErrorMessage="0" allowBlank="1" type="list">
      <formula1>"完了,実施中,確認待ち,未着手,対象外"</formula1>
    </dataValidation>
    <dataValidation sqref="H5:H8" showDropDown="0" showInputMessage="0" showErrorMessage="0" allowBlank="1" type="list">
      <formula1>"完了,実施中,確認待ち,未着手,対象外"</formula1>
    </dataValidation>
    <dataValidation sqref="D5:D8" showDropDown="0" showInputMessage="0" showErrorMessage="0" allowBlank="1" type="list">
      <formula1>"受領済,一部受領,未受領"</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2026-07-29T11:27:28Z</dcterms:created>
  <dcterms:modified xmlns:dcterms="http://purl.org/dc/terms/" xmlns:xsi="http://www.w3.org/2001/XMLSchema-instance" xsi:type="dcterms:W3CDTF">2026-07-29T11:27:28Z</dcterms:modified>
</cp:coreProperties>
</file>