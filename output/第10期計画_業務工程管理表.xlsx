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業務仕様書「４．業務内容」（1）〜（12）及び「５．業務スケジュール（予定）」に沿って、業務内容別・月別の進捗を管理する。状況基準日：令和8年9月28日。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56" customHeight="1">
      <c r="A23" s="16" t="inlineStr">
        <is>
          <t>【現時点の全体状況（令和8年9月28日）】全体進捗は78％（進捗を数値で表せる10業務の単純平均）。令和8年9月は、サービス見込量の算定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計画素案は928段落145表36図で、未確定箇所は138箇所（要協議110・要確認27・要内訳1）である。確認事項は167件、成果品は118件、ビルドスクリプトは117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計画素案（928段落145表36図）
修正指示書（66件）</t>
        </is>
      </c>
      <c r="F10" s="10" t="inlineStr">
        <is>
          <t>実施中</t>
        </is>
      </c>
      <c r="G10" s="17" t="n">
        <v>0.97</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928段落145表36図となった。残る未確定箇所は138箇所（要協議110・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0.98</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t>
        </is>
      </c>
      <c r="J11" s="5" t="inlineStr">
        <is>
          <t>87, 103, 112, 118, 136, 143, 150, 154, 155, 156, 157</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v>
      </c>
      <c r="H14" s="10" t="inlineStr">
        <is>
          <t>R9.3</t>
        </is>
      </c>
      <c r="I14" s="11" t="inlineStr">
        <is>
          <t>電子データは作成中。印刷・製本は令和9年3月。本文100頁程度に対する章別のページ配分が未確定（確認No.21）。【令和8年9月15〜18日】成果品は118件となった。9月に加えたものは、サービス見込量の算定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117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28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7"/>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 第1次概算では令和11年度に定員の99.9％に達し、令和12年度には定員を超えると見込まれる。第10期の整備方針を伺いたい。確認事項No.88（必要利用定員総数）と一体のものである。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3" ht="32" customHeight="1">
      <c r="A173" s="3" t="inlineStr">
        <is>
          <t>区分</t>
        </is>
      </c>
      <c r="B173" s="3" t="inlineStr">
        <is>
          <t>件数</t>
        </is>
      </c>
      <c r="C173" s="3" t="inlineStr"/>
      <c r="D173" s="3" t="inlineStr"/>
      <c r="E173" s="3" t="inlineStr"/>
      <c r="F173" s="3" t="inlineStr"/>
      <c r="G173" s="3" t="inlineStr"/>
      <c r="H173" s="3" t="inlineStr"/>
      <c r="I173" s="3" t="inlineStr"/>
      <c r="J173" s="3" t="inlineStr"/>
    </row>
    <row r="174" ht="20" customHeight="1">
      <c r="A174" s="6" t="inlineStr">
        <is>
          <t>完了</t>
        </is>
      </c>
      <c r="B174" s="4">
        <f>COUNTIF(H5:H171,"完了")</f>
        <v/>
      </c>
      <c r="C174" s="5" t="inlineStr"/>
      <c r="D174" s="5" t="inlineStr"/>
      <c r="E174" s="5" t="inlineStr"/>
      <c r="F174" s="5" t="inlineStr"/>
      <c r="G174" s="5" t="inlineStr"/>
      <c r="H174" s="5" t="inlineStr"/>
      <c r="I174" s="5" t="inlineStr"/>
      <c r="J174" s="5" t="inlineStr"/>
    </row>
    <row r="175" ht="20" customHeight="1">
      <c r="A175" s="8" t="inlineStr">
        <is>
          <t>実施中</t>
        </is>
      </c>
      <c r="B175" s="4">
        <f>COUNTIF(H5:H171,"実施中")</f>
        <v/>
      </c>
      <c r="C175" s="5" t="inlineStr"/>
      <c r="D175" s="5" t="inlineStr"/>
      <c r="E175" s="5" t="inlineStr"/>
      <c r="F175" s="5" t="inlineStr"/>
      <c r="G175" s="5" t="inlineStr"/>
      <c r="H175" s="5" t="inlineStr"/>
      <c r="I175" s="5" t="inlineStr"/>
      <c r="J175" s="5" t="inlineStr"/>
    </row>
    <row r="176" ht="20" customHeight="1">
      <c r="A176" s="10" t="inlineStr">
        <is>
          <t>確認待ち</t>
        </is>
      </c>
      <c r="B176" s="4">
        <f>COUNTIF(H5:H171,"確認待ち")</f>
        <v/>
      </c>
      <c r="C176" s="5" t="inlineStr"/>
      <c r="D176" s="5" t="inlineStr"/>
      <c r="E176" s="5" t="inlineStr"/>
      <c r="F176" s="5" t="inlineStr"/>
      <c r="G176" s="5" t="inlineStr"/>
      <c r="H176" s="5" t="inlineStr"/>
      <c r="I176" s="5" t="inlineStr"/>
      <c r="J176" s="5" t="inlineStr"/>
    </row>
    <row r="177" ht="20" customHeight="1">
      <c r="A177" s="12" t="inlineStr">
        <is>
          <t>未着手</t>
        </is>
      </c>
      <c r="B177" s="4">
        <f>COUNTIF(H5:H171,"未着手")</f>
        <v/>
      </c>
      <c r="C177" s="5" t="inlineStr"/>
      <c r="D177" s="5" t="inlineStr"/>
      <c r="E177" s="5" t="inlineStr"/>
      <c r="F177" s="5" t="inlineStr"/>
      <c r="G177" s="5" t="inlineStr"/>
      <c r="H177" s="5" t="inlineStr"/>
      <c r="I177" s="5" t="inlineStr"/>
      <c r="J177" s="5" t="inlineStr"/>
    </row>
    <row r="178" ht="20" customHeight="1">
      <c r="A178" s="14" t="inlineStr">
        <is>
          <t>対象外</t>
        </is>
      </c>
      <c r="B178" s="4">
        <f>COUNTIF(H5:H171,"対象外")</f>
        <v/>
      </c>
      <c r="C178" s="5" t="inlineStr"/>
      <c r="D178" s="5" t="inlineStr"/>
      <c r="E178" s="5" t="inlineStr"/>
      <c r="F178" s="5" t="inlineStr"/>
      <c r="G178" s="5" t="inlineStr"/>
      <c r="H178" s="5" t="inlineStr"/>
      <c r="I178" s="5" t="inlineStr"/>
      <c r="J178" s="5" t="inlineStr"/>
    </row>
    <row r="180" ht="32" customHeight="1">
      <c r="A180" s="3" t="inlineStr">
        <is>
          <t>確認先</t>
        </is>
      </c>
      <c r="B180" s="3" t="inlineStr">
        <is>
          <t>件数</t>
        </is>
      </c>
      <c r="C180" s="3" t="inlineStr"/>
      <c r="D180" s="3" t="inlineStr"/>
      <c r="E180" s="3" t="inlineStr"/>
      <c r="F180" s="3" t="inlineStr"/>
      <c r="G180" s="3" t="inlineStr"/>
      <c r="H180" s="3" t="inlineStr"/>
      <c r="I180" s="3" t="inlineStr"/>
      <c r="J180" s="3" t="inlineStr"/>
    </row>
    <row r="181" ht="20" customHeight="1">
      <c r="A181" s="5" t="inlineStr">
        <is>
          <t>発注者</t>
        </is>
      </c>
      <c r="B181" s="4">
        <f>COUNTIF(G5:G171,"発注者")</f>
        <v/>
      </c>
      <c r="C181" s="5" t="inlineStr"/>
      <c r="D181" s="5" t="inlineStr"/>
      <c r="E181" s="5" t="inlineStr"/>
      <c r="F181" s="5" t="inlineStr"/>
      <c r="G181" s="5" t="inlineStr"/>
      <c r="H181" s="5" t="inlineStr"/>
      <c r="I181" s="5" t="inlineStr"/>
      <c r="J181" s="5" t="inlineStr"/>
    </row>
    <row r="182" ht="20" customHeight="1">
      <c r="A182" s="5" t="inlineStr">
        <is>
          <t>発注者・3町</t>
        </is>
      </c>
      <c r="B182" s="4">
        <f>COUNTIF(G5:G171,"発注者・3町")</f>
        <v/>
      </c>
      <c r="C182" s="5" t="inlineStr"/>
      <c r="D182" s="5" t="inlineStr"/>
      <c r="E182" s="5" t="inlineStr"/>
      <c r="F182" s="5" t="inlineStr"/>
      <c r="G182" s="5" t="inlineStr"/>
      <c r="H182" s="5" t="inlineStr"/>
      <c r="I182" s="5" t="inlineStr"/>
      <c r="J182" s="5" t="inlineStr"/>
    </row>
    <row r="183" ht="20" customHeight="1">
      <c r="A183" s="5" t="inlineStr">
        <is>
          <t>発注者・北海道</t>
        </is>
      </c>
      <c r="B183" s="4">
        <f>COUNTIF(G5:G171,"発注者・北海道")</f>
        <v/>
      </c>
      <c r="C183" s="5" t="inlineStr"/>
      <c r="D183" s="5" t="inlineStr"/>
      <c r="E183" s="5" t="inlineStr"/>
      <c r="F183" s="5" t="inlineStr"/>
      <c r="G183" s="5" t="inlineStr"/>
      <c r="H183" s="5" t="inlineStr"/>
      <c r="I183" s="5" t="inlineStr"/>
      <c r="J183" s="5" t="inlineStr"/>
    </row>
    <row r="184" ht="20" customHeight="1">
      <c r="A184" s="5" t="inlineStr">
        <is>
          <t>発注者・3町・北海道</t>
        </is>
      </c>
      <c r="B184" s="4">
        <f>COUNTIF(G5:G171,"発注者・3町・北海道")</f>
        <v/>
      </c>
      <c r="C184" s="5" t="inlineStr"/>
      <c r="D184" s="5" t="inlineStr"/>
      <c r="E184" s="5" t="inlineStr"/>
      <c r="F184" s="5" t="inlineStr"/>
      <c r="G184" s="5" t="inlineStr"/>
      <c r="H184" s="5" t="inlineStr"/>
      <c r="I184" s="5" t="inlineStr"/>
      <c r="J184" s="5" t="inlineStr"/>
    </row>
    <row r="185" ht="20" customHeight="1">
      <c r="A185" s="5" t="inlineStr">
        <is>
          <t>北海道</t>
        </is>
      </c>
      <c r="B185" s="4">
        <f>COUNTIF(G5:G171,"北海道")</f>
        <v/>
      </c>
      <c r="C185" s="5" t="inlineStr"/>
      <c r="D185" s="5" t="inlineStr"/>
      <c r="E185" s="5" t="inlineStr"/>
      <c r="F185" s="5" t="inlineStr"/>
      <c r="G185" s="5" t="inlineStr"/>
      <c r="H185" s="5" t="inlineStr"/>
      <c r="I185" s="5" t="inlineStr"/>
      <c r="J185" s="5" t="inlineStr"/>
    </row>
    <row r="187" ht="28" customHeight="1">
      <c r="A187"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87:J187"/>
    <mergeCell ref="A2:J2"/>
  </mergeCells>
  <conditionalFormatting sqref="H5:H17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1"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（928段落145表36図）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（928段落145表36図）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2026-09-28T08:13:13Z</dcterms:created>
  <dcterms:modified xmlns:dcterms="http://purl.org/dc/terms/" xmlns:xsi="http://www.w3.org/2001/XMLSchema-instance" xsi:type="dcterms:W3CDTF">2026-09-28T08:13:15Z</dcterms:modified>
</cp:coreProperties>
</file>