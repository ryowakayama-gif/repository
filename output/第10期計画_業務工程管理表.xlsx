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業務仕様書「４．業務内容」（1）〜（12）及び「５．業務スケジュール（予定）」に沿って、業務内容別・月別の進捗を管理する。状況基準日：令和8年9月25日。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56" customHeight="1">
      <c r="A23" s="16" t="inlineStr">
        <is>
          <t>【現時点の全体状況（令和8年9月25日）】全体進捗は77％（進捗を数値で表せる10業務の単純平均）。令和8年9月は、サービス見込量の算定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令和8年9月24日以降は、見える化システムが求める所得段階別第1号被保険者数と令和12・27・32年度の見込量を算定して確認事項No.156・No.157を解消し、外部レビュー3回の指摘29件を検証して是正した（代表KPIの定義・割合の分母・時点の混在を計画素案と報告書でそろえた）。令和8年9月25日には令和7年度の給付費データの再提供により確認事項No.87（3町合計と広域連合単位の差129,580,267円）が決着し、構成3町の地域包括支援センター事業実施報告書により地域支援事業の量・認知症総合支援事業の取組の回数・地域ケア会議の開催回数が一部把握できた。同日、令和8年8月審査分の利用状況統計表と訪問系サービスの明細を受領し、月次の給付費を確認できる見通しとなった。計画素案は928段落145表36図で、未確定箇所は138箇所（要協議110・要確認27・要内訳1）である。確認事項は158件、成果品は116件、ビルドスクリプトは115本（再実行できないもの3本）。第1次概算を止めている確認事項には「決着しない場合の当方の扱い（既定値）」を全件置いており、ご決定がなくても算定は止まらない。発注者・3町からの追加資料がまったく届かない場合でも、第1次概算の値がそのまま計画の値として確定する（算定上の月額6,436円＝保険料基準額6,400円）。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0.87</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t>
        </is>
      </c>
      <c r="J5" s="5" t="inlineStr">
        <is>
          <t>1, 2, 22, 89, 130, 149</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0.96</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0.99</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第2章第4節に反映した（4段落・表1→30段落・表8）。集計値は data_survey_jages.py に収め、個票は収録していない。【令和8年9月17日】アンケート調査の集計分析報告書を再点検し、10シートの見込量が将来推計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145人→149.4人／月）。報告書が算定スクリプトを runpy で読む形とし、同じ数値が2つの成果品に別々に書かれない構造に改めた。確認No.140（χ²＝43.5）・No.141（在籍≠受給）を報告書の留保一覧と課題整理に収め、14シートに「測定済み」の区分を新設した。12シートの計画素案への反映状況を、素案の実物を章節ごとに読んで判定する形に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の実物から読み、見込量は見込量算定（第1次概算）を読む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0.99</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9,031,900,444円、算定上の月額基準額6,436円である。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185〜＋374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6,436円を百円未満四捨五入した保険料基準額は6,400円で、第9期と同額の据え置きとなる。ただしこの値は単価を令和7年度で固定しており、上向きの要素（単価の趨勢＋185〜＋374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計画素案（928段落145表36図）
修正指示書（66件）</t>
        </is>
      </c>
      <c r="F10" s="10" t="inlineStr">
        <is>
          <t>実施中</t>
        </is>
      </c>
      <c r="G10" s="17" t="n">
        <v>0.97</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記述が入っていなかった3節のうち1節が埋まった。【令和8年9月16日】第6章の見込量・給付費・保険料を見える化システムの自然体推計値から当方の算定に差し替えた（暫定の月額基準額 6,740円→6,436円）。build_plan_draft.py が算定スクリプトを runpy で読む形とし、第6章の数値を固定値で書き写さ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928段落145表36図となった。残る未確定箇所は138箇所（要協議110・要確認27・要内訳1）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令和8年9月24日】アンケート調査の所見のうち取扱いの決定を要しない6件を反映した（第1章第7節の通常の事業の実施地域、第2章第3節の運営法人の集中、第6章第4節の区域内の入居状況と当連合の被保険者の受給者数、第6章第5節の入所の経路）。【令和8年9月25日】代表KPI16項目の名称・定義・算式・基準値を1か所にまとめ、第5章第3節・各基本目標の達成目標・資料1が同じ定義を掲げる形に改めた。在宅生活改善調査による基準値の分母を設問ごとの有効回答に改め（在宅生活の維持の見通し73.5％・区域内で提供できないサービスが必要と判断された利用者の割合20.2％）、通いの場参加率を第5章 基本目標2でも令和6年度3.53％に統一した。第2章第2節5の町別の給付費の注を、3町のファイルの合計と広域連合単位のファイルが要介護度ごとに一致することに改めた（確認No.87の決着）。第5章 基本目標2に認知症初期集中支援推進事業の実施状況を加えた（構成3町が担当チームを設置しているが、令和7年度は美瑛町が対応件数0件で医師を確保できず休止している）。概要版は未着手</t>
        </is>
      </c>
      <c r="J10" s="5" t="inlineStr">
        <is>
          <t>17, 18, 24, 25, 88, 112, 114, 131, 154</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0.98</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令和8年9月25日】確認No.87（令和7年度の給付費データの差）が決着した。令和7年度の広域連合単位のファイルの再提供を受け、要支援1から要介護5までの全7区分で3町合計と円単位で一致した。従前のファイルもその明細を集計すると同じ額になるため、差は抽出条件の違いではなく表が明細と一致していなかったことによる。これにより令和8年度の単価の残差も＋1.63％の単一の値に定まった（従前は分母の採り方により＋1.63％から＋5.90％の幅があるとしていた）。構成3町の地域包括支援センター事業実施報告書により、地域支援事業の量（確認No.112）・認知症総合支援事業の取組の回数（確認No.150）・地域ケア会議の開催回数（確認No.118〜No.122）が一部解決した。確認No.156・No.157は当方で算定して解消し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見通しとなった（確認No.103と一体）。統計表は画像であり数値の読み取りに確認を要する。訪問系の明細は氏名・年齢・被保険者番号を含む個票であるため格納せず、集計値のみを用いて作業終了後に廃棄する</t>
        </is>
      </c>
      <c r="J11" s="5" t="inlineStr">
        <is>
          <t>87, 103, 112, 118, 143, 150, 154, 155, 156, 157</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0.79</v>
      </c>
      <c r="H14" s="10" t="inlineStr">
        <is>
          <t>R9.3</t>
        </is>
      </c>
      <c r="I14" s="11" t="inlineStr">
        <is>
          <t>電子データは作成中。印刷・製本は令和9年3月。本文100頁程度に対する章別のページ配分が未確定（確認No.21）。【令和8年9月15〜18日】成果品は116件となった。9月に加えたものは、サービス見込量の算定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ビルドスクリプト115本のうち再実行できないものは3本であり、成果品の登録漏れ・実体なしがいずれも0件であることを確認した（確認No.144）。【令和8年9月24〜25日】所得段階別の将来推計（5シート）、令和8年9月25日受領資料の受領点検（12シート）、アンケート調査の分析 令和8年9月業務報告（Word）、アンケート分析 点検箇所と手順（Word）を加えた。あわせて自己点検を持たない成果品をなくした（アンケート調査の集計分析報告書12件・実施済み調査 結果報告書10件を新設、令和8年9月業務報告は40件）。発注者へ送付する成果品に当方の内部の仕組み・作業経過の語が残っていないことを機械で確かめる点検も加えた。紙面の点検により、令和8年9月業務報告15ページ・実施済み調査 結果報告書51ページのいずれも紙面をまたぐ表が0件であることを確かめた</t>
        </is>
      </c>
      <c r="J14" s="5" t="inlineStr">
        <is>
          <t>21, 144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 第1次概算（9月26日）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第1次概算を完了し（18シート・自己点検22件。算定上の月額基準額6,436円）、計画素案 第6章第1〜3節・第6節に反映した。令和8年9月17日、アンケート調査の集計分析報告書の見込量が計画素案 第6章と食い違っていたものを是正し、算定スクリプトを runpy で読む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を作成した（再レビューにより全11節・表16に改めた）。令和8年9月25日、令和7年度の給付費データ（広域連合単位）の再提供と、構成3町の地域包括支援センター事業実施報告書（令和7年度）・実施計画書（令和8年度）を受領した。確認事項No.87（令和7年度の給付費の差129,580,267円）は要介護度別まで円単位で一致して決着し、地域支援事業の量（確認事項No.112）・認知症総合支援事業の取組の回数（確認事項No.150）・地域ケア会議の開催回数（確認事項No.118〜No.122）が一部解決した。同日、外部レビュー3回の指摘29件を検証して是正し、代表KPIの定義・割合の分母・時点の混在を計画素案と報告書でそろえ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見通しとなった（確認事項No.103と一体）。統計表は画像であり数値の読み取りに確認を要する。訪問系の明細は氏名・年齢・被保険者番号を含む個票であるため格納せず、集計値のみを用いて作業終了後に廃棄する。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9月25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t>
        </is>
      </c>
    </row>
    <row r="13" ht="88" customHeight="1">
      <c r="A13" s="4" t="n">
        <v>127</v>
      </c>
      <c r="B13" s="4" t="inlineStr">
        <is>
          <t>(5)</t>
        </is>
      </c>
      <c r="C13" s="4" t="inlineStr">
        <is>
          <t>R8.9</t>
        </is>
      </c>
      <c r="D13" s="5" t="inlineStr">
        <is>
          <t>見える化システムの総人口の設定を案Cに改めるか</t>
        </is>
      </c>
      <c r="E13"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 s="5" t="inlineStr">
        <is>
          <t>将来推計 第1段階
計画素案 第2章第1節・第6章第1節</t>
        </is>
      </c>
      <c r="G13" s="5" t="inlineStr">
        <is>
          <t>発注者</t>
        </is>
      </c>
      <c r="H13" s="10" t="inlineStr">
        <is>
          <t>確認待ち</t>
        </is>
      </c>
      <c r="I13" s="10" t="inlineStr">
        <is>
          <t>R8.10</t>
        </is>
      </c>
      <c r="J13" s="11" t="inlineStr">
        <is>
          <t>見える化の推計設定の受領点検 06シート</t>
        </is>
      </c>
    </row>
    <row r="14" ht="88" customHeight="1">
      <c r="A14" s="4" t="n">
        <v>128</v>
      </c>
      <c r="B14" s="4" t="inlineStr">
        <is>
          <t>(5)</t>
        </is>
      </c>
      <c r="C14" s="4" t="inlineStr">
        <is>
          <t>R8.9</t>
        </is>
      </c>
      <c r="D14" s="5" t="inlineStr">
        <is>
          <t>令和8年度の実績見込み値を編集するか</t>
        </is>
      </c>
      <c r="E14"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4" s="5" t="inlineStr">
        <is>
          <t>将来推計 第2段階
サービス見込量 第1次概算</t>
        </is>
      </c>
      <c r="G14" s="5" t="inlineStr">
        <is>
          <t>発注者</t>
        </is>
      </c>
      <c r="H14" s="10" t="inlineStr">
        <is>
          <t>確認待ち</t>
        </is>
      </c>
      <c r="I14" s="10" t="inlineStr">
        <is>
          <t>R8.10</t>
        </is>
      </c>
      <c r="J14" s="11" t="inlineStr">
        <is>
          <t>令和8年度の実績見込み値の入力案（15シート）</t>
        </is>
      </c>
    </row>
    <row r="15" ht="88" customHeight="1">
      <c r="A15" s="4" t="n">
        <v>129</v>
      </c>
      <c r="B15" s="4" t="inlineStr">
        <is>
          <t>(5)</t>
        </is>
      </c>
      <c r="C15" s="4" t="inlineStr">
        <is>
          <t>R8.9</t>
        </is>
      </c>
      <c r="D15" s="5" t="inlineStr">
        <is>
          <t>見える化システムの利用率等の伸びの選択</t>
        </is>
      </c>
      <c r="E15"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5" s="5" t="inlineStr">
        <is>
          <t>将来推計 第2段階
サービス見込量 第1次概算</t>
        </is>
      </c>
      <c r="G15" s="5" t="inlineStr">
        <is>
          <t>発注者</t>
        </is>
      </c>
      <c r="H15" s="10" t="inlineStr">
        <is>
          <t>確認待ち</t>
        </is>
      </c>
      <c r="I15" s="10" t="inlineStr">
        <is>
          <t>R8.10</t>
        </is>
      </c>
      <c r="J15" s="11" t="inlineStr">
        <is>
          <t>見える化の推計設定の受領点検 06シート</t>
        </is>
      </c>
    </row>
    <row r="16" ht="88" customHeight="1">
      <c r="A16" s="4" t="n">
        <v>118</v>
      </c>
      <c r="B16" s="4" t="inlineStr">
        <is>
          <t>(2)(6)</t>
        </is>
      </c>
      <c r="C16" s="4" t="inlineStr">
        <is>
          <t>R8.9</t>
        </is>
      </c>
      <c r="D16" s="5" t="inlineStr">
        <is>
          <t>施策2-5の代表KPIを「施策化への転換率」とするか</t>
        </is>
      </c>
      <c r="E16"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6" s="5" t="inlineStr">
        <is>
          <t>計画素案 第5章 基本目標2
第9期評価（施策2-5）</t>
        </is>
      </c>
      <c r="G16" s="5" t="inlineStr">
        <is>
          <t>発注者</t>
        </is>
      </c>
      <c r="H16" s="10" t="inlineStr">
        <is>
          <t>確認待ち</t>
        </is>
      </c>
      <c r="I16" s="10" t="inlineStr">
        <is>
          <t>R8.10</t>
        </is>
      </c>
      <c r="J16" s="11" t="inlineStr">
        <is>
          <t>地域ケア会議の受領点検とKPI設計案 04シート</t>
        </is>
      </c>
    </row>
    <row r="17" ht="88" customHeight="1">
      <c r="A17" s="4" t="n">
        <v>119</v>
      </c>
      <c r="B17" s="4" t="inlineStr">
        <is>
          <t>(2)(6)</t>
        </is>
      </c>
      <c r="C17" s="4" t="inlineStr">
        <is>
          <t>R8.9</t>
        </is>
      </c>
      <c r="D17" s="5" t="inlineStr">
        <is>
          <t>地域ケア会議の3町共通の記録様式を整えてよいか</t>
        </is>
      </c>
      <c r="E17"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7" s="5" t="inlineStr">
        <is>
          <t>計画素案 第5章 基本目標2</t>
        </is>
      </c>
      <c r="G17" s="5" t="inlineStr">
        <is>
          <t>発注者・3町</t>
        </is>
      </c>
      <c r="H17" s="10" t="inlineStr">
        <is>
          <t>確認待ち</t>
        </is>
      </c>
      <c r="I17" s="10" t="inlineStr">
        <is>
          <t>R8.10</t>
        </is>
      </c>
      <c r="J17" s="11" t="inlineStr">
        <is>
          <t>地域ケア会議の受領点検とKPI設計案 05シート</t>
        </is>
      </c>
    </row>
    <row r="18" ht="88" customHeight="1">
      <c r="A18" s="4" t="n">
        <v>120</v>
      </c>
      <c r="B18" s="4" t="inlineStr">
        <is>
          <t>(2)(6)</t>
        </is>
      </c>
      <c r="C18" s="4" t="inlineStr">
        <is>
          <t>R8.9</t>
        </is>
      </c>
      <c r="D18" s="5" t="inlineStr">
        <is>
          <t>地域ケア個別会議と地域ケア推進会議を分けて計数するか</t>
        </is>
      </c>
      <c r="E18"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8" s="5" t="inlineStr">
        <is>
          <t>計画素案 第5章 基本目標2・第6章第4節4</t>
        </is>
      </c>
      <c r="G18" s="5" t="inlineStr">
        <is>
          <t>発注者・3町</t>
        </is>
      </c>
      <c r="H18" s="10" t="inlineStr">
        <is>
          <t>確認待ち</t>
        </is>
      </c>
      <c r="I18" s="10" t="inlineStr">
        <is>
          <t>R8.10</t>
        </is>
      </c>
      <c r="J18" s="11" t="inlineStr">
        <is>
          <t>地域ケア会議の受領点検とKPI設計案 02・06シート</t>
        </is>
      </c>
    </row>
    <row r="19" ht="88" customHeight="1">
      <c r="A19" s="4" t="n">
        <v>121</v>
      </c>
      <c r="B19" s="4" t="inlineStr">
        <is>
          <t>(2)</t>
        </is>
      </c>
      <c r="C19" s="4" t="inlineStr">
        <is>
          <t>R8.9</t>
        </is>
      </c>
      <c r="D19" s="5" t="inlineStr">
        <is>
          <t>3町の地域ケア会議の実績（令和6〜8年度）のご提供</t>
        </is>
      </c>
      <c r="E19"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9" s="5" t="inlineStr">
        <is>
          <t>計画素案 第5章 基本目標2
第9期評価（施策2-5）</t>
        </is>
      </c>
      <c r="G19" s="5" t="inlineStr">
        <is>
          <t>3町</t>
        </is>
      </c>
      <c r="H19" s="10" t="inlineStr">
        <is>
          <t>確認待ち</t>
        </is>
      </c>
      <c r="I19" s="10" t="inlineStr">
        <is>
          <t>R8.10</t>
        </is>
      </c>
      <c r="J19" s="11" t="inlineStr">
        <is>
          <t>地域ケア会議の受領点検とKPI設計案 03シート</t>
        </is>
      </c>
    </row>
    <row r="20" ht="88" customHeight="1">
      <c r="A20" s="4" t="n">
        <v>122</v>
      </c>
      <c r="B20" s="4" t="inlineStr">
        <is>
          <t>(9)</t>
        </is>
      </c>
      <c r="C20" s="4" t="inlineStr">
        <is>
          <t>R8.9</t>
        </is>
      </c>
      <c r="D20" s="5" t="inlineStr">
        <is>
          <t>地域ケア会議関係資料の取扱いの確認</t>
        </is>
      </c>
      <c r="E20"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20" s="5" t="inlineStr">
        <is>
          <t>地域ケア会議の受領点検とKPI設計案
計画素案 第5章 基本目標2</t>
        </is>
      </c>
      <c r="G20" s="5" t="inlineStr">
        <is>
          <t>発注者</t>
        </is>
      </c>
      <c r="H20" s="10" t="inlineStr">
        <is>
          <t>確認待ち</t>
        </is>
      </c>
      <c r="I20" s="10" t="inlineStr">
        <is>
          <t>R8.9</t>
        </is>
      </c>
      <c r="J20" s="11" t="inlineStr">
        <is>
          <t>同表 00・01シート</t>
        </is>
      </c>
    </row>
    <row r="21" ht="88" customHeight="1">
      <c r="A21" s="4" t="n">
        <v>114</v>
      </c>
      <c r="B21" s="4" t="inlineStr">
        <is>
          <t>(5)(6)</t>
        </is>
      </c>
      <c r="C21" s="4" t="inlineStr">
        <is>
          <t>R8.9</t>
        </is>
      </c>
      <c r="D21" s="5" t="inlineStr">
        <is>
          <t>令和22年度までの中長期推計をどこまで算定するか</t>
        </is>
      </c>
      <c r="E21"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21" s="5" t="inlineStr">
        <is>
          <t>サービス見込量 第2次概算
将来推計 第3段階
計画素案 第2章第8節・第6章第2節</t>
        </is>
      </c>
      <c r="G21" s="5" t="inlineStr">
        <is>
          <t>発注者</t>
        </is>
      </c>
      <c r="H21" s="10" t="inlineStr">
        <is>
          <t>確認待ち</t>
        </is>
      </c>
      <c r="I21" s="10" t="inlineStr">
        <is>
          <t>R8.10</t>
        </is>
      </c>
      <c r="J21"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t>
        </is>
      </c>
    </row>
    <row r="22" ht="88" customHeight="1">
      <c r="A22" s="4" t="n">
        <v>112</v>
      </c>
      <c r="B22" s="4" t="inlineStr">
        <is>
          <t>(5)(6)</t>
        </is>
      </c>
      <c r="C22" s="4" t="inlineStr">
        <is>
          <t>R8.9</t>
        </is>
      </c>
      <c r="D22" s="5" t="inlineStr">
        <is>
          <t>地域支援事業の量の見込みを算定してよいか</t>
        </is>
      </c>
      <c r="E22"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22" s="5" t="inlineStr">
        <is>
          <t>サービス見込量 第2次概算
計画素案 第6章第3節</t>
        </is>
      </c>
      <c r="G22" s="5" t="inlineStr">
        <is>
          <t>発注者</t>
        </is>
      </c>
      <c r="H22" s="10" t="inlineStr">
        <is>
          <t>確認待ち</t>
        </is>
      </c>
      <c r="I22" s="10" t="inlineStr">
        <is>
          <t>R8.10</t>
        </is>
      </c>
      <c r="J22" s="11" t="inlineStr">
        <is>
          <t>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t>
        </is>
      </c>
    </row>
    <row r="23" ht="88" customHeight="1">
      <c r="A23" s="4" t="n">
        <v>113</v>
      </c>
      <c r="B23" s="4" t="inlineStr">
        <is>
          <t>(5)</t>
        </is>
      </c>
      <c r="C23" s="4" t="inlineStr">
        <is>
          <t>R8.9</t>
        </is>
      </c>
      <c r="D23" s="5" t="inlineStr">
        <is>
          <t>混合型特定施設の必要利用定員総数を定めるか</t>
        </is>
      </c>
      <c r="E23"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3" s="5" t="inlineStr">
        <is>
          <t>サービス見込量 第1次概算
計画素案 第6章第4節4</t>
        </is>
      </c>
      <c r="G23" s="5" t="inlineStr">
        <is>
          <t>発注者・北海道</t>
        </is>
      </c>
      <c r="H23" s="10" t="inlineStr">
        <is>
          <t>確認待ち</t>
        </is>
      </c>
      <c r="I23" s="10" t="inlineStr">
        <is>
          <t>R8.9</t>
        </is>
      </c>
      <c r="J23" s="11" t="inlineStr">
        <is>
          <t>サービス見込量算定の統合報告書 03・04シート。確認事項No.88（日常生活圏域と必要利用定員総数）と一体</t>
        </is>
      </c>
    </row>
    <row r="24" ht="88" customHeight="1">
      <c r="A24" s="4" t="n">
        <v>115</v>
      </c>
      <c r="B24" s="4" t="inlineStr">
        <is>
          <t>(5)(6)</t>
        </is>
      </c>
      <c r="C24" s="4" t="inlineStr">
        <is>
          <t>R8.9</t>
        </is>
      </c>
      <c r="D24" s="5" t="inlineStr">
        <is>
          <t>令和9年4月に新設される区分を見込量に立てるか</t>
        </is>
      </c>
      <c r="E24"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24" s="5" t="inlineStr">
        <is>
          <t>サービス見込量 第2次概算
計画素案 第1章第9節・第6章第2節・第4節</t>
        </is>
      </c>
      <c r="G24" s="5" t="inlineStr">
        <is>
          <t>発注者・3町</t>
        </is>
      </c>
      <c r="H24" s="10" t="inlineStr">
        <is>
          <t>確認待ち</t>
        </is>
      </c>
      <c r="I24" s="10" t="inlineStr">
        <is>
          <t>R8.10</t>
        </is>
      </c>
      <c r="J24" s="11" t="inlineStr">
        <is>
          <t>サービス見込量算定の統合報告書 03・04シート</t>
        </is>
      </c>
    </row>
    <row r="25" ht="88" customHeight="1">
      <c r="A25" s="4" t="n">
        <v>116</v>
      </c>
      <c r="B25" s="4" t="inlineStr">
        <is>
          <t>(5)(6)</t>
        </is>
      </c>
      <c r="C25" s="4" t="inlineStr">
        <is>
          <t>R8.9</t>
        </is>
      </c>
      <c r="D25" s="5" t="inlineStr">
        <is>
          <t>介護人材の確保状況を供給の制約として見込量に反映するか</t>
        </is>
      </c>
      <c r="E25"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5" s="5" t="inlineStr">
        <is>
          <t>サービス見込量 第2次概算
計画素案 第6章第2節・第4節</t>
        </is>
      </c>
      <c r="G25" s="5" t="inlineStr">
        <is>
          <t>発注者・3町</t>
        </is>
      </c>
      <c r="H25" s="10" t="inlineStr">
        <is>
          <t>確認待ち</t>
        </is>
      </c>
      <c r="I25" s="10" t="inlineStr">
        <is>
          <t>R8.10</t>
        </is>
      </c>
      <c r="J25" s="11" t="inlineStr">
        <is>
          <t>サービス見込量算定の統合報告書 03・04シート</t>
        </is>
      </c>
    </row>
    <row r="26" ht="88" customHeight="1">
      <c r="A26" s="4" t="n">
        <v>117</v>
      </c>
      <c r="B26" s="4" t="inlineStr">
        <is>
          <t>(9)</t>
        </is>
      </c>
      <c r="C26" s="4" t="inlineStr">
        <is>
          <t>R8.9</t>
        </is>
      </c>
      <c r="D26" s="5" t="inlineStr">
        <is>
          <t>成果品の統合の方針</t>
        </is>
      </c>
      <c r="E26"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6" s="5" t="inlineStr">
        <is>
          <t>成果品一覧
送付資料一覧</t>
        </is>
      </c>
      <c r="G26" s="5" t="inlineStr">
        <is>
          <t>発注者</t>
        </is>
      </c>
      <c r="H26" s="10" t="inlineStr">
        <is>
          <t>確認待ち</t>
        </is>
      </c>
      <c r="I26" s="10" t="inlineStr">
        <is>
          <t>R8.9</t>
        </is>
      </c>
      <c r="J26" s="11" t="inlineStr">
        <is>
          <t>サービス見込量算定の統合報告書 07シート</t>
        </is>
      </c>
    </row>
    <row r="27" ht="88" customHeight="1">
      <c r="A27" s="4" t="n">
        <v>109</v>
      </c>
      <c r="B27" s="4" t="inlineStr">
        <is>
          <t>(5)</t>
        </is>
      </c>
      <c r="C27" s="4" t="inlineStr">
        <is>
          <t>R8.9</t>
        </is>
      </c>
      <c r="D27" s="5" t="inlineStr">
        <is>
          <t>第10期の単価を令和7年度で固定するか、実績の趨勢を置くか</t>
        </is>
      </c>
      <c r="E27"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趨勢に現れない要因の分析 06シート。「構成町の意見への回答」の「令和9年度が改定の年に当たらない」との記述は誤りであり修正した</t>
        </is>
      </c>
    </row>
    <row r="28" ht="88" customHeight="1">
      <c r="A28" s="4" t="n">
        <v>110</v>
      </c>
      <c r="B28" s="4" t="inlineStr">
        <is>
          <t>(5)(6)</t>
        </is>
      </c>
      <c r="C28" s="4" t="inlineStr">
        <is>
          <t>R8.9</t>
        </is>
      </c>
      <c r="D28" s="5" t="inlineStr">
        <is>
          <t>給付適正化の効果を見込量に織り込まないことでよいか</t>
        </is>
      </c>
      <c r="E28"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8" s="5" t="inlineStr">
        <is>
          <t>サービス見込量 第1次概算
計画素案 第5章 基本目標5・第6章第2節</t>
        </is>
      </c>
      <c r="G28" s="5" t="inlineStr">
        <is>
          <t>発注者</t>
        </is>
      </c>
      <c r="H28" s="10" t="inlineStr">
        <is>
          <t>確認待ち</t>
        </is>
      </c>
      <c r="I28" s="10" t="inlineStr">
        <is>
          <t>R8.10</t>
        </is>
      </c>
      <c r="J28" s="11" t="inlineStr">
        <is>
          <t>趨勢に現れない要因の分析 05シート</t>
        </is>
      </c>
    </row>
    <row r="29" ht="88" customHeight="1">
      <c r="A29" s="4" t="n">
        <v>111</v>
      </c>
      <c r="B29" s="4" t="inlineStr">
        <is>
          <t>(6)</t>
        </is>
      </c>
      <c r="C29" s="4" t="inlineStr">
        <is>
          <t>R8.9</t>
        </is>
      </c>
      <c r="D29" s="5" t="inlineStr">
        <is>
          <t>過年度の趨勢に現れない要因の扱い（認知症施策・高齢者向け住まいほか）</t>
        </is>
      </c>
      <c r="E29"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9" s="5" t="inlineStr">
        <is>
          <t>計画素案 第1章第8節・第2章第3節6・第5章 基本目標2・第6章第2節</t>
        </is>
      </c>
      <c r="G29" s="5" t="inlineStr">
        <is>
          <t>発注者・3町</t>
        </is>
      </c>
      <c r="H29" s="10" t="inlineStr">
        <is>
          <t>確認待ち</t>
        </is>
      </c>
      <c r="I29" s="10" t="inlineStr">
        <is>
          <t>R8.10</t>
        </is>
      </c>
      <c r="J29" s="11" t="inlineStr">
        <is>
          <t>趨勢に現れない要因の分析 02〜04シート</t>
        </is>
      </c>
    </row>
    <row r="30" ht="88" customHeight="1">
      <c r="A30" s="4" t="n">
        <v>106</v>
      </c>
      <c r="B30" s="4" t="inlineStr">
        <is>
          <t>(5)(6)</t>
        </is>
      </c>
      <c r="C30" s="4" t="inlineStr">
        <is>
          <t>R8.9</t>
        </is>
      </c>
      <c r="D30" s="5" t="inlineStr">
        <is>
          <t>見込量の伸びを一律からサービス別の趨勢を半分反映する置き方に改めるか</t>
        </is>
      </c>
      <c r="E3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30" s="5" t="inlineStr">
        <is>
          <t>サービス見込量 第1次概算
将来推計 第3段階
計画素案 第6章第2節2</t>
        </is>
      </c>
      <c r="G30" s="5" t="inlineStr">
        <is>
          <t>発注者</t>
        </is>
      </c>
      <c r="H30" s="10" t="inlineStr">
        <is>
          <t>確認待ち</t>
        </is>
      </c>
      <c r="I30" s="10" t="inlineStr">
        <is>
          <t>R8.9</t>
        </is>
      </c>
      <c r="J30" s="11" t="inlineStr">
        <is>
          <t>対計画比の偏りの補正試算 03シート。確認事項No.100（採用パターン）と一体</t>
        </is>
      </c>
    </row>
    <row r="31" ht="88" customHeight="1">
      <c r="A31" s="4" t="n">
        <v>107</v>
      </c>
      <c r="B31" s="4" t="inlineStr">
        <is>
          <t>(5)(6)</t>
        </is>
      </c>
      <c r="C31" s="4" t="inlineStr">
        <is>
          <t>R8.9</t>
        </is>
      </c>
      <c r="D31" s="5" t="inlineStr">
        <is>
          <t>施設・居住系の実績の減少を将来へ延長するか</t>
        </is>
      </c>
      <c r="E3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31" s="5" t="inlineStr">
        <is>
          <t>サービス見込量 第1次概算
計画素案 第6章第4節4</t>
        </is>
      </c>
      <c r="G31" s="5" t="inlineStr">
        <is>
          <t>発注者・3町</t>
        </is>
      </c>
      <c r="H31" s="10" t="inlineStr">
        <is>
          <t>確認待ち</t>
        </is>
      </c>
      <c r="I31" s="10" t="inlineStr">
        <is>
          <t>R8.9</t>
        </is>
      </c>
      <c r="J31" s="11" t="inlineStr">
        <is>
          <t>対計画比の偏りの補正試算 05シート</t>
        </is>
      </c>
    </row>
    <row r="32" ht="88" customHeight="1">
      <c r="A32" s="4" t="n">
        <v>108</v>
      </c>
      <c r="B32" s="4" t="inlineStr">
        <is>
          <t>(5)</t>
        </is>
      </c>
      <c r="C32" s="4" t="inlineStr">
        <is>
          <t>R8.9</t>
        </is>
      </c>
      <c r="D32" s="5" t="inlineStr">
        <is>
          <t>補正しても外れるサービス6件の理由</t>
        </is>
      </c>
      <c r="E3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32" s="5" t="inlineStr">
        <is>
          <t>対計画比の偏りの補正試算
計画素案 第6章第2節2</t>
        </is>
      </c>
      <c r="G32" s="5" t="inlineStr">
        <is>
          <t>発注者・3町</t>
        </is>
      </c>
      <c r="H32" s="10" t="inlineStr">
        <is>
          <t>確認待ち</t>
        </is>
      </c>
      <c r="I32" s="10" t="inlineStr">
        <is>
          <t>R8.10</t>
        </is>
      </c>
      <c r="J32" s="11" t="inlineStr">
        <is>
          <t>供給実現性の段階でサービスごとに判断する材料</t>
        </is>
      </c>
    </row>
    <row r="33" ht="88" customHeight="1">
      <c r="A33" s="4" t="n">
        <v>103</v>
      </c>
      <c r="B33" s="4" t="inlineStr">
        <is>
          <t>(5)(6)</t>
        </is>
      </c>
      <c r="C33" s="4" t="inlineStr">
        <is>
          <t>R8.9</t>
        </is>
      </c>
      <c r="D33" s="5" t="inlineStr">
        <is>
          <t>令和8年度を基準年度に用いず、季節を理由とする補正も行わないこと</t>
        </is>
      </c>
      <c r="E33"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3" s="5" t="inlineStr">
        <is>
          <t>サービス見込量 第1次概算
将来推計 第3段階
計画素案 第6章第2節2</t>
        </is>
      </c>
      <c r="G33" s="5" t="inlineStr">
        <is>
          <t>発注者</t>
        </is>
      </c>
      <c r="H33" s="10" t="inlineStr">
        <is>
          <t>確認待ち</t>
        </is>
      </c>
      <c r="I33" s="10" t="inlineStr">
        <is>
          <t>R8.9</t>
        </is>
      </c>
      <c r="J33" s="11" t="inlineStr">
        <is>
          <t>見込量の季節性の検証と施策反映の設計 01・03シート</t>
        </is>
      </c>
    </row>
    <row r="34" ht="88" customHeight="1">
      <c r="A34" s="4" t="n">
        <v>104</v>
      </c>
      <c r="B34" s="4" t="inlineStr">
        <is>
          <t>(5)</t>
        </is>
      </c>
      <c r="C34" s="4" t="inlineStr">
        <is>
          <t>R8.9</t>
        </is>
      </c>
      <c r="D34" s="5" t="inlineStr">
        <is>
          <t>第10期の単価を令和7年度で固定するか、令和8年度の水準を反映するか</t>
        </is>
      </c>
      <c r="E34"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34" s="5" t="inlineStr">
        <is>
          <t>サービス見込量 第2次概算
将来推計 第3段階
計画素案 第6章第3節・第6節</t>
        </is>
      </c>
      <c r="G34" s="5" t="inlineStr">
        <is>
          <t>発注者</t>
        </is>
      </c>
      <c r="H34" s="10" t="inlineStr">
        <is>
          <t>確認待ち</t>
        </is>
      </c>
      <c r="I34" s="10" t="inlineStr">
        <is>
          <t>R8.10</t>
        </is>
      </c>
      <c r="J34" s="11" t="inlineStr">
        <is>
          <t>確認事項No.87と一体。見込量の季節性の検証と施策反映の設計 02シート</t>
        </is>
      </c>
    </row>
    <row r="35" ht="88" customHeight="1">
      <c r="A35" s="4" t="n">
        <v>105</v>
      </c>
      <c r="B35" s="4" t="inlineStr">
        <is>
          <t>(6)</t>
        </is>
      </c>
      <c r="C35" s="4" t="inlineStr">
        <is>
          <t>R8.9</t>
        </is>
      </c>
      <c r="D35" s="5" t="inlineStr">
        <is>
          <t>施策反映を行うか。行う場合の対象と歯止め</t>
        </is>
      </c>
      <c r="E35"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5" s="5" t="inlineStr">
        <is>
          <t>サービス見込量 第1次概算
計画素案 第4章第3節・第6章第2節</t>
        </is>
      </c>
      <c r="G35" s="5" t="inlineStr">
        <is>
          <t>発注者</t>
        </is>
      </c>
      <c r="H35" s="10" t="inlineStr">
        <is>
          <t>確認待ち</t>
        </is>
      </c>
      <c r="I35" s="10" t="inlineStr">
        <is>
          <t>R8.9</t>
        </is>
      </c>
      <c r="J35" s="11" t="inlineStr">
        <is>
          <t>見込量の季節性の検証と施策反映の設計 04・05シート</t>
        </is>
      </c>
    </row>
    <row r="36" ht="88" customHeight="1">
      <c r="A36" s="4" t="n">
        <v>100</v>
      </c>
      <c r="B36" s="4" t="inlineStr">
        <is>
          <t>(5)(6)</t>
        </is>
      </c>
      <c r="C36" s="4" t="inlineStr">
        <is>
          <t>R8.9</t>
        </is>
      </c>
      <c r="D36" s="5" t="inlineStr">
        <is>
          <t>サービス見込量及び給付費の算定に用いる基準年度と出所</t>
        </is>
      </c>
      <c r="E36"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6" s="5" t="inlineStr">
        <is>
          <t>サービス見込量 第1次概算
将来推計 第3段階
計画素案 第6章第2節・第3節・第6節</t>
        </is>
      </c>
      <c r="G36" s="5" t="inlineStr">
        <is>
          <t>発注者</t>
        </is>
      </c>
      <c r="H36" s="10" t="inlineStr">
        <is>
          <t>確認待ち</t>
        </is>
      </c>
      <c r="I36" s="10" t="inlineStr">
        <is>
          <t>R8.9</t>
        </is>
      </c>
      <c r="J36" s="11" t="inlineStr">
        <is>
          <t>サービス見込量の算定 03シート。算定上の月額基準額は現行6,740円に対し採用パターンで6,428円。令和8年9月16日、計画素案 第6章第2節・第3節・第6節を採用パターンによる算定（要介護度別。月額6,436円）に置き換えた。ご判断をいただくまでは暫定であり、置き方によるちがい（要介護度別6,436円・一律6,428円・見える化6,740円）を第6節に併記している</t>
        </is>
      </c>
    </row>
    <row r="37" ht="88" customHeight="1">
      <c r="A37" s="4" t="n">
        <v>101</v>
      </c>
      <c r="B37" s="4" t="inlineStr">
        <is>
          <t>(6)</t>
        </is>
      </c>
      <c r="C37" s="4" t="inlineStr">
        <is>
          <t>R8.9</t>
        </is>
      </c>
      <c r="D37" s="5" t="inlineStr">
        <is>
          <t>計画素案 第6章第2節2の見込量の表の数値の差し替え</t>
        </is>
      </c>
      <c r="E37"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7" s="5" t="inlineStr">
        <is>
          <t>計画素案 第6章第2節2
サービス見込量 第1次概算</t>
        </is>
      </c>
      <c r="G37" s="5" t="inlineStr">
        <is>
          <t>発注者</t>
        </is>
      </c>
      <c r="H37" s="10" t="inlineStr">
        <is>
          <t>確認待ち</t>
        </is>
      </c>
      <c r="I37" s="10" t="inlineStr">
        <is>
          <t>R8.9</t>
        </is>
      </c>
      <c r="J37" s="11" t="inlineStr">
        <is>
          <t>確認事項No.100（採用パターン）の決定と一体で処理する。令和8年9月16日、第6章第2節の表を第1次概算の算定結果に差し替えた（表頭の「R8実績」は「R7実績」に改めた）。ご判断をいただくまでは暫定である</t>
        </is>
      </c>
    </row>
    <row r="38" ht="88" customHeight="1">
      <c r="A38" s="4" t="n">
        <v>102</v>
      </c>
      <c r="B38" s="4" t="inlineStr">
        <is>
          <t>(5)</t>
        </is>
      </c>
      <c r="C38" s="4" t="inlineStr">
        <is>
          <t>R8.9</t>
        </is>
      </c>
      <c r="D38" s="5" t="inlineStr">
        <is>
          <t>計画作成支援ツールの令和8年度の月数と予防訪問看護の計上</t>
        </is>
      </c>
      <c r="E38"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8" s="5" t="inlineStr">
        <is>
          <t>サービス見込量の算定
計画素案 第6章第2節2</t>
        </is>
      </c>
      <c r="G38" s="5" t="inlineStr">
        <is>
          <t>発注者</t>
        </is>
      </c>
      <c r="H38" s="10" t="inlineStr">
        <is>
          <t>一部回答済</t>
        </is>
      </c>
      <c r="I38" s="10" t="inlineStr">
        <is>
          <t>R8.9</t>
        </is>
      </c>
      <c r="J38"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9" ht="88" customHeight="1">
      <c r="A39" s="4" t="n">
        <v>95</v>
      </c>
      <c r="B39" s="4" t="inlineStr">
        <is>
          <t>(6)</t>
        </is>
      </c>
      <c r="C39" s="4" t="inlineStr">
        <is>
          <t>R8.9</t>
        </is>
      </c>
      <c r="D39" s="5" t="inlineStr">
        <is>
          <t>大雪地区広域連合の指定地域密着型サービスの基準条例のご提供</t>
        </is>
      </c>
      <c r="E3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9" s="5" t="inlineStr">
        <is>
          <t>地域密着型サービス基準省令の論点整理
計画素案 第6章第4節</t>
        </is>
      </c>
      <c r="G39" s="5" t="inlineStr">
        <is>
          <t>発注者</t>
        </is>
      </c>
      <c r="H39" s="10" t="inlineStr">
        <is>
          <t>確認待ち</t>
        </is>
      </c>
      <c r="I39" s="10" t="inlineStr">
        <is>
          <t>R8.9</t>
        </is>
      </c>
      <c r="J39" s="11" t="inlineStr">
        <is>
          <t>論点整理 04シート。最も重い確認事項として整理している</t>
        </is>
      </c>
    </row>
    <row r="40" ht="88" customHeight="1">
      <c r="A40" s="4" t="n">
        <v>96</v>
      </c>
      <c r="B40" s="4" t="inlineStr">
        <is>
          <t>(6)</t>
        </is>
      </c>
      <c r="C40" s="4" t="inlineStr">
        <is>
          <t>R8.9</t>
        </is>
      </c>
      <c r="D40" s="5" t="inlineStr">
        <is>
          <t>認知症対応型共同生活介護の共同生活住居数と、くるみの郷の定員</t>
        </is>
      </c>
      <c r="E4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40" s="5" t="inlineStr">
        <is>
          <t>計画素案 第2章第3節6
計画素案 第6章第4節4
地域密着型サービス基準省令の論点整理</t>
        </is>
      </c>
      <c r="G40" s="5" t="inlineStr">
        <is>
          <t>発注者・3町</t>
        </is>
      </c>
      <c r="H40" s="10" t="inlineStr">
        <is>
          <t>確認待ち</t>
        </is>
      </c>
      <c r="I40" s="10" t="inlineStr">
        <is>
          <t>R8.9</t>
        </is>
      </c>
      <c r="J40" s="11" t="inlineStr">
        <is>
          <t>第2章第3節6及び第6章第4節4の町別の分布欄の誤り（東川町45→36、計108→99）は令和8年9月10日に修正済み</t>
        </is>
      </c>
    </row>
    <row r="41" ht="88" customHeight="1">
      <c r="A41" s="4" t="n">
        <v>97</v>
      </c>
      <c r="B41" s="4" t="inlineStr">
        <is>
          <t>(6)</t>
        </is>
      </c>
      <c r="C41" s="4" t="inlineStr">
        <is>
          <t>R8.9</t>
        </is>
      </c>
      <c r="D41" s="5" t="inlineStr">
        <is>
          <t>令和9年4月1日から義務となる2件への対応</t>
        </is>
      </c>
      <c r="E4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41" s="5" t="inlineStr">
        <is>
          <t>計画素案 第1章第9節
計画素案 第5章 基本目標3・4
計画素案 第6章第4節3</t>
        </is>
      </c>
      <c r="G41" s="5" t="inlineStr">
        <is>
          <t>発注者</t>
        </is>
      </c>
      <c r="H41" s="10" t="inlineStr">
        <is>
          <t>確認待ち</t>
        </is>
      </c>
      <c r="I41" s="10" t="inlineStr">
        <is>
          <t>R8.10</t>
        </is>
      </c>
      <c r="J41" s="11" t="inlineStr">
        <is>
          <t>確認事項No.95（条例）と一体。条例に対応規定がなければ事業者に及ばない</t>
        </is>
      </c>
    </row>
    <row r="42" ht="88" customHeight="1">
      <c r="A42" s="4" t="n">
        <v>98</v>
      </c>
      <c r="B42" s="4" t="inlineStr">
        <is>
          <t>(6)</t>
        </is>
      </c>
      <c r="C42" s="4" t="inlineStr">
        <is>
          <t>R8.9</t>
        </is>
      </c>
      <c r="D42" s="5" t="inlineStr">
        <is>
          <t>基盤整備の選択肢として省令上の類型を計画に掲げるか</t>
        </is>
      </c>
      <c r="E4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42" s="5" t="inlineStr">
        <is>
          <t>計画素案 第6章第4節1
計画素案 第6章第2節2（2）
サービス見込量 第1次概算</t>
        </is>
      </c>
      <c r="G42" s="5" t="inlineStr">
        <is>
          <t>発注者</t>
        </is>
      </c>
      <c r="H42" s="10" t="inlineStr">
        <is>
          <t>確認待ち</t>
        </is>
      </c>
      <c r="I42" s="10" t="inlineStr">
        <is>
          <t>R8.9</t>
        </is>
      </c>
      <c r="J42" s="11" t="inlineStr">
        <is>
          <t>①は第6章第4節1 案Aの書き分けに関わるため第1次概算（9月26日）より前に整理する</t>
        </is>
      </c>
    </row>
    <row r="43" ht="88" customHeight="1">
      <c r="A43" s="4" t="n">
        <v>99</v>
      </c>
      <c r="B43" s="4" t="inlineStr">
        <is>
          <t>(6)</t>
        </is>
      </c>
      <c r="C43" s="4" t="inlineStr">
        <is>
          <t>R8.9</t>
        </is>
      </c>
      <c r="D43" s="5" t="inlineStr">
        <is>
          <t>過疎地域における小規模多機能型居宅介護の定員超過の特例の取扱い</t>
        </is>
      </c>
      <c r="E4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3" s="5" t="inlineStr">
        <is>
          <t>計画素案 第6章第4節
計画素案 第6章第2節2（2）
地域密着型サービス基準省令の論点整理</t>
        </is>
      </c>
      <c r="G43" s="5" t="inlineStr">
        <is>
          <t>発注者</t>
        </is>
      </c>
      <c r="H43" s="10" t="inlineStr">
        <is>
          <t>確認待ち</t>
        </is>
      </c>
      <c r="I43" s="10" t="inlineStr">
        <is>
          <t>R8.10</t>
        </is>
      </c>
      <c r="J43" s="11" t="inlineStr">
        <is>
          <t>対象となり得るのは美瑛町の5事業所</t>
        </is>
      </c>
    </row>
    <row r="44" ht="88" customHeight="1">
      <c r="A44" s="4" t="n">
        <v>93</v>
      </c>
      <c r="B44" s="4" t="inlineStr">
        <is>
          <t>(5)(6)</t>
        </is>
      </c>
      <c r="C44" s="4" t="inlineStr">
        <is>
          <t>R8.9</t>
        </is>
      </c>
      <c r="D44" s="5" t="inlineStr">
        <is>
          <t>財政調整交付金の算定における給付適正化主要3事業の取組状況の勘案</t>
        </is>
      </c>
      <c r="E44"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4" s="5" t="inlineStr">
        <is>
          <t>将来推計 第3段階
計画素案 第6章第6節
サービス見込量 第2次概算</t>
        </is>
      </c>
      <c r="G44" s="5" t="inlineStr">
        <is>
          <t>発注者・北海道</t>
        </is>
      </c>
      <c r="H44" s="10" t="inlineStr">
        <is>
          <t>確認待ち</t>
        </is>
      </c>
      <c r="I44" s="10" t="inlineStr">
        <is>
          <t>R8.10</t>
        </is>
      </c>
      <c r="J44" s="11" t="inlineStr">
        <is>
          <t>確認事項No.86（保険者機能強化推進交付金等の交付見込額の控除）と併せて第2次概算（10月30日）までに整理する</t>
        </is>
      </c>
    </row>
    <row r="45" ht="88" customHeight="1">
      <c r="A45" s="4" t="n">
        <v>94</v>
      </c>
      <c r="B45" s="4" t="inlineStr">
        <is>
          <t>(6)</t>
        </is>
      </c>
      <c r="C45" s="4" t="inlineStr">
        <is>
          <t>R8.9</t>
        </is>
      </c>
      <c r="D45" s="5" t="inlineStr">
        <is>
          <t>給付適正化計画の位置づけ（案Bの採用）と毎年度の目標の記載場所</t>
        </is>
      </c>
      <c r="E45"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5" s="5" t="inlineStr">
        <is>
          <t>計画素案 第1章第2節・第5章 基本目標5・資料5
給付適正化計画の位置づけと追加検討事項</t>
        </is>
      </c>
      <c r="G45" s="5" t="inlineStr">
        <is>
          <t>発注者</t>
        </is>
      </c>
      <c r="H45" s="10" t="inlineStr">
        <is>
          <t>確認待ち</t>
        </is>
      </c>
      <c r="I45" s="10" t="inlineStr">
        <is>
          <t>R8.10</t>
        </is>
      </c>
      <c r="J45" s="11" t="inlineStr">
        <is>
          <t>位置づけの決定は令和8年9月10日に了承済み。本件は反映内容の事後確認である</t>
        </is>
      </c>
    </row>
    <row r="46" ht="88" customHeight="1">
      <c r="A46" s="4" t="n">
        <v>92</v>
      </c>
      <c r="B46" s="4" t="inlineStr">
        <is>
          <t>(6)</t>
        </is>
      </c>
      <c r="C46" s="4" t="inlineStr">
        <is>
          <t>R8.9</t>
        </is>
      </c>
      <c r="D46" s="5" t="inlineStr">
        <is>
          <t>認定調査の指定居宅介護支援事業所等への委託の状況</t>
        </is>
      </c>
      <c r="E4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6" s="5" t="inlineStr">
        <is>
          <t>給付適正化計画の位置づけと追加検討事項 04シート
計画素案 第5章 基本目標5</t>
        </is>
      </c>
      <c r="G46" s="5" t="inlineStr">
        <is>
          <t>発注者</t>
        </is>
      </c>
      <c r="H46" s="10" t="inlineStr">
        <is>
          <t>確認待ち</t>
        </is>
      </c>
      <c r="I46" s="10" t="inlineStr">
        <is>
          <t>R8.10</t>
        </is>
      </c>
      <c r="J46" s="11" t="inlineStr">
        <is>
          <t>委託していない場合は、直営の認定調査についても実態を把握することが望ましいとされている</t>
        </is>
      </c>
    </row>
    <row r="47" ht="88" customHeight="1">
      <c r="A47" s="4" t="n">
        <v>91</v>
      </c>
      <c r="B47" s="4" t="inlineStr">
        <is>
          <t>(2)(6)</t>
        </is>
      </c>
      <c r="C47" s="4" t="inlineStr">
        <is>
          <t>R8.9</t>
        </is>
      </c>
      <c r="D47" s="5" t="inlineStr">
        <is>
          <t>介護給付費通知及び給付実績の活用による確認等</t>
        </is>
      </c>
      <c r="E4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7" s="5" t="inlineStr">
        <is>
          <t>給付適正化計画の位置づけと追加検討事項 02シート
計画素案 第5章 基本目標5</t>
        </is>
      </c>
      <c r="G47" s="5" t="inlineStr">
        <is>
          <t>発注者</t>
        </is>
      </c>
      <c r="H47" s="10" t="inlineStr">
        <is>
          <t>確認待ち</t>
        </is>
      </c>
      <c r="I47" s="10" t="inlineStr">
        <is>
          <t>R8.10</t>
        </is>
      </c>
      <c r="J47" s="11" t="inlineStr">
        <is>
          <t>国保連の適正化システムには強調表示等の工夫が取り入れられており、小規模保険者でも実施しやすいとされている</t>
        </is>
      </c>
    </row>
    <row r="48" ht="88" customHeight="1">
      <c r="A48" s="4" t="n">
        <v>90</v>
      </c>
      <c r="B48" s="4" t="inlineStr">
        <is>
          <t>(2)(6)</t>
        </is>
      </c>
      <c r="C48" s="4" t="inlineStr">
        <is>
          <t>R8.9</t>
        </is>
      </c>
      <c r="D48" s="5" t="inlineStr">
        <is>
          <t>第9期計画の本文（電子データ）及び前回調査の原集計表の提供</t>
        </is>
      </c>
      <c r="E48"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48" s="5" t="inlineStr">
        <is>
          <t>給付適正化計画の位置づけと追加検討事項 01シート
計画素案 第5章 基本目標5・第2章第4節
アンケート調査の分析 令和8年9月業務報告 第4節</t>
        </is>
      </c>
      <c r="G48" s="5" t="inlineStr">
        <is>
          <t>発注者</t>
        </is>
      </c>
      <c r="H48" s="10" t="inlineStr">
        <is>
          <t>確認待ち</t>
        </is>
      </c>
      <c r="I48" s="10" t="inlineStr">
        <is>
          <t>R8.10</t>
        </is>
      </c>
      <c r="J48" s="11" t="inlineStr">
        <is>
          <t>第9期計画の体裁を勘案して第10期での位置づけを決めるため、記載の箇所の確認が前提となる。前回調査の分母は経年比較の前提となる</t>
        </is>
      </c>
    </row>
    <row r="49" ht="88" customHeight="1">
      <c r="A49" s="4" t="n">
        <v>89</v>
      </c>
      <c r="B49" s="4" t="inlineStr">
        <is>
          <t>(1)(6)</t>
        </is>
      </c>
      <c r="C49" s="4" t="inlineStr">
        <is>
          <t>R8.9</t>
        </is>
      </c>
      <c r="D49" s="5" t="inlineStr">
        <is>
          <t>社会福祉法等の一部を改正する法律（令和8年法律第51号）の反映</t>
        </is>
      </c>
      <c r="E4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9" s="5" t="inlineStr">
        <is>
          <t>計画素案 第1章第9節・第2章第8節・第5章・第6章第2節・第6章第4節
ケアプラン点検実施要領</t>
        </is>
      </c>
      <c r="G49" s="5" t="inlineStr">
        <is>
          <t>発注者</t>
        </is>
      </c>
      <c r="H49" s="10" t="inlineStr">
        <is>
          <t>確認待ち</t>
        </is>
      </c>
      <c r="I49" s="10" t="inlineStr">
        <is>
          <t>R8.10</t>
        </is>
      </c>
      <c r="J49" s="11" t="inlineStr">
        <is>
          <t>②の統合により、第10期のサービス種別の区分が変わる。国の様式（介護保険事業計画作成支援ツール）の確定を待って見込量の区分を改める</t>
        </is>
      </c>
    </row>
    <row r="50" ht="88" customHeight="1">
      <c r="A50" s="4" t="n">
        <v>88</v>
      </c>
      <c r="B50" s="4" t="inlineStr">
        <is>
          <t>(5)(6)</t>
        </is>
      </c>
      <c r="C50" s="4" t="inlineStr">
        <is>
          <t>R8.9</t>
        </is>
      </c>
      <c r="D50" s="5" t="inlineStr">
        <is>
          <t>日常生活圏域ごとの必要利用定員総数（法定記載事項）</t>
        </is>
      </c>
      <c r="E5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50" s="5" t="inlineStr">
        <is>
          <t>計画素案 第1章第7節・第6章第4節4
サービス見込量 第1次概算</t>
        </is>
      </c>
      <c r="G50" s="5" t="inlineStr">
        <is>
          <t>発注者・3町</t>
        </is>
      </c>
      <c r="H50" s="10" t="inlineStr">
        <is>
          <t>確認待ち</t>
        </is>
      </c>
      <c r="I50" s="10" t="inlineStr">
        <is>
          <t>R8.9</t>
        </is>
      </c>
      <c r="J50" s="11" t="inlineStr">
        <is>
          <t>法定記載事項であり、記載を落とすことができない。圏域が確定しないと表を作成できない</t>
        </is>
      </c>
    </row>
    <row r="51" ht="88" customHeight="1">
      <c r="A51" s="4" t="n">
        <v>87</v>
      </c>
      <c r="B51" s="4" t="inlineStr">
        <is>
          <t>(2)(4)</t>
        </is>
      </c>
      <c r="C51" s="4" t="inlineStr">
        <is>
          <t>R8.9</t>
        </is>
      </c>
      <c r="D51" s="5" t="inlineStr">
        <is>
          <t>給付費データ集計　令和7年度の広域連合単位と3町合計の差</t>
        </is>
      </c>
      <c r="E5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51" s="5" t="inlineStr">
        <is>
          <t>計画素案 第2章第2節5
町別データシート
給付実績データの受領点検
令和8年9月25日受領資料の受領点検</t>
        </is>
      </c>
      <c r="G51" s="5" t="inlineStr">
        <is>
          <t>発注者</t>
        </is>
      </c>
      <c r="H51" s="10" t="inlineStr">
        <is>
          <t>解決</t>
        </is>
      </c>
      <c r="I51" s="10" t="inlineStr">
        <is>
          <t>R8.9</t>
        </is>
      </c>
      <c r="J51" s="11" t="inlineStr">
        <is>
          <t>計画素案・町別データシート・見込量算定の注記を改めた。保険料の算定には介護保険特別会計決算の値を用いるため、本件は実績の記載に関するものであり保険料算定には影響しない</t>
        </is>
      </c>
    </row>
    <row r="52" ht="88" customHeight="1">
      <c r="A52" s="4" t="n">
        <v>86</v>
      </c>
      <c r="B52" s="4" t="inlineStr">
        <is>
          <t>(5)(6)</t>
        </is>
      </c>
      <c r="C52" s="4" t="inlineStr">
        <is>
          <t>R8.9</t>
        </is>
      </c>
      <c r="D52" s="5" t="inlineStr">
        <is>
          <t>保険者機能強化推進交付金等の交付見込額の保険料収納必要額からの控除</t>
        </is>
      </c>
      <c r="E5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52" s="5" t="inlineStr">
        <is>
          <t>計画素案 第6章第6節
将来推計 第3段階
保険料算定式の国の様式との対照</t>
        </is>
      </c>
      <c r="G52" s="5" t="inlineStr">
        <is>
          <t>発注者</t>
        </is>
      </c>
      <c r="H52" s="10" t="inlineStr">
        <is>
          <t>確認待ち</t>
        </is>
      </c>
      <c r="I52" s="10" t="inlineStr">
        <is>
          <t>R8.10</t>
        </is>
      </c>
      <c r="J52" s="11" t="inlineStr">
        <is>
          <t>控除する場合は保険料基準額が下がる。第2次概算（10月30日）までに決定をいただきたい</t>
        </is>
      </c>
    </row>
    <row r="53" ht="88" customHeight="1">
      <c r="A53" s="4" t="n">
        <v>85</v>
      </c>
      <c r="B53" s="4" t="inlineStr">
        <is>
          <t>(4)</t>
        </is>
      </c>
      <c r="C53" s="4" t="inlineStr">
        <is>
          <t>R8.9</t>
        </is>
      </c>
      <c r="D53" s="5" t="inlineStr">
        <is>
          <t>町別データシートの内容と配付</t>
        </is>
      </c>
      <c r="E5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3" s="5" t="inlineStr">
        <is>
          <t>町別データシート
構成町の意見への回答 2</t>
        </is>
      </c>
      <c r="G53" s="5" t="inlineStr">
        <is>
          <t>発注者・3町</t>
        </is>
      </c>
      <c r="H53" s="10" t="inlineStr">
        <is>
          <t>確認待ち</t>
        </is>
      </c>
      <c r="I53" s="10" t="inlineStr">
        <is>
          <t>R8.9</t>
        </is>
      </c>
      <c r="J53" s="11" t="inlineStr">
        <is>
          <t>町別の認定率は、広域連合が第1号被保険者数を分母とするのに対し住民基本台帳の65歳以上人口を分母とせざるを得ないため、定義が異なる旨を注記している</t>
        </is>
      </c>
    </row>
    <row r="54" ht="88" customHeight="1">
      <c r="A54" s="4" t="n">
        <v>84</v>
      </c>
      <c r="B54" s="4" t="inlineStr">
        <is>
          <t>(5)(7)</t>
        </is>
      </c>
      <c r="C54" s="4" t="inlineStr">
        <is>
          <t>R8.9</t>
        </is>
      </c>
      <c r="D54" s="5" t="inlineStr">
        <is>
          <t>東川町の施設整備・サービス提供方針</t>
        </is>
      </c>
      <c r="E5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4" s="5" t="inlineStr">
        <is>
          <t>サービス見込量 第2次概算
計画素案 第2章第2節・第6章第2節・第4節
構成町の意見への回答 6</t>
        </is>
      </c>
      <c r="G54" s="5" t="inlineStr">
        <is>
          <t>発注者・東川町</t>
        </is>
      </c>
      <c r="H54" s="10" t="inlineStr">
        <is>
          <t>確認待ち</t>
        </is>
      </c>
      <c r="I54" s="10" t="inlineStr">
        <is>
          <t>R8.10</t>
        </is>
      </c>
      <c r="J54" s="11" t="inlineStr">
        <is>
          <t>東神楽町からは整備方針の検討状況（10月視察・11月市場調査）をご回答いただいている。美瑛町からは高齢者福祉計画の工程と要望3件をご回答いただいている</t>
        </is>
      </c>
    </row>
    <row r="55" ht="88" customHeight="1">
      <c r="A55" s="4" t="n">
        <v>83</v>
      </c>
      <c r="B55" s="4" t="inlineStr">
        <is>
          <t>(7)(8)</t>
        </is>
      </c>
      <c r="C55" s="4" t="inlineStr">
        <is>
          <t>R8.9</t>
        </is>
      </c>
      <c r="D55" s="5" t="inlineStr">
        <is>
          <t>構成町との意見交換会の実施方法と町別データシート</t>
        </is>
      </c>
      <c r="E5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5" s="5" t="inlineStr">
        <is>
          <t>意見交換会資料
町別データシート
構成町の意見への回答 2・3</t>
        </is>
      </c>
      <c r="G55" s="5" t="inlineStr">
        <is>
          <t>発注者・3町</t>
        </is>
      </c>
      <c r="H55" s="10" t="inlineStr">
        <is>
          <t>確認待ち</t>
        </is>
      </c>
      <c r="I55" s="10" t="inlineStr">
        <is>
          <t>R8.9</t>
        </is>
      </c>
      <c r="J55" s="11" t="inlineStr">
        <is>
          <t>仕様書４（8）「各種会議への技術的支援」に含まれるため追加の費用は生じない。美瑛町は10月中旬までに素案、11月中旬までに原案を作成する予定である</t>
        </is>
      </c>
    </row>
    <row r="56" ht="88" customHeight="1">
      <c r="A56" s="4" t="n">
        <v>82</v>
      </c>
      <c r="B56" s="4" t="inlineStr">
        <is>
          <t>(5)</t>
        </is>
      </c>
      <c r="C56" s="4" t="inlineStr">
        <is>
          <t>R8.9</t>
        </is>
      </c>
      <c r="D56" s="5" t="inlineStr">
        <is>
          <t>構成町の一般会計繰入金の町別按分の方法</t>
        </is>
      </c>
      <c r="E5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6" s="5" t="inlineStr">
        <is>
          <t>サービス見込量 第1次概算（R8.9.26）
構成町の意見への回答 4</t>
        </is>
      </c>
      <c r="G56" s="5" t="inlineStr">
        <is>
          <t>発注者</t>
        </is>
      </c>
      <c r="H56" s="10" t="inlineStr">
        <is>
          <t>確認待ち</t>
        </is>
      </c>
      <c r="I56" s="10" t="inlineStr">
        <is>
          <t>R8.9.24</t>
        </is>
      </c>
      <c r="J56" s="11" t="inlineStr">
        <is>
          <t>3町計の概算は令和9年度523.7百万円・令和10年度531.5百万円・令和11年度539.0百万円である。確定値ではなく、決定1〜3・決定8の前提により動く</t>
        </is>
      </c>
    </row>
    <row r="57" ht="88" customHeight="1">
      <c r="A57" s="4" t="n">
        <v>81</v>
      </c>
      <c r="B57" s="4" t="inlineStr">
        <is>
          <t>(4)(6)</t>
        </is>
      </c>
      <c r="C57" s="4" t="inlineStr">
        <is>
          <t>R8.9</t>
        </is>
      </c>
      <c r="D57" s="5" t="inlineStr">
        <is>
          <t>代表KPI H16のデータ源（国保連の給付実績の明細情報）</t>
        </is>
      </c>
      <c r="E5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7" s="5" t="inlineStr">
        <is>
          <t>計画素案 第4章第3節・第5章 基本目標5・資料1
給付実績データの受領点検 05
内部確認結果への対応整理 04・09</t>
        </is>
      </c>
      <c r="G57" s="5" t="inlineStr">
        <is>
          <t>発注者</t>
        </is>
      </c>
      <c r="H57" s="10" t="inlineStr">
        <is>
          <t>確認待ち</t>
        </is>
      </c>
      <c r="I57" s="10" t="inlineStr">
        <is>
          <t>R8.9</t>
        </is>
      </c>
      <c r="J57" s="11" t="inlineStr">
        <is>
          <t>広域型（特別養護老人ホーム・介護老人保健施設・訪問介護等）の指定権者は北海道であるため、代替案は地域密着型サービスに限った確認件数となる。策定率そのものは測れない</t>
        </is>
      </c>
    </row>
    <row r="58" ht="88" customHeight="1">
      <c r="A58" s="4" t="n">
        <v>80</v>
      </c>
      <c r="B58" s="4" t="inlineStr">
        <is>
          <t>(3)</t>
        </is>
      </c>
      <c r="C58" s="4" t="inlineStr">
        <is>
          <t>R8.9</t>
        </is>
      </c>
      <c r="D58" s="5" t="inlineStr">
        <is>
          <t>職員個票のリストによる重複確認の可否</t>
        </is>
      </c>
      <c r="E5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8" s="5" t="inlineStr">
        <is>
          <t>内部確認結果への対応整理 03・08
実施済み3調査の受領点検と集計 06・07</t>
        </is>
      </c>
      <c r="G58" s="5" t="inlineStr">
        <is>
          <t>発注者</t>
        </is>
      </c>
      <c r="H58" s="10" t="inlineStr">
        <is>
          <t>確認待ち</t>
        </is>
      </c>
      <c r="I58" s="10" t="inlineStr">
        <is>
          <t>R8.9</t>
        </is>
      </c>
      <c r="J58" s="11" t="inlineStr">
        <is>
          <t>受託者としては、個票を突き合わせず事業所への照会だけで判別する方法を推奨する</t>
        </is>
      </c>
    </row>
    <row r="59" ht="88" customHeight="1">
      <c r="A59" s="4" t="n">
        <v>79</v>
      </c>
      <c r="B59" s="4" t="inlineStr">
        <is>
          <t>(6)</t>
        </is>
      </c>
      <c r="C59" s="4" t="inlineStr">
        <is>
          <t>R8.9</t>
        </is>
      </c>
      <c r="D59" s="5" t="inlineStr">
        <is>
          <t>第5章の施策数の見直しの範囲</t>
        </is>
      </c>
      <c r="E5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9" s="5" t="inlineStr">
        <is>
          <t>計画素案 第5章
骨子案 第5節</t>
        </is>
      </c>
      <c r="G59" s="5" t="inlineStr">
        <is>
          <t>発注者</t>
        </is>
      </c>
      <c r="H59" s="10" t="inlineStr">
        <is>
          <t>確認待ち</t>
        </is>
      </c>
      <c r="I59" s="10" t="inlineStr">
        <is>
          <t>R8.9</t>
        </is>
      </c>
      <c r="J59" s="11" t="inlineStr">
        <is>
          <t>施策数を減らす場合、第9期からの継続性の説明を要する。3町協議の前に方針を決めておきたい</t>
        </is>
      </c>
    </row>
    <row r="60" ht="88" customHeight="1">
      <c r="A60" s="4" t="n">
        <v>78</v>
      </c>
      <c r="B60" s="4" t="inlineStr">
        <is>
          <t>(5)</t>
        </is>
      </c>
      <c r="C60" s="4" t="inlineStr">
        <is>
          <t>R8.9</t>
        </is>
      </c>
      <c r="D60" s="5" t="inlineStr">
        <is>
          <t>グループホームびえいの郷の定員減の時期</t>
        </is>
      </c>
      <c r="E6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60" s="5" t="inlineStr">
        <is>
          <t>計画素案 第2章第3節・第6章第2節
将来推計 第2・第3段階</t>
        </is>
      </c>
      <c r="G60" s="5" t="inlineStr">
        <is>
          <t>発注者・美瑛町</t>
        </is>
      </c>
      <c r="H60" s="10" t="inlineStr">
        <is>
          <t>確認待ち</t>
        </is>
      </c>
      <c r="I60" s="10" t="inlineStr">
        <is>
          <t>R8.9</t>
        </is>
      </c>
      <c r="J60" s="11" t="inlineStr">
        <is>
          <t>認知症対応型共同生活介護の定員は見込量の上限となる。サービス見込量と保険料に直接効く</t>
        </is>
      </c>
    </row>
    <row r="61" ht="88" customHeight="1">
      <c r="A61" s="4" t="n">
        <v>77</v>
      </c>
      <c r="B61" s="4" t="inlineStr">
        <is>
          <t>(4)</t>
        </is>
      </c>
      <c r="C61" s="4" t="inlineStr">
        <is>
          <t>R8.9</t>
        </is>
      </c>
      <c r="D61" s="5" t="inlineStr">
        <is>
          <t>北海道の評価指標⑥の団体別の公表値</t>
        </is>
      </c>
      <c r="E6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61" s="5" t="inlineStr">
        <is>
          <t>計画素案 第4章第3節・資料1
内部確認結果への対応整理 04</t>
        </is>
      </c>
      <c r="G61" s="5" t="inlineStr">
        <is>
          <t>発注者・北海道</t>
        </is>
      </c>
      <c r="H61" s="10" t="inlineStr">
        <is>
          <t>確認待ち</t>
        </is>
      </c>
      <c r="I61" s="10" t="inlineStr">
        <is>
          <t>R8.9</t>
        </is>
      </c>
      <c r="J61" s="11" t="inlineStr">
        <is>
          <t>引用できれば、構成町・事業所に新たな集計事務を求めずに済む</t>
        </is>
      </c>
    </row>
    <row r="62" ht="88" customHeight="1">
      <c r="A62" s="4" t="n">
        <v>76</v>
      </c>
      <c r="B62" s="4" t="inlineStr">
        <is>
          <t>(4)</t>
        </is>
      </c>
      <c r="C62" s="4" t="inlineStr">
        <is>
          <t>R8.9</t>
        </is>
      </c>
      <c r="D62" s="5" t="inlineStr">
        <is>
          <t>介護リームスから抽出できる項目</t>
        </is>
      </c>
      <c r="E6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62" s="5" t="inlineStr">
        <is>
          <t>計画素案 第4章第3節・資料1
図表集31シート</t>
        </is>
      </c>
      <c r="G62" s="5" t="inlineStr">
        <is>
          <t>発注者</t>
        </is>
      </c>
      <c r="H62" s="10" t="inlineStr">
        <is>
          <t>確認待ち</t>
        </is>
      </c>
      <c r="I62" s="10" t="inlineStr">
        <is>
          <t>R8.9</t>
        </is>
      </c>
      <c r="J62" s="11" t="inlineStr">
        <is>
          <t>H03はこれまで「要確認・未算定」であった。データ源が確定すれば本文の成果指標に格上げできる</t>
        </is>
      </c>
    </row>
    <row r="63" ht="88" customHeight="1">
      <c r="A63" s="4" t="n">
        <v>75</v>
      </c>
      <c r="B63" s="4" t="inlineStr">
        <is>
          <t>(6)(7)</t>
        </is>
      </c>
      <c r="C63" s="4" t="inlineStr">
        <is>
          <t>R8.9</t>
        </is>
      </c>
      <c r="D63" s="5" t="inlineStr">
        <is>
          <t>代表KPIと改善事項の再整理案</t>
        </is>
      </c>
      <c r="E6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3" s="5" t="inlineStr">
        <is>
          <t>計画素案 第4章第3節・第5章・資料1
骨子案 第4節
図表集31シート
代表KPIの振替案と確認事項の精査</t>
        </is>
      </c>
      <c r="G63" s="5" t="inlineStr">
        <is>
          <t>発注者</t>
        </is>
      </c>
      <c r="H63" s="10" t="inlineStr">
        <is>
          <t>確認待ち</t>
        </is>
      </c>
      <c r="I63" s="10" t="inlineStr">
        <is>
          <t>R8.9</t>
        </is>
      </c>
      <c r="J63" s="11" t="inlineStr">
        <is>
          <t>決定4（代表KPIの目標値）は、本案が了承されると対象が7項目に減る。本案の了承を先に行っていただきたい</t>
        </is>
      </c>
    </row>
    <row r="64" ht="88" customHeight="1">
      <c r="A64" s="4" t="n">
        <v>74</v>
      </c>
      <c r="B64" s="4" t="inlineStr">
        <is>
          <t>(2)(6)</t>
        </is>
      </c>
      <c r="C64" s="4" t="inlineStr">
        <is>
          <t>R8.9</t>
        </is>
      </c>
      <c r="D64" s="5" t="inlineStr">
        <is>
          <t>有料老人ホーム等の家賃等の情報収集（北海道）</t>
        </is>
      </c>
      <c r="E6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4" s="5" t="inlineStr">
        <is>
          <t>ケアプラン点検実施要領（案）9
計画素案 第5章 基本目標5</t>
        </is>
      </c>
      <c r="G64" s="5" t="inlineStr">
        <is>
          <t>北海道上川総合振興局</t>
        </is>
      </c>
      <c r="H64" s="10" t="inlineStr">
        <is>
          <t>確認待ち</t>
        </is>
      </c>
      <c r="I64" s="10" t="inlineStr">
        <is>
          <t>R9.4</t>
        </is>
      </c>
      <c r="J64" s="11" t="inlineStr">
        <is>
          <t>北海道が情報収集を行っていない場合、市町村が単独で取り組んでも評価の対象とならない。令和9年4月の依頼に併せて確認する</t>
        </is>
      </c>
    </row>
    <row r="65" ht="88" customHeight="1">
      <c r="A65" s="4" t="n">
        <v>73</v>
      </c>
      <c r="B65" s="4" t="inlineStr">
        <is>
          <t>(2)(6)</t>
        </is>
      </c>
      <c r="C65" s="4" t="inlineStr">
        <is>
          <t>R8.9</t>
        </is>
      </c>
      <c r="D65" s="5" t="inlineStr">
        <is>
          <t>ケアプラン点検実施要領（案）の確定に要する事項</t>
        </is>
      </c>
      <c r="E6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5" s="5" t="inlineStr">
        <is>
          <t>ケアプラン点検実施要領（案）
計画素案 第5章 基本目標5</t>
        </is>
      </c>
      <c r="G65" s="5" t="inlineStr">
        <is>
          <t>発注者・3町</t>
        </is>
      </c>
      <c r="H65" s="10" t="inlineStr">
        <is>
          <t>確認待ち</t>
        </is>
      </c>
      <c r="I65" s="10" t="inlineStr">
        <is>
          <t>R8.9</t>
        </is>
      </c>
      <c r="J65" s="11" t="inlineStr">
        <is>
          <t>④は美瑛町がエ・オとも8点、東神楽町がオで8点を得ており、東川町は両方とも0点である。3町の取組を持ち寄れば区域共通の仕組みとして16点分が回復する</t>
        </is>
      </c>
    </row>
    <row r="66" ht="88" customHeight="1">
      <c r="A66" s="4" t="n">
        <v>72</v>
      </c>
      <c r="B66" s="4" t="inlineStr">
        <is>
          <t>(2)(6)</t>
        </is>
      </c>
      <c r="C66" s="4" t="inlineStr">
        <is>
          <t>R8.9</t>
        </is>
      </c>
      <c r="D66" s="5" t="inlineStr">
        <is>
          <t>介護給付適正化のケアプラン点検の着手（本文記載）</t>
        </is>
      </c>
      <c r="E6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6" s="5" t="inlineStr">
        <is>
          <t>計画素案 第5章 基本目標5
ケアプラン点検実施要領（案）
策定委員会資料_交付金評価結果 5</t>
        </is>
      </c>
      <c r="G66" s="5" t="inlineStr">
        <is>
          <t>発注者</t>
        </is>
      </c>
      <c r="H66" s="6" t="inlineStr">
        <is>
          <t>了承済</t>
        </is>
      </c>
      <c r="I66" s="10" t="inlineStr">
        <is>
          <t>R8.9.3</t>
        </is>
      </c>
      <c r="J6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7" ht="88" customHeight="1">
      <c r="A67" s="4" t="n">
        <v>71</v>
      </c>
      <c r="B67" s="4" t="inlineStr">
        <is>
          <t>(2)(7)</t>
        </is>
      </c>
      <c r="C67" s="4" t="inlineStr">
        <is>
          <t>R8.9</t>
        </is>
      </c>
      <c r="D67" s="5" t="inlineStr">
        <is>
          <t>交付金の評価結果を委員会資料として整理したこと</t>
        </is>
      </c>
      <c r="E6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7" s="5" t="inlineStr">
        <is>
          <t>計画素案 第1章第6節・第3章
策定委員会資料_交付金評価結果</t>
        </is>
      </c>
      <c r="G67" s="5" t="inlineStr">
        <is>
          <t>発注者</t>
        </is>
      </c>
      <c r="H67" s="6" t="inlineStr">
        <is>
          <t>了承済</t>
        </is>
      </c>
      <c r="I67" s="10" t="inlineStr">
        <is>
          <t>R8.9.3</t>
        </is>
      </c>
      <c r="J6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8" ht="88" customHeight="1">
      <c r="A68" s="4" t="n">
        <v>70</v>
      </c>
      <c r="B68" s="4" t="inlineStr">
        <is>
          <t>(2)(6)</t>
        </is>
      </c>
      <c r="C68" s="4" t="inlineStr">
        <is>
          <t>R8.9</t>
        </is>
      </c>
      <c r="D68" s="5" t="inlineStr">
        <is>
          <t>交付金の全国順位の計画本文への掲載</t>
        </is>
      </c>
      <c r="E68"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8" s="5" t="inlineStr">
        <is>
          <t>計画素案 第4章第4節
図表集 27シート
交付金評価指標と全国集計の受領点検 04シート</t>
        </is>
      </c>
      <c r="G68" s="5" t="inlineStr">
        <is>
          <t>発注者</t>
        </is>
      </c>
      <c r="H68" s="10" t="inlineStr">
        <is>
          <t>確認待ち</t>
        </is>
      </c>
      <c r="I68" s="10" t="inlineStr">
        <is>
          <t>R8.9</t>
        </is>
      </c>
      <c r="J6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9" ht="88" customHeight="1">
      <c r="A69" s="4" t="n">
        <v>69</v>
      </c>
      <c r="B69" s="4" t="inlineStr">
        <is>
          <t>(2)(6)</t>
        </is>
      </c>
      <c r="C69" s="4" t="inlineStr">
        <is>
          <t>R8.9</t>
        </is>
      </c>
      <c r="D69" s="5" t="inlineStr">
        <is>
          <t>成果指向型配分枠（令和8年度新設）への対応</t>
        </is>
      </c>
      <c r="E6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9" s="5" t="inlineStr">
        <is>
          <t>計画素案 第5章
交付金評価指標と全国集計の受領点検 06シート</t>
        </is>
      </c>
      <c r="G69" s="5" t="inlineStr">
        <is>
          <t>発注者</t>
        </is>
      </c>
      <c r="H69" s="10" t="inlineStr">
        <is>
          <t>確認待ち</t>
        </is>
      </c>
      <c r="I69" s="10" t="inlineStr">
        <is>
          <t>R8.10</t>
        </is>
      </c>
      <c r="J69" s="11" t="inlineStr">
        <is>
          <t>第10期の初年度（令和9年度）の交付金は令和8年度の取組を評価する。本計画の策定と並行して令和8年度の取組を設計できれば、第10期の初年度から得点に結びつく</t>
        </is>
      </c>
    </row>
    <row r="70" ht="88" customHeight="1">
      <c r="A70" s="4" t="n">
        <v>67</v>
      </c>
      <c r="B70" s="4" t="inlineStr">
        <is>
          <t>(5)(6)</t>
        </is>
      </c>
      <c r="C70" s="4" t="inlineStr">
        <is>
          <t>R8.8</t>
        </is>
      </c>
      <c r="D70" s="5" t="inlineStr">
        <is>
          <t>算定方法の国の様式との整合（点検結果）</t>
        </is>
      </c>
      <c r="E7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0" s="5" t="inlineStr">
        <is>
          <t>算定方法の整合確認（国と見える化）
将来推計 第2段階・第3段階
計画素案 第6章第3節・第6節</t>
        </is>
      </c>
      <c r="G70" s="5" t="inlineStr">
        <is>
          <t>発注者</t>
        </is>
      </c>
      <c r="H70" s="10" t="inlineStr">
        <is>
          <t>確認待ち</t>
        </is>
      </c>
      <c r="I70" s="10" t="inlineStr">
        <is>
          <t>R8.9</t>
        </is>
      </c>
      <c r="J70" s="11" t="inlineStr">
        <is>
          <t>①②は保険料の算定基礎の範囲の問題であり、第10期の保険料水準に直接影響する。③④⑤は算定結果を変えないが、国の様式との対応を示すために必要である</t>
        </is>
      </c>
    </row>
    <row r="71" ht="88" customHeight="1">
      <c r="A71" s="4" t="n">
        <v>68</v>
      </c>
      <c r="B71" s="4" t="inlineStr">
        <is>
          <t>(5)</t>
        </is>
      </c>
      <c r="C71" s="4" t="inlineStr">
        <is>
          <t>R8.8</t>
        </is>
      </c>
      <c r="D71" s="5" t="inlineStr">
        <is>
          <t>見える化システムの自然体推計の再出力のお願い</t>
        </is>
      </c>
      <c r="E7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1" s="5" t="inlineStr">
        <is>
          <t>将来推計 第3段階 01シート
算定方法の整合確認 04シート・07シート
計画素案 第6章第3節</t>
        </is>
      </c>
      <c r="G71" s="5" t="inlineStr">
        <is>
          <t>発注者</t>
        </is>
      </c>
      <c r="H71" s="10" t="inlineStr">
        <is>
          <t>確認待ち</t>
        </is>
      </c>
      <c r="I71" s="10" t="inlineStr">
        <is>
          <t>R8.9</t>
        </is>
      </c>
      <c r="J71" s="11" t="inlineStr">
        <is>
          <t>解消すれば、第2段階の見込量と第3段階の給付費とを同じ人口の基礎で接続できる。現行では両者が別々の経路で算定されており一致しない</t>
        </is>
      </c>
    </row>
    <row r="72" ht="88" customHeight="1">
      <c r="A72" s="4" t="n">
        <v>66</v>
      </c>
      <c r="B72" s="4" t="inlineStr">
        <is>
          <t>(4)(6)</t>
        </is>
      </c>
      <c r="C72" s="4" t="inlineStr">
        <is>
          <t>R8.8</t>
        </is>
      </c>
      <c r="D72" s="5" t="inlineStr">
        <is>
          <t>サービスガイドに掲載する事業所の範囲</t>
        </is>
      </c>
      <c r="E7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2" s="5" t="inlineStr">
        <is>
          <t>介護高齢者福祉サービスガイド_構成案
3町の社会資源一覧との突合 06シート
計画素案 第2章第3節</t>
        </is>
      </c>
      <c r="G72" s="5" t="inlineStr">
        <is>
          <t>発注者</t>
        </is>
      </c>
      <c r="H72" s="10" t="inlineStr">
        <is>
          <t>確認待ち</t>
        </is>
      </c>
      <c r="I72" s="10" t="inlineStr">
        <is>
          <t>R8.9</t>
        </is>
      </c>
      <c r="J72" s="11" t="inlineStr">
        <is>
          <t>事業所数は出所により異なるが、どれかが誤っているのではなく時点と定義の違いである。住民に配布するガイドでは、編集の時点で最新の公表資料により全件を洗い直す必要がある</t>
        </is>
      </c>
    </row>
    <row r="73" ht="88" customHeight="1">
      <c r="A73" s="4" t="n">
        <v>65</v>
      </c>
      <c r="B73" s="4" t="inlineStr">
        <is>
          <t>(6)(7)</t>
        </is>
      </c>
      <c r="C73" s="4" t="inlineStr">
        <is>
          <t>R8.8</t>
        </is>
      </c>
      <c r="D73" s="5" t="inlineStr">
        <is>
          <t>広域連合において行うべき事業の優先順位</t>
        </is>
      </c>
      <c r="E7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3" s="5" t="inlineStr">
        <is>
          <t>広域連合において行うべき事業の優先順位
介護高齢者福祉サービスガイド_構成案
計画素案 第5章・第6章第3節2</t>
        </is>
      </c>
      <c r="G73" s="5" t="inlineStr">
        <is>
          <t>発注者</t>
        </is>
      </c>
      <c r="H73" s="10" t="inlineStr">
        <is>
          <t>確認待ち</t>
        </is>
      </c>
      <c r="I73" s="10" t="inlineStr">
        <is>
          <t>R8.9</t>
        </is>
      </c>
      <c r="J7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4" ht="88" customHeight="1">
      <c r="A74" s="4" t="n">
        <v>64</v>
      </c>
      <c r="B74" s="4" t="inlineStr">
        <is>
          <t>(6)</t>
        </is>
      </c>
      <c r="C74" s="4" t="inlineStr">
        <is>
          <t>R8.8</t>
        </is>
      </c>
      <c r="D74" s="5" t="inlineStr">
        <is>
          <t>区域内に事業所がないサービスの住民向けの記載</t>
        </is>
      </c>
      <c r="E7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4" s="5" t="inlineStr">
        <is>
          <t>介護高齢者福祉サービスガイド_構成案
計画素案 第6章第4節</t>
        </is>
      </c>
      <c r="G74" s="5" t="inlineStr">
        <is>
          <t>発注者</t>
        </is>
      </c>
      <c r="H74" s="10" t="inlineStr">
        <is>
          <t>確認待ち</t>
        </is>
      </c>
      <c r="I74" s="10" t="inlineStr">
        <is>
          <t>R8.10</t>
        </is>
      </c>
      <c r="J74" s="11" t="inlineStr">
        <is>
          <t>第10期計画の確保方策（第6章第4節の3案）の決定と一体の判断である。整備しないことを決めるのであれば、他保険者の事業所の利用の案内は住民にとって必要になる</t>
        </is>
      </c>
    </row>
    <row r="75" ht="88" customHeight="1">
      <c r="A75" s="4" t="n">
        <v>63</v>
      </c>
      <c r="B75" s="4" t="inlineStr">
        <is>
          <t>(4)(5)</t>
        </is>
      </c>
      <c r="C75" s="4" t="inlineStr">
        <is>
          <t>R8.8</t>
        </is>
      </c>
      <c r="D75" s="5" t="inlineStr">
        <is>
          <t>人口推計の基礎を総合戦略とするご指示への対応</t>
        </is>
      </c>
      <c r="E7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5" s="5" t="inlineStr">
        <is>
          <t>人口推計の基礎の変更_総合戦略ベース
将来推計 第1〜3段階
計画素案 第2章第1節・第6章</t>
        </is>
      </c>
      <c r="G75" s="5" t="inlineStr">
        <is>
          <t>発注者</t>
        </is>
      </c>
      <c r="H75" s="10" t="inlineStr">
        <is>
          <t>確認待ち</t>
        </is>
      </c>
      <c r="I75" s="10" t="inlineStr">
        <is>
          <t>R8.9</t>
        </is>
      </c>
      <c r="J75" s="11" t="inlineStr">
        <is>
          <t>4件は一体の判断である。9月中にご確認いただければ10月の3町協議に間に合う。成果品は案Cに置き換え済みであり、案A・案Bは対比の記録として残している</t>
        </is>
      </c>
    </row>
    <row r="76" ht="88" customHeight="1">
      <c r="A76" s="4" t="n">
        <v>62</v>
      </c>
      <c r="B76" s="4" t="inlineStr">
        <is>
          <t>(4)</t>
        </is>
      </c>
      <c r="C76" s="4" t="inlineStr">
        <is>
          <t>R8.8</t>
        </is>
      </c>
      <c r="D76" s="5" t="inlineStr">
        <is>
          <t>社人研推計の町別データの入手（完了）</t>
        </is>
      </c>
      <c r="E7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6" s="5" t="inlineStr">
        <is>
          <t>計画素案 第2章第1節
人口推計の補正 05シート</t>
        </is>
      </c>
      <c r="G76" s="5" t="inlineStr">
        <is>
          <t>発注者</t>
        </is>
      </c>
      <c r="H76" s="6" t="inlineStr">
        <is>
          <t>完了</t>
        </is>
      </c>
      <c r="I76" s="10" t="inlineStr">
        <is>
          <t>R8.8.31</t>
        </is>
      </c>
      <c r="J7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7" ht="88" customHeight="1">
      <c r="A77" s="4" t="n">
        <v>61</v>
      </c>
      <c r="B77" s="4" t="inlineStr">
        <is>
          <t>(2)</t>
        </is>
      </c>
      <c r="C77" s="4" t="inlineStr">
        <is>
          <t>R8.8</t>
        </is>
      </c>
      <c r="D77" s="5" t="inlineStr">
        <is>
          <t>交付金の評価項目と19施策の割当て</t>
        </is>
      </c>
      <c r="E7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7" s="5" t="inlineStr">
        <is>
          <t>第9期施策別評価表 06シート</t>
        </is>
      </c>
      <c r="G77" s="5" t="inlineStr">
        <is>
          <t>発注者</t>
        </is>
      </c>
      <c r="H77" s="10" t="inlineStr">
        <is>
          <t>確認待ち</t>
        </is>
      </c>
      <c r="I77" s="10" t="inlineStr">
        <is>
          <t>R8.9</t>
        </is>
      </c>
      <c r="J77" s="11" t="inlineStr">
        <is>
          <t>交付金は取組の有無と要件の充足を測るものであり、事業量・対象実人数・決算額を測るものではない。プロセス評価の代替にはならない</t>
        </is>
      </c>
    </row>
    <row r="78" ht="88" customHeight="1">
      <c r="A78" s="4" t="n">
        <v>60</v>
      </c>
      <c r="B78" s="4" t="inlineStr">
        <is>
          <t>(5)</t>
        </is>
      </c>
      <c r="C78" s="4" t="inlineStr">
        <is>
          <t>R8.8</t>
        </is>
      </c>
      <c r="D78" s="5" t="inlineStr">
        <is>
          <t>第10期の保険料算定の前提（受託者案）</t>
        </is>
      </c>
      <c r="E7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8" s="5" t="inlineStr">
        <is>
          <t>将来推計 第3段階 05・06シート
計画素案 第6章第6節</t>
        </is>
      </c>
      <c r="G78" s="5" t="inlineStr">
        <is>
          <t>発注者</t>
        </is>
      </c>
      <c r="H78" s="10" t="inlineStr">
        <is>
          <t>確認待ち</t>
        </is>
      </c>
      <c r="I78" s="10" t="inlineStr">
        <is>
          <t>R8.10</t>
        </is>
      </c>
      <c r="J78" s="11" t="inlineStr">
        <is>
          <t>第10期の保険料水準の決定に直結する。水準そのものより「どの前提でその水準になるか」を示すことが要る</t>
        </is>
      </c>
    </row>
    <row r="79" ht="88" customHeight="1">
      <c r="A79" s="4" t="n">
        <v>59</v>
      </c>
      <c r="B79" s="4" t="inlineStr">
        <is>
          <t>(5)</t>
        </is>
      </c>
      <c r="C79" s="4" t="inlineStr">
        <is>
          <t>R8.8</t>
        </is>
      </c>
      <c r="D79" s="5" t="inlineStr">
        <is>
          <t>調整交付金の算定基礎の確認</t>
        </is>
      </c>
      <c r="E7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9" s="5" t="inlineStr">
        <is>
          <t>将来推計 第3段階 00・03シート</t>
        </is>
      </c>
      <c r="G79" s="5" t="inlineStr">
        <is>
          <t>発注者</t>
        </is>
      </c>
      <c r="H79" s="10" t="inlineStr">
        <is>
          <t>確認待ち</t>
        </is>
      </c>
      <c r="I79" s="10" t="inlineStr">
        <is>
          <t>R8.9</t>
        </is>
      </c>
      <c r="J79" s="11" t="inlineStr">
        <is>
          <t>この扱いにより第9期の算定を再現でき、公表値6,428円と一致した。第10期の算定でも同じ扱いによる</t>
        </is>
      </c>
    </row>
    <row r="80" ht="88" customHeight="1">
      <c r="A80" s="4" t="n">
        <v>58</v>
      </c>
      <c r="B80" s="4" t="inlineStr">
        <is>
          <t>(2)</t>
        </is>
      </c>
      <c r="C80" s="4" t="inlineStr">
        <is>
          <t>R8.8</t>
        </is>
      </c>
      <c r="D80" s="5" t="inlineStr">
        <is>
          <t>定期巡回・随時対応型訪問介護看護の第10期の取扱い</t>
        </is>
      </c>
      <c r="E8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0" s="5" t="inlineStr">
        <is>
          <t>見える化総括表の受領点検 02シート
計画素案 第4章</t>
        </is>
      </c>
      <c r="G80" s="5" t="inlineStr">
        <is>
          <t>発注者</t>
        </is>
      </c>
      <c r="H80" s="10" t="inlineStr">
        <is>
          <t>確認待ち</t>
        </is>
      </c>
      <c r="I80" s="10" t="inlineStr">
        <is>
          <t>R8.9</t>
        </is>
      </c>
      <c r="J80" s="11" t="inlineStr">
        <is>
          <t>2期続けて計画に位置づけながら実績が伴っていない。代表KPI H12（必要サービス未充足率）の設定にも関わる</t>
        </is>
      </c>
    </row>
    <row r="81" ht="88" customHeight="1">
      <c r="A81" s="4" t="n">
        <v>57</v>
      </c>
      <c r="B81" s="4" t="inlineStr">
        <is>
          <t>(2)</t>
        </is>
      </c>
      <c r="C81" s="4" t="inlineStr">
        <is>
          <t>R8.8</t>
        </is>
      </c>
      <c r="D81" s="5" t="inlineStr">
        <is>
          <t>計画値を0としたサービスに実績がある2件</t>
        </is>
      </c>
      <c r="E8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1" s="5" t="inlineStr">
        <is>
          <t>見える化総括表の受領点検 02シート
計画素案 第4章</t>
        </is>
      </c>
      <c r="G81" s="5" t="inlineStr">
        <is>
          <t>発注者</t>
        </is>
      </c>
      <c r="H81" s="10" t="inlineStr">
        <is>
          <t>確認待ち</t>
        </is>
      </c>
      <c r="I81" s="10" t="inlineStr">
        <is>
          <t>R8.9</t>
        </is>
      </c>
      <c r="J81" s="11" t="inlineStr">
        <is>
          <t>計画値が0だと対計画比が算出されず、評価の対象から漏れる。第10期で同じ状態を繰り返さないための確認</t>
        </is>
      </c>
    </row>
    <row r="82" ht="88" customHeight="1">
      <c r="A82" s="4" t="n">
        <v>56</v>
      </c>
      <c r="B82" s="4" t="inlineStr">
        <is>
          <t>(2)</t>
        </is>
      </c>
      <c r="C82" s="4" t="inlineStr">
        <is>
          <t>R8.8</t>
        </is>
      </c>
      <c r="D82" s="5" t="inlineStr">
        <is>
          <t>令和8年8月31日受領の要介護認定集計帳票6件が他団体のもの</t>
        </is>
      </c>
      <c r="E8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82" s="5" t="inlineStr">
        <is>
          <t>見える化総括表の受領点検 00シート</t>
        </is>
      </c>
      <c r="G82" s="5" t="inlineStr">
        <is>
          <t>発注者</t>
        </is>
      </c>
      <c r="H82" s="10" t="inlineStr">
        <is>
          <t>確認待ち</t>
        </is>
      </c>
      <c r="I82" s="10" t="inlineStr">
        <is>
          <t>R8.9</t>
        </is>
      </c>
      <c r="J82" s="11" t="inlineStr">
        <is>
          <t>他団体の資料を成果品に用いない。第8期の認定所要日数の推移は第9期の評価の材料になる</t>
        </is>
      </c>
    </row>
    <row r="83" ht="88" customHeight="1">
      <c r="A83" s="4" t="n">
        <v>54</v>
      </c>
      <c r="B83" s="4" t="inlineStr">
        <is>
          <t>(12)</t>
        </is>
      </c>
      <c r="C83" s="4" t="inlineStr">
        <is>
          <t>R8.8</t>
        </is>
      </c>
      <c r="D83" s="5" t="inlineStr">
        <is>
          <t>議事録の文書プロパティに個人名が再度入る</t>
        </is>
      </c>
      <c r="E8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3" s="5" t="inlineStr">
        <is>
          <t>中間報告会議議事録
業務工程管理表</t>
        </is>
      </c>
      <c r="G83" s="5" t="inlineStr">
        <is>
          <t>発注者</t>
        </is>
      </c>
      <c r="H83" s="10" t="inlineStr">
        <is>
          <t>確認待ち</t>
        </is>
      </c>
      <c r="I83" s="10" t="inlineStr">
        <is>
          <t>R8.9</t>
        </is>
      </c>
      <c r="J83" s="11" t="inlineStr">
        <is>
          <t>本文には現れないため、通読では気づかない</t>
        </is>
      </c>
    </row>
    <row r="84" ht="88" customHeight="1">
      <c r="A84" s="4" t="n">
        <v>55</v>
      </c>
      <c r="B84" s="4" t="inlineStr">
        <is>
          <t>(12)</t>
        </is>
      </c>
      <c r="C84" s="4" t="inlineStr">
        <is>
          <t>R8.8</t>
        </is>
      </c>
      <c r="D84" s="5" t="inlineStr">
        <is>
          <t>議事録の表記に関するご提案3件</t>
        </is>
      </c>
      <c r="E8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4" s="5" t="inlineStr">
        <is>
          <t>中間報告会議議事録
業務工程管理表</t>
        </is>
      </c>
      <c r="G84" s="5" t="inlineStr">
        <is>
          <t>発注者</t>
        </is>
      </c>
      <c r="H84" s="10" t="inlineStr">
        <is>
          <t>確認待ち</t>
        </is>
      </c>
      <c r="I84" s="10" t="inlineStr">
        <is>
          <t>R8.9</t>
        </is>
      </c>
      <c r="J84" s="11" t="inlineStr">
        <is>
          <t>文意は変わらない。読みやすさと文体の統一に関するもの</t>
        </is>
      </c>
    </row>
    <row r="85" ht="88" customHeight="1">
      <c r="A85" s="4" t="n">
        <v>53</v>
      </c>
      <c r="B85" s="4" t="inlineStr">
        <is>
          <t>(5)</t>
        </is>
      </c>
      <c r="C85" s="4" t="inlineStr">
        <is>
          <t>R8.8</t>
        </is>
      </c>
      <c r="D85" s="5" t="inlineStr">
        <is>
          <t>介護保険事業財政調整基金の積立ての上限と取崩方針</t>
        </is>
      </c>
      <c r="E8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5" s="5" t="inlineStr">
        <is>
          <t>基金条例の確認 02シート
素案 第6章第6節
将来推計 第3段階</t>
        </is>
      </c>
      <c r="G85" s="5" t="inlineStr">
        <is>
          <t>発注者</t>
        </is>
      </c>
      <c r="H85" s="10" t="inlineStr">
        <is>
          <t>確認待ち</t>
        </is>
      </c>
      <c r="I85" s="10" t="inlineStr">
        <is>
          <t>R8.9</t>
        </is>
      </c>
      <c r="J85" s="11" t="inlineStr">
        <is>
          <t>第10期の保険料の水準に影響する。条例の受領により判明した</t>
        </is>
      </c>
    </row>
    <row r="86" ht="88" customHeight="1">
      <c r="A86" s="4" t="n">
        <v>52</v>
      </c>
      <c r="B86" s="4" t="inlineStr">
        <is>
          <t>(5)</t>
        </is>
      </c>
      <c r="C86" s="4" t="inlineStr">
        <is>
          <t>R8.8</t>
        </is>
      </c>
      <c r="D86" s="5" t="inlineStr">
        <is>
          <t>令和6年度決算書の受領に伴う確認</t>
        </is>
      </c>
      <c r="E8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6" s="5" t="inlineStr">
        <is>
          <t>令和6年度決算書の受領点検 03シート
素案 第6章第3節・第6節</t>
        </is>
      </c>
      <c r="G86" s="5" t="inlineStr">
        <is>
          <t>発注者</t>
        </is>
      </c>
      <c r="H86" s="10" t="inlineStr">
        <is>
          <t>確認待ち</t>
        </is>
      </c>
      <c r="I86" s="10" t="inlineStr">
        <is>
          <t>R8.9</t>
        </is>
      </c>
      <c r="J86" s="11" t="inlineStr">
        <is>
          <t>いずれも金額の総額に影響しない。名称と科目の確認である</t>
        </is>
      </c>
    </row>
    <row r="87" ht="88" customHeight="1">
      <c r="A87" s="4" t="n">
        <v>51</v>
      </c>
      <c r="B87" s="4" t="inlineStr">
        <is>
          <t>(2)</t>
        </is>
      </c>
      <c r="C87" s="4" t="inlineStr">
        <is>
          <t>R8.8</t>
        </is>
      </c>
      <c r="D87" s="5" t="inlineStr">
        <is>
          <t>月報の値の接続のずれ（ご報告）</t>
        </is>
      </c>
      <c r="E8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7" s="5" t="inlineStr">
        <is>
          <t>年報月報の受領点検 04シート</t>
        </is>
      </c>
      <c r="G87" s="5" t="inlineStr">
        <is>
          <t>発注者</t>
        </is>
      </c>
      <c r="H87" s="10" t="inlineStr">
        <is>
          <t>確認待ち</t>
        </is>
      </c>
      <c r="I87" s="10" t="inlineStr">
        <is>
          <t>R8.9</t>
        </is>
      </c>
      <c r="J87" s="11" t="inlineStr">
        <is>
          <t>計画本文への影響はない。記録として残すもの</t>
        </is>
      </c>
    </row>
    <row r="88" ht="88" customHeight="1">
      <c r="A88" s="4" t="n">
        <v>50</v>
      </c>
      <c r="B88" s="4" t="inlineStr">
        <is>
          <t>(5)</t>
        </is>
      </c>
      <c r="C88" s="4" t="inlineStr">
        <is>
          <t>R8.8</t>
        </is>
      </c>
      <c r="D88" s="5" t="inlineStr">
        <is>
          <t>年報・月報の受領に伴う確認</t>
        </is>
      </c>
      <c r="E8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8" s="5" t="inlineStr">
        <is>
          <t>年報月報の受領点検
将来推計 第3段階
素案 第6章第3節・第6節</t>
        </is>
      </c>
      <c r="G88" s="5" t="inlineStr">
        <is>
          <t>発注者</t>
        </is>
      </c>
      <c r="H88" s="10" t="inlineStr">
        <is>
          <t>確認待ち</t>
        </is>
      </c>
      <c r="I88" s="10" t="inlineStr">
        <is>
          <t>R8.9</t>
        </is>
      </c>
      <c r="J88" s="11" t="inlineStr">
        <is>
          <t>①は第10期の保険料算定を止めている。最優先</t>
        </is>
      </c>
    </row>
    <row r="89" ht="88" customHeight="1">
      <c r="A89" s="4" t="n">
        <v>49</v>
      </c>
      <c r="B89" s="4" t="inlineStr">
        <is>
          <t>(12)</t>
        </is>
      </c>
      <c r="C89" s="4" t="inlineStr">
        <is>
          <t>R8.8</t>
        </is>
      </c>
      <c r="D89" s="5" t="inlineStr">
        <is>
          <t>中間報告会議の議事録の記載の確認【回答済】</t>
        </is>
      </c>
      <c r="E8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9" s="5" t="inlineStr">
        <is>
          <t>中間報告会議議事録
業務工程管理表
必要事項の一覧</t>
        </is>
      </c>
      <c r="G89" s="5" t="inlineStr">
        <is>
          <t>発注者</t>
        </is>
      </c>
      <c r="H89" s="6" t="inlineStr">
        <is>
          <t>了承済</t>
        </is>
      </c>
      <c r="I89" s="10" t="inlineStr">
        <is>
          <t>R8.8.28</t>
        </is>
      </c>
      <c r="J89" s="11" t="inlineStr">
        <is>
          <t>議事録に反映済み。年報・月報の到着後に資料No.21・22を受領済とする</t>
        </is>
      </c>
    </row>
    <row r="90" ht="88" customHeight="1">
      <c r="A90" s="4" t="n">
        <v>48</v>
      </c>
      <c r="B90" s="4" t="inlineStr">
        <is>
          <t>(2)</t>
        </is>
      </c>
      <c r="C90" s="4" t="inlineStr">
        <is>
          <t>R8.8</t>
        </is>
      </c>
      <c r="D90" s="5" t="inlineStr">
        <is>
          <t>総合事業の実施状況に関する調査（令和6年度）の確認</t>
        </is>
      </c>
      <c r="E9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0" s="5" t="inlineStr">
        <is>
          <t>総合事業実施状況調査の受領点検
素案 第3章第1節・第2節
H05の基準値</t>
        </is>
      </c>
      <c r="G90" s="5" t="inlineStr">
        <is>
          <t>発注者</t>
        </is>
      </c>
      <c r="H90" s="10" t="inlineStr">
        <is>
          <t>確認待ち</t>
        </is>
      </c>
      <c r="I90" s="10" t="inlineStr">
        <is>
          <t>R8.9</t>
        </is>
      </c>
      <c r="J90" s="11" t="inlineStr">
        <is>
          <t>第9期の通いの場と地域支援事業の評価に用いる</t>
        </is>
      </c>
    </row>
    <row r="91" ht="88" customHeight="1">
      <c r="A91" s="4" t="n">
        <v>47</v>
      </c>
      <c r="B91" s="4" t="inlineStr">
        <is>
          <t>(5)</t>
        </is>
      </c>
      <c r="C91" s="4" t="inlineStr">
        <is>
          <t>R8.8</t>
        </is>
      </c>
      <c r="D91" s="5" t="inlineStr">
        <is>
          <t>計画作成支援ツールの実績値シートの確認</t>
        </is>
      </c>
      <c r="E9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1" s="5" t="inlineStr">
        <is>
          <t>給付実績データの受領点検 04シート
将来推計 第3段階</t>
        </is>
      </c>
      <c r="G91" s="5" t="inlineStr">
        <is>
          <t>発注者</t>
        </is>
      </c>
      <c r="H91" s="10" t="inlineStr">
        <is>
          <t>確認待ち</t>
        </is>
      </c>
      <c r="I91" s="10" t="inlineStr">
        <is>
          <t>R8.9</t>
        </is>
      </c>
      <c r="J91" s="11" t="inlineStr">
        <is>
          <t>第3段階（給付費・保険料）の算定に用いる</t>
        </is>
      </c>
    </row>
    <row r="92" ht="88" customHeight="1">
      <c r="A92" s="4" t="n">
        <v>46</v>
      </c>
      <c r="B92" s="4" t="inlineStr">
        <is>
          <t>(5)</t>
        </is>
      </c>
      <c r="C92" s="4" t="inlineStr">
        <is>
          <t>R8.8</t>
        </is>
      </c>
      <c r="D92" s="5" t="inlineStr">
        <is>
          <t>令和7年度の給付費の集計が一致しない</t>
        </is>
      </c>
      <c r="E92"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92" s="5" t="inlineStr">
        <is>
          <t>給付実績データの受領点検
将来推計 第2・3段階</t>
        </is>
      </c>
      <c r="G92" s="5" t="inlineStr">
        <is>
          <t>発注者</t>
        </is>
      </c>
      <c r="H92" s="10" t="inlineStr">
        <is>
          <t>確認待ち</t>
        </is>
      </c>
      <c r="I92" s="10" t="inlineStr">
        <is>
          <t>R8.9</t>
        </is>
      </c>
      <c r="J92" s="11" t="inlineStr">
        <is>
          <t>解消するまでは令和7年度の町別の値は用いず、大雪地区広域連合の合計のみを用いる</t>
        </is>
      </c>
    </row>
    <row r="93" ht="88" customHeight="1">
      <c r="A93" s="4" t="n">
        <v>44</v>
      </c>
      <c r="B93" s="4" t="inlineStr">
        <is>
          <t>(5)</t>
        </is>
      </c>
      <c r="C93" s="4" t="inlineStr">
        <is>
          <t>R8.8</t>
        </is>
      </c>
      <c r="D93" s="5" t="inlineStr">
        <is>
          <t>給付実績データに含まれる個人情報の取扱い</t>
        </is>
      </c>
      <c r="E9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3" s="5" t="inlineStr">
        <is>
          <t>給付実績データの受領点検
将来推計 第2・3段階</t>
        </is>
      </c>
      <c r="G93" s="5" t="inlineStr">
        <is>
          <t>発注者</t>
        </is>
      </c>
      <c r="H93" s="6" t="inlineStr">
        <is>
          <t>了承済（保管せず廃棄）</t>
        </is>
      </c>
      <c r="I93" s="10" t="inlineStr">
        <is>
          <t>R8.8.28</t>
        </is>
      </c>
      <c r="J9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4" ht="88" customHeight="1">
      <c r="A94" s="4" t="n">
        <v>45</v>
      </c>
      <c r="B94" s="4" t="inlineStr">
        <is>
          <t>(5)</t>
        </is>
      </c>
      <c r="C94" s="4" t="inlineStr">
        <is>
          <t>R8.8</t>
        </is>
      </c>
      <c r="D94" s="5" t="inlineStr">
        <is>
          <t>代表KPI H15の分母の定義</t>
        </is>
      </c>
      <c r="E9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4" s="5" t="inlineStr">
        <is>
          <t>計画素案 第4章 資料1
中間報告 第3節</t>
        </is>
      </c>
      <c r="G94" s="5" t="inlineStr">
        <is>
          <t>発注者</t>
        </is>
      </c>
      <c r="H94" s="10" t="inlineStr">
        <is>
          <t>確認待ち</t>
        </is>
      </c>
      <c r="I94" s="10" t="inlineStr">
        <is>
          <t>R8.9</t>
        </is>
      </c>
      <c r="J94" s="11" t="inlineStr">
        <is>
          <t>受託者案は標準給付費見込額。計画期間を通じた財政運営の指標であるため</t>
        </is>
      </c>
    </row>
    <row r="95" ht="88" customHeight="1">
      <c r="A95" s="4" t="n">
        <v>43</v>
      </c>
      <c r="B95" s="4" t="inlineStr">
        <is>
          <t>(2)</t>
        </is>
      </c>
      <c r="C95" s="4" t="inlineStr">
        <is>
          <t>R8.8</t>
        </is>
      </c>
      <c r="D95" s="5" t="inlineStr">
        <is>
          <t>認定に要する日数の扱い</t>
        </is>
      </c>
      <c r="E9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5" s="5" t="inlineStr">
        <is>
          <t>中間報告 第3節
計画素案 第2章・第5章</t>
        </is>
      </c>
      <c r="G95" s="5" t="inlineStr">
        <is>
          <t>発注者</t>
        </is>
      </c>
      <c r="H95" s="10" t="inlineStr">
        <is>
          <t>確認待ち</t>
        </is>
      </c>
      <c r="I95" s="10" t="inlineStr">
        <is>
          <t>R8.9</t>
        </is>
      </c>
      <c r="J95" s="11" t="inlineStr">
        <is>
          <t>令和8年8月28日受領の集計帳票により判明</t>
        </is>
      </c>
    </row>
    <row r="96" ht="88" customHeight="1">
      <c r="A96" s="4" t="n">
        <v>39</v>
      </c>
      <c r="B96" s="4" t="inlineStr">
        <is>
          <t>(2)</t>
        </is>
      </c>
      <c r="C96" s="4" t="inlineStr">
        <is>
          <t>R8.8</t>
        </is>
      </c>
      <c r="D96" s="5" t="inlineStr">
        <is>
          <t>中間報告・施策体系新旧対照表・骨子案のご確認</t>
        </is>
      </c>
      <c r="E9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6" s="5" t="inlineStr">
        <is>
          <t>計画骨子案
施策体系新旧対照表
計画素案 第4章・第5章</t>
        </is>
      </c>
      <c r="G96" s="5" t="inlineStr">
        <is>
          <t>発注者</t>
        </is>
      </c>
      <c r="H96" s="10" t="inlineStr">
        <is>
          <t>確認待ち</t>
        </is>
      </c>
      <c r="I96" s="10" t="inlineStr">
        <is>
          <t>R8.9.2</t>
        </is>
      </c>
      <c r="J96" s="11" t="inlineStr">
        <is>
          <t>同打合せで期限を令和8年9月2日（水）と設定。令和8年8月28日の発注者のご指示により、議事録に①②を加え、期限を明記した（校正No.14・15）</t>
        </is>
      </c>
    </row>
    <row r="97" ht="88" customHeight="1">
      <c r="A97" s="4" t="n">
        <v>40</v>
      </c>
      <c r="B97" s="4" t="inlineStr">
        <is>
          <t>(3)</t>
        </is>
      </c>
      <c r="C97" s="4" t="inlineStr">
        <is>
          <t>R8.8</t>
        </is>
      </c>
      <c r="D97" s="5" t="inlineStr">
        <is>
          <t>社会資源一覧の従業員数の重複計上の扱い</t>
        </is>
      </c>
      <c r="E9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7" s="5" t="inlineStr">
        <is>
          <t>従業員数の重複計上の整理
計画素案 第2章第3節・第6章第2節</t>
        </is>
      </c>
      <c r="G97" s="5" t="inlineStr">
        <is>
          <t>発注者・3町</t>
        </is>
      </c>
      <c r="H97" s="10" t="inlineStr">
        <is>
          <t>確認待ち</t>
        </is>
      </c>
      <c r="I97" s="10" t="inlineStr">
        <is>
          <t>R8.9</t>
        </is>
      </c>
      <c r="J97" s="11" t="inlineStr">
        <is>
          <t>受託者の案は施設単位の実人数。「従業員数の重複計上の整理」01シートに確認欄を設けて両案に対応した</t>
        </is>
      </c>
    </row>
    <row r="98" ht="88" customHeight="1">
      <c r="A98" s="4" t="n">
        <v>41</v>
      </c>
      <c r="B98" s="4" t="inlineStr">
        <is>
          <t>(5)</t>
        </is>
      </c>
      <c r="C98" s="4" t="inlineStr">
        <is>
          <t>R8.8</t>
        </is>
      </c>
      <c r="D98" s="5" t="inlineStr">
        <is>
          <t>令和8年度の実績の推定方法</t>
        </is>
      </c>
      <c r="E9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8" s="5" t="inlineStr">
        <is>
          <t>計画素案 第6章
将来推計 第1〜3段階</t>
        </is>
      </c>
      <c r="G98" s="5" t="inlineStr">
        <is>
          <t>発注者</t>
        </is>
      </c>
      <c r="H98" s="6" t="inlineStr">
        <is>
          <t>了承済</t>
        </is>
      </c>
      <c r="I98" s="10" t="inlineStr">
        <is>
          <t>R8.8.26</t>
        </is>
      </c>
      <c r="J98" s="11" t="inlineStr">
        <is>
          <t>令和8年8月26日の進捗確認の打合せで了承。対前年比等の単純な外挿は用いない</t>
        </is>
      </c>
    </row>
    <row r="99" ht="88" customHeight="1">
      <c r="A99" s="4" t="n">
        <v>42</v>
      </c>
      <c r="B99" s="4" t="inlineStr">
        <is>
          <t>(8)</t>
        </is>
      </c>
      <c r="C99" s="4" t="inlineStr">
        <is>
          <t>R8.8</t>
        </is>
      </c>
      <c r="D99" s="5" t="inlineStr">
        <is>
          <t>キックオフ会議資料への工程表の反映</t>
        </is>
      </c>
      <c r="E9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9" s="5" t="inlineStr">
        <is>
          <t>キックオフ会議資料</t>
        </is>
      </c>
      <c r="G99" s="5" t="inlineStr">
        <is>
          <t>発注者・3町</t>
        </is>
      </c>
      <c r="H99" s="8" t="inlineStr">
        <is>
          <t>対応中</t>
        </is>
      </c>
      <c r="I99" s="10" t="inlineStr">
        <is>
          <t>R8.8</t>
        </is>
      </c>
      <c r="J99" s="11" t="inlineStr">
        <is>
          <t>同打合せでご依頼をいただいた。反映する工程表は発注者ご作成の予定表による</t>
        </is>
      </c>
    </row>
    <row r="100" ht="88" customHeight="1">
      <c r="A100" s="4" t="n">
        <v>1</v>
      </c>
      <c r="B100" s="4" t="inlineStr">
        <is>
          <t>(1)</t>
        </is>
      </c>
      <c r="C100" s="4" t="inlineStr">
        <is>
          <t>R8.8</t>
        </is>
      </c>
      <c r="D100" s="5" t="inlineStr">
        <is>
          <t>特別地域加算の対象地域告示</t>
        </is>
      </c>
      <c r="E10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0" s="5" t="inlineStr">
        <is>
          <t>素案 第1章第9節
追加調査報告書 01シート</t>
        </is>
      </c>
      <c r="G100" s="5" t="inlineStr">
        <is>
          <t>北海道</t>
        </is>
      </c>
      <c r="H100" s="10" t="inlineStr">
        <is>
          <t>確認待ち</t>
        </is>
      </c>
      <c r="I100" s="10" t="inlineStr">
        <is>
          <t>R8.9</t>
        </is>
      </c>
      <c r="J100" s="11" t="inlineStr"/>
    </row>
    <row r="101" ht="88" customHeight="1">
      <c r="A101" s="4" t="n">
        <v>2</v>
      </c>
      <c r="B101" s="4" t="inlineStr">
        <is>
          <t>(1)</t>
        </is>
      </c>
      <c r="C101" s="4" t="inlineStr">
        <is>
          <t>R8.9</t>
        </is>
      </c>
      <c r="D101" s="5" t="inlineStr">
        <is>
          <t>特定地域の指定に係る意向表明の手続</t>
        </is>
      </c>
      <c r="E10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1" s="5" t="inlineStr">
        <is>
          <t>素案 第1章第9節・第6章第4節</t>
        </is>
      </c>
      <c r="G101" s="5" t="inlineStr">
        <is>
          <t>北海道</t>
        </is>
      </c>
      <c r="H101" s="10" t="inlineStr">
        <is>
          <t>確認待ち</t>
        </is>
      </c>
      <c r="I101" s="10" t="inlineStr">
        <is>
          <t>R8.10</t>
        </is>
      </c>
      <c r="J101" s="11" t="inlineStr"/>
    </row>
    <row r="102" ht="88" customHeight="1">
      <c r="A102" s="4" t="n">
        <v>3</v>
      </c>
      <c r="B102" s="4" t="inlineStr">
        <is>
          <t>(4)</t>
        </is>
      </c>
      <c r="C102" s="4" t="inlineStr">
        <is>
          <t>R8.9</t>
        </is>
      </c>
      <c r="D102" s="5" t="inlineStr">
        <is>
          <t>類似保険者との比較分析の対象</t>
        </is>
      </c>
      <c r="E10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02" s="5" t="inlineStr">
        <is>
          <t>素案 第2章第2節
分析資料</t>
        </is>
      </c>
      <c r="G102" s="5" t="inlineStr">
        <is>
          <t>発注者</t>
        </is>
      </c>
      <c r="H102" s="10" t="inlineStr">
        <is>
          <t>確認待ち</t>
        </is>
      </c>
      <c r="I102" s="10" t="inlineStr">
        <is>
          <t>R8.9</t>
        </is>
      </c>
      <c r="J102" s="11" t="inlineStr"/>
    </row>
    <row r="103" ht="88" customHeight="1">
      <c r="A103" s="4" t="n">
        <v>4</v>
      </c>
      <c r="B103" s="4" t="inlineStr">
        <is>
          <t>(12)</t>
        </is>
      </c>
      <c r="C103" s="4" t="inlineStr">
        <is>
          <t>R8.8</t>
        </is>
      </c>
      <c r="D103" s="5" t="inlineStr">
        <is>
          <t>代表KPI H07・H08・H12・H16の代理指標</t>
        </is>
      </c>
      <c r="E10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3" s="5" t="inlineStr">
        <is>
          <t>素案 第4章第3節・資料1
全16KPIの4項目</t>
        </is>
      </c>
      <c r="G103" s="5" t="inlineStr">
        <is>
          <t>発注者</t>
        </is>
      </c>
      <c r="H103" s="10" t="inlineStr">
        <is>
          <t>確認待ち</t>
        </is>
      </c>
      <c r="I103" s="10" t="inlineStr">
        <is>
          <t>R8.8</t>
        </is>
      </c>
      <c r="J103" s="11" t="inlineStr"/>
    </row>
    <row r="104" ht="88" customHeight="1">
      <c r="A104" s="4" t="n">
        <v>5</v>
      </c>
      <c r="B104" s="4" t="inlineStr">
        <is>
          <t>(2)</t>
        </is>
      </c>
      <c r="C104" s="4" t="inlineStr">
        <is>
          <t>R8.8</t>
        </is>
      </c>
      <c r="D104" s="5" t="inlineStr">
        <is>
          <t>第9期の施策・事業実績</t>
        </is>
      </c>
      <c r="E10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4" s="5" t="inlineStr">
        <is>
          <t>素案 第3章第2節・第3節・第5節
妥当性検証報告書 12シート</t>
        </is>
      </c>
      <c r="G104" s="5" t="inlineStr">
        <is>
          <t>発注者</t>
        </is>
      </c>
      <c r="H104" s="10" t="inlineStr">
        <is>
          <t>確認待ち</t>
        </is>
      </c>
      <c r="I104" s="10" t="inlineStr">
        <is>
          <t>R8.8</t>
        </is>
      </c>
      <c r="J104" s="11" t="inlineStr"/>
    </row>
    <row r="105" ht="88" customHeight="1">
      <c r="A105" s="4" t="n">
        <v>6</v>
      </c>
      <c r="B105" s="4" t="inlineStr">
        <is>
          <t>(2)</t>
        </is>
      </c>
      <c r="C105" s="4" t="inlineStr">
        <is>
          <t>R8.8</t>
        </is>
      </c>
      <c r="D105" s="5" t="inlineStr">
        <is>
          <t>交付金の評価調書</t>
        </is>
      </c>
      <c r="E10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5" s="5" t="inlineStr">
        <is>
          <t>素案 第3章第4節
追加調査報告書 02シート</t>
        </is>
      </c>
      <c r="G105" s="5" t="inlineStr">
        <is>
          <t>発注者</t>
        </is>
      </c>
      <c r="H105" s="10" t="inlineStr">
        <is>
          <t>確認待ち</t>
        </is>
      </c>
      <c r="I105" s="10" t="inlineStr">
        <is>
          <t>R8.9</t>
        </is>
      </c>
      <c r="J105" s="11" t="inlineStr"/>
    </row>
    <row r="106" ht="88" customHeight="1">
      <c r="A106" s="4" t="n">
        <v>7</v>
      </c>
      <c r="B106" s="4" t="inlineStr">
        <is>
          <t>(2)</t>
        </is>
      </c>
      <c r="C106" s="4" t="inlineStr">
        <is>
          <t>R8.8</t>
        </is>
      </c>
      <c r="D106" s="5" t="inlineStr">
        <is>
          <t>第9期の自己評価と北海道への報告の実績</t>
        </is>
      </c>
      <c r="E106" s="5" t="inlineStr">
        <is>
          <t>第9期計画の代表KPIについて令和6・7年度に実績を算定した資料の有無、運営協議会への報告の有無と議事録、及び介護保険法第117条に基づく北海道への報告の実績。</t>
        </is>
      </c>
      <c r="F106" s="5" t="inlineStr">
        <is>
          <t>素案 第1章第6節・第3章第4節</t>
        </is>
      </c>
      <c r="G106" s="5" t="inlineStr">
        <is>
          <t>発注者</t>
        </is>
      </c>
      <c r="H106" s="10" t="inlineStr">
        <is>
          <t>確認待ち</t>
        </is>
      </c>
      <c r="I106" s="10" t="inlineStr">
        <is>
          <t>R8.9</t>
        </is>
      </c>
      <c r="J106" s="11" t="inlineStr"/>
    </row>
    <row r="107" ht="88" customHeight="1">
      <c r="A107" s="4" t="n">
        <v>8</v>
      </c>
      <c r="B107" s="4" t="inlineStr">
        <is>
          <t>(3)</t>
        </is>
      </c>
      <c r="C107" s="4" t="inlineStr">
        <is>
          <t>R8.8</t>
        </is>
      </c>
      <c r="D107" s="5" t="inlineStr">
        <is>
          <t>3調査の点検事項の取扱い</t>
        </is>
      </c>
      <c r="E10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7" s="5" t="inlineStr">
        <is>
          <t>素案 第2章第5・6節
H06・H11・H13・H14の基準値</t>
        </is>
      </c>
      <c r="G107" s="5" t="inlineStr">
        <is>
          <t>発注者</t>
        </is>
      </c>
      <c r="H107" s="10" t="inlineStr">
        <is>
          <t>確認待ち</t>
        </is>
      </c>
      <c r="I107" s="10" t="inlineStr">
        <is>
          <t>R8.8</t>
        </is>
      </c>
      <c r="J107" s="11" t="inlineStr"/>
    </row>
    <row r="108" ht="88" customHeight="1">
      <c r="A108" s="4" t="n">
        <v>9</v>
      </c>
      <c r="B108" s="4" t="inlineStr">
        <is>
          <t>(3)</t>
        </is>
      </c>
      <c r="C108" s="4" t="inlineStr">
        <is>
          <t>R8.9</t>
        </is>
      </c>
      <c r="D108" s="5" t="inlineStr">
        <is>
          <t>調査の対象者範囲と回収率</t>
        </is>
      </c>
      <c r="E108" s="5" t="inlineStr">
        <is>
          <t>4調査の対象者の範囲（要介護度、年齢、居所等）、配布数、回収数、回収率。標本規模に応じた分析の深度（クロス集計の可否）の判断に必要。</t>
        </is>
      </c>
      <c r="F108" s="5" t="inlineStr">
        <is>
          <t>素案 第2章第4〜6節
クロス集計表</t>
        </is>
      </c>
      <c r="G108" s="5" t="inlineStr">
        <is>
          <t>発注者</t>
        </is>
      </c>
      <c r="H108" s="10" t="inlineStr">
        <is>
          <t>確認待ち</t>
        </is>
      </c>
      <c r="I108" s="10" t="inlineStr">
        <is>
          <t>R8.9</t>
        </is>
      </c>
      <c r="J108" s="11" t="inlineStr"/>
    </row>
    <row r="109" ht="88" customHeight="1">
      <c r="A109" s="4" t="n">
        <v>10</v>
      </c>
      <c r="B109" s="4" t="inlineStr">
        <is>
          <t>(3)</t>
        </is>
      </c>
      <c r="C109" s="4" t="inlineStr">
        <is>
          <t>R8.9</t>
        </is>
      </c>
      <c r="D109" s="5" t="inlineStr">
        <is>
          <t>介護人材実態調査の採用者数・退職者数</t>
        </is>
      </c>
      <c r="E109" s="5" t="inlineStr">
        <is>
          <t>北海道の評価指標⑥と同じ「採用率と離職率の差」を算定するため、各年9月30日現在の在籍者数と、年間の採用者数・退職者数。H14の基準値となる。</t>
        </is>
      </c>
      <c r="F109" s="5" t="inlineStr">
        <is>
          <t>素案 第4章第3節
H14の基準値</t>
        </is>
      </c>
      <c r="G109" s="5" t="inlineStr">
        <is>
          <t>発注者</t>
        </is>
      </c>
      <c r="H109" s="10" t="inlineStr">
        <is>
          <t>確認待ち</t>
        </is>
      </c>
      <c r="I109" s="10" t="inlineStr">
        <is>
          <t>R8.9</t>
        </is>
      </c>
      <c r="J109" s="11" t="inlineStr"/>
    </row>
    <row r="110" ht="88" customHeight="1">
      <c r="A110" s="4" t="n">
        <v>11</v>
      </c>
      <c r="B110" s="4" t="inlineStr">
        <is>
          <t>(4)</t>
        </is>
      </c>
      <c r="C110" s="4" t="inlineStr">
        <is>
          <t>R8.9</t>
        </is>
      </c>
      <c r="D110" s="5" t="inlineStr">
        <is>
          <t>町別の人口・世帯データ</t>
        </is>
      </c>
      <c r="E11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10" s="5" t="inlineStr">
        <is>
          <t>素案 第2章第1節
図1・図2・図3</t>
        </is>
      </c>
      <c r="G110" s="5" t="inlineStr">
        <is>
          <t>発注者・3町</t>
        </is>
      </c>
      <c r="H110" s="10" t="inlineStr">
        <is>
          <t>確認待ち</t>
        </is>
      </c>
      <c r="I110" s="10" t="inlineStr">
        <is>
          <t>R8.9</t>
        </is>
      </c>
      <c r="J110" s="11" t="inlineStr"/>
    </row>
    <row r="111" ht="88" customHeight="1">
      <c r="A111" s="4" t="n">
        <v>12</v>
      </c>
      <c r="B111" s="4" t="inlineStr">
        <is>
          <t>(4)</t>
        </is>
      </c>
      <c r="C111" s="4" t="inlineStr">
        <is>
          <t>R8.9</t>
        </is>
      </c>
      <c r="D111" s="5" t="inlineStr">
        <is>
          <t>日常生活圏域別のデータ</t>
        </is>
      </c>
      <c r="E11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11" s="5" t="inlineStr">
        <is>
          <t>素案 第1章第7節・第2章
圏域別分析資料
調査クロス集計・分析 01・18シート</t>
        </is>
      </c>
      <c r="G111" s="5" t="inlineStr">
        <is>
          <t>発注者・3町</t>
        </is>
      </c>
      <c r="H111" s="10" t="inlineStr">
        <is>
          <t>確認待ち</t>
        </is>
      </c>
      <c r="I111" s="10" t="inlineStr">
        <is>
          <t>R8.9</t>
        </is>
      </c>
      <c r="J111" s="11" t="inlineStr"/>
    </row>
    <row r="112" ht="88" customHeight="1">
      <c r="A112" s="4" t="n">
        <v>13</v>
      </c>
      <c r="B112" s="4" t="inlineStr">
        <is>
          <t>(4)</t>
        </is>
      </c>
      <c r="C112" s="4" t="inlineStr">
        <is>
          <t>R8.9</t>
        </is>
      </c>
      <c r="D112" s="5" t="inlineStr">
        <is>
          <t>訪問・通所困難地域の判定資料</t>
        </is>
      </c>
      <c r="E11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12" s="5" t="inlineStr">
        <is>
          <t>素案 第1章第7節
追加調査報告書 03シート
住まいと施設の公表名簿との突合 08シート</t>
        </is>
      </c>
      <c r="G112" s="5" t="inlineStr">
        <is>
          <t>発注者・3町</t>
        </is>
      </c>
      <c r="H112" s="8" t="inlineStr">
        <is>
          <t>実施中</t>
        </is>
      </c>
      <c r="I112" s="10" t="inlineStr">
        <is>
          <t>R8.10</t>
        </is>
      </c>
      <c r="J112" s="11" t="inlineStr"/>
    </row>
    <row r="113" ht="88" customHeight="1">
      <c r="A113" s="4" t="n">
        <v>14</v>
      </c>
      <c r="B113" s="4" t="inlineStr">
        <is>
          <t>(5)</t>
        </is>
      </c>
      <c r="C113" s="4" t="inlineStr">
        <is>
          <t>R8.10</t>
        </is>
      </c>
      <c r="D113" s="5" t="inlineStr">
        <is>
          <t>人口推計の基礎とする系列</t>
        </is>
      </c>
      <c r="E11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3" s="5" t="inlineStr">
        <is>
          <t>素案 第6章第1節
将来推計</t>
        </is>
      </c>
      <c r="G113" s="5" t="inlineStr">
        <is>
          <t>発注者・3町</t>
        </is>
      </c>
      <c r="H113" s="10" t="inlineStr">
        <is>
          <t>確認待ち</t>
        </is>
      </c>
      <c r="I113" s="10" t="inlineStr">
        <is>
          <t>R8.10</t>
        </is>
      </c>
      <c r="J113" s="11" t="inlineStr"/>
    </row>
    <row r="114" ht="88" customHeight="1">
      <c r="A114" s="4" t="n">
        <v>15</v>
      </c>
      <c r="B114" s="4" t="inlineStr">
        <is>
          <t>(5)</t>
        </is>
      </c>
      <c r="C114" s="4" t="inlineStr">
        <is>
          <t>R8.10</t>
        </is>
      </c>
      <c r="D114" s="5" t="inlineStr">
        <is>
          <t>認定者数の基準月と月次推移</t>
        </is>
      </c>
      <c r="E114" s="5" t="inlineStr">
        <is>
          <t>令和3〜8年度の各月の認定者数。推計ガイドは9月末を目安としつつ「年度内平均値に近い月を選択する」としているため、当広域連合の月次推移を確認して基準月を選定する。</t>
        </is>
      </c>
      <c r="F114" s="5" t="inlineStr">
        <is>
          <t>素案 第6章第1節
将来推計</t>
        </is>
      </c>
      <c r="G114" s="5" t="inlineStr">
        <is>
          <t>発注者</t>
        </is>
      </c>
      <c r="H114" s="10" t="inlineStr">
        <is>
          <t>確認待ち</t>
        </is>
      </c>
      <c r="I114" s="10" t="inlineStr">
        <is>
          <t>R8.10</t>
        </is>
      </c>
      <c r="J114" s="11" t="inlineStr"/>
    </row>
    <row r="115" ht="88" customHeight="1">
      <c r="A115" s="4" t="n">
        <v>16</v>
      </c>
      <c r="B115" s="4" t="inlineStr">
        <is>
          <t>(5)</t>
        </is>
      </c>
      <c r="C115" s="4" t="inlineStr">
        <is>
          <t>R8.11</t>
        </is>
      </c>
      <c r="D115" s="5" t="inlineStr">
        <is>
          <t>保険料算定の前提</t>
        </is>
      </c>
      <c r="E115" s="5" t="inlineStr">
        <is>
          <t>①介護給付費準備基金の残高推移と取崩実績（第7期〜第9期）、②保険料収納率の実績（第7期〜第9期）、③所得段階別被保険者数、④地域支援事業費の区分別内訳（総合事業・包括的支援事業・任意事業）。</t>
        </is>
      </c>
      <c r="F115" s="5" t="inlineStr">
        <is>
          <t>素案 第6章第3節・第6節
保険料算定表</t>
        </is>
      </c>
      <c r="G115" s="5" t="inlineStr">
        <is>
          <t>発注者</t>
        </is>
      </c>
      <c r="H115" s="10" t="inlineStr">
        <is>
          <t>確認待ち</t>
        </is>
      </c>
      <c r="I115" s="10" t="inlineStr">
        <is>
          <t>R8.11</t>
        </is>
      </c>
      <c r="J115" s="11" t="inlineStr"/>
    </row>
    <row r="116" ht="88" customHeight="1">
      <c r="A116" s="4" t="n">
        <v>17</v>
      </c>
      <c r="B116" s="4" t="inlineStr">
        <is>
          <t>(6)</t>
        </is>
      </c>
      <c r="C116" s="4" t="inlineStr">
        <is>
          <t>R8.10</t>
        </is>
      </c>
      <c r="D116" s="5" t="inlineStr">
        <is>
          <t>3町計画への共通指標の掲載</t>
        </is>
      </c>
      <c r="E11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6" s="5" t="inlineStr">
        <is>
          <t>素案 資料2
3町協議資料</t>
        </is>
      </c>
      <c r="G116" s="5" t="inlineStr">
        <is>
          <t>発注者・3町</t>
        </is>
      </c>
      <c r="H116" s="10" t="inlineStr">
        <is>
          <t>確認待ち</t>
        </is>
      </c>
      <c r="I116" s="10" t="inlineStr">
        <is>
          <t>R8.10</t>
        </is>
      </c>
      <c r="J116" s="11" t="inlineStr"/>
    </row>
    <row r="117" ht="88" customHeight="1">
      <c r="A117" s="4" t="n">
        <v>18</v>
      </c>
      <c r="B117" s="4" t="inlineStr">
        <is>
          <t>(6)</t>
        </is>
      </c>
      <c r="C117" s="4" t="inlineStr">
        <is>
          <t>R8.10</t>
        </is>
      </c>
      <c r="D117" s="5" t="inlineStr">
        <is>
          <t>骨子案の内容の確認</t>
        </is>
      </c>
      <c r="E117" s="5" t="inlineStr">
        <is>
          <t>令和8年8月に骨子案を作成した（11節22表）。第10節に決定・確認を要する事項12件を整理している。章立て、基本理念、5つの基本目標、代表KPI16項目の枠組み及び算定の枠組みについて、ご意向を確認する。</t>
        </is>
      </c>
      <c r="F117" s="5" t="inlineStr">
        <is>
          <t>骨子案
素案の次稿</t>
        </is>
      </c>
      <c r="G117" s="5" t="inlineStr">
        <is>
          <t>発注者</t>
        </is>
      </c>
      <c r="H117" s="10" t="inlineStr">
        <is>
          <t>確認待ち</t>
        </is>
      </c>
      <c r="I117" s="10" t="inlineStr">
        <is>
          <t>R8.9</t>
        </is>
      </c>
      <c r="J117" s="11" t="inlineStr"/>
    </row>
    <row r="118" ht="88" customHeight="1">
      <c r="A118" s="4" t="n">
        <v>19</v>
      </c>
      <c r="B118" s="4" t="inlineStr">
        <is>
          <t>(8)(9)</t>
        </is>
      </c>
      <c r="C118" s="4" t="inlineStr">
        <is>
          <t>R8.8</t>
        </is>
      </c>
      <c r="D118" s="5" t="inlineStr">
        <is>
          <t>会議日程とパブリックコメントの期間</t>
        </is>
      </c>
      <c r="E118" s="5" t="inlineStr">
        <is>
          <t>①介護保険事業計画策定委員会（運営協議会）の開催日程、審議事項、資料提出期限、②パブリックコメントの実施期間、③町別値・少数値の公表基準。工程の確定と資料作成の逆算に必要。</t>
        </is>
      </c>
      <c r="F118" s="5" t="inlineStr">
        <is>
          <t>委員会資料原案
パブリックコメント資料</t>
        </is>
      </c>
      <c r="G118" s="5" t="inlineStr">
        <is>
          <t>発注者</t>
        </is>
      </c>
      <c r="H118" s="10" t="inlineStr">
        <is>
          <t>確認待ち</t>
        </is>
      </c>
      <c r="I118" s="10" t="inlineStr">
        <is>
          <t>R8.8</t>
        </is>
      </c>
      <c r="J118" s="11" t="inlineStr"/>
    </row>
    <row r="119" ht="88" customHeight="1">
      <c r="A119" s="4" t="n">
        <v>20</v>
      </c>
      <c r="B119" s="4" t="inlineStr">
        <is>
          <t>(8)</t>
        </is>
      </c>
      <c r="C119" s="4" t="inlineStr">
        <is>
          <t>R8.9</t>
        </is>
      </c>
      <c r="D119" s="5" t="inlineStr">
        <is>
          <t>北海道・圏域との調整の場</t>
        </is>
      </c>
      <c r="E119" s="5" t="inlineStr">
        <is>
          <t>上川中部高齢者保健福祉圏域に関する北海道の調整方針、圏域連絡協議会の資料、及び圏域単位の協議の場の設置予定。24時間対応サービスの確保方策（第6章第4節）の検討に必要。</t>
        </is>
      </c>
      <c r="F119" s="5" t="inlineStr">
        <is>
          <t>素案 第6章第4節</t>
        </is>
      </c>
      <c r="G119" s="5" t="inlineStr">
        <is>
          <t>発注者・北海道</t>
        </is>
      </c>
      <c r="H119" s="10" t="inlineStr">
        <is>
          <t>確認待ち</t>
        </is>
      </c>
      <c r="I119" s="10" t="inlineStr">
        <is>
          <t>R8.10</t>
        </is>
      </c>
      <c r="J119" s="11" t="inlineStr"/>
    </row>
    <row r="120" ht="88" customHeight="1">
      <c r="A120" s="4" t="n">
        <v>21</v>
      </c>
      <c r="B120" s="4" t="inlineStr">
        <is>
          <t>(10)</t>
        </is>
      </c>
      <c r="C120" s="4" t="inlineStr">
        <is>
          <t>R8.10</t>
        </is>
      </c>
      <c r="D120" s="5" t="inlineStr">
        <is>
          <t>成果品の仕様</t>
        </is>
      </c>
      <c r="E120" s="5" t="inlineStr">
        <is>
          <t>①本文100頁程度に対する章別のページ配分、②図表の本文掲載点数の上限、③概要版の頁数と体裁、④印刷・製本の入稿期限。図表集は33シート133点あり、本文に何点まで掲載するかの決定を要する。</t>
        </is>
      </c>
      <c r="F120" s="5" t="inlineStr">
        <is>
          <t>計画書（印刷200部）
概要版</t>
        </is>
      </c>
      <c r="G120" s="5" t="inlineStr">
        <is>
          <t>発注者</t>
        </is>
      </c>
      <c r="H120" s="10" t="inlineStr">
        <is>
          <t>確認待ち</t>
        </is>
      </c>
      <c r="I120" s="10" t="inlineStr">
        <is>
          <t>R8.10</t>
        </is>
      </c>
      <c r="J120" s="11" t="inlineStr"/>
    </row>
    <row r="121" ht="88" customHeight="1">
      <c r="A121" s="4" t="n">
        <v>22</v>
      </c>
      <c r="B121" s="4" t="inlineStr">
        <is>
          <t>(1)</t>
        </is>
      </c>
      <c r="C121" s="4" t="inlineStr">
        <is>
          <t>R8.9</t>
        </is>
      </c>
      <c r="D121" s="5" t="inlineStr">
        <is>
          <t>北海道の評価指標の読替えの考え方</t>
        </is>
      </c>
      <c r="E12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21" s="5" t="inlineStr">
        <is>
          <t>素案 第1章第6節
追加調査報告書 04シート</t>
        </is>
      </c>
      <c r="G121" s="5" t="inlineStr">
        <is>
          <t>発注者・北海道</t>
        </is>
      </c>
      <c r="H121" s="10" t="inlineStr">
        <is>
          <t>確認待ち</t>
        </is>
      </c>
      <c r="I121" s="10" t="inlineStr">
        <is>
          <t>R8.9</t>
        </is>
      </c>
      <c r="J121" s="11" t="inlineStr"/>
    </row>
    <row r="122" ht="88" customHeight="1">
      <c r="A122" s="4" t="n">
        <v>23</v>
      </c>
      <c r="B122" s="4" t="inlineStr">
        <is>
          <t>(2)</t>
        </is>
      </c>
      <c r="C122" s="4" t="inlineStr">
        <is>
          <t>R8.9</t>
        </is>
      </c>
      <c r="D122" s="5" t="inlineStr">
        <is>
          <t>事業所の定員・稼働率データ</t>
        </is>
      </c>
      <c r="E12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22" s="5" t="inlineStr">
        <is>
          <t>素案 第2章第3節・第6章第4節
図21・図22</t>
        </is>
      </c>
      <c r="G122" s="5" t="inlineStr">
        <is>
          <t>発注者・3町</t>
        </is>
      </c>
      <c r="H122" s="10" t="inlineStr">
        <is>
          <t>確認待ち</t>
        </is>
      </c>
      <c r="I122" s="10" t="inlineStr">
        <is>
          <t>R8.10</t>
        </is>
      </c>
      <c r="J122" s="11" t="inlineStr"/>
    </row>
    <row r="123" ht="88" customHeight="1">
      <c r="A123" s="4" t="n">
        <v>24</v>
      </c>
      <c r="B123" s="4" t="inlineStr">
        <is>
          <t>(6)</t>
        </is>
      </c>
      <c r="C123" s="4" t="inlineStr">
        <is>
          <t>R8.11</t>
        </is>
      </c>
      <c r="D123" s="5" t="inlineStr">
        <is>
          <t>24時間対応サービスの確保方策の決定</t>
        </is>
      </c>
      <c r="E12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3" s="5" t="inlineStr">
        <is>
          <t>素案 第6章第2節・第4節
見込量表（3種別）</t>
        </is>
      </c>
      <c r="G123" s="5" t="inlineStr">
        <is>
          <t>発注者</t>
        </is>
      </c>
      <c r="H123" s="10" t="inlineStr">
        <is>
          <t>確認待ち</t>
        </is>
      </c>
      <c r="I123" s="10" t="inlineStr">
        <is>
          <t>R8.11</t>
        </is>
      </c>
      <c r="J123" s="11" t="inlineStr"/>
    </row>
    <row r="124" ht="88" customHeight="1">
      <c r="A124" s="4" t="n">
        <v>25</v>
      </c>
      <c r="B124" s="4" t="inlineStr">
        <is>
          <t>(6)</t>
        </is>
      </c>
      <c r="C124" s="4" t="inlineStr">
        <is>
          <t>R8.11</t>
        </is>
      </c>
      <c r="D124" s="5" t="inlineStr">
        <is>
          <t>代表KPIの目標値の決定</t>
        </is>
      </c>
      <c r="E12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4" s="5" t="inlineStr">
        <is>
          <t>素案 第4章第3節・第5章
全16KPIの目標値</t>
        </is>
      </c>
      <c r="G124" s="5" t="inlineStr">
        <is>
          <t>発注者</t>
        </is>
      </c>
      <c r="H124" s="10" t="inlineStr">
        <is>
          <t>確認待ち</t>
        </is>
      </c>
      <c r="I124" s="10" t="inlineStr">
        <is>
          <t>R8.12</t>
        </is>
      </c>
      <c r="J124" s="11" t="inlineStr"/>
    </row>
    <row r="125" ht="88" customHeight="1">
      <c r="A125" s="4" t="n">
        <v>26</v>
      </c>
      <c r="B125" s="4" t="inlineStr">
        <is>
          <t>(4)</t>
        </is>
      </c>
      <c r="C125" s="4" t="inlineStr">
        <is>
          <t>R8.10</t>
        </is>
      </c>
      <c r="D125" s="5" t="inlineStr">
        <is>
          <t>認知症・医療介護連携の実績データ</t>
        </is>
      </c>
      <c r="E12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5" s="5" t="inlineStr">
        <is>
          <t>素案 第5章 基本目標1・5
図表集 認知症・医療連携</t>
        </is>
      </c>
      <c r="G125" s="5" t="inlineStr">
        <is>
          <t>発注者・3町・北海道</t>
        </is>
      </c>
      <c r="H125" s="10" t="inlineStr">
        <is>
          <t>確認待ち</t>
        </is>
      </c>
      <c r="I125" s="10" t="inlineStr">
        <is>
          <t>R8.10</t>
        </is>
      </c>
      <c r="J125" s="11" t="inlineStr"/>
    </row>
    <row r="126" ht="88" customHeight="1">
      <c r="A126" s="4" t="n">
        <v>27</v>
      </c>
      <c r="B126" s="4" t="inlineStr">
        <is>
          <t>(3)</t>
        </is>
      </c>
      <c r="C126" s="4" t="inlineStr">
        <is>
          <t>R8.9</t>
        </is>
      </c>
      <c r="D126" s="5" t="inlineStr">
        <is>
          <t>令和4年度 健康とくらしの調査の集計表</t>
        </is>
      </c>
      <c r="E12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6" s="5" t="inlineStr">
        <is>
          <t>調査クロス集計・分析 14シート
素案 第2章第4節</t>
        </is>
      </c>
      <c r="G126" s="5" t="inlineStr">
        <is>
          <t>発注者</t>
        </is>
      </c>
      <c r="H126" s="10" t="inlineStr">
        <is>
          <t>確認待ち</t>
        </is>
      </c>
      <c r="I126" s="10" t="inlineStr">
        <is>
          <t>R8.9</t>
        </is>
      </c>
      <c r="J126" s="11" t="inlineStr"/>
    </row>
    <row r="127" ht="88" customHeight="1">
      <c r="A127" s="4" t="n">
        <v>28</v>
      </c>
      <c r="B127" s="4" t="inlineStr">
        <is>
          <t>(3)</t>
        </is>
      </c>
      <c r="C127" s="4" t="inlineStr">
        <is>
          <t>R8.9</t>
        </is>
      </c>
      <c r="D127" s="5" t="inlineStr">
        <is>
          <t>調査対象者の範囲の確認</t>
        </is>
      </c>
      <c r="E12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7" s="5" t="inlineStr">
        <is>
          <t>調査クロス集計・分析 13・14シート
H06・H11の基準値</t>
        </is>
      </c>
      <c r="G127" s="5" t="inlineStr">
        <is>
          <t>発注者</t>
        </is>
      </c>
      <c r="H127" s="10" t="inlineStr">
        <is>
          <t>確認待ち</t>
        </is>
      </c>
      <c r="I127" s="10" t="inlineStr">
        <is>
          <t>R8.9</t>
        </is>
      </c>
      <c r="J127" s="11" t="inlineStr"/>
    </row>
    <row r="128" ht="88" customHeight="1">
      <c r="A128" s="4" t="n">
        <v>29</v>
      </c>
      <c r="B128" s="4" t="inlineStr">
        <is>
          <t>(5)</t>
        </is>
      </c>
      <c r="C128" s="4" t="inlineStr">
        <is>
          <t>R8.10</t>
        </is>
      </c>
      <c r="D128" s="5" t="inlineStr">
        <is>
          <t>重度化の速度の前提</t>
        </is>
      </c>
      <c r="E12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8" s="5" t="inlineStr">
        <is>
          <t>素案 第6章第1節
認定者数・給付費の推計</t>
        </is>
      </c>
      <c r="G128" s="5" t="inlineStr">
        <is>
          <t>発注者</t>
        </is>
      </c>
      <c r="H128" s="10" t="inlineStr">
        <is>
          <t>確認待ち</t>
        </is>
      </c>
      <c r="I128" s="10" t="inlineStr">
        <is>
          <t>R8.10</t>
        </is>
      </c>
      <c r="J128" s="11" t="inlineStr"/>
    </row>
    <row r="129" ht="88" customHeight="1">
      <c r="A129" s="4" t="n">
        <v>30</v>
      </c>
      <c r="B129" s="4" t="inlineStr">
        <is>
          <t>(5)</t>
        </is>
      </c>
      <c r="C129" s="4" t="inlineStr">
        <is>
          <t>R8.10</t>
        </is>
      </c>
      <c r="D129" s="5" t="inlineStr">
        <is>
          <t>施設入所者と在宅者を分けた要介護度の変化</t>
        </is>
      </c>
      <c r="E12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9" s="5" t="inlineStr">
        <is>
          <t>重度化の速度の前提
保険料と施策評価の他団体比較 05シート</t>
        </is>
      </c>
      <c r="G129" s="5" t="inlineStr">
        <is>
          <t>発注者</t>
        </is>
      </c>
      <c r="H129" s="10" t="inlineStr">
        <is>
          <t>確認待ち</t>
        </is>
      </c>
      <c r="I129" s="10" t="inlineStr">
        <is>
          <t>R8.10</t>
        </is>
      </c>
      <c r="J129" s="11" t="inlineStr"/>
    </row>
    <row r="130" ht="88" customHeight="1">
      <c r="A130" s="4" t="n">
        <v>31</v>
      </c>
      <c r="B130" s="4" t="inlineStr">
        <is>
          <t>(5)</t>
        </is>
      </c>
      <c r="C130" s="4" t="inlineStr">
        <is>
          <t>R8.10</t>
        </is>
      </c>
      <c r="D130" s="5" t="inlineStr">
        <is>
          <t>給付適正化の実施予定と推計での扱い</t>
        </is>
      </c>
      <c r="E13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30" s="5" t="inlineStr">
        <is>
          <t>素案 第6章第2節・第5章・第7章
給付費の推計</t>
        </is>
      </c>
      <c r="G130" s="5" t="inlineStr">
        <is>
          <t>発注者</t>
        </is>
      </c>
      <c r="H130" s="10" t="inlineStr">
        <is>
          <t>確認待ち</t>
        </is>
      </c>
      <c r="I130" s="10" t="inlineStr">
        <is>
          <t>R8.10</t>
        </is>
      </c>
      <c r="J130" s="11" t="inlineStr"/>
    </row>
    <row r="131" ht="88" customHeight="1">
      <c r="A131" s="4" t="n">
        <v>32</v>
      </c>
      <c r="B131" s="4" t="inlineStr">
        <is>
          <t>(2)</t>
        </is>
      </c>
      <c r="C131" s="4" t="inlineStr">
        <is>
          <t>R8.9</t>
        </is>
      </c>
      <c r="D131" s="5" t="inlineStr">
        <is>
          <t>第7期の保険料基準額</t>
        </is>
      </c>
      <c r="E131" s="5" t="inlineStr">
        <is>
          <t>見える化システムの値は6,077円であるが、計画素案では当初5,900円としていた。剰余の累計＋159円／月は6,077円を前提としたときにのみ整合する（(6,077－6,024)×3＝159）。条例による第7期の基準額の確認を要する。</t>
        </is>
      </c>
      <c r="F131" s="5" t="inlineStr">
        <is>
          <t>素案 第6章第6節
保険料の推移</t>
        </is>
      </c>
      <c r="G131" s="5" t="inlineStr">
        <is>
          <t>発注者</t>
        </is>
      </c>
      <c r="H131" s="6" t="inlineStr">
        <is>
          <t>完了</t>
        </is>
      </c>
      <c r="I131" s="10" t="inlineStr">
        <is>
          <t>R8.9</t>
        </is>
      </c>
      <c r="J131" s="11" t="inlineStr">
        <is>
          <t>見える化C1（介護保険事業計画報告値）により6,077円を確認した（令和8年7月30日受領）。条例による確認は不要となった。</t>
        </is>
      </c>
    </row>
    <row r="132" ht="88" customHeight="1">
      <c r="A132" s="4" t="n">
        <v>33</v>
      </c>
      <c r="B132" s="4" t="inlineStr">
        <is>
          <t>(5)</t>
        </is>
      </c>
      <c r="C132" s="4" t="inlineStr">
        <is>
          <t>R8.10</t>
        </is>
      </c>
      <c r="D132" s="5" t="inlineStr">
        <is>
          <t>第10期の政令改正の内容（所得段階）</t>
        </is>
      </c>
      <c r="E13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32" s="5" t="inlineStr">
        <is>
          <t>第10期の段階設計
保険料の算定</t>
        </is>
      </c>
      <c r="G132" s="5" t="inlineStr">
        <is>
          <t>国の情報</t>
        </is>
      </c>
      <c r="H132" s="10" t="inlineStr">
        <is>
          <t>確認待ち</t>
        </is>
      </c>
      <c r="I132" s="10" t="inlineStr">
        <is>
          <t>告示後</t>
        </is>
      </c>
      <c r="J132" s="11" t="inlineStr"/>
    </row>
    <row r="133" ht="88" customHeight="1">
      <c r="A133" s="4" t="n">
        <v>34</v>
      </c>
      <c r="B133" s="4" t="inlineStr">
        <is>
          <t>(2)</t>
        </is>
      </c>
      <c r="C133" s="4" t="inlineStr">
        <is>
          <t>R8.10</t>
        </is>
      </c>
      <c r="D133" s="5" t="inlineStr">
        <is>
          <t>第9段階の乗率の経緯</t>
        </is>
      </c>
      <c r="E13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3" s="5" t="inlineStr">
        <is>
          <t>第10期の段階設計
保険料の所得段階と低所得者軽減の検証 08シート</t>
        </is>
      </c>
      <c r="G133" s="5" t="inlineStr">
        <is>
          <t>発注者</t>
        </is>
      </c>
      <c r="H133" s="10" t="inlineStr">
        <is>
          <t>確認待ち</t>
        </is>
      </c>
      <c r="I133" s="10" t="inlineStr">
        <is>
          <t>R8.10</t>
        </is>
      </c>
      <c r="J133" s="11" t="inlineStr"/>
    </row>
    <row r="134" ht="88" customHeight="1">
      <c r="A134" s="4" t="n">
        <v>35</v>
      </c>
      <c r="B134" s="4" t="inlineStr">
        <is>
          <t>(4)</t>
        </is>
      </c>
      <c r="C134" s="4" t="inlineStr">
        <is>
          <t>R8.10</t>
        </is>
      </c>
      <c r="D134" s="5" t="inlineStr">
        <is>
          <t>上川管内の保険者の所得段階数と乗率</t>
        </is>
      </c>
      <c r="E134" s="5" t="inlineStr">
        <is>
          <t>上川管内21保険者の第9期の所得段階数と乗率。多段階化の状況を比較するために必要。北海道の資料又は各保険者の保険料条例による。</t>
        </is>
      </c>
      <c r="F134" s="5" t="inlineStr">
        <is>
          <t>保険料の所得段階と低所得者軽減の検証 05シート</t>
        </is>
      </c>
      <c r="G134" s="5" t="inlineStr">
        <is>
          <t>発注者・北海道</t>
        </is>
      </c>
      <c r="H134" s="10" t="inlineStr">
        <is>
          <t>確認待ち</t>
        </is>
      </c>
      <c r="I134" s="10" t="inlineStr">
        <is>
          <t>R8.10</t>
        </is>
      </c>
      <c r="J134" s="11" t="inlineStr"/>
    </row>
    <row r="135" ht="88" customHeight="1">
      <c r="A135" s="4" t="n">
        <v>36</v>
      </c>
      <c r="B135" s="4" t="inlineStr">
        <is>
          <t>(5)</t>
        </is>
      </c>
      <c r="C135" s="4" t="inlineStr">
        <is>
          <t>R8.10</t>
        </is>
      </c>
      <c r="D135" s="5" t="inlineStr">
        <is>
          <t>所得段階別被保険者数の実績と収納率</t>
        </is>
      </c>
      <c r="E13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5" s="5" t="inlineStr">
        <is>
          <t>所得段階別被保険者数の推計
保険料の算定
素案 第6章第7節</t>
        </is>
      </c>
      <c r="G135" s="5" t="inlineStr">
        <is>
          <t>発注者</t>
        </is>
      </c>
      <c r="H135" s="10" t="inlineStr">
        <is>
          <t>確認待ち</t>
        </is>
      </c>
      <c r="I135" s="10" t="inlineStr">
        <is>
          <t>R8.10</t>
        </is>
      </c>
      <c r="J135" s="11" t="inlineStr"/>
    </row>
    <row r="136" ht="88" customHeight="1">
      <c r="A136" s="4" t="n">
        <v>37</v>
      </c>
      <c r="B136" s="4" t="inlineStr">
        <is>
          <t>(2)</t>
        </is>
      </c>
      <c r="C136" s="4" t="inlineStr">
        <is>
          <t>R8.8</t>
        </is>
      </c>
      <c r="D136" s="5" t="inlineStr">
        <is>
          <t>年齢階級別・要介護度別の認定率</t>
        </is>
      </c>
      <c r="E13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6" s="5" t="inlineStr">
        <is>
          <t>素案 第3章第4節
妥当性検証 所見7</t>
        </is>
      </c>
      <c r="G136" s="5" t="inlineStr">
        <is>
          <t>発注者</t>
        </is>
      </c>
      <c r="H136" s="6" t="inlineStr">
        <is>
          <t>完了</t>
        </is>
      </c>
      <c r="I136" s="10" t="inlineStr">
        <is>
          <t>R8.8</t>
        </is>
      </c>
      <c r="J136" s="11" t="inlineStr">
        <is>
          <t>令和8年7月29日にB4a・B4c・B4d・B4e・B5a・B6a・B6bを受領。認定率の年齢調整分析（7シート）として分析済み</t>
        </is>
      </c>
    </row>
    <row r="137" ht="88" customHeight="1">
      <c r="A137" s="4" t="n">
        <v>38</v>
      </c>
      <c r="B137" s="4" t="inlineStr">
        <is>
          <t>(2)</t>
        </is>
      </c>
      <c r="C137" s="4" t="inlineStr">
        <is>
          <t>R8.9</t>
        </is>
      </c>
      <c r="D137" s="5" t="inlineStr">
        <is>
          <t>交付金評価の令和6年・令和7年調査の結果</t>
        </is>
      </c>
      <c r="E13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7" s="5" t="inlineStr">
        <is>
          <t>素案 第3章第4節
妥当性検証 所見18・19</t>
        </is>
      </c>
      <c r="G137" s="5" t="inlineStr">
        <is>
          <t>発注者</t>
        </is>
      </c>
      <c r="H137" s="10" t="inlineStr">
        <is>
          <t>確認待ち</t>
        </is>
      </c>
      <c r="I137" s="10" t="inlineStr">
        <is>
          <t>R8.9</t>
        </is>
      </c>
      <c r="J137" s="11" t="inlineStr"/>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 第1次概算</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137</v>
      </c>
      <c r="B140" s="4" t="inlineStr">
        <is>
          <t>(5)</t>
        </is>
      </c>
      <c r="C140" s="4" t="inlineStr">
        <is>
          <t>R8.9</t>
        </is>
      </c>
      <c r="D140" s="5" t="inlineStr">
        <is>
          <t>1人1月あたり給付費の実績値をどの年度にするか</t>
        </is>
      </c>
      <c r="E140"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185〜＋374円に当たる。③令和9年度は介護報酬改定の年である（3年周期。第10期の初年度）。改定率1％あたり月額＋61円である。④施設・居住系と在宅で年度をそろえるかどうかも併せてご判断いただきたい。</t>
        </is>
      </c>
      <c r="F140" s="5" t="inlineStr">
        <is>
          <t>将来推計 第2段階
サービス見込量 第1次概算</t>
        </is>
      </c>
      <c r="G140" s="5" t="inlineStr">
        <is>
          <t>発注者</t>
        </is>
      </c>
      <c r="H140" s="10" t="inlineStr">
        <is>
          <t>確認待ち</t>
        </is>
      </c>
      <c r="I140" s="10" t="inlineStr">
        <is>
          <t>R8.9</t>
        </is>
      </c>
      <c r="J140" s="11" t="inlineStr">
        <is>
          <t>令和8年度実績見込み値の入力案 00シート3。趨勢に現れない要因の分析（確認事項No.109〜No.111）と一体</t>
        </is>
      </c>
    </row>
    <row r="141" ht="88" customHeight="1">
      <c r="A141" s="4" t="n">
        <v>138</v>
      </c>
      <c r="B141" s="4" t="inlineStr">
        <is>
          <t>(5)</t>
        </is>
      </c>
      <c r="C141" s="4" t="inlineStr">
        <is>
          <t>R8.9</t>
        </is>
      </c>
      <c r="D141" s="5" t="inlineStr">
        <is>
          <t>認定者数の実績見込み値を編集する項目が画面にあるか</t>
        </is>
      </c>
      <c r="E141"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1" s="5" t="inlineStr">
        <is>
          <t>将来推計 第2段階</t>
        </is>
      </c>
      <c r="G141" s="5" t="inlineStr">
        <is>
          <t>発注者</t>
        </is>
      </c>
      <c r="H141" s="10" t="inlineStr">
        <is>
          <t>確認待ち</t>
        </is>
      </c>
      <c r="I141" s="10" t="inlineStr">
        <is>
          <t>R8.9</t>
        </is>
      </c>
      <c r="J141" s="11" t="inlineStr">
        <is>
          <t>令和8年度実績見込み値の入力案 00シート1・07シート。②③④はそのまま入力できるため、本件は①のみに関わる</t>
        </is>
      </c>
    </row>
    <row r="142" ht="88" customHeight="1">
      <c r="A142" s="4" t="n">
        <v>139</v>
      </c>
      <c r="B142" s="4" t="inlineStr">
        <is>
          <t>(3)</t>
        </is>
      </c>
      <c r="C142" s="4" t="inlineStr">
        <is>
          <t>R8.9</t>
        </is>
      </c>
      <c r="D142" s="5" t="inlineStr">
        <is>
          <t>健康とくらしの調査の個票の再提供の要否</t>
        </is>
      </c>
      <c r="E142" s="5" t="inlineStr">
        <is>
          <t>「調査クロス集計・分析」（24シート）を作るスクリプトは健康とくらしの調査の個票CSV（4,729票）を読む。個票は発注者指示（令和8年8月28日）によりリポジトリに格納しておらず、作業領域にも残っていないため再実行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リポジトリに格納せず、作業領域にとどめて作業後に消去する。③作り直しの予定がなければ再提供は不要である。</t>
        </is>
      </c>
      <c r="F142" s="5" t="inlineStr">
        <is>
          <t>調査クロス集計・分析の更新</t>
        </is>
      </c>
      <c r="G142" s="5" t="inlineStr">
        <is>
          <t>発注者</t>
        </is>
      </c>
      <c r="H142" s="10" t="inlineStr">
        <is>
          <t>確認待ち</t>
        </is>
      </c>
      <c r="I142" s="10" t="inlineStr">
        <is>
          <t>R8.9</t>
        </is>
      </c>
      <c r="J142" s="11" t="inlineStr">
        <is>
          <t>調査結果と年報実績の突合クロス集計 01シート。アンケート関係の成果品7件のうち6件は再出力できる</t>
        </is>
      </c>
    </row>
    <row r="143" ht="88" customHeight="1">
      <c r="A143" s="4" t="n">
        <v>140</v>
      </c>
      <c r="B143" s="4" t="inlineStr">
        <is>
          <t>(3)(6)</t>
        </is>
      </c>
      <c r="C143" s="4" t="inlineStr">
        <is>
          <t>R8.9</t>
        </is>
      </c>
      <c r="D143" s="5" t="inlineStr">
        <is>
          <t>在宅生活改善調査の結果を在宅の認定者全体に当てはめないこと</t>
        </is>
      </c>
      <c r="E143"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3" s="5" t="inlineStr">
        <is>
          <t>計画素案 第2章第4節・第4章第3節</t>
        </is>
      </c>
      <c r="G143" s="5" t="inlineStr">
        <is>
          <t>発注者</t>
        </is>
      </c>
      <c r="H143" s="10" t="inlineStr">
        <is>
          <t>確認待ち</t>
        </is>
      </c>
      <c r="I143" s="10" t="inlineStr">
        <is>
          <t>R8.9</t>
        </is>
      </c>
      <c r="J143" s="11" t="inlineStr">
        <is>
          <t>調査結果と年報実績の突合クロス集計 02シート。年報の要介護度別を収めたことにより初めて確かめられた</t>
        </is>
      </c>
    </row>
    <row r="144" ht="88" customHeight="1">
      <c r="A144" s="4" t="n">
        <v>141</v>
      </c>
      <c r="B144" s="4" t="inlineStr">
        <is>
          <t>(3)(5)</t>
        </is>
      </c>
      <c r="C144" s="4" t="inlineStr">
        <is>
          <t>R8.9</t>
        </is>
      </c>
      <c r="D144" s="5" t="inlineStr">
        <is>
          <t>区域を越えた施設利用の扱い</t>
        </is>
      </c>
      <c r="E144"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4" s="5" t="inlineStr">
        <is>
          <t>計画素案 第6章第4節4
サービス見込量 第1次概算</t>
        </is>
      </c>
      <c r="G144" s="5" t="inlineStr">
        <is>
          <t>発注者</t>
        </is>
      </c>
      <c r="H144" s="10" t="inlineStr">
        <is>
          <t>確認待ち</t>
        </is>
      </c>
      <c r="I144" s="10" t="inlineStr">
        <is>
          <t>R8.9</t>
        </is>
      </c>
      <c r="J144" s="11" t="inlineStr">
        <is>
          <t>調査結果と年報実績の突合クロス集計 03・04・05シート</t>
        </is>
      </c>
    </row>
    <row r="145" ht="88" customHeight="1">
      <c r="A145" s="4" t="n">
        <v>142</v>
      </c>
      <c r="B145" s="4" t="inlineStr">
        <is>
          <t>(5)</t>
        </is>
      </c>
      <c r="C145" s="4" t="inlineStr">
        <is>
          <t>R8.9</t>
        </is>
      </c>
      <c r="D145" s="5" t="inlineStr">
        <is>
          <t>第1次概算を既定値のまま出してよいか</t>
        </is>
      </c>
      <c r="E145" s="5" t="inlineStr">
        <is>
          <t>サービス見込量 第1次概算（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185〜＋374円）であり、これだけは9月26日までに決定をいただきたい。</t>
        </is>
      </c>
      <c r="F145" s="5" t="inlineStr">
        <is>
          <t>サービス見込量 第1次概算</t>
        </is>
      </c>
      <c r="G145" s="5" t="inlineStr">
        <is>
          <t>発注者</t>
        </is>
      </c>
      <c r="H145" s="10" t="inlineStr">
        <is>
          <t>確認待ち</t>
        </is>
      </c>
      <c r="I145" s="10" t="inlineStr">
        <is>
          <t>R8.9</t>
        </is>
      </c>
      <c r="J145" s="11" t="inlineStr">
        <is>
          <t>計画素案の課題整理 03シート。既定値は17件すべてに置いており、自己点検で網羅を確かめている</t>
        </is>
      </c>
    </row>
    <row r="146" ht="88" customHeight="1">
      <c r="A146" s="4" t="n">
        <v>143</v>
      </c>
      <c r="B146" s="4" t="inlineStr">
        <is>
          <t>(6)</t>
        </is>
      </c>
      <c r="C146" s="4" t="inlineStr">
        <is>
          <t>R8.9</t>
        </is>
      </c>
      <c r="D146" s="5" t="inlineStr">
        <is>
          <t>計画素案の未確定箇所の表示の統一</t>
        </is>
      </c>
      <c r="E146" s="5" t="inlineStr">
        <is>
          <t>計画素案の未確定箇所は127箇所ある（要協議106・要確認20・要内訳1。素案の実物から数えた値）。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6" s="5" t="inlineStr">
        <is>
          <t>計画素案（策定委員会用）</t>
        </is>
      </c>
      <c r="G146" s="5" t="inlineStr">
        <is>
          <t>発注者</t>
        </is>
      </c>
      <c r="H146" s="10" t="inlineStr">
        <is>
          <t>確認待ち</t>
        </is>
      </c>
      <c r="I146" s="10" t="inlineStr">
        <is>
          <t>R8.10</t>
        </is>
      </c>
      <c r="J146" s="11" t="inlineStr">
        <is>
          <t>計画素案の課題整理 01シート。未確定箇所とは別に、書くべき内容がまだ入っていない節が3節ある（第2章第4節・第6章第5節・第6章第7節）</t>
        </is>
      </c>
    </row>
    <row r="147" ht="88" customHeight="1">
      <c r="A147" s="4" t="n">
        <v>144</v>
      </c>
      <c r="B147" s="4" t="inlineStr">
        <is>
          <t>(12)</t>
        </is>
      </c>
      <c r="C147" s="4" t="inlineStr">
        <is>
          <t>R8.9</t>
        </is>
      </c>
      <c r="D147" s="5" t="inlineStr">
        <is>
          <t>統合した成果品の元の資料を残すか</t>
        </is>
      </c>
      <c r="E147"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7" s="5" t="inlineStr">
        <is>
          <t>成果品一覧（納品時の構成）</t>
        </is>
      </c>
      <c r="G147" s="5" t="inlineStr">
        <is>
          <t>発注者</t>
        </is>
      </c>
      <c r="H147" s="10" t="inlineStr">
        <is>
          <t>確認待ち</t>
        </is>
      </c>
      <c r="I147" s="10" t="inlineStr">
        <is>
          <t>R8.10</t>
        </is>
      </c>
      <c r="J147" s="11" t="inlineStr">
        <is>
          <t>管理の統合と成果品の棚卸し 03・05シート</t>
        </is>
      </c>
    </row>
    <row r="148" ht="88" customHeight="1">
      <c r="A148" s="4" t="n">
        <v>145</v>
      </c>
      <c r="B148" s="4" t="inlineStr">
        <is>
          <t>(5)</t>
        </is>
      </c>
      <c r="C148" s="4" t="inlineStr">
        <is>
          <t>R8.9</t>
        </is>
      </c>
      <c r="D148" s="5" t="inlineStr">
        <is>
          <t>計画作成支援ツールと年報のどちらを町別の値に用いるか</t>
        </is>
      </c>
      <c r="E148"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8" s="5" t="inlineStr">
        <is>
          <t>町別データシート
サービス見込量 第1次概算</t>
        </is>
      </c>
      <c r="G148" s="5" t="inlineStr">
        <is>
          <t>発注者</t>
        </is>
      </c>
      <c r="H148" s="10" t="inlineStr">
        <is>
          <t>確認待ち</t>
        </is>
      </c>
      <c r="I148" s="10" t="inlineStr">
        <is>
          <t>R8.9</t>
        </is>
      </c>
      <c r="J148" s="11" t="inlineStr">
        <is>
          <t>管理の統合と成果品の棚卸し 04シート</t>
        </is>
      </c>
    </row>
    <row r="149" ht="88" customHeight="1">
      <c r="A149" s="4" t="n">
        <v>136</v>
      </c>
      <c r="B149" s="4" t="inlineStr">
        <is>
          <t>(5)</t>
        </is>
      </c>
      <c r="C149" s="4" t="inlineStr">
        <is>
          <t>R8.9</t>
        </is>
      </c>
      <c r="D149" s="5" t="inlineStr">
        <is>
          <t>画面の令和7年度と年報の月平均の食い違い</t>
        </is>
      </c>
      <c r="E14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9" s="5" t="inlineStr">
        <is>
          <t>将来推計 第2段階
計画素案 第6章第2節</t>
        </is>
      </c>
      <c r="G149" s="5" t="inlineStr">
        <is>
          <t>発注者</t>
        </is>
      </c>
      <c r="H149" s="10" t="inlineStr">
        <is>
          <t>確認待ち</t>
        </is>
      </c>
      <c r="I149" s="10" t="inlineStr">
        <is>
          <t>R8.10</t>
        </is>
      </c>
      <c r="J149" s="11" t="inlineStr">
        <is>
          <t>令和8年度実績見込み値の入力案 05シート</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 第1次概算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 第1次概算</t>
        </is>
      </c>
      <c r="G151" s="5" t="inlineStr">
        <is>
          <t>発注者</t>
        </is>
      </c>
      <c r="H151" s="10" t="inlineStr">
        <is>
          <t>確認待ち</t>
        </is>
      </c>
      <c r="I151" s="10" t="inlineStr">
        <is>
          <t>R8.9</t>
        </is>
      </c>
      <c r="J151" s="11" t="inlineStr">
        <is>
          <t>入力前段支援アプリの点検 04シート</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10" t="inlineStr">
        <is>
          <t>一部確認済み</t>
        </is>
      </c>
      <c r="I154" s="10" t="inlineStr">
        <is>
          <t>R8.10</t>
        </is>
      </c>
      <c r="J154" s="11" t="inlineStr">
        <is>
          <t>認知症施策推進計画の位置づけと見込量への反映 06シート。令和8年9月25日受領資料の受領点検 08シート。令和8年9月25日、美瑛町の休止を含む3町の実施状況を計画素案 第5章 基本目標2（現状と課題・関連データ・施策の方向性・主な事業）に反映した</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 第1次概算
計画素案 第6章第2節</t>
        </is>
      </c>
      <c r="G155" s="5" t="inlineStr">
        <is>
          <t>発注者</t>
        </is>
      </c>
      <c r="H155" s="10" t="inlineStr">
        <is>
          <t>確認待ち</t>
        </is>
      </c>
      <c r="I155" s="10" t="inlineStr">
        <is>
          <t>R8.9</t>
        </is>
      </c>
      <c r="J155" s="11" t="inlineStr">
        <is>
          <t>認知症施策推進計画の位置づけと見込量への反映 04・06シート</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t>
        </is>
      </c>
    </row>
    <row r="157" ht="88" customHeight="1">
      <c r="A157" s="4" t="n">
        <v>154</v>
      </c>
      <c r="B157" s="4" t="inlineStr">
        <is>
          <t>(6)</t>
        </is>
      </c>
      <c r="C157" s="4" t="inlineStr">
        <is>
          <t>R8.10</t>
        </is>
      </c>
      <c r="D157" s="5" t="inlineStr">
        <is>
          <t>計画素案 第2章第1節に町別の図を加えるか</t>
        </is>
      </c>
      <c r="E157"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7" s="5" t="inlineStr">
        <is>
          <t>計画素案 第2章第1節
図表集</t>
        </is>
      </c>
      <c r="G157" s="5" t="inlineStr">
        <is>
          <t>発注者</t>
        </is>
      </c>
      <c r="H157" s="10" t="inlineStr">
        <is>
          <t>確認待ち</t>
        </is>
      </c>
      <c r="I157" s="10" t="inlineStr">
        <is>
          <t>R8.10</t>
        </is>
      </c>
      <c r="J157" s="11" t="inlineStr">
        <is>
          <t>素案への加筆版の点検 03シート</t>
        </is>
      </c>
    </row>
    <row r="158" ht="88" customHeight="1">
      <c r="A158" s="4" t="n">
        <v>153</v>
      </c>
      <c r="B158" s="4" t="inlineStr">
        <is>
          <t>(2)</t>
        </is>
      </c>
      <c r="C158" s="4" t="inlineStr">
        <is>
          <t>R8.10</t>
        </is>
      </c>
      <c r="D158" s="5" t="inlineStr">
        <is>
          <t>人口の将来推計の方法を案Cからコーホート変化率法に改めるか</t>
        </is>
      </c>
      <c r="E158"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8" s="5" t="inlineStr">
        <is>
          <t>サービス見込量 第2次概算
計画素案 第2章第1節・第6章第1節</t>
        </is>
      </c>
      <c r="G158" s="5" t="inlineStr">
        <is>
          <t>発注者</t>
        </is>
      </c>
      <c r="H158" s="10" t="inlineStr">
        <is>
          <t>確認待ち</t>
        </is>
      </c>
      <c r="I158" s="10" t="inlineStr">
        <is>
          <t>R8.10</t>
        </is>
      </c>
      <c r="J158" s="11" t="inlineStr">
        <is>
          <t>社内作業ファイルの点検 05シート</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8" t="inlineStr">
        <is>
          <t>対応中</t>
        </is>
      </c>
      <c r="I160" s="10" t="inlineStr">
        <is>
          <t>R8.10</t>
        </is>
      </c>
      <c r="J160" s="11" t="inlineStr">
        <is>
          <t>見える化入力マニュアルの点検と整合確認 07シート</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8" t="inlineStr">
        <is>
          <t>対応中</t>
        </is>
      </c>
      <c r="I161" s="10" t="inlineStr">
        <is>
          <t>R8.10</t>
        </is>
      </c>
      <c r="J161" s="11" t="inlineStr">
        <is>
          <t>見える化入力マニュアルの点検と整合確認 05シート</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第5章第3節・基本目標3・資料1
アンケート調査の集計分析報告書 02・14シート</t>
        </is>
      </c>
      <c r="G162" s="5" t="inlineStr">
        <is>
          <t>発注者</t>
        </is>
      </c>
      <c r="H162" s="10" t="inlineStr">
        <is>
          <t>確認待ち</t>
        </is>
      </c>
      <c r="I162" s="10" t="inlineStr">
        <is>
          <t>R8.10</t>
        </is>
      </c>
      <c r="J162" s="11" t="inlineStr">
        <is>
          <t>既定値は①②のとおり設問別の有効回答を分母とし、③は町別の値を掲げない。令和8年9月25日の点検による</t>
        </is>
      </c>
    </row>
    <row r="164" ht="32" customHeight="1">
      <c r="A164" s="3" t="inlineStr">
        <is>
          <t>区分</t>
        </is>
      </c>
      <c r="B164" s="3" t="inlineStr">
        <is>
          <t>件数</t>
        </is>
      </c>
      <c r="C164" s="3" t="inlineStr"/>
      <c r="D164" s="3" t="inlineStr"/>
      <c r="E164" s="3" t="inlineStr"/>
      <c r="F164" s="3" t="inlineStr"/>
      <c r="G164" s="3" t="inlineStr"/>
      <c r="H164" s="3" t="inlineStr"/>
      <c r="I164" s="3" t="inlineStr"/>
      <c r="J164" s="3" t="inlineStr"/>
    </row>
    <row r="165" ht="20" customHeight="1">
      <c r="A165" s="6" t="inlineStr">
        <is>
          <t>完了</t>
        </is>
      </c>
      <c r="B165" s="4">
        <f>COUNTIF(H5:H162,"完了")</f>
        <v/>
      </c>
      <c r="C165" s="5" t="inlineStr"/>
      <c r="D165" s="5" t="inlineStr"/>
      <c r="E165" s="5" t="inlineStr"/>
      <c r="F165" s="5" t="inlineStr"/>
      <c r="G165" s="5" t="inlineStr"/>
      <c r="H165" s="5" t="inlineStr"/>
      <c r="I165" s="5" t="inlineStr"/>
      <c r="J165" s="5" t="inlineStr"/>
    </row>
    <row r="166" ht="20" customHeight="1">
      <c r="A166" s="8" t="inlineStr">
        <is>
          <t>実施中</t>
        </is>
      </c>
      <c r="B166" s="4">
        <f>COUNTIF(H5:H162,"実施中")</f>
        <v/>
      </c>
      <c r="C166" s="5" t="inlineStr"/>
      <c r="D166" s="5" t="inlineStr"/>
      <c r="E166" s="5" t="inlineStr"/>
      <c r="F166" s="5" t="inlineStr"/>
      <c r="G166" s="5" t="inlineStr"/>
      <c r="H166" s="5" t="inlineStr"/>
      <c r="I166" s="5" t="inlineStr"/>
      <c r="J166" s="5" t="inlineStr"/>
    </row>
    <row r="167" ht="20" customHeight="1">
      <c r="A167" s="10" t="inlineStr">
        <is>
          <t>確認待ち</t>
        </is>
      </c>
      <c r="B167" s="4">
        <f>COUNTIF(H5:H162,"確認待ち")</f>
        <v/>
      </c>
      <c r="C167" s="5" t="inlineStr"/>
      <c r="D167" s="5" t="inlineStr"/>
      <c r="E167" s="5" t="inlineStr"/>
      <c r="F167" s="5" t="inlineStr"/>
      <c r="G167" s="5" t="inlineStr"/>
      <c r="H167" s="5" t="inlineStr"/>
      <c r="I167" s="5" t="inlineStr"/>
      <c r="J167" s="5" t="inlineStr"/>
    </row>
    <row r="168" ht="20" customHeight="1">
      <c r="A168" s="12" t="inlineStr">
        <is>
          <t>未着手</t>
        </is>
      </c>
      <c r="B168" s="4">
        <f>COUNTIF(H5:H162,"未着手")</f>
        <v/>
      </c>
      <c r="C168" s="5" t="inlineStr"/>
      <c r="D168" s="5" t="inlineStr"/>
      <c r="E168" s="5" t="inlineStr"/>
      <c r="F168" s="5" t="inlineStr"/>
      <c r="G168" s="5" t="inlineStr"/>
      <c r="H168" s="5" t="inlineStr"/>
      <c r="I168" s="5" t="inlineStr"/>
      <c r="J168" s="5" t="inlineStr"/>
    </row>
    <row r="169" ht="20" customHeight="1">
      <c r="A169" s="14" t="inlineStr">
        <is>
          <t>対象外</t>
        </is>
      </c>
      <c r="B169" s="4">
        <f>COUNTIF(H5:H162,"対象外")</f>
        <v/>
      </c>
      <c r="C169" s="5" t="inlineStr"/>
      <c r="D169" s="5" t="inlineStr"/>
      <c r="E169" s="5" t="inlineStr"/>
      <c r="F169" s="5" t="inlineStr"/>
      <c r="G169" s="5" t="inlineStr"/>
      <c r="H169" s="5" t="inlineStr"/>
      <c r="I169" s="5" t="inlineStr"/>
      <c r="J169" s="5" t="inlineStr"/>
    </row>
    <row r="171" ht="32" customHeight="1">
      <c r="A171" s="3" t="inlineStr">
        <is>
          <t>確認先</t>
        </is>
      </c>
      <c r="B171" s="3" t="inlineStr">
        <is>
          <t>件数</t>
        </is>
      </c>
      <c r="C171" s="3" t="inlineStr"/>
      <c r="D171" s="3" t="inlineStr"/>
      <c r="E171" s="3" t="inlineStr"/>
      <c r="F171" s="3" t="inlineStr"/>
      <c r="G171" s="3" t="inlineStr"/>
      <c r="H171" s="3" t="inlineStr"/>
      <c r="I171" s="3" t="inlineStr"/>
      <c r="J171" s="3" t="inlineStr"/>
    </row>
    <row r="172" ht="20" customHeight="1">
      <c r="A172" s="5" t="inlineStr">
        <is>
          <t>発注者</t>
        </is>
      </c>
      <c r="B172" s="4">
        <f>COUNTIF(G5:G162,"発注者")</f>
        <v/>
      </c>
      <c r="C172" s="5" t="inlineStr"/>
      <c r="D172" s="5" t="inlineStr"/>
      <c r="E172" s="5" t="inlineStr"/>
      <c r="F172" s="5" t="inlineStr"/>
      <c r="G172" s="5" t="inlineStr"/>
      <c r="H172" s="5" t="inlineStr"/>
      <c r="I172" s="5" t="inlineStr"/>
      <c r="J172" s="5" t="inlineStr"/>
    </row>
    <row r="173" ht="20" customHeight="1">
      <c r="A173" s="5" t="inlineStr">
        <is>
          <t>発注者・3町</t>
        </is>
      </c>
      <c r="B173" s="4">
        <f>COUNTIF(G5:G162,"発注者・3町")</f>
        <v/>
      </c>
      <c r="C173" s="5" t="inlineStr"/>
      <c r="D173" s="5" t="inlineStr"/>
      <c r="E173" s="5" t="inlineStr"/>
      <c r="F173" s="5" t="inlineStr"/>
      <c r="G173" s="5" t="inlineStr"/>
      <c r="H173" s="5" t="inlineStr"/>
      <c r="I173" s="5" t="inlineStr"/>
      <c r="J173" s="5" t="inlineStr"/>
    </row>
    <row r="174" ht="20" customHeight="1">
      <c r="A174" s="5" t="inlineStr">
        <is>
          <t>発注者・北海道</t>
        </is>
      </c>
      <c r="B174" s="4">
        <f>COUNTIF(G5:G162,"発注者・北海道")</f>
        <v/>
      </c>
      <c r="C174" s="5" t="inlineStr"/>
      <c r="D174" s="5" t="inlineStr"/>
      <c r="E174" s="5" t="inlineStr"/>
      <c r="F174" s="5" t="inlineStr"/>
      <c r="G174" s="5" t="inlineStr"/>
      <c r="H174" s="5" t="inlineStr"/>
      <c r="I174" s="5" t="inlineStr"/>
      <c r="J174" s="5" t="inlineStr"/>
    </row>
    <row r="175" ht="20" customHeight="1">
      <c r="A175" s="5" t="inlineStr">
        <is>
          <t>発注者・3町・北海道</t>
        </is>
      </c>
      <c r="B175" s="4">
        <f>COUNTIF(G5:G162,"発注者・3町・北海道")</f>
        <v/>
      </c>
      <c r="C175" s="5" t="inlineStr"/>
      <c r="D175" s="5" t="inlineStr"/>
      <c r="E175" s="5" t="inlineStr"/>
      <c r="F175" s="5" t="inlineStr"/>
      <c r="G175" s="5" t="inlineStr"/>
      <c r="H175" s="5" t="inlineStr"/>
      <c r="I175" s="5" t="inlineStr"/>
      <c r="J175" s="5" t="inlineStr"/>
    </row>
    <row r="176" ht="20" customHeight="1">
      <c r="A176" s="5" t="inlineStr">
        <is>
          <t>北海道</t>
        </is>
      </c>
      <c r="B176" s="4">
        <f>COUNTIF(G5:G162,"北海道")</f>
        <v/>
      </c>
      <c r="C176" s="5" t="inlineStr"/>
      <c r="D176" s="5" t="inlineStr"/>
      <c r="E176" s="5" t="inlineStr"/>
      <c r="F176" s="5" t="inlineStr"/>
      <c r="G176" s="5" t="inlineStr"/>
      <c r="H176" s="5" t="inlineStr"/>
      <c r="I176" s="5" t="inlineStr"/>
      <c r="J176" s="5" t="inlineStr"/>
    </row>
    <row r="178" ht="28" customHeight="1">
      <c r="A17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78:J178"/>
    <mergeCell ref="A2:J2"/>
  </mergeCells>
  <conditionalFormatting sqref="H5:H16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6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（928段落145表36図）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第10期計画_サービス見込量の算定_第1次概算.xlsx（18シート）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 第1次概算（令和8年9月16日）まで作成済み。第1次概算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実物から数えている（固定値で書かない）。</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（928段落145表36図）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第2章第4節（高齢者の生活実態）に反映した（4段落・表1→30段落・表8）。集計値は data_survey_jages.py に収め、個票は収録していない。地区の定義（小学校区とするか）は［要確認］のまま残している（確認No.9）。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令和8年9月25日】令和7年度の広域連合単位のファイルの再提供を受け、確認事項No.87（3町合計との差129,580,267円）が決着した。同日、令和8年8月審査分の利用状況統計表（3町・各9頁）と訪問系サービス6区分の明細を受領した。統計表は町別・サービス種類別・要介護度別に利用実人員・回数・単位数・費用総額・介護給付費を掲げており、月次の給付費として用いられる見通しである（確認事項No.103と一体）。ただし画像であり数値の読み取りに確認を要する。訪問系の明細は氏名・年齢・被保険者番号を含む個票であるため格納せず、集計値のみを用いて作業終了後に廃棄する</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2026-09-25T10:24:02Z</dcterms:created>
  <dcterms:modified xmlns:dcterms="http://purl.org/dc/terms/" xmlns:xsi="http://www.w3.org/2001/XMLSchema-instance" xsi:type="dcterms:W3CDTF">2026-09-25T10:24:04Z</dcterms:modified>
</cp:coreProperties>
</file>