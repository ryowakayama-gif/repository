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業務仕様書「４．業務内容」（1）〜（12）及び「５．業務スケジュール（予定）」に沿って、業務内容別・月別の進捗を管理する。状況基準日：令和8年9月28日。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56" customHeight="1">
      <c r="A23" s="16" t="inlineStr">
        <is>
          <t>【現時点の全体状況（令和8年9月28日）】全体進捗は78％（進捗を数値で表せる10業務の単純平均）。令和8年9月は、サービス見込量の算定 第1次概算を完了して計画素案 第6章に反映し（暫定の月額基準額6,436円）、健康とくらしの調査の結果を第2章第4節に入れ、認知症施策推進計画の位置づけを案Bで確定して4箇所に反映した。年報の要介護度別の明細により調査の結果と保険者の実績を突合し、調査①が在宅の認定者全体を代表しないことを測定した。令和8年9月17日以降は、見込量算定に要する資料と電話照会の進め方、資料を受領できない場合のサービス見込量、社内で作成された素案への加筆版の点検を行い、他のメンバーによる点検のための確認箇所と手順を取りまとめ、社内で作成された全国自治体共通版の見える化入力シート・手順書を点検して当方の算定との整合を確かめた。令和8年9月24日以降は、見える化システムが求める所得段階別第1号被保険者数と令和12・27・32年度の見込量を算定して確認事項No.156・No.157を解消し、外部レビュー3回の指摘29件を検証して是正した（代表KPIの定義・割合の分母・時点の混在を計画素案と報告書でそろえた）。令和8年9月25日には令和7年度の給付費データの再提供により確認事項No.87（3町合計と広域連合単位の差129,580,267円）が決着し、構成3町の地域包括支援センター事業実施報告書により地域支援事業の量・認知症総合支援事業の取組の回数・地域ケア会議の開催回数が一部把握できた。同日、令和8年8月審査分の利用状況統計表と訪問系サービスの明細を受領し、令和8年9月28日の受領点検により審査月8月分の費用総額288,036,749円を確認した。計画素案は928段落143表36図で、未確定箇所は149箇所（要協議114・要確認34・要内訳1）である。確認事項は173件、成果品は128件、ビルドスクリプトは126本（再実行できないもの3本）。第1次概算を止めている確認事項には「決着しない場合の当方の扱い（既定値）」を全件置いており、ご決定がなくても算定は止まらない。発注者・3町からの追加資料がまったく届かない場合でも、第1次概算の値がそのまま計画の値として確定する（算定上の月額6,436円＝保険料基準額6,400円）。直近の工程は、サービス見込量 第2次概算（令和8年10月30日）と予算編成用（令和8年11月13日）である。</t>
        </is>
      </c>
    </row>
    <row r="25" ht="104" customHeight="1">
      <c r="A25" s="16" t="inlineStr">
        <is>
          <t>【業務着手時の状況（令和8年7月29日）】契約上の業務期間は令和8年8月着手であるが、発注者から第9期計画、3町の高齢者福祉計画、業務仕様書、地域包括ケア「見える化」システムのデータ、令和7年度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6">
    <mergeCell ref="A2:F2"/>
    <mergeCell ref="A19:F19"/>
    <mergeCell ref="A1:F1"/>
    <mergeCell ref="A23:F23"/>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0.87</v>
      </c>
      <c r="H5" s="10" t="inlineStr">
        <is>
          <t>R8.10</t>
        </is>
      </c>
      <c r="I5" s="11" t="inlineStr">
        <is>
          <t>基本指針の告示待ち。告示後に最終照合を行う。特別地域加算の対象地域告示の確認が未了（確認No.1）。【令和8年9月16日】共生社会の実現を推進するための認知症基本法（令和5年法律第65号）第13条の名宛人が「市町村」であることを整理し、案B（3町がそれぞれ市町村認知症施策推進計画を策定し、広域連合の計画は介護保険法第117条第3項により認知症施策を掲げる）を採用して計画素案の4箇所に反映した（確認No.130）。法の条文・国の基本計画・北海道の認知症施策推進計画が未受領のため、条番号のみを書き項番号は［要確認］としている（確認No.149）。社会福祉法等の一部を改正する法律（令和8年法律第51号）の7件は第1章第9節2に整理済みで、政令・省令・報酬改定の公表後に再照合する（確認No.89）</t>
        </is>
      </c>
      <c r="J5" s="5" t="inlineStr">
        <is>
          <t>1, 2, 22, 89, 130, 149</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0.96</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令和8年9月16日】給付適正化計画の位置づけを案B（第9期と同じく施策として置き、施策名のかっこ書きで第7期給付適正化計画であることを示す）で確定し、計画素案 第1章第2節・第5章 基本目標5（3）・資料5に反映した。主要3事業の毎年度の定量目標も同項に表として掲げた。認知症対応型通所介護は第9期の計画値が0であったため対計画比が算出されず評価から漏れていたことを確認した（第10期は1.05人／月を算定済み）。残るのは第9期計画の本文（電子データ）の受領（確認No.90）と令和6〜8年度の施策・事業実績（確認No.5）である</t>
        </is>
      </c>
      <c r="J6" s="5" t="inlineStr">
        <is>
          <t>5, 6, 7, 23, 32, 34, 37, 38, 90</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0.99</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令和8年9月11日】年報（令和7年度）の要介護度別の明細を収めたことにより、調査の結果と保険者の実績の突合が初めて可能になった（調査結果と年報実績の突合クロス集計 10シート）。調査①の要介護度分布は在宅の認定者の分布と食い違い（χ²＝43.5、自由度6。1％点16.81）、調査①が在宅の認定者全体を代表しないことを測定した（確認No.140）。従前の「課題のある利用者を抽出する設計である」という定性的な留保が、偏りの大きさと向きを伴う測定値になった。施設の側から数えた在籍者と保険者の側から数えた受給者は数える対象が異なるため一致せず、介護老人保健施設だけが在籍206人＞受給134.1人／月である（確認No.141）。区域内の施設の定員は必要利用定員総数の上限ではない。【令和8年9月15日】健康とくらしの調査（4,729票）の結果を計画素案 第2章第4節に反映した（4段落・表1→30段落・表8）。集計値は data_survey_jages.py に収め、個票は収録していない。【令和8年9月17日】アンケート調査の集計分析報告書を再点検し、10シートの見込量が将来推計 第2段階のままで計画素案 第6章（第1次概算）と食い違っていたものを是正した（施設 R11 339人→352.3人／月、居住系 145人→149.4人／月）。報告書が算定スクリプトを runpy で読む形とし、同じ数値が2つの成果品に別々に書かれない構造に改めた。確認No.140（χ²＝43.5）・No.141（在籍≠受給）を報告書の留保一覧と課題整理に収め、14シートに「測定済み」の区分を新設した。12シートの計画素案への反映状況を、素案の実物を章節ごとに読んで判定する形に改めた（反映済5・着手可6・決定待ち9）。【令和8年9月24日】令和8年9月の業務報告としてアンケート調査の分析 令和8年9月業務報告（Word・全11節）を作成した。あわせて、点検事項の取扱いの決定を要しない所見6件を計画素案へ反映した（第1章第7節の通常の事業の実施地域、第2章第3節の運営法人の集中、第6章第4節の区域内の入居状況と受給者数、第6章第5節の入所の経路）。所見20件のうち反映済み11件・決定待ち9件となり、点検事項の決定を要しないものはすべて反映した。特定施設入居者生活介護は区域内3施設とも入居率が高い（98.3％と97.0％。合計の98.7％は時点が異なる参考値）である一方、当広域連合の被保険者の受給者数は61.5人／月（定員の39.4％）であり、定員に対する割合が低いことは区域内に空きがあることを意味しないことを第6章第4節に明記した。件数・留保・所見は集計分析報告書の実物から読み、見込量は見込量算定（第1次概算）を読むため計画素案 第6章と同じ値になる。あわせて社内チェック用にアンケート分析 点検箇所と手順（Word・全10節）を作成し、点検を3層（機械で確かめる・数値の出所を辿る・記述の当否）に分けたうえで、特に見る箇所7件とこの作業で実際に起きた誤り7件を掲げた。残るのは点検事項の重大6件の取扱いの決定（確認No.8）である</t>
        </is>
      </c>
      <c r="J7" s="5" t="inlineStr">
        <is>
          <t>3, 4, 8, 9, 10, 27, 28, 139, 140, 141</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0.99</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令和8年9月15〜16日】「現状の資料で算定できる限界まで算定を進め、資料回収が難しいものは過年度数値据え置き」とのご指示により、サービス見込量の算定 第1次概算を完了した（18シート・自己点検22件）。伸びを一律から要介護度別に改め、利用回（日）数の見込み（法第117条第2項第1号。確認No.131）、地域支援事業の量の見込み（同項第2号。確認No.112）、中長期推計 令和17年度・令和22年度（確認No.114）、令和9年4月新設の3区分（確認No.115）、要介護度別の給付費、在宅と施設の連鎖、供給の制約（定員上限。確認No.116）、報酬改定率の感度まで算定した。総給付費（3か年計）9,031,900,444円、算定上の月額基準額6,436円である。基準年度の給付費2,915,307,125円は見える化の総括表と円単位で一致する。資料が回収できない23件は据え置きとし、月額への効きとともに掲げた（100円以上動かし得るもの3件・安全側の既定値3件）。残るのは前提の決定（第2次概算 令和8年10月30日）であり、効きが最も大きいのは1人1月あたり給付費の実績値の年度（確認No.137。月額＋185〜＋374円）である。【令和8年9月17日】据え置き23件を出どころで3つに分けた（資料を受領できない場合のサービス見込量）。区分A4件は受託者の側で確定でき資料を要しない。区分B15件は発注者・3町の資料待ちであるが、届かなければ据え置きのまま確定し算定は止まらない。区分C4件は国の告示・公布を待つもので「受領できない」では済まない（報酬改定率・第1号被保険者負担割合・所得段階の政令改正・令和9年4月新設の3区分）。算定上の月額6,436円を百円未満四捨五入した保険料基準額は6,400円で、第9期と同額の据え置きとなる。ただしこの値は単価を令和7年度で固定しており、上向きの要素（単価の趨勢＋185〜＋374円、報酬改定率3％で＋182円、第1号負担割合1ポイントで約＋290円）を織り込んでいないため据え置き前提の下限に近い。【令和8年9月18日】見える化システムの将来推計へ入力する令和9年度以降の見込量の値を、要介護度別・入力欄の桁に合わせて用意した（見える化 見込量の入力値（暫定））。利用者数は整数、利用回（日）数は小数第1位で、要支援の群・要介護の群ごとに合計を保つ最大剰余法により配分している。単純に四捨五入すると定期巡回・随時対応型訪問介護看護（月0.58人）のような小口のサービスが0になり、令和9年度以降も0のまま残るためである。本表の値は必要資料が未受領であることによる暫定値であり、その旨を各シートの表題・注記・印刷のフッターに明記している。入力の前に選ぶ設定（総人口の設定・確認No.127、令和8年度の実績見込み値の編集・確認No.128、伸びの選択・確認No.129、1人1月あたり給付費の年度・確認No.137）のご判断を要する。社内で作成された全国自治体共通版の入力シート（615項目）と入力手順書を点検し、当方の算定との整合を確かめた。⑤保険料推計の算式は当方の保険料算定式と等価で、当方の値を入れると算定上の月額6,436円を小数第4位まで再現する。615項目のうち当方の算定で埋まるのは137件で、151件が資料待ち、140件がご判断・未算定である。見える化システムが求める8年度のうち令和12・27・32年度の99項目は当方が未算定であるが、人口の基礎は令和32年度まであるため算定を広げられる（確認No.157）。所得段階別第1号被保険者数の将来8年度分も未算定である（確認No.156）</t>
        </is>
      </c>
      <c r="J9" s="5" t="inlineStr">
        <is>
          <t>14, 15, 16, 29, 30, 31, 33, 36, 100, 101, 112, 114, 115, 116, 127, 128, 129, 137, 146, 156, 157</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計画素案（928段落143表36図）
修正指示書（66件）</t>
        </is>
      </c>
      <c r="F10" s="10" t="inlineStr">
        <is>
          <t>実施中</t>
        </is>
      </c>
      <c r="G10" s="17" t="n">
        <v>0.97</v>
      </c>
      <c r="H10" s="10" t="inlineStr">
        <is>
          <t>R9.2</t>
        </is>
      </c>
      <c r="I10" s="11" t="inlineStr">
        <is>
          <t>骨子案を作成した（令和8年8月）。概要版は未着手。3町の第10期計画に共通指標を掲載する合意が未了（確認No.17）。【令和8年9月15日】計画素案 第2章第4節（高齢者の生活実態）に健康とくらしの調査の結果を入れた（4段落・表1→30段落・表8）。記述が入っていなかった3節のうち1節が埋まった。【令和8年9月16日】第6章の見込量・給付費・保険料を見える化システムの自然体推計値から当方の算定に差し替えた（暫定の月額基準額 6,740円→6,436円）。build_plan_draft.py が算定スクリプトを runpy で読む形とし、第6章の数値を固定値で書き写さないようにした。第6章第2節に利用回（日）数の表を新設し介護予防給付を要支援1・2の内訳で掲げ、第6章第3節に地域支援事業の量の見込みを加え、第6章第6節の保険料算定表の記号A〜Jに年度別の額を入れた。認知症施策を案Bで4箇所に反映した。素案は806段落130表36図から928段落143表36図となった。残る未確定箇所は149箇所（要協議114・要確認34・要内訳1）で、うち58箇所（43％）が第6章第4節（施設の見込み）に集中しており、日常生活圏域と必要利用定員総数（確認No.88）の決定によって解消する。【令和8年9月17日】社内で計画素案に図と注記を加えた版を受領し点検した。加筆の土台は令和8年9月10日の素案（806段落130表36図）であり、そのまま差し替えると9月15日・16日の反映が失われる（第6章の保険料が6,740円のまま、見込量の表頭が「R8実績」のままとなる）。加筆はすべて第2章第1節への挿入で削除はなく、町別の人口ピラミッドは第9期計画になく加える値打ちがあるため、差し替えではなく加筆分を最新版へ移す手順を8段階で示した（確認No.154）。加筆に付されている「※（案）」の注記15件は作業上のやり取りであり、計画素案の本文に確認事項を書かない方針により本文には置かず、確認事項・資料提供依頼として登録する。【令和8年9月24日】アンケート調査の所見のうち取扱いの決定を要しない6件を反映した（第1章第7節の通常の事業の実施地域、第2章第3節の運営法人の集中、第6章第4節の区域内の入居状況と当連合の被保険者の受給者数、第6章第5節の入所の経路）。【令和8年9月25日】代表KPI16項目の名称・定義・算式・基準値を1か所にまとめ、第5章第3節・各基本目標の達成目標・資料1が同じ定義を掲げる形に改めた。在宅生活改善調査による基準値の分母を設問ごとの有効回答に改め（在宅生活の維持の見通し73.5％・区域内で提供できないサービスが必要と判断された利用者の割合20.2％）、通いの場参加率を第5章 基本目標2でも令和6年度3.53％に統一した。第2章第2節5の町別の給付費の注を、3町のファイルの合計と広域連合単位のファイルが要介護度ごとに一致することに改めた（確認No.87の決着）。第5章 基本目標2に認知症初期集中支援推進事業の実施状況を加えた（構成3町が担当チームを設置しているが、令和7年度は美瑛町が対応件数0件で医師を確保できず休止している）。概要版は未着手</t>
        </is>
      </c>
      <c r="J10" s="5" t="inlineStr">
        <is>
          <t>17, 18, 24, 25, 88, 112, 114, 131, 154</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0.98</v>
      </c>
      <c r="H11" s="10" t="inlineStr">
        <is>
          <t>R9.3</t>
        </is>
      </c>
      <c r="I11" s="11" t="inlineStr">
        <is>
          <t>修正指示66件のうち反映済み57件、照会・資料待ち4件、別成果物で対応5件。3町との協議は令和8年10月以降。【令和8年9月16日】確認事項が153件となった。第1次概算を止めている確認事項に「決着しない場合の当方の扱い（既定値）」を全件置き、ご決定がなくても算定が止まらないようにした（計画素案の課題整理 9シート）。確認事項が本表（業務工程管理表）と計画素案の別管理表の2つに分かれており、同じ問いを二重に管理しているものが8件あることを整理した。台帳は1つに減らさず、本表を正として別管理表に対応するNo.を注記する（確認No.143）。【令和8年9月17日】見込量算定に要する資料の一覧・届かない場合の既定値・電話で照会する際の言い方の例を1冊にまとめた。確認No.87（令和7年度の給付費データの差）は、令和7年度のみ3町計が広域連合を129,580,267円（4.20％）上回り、令和6年度・令和8年度は円単位で一致する状態であった。照会は「どの条件で抽出したものか」を伺う形とし、他町の名称は挙げない。本件は保険料の算定には影響しない（保険料は特別会計の決算額による）。【令和8年9月18日】他のメンバーによる点検をお願いするため、確認箇所と手順を取りまとめた（チェック依頼 確認箇所と手順）。同日、社内で作成された全国自治体共通版の入力シート・手順書を点検し、本件に当てはめるときの手当て13件を示した。担当者名・連絡先を求める欄が発注者指示と衝突するため、記入枠とするか欄を落とす扱いをお諮りしている（確認No.155）。【令和8年9月25日】確認No.87（令和7年度の給付費データの差）が決着した。令和7年度の広域連合単位のファイルの再提供を受け、要支援1から要介護5までの全7区分で3町合計と円単位で一致した。従前のファイルもその明細を集計すると同じ額になるため、差は抽出条件の違いではなく表が明細と一致していなかったことによる。これにより令和8年度の単価の残差も＋1.63％の単一の値に定まった（従前は分母の採り方により＋1.63％から＋5.90％の幅があるとしていた）。構成3町の地域包括支援センター事業実施報告書により、地域支援事業の量（確認No.112）・認知症総合支援事業の取組の回数（確認No.150）・地域ケア会議の開催回数（確認No.118〜No.122）が一部解決した。確認No.156・No.157は当方で算定して解消し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No.103と一体）。訪問系の明細は氏名・年齢・被保険者番号を含む個票であるため格納せず、集計値のみを用いて作業終了後に廃棄する。【令和8年9月28日】利用状況統計表の受領点検を終えた。審査月8月分の費用総額288,036,749円・介護給付費258,821,513円で、令和7年度の同じ審査月（269,678,563円）を6.81％上回る。町別・要介護度別の構成比は令和8年度4〜7月と2ポイント以内で一致し、訪問入浴介護の単位数は同じ回に受領した明細の集計と一致する。ただし令和8年度は給付費が審査月4〜8月の5か月、数量（月報）が4〜7月の4か月で月数がそろわないため、単価の残差の算定は当面4か月のままとし、令和8年8月分の月報のご提供を待って改める（確認No.136と一体）</t>
        </is>
      </c>
      <c r="J11" s="5" t="inlineStr">
        <is>
          <t>87, 103, 112, 118, 136, 143, 150, 154, 155, 156, 157</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0.8</v>
      </c>
      <c r="H14" s="10" t="inlineStr">
        <is>
          <t>R9.3</t>
        </is>
      </c>
      <c r="I14" s="11" t="inlineStr">
        <is>
          <t>電子データは作成中。印刷・製本は令和9年3月。本文100頁程度に対する章別のページ配分が未確定（確認No.21）。【令和8年9月15〜18日】成果品は128件となった。9月に加えたものは、サービス見込量の算定 第1次概算（18シート）、調査結果と年報実績の突合クロス集計（10シート）、計画素案の課題整理（9シート）、管理の統合と成果品の棚卸し（9シート）、入力前段支援アプリの点検（8シート）、認知症施策推進計画の位置づけと見込量への反映（10シート）、社内作業ファイルの点検（12シート）、見込量算定に要する資料と電話照会の進め方（Word）、資料を受領できない場合のサービス見込量（Word）、計画素案への加筆版の点検（9シート）、チェック依頼 確認箇所と手順（Word）、見える化 見込量の入力値（暫定。11シート）、見える化入力マニュアルの点検と整合確認（12シート）である。棚卸しにより、ビルドスクリプト126本のうち再実行できないものは3本であり、成果品の登録漏れ・実体なしがいずれも0件であることを確認した（確認No.144）。【令和8年9月24〜25日】所得段階別の将来推計（5シート）、令和8年9月25日受領資料の受領点検（12シート）、アンケート調査の分析 令和8年9月業務報告（Word）、アンケート分析 点検箇所と手順（Word）を加えた。あわせて自己点検を持たない成果品をなくした（アンケート調査の集計分析報告書12件・実施済み調査 結果報告書10件を新設、令和8年9月業務報告は40件）。発注者へ送付する成果品に当方の内部の仕組み・作業経過の語が残っていないことを機械で確かめる点検も加えた。紙面の点検により、令和8年9月業務報告15ページ・実施済み調査 結果報告書51ページのいずれも紙面をまたぐ表が0件であることを確かめた。10月工程の地域課題整理資料・3町協議資料に当たる「10月 地域課題の整理と3町協議の確認事項」（11シート）も加えた。保険者機能強化推進交付金等の市町村分の評価指標について、大項目53件・明細列299件の配点と構成3町の3か年の得点を対応させた一覧を Excel と PDF（全21ページ）で作成した。【令和8年9月28日】令和8年8月審査分の利用状況統計表の受領点検（10シート）を加えた。審査月単位・町別・サービス種類41区分・要介護度別に、利用実人員・回数・単位数・費用総額・介護給付費を確認した（費用総額288,036,749円、うち介護給付費258,821,513円）。受領物が画像の写しであるため、要介護度別の和が「計」に一致すること（738件）と小計の行が内訳の和に一致すること（66件）を全区分で確かめ、合わない箇所は画像を拡大して確かめて是正した（36か所）。自己点検17件</t>
        </is>
      </c>
      <c r="J14" s="5" t="inlineStr">
        <is>
          <t>21, 103, 136, 144</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
・サービス見込量 第1次概算（9月26日）</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結果報告書（Word・51表39図）を作成した。4調査横断のクロス集計は発注者のご意向により行わない。令和8年9月11日、年報の要介護度別の明細により調査の結果と保険者の実績を突合し（突合クロス集計 10シート）、調査①が在宅の認定者全体を代表しないことをχ²＝43.5（自由度6。1％点16.81）として測定した（確認事項No.140）。令和8年9月15日、健康とくらしの調査の結果を計画素案 第2章第4節に反映した（4段落・表1→30段落・表8）。令和8年9月15〜16日、サービス見込量の算定 第1次概算を完了し（18シート・自己点検22件。算定上の月額基準額6,436円）、計画素案 第6章第1〜3節・第6節に反映した。令和8年9月17日、アンケート調査の集計分析報告書の見込量が計画素案 第6章と食い違っていたものを是正し、算定スクリプトを runpy で読む形として同じ数値が2か所に別々に書かれない構造に改めた。同日、資料を受領できない場合のサービス見込量を整理し、据え置き23件を区分A（受託者で確定・4件）・区分B（発注者と3町の資料待ち・15件）・区分C（国の告示待ち・4件）に分けた。令和8年9月24日、見える化システムが求める所得段階別第1号被保険者数（16段階・確認事項No.156）と令和12・27・32年度の見込量・給付費（確認事項No.157）を算定し、両確認事項を解消した。中長期の年次を広げたことにより、地域密着型介護老人福祉施設が定員62人に達するのは令和17年度ではなく令和12年度であることが分かった。同日、令和8年9月のアンケート分析について業務報告（Word）を作成した（再レビューにより全11節・表16に改めた）。令和8年9月25日、令和7年度の給付費データ（広域連合単位）の再提供と、構成3町の地域包括支援センター事業実施報告書（令和7年度）・実施計画書（令和8年度）を受領した。確認事項No.87（令和7年度の給付費の差129,580,267円）は要介護度別まで円単位で一致して決着し、地域支援事業の量（確認事項No.112）・認知症総合支援事業の取組の回数（確認事項No.150）・地域ケア会議の開催回数（確認事項No.118〜No.122）が一部解決した。同日、外部レビュー3回の指摘29件を検証して是正し、代表KPIの定義・割合の分母・時点の混在を計画素案と報告書でそろえた。同日、令和8年8月審査分の利用状況統計表（3町・各9頁）と訪問系サービスの明細を受領した。従前は月報に給付費が含まれないため月次の給付費がないとしていたが、本資料により1か月分の町別・サービス別・要介護度別の給付費を確認できるようになった（確認事項No.103と一体）。令和8年9月28日に受領点検を終え、審査月8月分の費用総額288,036,749円・介護給付費258,821,513円を確認した。訪問系の明細は氏名・年齢・被保険者番号を含む個票であるため格納せず、集計値のみを用いて作業終了後に廃棄する。介護給付実績分析・現状分析は見える化データにより先行実施済み（妥当性検証報告書・図表集）。人口推計は総合戦略ベース（案C）で第1〜第3段階まで算定済み</t>
        </is>
      </c>
      <c r="F6" s="8" t="inlineStr">
        <is>
          <t>実施中</t>
        </is>
      </c>
      <c r="G6" s="10" t="inlineStr"/>
      <c r="H6" s="10" t="inlineStr"/>
      <c r="I6" s="11" t="inlineStr"/>
      <c r="J6" s="5" t="inlineStr">
        <is>
          <t>第1次概算は9月26日に提示できる状態にある。同概算を止めている確認事項21件には「決着しない場合の当方の扱い（既定値）」を全件置いており、ご決定がなくても算定は止まらない。残るのは点検事項の重大6件の取扱い（確認事項No.8）で、この1件の決定により調査の確定値化と成果品の更新が動く</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令和8年9月28日】地域課題整理資料と3町協議資料を「10月 地域課題の整理と3町協議の確認事項」（11シート）として作成した。地域課題15件を根拠となる数値・出所・計画本文の反映先と対にして掲げ、町ごとの確認事項と3町共通の確認事項を一覧にした。町ごとの論点9件を確認事項No.159からNo.167として起票した。認知症基本法第13条の市町村認知症施策推進計画（案B）については、保険者機能強化推進交付金等の認知症総合支援（支援 目標Ⅱ）の町別評価を踏まえ、各町で決めていただく事項を掲げた（令和8年度 東川町33点・美瑛町19点・東神楽町37点）。併せて交付金の評価結果を1冊に取りまとめ、「交付金評価の取りまとめと第10期への反映」（12シート）とした。3町の得点は3か年ほぼ横ばいである一方、全国平均が32.5点上がったため全国での位置は下がっている（東川町15.0％→6.7％・美瑛町14.3％→6.0％・東神楽町28.3％→20.5％）。全国の多くの市町村が得点しているのに3町とも0点である明細列38件を17の大項目に束ね、可4・条件付き12・現時点では不可1と判定した。確認事項No.168・No.169を起票した</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を改訂しながら作成を進めている。見込量・給付費・保険料は令和8年9月16日に第1次概算の値を第6章に反映済みであり（暫定の月額基準額6,436円）、第2次概算（10月30日）及び前提の決定により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9月28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令和8年9月16日、検討資料「認知症施策推進計画の位置づけと見込量への反映」（10シート）を作成した。①はご了承により案Bを採用し、計画素案 第1章第2節・第1章第8節・資料2・第5章 基本目標2に反映済みである（令和8年9月16日）。案Bは、構成3町がそれぞれ市町村認知症施策推進計画を策定し、広域連合の計画は介護保険法第117条第3項の任意記載事項として認知症施策を掲げるものである。②③は決着していない。②は交付金評価が市町村単位で3町の得点が開いている（令和8年度 東川33・美瑛19・東神楽37点）ことを整理した。③は手元に意見を聴いた資料がないことを確かめ、聴取の方法3案と時期（方針決定は令和8年9月中）を示した。諮る資料であり素案には入れていない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令和8年9月16日、第1次概算の結果を第6章第2節・第3節に反映し、①利用回（日）数を（4）として、③総合事業及び一般介護予防事業の量の見込みを第3節2として掲げた。②必要利用定員総数の第2節への再掲は行っていない。掲げ方の可否をご確認いただきたい</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将来推計の参考シートの認定率が総括表の認定率と一致しないこと</t>
        </is>
      </c>
      <c r="E11" s="5" t="inlineStr">
        <is>
          <t>令和8年9月16日の点検により、当初の見立て（差は分子に第2号被保険者の認定者を含むかによる）を改めた。①当方の認定率21.8％（令和7年度）は年報様式1の5の第1号被保険者の認定者1,984人を年報の第1号被保険者数（年度末）9,090人で除したものであり、分子に第2号被保険者の認定者36人を含んでいない。②見える化システムの総括表にも要介護認定率の行があり、令和7年度21.307161％である。これは総括表の要介護認定者数1,943人を第1号被保険者数9,119人で除した値と小数第6位まで一致する。分子1,943人は年報の第1号1,984人と2.1％の差であり、総数2,020人とは3.8％の差である。分子は第1号被保険者の認定者とみるのが自然である。そうであれば当方と総括表は同じ定義であり、差は時点（総括表は各年9月末、当方は年度末）による。③一方、将来推計の推計方法を設定するための参考シートの認定率は令和7年度20.84％であり、総括表の21.31％と一致しない。令和3年度から令和7年度までの5か年とも比が0.977〜0.982である。差を分子の違いとみると35〜44人、分母の違いとみると逆算した分母が9,426人から9,323人へ年25人ずつ滑らかに減る系列になる。当方ではどちらとも決められない。④この3つ目の率が何であるか（性・年齢階級別に推計した認定率を全体に戻したものか、分子から第2号被保険者の認定者を除いたものか、ほか）をご確認いただきたい。⑤計画に掲げる認定率は、当方の定義（第1号のみ・年度末）で統一してよいかをご判断いただきたい。</t>
        </is>
      </c>
      <c r="F11" s="5" t="inlineStr">
        <is>
          <t>計画素案 第2章第1節3・第6章第1節
将来推計 第1段階・第2段階</t>
        </is>
      </c>
      <c r="G11" s="5" t="inlineStr">
        <is>
          <t>発注者</t>
        </is>
      </c>
      <c r="H11" s="10" t="inlineStr">
        <is>
          <t>確認待ち</t>
        </is>
      </c>
      <c r="I11" s="10" t="inlineStr">
        <is>
          <t>R8.10</t>
        </is>
      </c>
      <c r="J11" s="11" t="inlineStr">
        <is>
          <t>見える化の推計設定の受領点検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127</v>
      </c>
      <c r="B13" s="4" t="inlineStr">
        <is>
          <t>(5)</t>
        </is>
      </c>
      <c r="C13" s="4" t="inlineStr">
        <is>
          <t>R8.9</t>
        </is>
      </c>
      <c r="D13" s="5" t="inlineStr">
        <is>
          <t>見える化システムの総人口の設定を案Cに改めるか</t>
        </is>
      </c>
      <c r="E13" s="5" t="inlineStr">
        <is>
          <t>「実績及び推計方法の設定」の「総人口と被保険者数の設定」は「初期設定済です」と表示されており、国立社会保障・人口問題研究所「日本の地域別将来推計人口（令和5（2023）年推計）」が初期値として登録されている。当方は令和8年9月10日のご了承により案C（総人口＝地方創生総合戦略、年齢階級別＝住民基本台帳の実績趨勢）を採っており、3町計 令和11年度の65歳以上は案C 9,213人・見える化A系列（社人研）9,313人で100人の差がある。システムの設定を案Cに改めないと、計画本文の人口とシステムの推計が食い違う。設定を改めてよいか、また補正値の入力を当方で用意してよいかご判断いただきたい。決着しない場合は、計画本文は案Cのままとし、システムの推計は参考値として扱う。</t>
        </is>
      </c>
      <c r="F13" s="5" t="inlineStr">
        <is>
          <t>将来推計 第1段階
計画素案 第2章第1節・第6章第1節</t>
        </is>
      </c>
      <c r="G13" s="5" t="inlineStr">
        <is>
          <t>発注者</t>
        </is>
      </c>
      <c r="H13" s="10" t="inlineStr">
        <is>
          <t>確認待ち</t>
        </is>
      </c>
      <c r="I13" s="10" t="inlineStr">
        <is>
          <t>R8.10</t>
        </is>
      </c>
      <c r="J13" s="11" t="inlineStr">
        <is>
          <t>見える化の推計設定の受領点検 06シート</t>
        </is>
      </c>
    </row>
    <row r="14" ht="88" customHeight="1">
      <c r="A14" s="4" t="n">
        <v>128</v>
      </c>
      <c r="B14" s="4" t="inlineStr">
        <is>
          <t>(5)</t>
        </is>
      </c>
      <c r="C14" s="4" t="inlineStr">
        <is>
          <t>R8.9</t>
        </is>
      </c>
      <c r="D14" s="5" t="inlineStr">
        <is>
          <t>令和8年度の実績見込み値を編集するか</t>
        </is>
      </c>
      <c r="E14" s="5" t="inlineStr">
        <is>
          <t>「推計方法の設定」では、施設・居住系サービス及び在宅サービスの令和8年度の実績見込み値について「編集しない場合は令和8年度の介護保険事業状況報告月報の値から計算した実績見込み値（計算値）を使用します」とされており、現在は編集していない。令和8年度は令和8年4月から7月までの4か月であり、当方は数量の基準年度を令和7年度のみとしている。また在宅サービスは冬季が夏季より2.48％低いため、4月から7月までの値は夏季に偏る。①実績見込み値を編集して令和7年度の月平均に置き換えるか、②月報からの計算値のままとするかをご判断いただきたい。①を採る場合の入力値は年報（令和7年度）の要介護度別の明細により算定済みである（認定者数・施設居住系・在宅の利用者数・在宅の利用回（日）数の4項目）。決着しない場合は、当方の算定は年報の令和7年度によるため見込量に影響はなく、システムの出力との差として残る。</t>
        </is>
      </c>
      <c r="F14" s="5" t="inlineStr">
        <is>
          <t>将来推計 第2段階
サービス見込量 第1次概算</t>
        </is>
      </c>
      <c r="G14" s="5" t="inlineStr">
        <is>
          <t>発注者</t>
        </is>
      </c>
      <c r="H14" s="10" t="inlineStr">
        <is>
          <t>確認待ち</t>
        </is>
      </c>
      <c r="I14" s="10" t="inlineStr">
        <is>
          <t>R8.10</t>
        </is>
      </c>
      <c r="J14" s="11" t="inlineStr">
        <is>
          <t>令和8年度の実績見込み値の入力案（15シート）</t>
        </is>
      </c>
    </row>
    <row r="15" ht="88" customHeight="1">
      <c r="A15" s="4" t="n">
        <v>129</v>
      </c>
      <c r="B15" s="4" t="inlineStr">
        <is>
          <t>(5)</t>
        </is>
      </c>
      <c r="C15" s="4" t="inlineStr">
        <is>
          <t>R8.9</t>
        </is>
      </c>
      <c r="D15" s="5" t="inlineStr">
        <is>
          <t>見える化システムの利用率等の伸びの選択</t>
        </is>
      </c>
      <c r="E15" s="5" t="inlineStr">
        <is>
          <t>「推計方法の設定」の伸びの選択は、施設・居住系サービスの利用率等の伸び、在宅サービス利用者数の利用率の伸び、在宅サービス1人1月あたり利用回（日）数の伸びの3つとも「0（ゼロ）」である。画面の選択肢は①令和3年度→令和8年度・②令和7年度→令和8年度・③令和6年度→令和8年度・④令和6年度→令和7年度の4つであり、①から③は令和8年度（4か月）を含むため、令和8年度を含まない④が当方の整理に合う。ただし1年分の伸びを延長することになる。なお①の伸びは施設・居住系の3サービスとも0.0％であり、施設・居住系については伸びを0と置いても大きくは変わらない。在宅は居宅療養管理指導が令和3年度4.97％から令和8年度14.22％へ2.9倍になっており、扱いが異なる。決着しない場合は④を選ぶ。</t>
        </is>
      </c>
      <c r="F15" s="5" t="inlineStr">
        <is>
          <t>将来推計 第2段階
サービス見込量 第1次概算</t>
        </is>
      </c>
      <c r="G15" s="5" t="inlineStr">
        <is>
          <t>発注者</t>
        </is>
      </c>
      <c r="H15" s="10" t="inlineStr">
        <is>
          <t>確認待ち</t>
        </is>
      </c>
      <c r="I15" s="10" t="inlineStr">
        <is>
          <t>R8.10</t>
        </is>
      </c>
      <c r="J15" s="11" t="inlineStr">
        <is>
          <t>見える化の推計設定の受領点検 06シート</t>
        </is>
      </c>
    </row>
    <row r="16" ht="88" customHeight="1">
      <c r="A16" s="4" t="n">
        <v>118</v>
      </c>
      <c r="B16" s="4" t="inlineStr">
        <is>
          <t>(2)(6)</t>
        </is>
      </c>
      <c r="C16" s="4" t="inlineStr">
        <is>
          <t>R8.9</t>
        </is>
      </c>
      <c r="D16" s="5" t="inlineStr">
        <is>
          <t>施策2-5の代表KPIを「施策化への転換率」とするか</t>
        </is>
      </c>
      <c r="E16"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6" s="5" t="inlineStr">
        <is>
          <t>計画素案 第5章 基本目標2
第9期評価（施策2-5）</t>
        </is>
      </c>
      <c r="G16" s="5" t="inlineStr">
        <is>
          <t>発注者</t>
        </is>
      </c>
      <c r="H16" s="10" t="inlineStr">
        <is>
          <t>確認待ち</t>
        </is>
      </c>
      <c r="I16" s="10" t="inlineStr">
        <is>
          <t>R8.10</t>
        </is>
      </c>
      <c r="J16" s="11" t="inlineStr">
        <is>
          <t>地域ケア会議の受領点検とKPI設計案 04シート</t>
        </is>
      </c>
    </row>
    <row r="17" ht="88" customHeight="1">
      <c r="A17" s="4" t="n">
        <v>119</v>
      </c>
      <c r="B17" s="4" t="inlineStr">
        <is>
          <t>(2)(6)</t>
        </is>
      </c>
      <c r="C17" s="4" t="inlineStr">
        <is>
          <t>R8.9</t>
        </is>
      </c>
      <c r="D17" s="5" t="inlineStr">
        <is>
          <t>地域ケア会議の3町共通の記録様式を整えてよいか</t>
        </is>
      </c>
      <c r="E17"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7" s="5" t="inlineStr">
        <is>
          <t>計画素案 第5章 基本目標2</t>
        </is>
      </c>
      <c r="G17" s="5" t="inlineStr">
        <is>
          <t>発注者・3町</t>
        </is>
      </c>
      <c r="H17" s="10" t="inlineStr">
        <is>
          <t>確認待ち</t>
        </is>
      </c>
      <c r="I17" s="10" t="inlineStr">
        <is>
          <t>R8.10</t>
        </is>
      </c>
      <c r="J17" s="11" t="inlineStr">
        <is>
          <t>地域ケア会議の受領点検とKPI設計案 05シート</t>
        </is>
      </c>
    </row>
    <row r="18" ht="88" customHeight="1">
      <c r="A18" s="4" t="n">
        <v>120</v>
      </c>
      <c r="B18" s="4" t="inlineStr">
        <is>
          <t>(2)(6)</t>
        </is>
      </c>
      <c r="C18" s="4" t="inlineStr">
        <is>
          <t>R8.9</t>
        </is>
      </c>
      <c r="D18" s="5" t="inlineStr">
        <is>
          <t>地域ケア個別会議と地域ケア推進会議を分けて計数するか</t>
        </is>
      </c>
      <c r="E18"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8" s="5" t="inlineStr">
        <is>
          <t>計画素案 第5章 基本目標2・第6章第4節4</t>
        </is>
      </c>
      <c r="G18" s="5" t="inlineStr">
        <is>
          <t>発注者・3町</t>
        </is>
      </c>
      <c r="H18" s="10" t="inlineStr">
        <is>
          <t>確認待ち</t>
        </is>
      </c>
      <c r="I18" s="10" t="inlineStr">
        <is>
          <t>R8.10</t>
        </is>
      </c>
      <c r="J18" s="11" t="inlineStr">
        <is>
          <t>地域ケア会議の受領点検とKPI設計案 02・06シート</t>
        </is>
      </c>
    </row>
    <row r="19" ht="88" customHeight="1">
      <c r="A19" s="4" t="n">
        <v>121</v>
      </c>
      <c r="B19" s="4" t="inlineStr">
        <is>
          <t>(2)</t>
        </is>
      </c>
      <c r="C19" s="4" t="inlineStr">
        <is>
          <t>R8.9</t>
        </is>
      </c>
      <c r="D19" s="5" t="inlineStr">
        <is>
          <t>3町の地域ケア会議の実績（令和6〜8年度）のご提供</t>
        </is>
      </c>
      <c r="E19"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9" s="5" t="inlineStr">
        <is>
          <t>計画素案 第5章 基本目標2
第9期評価（施策2-5）</t>
        </is>
      </c>
      <c r="G19" s="5" t="inlineStr">
        <is>
          <t>3町</t>
        </is>
      </c>
      <c r="H19" s="10" t="inlineStr">
        <is>
          <t>確認待ち</t>
        </is>
      </c>
      <c r="I19" s="10" t="inlineStr">
        <is>
          <t>R8.10</t>
        </is>
      </c>
      <c r="J19" s="11" t="inlineStr">
        <is>
          <t>地域ケア会議の受領点検とKPI設計案 03シート</t>
        </is>
      </c>
    </row>
    <row r="20" ht="88" customHeight="1">
      <c r="A20" s="4" t="n">
        <v>122</v>
      </c>
      <c r="B20" s="4" t="inlineStr">
        <is>
          <t>(9)</t>
        </is>
      </c>
      <c r="C20" s="4" t="inlineStr">
        <is>
          <t>R8.9</t>
        </is>
      </c>
      <c r="D20" s="5" t="inlineStr">
        <is>
          <t>地域ケア会議関係資料の取扱いの確認</t>
        </is>
      </c>
      <c r="E20"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20" s="5" t="inlineStr">
        <is>
          <t>地域ケア会議の受領点検とKPI設計案
計画素案 第5章 基本目標2</t>
        </is>
      </c>
      <c r="G20" s="5" t="inlineStr">
        <is>
          <t>発注者</t>
        </is>
      </c>
      <c r="H20" s="10" t="inlineStr">
        <is>
          <t>確認待ち</t>
        </is>
      </c>
      <c r="I20" s="10" t="inlineStr">
        <is>
          <t>R8.9</t>
        </is>
      </c>
      <c r="J20" s="11" t="inlineStr">
        <is>
          <t>同表 00・01シート</t>
        </is>
      </c>
    </row>
    <row r="21" ht="88" customHeight="1">
      <c r="A21" s="4" t="n">
        <v>114</v>
      </c>
      <c r="B21" s="4" t="inlineStr">
        <is>
          <t>(5)(6)</t>
        </is>
      </c>
      <c r="C21" s="4" t="inlineStr">
        <is>
          <t>R8.9</t>
        </is>
      </c>
      <c r="D21" s="5" t="inlineStr">
        <is>
          <t>令和22年度までの中長期推計をどこまで算定するか</t>
        </is>
      </c>
      <c r="E21"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21" s="5" t="inlineStr">
        <is>
          <t>サービス見込量 第2次概算
将来推計 第3段階
計画素案 第2章第8節・第6章第2節</t>
        </is>
      </c>
      <c r="G21" s="5" t="inlineStr">
        <is>
          <t>発注者</t>
        </is>
      </c>
      <c r="H21" s="10" t="inlineStr">
        <is>
          <t>確認待ち</t>
        </is>
      </c>
      <c r="I21" s="10" t="inlineStr">
        <is>
          <t>R8.10</t>
        </is>
      </c>
      <c r="J21" s="11" t="inlineStr">
        <is>
          <t>サービス見込量算定の統合報告書 03・04シート。令和8年9月16日、令和17年度・令和22年度の見込量及び総給付費を第6章第2節・第3節に掲げた（単価は令和7年度で固定）。保険料の水準及び地域支援事業費は将来にわたり置けないため掲げていない</t>
        </is>
      </c>
    </row>
    <row r="22" ht="88" customHeight="1">
      <c r="A22" s="4" t="n">
        <v>112</v>
      </c>
      <c r="B22" s="4" t="inlineStr">
        <is>
          <t>(5)(6)</t>
        </is>
      </c>
      <c r="C22" s="4" t="inlineStr">
        <is>
          <t>R8.9</t>
        </is>
      </c>
      <c r="D22" s="5" t="inlineStr">
        <is>
          <t>地域支援事業の量の見込みを算定してよいか</t>
        </is>
      </c>
      <c r="E22"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令和8年9月25日】3町の地域包括支援センター事業実施報告書（令和7年度）を受領し、事業ごとの実施状況と量を確認できた。ただし量の単位が延べ人数であり、令和6年度の実施状況調査の利用者実人数に置き換えられない。事業ごとの利用者実人数（年間）と事業費のご提供をお願いしたい。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22" s="5" t="inlineStr">
        <is>
          <t>サービス見込量 第2次概算
計画素案 第6章第3節</t>
        </is>
      </c>
      <c r="G22" s="5" t="inlineStr">
        <is>
          <t>発注者</t>
        </is>
      </c>
      <c r="H22" s="10" t="inlineStr">
        <is>
          <t>確認待ち</t>
        </is>
      </c>
      <c r="I22" s="10" t="inlineStr">
        <is>
          <t>R8.10</t>
        </is>
      </c>
      <c r="J22" s="11" t="inlineStr">
        <is>
          <t>サービス見込量算定の統合報告書 03・04シート。令和8年9月16日、令和6年度の実績を据え置いて延ばした量の見込みを第6章第3節2に掲げた。令和8年9月25日、3町の実施報告書により令和7年度の実施状況を確認し、見込量算定 11シートに掲げた。単位が延べ人数であるため見込みの基礎は令和6年度のままとし、利用者実人数の受領後に置き直す</t>
        </is>
      </c>
    </row>
    <row r="23" ht="88" customHeight="1">
      <c r="A23" s="4" t="n">
        <v>113</v>
      </c>
      <c r="B23" s="4" t="inlineStr">
        <is>
          <t>(5)</t>
        </is>
      </c>
      <c r="C23" s="4" t="inlineStr">
        <is>
          <t>R8.9</t>
        </is>
      </c>
      <c r="D23" s="5" t="inlineStr">
        <is>
          <t>混合型特定施設の必要利用定員総数を定めるか</t>
        </is>
      </c>
      <c r="E23"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他の保険者の被保険者が区域内の施設に入居していることによる（当方の61.5人／月には要支援1・2を含んでいる）。定員に対する当連合の被保険者の受給者数の割合が低いことは、区域内に空きがあることを意味しない。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3" s="5" t="inlineStr">
        <is>
          <t>サービス見込量 第1次概算
計画素案 第6章第4節4</t>
        </is>
      </c>
      <c r="G23" s="5" t="inlineStr">
        <is>
          <t>発注者・北海道</t>
        </is>
      </c>
      <c r="H23" s="10" t="inlineStr">
        <is>
          <t>確認待ち</t>
        </is>
      </c>
      <c r="I23" s="10" t="inlineStr">
        <is>
          <t>R8.9</t>
        </is>
      </c>
      <c r="J23" s="11" t="inlineStr">
        <is>
          <t>サービス見込量算定の統合報告書 03・04シート。確認事項No.88（日常生活圏域と必要利用定員総数）と一体</t>
        </is>
      </c>
    </row>
    <row r="24" ht="88" customHeight="1">
      <c r="A24" s="4" t="n">
        <v>115</v>
      </c>
      <c r="B24" s="4" t="inlineStr">
        <is>
          <t>(5)(6)</t>
        </is>
      </c>
      <c r="C24" s="4" t="inlineStr">
        <is>
          <t>R8.9</t>
        </is>
      </c>
      <c r="D24" s="5" t="inlineStr">
        <is>
          <t>令和9年4月に新設される区分を見込量に立てるか</t>
        </is>
      </c>
      <c r="E24"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令和8年9月18日】社内で作成された全国自治体共通版の入力シートを点検したところ、地域支援事業の区分に「特定地域居宅サービス等事業」と「介護情報利活用事業」が置かれていた。③は給付の側ではなく地域支援事業の側の区分である可能性があり、「介護情報利活用事業」は当方がいずれの区分にも立てていない。いずれも受領物からの読み取りであって原典で確かめていないため、改正法・政令・省令により確認を要する。確認できるまで当方は現行の整理（給付の側に3区分を0で立てる）のままとする。</t>
        </is>
      </c>
      <c r="F24" s="5" t="inlineStr">
        <is>
          <t>サービス見込量 第2次概算
計画素案 第1章第9節・第6章第2節・第4節</t>
        </is>
      </c>
      <c r="G24" s="5" t="inlineStr">
        <is>
          <t>発注者・3町</t>
        </is>
      </c>
      <c r="H24" s="10" t="inlineStr">
        <is>
          <t>確認待ち</t>
        </is>
      </c>
      <c r="I24" s="10" t="inlineStr">
        <is>
          <t>R8.10</t>
        </is>
      </c>
      <c r="J24" s="11" t="inlineStr">
        <is>
          <t>サービス見込量算定の統合報告書 03・04シート</t>
        </is>
      </c>
    </row>
    <row r="25" ht="88" customHeight="1">
      <c r="A25" s="4" t="n">
        <v>116</v>
      </c>
      <c r="B25" s="4" t="inlineStr">
        <is>
          <t>(5)(6)</t>
        </is>
      </c>
      <c r="C25" s="4" t="inlineStr">
        <is>
          <t>R8.9</t>
        </is>
      </c>
      <c r="D25" s="5" t="inlineStr">
        <is>
          <t>介護人材の確保状況を供給の制約として見込量に反映するか</t>
        </is>
      </c>
      <c r="E25"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5" s="5" t="inlineStr">
        <is>
          <t>サービス見込量 第2次概算
計画素案 第6章第2節・第4節</t>
        </is>
      </c>
      <c r="G25" s="5" t="inlineStr">
        <is>
          <t>発注者・3町</t>
        </is>
      </c>
      <c r="H25" s="10" t="inlineStr">
        <is>
          <t>確認待ち</t>
        </is>
      </c>
      <c r="I25" s="10" t="inlineStr">
        <is>
          <t>R8.10</t>
        </is>
      </c>
      <c r="J25" s="11" t="inlineStr">
        <is>
          <t>サービス見込量算定の統合報告書 03・04シート</t>
        </is>
      </c>
    </row>
    <row r="26" ht="88" customHeight="1">
      <c r="A26" s="4" t="n">
        <v>117</v>
      </c>
      <c r="B26" s="4" t="inlineStr">
        <is>
          <t>(9)</t>
        </is>
      </c>
      <c r="C26" s="4" t="inlineStr">
        <is>
          <t>R8.9</t>
        </is>
      </c>
      <c r="D26" s="5" t="inlineStr">
        <is>
          <t>成果品の統合の方針</t>
        </is>
      </c>
      <c r="E26"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6" s="5" t="inlineStr">
        <is>
          <t>成果品一覧
送付資料一覧</t>
        </is>
      </c>
      <c r="G26" s="5" t="inlineStr">
        <is>
          <t>発注者</t>
        </is>
      </c>
      <c r="H26" s="10" t="inlineStr">
        <is>
          <t>確認待ち</t>
        </is>
      </c>
      <c r="I26" s="10" t="inlineStr">
        <is>
          <t>R8.9</t>
        </is>
      </c>
      <c r="J26" s="11" t="inlineStr">
        <is>
          <t>サービス見込量算定の統合報告書 07シート</t>
        </is>
      </c>
    </row>
    <row r="27" ht="88" customHeight="1">
      <c r="A27" s="4" t="n">
        <v>109</v>
      </c>
      <c r="B27" s="4" t="inlineStr">
        <is>
          <t>(5)</t>
        </is>
      </c>
      <c r="C27" s="4" t="inlineStr">
        <is>
          <t>R8.9</t>
        </is>
      </c>
      <c r="D27" s="5" t="inlineStr">
        <is>
          <t>第10期の単価を令和7年度で固定するか、実績の趨勢を置くか</t>
        </is>
      </c>
      <c r="E27"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7" s="5" t="inlineStr">
        <is>
          <t>サービス見込量 第2次概算
将来推計 第3段階
計画素案 第6章第3節・第6節</t>
        </is>
      </c>
      <c r="G27" s="5" t="inlineStr">
        <is>
          <t>発注者</t>
        </is>
      </c>
      <c r="H27" s="10" t="inlineStr">
        <is>
          <t>確認待ち</t>
        </is>
      </c>
      <c r="I27" s="10" t="inlineStr">
        <is>
          <t>R8.10</t>
        </is>
      </c>
      <c r="J27" s="11" t="inlineStr">
        <is>
          <t>趨勢に現れない要因の分析 06シート。「構成町の意見への回答」の「令和9年度が改定の年に当たらない」との記述は誤りであり修正した</t>
        </is>
      </c>
    </row>
    <row r="28" ht="88" customHeight="1">
      <c r="A28" s="4" t="n">
        <v>110</v>
      </c>
      <c r="B28" s="4" t="inlineStr">
        <is>
          <t>(5)(6)</t>
        </is>
      </c>
      <c r="C28" s="4" t="inlineStr">
        <is>
          <t>R8.9</t>
        </is>
      </c>
      <c r="D28" s="5" t="inlineStr">
        <is>
          <t>給付適正化の効果を見込量に織り込まないことでよいか</t>
        </is>
      </c>
      <c r="E28"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8" s="5" t="inlineStr">
        <is>
          <t>サービス見込量 第1次概算
計画素案 第5章 基本目標5・第6章第2節</t>
        </is>
      </c>
      <c r="G28" s="5" t="inlineStr">
        <is>
          <t>発注者</t>
        </is>
      </c>
      <c r="H28" s="10" t="inlineStr">
        <is>
          <t>確認待ち</t>
        </is>
      </c>
      <c r="I28" s="10" t="inlineStr">
        <is>
          <t>R8.10</t>
        </is>
      </c>
      <c r="J28" s="11" t="inlineStr">
        <is>
          <t>趨勢に現れない要因の分析 05シート</t>
        </is>
      </c>
    </row>
    <row r="29" ht="88" customHeight="1">
      <c r="A29" s="4" t="n">
        <v>111</v>
      </c>
      <c r="B29" s="4" t="inlineStr">
        <is>
          <t>(6)</t>
        </is>
      </c>
      <c r="C29" s="4" t="inlineStr">
        <is>
          <t>R8.9</t>
        </is>
      </c>
      <c r="D29" s="5" t="inlineStr">
        <is>
          <t>過年度の趨勢に現れない要因の扱い（認知症施策・高齢者向け住まいほか）</t>
        </is>
      </c>
      <c r="E29"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9" s="5" t="inlineStr">
        <is>
          <t>計画素案 第1章第8節・第2章第3節6・第5章 基本目標2・第6章第2節</t>
        </is>
      </c>
      <c r="G29" s="5" t="inlineStr">
        <is>
          <t>発注者・3町</t>
        </is>
      </c>
      <c r="H29" s="10" t="inlineStr">
        <is>
          <t>確認待ち</t>
        </is>
      </c>
      <c r="I29" s="10" t="inlineStr">
        <is>
          <t>R8.10</t>
        </is>
      </c>
      <c r="J29" s="11" t="inlineStr">
        <is>
          <t>趨勢に現れない要因の分析 02〜04シート</t>
        </is>
      </c>
    </row>
    <row r="30" ht="88" customHeight="1">
      <c r="A30" s="4" t="n">
        <v>106</v>
      </c>
      <c r="B30" s="4" t="inlineStr">
        <is>
          <t>(5)(6)</t>
        </is>
      </c>
      <c r="C30" s="4" t="inlineStr">
        <is>
          <t>R8.9</t>
        </is>
      </c>
      <c r="D30" s="5" t="inlineStr">
        <is>
          <t>見込量の伸びを一律からサービス別の趨勢を半分反映する置き方に改めるか</t>
        </is>
      </c>
      <c r="E30"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30" s="5" t="inlineStr">
        <is>
          <t>サービス見込量 第1次概算
将来推計 第3段階
計画素案 第6章第2節2</t>
        </is>
      </c>
      <c r="G30" s="5" t="inlineStr">
        <is>
          <t>発注者</t>
        </is>
      </c>
      <c r="H30" s="10" t="inlineStr">
        <is>
          <t>確認待ち</t>
        </is>
      </c>
      <c r="I30" s="10" t="inlineStr">
        <is>
          <t>R8.9</t>
        </is>
      </c>
      <c r="J30" s="11" t="inlineStr">
        <is>
          <t>対計画比の偏りの補正試算 03シート。確認事項No.100（採用パターン）と一体</t>
        </is>
      </c>
    </row>
    <row r="31" ht="88" customHeight="1">
      <c r="A31" s="4" t="n">
        <v>107</v>
      </c>
      <c r="B31" s="4" t="inlineStr">
        <is>
          <t>(5)(6)</t>
        </is>
      </c>
      <c r="C31" s="4" t="inlineStr">
        <is>
          <t>R8.9</t>
        </is>
      </c>
      <c r="D31" s="5" t="inlineStr">
        <is>
          <t>施設・居住系の実績の減少を将来へ延長するか</t>
        </is>
      </c>
      <c r="E31"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31" s="5" t="inlineStr">
        <is>
          <t>サービス見込量 第1次概算
計画素案 第6章第4節4</t>
        </is>
      </c>
      <c r="G31" s="5" t="inlineStr">
        <is>
          <t>発注者・3町</t>
        </is>
      </c>
      <c r="H31" s="10" t="inlineStr">
        <is>
          <t>確認待ち</t>
        </is>
      </c>
      <c r="I31" s="10" t="inlineStr">
        <is>
          <t>R8.9</t>
        </is>
      </c>
      <c r="J31" s="11" t="inlineStr">
        <is>
          <t>対計画比の偏りの補正試算 05シート</t>
        </is>
      </c>
    </row>
    <row r="32" ht="88" customHeight="1">
      <c r="A32" s="4" t="n">
        <v>108</v>
      </c>
      <c r="B32" s="4" t="inlineStr">
        <is>
          <t>(5)</t>
        </is>
      </c>
      <c r="C32" s="4" t="inlineStr">
        <is>
          <t>R8.9</t>
        </is>
      </c>
      <c r="D32" s="5" t="inlineStr">
        <is>
          <t>補正しても外れるサービス6件の理由</t>
        </is>
      </c>
      <c r="E32"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32" s="5" t="inlineStr">
        <is>
          <t>対計画比の偏りの補正試算
計画素案 第6章第2節2</t>
        </is>
      </c>
      <c r="G32" s="5" t="inlineStr">
        <is>
          <t>発注者・3町</t>
        </is>
      </c>
      <c r="H32" s="10" t="inlineStr">
        <is>
          <t>確認待ち</t>
        </is>
      </c>
      <c r="I32" s="10" t="inlineStr">
        <is>
          <t>R8.10</t>
        </is>
      </c>
      <c r="J32" s="11" t="inlineStr">
        <is>
          <t>供給実現性の段階でサービスごとに判断する材料</t>
        </is>
      </c>
    </row>
    <row r="33" ht="88" customHeight="1">
      <c r="A33" s="4" t="n">
        <v>103</v>
      </c>
      <c r="B33" s="4" t="inlineStr">
        <is>
          <t>(5)(6)</t>
        </is>
      </c>
      <c r="C33" s="4" t="inlineStr">
        <is>
          <t>R8.9</t>
        </is>
      </c>
      <c r="D33" s="5" t="inlineStr">
        <is>
          <t>令和8年度を基準年度に用いず、季節を理由とする補正も行わないこと</t>
        </is>
      </c>
      <c r="E33"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3" s="5" t="inlineStr">
        <is>
          <t>サービス見込量 第1次概算
将来推計 第3段階
計画素案 第6章第2節2</t>
        </is>
      </c>
      <c r="G33" s="5" t="inlineStr">
        <is>
          <t>発注者</t>
        </is>
      </c>
      <c r="H33" s="10" t="inlineStr">
        <is>
          <t>確認待ち</t>
        </is>
      </c>
      <c r="I33" s="10" t="inlineStr">
        <is>
          <t>R8.9</t>
        </is>
      </c>
      <c r="J33" s="11" t="inlineStr">
        <is>
          <t>見込量の季節性の検証と施策反映の設計 01・03シート。【令和8年9月28日】令和8年8月審査分の利用状況統計表により、審査月単位・町別・サービス種類別・要介護度別の給付費が得られた。同じ様式で継続してご提供を受けられれば季節性を測定できる。現時点では1か月分であるため、当面は従前の測定を用いる</t>
        </is>
      </c>
    </row>
    <row r="34" ht="88" customHeight="1">
      <c r="A34" s="4" t="n">
        <v>104</v>
      </c>
      <c r="B34" s="4" t="inlineStr">
        <is>
          <t>(5)</t>
        </is>
      </c>
      <c r="C34" s="4" t="inlineStr">
        <is>
          <t>R8.9</t>
        </is>
      </c>
      <c r="D34" s="5" t="inlineStr">
        <is>
          <t>第10期の単価を令和7年度で固定するか、令和8年度の水準を反映するか</t>
        </is>
      </c>
      <c r="E34"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1.63％である。【令和8年9月25日】確認事項No.87の解決により3町合計と広域連合単位がいずれの年度も一致したため、分母は一つに定まり残差は＋1.63％の単一の値となった（従前は＋1.63％から＋5.90％の幅があるとしていた）。月額に直すと＋99円であり、季節補正（▲14円）より大きい。①単価を令和7年度で固定するか、令和8年度の水準を反映するかをご判断いただきたい。月次の給付費が存在しないため、この上昇が季節によるものか年次の動きかは当区域では測定できない。</t>
        </is>
      </c>
      <c r="F34" s="5" t="inlineStr">
        <is>
          <t>サービス見込量 第2次概算
将来推計 第3段階
計画素案 第6章第3節・第6節</t>
        </is>
      </c>
      <c r="G34" s="5" t="inlineStr">
        <is>
          <t>発注者</t>
        </is>
      </c>
      <c r="H34" s="10" t="inlineStr">
        <is>
          <t>確認待ち</t>
        </is>
      </c>
      <c r="I34" s="10" t="inlineStr">
        <is>
          <t>R8.10</t>
        </is>
      </c>
      <c r="J34" s="11" t="inlineStr">
        <is>
          <t>確認事項No.87と一体。見込量の季節性の検証と施策反映の設計 02シート</t>
        </is>
      </c>
    </row>
    <row r="35" ht="88" customHeight="1">
      <c r="A35" s="4" t="n">
        <v>105</v>
      </c>
      <c r="B35" s="4" t="inlineStr">
        <is>
          <t>(6)</t>
        </is>
      </c>
      <c r="C35" s="4" t="inlineStr">
        <is>
          <t>R8.9</t>
        </is>
      </c>
      <c r="D35" s="5" t="inlineStr">
        <is>
          <t>施策反映を行うか。行う場合の対象と歯止め</t>
        </is>
      </c>
      <c r="E35"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5" s="5" t="inlineStr">
        <is>
          <t>サービス見込量 第1次概算
計画素案 第4章第3節・第6章第2節</t>
        </is>
      </c>
      <c r="G35" s="5" t="inlineStr">
        <is>
          <t>発注者</t>
        </is>
      </c>
      <c r="H35" s="10" t="inlineStr">
        <is>
          <t>確認待ち</t>
        </is>
      </c>
      <c r="I35" s="10" t="inlineStr">
        <is>
          <t>R8.9</t>
        </is>
      </c>
      <c r="J35" s="11" t="inlineStr">
        <is>
          <t>見込量の季節性の検証と施策反映の設計 04・05シート</t>
        </is>
      </c>
    </row>
    <row r="36" ht="88" customHeight="1">
      <c r="A36" s="4" t="n">
        <v>100</v>
      </c>
      <c r="B36" s="4" t="inlineStr">
        <is>
          <t>(5)(6)</t>
        </is>
      </c>
      <c r="C36" s="4" t="inlineStr">
        <is>
          <t>R8.9</t>
        </is>
      </c>
      <c r="D36" s="5" t="inlineStr">
        <is>
          <t>サービス見込量及び給付費の算定に用いる基準年度と出所</t>
        </is>
      </c>
      <c r="E36"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6" s="5" t="inlineStr">
        <is>
          <t>サービス見込量 第1次概算
将来推計 第3段階
計画素案 第6章第2節・第3節・第6節</t>
        </is>
      </c>
      <c r="G36" s="5" t="inlineStr">
        <is>
          <t>発注者</t>
        </is>
      </c>
      <c r="H36" s="10" t="inlineStr">
        <is>
          <t>確認待ち</t>
        </is>
      </c>
      <c r="I36" s="10" t="inlineStr">
        <is>
          <t>R8.9</t>
        </is>
      </c>
      <c r="J36" s="11" t="inlineStr">
        <is>
          <t>サービス見込量の算定 03シート。算定上の月額基準額は現行6,740円に対し採用パターンで6,428円。令和8年9月16日、計画素案 第6章第2節・第3節・第6節を採用パターンによる算定（要介護度別。月額6,436円）に置き換えた。ご判断をいただくまでは暫定であり、置き方によるちがい（要介護度別6,436円・一律6,428円・見える化6,740円）を第6節に併記している</t>
        </is>
      </c>
    </row>
    <row r="37" ht="88" customHeight="1">
      <c r="A37" s="4" t="n">
        <v>101</v>
      </c>
      <c r="B37" s="4" t="inlineStr">
        <is>
          <t>(6)</t>
        </is>
      </c>
      <c r="C37" s="4" t="inlineStr">
        <is>
          <t>R8.9</t>
        </is>
      </c>
      <c r="D37" s="5" t="inlineStr">
        <is>
          <t>計画素案 第6章第2節2の見込量の表の数値の差し替え</t>
        </is>
      </c>
      <c r="E37"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7" s="5" t="inlineStr">
        <is>
          <t>計画素案 第6章第2節2
サービス見込量 第1次概算</t>
        </is>
      </c>
      <c r="G37" s="5" t="inlineStr">
        <is>
          <t>発注者</t>
        </is>
      </c>
      <c r="H37" s="10" t="inlineStr">
        <is>
          <t>確認待ち</t>
        </is>
      </c>
      <c r="I37" s="10" t="inlineStr">
        <is>
          <t>R8.9</t>
        </is>
      </c>
      <c r="J37" s="11" t="inlineStr">
        <is>
          <t>確認事項No.100（採用パターン）の決定と一体で処理する。令和8年9月16日、第6章第2節の表を第1次概算の算定結果に差し替えた（表頭の「R8実績」は「R7実績」に改めた）。ご判断をいただくまでは暫定である</t>
        </is>
      </c>
    </row>
    <row r="38" ht="88" customHeight="1">
      <c r="A38" s="4" t="n">
        <v>102</v>
      </c>
      <c r="B38" s="4" t="inlineStr">
        <is>
          <t>(5)</t>
        </is>
      </c>
      <c r="C38" s="4" t="inlineStr">
        <is>
          <t>R8.9</t>
        </is>
      </c>
      <c r="D38" s="5" t="inlineStr">
        <is>
          <t>計画作成支援ツールの令和8年度の月数と予防訪問看護の計上</t>
        </is>
      </c>
      <c r="E38"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8" s="5" t="inlineStr">
        <is>
          <t>サービス見込量の算定
計画素案 第6章第2節2</t>
        </is>
      </c>
      <c r="G38" s="5" t="inlineStr">
        <is>
          <t>発注者</t>
        </is>
      </c>
      <c r="H38" s="10" t="inlineStr">
        <is>
          <t>一部回答済</t>
        </is>
      </c>
      <c r="I38" s="10" t="inlineStr">
        <is>
          <t>R8.9</t>
        </is>
      </c>
      <c r="J38"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9" ht="88" customHeight="1">
      <c r="A39" s="4" t="n">
        <v>95</v>
      </c>
      <c r="B39" s="4" t="inlineStr">
        <is>
          <t>(6)</t>
        </is>
      </c>
      <c r="C39" s="4" t="inlineStr">
        <is>
          <t>R8.9</t>
        </is>
      </c>
      <c r="D39" s="5" t="inlineStr">
        <is>
          <t>大雪地区広域連合の指定地域密着型サービスの基準条例のご提供</t>
        </is>
      </c>
      <c r="E39"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9" s="5" t="inlineStr">
        <is>
          <t>地域密着型サービス基準省令の論点整理
計画素案 第6章第4節</t>
        </is>
      </c>
      <c r="G39" s="5" t="inlineStr">
        <is>
          <t>発注者</t>
        </is>
      </c>
      <c r="H39" s="10" t="inlineStr">
        <is>
          <t>確認待ち</t>
        </is>
      </c>
      <c r="I39" s="10" t="inlineStr">
        <is>
          <t>R8.9</t>
        </is>
      </c>
      <c r="J39" s="11" t="inlineStr">
        <is>
          <t>論点整理 04シート。最も重い確認事項として整理している</t>
        </is>
      </c>
    </row>
    <row r="40" ht="88" customHeight="1">
      <c r="A40" s="4" t="n">
        <v>96</v>
      </c>
      <c r="B40" s="4" t="inlineStr">
        <is>
          <t>(6)</t>
        </is>
      </c>
      <c r="C40" s="4" t="inlineStr">
        <is>
          <t>R8.9</t>
        </is>
      </c>
      <c r="D40" s="5" t="inlineStr">
        <is>
          <t>認知症対応型共同生活介護の共同生活住居数と、くるみの郷の定員</t>
        </is>
      </c>
      <c r="E40"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40" s="5" t="inlineStr">
        <is>
          <t>計画素案 第2章第3節6
計画素案 第6章第4節4
地域密着型サービス基準省令の論点整理</t>
        </is>
      </c>
      <c r="G40" s="5" t="inlineStr">
        <is>
          <t>発注者・3町</t>
        </is>
      </c>
      <c r="H40" s="10" t="inlineStr">
        <is>
          <t>確認待ち</t>
        </is>
      </c>
      <c r="I40" s="10" t="inlineStr">
        <is>
          <t>R8.9</t>
        </is>
      </c>
      <c r="J40" s="11" t="inlineStr">
        <is>
          <t>第2章第3節6及び第6章第4節4の町別の分布欄の誤り（東川町45→36、計108→99）は令和8年9月10日に修正済み</t>
        </is>
      </c>
    </row>
    <row r="41" ht="88" customHeight="1">
      <c r="A41" s="4" t="n">
        <v>97</v>
      </c>
      <c r="B41" s="4" t="inlineStr">
        <is>
          <t>(6)</t>
        </is>
      </c>
      <c r="C41" s="4" t="inlineStr">
        <is>
          <t>R8.9</t>
        </is>
      </c>
      <c r="D41" s="5" t="inlineStr">
        <is>
          <t>令和9年4月1日から義務となる2件への対応</t>
        </is>
      </c>
      <c r="E41"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41" s="5" t="inlineStr">
        <is>
          <t>計画素案 第1章第9節
計画素案 第5章 基本目標3・4
計画素案 第6章第4節3</t>
        </is>
      </c>
      <c r="G41" s="5" t="inlineStr">
        <is>
          <t>発注者</t>
        </is>
      </c>
      <c r="H41" s="10" t="inlineStr">
        <is>
          <t>確認待ち</t>
        </is>
      </c>
      <c r="I41" s="10" t="inlineStr">
        <is>
          <t>R8.10</t>
        </is>
      </c>
      <c r="J41" s="11" t="inlineStr">
        <is>
          <t>確認事項No.95（条例）と一体。条例に対応規定がなければ事業者に及ばない</t>
        </is>
      </c>
    </row>
    <row r="42" ht="88" customHeight="1">
      <c r="A42" s="4" t="n">
        <v>98</v>
      </c>
      <c r="B42" s="4" t="inlineStr">
        <is>
          <t>(6)</t>
        </is>
      </c>
      <c r="C42" s="4" t="inlineStr">
        <is>
          <t>R8.9</t>
        </is>
      </c>
      <c r="D42" s="5" t="inlineStr">
        <is>
          <t>基盤整備の選択肢として省令上の類型を計画に掲げるか</t>
        </is>
      </c>
      <c r="E42"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42" s="5" t="inlineStr">
        <is>
          <t>計画素案 第6章第4節1
計画素案 第6章第2節2（2）
サービス見込量 第1次概算</t>
        </is>
      </c>
      <c r="G42" s="5" t="inlineStr">
        <is>
          <t>発注者</t>
        </is>
      </c>
      <c r="H42" s="10" t="inlineStr">
        <is>
          <t>確認待ち</t>
        </is>
      </c>
      <c r="I42" s="10" t="inlineStr">
        <is>
          <t>R8.9</t>
        </is>
      </c>
      <c r="J42" s="11" t="inlineStr">
        <is>
          <t>①は第6章第4節1 案Aの書き分けに関わるため第1次概算（9月26日）より前に整理する</t>
        </is>
      </c>
    </row>
    <row r="43" ht="88" customHeight="1">
      <c r="A43" s="4" t="n">
        <v>99</v>
      </c>
      <c r="B43" s="4" t="inlineStr">
        <is>
          <t>(6)</t>
        </is>
      </c>
      <c r="C43" s="4" t="inlineStr">
        <is>
          <t>R8.9</t>
        </is>
      </c>
      <c r="D43" s="5" t="inlineStr">
        <is>
          <t>過疎地域における小規模多機能型居宅介護の定員超過の特例の取扱い</t>
        </is>
      </c>
      <c r="E43"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3" s="5" t="inlineStr">
        <is>
          <t>計画素案 第6章第4節
計画素案 第6章第2節2（2）
地域密着型サービス基準省令の論点整理</t>
        </is>
      </c>
      <c r="G43" s="5" t="inlineStr">
        <is>
          <t>発注者</t>
        </is>
      </c>
      <c r="H43" s="10" t="inlineStr">
        <is>
          <t>確認待ち</t>
        </is>
      </c>
      <c r="I43" s="10" t="inlineStr">
        <is>
          <t>R8.10</t>
        </is>
      </c>
      <c r="J43" s="11" t="inlineStr">
        <is>
          <t>対象となり得るのは美瑛町の5事業所</t>
        </is>
      </c>
    </row>
    <row r="44" ht="88" customHeight="1">
      <c r="A44" s="4" t="n">
        <v>93</v>
      </c>
      <c r="B44" s="4" t="inlineStr">
        <is>
          <t>(5)(6)</t>
        </is>
      </c>
      <c r="C44" s="4" t="inlineStr">
        <is>
          <t>R8.9</t>
        </is>
      </c>
      <c r="D44" s="5" t="inlineStr">
        <is>
          <t>財政調整交付金の算定における給付適正化主要3事業の取組状況の勘案</t>
        </is>
      </c>
      <c r="E44"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4" s="5" t="inlineStr">
        <is>
          <t>将来推計 第3段階
計画素案 第6章第6節
サービス見込量 第2次概算</t>
        </is>
      </c>
      <c r="G44" s="5" t="inlineStr">
        <is>
          <t>発注者・北海道</t>
        </is>
      </c>
      <c r="H44" s="10" t="inlineStr">
        <is>
          <t>確認待ち</t>
        </is>
      </c>
      <c r="I44" s="10" t="inlineStr">
        <is>
          <t>R8.10</t>
        </is>
      </c>
      <c r="J44" s="11" t="inlineStr">
        <is>
          <t>確認事項No.86（保険者機能強化推進交付金等の交付見込額の控除）と併せて第2次概算（10月30日）までに整理する</t>
        </is>
      </c>
    </row>
    <row r="45" ht="88" customHeight="1">
      <c r="A45" s="4" t="n">
        <v>94</v>
      </c>
      <c r="B45" s="4" t="inlineStr">
        <is>
          <t>(6)</t>
        </is>
      </c>
      <c r="C45" s="4" t="inlineStr">
        <is>
          <t>R8.9</t>
        </is>
      </c>
      <c r="D45" s="5" t="inlineStr">
        <is>
          <t>給付適正化計画の位置づけ（案Bの採用）と毎年度の目標の記載場所</t>
        </is>
      </c>
      <c r="E45"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5" s="5" t="inlineStr">
        <is>
          <t>計画素案 第1章第2節・第5章 基本目標5・資料5
給付適正化計画の位置づけと追加検討事項</t>
        </is>
      </c>
      <c r="G45" s="5" t="inlineStr">
        <is>
          <t>発注者</t>
        </is>
      </c>
      <c r="H45" s="10" t="inlineStr">
        <is>
          <t>確認待ち</t>
        </is>
      </c>
      <c r="I45" s="10" t="inlineStr">
        <is>
          <t>R8.10</t>
        </is>
      </c>
      <c r="J45" s="11" t="inlineStr">
        <is>
          <t>位置づけの決定は令和8年9月10日に了承済み。本件は反映内容の事後確認である</t>
        </is>
      </c>
    </row>
    <row r="46" ht="88" customHeight="1">
      <c r="A46" s="4" t="n">
        <v>92</v>
      </c>
      <c r="B46" s="4" t="inlineStr">
        <is>
          <t>(6)</t>
        </is>
      </c>
      <c r="C46" s="4" t="inlineStr">
        <is>
          <t>R8.9</t>
        </is>
      </c>
      <c r="D46" s="5" t="inlineStr">
        <is>
          <t>認定調査の指定居宅介護支援事業所等への委託の状況</t>
        </is>
      </c>
      <c r="E46"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6" s="5" t="inlineStr">
        <is>
          <t>給付適正化計画の位置づけと追加検討事項 04シート
計画素案 第5章 基本目標5</t>
        </is>
      </c>
      <c r="G46" s="5" t="inlineStr">
        <is>
          <t>発注者</t>
        </is>
      </c>
      <c r="H46" s="10" t="inlineStr">
        <is>
          <t>確認待ち</t>
        </is>
      </c>
      <c r="I46" s="10" t="inlineStr">
        <is>
          <t>R8.10</t>
        </is>
      </c>
      <c r="J46" s="11" t="inlineStr">
        <is>
          <t>委託していない場合は、直営の認定調査についても実態を把握することが望ましいとされている</t>
        </is>
      </c>
    </row>
    <row r="47" ht="88" customHeight="1">
      <c r="A47" s="4" t="n">
        <v>91</v>
      </c>
      <c r="B47" s="4" t="inlineStr">
        <is>
          <t>(2)(6)</t>
        </is>
      </c>
      <c r="C47" s="4" t="inlineStr">
        <is>
          <t>R8.9</t>
        </is>
      </c>
      <c r="D47" s="5" t="inlineStr">
        <is>
          <t>介護給付費通知及び給付実績の活用による確認等</t>
        </is>
      </c>
      <c r="E47"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7" s="5" t="inlineStr">
        <is>
          <t>給付適正化計画の位置づけと追加検討事項 02シート
計画素案 第5章 基本目標5</t>
        </is>
      </c>
      <c r="G47" s="5" t="inlineStr">
        <is>
          <t>発注者</t>
        </is>
      </c>
      <c r="H47" s="10" t="inlineStr">
        <is>
          <t>確認待ち</t>
        </is>
      </c>
      <c r="I47" s="10" t="inlineStr">
        <is>
          <t>R8.10</t>
        </is>
      </c>
      <c r="J47" s="11" t="inlineStr">
        <is>
          <t>国保連の適正化システムには強調表示等の工夫が取り入れられており、小規模保険者でも実施しやすいとされている</t>
        </is>
      </c>
    </row>
    <row r="48" ht="88" customHeight="1">
      <c r="A48" s="4" t="n">
        <v>90</v>
      </c>
      <c r="B48" s="4" t="inlineStr">
        <is>
          <t>(2)(6)</t>
        </is>
      </c>
      <c r="C48" s="4" t="inlineStr">
        <is>
          <t>R8.9</t>
        </is>
      </c>
      <c r="D48" s="5" t="inlineStr">
        <is>
          <t>第9期計画の本文（電子データ）及び前回調査の原集計表の提供</t>
        </is>
      </c>
      <c r="E48" s="5" t="inlineStr">
        <is>
          <t>第9期計画の本文は業務着手時に貸与を受けて確認しているが、次の2点は本文から読み取ることができないためご提供いただきたい。①給付適正化に関する記載の箇所。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②前回（令和4年度）調査の指標別の分母及び集計条件。本文に掲載されている割合の分母が指標ごとに分からないため、4調査のうち①②③については内容の経年比較ができない（規模の比較にとどめている）。原集計表があれば接続できる。【令和8年9月25日に起票内容を改めた】従前は「本文そのものを受領していない」としていたが、本文は確認しており、確認できないのは上記2点であることを明らかにした。</t>
        </is>
      </c>
      <c r="F48" s="5" t="inlineStr">
        <is>
          <t>給付適正化計画の位置づけと追加検討事項 01シート
計画素案 第5章 基本目標5・第2章第4節
アンケート調査の分析 令和8年9月業務報告 第4節</t>
        </is>
      </c>
      <c r="G48" s="5" t="inlineStr">
        <is>
          <t>発注者</t>
        </is>
      </c>
      <c r="H48" s="10" t="inlineStr">
        <is>
          <t>確認待ち</t>
        </is>
      </c>
      <c r="I48" s="10" t="inlineStr">
        <is>
          <t>R8.10</t>
        </is>
      </c>
      <c r="J48" s="11" t="inlineStr">
        <is>
          <t>第9期計画の体裁を勘案して第10期での位置づけを決めるため、記載の箇所の確認が前提となる。前回調査の分母は経年比較の前提となる</t>
        </is>
      </c>
    </row>
    <row r="49" ht="88" customHeight="1">
      <c r="A49" s="4" t="n">
        <v>89</v>
      </c>
      <c r="B49" s="4" t="inlineStr">
        <is>
          <t>(1)(6)</t>
        </is>
      </c>
      <c r="C49" s="4" t="inlineStr">
        <is>
          <t>R8.9</t>
        </is>
      </c>
      <c r="D49" s="5" t="inlineStr">
        <is>
          <t>社会福祉法等の一部を改正する法律（令和8年法律第51号）の反映</t>
        </is>
      </c>
      <c r="E49"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9" s="5" t="inlineStr">
        <is>
          <t>計画素案 第1章第9節・第2章第8節・第5章・第6章第2節・第6章第4節
ケアプラン点検実施要領</t>
        </is>
      </c>
      <c r="G49" s="5" t="inlineStr">
        <is>
          <t>発注者</t>
        </is>
      </c>
      <c r="H49" s="10" t="inlineStr">
        <is>
          <t>確認待ち</t>
        </is>
      </c>
      <c r="I49" s="10" t="inlineStr">
        <is>
          <t>R8.10</t>
        </is>
      </c>
      <c r="J49" s="11" t="inlineStr">
        <is>
          <t>②の統合により、第10期のサービス種別の区分が変わる。国の様式（介護保険事業計画作成支援ツール）の確定を待って見込量の区分を改める</t>
        </is>
      </c>
    </row>
    <row r="50" ht="88" customHeight="1">
      <c r="A50" s="4" t="n">
        <v>88</v>
      </c>
      <c r="B50" s="4" t="inlineStr">
        <is>
          <t>(5)(6)</t>
        </is>
      </c>
      <c r="C50" s="4" t="inlineStr">
        <is>
          <t>R8.9</t>
        </is>
      </c>
      <c r="D50" s="5" t="inlineStr">
        <is>
          <t>日常生活圏域ごとの必要利用定員総数（法定記載事項）</t>
        </is>
      </c>
      <c r="E50"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50" s="5" t="inlineStr">
        <is>
          <t>計画素案 第1章第7節・第6章第4節4
サービス見込量 第1次概算</t>
        </is>
      </c>
      <c r="G50" s="5" t="inlineStr">
        <is>
          <t>発注者・3町</t>
        </is>
      </c>
      <c r="H50" s="10" t="inlineStr">
        <is>
          <t>確認待ち</t>
        </is>
      </c>
      <c r="I50" s="10" t="inlineStr">
        <is>
          <t>R8.9</t>
        </is>
      </c>
      <c r="J50" s="11" t="inlineStr">
        <is>
          <t>法定記載事項であり、記載を落とすことができない。圏域が確定しないと表を作成できない</t>
        </is>
      </c>
    </row>
    <row r="51" ht="88" customHeight="1">
      <c r="A51" s="4" t="n">
        <v>87</v>
      </c>
      <c r="B51" s="4" t="inlineStr">
        <is>
          <t>(2)(4)</t>
        </is>
      </c>
      <c r="C51" s="4" t="inlineStr">
        <is>
          <t>R8.9</t>
        </is>
      </c>
      <c r="D51" s="5" t="inlineStr">
        <is>
          <t>給付費データ集計　令和7年度の広域連合単位と3町合計の差</t>
        </is>
      </c>
      <c r="E51" s="5" t="inlineStr">
        <is>
          <t>令和8年8月28日に受領した給付費データ集計12ファイルについて、令和7年度は3町のファイルの合計3,213,054,558円に対し広域連合単位のファイルが3,083,474,291円であり、129,580,267円（4.0％）の差があった。【令和8年9月25日　解決】令和7年度の広域連合単位のファイルの再提供を受け、「介護度別給付費」の表の総計が3,213,054,558円となり、要支援1から要介護5までの全7区分で3町合計と円単位で一致した。従前のファイルもその明細を集計すると同じ額になるため、差は3町と広域連合で抽出条件が違ったことによるものではなく、表が明細と一致していなかったことによるものである。これにより令和6年度から令和8年度まで3町合計＝広域連合単位となった。</t>
        </is>
      </c>
      <c r="F51" s="5" t="inlineStr">
        <is>
          <t>計画素案 第2章第2節5
町別データシート
給付実績データの受領点検
令和8年9月25日受領資料の受領点検</t>
        </is>
      </c>
      <c r="G51" s="5" t="inlineStr">
        <is>
          <t>発注者</t>
        </is>
      </c>
      <c r="H51" s="10" t="inlineStr">
        <is>
          <t>解決</t>
        </is>
      </c>
      <c r="I51" s="10" t="inlineStr">
        <is>
          <t>R8.9</t>
        </is>
      </c>
      <c r="J51" s="11" t="inlineStr">
        <is>
          <t>計画素案・町別データシート・見込量算定の注記を改めた。保険料の算定には介護保険特別会計決算の値を用いるため、本件は実績の記載に関するものであり保険料算定には影響しない</t>
        </is>
      </c>
    </row>
    <row r="52" ht="88" customHeight="1">
      <c r="A52" s="4" t="n">
        <v>86</v>
      </c>
      <c r="B52" s="4" t="inlineStr">
        <is>
          <t>(5)(6)</t>
        </is>
      </c>
      <c r="C52" s="4" t="inlineStr">
        <is>
          <t>R8.9</t>
        </is>
      </c>
      <c r="D52" s="5" t="inlineStr">
        <is>
          <t>保険者機能強化推進交付金等の交付見込額の保険料収納必要額からの控除</t>
        </is>
      </c>
      <c r="E52"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52" s="5" t="inlineStr">
        <is>
          <t>計画素案 第6章第6節
将来推計 第3段階
保険料算定式の国の様式との対照</t>
        </is>
      </c>
      <c r="G52" s="5" t="inlineStr">
        <is>
          <t>発注者</t>
        </is>
      </c>
      <c r="H52" s="10" t="inlineStr">
        <is>
          <t>確認待ち</t>
        </is>
      </c>
      <c r="I52" s="10" t="inlineStr">
        <is>
          <t>R8.10</t>
        </is>
      </c>
      <c r="J52" s="11" t="inlineStr">
        <is>
          <t>控除する場合は保険料基準額が下がる。第2次概算（10月30日）までに決定をいただきたい</t>
        </is>
      </c>
    </row>
    <row r="53" ht="88" customHeight="1">
      <c r="A53" s="4" t="n">
        <v>85</v>
      </c>
      <c r="B53" s="4" t="inlineStr">
        <is>
          <t>(4)</t>
        </is>
      </c>
      <c r="C53" s="4" t="inlineStr">
        <is>
          <t>R8.9</t>
        </is>
      </c>
      <c r="D53" s="5" t="inlineStr">
        <is>
          <t>町別データシートの内容と配付</t>
        </is>
      </c>
      <c r="E53"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3" s="5" t="inlineStr">
        <is>
          <t>町別データシート
構成町の意見への回答 2</t>
        </is>
      </c>
      <c r="G53" s="5" t="inlineStr">
        <is>
          <t>発注者・3町</t>
        </is>
      </c>
      <c r="H53" s="10" t="inlineStr">
        <is>
          <t>確認待ち</t>
        </is>
      </c>
      <c r="I53" s="10" t="inlineStr">
        <is>
          <t>R8.9</t>
        </is>
      </c>
      <c r="J53" s="11" t="inlineStr">
        <is>
          <t>町別の認定率は、広域連合が第1号被保険者数を分母とするのに対し住民基本台帳の65歳以上人口を分母とせざるを得ないため、定義が異なる旨を注記している</t>
        </is>
      </c>
    </row>
    <row r="54" ht="88" customHeight="1">
      <c r="A54" s="4" t="n">
        <v>84</v>
      </c>
      <c r="B54" s="4" t="inlineStr">
        <is>
          <t>(5)(7)</t>
        </is>
      </c>
      <c r="C54" s="4" t="inlineStr">
        <is>
          <t>R8.9</t>
        </is>
      </c>
      <c r="D54" s="5" t="inlineStr">
        <is>
          <t>東川町の施設整備・サービス提供方針</t>
        </is>
      </c>
      <c r="E54"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も掲載がない。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4" s="5" t="inlineStr">
        <is>
          <t>サービス見込量 第2次概算
計画素案 第2章第2節・第6章第2節・第4節
構成町の意見への回答 6</t>
        </is>
      </c>
      <c r="G54" s="5" t="inlineStr">
        <is>
          <t>発注者・東川町</t>
        </is>
      </c>
      <c r="H54" s="10" t="inlineStr">
        <is>
          <t>確認待ち</t>
        </is>
      </c>
      <c r="I54" s="10" t="inlineStr">
        <is>
          <t>R8.10</t>
        </is>
      </c>
      <c r="J54" s="11" t="inlineStr">
        <is>
          <t>東神楽町からは整備方針の検討状況（10月視察・11月市場調査）をご回答いただいている。美瑛町からは高齢者福祉計画の工程と要望3件をご回答いただいている</t>
        </is>
      </c>
    </row>
    <row r="55" ht="88" customHeight="1">
      <c r="A55" s="4" t="n">
        <v>83</v>
      </c>
      <c r="B55" s="4" t="inlineStr">
        <is>
          <t>(7)(8)</t>
        </is>
      </c>
      <c r="C55" s="4" t="inlineStr">
        <is>
          <t>R8.9</t>
        </is>
      </c>
      <c r="D55" s="5" t="inlineStr">
        <is>
          <t>構成町との意見交換会の実施方法と町別データシート</t>
        </is>
      </c>
      <c r="E55"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5" s="5" t="inlineStr">
        <is>
          <t>意見交換会資料
町別データシート
構成町の意見への回答 2・3</t>
        </is>
      </c>
      <c r="G55" s="5" t="inlineStr">
        <is>
          <t>発注者・3町</t>
        </is>
      </c>
      <c r="H55" s="10" t="inlineStr">
        <is>
          <t>確認待ち</t>
        </is>
      </c>
      <c r="I55" s="10" t="inlineStr">
        <is>
          <t>R8.9</t>
        </is>
      </c>
      <c r="J55" s="11" t="inlineStr">
        <is>
          <t>仕様書４（8）「各種会議への技術的支援」に含まれるため追加の費用は生じない。美瑛町は10月中旬までに素案、11月中旬までに原案を作成する予定である</t>
        </is>
      </c>
    </row>
    <row r="56" ht="88" customHeight="1">
      <c r="A56" s="4" t="n">
        <v>82</v>
      </c>
      <c r="B56" s="4" t="inlineStr">
        <is>
          <t>(5)</t>
        </is>
      </c>
      <c r="C56" s="4" t="inlineStr">
        <is>
          <t>R8.9</t>
        </is>
      </c>
      <c r="D56" s="5" t="inlineStr">
        <is>
          <t>構成町の一般会計繰入金の町別按分の方法</t>
        </is>
      </c>
      <c r="E56"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6" s="5" t="inlineStr">
        <is>
          <t>サービス見込量 第1次概算（R8.9.26）
構成町の意見への回答 4</t>
        </is>
      </c>
      <c r="G56" s="5" t="inlineStr">
        <is>
          <t>発注者</t>
        </is>
      </c>
      <c r="H56" s="10" t="inlineStr">
        <is>
          <t>確認待ち</t>
        </is>
      </c>
      <c r="I56" s="10" t="inlineStr">
        <is>
          <t>R8.9.24</t>
        </is>
      </c>
      <c r="J56" s="11" t="inlineStr">
        <is>
          <t>3町計の概算は令和9年度523.7百万円・令和10年度531.5百万円・令和11年度539.0百万円である。確定値ではなく、決定1〜3・決定8の前提により動く</t>
        </is>
      </c>
    </row>
    <row r="57" ht="88" customHeight="1">
      <c r="A57" s="4" t="n">
        <v>81</v>
      </c>
      <c r="B57" s="4" t="inlineStr">
        <is>
          <t>(4)(6)</t>
        </is>
      </c>
      <c r="C57" s="4" t="inlineStr">
        <is>
          <t>R8.9</t>
        </is>
      </c>
      <c r="D57" s="5" t="inlineStr">
        <is>
          <t>代表KPI H16のデータ源（国保連の給付実績の明細情報）</t>
        </is>
      </c>
      <c r="E57"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7" s="5" t="inlineStr">
        <is>
          <t>計画素案 第4章第3節・第5章 基本目標5・資料1
給付実績データの受領点検 05
内部確認結果への対応整理 04・09</t>
        </is>
      </c>
      <c r="G57" s="5" t="inlineStr">
        <is>
          <t>発注者</t>
        </is>
      </c>
      <c r="H57" s="10" t="inlineStr">
        <is>
          <t>確認待ち</t>
        </is>
      </c>
      <c r="I57" s="10" t="inlineStr">
        <is>
          <t>R8.9</t>
        </is>
      </c>
      <c r="J57" s="11" t="inlineStr">
        <is>
          <t>広域型（特別養護老人ホーム・介護老人保健施設・訪問介護等）の指定権者は北海道であるため、代替案は地域密着型サービスに限った確認件数となる。策定率そのものは測れない</t>
        </is>
      </c>
    </row>
    <row r="58" ht="88" customHeight="1">
      <c r="A58" s="4" t="n">
        <v>80</v>
      </c>
      <c r="B58" s="4" t="inlineStr">
        <is>
          <t>(3)</t>
        </is>
      </c>
      <c r="C58" s="4" t="inlineStr">
        <is>
          <t>R8.9</t>
        </is>
      </c>
      <c r="D58" s="5" t="inlineStr">
        <is>
          <t>職員個票のリストによる重複確認の可否</t>
        </is>
      </c>
      <c r="E58"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8" s="5" t="inlineStr">
        <is>
          <t>内部確認結果への対応整理 03・08
実施済み3調査の受領点検と集計 06・07</t>
        </is>
      </c>
      <c r="G58" s="5" t="inlineStr">
        <is>
          <t>発注者</t>
        </is>
      </c>
      <c r="H58" s="10" t="inlineStr">
        <is>
          <t>確認待ち</t>
        </is>
      </c>
      <c r="I58" s="10" t="inlineStr">
        <is>
          <t>R8.9</t>
        </is>
      </c>
      <c r="J58" s="11" t="inlineStr">
        <is>
          <t>受託者としては、個票を突き合わせず事業所への照会だけで判別する方法を推奨する</t>
        </is>
      </c>
    </row>
    <row r="59" ht="88" customHeight="1">
      <c r="A59" s="4" t="n">
        <v>79</v>
      </c>
      <c r="B59" s="4" t="inlineStr">
        <is>
          <t>(6)</t>
        </is>
      </c>
      <c r="C59" s="4" t="inlineStr">
        <is>
          <t>R8.9</t>
        </is>
      </c>
      <c r="D59" s="5" t="inlineStr">
        <is>
          <t>第5章の施策数の見直しの範囲</t>
        </is>
      </c>
      <c r="E59"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9" s="5" t="inlineStr">
        <is>
          <t>計画素案 第5章
骨子案 第5節</t>
        </is>
      </c>
      <c r="G59" s="5" t="inlineStr">
        <is>
          <t>発注者</t>
        </is>
      </c>
      <c r="H59" s="10" t="inlineStr">
        <is>
          <t>確認待ち</t>
        </is>
      </c>
      <c r="I59" s="10" t="inlineStr">
        <is>
          <t>R8.9</t>
        </is>
      </c>
      <c r="J59" s="11" t="inlineStr">
        <is>
          <t>施策数を減らす場合、第9期からの継続性の説明を要する。3町協議の前に方針を決めておきたい</t>
        </is>
      </c>
    </row>
    <row r="60" ht="88" customHeight="1">
      <c r="A60" s="4" t="n">
        <v>78</v>
      </c>
      <c r="B60" s="4" t="inlineStr">
        <is>
          <t>(5)</t>
        </is>
      </c>
      <c r="C60" s="4" t="inlineStr">
        <is>
          <t>R8.9</t>
        </is>
      </c>
      <c r="D60" s="5" t="inlineStr">
        <is>
          <t>グループホームびえいの郷の定員減の時期</t>
        </is>
      </c>
      <c r="E60"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60" s="5" t="inlineStr">
        <is>
          <t>計画素案 第2章第3節・第6章第2節
将来推計 第2・第3段階</t>
        </is>
      </c>
      <c r="G60" s="5" t="inlineStr">
        <is>
          <t>発注者・美瑛町</t>
        </is>
      </c>
      <c r="H60" s="10" t="inlineStr">
        <is>
          <t>確認待ち</t>
        </is>
      </c>
      <c r="I60" s="10" t="inlineStr">
        <is>
          <t>R8.9</t>
        </is>
      </c>
      <c r="J60" s="11" t="inlineStr">
        <is>
          <t>認知症対応型共同生活介護の定員は見込量の上限となる。サービス見込量と保険料に直接効く</t>
        </is>
      </c>
    </row>
    <row r="61" ht="88" customHeight="1">
      <c r="A61" s="4" t="n">
        <v>77</v>
      </c>
      <c r="B61" s="4" t="inlineStr">
        <is>
          <t>(4)</t>
        </is>
      </c>
      <c r="C61" s="4" t="inlineStr">
        <is>
          <t>R8.9</t>
        </is>
      </c>
      <c r="D61" s="5" t="inlineStr">
        <is>
          <t>北海道の評価指標⑥の団体別の公表値</t>
        </is>
      </c>
      <c r="E61"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61" s="5" t="inlineStr">
        <is>
          <t>計画素案 第4章第3節・資料1
内部確認結果への対応整理 04</t>
        </is>
      </c>
      <c r="G61" s="5" t="inlineStr">
        <is>
          <t>発注者・北海道</t>
        </is>
      </c>
      <c r="H61" s="10" t="inlineStr">
        <is>
          <t>確認待ち</t>
        </is>
      </c>
      <c r="I61" s="10" t="inlineStr">
        <is>
          <t>R8.9</t>
        </is>
      </c>
      <c r="J61" s="11" t="inlineStr">
        <is>
          <t>引用できれば、構成町・事業所に新たな集計事務を求めずに済む</t>
        </is>
      </c>
    </row>
    <row r="62" ht="88" customHeight="1">
      <c r="A62" s="4" t="n">
        <v>76</v>
      </c>
      <c r="B62" s="4" t="inlineStr">
        <is>
          <t>(4)</t>
        </is>
      </c>
      <c r="C62" s="4" t="inlineStr">
        <is>
          <t>R8.9</t>
        </is>
      </c>
      <c r="D62" s="5" t="inlineStr">
        <is>
          <t>介護リームスから抽出できる項目</t>
        </is>
      </c>
      <c r="E62"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62" s="5" t="inlineStr">
        <is>
          <t>計画素案 第4章第3節・資料1
図表集31シート</t>
        </is>
      </c>
      <c r="G62" s="5" t="inlineStr">
        <is>
          <t>発注者</t>
        </is>
      </c>
      <c r="H62" s="10" t="inlineStr">
        <is>
          <t>確認待ち</t>
        </is>
      </c>
      <c r="I62" s="10" t="inlineStr">
        <is>
          <t>R8.9</t>
        </is>
      </c>
      <c r="J62" s="11" t="inlineStr">
        <is>
          <t>H03はこれまで「要確認・未算定」であった。データ源が確定すれば本文の成果指標に格上げできる</t>
        </is>
      </c>
    </row>
    <row r="63" ht="88" customHeight="1">
      <c r="A63" s="4" t="n">
        <v>75</v>
      </c>
      <c r="B63" s="4" t="inlineStr">
        <is>
          <t>(6)(7)</t>
        </is>
      </c>
      <c r="C63" s="4" t="inlineStr">
        <is>
          <t>R8.9</t>
        </is>
      </c>
      <c r="D63" s="5" t="inlineStr">
        <is>
          <t>代表KPIと改善事項の再整理案</t>
        </is>
      </c>
      <c r="E63"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3" s="5" t="inlineStr">
        <is>
          <t>計画素案 第4章第3節・第5章・資料1
骨子案 第4節
図表集31シート
代表KPIの振替案と確認事項の精査</t>
        </is>
      </c>
      <c r="G63" s="5" t="inlineStr">
        <is>
          <t>発注者</t>
        </is>
      </c>
      <c r="H63" s="10" t="inlineStr">
        <is>
          <t>確認待ち</t>
        </is>
      </c>
      <c r="I63" s="10" t="inlineStr">
        <is>
          <t>R8.9</t>
        </is>
      </c>
      <c r="J63" s="11" t="inlineStr">
        <is>
          <t>決定4（代表KPIの目標値）は、本案が了承されると対象が7項目に減る。本案の了承を先に行っていただきたい</t>
        </is>
      </c>
    </row>
    <row r="64" ht="88" customHeight="1">
      <c r="A64" s="4" t="n">
        <v>74</v>
      </c>
      <c r="B64" s="4" t="inlineStr">
        <is>
          <t>(2)(6)</t>
        </is>
      </c>
      <c r="C64" s="4" t="inlineStr">
        <is>
          <t>R8.9</t>
        </is>
      </c>
      <c r="D64" s="5" t="inlineStr">
        <is>
          <t>有料老人ホーム等の家賃等の情報収集（北海道）</t>
        </is>
      </c>
      <c r="E64"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4" s="5" t="inlineStr">
        <is>
          <t>ケアプラン点検実施要領（案）9
計画素案 第5章 基本目標5</t>
        </is>
      </c>
      <c r="G64" s="5" t="inlineStr">
        <is>
          <t>北海道上川総合振興局</t>
        </is>
      </c>
      <c r="H64" s="10" t="inlineStr">
        <is>
          <t>確認待ち</t>
        </is>
      </c>
      <c r="I64" s="10" t="inlineStr">
        <is>
          <t>R9.4</t>
        </is>
      </c>
      <c r="J64" s="11" t="inlineStr">
        <is>
          <t>北海道が情報収集を行っていない場合、市町村が単独で取り組んでも評価の対象とならない。令和9年4月の依頼に併せて確認する</t>
        </is>
      </c>
    </row>
    <row r="65" ht="88" customHeight="1">
      <c r="A65" s="4" t="n">
        <v>73</v>
      </c>
      <c r="B65" s="4" t="inlineStr">
        <is>
          <t>(2)(6)</t>
        </is>
      </c>
      <c r="C65" s="4" t="inlineStr">
        <is>
          <t>R8.9</t>
        </is>
      </c>
      <c r="D65" s="5" t="inlineStr">
        <is>
          <t>ケアプラン点検実施要領（案）の確定に要する事項</t>
        </is>
      </c>
      <c r="E65"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5" s="5" t="inlineStr">
        <is>
          <t>ケアプラン点検実施要領（案）
計画素案 第5章 基本目標5</t>
        </is>
      </c>
      <c r="G65" s="5" t="inlineStr">
        <is>
          <t>発注者・3町</t>
        </is>
      </c>
      <c r="H65" s="10" t="inlineStr">
        <is>
          <t>確認待ち</t>
        </is>
      </c>
      <c r="I65" s="10" t="inlineStr">
        <is>
          <t>R8.9</t>
        </is>
      </c>
      <c r="J65" s="11" t="inlineStr">
        <is>
          <t>④は美瑛町がエ・オとも8点、東神楽町がオで8点を得ており、東川町は両方とも0点である。3町の取組を持ち寄れば区域共通の仕組みとして16点分が回復する</t>
        </is>
      </c>
    </row>
    <row r="66" ht="88" customHeight="1">
      <c r="A66" s="4" t="n">
        <v>72</v>
      </c>
      <c r="B66" s="4" t="inlineStr">
        <is>
          <t>(2)(6)</t>
        </is>
      </c>
      <c r="C66" s="4" t="inlineStr">
        <is>
          <t>R8.9</t>
        </is>
      </c>
      <c r="D66" s="5" t="inlineStr">
        <is>
          <t>介護給付適正化のケアプラン点検の着手（本文記載）</t>
        </is>
      </c>
      <c r="E66"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6" s="5" t="inlineStr">
        <is>
          <t>計画素案 第5章 基本目標5
ケアプラン点検実施要領（案）
策定委員会資料_交付金評価結果 5</t>
        </is>
      </c>
      <c r="G66" s="5" t="inlineStr">
        <is>
          <t>発注者</t>
        </is>
      </c>
      <c r="H66" s="6" t="inlineStr">
        <is>
          <t>了承済</t>
        </is>
      </c>
      <c r="I66" s="10" t="inlineStr">
        <is>
          <t>R8.9.3</t>
        </is>
      </c>
      <c r="J66"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7" ht="88" customHeight="1">
      <c r="A67" s="4" t="n">
        <v>71</v>
      </c>
      <c r="B67" s="4" t="inlineStr">
        <is>
          <t>(2)(7)</t>
        </is>
      </c>
      <c r="C67" s="4" t="inlineStr">
        <is>
          <t>R8.9</t>
        </is>
      </c>
      <c r="D67" s="5" t="inlineStr">
        <is>
          <t>交付金の評価結果を委員会資料として整理したこと</t>
        </is>
      </c>
      <c r="E67"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7" s="5" t="inlineStr">
        <is>
          <t>計画素案 第1章第6節・第3章
策定委員会資料_交付金評価結果</t>
        </is>
      </c>
      <c r="G67" s="5" t="inlineStr">
        <is>
          <t>発注者</t>
        </is>
      </c>
      <c r="H67" s="6" t="inlineStr">
        <is>
          <t>了承済</t>
        </is>
      </c>
      <c r="I67" s="10" t="inlineStr">
        <is>
          <t>R8.9.3</t>
        </is>
      </c>
      <c r="J67"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8" ht="88" customHeight="1">
      <c r="A68" s="4" t="n">
        <v>70</v>
      </c>
      <c r="B68" s="4" t="inlineStr">
        <is>
          <t>(2)(6)</t>
        </is>
      </c>
      <c r="C68" s="4" t="inlineStr">
        <is>
          <t>R8.9</t>
        </is>
      </c>
      <c r="D68" s="5" t="inlineStr">
        <is>
          <t>交付金の全国順位の計画本文への掲載</t>
        </is>
      </c>
      <c r="E68" s="5" t="inlineStr">
        <is>
          <t>交付金の全国集計結果の原本（令和6〜8年度）を受領し、これまで3町の値しか持たなかった比較を全国1,741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8" s="5" t="inlineStr">
        <is>
          <t>計画素案 第4章第4節
図表集 27シート
交付金評価指標と全国集計の受領点検 04シート</t>
        </is>
      </c>
      <c r="G68" s="5" t="inlineStr">
        <is>
          <t>発注者</t>
        </is>
      </c>
      <c r="H68" s="10" t="inlineStr">
        <is>
          <t>確認待ち</t>
        </is>
      </c>
      <c r="I68" s="10" t="inlineStr">
        <is>
          <t>R8.9</t>
        </is>
      </c>
      <c r="J68"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9" ht="88" customHeight="1">
      <c r="A69" s="4" t="n">
        <v>69</v>
      </c>
      <c r="B69" s="4" t="inlineStr">
        <is>
          <t>(2)(6)</t>
        </is>
      </c>
      <c r="C69" s="4" t="inlineStr">
        <is>
          <t>R8.9</t>
        </is>
      </c>
      <c r="D69" s="5" t="inlineStr">
        <is>
          <t>成果指向型配分枠（令和8年度新設）への対応</t>
        </is>
      </c>
      <c r="E69"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9" s="5" t="inlineStr">
        <is>
          <t>計画素案 第5章
交付金評価指標と全国集計の受領点検 06シート</t>
        </is>
      </c>
      <c r="G69" s="5" t="inlineStr">
        <is>
          <t>発注者</t>
        </is>
      </c>
      <c r="H69" s="10" t="inlineStr">
        <is>
          <t>確認待ち</t>
        </is>
      </c>
      <c r="I69" s="10" t="inlineStr">
        <is>
          <t>R8.10</t>
        </is>
      </c>
      <c r="J69" s="11" t="inlineStr">
        <is>
          <t>令和7年3月の全国介護保険・高齢者保健福祉担当課長会議資料（介護保険計画課）によれば、成果指向型配分枠は令和7年度に新設され、令和8年度評価指標においては例年7〜8月頃に実施する該当状況調査において成果指向型配分枠分も併せて実施する予定とされている。3町が令和8年度の該当状況調査で回答している可能性がある。第10期の初年度（令和9年度）の交付金は令和8年度の取組を評価する。本計画の策定と並行して令和8年度の取組を設計できれば、第10期の初年度から得点に結びつく</t>
        </is>
      </c>
    </row>
    <row r="70" ht="88" customHeight="1">
      <c r="A70" s="4" t="n">
        <v>67</v>
      </c>
      <c r="B70" s="4" t="inlineStr">
        <is>
          <t>(5)(6)</t>
        </is>
      </c>
      <c r="C70" s="4" t="inlineStr">
        <is>
          <t>R8.8</t>
        </is>
      </c>
      <c r="D70" s="5" t="inlineStr">
        <is>
          <t>算定方法の国の様式との整合（点検結果）</t>
        </is>
      </c>
      <c r="E70"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70" s="5" t="inlineStr">
        <is>
          <t>算定方法の整合確認（国と見える化）
将来推計 第2段階・第3段階
計画素案 第6章第3節・第6節</t>
        </is>
      </c>
      <c r="G70" s="5" t="inlineStr">
        <is>
          <t>発注者</t>
        </is>
      </c>
      <c r="H70" s="10" t="inlineStr">
        <is>
          <t>確認待ち</t>
        </is>
      </c>
      <c r="I70" s="10" t="inlineStr">
        <is>
          <t>R8.9</t>
        </is>
      </c>
      <c r="J70" s="11" t="inlineStr">
        <is>
          <t>①②は保険料の算定基礎の範囲の問題であり、第10期の保険料水準に直接影響する。③④⑤は算定結果を変えないが、国の様式との対応を示すために必要である</t>
        </is>
      </c>
    </row>
    <row r="71" ht="88" customHeight="1">
      <c r="A71" s="4" t="n">
        <v>68</v>
      </c>
      <c r="B71" s="4" t="inlineStr">
        <is>
          <t>(5)</t>
        </is>
      </c>
      <c r="C71" s="4" t="inlineStr">
        <is>
          <t>R8.8</t>
        </is>
      </c>
      <c r="D71" s="5" t="inlineStr">
        <is>
          <t>見える化システムの自然体推計の再出力のお願い</t>
        </is>
      </c>
      <c r="E71"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71" s="5" t="inlineStr">
        <is>
          <t>将来推計 第3段階 01シート
算定方法の整合確認 04シート・07シート
計画素案 第6章第3節</t>
        </is>
      </c>
      <c r="G71" s="5" t="inlineStr">
        <is>
          <t>発注者</t>
        </is>
      </c>
      <c r="H71" s="10" t="inlineStr">
        <is>
          <t>確認待ち</t>
        </is>
      </c>
      <c r="I71" s="10" t="inlineStr">
        <is>
          <t>R8.9</t>
        </is>
      </c>
      <c r="J71" s="11" t="inlineStr">
        <is>
          <t>解消すれば、第2段階の見込量と第3段階の給付費とを同じ人口の基礎で接続できる。現行では両者が別々の経路で算定されており一致しない</t>
        </is>
      </c>
    </row>
    <row r="72" ht="88" customHeight="1">
      <c r="A72" s="4" t="n">
        <v>66</v>
      </c>
      <c r="B72" s="4" t="inlineStr">
        <is>
          <t>(4)(6)</t>
        </is>
      </c>
      <c r="C72" s="4" t="inlineStr">
        <is>
          <t>R8.8</t>
        </is>
      </c>
      <c r="D72" s="5" t="inlineStr">
        <is>
          <t>サービスガイドに掲載する事業所の範囲</t>
        </is>
      </c>
      <c r="E72"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72" s="5" t="inlineStr">
        <is>
          <t>介護高齢者福祉サービスガイド_構成案
3町の社会資源一覧との突合 06シート
計画素案 第2章第3節</t>
        </is>
      </c>
      <c r="G72" s="5" t="inlineStr">
        <is>
          <t>発注者</t>
        </is>
      </c>
      <c r="H72" s="10" t="inlineStr">
        <is>
          <t>確認待ち</t>
        </is>
      </c>
      <c r="I72" s="10" t="inlineStr">
        <is>
          <t>R8.9</t>
        </is>
      </c>
      <c r="J72" s="11" t="inlineStr">
        <is>
          <t>事業所数は出所により異なるが、どれかが誤っているのではなく時点と定義の違いである。住民に配布するガイドでは、編集の時点で最新の公表資料により全件を洗い直す必要がある</t>
        </is>
      </c>
    </row>
    <row r="73" ht="88" customHeight="1">
      <c r="A73" s="4" t="n">
        <v>65</v>
      </c>
      <c r="B73" s="4" t="inlineStr">
        <is>
          <t>(6)(7)</t>
        </is>
      </c>
      <c r="C73" s="4" t="inlineStr">
        <is>
          <t>R8.8</t>
        </is>
      </c>
      <c r="D73" s="5" t="inlineStr">
        <is>
          <t>広域連合において行うべき事業の優先順位</t>
        </is>
      </c>
      <c r="E73"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3" s="5" t="inlineStr">
        <is>
          <t>広域連合において行うべき事業の優先順位
介護高齢者福祉サービスガイド_構成案
計画素案 第5章・第6章第3節2</t>
        </is>
      </c>
      <c r="G73" s="5" t="inlineStr">
        <is>
          <t>発注者</t>
        </is>
      </c>
      <c r="H73" s="10" t="inlineStr">
        <is>
          <t>確認待ち</t>
        </is>
      </c>
      <c r="I73" s="10" t="inlineStr">
        <is>
          <t>R8.9</t>
        </is>
      </c>
      <c r="J73"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4" ht="88" customHeight="1">
      <c r="A74" s="4" t="n">
        <v>64</v>
      </c>
      <c r="B74" s="4" t="inlineStr">
        <is>
          <t>(6)</t>
        </is>
      </c>
      <c r="C74" s="4" t="inlineStr">
        <is>
          <t>R8.8</t>
        </is>
      </c>
      <c r="D74" s="5" t="inlineStr">
        <is>
          <t>区域内に事業所がないサービスの住民向けの記載</t>
        </is>
      </c>
      <c r="E74"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4" s="5" t="inlineStr">
        <is>
          <t>介護高齢者福祉サービスガイド_構成案
計画素案 第6章第4節</t>
        </is>
      </c>
      <c r="G74" s="5" t="inlineStr">
        <is>
          <t>発注者</t>
        </is>
      </c>
      <c r="H74" s="10" t="inlineStr">
        <is>
          <t>確認待ち</t>
        </is>
      </c>
      <c r="I74" s="10" t="inlineStr">
        <is>
          <t>R8.10</t>
        </is>
      </c>
      <c r="J74" s="11" t="inlineStr">
        <is>
          <t>第10期計画の確保方策（第6章第4節の3案）の決定と一体の判断である。整備しないことを決めるのであれば、他保険者の事業所の利用の案内は住民にとって必要になる</t>
        </is>
      </c>
    </row>
    <row r="75" ht="88" customHeight="1">
      <c r="A75" s="4" t="n">
        <v>63</v>
      </c>
      <c r="B75" s="4" t="inlineStr">
        <is>
          <t>(4)(5)</t>
        </is>
      </c>
      <c r="C75" s="4" t="inlineStr">
        <is>
          <t>R8.8</t>
        </is>
      </c>
      <c r="D75" s="5" t="inlineStr">
        <is>
          <t>人口推計の基礎を総合戦略とするご指示への対応</t>
        </is>
      </c>
      <c r="E75"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5" s="5" t="inlineStr">
        <is>
          <t>人口推計の基礎の変更_総合戦略ベース
将来推計 第1〜3段階
計画素案 第2章第1節・第6章</t>
        </is>
      </c>
      <c r="G75" s="5" t="inlineStr">
        <is>
          <t>発注者</t>
        </is>
      </c>
      <c r="H75" s="10" t="inlineStr">
        <is>
          <t>確認待ち</t>
        </is>
      </c>
      <c r="I75" s="10" t="inlineStr">
        <is>
          <t>R8.9</t>
        </is>
      </c>
      <c r="J75" s="11" t="inlineStr">
        <is>
          <t>4件は一体の判断である。9月中にご確認いただければ10月の3町協議に間に合う。成果品は案Cに置き換え済みであり、案A・案Bは対比の記録として残している</t>
        </is>
      </c>
    </row>
    <row r="76" ht="88" customHeight="1">
      <c r="A76" s="4" t="n">
        <v>62</v>
      </c>
      <c r="B76" s="4" t="inlineStr">
        <is>
          <t>(4)</t>
        </is>
      </c>
      <c r="C76" s="4" t="inlineStr">
        <is>
          <t>R8.8</t>
        </is>
      </c>
      <c r="D76" s="5" t="inlineStr">
        <is>
          <t>社人研推計の町別データの入手（完了）</t>
        </is>
      </c>
      <c r="E76"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6" s="5" t="inlineStr">
        <is>
          <t>計画素案 第2章第1節
人口推計の補正 05シート</t>
        </is>
      </c>
      <c r="G76" s="5" t="inlineStr">
        <is>
          <t>発注者</t>
        </is>
      </c>
      <c r="H76" s="6" t="inlineStr">
        <is>
          <t>完了</t>
        </is>
      </c>
      <c r="I76" s="10" t="inlineStr">
        <is>
          <t>R8.8.31</t>
        </is>
      </c>
      <c r="J76"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7" ht="88" customHeight="1">
      <c r="A77" s="4" t="n">
        <v>61</v>
      </c>
      <c r="B77" s="4" t="inlineStr">
        <is>
          <t>(2)</t>
        </is>
      </c>
      <c r="C77" s="4" t="inlineStr">
        <is>
          <t>R8.8</t>
        </is>
      </c>
      <c r="D77" s="5" t="inlineStr">
        <is>
          <t>交付金の評価項目と19施策の割当て</t>
        </is>
      </c>
      <c r="E77"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7" s="5" t="inlineStr">
        <is>
          <t>第9期施策別評価表 06シート</t>
        </is>
      </c>
      <c r="G77" s="5" t="inlineStr">
        <is>
          <t>発注者</t>
        </is>
      </c>
      <c r="H77" s="10" t="inlineStr">
        <is>
          <t>確認待ち</t>
        </is>
      </c>
      <c r="I77" s="10" t="inlineStr">
        <is>
          <t>R8.9</t>
        </is>
      </c>
      <c r="J77" s="11" t="inlineStr">
        <is>
          <t>交付金は取組の有無と要件の充足を測るものであり、事業量・対象実人数・決算額を測るものではない。プロセス評価の代替にはならない</t>
        </is>
      </c>
    </row>
    <row r="78" ht="88" customHeight="1">
      <c r="A78" s="4" t="n">
        <v>60</v>
      </c>
      <c r="B78" s="4" t="inlineStr">
        <is>
          <t>(5)</t>
        </is>
      </c>
      <c r="C78" s="4" t="inlineStr">
        <is>
          <t>R8.8</t>
        </is>
      </c>
      <c r="D78" s="5" t="inlineStr">
        <is>
          <t>第10期の保険料算定の前提（受託者案）</t>
        </is>
      </c>
      <c r="E78"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8" s="5" t="inlineStr">
        <is>
          <t>将来推計 第3段階 05・06シート
計画素案 第6章第6節</t>
        </is>
      </c>
      <c r="G78" s="5" t="inlineStr">
        <is>
          <t>発注者</t>
        </is>
      </c>
      <c r="H78" s="10" t="inlineStr">
        <is>
          <t>確認待ち</t>
        </is>
      </c>
      <c r="I78" s="10" t="inlineStr">
        <is>
          <t>R8.10</t>
        </is>
      </c>
      <c r="J78" s="11" t="inlineStr">
        <is>
          <t>第10期の保険料水準の決定に直結する。水準そのものより「どの前提でその水準になるか」を示すことが要る</t>
        </is>
      </c>
    </row>
    <row r="79" ht="88" customHeight="1">
      <c r="A79" s="4" t="n">
        <v>59</v>
      </c>
      <c r="B79" s="4" t="inlineStr">
        <is>
          <t>(5)</t>
        </is>
      </c>
      <c r="C79" s="4" t="inlineStr">
        <is>
          <t>R8.8</t>
        </is>
      </c>
      <c r="D79" s="5" t="inlineStr">
        <is>
          <t>調整交付金の算定基礎の確認</t>
        </is>
      </c>
      <c r="E79"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9" s="5" t="inlineStr">
        <is>
          <t>将来推計 第3段階 00・03シート</t>
        </is>
      </c>
      <c r="G79" s="5" t="inlineStr">
        <is>
          <t>発注者</t>
        </is>
      </c>
      <c r="H79" s="10" t="inlineStr">
        <is>
          <t>確認待ち</t>
        </is>
      </c>
      <c r="I79" s="10" t="inlineStr">
        <is>
          <t>R8.9</t>
        </is>
      </c>
      <c r="J79" s="11" t="inlineStr">
        <is>
          <t>この扱いにより第9期の算定を再現でき、公表値6,428円と一致した。第10期の算定でも同じ扱いによる</t>
        </is>
      </c>
    </row>
    <row r="80" ht="88" customHeight="1">
      <c r="A80" s="4" t="n">
        <v>58</v>
      </c>
      <c r="B80" s="4" t="inlineStr">
        <is>
          <t>(2)</t>
        </is>
      </c>
      <c r="C80" s="4" t="inlineStr">
        <is>
          <t>R8.8</t>
        </is>
      </c>
      <c r="D80" s="5" t="inlineStr">
        <is>
          <t>定期巡回・随時対応型訪問介護看護の第10期の取扱い</t>
        </is>
      </c>
      <c r="E80"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80" s="5" t="inlineStr">
        <is>
          <t>見える化総括表の受領点検 02シート
計画素案 第4章</t>
        </is>
      </c>
      <c r="G80" s="5" t="inlineStr">
        <is>
          <t>発注者</t>
        </is>
      </c>
      <c r="H80" s="10" t="inlineStr">
        <is>
          <t>確認待ち</t>
        </is>
      </c>
      <c r="I80" s="10" t="inlineStr">
        <is>
          <t>R8.9</t>
        </is>
      </c>
      <c r="J80" s="11" t="inlineStr">
        <is>
          <t>2期続けて計画に位置づけながら実績が伴っていない。代表KPI H12（必要サービス未充足率）の設定にも関わる</t>
        </is>
      </c>
    </row>
    <row r="81" ht="88" customHeight="1">
      <c r="A81" s="4" t="n">
        <v>57</v>
      </c>
      <c r="B81" s="4" t="inlineStr">
        <is>
          <t>(2)</t>
        </is>
      </c>
      <c r="C81" s="4" t="inlineStr">
        <is>
          <t>R8.8</t>
        </is>
      </c>
      <c r="D81" s="5" t="inlineStr">
        <is>
          <t>計画値を0としたサービスに実績がある2件</t>
        </is>
      </c>
      <c r="E81"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81" s="5" t="inlineStr">
        <is>
          <t>見える化総括表の受領点検 02シート
計画素案 第4章</t>
        </is>
      </c>
      <c r="G81" s="5" t="inlineStr">
        <is>
          <t>発注者</t>
        </is>
      </c>
      <c r="H81" s="10" t="inlineStr">
        <is>
          <t>確認待ち</t>
        </is>
      </c>
      <c r="I81" s="10" t="inlineStr">
        <is>
          <t>R8.9</t>
        </is>
      </c>
      <c r="J81" s="11" t="inlineStr">
        <is>
          <t>計画値が0だと対計画比が算出されず、評価の対象から漏れる。第10期で同じ状態を繰り返さないための確認</t>
        </is>
      </c>
    </row>
    <row r="82" ht="88" customHeight="1">
      <c r="A82" s="4" t="n">
        <v>56</v>
      </c>
      <c r="B82" s="4" t="inlineStr">
        <is>
          <t>(2)</t>
        </is>
      </c>
      <c r="C82" s="4" t="inlineStr">
        <is>
          <t>R8.8</t>
        </is>
      </c>
      <c r="D82" s="5" t="inlineStr">
        <is>
          <t>令和8年8月31日受領の要介護認定集計帳票6件が他団体のもの</t>
        </is>
      </c>
      <c r="E82"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82" s="5" t="inlineStr">
        <is>
          <t>見える化総括表の受領点検 00シート</t>
        </is>
      </c>
      <c r="G82" s="5" t="inlineStr">
        <is>
          <t>発注者</t>
        </is>
      </c>
      <c r="H82" s="10" t="inlineStr">
        <is>
          <t>確認待ち</t>
        </is>
      </c>
      <c r="I82" s="10" t="inlineStr">
        <is>
          <t>R8.9</t>
        </is>
      </c>
      <c r="J82" s="11" t="inlineStr">
        <is>
          <t>他団体の資料を成果品に用いない。第8期の認定所要日数の推移は第9期の評価の材料になる</t>
        </is>
      </c>
    </row>
    <row r="83" ht="88" customHeight="1">
      <c r="A83" s="4" t="n">
        <v>54</v>
      </c>
      <c r="B83" s="4" t="inlineStr">
        <is>
          <t>(12)</t>
        </is>
      </c>
      <c r="C83" s="4" t="inlineStr">
        <is>
          <t>R8.8</t>
        </is>
      </c>
      <c r="D83" s="5" t="inlineStr">
        <is>
          <t>議事録の文書プロパティに個人名が再度入る</t>
        </is>
      </c>
      <c r="E83"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3" s="5" t="inlineStr">
        <is>
          <t>中間報告会議議事録
業務工程管理表</t>
        </is>
      </c>
      <c r="G83" s="5" t="inlineStr">
        <is>
          <t>発注者</t>
        </is>
      </c>
      <c r="H83" s="10" t="inlineStr">
        <is>
          <t>確認待ち</t>
        </is>
      </c>
      <c r="I83" s="10" t="inlineStr">
        <is>
          <t>R8.9</t>
        </is>
      </c>
      <c r="J83" s="11" t="inlineStr">
        <is>
          <t>本文には現れないため、通読では気づかない</t>
        </is>
      </c>
    </row>
    <row r="84" ht="88" customHeight="1">
      <c r="A84" s="4" t="n">
        <v>55</v>
      </c>
      <c r="B84" s="4" t="inlineStr">
        <is>
          <t>(12)</t>
        </is>
      </c>
      <c r="C84" s="4" t="inlineStr">
        <is>
          <t>R8.8</t>
        </is>
      </c>
      <c r="D84" s="5" t="inlineStr">
        <is>
          <t>議事録の表記に関するご提案3件</t>
        </is>
      </c>
      <c r="E84"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4" s="5" t="inlineStr">
        <is>
          <t>中間報告会議議事録
業務工程管理表</t>
        </is>
      </c>
      <c r="G84" s="5" t="inlineStr">
        <is>
          <t>発注者</t>
        </is>
      </c>
      <c r="H84" s="10" t="inlineStr">
        <is>
          <t>確認待ち</t>
        </is>
      </c>
      <c r="I84" s="10" t="inlineStr">
        <is>
          <t>R8.9</t>
        </is>
      </c>
      <c r="J84" s="11" t="inlineStr">
        <is>
          <t>文意は変わらない。読みやすさと文体の統一に関するもの</t>
        </is>
      </c>
    </row>
    <row r="85" ht="88" customHeight="1">
      <c r="A85" s="4" t="n">
        <v>53</v>
      </c>
      <c r="B85" s="4" t="inlineStr">
        <is>
          <t>(5)</t>
        </is>
      </c>
      <c r="C85" s="4" t="inlineStr">
        <is>
          <t>R8.8</t>
        </is>
      </c>
      <c r="D85" s="5" t="inlineStr">
        <is>
          <t>介護保険事業財政調整基金の積立ての上限と取崩方針</t>
        </is>
      </c>
      <c r="E85"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5" s="5" t="inlineStr">
        <is>
          <t>基金条例の確認 02シート
素案 第6章第6節
将来推計 第3段階</t>
        </is>
      </c>
      <c r="G85" s="5" t="inlineStr">
        <is>
          <t>発注者</t>
        </is>
      </c>
      <c r="H85" s="10" t="inlineStr">
        <is>
          <t>確認待ち</t>
        </is>
      </c>
      <c r="I85" s="10" t="inlineStr">
        <is>
          <t>R8.9</t>
        </is>
      </c>
      <c r="J85" s="11" t="inlineStr">
        <is>
          <t>第10期の保険料の水準に影響する。条例の受領により判明した</t>
        </is>
      </c>
    </row>
    <row r="86" ht="88" customHeight="1">
      <c r="A86" s="4" t="n">
        <v>52</v>
      </c>
      <c r="B86" s="4" t="inlineStr">
        <is>
          <t>(5)</t>
        </is>
      </c>
      <c r="C86" s="4" t="inlineStr">
        <is>
          <t>R8.8</t>
        </is>
      </c>
      <c r="D86" s="5" t="inlineStr">
        <is>
          <t>令和6年度決算書の受領に伴う確認</t>
        </is>
      </c>
      <c r="E86"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6" s="5" t="inlineStr">
        <is>
          <t>令和6年度決算書の受領点検 03シート
素案 第6章第3節・第6節</t>
        </is>
      </c>
      <c r="G86" s="5" t="inlineStr">
        <is>
          <t>発注者</t>
        </is>
      </c>
      <c r="H86" s="10" t="inlineStr">
        <is>
          <t>確認待ち</t>
        </is>
      </c>
      <c r="I86" s="10" t="inlineStr">
        <is>
          <t>R8.9</t>
        </is>
      </c>
      <c r="J86" s="11" t="inlineStr">
        <is>
          <t>いずれも金額の総額に影響しない。名称と科目の確認である</t>
        </is>
      </c>
    </row>
    <row r="87" ht="88" customHeight="1">
      <c r="A87" s="4" t="n">
        <v>51</v>
      </c>
      <c r="B87" s="4" t="inlineStr">
        <is>
          <t>(2)</t>
        </is>
      </c>
      <c r="C87" s="4" t="inlineStr">
        <is>
          <t>R8.8</t>
        </is>
      </c>
      <c r="D87" s="5" t="inlineStr">
        <is>
          <t>月報の値の接続のずれ（ご報告）</t>
        </is>
      </c>
      <c r="E87"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7" s="5" t="inlineStr">
        <is>
          <t>年報月報の受領点検 04シート</t>
        </is>
      </c>
      <c r="G87" s="5" t="inlineStr">
        <is>
          <t>発注者</t>
        </is>
      </c>
      <c r="H87" s="10" t="inlineStr">
        <is>
          <t>確認待ち</t>
        </is>
      </c>
      <c r="I87" s="10" t="inlineStr">
        <is>
          <t>R8.9</t>
        </is>
      </c>
      <c r="J87" s="11" t="inlineStr">
        <is>
          <t>計画本文への影響はない。記録として残すもの</t>
        </is>
      </c>
    </row>
    <row r="88" ht="88" customHeight="1">
      <c r="A88" s="4" t="n">
        <v>50</v>
      </c>
      <c r="B88" s="4" t="inlineStr">
        <is>
          <t>(5)</t>
        </is>
      </c>
      <c r="C88" s="4" t="inlineStr">
        <is>
          <t>R8.8</t>
        </is>
      </c>
      <c r="D88" s="5" t="inlineStr">
        <is>
          <t>年報・月報の受領に伴う確認</t>
        </is>
      </c>
      <c r="E88"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8" s="5" t="inlineStr">
        <is>
          <t>年報月報の受領点検
将来推計 第3段階
素案 第6章第3節・第6節</t>
        </is>
      </c>
      <c r="G88" s="5" t="inlineStr">
        <is>
          <t>発注者</t>
        </is>
      </c>
      <c r="H88" s="10" t="inlineStr">
        <is>
          <t>確認待ち</t>
        </is>
      </c>
      <c r="I88" s="10" t="inlineStr">
        <is>
          <t>R8.9</t>
        </is>
      </c>
      <c r="J88" s="11" t="inlineStr">
        <is>
          <t>①は第10期の保険料算定を止めている。最優先</t>
        </is>
      </c>
    </row>
    <row r="89" ht="88" customHeight="1">
      <c r="A89" s="4" t="n">
        <v>49</v>
      </c>
      <c r="B89" s="4" t="inlineStr">
        <is>
          <t>(12)</t>
        </is>
      </c>
      <c r="C89" s="4" t="inlineStr">
        <is>
          <t>R8.8</t>
        </is>
      </c>
      <c r="D89" s="5" t="inlineStr">
        <is>
          <t>中間報告会議の議事録の記載の確認【回答済】</t>
        </is>
      </c>
      <c r="E89"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9" s="5" t="inlineStr">
        <is>
          <t>中間報告会議議事録
業務工程管理表
必要事項の一覧</t>
        </is>
      </c>
      <c r="G89" s="5" t="inlineStr">
        <is>
          <t>発注者</t>
        </is>
      </c>
      <c r="H89" s="6" t="inlineStr">
        <is>
          <t>了承済</t>
        </is>
      </c>
      <c r="I89" s="10" t="inlineStr">
        <is>
          <t>R8.8.28</t>
        </is>
      </c>
      <c r="J89" s="11" t="inlineStr">
        <is>
          <t>議事録に反映済み。年報・月報の到着後に資料No.21・22を受領済とする</t>
        </is>
      </c>
    </row>
    <row r="90" ht="88" customHeight="1">
      <c r="A90" s="4" t="n">
        <v>48</v>
      </c>
      <c r="B90" s="4" t="inlineStr">
        <is>
          <t>(2)</t>
        </is>
      </c>
      <c r="C90" s="4" t="inlineStr">
        <is>
          <t>R8.8</t>
        </is>
      </c>
      <c r="D90" s="5" t="inlineStr">
        <is>
          <t>総合事業の実施状況に関する調査（令和6年度）の確認</t>
        </is>
      </c>
      <c r="E90"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90" s="5" t="inlineStr">
        <is>
          <t>総合事業実施状況調査の受領点検
素案 第3章第1節・第2節
H05の基準値</t>
        </is>
      </c>
      <c r="G90" s="5" t="inlineStr">
        <is>
          <t>発注者</t>
        </is>
      </c>
      <c r="H90" s="10" t="inlineStr">
        <is>
          <t>確認待ち</t>
        </is>
      </c>
      <c r="I90" s="10" t="inlineStr">
        <is>
          <t>R8.9</t>
        </is>
      </c>
      <c r="J90" s="11" t="inlineStr">
        <is>
          <t>第9期の通いの場と地域支援事業の評価に用いる</t>
        </is>
      </c>
    </row>
    <row r="91" ht="88" customHeight="1">
      <c r="A91" s="4" t="n">
        <v>47</v>
      </c>
      <c r="B91" s="4" t="inlineStr">
        <is>
          <t>(5)</t>
        </is>
      </c>
      <c r="C91" s="4" t="inlineStr">
        <is>
          <t>R8.8</t>
        </is>
      </c>
      <c r="D91" s="5" t="inlineStr">
        <is>
          <t>計画作成支援ツールの実績値シートの確認</t>
        </is>
      </c>
      <c r="E91"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91" s="5" t="inlineStr">
        <is>
          <t>給付実績データの受領点検 04シート
将来推計 第3段階</t>
        </is>
      </c>
      <c r="G91" s="5" t="inlineStr">
        <is>
          <t>発注者</t>
        </is>
      </c>
      <c r="H91" s="10" t="inlineStr">
        <is>
          <t>確認待ち</t>
        </is>
      </c>
      <c r="I91" s="10" t="inlineStr">
        <is>
          <t>R8.9</t>
        </is>
      </c>
      <c r="J91" s="11" t="inlineStr">
        <is>
          <t>第3段階（給付費・保険料）の算定に用いる</t>
        </is>
      </c>
    </row>
    <row r="92" ht="88" customHeight="1">
      <c r="A92" s="4" t="n">
        <v>46</v>
      </c>
      <c r="B92" s="4" t="inlineStr">
        <is>
          <t>(5)</t>
        </is>
      </c>
      <c r="C92" s="4" t="inlineStr">
        <is>
          <t>R8.8</t>
        </is>
      </c>
      <c r="D92" s="5" t="inlineStr">
        <is>
          <t>令和7年度の給付費の集計が一致しない</t>
        </is>
      </c>
      <c r="E92" s="5" t="inlineStr">
        <is>
          <t>3町の給付費総額の合計が、大雪地区広域連合の給付費総額を129,580,267円（4.20％）上回っていた。【令和8年9月25日　解決】【大雪】令和7年度のファイルの再提供を受け、要介護度別まで円単位で一致した（確認No.87と同じ件）。【美瑛町】令和7年度のファイルの利用回数のシート名が「（東神楽）」となっている点は、収録されている値が美瑛町のものであることを確認しており、シート名の誤りとして扱う。</t>
        </is>
      </c>
      <c r="F92" s="5" t="inlineStr">
        <is>
          <t>給付実績データの受領点検
将来推計 第2・3段階</t>
        </is>
      </c>
      <c r="G92" s="5" t="inlineStr">
        <is>
          <t>発注者</t>
        </is>
      </c>
      <c r="H92" s="10" t="inlineStr">
        <is>
          <t>確認待ち</t>
        </is>
      </c>
      <c r="I92" s="10" t="inlineStr">
        <is>
          <t>R8.9</t>
        </is>
      </c>
      <c r="J92" s="11" t="inlineStr">
        <is>
          <t>解消するまでは令和7年度の町別の値は用いず、大雪地区広域連合の合計のみを用いる</t>
        </is>
      </c>
    </row>
    <row r="93" ht="88" customHeight="1">
      <c r="A93" s="4" t="n">
        <v>44</v>
      </c>
      <c r="B93" s="4" t="inlineStr">
        <is>
          <t>(5)</t>
        </is>
      </c>
      <c r="C93" s="4" t="inlineStr">
        <is>
          <t>R8.8</t>
        </is>
      </c>
      <c r="D93" s="5" t="inlineStr">
        <is>
          <t>給付実績データに含まれる個人情報の取扱い</t>
        </is>
      </c>
      <c r="E93"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3" s="5" t="inlineStr">
        <is>
          <t>給付実績データの受領点検
将来推計 第2・3段階</t>
        </is>
      </c>
      <c r="G93" s="5" t="inlineStr">
        <is>
          <t>発注者</t>
        </is>
      </c>
      <c r="H93" s="6" t="inlineStr">
        <is>
          <t>了承済（保管せず廃棄）</t>
        </is>
      </c>
      <c r="I93" s="10" t="inlineStr">
        <is>
          <t>R8.8.28</t>
        </is>
      </c>
      <c r="J93"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4" ht="88" customHeight="1">
      <c r="A94" s="4" t="n">
        <v>45</v>
      </c>
      <c r="B94" s="4" t="inlineStr">
        <is>
          <t>(5)</t>
        </is>
      </c>
      <c r="C94" s="4" t="inlineStr">
        <is>
          <t>R8.8</t>
        </is>
      </c>
      <c r="D94" s="5" t="inlineStr">
        <is>
          <t>代表KPI H15の分母の定義</t>
        </is>
      </c>
      <c r="E94"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4" s="5" t="inlineStr">
        <is>
          <t>計画素案 第4章 資料1
中間報告 第3節</t>
        </is>
      </c>
      <c r="G94" s="5" t="inlineStr">
        <is>
          <t>発注者</t>
        </is>
      </c>
      <c r="H94" s="10" t="inlineStr">
        <is>
          <t>確認待ち</t>
        </is>
      </c>
      <c r="I94" s="10" t="inlineStr">
        <is>
          <t>R8.9</t>
        </is>
      </c>
      <c r="J94" s="11" t="inlineStr">
        <is>
          <t>受託者案は標準給付費見込額。計画期間を通じた財政運営の指標であるため</t>
        </is>
      </c>
    </row>
    <row r="95" ht="88" customHeight="1">
      <c r="A95" s="4" t="n">
        <v>43</v>
      </c>
      <c r="B95" s="4" t="inlineStr">
        <is>
          <t>(2)</t>
        </is>
      </c>
      <c r="C95" s="4" t="inlineStr">
        <is>
          <t>R8.8</t>
        </is>
      </c>
      <c r="D95" s="5" t="inlineStr">
        <is>
          <t>認定に要する日数の扱い</t>
        </is>
      </c>
      <c r="E95"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5" s="5" t="inlineStr">
        <is>
          <t>中間報告 第3節
計画素案 第2章・第5章</t>
        </is>
      </c>
      <c r="G95" s="5" t="inlineStr">
        <is>
          <t>発注者</t>
        </is>
      </c>
      <c r="H95" s="10" t="inlineStr">
        <is>
          <t>確認待ち</t>
        </is>
      </c>
      <c r="I95" s="10" t="inlineStr">
        <is>
          <t>R8.9</t>
        </is>
      </c>
      <c r="J95" s="11" t="inlineStr">
        <is>
          <t>令和8年8月28日受領の集計帳票により判明</t>
        </is>
      </c>
    </row>
    <row r="96" ht="88" customHeight="1">
      <c r="A96" s="4" t="n">
        <v>39</v>
      </c>
      <c r="B96" s="4" t="inlineStr">
        <is>
          <t>(2)</t>
        </is>
      </c>
      <c r="C96" s="4" t="inlineStr">
        <is>
          <t>R8.8</t>
        </is>
      </c>
      <c r="D96" s="5" t="inlineStr">
        <is>
          <t>中間報告・施策体系新旧対照表・骨子案のご確認</t>
        </is>
      </c>
      <c r="E96"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6" s="5" t="inlineStr">
        <is>
          <t>計画骨子案
施策体系新旧対照表
計画素案 第4章・第5章</t>
        </is>
      </c>
      <c r="G96" s="5" t="inlineStr">
        <is>
          <t>発注者</t>
        </is>
      </c>
      <c r="H96" s="10" t="inlineStr">
        <is>
          <t>確認待ち</t>
        </is>
      </c>
      <c r="I96" s="10" t="inlineStr">
        <is>
          <t>R8.9.2</t>
        </is>
      </c>
      <c r="J96" s="11" t="inlineStr">
        <is>
          <t>同打合せで期限を令和8年9月2日（水）と設定。令和8年8月28日の発注者のご指示により、議事録に①②を加え、期限を明記した（校正No.14・15）</t>
        </is>
      </c>
    </row>
    <row r="97" ht="88" customHeight="1">
      <c r="A97" s="4" t="n">
        <v>40</v>
      </c>
      <c r="B97" s="4" t="inlineStr">
        <is>
          <t>(3)</t>
        </is>
      </c>
      <c r="C97" s="4" t="inlineStr">
        <is>
          <t>R8.8</t>
        </is>
      </c>
      <c r="D97" s="5" t="inlineStr">
        <is>
          <t>社会資源一覧の従業員数の重複計上の扱い</t>
        </is>
      </c>
      <c r="E97"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7" s="5" t="inlineStr">
        <is>
          <t>従業員数の重複計上の整理
計画素案 第2章第3節・第6章第2節</t>
        </is>
      </c>
      <c r="G97" s="5" t="inlineStr">
        <is>
          <t>発注者・3町</t>
        </is>
      </c>
      <c r="H97" s="10" t="inlineStr">
        <is>
          <t>確認待ち</t>
        </is>
      </c>
      <c r="I97" s="10" t="inlineStr">
        <is>
          <t>R8.9</t>
        </is>
      </c>
      <c r="J97" s="11" t="inlineStr">
        <is>
          <t>受託者の案は施設単位の実人数。「従業員数の重複計上の整理」01シートに確認欄を設けて両案に対応した</t>
        </is>
      </c>
    </row>
    <row r="98" ht="88" customHeight="1">
      <c r="A98" s="4" t="n">
        <v>41</v>
      </c>
      <c r="B98" s="4" t="inlineStr">
        <is>
          <t>(5)</t>
        </is>
      </c>
      <c r="C98" s="4" t="inlineStr">
        <is>
          <t>R8.8</t>
        </is>
      </c>
      <c r="D98" s="5" t="inlineStr">
        <is>
          <t>令和8年度の実績の推定方法</t>
        </is>
      </c>
      <c r="E98"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8" s="5" t="inlineStr">
        <is>
          <t>計画素案 第6章
将来推計 第1〜3段階</t>
        </is>
      </c>
      <c r="G98" s="5" t="inlineStr">
        <is>
          <t>発注者</t>
        </is>
      </c>
      <c r="H98" s="6" t="inlineStr">
        <is>
          <t>了承済</t>
        </is>
      </c>
      <c r="I98" s="10" t="inlineStr">
        <is>
          <t>R8.8.26</t>
        </is>
      </c>
      <c r="J98" s="11" t="inlineStr">
        <is>
          <t>令和8年8月26日の進捗確認の打合せで了承。対前年比等の単純な外挿は用いない</t>
        </is>
      </c>
    </row>
    <row r="99" ht="88" customHeight="1">
      <c r="A99" s="4" t="n">
        <v>42</v>
      </c>
      <c r="B99" s="4" t="inlineStr">
        <is>
          <t>(8)</t>
        </is>
      </c>
      <c r="C99" s="4" t="inlineStr">
        <is>
          <t>R8.8</t>
        </is>
      </c>
      <c r="D99" s="5" t="inlineStr">
        <is>
          <t>キックオフ会議資料への工程表の反映</t>
        </is>
      </c>
      <c r="E99"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9" s="5" t="inlineStr">
        <is>
          <t>キックオフ会議資料</t>
        </is>
      </c>
      <c r="G99" s="5" t="inlineStr">
        <is>
          <t>発注者・3町</t>
        </is>
      </c>
      <c r="H99" s="8" t="inlineStr">
        <is>
          <t>対応中</t>
        </is>
      </c>
      <c r="I99" s="10" t="inlineStr">
        <is>
          <t>R8.8</t>
        </is>
      </c>
      <c r="J99" s="11" t="inlineStr">
        <is>
          <t>同打合せでご依頼をいただいた。反映する工程表は発注者ご作成の予定表による</t>
        </is>
      </c>
    </row>
    <row r="100" ht="88" customHeight="1">
      <c r="A100" s="4" t="n">
        <v>1</v>
      </c>
      <c r="B100" s="4" t="inlineStr">
        <is>
          <t>(1)</t>
        </is>
      </c>
      <c r="C100" s="4" t="inlineStr">
        <is>
          <t>R8.8</t>
        </is>
      </c>
      <c r="D100" s="5" t="inlineStr">
        <is>
          <t>特別地域加算の対象地域告示</t>
        </is>
      </c>
      <c r="E100"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100" s="5" t="inlineStr">
        <is>
          <t>素案 第1章第9節
追加調査報告書 01シート</t>
        </is>
      </c>
      <c r="G100" s="5" t="inlineStr">
        <is>
          <t>北海道</t>
        </is>
      </c>
      <c r="H100" s="10" t="inlineStr">
        <is>
          <t>確認待ち</t>
        </is>
      </c>
      <c r="I100" s="10" t="inlineStr">
        <is>
          <t>R8.9</t>
        </is>
      </c>
      <c r="J100" s="11" t="inlineStr"/>
    </row>
    <row r="101" ht="88" customHeight="1">
      <c r="A101" s="4" t="n">
        <v>2</v>
      </c>
      <c r="B101" s="4" t="inlineStr">
        <is>
          <t>(1)</t>
        </is>
      </c>
      <c r="C101" s="4" t="inlineStr">
        <is>
          <t>R8.9</t>
        </is>
      </c>
      <c r="D101" s="5" t="inlineStr">
        <is>
          <t>特定地域の指定に係る意向表明の手続</t>
        </is>
      </c>
      <c r="E101"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101" s="5" t="inlineStr">
        <is>
          <t>素案 第1章第9節・第6章第4節</t>
        </is>
      </c>
      <c r="G101" s="5" t="inlineStr">
        <is>
          <t>北海道</t>
        </is>
      </c>
      <c r="H101" s="10" t="inlineStr">
        <is>
          <t>確認待ち</t>
        </is>
      </c>
      <c r="I101" s="10" t="inlineStr">
        <is>
          <t>R8.10</t>
        </is>
      </c>
      <c r="J101" s="11" t="inlineStr"/>
    </row>
    <row r="102" ht="88" customHeight="1">
      <c r="A102" s="4" t="n">
        <v>3</v>
      </c>
      <c r="B102" s="4" t="inlineStr">
        <is>
          <t>(4)</t>
        </is>
      </c>
      <c r="C102" s="4" t="inlineStr">
        <is>
          <t>R8.9</t>
        </is>
      </c>
      <c r="D102" s="5" t="inlineStr">
        <is>
          <t>類似保険者との比較分析の対象</t>
        </is>
      </c>
      <c r="E102"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102" s="5" t="inlineStr">
        <is>
          <t>素案 第2章第2節
分析資料</t>
        </is>
      </c>
      <c r="G102" s="5" t="inlineStr">
        <is>
          <t>発注者</t>
        </is>
      </c>
      <c r="H102" s="10" t="inlineStr">
        <is>
          <t>確認待ち</t>
        </is>
      </c>
      <c r="I102" s="10" t="inlineStr">
        <is>
          <t>R8.9</t>
        </is>
      </c>
      <c r="J102" s="11" t="inlineStr"/>
    </row>
    <row r="103" ht="88" customHeight="1">
      <c r="A103" s="4" t="n">
        <v>4</v>
      </c>
      <c r="B103" s="4" t="inlineStr">
        <is>
          <t>(12)</t>
        </is>
      </c>
      <c r="C103" s="4" t="inlineStr">
        <is>
          <t>R8.8</t>
        </is>
      </c>
      <c r="D103" s="5" t="inlineStr">
        <is>
          <t>代表KPI H07・H08・H12・H16の代理指標</t>
        </is>
      </c>
      <c r="E103"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3" s="5" t="inlineStr">
        <is>
          <t>素案 第4章第3節・資料1
全16KPIの4項目</t>
        </is>
      </c>
      <c r="G103" s="5" t="inlineStr">
        <is>
          <t>発注者</t>
        </is>
      </c>
      <c r="H103" s="10" t="inlineStr">
        <is>
          <t>確認待ち</t>
        </is>
      </c>
      <c r="I103" s="10" t="inlineStr">
        <is>
          <t>R8.8</t>
        </is>
      </c>
      <c r="J103" s="11" t="inlineStr"/>
    </row>
    <row r="104" ht="88" customHeight="1">
      <c r="A104" s="4" t="n">
        <v>5</v>
      </c>
      <c r="B104" s="4" t="inlineStr">
        <is>
          <t>(2)</t>
        </is>
      </c>
      <c r="C104" s="4" t="inlineStr">
        <is>
          <t>R8.8</t>
        </is>
      </c>
      <c r="D104" s="5" t="inlineStr">
        <is>
          <t>第9期の施策・事業実績</t>
        </is>
      </c>
      <c r="E104"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4" s="5" t="inlineStr">
        <is>
          <t>素案 第3章第2節・第3節・第5節
妥当性検証報告書 12シート</t>
        </is>
      </c>
      <c r="G104" s="5" t="inlineStr">
        <is>
          <t>発注者</t>
        </is>
      </c>
      <c r="H104" s="10" t="inlineStr">
        <is>
          <t>確認待ち</t>
        </is>
      </c>
      <c r="I104" s="10" t="inlineStr">
        <is>
          <t>R8.8</t>
        </is>
      </c>
      <c r="J104" s="11" t="inlineStr"/>
    </row>
    <row r="105" ht="88" customHeight="1">
      <c r="A105" s="4" t="n">
        <v>6</v>
      </c>
      <c r="B105" s="4" t="inlineStr">
        <is>
          <t>(2)</t>
        </is>
      </c>
      <c r="C105" s="4" t="inlineStr">
        <is>
          <t>R8.8</t>
        </is>
      </c>
      <c r="D105" s="5" t="inlineStr">
        <is>
          <t>交付金の評価調書</t>
        </is>
      </c>
      <c r="E105"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5" s="5" t="inlineStr">
        <is>
          <t>素案 第3章第4節
追加調査報告書 02シート</t>
        </is>
      </c>
      <c r="G105" s="5" t="inlineStr">
        <is>
          <t>発注者</t>
        </is>
      </c>
      <c r="H105" s="10" t="inlineStr">
        <is>
          <t>確認待ち</t>
        </is>
      </c>
      <c r="I105" s="10" t="inlineStr">
        <is>
          <t>R8.9</t>
        </is>
      </c>
      <c r="J105" s="11" t="inlineStr"/>
    </row>
    <row r="106" ht="88" customHeight="1">
      <c r="A106" s="4" t="n">
        <v>7</v>
      </c>
      <c r="B106" s="4" t="inlineStr">
        <is>
          <t>(2)</t>
        </is>
      </c>
      <c r="C106" s="4" t="inlineStr">
        <is>
          <t>R8.8</t>
        </is>
      </c>
      <c r="D106" s="5" t="inlineStr">
        <is>
          <t>第9期の自己評価と北海道への報告の実績</t>
        </is>
      </c>
      <c r="E106" s="5" t="inlineStr">
        <is>
          <t>第9期計画の代表KPIについて令和6・7年度に実績を算定した資料の有無、運営協議会への報告の有無と議事録、及び介護保険法第117条に基づく北海道への報告の実績。</t>
        </is>
      </c>
      <c r="F106" s="5" t="inlineStr">
        <is>
          <t>素案 第1章第6節・第3章第4節</t>
        </is>
      </c>
      <c r="G106" s="5" t="inlineStr">
        <is>
          <t>発注者</t>
        </is>
      </c>
      <c r="H106" s="10" t="inlineStr">
        <is>
          <t>確認待ち</t>
        </is>
      </c>
      <c r="I106" s="10" t="inlineStr">
        <is>
          <t>R8.9</t>
        </is>
      </c>
      <c r="J106" s="11" t="inlineStr"/>
    </row>
    <row r="107" ht="88" customHeight="1">
      <c r="A107" s="4" t="n">
        <v>8</v>
      </c>
      <c r="B107" s="4" t="inlineStr">
        <is>
          <t>(3)</t>
        </is>
      </c>
      <c r="C107" s="4" t="inlineStr">
        <is>
          <t>R8.8</t>
        </is>
      </c>
      <c r="D107" s="5" t="inlineStr">
        <is>
          <t>3調査の点検事項の取扱い</t>
        </is>
      </c>
      <c r="E107"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7" s="5" t="inlineStr">
        <is>
          <t>素案 第2章第5・6節
H06・H11・H13・H14の基準値</t>
        </is>
      </c>
      <c r="G107" s="5" t="inlineStr">
        <is>
          <t>発注者</t>
        </is>
      </c>
      <c r="H107" s="10" t="inlineStr">
        <is>
          <t>確認待ち</t>
        </is>
      </c>
      <c r="I107" s="10" t="inlineStr">
        <is>
          <t>R8.8</t>
        </is>
      </c>
      <c r="J107" s="11" t="inlineStr"/>
    </row>
    <row r="108" ht="88" customHeight="1">
      <c r="A108" s="4" t="n">
        <v>9</v>
      </c>
      <c r="B108" s="4" t="inlineStr">
        <is>
          <t>(3)</t>
        </is>
      </c>
      <c r="C108" s="4" t="inlineStr">
        <is>
          <t>R8.9</t>
        </is>
      </c>
      <c r="D108" s="5" t="inlineStr">
        <is>
          <t>調査の対象者範囲と回収率</t>
        </is>
      </c>
      <c r="E108" s="5" t="inlineStr">
        <is>
          <t>4調査の対象者の範囲（要介護度、年齢、居所等）、配布数、回収数、回収率。標本規模に応じた分析の深度（クロス集計の可否）の判断に必要。</t>
        </is>
      </c>
      <c r="F108" s="5" t="inlineStr">
        <is>
          <t>素案 第2章第4〜6節
クロス集計表</t>
        </is>
      </c>
      <c r="G108" s="5" t="inlineStr">
        <is>
          <t>発注者</t>
        </is>
      </c>
      <c r="H108" s="10" t="inlineStr">
        <is>
          <t>確認待ち</t>
        </is>
      </c>
      <c r="I108" s="10" t="inlineStr">
        <is>
          <t>R8.9</t>
        </is>
      </c>
      <c r="J108" s="11" t="inlineStr"/>
    </row>
    <row r="109" ht="88" customHeight="1">
      <c r="A109" s="4" t="n">
        <v>10</v>
      </c>
      <c r="B109" s="4" t="inlineStr">
        <is>
          <t>(3)</t>
        </is>
      </c>
      <c r="C109" s="4" t="inlineStr">
        <is>
          <t>R8.9</t>
        </is>
      </c>
      <c r="D109" s="5" t="inlineStr">
        <is>
          <t>介護人材実態調査の採用者数・退職者数</t>
        </is>
      </c>
      <c r="E109" s="5" t="inlineStr">
        <is>
          <t>北海道の評価指標⑥と同じ「採用率と離職率の差」を算定するため、各年9月30日現在の在籍者数と、年間の採用者数・退職者数。H14の基準値となる。</t>
        </is>
      </c>
      <c r="F109" s="5" t="inlineStr">
        <is>
          <t>素案 第4章第3節
H14の基準値</t>
        </is>
      </c>
      <c r="G109" s="5" t="inlineStr">
        <is>
          <t>発注者</t>
        </is>
      </c>
      <c r="H109" s="10" t="inlineStr">
        <is>
          <t>確認待ち</t>
        </is>
      </c>
      <c r="I109" s="10" t="inlineStr">
        <is>
          <t>R8.9</t>
        </is>
      </c>
      <c r="J109" s="11" t="inlineStr"/>
    </row>
    <row r="110" ht="88" customHeight="1">
      <c r="A110" s="4" t="n">
        <v>11</v>
      </c>
      <c r="B110" s="4" t="inlineStr">
        <is>
          <t>(4)</t>
        </is>
      </c>
      <c r="C110" s="4" t="inlineStr">
        <is>
          <t>R8.9</t>
        </is>
      </c>
      <c r="D110" s="5" t="inlineStr">
        <is>
          <t>町別の人口・世帯データ</t>
        </is>
      </c>
      <c r="E110"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10" s="5" t="inlineStr">
        <is>
          <t>素案 第2章第1節
図1・図2・図3</t>
        </is>
      </c>
      <c r="G110" s="5" t="inlineStr">
        <is>
          <t>発注者・3町</t>
        </is>
      </c>
      <c r="H110" s="10" t="inlineStr">
        <is>
          <t>確認待ち</t>
        </is>
      </c>
      <c r="I110" s="10" t="inlineStr">
        <is>
          <t>R8.9</t>
        </is>
      </c>
      <c r="J110" s="11" t="inlineStr"/>
    </row>
    <row r="111" ht="88" customHeight="1">
      <c r="A111" s="4" t="n">
        <v>12</v>
      </c>
      <c r="B111" s="4" t="inlineStr">
        <is>
          <t>(4)</t>
        </is>
      </c>
      <c r="C111" s="4" t="inlineStr">
        <is>
          <t>R8.9</t>
        </is>
      </c>
      <c r="D111" s="5" t="inlineStr">
        <is>
          <t>日常生活圏域別のデータ</t>
        </is>
      </c>
      <c r="E111"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11" s="5" t="inlineStr">
        <is>
          <t>素案 第1章第7節・第2章
圏域別分析資料
調査クロス集計・分析 01・18シート</t>
        </is>
      </c>
      <c r="G111" s="5" t="inlineStr">
        <is>
          <t>発注者・3町</t>
        </is>
      </c>
      <c r="H111" s="10" t="inlineStr">
        <is>
          <t>確認待ち</t>
        </is>
      </c>
      <c r="I111" s="10" t="inlineStr">
        <is>
          <t>R8.9</t>
        </is>
      </c>
      <c r="J111" s="11" t="inlineStr"/>
    </row>
    <row r="112" ht="88" customHeight="1">
      <c r="A112" s="4" t="n">
        <v>13</v>
      </c>
      <c r="B112" s="4" t="inlineStr">
        <is>
          <t>(4)</t>
        </is>
      </c>
      <c r="C112" s="4" t="inlineStr">
        <is>
          <t>R8.9</t>
        </is>
      </c>
      <c r="D112" s="5" t="inlineStr">
        <is>
          <t>訪問・通所困難地域の判定資料</t>
        </is>
      </c>
      <c r="E112"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12" s="5" t="inlineStr">
        <is>
          <t>素案 第1章第7節
追加調査報告書 03シート
住まいと施設の公表名簿との突合 08シート</t>
        </is>
      </c>
      <c r="G112" s="5" t="inlineStr">
        <is>
          <t>発注者・3町</t>
        </is>
      </c>
      <c r="H112" s="8" t="inlineStr">
        <is>
          <t>実施中</t>
        </is>
      </c>
      <c r="I112" s="10" t="inlineStr">
        <is>
          <t>R8.10</t>
        </is>
      </c>
      <c r="J112" s="11" t="inlineStr"/>
    </row>
    <row r="113" ht="88" customHeight="1">
      <c r="A113" s="4" t="n">
        <v>14</v>
      </c>
      <c r="B113" s="4" t="inlineStr">
        <is>
          <t>(5)</t>
        </is>
      </c>
      <c r="C113" s="4" t="inlineStr">
        <is>
          <t>R8.10</t>
        </is>
      </c>
      <c r="D113" s="5" t="inlineStr">
        <is>
          <t>人口推計の基礎とする系列</t>
        </is>
      </c>
      <c r="E113"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3" s="5" t="inlineStr">
        <is>
          <t>素案 第6章第1節
将来推計</t>
        </is>
      </c>
      <c r="G113" s="5" t="inlineStr">
        <is>
          <t>発注者・3町</t>
        </is>
      </c>
      <c r="H113" s="10" t="inlineStr">
        <is>
          <t>確認待ち</t>
        </is>
      </c>
      <c r="I113" s="10" t="inlineStr">
        <is>
          <t>R8.10</t>
        </is>
      </c>
      <c r="J113" s="11" t="inlineStr"/>
    </row>
    <row r="114" ht="88" customHeight="1">
      <c r="A114" s="4" t="n">
        <v>15</v>
      </c>
      <c r="B114" s="4" t="inlineStr">
        <is>
          <t>(5)</t>
        </is>
      </c>
      <c r="C114" s="4" t="inlineStr">
        <is>
          <t>R8.10</t>
        </is>
      </c>
      <c r="D114" s="5" t="inlineStr">
        <is>
          <t>認定者数の基準月と月次推移</t>
        </is>
      </c>
      <c r="E114" s="5" t="inlineStr">
        <is>
          <t>令和3〜8年度の各月の認定者数。推計ガイドは9月末を目安としつつ「年度内平均値に近い月を選択する」としているため、当広域連合の月次推移を確認して基準月を選定する。</t>
        </is>
      </c>
      <c r="F114" s="5" t="inlineStr">
        <is>
          <t>素案 第6章第1節
将来推計</t>
        </is>
      </c>
      <c r="G114" s="5" t="inlineStr">
        <is>
          <t>発注者</t>
        </is>
      </c>
      <c r="H114" s="10" t="inlineStr">
        <is>
          <t>確認待ち</t>
        </is>
      </c>
      <c r="I114" s="10" t="inlineStr">
        <is>
          <t>R8.10</t>
        </is>
      </c>
      <c r="J114" s="11" t="inlineStr"/>
    </row>
    <row r="115" ht="88" customHeight="1">
      <c r="A115" s="4" t="n">
        <v>16</v>
      </c>
      <c r="B115" s="4" t="inlineStr">
        <is>
          <t>(5)</t>
        </is>
      </c>
      <c r="C115" s="4" t="inlineStr">
        <is>
          <t>R8.11</t>
        </is>
      </c>
      <c r="D115" s="5" t="inlineStr">
        <is>
          <t>保険料算定の前提</t>
        </is>
      </c>
      <c r="E115" s="5" t="inlineStr">
        <is>
          <t>①介護給付費準備基金の残高推移と取崩実績（第7期〜第9期）、②保険料収納率の実績（第7期〜第9期）、③所得段階別被保険者数、④地域支援事業費の区分別内訳（総合事業・包括的支援事業・任意事業）。</t>
        </is>
      </c>
      <c r="F115" s="5" t="inlineStr">
        <is>
          <t>素案 第6章第3節・第6節
保険料算定表</t>
        </is>
      </c>
      <c r="G115" s="5" t="inlineStr">
        <is>
          <t>発注者</t>
        </is>
      </c>
      <c r="H115" s="10" t="inlineStr">
        <is>
          <t>確認待ち</t>
        </is>
      </c>
      <c r="I115" s="10" t="inlineStr">
        <is>
          <t>R8.11</t>
        </is>
      </c>
      <c r="J115" s="11" t="inlineStr"/>
    </row>
    <row r="116" ht="88" customHeight="1">
      <c r="A116" s="4" t="n">
        <v>17</v>
      </c>
      <c r="B116" s="4" t="inlineStr">
        <is>
          <t>(6)</t>
        </is>
      </c>
      <c r="C116" s="4" t="inlineStr">
        <is>
          <t>R8.10</t>
        </is>
      </c>
      <c r="D116" s="5" t="inlineStr">
        <is>
          <t>3町計画への共通指標の掲載</t>
        </is>
      </c>
      <c r="E116"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6" s="5" t="inlineStr">
        <is>
          <t>素案 資料2
3町協議資料</t>
        </is>
      </c>
      <c r="G116" s="5" t="inlineStr">
        <is>
          <t>発注者・3町</t>
        </is>
      </c>
      <c r="H116" s="10" t="inlineStr">
        <is>
          <t>確認待ち</t>
        </is>
      </c>
      <c r="I116" s="10" t="inlineStr">
        <is>
          <t>R8.10</t>
        </is>
      </c>
      <c r="J116" s="11" t="inlineStr"/>
    </row>
    <row r="117" ht="88" customHeight="1">
      <c r="A117" s="4" t="n">
        <v>18</v>
      </c>
      <c r="B117" s="4" t="inlineStr">
        <is>
          <t>(6)</t>
        </is>
      </c>
      <c r="C117" s="4" t="inlineStr">
        <is>
          <t>R8.10</t>
        </is>
      </c>
      <c r="D117" s="5" t="inlineStr">
        <is>
          <t>骨子案の内容の確認</t>
        </is>
      </c>
      <c r="E117" s="5" t="inlineStr">
        <is>
          <t>令和8年8月に骨子案を作成した（11節22表）。第10節に決定・確認を要する事項12件を整理している。章立て、基本理念、5つの基本目標、代表KPI16項目の枠組み及び算定の枠組みについて、ご意向を確認する。</t>
        </is>
      </c>
      <c r="F117" s="5" t="inlineStr">
        <is>
          <t>骨子案
素案の次稿</t>
        </is>
      </c>
      <c r="G117" s="5" t="inlineStr">
        <is>
          <t>発注者</t>
        </is>
      </c>
      <c r="H117" s="10" t="inlineStr">
        <is>
          <t>確認待ち</t>
        </is>
      </c>
      <c r="I117" s="10" t="inlineStr">
        <is>
          <t>R8.9</t>
        </is>
      </c>
      <c r="J117" s="11" t="inlineStr"/>
    </row>
    <row r="118" ht="88" customHeight="1">
      <c r="A118" s="4" t="n">
        <v>19</v>
      </c>
      <c r="B118" s="4" t="inlineStr">
        <is>
          <t>(8)(9)</t>
        </is>
      </c>
      <c r="C118" s="4" t="inlineStr">
        <is>
          <t>R8.8</t>
        </is>
      </c>
      <c r="D118" s="5" t="inlineStr">
        <is>
          <t>会議日程とパブリックコメントの期間</t>
        </is>
      </c>
      <c r="E118" s="5" t="inlineStr">
        <is>
          <t>①介護保険事業計画策定委員会（運営協議会）の開催日程、審議事項、資料提出期限、②パブリックコメントの実施期間、③町別値・少数値の公表基準。工程の確定と資料作成の逆算に必要。</t>
        </is>
      </c>
      <c r="F118" s="5" t="inlineStr">
        <is>
          <t>委員会資料原案
パブリックコメント資料</t>
        </is>
      </c>
      <c r="G118" s="5" t="inlineStr">
        <is>
          <t>発注者</t>
        </is>
      </c>
      <c r="H118" s="10" t="inlineStr">
        <is>
          <t>確認待ち</t>
        </is>
      </c>
      <c r="I118" s="10" t="inlineStr">
        <is>
          <t>R8.8</t>
        </is>
      </c>
      <c r="J118" s="11" t="inlineStr"/>
    </row>
    <row r="119" ht="88" customHeight="1">
      <c r="A119" s="4" t="n">
        <v>20</v>
      </c>
      <c r="B119" s="4" t="inlineStr">
        <is>
          <t>(8)</t>
        </is>
      </c>
      <c r="C119" s="4" t="inlineStr">
        <is>
          <t>R8.9</t>
        </is>
      </c>
      <c r="D119" s="5" t="inlineStr">
        <is>
          <t>北海道・圏域との調整の場</t>
        </is>
      </c>
      <c r="E119" s="5" t="inlineStr">
        <is>
          <t>上川中部高齢者保健福祉圏域に関する北海道の調整方針、圏域連絡協議会の資料、及び圏域単位の協議の場の設置予定。24時間対応サービスの確保方策（第6章第4節）の検討に必要。</t>
        </is>
      </c>
      <c r="F119" s="5" t="inlineStr">
        <is>
          <t>素案 第6章第4節</t>
        </is>
      </c>
      <c r="G119" s="5" t="inlineStr">
        <is>
          <t>発注者・北海道</t>
        </is>
      </c>
      <c r="H119" s="10" t="inlineStr">
        <is>
          <t>確認待ち</t>
        </is>
      </c>
      <c r="I119" s="10" t="inlineStr">
        <is>
          <t>R8.10</t>
        </is>
      </c>
      <c r="J119" s="11" t="inlineStr"/>
    </row>
    <row r="120" ht="88" customHeight="1">
      <c r="A120" s="4" t="n">
        <v>21</v>
      </c>
      <c r="B120" s="4" t="inlineStr">
        <is>
          <t>(10)</t>
        </is>
      </c>
      <c r="C120" s="4" t="inlineStr">
        <is>
          <t>R8.10</t>
        </is>
      </c>
      <c r="D120" s="5" t="inlineStr">
        <is>
          <t>成果品の仕様</t>
        </is>
      </c>
      <c r="E120" s="5" t="inlineStr">
        <is>
          <t>①本文100頁程度に対する章別のページ配分、②図表の本文掲載点数の上限、③概要版の頁数と体裁、④印刷・製本の入稿期限。図表集は33シート133点あり、本文に何点まで掲載するかの決定を要する。</t>
        </is>
      </c>
      <c r="F120" s="5" t="inlineStr">
        <is>
          <t>計画書（印刷200部）
概要版</t>
        </is>
      </c>
      <c r="G120" s="5" t="inlineStr">
        <is>
          <t>発注者</t>
        </is>
      </c>
      <c r="H120" s="10" t="inlineStr">
        <is>
          <t>確認待ち</t>
        </is>
      </c>
      <c r="I120" s="10" t="inlineStr">
        <is>
          <t>R8.10</t>
        </is>
      </c>
      <c r="J120" s="11" t="inlineStr"/>
    </row>
    <row r="121" ht="88" customHeight="1">
      <c r="A121" s="4" t="n">
        <v>22</v>
      </c>
      <c r="B121" s="4" t="inlineStr">
        <is>
          <t>(1)</t>
        </is>
      </c>
      <c r="C121" s="4" t="inlineStr">
        <is>
          <t>R8.9</t>
        </is>
      </c>
      <c r="D121" s="5" t="inlineStr">
        <is>
          <t>北海道の評価指標の読替えの考え方</t>
        </is>
      </c>
      <c r="E121"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21" s="5" t="inlineStr">
        <is>
          <t>素案 第1章第6節
追加調査報告書 04シート</t>
        </is>
      </c>
      <c r="G121" s="5" t="inlineStr">
        <is>
          <t>発注者・北海道</t>
        </is>
      </c>
      <c r="H121" s="10" t="inlineStr">
        <is>
          <t>確認待ち</t>
        </is>
      </c>
      <c r="I121" s="10" t="inlineStr">
        <is>
          <t>R8.9</t>
        </is>
      </c>
      <c r="J121" s="11" t="inlineStr"/>
    </row>
    <row r="122" ht="88" customHeight="1">
      <c r="A122" s="4" t="n">
        <v>23</v>
      </c>
      <c r="B122" s="4" t="inlineStr">
        <is>
          <t>(2)</t>
        </is>
      </c>
      <c r="C122" s="4" t="inlineStr">
        <is>
          <t>R8.9</t>
        </is>
      </c>
      <c r="D122" s="5" t="inlineStr">
        <is>
          <t>事業所の定員・稼働率データ</t>
        </is>
      </c>
      <c r="E122"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22" s="5" t="inlineStr">
        <is>
          <t>素案 第2章第3節・第6章第4節
図21・図22</t>
        </is>
      </c>
      <c r="G122" s="5" t="inlineStr">
        <is>
          <t>発注者・3町</t>
        </is>
      </c>
      <c r="H122" s="10" t="inlineStr">
        <is>
          <t>確認待ち</t>
        </is>
      </c>
      <c r="I122" s="10" t="inlineStr">
        <is>
          <t>R8.10</t>
        </is>
      </c>
      <c r="J122" s="11" t="inlineStr"/>
    </row>
    <row r="123" ht="88" customHeight="1">
      <c r="A123" s="4" t="n">
        <v>24</v>
      </c>
      <c r="B123" s="4" t="inlineStr">
        <is>
          <t>(6)</t>
        </is>
      </c>
      <c r="C123" s="4" t="inlineStr">
        <is>
          <t>R8.11</t>
        </is>
      </c>
      <c r="D123" s="5" t="inlineStr">
        <is>
          <t>24時間対応サービスの確保方策の決定</t>
        </is>
      </c>
      <c r="E123"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3" s="5" t="inlineStr">
        <is>
          <t>素案 第6章第2節・第4節
見込量表（3種別）</t>
        </is>
      </c>
      <c r="G123" s="5" t="inlineStr">
        <is>
          <t>発注者</t>
        </is>
      </c>
      <c r="H123" s="10" t="inlineStr">
        <is>
          <t>確認待ち</t>
        </is>
      </c>
      <c r="I123" s="10" t="inlineStr">
        <is>
          <t>R8.11</t>
        </is>
      </c>
      <c r="J123" s="11" t="inlineStr"/>
    </row>
    <row r="124" ht="88" customHeight="1">
      <c r="A124" s="4" t="n">
        <v>25</v>
      </c>
      <c r="B124" s="4" t="inlineStr">
        <is>
          <t>(6)</t>
        </is>
      </c>
      <c r="C124" s="4" t="inlineStr">
        <is>
          <t>R8.11</t>
        </is>
      </c>
      <c r="D124" s="5" t="inlineStr">
        <is>
          <t>代表KPIの目標値の決定</t>
        </is>
      </c>
      <c r="E124"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4" s="5" t="inlineStr">
        <is>
          <t>素案 第4章第3節・第5章
全16KPIの目標値</t>
        </is>
      </c>
      <c r="G124" s="5" t="inlineStr">
        <is>
          <t>発注者</t>
        </is>
      </c>
      <c r="H124" s="10" t="inlineStr">
        <is>
          <t>確認待ち</t>
        </is>
      </c>
      <c r="I124" s="10" t="inlineStr">
        <is>
          <t>R8.12</t>
        </is>
      </c>
      <c r="J124" s="11" t="inlineStr"/>
    </row>
    <row r="125" ht="88" customHeight="1">
      <c r="A125" s="4" t="n">
        <v>26</v>
      </c>
      <c r="B125" s="4" t="inlineStr">
        <is>
          <t>(4)</t>
        </is>
      </c>
      <c r="C125" s="4" t="inlineStr">
        <is>
          <t>R8.10</t>
        </is>
      </c>
      <c r="D125" s="5" t="inlineStr">
        <is>
          <t>認知症・医療介護連携の実績データ</t>
        </is>
      </c>
      <c r="E125"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5" s="5" t="inlineStr">
        <is>
          <t>素案 第5章 基本目標1・5
図表集 認知症・医療連携</t>
        </is>
      </c>
      <c r="G125" s="5" t="inlineStr">
        <is>
          <t>発注者・3町・北海道</t>
        </is>
      </c>
      <c r="H125" s="10" t="inlineStr">
        <is>
          <t>確認待ち</t>
        </is>
      </c>
      <c r="I125" s="10" t="inlineStr">
        <is>
          <t>R8.10</t>
        </is>
      </c>
      <c r="J125" s="11" t="inlineStr"/>
    </row>
    <row r="126" ht="88" customHeight="1">
      <c r="A126" s="4" t="n">
        <v>27</v>
      </c>
      <c r="B126" s="4" t="inlineStr">
        <is>
          <t>(3)</t>
        </is>
      </c>
      <c r="C126" s="4" t="inlineStr">
        <is>
          <t>R8.9</t>
        </is>
      </c>
      <c r="D126" s="5" t="inlineStr">
        <is>
          <t>令和4年度 健康とくらしの調査の集計表</t>
        </is>
      </c>
      <c r="E126"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6" s="5" t="inlineStr">
        <is>
          <t>調査クロス集計・分析 14シート
素案 第2章第4節</t>
        </is>
      </c>
      <c r="G126" s="5" t="inlineStr">
        <is>
          <t>発注者</t>
        </is>
      </c>
      <c r="H126" s="10" t="inlineStr">
        <is>
          <t>確認待ち</t>
        </is>
      </c>
      <c r="I126" s="10" t="inlineStr">
        <is>
          <t>R8.9</t>
        </is>
      </c>
      <c r="J126" s="11" t="inlineStr"/>
    </row>
    <row r="127" ht="88" customHeight="1">
      <c r="A127" s="4" t="n">
        <v>28</v>
      </c>
      <c r="B127" s="4" t="inlineStr">
        <is>
          <t>(3)</t>
        </is>
      </c>
      <c r="C127" s="4" t="inlineStr">
        <is>
          <t>R8.9</t>
        </is>
      </c>
      <c r="D127" s="5" t="inlineStr">
        <is>
          <t>調査対象者の範囲の確認</t>
        </is>
      </c>
      <c r="E127"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7" s="5" t="inlineStr">
        <is>
          <t>調査クロス集計・分析 13・14シート
H06・H11の基準値</t>
        </is>
      </c>
      <c r="G127" s="5" t="inlineStr">
        <is>
          <t>発注者</t>
        </is>
      </c>
      <c r="H127" s="10" t="inlineStr">
        <is>
          <t>確認待ち</t>
        </is>
      </c>
      <c r="I127" s="10" t="inlineStr">
        <is>
          <t>R8.9</t>
        </is>
      </c>
      <c r="J127" s="11" t="inlineStr"/>
    </row>
    <row r="128" ht="88" customHeight="1">
      <c r="A128" s="4" t="n">
        <v>29</v>
      </c>
      <c r="B128" s="4" t="inlineStr">
        <is>
          <t>(5)</t>
        </is>
      </c>
      <c r="C128" s="4" t="inlineStr">
        <is>
          <t>R8.10</t>
        </is>
      </c>
      <c r="D128" s="5" t="inlineStr">
        <is>
          <t>重度化の速度の前提</t>
        </is>
      </c>
      <c r="E128"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8" s="5" t="inlineStr">
        <is>
          <t>素案 第6章第1節
認定者数・給付費の推計</t>
        </is>
      </c>
      <c r="G128" s="5" t="inlineStr">
        <is>
          <t>発注者</t>
        </is>
      </c>
      <c r="H128" s="10" t="inlineStr">
        <is>
          <t>確認待ち</t>
        </is>
      </c>
      <c r="I128" s="10" t="inlineStr">
        <is>
          <t>R8.10</t>
        </is>
      </c>
      <c r="J128" s="11" t="inlineStr"/>
    </row>
    <row r="129" ht="88" customHeight="1">
      <c r="A129" s="4" t="n">
        <v>30</v>
      </c>
      <c r="B129" s="4" t="inlineStr">
        <is>
          <t>(5)</t>
        </is>
      </c>
      <c r="C129" s="4" t="inlineStr">
        <is>
          <t>R8.10</t>
        </is>
      </c>
      <c r="D129" s="5" t="inlineStr">
        <is>
          <t>施設入所者と在宅者を分けた要介護度の変化</t>
        </is>
      </c>
      <c r="E129"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9" s="5" t="inlineStr">
        <is>
          <t>重度化の速度の前提
保険料と施策評価の他団体比較 05シート</t>
        </is>
      </c>
      <c r="G129" s="5" t="inlineStr">
        <is>
          <t>発注者</t>
        </is>
      </c>
      <c r="H129" s="10" t="inlineStr">
        <is>
          <t>確認待ち</t>
        </is>
      </c>
      <c r="I129" s="10" t="inlineStr">
        <is>
          <t>R8.10</t>
        </is>
      </c>
      <c r="J129" s="11" t="inlineStr"/>
    </row>
    <row r="130" ht="88" customHeight="1">
      <c r="A130" s="4" t="n">
        <v>31</v>
      </c>
      <c r="B130" s="4" t="inlineStr">
        <is>
          <t>(5)</t>
        </is>
      </c>
      <c r="C130" s="4" t="inlineStr">
        <is>
          <t>R8.10</t>
        </is>
      </c>
      <c r="D130" s="5" t="inlineStr">
        <is>
          <t>給付適正化の実施予定と推計での扱い</t>
        </is>
      </c>
      <c r="E130"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30" s="5" t="inlineStr">
        <is>
          <t>素案 第6章第2節・第5章・第7章
給付費の推計</t>
        </is>
      </c>
      <c r="G130" s="5" t="inlineStr">
        <is>
          <t>発注者</t>
        </is>
      </c>
      <c r="H130" s="10" t="inlineStr">
        <is>
          <t>確認待ち</t>
        </is>
      </c>
      <c r="I130" s="10" t="inlineStr">
        <is>
          <t>R8.10</t>
        </is>
      </c>
      <c r="J130" s="11" t="inlineStr"/>
    </row>
    <row r="131" ht="88" customHeight="1">
      <c r="A131" s="4" t="n">
        <v>32</v>
      </c>
      <c r="B131" s="4" t="inlineStr">
        <is>
          <t>(2)</t>
        </is>
      </c>
      <c r="C131" s="4" t="inlineStr">
        <is>
          <t>R8.9</t>
        </is>
      </c>
      <c r="D131" s="5" t="inlineStr">
        <is>
          <t>第7期の保険料基準額</t>
        </is>
      </c>
      <c r="E131" s="5" t="inlineStr">
        <is>
          <t>見える化システムの値は6,077円であるが、計画素案では当初5,900円としていた。剰余の累計＋159円／月は6,077円を前提としたときにのみ整合する（(6,077－6,024)×3＝159）。条例による第7期の基準額の確認を要する。</t>
        </is>
      </c>
      <c r="F131" s="5" t="inlineStr">
        <is>
          <t>素案 第6章第6節
保険料の推移</t>
        </is>
      </c>
      <c r="G131" s="5" t="inlineStr">
        <is>
          <t>発注者</t>
        </is>
      </c>
      <c r="H131" s="6" t="inlineStr">
        <is>
          <t>完了</t>
        </is>
      </c>
      <c r="I131" s="10" t="inlineStr">
        <is>
          <t>R8.9</t>
        </is>
      </c>
      <c r="J131" s="11" t="inlineStr">
        <is>
          <t>見える化C1（介護保険事業計画報告値）により6,077円を確認した（令和8年7月30日受領）。条例による確認は不要となった。</t>
        </is>
      </c>
    </row>
    <row r="132" ht="88" customHeight="1">
      <c r="A132" s="4" t="n">
        <v>33</v>
      </c>
      <c r="B132" s="4" t="inlineStr">
        <is>
          <t>(5)</t>
        </is>
      </c>
      <c r="C132" s="4" t="inlineStr">
        <is>
          <t>R8.10</t>
        </is>
      </c>
      <c r="D132" s="5" t="inlineStr">
        <is>
          <t>第10期の政令改正の内容（所得段階）</t>
        </is>
      </c>
      <c r="E132"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32" s="5" t="inlineStr">
        <is>
          <t>第10期の段階設計
保険料の算定</t>
        </is>
      </c>
      <c r="G132" s="5" t="inlineStr">
        <is>
          <t>国の情報</t>
        </is>
      </c>
      <c r="H132" s="10" t="inlineStr">
        <is>
          <t>確認待ち</t>
        </is>
      </c>
      <c r="I132" s="10" t="inlineStr">
        <is>
          <t>告示後</t>
        </is>
      </c>
      <c r="J132" s="11" t="inlineStr"/>
    </row>
    <row r="133" ht="88" customHeight="1">
      <c r="A133" s="4" t="n">
        <v>34</v>
      </c>
      <c r="B133" s="4" t="inlineStr">
        <is>
          <t>(2)</t>
        </is>
      </c>
      <c r="C133" s="4" t="inlineStr">
        <is>
          <t>R8.10</t>
        </is>
      </c>
      <c r="D133" s="5" t="inlineStr">
        <is>
          <t>第9段階の乗率の経緯</t>
        </is>
      </c>
      <c r="E133"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3" s="5" t="inlineStr">
        <is>
          <t>第10期の段階設計
保険料の所得段階と低所得者軽減の検証 08シート</t>
        </is>
      </c>
      <c r="G133" s="5" t="inlineStr">
        <is>
          <t>発注者</t>
        </is>
      </c>
      <c r="H133" s="10" t="inlineStr">
        <is>
          <t>確認待ち</t>
        </is>
      </c>
      <c r="I133" s="10" t="inlineStr">
        <is>
          <t>R8.10</t>
        </is>
      </c>
      <c r="J133" s="11" t="inlineStr"/>
    </row>
    <row r="134" ht="88" customHeight="1">
      <c r="A134" s="4" t="n">
        <v>35</v>
      </c>
      <c r="B134" s="4" t="inlineStr">
        <is>
          <t>(4)</t>
        </is>
      </c>
      <c r="C134" s="4" t="inlineStr">
        <is>
          <t>R8.10</t>
        </is>
      </c>
      <c r="D134" s="5" t="inlineStr">
        <is>
          <t>上川管内の保険者の所得段階数と乗率</t>
        </is>
      </c>
      <c r="E134" s="5" t="inlineStr">
        <is>
          <t>上川管内21保険者の第9期の所得段階数と乗率。多段階化の状況を比較するために必要。北海道の資料又は各保険者の保険料条例による。</t>
        </is>
      </c>
      <c r="F134" s="5" t="inlineStr">
        <is>
          <t>保険料の所得段階と低所得者軽減の検証 05シート</t>
        </is>
      </c>
      <c r="G134" s="5" t="inlineStr">
        <is>
          <t>発注者・北海道</t>
        </is>
      </c>
      <c r="H134" s="10" t="inlineStr">
        <is>
          <t>確認待ち</t>
        </is>
      </c>
      <c r="I134" s="10" t="inlineStr">
        <is>
          <t>R8.10</t>
        </is>
      </c>
      <c r="J134" s="11" t="inlineStr"/>
    </row>
    <row r="135" ht="88" customHeight="1">
      <c r="A135" s="4" t="n">
        <v>36</v>
      </c>
      <c r="B135" s="4" t="inlineStr">
        <is>
          <t>(5)</t>
        </is>
      </c>
      <c r="C135" s="4" t="inlineStr">
        <is>
          <t>R8.10</t>
        </is>
      </c>
      <c r="D135" s="5" t="inlineStr">
        <is>
          <t>所得段階別被保険者数の実績と収納率</t>
        </is>
      </c>
      <c r="E135"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5" s="5" t="inlineStr">
        <is>
          <t>所得段階別被保険者数の推計
保険料の算定
素案 第6章第7節</t>
        </is>
      </c>
      <c r="G135" s="5" t="inlineStr">
        <is>
          <t>発注者</t>
        </is>
      </c>
      <c r="H135" s="10" t="inlineStr">
        <is>
          <t>確認待ち</t>
        </is>
      </c>
      <c r="I135" s="10" t="inlineStr">
        <is>
          <t>R8.10</t>
        </is>
      </c>
      <c r="J135" s="11" t="inlineStr"/>
    </row>
    <row r="136" ht="88" customHeight="1">
      <c r="A136" s="4" t="n">
        <v>37</v>
      </c>
      <c r="B136" s="4" t="inlineStr">
        <is>
          <t>(2)</t>
        </is>
      </c>
      <c r="C136" s="4" t="inlineStr">
        <is>
          <t>R8.8</t>
        </is>
      </c>
      <c r="D136" s="5" t="inlineStr">
        <is>
          <t>年齢階級別・要介護度別の認定率</t>
        </is>
      </c>
      <c r="E136"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6" s="5" t="inlineStr">
        <is>
          <t>素案 第3章第4節
妥当性検証 所見7</t>
        </is>
      </c>
      <c r="G136" s="5" t="inlineStr">
        <is>
          <t>発注者</t>
        </is>
      </c>
      <c r="H136" s="6" t="inlineStr">
        <is>
          <t>完了</t>
        </is>
      </c>
      <c r="I136" s="10" t="inlineStr">
        <is>
          <t>R8.8</t>
        </is>
      </c>
      <c r="J136" s="11" t="inlineStr">
        <is>
          <t>令和8年7月29日にB4a・B4c・B4d・B4e・B5a・B6a・B6bを受領。認定率の年齢調整分析（7シート）として分析済み</t>
        </is>
      </c>
    </row>
    <row r="137" ht="88" customHeight="1">
      <c r="A137" s="4" t="n">
        <v>38</v>
      </c>
      <c r="B137" s="4" t="inlineStr">
        <is>
          <t>(2)</t>
        </is>
      </c>
      <c r="C137" s="4" t="inlineStr">
        <is>
          <t>R8.9</t>
        </is>
      </c>
      <c r="D137" s="5" t="inlineStr">
        <is>
          <t>交付金評価の令和6年・令和7年調査の結果</t>
        </is>
      </c>
      <c r="E137"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7" s="5" t="inlineStr">
        <is>
          <t>素案 第3章第4節
妥当性検証 所見18・19</t>
        </is>
      </c>
      <c r="G137" s="5" t="inlineStr">
        <is>
          <t>発注者</t>
        </is>
      </c>
      <c r="H137" s="10" t="inlineStr">
        <is>
          <t>確認待ち</t>
        </is>
      </c>
      <c r="I137" s="10" t="inlineStr">
        <is>
          <t>R8.9</t>
        </is>
      </c>
      <c r="J137" s="11" t="inlineStr"/>
    </row>
    <row r="138" ht="88" customHeight="1">
      <c r="A138" s="4" t="n">
        <v>134</v>
      </c>
      <c r="B138" s="4" t="inlineStr">
        <is>
          <t>(5)</t>
        </is>
      </c>
      <c r="C138" s="4" t="inlineStr">
        <is>
          <t>R8.9</t>
        </is>
      </c>
      <c r="D138" s="5" t="inlineStr">
        <is>
          <t>年報（令和7年度）の様式別データのご提供</t>
        </is>
      </c>
      <c r="E138"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8" s="5" t="inlineStr">
        <is>
          <t>将来推計 第2段階
サービス見込量 第1次概算</t>
        </is>
      </c>
      <c r="G138" s="5" t="inlineStr">
        <is>
          <t>発注者</t>
        </is>
      </c>
      <c r="H138" s="6" t="inlineStr">
        <is>
          <t>完了</t>
        </is>
      </c>
      <c r="I138" s="10" t="inlineStr">
        <is>
          <t>R8.9</t>
        </is>
      </c>
      <c r="J138"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9" ht="88" customHeight="1">
      <c r="A139" s="4" t="n">
        <v>135</v>
      </c>
      <c r="B139" s="4" t="inlineStr">
        <is>
          <t>(5)</t>
        </is>
      </c>
      <c r="C139" s="4" t="inlineStr">
        <is>
          <t>R8.9</t>
        </is>
      </c>
      <c r="D139" s="5" t="inlineStr">
        <is>
          <t>実績見込み値の入力欄が小数を受け付けるか</t>
        </is>
      </c>
      <c r="E139"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9" s="5" t="inlineStr">
        <is>
          <t>将来推計 第2段階</t>
        </is>
      </c>
      <c r="G139" s="5" t="inlineStr">
        <is>
          <t>発注者</t>
        </is>
      </c>
      <c r="H139" s="6" t="inlineStr">
        <is>
          <t>完了</t>
        </is>
      </c>
      <c r="I139" s="10" t="inlineStr">
        <is>
          <t>R8.9</t>
        </is>
      </c>
      <c r="J139"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40" ht="88" customHeight="1">
      <c r="A140" s="4" t="n">
        <v>137</v>
      </c>
      <c r="B140" s="4" t="inlineStr">
        <is>
          <t>(5)</t>
        </is>
      </c>
      <c r="C140" s="4" t="inlineStr">
        <is>
          <t>R8.9</t>
        </is>
      </c>
      <c r="D140" s="5" t="inlineStr">
        <is>
          <t>1人1月あたり給付費の実績値をどの年度にするか</t>
        </is>
      </c>
      <c r="E140"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40" s="5" t="inlineStr">
        <is>
          <t>将来推計 第2段階
サービス見込量 第1次概算</t>
        </is>
      </c>
      <c r="G140" s="5" t="inlineStr">
        <is>
          <t>発注者</t>
        </is>
      </c>
      <c r="H140" s="10" t="inlineStr">
        <is>
          <t>確認待ち</t>
        </is>
      </c>
      <c r="I140" s="10" t="inlineStr">
        <is>
          <t>R8.9</t>
        </is>
      </c>
      <c r="J140" s="11" t="inlineStr">
        <is>
          <t>令和8年度実績見込み値の入力案 00シート3。趨勢に現れない要因の分析（確認事項No.109〜No.111）と一体</t>
        </is>
      </c>
    </row>
    <row r="141" ht="88" customHeight="1">
      <c r="A141" s="4" t="n">
        <v>138</v>
      </c>
      <c r="B141" s="4" t="inlineStr">
        <is>
          <t>(5)</t>
        </is>
      </c>
      <c r="C141" s="4" t="inlineStr">
        <is>
          <t>R8.9</t>
        </is>
      </c>
      <c r="D141" s="5" t="inlineStr">
        <is>
          <t>認定者数の実績見込み値を編集する項目が画面にあるか</t>
        </is>
      </c>
      <c r="E141"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41" s="5" t="inlineStr">
        <is>
          <t>将来推計 第2段階</t>
        </is>
      </c>
      <c r="G141" s="5" t="inlineStr">
        <is>
          <t>発注者</t>
        </is>
      </c>
      <c r="H141" s="10" t="inlineStr">
        <is>
          <t>確認待ち</t>
        </is>
      </c>
      <c r="I141" s="10" t="inlineStr">
        <is>
          <t>R8.9</t>
        </is>
      </c>
      <c r="J141" s="11" t="inlineStr">
        <is>
          <t>令和8年度実績見込み値の入力案 00シート1・07シート。②③④はそのまま入力できるため、本件は①のみに関わる</t>
        </is>
      </c>
    </row>
    <row r="142" ht="88" customHeight="1">
      <c r="A142" s="4" t="n">
        <v>139</v>
      </c>
      <c r="B142" s="4" t="inlineStr">
        <is>
          <t>(3)</t>
        </is>
      </c>
      <c r="C142" s="4" t="inlineStr">
        <is>
          <t>R8.9</t>
        </is>
      </c>
      <c r="D142" s="5" t="inlineStr">
        <is>
          <t>健康とくらしの調査の個票の再提供の要否</t>
        </is>
      </c>
      <c r="E142"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42" s="5" t="inlineStr">
        <is>
          <t>調査クロス集計・分析の更新</t>
        </is>
      </c>
      <c r="G142" s="5" t="inlineStr">
        <is>
          <t>発注者</t>
        </is>
      </c>
      <c r="H142" s="10" t="inlineStr">
        <is>
          <t>確認待ち</t>
        </is>
      </c>
      <c r="I142" s="10" t="inlineStr">
        <is>
          <t>R8.9</t>
        </is>
      </c>
      <c r="J142" s="11" t="inlineStr">
        <is>
          <t>調査結果と年報実績の突合クロス集計 01シート。アンケート関係の成果品7件のうち6件は再出力できる</t>
        </is>
      </c>
    </row>
    <row r="143" ht="88" customHeight="1">
      <c r="A143" s="4" t="n">
        <v>140</v>
      </c>
      <c r="B143" s="4" t="inlineStr">
        <is>
          <t>(3)(6)</t>
        </is>
      </c>
      <c r="C143" s="4" t="inlineStr">
        <is>
          <t>R8.9</t>
        </is>
      </c>
      <c r="D143" s="5" t="inlineStr">
        <is>
          <t>在宅生活改善調査の結果を在宅の認定者全体に当てはめないこと</t>
        </is>
      </c>
      <c r="E143"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3" s="5" t="inlineStr">
        <is>
          <t>計画素案 第2章第4節・第4章第3節</t>
        </is>
      </c>
      <c r="G143" s="5" t="inlineStr">
        <is>
          <t>発注者</t>
        </is>
      </c>
      <c r="H143" s="10" t="inlineStr">
        <is>
          <t>確認待ち</t>
        </is>
      </c>
      <c r="I143" s="10" t="inlineStr">
        <is>
          <t>R8.9</t>
        </is>
      </c>
      <c r="J143" s="11" t="inlineStr">
        <is>
          <t>調査結果と年報実績の突合クロス集計 02シート。年報の要介護度別を収めたことにより初めて確かめられた</t>
        </is>
      </c>
    </row>
    <row r="144" ht="88" customHeight="1">
      <c r="A144" s="4" t="n">
        <v>141</v>
      </c>
      <c r="B144" s="4" t="inlineStr">
        <is>
          <t>(3)(5)</t>
        </is>
      </c>
      <c r="C144" s="4" t="inlineStr">
        <is>
          <t>R8.9</t>
        </is>
      </c>
      <c r="D144" s="5" t="inlineStr">
        <is>
          <t>区域を越えた施設利用の扱い</t>
        </is>
      </c>
      <c r="E144"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4" s="5" t="inlineStr">
        <is>
          <t>計画素案 第6章第4節4
サービス見込量 第1次概算</t>
        </is>
      </c>
      <c r="G144" s="5" t="inlineStr">
        <is>
          <t>発注者</t>
        </is>
      </c>
      <c r="H144" s="10" t="inlineStr">
        <is>
          <t>確認待ち</t>
        </is>
      </c>
      <c r="I144" s="10" t="inlineStr">
        <is>
          <t>R8.9</t>
        </is>
      </c>
      <c r="J144" s="11" t="inlineStr">
        <is>
          <t>調査結果と年報実績の突合クロス集計 03・04・05シート</t>
        </is>
      </c>
    </row>
    <row r="145" ht="88" customHeight="1">
      <c r="A145" s="4" t="n">
        <v>142</v>
      </c>
      <c r="B145" s="4" t="inlineStr">
        <is>
          <t>(5)</t>
        </is>
      </c>
      <c r="C145" s="4" t="inlineStr">
        <is>
          <t>R8.9</t>
        </is>
      </c>
      <c r="D145" s="5" t="inlineStr">
        <is>
          <t>第1次概算を既定値のまま出してよいか</t>
        </is>
      </c>
      <c r="E145"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5" s="5" t="inlineStr">
        <is>
          <t>サービス見込量 第1次概算</t>
        </is>
      </c>
      <c r="G145" s="5" t="inlineStr">
        <is>
          <t>発注者</t>
        </is>
      </c>
      <c r="H145" s="10" t="inlineStr">
        <is>
          <t>確認待ち</t>
        </is>
      </c>
      <c r="I145" s="10" t="inlineStr">
        <is>
          <t>R8.9</t>
        </is>
      </c>
      <c r="J145" s="11" t="inlineStr">
        <is>
          <t>計画素案の課題整理 03シート。既定値は17件すべてに置いており、自己点検で網羅を確かめている</t>
        </is>
      </c>
    </row>
    <row r="146" ht="88" customHeight="1">
      <c r="A146" s="4" t="n">
        <v>143</v>
      </c>
      <c r="B146" s="4" t="inlineStr">
        <is>
          <t>(6)</t>
        </is>
      </c>
      <c r="C146" s="4" t="inlineStr">
        <is>
          <t>R8.9</t>
        </is>
      </c>
      <c r="D146" s="5" t="inlineStr">
        <is>
          <t>計画素案の未確定箇所の表示の統一</t>
        </is>
      </c>
      <c r="E146"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6" s="5" t="inlineStr">
        <is>
          <t>計画素案（策定委員会用）</t>
        </is>
      </c>
      <c r="G146" s="5" t="inlineStr">
        <is>
          <t>発注者</t>
        </is>
      </c>
      <c r="H146" s="10" t="inlineStr">
        <is>
          <t>確認待ち</t>
        </is>
      </c>
      <c r="I146" s="10" t="inlineStr">
        <is>
          <t>R8.10</t>
        </is>
      </c>
      <c r="J146" s="11" t="inlineStr">
        <is>
          <t>計画素案の課題整理 01シート。未確定箇所とは別に、書くべき内容がまだ入っていない節が3節ある（第2章第4節・第6章第5節・第6章第7節）</t>
        </is>
      </c>
    </row>
    <row r="147" ht="88" customHeight="1">
      <c r="A147" s="4" t="n">
        <v>144</v>
      </c>
      <c r="B147" s="4" t="inlineStr">
        <is>
          <t>(12)</t>
        </is>
      </c>
      <c r="C147" s="4" t="inlineStr">
        <is>
          <t>R8.9</t>
        </is>
      </c>
      <c r="D147" s="5" t="inlineStr">
        <is>
          <t>統合した成果品の元の資料を残すか</t>
        </is>
      </c>
      <c r="E147"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7" s="5" t="inlineStr">
        <is>
          <t>成果品一覧（納品時の構成）</t>
        </is>
      </c>
      <c r="G147" s="5" t="inlineStr">
        <is>
          <t>発注者</t>
        </is>
      </c>
      <c r="H147" s="10" t="inlineStr">
        <is>
          <t>確認待ち</t>
        </is>
      </c>
      <c r="I147" s="10" t="inlineStr">
        <is>
          <t>R8.10</t>
        </is>
      </c>
      <c r="J147" s="11" t="inlineStr">
        <is>
          <t>管理の統合と成果品の棚卸し 03・05シート</t>
        </is>
      </c>
    </row>
    <row r="148" ht="88" customHeight="1">
      <c r="A148" s="4" t="n">
        <v>145</v>
      </c>
      <c r="B148" s="4" t="inlineStr">
        <is>
          <t>(5)</t>
        </is>
      </c>
      <c r="C148" s="4" t="inlineStr">
        <is>
          <t>R8.9</t>
        </is>
      </c>
      <c r="D148" s="5" t="inlineStr">
        <is>
          <t>計画作成支援ツールと年報のどちらを町別の値に用いるか</t>
        </is>
      </c>
      <c r="E148"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8" s="5" t="inlineStr">
        <is>
          <t>町別データシート
サービス見込量 第1次概算</t>
        </is>
      </c>
      <c r="G148" s="5" t="inlineStr">
        <is>
          <t>発注者</t>
        </is>
      </c>
      <c r="H148" s="10" t="inlineStr">
        <is>
          <t>確認待ち</t>
        </is>
      </c>
      <c r="I148" s="10" t="inlineStr">
        <is>
          <t>R8.9</t>
        </is>
      </c>
      <c r="J148" s="11" t="inlineStr">
        <is>
          <t>管理の統合と成果品の棚卸し 04シート</t>
        </is>
      </c>
    </row>
    <row r="149" ht="88" customHeight="1">
      <c r="A149" s="4" t="n">
        <v>136</v>
      </c>
      <c r="B149" s="4" t="inlineStr">
        <is>
          <t>(5)</t>
        </is>
      </c>
      <c r="C149" s="4" t="inlineStr">
        <is>
          <t>R8.9</t>
        </is>
      </c>
      <c r="D149" s="5" t="inlineStr">
        <is>
          <t>画面の令和7年度と年報の月平均の食い違い</t>
        </is>
      </c>
      <c r="E149"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9" s="5" t="inlineStr">
        <is>
          <t>将来推計 第2段階
計画素案 第6章第2節</t>
        </is>
      </c>
      <c r="G149" s="5" t="inlineStr">
        <is>
          <t>発注者</t>
        </is>
      </c>
      <c r="H149" s="10" t="inlineStr">
        <is>
          <t>確認待ち</t>
        </is>
      </c>
      <c r="I149" s="10" t="inlineStr">
        <is>
          <t>R8.10</t>
        </is>
      </c>
      <c r="J149" s="11" t="inlineStr">
        <is>
          <t>令和8年度実績見込み値の入力案 05シート。【令和8年9月28日】令和8年8月審査分の利用状況統計表により給付費は審査月4〜8月の5か月となったが、月報は令和8年4〜7月の4か月のままである。月数をそろえるには令和8年8月分の月報を要する</t>
        </is>
      </c>
    </row>
    <row r="150" ht="88" customHeight="1">
      <c r="A150" s="4" t="n">
        <v>146</v>
      </c>
      <c r="B150" s="4" t="inlineStr">
        <is>
          <t>(5)</t>
        </is>
      </c>
      <c r="C150" s="4" t="inlineStr">
        <is>
          <t>R8.9</t>
        </is>
      </c>
      <c r="D150" s="5" t="inlineStr">
        <is>
          <t>見込量の伸びを要介護度別に改めてよいか</t>
        </is>
      </c>
      <c r="E150"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50" s="5" t="inlineStr">
        <is>
          <t>サービス見込量 第1次概算
計画素案 第6章第2節</t>
        </is>
      </c>
      <c r="G150" s="5" t="inlineStr">
        <is>
          <t>発注者</t>
        </is>
      </c>
      <c r="H150" s="10" t="inlineStr">
        <is>
          <t>確認待ち</t>
        </is>
      </c>
      <c r="I150" s="10" t="inlineStr">
        <is>
          <t>R8.9</t>
        </is>
      </c>
      <c r="J150" s="11" t="inlineStr">
        <is>
          <t>サービス見込量の算定 第1次概算 02〜04シート。令和8年9月16日、要介護度別の伸びによる算定を計画素案 第6章第2節に反映した。一律の伸びによる値との差は月額＋8円であり、第6節に併記している。ご判断をいただくまでは暫定である</t>
        </is>
      </c>
    </row>
    <row r="151" ht="88" customHeight="1">
      <c r="A151" s="4" t="n">
        <v>147</v>
      </c>
      <c r="B151" s="4" t="inlineStr">
        <is>
          <t>(5)</t>
        </is>
      </c>
      <c r="C151" s="4" t="inlineStr">
        <is>
          <t>R8.9</t>
        </is>
      </c>
      <c r="D151" s="5" t="inlineStr">
        <is>
          <t>見える化システムの伸びの選択肢をどれとするか</t>
        </is>
      </c>
      <c r="E151" s="5" t="inlineStr">
        <is>
          <t>令和8年9月11日に受領した画面の写しによれば、施設・居住系サービス利用率の変化の画面で選べる伸びは①令和3年度→令和8年度 ②令和7年度→令和8年度 ③令和6年度→令和8年度 ④令和6年度→令和7年度 の4件である。①②③はいずれも令和8年度を終期側に含む。令和8年度は令和8年4〜7月の4か月から計算した実績見込み値であり、夏季に偏る（在宅 冬季▲2.48％・施設＋2.80％）。①当方は令和8年度を含まない④を採る整理としているが、これでよいかご判断いただきたい。②在宅サービス利用者数の伸び・在宅サービス1人1月あたり利用回（日）数の伸びにも同じ選択が要る。③当方の算定（令和7年度基準）と置き方がそろうのは④である。</t>
        </is>
      </c>
      <c r="F151" s="5" t="inlineStr">
        <is>
          <t>見える化システムへの入力
サービス見込量 第1次概算</t>
        </is>
      </c>
      <c r="G151" s="5" t="inlineStr">
        <is>
          <t>発注者</t>
        </is>
      </c>
      <c r="H151" s="10" t="inlineStr">
        <is>
          <t>確認待ち</t>
        </is>
      </c>
      <c r="I151" s="10" t="inlineStr">
        <is>
          <t>R8.9</t>
        </is>
      </c>
      <c r="J151" s="11" t="inlineStr">
        <is>
          <t>入力前段支援アプリの点検 04シート</t>
        </is>
      </c>
    </row>
    <row r="152" ht="88" customHeight="1">
      <c r="A152" s="4" t="n">
        <v>148</v>
      </c>
      <c r="B152" s="4" t="inlineStr">
        <is>
          <t>(2)(5)</t>
        </is>
      </c>
      <c r="C152" s="4" t="inlineStr">
        <is>
          <t>R8.9</t>
        </is>
      </c>
      <c r="D152" s="5" t="inlineStr">
        <is>
          <t>見える化システムの操作手引・認証後画面の写しのご提供</t>
        </is>
      </c>
      <c r="E152" s="5" t="inlineStr">
        <is>
          <t>当方はシステムに接続できないため、画面の項目名・選択肢・単位・丸め・空欄と0の扱いを令和8年9月11日に受領した写しの範囲でしか確認できていない。①当該年度の操作手引・項目定義をご提供いただきたい。②認証後画面の入力画面の写しの続きをご提供いただきたい（認定者数の実績見込み値の編集項目の有無＝確認事項No.138、1人1月あたり給付費の実績値の年度を選ぶ項目＝確認事項No.137、施設・居住系の伸びの選択肢の画面＝確認事項No.147）。ID・パスワードは写さないようお願いしたい。③確認事項No.123（施設・居住系の画面から進めない）もこれにより切り分けられる。</t>
        </is>
      </c>
      <c r="F152" s="5" t="inlineStr">
        <is>
          <t>見える化システムへの入力
将来推計 第2段階</t>
        </is>
      </c>
      <c r="G152" s="5" t="inlineStr">
        <is>
          <t>発注者</t>
        </is>
      </c>
      <c r="H152" s="10" t="inlineStr">
        <is>
          <t>確認待ち</t>
        </is>
      </c>
      <c r="I152" s="10" t="inlineStr">
        <is>
          <t>R8.9</t>
        </is>
      </c>
      <c r="J152" s="11" t="inlineStr">
        <is>
          <t>入力前段支援アプリの点検 07シート</t>
        </is>
      </c>
    </row>
    <row r="153" ht="88" customHeight="1">
      <c r="A153" s="4" t="n">
        <v>149</v>
      </c>
      <c r="B153" s="4" t="inlineStr">
        <is>
          <t>(2)(6)</t>
        </is>
      </c>
      <c r="C153" s="4" t="inlineStr">
        <is>
          <t>R8.9</t>
        </is>
      </c>
      <c r="D153" s="5" t="inlineStr">
        <is>
          <t>認知症基本法の条文ほか認知症施策の根拠資料のご提供</t>
        </is>
      </c>
      <c r="E153" s="5" t="inlineStr">
        <is>
          <t>当方は外部に接続できないため、共生社会の実現を推進するための認知症基本法（令和5年法律第65号）の条文を確認できていない。第13条が市町村認知症施策推進計画について定めることは確認事項No.130に記録しているが、項番号・文言・努力義務の範囲・認知症の人及び家族等からの意見の聴取の規定の位置はいずれも確かめられていない。①同法の条文、②国の認知症施策推進基本計画、③北海道の認知症施策推進計画の策定状況をご提供・ご確認いただきたい。計画への位置づけ（No.130）の判断の前提になる。</t>
        </is>
      </c>
      <c r="F153" s="5" t="inlineStr">
        <is>
          <t>計画素案 第1章第2節・第5章 基本目標2
認知症施策推進計画の位置づけと見込量への反映</t>
        </is>
      </c>
      <c r="G153" s="5" t="inlineStr">
        <is>
          <t>発注者</t>
        </is>
      </c>
      <c r="H153" s="10" t="inlineStr">
        <is>
          <t>確認待ち</t>
        </is>
      </c>
      <c r="I153" s="10" t="inlineStr">
        <is>
          <t>R8.9</t>
        </is>
      </c>
      <c r="J153" s="11" t="inlineStr">
        <is>
          <t>認知症施策推進計画の位置づけと見込量への反映 01・09シート</t>
        </is>
      </c>
    </row>
    <row r="154" ht="88" customHeight="1">
      <c r="A154" s="4" t="n">
        <v>150</v>
      </c>
      <c r="B154" s="4" t="inlineStr">
        <is>
          <t>(5)</t>
        </is>
      </c>
      <c r="C154" s="4" t="inlineStr">
        <is>
          <t>R8.10</t>
        </is>
      </c>
      <c r="D154" s="5" t="inlineStr">
        <is>
          <t>認知症総合支援事業の実績のご提供</t>
        </is>
      </c>
      <c r="E154" s="5" t="inlineStr">
        <is>
          <t>地域支援事業（包括的支援事業）の量の見込みが立たない。決算の科目は4区分であり、包括的支援事業の6事業別の内訳が分からない。介護予防・日常生活支援総合事業の実施状況に関する調査は包括的支援事業を含まない。保険者機能強化推進交付金等の得点は取組の有無であって量ではない。【令和8年9月25日】3町の地域包括支援センター事業実施報告書（令和7年度）を受領し、認知症初期集中支援チーム員会議・オレンジカフェ・サポーター養成講座の回数を町別に確認できた。美瑛町の認知症初期集中支援推進事業は令和7年度の実績が0件であり、医師を確保できず休止中である旨が報告されている。①なお得られないのは6事業別の事業費である。②認知症サポーターの養成人数及びステップアップ講座の修了者数、チームオレンジの数を町別・年度別にご提供いただきたい（東神楽町は量の欄が第1号被保険者数であり回数が分からない）。介護保険法第117条第2項第2号の地域支援事業の量の見込みに当たる（確認事項No.112と一体）。</t>
        </is>
      </c>
      <c r="F154" s="5" t="inlineStr">
        <is>
          <t>サービス見込量 第2次概算
計画素案 第6章第3節2
令和8年9月25日受領資料の受領点検</t>
        </is>
      </c>
      <c r="G154" s="5" t="inlineStr">
        <is>
          <t>発注者</t>
        </is>
      </c>
      <c r="H154" s="10" t="inlineStr">
        <is>
          <t>一部確認済み</t>
        </is>
      </c>
      <c r="I154" s="10" t="inlineStr">
        <is>
          <t>R8.10</t>
        </is>
      </c>
      <c r="J154" s="11" t="inlineStr">
        <is>
          <t>認知症施策推進計画の位置づけと見込量への反映 06シート。令和8年9月25日受領資料の受領点検 08シート。令和8年9月25日、美瑛町の休止を含む3町の実施状況を計画素案 第5章 基本目標2（現状と課題・関連データ・施策の方向性・主な事業）に反映した</t>
        </is>
      </c>
    </row>
    <row r="155" ht="88" customHeight="1">
      <c r="A155" s="4" t="n">
        <v>151</v>
      </c>
      <c r="B155" s="4" t="inlineStr">
        <is>
          <t>(5)</t>
        </is>
      </c>
      <c r="C155" s="4" t="inlineStr">
        <is>
          <t>R8.9</t>
        </is>
      </c>
      <c r="D155" s="5" t="inlineStr">
        <is>
          <t>認知症対応型共同生活介護を対計画比の補正の対象から外してよいか</t>
        </is>
      </c>
      <c r="E155" s="5" t="inlineStr">
        <is>
          <t>同サービスの令和4年度の落ち込み（前年比▲14.7％。月平均100.0人から85.3人）は1事業所の定員縮小によるものである。区域全体の定員は平成28年から令和2年の115人が令和4年以降99人に減っている。対計画比の補正（確認事項No.106）を当てると、定員の縮小を趨勢として将来へもう一度織り込むことになる。令和6年度から令和7年度は＋3.7％と増に転じており、当方の算定（令和7年度基準）は直近の水準を起点としている。①同サービスを補正の対象から外す整理でよいか。②同じ理由により介護老人福祉施設（平成29年度234人から令和2年度以降160人へ▲31.6％）も対象から外すかを併せてご判断いただきたい。</t>
        </is>
      </c>
      <c r="F155" s="5" t="inlineStr">
        <is>
          <t>サービス見込量 第1次概算
計画素案 第6章第2節</t>
        </is>
      </c>
      <c r="G155" s="5" t="inlineStr">
        <is>
          <t>発注者</t>
        </is>
      </c>
      <c r="H155" s="10" t="inlineStr">
        <is>
          <t>確認待ち</t>
        </is>
      </c>
      <c r="I155" s="10" t="inlineStr">
        <is>
          <t>R8.9</t>
        </is>
      </c>
      <c r="J155" s="11" t="inlineStr">
        <is>
          <t>認知症施策推進計画の位置づけと見込量への反映 04・06シート</t>
        </is>
      </c>
    </row>
    <row r="156" ht="88" customHeight="1">
      <c r="A156" s="4" t="n">
        <v>152</v>
      </c>
      <c r="B156" s="4" t="inlineStr">
        <is>
          <t>(2)(6)</t>
        </is>
      </c>
      <c r="C156" s="4" t="inlineStr">
        <is>
          <t>R8.10</t>
        </is>
      </c>
      <c r="D156" s="5" t="inlineStr">
        <is>
          <t>町別の人口の将来推計を計画本文に掲げるか</t>
        </is>
      </c>
      <c r="E156" s="5" t="inlineStr">
        <is>
          <t>令和8年9月10日に「町別は現況（実績・国勢調査）のみ本文に加え、将来推計は3町計の案Cのままとする」ことを了承いただいている。社内の作業により3町それぞれのコーホート変化率法による将来推計を組んでいるため、これを本文に掲げる場合は当該了承を改めることになる。掲げる場合でも、サービス見込量・給付費・保険料の算定は保険者（広域連合）を単位として行う（介護保険法第3条・地方自治法第284条）。町別に掲げるのは人口の推計にとどまる。決着しない場合は了承のとおり町別は現況のみとする。</t>
        </is>
      </c>
      <c r="F156" s="5" t="inlineStr">
        <is>
          <t>サービス見込量 第2次概算
計画素案 第2章第1節・第6章第1節</t>
        </is>
      </c>
      <c r="G156" s="5" t="inlineStr">
        <is>
          <t>発注者</t>
        </is>
      </c>
      <c r="H156" s="10" t="inlineStr">
        <is>
          <t>確認待ち</t>
        </is>
      </c>
      <c r="I156" s="10" t="inlineStr">
        <is>
          <t>R8.10</t>
        </is>
      </c>
      <c r="J156" s="11" t="inlineStr">
        <is>
          <t>社内作業ファイルの点検 05シート</t>
        </is>
      </c>
    </row>
    <row r="157" ht="88" customHeight="1">
      <c r="A157" s="4" t="n">
        <v>154</v>
      </c>
      <c r="B157" s="4" t="inlineStr">
        <is>
          <t>(6)</t>
        </is>
      </c>
      <c r="C157" s="4" t="inlineStr">
        <is>
          <t>R8.10</t>
        </is>
      </c>
      <c r="D157" s="5" t="inlineStr">
        <is>
          <t>計画素案 第2章第1節に町別の図を加えるか</t>
        </is>
      </c>
      <c r="E157" s="5" t="inlineStr">
        <is>
          <t>令和8年9月17日、社内で計画素案に図13点を加えた版を受領した。町別の人口と高齢化率、町別の男女別人口（人口ピラミッド）、町別の世帯構成、要介護認定者数、認知症高齢者の割合・自立度である。①町別の人口ピラミッドは第9期計画になく、加える値打ちがある。②ただし計画素案 第2章第1節は住民基本台帳の各年10月1日現在で統一しており、加筆の図は令和8年1月1日現在である。時点をそろえる（10月1日の値が出た時点で入れ替える）か、時点を明記して別の表として置くかをご判断いただきたい。③要介護認定者数と認知症高齢者は既存の記述と重なる（第2章第1節 図4、第2章第3節）。決着しない場合は図表集に収め、本文には加えない。</t>
        </is>
      </c>
      <c r="F157" s="5" t="inlineStr">
        <is>
          <t>計画素案 第2章第1節
図表集</t>
        </is>
      </c>
      <c r="G157" s="5" t="inlineStr">
        <is>
          <t>発注者</t>
        </is>
      </c>
      <c r="H157" s="10" t="inlineStr">
        <is>
          <t>確認待ち</t>
        </is>
      </c>
      <c r="I157" s="10" t="inlineStr">
        <is>
          <t>R8.10</t>
        </is>
      </c>
      <c r="J157" s="11" t="inlineStr">
        <is>
          <t>素案への加筆版の点検 03シート</t>
        </is>
      </c>
    </row>
    <row r="158" ht="88" customHeight="1">
      <c r="A158" s="4" t="n">
        <v>153</v>
      </c>
      <c r="B158" s="4" t="inlineStr">
        <is>
          <t>(2)</t>
        </is>
      </c>
      <c r="C158" s="4" t="inlineStr">
        <is>
          <t>R8.10</t>
        </is>
      </c>
      <c r="D158" s="5" t="inlineStr">
        <is>
          <t>人口の将来推計の方法を案Cからコーホート変化率法に改めるか</t>
        </is>
      </c>
      <c r="E158" s="5" t="inlineStr">
        <is>
          <t>同じ住民基本台帳（令和3年→令和8年）で正しく組み直すと、65歳以上（3町計）は令和8年9,176人・令和13年9,081人・令和18年8,982人で横ばいとなり、案C（令和11年度末9,213人・令和22年度末9,491人）と向きが一致し、水準の開きも3％から4％にとどまる。ただしコーホート変化率法は5年刻みの暦年でしか出ず、計画の年次（各年度末）にはそのままでは合わない。また移動の趨勢をそのまま将来へ繰り返すため、移住による若年層の増加がある町では総人口が増え続ける形になる。案Cは各年度で出て、総人口は地方創生総合戦略による。決着しない場合は案Cのままとし、組み直した変化率法は参考として内部に残す。</t>
        </is>
      </c>
      <c r="F158" s="5" t="inlineStr">
        <is>
          <t>サービス見込量 第2次概算
計画素案 第2章第1節・第6章第1節</t>
        </is>
      </c>
      <c r="G158" s="5" t="inlineStr">
        <is>
          <t>発注者</t>
        </is>
      </c>
      <c r="H158" s="10" t="inlineStr">
        <is>
          <t>確認待ち</t>
        </is>
      </c>
      <c r="I158" s="10" t="inlineStr">
        <is>
          <t>R8.10</t>
        </is>
      </c>
      <c r="J158" s="11" t="inlineStr">
        <is>
          <t>社内作業ファイルの点検 05シート</t>
        </is>
      </c>
    </row>
    <row r="159" ht="88" customHeight="1">
      <c r="A159" s="4" t="n">
        <v>155</v>
      </c>
      <c r="B159" s="4" t="inlineStr">
        <is>
          <t>(5)(7)</t>
        </is>
      </c>
      <c r="C159" s="4" t="inlineStr">
        <is>
          <t>R8.10</t>
        </is>
      </c>
      <c r="D159" s="5" t="inlineStr">
        <is>
          <t>全国自治体共通版の入力シート・手順書を本件に用いるか</t>
        </is>
      </c>
      <c r="E159" s="5" t="inlineStr">
        <is>
          <t>社内で作成された全国自治体共通版の見える化システム簡易入力シート（5シート・615項目・徴求資料107件）と入力手順書を本件の入力に用いるかどうか。様式としての作りは妥当であるが、全国共通版であり広域連合を想定していないため、当てはめに手当てを7件要する。特に①入力シートNo.2〜4（入力担当者・庁内確認者・提出承認者の氏名）及び④徴求資料一覧No.1（担当者連絡先・代表電話）は、担当者名・電話番号・メールアドレスを収録しない発注者指示と衝突するため、記入枠とするか欄を落とし、埋めたファイルを成果品として保存しない扱いとしたい。また地域支援事業は3町が実施主体であり、決算（広域連合の款項）と3町合計とで範囲が違う。【令和8年9月18日 ご判断】共通版はそのまま用いず、当方の試算（見える化 見込量の入力値（暫定））によることとなった。共通版は点検の観点としてのみ用い、記載の借用は行わない。これにより担当者名・連絡先の欄の扱いも生じない。</t>
        </is>
      </c>
      <c r="F159" s="5" t="inlineStr">
        <is>
          <t>見える化システムへの入力
サービス見込量 第2次概算</t>
        </is>
      </c>
      <c r="G159" s="5" t="inlineStr">
        <is>
          <t>発注者</t>
        </is>
      </c>
      <c r="H159" s="6" t="inlineStr">
        <is>
          <t>了承済</t>
        </is>
      </c>
      <c r="I159" s="10" t="inlineStr">
        <is>
          <t>R8.10</t>
        </is>
      </c>
      <c r="J159" s="11" t="inlineStr">
        <is>
          <t>見える化入力マニュアルの点検と整合確認 03・09シート</t>
        </is>
      </c>
    </row>
    <row r="160" ht="88" customHeight="1">
      <c r="A160" s="4" t="n">
        <v>156</v>
      </c>
      <c r="B160" s="4" t="inlineStr">
        <is>
          <t>(5)</t>
        </is>
      </c>
      <c r="C160" s="4" t="inlineStr">
        <is>
          <t>R8.10</t>
        </is>
      </c>
      <c r="D160" s="5" t="inlineStr">
        <is>
          <t>所得段階別第1号被保険者数の将来8年度分を当方で算定してよいか</t>
        </is>
      </c>
      <c r="E160" s="5" t="inlineStr">
        <is>
          <t>見える化システムは第1段階から第13段階までの第1号被保険者数を令和9・10・11・12・17・22・27・32年度について求める（104項目）。当方は所得段階別加入割合補正後の被保険者数を係数で一括して算定しており、段階別の将来人数は出していない。令和6・7年度の段階別の実績の構成比を固定し、第1号被保険者数の将来推計に乗じて按分する案でよいかご判断いただきたい。合計は補正後被保険者数と整合させる。所得段階の弾力化を行う場合は構成比が変わるため、併せて所得段階の設定（標準又は弾力化）のご確認を要する。【令和8年9月24日 ご指示により算定した】令和6年度の実績の構成比を固定し、将来の第1号被保険者数（案C）に乗じて16段階×8年度を算定した。構成比を令和6年度に採ったのは、当方の保険料算定が採用している係数（0.991352）と同じであり、本表の人数から見える化システムが算定する補正後被保険者数が当方の値と一致するためである。構成比を令和7年度に改めると係数は1.015890となり算定上の月額が163円下がるが、これは本表の作り方ではなく係数の選択そのものである（将来推計 第3段階 04シートの感度）。当連合は16段階であるため、入力画面では所得段階の設定を「弾力化」とする（見える化システムの標準は13段階）。第10期の段階数・乗率は政令改正により変わり得る（確認事項No.33）。</t>
        </is>
      </c>
      <c r="F160" s="5" t="inlineStr">
        <is>
          <t>見える化システムへの入力
将来推計 第3段階</t>
        </is>
      </c>
      <c r="G160" s="5" t="inlineStr">
        <is>
          <t>発注者</t>
        </is>
      </c>
      <c r="H160" s="8" t="inlineStr">
        <is>
          <t>対応中</t>
        </is>
      </c>
      <c r="I160" s="10" t="inlineStr">
        <is>
          <t>R8.10</t>
        </is>
      </c>
      <c r="J160" s="11" t="inlineStr">
        <is>
          <t>見える化入力マニュアルの点検と整合確認 07シート</t>
        </is>
      </c>
    </row>
    <row r="161" ht="88" customHeight="1">
      <c r="A161" s="4" t="n">
        <v>157</v>
      </c>
      <c r="B161" s="4" t="inlineStr">
        <is>
          <t>(5)(6)</t>
        </is>
      </c>
      <c r="C161" s="4" t="inlineStr">
        <is>
          <t>R8.10</t>
        </is>
      </c>
      <c r="D161" s="5" t="inlineStr">
        <is>
          <t>中長期推計を令和12・27・32年度まで広げるか</t>
        </is>
      </c>
      <c r="E161" s="5" t="inlineStr">
        <is>
          <t>当方の見込量・給付費は令和9年度から令和11年度と令和17・22年度の5年度である（確認事項No.114による）。見える化システムは令和12・27・32年度も求めており、不足する3年度に係る項目は33項目×3＝99項目にのぼる。人口の基礎（案Cに社人研の伸びで接続したもの）は令和32年度まであるため、見込量の算定を3年度分広げれば埋まる。受託者の作業だけで進む。計画本文に掲げるかどうかは別のご判断による。【令和8年9月24日 ご指示により算定した】中長期の年次を令和12・17・22・27・32年度の5年次へ広げた。計画本文に掲げるのは従前どおり令和17年度・令和22年度であり、素案の記載は変わっていない。広げたことにより、地域密着型介護老人福祉施設入所者生活介護が定員（62人）を超えるのは令和17年度ではなく令和12年度であることが分かった（従前は令和12年度を算定していなかった）。参考の月額（その水準が3年続いた場合）は令和12年度6,527円・令和17年度6,988円・令和22年度7,003円・令和27年度6,779円・令和32年度6,940円である。</t>
        </is>
      </c>
      <c r="F161" s="5" t="inlineStr">
        <is>
          <t>見える化システムへの入力
計画素案 第6章第1節・第3節</t>
        </is>
      </c>
      <c r="G161" s="5" t="inlineStr">
        <is>
          <t>発注者</t>
        </is>
      </c>
      <c r="H161" s="8" t="inlineStr">
        <is>
          <t>対応中</t>
        </is>
      </c>
      <c r="I161" s="10" t="inlineStr">
        <is>
          <t>R8.10</t>
        </is>
      </c>
      <c r="J161" s="11" t="inlineStr">
        <is>
          <t>見える化入力マニュアルの点検と整合確認 05シート</t>
        </is>
      </c>
    </row>
    <row r="162" ht="88" customHeight="1">
      <c r="A162" s="4" t="n">
        <v>158</v>
      </c>
      <c r="B162" s="4" t="inlineStr">
        <is>
          <t>(2)(4)</t>
        </is>
      </c>
      <c r="C162" s="4" t="inlineStr">
        <is>
          <t>R8.10</t>
        </is>
      </c>
      <c r="D162" s="5" t="inlineStr">
        <is>
          <t>在宅生活改善調査による代表KPI2項目の分母と町別の示し方</t>
        </is>
      </c>
      <c r="E162" s="5" t="inlineStr">
        <is>
          <t>在宅生活改善調査（利用者票99票）による代表KPI2項目の分母を設問ごとの有効回答とすることでよろしいかご確認いただきたい。①H06（在宅生活継続困難割合）は「在宅生活の維持の見通し」の有効回答98票を分母とし、72票÷98票＝73.5％とした。回収票99票を分母とする72.7％ではない（99票のうち1票は問2が無回答である）。②H12（区域内で提供できないサービスが必要と判断された利用者の割合）は「より適切と思われるサービス」の有効回答99票を分母とし、20票÷99票＝20.2％とした。従前は要介護度の有効回答98票を分母として20.4％としていたが、要介護度はH12の分母の条件ではないため改めた。③H12を町別に示す場合、区分できるのは利用者の居住地ではなく調査票を提出した事業所の所在地であるため、計画素案には町別の値を掲げていない。町別に示す必要がある場合は、提出事業所と町の対応が確認できる資料を要する。④なお、設問番号は資料により食い違うため、計画素案及び成果品では設問名で示し番号を書いていない。従前はH12のデータ源を「問3」と記載していたが、当方の結果報告書の構成では問3は「在宅生活の継続を困難にしている要因」である。調査票の原本により番号を確認できれば番号でも示す。</t>
        </is>
      </c>
      <c r="F162" s="5" t="inlineStr">
        <is>
          <t>計画素案 第5章第3節・基本目標3・資料1
アンケート調査の集計分析報告書 02・14シート</t>
        </is>
      </c>
      <c r="G162" s="5" t="inlineStr">
        <is>
          <t>発注者</t>
        </is>
      </c>
      <c r="H162" s="10" t="inlineStr">
        <is>
          <t>確認待ち</t>
        </is>
      </c>
      <c r="I162" s="10" t="inlineStr">
        <is>
          <t>R8.10</t>
        </is>
      </c>
      <c r="J162" s="11" t="inlineStr">
        <is>
          <t>既定値は①②のとおり設問別の有効回答を分母とし、③は町別の値を掲げない。令和8年9月25日の点検による</t>
        </is>
      </c>
    </row>
    <row r="163" ht="88" customHeight="1">
      <c r="A163" s="4" t="n">
        <v>159</v>
      </c>
      <c r="B163" s="4" t="inlineStr">
        <is>
          <t>(4)(6)</t>
        </is>
      </c>
      <c r="C163" s="4" t="inlineStr">
        <is>
          <t>R8.10</t>
        </is>
      </c>
      <c r="D163" s="5" t="inlineStr">
        <is>
          <t>東川町の通いの場の整備と担い手の確保</t>
        </is>
      </c>
      <c r="E163" s="5" t="inlineStr">
        <is>
          <t>令和6年度の通いの場は箇所数2・参加実人数40人で3町の中で最も少なく、週1回以上の通いの場がない。地域介護予防活動支援事業も3町で唯一実施していない。第10期に整備を進めるか、進める場合の担い手をどう確保するかを伺いたい。代表KPI H05（通いの場参加率）は令和6年度3.53％であり、週1回以上の1.28％は東神楽町だけで生み出している。</t>
        </is>
      </c>
      <c r="F163" s="5" t="inlineStr">
        <is>
          <t>計画素案 第3章第1節・第5章 基本目標2
10月 地域課題の整理と3町協議の確認事項</t>
        </is>
      </c>
      <c r="G163" s="5" t="inlineStr">
        <is>
          <t>発注者・東川町</t>
        </is>
      </c>
      <c r="H163" s="10" t="inlineStr">
        <is>
          <t>確認待ち</t>
        </is>
      </c>
      <c r="I163" s="10" t="inlineStr">
        <is>
          <t>R8.10</t>
        </is>
      </c>
      <c r="J163" s="11" t="inlineStr">
        <is>
          <t>決着しない場合は、現状のまま（東川町の整備を見込まない）第10期の目標値を置く</t>
        </is>
      </c>
    </row>
    <row r="164" ht="88" customHeight="1">
      <c r="A164" s="4" t="n">
        <v>160</v>
      </c>
      <c r="B164" s="4" t="inlineStr">
        <is>
          <t>(6)</t>
        </is>
      </c>
      <c r="C164" s="4" t="inlineStr">
        <is>
          <t>R8.10</t>
        </is>
      </c>
      <c r="D164" s="5" t="inlineStr">
        <is>
          <t>東川町の認知症サポーター養成講座の実施状況</t>
        </is>
      </c>
      <c r="E164" s="5" t="inlineStr">
        <is>
          <t>保険者機能強化推進交付金等（市町村分）の認知症サポーター数の評価が令和6年度から令和8年度まで3か年とも0点である。養成講座の実施状況と、第10期の取組の方針を伺いたい。得点0が取組の不在によるものか要件の未充足によるものかは公表資料からは判別できない。</t>
        </is>
      </c>
      <c r="F164" s="5" t="inlineStr">
        <is>
          <t>計画素案 第5章 基本目標2
10月 地域課題の整理と3町協議の確認事項</t>
        </is>
      </c>
      <c r="G164" s="5" t="inlineStr">
        <is>
          <t>発注者・東川町</t>
        </is>
      </c>
      <c r="H164" s="10" t="inlineStr">
        <is>
          <t>確認待ち</t>
        </is>
      </c>
      <c r="I164" s="10" t="inlineStr">
        <is>
          <t>R8.10</t>
        </is>
      </c>
      <c r="J164" s="11" t="inlineStr">
        <is>
          <t>決着しない場合は、現に確認できる取組の範囲で記述し目標値は置かない</t>
        </is>
      </c>
    </row>
    <row r="165" ht="88" customHeight="1">
      <c r="A165" s="4" t="n">
        <v>161</v>
      </c>
      <c r="B165" s="4" t="inlineStr">
        <is>
          <t>(6)</t>
        </is>
      </c>
      <c r="C165" s="4" t="inlineStr">
        <is>
          <t>R8.10</t>
        </is>
      </c>
      <c r="D165" s="5" t="inlineStr">
        <is>
          <t>東川町のチームオレンジ事業の位置づけ</t>
        </is>
      </c>
      <c r="E165" s="5" t="inlineStr">
        <is>
          <t>令和7年3月にチームオレンジ結成会を開催し、令和8年度の地域包括支援センター事業実施計画書に「チームオレンジ事業」を立てている。3町の中で唯一の取組である。第10期の位置づけと、3町展開の可否を伺いたい。</t>
        </is>
      </c>
      <c r="F165" s="5" t="inlineStr">
        <is>
          <t>計画素案 第5章 基本目標2
10月 地域課題の整理と3町協議の確認事項</t>
        </is>
      </c>
      <c r="G165" s="5" t="inlineStr">
        <is>
          <t>発注者・東川町</t>
        </is>
      </c>
      <c r="H165" s="10" t="inlineStr">
        <is>
          <t>確認待ち</t>
        </is>
      </c>
      <c r="I165" s="10" t="inlineStr">
        <is>
          <t>R8.10</t>
        </is>
      </c>
      <c r="J165" s="11" t="inlineStr">
        <is>
          <t>決着しない場合は、東川町の取組として記述し3町展開は記述しない</t>
        </is>
      </c>
    </row>
    <row r="166" ht="88" customHeight="1">
      <c r="A166" s="4" t="n">
        <v>162</v>
      </c>
      <c r="B166" s="4" t="inlineStr">
        <is>
          <t>(6)</t>
        </is>
      </c>
      <c r="C166" s="4" t="inlineStr">
        <is>
          <t>R8.10</t>
        </is>
      </c>
      <c r="D166" s="5" t="inlineStr">
        <is>
          <t>美瑛町の認知症初期集中支援推進事業の再開の見通し</t>
        </is>
      </c>
      <c r="E166" s="5" t="inlineStr">
        <is>
          <t>令和7年度の地域包括支援センター事業実施報告書によれば、対応件数0件で医師を確保できず休止している。令和9年度以降の再開の見通しと、再開できない場合の代替の体制を伺いたい。認知症基本法第13条の市町村認知症施策推進計画の中心となる事業である。</t>
        </is>
      </c>
      <c r="F166" s="5" t="inlineStr">
        <is>
          <t>計画素案 第5章 基本目標2
10月 地域課題の整理と3町協議の確認事項</t>
        </is>
      </c>
      <c r="G166" s="5" t="inlineStr">
        <is>
          <t>発注者・美瑛町</t>
        </is>
      </c>
      <c r="H166" s="10" t="inlineStr">
        <is>
          <t>確認待ち</t>
        </is>
      </c>
      <c r="I166" s="10" t="inlineStr">
        <is>
          <t>R8.10</t>
        </is>
      </c>
      <c r="J166" s="11" t="inlineStr">
        <is>
          <t>決着しない場合は、令和7年度の実施状況のとおり記述し、再開の時期は［要協議］のまま残す</t>
        </is>
      </c>
    </row>
    <row r="167" ht="88" customHeight="1">
      <c r="A167" s="4" t="n">
        <v>163</v>
      </c>
      <c r="B167" s="4" t="inlineStr">
        <is>
          <t>(6)</t>
        </is>
      </c>
      <c r="C167" s="4" t="inlineStr">
        <is>
          <t>R8.10</t>
        </is>
      </c>
      <c r="D167" s="5" t="inlineStr">
        <is>
          <t>美瑛町の地域リハビリテーション活動支援事業の3町展開</t>
        </is>
      </c>
      <c r="E167" s="5" t="inlineStr">
        <is>
          <t>3町の中で唯一実施しており、理学療法士等を通いの場へ派遣している。3町展開の可否と、実施上の課題（派遣元の確保、派遣先の選び方）を伺いたい。交付金の評価項目でもある。</t>
        </is>
      </c>
      <c r="F167" s="5" t="inlineStr">
        <is>
          <t>計画素案 第5章 基本目標2
10月 地域課題の整理と3町協議の確認事項</t>
        </is>
      </c>
      <c r="G167" s="5" t="inlineStr">
        <is>
          <t>発注者・美瑛町</t>
        </is>
      </c>
      <c r="H167" s="10" t="inlineStr">
        <is>
          <t>確認待ち</t>
        </is>
      </c>
      <c r="I167" s="10" t="inlineStr">
        <is>
          <t>R8.10</t>
        </is>
      </c>
      <c r="J167" s="11" t="inlineStr">
        <is>
          <t>決着しない場合は、美瑛町の取組として記述し3町展開は記述しない</t>
        </is>
      </c>
    </row>
    <row r="168" ht="88" customHeight="1">
      <c r="A168" s="4" t="n">
        <v>164</v>
      </c>
      <c r="B168" s="4" t="inlineStr">
        <is>
          <t>(6)(7)</t>
        </is>
      </c>
      <c r="C168" s="4" t="inlineStr">
        <is>
          <t>R8.10</t>
        </is>
      </c>
      <c r="D168" s="5" t="inlineStr">
        <is>
          <t>美瑛町の地域密着型介護老人福祉施設の整備方針</t>
        </is>
      </c>
      <c r="E168" s="5" t="inlineStr">
        <is>
          <t>区域内定員62人のうち43人が美瑛町にある。サービス見込量 第1次概算では令和11年度に定員の99.9％に達し、令和12年度には定員を超えると見込まれる。第10期の整備方針を伺いたい。確認事項No.88（必要利用定員総数）と一体のものである。</t>
        </is>
      </c>
      <c r="F168" s="5" t="inlineStr">
        <is>
          <t>計画素案 第6章第4節・第6章第5節
10月 地域課題の整理と3町協議の確認事項</t>
        </is>
      </c>
      <c r="G168" s="5" t="inlineStr">
        <is>
          <t>発注者・美瑛町</t>
        </is>
      </c>
      <c r="H168" s="10" t="inlineStr">
        <is>
          <t>確認待ち</t>
        </is>
      </c>
      <c r="I168" s="10" t="inlineStr">
        <is>
          <t>R8.10</t>
        </is>
      </c>
      <c r="J168" s="11" t="inlineStr">
        <is>
          <t>決着しない場合は、現定員の据え置き案を掲げ本文は［要協議］のまま残す</t>
        </is>
      </c>
    </row>
    <row r="169" ht="88" customHeight="1">
      <c r="A169" s="4" t="n">
        <v>165</v>
      </c>
      <c r="B169" s="4" t="inlineStr">
        <is>
          <t>(6)</t>
        </is>
      </c>
      <c r="C169" s="4" t="inlineStr">
        <is>
          <t>R8.10</t>
        </is>
      </c>
      <c r="D169" s="5" t="inlineStr">
        <is>
          <t>美瑛町の難聴高齢者の早期発見・早期介入の取組</t>
        </is>
      </c>
      <c r="E169" s="5" t="inlineStr">
        <is>
          <t>保険者機能強化推進交付金等（市町村分）の当該項目の評価が令和8年度に0点である（他の2町は各10点）。取組の状況と第10期の方針を伺いたい。</t>
        </is>
      </c>
      <c r="F169" s="5" t="inlineStr">
        <is>
          <t>計画素案 第5章 基本目標2
10月 地域課題の整理と3町協議の確認事項</t>
        </is>
      </c>
      <c r="G169" s="5" t="inlineStr">
        <is>
          <t>発注者・美瑛町</t>
        </is>
      </c>
      <c r="H169" s="10" t="inlineStr">
        <is>
          <t>確認待ち</t>
        </is>
      </c>
      <c r="I169" s="10" t="inlineStr">
        <is>
          <t>R8.10</t>
        </is>
      </c>
      <c r="J169" s="11" t="inlineStr">
        <is>
          <t>決着しない場合は、現に確認できる取組の範囲で記述する</t>
        </is>
      </c>
    </row>
    <row r="170" ht="88" customHeight="1">
      <c r="A170" s="4" t="n">
        <v>166</v>
      </c>
      <c r="B170" s="4" t="inlineStr">
        <is>
          <t>(4)(6)</t>
        </is>
      </c>
      <c r="C170" s="4" t="inlineStr">
        <is>
          <t>R8.10</t>
        </is>
      </c>
      <c r="D170" s="5" t="inlineStr">
        <is>
          <t>東神楽町の通いの場の維持</t>
        </is>
      </c>
      <c r="E170" s="5" t="inlineStr">
        <is>
          <t>令和6年度の通いの場は箇所数15・参加実人数157人で3町の中で最も多く、週1回以上の通いの場はすべて東神楽町にある。この水準を第10期も維持できるか、担い手の高齢化の状況を伺いたい。維持できない場合、広域連合全体の代表KPI H05が大きく下がる。</t>
        </is>
      </c>
      <c r="F170" s="5" t="inlineStr">
        <is>
          <t>計画素案 第3章第1節・第5章 基本目標2
10月 地域課題の整理と3町協議の確認事項</t>
        </is>
      </c>
      <c r="G170" s="5" t="inlineStr">
        <is>
          <t>発注者・東神楽町</t>
        </is>
      </c>
      <c r="H170" s="10" t="inlineStr">
        <is>
          <t>確認待ち</t>
        </is>
      </c>
      <c r="I170" s="10" t="inlineStr">
        <is>
          <t>R8.10</t>
        </is>
      </c>
      <c r="J170" s="11" t="inlineStr">
        <is>
          <t>決着しない場合は、令和6年度の水準が続くものとして目標値を置く</t>
        </is>
      </c>
    </row>
    <row r="171" ht="88" customHeight="1">
      <c r="A171" s="4" t="n">
        <v>167</v>
      </c>
      <c r="B171" s="4" t="inlineStr">
        <is>
          <t>(6)</t>
        </is>
      </c>
      <c r="C171" s="4" t="inlineStr">
        <is>
          <t>R8.10</t>
        </is>
      </c>
      <c r="D171" s="5" t="inlineStr">
        <is>
          <t>東神楽町の認知症サポーター・ステップアップ講座の実施状況</t>
        </is>
      </c>
      <c r="E171" s="5" t="inlineStr">
        <is>
          <t>保険者機能強化推進交付金等（市町村分）の認知症サポーター数とステップアップ講座修了者数の評価が令和8年度にいずれも0点である。実施の状況と第10期の方針を伺いたい。ステップアップ講座は3町とも3か年0点であり、3町共通の課題となる可能性がある。</t>
        </is>
      </c>
      <c r="F171" s="5" t="inlineStr">
        <is>
          <t>計画素案 第5章 基本目標2
10月 地域課題の整理と3町協議の確認事項</t>
        </is>
      </c>
      <c r="G171" s="5" t="inlineStr">
        <is>
          <t>発注者・東神楽町</t>
        </is>
      </c>
      <c r="H171" s="10" t="inlineStr">
        <is>
          <t>確認待ち</t>
        </is>
      </c>
      <c r="I171" s="10" t="inlineStr">
        <is>
          <t>R8.10</t>
        </is>
      </c>
      <c r="J171" s="11" t="inlineStr">
        <is>
          <t>決着しない場合は、現に確認できる取組の範囲で記述し目標値は置かない</t>
        </is>
      </c>
    </row>
    <row r="172" ht="88" customHeight="1">
      <c r="A172" s="4" t="n">
        <v>168</v>
      </c>
      <c r="B172" s="4" t="inlineStr">
        <is>
          <t>(2)(6)</t>
        </is>
      </c>
      <c r="C172" s="4" t="inlineStr">
        <is>
          <t>R8.9</t>
        </is>
      </c>
      <c r="D172" s="5" t="inlineStr">
        <is>
          <t>同様の構成の団体との比較と団体名の扱い</t>
        </is>
      </c>
      <c r="E172" s="5" t="inlineStr">
        <is>
          <t>交付金の評価結果について、当連合と同様に複数の市町村で構成する広域連合・一部事務組合との比較をご要望いただいた。令和6・7・8年度の全国集計結果の原本をご提供いただき、団体と構成市町村を割り出して3か年の比較を行うことができた。全国集計には広域連合・一部事務組合の行がある（名称が市・区・町・村で終わらない行。保険者番号を持つ）。いずれも得点欄は空欄であり、得点のある行は3か年とも1,741で全国の市区町村の数と一致する。交付金が市町村に交付されるためである。構成市町村は原本の並び順から読める。団体の行の直後に構成市町村の行が続き、構成市町村の行は保険者番号の欄が空欄である。この規則により令和8年度は38団体・205市町村、令和7年度は39団体・207市町村、令和6年度は40団体・210市町村を漏れなく割り当てられ、当連合の構成が東川町・美瑛町・東神楽町となることも確かめられた。38団体の構成市町村は3か年で完全に一致する。構成市町村の得点の平均により比べたところ、当連合は38団体中36位（令和6年度は34位）、市を含まず町村のみで構成する11団体の中で10位、北海道内の4団体の中で3か年とも最も低い。推進と支援に分けると、当連合は推進＋8.0点・支援▲6.0点であり、38団体の平均（推進＋18.6点・支援＋4.9点）に対し支援の側で向きが逆である。</t>
        </is>
      </c>
      <c r="F172" s="5" t="inlineStr">
        <is>
          <t>交付金評価の取りまとめと第10期への反映 06シート</t>
        </is>
      </c>
      <c r="G172" s="5" t="inlineStr">
        <is>
          <t>発注者</t>
        </is>
      </c>
      <c r="H172" s="10" t="inlineStr">
        <is>
          <t>解決</t>
        </is>
      </c>
      <c r="I172" s="10" t="inlineStr">
        <is>
          <t>R8.10</t>
        </is>
      </c>
      <c r="J172" s="11" t="inlineStr">
        <is>
          <t>令和8年9月29日に令和6・7・8年度の原本を受領し、3か年の比較を終えた。団体名の扱いについて同日ご指示をいただいた。協議用の資料には団体名を掲げてよく、計画素案には掲げない。掲げてよいこととなった場合は協議用の様式を計画に流用する。計画素案に他の団体の名が現れないことは成果品の自己点検で確かめている。なお他の保険者が策定した計画を参照して必要項目を導くことはご指示により行わない。代わりに評価指標の明細列と全国該当率による「全国の標準」から導いている</t>
        </is>
      </c>
    </row>
    <row r="173" ht="88" customHeight="1">
      <c r="A173" s="4" t="n">
        <v>169</v>
      </c>
      <c r="B173" s="4" t="inlineStr">
        <is>
          <t>(2)(6)</t>
        </is>
      </c>
      <c r="C173" s="4" t="inlineStr">
        <is>
          <t>R8.9</t>
        </is>
      </c>
      <c r="D173" s="5" t="inlineStr">
        <is>
          <t>構成町により得点が分かれている項目の区域内での取扱い</t>
        </is>
      </c>
      <c r="E173" s="5" t="inlineStr">
        <is>
          <t>令和8年度の評価指標の明細列299のうち78列で、構成3町の一部の町のみが得点している。3町は制度・保険者が同じであり条件がそろっているため、既に実施している町の取組を区域内に広げることで得点に結びつく余地がある。配点の大きいものは医療・介護関係者間の情報共有（東神楽町のみ得点）、介護人材の確保・定着の取組状況、認知症サポーター等を活用した地域支援体制の構築である。①区域内で取扱いをそろえる項目を選ぶか。②選ぶ場合、10月の町別協議で実施の可否を伺う対象としてよいか。</t>
        </is>
      </c>
      <c r="F173" s="5" t="inlineStr">
        <is>
          <t>交付金評価の取りまとめと第10期への反映 08シート・09シート
10月 地域課題の整理と3町協議の確認事項</t>
        </is>
      </c>
      <c r="G173" s="5" t="inlineStr">
        <is>
          <t>発注者・3町</t>
        </is>
      </c>
      <c r="H173" s="10" t="inlineStr">
        <is>
          <t>確認待ち</t>
        </is>
      </c>
      <c r="I173" s="10" t="inlineStr">
        <is>
          <t>R8.10</t>
        </is>
      </c>
      <c r="J173" s="11" t="inlineStr">
        <is>
          <t>決着しない場合は、町ごとの取組の状況をそのまま記述し、区域内での統一は計画に位置づけない。第10期の施策に位置づけるかどうかは取組の必要性から判断するものであり、得点のみを理由とするものではない</t>
        </is>
      </c>
    </row>
    <row r="174" ht="88" customHeight="1">
      <c r="A174" s="4" t="n">
        <v>170</v>
      </c>
      <c r="B174" s="4" t="inlineStr">
        <is>
          <t>(6)</t>
        </is>
      </c>
      <c r="C174" s="4" t="inlineStr">
        <is>
          <t>R8.9</t>
        </is>
      </c>
      <c r="D174" s="5" t="inlineStr">
        <is>
          <t>計画素案に独自に加えた記載のうち、打合せ協議用へ移すもの</t>
        </is>
      </c>
      <c r="E174" s="5" t="inlineStr">
        <is>
          <t>計画素案の本文にある【　】の小見出し68件を、法令・基本指針が求める事項の説明、第9期計画にも同種の記載がある事項、第9期計画になく法令も直接には求めていない当方の分析の3つに区分した。このうち、計画に置くか打合せ協議用の資料へ移すかをお決めいただきたいものが23件ある（移すことを提案するもの8件、いずれとするかお決めいただくもの15件）。移す場合も本文から内容が消えるのではなく、結論のみを本文に残す。①移すことを提案する8件を移してよいか。②お決めいただく15件をそれぞれどちらとするか。</t>
        </is>
      </c>
      <c r="F174" s="5" t="inlineStr">
        <is>
          <t>計画素案の記載内容の洗い出しと対比 06シート・07シート
計画素案 第1章第6節・第2章第3節・第2章第6節・第3章第2節・第4章第3節・第6章第6節</t>
        </is>
      </c>
      <c r="G174" s="5" t="inlineStr">
        <is>
          <t>発注者</t>
        </is>
      </c>
      <c r="H174" s="8" t="inlineStr">
        <is>
          <t>一部解消</t>
        </is>
      </c>
      <c r="I174" s="10" t="inlineStr">
        <is>
          <t>R8.10</t>
        </is>
      </c>
      <c r="J174" s="11" t="inlineStr">
        <is>
          <t>令和8年9月29日 ご指示「移すは8件とも移してよい。協議は一旦そのまま」。8件を計画素案から移した。移し先はいずれも既にある成果品であり、新たな成果品は起こしていない（年次評価の実施要領・見える化データの受領点検・実施済み調査 結果報告書・第9期施策別評価表・資料1・将来推計 第3段階）。移した内容は本文から消えるのではなく結論のみを本文に残している。第6章第6節の小見出しは「暫定算定」に改めた。計画素案は943段落147表から916段落141表となった。「協議」と判定した15件は一旦そのまま計画素案に残す</t>
        </is>
      </c>
    </row>
    <row r="175" ht="88" customHeight="1">
      <c r="A175" s="4" t="n">
        <v>171</v>
      </c>
      <c r="B175" s="4" t="inlineStr">
        <is>
          <t>(6)(10)</t>
        </is>
      </c>
      <c r="C175" s="4" t="inlineStr">
        <is>
          <t>R8.9</t>
        </is>
      </c>
      <c r="D175" s="5" t="inlineStr">
        <is>
          <t>第9期計画にない体裁の取扱い（小見出し【　】ほか）</t>
        </is>
      </c>
      <c r="E175" s="5" t="inlineStr">
        <is>
          <t>第9期計画の図表レイアウト・フォント・表の体裁を維持する方針であるが、計画素案には第9期計画にない体裁が6件ある。①本文の小見出しを【　】で示していること（第9期計画は「１」「（１）」「ア」の階層による）。②未確定箇所を［要協議］［要確認］［要内訳］で示していること。③前提を動かした場合の幅を示す感度分析の表。④複数の算定方法の結果を並べた対比の表。⑤統計的な検定の結果。⑥他団体の固有名称を掲げないこと。あわせて資料編の構成についてもご判断を要する。第9期計画の資料編に当たるものとして、⑦意見公募手続（パブリックコメント）の実施状況、⑧介護保険事業計画策定委員会の委嘱期間・組織・委員名簿・開催の状況、⑨用語解説、⑩区域内の事業所一覧を掲げるかどうか。いずれも現在の素案にはない。⑧の委員名簿は氏名を掲げるため、個人情報を収録しない方針との関係を確認する必要がある。①は節ごとに判断せず計画全体で統一する必要がある。②は協議用素案の間は残し、計画として確定する際にすべて解消する。③〜⑤は採用案が決まった時点で整理する。</t>
        </is>
      </c>
      <c r="F175" s="5" t="inlineStr">
        <is>
          <t>計画素案の記載内容の洗い出しと対比 08シート
計画素案 全体</t>
        </is>
      </c>
      <c r="G175" s="5" t="inlineStr">
        <is>
          <t>発注者</t>
        </is>
      </c>
      <c r="H175" s="10" t="inlineStr">
        <is>
          <t>確認待ち</t>
        </is>
      </c>
      <c r="I175" s="10" t="inlineStr">
        <is>
          <t>R8.11</t>
        </is>
      </c>
      <c r="J175" s="11" t="inlineStr">
        <is>
          <t>令和8年9月29日 ご指示「小見出しは保留」。現時点では決定を要しない。現在の体裁のままとする。計画として確定する前に改めてお諮りする。④の対比の表は採用案が決まった時点で1つに絞り、採らなかった案は協議用の資料に残して計画本文には残さない</t>
        </is>
      </c>
    </row>
    <row r="176" ht="88" customHeight="1">
      <c r="A176" s="4" t="n">
        <v>172</v>
      </c>
      <c r="B176" s="4" t="inlineStr">
        <is>
          <t>(6)(10)</t>
        </is>
      </c>
      <c r="C176" s="4" t="inlineStr">
        <is>
          <t>R8.10</t>
        </is>
      </c>
      <c r="D176" s="5" t="inlineStr">
        <is>
          <t>保険者機能強化推進交付金等の評価を示す図の計画本文への掲載</t>
        </is>
      </c>
      <c r="E176" s="5" t="inlineStr">
        <is>
          <t>交付金の評価に関する図を3点作成しているが（総合得点の推移、指標群別の得点、目標別の得点の対全国比）、図表番号一覧では策定委員会の資料とし、計画本文には置いていない。計画本文の第3章第4節には交付金の評価について記述があるものの図がなく、全国との開きがどの分野にあるかが紙面では読み取りにくい。交付金の評価は、①第9期の取組の到達点を示すもの、②第10期の重点の置き方の手掛かりとなるものの双方に当たる。3点を計画本文（第3章第4節）に掲載してよいか。掲載する場合、構成3町の得点を町別に掲げるか、3町の平均のみとするかを併せてお決めいただきたい。</t>
        </is>
      </c>
      <c r="F176" s="5" t="inlineStr">
        <is>
          <t>図表データ管理台帳 03シート
計画素案 第3章第4節・資料7</t>
        </is>
      </c>
      <c r="G176" s="5" t="inlineStr">
        <is>
          <t>発注者</t>
        </is>
      </c>
      <c r="H176" s="10" t="inlineStr">
        <is>
          <t>未回答</t>
        </is>
      </c>
      <c r="I176" s="10" t="inlineStr">
        <is>
          <t>R8.10</t>
        </is>
      </c>
      <c r="J176" s="11" t="inlineStr">
        <is>
          <t>決着しない場合の当方の扱い＝掲載しない（図表番号一覧のとおり策定委員会の資料にとどめる）。得点0が「取組がない」のか「要件を満たさない」のか「報告していない」のかは公表資料から判別できないため、掲載する場合もその旨を注記する</t>
        </is>
      </c>
    </row>
    <row r="177" ht="88" customHeight="1">
      <c r="A177" s="4" t="n">
        <v>173</v>
      </c>
      <c r="B177" s="4" t="inlineStr">
        <is>
          <t>(6)</t>
        </is>
      </c>
      <c r="C177" s="4" t="inlineStr">
        <is>
          <t>R8.10</t>
        </is>
      </c>
      <c r="D177" s="5" t="inlineStr">
        <is>
          <t>計画本文の図と別冊の図表集の対応（作りが異なるもの・図表集にないもの）</t>
        </is>
      </c>
      <c r="E177" s="5" t="inlineStr">
        <is>
          <t>計画本文に差し込む図と別冊の図表集のグラフを数値で突き合わせたところ、①数値も作りも同じもの、②図表集の系列から必要な区分を抜き出した又は並べ替えたもの、③同じ主題であるが軸の取り方・区分の束ね方が異なるもの、④図表集に対応するグラフがないものの4通りがあった。③は同じ主題の図が2通りある状態であり、④は本文の図の数値を図表集で管理していない状態である。③についてはどちらを計画に載せるか、④については図表集にも収めるかをお決めいただきたい。</t>
        </is>
      </c>
      <c r="F177" s="5" t="inlineStr">
        <is>
          <t>図表データ管理台帳 01シート・02シート
計画素案 資料7／別冊の図表集</t>
        </is>
      </c>
      <c r="G177" s="5" t="inlineStr">
        <is>
          <t>発注者</t>
        </is>
      </c>
      <c r="H177" s="10" t="inlineStr">
        <is>
          <t>未回答</t>
        </is>
      </c>
      <c r="I177" s="10" t="inlineStr">
        <is>
          <t>R8.11</t>
        </is>
      </c>
      <c r="J177" s="11" t="inlineStr">
        <is>
          <t>決着しない場合の当方の扱い＝現行のまま（③は本文の図を計画に載せ、図表集の図は参考として残す。④は本文の図の数値を図表データ管理台帳で管理する）。いずれも保険料・見込量の算定には影響しない</t>
        </is>
      </c>
    </row>
    <row r="179" ht="32" customHeight="1">
      <c r="A179" s="3" t="inlineStr">
        <is>
          <t>区分</t>
        </is>
      </c>
      <c r="B179" s="3" t="inlineStr">
        <is>
          <t>件数</t>
        </is>
      </c>
      <c r="C179" s="3" t="inlineStr"/>
      <c r="D179" s="3" t="inlineStr"/>
      <c r="E179" s="3" t="inlineStr"/>
      <c r="F179" s="3" t="inlineStr"/>
      <c r="G179" s="3" t="inlineStr"/>
      <c r="H179" s="3" t="inlineStr"/>
      <c r="I179" s="3" t="inlineStr"/>
      <c r="J179" s="3" t="inlineStr"/>
    </row>
    <row r="180" ht="20" customHeight="1">
      <c r="A180" s="6" t="inlineStr">
        <is>
          <t>完了</t>
        </is>
      </c>
      <c r="B180" s="4">
        <f>COUNTIF(H5:H177,"完了")</f>
        <v/>
      </c>
      <c r="C180" s="5" t="inlineStr"/>
      <c r="D180" s="5" t="inlineStr"/>
      <c r="E180" s="5" t="inlineStr"/>
      <c r="F180" s="5" t="inlineStr"/>
      <c r="G180" s="5" t="inlineStr"/>
      <c r="H180" s="5" t="inlineStr"/>
      <c r="I180" s="5" t="inlineStr"/>
      <c r="J180" s="5" t="inlineStr"/>
    </row>
    <row r="181" ht="20" customHeight="1">
      <c r="A181" s="8" t="inlineStr">
        <is>
          <t>実施中</t>
        </is>
      </c>
      <c r="B181" s="4">
        <f>COUNTIF(H5:H177,"実施中")</f>
        <v/>
      </c>
      <c r="C181" s="5" t="inlineStr"/>
      <c r="D181" s="5" t="inlineStr"/>
      <c r="E181" s="5" t="inlineStr"/>
      <c r="F181" s="5" t="inlineStr"/>
      <c r="G181" s="5" t="inlineStr"/>
      <c r="H181" s="5" t="inlineStr"/>
      <c r="I181" s="5" t="inlineStr"/>
      <c r="J181" s="5" t="inlineStr"/>
    </row>
    <row r="182" ht="20" customHeight="1">
      <c r="A182" s="10" t="inlineStr">
        <is>
          <t>確認待ち</t>
        </is>
      </c>
      <c r="B182" s="4">
        <f>COUNTIF(H5:H177,"確認待ち")</f>
        <v/>
      </c>
      <c r="C182" s="5" t="inlineStr"/>
      <c r="D182" s="5" t="inlineStr"/>
      <c r="E182" s="5" t="inlineStr"/>
      <c r="F182" s="5" t="inlineStr"/>
      <c r="G182" s="5" t="inlineStr"/>
      <c r="H182" s="5" t="inlineStr"/>
      <c r="I182" s="5" t="inlineStr"/>
      <c r="J182" s="5" t="inlineStr"/>
    </row>
    <row r="183" ht="20" customHeight="1">
      <c r="A183" s="12" t="inlineStr">
        <is>
          <t>未着手</t>
        </is>
      </c>
      <c r="B183" s="4">
        <f>COUNTIF(H5:H177,"未着手")</f>
        <v/>
      </c>
      <c r="C183" s="5" t="inlineStr"/>
      <c r="D183" s="5" t="inlineStr"/>
      <c r="E183" s="5" t="inlineStr"/>
      <c r="F183" s="5" t="inlineStr"/>
      <c r="G183" s="5" t="inlineStr"/>
      <c r="H183" s="5" t="inlineStr"/>
      <c r="I183" s="5" t="inlineStr"/>
      <c r="J183" s="5" t="inlineStr"/>
    </row>
    <row r="184" ht="20" customHeight="1">
      <c r="A184" s="14" t="inlineStr">
        <is>
          <t>対象外</t>
        </is>
      </c>
      <c r="B184" s="4">
        <f>COUNTIF(H5:H177,"対象外")</f>
        <v/>
      </c>
      <c r="C184" s="5" t="inlineStr"/>
      <c r="D184" s="5" t="inlineStr"/>
      <c r="E184" s="5" t="inlineStr"/>
      <c r="F184" s="5" t="inlineStr"/>
      <c r="G184" s="5" t="inlineStr"/>
      <c r="H184" s="5" t="inlineStr"/>
      <c r="I184" s="5" t="inlineStr"/>
      <c r="J184" s="5" t="inlineStr"/>
    </row>
    <row r="186" ht="32" customHeight="1">
      <c r="A186" s="3" t="inlineStr">
        <is>
          <t>確認先</t>
        </is>
      </c>
      <c r="B186" s="3" t="inlineStr">
        <is>
          <t>件数</t>
        </is>
      </c>
      <c r="C186" s="3" t="inlineStr"/>
      <c r="D186" s="3" t="inlineStr"/>
      <c r="E186" s="3" t="inlineStr"/>
      <c r="F186" s="3" t="inlineStr"/>
      <c r="G186" s="3" t="inlineStr"/>
      <c r="H186" s="3" t="inlineStr"/>
      <c r="I186" s="3" t="inlineStr"/>
      <c r="J186" s="3" t="inlineStr"/>
    </row>
    <row r="187" ht="20" customHeight="1">
      <c r="A187" s="5" t="inlineStr">
        <is>
          <t>発注者</t>
        </is>
      </c>
      <c r="B187" s="4">
        <f>COUNTIF(G5:G177,"発注者")</f>
        <v/>
      </c>
      <c r="C187" s="5" t="inlineStr"/>
      <c r="D187" s="5" t="inlineStr"/>
      <c r="E187" s="5" t="inlineStr"/>
      <c r="F187" s="5" t="inlineStr"/>
      <c r="G187" s="5" t="inlineStr"/>
      <c r="H187" s="5" t="inlineStr"/>
      <c r="I187" s="5" t="inlineStr"/>
      <c r="J187" s="5" t="inlineStr"/>
    </row>
    <row r="188" ht="20" customHeight="1">
      <c r="A188" s="5" t="inlineStr">
        <is>
          <t>発注者・3町</t>
        </is>
      </c>
      <c r="B188" s="4">
        <f>COUNTIF(G5:G177,"発注者・3町")</f>
        <v/>
      </c>
      <c r="C188" s="5" t="inlineStr"/>
      <c r="D188" s="5" t="inlineStr"/>
      <c r="E188" s="5" t="inlineStr"/>
      <c r="F188" s="5" t="inlineStr"/>
      <c r="G188" s="5" t="inlineStr"/>
      <c r="H188" s="5" t="inlineStr"/>
      <c r="I188" s="5" t="inlineStr"/>
      <c r="J188" s="5" t="inlineStr"/>
    </row>
    <row r="189" ht="20" customHeight="1">
      <c r="A189" s="5" t="inlineStr">
        <is>
          <t>発注者・北海道</t>
        </is>
      </c>
      <c r="B189" s="4">
        <f>COUNTIF(G5:G177,"発注者・北海道")</f>
        <v/>
      </c>
      <c r="C189" s="5" t="inlineStr"/>
      <c r="D189" s="5" t="inlineStr"/>
      <c r="E189" s="5" t="inlineStr"/>
      <c r="F189" s="5" t="inlineStr"/>
      <c r="G189" s="5" t="inlineStr"/>
      <c r="H189" s="5" t="inlineStr"/>
      <c r="I189" s="5" t="inlineStr"/>
      <c r="J189" s="5" t="inlineStr"/>
    </row>
    <row r="190" ht="20" customHeight="1">
      <c r="A190" s="5" t="inlineStr">
        <is>
          <t>発注者・3町・北海道</t>
        </is>
      </c>
      <c r="B190" s="4">
        <f>COUNTIF(G5:G177,"発注者・3町・北海道")</f>
        <v/>
      </c>
      <c r="C190" s="5" t="inlineStr"/>
      <c r="D190" s="5" t="inlineStr"/>
      <c r="E190" s="5" t="inlineStr"/>
      <c r="F190" s="5" t="inlineStr"/>
      <c r="G190" s="5" t="inlineStr"/>
      <c r="H190" s="5" t="inlineStr"/>
      <c r="I190" s="5" t="inlineStr"/>
      <c r="J190" s="5" t="inlineStr"/>
    </row>
    <row r="191" ht="20" customHeight="1">
      <c r="A191" s="5" t="inlineStr">
        <is>
          <t>北海道</t>
        </is>
      </c>
      <c r="B191" s="4">
        <f>COUNTIF(G5:G177,"北海道")</f>
        <v/>
      </c>
      <c r="C191" s="5" t="inlineStr"/>
      <c r="D191" s="5" t="inlineStr"/>
      <c r="E191" s="5" t="inlineStr"/>
      <c r="F191" s="5" t="inlineStr"/>
      <c r="G191" s="5" t="inlineStr"/>
      <c r="H191" s="5" t="inlineStr"/>
      <c r="I191" s="5" t="inlineStr"/>
      <c r="J191" s="5" t="inlineStr"/>
    </row>
    <row r="193" ht="28" customHeight="1">
      <c r="A19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93:J193"/>
    <mergeCell ref="A2:J2"/>
  </mergeCells>
  <conditionalFormatting sqref="H5:H17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7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（928段落143表36図）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第10期計画_アンケート調査の集計分析報告書.xlsx（15シート）
第10期計画_調査結果と年報実績の突合クロス集計.xlsx（10シート）
第10期計画_実施済み3調査の受領点検と集計.xlsx（16シート）
第10期計画_妥当性検証報告書.xlsx（24シート）
第10期計画_追加調査報告書.xlsx（8シート）
第10期計画_施策体系新旧対照表.xlsx（5シート）
第10期計画_地域差の分析.xlsx（15シート）
第10期計画_認定率の年齢調整分析.xlsx（7シート）
第10期計画_人口推計の基礎の検証.xlsx（9シート）
第10期計画_将来推計_人口と認定者数.xlsx（9シート）
第10期計画_将来推計_第2段階_サービス見込量.xlsx（8シート）
第10期計画_将来推計_第3段階_給付費と保険料.xlsx（11シート）
第10期計画_サービス見込量の算定_第1次概算.xlsx（18シート）
第10期計画_サービス見込量算定_統合報告書.xlsx（44シート）
第10期計画_保険料と施策評価の他団体比較.xlsx（9シート）
第10期計画_保険料の所得段階と低所得者軽減の検証.xlsx（10シート）
第10期計画_図表集_白黒.xlsx（36シート）
第10期計画_要介護認定データの確認.xlsx（7シート）
第10期計画_サービス受給者数データの確認.xlsx（7シート）
第10期計画_実施済み調査_結果報告書.docx（8章51表39図）
figures/*.png</t>
        </is>
      </c>
      <c r="D7" s="5" t="inlineStr">
        <is>
          <t>Excel（計算式・元数値を保持）
PNG及びPDF</t>
        </is>
      </c>
      <c r="E7" s="8" t="inlineStr">
        <is>
          <t>実施中</t>
        </is>
      </c>
      <c r="F7" s="20" t="n">
        <v>0.92</v>
      </c>
      <c r="G7" s="10" t="inlineStr">
        <is>
          <t>R9.3</t>
        </is>
      </c>
      <c r="H7" s="11" t="inlineStr">
        <is>
          <t>①推計資料は第1段階（人口・認定者数）・第2段階（サービス見込量）・第3段階（給付費と保険料）に加え、サービス見込量の算定 第1次概算（令和8年9月16日）まで作成済み。第1次概算は要介護度別の見込量・利用回（日）数・地域支援事業の量・中長期推計（令和17年度・令和22年度）・供給の制約・報酬改定率の感度を含む。②クロス集計表は4調査すべて作成済み。4調査横断のクロス集計は発注者のご意向により行わない（アンケート調査の集計分析報告書 13シート）。令和8年9月11日に年報の要介護度別明細との突合を加えた。③図表の元数値はシート内に保持しているが、発注者側での再計算を想定した様式の指定があれば合わせる。④上記のシート数は実物から数えている（固定値で書かない）。</t>
        </is>
      </c>
      <c r="I7" s="5" t="inlineStr">
        <is>
          <t>8, 9, 11, 14, 140, 141</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
（928段落143表36図）</t>
        </is>
      </c>
      <c r="D10" s="5" t="inlineStr">
        <is>
          <t>Word及びPDF</t>
        </is>
      </c>
      <c r="E10" s="8" t="inlineStr">
        <is>
          <t>実施中</t>
        </is>
      </c>
      <c r="F10" s="20" t="n">
        <v>0.75</v>
      </c>
      <c r="G10" s="10" t="inlineStr">
        <is>
          <t>R8.12</t>
        </is>
      </c>
      <c r="H10" s="11" t="inlineStr">
        <is>
          <t>第6章の見込量・給付費・保険料は令和8年9月16日に第1次概算の値を反映済み（暫定の月額基準額6,436円）。第2次概算（令和8年10月30日）及び前提の決定により確定する。未確定箇所は135箇所（要協議109・要確認25・要内訳1）で、うち58箇所が第6章第4節に集中しており、日常生活圏域と必要利用定員総数（確認No.88）の決定により解消する。図表レイアウトを発注者にて確認中。</t>
        </is>
      </c>
      <c r="I10" s="5" t="inlineStr">
        <is>
          <t>14, 15, 16, 29, 30, 31, 33, 36, 88</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令和8年9月11日、年報（令和7年度）の要介護度別の明細により在宅の認定者の分布と突き合わせ、本調査が在宅の認定者全体を代表しないことを測定した（χ²＝43.5、自由度6。1％点16.81）。要介護3は期待6.7人に対し19人、要支援1は期待18.9人に対し3人である。「在宅で困難を抱える方の状況」として引き、在宅の認定者全体の割合としては引かない（確認No.140）。</t>
        </is>
      </c>
      <c r="J5" s="4" t="inlineStr">
        <is>
          <t>8, 9, 140</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令和8年9月11日、年報の要介護度別の受給者と突き合わせ、施設の側から数えた在籍者と保険者の側から数えた受給者は数える対象が異なるため一致しないことを確定した。介護老人保健施設だけが在籍206人＞受給134.1人／月であり、特別養護老人ホーム等は受給197.5人／月が回答施設の定員152人を上回る。区域内の施設の定員は必要利用定員総数の上限ではない（確認No.88・No.141）。</t>
        </is>
      </c>
      <c r="J6" s="4" t="inlineStr">
        <is>
          <t>8, 9, 88, 141</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完了</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24シート）として取りまとめた。H04＝19.1％、H05の基準値を確定。大雪独自設問によりH06・H07・H08・H11の代替データ源を特定した（確認No.4）。令和8年9月15日、計画素案 第2章第4節（高齢者の生活実態）に反映した（4段落・表1→30段落・表8）。集計値は data_survey_jages.py に収め、個票は収録していない。地区の定義（小学校区とするか）は［要確認］のまま残している（確認No.9）。</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一部受領</t>
        </is>
      </c>
      <c r="J5" s="5" t="inlineStr">
        <is>
          <t>確認事項No.1と対応。仕様書４（2）が完了しない。代替できない項目が3件ある（同別冊06シート）。【令和8年9月25日】3町の地域包括支援センター事業実施報告書（令和7年度）・実施計画書（令和8年度）を受領し、地域支援事業の事業ごとの実施状況と量を確認した。費用の額の記載はなく、量は延べ人数によるものである</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令和8年9月25日】令和7年度の広域連合単位のファイルの再提供を受け、確認事項No.87（3町合計との差129,580,267円）が決着した。同日、令和8年8月審査分の利用状況統計表（3町・各9頁）と訪問系サービス6区分の明細を受領した。統計表は町別・サービス種類別・要介護度別に利用実人員・回数・単位数・費用総額・介護給付費を掲げており、月次の給付費として用いられる見通しである（確認事項No.103と一体）。ただし画像であり数値の読み取りに確認を要する。訪問系の明細は氏名・年齢・被保険者番号を含む個票であるため格納せず、集計値のみを用いて作業終了後に廃棄する。【令和8年9月28日】利用状況統計表の再送を受け、受領点検を行った。審査月8月分の費用総額は288,036,749円（東川町78,871,240円・美瑛町133,974,459円・東神楽町75,191,050円）、うち介護給付費258,821,513円である。令和7年度の同じ審査月（269,678,563円）を6.81％上回る。要介護度別の和が「計」に一致すること、小計の行が内訳の和に一致することを全区分で確かめ、町別・要介護度別の構成比が令和8年度4〜7月と2ポイント以内で一致すること、訪問入浴介護の単位数が同時に受領した明細の集計と一致することを確認した。画像の写しであるため36か所を画像で確かめて是正しており、Excel又はCSVでのご提供であればこの確認は要らなくなる。なお統計表は令和8年度の5か月目に当たり、取り込むと給付費が5か月・数量（月報）が4か月となって月数がそろわないため、単価の残差の算定は当面4か月のままとし、令和8年8月分の月報のご提供を待って改める（確認No.136と一体）。償還払いの写しは文字の層がなく読み取れない</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2026-09-30T08:44:00Z</dcterms:created>
  <dcterms:modified xmlns:dcterms="http://purl.org/dc/terms/" xmlns:xsi="http://www.w3.org/2001/XMLSchema-instance" xsi:type="dcterms:W3CDTF">2026-09-30T08:44:02Z</dcterms:modified>
</cp:coreProperties>
</file>