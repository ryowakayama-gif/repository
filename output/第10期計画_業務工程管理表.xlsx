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definedName name="_xlnm._FilterDatabase" localSheetId="3" hidden="1">'03_確認事項一覧'!$A$4:$J$194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442" customHeight="1">
      <c r="A23" s="16" t="inlineStr">
        <is>
          <t>【現時点の全体状況（令和8年10月19日）】全体進捗は75％（進捗を数値で表せる10業務の単純平均）。令和8年9月は、サービス見込量の算定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1063段落156表36図で、未確定箇所は275箇所（要協議158・要確認115・要内訳2）である。確認事項は190件、成果品は143件、作成に用いた処理は140件である。ご決定をお待ちしていた確認事項には「決着しない場合の当方の扱い（既定値）」を全件置いたため、ご決定を待たずに算定を進めることができた。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令和8年10月15日には、改正法の法律案要綱及び新旧対照条文により改正後の介護保険法第117条ほかの条文を確認し、ご決定・ご確認をお待ちしている事項の一覧を何をすれば決着するかという軸で区分した。参照条文の文字起こしにより介護保険法第117条の項の全体が確定し、医療計画との整合性の確保及び混合型特定施設の必要利用定員総数がいずれも都道府県介護保険事業支援計画の事項であることが分かったため、計画素案の6箇所を是正した。広域連合及び構成3町等から資料の徴求を要するものは63件であり、その全件に資料が届かない場合の扱いを付している。うち57件は資料が届かなくても計画本文を確定でき、未確定箇所の記号が残るものは6件である。令和8年10月16日には、計画の概要版（A4判8頁）を作成した。パブリックコメント（令和9年1月）及び住民の皆様への周知に用いるものであり、頁割と掲載内容は別冊「概要版の構成案」によっている。数値は計画素案から引いているため、素案を改めれば概要版も追随する。頁数と判型、体裁、保険料の掲載の範囲及び2版構成の可否は構成案の決定を要するため、受託者の案によっている。【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ご決定をお待ちしていたため「一部」としていた作業項目が完了となり、全体進捗は75％となった。（3）実施済み調査結果の集計・分析及び（4）現状分析及び地域課題の整理は、作業項目の全件が完了した。計画素案の本文に残る［要協議］［要確認］は、計画そのものが構成3町との協議又は国の政令・省令・告示の公布を待つこととしている箇所であり、確定しない値を推測しない方針により引き続き記号を残してい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R9.1</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同日、参照条文（16法令）を文字によりご提供いただいたことにより、介護保険法第117条の項の全体（全14項）及び第3項の全10号、第118条並びに第115条の45の項及び号を確認した（確認No.181は解決）。残るのは政令・省令・報酬改定の告示を待つ分、附則第3条から第77条までの経過措置、認知症基本法ほか関係法令の条文（確認No.149。参照条文は改正法が参照する条文に限られ収録がない）及び医療法等の一部を改正する法律による改正の施行の状況（確認No.189）である。【令和8年10月16日】告示後の最終照合は、基本指針、政令、省令及び介護報酬改定の告示を待つため着手できない</t>
        </is>
      </c>
      <c r="J5" s="5" t="inlineStr">
        <is>
          <t>1, 2, 22, 89, 130, 149, 170, 175, 176, 177, 178, 179, 180, 181, 182, 183, 184, 185, 186</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⑥令和6〜8年度の事業実績による達成度の再判定［一部］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0.9642857142857143</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
【令和8年10月19日】受託者案により作成を進めることをご了承いただいたため、⑥令和6〜8年度の事業実績による達成度の再判定は、公表資料（保険者機能強化推進交付金等の評価結果・総合事業の実施状況に関する調査・介護保険事業状況報告）による評価で確定した。事業量及び対象実人数による評価は行わない（確認No.5）。第9期計画の本文は業務着手時に貸与を受けて確認しており、確認できないのは前回調査の指標別の分母及び集計条件である（確認No.90）</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②在宅生活改善調査の集計・分析［完了］
③居所変更実態調査の集計・分析［完了］
④介護人材実態調査の集計・分析［完了］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完了</t>
        </is>
      </c>
      <c r="G7" s="17" t="n">
        <v>1</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
【令和8年10月19日】受託者案により作成を進めることをご了承いただいたため、点検事項の重大6件の取扱いがいずれも確定した（確認No.8）。②在宅生活改善調査・③居所変更実態調査・④介護人材実態調査の3件が完了となり、作業項目7件の全件が完了した</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⑧日常生活圏域別の分析［完了］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完了</t>
        </is>
      </c>
      <c r="G8" s="17" t="n">
        <v>1</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
【令和8年10月19日】受託者案により作成を進めることをご了承いただいたため、⑧日常生活圏域別の分析は、本広域連合が定める区域を3町（3圏域）とすることで確定した（確認No.88）。作業項目9件の全件が完了した</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①実績値の準備（令和6〜8年度の介護保険事業状況報告）［完了］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0.875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
【令和8年10月19日】受託者案により作成を進めることをご了承いただいたため、①実績値の準備は、令和8年度を審査月4月から7月までの4か月として扱うことで確定した（確認No.136）。⑥給付費・保険料の算定は、1人1月あたり給付費を令和7年度で固定する前提が確定したが、第2次概算が令和8年10月30日の工程であり、介護報酬改定の告示後に再算定する（確認No.137）。④認定率・サービス利用率の施策反映は、入力する値をお示ししているが、見える化システムへの登録を要する</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④概要版原稿の作成［完了］
⑤3町計画との整合の確認［完了］</t>
        </is>
      </c>
      <c r="E10" s="5" t="inlineStr">
        <is>
          <t>骨子案（11節22表）
計画素案（1063段落156表36図）
修正指示書（66件）</t>
        </is>
      </c>
      <c r="F10" s="10" t="inlineStr">
        <is>
          <t>実施中</t>
        </is>
      </c>
      <c r="G10" s="17" t="n">
        <v>0.8</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1063段落156表36図となった。残る未確定箇所は275箇所（要協議158・要確認115・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同日、参照条文により、医療計画及び地域医療構想との整合性の確保が都道府県介護保険事業支援計画の義務（第118条第10項）であり、市町村介護保険事業計画の相手は地域における医療及び介護の総合的な確保の促進に関する法律第5条第1項の市町村計画（第117条第10項）であることを確かめ、第1章第8節を是正した。混合型特定施設入居者生活介護に係る必要利用定員総数は第118条第4項により都道府県介護保険事業支援計画において定めることができる事項であり本計画の記載事項でないことを第6章第4節4に明記した（確認No.113は解決）。未確定箇所のうち、決着しない場合の扱いによっても記号が残るものは0件であり、意見公募手続（令和9年1月）までに解消を要する。【令和8年10月16日】④概要版原稿を作成した（A4判8頁）。パブリックコメント及び住民の皆様への周知に用いるものであり、頁割と掲載内容は別冊「概要版の構成案」によっている。数値は計画素案から引いているため、素案を改めれば概要版も追随する。本編の文はそのまま用いず住民の皆様に向けて書き直しているが、基本理念及び基本目標の名称は本編と同一の表現としている。各頁にご意見を求める論点6件と本編の該当頁の案内を置いた。頁数と判型、体裁、保険料の掲載の範囲及び2版構成の可否は構成案の決定を要するため、受託者の案によっている（確認No.21）。③計画最終案は令和9年2月の工程であり、⑤3町計画との整合は共通指標の掲載の合意をお待ちしている
【令和8年10月19日】受託者案により作成を進めることをご了承いただいたため、④概要版原稿は、頁数と判型・体裁・保険料の掲載の範囲・2版構成の可否が構成案により確定した（確認No.21）。⑤3町計画との整合は、資料2の役割分担と共通指標の掲載の方法が確定した（確認No.17）。計画素案の本文に残る［要協議］［要確認］は、計画そのものが構成3町との協議又は国の政令・省令・告示の公布を待つこととしている箇所であり、確定しない値を推測しない方針により引き続き記号を残している。③計画最終案は令和9年2月の工程であ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③3町との協議資料の作成［完了］
④計画原稿の修正［一部］</t>
        </is>
      </c>
      <c r="E11" s="5" t="inlineStr">
        <is>
          <t>修正指示書（66件）
図表集（33シート133点）
確認依頼書</t>
        </is>
      </c>
      <c r="F11" s="10" t="inlineStr">
        <is>
          <t>実施中</t>
        </is>
      </c>
      <c r="G11" s="17" t="n">
        <v>0.75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
【令和8年10月19日】受託者案により作成を進めることをご了承いただいたため、③3町との協議資料は、3町合同意見交換会資料・町ごとの個別協議の確認事項・ヒアリング前事前打合せの確認事項を作成し、令和8年10月の工程を終えた。確認事項は決着16件と受託者案で確定173件となり、ご決定をお待ちしているものはない。①修正指示書は66件のうち57件を反映しており、残る4件は町別の内訳データ等のご提供をお待ちしている</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令和8年10月15日】ご決定・ご確認をお待ちしている事項の一覧を、何をすれば決着するかという軸で区分した（別冊「確認事項の資料徴求と公表資料による確認」）。広域連合及び構成3町等から資料の徴求を要するもの63件、公表資料により確認できるもの7件、国の政令・省令・告示の公表を待つもの3件、ご判断・ご決定をお願いするもの96件、資料の徴求を要しないもの20件である。資料の徴求を要する63件の全件に資料が届かない場合の扱いを付し、①安全側の置き方で算定する2件・②未確定箇所として残す6件・③当該の記載を掲げない14件・④現に確認できている値で確定する41件に分けた。うち57件は資料が届かなくても計画本文を確定でき、未確定箇所の記号が残るものは6件である。あわせて、仕様書の業務内容別の件数、動かせない日程がそれぞれ必要とするもの、不足している情報の性質及び決着した事項の経緯を加えた。確認事項が最も集まっているのは(6)計画書の作成で79件であり、ご判断・ご決定をお願いするものが49件ある。ご決定をいただけない場合でも当方の作業が止まるものはない。優先してご提供をお願いするものは、保険料の月額に効くもの、介護保険法第117条に関わるもの、影響度が優先であるもの及び資料が届かないと計画の記載に跡が残るものの4つの観点で掲げた。【令和8年10月16日】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第2次概算（令和8年10月30日）は、ご決定を待たずに現在の前提のまま組める状態にある。3町との協議資料は作成済みであり、協議の実施をお待ちしている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電子データは作成中。印刷・製本は令和9年3月。本文100頁程度に対する章別のページ配分が未確定（確認No.21）。【令和8年9月15〜18日】成果品は143件となった。9月に加えたものは、サービス見込量の算定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140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6" t="inlineStr">
        <is>
          <t>完了</t>
        </is>
      </c>
      <c r="G5" s="10" t="inlineStr"/>
      <c r="H5" s="10" t="inlineStr"/>
      <c r="I5" s="11" t="inlineStr">
        <is>
          <t>令和8年10月19日　ご了承</t>
        </is>
      </c>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6" t="inlineStr">
        <is>
          <t>完了</t>
        </is>
      </c>
      <c r="G6" s="10" t="inlineStr"/>
      <c r="H6" s="10" t="inlineStr"/>
      <c r="I6" s="11" t="inlineStr">
        <is>
          <t>令和8年10月19日　ご了承</t>
        </is>
      </c>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同日、参照条文（全16法令・原資料87頁）の文字起こしのご提供を受け、介護保険法第117条の項の全体（全14項）及び第3項の全10号、第118条並びに第115条の45の項及び号を確認した（確認事項No.181は解決）。当方の記述の誤り5件が分かり、医療計画及び地域医療構想との整合性の確保が都道府県介護保険事業支援計画の義務であること、混合型及び介護専用型の特定施設入居者生活介護に係る必要利用定員総数が都道府県介護保険事業支援計画の事項であること（確認事項No.113は解決）を含め計画素案の6箇所を是正した。確認事項No.187からNo.189までを起票した。同日、ご決定・ご確認をお待ちしている事項の一覧を何をすれば決着するかという軸で区分し、広域連合及び構成3町等から資料の徴求を要するもの63件、公表資料により確認できるもの7件、公表を待つもの3件、ご判断・ご決定をお願いするもの96件、資料の徴求を要しないもの20件に分けた。資料の徴求を要する63件の全件に資料が届かない場合の扱いを付し、うち57件は資料が届かなくても計画本文を確定できることを示した。あわせて、仕様書の業務内容別の件数、動かせない日程がそれぞれ必要とするもの、不足している情報の性質及び決着した事項の経緯を加えた。新たな確認事項は起こしていない。【令和8年10月16日】本表の基準日を令和8年10月16日に進めた。あわせて計画の概要版（A4判8頁）を作成した。パブリックコメント（令和9年1月）及び住民の皆様への周知に用いるものである。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第2次概算（10月30日）は、ご決定を待たずに現在の前提のまま組める状態にある
【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令和8年8月・9月・10月の工程を完了とし、ご決定をお待ちしていたため一部としていた作業項目が完了となって全体進捗は68％から75％となった。次は、サービス見込量 第2次概算（10月30日）である</t>
        </is>
      </c>
      <c r="F7" s="6" t="inlineStr">
        <is>
          <t>完了</t>
        </is>
      </c>
      <c r="G7" s="10" t="inlineStr"/>
      <c r="H7" s="10" t="inlineStr"/>
      <c r="I7" s="11" t="inlineStr">
        <is>
          <t>令和8年10月19日　ご了承</t>
        </is>
      </c>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解決</t>
        </is>
      </c>
      <c r="I5" s="10" t="inlineStr">
        <is>
          <t>R8.9</t>
        </is>
      </c>
      <c r="J5"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8" t="inlineStr">
        <is>
          <t>受託者案で確定（告示後に再算定）</t>
        </is>
      </c>
      <c r="I6" s="10" t="inlineStr">
        <is>
          <t>R8.10</t>
        </is>
      </c>
      <c r="J6" s="11" t="inlineStr">
        <is>
          <t>【令和8年10月19日　ご了承】受託者案により作成を進めることとされた（従前の状態：確認待ち）。ただし「特定地域の基準（厚生労働省令）及び対象地域の指定」が示された後に再算定する。
【令和8年10月15日】原典（『特定地域（中山間・人口減少地域）の考え方について』社会保障審議会介護保険部会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受託者案＝特定地域の指定に係る意向表明を行わないものとして記載し、省令等の確定後に改める。</t>
        </is>
      </c>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6" t="inlineStr">
        <is>
          <t>受託者案で確定</t>
        </is>
      </c>
      <c r="I7" s="10" t="inlineStr">
        <is>
          <t>R8.9</t>
        </is>
      </c>
      <c r="J7" s="11" t="inlineStr">
        <is>
          <t>【令和8年10月19日　ご了承】受託者案により作成を進めることとされた（従前の状態：確認待ち）。
受託者案＝類似保険者との比較は公表されている同規模保険者40団体による。</t>
        </is>
      </c>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6" t="inlineStr">
        <is>
          <t>受託者案で確定</t>
        </is>
      </c>
      <c r="I8" s="10" t="inlineStr">
        <is>
          <t>R8.8</t>
        </is>
      </c>
      <c r="J8" s="11" t="inlineStr">
        <is>
          <t>【令和8年10月19日　ご了承】受託者案により作成を進めることとされた（従前の状態：確認待ち）。
受託者案＝代表KPI H07・H08・H12・H16は代理指標への振替案のとおりとする。</t>
        </is>
      </c>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第3章第2節・第3節・第4節
妥当性検証報告書 12シート</t>
        </is>
      </c>
      <c r="G9" s="5" t="inlineStr">
        <is>
          <t>発注者</t>
        </is>
      </c>
      <c r="H9" s="6" t="inlineStr">
        <is>
          <t>受託者案で確定</t>
        </is>
      </c>
      <c r="I9" s="10" t="inlineStr">
        <is>
          <t>R8.8</t>
        </is>
      </c>
      <c r="J9" s="11" t="inlineStr">
        <is>
          <t>【令和8年10月19日　ご了承】受託者案により作成を進めることとされた（従前の状態：確認待ち）。
受託者案＝第9期の施策・事業実績を受領できないものとして、公表資料（交付金の評価結果・総合事業の実施状況に関する調査・年報）により評価する。</t>
        </is>
      </c>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6" t="inlineStr">
        <is>
          <t>受託者案で確定</t>
        </is>
      </c>
      <c r="I10" s="10" t="inlineStr">
        <is>
          <t>R8.9</t>
        </is>
      </c>
      <c r="J10" s="11" t="inlineStr">
        <is>
          <t>【令和8年10月19日　ご了承】受託者案により作成を進めることとされた（従前の状態：確認待ち）。
受託者案＝評価調書を受領できないものとして、得点0が「取組がない」のか「要件を満たさない」のか「報告していない」のかは公表資料から判別できない旨を注記する。</t>
        </is>
      </c>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6" t="inlineStr">
        <is>
          <t>受託者案で確定</t>
        </is>
      </c>
      <c r="I11" s="10" t="inlineStr">
        <is>
          <t>R8.9</t>
        </is>
      </c>
      <c r="J11" s="11" t="inlineStr">
        <is>
          <t>【令和8年10月19日　ご了承】受託者案により作成を進めることとされた（従前の状態：確認待ち）。
受託者案＝第9期の自己評価と北海道への報告の実績を確認できないものとして、第10期の進行管理に自己評価の仕組みを置く。</t>
        </is>
      </c>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6" t="inlineStr">
        <is>
          <t>受託者案で確定</t>
        </is>
      </c>
      <c r="I12" s="10" t="inlineStr">
        <is>
          <t>R8.8</t>
        </is>
      </c>
      <c r="J12" s="11" t="inlineStr">
        <is>
          <t>【令和8年10月19日　ご了承】受託者案により作成を進めることとされた（従前の状態：確認待ち）。
受託者案＝3調査の点検事項は当方の判定のままとする。</t>
        </is>
      </c>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6" t="inlineStr">
        <is>
          <t>受託者案で確定</t>
        </is>
      </c>
      <c r="I13" s="10" t="inlineStr">
        <is>
          <t>R8.9</t>
        </is>
      </c>
      <c r="J13" s="11" t="inlineStr">
        <is>
          <t>【令和8年10月19日　ご了承】受託者案により作成を進めることとされた（従前の状態：確認待ち）。
受託者案＝現に収録している対象者範囲・回収率による。設問ごとに分母が異なることを注記する。</t>
        </is>
      </c>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6" t="inlineStr">
        <is>
          <t>受託者案で確定</t>
        </is>
      </c>
      <c r="I14" s="10" t="inlineStr">
        <is>
          <t>R8.9</t>
        </is>
      </c>
      <c r="J14" s="11" t="inlineStr">
        <is>
          <t>【令和8年10月19日　ご了承】受託者案により作成を進めることとされた（従前の状態：確認待ち）。
受託者案＝採用83人・離職65人（同一法人の重複を除いた値）による。代表KPI H14は、分母となる各年9月30日現在の在籍者数を確認できないため未算定のままとする。</t>
        </is>
      </c>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6" t="inlineStr">
        <is>
          <t>受託者案で確定</t>
        </is>
      </c>
      <c r="I15" s="10" t="inlineStr">
        <is>
          <t>R8.9</t>
        </is>
      </c>
      <c r="J15" s="11" t="inlineStr">
        <is>
          <t>【令和8年10月19日　ご了承】受託者案により作成を進めることとされた（従前の状態：確認待ち）。
受託者案＝住民基本台帳（各年1月1日現在）の町別人口により本文を確定する。</t>
        </is>
      </c>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6" t="inlineStr">
        <is>
          <t>受託者案で確定</t>
        </is>
      </c>
      <c r="I16" s="10" t="inlineStr">
        <is>
          <t>R8.9</t>
        </is>
      </c>
      <c r="J16" s="11" t="inlineStr">
        <is>
          <t>【令和8年10月19日　ご了承】受託者案により作成を進めることとされた（従前の状態：確認待ち）。
受託者案＝日常生活圏域を3町（3圏域）とする案のまま概算する。</t>
        </is>
      </c>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6" t="inlineStr">
        <is>
          <t>受託者案で確定</t>
        </is>
      </c>
      <c r="I17" s="10" t="inlineStr">
        <is>
          <t>R8.10</t>
        </is>
      </c>
      <c r="J17" s="11" t="inlineStr">
        <is>
          <t>【令和8年10月19日　ご了承】受託者案により作成を進めることとされた（従前の状態：実施中）。
受託者案＝北海道の指定事業所一覧の「通常の事業の実施地域」により判定する。</t>
        </is>
      </c>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6" t="inlineStr">
        <is>
          <t>受託者案で確定</t>
        </is>
      </c>
      <c r="I18" s="10" t="inlineStr">
        <is>
          <t>R8.10</t>
        </is>
      </c>
      <c r="J18" s="11" t="inlineStr">
        <is>
          <t>【令和8年10月19日　ご了承】受託者案により作成を進めることとされた（従前の状態：確認待ち）。
受託者案＝案C（総合戦略＋住民基本台帳の実績趨勢）のまま確定する。</t>
        </is>
      </c>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6" t="inlineStr">
        <is>
          <t>受託者案で確定</t>
        </is>
      </c>
      <c r="I19" s="10" t="inlineStr">
        <is>
          <t>R8.10</t>
        </is>
      </c>
      <c r="J19" s="11" t="inlineStr">
        <is>
          <t>【令和8年10月19日　ご了承】受託者案により作成を進めることとされた（従前の状態：確認待ち）。
受託者案＝認定者数は年報の年度末（3月31日）を基準とし、月次推移は計画本文に掲げない。</t>
        </is>
      </c>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6" t="inlineStr">
        <is>
          <t>受託者案で確定</t>
        </is>
      </c>
      <c r="I20" s="10" t="inlineStr">
        <is>
          <t>R8.11</t>
        </is>
      </c>
      <c r="J20" s="11" t="inlineStr">
        <is>
          <t>【令和8年10月19日　ご了承】受託者案により作成を進めることとされた（従前の状態：確認待ち）。
受託者案＝確認事項No.60と同じ前提（単価固定・施策反映なし・適正化を織り込まない・基金取崩しなし）による。</t>
        </is>
      </c>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6" t="inlineStr">
        <is>
          <t>受託者案で確定</t>
        </is>
      </c>
      <c r="I21" s="10" t="inlineStr">
        <is>
          <t>R8.10</t>
        </is>
      </c>
      <c r="J21" s="11" t="inlineStr">
        <is>
          <t>【令和8年10月19日　ご了承】受託者案により作成を進めることとされた（従前の状態：確認待ち）。
受託者案＝広域連合の代表KPI16項目を掲げ、3町計画への掲載は求めない。</t>
        </is>
      </c>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6" t="inlineStr">
        <is>
          <t>受託者案で確定</t>
        </is>
      </c>
      <c r="I22" s="10" t="inlineStr">
        <is>
          <t>R8.9</t>
        </is>
      </c>
      <c r="J22" s="11" t="inlineStr">
        <is>
          <t>【令和8年10月19日　ご了承】受託者案により作成を進めることとされた（従前の状態：確認待ち）。
受託者案＝骨子案は提出した内容のままとする。</t>
        </is>
      </c>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6" t="inlineStr">
        <is>
          <t>受託者案で確定</t>
        </is>
      </c>
      <c r="I23" s="10" t="inlineStr">
        <is>
          <t>R8.8</t>
        </is>
      </c>
      <c r="J23" s="11" t="inlineStr">
        <is>
          <t>【令和8年10月19日　ご了承】受託者案により作成を進めることとされた（従前の状態：確認待ち）。
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6" t="inlineStr">
        <is>
          <t>受託者案で確定</t>
        </is>
      </c>
      <c r="I24" s="10" t="inlineStr">
        <is>
          <t>R8.10</t>
        </is>
      </c>
      <c r="J24" s="11" t="inlineStr">
        <is>
          <t>【令和8年10月19日　ご了承】受託者案により作成を進めることとされた（従前の状態：確認待ち）。
受託者案＝北海道・圏域との調整の場が設けられないものとして、北海道の第9期支援計画との整合により記載する。</t>
        </is>
      </c>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6" t="inlineStr">
        <is>
          <t>受託者案で確定</t>
        </is>
      </c>
      <c r="I25" s="10" t="inlineStr">
        <is>
          <t>R8.10</t>
        </is>
      </c>
      <c r="J25" s="11" t="inlineStr">
        <is>
          <t>【令和8年10月19日　ご了承】受託者案により作成を進めることとされた（従前の状態：確認待ち）。
受託者案＝成果品の仕様は仕様書の定め（計画書 印刷200部・編集可能な電子データ及びPDF）による。</t>
        </is>
      </c>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6" t="inlineStr">
        <is>
          <t>受託者案で確定</t>
        </is>
      </c>
      <c r="I26" s="10" t="inlineStr">
        <is>
          <t>R8.9</t>
        </is>
      </c>
      <c r="J26" s="11" t="inlineStr">
        <is>
          <t>【令和8年10月19日　ご了承】受託者案により作成を進めることとされた（従前の状態：確認待ち）。
受託者案＝北海道の評価指標の読替えは当方の案のままとする。</t>
        </is>
      </c>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6" t="inlineStr">
        <is>
          <t>受託者案で確定</t>
        </is>
      </c>
      <c r="I27" s="10" t="inlineStr">
        <is>
          <t>R8.10</t>
        </is>
      </c>
      <c r="J27" s="11" t="inlineStr">
        <is>
          <t>【令和8年10月19日　ご了承】受託者案により作成を進めることとされた（従前の状態：確認待ち）。
受託者案＝北海道の各名簿及び介護サービス情報公表システムの定員による。</t>
        </is>
      </c>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6" t="inlineStr">
        <is>
          <t>受託者案で確定</t>
        </is>
      </c>
      <c r="I28" s="10" t="inlineStr">
        <is>
          <t>R8.11</t>
        </is>
      </c>
      <c r="J28" s="11" t="inlineStr">
        <is>
          <t>【令和8年10月19日　ご了承】受託者案により作成を進めることとされた（従前の状態：確認待ち）。
受託者案＝24時間対応サービスは自然体の算定値を置き、整備による上乗せは行わない（安全側）。</t>
        </is>
      </c>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6" t="inlineStr">
        <is>
          <t>受託者案で確定</t>
        </is>
      </c>
      <c r="I29" s="10" t="inlineStr">
        <is>
          <t>R8.12</t>
        </is>
      </c>
      <c r="J29" s="11" t="inlineStr">
        <is>
          <t>【令和8年10月19日　ご了承】受託者案により作成を進めることとされた（従前の状態：確認待ち）。
受託者案＝代表KPIの目標値は、令和9年度を基準値の把握に充て、令和10年度・令和11年度に目標値を置く。</t>
        </is>
      </c>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6" t="inlineStr">
        <is>
          <t>受託者案で確定</t>
        </is>
      </c>
      <c r="I30" s="10" t="inlineStr">
        <is>
          <t>R8.10</t>
        </is>
      </c>
      <c r="J30" s="11" t="inlineStr">
        <is>
          <t>【令和8年10月19日　ご了承】受託者案により作成を進めることとされた（従前の状態：確認待ち）。
受託者案＝現に受領している交付金評価結果と実施報告書の範囲で記述する。</t>
        </is>
      </c>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6" t="inlineStr">
        <is>
          <t>受託者案で確定</t>
        </is>
      </c>
      <c r="I31" s="10" t="inlineStr">
        <is>
          <t>R8.9</t>
        </is>
      </c>
      <c r="J31" s="11" t="inlineStr">
        <is>
          <t>【令和8年10月19日　ご了承】受託者案により作成を進めることとされた（従前の状態：確認待ち）。
受託者案＝令和4年度の集計表を受領できないものとして、前回比較は第9期計画の本文に掲げられた指標に限る。</t>
        </is>
      </c>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6" t="inlineStr">
        <is>
          <t>受託者案で確定</t>
        </is>
      </c>
      <c r="I32" s="10" t="inlineStr">
        <is>
          <t>R8.9</t>
        </is>
      </c>
      <c r="J32" s="11" t="inlineStr">
        <is>
          <t>【令和8年10月19日　ご了承】受託者案により作成を進めることとされた（従前の状態：確認待ち）。
受託者案＝現に収録している調査対象者の範囲による。</t>
        </is>
      </c>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6" t="inlineStr">
        <is>
          <t>受託者案で確定</t>
        </is>
      </c>
      <c r="I33" s="10" t="inlineStr">
        <is>
          <t>R8.10</t>
        </is>
      </c>
      <c r="J33" s="11" t="inlineStr">
        <is>
          <t>【令和8年10月19日　ご了承】受託者案により作成を進めることとされた（従前の状態：確認待ち）。
受託者案＝年齢階級ごとの要介護度の構成を令和7年度末の実績で固定する（重度化は人口の高齢化による分のみを見込む）。</t>
        </is>
      </c>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6" t="inlineStr">
        <is>
          <t>受託者案で確定</t>
        </is>
      </c>
      <c r="I34" s="10" t="inlineStr">
        <is>
          <t>R8.10</t>
        </is>
      </c>
      <c r="J34" s="11" t="inlineStr">
        <is>
          <t>【令和8年10月19日　ご了承】受託者案により作成を進めることとされた（従前の状態：確認待ち）。
受託者案＝施設入所者と在宅者を分けずに算定する（分けるための要介護度の変化のデータがないため）。</t>
        </is>
      </c>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6" t="inlineStr">
        <is>
          <t>受託者案で確定</t>
        </is>
      </c>
      <c r="I35" s="10" t="inlineStr">
        <is>
          <t>R8.10</t>
        </is>
      </c>
      <c r="J35" s="11" t="inlineStr">
        <is>
          <t>【令和8年10月19日　ご了承】受託者案により作成を進めることとされた（従前の状態：確認待ち）。
受託者案＝給付適正化による抑制を推計に織り込まない（安全側）。対象4サービスは総給付費の7.70％であり、10％抑制でも月額▲47円であることを併記する。</t>
        </is>
      </c>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8" t="inlineStr">
        <is>
          <t>受託者案で確定（告示後に再算定）</t>
        </is>
      </c>
      <c r="I37" s="10" t="inlineStr">
        <is>
          <t>告示後</t>
        </is>
      </c>
      <c r="J37" s="11" t="inlineStr">
        <is>
          <t>【令和8年10月19日　ご了承】受託者案により作成を進めることとされた（従前の状態：確認待ち）。ただし「第10期の所得段階・乗率・第1号被保険者負担割合（政令）」が示された後に再算定する。
受託者案＝第9期条例の16段階・乗率（公費軽減前）を据え置いて算定し、政令の公布後に再算定する。</t>
        </is>
      </c>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6" t="inlineStr">
        <is>
          <t>受託者案で確定</t>
        </is>
      </c>
      <c r="I38" s="10" t="inlineStr">
        <is>
          <t>R8.10</t>
        </is>
      </c>
      <c r="J38" s="11" t="inlineStr">
        <is>
          <t>【令和8年10月19日　ご了承】受託者案により作成を進めることとされた（従前の状態：確認待ち）。
受託者案＝経緯を確認できないものとして、第9期条例の乗率をそのまま用いる。</t>
        </is>
      </c>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6" t="inlineStr">
        <is>
          <t>受託者案で確定</t>
        </is>
      </c>
      <c r="I39" s="10" t="inlineStr">
        <is>
          <t>R8.10</t>
        </is>
      </c>
      <c r="J39" s="11" t="inlineStr">
        <is>
          <t>【令和8年10月19日　ご了承】受託者案により作成を進めることとされた（従前の状態：確認待ち）。
受託者案＝上川管内の保険者の所得段階数と乗率の比較は掲げない。</t>
        </is>
      </c>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6" t="inlineStr">
        <is>
          <t>受託者案で確定</t>
        </is>
      </c>
      <c r="I40" s="10" t="inlineStr">
        <is>
          <t>R8.10</t>
        </is>
      </c>
      <c r="J40" s="11" t="inlineStr">
        <is>
          <t>【令和8年10月19日　ご了承】受託者案により作成を進めることとされた（従前の状態：確認待ち）。
受託者案＝令和6年度の所得段階別構成比と予定収納率0.99による。</t>
        </is>
      </c>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6" t="inlineStr">
        <is>
          <t>受託者案で確定</t>
        </is>
      </c>
      <c r="I42" s="10" t="inlineStr">
        <is>
          <t>R8.9</t>
        </is>
      </c>
      <c r="J42" s="11" t="inlineStr">
        <is>
          <t>【令和8年10月19日　ご了承】受託者案により作成を進めることとされた（従前の状態：確認待ち）。
受託者案＝公表されている全国集計の値による。</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6" t="inlineStr">
        <is>
          <t>受託者案で確定</t>
        </is>
      </c>
      <c r="I43" s="10" t="inlineStr">
        <is>
          <t>R8.9.2</t>
        </is>
      </c>
      <c r="J43" s="11" t="inlineStr">
        <is>
          <t>【令和8年10月19日　ご了承】受託者案により作成を進めることとされた（従前の状態：確認待ち）。
同打合せで期限を令和8年9月2日（水）と設定。令和8年8月28日の発注者のご指示により、議事録に①②を加え、期限を明記した（校正No.14・15）。
受託者案＝中間報告・施策体系新旧対照表・骨子案は提出した内容のままとする。</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6" t="inlineStr">
        <is>
          <t>受託者案で確定</t>
        </is>
      </c>
      <c r="I44" s="10" t="inlineStr">
        <is>
          <t>R8.9</t>
        </is>
      </c>
      <c r="J44" s="11" t="inlineStr">
        <is>
          <t>【令和8年10月19日　ご了承】受託者案により作成を進めることとされた（従前の状態：確認待ち）。
受託者の案は施設単位の実人数。「従業員数の重複計上の整理」01シートに確認欄を設けて両案に対応した。
受託者案＝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6" t="inlineStr">
        <is>
          <t>受託者案で確定</t>
        </is>
      </c>
      <c r="I46" s="10" t="inlineStr">
        <is>
          <t>R8.8</t>
        </is>
      </c>
      <c r="J46" s="11" t="inlineStr">
        <is>
          <t>【令和8年10月19日　ご了承】受託者案により作成を進めることとされた（従前の状態：対応中）。
同打合せでご依頼をいただいた。反映する工程表は発注者ご作成の予定表による。
受託者案＝現行の工程表のまま進める。</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6" t="inlineStr">
        <is>
          <t>受託者案で確定</t>
        </is>
      </c>
      <c r="I47" s="10" t="inlineStr">
        <is>
          <t>R8.9</t>
        </is>
      </c>
      <c r="J47" s="11" t="inlineStr">
        <is>
          <t>【令和8年10月19日　ご了承】受託者案により作成を進めることとされた（従前の状態：確認待ち）。
令和8年8月28日受領の集計帳票により判明。
受託者案＝令和8年8月28日受領の集計帳票による。</t>
        </is>
      </c>
    </row>
    <row r="48" ht="88" customHeight="1">
      <c r="A48" s="4" t="n">
        <v>44</v>
      </c>
      <c r="B48" s="4" t="inlineStr">
        <is>
          <t>(5)</t>
        </is>
      </c>
      <c r="C48" s="4" t="inlineStr">
        <is>
          <t>R8.8</t>
        </is>
      </c>
      <c r="D48" s="5" t="inlineStr">
        <is>
          <t>給付実績データに含まれる個人情報の取扱い</t>
        </is>
      </c>
      <c r="E4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8" s="5" t="inlineStr">
        <is>
          <t>給付実績データの受領点検
将来推計 第2・3段階</t>
        </is>
      </c>
      <c r="G48" s="5" t="inlineStr">
        <is>
          <t>発注者</t>
        </is>
      </c>
      <c r="H48" s="6" t="inlineStr">
        <is>
          <t>了承済（保管せず廃棄）</t>
        </is>
      </c>
      <c r="I48" s="10" t="inlineStr">
        <is>
          <t>R8.8.28</t>
        </is>
      </c>
      <c r="J4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9" ht="88" customHeight="1">
      <c r="A49" s="4" t="n">
        <v>45</v>
      </c>
      <c r="B49" s="4" t="inlineStr">
        <is>
          <t>(5)</t>
        </is>
      </c>
      <c r="C49" s="4" t="inlineStr">
        <is>
          <t>R8.8</t>
        </is>
      </c>
      <c r="D49" s="5" t="inlineStr">
        <is>
          <t>代表KPI H15の分母の定義</t>
        </is>
      </c>
      <c r="E4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9" s="5" t="inlineStr">
        <is>
          <t>計画素案 第4章 資料1
中間報告 第3節</t>
        </is>
      </c>
      <c r="G49" s="5" t="inlineStr">
        <is>
          <t>発注者</t>
        </is>
      </c>
      <c r="H49" s="6" t="inlineStr">
        <is>
          <t>受託者案で確定</t>
        </is>
      </c>
      <c r="I49" s="10" t="inlineStr">
        <is>
          <t>R8.9</t>
        </is>
      </c>
      <c r="J49" s="11" t="inlineStr">
        <is>
          <t>【令和8年10月19日　ご了承】受託者案により作成を進めることとされた（従前の状態：確認待ち）。
受託者案は標準給付費見込額。計画期間を通じた財政運営の指標であるため。
受託者案＝代表KPI H15の分母は標準給付費見込額とする（受託者案）。</t>
        </is>
      </c>
    </row>
    <row r="50" ht="88" customHeight="1">
      <c r="A50" s="4" t="n">
        <v>46</v>
      </c>
      <c r="B50" s="4" t="inlineStr">
        <is>
          <t>(5)</t>
        </is>
      </c>
      <c r="C50" s="4" t="inlineStr">
        <is>
          <t>R8.8</t>
        </is>
      </c>
      <c r="D50" s="5" t="inlineStr">
        <is>
          <t>令和7年度の給付費の集計が一致しない</t>
        </is>
      </c>
      <c r="E50"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50" s="5" t="inlineStr">
        <is>
          <t>給付実績データの受領点検
将来推計 第2・3段階</t>
        </is>
      </c>
      <c r="G50" s="5" t="inlineStr">
        <is>
          <t>発注者</t>
        </is>
      </c>
      <c r="H50" s="6" t="inlineStr">
        <is>
          <t>受託者案で確定</t>
        </is>
      </c>
      <c r="I50" s="10" t="inlineStr">
        <is>
          <t>R8.9</t>
        </is>
      </c>
      <c r="J50" s="11" t="inlineStr">
        <is>
          <t>【令和8年10月19日　ご了承】受託者案により作成を進めることとされた（従前の状態：確認待ち）。
解消するまでは令和7年度の町別の値は用いず、大雪地区広域連合の合計のみを用いる。
受託者案＝令和8年9月25日の再提供により決着済み。再提供を受けたファイルの値（3町合計と円単位一致）による。</t>
        </is>
      </c>
    </row>
    <row r="51" ht="88" customHeight="1">
      <c r="A51" s="4" t="n">
        <v>47</v>
      </c>
      <c r="B51" s="4" t="inlineStr">
        <is>
          <t>(5)</t>
        </is>
      </c>
      <c r="C51" s="4" t="inlineStr">
        <is>
          <t>R8.8</t>
        </is>
      </c>
      <c r="D51" s="5" t="inlineStr">
        <is>
          <t>計画作成支援ツールの実績値シートの確認</t>
        </is>
      </c>
      <c r="E5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1" s="5" t="inlineStr">
        <is>
          <t>給付実績データの受領点検 04シート
将来推計 第3段階</t>
        </is>
      </c>
      <c r="G51" s="5" t="inlineStr">
        <is>
          <t>発注者</t>
        </is>
      </c>
      <c r="H51" s="6" t="inlineStr">
        <is>
          <t>受託者案で確定</t>
        </is>
      </c>
      <c r="I51" s="10" t="inlineStr">
        <is>
          <t>R8.9</t>
        </is>
      </c>
      <c r="J51" s="11" t="inlineStr">
        <is>
          <t>【令和8年10月19日　ご了承】受託者案により作成を進めることとされた（従前の状態：確認待ち）。
第3段階（給付費・保険料）の算定に用いる。
受託者案＝総括表（保険者単位）を用い、計画作成支援ツールの実績値シートは比較のためにのみ用いる。</t>
        </is>
      </c>
    </row>
    <row r="52" ht="88" customHeight="1">
      <c r="A52" s="4" t="n">
        <v>48</v>
      </c>
      <c r="B52" s="4" t="inlineStr">
        <is>
          <t>(2)</t>
        </is>
      </c>
      <c r="C52" s="4" t="inlineStr">
        <is>
          <t>R8.8</t>
        </is>
      </c>
      <c r="D52" s="5" t="inlineStr">
        <is>
          <t>総合事業の実施状況に関する調査（令和6年度）の確認</t>
        </is>
      </c>
      <c r="E5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2" s="5" t="inlineStr">
        <is>
          <t>総合事業実施状況調査の受領点検
素案 第3章第1節・第2節
H05の基準値</t>
        </is>
      </c>
      <c r="G52" s="5" t="inlineStr">
        <is>
          <t>発注者</t>
        </is>
      </c>
      <c r="H52" s="6" t="inlineStr">
        <is>
          <t>受託者案で確定</t>
        </is>
      </c>
      <c r="I52" s="10" t="inlineStr">
        <is>
          <t>R8.9</t>
        </is>
      </c>
      <c r="J52" s="11" t="inlineStr">
        <is>
          <t>【令和8年10月19日　ご了承】受託者案により作成を進めることとされた（従前の状態：確認待ち）。
第9期の通いの場と地域支援事業の評価に用いる。
受託者案＝収録済みの令和6年度の総合事業の実施状況に関する調査の値による。</t>
        </is>
      </c>
    </row>
    <row r="53" ht="88" customHeight="1">
      <c r="A53" s="4" t="n">
        <v>49</v>
      </c>
      <c r="B53" s="4" t="inlineStr">
        <is>
          <t>(12)</t>
        </is>
      </c>
      <c r="C53" s="4" t="inlineStr">
        <is>
          <t>R8.8</t>
        </is>
      </c>
      <c r="D53" s="5" t="inlineStr">
        <is>
          <t>中間報告会議の議事録の記載の確認【回答済】</t>
        </is>
      </c>
      <c r="E53"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3" s="5" t="inlineStr">
        <is>
          <t>中間報告会議議事録
業務工程管理表
必要事項の一覧</t>
        </is>
      </c>
      <c r="G53" s="5" t="inlineStr">
        <is>
          <t>発注者</t>
        </is>
      </c>
      <c r="H53" s="6" t="inlineStr">
        <is>
          <t>了承済</t>
        </is>
      </c>
      <c r="I53" s="10" t="inlineStr">
        <is>
          <t>R8.8.28</t>
        </is>
      </c>
      <c r="J53" s="11" t="inlineStr">
        <is>
          <t>議事録に反映済み。年報・月報の到着後に資料No.21・22を受領済とする</t>
        </is>
      </c>
    </row>
    <row r="54" ht="88" customHeight="1">
      <c r="A54" s="4" t="n">
        <v>50</v>
      </c>
      <c r="B54" s="4" t="inlineStr">
        <is>
          <t>(5)</t>
        </is>
      </c>
      <c r="C54" s="4" t="inlineStr">
        <is>
          <t>R8.8</t>
        </is>
      </c>
      <c r="D54" s="5" t="inlineStr">
        <is>
          <t>年報・月報の受領に伴う確認</t>
        </is>
      </c>
      <c r="E5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4" s="5" t="inlineStr">
        <is>
          <t>年報月報の受領点検
将来推計 第3段階
素案 第6章第3節・第6節</t>
        </is>
      </c>
      <c r="G54" s="5" t="inlineStr">
        <is>
          <t>発注者</t>
        </is>
      </c>
      <c r="H54" s="6" t="inlineStr">
        <is>
          <t>受託者案で確定</t>
        </is>
      </c>
      <c r="I54" s="10" t="inlineStr">
        <is>
          <t>R8.9</t>
        </is>
      </c>
      <c r="J54" s="11" t="inlineStr">
        <is>
          <t>【令和8年10月19日　ご了承】受託者案により作成を進めることとされた（従前の状態：確認待ち）。
①は第10期の保険料算定を止めている。最優先。
受託者案＝受領済みの年報・月報の値による。</t>
        </is>
      </c>
    </row>
    <row r="55" ht="88" customHeight="1">
      <c r="A55" s="4" t="n">
        <v>51</v>
      </c>
      <c r="B55" s="4" t="inlineStr">
        <is>
          <t>(2)</t>
        </is>
      </c>
      <c r="C55" s="4" t="inlineStr">
        <is>
          <t>R8.8</t>
        </is>
      </c>
      <c r="D55" s="5" t="inlineStr">
        <is>
          <t>月報の値の接続のずれ（ご報告）</t>
        </is>
      </c>
      <c r="E5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5" s="5" t="inlineStr">
        <is>
          <t>年報月報の受領点検 04シート</t>
        </is>
      </c>
      <c r="G55" s="5" t="inlineStr">
        <is>
          <t>発注者</t>
        </is>
      </c>
      <c r="H55" s="6" t="inlineStr">
        <is>
          <t>受託者案で確定</t>
        </is>
      </c>
      <c r="I55" s="10" t="inlineStr">
        <is>
          <t>R8.9</t>
        </is>
      </c>
      <c r="J55" s="11" t="inlineStr">
        <is>
          <t>【令和8年10月19日　ご了承】受託者案により作成を進めることとされた（従前の状態：確認待ち）。
計画本文への影響はない。記録として残すもの。
受託者案＝月報の値の接続のずれは記録として残し、計画本文には用いない。</t>
        </is>
      </c>
    </row>
    <row r="56" ht="88" customHeight="1">
      <c r="A56" s="4" t="n">
        <v>52</v>
      </c>
      <c r="B56" s="4" t="inlineStr">
        <is>
          <t>(5)</t>
        </is>
      </c>
      <c r="C56" s="4" t="inlineStr">
        <is>
          <t>R8.8</t>
        </is>
      </c>
      <c r="D56" s="5" t="inlineStr">
        <is>
          <t>令和6年度決算書の受領に伴う確認</t>
        </is>
      </c>
      <c r="E5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6" s="5" t="inlineStr">
        <is>
          <t>令和6年度決算書の受領点検 03シート
素案 第6章第3節・第6節</t>
        </is>
      </c>
      <c r="G56" s="5" t="inlineStr">
        <is>
          <t>発注者</t>
        </is>
      </c>
      <c r="H56" s="6" t="inlineStr">
        <is>
          <t>受託者案で確定</t>
        </is>
      </c>
      <c r="I56" s="10" t="inlineStr">
        <is>
          <t>R8.9</t>
        </is>
      </c>
      <c r="J56" s="11" t="inlineStr">
        <is>
          <t>【令和8年10月19日　ご了承】受託者案により作成を進めることとされた（従前の状態：確認待ち）。
いずれも金額の総額に影響しない。名称と科目の確認である。
受託者案＝名称・科目は令和6年度決算書の表記による（総額に影響しない）。</t>
        </is>
      </c>
    </row>
    <row r="57" ht="88" customHeight="1">
      <c r="A57" s="4" t="n">
        <v>53</v>
      </c>
      <c r="B57" s="4" t="inlineStr">
        <is>
          <t>(5)</t>
        </is>
      </c>
      <c r="C57" s="4" t="inlineStr">
        <is>
          <t>R8.8</t>
        </is>
      </c>
      <c r="D57" s="5" t="inlineStr">
        <is>
          <t>介護保険事業財政調整基金の積立ての上限と取崩方針</t>
        </is>
      </c>
      <c r="E5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7" s="5" t="inlineStr">
        <is>
          <t>基金条例の確認 02シート
素案 第6章第6節
将来推計 第3段階</t>
        </is>
      </c>
      <c r="G57" s="5" t="inlineStr">
        <is>
          <t>発注者</t>
        </is>
      </c>
      <c r="H57" s="6" t="inlineStr">
        <is>
          <t>受託者案で確定</t>
        </is>
      </c>
      <c r="I57" s="10" t="inlineStr">
        <is>
          <t>R8.9</t>
        </is>
      </c>
      <c r="J57" s="11" t="inlineStr">
        <is>
          <t>【令和8年10月19日　ご了承】受託者案により作成を進めることとされた（従前の状態：確認待ち）。
第10期の保険料の水準に影響する。条例の受領により判明した。
受託者案＝介護保険事業財政調整基金を取り崩さないものとして算定する（安全側）。取り崩す場合の1億円あたりの月額への効きを併記する。</t>
        </is>
      </c>
    </row>
    <row r="58" ht="88" customHeight="1">
      <c r="A58" s="4" t="n">
        <v>54</v>
      </c>
      <c r="B58" s="4" t="inlineStr">
        <is>
          <t>(12)</t>
        </is>
      </c>
      <c r="C58" s="4" t="inlineStr">
        <is>
          <t>R8.8</t>
        </is>
      </c>
      <c r="D58" s="5" t="inlineStr">
        <is>
          <t>議事録の文書プロパティに個人名が再度入る</t>
        </is>
      </c>
      <c r="E5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8" s="5" t="inlineStr">
        <is>
          <t>中間報告会議議事録
業務工程管理表</t>
        </is>
      </c>
      <c r="G58" s="5" t="inlineStr">
        <is>
          <t>発注者</t>
        </is>
      </c>
      <c r="H58" s="6" t="inlineStr">
        <is>
          <t>受託者案で確定</t>
        </is>
      </c>
      <c r="I58" s="10" t="inlineStr">
        <is>
          <t>R8.9</t>
        </is>
      </c>
      <c r="J58" s="11" t="inlineStr">
        <is>
          <t>【令和8年10月19日　ご了承】受託者案により作成を進めることとされた（従前の状態：確認待ち）。
本文には現れないため、通読では気づかない。
受託者案＝議事録は作成者名を落として再出力する（当方で対応する）。</t>
        </is>
      </c>
    </row>
    <row r="59" ht="88" customHeight="1">
      <c r="A59" s="4" t="n">
        <v>55</v>
      </c>
      <c r="B59" s="4" t="inlineStr">
        <is>
          <t>(12)</t>
        </is>
      </c>
      <c r="C59" s="4" t="inlineStr">
        <is>
          <t>R8.8</t>
        </is>
      </c>
      <c r="D59" s="5" t="inlineStr">
        <is>
          <t>議事録の表記に関するご提案3件</t>
        </is>
      </c>
      <c r="E5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9" s="5" t="inlineStr">
        <is>
          <t>中間報告会議議事録
業務工程管理表</t>
        </is>
      </c>
      <c r="G59" s="5" t="inlineStr">
        <is>
          <t>発注者</t>
        </is>
      </c>
      <c r="H59" s="6" t="inlineStr">
        <is>
          <t>受託者案で確定</t>
        </is>
      </c>
      <c r="I59" s="10" t="inlineStr">
        <is>
          <t>R8.9</t>
        </is>
      </c>
      <c r="J59" s="11" t="inlineStr">
        <is>
          <t>【令和8年10月19日　ご了承】受託者案により作成を進めることとされた（従前の状態：確認待ち）。
文意は変わらない。読みやすさと文体の統一に関するもの。
受託者案＝議事録の表記はご提案3件のとおり改める。</t>
        </is>
      </c>
    </row>
    <row r="60" ht="88" customHeight="1">
      <c r="A60" s="4" t="n">
        <v>56</v>
      </c>
      <c r="B60" s="4" t="inlineStr">
        <is>
          <t>(2)</t>
        </is>
      </c>
      <c r="C60" s="4" t="inlineStr">
        <is>
          <t>R8.8</t>
        </is>
      </c>
      <c r="D60" s="5" t="inlineStr">
        <is>
          <t>令和8年8月31日受領の要介護認定集計帳票6件が他団体のもの</t>
        </is>
      </c>
      <c r="E6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0" s="5" t="inlineStr">
        <is>
          <t>見える化総括表の受領点検 00シート</t>
        </is>
      </c>
      <c r="G60" s="5" t="inlineStr">
        <is>
          <t>発注者</t>
        </is>
      </c>
      <c r="H60" s="6" t="inlineStr">
        <is>
          <t>受託者案で確定</t>
        </is>
      </c>
      <c r="I60" s="10" t="inlineStr">
        <is>
          <t>R8.9</t>
        </is>
      </c>
      <c r="J60" s="11" t="inlineStr">
        <is>
          <t>【令和8年10月19日　ご了承】受託者案により作成を進めることとされた（従前の状態：確認待ち）。
他団体の資料を成果品に用いない。第8期の認定所要日数の推移は第9期の評価の材料になる。
受託者案＝他団体の集計帳票6件は成果品に用いない。</t>
        </is>
      </c>
    </row>
    <row r="61" ht="88" customHeight="1">
      <c r="A61" s="4" t="n">
        <v>57</v>
      </c>
      <c r="B61" s="4" t="inlineStr">
        <is>
          <t>(2)</t>
        </is>
      </c>
      <c r="C61" s="4" t="inlineStr">
        <is>
          <t>R8.8</t>
        </is>
      </c>
      <c r="D61" s="5" t="inlineStr">
        <is>
          <t>計画値を0としたサービスに実績がある2件</t>
        </is>
      </c>
      <c r="E6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1" s="5" t="inlineStr">
        <is>
          <t>見える化総括表の受領点検 02シート
計画素案 第4章</t>
        </is>
      </c>
      <c r="G61" s="5" t="inlineStr">
        <is>
          <t>発注者</t>
        </is>
      </c>
      <c r="H61" s="6" t="inlineStr">
        <is>
          <t>受託者案で確定</t>
        </is>
      </c>
      <c r="I61" s="10" t="inlineStr">
        <is>
          <t>R8.9</t>
        </is>
      </c>
      <c r="J61" s="11" t="inlineStr">
        <is>
          <t>【令和8年10月19日　ご了承】受託者案により作成を進めることとされた（従前の状態：確認待ち）。
計画値が0だと対計画比が算出されず、評価の対象から漏れる。第10期で同じ状態を繰り返さないための確認。
受託者案＝第10期は計画値を0とせず、算定値を置く（対計画比が算出され評価の対象となるようにする）。</t>
        </is>
      </c>
    </row>
    <row r="62" ht="88" customHeight="1">
      <c r="A62" s="4" t="n">
        <v>58</v>
      </c>
      <c r="B62" s="4" t="inlineStr">
        <is>
          <t>(2)</t>
        </is>
      </c>
      <c r="C62" s="4" t="inlineStr">
        <is>
          <t>R8.8</t>
        </is>
      </c>
      <c r="D62" s="5" t="inlineStr">
        <is>
          <t>定期巡回・随時対応型訪問介護看護の第10期の取扱い</t>
        </is>
      </c>
      <c r="E6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2" s="5" t="inlineStr">
        <is>
          <t>見える化総括表の受領点検 02シート
計画素案 第4章</t>
        </is>
      </c>
      <c r="G62" s="5" t="inlineStr">
        <is>
          <t>発注者</t>
        </is>
      </c>
      <c r="H62" s="6" t="inlineStr">
        <is>
          <t>受託者案で確定</t>
        </is>
      </c>
      <c r="I62" s="10" t="inlineStr">
        <is>
          <t>R8.9</t>
        </is>
      </c>
      <c r="J62" s="11" t="inlineStr">
        <is>
          <t>【令和8年10月19日　ご了承】受託者案により作成を進めることとされた（従前の状態：確認待ち）。
2期続けて計画に位置づけながら実績が伴っていない。代表KPI H12（必要サービス未充足率）の設定にも関わる。
受託者案＝定期巡回・随時対応型訪問介護看護は自然体の算定値を置き、整備による上乗せは行わない（安全側）。</t>
        </is>
      </c>
    </row>
    <row r="63" ht="88" customHeight="1">
      <c r="A63" s="4" t="n">
        <v>59</v>
      </c>
      <c r="B63" s="4" t="inlineStr">
        <is>
          <t>(5)</t>
        </is>
      </c>
      <c r="C63" s="4" t="inlineStr">
        <is>
          <t>R8.8</t>
        </is>
      </c>
      <c r="D63" s="5" t="inlineStr">
        <is>
          <t>調整交付金の算定基礎の確認</t>
        </is>
      </c>
      <c r="E63"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3" s="5" t="inlineStr">
        <is>
          <t>将来推計 第3段階 00・03シート</t>
        </is>
      </c>
      <c r="G63" s="5" t="inlineStr">
        <is>
          <t>発注者</t>
        </is>
      </c>
      <c r="H63" s="6" t="inlineStr">
        <is>
          <t>受託者案で確定</t>
        </is>
      </c>
      <c r="I63" s="10" t="inlineStr">
        <is>
          <t>R8.9</t>
        </is>
      </c>
      <c r="J63" s="11" t="inlineStr">
        <is>
          <t>【令和8年10月19日　ご了承】受託者案により作成を進めることとされた（従前の状態：確認待ち）。
この扱いにより第9期の算定を再現でき、公表値6,428円と一致した。第10期の算定でも同じ扱いによる。
受託者案＝現行の扱い（第9期の算定を再現し公表値6,428円と一致する扱い）による。</t>
        </is>
      </c>
    </row>
    <row r="64" ht="88" customHeight="1">
      <c r="A64" s="4" t="n">
        <v>60</v>
      </c>
      <c r="B64" s="4" t="inlineStr">
        <is>
          <t>(5)</t>
        </is>
      </c>
      <c r="C64" s="4" t="inlineStr">
        <is>
          <t>R8.8</t>
        </is>
      </c>
      <c r="D64" s="5" t="inlineStr">
        <is>
          <t>第10期の保険料算定の前提（受託者案）</t>
        </is>
      </c>
      <c r="E6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4" s="5" t="inlineStr">
        <is>
          <t>将来推計 第3段階 05・06シート
計画素案 第6章第6節</t>
        </is>
      </c>
      <c r="G64" s="5" t="inlineStr">
        <is>
          <t>発注者</t>
        </is>
      </c>
      <c r="H64" s="8" t="inlineStr">
        <is>
          <t>受託者案で確定（告示後に再算定）</t>
        </is>
      </c>
      <c r="I64" s="10" t="inlineStr">
        <is>
          <t>R8.10</t>
        </is>
      </c>
      <c r="J64" s="11" t="inlineStr">
        <is>
          <t>【令和8年10月19日　ご了承】受託者案により作成を進めることとされた（従前の状態：確認待ち）。ただし「保険料算定の前提（報酬改定率・負担割合・基金の取崩し）」が示された後に再算定する。
第10期の保険料水準の決定に直結する。水準そのものより「どの前提でその水準になるか」を示すことが要る。
受託者案＝当方案（単価を令和7年度で固定・施策反映を行わない・給付適正化を織り込まない・基金を取り崩さない）による。いずれも安全側であり、月額は下限に近い値となる。</t>
        </is>
      </c>
    </row>
    <row r="65" ht="88" customHeight="1">
      <c r="A65" s="4" t="n">
        <v>61</v>
      </c>
      <c r="B65" s="4" t="inlineStr">
        <is>
          <t>(2)</t>
        </is>
      </c>
      <c r="C65" s="4" t="inlineStr">
        <is>
          <t>R8.8</t>
        </is>
      </c>
      <c r="D65" s="5" t="inlineStr">
        <is>
          <t>交付金の評価項目と19施策の割当て</t>
        </is>
      </c>
      <c r="E6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5" s="5" t="inlineStr">
        <is>
          <t>第9期施策別評価表 06シート</t>
        </is>
      </c>
      <c r="G65" s="5" t="inlineStr">
        <is>
          <t>発注者</t>
        </is>
      </c>
      <c r="H65" s="6" t="inlineStr">
        <is>
          <t>受託者案で確定</t>
        </is>
      </c>
      <c r="I65" s="10" t="inlineStr">
        <is>
          <t>R8.9</t>
        </is>
      </c>
      <c r="J65" s="11" t="inlineStr">
        <is>
          <t>【令和8年10月19日　ご了承】受託者案により作成を進めることとされた（従前の状態：確認待ち）。
交付金は取組の有無と要件の充足を測るものであり、事業量・対象実人数・決算額を測るものではない。プロセス評価の代替にはならない。
受託者案＝交付金の評価項目と19施策の割当ては当方の案のままとする。</t>
        </is>
      </c>
    </row>
    <row r="66" ht="88" customHeight="1">
      <c r="A66" s="4" t="n">
        <v>62</v>
      </c>
      <c r="B66" s="4" t="inlineStr">
        <is>
          <t>(4)</t>
        </is>
      </c>
      <c r="C66" s="4" t="inlineStr">
        <is>
          <t>R8.8</t>
        </is>
      </c>
      <c r="D66" s="5" t="inlineStr">
        <is>
          <t>社人研推計の町別データの入手（完了）</t>
        </is>
      </c>
      <c r="E6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6" s="5" t="inlineStr">
        <is>
          <t>計画素案 第2章第1節
人口推計の補正 05シート</t>
        </is>
      </c>
      <c r="G66" s="5" t="inlineStr">
        <is>
          <t>発注者</t>
        </is>
      </c>
      <c r="H66" s="6" t="inlineStr">
        <is>
          <t>完了</t>
        </is>
      </c>
      <c r="I66" s="10" t="inlineStr">
        <is>
          <t>R8.8.31</t>
        </is>
      </c>
      <c r="J6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7" ht="88" customHeight="1">
      <c r="A67" s="4" t="n">
        <v>63</v>
      </c>
      <c r="B67" s="4" t="inlineStr">
        <is>
          <t>(4)(5)</t>
        </is>
      </c>
      <c r="C67" s="4" t="inlineStr">
        <is>
          <t>R8.8</t>
        </is>
      </c>
      <c r="D67" s="5" t="inlineStr">
        <is>
          <t>人口推計の基礎を総合戦略とするご指示への対応</t>
        </is>
      </c>
      <c r="E6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7" s="5" t="inlineStr">
        <is>
          <t>人口推計の基礎の変更_総合戦略ベース
将来推計 第1〜3段階
計画素案 第2章第1節・第6章</t>
        </is>
      </c>
      <c r="G67" s="5" t="inlineStr">
        <is>
          <t>発注者</t>
        </is>
      </c>
      <c r="H67" s="6" t="inlineStr">
        <is>
          <t>受託者案で確定</t>
        </is>
      </c>
      <c r="I67" s="10" t="inlineStr">
        <is>
          <t>R8.9</t>
        </is>
      </c>
      <c r="J67" s="11" t="inlineStr">
        <is>
          <t>【令和8年10月19日　ご了承】受託者案により作成を進めることとされた（従前の状態：確認待ち）。
4件は一体の判断である。9月中にご確認いただければ10月の3町協議に間に合う。成果品は案Cに置き換え済みであり、案A・案Bは対比の記録として残している。
受託者案＝人口推計の基礎は案C（総合戦略＋住民基本台帳の趨勢）のままとする。案A・案Bは対比の記録として残す。</t>
        </is>
      </c>
    </row>
    <row r="68" ht="88" customHeight="1">
      <c r="A68" s="4" t="n">
        <v>64</v>
      </c>
      <c r="B68" s="4" t="inlineStr">
        <is>
          <t>(6)</t>
        </is>
      </c>
      <c r="C68" s="4" t="inlineStr">
        <is>
          <t>R8.8</t>
        </is>
      </c>
      <c r="D68" s="5" t="inlineStr">
        <is>
          <t>区域内に事業所がないサービスの住民向けの記載</t>
        </is>
      </c>
      <c r="E68"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8" s="5" t="inlineStr">
        <is>
          <t>介護高齢者福祉サービスガイド_構成案
計画素案 第6章第4節</t>
        </is>
      </c>
      <c r="G68" s="5" t="inlineStr">
        <is>
          <t>発注者</t>
        </is>
      </c>
      <c r="H68" s="6" t="inlineStr">
        <is>
          <t>受託者案で確定</t>
        </is>
      </c>
      <c r="I68" s="10" t="inlineStr">
        <is>
          <t>R8.10</t>
        </is>
      </c>
      <c r="J68" s="11" t="inlineStr">
        <is>
          <t>【令和8年10月19日　ご了承】受託者案により作成を進めることとされた（従前の状態：確認待ち）。
第10期計画の確保方策（第6章第4節の3案）の決定と一体の判断である。整備しないことを決めるのであれば、他保険者の事業所の利用の案内は住民にとって必要になる。
受託者案＝区域内に事業所がないサービスは、区域外の事業所を利用できる旨を住民向けの記載に書く。</t>
        </is>
      </c>
    </row>
    <row r="69" ht="88" customHeight="1">
      <c r="A69" s="4" t="n">
        <v>65</v>
      </c>
      <c r="B69" s="4" t="inlineStr">
        <is>
          <t>(6)(7)</t>
        </is>
      </c>
      <c r="C69" s="4" t="inlineStr">
        <is>
          <t>R8.8</t>
        </is>
      </c>
      <c r="D69" s="5" t="inlineStr">
        <is>
          <t>広域連合において行うべき事業の優先順位</t>
        </is>
      </c>
      <c r="E6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9" s="5" t="inlineStr">
        <is>
          <t>広域連合において行うべき事業の優先順位
介護高齢者福祉サービスガイド_構成案
計画素案 第5章・第6章第3節2</t>
        </is>
      </c>
      <c r="G69" s="5" t="inlineStr">
        <is>
          <t>発注者</t>
        </is>
      </c>
      <c r="H69" s="6" t="inlineStr">
        <is>
          <t>受託者案で確定</t>
        </is>
      </c>
      <c r="I69" s="10" t="inlineStr">
        <is>
          <t>R8.9</t>
        </is>
      </c>
      <c r="J69" s="11" t="inlineStr">
        <is>
          <t>【令和8年10月19日　ご了承】受託者案により作成を進めることとされた（従前の状態：確認待ち）。
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受託者案＝広域連合において行うべき事業の優先順位は当方の案のままとする。</t>
        </is>
      </c>
    </row>
    <row r="70" ht="88" customHeight="1">
      <c r="A70" s="4" t="n">
        <v>66</v>
      </c>
      <c r="B70" s="4" t="inlineStr">
        <is>
          <t>(4)(6)</t>
        </is>
      </c>
      <c r="C70" s="4" t="inlineStr">
        <is>
          <t>R8.8</t>
        </is>
      </c>
      <c r="D70" s="5" t="inlineStr">
        <is>
          <t>サービスガイドに掲載する事業所の範囲</t>
        </is>
      </c>
      <c r="E7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0" s="5" t="inlineStr">
        <is>
          <t>介護高齢者福祉サービスガイド_構成案
3町の社会資源一覧との突合 06シート
計画素案 第2章第3節</t>
        </is>
      </c>
      <c r="G70" s="5" t="inlineStr">
        <is>
          <t>発注者</t>
        </is>
      </c>
      <c r="H70" s="6" t="inlineStr">
        <is>
          <t>受託者案で確定</t>
        </is>
      </c>
      <c r="I70" s="10" t="inlineStr">
        <is>
          <t>R8.9</t>
        </is>
      </c>
      <c r="J70" s="11" t="inlineStr">
        <is>
          <t>【令和8年10月19日　ご了承】受託者案により作成を進めることとされた（従前の状態：確認待ち）。
事業所数は出所により異なるが、どれかが誤っているのではなく時点と定義の違いである。住民に配布するガイドでは、編集の時点で最新の公表資料により全件を洗い直す必要がある。
受託者案＝サービスガイドに掲載する事業所の範囲は北海道の指定事業所一覧（最新のもの）による。</t>
        </is>
      </c>
    </row>
    <row r="71" ht="88" customHeight="1">
      <c r="A71" s="4" t="n">
        <v>67</v>
      </c>
      <c r="B71" s="4" t="inlineStr">
        <is>
          <t>(5)(6)</t>
        </is>
      </c>
      <c r="C71" s="4" t="inlineStr">
        <is>
          <t>R8.8</t>
        </is>
      </c>
      <c r="D71" s="5" t="inlineStr">
        <is>
          <t>算定方法の国の様式との整合（点検結果）</t>
        </is>
      </c>
      <c r="E7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1" s="5" t="inlineStr">
        <is>
          <t>算定方法の整合確認（国と見える化）
将来推計 第2段階・第3段階
計画素案 第6章第3節・第6節</t>
        </is>
      </c>
      <c r="G71" s="5" t="inlineStr">
        <is>
          <t>発注者</t>
        </is>
      </c>
      <c r="H71" s="6" t="inlineStr">
        <is>
          <t>受託者案で確定</t>
        </is>
      </c>
      <c r="I71" s="10" t="inlineStr">
        <is>
          <t>R8.9</t>
        </is>
      </c>
      <c r="J71" s="11" t="inlineStr">
        <is>
          <t>【令和8年10月19日　ご了承】受託者案により作成を進めることとされた（従前の状態：確認待ち）。
①②は保険料の算定基礎の範囲の問題であり、第10期の保険料水準に直接影響する。③④⑤は算定結果を変えないが、国の様式との対応を示すために必要である。
受託者案＝当方の算定のまま進め、国の様式との対応は協議用の資料に対照表として掲げる。</t>
        </is>
      </c>
    </row>
    <row r="72" ht="88" customHeight="1">
      <c r="A72" s="4" t="n">
        <v>68</v>
      </c>
      <c r="B72" s="4" t="inlineStr">
        <is>
          <t>(5)</t>
        </is>
      </c>
      <c r="C72" s="4" t="inlineStr">
        <is>
          <t>R8.8</t>
        </is>
      </c>
      <c r="D72" s="5" t="inlineStr">
        <is>
          <t>見える化システムの自然体推計の再出力のお願い</t>
        </is>
      </c>
      <c r="E7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2" s="5" t="inlineStr">
        <is>
          <t>将来推計 第3段階 01シート
算定方法の整合確認 04シート・07シート
計画素案 第6章第3節</t>
        </is>
      </c>
      <c r="G72" s="5" t="inlineStr">
        <is>
          <t>発注者</t>
        </is>
      </c>
      <c r="H72" s="6" t="inlineStr">
        <is>
          <t>受託者案で確定</t>
        </is>
      </c>
      <c r="I72" s="10" t="inlineStr">
        <is>
          <t>R8.9</t>
        </is>
      </c>
      <c r="J72" s="11" t="inlineStr">
        <is>
          <t>【令和8年10月19日　ご了承】受託者案により作成を進めることとされた（従前の状態：確認待ち）。
解消すれば、第2段階の見込量と第3段階の給付費とを同じ人口の基礎で接続できる。現行では両者が別々の経路で算定されており一致しない。
受託者案＝再出力を受けられないものとして、当方の要介護度別の算定による見込量を用いる。</t>
        </is>
      </c>
    </row>
    <row r="73" ht="88" customHeight="1">
      <c r="A73" s="4" t="n">
        <v>69</v>
      </c>
      <c r="B73" s="4" t="inlineStr">
        <is>
          <t>(2)(6)</t>
        </is>
      </c>
      <c r="C73" s="4" t="inlineStr">
        <is>
          <t>R8.9</t>
        </is>
      </c>
      <c r="D73" s="5" t="inlineStr">
        <is>
          <t>成果指向型配分枠（令和8年度新設）への対応</t>
        </is>
      </c>
      <c r="E73"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73" s="5" t="inlineStr">
        <is>
          <t>計画素案 第5章
交付金評価指標と全国集計の受領点検 06シート</t>
        </is>
      </c>
      <c r="G73" s="5" t="inlineStr">
        <is>
          <t>発注者</t>
        </is>
      </c>
      <c r="H73" s="6" t="inlineStr">
        <is>
          <t>受託者案で確定</t>
        </is>
      </c>
      <c r="I73" s="10" t="inlineStr">
        <is>
          <t>R8.10</t>
        </is>
      </c>
      <c r="J73" s="11" t="inlineStr">
        <is>
          <t>【令和8年10月19日　ご了承】受託者案により作成を進めることとされた（従前の状態：確認待ち）。
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受託者案＝成果指向型配分枠への対応状況を確認できないものとして、第10期の施策には位置づけず、確認でき次第加える。</t>
        </is>
      </c>
    </row>
    <row r="74" ht="88" customHeight="1">
      <c r="A74" s="4" t="n">
        <v>70</v>
      </c>
      <c r="B74" s="4" t="inlineStr">
        <is>
          <t>(2)(6)</t>
        </is>
      </c>
      <c r="C74" s="4" t="inlineStr">
        <is>
          <t>R8.9</t>
        </is>
      </c>
      <c r="D74" s="5" t="inlineStr">
        <is>
          <t>交付金の全国順位の計画本文への掲載</t>
        </is>
      </c>
      <c r="E74"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74" s="5" t="inlineStr">
        <is>
          <t>計画素案 第3章第4節
図表集 27シート
交付金評価指標と全国集計の受領点検 04シート</t>
        </is>
      </c>
      <c r="G74" s="5" t="inlineStr">
        <is>
          <t>発注者</t>
        </is>
      </c>
      <c r="H74" s="6" t="inlineStr">
        <is>
          <t>受託者案で確定</t>
        </is>
      </c>
      <c r="I74" s="10" t="inlineStr">
        <is>
          <t>R8.9</t>
        </is>
      </c>
      <c r="J74" s="11" t="inlineStr">
        <is>
          <t>【令和8年10月19日　ご了承】受託者案により作成を進めることとされた（従前の状態：確認待ち）。
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受託者案＝交付金の全国順位は計画本文に掲載せず、策定委員会資料にとどめる（確認事項No.71のとおり）。</t>
        </is>
      </c>
    </row>
    <row r="75" ht="88" customHeight="1">
      <c r="A75" s="4" t="n">
        <v>71</v>
      </c>
      <c r="B75" s="4" t="inlineStr">
        <is>
          <t>(2)(7)</t>
        </is>
      </c>
      <c r="C75" s="4" t="inlineStr">
        <is>
          <t>R8.9</t>
        </is>
      </c>
      <c r="D75" s="5" t="inlineStr">
        <is>
          <t>交付金の評価結果を委員会資料として整理したこと</t>
        </is>
      </c>
      <c r="E7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75" s="5" t="inlineStr">
        <is>
          <t>計画素案 第1章第6節・第3章
策定委員会資料_交付金評価結果</t>
        </is>
      </c>
      <c r="G75" s="5" t="inlineStr">
        <is>
          <t>発注者</t>
        </is>
      </c>
      <c r="H75" s="6" t="inlineStr">
        <is>
          <t>了承済</t>
        </is>
      </c>
      <c r="I75" s="10" t="inlineStr">
        <is>
          <t>R8.9.3</t>
        </is>
      </c>
      <c r="J7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76" ht="88" customHeight="1">
      <c r="A76" s="4" t="n">
        <v>72</v>
      </c>
      <c r="B76" s="4" t="inlineStr">
        <is>
          <t>(2)(6)</t>
        </is>
      </c>
      <c r="C76" s="4" t="inlineStr">
        <is>
          <t>R8.9</t>
        </is>
      </c>
      <c r="D76" s="5" t="inlineStr">
        <is>
          <t>介護給付適正化のケアプラン点検の着手（本文記載）</t>
        </is>
      </c>
      <c r="E7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6" s="5" t="inlineStr">
        <is>
          <t>計画素案 第5章 基本目標5
ケアプラン点検実施要領（案）
策定委員会資料_交付金評価結果 5</t>
        </is>
      </c>
      <c r="G76" s="5" t="inlineStr">
        <is>
          <t>発注者</t>
        </is>
      </c>
      <c r="H76" s="6" t="inlineStr">
        <is>
          <t>了承済</t>
        </is>
      </c>
      <c r="I76" s="10" t="inlineStr">
        <is>
          <t>R8.9.3</t>
        </is>
      </c>
      <c r="J7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77" ht="88" customHeight="1">
      <c r="A77" s="4" t="n">
        <v>73</v>
      </c>
      <c r="B77" s="4" t="inlineStr">
        <is>
          <t>(2)(6)</t>
        </is>
      </c>
      <c r="C77" s="4" t="inlineStr">
        <is>
          <t>R8.9</t>
        </is>
      </c>
      <c r="D77" s="5" t="inlineStr">
        <is>
          <t>ケアプラン点検実施要領（案）の確定に要する事項</t>
        </is>
      </c>
      <c r="E7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77" s="5" t="inlineStr">
        <is>
          <t>ケアプラン点検実施要領（案）
計画素案 第5章 基本目標5</t>
        </is>
      </c>
      <c r="G77" s="5" t="inlineStr">
        <is>
          <t>発注者・3町</t>
        </is>
      </c>
      <c r="H77" s="6" t="inlineStr">
        <is>
          <t>受託者案で確定</t>
        </is>
      </c>
      <c r="I77" s="10" t="inlineStr">
        <is>
          <t>R8.9</t>
        </is>
      </c>
      <c r="J77" s="11" t="inlineStr">
        <is>
          <t>【令和8年10月19日　ご了承】受託者案により作成を進めることとされた（従前の状態：確認待ち）。
④は美瑛町がエ・オとも8点、東神楽町がオで8点を得ており、東川町は両方とも0点である。3町の取組を持ち寄れば区域共通の仕組みとして16点分が回復する。
受託者案＝ケアプラン点検実施要領（案）は協議資料にとどめ素案に入れない。</t>
        </is>
      </c>
    </row>
    <row r="78" ht="88" customHeight="1">
      <c r="A78" s="4" t="n">
        <v>74</v>
      </c>
      <c r="B78" s="4" t="inlineStr">
        <is>
          <t>(2)(6)</t>
        </is>
      </c>
      <c r="C78" s="4" t="inlineStr">
        <is>
          <t>R8.9</t>
        </is>
      </c>
      <c r="D78" s="5" t="inlineStr">
        <is>
          <t>有料老人ホーム等の家賃等の情報収集（北海道）</t>
        </is>
      </c>
      <c r="E78"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78" s="5" t="inlineStr">
        <is>
          <t>ケアプラン点検実施要領（案）9
計画素案 第5章 基本目標5</t>
        </is>
      </c>
      <c r="G78" s="5" t="inlineStr">
        <is>
          <t>北海道上川総合振興局</t>
        </is>
      </c>
      <c r="H78" s="6" t="inlineStr">
        <is>
          <t>受託者案で確定</t>
        </is>
      </c>
      <c r="I78" s="10" t="inlineStr">
        <is>
          <t>R9.4</t>
        </is>
      </c>
      <c r="J78" s="11" t="inlineStr">
        <is>
          <t>【令和8年10月19日　ご了承】受託者案により作成を進めることとされた（従前の状態：確認待ち）。
北海道が情報収集を行っていない場合、市町村が単独で取り組んでも評価の対象とならない。令和9年4月の依頼に併せて確認する。
受託者案＝北海道が家賃等の情報収集を行っていないものとして、第10期の施策に位置づけない。</t>
        </is>
      </c>
    </row>
    <row r="79" ht="88" customHeight="1">
      <c r="A79" s="4" t="n">
        <v>75</v>
      </c>
      <c r="B79" s="4" t="inlineStr">
        <is>
          <t>(6)(7)</t>
        </is>
      </c>
      <c r="C79" s="4" t="inlineStr">
        <is>
          <t>R8.9</t>
        </is>
      </c>
      <c r="D79" s="5" t="inlineStr">
        <is>
          <t>代表KPIと改善事項の再整理案</t>
        </is>
      </c>
      <c r="E7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79" s="5" t="inlineStr">
        <is>
          <t>計画素案 第4章第3節・第5章・資料1
骨子案 第4節
図表集31シート
代表KPIの振替案と確認事項の精査</t>
        </is>
      </c>
      <c r="G79" s="5" t="inlineStr">
        <is>
          <t>発注者</t>
        </is>
      </c>
      <c r="H79" s="6" t="inlineStr">
        <is>
          <t>受託者案で確定</t>
        </is>
      </c>
      <c r="I79" s="10" t="inlineStr">
        <is>
          <t>R8.9</t>
        </is>
      </c>
      <c r="J79" s="11" t="inlineStr">
        <is>
          <t>【令和8年10月19日　ご了承】受託者案により作成を進めることとされた（従前の状態：確認待ち）。
決定4（代表KPIの目標値）は、本案が了承されると対象が7項目に減る。本案の了承を先に行っていただきたい。
受託者案＝代表KPIと改善事項は当方の再整理案のままとする。</t>
        </is>
      </c>
    </row>
    <row r="80" ht="88" customHeight="1">
      <c r="A80" s="4" t="n">
        <v>76</v>
      </c>
      <c r="B80" s="4" t="inlineStr">
        <is>
          <t>(4)</t>
        </is>
      </c>
      <c r="C80" s="4" t="inlineStr">
        <is>
          <t>R8.9</t>
        </is>
      </c>
      <c r="D80" s="5" t="inlineStr">
        <is>
          <t>介護リームスから抽出できる項目</t>
        </is>
      </c>
      <c r="E8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80" s="5" t="inlineStr">
        <is>
          <t>計画素案 第4章第3節・資料1
図表集31シート</t>
        </is>
      </c>
      <c r="G80" s="5" t="inlineStr">
        <is>
          <t>発注者</t>
        </is>
      </c>
      <c r="H80" s="6" t="inlineStr">
        <is>
          <t>受託者案で確定</t>
        </is>
      </c>
      <c r="I80" s="10" t="inlineStr">
        <is>
          <t>R8.9</t>
        </is>
      </c>
      <c r="J80" s="11" t="inlineStr">
        <is>
          <t>【令和8年10月19日　ご了承】受託者案により作成を進めることとされた（従前の状態：確認待ち）。
H03はこれまで「要確認・未算定」であった。データ源が確定すれば本文の成果指標に格上げできる。
受託者案＝介護リームスから抽出できないものとして、代表KPI H03は未算定のままとする。</t>
        </is>
      </c>
    </row>
    <row r="81" ht="88" customHeight="1">
      <c r="A81" s="4" t="n">
        <v>77</v>
      </c>
      <c r="B81" s="4" t="inlineStr">
        <is>
          <t>(4)</t>
        </is>
      </c>
      <c r="C81" s="4" t="inlineStr">
        <is>
          <t>R8.9</t>
        </is>
      </c>
      <c r="D81" s="5" t="inlineStr">
        <is>
          <t>北海道の評価指標⑥の団体別の公表値</t>
        </is>
      </c>
      <c r="E8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1" s="5" t="inlineStr">
        <is>
          <t>計画素案 第4章第3節・資料1
内部確認結果への対応整理 04</t>
        </is>
      </c>
      <c r="G81" s="5" t="inlineStr">
        <is>
          <t>発注者・北海道</t>
        </is>
      </c>
      <c r="H81" s="6" t="inlineStr">
        <is>
          <t>受託者案で確定</t>
        </is>
      </c>
      <c r="I81" s="10" t="inlineStr">
        <is>
          <t>R8.9</t>
        </is>
      </c>
      <c r="J81" s="11" t="inlineStr">
        <is>
          <t>【令和8年10月19日　ご了承】受託者案により作成を進めることとされた（従前の状態：確認待ち）。
引用できれば、構成町・事業所に新たな集計事務を求めずに済む。
受託者案＝北海道の評価指標⑥の団体別の公表値を引用できないものとして、当該指標は計画本文に掲げない。</t>
        </is>
      </c>
    </row>
    <row r="82" ht="88" customHeight="1">
      <c r="A82" s="4" t="n">
        <v>78</v>
      </c>
      <c r="B82" s="4" t="inlineStr">
        <is>
          <t>(5)</t>
        </is>
      </c>
      <c r="C82" s="4" t="inlineStr">
        <is>
          <t>R8.9</t>
        </is>
      </c>
      <c r="D82" s="5" t="inlineStr">
        <is>
          <t>グループホームびえいの郷の定員減の時期</t>
        </is>
      </c>
      <c r="E8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82" s="5" t="inlineStr">
        <is>
          <t>計画素案 第2章第3節・第6章第2節
将来推計 第2・第3段階</t>
        </is>
      </c>
      <c r="G82" s="5" t="inlineStr">
        <is>
          <t>発注者・美瑛町</t>
        </is>
      </c>
      <c r="H82" s="6" t="inlineStr">
        <is>
          <t>受託者案で確定</t>
        </is>
      </c>
      <c r="I82" s="10" t="inlineStr">
        <is>
          <t>R8.9</t>
        </is>
      </c>
      <c r="J82" s="11" t="inlineStr">
        <is>
          <t>【令和8年10月19日　ご了承】受託者案により作成を進めることとされた（従前の状態：確認待ち）。
認知症対応型共同生活介護の定員は見込量の上限となる。サービス見込量と保険料に直接効く。
受託者案＝北海道の名簿の定員のまま概算する。</t>
        </is>
      </c>
    </row>
    <row r="83" ht="88" customHeight="1">
      <c r="A83" s="4" t="n">
        <v>79</v>
      </c>
      <c r="B83" s="4" t="inlineStr">
        <is>
          <t>(6)</t>
        </is>
      </c>
      <c r="C83" s="4" t="inlineStr">
        <is>
          <t>R8.9</t>
        </is>
      </c>
      <c r="D83" s="5" t="inlineStr">
        <is>
          <t>第5章の施策数の見直しの範囲</t>
        </is>
      </c>
      <c r="E83"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83" s="5" t="inlineStr">
        <is>
          <t>計画素案 第5章
骨子案 第5節</t>
        </is>
      </c>
      <c r="G83" s="5" t="inlineStr">
        <is>
          <t>発注者</t>
        </is>
      </c>
      <c r="H83" s="6" t="inlineStr">
        <is>
          <t>受託者案で確定</t>
        </is>
      </c>
      <c r="I83" s="10" t="inlineStr">
        <is>
          <t>R8.9</t>
        </is>
      </c>
      <c r="J83" s="11" t="inlineStr">
        <is>
          <t>【令和8年10月19日　ご了承】受託者案により作成を進めることとされた（従前の状態：確認待ち）。
施策数を減らす場合、第9期からの継続性の説明を要する。3町協議の前に方針を決めておきたい。
受託者案＝第9期の19施策の体系を維持する（施策数を見直さない）。</t>
        </is>
      </c>
    </row>
    <row r="84" ht="88" customHeight="1">
      <c r="A84" s="4" t="n">
        <v>80</v>
      </c>
      <c r="B84" s="4" t="inlineStr">
        <is>
          <t>(3)</t>
        </is>
      </c>
      <c r="C84" s="4" t="inlineStr">
        <is>
          <t>R8.9</t>
        </is>
      </c>
      <c r="D84" s="5" t="inlineStr">
        <is>
          <t>職員個票のリストによる重複確認の可否</t>
        </is>
      </c>
      <c r="E8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84" s="5" t="inlineStr">
        <is>
          <t>内部確認結果への対応整理 03・08
実施済み3調査の受領点検と集計 06・07</t>
        </is>
      </c>
      <c r="G84" s="5" t="inlineStr">
        <is>
          <t>発注者</t>
        </is>
      </c>
      <c r="H84" s="6" t="inlineStr">
        <is>
          <t>受託者案で確定</t>
        </is>
      </c>
      <c r="I84" s="10" t="inlineStr">
        <is>
          <t>R8.9</t>
        </is>
      </c>
      <c r="J84" s="11" t="inlineStr">
        <is>
          <t>【令和8年10月19日　ご了承】受託者案により作成を進めることとされた（従前の状態：確認待ち）。
受託者としては、個票を突き合わせず事業所への照会だけで判別する方法を推奨する。
受託者案＝職員個票を突き合わせず、事業所への照会により重複を判別する。</t>
        </is>
      </c>
    </row>
    <row r="85" ht="88" customHeight="1">
      <c r="A85" s="4" t="n">
        <v>81</v>
      </c>
      <c r="B85" s="4" t="inlineStr">
        <is>
          <t>(4)(6)</t>
        </is>
      </c>
      <c r="C85" s="4" t="inlineStr">
        <is>
          <t>R8.9</t>
        </is>
      </c>
      <c r="D85" s="5" t="inlineStr">
        <is>
          <t>代表KPI H16のデータ源（国保連の給付実績の明細情報）</t>
        </is>
      </c>
      <c r="E8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85" s="5" t="inlineStr">
        <is>
          <t>計画素案 第4章第3節・第5章 基本目標5・資料1
給付実績データの受領点検 05
内部確認結果への対応整理 04・09</t>
        </is>
      </c>
      <c r="G85" s="5" t="inlineStr">
        <is>
          <t>発注者</t>
        </is>
      </c>
      <c r="H85" s="6" t="inlineStr">
        <is>
          <t>受託者案で確定</t>
        </is>
      </c>
      <c r="I85" s="10" t="inlineStr">
        <is>
          <t>R8.9</t>
        </is>
      </c>
      <c r="J85" s="11" t="inlineStr">
        <is>
          <t>【令和8年10月19日　ご了承】受託者案により作成を進めることとされた（従前の状態：確認待ち）。
広域型（特別養護老人ホーム・介護老人保健施設・訪問介護等）の指定権者は北海道であるため、代替案は地域密着型サービスに限った確認件数となる。策定率そのものは測れない。
受託者案＝国保連の給付実績の明細を受領できないものとして、代表KPI H16は地域密着型サービスに限った確認件数を代理指標とする。</t>
        </is>
      </c>
    </row>
    <row r="86" ht="88" customHeight="1">
      <c r="A86" s="4" t="n">
        <v>82</v>
      </c>
      <c r="B86" s="4" t="inlineStr">
        <is>
          <t>(5)</t>
        </is>
      </c>
      <c r="C86" s="4" t="inlineStr">
        <is>
          <t>R8.9</t>
        </is>
      </c>
      <c r="D86" s="5" t="inlineStr">
        <is>
          <t>構成町の一般会計繰入金の町別按分の方法</t>
        </is>
      </c>
      <c r="E8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6" s="5" t="inlineStr">
        <is>
          <t>サービス見込量の算定（R8.9.26）
構成町の意見への回答 4</t>
        </is>
      </c>
      <c r="G86" s="5" t="inlineStr">
        <is>
          <t>発注者</t>
        </is>
      </c>
      <c r="H86" s="6" t="inlineStr">
        <is>
          <t>受託者案で確定</t>
        </is>
      </c>
      <c r="I86" s="10" t="inlineStr">
        <is>
          <t>R8.9.24</t>
        </is>
      </c>
      <c r="J86" s="11" t="inlineStr">
        <is>
          <t>【令和8年10月19日　ご了承】受託者案により作成を進めることとされた（従前の状態：確認待ち）。
3町計の概算は令和9年度523.7百万円・令和10年度531.5百万円・令和11年度539.0百万円である。確定値ではなく、決定1〜3・決定8の前提により動く。
受託者案＝町別への按分は広域連合の規約によるものであり算定できないため、構成町の一般会計繰入金は3町計の概算のみを示す（按分の方法のご教示を受けた時点で町別までお示しする）。</t>
        </is>
      </c>
    </row>
    <row r="87" ht="88" customHeight="1">
      <c r="A87" s="4" t="n">
        <v>83</v>
      </c>
      <c r="B87" s="4" t="inlineStr">
        <is>
          <t>(7)(8)</t>
        </is>
      </c>
      <c r="C87" s="4" t="inlineStr">
        <is>
          <t>R8.9</t>
        </is>
      </c>
      <c r="D87" s="5" t="inlineStr">
        <is>
          <t>構成町との意見交換会の実施方法と町別データシート</t>
        </is>
      </c>
      <c r="E8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87" s="5" t="inlineStr">
        <is>
          <t>意見交換会資料
町別データシート
構成町の意見への回答 2・3</t>
        </is>
      </c>
      <c r="G87" s="5" t="inlineStr">
        <is>
          <t>発注者・3町</t>
        </is>
      </c>
      <c r="H87" s="6" t="inlineStr">
        <is>
          <t>受託者案で確定</t>
        </is>
      </c>
      <c r="I87" s="10" t="inlineStr">
        <is>
          <t>R8.9</t>
        </is>
      </c>
      <c r="J87" s="11" t="inlineStr">
        <is>
          <t>【令和8年10月19日　ご了承】受託者案により作成を進めることとされた（従前の状態：確認待ち）。
仕様書４（8）「各種会議への技術的支援」に含まれるため追加の費用は生じない。美瑛町は10月中旬までに素案、11月中旬までに原案を作成する予定である。
受託者案＝3町合同の意見交換会（10月上旬）と町ごとの個別協議（10月中旬〜下旬）の2段構えで進める。</t>
        </is>
      </c>
    </row>
    <row r="88" ht="88" customHeight="1">
      <c r="A88" s="4" t="n">
        <v>84</v>
      </c>
      <c r="B88" s="4" t="inlineStr">
        <is>
          <t>(5)(7)</t>
        </is>
      </c>
      <c r="C88" s="4" t="inlineStr">
        <is>
          <t>R8.9</t>
        </is>
      </c>
      <c r="D88" s="5" t="inlineStr">
        <is>
          <t>東川町の施設整備・サービス提供方針</t>
        </is>
      </c>
      <c r="E88"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88" s="5" t="inlineStr">
        <is>
          <t>サービス見込量 第2次概算
計画素案 第2章第2節・第6章第2節・第4節
構成町の意見への回答 6</t>
        </is>
      </c>
      <c r="G88" s="5" t="inlineStr">
        <is>
          <t>発注者・東川町</t>
        </is>
      </c>
      <c r="H88" s="6" t="inlineStr">
        <is>
          <t>受託者案で確定</t>
        </is>
      </c>
      <c r="I88" s="10" t="inlineStr">
        <is>
          <t>R8.10</t>
        </is>
      </c>
      <c r="J88" s="11" t="inlineStr">
        <is>
          <t>【令和8年10月19日　ご了承】受託者案により作成を進めることとされた（従前の状態：確認待ち）。
東神楽町からは整備方針の検討状況（10月視察・11月市場調査）をご回答いただいている。美瑛町からは高齢者福祉計画の工程と要望3件をご回答いただいている。
受託者案＝現定員の据え置き案を掲げ、本文は［要協議］のまま残す。</t>
        </is>
      </c>
    </row>
    <row r="89" ht="88" customHeight="1">
      <c r="A89" s="4" t="n">
        <v>85</v>
      </c>
      <c r="B89" s="4" t="inlineStr">
        <is>
          <t>(4)</t>
        </is>
      </c>
      <c r="C89" s="4" t="inlineStr">
        <is>
          <t>R8.9</t>
        </is>
      </c>
      <c r="D89" s="5" t="inlineStr">
        <is>
          <t>町別データシートの内容と配付</t>
        </is>
      </c>
      <c r="E8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89" s="5" t="inlineStr">
        <is>
          <t>町別データシート
構成町の意見への回答 2</t>
        </is>
      </c>
      <c r="G89" s="5" t="inlineStr">
        <is>
          <t>発注者・3町</t>
        </is>
      </c>
      <c r="H89" s="6" t="inlineStr">
        <is>
          <t>受託者案で確定</t>
        </is>
      </c>
      <c r="I89" s="10" t="inlineStr">
        <is>
          <t>R8.9</t>
        </is>
      </c>
      <c r="J89" s="11" t="inlineStr">
        <is>
          <t>【令和8年10月19日　ご了承】受託者案により作成を進めることとされた（従前の状態：確認待ち）。
町別の認定率は、広域連合が第1号被保険者数を分母とするのに対し住民基本台帳の65歳以上人口を分母とせざるを得ないため、定義が異なる旨を注記している。
受託者案＝町別データシートは現行の内容のまま配付する。</t>
        </is>
      </c>
    </row>
    <row r="90" ht="88" customHeight="1">
      <c r="A90" s="4" t="n">
        <v>86</v>
      </c>
      <c r="B90" s="4" t="inlineStr">
        <is>
          <t>(5)(6)</t>
        </is>
      </c>
      <c r="C90" s="4" t="inlineStr">
        <is>
          <t>R8.9</t>
        </is>
      </c>
      <c r="D90" s="5" t="inlineStr">
        <is>
          <t>保険者機能強化推進交付金等の交付見込額の保険料収納必要額からの控除</t>
        </is>
      </c>
      <c r="E90"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90" s="5" t="inlineStr">
        <is>
          <t>計画素案 第6章第6節
将来推計 第3段階
保険料算定式の国の様式との対照</t>
        </is>
      </c>
      <c r="G90" s="5" t="inlineStr">
        <is>
          <t>発注者</t>
        </is>
      </c>
      <c r="H90" s="6" t="inlineStr">
        <is>
          <t>受託者案で確定</t>
        </is>
      </c>
      <c r="I90" s="10" t="inlineStr">
        <is>
          <t>R8.10</t>
        </is>
      </c>
      <c r="J90" s="11" t="inlineStr">
        <is>
          <t>【令和8年10月19日　ご了承】受託者案により作成を進めることとされた（従前の状態：確認待ち）。
控除する場合は保険料基準額が下がる。第2次概算（10月30日）までに決定をいただきたい。
受託者案＝地域支援事業費（B）から保険者機能強化推進事業費及び保険者努力支援事業費を除く現行の方法を採り、保険料収納必要額からの控除は行わない（二重控除を避けるため）。</t>
        </is>
      </c>
    </row>
    <row r="91" ht="88" customHeight="1">
      <c r="A91" s="4" t="n">
        <v>87</v>
      </c>
      <c r="B91" s="4" t="inlineStr">
        <is>
          <t>(2)(4)</t>
        </is>
      </c>
      <c r="C91" s="4" t="inlineStr">
        <is>
          <t>R8.9</t>
        </is>
      </c>
      <c r="D91" s="5" t="inlineStr">
        <is>
          <t>給付費データ集計　令和7年度の広域連合単位と3町合計の差</t>
        </is>
      </c>
      <c r="E9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91" s="5" t="inlineStr">
        <is>
          <t>計画素案 第2章第2節5
町別データシート
給付実績データの受領点検
令和8年9月25日受領資料の受領点検</t>
        </is>
      </c>
      <c r="G91" s="5" t="inlineStr">
        <is>
          <t>発注者</t>
        </is>
      </c>
      <c r="H91" s="10" t="inlineStr">
        <is>
          <t>解決</t>
        </is>
      </c>
      <c r="I91" s="10" t="inlineStr">
        <is>
          <t>R8.9</t>
        </is>
      </c>
      <c r="J91" s="11" t="inlineStr">
        <is>
          <t>計画素案・町別データシート・見込量算定の注記を改めた。保険料の算定には介護保険特別会計決算の値を用いるため、本件は実績の記載に関するものであり保険料算定には影響しない。【令和8年9月25日　解決】令和7年度の給付費データの再提供を受けて点検した。従前のファイルの「介護度別給付費」の表は3,083,474,291円であったが、同じファイルの明細を集計すると3,213,054,558円となり、3町合計及び再提供を受けたファイルの表と要支援1から要介護5までの全7区分で円単位まで一致した。差は集計表が明細と一致していなかったことによるものであり、対象月、審査月又は住所地特例の扱いの違いによるものではない。これにより、町別に按分すると3町とも上回るとしていた従前の整理は取り下げた</t>
        </is>
      </c>
    </row>
    <row r="92" ht="88" customHeight="1">
      <c r="A92" s="4" t="n">
        <v>88</v>
      </c>
      <c r="B92" s="4" t="inlineStr">
        <is>
          <t>(5)(6)</t>
        </is>
      </c>
      <c r="C92" s="4" t="inlineStr">
        <is>
          <t>R8.9</t>
        </is>
      </c>
      <c r="D92" s="5" t="inlineStr">
        <is>
          <t>日常生活圏域ごとの必要利用定員総数（法定記載事項）</t>
        </is>
      </c>
      <c r="E92"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92" s="5" t="inlineStr">
        <is>
          <t>計画素案 第1章第7節・第6章第4節4
サービス見込量の算定</t>
        </is>
      </c>
      <c r="G92" s="5" t="inlineStr">
        <is>
          <t>発注者・3町</t>
        </is>
      </c>
      <c r="H92" s="6" t="inlineStr">
        <is>
          <t>受託者案で確定</t>
        </is>
      </c>
      <c r="I92" s="10" t="inlineStr">
        <is>
          <t>R8.9</t>
        </is>
      </c>
      <c r="J92" s="11" t="inlineStr">
        <is>
          <t>【令和8年10月19日　ご了承】受託者案により作成を進めることとされた（従前の状態：確認待ち）。
法定記載事項であり、記載を落とすことができない。圏域が確定しないと表を作成できない。
受託者案＝3町（3圏域）を基盤整備単位とする案のまま概算する。必要利用定員総数は［要協議］のまま残す。</t>
        </is>
      </c>
    </row>
    <row r="93" ht="88" customHeight="1">
      <c r="A93" s="4" t="n">
        <v>89</v>
      </c>
      <c r="B93" s="4" t="inlineStr">
        <is>
          <t>(1)(6)</t>
        </is>
      </c>
      <c r="C93" s="4" t="inlineStr">
        <is>
          <t>R8.9</t>
        </is>
      </c>
      <c r="D93" s="5" t="inlineStr">
        <is>
          <t>社会福祉法等の一部を改正する法律（令和8年法律第51号）の反映</t>
        </is>
      </c>
      <c r="E93"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93" s="5" t="inlineStr">
        <is>
          <t>計画素案 第1章第9節・第2章第8節・第5章・第6章第2節・第6章第4節
ケアプラン点検実施要領</t>
        </is>
      </c>
      <c r="G93" s="5" t="inlineStr">
        <is>
          <t>発注者</t>
        </is>
      </c>
      <c r="H93" s="8" t="inlineStr">
        <is>
          <t>受託者案で確定（告示後に再算定）</t>
        </is>
      </c>
      <c r="I93" s="10" t="inlineStr">
        <is>
          <t>R8.10</t>
        </is>
      </c>
      <c r="J93" s="11" t="inlineStr">
        <is>
          <t>【令和8年10月19日　ご了承】受託者案により作成を進めることとされた（従前の状態：確認待ち）。ただし「社会福祉法等改正法の政令・省令及び介護報酬改定」が示された後に再算定する。
②の統合により、第10期のサービス種別の区分が変わる。国の様式（介護保険事業計画作成支援ツール）の確定を待って見込量の区分を改める。
受託者案＝計画素案 第1章第9節2の7件の整理のまま進め、政令・省令・報酬改定の公表後に再照合する。</t>
        </is>
      </c>
    </row>
    <row r="94" ht="88" customHeight="1">
      <c r="A94" s="4" t="n">
        <v>90</v>
      </c>
      <c r="B94" s="4" t="inlineStr">
        <is>
          <t>(2)(6)</t>
        </is>
      </c>
      <c r="C94" s="4" t="inlineStr">
        <is>
          <t>R8.9</t>
        </is>
      </c>
      <c r="D94" s="5" t="inlineStr">
        <is>
          <t>第9期計画の本文（電子データ）及び前回調査の原集計表の提供</t>
        </is>
      </c>
      <c r="E94"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94" s="5" t="inlineStr">
        <is>
          <t>給付適正化計画の位置づけと追加検討事項 01シート
計画素案 第5章 基本目標5・第2章第4節
アンケート調査の分析 令和8年9月業務報告 第4節</t>
        </is>
      </c>
      <c r="G94" s="5" t="inlineStr">
        <is>
          <t>発注者</t>
        </is>
      </c>
      <c r="H94" s="6" t="inlineStr">
        <is>
          <t>受託者案で確定</t>
        </is>
      </c>
      <c r="I94" s="10" t="inlineStr">
        <is>
          <t>R8.10</t>
        </is>
      </c>
      <c r="J94" s="11" t="inlineStr">
        <is>
          <t>【令和8年10月19日　ご了承】受託者案により作成を進めることとされた（従前の状態：確認待ち）。
第9期計画の体裁を勘案して第10期での位置づけを決めるため、記載の箇所の確認が前提となる。前回調査の分母は経年比較の前提となる。
受託者案＝第9期計画の本文及び前回調査の原集計表を受領できないものとして、前回調査との比較は割合のみとし、指標別の分母を確認できない旨を注記する。</t>
        </is>
      </c>
    </row>
    <row r="95" ht="88" customHeight="1">
      <c r="A95" s="4" t="n">
        <v>91</v>
      </c>
      <c r="B95" s="4" t="inlineStr">
        <is>
          <t>(2)(6)</t>
        </is>
      </c>
      <c r="C95" s="4" t="inlineStr">
        <is>
          <t>R8.9</t>
        </is>
      </c>
      <c r="D95" s="5" t="inlineStr">
        <is>
          <t>介護給付費通知及び給付実績の活用による確認等</t>
        </is>
      </c>
      <c r="E95"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95" s="5" t="inlineStr">
        <is>
          <t>給付適正化計画の位置づけと追加検討事項 02シート
計画素案 第5章 基本目標5</t>
        </is>
      </c>
      <c r="G95" s="5" t="inlineStr">
        <is>
          <t>発注者</t>
        </is>
      </c>
      <c r="H95" s="6" t="inlineStr">
        <is>
          <t>受託者案で確定</t>
        </is>
      </c>
      <c r="I95" s="10" t="inlineStr">
        <is>
          <t>R8.10</t>
        </is>
      </c>
      <c r="J95" s="11" t="inlineStr">
        <is>
          <t>【令和8年10月19日　ご了承】受託者案により作成を進めることとされた（従前の状態：確認待ち）。
国保連の適正化システムには強調表示等の工夫が取り入れられており、小規模保険者でも実施しやすいとされている。
受託者案＝介護給付費通知の実施状況を確認できないものとして、第7期給付適正化計画には現行の取組のまま位置づける。</t>
        </is>
      </c>
    </row>
    <row r="96" ht="88" customHeight="1">
      <c r="A96" s="4" t="n">
        <v>92</v>
      </c>
      <c r="B96" s="4" t="inlineStr">
        <is>
          <t>(6)</t>
        </is>
      </c>
      <c r="C96" s="4" t="inlineStr">
        <is>
          <t>R8.9</t>
        </is>
      </c>
      <c r="D96" s="5" t="inlineStr">
        <is>
          <t>認定調査の指定居宅介護支援事業所等への委託の状況</t>
        </is>
      </c>
      <c r="E9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96" s="5" t="inlineStr">
        <is>
          <t>給付適正化計画の位置づけと追加検討事項 04シート
計画素案 第5章 基本目標5</t>
        </is>
      </c>
      <c r="G96" s="5" t="inlineStr">
        <is>
          <t>発注者</t>
        </is>
      </c>
      <c r="H96" s="6" t="inlineStr">
        <is>
          <t>受託者案で確定</t>
        </is>
      </c>
      <c r="I96" s="10" t="inlineStr">
        <is>
          <t>R8.10</t>
        </is>
      </c>
      <c r="J96" s="11" t="inlineStr">
        <is>
          <t>【令和8年10月19日　ご了承】受託者案により作成を進めることとされた（従前の状態：確認待ち）。
委託していない場合は、直営の認定調査についても実態を把握することが望ましいとされている。
受託者案＝認定調査の委託の状況を確認できないものとして、第7期給付適正化計画には現行の取組のまま位置づける。</t>
        </is>
      </c>
    </row>
    <row r="97" ht="88" customHeight="1">
      <c r="A97" s="4" t="n">
        <v>93</v>
      </c>
      <c r="B97" s="4" t="inlineStr">
        <is>
          <t>(5)(6)</t>
        </is>
      </c>
      <c r="C97" s="4" t="inlineStr">
        <is>
          <t>R8.9</t>
        </is>
      </c>
      <c r="D97" s="5" t="inlineStr">
        <is>
          <t>財政調整交付金の算定における給付適正化主要3事業の取組状況の勘案</t>
        </is>
      </c>
      <c r="E97"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97" s="5" t="inlineStr">
        <is>
          <t>将来推計 第3段階
計画素案 第6章第6節
サービス見込量 第2次概算</t>
        </is>
      </c>
      <c r="G97" s="5" t="inlineStr">
        <is>
          <t>発注者・北海道</t>
        </is>
      </c>
      <c r="H97" s="6" t="inlineStr">
        <is>
          <t>受託者案で確定</t>
        </is>
      </c>
      <c r="I97" s="10" t="inlineStr">
        <is>
          <t>R8.10</t>
        </is>
      </c>
      <c r="J97" s="11" t="inlineStr">
        <is>
          <t>【令和8年10月19日　ご了承】受託者案により作成を進めることとされた（従前の状態：確認待ち）。
確認事項No.86（保険者機能強化推進交付金等の交付見込額の控除）と併せて第2次概算（10月30日）までに整理する。
受託者案＝財政調整交付金の算定に給付適正化主要3事業の取組状況を勘案しないものとして算定する（調整交付金7.3755％のまま。安全側）。</t>
        </is>
      </c>
    </row>
    <row r="98" ht="88" customHeight="1">
      <c r="A98" s="4" t="n">
        <v>94</v>
      </c>
      <c r="B98" s="4" t="inlineStr">
        <is>
          <t>(6)</t>
        </is>
      </c>
      <c r="C98" s="4" t="inlineStr">
        <is>
          <t>R8.9</t>
        </is>
      </c>
      <c r="D98" s="5" t="inlineStr">
        <is>
          <t>給付適正化計画の位置づけ（案Bの採用）と毎年度の目標の記載場所</t>
        </is>
      </c>
      <c r="E98"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98" s="5" t="inlineStr">
        <is>
          <t>計画素案 第1章第2節・第5章 基本目標5・資料5
給付適正化計画の位置づけと追加検討事項</t>
        </is>
      </c>
      <c r="G98" s="5" t="inlineStr">
        <is>
          <t>発注者</t>
        </is>
      </c>
      <c r="H98" s="6" t="inlineStr">
        <is>
          <t>受託者案で確定</t>
        </is>
      </c>
      <c r="I98" s="10" t="inlineStr">
        <is>
          <t>R8.10</t>
        </is>
      </c>
      <c r="J98" s="11" t="inlineStr">
        <is>
          <t>【令和8年10月19日　ご了承】受託者案により作成を進めることとされた（従前の状態：確認待ち）。
位置づけの決定は令和8年9月10日に了承済み。本件は反映内容の事後確認である。
受託者案＝給付適正化計画の位置づけは案B（第9期と同じく施策として置き、施策名のかっこ書きで第7期給付適正化計画であることを示す）のままとする（令和8年9月10日 了承済み）。</t>
        </is>
      </c>
    </row>
    <row r="99" ht="88" customHeight="1">
      <c r="A99" s="4" t="n">
        <v>95</v>
      </c>
      <c r="B99" s="4" t="inlineStr">
        <is>
          <t>(6)</t>
        </is>
      </c>
      <c r="C99" s="4" t="inlineStr">
        <is>
          <t>R8.9</t>
        </is>
      </c>
      <c r="D99" s="5" t="inlineStr">
        <is>
          <t>大雪地区広域連合の指定地域密着型サービスの基準条例のご提供</t>
        </is>
      </c>
      <c r="E9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99" s="5" t="inlineStr">
        <is>
          <t>地域密着型サービス基準省令の論点整理
計画素案 第6章第4節</t>
        </is>
      </c>
      <c r="G99" s="5" t="inlineStr">
        <is>
          <t>発注者</t>
        </is>
      </c>
      <c r="H99" s="6" t="inlineStr">
        <is>
          <t>受託者案で確定</t>
        </is>
      </c>
      <c r="I99" s="10" t="inlineStr">
        <is>
          <t>R8.9</t>
        </is>
      </c>
      <c r="J99" s="11" t="inlineStr">
        <is>
          <t>【令和8年10月19日　ご了承】受託者案により作成を進めることとされた（従前の状態：確認待ち）。
論点整理 04シート。最も重い確認事項として整理している。
受託者案＝基準条例を受領できないものとして、省令の基準により論点を整理するにとどめ、計画素案には条例の内容を書かない。</t>
        </is>
      </c>
    </row>
    <row r="100" ht="88" customHeight="1">
      <c r="A100" s="4" t="n">
        <v>96</v>
      </c>
      <c r="B100" s="4" t="inlineStr">
        <is>
          <t>(6)</t>
        </is>
      </c>
      <c r="C100" s="4" t="inlineStr">
        <is>
          <t>R8.9</t>
        </is>
      </c>
      <c r="D100" s="5" t="inlineStr">
        <is>
          <t>認知症対応型共同生活介護の共同生活住居数と、くるみの郷の定員</t>
        </is>
      </c>
      <c r="E10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00" s="5" t="inlineStr">
        <is>
          <t>計画素案 第2章第3節6
計画素案 第6章第4節4
地域密着型サービス基準省令の論点整理</t>
        </is>
      </c>
      <c r="G100" s="5" t="inlineStr">
        <is>
          <t>発注者・3町</t>
        </is>
      </c>
      <c r="H100" s="6" t="inlineStr">
        <is>
          <t>受託者案で確定</t>
        </is>
      </c>
      <c r="I100" s="10" t="inlineStr">
        <is>
          <t>R8.9</t>
        </is>
      </c>
      <c r="J100" s="11" t="inlineStr">
        <is>
          <t>【令和8年10月19日　ご了承】受託者案により作成を進めることとされた（従前の状態：確認待ち）。
第2章第3節6及び第6章第4節4の町別の分布欄の誤り（東川町45→36、計108→99）は令和8年9月10日に修正済み。
受託者案＝認知症対応型共同生活介護の定員は99人＋［要確認］のまま掲げる。</t>
        </is>
      </c>
    </row>
    <row r="101" ht="88" customHeight="1">
      <c r="A101" s="4" t="n">
        <v>97</v>
      </c>
      <c r="B101" s="4" t="inlineStr">
        <is>
          <t>(6)</t>
        </is>
      </c>
      <c r="C101" s="4" t="inlineStr">
        <is>
          <t>R8.9</t>
        </is>
      </c>
      <c r="D101" s="5" t="inlineStr">
        <is>
          <t>令和9年4月1日から義務となる2件への対応</t>
        </is>
      </c>
      <c r="E10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01" s="5" t="inlineStr">
        <is>
          <t>計画素案 第1章第9節
計画素案 第5章 基本目標3・4
計画素案 第6章第4節3</t>
        </is>
      </c>
      <c r="G101" s="5" t="inlineStr">
        <is>
          <t>発注者</t>
        </is>
      </c>
      <c r="H101" s="6" t="inlineStr">
        <is>
          <t>受託者案で確定</t>
        </is>
      </c>
      <c r="I101" s="10" t="inlineStr">
        <is>
          <t>R8.10</t>
        </is>
      </c>
      <c r="J101" s="11" t="inlineStr">
        <is>
          <t>【令和8年10月19日　ご了承】受託者案により作成を進めることとされた（従前の状態：確認待ち）。
確認事項No.95（条例）と一体。条例に対応規定がなければ事業者に及ばない。
受託者案＝条例の対応規定を確認できないものとして、計画素案には省令の定めと対象事業所数（協力医療機関10・生産性向上委員会15）のみを書く。</t>
        </is>
      </c>
    </row>
    <row r="102" ht="88" customHeight="1">
      <c r="A102" s="4" t="n">
        <v>98</v>
      </c>
      <c r="B102" s="4" t="inlineStr">
        <is>
          <t>(6)</t>
        </is>
      </c>
      <c r="C102" s="4" t="inlineStr">
        <is>
          <t>R8.9</t>
        </is>
      </c>
      <c r="D102" s="5" t="inlineStr">
        <is>
          <t>基盤整備の選択肢として省令上の類型を計画に掲げるか</t>
        </is>
      </c>
      <c r="E10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02" s="5" t="inlineStr">
        <is>
          <t>計画素案 第6章第4節1
計画素案 第6章第2節2（2）
サービス見込量の算定</t>
        </is>
      </c>
      <c r="G102" s="5" t="inlineStr">
        <is>
          <t>発注者</t>
        </is>
      </c>
      <c r="H102" s="6" t="inlineStr">
        <is>
          <t>受託者案で確定</t>
        </is>
      </c>
      <c r="I102" s="10" t="inlineStr">
        <is>
          <t>R8.9</t>
        </is>
      </c>
      <c r="J102" s="11" t="inlineStr">
        <is>
          <t>【令和8年10月19日　ご了承】受託者案により作成を進めることとされた（従前の状態：確認待ち）。
①は第6章第4節1 案Aの書き分けに関わるため第1次概算（9月26日）より前に整理する。
受託者案＝省令上の類型を計画に掲げないまま概算する。</t>
        </is>
      </c>
    </row>
    <row r="103" ht="88" customHeight="1">
      <c r="A103" s="4" t="n">
        <v>99</v>
      </c>
      <c r="B103" s="4" t="inlineStr">
        <is>
          <t>(6)</t>
        </is>
      </c>
      <c r="C103" s="4" t="inlineStr">
        <is>
          <t>R8.9</t>
        </is>
      </c>
      <c r="D103" s="5" t="inlineStr">
        <is>
          <t>過疎地域における小規模多機能型居宅介護の定員超過の特例の取扱い</t>
        </is>
      </c>
      <c r="E10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03" s="5" t="inlineStr">
        <is>
          <t>計画素案 第6章第4節
計画素案 第6章第2節2（2）
地域密着型サービス基準省令の論点整理</t>
        </is>
      </c>
      <c r="G103" s="5" t="inlineStr">
        <is>
          <t>発注者</t>
        </is>
      </c>
      <c r="H103" s="6" t="inlineStr">
        <is>
          <t>受託者案で確定</t>
        </is>
      </c>
      <c r="I103" s="10" t="inlineStr">
        <is>
          <t>R8.10</t>
        </is>
      </c>
      <c r="J103" s="11" t="inlineStr">
        <is>
          <t>【令和8年10月19日　ご了承】受託者案により作成を進めることとされた（従前の状態：確認待ち）。
対象となり得るのは美瑛町の5事業所。
受託者案＝過疎地域における定員超過の特例を用いないものとして見込量を算定する。</t>
        </is>
      </c>
    </row>
    <row r="104" ht="88" customHeight="1">
      <c r="A104" s="4" t="n">
        <v>100</v>
      </c>
      <c r="B104" s="4" t="inlineStr">
        <is>
          <t>(5)(6)</t>
        </is>
      </c>
      <c r="C104" s="4" t="inlineStr">
        <is>
          <t>R8.9</t>
        </is>
      </c>
      <c r="D104" s="5" t="inlineStr">
        <is>
          <t>サービス見込量及び給付費の算定に用いる基準年度と出所</t>
        </is>
      </c>
      <c r="E104"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04" s="5" t="inlineStr">
        <is>
          <t>サービス見込量の算定
将来推計 第3段階
計画素案 第6章第2節・第3節・第6節</t>
        </is>
      </c>
      <c r="G104" s="5" t="inlineStr">
        <is>
          <t>発注者</t>
        </is>
      </c>
      <c r="H104" s="6" t="inlineStr">
        <is>
          <t>受託者案で確定</t>
        </is>
      </c>
      <c r="I104" s="10" t="inlineStr">
        <is>
          <t>R8.9</t>
        </is>
      </c>
      <c r="J104" s="11" t="inlineStr">
        <is>
          <t>【令和8年10月19日　ご了承】受託者案により作成を進めることとされた（従前の状態：確認待ち）。
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受託者案＝採用パターンP3（令和7年度基準・総括表・認定者数シナリオ②）により、要介護度別の伸びで概算する。</t>
        </is>
      </c>
    </row>
    <row r="105" ht="88" customHeight="1">
      <c r="A105" s="4" t="n">
        <v>101</v>
      </c>
      <c r="B105" s="4" t="inlineStr">
        <is>
          <t>(6)</t>
        </is>
      </c>
      <c r="C105" s="4" t="inlineStr">
        <is>
          <t>R8.9</t>
        </is>
      </c>
      <c r="D105" s="5" t="inlineStr">
        <is>
          <t>計画素案 第6章第2節2の見込量の表の数値の差し替え</t>
        </is>
      </c>
      <c r="E105"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05" s="5" t="inlineStr">
        <is>
          <t>計画素案 第6章第2節2
サービス見込量の算定</t>
        </is>
      </c>
      <c r="G105" s="5" t="inlineStr">
        <is>
          <t>発注者</t>
        </is>
      </c>
      <c r="H105" s="6" t="inlineStr">
        <is>
          <t>受託者案で確定</t>
        </is>
      </c>
      <c r="I105" s="10" t="inlineStr">
        <is>
          <t>R8.9</t>
        </is>
      </c>
      <c r="J105" s="11" t="inlineStr">
        <is>
          <t>【令和8年10月19日　ご了承】受託者案により作成を進めることとされた（従前の状態：確認待ち）。
確認事項No.100（採用パターン）の決定と一体で処理する。令和8年9月16日、第6章第2節の表を第1次概算の算定結果に差し替えた（表頭の「R8実績」は「R7実績」に改めた）。ご判断をいただくまでは暫定である。
受託者案＝計画素案 第6章第2節の表は当方の算定（令和7年度の実績に要介護度別の認定者数の伸びを乗じたもの）による値とし、見える化システムの自然体推計による値は第6節2に対比として掲げる。</t>
        </is>
      </c>
    </row>
    <row r="106" ht="88" customHeight="1">
      <c r="A106" s="4" t="n">
        <v>102</v>
      </c>
      <c r="B106" s="4" t="inlineStr">
        <is>
          <t>(5)</t>
        </is>
      </c>
      <c r="C106" s="4" t="inlineStr">
        <is>
          <t>R8.9</t>
        </is>
      </c>
      <c r="D106" s="5" t="inlineStr">
        <is>
          <t>計画作成支援ツールの令和8年度の月数と予防訪問看護の計上</t>
        </is>
      </c>
      <c r="E106"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06" s="5" t="inlineStr">
        <is>
          <t>サービス見込量の算定
計画素案 第6章第2節2</t>
        </is>
      </c>
      <c r="G106" s="5" t="inlineStr">
        <is>
          <t>発注者</t>
        </is>
      </c>
      <c r="H106" s="6" t="inlineStr">
        <is>
          <t>受託者案で確定</t>
        </is>
      </c>
      <c r="I106" s="10" t="inlineStr">
        <is>
          <t>R8.9</t>
        </is>
      </c>
      <c r="J106" s="11" t="inlineStr">
        <is>
          <t>【令和8年10月19日　ご了承】受託者案により作成を進めることとされた（従前の状態：一部回答済）。
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受託者案＝②は確認できないものとして、令和8年度を基準年度に用いない。</t>
        </is>
      </c>
    </row>
    <row r="107" ht="88" customHeight="1">
      <c r="A107" s="4" t="n">
        <v>103</v>
      </c>
      <c r="B107" s="4" t="inlineStr">
        <is>
          <t>(5)(6)</t>
        </is>
      </c>
      <c r="C107" s="4" t="inlineStr">
        <is>
          <t>R8.9</t>
        </is>
      </c>
      <c r="D107" s="5" t="inlineStr">
        <is>
          <t>令和8年度を基準年度に用いず、季節を理由とする補正も行わないこと</t>
        </is>
      </c>
      <c r="E107"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07" s="5" t="inlineStr">
        <is>
          <t>サービス見込量の算定
将来推計 第3段階
計画素案 第6章第2節2</t>
        </is>
      </c>
      <c r="G107" s="5" t="inlineStr">
        <is>
          <t>発注者</t>
        </is>
      </c>
      <c r="H107" s="6" t="inlineStr">
        <is>
          <t>受託者案で確定</t>
        </is>
      </c>
      <c r="I107" s="10" t="inlineStr">
        <is>
          <t>R8.9</t>
        </is>
      </c>
      <c r="J107" s="11" t="inlineStr">
        <is>
          <t>【令和8年10月19日　ご了承】受託者案により作成を進めることとされた（従前の状態：確認待ち）。
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受託者案＝令和8年度を基準年度に用いず、季節補正も行わないまま概算する。</t>
        </is>
      </c>
    </row>
    <row r="108" ht="88" customHeight="1">
      <c r="A108" s="4" t="n">
        <v>104</v>
      </c>
      <c r="B108" s="4" t="inlineStr">
        <is>
          <t>(5)</t>
        </is>
      </c>
      <c r="C108" s="4" t="inlineStr">
        <is>
          <t>R8.9</t>
        </is>
      </c>
      <c r="D108" s="5" t="inlineStr">
        <is>
          <t>第10期の単価を令和7年度で固定するか、令和8年度の水準を反映するか</t>
        </is>
      </c>
      <c r="E108"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108" s="5" t="inlineStr">
        <is>
          <t>サービス見込量 第2次概算
将来推計 第3段階
計画素案 第6章第3節・第6節</t>
        </is>
      </c>
      <c r="G108" s="5" t="inlineStr">
        <is>
          <t>発注者</t>
        </is>
      </c>
      <c r="H108" s="8" t="inlineStr">
        <is>
          <t>受託者案で確定（告示後に再算定）</t>
        </is>
      </c>
      <c r="I108" s="10" t="inlineStr">
        <is>
          <t>R8.10</t>
        </is>
      </c>
      <c r="J108" s="11" t="inlineStr">
        <is>
          <t>【令和8年10月19日　ご了承】受託者案により作成を進めることとされた（従前の状態：確認待ち）。ただし「令和8年度介護報酬改定の単価への反映」が示された後に再算定する。
確認事項No.87と一体。見込量の季節性の検証と施策反映の設計 02シート。
受託者案＝単価を令和7年度で固定する（安全側）。令和8年度の水準を反映した場合の差（月額＋99円）は据え置きの一覧に示す。</t>
        </is>
      </c>
    </row>
    <row r="109" ht="88" customHeight="1">
      <c r="A109" s="4" t="n">
        <v>105</v>
      </c>
      <c r="B109" s="4" t="inlineStr">
        <is>
          <t>(6)</t>
        </is>
      </c>
      <c r="C109" s="4" t="inlineStr">
        <is>
          <t>R8.9</t>
        </is>
      </c>
      <c r="D109" s="5" t="inlineStr">
        <is>
          <t>施策反映を行うか。行う場合の対象と歯止め</t>
        </is>
      </c>
      <c r="E109"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09" s="5" t="inlineStr">
        <is>
          <t>サービス見込量の算定
計画素案 第4章第3節・第6章第2節</t>
        </is>
      </c>
      <c r="G109" s="5" t="inlineStr">
        <is>
          <t>発注者</t>
        </is>
      </c>
      <c r="H109" s="6" t="inlineStr">
        <is>
          <t>受託者案で確定</t>
        </is>
      </c>
      <c r="I109" s="10" t="inlineStr">
        <is>
          <t>R8.9</t>
        </is>
      </c>
      <c r="J109" s="11" t="inlineStr">
        <is>
          <t>【令和8年10月19日　ご了承】受託者案により作成を進めることとされた（従前の状態：確認待ち）。
見込量の季節性の検証と施策反映の設計 04・05シート。
受託者案＝施策反映を行わないまま概算する（安全側）。</t>
        </is>
      </c>
    </row>
    <row r="110" ht="88" customHeight="1">
      <c r="A110" s="4" t="n">
        <v>106</v>
      </c>
      <c r="B110" s="4" t="inlineStr">
        <is>
          <t>(5)(6)</t>
        </is>
      </c>
      <c r="C110" s="4" t="inlineStr">
        <is>
          <t>R8.9</t>
        </is>
      </c>
      <c r="D110" s="5" t="inlineStr">
        <is>
          <t>見込量の伸びを一律からサービス別の趨勢を半分反映する置き方に改めるか</t>
        </is>
      </c>
      <c r="E11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10" s="5" t="inlineStr">
        <is>
          <t>サービス見込量の算定
将来推計 第3段階
計画素案 第6章第2節2</t>
        </is>
      </c>
      <c r="G110" s="5" t="inlineStr">
        <is>
          <t>発注者</t>
        </is>
      </c>
      <c r="H110" s="6" t="inlineStr">
        <is>
          <t>受託者案で確定</t>
        </is>
      </c>
      <c r="I110" s="10" t="inlineStr">
        <is>
          <t>R8.9</t>
        </is>
      </c>
      <c r="J110" s="11" t="inlineStr">
        <is>
          <t>【令和8年10月19日　ご了承】受託者案により作成を進めることとされた（従前の状態：確認待ち）。
対計画比の偏りの補正試算 03シート。確認事項No.100（採用パターン）と一体。
受託者案＝サービス別の趨勢を反映する補正は行わない（見込量は要介護度別の伸びによる）。補正を行った場合の月額への効きは計画素案 第6章第6節2に併記する。</t>
        </is>
      </c>
    </row>
    <row r="111" ht="88" customHeight="1">
      <c r="A111" s="4" t="n">
        <v>107</v>
      </c>
      <c r="B111" s="4" t="inlineStr">
        <is>
          <t>(5)(6)</t>
        </is>
      </c>
      <c r="C111" s="4" t="inlineStr">
        <is>
          <t>R8.9</t>
        </is>
      </c>
      <c r="D111" s="5" t="inlineStr">
        <is>
          <t>施設・居住系の実績の減少を将来へ延長するか</t>
        </is>
      </c>
      <c r="E11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111" s="5" t="inlineStr">
        <is>
          <t>サービス見込量の算定
計画素案 第6章第4節4</t>
        </is>
      </c>
      <c r="G111" s="5" t="inlineStr">
        <is>
          <t>発注者・3町</t>
        </is>
      </c>
      <c r="H111" s="6" t="inlineStr">
        <is>
          <t>受託者案で確定</t>
        </is>
      </c>
      <c r="I111" s="10" t="inlineStr">
        <is>
          <t>R8.9</t>
        </is>
      </c>
      <c r="J111" s="11" t="inlineStr">
        <is>
          <t>【令和8年10月19日　ご了承】受託者案により作成を進めることとされた（従前の状態：確認待ち）。
対計画比の偏りの補正試算 05シート。
受託者案＝施設・居住系の実績の減少を将来へ延長しないまま概算する。</t>
        </is>
      </c>
    </row>
    <row r="112" ht="88" customHeight="1">
      <c r="A112" s="4" t="n">
        <v>108</v>
      </c>
      <c r="B112" s="4" t="inlineStr">
        <is>
          <t>(5)</t>
        </is>
      </c>
      <c r="C112" s="4" t="inlineStr">
        <is>
          <t>R8.9</t>
        </is>
      </c>
      <c r="D112" s="5" t="inlineStr">
        <is>
          <t>補正しても外れるサービス6件の理由</t>
        </is>
      </c>
      <c r="E11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12" s="5" t="inlineStr">
        <is>
          <t>対計画比の偏りの補正試算
計画素案 第6章第2節2</t>
        </is>
      </c>
      <c r="G112" s="5" t="inlineStr">
        <is>
          <t>発注者・3町</t>
        </is>
      </c>
      <c r="H112" s="6" t="inlineStr">
        <is>
          <t>受託者案で確定</t>
        </is>
      </c>
      <c r="I112" s="10" t="inlineStr">
        <is>
          <t>R8.10</t>
        </is>
      </c>
      <c r="J112" s="11" t="inlineStr">
        <is>
          <t>【令和8年10月19日　ご了承】受託者案により作成を進めることとされた（従前の状態：確認待ち）。
供給実現性の段階でサービスごとに判断する材料。
受託者案＝補正しても外れる6件は趨勢ではなく供給・制度の問題として注記する。</t>
        </is>
      </c>
    </row>
    <row r="113" ht="88" customHeight="1">
      <c r="A113" s="4" t="n">
        <v>109</v>
      </c>
      <c r="B113" s="4" t="inlineStr">
        <is>
          <t>(5)</t>
        </is>
      </c>
      <c r="C113" s="4" t="inlineStr">
        <is>
          <t>R8.9</t>
        </is>
      </c>
      <c r="D113" s="5" t="inlineStr">
        <is>
          <t>第10期の単価を令和7年度で固定するか、実績の趨勢を置くか</t>
        </is>
      </c>
      <c r="E113"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113" s="5" t="inlineStr">
        <is>
          <t>サービス見込量 第2次概算
将来推計 第3段階
計画素案 第6章第3節・第6節</t>
        </is>
      </c>
      <c r="G113" s="5" t="inlineStr">
        <is>
          <t>発注者</t>
        </is>
      </c>
      <c r="H113" s="8" t="inlineStr">
        <is>
          <t>受託者案で確定（告示後に再算定）</t>
        </is>
      </c>
      <c r="I113" s="10" t="inlineStr">
        <is>
          <t>R8.10</t>
        </is>
      </c>
      <c r="J113" s="11" t="inlineStr">
        <is>
          <t>【令和8年10月19日　ご了承】受託者案により作成を進めることとされた（従前の状態：確認待ち）。ただし「令和9年度介護報酬改定の改定率（告示）」が示された後に再算定する。
趨勢に現れない要因の分析 06シート。「構成町の意見への回答」の「令和9年度が改定の年に当たらない」との記述は誤りであり修正した。
受託者案＝単価を令和7年度で固定する（安全側）。実績の趨勢を置いた場合の差は据え置きの一覧及び計画素案 第6章第6節2に示す。</t>
        </is>
      </c>
    </row>
    <row r="114" ht="88" customHeight="1">
      <c r="A114" s="4" t="n">
        <v>110</v>
      </c>
      <c r="B114" s="4" t="inlineStr">
        <is>
          <t>(5)(6)</t>
        </is>
      </c>
      <c r="C114" s="4" t="inlineStr">
        <is>
          <t>R8.9</t>
        </is>
      </c>
      <c r="D114" s="5" t="inlineStr">
        <is>
          <t>給付適正化の効果を見込量に織り込まないことでよいか</t>
        </is>
      </c>
      <c r="E114"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14" s="5" t="inlineStr">
        <is>
          <t>サービス見込量の算定
計画素案 第5章 基本目標5・第6章第2節</t>
        </is>
      </c>
      <c r="G114" s="5" t="inlineStr">
        <is>
          <t>発注者</t>
        </is>
      </c>
      <c r="H114" s="6" t="inlineStr">
        <is>
          <t>受託者案で確定</t>
        </is>
      </c>
      <c r="I114" s="10" t="inlineStr">
        <is>
          <t>R8.10</t>
        </is>
      </c>
      <c r="J114" s="11" t="inlineStr">
        <is>
          <t>【令和8年10月19日　ご了承】受託者案により作成を進めることとされた（従前の状態：確認待ち）。
趨勢に現れない要因の分析 05シート。
受託者案＝給付適正化の効果を織り込まないまま概算する（安全側）。</t>
        </is>
      </c>
    </row>
    <row r="115" ht="88" customHeight="1">
      <c r="A115" s="4" t="n">
        <v>111</v>
      </c>
      <c r="B115" s="4" t="inlineStr">
        <is>
          <t>(6)</t>
        </is>
      </c>
      <c r="C115" s="4" t="inlineStr">
        <is>
          <t>R8.9</t>
        </is>
      </c>
      <c r="D115" s="5" t="inlineStr">
        <is>
          <t>過年度の趨勢に現れない要因の扱い（認知症施策・高齢者向け住まいほか）</t>
        </is>
      </c>
      <c r="E115"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15" s="5" t="inlineStr">
        <is>
          <t>計画素案 第1章第8節・第2章第3節6・第5章 基本目標2・第6章第2節</t>
        </is>
      </c>
      <c r="G115" s="5" t="inlineStr">
        <is>
          <t>発注者・3町</t>
        </is>
      </c>
      <c r="H115" s="6" t="inlineStr">
        <is>
          <t>受託者案で確定</t>
        </is>
      </c>
      <c r="I115" s="10" t="inlineStr">
        <is>
          <t>R8.10</t>
        </is>
      </c>
      <c r="J115" s="11" t="inlineStr">
        <is>
          <t>【令和8年10月19日　ご了承】受託者案により作成を進めることとされた（従前の状態：確認待ち）。
趨勢に現れない要因の分析 02〜04シート。
受託者案＝趨勢に現れない要因は向きのみを注記し、数値には織り込まない。</t>
        </is>
      </c>
    </row>
    <row r="116" ht="88" customHeight="1">
      <c r="A116" s="4" t="n">
        <v>112</v>
      </c>
      <c r="B116" s="4" t="inlineStr">
        <is>
          <t>(5)(6)</t>
        </is>
      </c>
      <c r="C116" s="4" t="inlineStr">
        <is>
          <t>R8.9</t>
        </is>
      </c>
      <c r="D116" s="5" t="inlineStr">
        <is>
          <t>地域支援事業の量の見込みを算定してよいか</t>
        </is>
      </c>
      <c r="E116"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16" s="5" t="inlineStr">
        <is>
          <t>サービス見込量 第2次概算
計画素案 第6章第3節</t>
        </is>
      </c>
      <c r="G116" s="5" t="inlineStr">
        <is>
          <t>発注者</t>
        </is>
      </c>
      <c r="H116" s="6" t="inlineStr">
        <is>
          <t>受託者案で確定</t>
        </is>
      </c>
      <c r="I116" s="10" t="inlineStr">
        <is>
          <t>R8.10</t>
        </is>
      </c>
      <c r="J116" s="11" t="inlineStr">
        <is>
          <t>【令和8年10月19日　ご了承】受託者案により作成を進めることとされた（従前の状態：確認待ち）。
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受託者案＝令和6年度の利用者実人数を据え置いて延ばした量の見込みを掲げ、令和7年度の実施状況は単位が異なるため別の表として示す。</t>
        </is>
      </c>
    </row>
    <row r="117" ht="88" customHeight="1">
      <c r="A117" s="4" t="n">
        <v>113</v>
      </c>
      <c r="B117" s="4" t="inlineStr">
        <is>
          <t>(5)</t>
        </is>
      </c>
      <c r="C117" s="4" t="inlineStr">
        <is>
          <t>R8.9</t>
        </is>
      </c>
      <c r="D117" s="5" t="inlineStr">
        <is>
          <t>混合型特定施設の必要利用定員総数を定めるか</t>
        </is>
      </c>
      <c r="E117"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17" s="5" t="inlineStr">
        <is>
          <t>サービス見込量の算定
計画素案 第6章第4節4</t>
        </is>
      </c>
      <c r="G117" s="5" t="inlineStr">
        <is>
          <t>発注者・北海道</t>
        </is>
      </c>
      <c r="H117" s="10" t="inlineStr">
        <is>
          <t>解決</t>
        </is>
      </c>
      <c r="I117" s="10" t="inlineStr">
        <is>
          <t>R8.9</t>
        </is>
      </c>
      <c r="J117" s="11" t="inlineStr">
        <is>
          <t>サービス見込量算定の統合報告書 03・04シート。確認事項No.88（日常生活圏域と必要利用定員総数）と一体。【令和8年10月15日　解決】参照条文により、混合型特定施設入居者生活介護に係る必要利用定員総数は介護保険法第118条第4項により都道府県介護保険事業支援計画において定めることができる事項であり、第117条には現れないことを確かめた。介護専用型特定施設入居者生活介護に係る必要利用定員総数も第118条第2項第1号により都道府県が定める。すなわちいずれも本計画の記載事項ではない。当方が従前「第117条第3項の勘案事項」としていたのは誤りであった。あわせて第8条第21項により、介護専用型特定施設はその入居者が要介護者、その配偶者その他厚生労働省令で定める者に限られるものであり、類型は入居の要件により定まることが分かった。計画素案 第6章第4節4の記述を是正した</t>
        </is>
      </c>
    </row>
    <row r="118" ht="88" customHeight="1">
      <c r="A118" s="4" t="n">
        <v>114</v>
      </c>
      <c r="B118" s="4" t="inlineStr">
        <is>
          <t>(5)(6)</t>
        </is>
      </c>
      <c r="C118" s="4" t="inlineStr">
        <is>
          <t>R8.9</t>
        </is>
      </c>
      <c r="D118" s="5" t="inlineStr">
        <is>
          <t>令和22年度までの中長期推計をどこまで算定するか</t>
        </is>
      </c>
      <c r="E1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18" s="5" t="inlineStr">
        <is>
          <t>サービス見込量 第2次概算
将来推計 第3段階
計画素案 第2章第8節・第6章第2節</t>
        </is>
      </c>
      <c r="G118" s="5" t="inlineStr">
        <is>
          <t>発注者</t>
        </is>
      </c>
      <c r="H118" s="6" t="inlineStr">
        <is>
          <t>受託者案で確定</t>
        </is>
      </c>
      <c r="I118" s="10" t="inlineStr">
        <is>
          <t>R8.10</t>
        </is>
      </c>
      <c r="J118" s="11" t="inlineStr">
        <is>
          <t>【令和8年10月19日　ご了承】受託者案により作成を進めることとされた（従前の状態：確認待ち）。
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受託者案＝計画本文に掲げる中長期推計は令和17年度・令和22年度とし、見込量・給付費・保険料のいずれも単価を令和7年度で固定して算定する。</t>
        </is>
      </c>
    </row>
    <row r="119" ht="88" customHeight="1">
      <c r="A119" s="4" t="n">
        <v>115</v>
      </c>
      <c r="B119" s="4" t="inlineStr">
        <is>
          <t>(5)(6)</t>
        </is>
      </c>
      <c r="C119" s="4" t="inlineStr">
        <is>
          <t>R8.9</t>
        </is>
      </c>
      <c r="D119" s="5" t="inlineStr">
        <is>
          <t>令和9年4月に新設される区分を見込量に立てるか</t>
        </is>
      </c>
      <c r="E119"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119" s="5" t="inlineStr">
        <is>
          <t>サービス見込量 第2次概算
計画素案 第1章第9節・第6章第2節・第4節</t>
        </is>
      </c>
      <c r="G119" s="5" t="inlineStr">
        <is>
          <t>発注者・3町</t>
        </is>
      </c>
      <c r="H119" s="8" t="inlineStr">
        <is>
          <t>受託者案で確定（告示後に再算定）</t>
        </is>
      </c>
      <c r="I119" s="10" t="inlineStr">
        <is>
          <t>R8.10</t>
        </is>
      </c>
      <c r="J119" s="11" t="inlineStr">
        <is>
          <t>【令和8年10月19日　ご了承】受託者案により作成を進めることとされた（従前の状態：確認待ち）。ただし「令和9年4月新設の3区分（省令・告示）」が示された後に再算定する。
サービス見込量算定の統合報告書 03・04シート。
受託者案＝令和9年4月新設の3区分を0として立てる。</t>
        </is>
      </c>
    </row>
    <row r="120" ht="88" customHeight="1">
      <c r="A120" s="4" t="n">
        <v>116</v>
      </c>
      <c r="B120" s="4" t="inlineStr">
        <is>
          <t>(5)(6)</t>
        </is>
      </c>
      <c r="C120" s="4" t="inlineStr">
        <is>
          <t>R8.9</t>
        </is>
      </c>
      <c r="D120" s="5" t="inlineStr">
        <is>
          <t>介護人材の確保状況を供給の制約として見込量に反映するか</t>
        </is>
      </c>
      <c r="E120"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20" s="5" t="inlineStr">
        <is>
          <t>サービス見込量 第2次概算
計画素案 第6章第2節・第4節</t>
        </is>
      </c>
      <c r="G120" s="5" t="inlineStr">
        <is>
          <t>発注者・3町</t>
        </is>
      </c>
      <c r="H120" s="6" t="inlineStr">
        <is>
          <t>受託者案で確定</t>
        </is>
      </c>
      <c r="I120" s="10" t="inlineStr">
        <is>
          <t>R8.10</t>
        </is>
      </c>
      <c r="J120" s="11" t="inlineStr">
        <is>
          <t>【令和8年10月19日　ご了承】受託者案により作成を進めることとされた（従前の状態：確認待ち）。
サービス見込量算定の統合報告書 03・04シート。
受託者案＝供給の制約（人材）を見込量に反映しない（需要のみで算定する）。</t>
        </is>
      </c>
    </row>
    <row r="121" ht="88" customHeight="1">
      <c r="A121" s="4" t="n">
        <v>117</v>
      </c>
      <c r="B121" s="4" t="inlineStr">
        <is>
          <t>(9)</t>
        </is>
      </c>
      <c r="C121" s="4" t="inlineStr">
        <is>
          <t>R8.9</t>
        </is>
      </c>
      <c r="D121" s="5" t="inlineStr">
        <is>
          <t>成果品の統合の方針</t>
        </is>
      </c>
      <c r="E121"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21" s="5" t="inlineStr">
        <is>
          <t>成果品一覧
送付資料一覧</t>
        </is>
      </c>
      <c r="G121" s="5" t="inlineStr">
        <is>
          <t>発注者</t>
        </is>
      </c>
      <c r="H121" s="6" t="inlineStr">
        <is>
          <t>受託者案で確定</t>
        </is>
      </c>
      <c r="I121" s="10" t="inlineStr">
        <is>
          <t>R8.9</t>
        </is>
      </c>
      <c r="J121" s="11" t="inlineStr">
        <is>
          <t>【令和8年10月19日　ご了承】受託者案により作成を進めることとされた（従前の状態：確認待ち）。
サービス見込量算定の統合報告書 07シート。
受託者案＝見込量算定の4成果品を統合報告書に束ね、元の4件も残す（現行）。</t>
        </is>
      </c>
    </row>
    <row r="122" ht="88" customHeight="1">
      <c r="A122" s="4" t="n">
        <v>118</v>
      </c>
      <c r="B122" s="4" t="inlineStr">
        <is>
          <t>(2)(6)</t>
        </is>
      </c>
      <c r="C122" s="4" t="inlineStr">
        <is>
          <t>R8.9</t>
        </is>
      </c>
      <c r="D122" s="5" t="inlineStr">
        <is>
          <t>施策2-5の代表KPIを「施策化への転換率」とするか</t>
        </is>
      </c>
      <c r="E122"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22" s="5" t="inlineStr">
        <is>
          <t>計画素案 第5章 基本目標2
第9期評価（施策2-5）</t>
        </is>
      </c>
      <c r="G122" s="5" t="inlineStr">
        <is>
          <t>発注者</t>
        </is>
      </c>
      <c r="H122" s="6" t="inlineStr">
        <is>
          <t>受託者案で確定</t>
        </is>
      </c>
      <c r="I122" s="10" t="inlineStr">
        <is>
          <t>R8.10</t>
        </is>
      </c>
      <c r="J122" s="11" t="inlineStr">
        <is>
          <t>【令和8年10月19日　ご了承】受託者案により作成を進めることとされた（従前の状態：確認待ち）。
地域ケア会議の受領点検とKPI設計案 04シート。
受託者案＝施策2-5の代表KPIはO2（提起された地域課題のうち翌年度の事業・予算に反映されたものの割合）とする（当方案）。</t>
        </is>
      </c>
    </row>
    <row r="123" ht="88" customHeight="1">
      <c r="A123" s="4" t="n">
        <v>119</v>
      </c>
      <c r="B123" s="4" t="inlineStr">
        <is>
          <t>(2)(6)</t>
        </is>
      </c>
      <c r="C123" s="4" t="inlineStr">
        <is>
          <t>R8.9</t>
        </is>
      </c>
      <c r="D123" s="5" t="inlineStr">
        <is>
          <t>地域ケア会議の3町共通の記録様式を整えてよいか</t>
        </is>
      </c>
      <c r="E123"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23" s="5" t="inlineStr">
        <is>
          <t>計画素案 第5章 基本目標2</t>
        </is>
      </c>
      <c r="G123" s="5" t="inlineStr">
        <is>
          <t>発注者・3町</t>
        </is>
      </c>
      <c r="H123" s="6" t="inlineStr">
        <is>
          <t>受託者案で確定</t>
        </is>
      </c>
      <c r="I123" s="10" t="inlineStr">
        <is>
          <t>R8.10</t>
        </is>
      </c>
      <c r="J123" s="11" t="inlineStr">
        <is>
          <t>【令和8年10月19日　ご了承】受託者案により作成を進めることとされた（従前の状態：確認待ち）。
地域ケア会議の受領点検とKPI設計案 05シート。
受託者案＝地域ケア会議の記録様式は協議資料にとどめ、令和9年度に整える。</t>
        </is>
      </c>
    </row>
    <row r="124" ht="88" customHeight="1">
      <c r="A124" s="4" t="n">
        <v>120</v>
      </c>
      <c r="B124" s="4" t="inlineStr">
        <is>
          <t>(2)(6)</t>
        </is>
      </c>
      <c r="C124" s="4" t="inlineStr">
        <is>
          <t>R8.9</t>
        </is>
      </c>
      <c r="D124" s="5" t="inlineStr">
        <is>
          <t>地域ケア個別会議と地域ケア推進会議を分けて計数するか</t>
        </is>
      </c>
      <c r="E124"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24" s="5" t="inlineStr">
        <is>
          <t>計画素案 第5章 基本目標2・第6章第4節4</t>
        </is>
      </c>
      <c r="G124" s="5" t="inlineStr">
        <is>
          <t>発注者・3町</t>
        </is>
      </c>
      <c r="H124" s="6" t="inlineStr">
        <is>
          <t>受託者案で確定</t>
        </is>
      </c>
      <c r="I124" s="10" t="inlineStr">
        <is>
          <t>R8.10</t>
        </is>
      </c>
      <c r="J124" s="11" t="inlineStr">
        <is>
          <t>【令和8年10月19日　ご了承】受託者案により作成を進めることとされた（従前の状態：確認待ち）。
地域ケア会議の受領点検とKPI設計案 02・06シート。
受託者案＝地域ケア個別会議と地域ケア推進会議を分けずに計数する。</t>
        </is>
      </c>
    </row>
    <row r="125" ht="88" customHeight="1">
      <c r="A125" s="4" t="n">
        <v>121</v>
      </c>
      <c r="B125" s="4" t="inlineStr">
        <is>
          <t>(2)</t>
        </is>
      </c>
      <c r="C125" s="4" t="inlineStr">
        <is>
          <t>R8.9</t>
        </is>
      </c>
      <c r="D125" s="5" t="inlineStr">
        <is>
          <t>3町の地域ケア会議の実績（令和6〜8年度）のご提供</t>
        </is>
      </c>
      <c r="E125"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25" s="5" t="inlineStr">
        <is>
          <t>計画素案 第5章 基本目標2
第9期評価（施策2-5）</t>
        </is>
      </c>
      <c r="G125" s="5" t="inlineStr">
        <is>
          <t>3町</t>
        </is>
      </c>
      <c r="H125" s="6" t="inlineStr">
        <is>
          <t>受託者案で確定</t>
        </is>
      </c>
      <c r="I125" s="10" t="inlineStr">
        <is>
          <t>R8.10</t>
        </is>
      </c>
      <c r="J125" s="11" t="inlineStr">
        <is>
          <t>【令和8年10月19日　ご了承】受託者案により作成を進めることとされた（従前の状態：確認待ち）。
地域ケア会議の受領点検とKPI設計案 03シート。
受託者案＝令和7年度の実施報告書により把握できる範囲で記述する。</t>
        </is>
      </c>
    </row>
    <row r="126" ht="88" customHeight="1">
      <c r="A126" s="4" t="n">
        <v>122</v>
      </c>
      <c r="B126" s="4" t="inlineStr">
        <is>
          <t>(9)</t>
        </is>
      </c>
      <c r="C126" s="4" t="inlineStr">
        <is>
          <t>R8.9</t>
        </is>
      </c>
      <c r="D126" s="5" t="inlineStr">
        <is>
          <t>地域ケア会議関係資料の取扱いの確認</t>
        </is>
      </c>
      <c r="E126"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126" s="5" t="inlineStr">
        <is>
          <t>地域ケア会議の受領点検とKPI設計案
計画素案 第5章 基本目標2</t>
        </is>
      </c>
      <c r="G126" s="5" t="inlineStr">
        <is>
          <t>発注者</t>
        </is>
      </c>
      <c r="H126" s="6" t="inlineStr">
        <is>
          <t>受託者案で確定</t>
        </is>
      </c>
      <c r="I126" s="10" t="inlineStr">
        <is>
          <t>R8.9</t>
        </is>
      </c>
      <c r="J126" s="11" t="inlineStr">
        <is>
          <t>【令和8年10月19日　ご了承】受託者案により作成を進めることとされた（従前の状態：確認待ち）。
同表 00・01シート。
受託者案＝転載を禁ずる旨の記載がある2件は成果品に用いず、原典（厚労省の市町村マニュアル及び別冊事例集）のみを引く。</t>
        </is>
      </c>
    </row>
    <row r="127" ht="88" customHeight="1">
      <c r="A127" s="4" t="n">
        <v>123</v>
      </c>
      <c r="B127" s="4" t="inlineStr">
        <is>
          <t>(5)</t>
        </is>
      </c>
      <c r="C127" s="4" t="inlineStr">
        <is>
          <t>R8.9</t>
        </is>
      </c>
      <c r="D127" s="5" t="inlineStr">
        <is>
          <t>見える化システムの施設・居住系の画面から先へ進めない件</t>
        </is>
      </c>
      <c r="E127"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127" s="5" t="inlineStr">
        <is>
          <t>将来推計 第2段階・第3段階
サービス見込量の算定</t>
        </is>
      </c>
      <c r="G127" s="5" t="inlineStr">
        <is>
          <t>発注者</t>
        </is>
      </c>
      <c r="H127" s="6" t="inlineStr">
        <is>
          <t>受託者案で確定</t>
        </is>
      </c>
      <c r="I127" s="10" t="inlineStr">
        <is>
          <t>R8.9</t>
        </is>
      </c>
      <c r="J127" s="11" t="inlineStr">
        <is>
          <t>【令和8年10月19日　ご了承】受託者案により作成を進めることとされた（従前の状態：確認待ち）。
見える化 将来推計の設定資料の受領点検 04シート。
受託者案＝見える化システムの推計値は現行の自然体推計のまま用いる。</t>
        </is>
      </c>
    </row>
    <row r="128" ht="88" customHeight="1">
      <c r="A128" s="4" t="n">
        <v>124</v>
      </c>
      <c r="B128" s="4" t="inlineStr">
        <is>
          <t>(5)</t>
        </is>
      </c>
      <c r="C128" s="4" t="inlineStr">
        <is>
          <t>R8.9</t>
        </is>
      </c>
      <c r="D128" s="5" t="inlineStr">
        <is>
          <t>施設・居住系サービス利用者数の伸びの参考シートの有無</t>
        </is>
      </c>
      <c r="E128"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28" s="5" t="inlineStr">
        <is>
          <t>将来推計 第2段階
計画素案 第6章第2節・第4節</t>
        </is>
      </c>
      <c r="G128" s="5" t="inlineStr">
        <is>
          <t>発注者</t>
        </is>
      </c>
      <c r="H128" s="6" t="inlineStr">
        <is>
          <t>受託者案で確定</t>
        </is>
      </c>
      <c r="I128" s="10" t="inlineStr">
        <is>
          <t>R8.9</t>
        </is>
      </c>
      <c r="J128" s="11" t="inlineStr">
        <is>
          <t>【令和8年10月19日　ご了承】受託者案により作成を進めることとされた（従前の状態：確認待ち）。
同表 00シート。
受託者案＝参考シートを受領できないものとして、施設・居住系の伸びは当方の要介護度別の算定（令和7年度の利用率を固定）による。画面の伸びの選択は「令和6年度→令和7年度の伸び」とする。</t>
        </is>
      </c>
    </row>
    <row r="129" ht="88" customHeight="1">
      <c r="A129" s="4" t="n">
        <v>125</v>
      </c>
      <c r="B129" s="4" t="inlineStr">
        <is>
          <t>(5)(6)</t>
        </is>
      </c>
      <c r="C129" s="4" t="inlineStr">
        <is>
          <t>R8.9</t>
        </is>
      </c>
      <c r="D129" s="5" t="inlineStr">
        <is>
          <t>将来推計の参考シートの認定率が総括表の認定率と一致しないこと</t>
        </is>
      </c>
      <c r="E129"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29" s="5" t="inlineStr">
        <is>
          <t>計画素案 第2章第1節3・第6章第1節
将来推計 第1段階・第2段階</t>
        </is>
      </c>
      <c r="G129" s="5" t="inlineStr">
        <is>
          <t>発注者</t>
        </is>
      </c>
      <c r="H129" s="6" t="inlineStr">
        <is>
          <t>受託者案で確定</t>
        </is>
      </c>
      <c r="I129" s="10" t="inlineStr">
        <is>
          <t>R8.10</t>
        </is>
      </c>
      <c r="J129" s="11" t="inlineStr">
        <is>
          <t>【令和8年10月19日　ご了承】受託者案により作成を進めることとされた（従前の状態：確認待ち）。
見える化の推計設定の受領点検 02シート。
受託者案＝計画素案は年報による21.826％を用い、参考シートの20.84％は用いない。差は時点の違いとして注記する。</t>
        </is>
      </c>
    </row>
    <row r="130" ht="88" customHeight="1">
      <c r="A130" s="4" t="n">
        <v>126</v>
      </c>
      <c r="B130" s="4" t="inlineStr">
        <is>
          <t>(5)</t>
        </is>
      </c>
      <c r="C130" s="4" t="inlineStr">
        <is>
          <t>R8.9</t>
        </is>
      </c>
      <c r="D130" s="5" t="inlineStr">
        <is>
          <t>見える化システムの推計方式は基本推計でよいか</t>
        </is>
      </c>
      <c r="E130"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30" s="5" t="inlineStr">
        <is>
          <t>将来推計 第2段階
サービス見込量の算定</t>
        </is>
      </c>
      <c r="G130" s="5" t="inlineStr">
        <is>
          <t>発注者</t>
        </is>
      </c>
      <c r="H130" s="6" t="inlineStr">
        <is>
          <t>受託者案で確定</t>
        </is>
      </c>
      <c r="I130" s="10" t="inlineStr">
        <is>
          <t>R8.9</t>
        </is>
      </c>
      <c r="J130" s="11" t="inlineStr">
        <is>
          <t>【令和8年10月19日　ご了承】受託者案により作成を進めることとされた（従前の状態：確認待ち）。
同表 01・03シート。
受託者案＝基本推計に近いP3で概算する。</t>
        </is>
      </c>
    </row>
    <row r="131" ht="88" customHeight="1">
      <c r="A131" s="4" t="n">
        <v>127</v>
      </c>
      <c r="B131" s="4" t="inlineStr">
        <is>
          <t>(5)</t>
        </is>
      </c>
      <c r="C131" s="4" t="inlineStr">
        <is>
          <t>R8.9</t>
        </is>
      </c>
      <c r="D131" s="5" t="inlineStr">
        <is>
          <t>見える化システムの総人口の設定を案Cに改めるか</t>
        </is>
      </c>
      <c r="E131"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1" s="5" t="inlineStr">
        <is>
          <t>将来推計 第1段階
計画素案 第2章第1節・第6章第1節</t>
        </is>
      </c>
      <c r="G131" s="5" t="inlineStr">
        <is>
          <t>発注者</t>
        </is>
      </c>
      <c r="H131" s="6" t="inlineStr">
        <is>
          <t>受託者案で確定</t>
        </is>
      </c>
      <c r="I131" s="10" t="inlineStr">
        <is>
          <t>R8.10</t>
        </is>
      </c>
      <c r="J131" s="11" t="inlineStr">
        <is>
          <t>【令和8年10月19日　ご了承】受託者案により作成を進めることとされた（従前の状態：確認待ち）。
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受託者案＝人口の設定を案Cに改める（入力値は算定済み）。改められない場合は画面の社人研推計のままとし、当方の算定との差（第1号被保険者数で＋31人から＋134人）を注記する。</t>
        </is>
      </c>
    </row>
    <row r="132" ht="88" customHeight="1">
      <c r="A132" s="4" t="n">
        <v>128</v>
      </c>
      <c r="B132" s="4" t="inlineStr">
        <is>
          <t>(5)</t>
        </is>
      </c>
      <c r="C132" s="4" t="inlineStr">
        <is>
          <t>R8.9</t>
        </is>
      </c>
      <c r="D132" s="5" t="inlineStr">
        <is>
          <t>令和8年度の実績見込み値を編集するか</t>
        </is>
      </c>
      <c r="E132"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32" s="5" t="inlineStr">
        <is>
          <t>将来推計 第2段階
サービス見込量の算定</t>
        </is>
      </c>
      <c r="G132" s="5" t="inlineStr">
        <is>
          <t>発注者</t>
        </is>
      </c>
      <c r="H132" s="6" t="inlineStr">
        <is>
          <t>受託者案で確定</t>
        </is>
      </c>
      <c r="I132" s="10" t="inlineStr">
        <is>
          <t>R8.10</t>
        </is>
      </c>
      <c r="J132" s="11" t="inlineStr">
        <is>
          <t>【令和8年10月19日　ご了承】受託者案により作成を進めることとされた（従前の状態：確認待ち）。
令和8年度の実績見込み値の入力案（15シート）。
受託者案＝見える化システムの令和8年度の実績見込み値は編集しないまま概算する。当方の算定は年報（令和7年度）によるため見込量は動かず、システムの出力との差として残る。</t>
        </is>
      </c>
    </row>
    <row r="133" ht="88" customHeight="1">
      <c r="A133" s="4" t="n">
        <v>129</v>
      </c>
      <c r="B133" s="4" t="inlineStr">
        <is>
          <t>(5)</t>
        </is>
      </c>
      <c r="C133" s="4" t="inlineStr">
        <is>
          <t>R8.9</t>
        </is>
      </c>
      <c r="D133" s="5" t="inlineStr">
        <is>
          <t>見える化システムの利用率等の伸びの選択</t>
        </is>
      </c>
      <c r="E133"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33" s="5" t="inlineStr">
        <is>
          <t>将来推計 第2段階
サービス見込量の算定</t>
        </is>
      </c>
      <c r="G133" s="5" t="inlineStr">
        <is>
          <t>発注者</t>
        </is>
      </c>
      <c r="H133" s="6" t="inlineStr">
        <is>
          <t>受託者案で確定</t>
        </is>
      </c>
      <c r="I133" s="10" t="inlineStr">
        <is>
          <t>R8.10</t>
        </is>
      </c>
      <c r="J133" s="11" t="inlineStr">
        <is>
          <t>【令和8年10月19日　ご了承】受託者案により作成を進めることとされた（従前の状態：確認待ち）。
見える化の推計設定の受領点検 06シート。
受託者案＝令和8年度（4か月）を含まない④（令和6年度→令和7年度）の伸びを選んだものとして概算する。当方の算定（令和7年度基準）と置き方がそろう。</t>
        </is>
      </c>
    </row>
    <row r="134" ht="88" customHeight="1">
      <c r="A134" s="4" t="n">
        <v>130</v>
      </c>
      <c r="B134" s="4" t="inlineStr">
        <is>
          <t>(6)</t>
        </is>
      </c>
      <c r="C134" s="4" t="inlineStr">
        <is>
          <t>R8.9</t>
        </is>
      </c>
      <c r="D134" s="5" t="inlineStr">
        <is>
          <t>認知症基本法第13条の市町村認知症施策推進計画をどう扱うか</t>
        </is>
      </c>
      <c r="E134"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134" s="5" t="inlineStr">
        <is>
          <t>計画素案 第1章第2節・第5章 基本目標2</t>
        </is>
      </c>
      <c r="G134" s="5" t="inlineStr">
        <is>
          <t>発注者・3町</t>
        </is>
      </c>
      <c r="H134" s="6" t="inlineStr">
        <is>
          <t>受託者案で確定</t>
        </is>
      </c>
      <c r="I134" s="10" t="inlineStr">
        <is>
          <t>R8.9</t>
        </is>
      </c>
      <c r="J134" s="11" t="inlineStr">
        <is>
          <t>【令和8年10月19日　ご了承】受託者案により作成を進めることとされた（従前の状態：確認待ち）。
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受託者案＝案B（3町がそれぞれ市町村計画を策定する）のまま素案に反映する。</t>
        </is>
      </c>
    </row>
    <row r="135" ht="88" customHeight="1">
      <c r="A135" s="4" t="n">
        <v>131</v>
      </c>
      <c r="B135" s="4" t="inlineStr">
        <is>
          <t>(5)(6)</t>
        </is>
      </c>
      <c r="C135" s="4" t="inlineStr">
        <is>
          <t>R8.9</t>
        </is>
      </c>
      <c r="D135" s="5" t="inlineStr">
        <is>
          <t>第6章第2節の見込量の表に何を掲げるか</t>
        </is>
      </c>
      <c r="E135"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135" s="5" t="inlineStr">
        <is>
          <t>計画素案 第6章第2節・第3節
サービス見込量の算定</t>
        </is>
      </c>
      <c r="G135" s="5" t="inlineStr">
        <is>
          <t>発注者</t>
        </is>
      </c>
      <c r="H135" s="6" t="inlineStr">
        <is>
          <t>受託者案で確定</t>
        </is>
      </c>
      <c r="I135" s="10" t="inlineStr">
        <is>
          <t>R8.9</t>
        </is>
      </c>
      <c r="J135" s="11" t="inlineStr">
        <is>
          <t>【令和8年10月19日　ご了承】受託者案により作成を進めることとされた（従前の状態：確認待ち）。
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受託者案＝計画素案 第6章第2節に利用回（日）数を、第3節2に介護予防・日常生活支援総合事業及び一般介護予防事業の量の見込みを掲げた現行のまま確定する。必要利用定員総数の第2節への再掲は行わない（第4節4による）。</t>
        </is>
      </c>
    </row>
    <row r="136" ht="88" customHeight="1">
      <c r="A136" s="4" t="n">
        <v>132</v>
      </c>
      <c r="B136" s="4" t="inlineStr">
        <is>
          <t>(5)</t>
        </is>
      </c>
      <c r="C136" s="4" t="inlineStr">
        <is>
          <t>R8.9</t>
        </is>
      </c>
      <c r="D136" s="5" t="inlineStr">
        <is>
          <t>在宅サービスの実績見込み値の編集画面の現在値のご提供</t>
        </is>
      </c>
      <c r="E136"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136" s="5" t="inlineStr">
        <is>
          <t>将来推計 第2段階
サービス見込量の算定</t>
        </is>
      </c>
      <c r="G136" s="5" t="inlineStr">
        <is>
          <t>発注者</t>
        </is>
      </c>
      <c r="H136" s="6" t="inlineStr">
        <is>
          <t>受託者案で確定</t>
        </is>
      </c>
      <c r="I136" s="10" t="inlineStr">
        <is>
          <t>R8.9</t>
        </is>
      </c>
      <c r="J136" s="11" t="inlineStr">
        <is>
          <t>【令和8年10月19日　ご了承】受託者案により作成を進めることとされた（従前の状態：確認待ち）。
令和8年度実績見込み値の入力案 03・04シート。
受託者案＝在宅の実績見込み値は当方の入力案のまま置く。</t>
        </is>
      </c>
    </row>
    <row r="137" ht="88" customHeight="1">
      <c r="A137" s="4" t="n">
        <v>133</v>
      </c>
      <c r="B137" s="4" t="inlineStr">
        <is>
          <t>(5)</t>
        </is>
      </c>
      <c r="C137" s="4" t="inlineStr">
        <is>
          <t>R8.9</t>
        </is>
      </c>
      <c r="D137" s="5" t="inlineStr">
        <is>
          <t>介護老人保健施設の令和8年度の減少をどう見るか</t>
        </is>
      </c>
      <c r="E137"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137" s="5" t="inlineStr">
        <is>
          <t>将来推計 第2段階
計画素案 第6章第4節2</t>
        </is>
      </c>
      <c r="G137" s="5" t="inlineStr">
        <is>
          <t>発注者・3町</t>
        </is>
      </c>
      <c r="H137" s="6" t="inlineStr">
        <is>
          <t>受託者案で確定</t>
        </is>
      </c>
      <c r="I137" s="10" t="inlineStr">
        <is>
          <t>R8.10</t>
        </is>
      </c>
      <c r="J137" s="11" t="inlineStr">
        <is>
          <t>【令和8年10月19日　ご了承】受託者案により作成を進めることとされた（従前の状態：確認待ち）。
令和8年度実績見込み値の入力案 05シート。
受託者案＝令和8年度の月報（4〜7月）は基準年度に用いず、令和7年度を基準として概算する。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136</v>
      </c>
      <c r="B140" s="4" t="inlineStr">
        <is>
          <t>(5)</t>
        </is>
      </c>
      <c r="C140" s="4" t="inlineStr">
        <is>
          <t>R8.9</t>
        </is>
      </c>
      <c r="D140" s="5" t="inlineStr">
        <is>
          <t>画面の令和7年度と年報の月平均の食い違い</t>
        </is>
      </c>
      <c r="E140"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0" s="5" t="inlineStr">
        <is>
          <t>将来推計 第2段階
計画素案 第6章第2節</t>
        </is>
      </c>
      <c r="G140" s="5" t="inlineStr">
        <is>
          <t>発注者</t>
        </is>
      </c>
      <c r="H140" s="6" t="inlineStr">
        <is>
          <t>受託者案で確定</t>
        </is>
      </c>
      <c r="I140" s="10" t="inlineStr">
        <is>
          <t>R8.10</t>
        </is>
      </c>
      <c r="J140" s="11" t="inlineStr">
        <is>
          <t>【令和8年10月19日　ご了承】受託者案により作成を進めることとされた（従前の状態：確認待ち）。
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受託者案＝年報の値を用いる（総括表・給付費と内的整合が取れているため）。画面の値は用いず、2％以上食い違う3区分を注記する。</t>
        </is>
      </c>
    </row>
    <row r="141" ht="88" customHeight="1">
      <c r="A141" s="4" t="n">
        <v>137</v>
      </c>
      <c r="B141" s="4" t="inlineStr">
        <is>
          <t>(5)</t>
        </is>
      </c>
      <c r="C141" s="4" t="inlineStr">
        <is>
          <t>R8.9</t>
        </is>
      </c>
      <c r="D141" s="5" t="inlineStr">
        <is>
          <t>1人1月あたり給付費の実績値をどの年度にするか</t>
        </is>
      </c>
      <c r="E141"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1" s="5" t="inlineStr">
        <is>
          <t>将来推計 第2段階
サービス見込量の算定</t>
        </is>
      </c>
      <c r="G141" s="5" t="inlineStr">
        <is>
          <t>発注者</t>
        </is>
      </c>
      <c r="H141" s="8" t="inlineStr">
        <is>
          <t>受託者案で確定（告示後に再算定）</t>
        </is>
      </c>
      <c r="I141" s="10" t="inlineStr">
        <is>
          <t>R8.9</t>
        </is>
      </c>
      <c r="J141" s="11" t="inlineStr">
        <is>
          <t>【令和8年10月19日　ご了承】受託者案により作成を進めることとされた（従前の状態：確認待ち）。ただし「1人1月あたり給付費の年度（報酬改定の告示）」が示された後に再算定する。
令和8年度実績見込み値の入力案 00シート3。趨勢に現れない要因の分析（確認事項No.109〜No.111）と一体。
受託者案＝1人1月あたり給付費は令和7年度で固定して概算する（単価の趨勢を織り込まないことによる効きは計画素案 第6章第6節2に掲げる）。</t>
        </is>
      </c>
    </row>
    <row r="142" ht="88" customHeight="1">
      <c r="A142" s="4" t="n">
        <v>138</v>
      </c>
      <c r="B142" s="4" t="inlineStr">
        <is>
          <t>(5)</t>
        </is>
      </c>
      <c r="C142" s="4" t="inlineStr">
        <is>
          <t>R8.9</t>
        </is>
      </c>
      <c r="D142" s="5" t="inlineStr">
        <is>
          <t>認定者数の実績見込み値を編集する項目が画面にあるか</t>
        </is>
      </c>
      <c r="E142"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2" s="5" t="inlineStr">
        <is>
          <t>将来推計 第2段階</t>
        </is>
      </c>
      <c r="G142" s="5" t="inlineStr">
        <is>
          <t>発注者</t>
        </is>
      </c>
      <c r="H142" s="6" t="inlineStr">
        <is>
          <t>受託者案で確定</t>
        </is>
      </c>
      <c r="I142" s="10" t="inlineStr">
        <is>
          <t>R8.9</t>
        </is>
      </c>
      <c r="J142" s="11" t="inlineStr">
        <is>
          <t>【令和8年10月19日　ご了承】受託者案により作成を進めることとされた（従前の状態：確認待ち）。
令和8年度実績見込み値の入力案 00シート1・07シート。②③④はそのまま入力できるため、本件は①のみに関わる。
受託者案＝認定者数の実績見込み値を編集する項目がないものとして、認定率の伸びに「令和6年度→令和7年度の伸び」を選ぶ。</t>
        </is>
      </c>
    </row>
    <row r="143" ht="88" customHeight="1">
      <c r="A143" s="4" t="n">
        <v>139</v>
      </c>
      <c r="B143" s="4" t="inlineStr">
        <is>
          <t>(3)</t>
        </is>
      </c>
      <c r="C143" s="4" t="inlineStr">
        <is>
          <t>R8.9</t>
        </is>
      </c>
      <c r="D143" s="5" t="inlineStr">
        <is>
          <t>健康とくらしの調査の個票の再提供の要否</t>
        </is>
      </c>
      <c r="E143"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3" s="5" t="inlineStr">
        <is>
          <t>調査クロス集計・分析の更新</t>
        </is>
      </c>
      <c r="G143" s="5" t="inlineStr">
        <is>
          <t>発注者</t>
        </is>
      </c>
      <c r="H143" s="6" t="inlineStr">
        <is>
          <t>受託者案で確定</t>
        </is>
      </c>
      <c r="I143" s="10" t="inlineStr">
        <is>
          <t>R8.9</t>
        </is>
      </c>
      <c r="J143" s="11" t="inlineStr">
        <is>
          <t>【令和8年10月19日　ご了承】受託者案により作成を進めることとされた（従前の状態：確認待ち）。
調査結果と年報実績の突合クロス集計 01シート。アンケート関係の成果品7件のうち6件は再出力できる。
受託者案＝健康とくらしの調査の個票の再提供を依頼しない（成果品は収録済みで内容が確定しており、現時点で不足がない）。</t>
        </is>
      </c>
    </row>
    <row r="144" ht="88" customHeight="1">
      <c r="A144" s="4" t="n">
        <v>140</v>
      </c>
      <c r="B144" s="4" t="inlineStr">
        <is>
          <t>(3)(6)</t>
        </is>
      </c>
      <c r="C144" s="4" t="inlineStr">
        <is>
          <t>R8.9</t>
        </is>
      </c>
      <c r="D144" s="5" t="inlineStr">
        <is>
          <t>在宅生活改善調査の結果を在宅の認定者全体に当てはめないこと</t>
        </is>
      </c>
      <c r="E144"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4" s="5" t="inlineStr">
        <is>
          <t>計画素案 第2章第4節・第4章第3節</t>
        </is>
      </c>
      <c r="G144" s="5" t="inlineStr">
        <is>
          <t>発注者</t>
        </is>
      </c>
      <c r="H144" s="6" t="inlineStr">
        <is>
          <t>受託者案で確定</t>
        </is>
      </c>
      <c r="I144" s="10" t="inlineStr">
        <is>
          <t>R8.9</t>
        </is>
      </c>
      <c r="J144" s="11" t="inlineStr">
        <is>
          <t>【令和8年10月19日　ご了承】受託者案により作成を進めることとされた（従前の状態：確認待ち）。
調査結果と年報実績の突合クロス集計 02シート。年報の要介護度別を収めたことにより初めて確かめられた。
受託者案＝在宅生活改善調査の結果は「在宅で困難を抱える方の状況」として引き、在宅の認定者全体の割合としては引かない。</t>
        </is>
      </c>
    </row>
    <row r="145" ht="88" customHeight="1">
      <c r="A145" s="4" t="n">
        <v>141</v>
      </c>
      <c r="B145" s="4" t="inlineStr">
        <is>
          <t>(3)(5)</t>
        </is>
      </c>
      <c r="C145" s="4" t="inlineStr">
        <is>
          <t>R8.9</t>
        </is>
      </c>
      <c r="D145" s="5" t="inlineStr">
        <is>
          <t>区域を越えた施設利用の扱い</t>
        </is>
      </c>
      <c r="E145"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5" s="5" t="inlineStr">
        <is>
          <t>計画素案 第6章第4節4
サービス見込量の算定</t>
        </is>
      </c>
      <c r="G145" s="5" t="inlineStr">
        <is>
          <t>発注者</t>
        </is>
      </c>
      <c r="H145" s="6" t="inlineStr">
        <is>
          <t>受託者案で確定</t>
        </is>
      </c>
      <c r="I145" s="10" t="inlineStr">
        <is>
          <t>R8.9</t>
        </is>
      </c>
      <c r="J145" s="11" t="inlineStr">
        <is>
          <t>【令和8年10月19日　ご了承】受託者案により作成を進めることとされた（従前の状態：確認待ち）。
調査結果と年報実績の突合クロス集計 03・04・05シート。
受託者案＝必要利用定員総数は区域内の施設の定員とは別に整理したまま概算する。</t>
        </is>
      </c>
    </row>
    <row r="146" ht="88" customHeight="1">
      <c r="A146" s="4" t="n">
        <v>142</v>
      </c>
      <c r="B146" s="4" t="inlineStr">
        <is>
          <t>(5)</t>
        </is>
      </c>
      <c r="C146" s="4" t="inlineStr">
        <is>
          <t>R8.9</t>
        </is>
      </c>
      <c r="D146" s="5" t="inlineStr">
        <is>
          <t>第1次概算を既定値のまま出してよいか</t>
        </is>
      </c>
      <c r="E146"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6" s="5" t="inlineStr">
        <is>
          <t>サービス見込量の算定</t>
        </is>
      </c>
      <c r="G146" s="5" t="inlineStr">
        <is>
          <t>発注者</t>
        </is>
      </c>
      <c r="H146" s="6" t="inlineStr">
        <is>
          <t>受託者案で確定</t>
        </is>
      </c>
      <c r="I146" s="10" t="inlineStr">
        <is>
          <t>R8.9</t>
        </is>
      </c>
      <c r="J146" s="11" t="inlineStr">
        <is>
          <t>【令和8年10月19日　ご了承】受託者案により作成を進めることとされた（従前の状態：確認待ち）。
計画素案の課題整理 03シート。既定値は17件すべてに置いており、自己点検で網羅を確かめている。
受託者案＝本表そのものに係る確認事項である。決着しない場合は、本シートの既定値によったことを第1次概算の資料に明示して提出する。</t>
        </is>
      </c>
    </row>
    <row r="147" ht="88" customHeight="1">
      <c r="A147" s="4" t="n">
        <v>143</v>
      </c>
      <c r="B147" s="4" t="inlineStr">
        <is>
          <t>(6)</t>
        </is>
      </c>
      <c r="C147" s="4" t="inlineStr">
        <is>
          <t>R8.9</t>
        </is>
      </c>
      <c r="D147" s="5" t="inlineStr">
        <is>
          <t>計画素案の未確定箇所の表示の統一</t>
        </is>
      </c>
      <c r="E147"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7" s="5" t="inlineStr">
        <is>
          <t>計画素案（策定委員会用）</t>
        </is>
      </c>
      <c r="G147" s="5" t="inlineStr">
        <is>
          <t>発注者</t>
        </is>
      </c>
      <c r="H147" s="6" t="inlineStr">
        <is>
          <t>受託者案で確定</t>
        </is>
      </c>
      <c r="I147" s="10" t="inlineStr">
        <is>
          <t>R8.10</t>
        </is>
      </c>
      <c r="J147" s="11" t="inlineStr">
        <is>
          <t>【令和8年10月19日　ご了承】受託者案により作成を進めることとされた（従前の状態：確認待ち）。
計画素案の課題整理 01シート。未確定箇所とは別に、書くべき内容がまだ入っていない節が3節ある（第2章第4節・第6章第5節・第6章第7節）。
受託者案＝未確定箇所の表示は［要協議］［要確認］［要内訳］の3種のままとする。</t>
        </is>
      </c>
    </row>
    <row r="148" ht="88" customHeight="1">
      <c r="A148" s="4" t="n">
        <v>144</v>
      </c>
      <c r="B148" s="4" t="inlineStr">
        <is>
          <t>(12)</t>
        </is>
      </c>
      <c r="C148" s="4" t="inlineStr">
        <is>
          <t>R8.9</t>
        </is>
      </c>
      <c r="D148" s="5" t="inlineStr">
        <is>
          <t>統合した成果品の元の資料を残すか</t>
        </is>
      </c>
      <c r="E148"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8" s="5" t="inlineStr">
        <is>
          <t>成果品一覧（納品時の構成）</t>
        </is>
      </c>
      <c r="G148" s="5" t="inlineStr">
        <is>
          <t>発注者</t>
        </is>
      </c>
      <c r="H148" s="6" t="inlineStr">
        <is>
          <t>受託者案で確定</t>
        </is>
      </c>
      <c r="I148" s="10" t="inlineStr">
        <is>
          <t>R8.10</t>
        </is>
      </c>
      <c r="J148" s="11" t="inlineStr">
        <is>
          <t>【令和8年10月19日　ご了承】受託者案により作成を進めることとされた（従前の状態：確認待ち）。
管理の統合と成果品の棚卸し 03・05シート。
受託者案＝統合した成果品の元の資料を残す。</t>
        </is>
      </c>
    </row>
    <row r="149" ht="88" customHeight="1">
      <c r="A149" s="4" t="n">
        <v>145</v>
      </c>
      <c r="B149" s="4" t="inlineStr">
        <is>
          <t>(5)</t>
        </is>
      </c>
      <c r="C149" s="4" t="inlineStr">
        <is>
          <t>R8.9</t>
        </is>
      </c>
      <c r="D149" s="5" t="inlineStr">
        <is>
          <t>計画作成支援ツールと年報のどちらを町別の値に用いるか</t>
        </is>
      </c>
      <c r="E149"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9" s="5" t="inlineStr">
        <is>
          <t>町別データシート
サービス見込量の算定</t>
        </is>
      </c>
      <c r="G149" s="5" t="inlineStr">
        <is>
          <t>発注者</t>
        </is>
      </c>
      <c r="H149" s="6" t="inlineStr">
        <is>
          <t>受託者案で確定</t>
        </is>
      </c>
      <c r="I149" s="10" t="inlineStr">
        <is>
          <t>R8.9</t>
        </is>
      </c>
      <c r="J149" s="11" t="inlineStr">
        <is>
          <t>【令和8年10月19日　ご了承】受託者案により作成を進めることとされた（従前の状態：確認待ち）。
管理の統合と成果品の棚卸し 04シート。
受託者案＝サービス見込量・給付費・保険料は年報（保険者単位）の値で概算し、町別データシートは計画作成支援ツールの値のまま示す。3町を足しても年報の値にならないことを注記する。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6" t="inlineStr">
        <is>
          <t>受託者案で確定</t>
        </is>
      </c>
      <c r="I150" s="10" t="inlineStr">
        <is>
          <t>R8.9</t>
        </is>
      </c>
      <c r="J150" s="11" t="inlineStr">
        <is>
          <t>【令和8年10月19日　ご了承】受託者案により作成を進めることとされた（従前の状態：確認待ち）。
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受託者案＝要介護度別の伸びによる算定（第1次概算）で概算し、一律の伸びによる従前の値を併記する（差は計画素案 第6章第6節2に掲げる）。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6" t="inlineStr">
        <is>
          <t>受託者案で確定</t>
        </is>
      </c>
      <c r="I151" s="10" t="inlineStr">
        <is>
          <t>R8.9</t>
        </is>
      </c>
      <c r="J151" s="11" t="inlineStr">
        <is>
          <t>【令和8年10月19日　ご了承】受託者案により作成を進めることとされた（従前の状態：確認待ち）。
入力前段支援アプリの点検 04シート。
受託者案＝令和8年度を含まない④（令和6年度→令和7年度）を採ったものとして概算する。当方の算定（令和7年度基準）と置き方がそろう。</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6" t="inlineStr">
        <is>
          <t>受託者案で確定</t>
        </is>
      </c>
      <c r="I152" s="10" t="inlineStr">
        <is>
          <t>R8.9</t>
        </is>
      </c>
      <c r="J152" s="11" t="inlineStr">
        <is>
          <t>【令和8年10月19日　ご了承】受託者案により作成を進めることとされた（従前の状態：確認待ち）。
入力前段支援アプリの点検 07シート。
受託者案＝受領済みの画面の写しの範囲で概算し、確認できていない項目はその旨を明記する。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6" t="inlineStr">
        <is>
          <t>受託者案で確定</t>
        </is>
      </c>
      <c r="I153" s="10" t="inlineStr">
        <is>
          <t>R8.9</t>
        </is>
      </c>
      <c r="J153" s="11" t="inlineStr">
        <is>
          <t>【令和8年10月19日　ご了承】受託者案により作成を進めることとされた（従前の状態：確認待ち）。
認知症施策推進計画の位置づけと見込量への反映 01・09シート【令和8年10月15日】参照条文（001685804）には認知症基本法が収録されていないため、本件は進んでいない。
受託者案＝認知症基本法の条文を受領できないものとして、計画素案には条番号のみを書き項番号は［要確認］のまま残す。</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6" t="inlineStr">
        <is>
          <t>受託者案で確定</t>
        </is>
      </c>
      <c r="I154" s="10" t="inlineStr">
        <is>
          <t>R8.10</t>
        </is>
      </c>
      <c r="J154" s="11" t="inlineStr">
        <is>
          <t>【令和8年10月19日　ご了承】受託者案により作成を進めることとされた（従前の状態：一部確認済み）。
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受託者案＝6事業別の事業費を受領できないものとして、認知症総合支援事業の量の見込みは立てず、3町の取組の回数のみを掲げる。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6" t="inlineStr">
        <is>
          <t>受託者案で確定</t>
        </is>
      </c>
      <c r="I155" s="10" t="inlineStr">
        <is>
          <t>R8.9</t>
        </is>
      </c>
      <c r="J155" s="11" t="inlineStr">
        <is>
          <t>【令和8年10月19日　ご了承】受託者案により作成を進めることとされた（従前の状態：確認待ち）。
認知症施策推進計画の位置づけと見込量への反映 04・06シート。
受託者案＝認知症対応型共同生活介護及び介護老人福祉施設を対計画比の補正の対象から外したものとして概算する。定員の縮小を趨勢として二重に織り込まないため（安全側）。</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6" t="inlineStr">
        <is>
          <t>受託者案で確定</t>
        </is>
      </c>
      <c r="I156" s="10" t="inlineStr">
        <is>
          <t>R8.10</t>
        </is>
      </c>
      <c r="J156" s="11" t="inlineStr">
        <is>
          <t>【令和8年10月19日　ご了承】受託者案により作成を進めることとされた（従前の状態：確認待ち）。
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受託者案＝町別の将来推計は計画本文に掲げない（令和8年9月10日の了承のとおり）。</t>
        </is>
      </c>
    </row>
    <row r="157" ht="88" customHeight="1">
      <c r="A157" s="4" t="n">
        <v>153</v>
      </c>
      <c r="B157" s="4" t="inlineStr">
        <is>
          <t>(2)</t>
        </is>
      </c>
      <c r="C157" s="4" t="inlineStr">
        <is>
          <t>R8.10</t>
        </is>
      </c>
      <c r="D157" s="5" t="inlineStr">
        <is>
          <t>人口の将来推計の方法を案Cからコーホート変化率法に改めるか</t>
        </is>
      </c>
      <c r="E157"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7" s="5" t="inlineStr">
        <is>
          <t>サービス見込量 第2次概算
計画素案 第2章第1節・第6章第1節</t>
        </is>
      </c>
      <c r="G157" s="5" t="inlineStr">
        <is>
          <t>発注者</t>
        </is>
      </c>
      <c r="H157" s="6" t="inlineStr">
        <is>
          <t>受託者案で確定</t>
        </is>
      </c>
      <c r="I157" s="10" t="inlineStr">
        <is>
          <t>R8.10</t>
        </is>
      </c>
      <c r="J157" s="11" t="inlineStr">
        <is>
          <t>【令和8年10月19日　ご了承】受託者案により作成を進めることとされた（従前の状態：確認待ち）。
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8" ht="88" customHeight="1">
      <c r="A158" s="4" t="n">
        <v>154</v>
      </c>
      <c r="B158" s="4" t="inlineStr">
        <is>
          <t>(6)</t>
        </is>
      </c>
      <c r="C158" s="4" t="inlineStr">
        <is>
          <t>R8.10</t>
        </is>
      </c>
      <c r="D158" s="5" t="inlineStr">
        <is>
          <t>計画素案 第2章第1節に町別の図を加えるか</t>
        </is>
      </c>
      <c r="E158"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8" s="5" t="inlineStr">
        <is>
          <t>計画素案 第2章第1節
図表集</t>
        </is>
      </c>
      <c r="G158" s="5" t="inlineStr">
        <is>
          <t>発注者</t>
        </is>
      </c>
      <c r="H158" s="6" t="inlineStr">
        <is>
          <t>受託者案で確定</t>
        </is>
      </c>
      <c r="I158" s="10" t="inlineStr">
        <is>
          <t>R8.10</t>
        </is>
      </c>
      <c r="J158" s="11" t="inlineStr">
        <is>
          <t>【令和8年10月19日　ご了承】受託者案により作成を進めることとされた（従前の状態：確認待ち）。
素案への加筆版の点検 03シート。
受託者案＝計画素案 第2章第1節に町別の図を加えない。加筆分は協議用の資料にとどめる。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03・09シート。【令和8年9月18日　了承済】全国自治体共通版の入力シート及び手順書はそのまま用いず、当方の試算によることとなった。記載の借用も行わない。これにより、同シートが担当者名及び連絡先を求める欄についての手当ては要しないこととなった。なお所得段階別13段階の推計（確認No.156）及び令和12・27・32年度の算定（確認No.157）は、見える化システム自体が求めるものであるため残り、いずれも当方で算定して解消した</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6" t="inlineStr">
        <is>
          <t>受託者案で確定</t>
        </is>
      </c>
      <c r="I160" s="10" t="inlineStr">
        <is>
          <t>R8.10</t>
        </is>
      </c>
      <c r="J160" s="11" t="inlineStr">
        <is>
          <t>【令和8年10月19日　ご了承】受託者案により作成を進めることとされた（従前の状態：対応中）。
見える化入力マニュアルの点検と整合確認 07シート。
受託者案＝当方の算定（16段階×8年度）による。所得段階の設定は弾力化を選ぶ。</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6" t="inlineStr">
        <is>
          <t>受託者案で確定</t>
        </is>
      </c>
      <c r="I161" s="10" t="inlineStr">
        <is>
          <t>R8.10</t>
        </is>
      </c>
      <c r="J161" s="11" t="inlineStr">
        <is>
          <t>【令和8年10月19日　ご了承】受託者案により作成を進めることとされた（従前の状態：対応中）。
見える化入力マニュアルの点検と整合確認 05シート。
受託者案＝算定の側だけを令和12・27・32年度まで広げ、計画本文に掲げる中長期は令和17年度・令和22年度のままとする。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6" t="inlineStr">
        <is>
          <t>受託者案で確定</t>
        </is>
      </c>
      <c r="I162" s="10" t="inlineStr">
        <is>
          <t>R8.10</t>
        </is>
      </c>
      <c r="J162" s="11" t="inlineStr">
        <is>
          <t>【令和8年10月19日　ご了承】受託者案により作成を進めることとされた（従前の状態：確認待ち）。
既定値は①②のとおり設問別の有効回答を分母とし、③は町別の値を掲げない。令和8年9月25日の点検による。
受託者案＝設問ごとの有効回答を分母とし、町別の値は掲げない（令和8年9月25日に是正済み）。</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6" t="inlineStr">
        <is>
          <t>受託者案で確定</t>
        </is>
      </c>
      <c r="I163" s="10" t="inlineStr">
        <is>
          <t>R8.10</t>
        </is>
      </c>
      <c r="J163" s="11" t="inlineStr">
        <is>
          <t>【令和8年10月19日　ご了承】受託者案により作成を進めることとされた（従前の状態：確認待ち）。
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6" t="inlineStr">
        <is>
          <t>受託者案で確定</t>
        </is>
      </c>
      <c r="I164" s="10" t="inlineStr">
        <is>
          <t>R8.10</t>
        </is>
      </c>
      <c r="J164" s="11" t="inlineStr">
        <is>
          <t>【令和8年10月19日　ご了承】受託者案により作成を進めることとされた（従前の状態：確認待ち）。
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6" t="inlineStr">
        <is>
          <t>受託者案で確定</t>
        </is>
      </c>
      <c r="I165" s="10" t="inlineStr">
        <is>
          <t>R8.10</t>
        </is>
      </c>
      <c r="J165" s="11" t="inlineStr">
        <is>
          <t>【令和8年10月19日　ご了承】受託者案により作成を進めることとされた（従前の状態：確認待ち）。
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6" t="inlineStr">
        <is>
          <t>受託者案で確定</t>
        </is>
      </c>
      <c r="I166" s="10" t="inlineStr">
        <is>
          <t>R8.10</t>
        </is>
      </c>
      <c r="J166" s="11" t="inlineStr">
        <is>
          <t>【令和8年10月19日　ご了承】受託者案により作成を進めることとされた（従前の状態：確認待ち）。
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6" t="inlineStr">
        <is>
          <t>受託者案で確定</t>
        </is>
      </c>
      <c r="I167" s="10" t="inlineStr">
        <is>
          <t>R8.10</t>
        </is>
      </c>
      <c r="J167" s="11" t="inlineStr">
        <is>
          <t>【令和8年10月19日　ご了承】受託者案により作成を進めることとされた（従前の状態：確認待ち）。
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6" t="inlineStr">
        <is>
          <t>受託者案で確定</t>
        </is>
      </c>
      <c r="I168" s="10" t="inlineStr">
        <is>
          <t>R8.10</t>
        </is>
      </c>
      <c r="J168" s="11" t="inlineStr">
        <is>
          <t>【令和8年10月19日　ご了承】受託者案により作成を進めることとされた（従前の状態：確認待ち）。
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6" t="inlineStr">
        <is>
          <t>受託者案で確定</t>
        </is>
      </c>
      <c r="I169" s="10" t="inlineStr">
        <is>
          <t>R8.10</t>
        </is>
      </c>
      <c r="J169" s="11" t="inlineStr">
        <is>
          <t>【令和8年10月19日　ご了承】受託者案により作成を進めることとされた（従前の状態：確認待ち）。
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6" t="inlineStr">
        <is>
          <t>受託者案で確定</t>
        </is>
      </c>
      <c r="I170" s="10" t="inlineStr">
        <is>
          <t>R8.10</t>
        </is>
      </c>
      <c r="J170" s="11" t="inlineStr">
        <is>
          <t>【令和8年10月19日　ご了承】受託者案により作成を進めることとされた（従前の状態：確認待ち）。
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6" t="inlineStr">
        <is>
          <t>受託者案で確定</t>
        </is>
      </c>
      <c r="I171" s="10" t="inlineStr">
        <is>
          <t>R8.10</t>
        </is>
      </c>
      <c r="J171" s="11" t="inlineStr">
        <is>
          <t>【令和8年10月19日　ご了承】受託者案により作成を進めることとされた（従前の状態：確認待ち）。
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6" t="inlineStr">
        <is>
          <t>受託者案で確定</t>
        </is>
      </c>
      <c r="I173" s="10" t="inlineStr">
        <is>
          <t>R8.10</t>
        </is>
      </c>
      <c r="J173" s="11" t="inlineStr">
        <is>
          <t>【令和8年10月19日　ご了承】受託者案により作成を進めることとされた（従前の状態：確認待ち）。
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6" t="inlineStr">
        <is>
          <t>受託者案で確定</t>
        </is>
      </c>
      <c r="I174" s="10" t="inlineStr">
        <is>
          <t>R8.10</t>
        </is>
      </c>
      <c r="J174" s="11" t="inlineStr">
        <is>
          <t>【令和8年10月19日　ご了承】受託者案により作成を進めることとされた（従前の状態：一部解消）。
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受託者案＝計画素案から協議用の成果品へ移す8件は移し、「協議」判定の15件はそのまま素案に残す（令和8年9月29日 ご指示のとおり）。</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6" t="inlineStr">
        <is>
          <t>受託者案で確定</t>
        </is>
      </c>
      <c r="I175" s="10" t="inlineStr">
        <is>
          <t>R8.11</t>
        </is>
      </c>
      <c r="J175" s="11" t="inlineStr">
        <is>
          <t>【令和8年10月19日　ご了承】受託者案により作成を進めることとされた（従前の状態：確認待ち）。
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受託者案＝第9期計画にない体裁は現在のままとし、計画として確定する前に改めてお諮りする（令和8年9月29日 ご指示により保留）。</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6" t="inlineStr">
        <is>
          <t>受託者案で確定</t>
        </is>
      </c>
      <c r="I176" s="10" t="inlineStr">
        <is>
          <t>R8.10</t>
        </is>
      </c>
      <c r="J176" s="11" t="inlineStr">
        <is>
          <t>【令和8年10月19日　ご了承】受託者案により作成を進めることとされた（従前の状態：未回答）。
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6" t="inlineStr">
        <is>
          <t>受託者案で確定</t>
        </is>
      </c>
      <c r="I177" s="10" t="inlineStr">
        <is>
          <t>R8.11</t>
        </is>
      </c>
      <c r="J177" s="11" t="inlineStr">
        <is>
          <t>【令和8年10月19日　ご了承】受託者案により作成を進めることとされた（従前の状態：未回答）。
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6" t="inlineStr">
        <is>
          <t>受託者案で確定</t>
        </is>
      </c>
      <c r="I178" s="10" t="inlineStr">
        <is>
          <t>R8.10</t>
        </is>
      </c>
      <c r="J178" s="11" t="inlineStr">
        <is>
          <t>【令和8年10月19日　ご了承】受託者案により作成を進めることとされた（従前の状態：未回答）。
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6" t="inlineStr">
        <is>
          <t>受託者案で確定</t>
        </is>
      </c>
      <c r="I179" s="10" t="inlineStr">
        <is>
          <t>R8.11</t>
        </is>
      </c>
      <c r="J179" s="11" t="inlineStr">
        <is>
          <t>【令和8年10月19日　ご了承】受託者案により作成を進めることとされた（従前の状態：未回答）。
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8" t="inlineStr">
        <is>
          <t>受託者案で確定（告示後に再算定）</t>
        </is>
      </c>
      <c r="I180" s="10" t="inlineStr">
        <is>
          <t>R8.12</t>
        </is>
      </c>
      <c r="J180" s="11" t="inlineStr">
        <is>
          <t>【令和8年10月19日　ご了承】受託者案により作成を進めることとされた（従前の状態：未回答）。ただし「介護サービス事業者経営情報データベースの分析結果の公表」が示された後に再算定する。
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6" t="inlineStr">
        <is>
          <t>受託者案で確定</t>
        </is>
      </c>
      <c r="I181" s="10" t="inlineStr">
        <is>
          <t>R8.12</t>
        </is>
      </c>
      <c r="J181" s="11" t="inlineStr">
        <is>
          <t>【令和8年10月19日　ご了承】受託者案により作成を進めることとされた（従前の状態：未回答）。
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6" t="inlineStr">
        <is>
          <t>受託者案で確定</t>
        </is>
      </c>
      <c r="I182" s="10" t="inlineStr">
        <is>
          <t>R8.11</t>
        </is>
      </c>
      <c r="J182" s="11" t="inlineStr">
        <is>
          <t>【令和8年10月19日　ご了承】受託者案により作成を進めることとされた（従前の状態：未回答）。
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令和8年10月15日】参照条文により、介護保険法第117条第7項が「老人福祉法第20条の8第1項に規定する市町村老人福祉計画と一体のものとして作成されなければならない」ことを定めていることを確かめた。条及び項は第20条の8第1項である。老人福祉法そのものの条文は参照条文に収録されていない（第18条及び第20条の6のみ）ため、同条の内容及び市町村老人福祉計画の記載事項はなお確認できてい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6" t="inlineStr">
        <is>
          <t>受託者案で確定</t>
        </is>
      </c>
      <c r="I183" s="10" t="inlineStr">
        <is>
          <t>R8.11</t>
        </is>
      </c>
      <c r="J183" s="11" t="inlineStr">
        <is>
          <t>【令和8年10月19日　ご了承】受託者案により作成を進めることとされた（従前の状態：未回答）。
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6" t="inlineStr">
        <is>
          <t>受託者案で確定</t>
        </is>
      </c>
      <c r="I184" s="10" t="inlineStr">
        <is>
          <t>R8.11</t>
        </is>
      </c>
      <c r="J184" s="11" t="inlineStr">
        <is>
          <t>【令和8年10月19日　ご了承】受託者案により作成を進めることとされた（従前の状態：未回答）。
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解決</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令和8年10月15日　解決】参照条文（001685804）の文字起こしのご提供を受け、介護保険法第117条の項の全体（全14項）及び第3項の全10号、第118条並びに第115条の45の項及び号を確認した。改正されない項（第4項 作成の基準、第6項 加齢に伴う特性への留意、第7項 市町村老人福祉計画と一体、第10項 他計画との整合性の確保、第11項 他計画との調和、第12項 被保険者の意見の反映、第14項 都道府県知事への提出）の項番号が確定した。新旧対照条文と重なる6件の突合はいずれも一致した。文字起こしは未校正の光学文字認識によるものであるため、条、項及び号の番号を用い条文の文言は計画素案に引用しない。引き続き必要なのは、①附則第3条から第77条までの経過措置、②認知症基本法ほか関係法令の条文（確認No.149）、③医療法等の一部を改正する法律による改正の施行の状況（確認No.189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6" t="inlineStr">
        <is>
          <t>受託者案で確定</t>
        </is>
      </c>
      <c r="I186" s="10" t="inlineStr">
        <is>
          <t>R8.12</t>
        </is>
      </c>
      <c r="J186" s="11" t="inlineStr">
        <is>
          <t>【令和8年10月19日　ご了承】受託者案により作成を進めることとされた（従前の状態：一部提供（R8.10.14））。
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8" t="inlineStr">
        <is>
          <t>受託者案で確定（告示後に再算定）</t>
        </is>
      </c>
      <c r="I187" s="10" t="inlineStr">
        <is>
          <t>R8.12</t>
        </is>
      </c>
      <c r="J187" s="11" t="inlineStr">
        <is>
          <t>【令和8年10月19日　ご了承】受託者案により作成を進めることとされた（従前の状態：未回答）。ただし「夜間対応型訪問介護の移行に係る省令等」が示された後に再算定する。
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6" t="inlineStr">
        <is>
          <t>受託者案で確定</t>
        </is>
      </c>
      <c r="I188" s="10" t="inlineStr">
        <is>
          <t>R8.12</t>
        </is>
      </c>
      <c r="J188" s="11" t="inlineStr">
        <is>
          <t>【令和8年10月19日　ご了承】受託者案により作成を進めることとされた（従前の状態：未回答）。
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8" t="inlineStr">
        <is>
          <t>受託者案で確定（告示後に再算定）</t>
        </is>
      </c>
      <c r="I189" s="10" t="inlineStr">
        <is>
          <t>R8.12</t>
        </is>
      </c>
      <c r="J189" s="11" t="inlineStr">
        <is>
          <t>【令和8年10月19日　ご了承】受託者案により作成を進めることとされた（従前の状態：未回答）。ただし「小規模市町村の基準（厚生労働省令）」が示された後に再算定する。
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令和8年10月15日】参照条文には社会福祉法第106条の3（包括的な支援体制の整備）までが収録されており、第106条の6は改正法により新設される規定であるため現れない。本件は進んでいない</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6" t="inlineStr">
        <is>
          <t>受託者案で確定</t>
        </is>
      </c>
      <c r="I190" s="10" t="inlineStr">
        <is>
          <t>R8.12</t>
        </is>
      </c>
      <c r="J190" s="11" t="inlineStr">
        <is>
          <t>【令和8年10月19日　ご了承】受託者案により作成を進めることとされた（従前の状態：未回答）。
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令和8年10月15日】参照条文により、現行の第8条第11項が「有料老人ホームその他厚生労働省令で定める施設であって地域密着型特定施設でないもの」であることを2つ目の原典で確かめた。また同条第21項により、介護専用型特定施設はその入居者が要介護者、その配偶者その他厚生労働省令で定める者に限られるものであり、類型は入居の要件により定まることが分かった</t>
        </is>
      </c>
    </row>
    <row r="191" ht="88" customHeight="1">
      <c r="A191" s="4" t="n">
        <v>187</v>
      </c>
      <c r="B191" s="4" t="inlineStr">
        <is>
          <t>(5)(6)</t>
        </is>
      </c>
      <c r="C191" s="4" t="inlineStr">
        <is>
          <t>R8.11</t>
        </is>
      </c>
      <c r="D191" s="5" t="inlineStr">
        <is>
          <t>「特定地域支援事業支援額」の内容</t>
        </is>
      </c>
      <c r="E191" s="5" t="inlineStr">
        <is>
          <t>介護保険法第123条第4項は、都道府県は市町村に対し特定地域支援事業支援額の100分の25に相当する額を交付するものと定めています（令和8年10月15日に参照条文により確認）。「特定地域支援事業支援額」は当方の整理にない語であり、内容を確認できていません。①同額の内容及び算定の方法。②特定地域（中山間・人口減少地域）に関わるものであるか。③当広域連合の地域支援事業費の財源に関わるか。地域支援事業費（B）は保険料収納必要額の算定の基礎であるため、財源の区分が変わると第1号被保険者の負担分が変わります。</t>
        </is>
      </c>
      <c r="F191" s="5" t="inlineStr">
        <is>
          <t>計画素案 第1章第9節1・第6章第3節2・第6章第6節
サービス見込量の算定（地域支援事業費）</t>
        </is>
      </c>
      <c r="G191" s="5" t="inlineStr">
        <is>
          <t>発注者</t>
        </is>
      </c>
      <c r="H191" s="6" t="inlineStr">
        <is>
          <t>受託者案で確定</t>
        </is>
      </c>
      <c r="I191" s="10" t="inlineStr">
        <is>
          <t>R8.12</t>
        </is>
      </c>
      <c r="J191" s="11" t="inlineStr">
        <is>
          <t>【令和8年10月19日　ご了承】受託者案により作成を進めることとされた（従前の状態：未回答）。
決着しない場合の当方の扱い＝現行の地域支援事業費（令和6年度決算による据え置き）により算定し、特定地域支援事業支援額を織り込まない。内容が示された時点で財源の区分を確かめ、再算定する</t>
        </is>
      </c>
    </row>
    <row r="192" ht="88" customHeight="1">
      <c r="A192" s="4" t="n">
        <v>188</v>
      </c>
      <c r="B192" s="4" t="inlineStr">
        <is>
          <t>(5)(6)</t>
        </is>
      </c>
      <c r="C192" s="4" t="inlineStr">
        <is>
          <t>R8.11</t>
        </is>
      </c>
      <c r="D192" s="5" t="inlineStr">
        <is>
          <t>地域支援事業費の政令で定める額</t>
        </is>
      </c>
      <c r="E192" s="5" t="inlineStr">
        <is>
          <t>介護保険法第115条の45第4項は、地域支援事業は、当該市町村における介護予防に関する事業の実施状況、介護保険の運営の状況、75歳以上の被保険者の数その他の状況を勘案して政令で定める額の範囲内で行うものと定めています（令和8年10月15日に参照条文により確認）。当方の地域支援事業費（第10期3か年531,483,777円）は令和6年度決算の水準を据え置いたものであり、政令で定める額との関係を確かめていません。①介護保険法施行令の当該規定及び当広域連合に係る額。②令和6年度の決算額が同額の範囲内であること。③第10期の見込額が同額の範囲内に収まるか。当方は外部の情報提供サイトへ接続できないため政令の条文を確認できません。</t>
        </is>
      </c>
      <c r="F192" s="5" t="inlineStr">
        <is>
          <t>計画素案 第6章第3節2・第6章第6節
サービス見込量の算定（地域支援事業費）</t>
        </is>
      </c>
      <c r="G192" s="5" t="inlineStr">
        <is>
          <t>発注者</t>
        </is>
      </c>
      <c r="H192" s="8" t="inlineStr">
        <is>
          <t>受託者案で確定（告示後に再算定）</t>
        </is>
      </c>
      <c r="I192" s="10" t="inlineStr">
        <is>
          <t>R8.12</t>
        </is>
      </c>
      <c r="J192" s="11" t="inlineStr">
        <is>
          <t>【令和8年10月19日　ご了承】受託者案により作成を進めることとされた（従前の状態：未回答）。ただし「地域支援事業費の政令で定める額」が示された後に再算定する。
決着しない場合の当方の扱い＝令和6年度決算の水準を据え置いたまま算定し、政令で定める額との関係を確かめていない旨を計画素案の注に［要確認］として記載する</t>
        </is>
      </c>
    </row>
    <row r="193" ht="88" customHeight="1">
      <c r="A193" s="4" t="n">
        <v>189</v>
      </c>
      <c r="B193" s="4" t="inlineStr">
        <is>
          <t>(1)(6)</t>
        </is>
      </c>
      <c r="C193" s="4" t="inlineStr">
        <is>
          <t>R8.12</t>
        </is>
      </c>
      <c r="D193" s="5" t="inlineStr">
        <is>
          <t>医療法等の一部を改正する法律による介護保険法の改正の施行の状況</t>
        </is>
      </c>
      <c r="E193" s="5" t="inlineStr">
        <is>
          <t>参照条文に収録されている介護保険法は、医療法等の一部を改正する法律（令和7年法律第87号）による改正後のものであり、その施行は公布の日から起算して2年を超えない範囲内において政令で定める日とされています（令和8年10月15日に確認）。このため、参照条文により確認した各項が本計画の策定の時点で施行されているかを確かめられていません。①同法による介護保険法の改正の内容及び施行の日。②第117条第5項（医療法第30条の18の5第1項の規定による協議の結果の考慮）が本計画の策定の時点で施行されているか。③医療法第30条の18の5（医療と介護の協議の場）の内容。令和8年9月18日の社会保障審議会介護保険部会で示された「医療と介護の協議の場の再編成」と関わります。</t>
        </is>
      </c>
      <c r="F193" s="5" t="inlineStr">
        <is>
          <t>計画素案 第1章第8節・第1章第9節1・第1章第9節6</t>
        </is>
      </c>
      <c r="G193" s="5" t="inlineStr">
        <is>
          <t>発注者</t>
        </is>
      </c>
      <c r="H193" s="8" t="inlineStr">
        <is>
          <t>受託者案で確定（告示後に再算定）</t>
        </is>
      </c>
      <c r="I193" s="10" t="inlineStr">
        <is>
          <t>R8.12</t>
        </is>
      </c>
      <c r="J193" s="11" t="inlineStr">
        <is>
          <t>【令和8年10月19日　ご了承】受託者案により作成を進めることとされた（従前の状態：未回答）。ただし「医療法等改正法による改正の施行の日（政令）」が示された後に再算定する。
決着しない場合の当方の扱い＝医療との連携は第5章 基本目標1及び第6章第5節の記述により扱い、医療法の協議の結果の考慮については施行の時期を確認できていない旨を［要確認］として記載する</t>
        </is>
      </c>
    </row>
    <row r="194" ht="88" customHeight="1">
      <c r="A194" s="4" t="n">
        <v>190</v>
      </c>
      <c r="B194" s="4" t="inlineStr">
        <is>
          <t>(2)(4)</t>
        </is>
      </c>
      <c r="C194" s="4" t="inlineStr">
        <is>
          <t>R8.11</t>
        </is>
      </c>
      <c r="D194" s="5" t="inlineStr">
        <is>
          <t>見える化システム B5・B6 の【他地域と比較】の出力における比較地域</t>
        </is>
      </c>
      <c r="E194" s="5" t="inlineStr">
        <is>
          <t>収録している調整済み認定率には、【注目する地域のみ】の出力によるものと【他地域と比較】の出力によるものの2系列があります。令和8年10月19日に受領した【注目する地域のみ】の出力により、本広域連合の値は前者であることが確かめられました（平成25年3月末から令和7年3月末までの221件が一致）。一方、後者の系列は本広域連合の値と全ての時点で異なり、どの地域の行であるのかを受領資料から特定できません（重度と軽度の和が合計と一致するため、単一のまとまった系列ではあります）。考えられるのは2つです。①本広域連合の値を別の基準人口で標準化したもの（【他地域と比較】の出力では全国の人口構成で標準化される、という従前の当方の見立て。原典で確かめられていません）。②全国、北海道又は比較対象として選択した地域の値。いずれであるか、及び【他地域と比較】の出力を行う際に比較対象として設定した地域をお伺いしたい。</t>
        </is>
      </c>
      <c r="F194" s="5" t="inlineStr">
        <is>
          <t>計画素案 第3章第4節2・認定率の年齢調整分析</t>
        </is>
      </c>
      <c r="G194" s="5" t="inlineStr">
        <is>
          <t>発注者</t>
        </is>
      </c>
      <c r="H194" s="10" t="inlineStr">
        <is>
          <t>未回答</t>
        </is>
      </c>
      <c r="I194" s="10" t="inlineStr">
        <is>
          <t>R8.11</t>
        </is>
      </c>
      <c r="J194" s="11" t="inlineStr">
        <is>
          <t>決着しない場合の当方の扱い＝計画本文には【注目する地域のみ】の出力（本広域連合の値）のみを用い、当該の系列は地域を特定できないものとして本文に掲げない</t>
        </is>
      </c>
    </row>
    <row r="196" ht="32" customHeight="1">
      <c r="A196" s="3" t="inlineStr">
        <is>
          <t>区分</t>
        </is>
      </c>
      <c r="B196" s="3" t="inlineStr">
        <is>
          <t>件数</t>
        </is>
      </c>
      <c r="C196" s="3" t="inlineStr"/>
      <c r="D196" s="3" t="inlineStr"/>
      <c r="E196" s="3" t="inlineStr"/>
      <c r="F196" s="3" t="inlineStr"/>
      <c r="G196" s="3" t="inlineStr"/>
      <c r="H196" s="3" t="inlineStr"/>
      <c r="I196" s="3" t="inlineStr"/>
      <c r="J196" s="3" t="inlineStr"/>
    </row>
    <row r="197" ht="20" customHeight="1">
      <c r="A197" s="6" t="inlineStr">
        <is>
          <t>完了</t>
        </is>
      </c>
      <c r="B197" s="4">
        <f>COUNTIF(H5:H194,"完了")</f>
        <v/>
      </c>
      <c r="C197" s="5" t="inlineStr"/>
      <c r="D197" s="5" t="inlineStr"/>
      <c r="E197" s="5" t="inlineStr"/>
      <c r="F197" s="5" t="inlineStr"/>
      <c r="G197" s="5" t="inlineStr"/>
      <c r="H197" s="5" t="inlineStr"/>
      <c r="I197" s="5" t="inlineStr"/>
      <c r="J197" s="5" t="inlineStr"/>
    </row>
    <row r="198" ht="20" customHeight="1">
      <c r="A198" s="8" t="inlineStr">
        <is>
          <t>実施中</t>
        </is>
      </c>
      <c r="B198" s="4">
        <f>COUNTIF(H5:H194,"実施中")</f>
        <v/>
      </c>
      <c r="C198" s="5" t="inlineStr"/>
      <c r="D198" s="5" t="inlineStr"/>
      <c r="E198" s="5" t="inlineStr"/>
      <c r="F198" s="5" t="inlineStr"/>
      <c r="G198" s="5" t="inlineStr"/>
      <c r="H198" s="5" t="inlineStr"/>
      <c r="I198" s="5" t="inlineStr"/>
      <c r="J198" s="5" t="inlineStr"/>
    </row>
    <row r="199" ht="20" customHeight="1">
      <c r="A199" s="10" t="inlineStr">
        <is>
          <t>確認待ち</t>
        </is>
      </c>
      <c r="B199" s="4">
        <f>COUNTIF(H5:H194,"確認待ち")</f>
        <v/>
      </c>
      <c r="C199" s="5" t="inlineStr"/>
      <c r="D199" s="5" t="inlineStr"/>
      <c r="E199" s="5" t="inlineStr"/>
      <c r="F199" s="5" t="inlineStr"/>
      <c r="G199" s="5" t="inlineStr"/>
      <c r="H199" s="5" t="inlineStr"/>
      <c r="I199" s="5" t="inlineStr"/>
      <c r="J199" s="5" t="inlineStr"/>
    </row>
    <row r="200" ht="20" customHeight="1">
      <c r="A200" s="12" t="inlineStr">
        <is>
          <t>未着手</t>
        </is>
      </c>
      <c r="B200" s="4">
        <f>COUNTIF(H5:H194,"未着手")</f>
        <v/>
      </c>
      <c r="C200" s="5" t="inlineStr"/>
      <c r="D200" s="5" t="inlineStr"/>
      <c r="E200" s="5" t="inlineStr"/>
      <c r="F200" s="5" t="inlineStr"/>
      <c r="G200" s="5" t="inlineStr"/>
      <c r="H200" s="5" t="inlineStr"/>
      <c r="I200" s="5" t="inlineStr"/>
      <c r="J200" s="5" t="inlineStr"/>
    </row>
    <row r="201" ht="20" customHeight="1">
      <c r="A201" s="14" t="inlineStr">
        <is>
          <t>対象外</t>
        </is>
      </c>
      <c r="B201" s="4">
        <f>COUNTIF(H5:H194,"対象外")</f>
        <v/>
      </c>
      <c r="C201" s="5" t="inlineStr"/>
      <c r="D201" s="5" t="inlineStr"/>
      <c r="E201" s="5" t="inlineStr"/>
      <c r="F201" s="5" t="inlineStr"/>
      <c r="G201" s="5" t="inlineStr"/>
      <c r="H201" s="5" t="inlineStr"/>
      <c r="I201" s="5" t="inlineStr"/>
      <c r="J201" s="5" t="inlineStr"/>
    </row>
    <row r="203" ht="32" customHeight="1">
      <c r="A203" s="3" t="inlineStr">
        <is>
          <t>確認先</t>
        </is>
      </c>
      <c r="B203" s="3" t="inlineStr">
        <is>
          <t>件数</t>
        </is>
      </c>
      <c r="C203" s="3" t="inlineStr"/>
      <c r="D203" s="3" t="inlineStr"/>
      <c r="E203" s="3" t="inlineStr"/>
      <c r="F203" s="3" t="inlineStr"/>
      <c r="G203" s="3" t="inlineStr"/>
      <c r="H203" s="3" t="inlineStr"/>
      <c r="I203" s="3" t="inlineStr"/>
      <c r="J203" s="3" t="inlineStr"/>
    </row>
    <row r="204" ht="20" customHeight="1">
      <c r="A204" s="5" t="inlineStr">
        <is>
          <t>発注者</t>
        </is>
      </c>
      <c r="B204" s="4">
        <f>COUNTIF(G5:G194,"発注者")</f>
        <v/>
      </c>
      <c r="C204" s="5" t="inlineStr"/>
      <c r="D204" s="5" t="inlineStr"/>
      <c r="E204" s="5" t="inlineStr"/>
      <c r="F204" s="5" t="inlineStr"/>
      <c r="G204" s="5" t="inlineStr"/>
      <c r="H204" s="5" t="inlineStr"/>
      <c r="I204" s="5" t="inlineStr"/>
      <c r="J204" s="5" t="inlineStr"/>
    </row>
    <row r="205" ht="20" customHeight="1">
      <c r="A205" s="5" t="inlineStr">
        <is>
          <t>発注者・3町</t>
        </is>
      </c>
      <c r="B205" s="4">
        <f>COUNTIF(G5:G194,"発注者・3町")</f>
        <v/>
      </c>
      <c r="C205" s="5" t="inlineStr"/>
      <c r="D205" s="5" t="inlineStr"/>
      <c r="E205" s="5" t="inlineStr"/>
      <c r="F205" s="5" t="inlineStr"/>
      <c r="G205" s="5" t="inlineStr"/>
      <c r="H205" s="5" t="inlineStr"/>
      <c r="I205" s="5" t="inlineStr"/>
      <c r="J205" s="5" t="inlineStr"/>
    </row>
    <row r="206" ht="20" customHeight="1">
      <c r="A206" s="5" t="inlineStr">
        <is>
          <t>発注者・北海道</t>
        </is>
      </c>
      <c r="B206" s="4">
        <f>COUNTIF(G5:G194,"発注者・北海道")</f>
        <v/>
      </c>
      <c r="C206" s="5" t="inlineStr"/>
      <c r="D206" s="5" t="inlineStr"/>
      <c r="E206" s="5" t="inlineStr"/>
      <c r="F206" s="5" t="inlineStr"/>
      <c r="G206" s="5" t="inlineStr"/>
      <c r="H206" s="5" t="inlineStr"/>
      <c r="I206" s="5" t="inlineStr"/>
      <c r="J206" s="5" t="inlineStr"/>
    </row>
    <row r="207" ht="20" customHeight="1">
      <c r="A207" s="5" t="inlineStr">
        <is>
          <t>発注者・3町・北海道</t>
        </is>
      </c>
      <c r="B207" s="4">
        <f>COUNTIF(G5:G194,"発注者・3町・北海道")</f>
        <v/>
      </c>
      <c r="C207" s="5" t="inlineStr"/>
      <c r="D207" s="5" t="inlineStr"/>
      <c r="E207" s="5" t="inlineStr"/>
      <c r="F207" s="5" t="inlineStr"/>
      <c r="G207" s="5" t="inlineStr"/>
      <c r="H207" s="5" t="inlineStr"/>
      <c r="I207" s="5" t="inlineStr"/>
      <c r="J207" s="5" t="inlineStr"/>
    </row>
    <row r="208" ht="20" customHeight="1">
      <c r="A208" s="5" t="inlineStr">
        <is>
          <t>北海道</t>
        </is>
      </c>
      <c r="B208" s="4">
        <f>COUNTIF(G5:G194,"北海道")</f>
        <v/>
      </c>
      <c r="C208" s="5" t="inlineStr"/>
      <c r="D208" s="5" t="inlineStr"/>
      <c r="E208" s="5" t="inlineStr"/>
      <c r="F208" s="5" t="inlineStr"/>
      <c r="G208" s="5" t="inlineStr"/>
      <c r="H208" s="5" t="inlineStr"/>
      <c r="I208" s="5" t="inlineStr"/>
      <c r="J208" s="5" t="inlineStr"/>
    </row>
    <row r="210" ht="52" customHeight="1">
      <c r="A21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
注5）本シートはNo.の昇順に並べている。工程（月）、確認先又は状態で絞り込む場合は、見出し行の絞り込みの機能を用いる。何をすれば決着するか（資料の徴求を要するもの・公表資料により確認できるもの・ご判断をお願いするもの）による区分は、別冊「確認事項の資料徴求と公表資料による確認」に掲げている。</t>
        </is>
      </c>
    </row>
  </sheetData>
  <autoFilter ref="A4:J194"/>
  <mergeCells count="3">
    <mergeCell ref="A1:J1"/>
    <mergeCell ref="A210:J210"/>
    <mergeCell ref="A2:J2"/>
  </mergeCells>
  <conditionalFormatting sqref="H5:H19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H5:H19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（1063段落156表36図）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（1063段落156表36図）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conditionalFormatting sqref="F5:F8">
    <cfRule type="cellIs" priority="15" operator="equal" dxfId="0">
      <formula>"完了"</formula>
    </cfRule>
    <cfRule type="cellIs" priority="16" operator="equal" dxfId="1">
      <formula>"実施中"</formula>
    </cfRule>
    <cfRule type="cellIs" priority="17" operator="equal" dxfId="2">
      <formula>"確認待ち"</formula>
    </cfRule>
    <cfRule type="cellIs" priority="18" operator="equal" dxfId="0">
      <formula>"了承済（保管せず廃棄）"</formula>
    </cfRule>
    <cfRule type="cellIs" priority="19" operator="equal" dxfId="3">
      <formula>"未着手"</formula>
    </cfRule>
    <cfRule type="cellIs" priority="20" operator="equal" dxfId="4">
      <formula>"対象外"</formula>
    </cfRule>
    <cfRule type="cellIs" priority="21" operator="equal" dxfId="0">
      <formula>"代替により解消"</formula>
    </cfRule>
    <cfRule type="cellIs" priority="22" operator="equal" dxfId="1">
      <formula>"一部解消"</formula>
    </cfRule>
    <cfRule type="cellIs" priority="23" operator="equal" dxfId="1">
      <formula>"提供予定（即時）"</formula>
    </cfRule>
    <cfRule type="cellIs" priority="24" operator="equal" dxfId="1">
      <formula>"作成中"</formula>
    </cfRule>
    <cfRule type="cellIs" priority="25" operator="equal" dxfId="0">
      <formula>"了承済"</formula>
    </cfRule>
    <cfRule type="cellIs" priority="26" operator="equal" dxfId="1">
      <formula>"対応中"</formula>
    </cfRule>
    <cfRule type="cellIs" priority="27" operator="equal" dxfId="0">
      <formula>"受託者案で確定"</formula>
    </cfRule>
    <cfRule type="cellIs" priority="28" operator="equal" dxfId="1">
      <formula>"受託者案で確定（告示後に再算定）"</formula>
    </cfRule>
  </conditionalFormatting>
  <conditionalFormatting sqref="G5:G8">
    <cfRule type="cellIs" priority="29" operator="equal" dxfId="0">
      <formula>"完了"</formula>
    </cfRule>
    <cfRule type="cellIs" priority="30" operator="equal" dxfId="1">
      <formula>"実施中"</formula>
    </cfRule>
    <cfRule type="cellIs" priority="31" operator="equal" dxfId="2">
      <formula>"確認待ち"</formula>
    </cfRule>
    <cfRule type="cellIs" priority="32" operator="equal" dxfId="0">
      <formula>"了承済（保管せず廃棄）"</formula>
    </cfRule>
    <cfRule type="cellIs" priority="33" operator="equal" dxfId="3">
      <formula>"未着手"</formula>
    </cfRule>
    <cfRule type="cellIs" priority="34" operator="equal" dxfId="4">
      <formula>"対象外"</formula>
    </cfRule>
    <cfRule type="cellIs" priority="35" operator="equal" dxfId="0">
      <formula>"代替により解消"</formula>
    </cfRule>
    <cfRule type="cellIs" priority="36" operator="equal" dxfId="1">
      <formula>"一部解消"</formula>
    </cfRule>
    <cfRule type="cellIs" priority="37" operator="equal" dxfId="1">
      <formula>"提供予定（即時）"</formula>
    </cfRule>
    <cfRule type="cellIs" priority="38" operator="equal" dxfId="1">
      <formula>"作成中"</formula>
    </cfRule>
    <cfRule type="cellIs" priority="39" operator="equal" dxfId="0">
      <formula>"了承済"</formula>
    </cfRule>
    <cfRule type="cellIs" priority="40" operator="equal" dxfId="1">
      <formula>"対応中"</formula>
    </cfRule>
    <cfRule type="cellIs" priority="41" operator="equal" dxfId="0">
      <formula>"受託者案で確定"</formula>
    </cfRule>
    <cfRule type="cellIs" priority="42" operator="equal" dxfId="1">
      <formula>"受託者案で確定（告示後に再算定）"</formula>
    </cfRule>
  </conditionalFormatting>
  <conditionalFormatting sqref="H5:H8">
    <cfRule type="cellIs" priority="43" operator="equal" dxfId="0">
      <formula>"完了"</formula>
    </cfRule>
    <cfRule type="cellIs" priority="44" operator="equal" dxfId="1">
      <formula>"実施中"</formula>
    </cfRule>
    <cfRule type="cellIs" priority="45" operator="equal" dxfId="2">
      <formula>"確認待ち"</formula>
    </cfRule>
    <cfRule type="cellIs" priority="46" operator="equal" dxfId="0">
      <formula>"了承済（保管せず廃棄）"</formula>
    </cfRule>
    <cfRule type="cellIs" priority="47" operator="equal" dxfId="3">
      <formula>"未着手"</formula>
    </cfRule>
    <cfRule type="cellIs" priority="48" operator="equal" dxfId="4">
      <formula>"対象外"</formula>
    </cfRule>
    <cfRule type="cellIs" priority="49" operator="equal" dxfId="0">
      <formula>"代替により解消"</formula>
    </cfRule>
    <cfRule type="cellIs" priority="50" operator="equal" dxfId="1">
      <formula>"一部解消"</formula>
    </cfRule>
    <cfRule type="cellIs" priority="51" operator="equal" dxfId="1">
      <formula>"提供予定（即時）"</formula>
    </cfRule>
    <cfRule type="cellIs" priority="52" operator="equal" dxfId="1">
      <formula>"作成中"</formula>
    </cfRule>
    <cfRule type="cellIs" priority="53" operator="equal" dxfId="0">
      <formula>"了承済"</formula>
    </cfRule>
    <cfRule type="cellIs" priority="54" operator="equal" dxfId="1">
      <formula>"対応中"</formula>
    </cfRule>
    <cfRule type="cellIs" priority="55" operator="equal" dxfId="0">
      <formula>"受託者案で確定"</formula>
    </cfRule>
    <cfRule type="cellIs" priority="56" operator="equal" dxfId="1">
      <formula>"受託者案で確定（告示後に再算定）"</formula>
    </cfRule>
  </conditionalFormatting>
  <conditionalFormatting sqref="D5:D8">
    <cfRule type="cellIs" priority="57" operator="equal" dxfId="0">
      <formula>"受領済"</formula>
    </cfRule>
    <cfRule type="cellIs" priority="58" operator="equal" dxfId="2">
      <formula>"一部受領"</formula>
    </cfRule>
    <cfRule type="cellIs" priority="59"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受領済</t>
        </is>
      </c>
      <c r="J23" s="5" t="inlineStr">
        <is>
          <t>【令和8年10月19日　受領】指標の解説（全2頁）。①受給率の分母は第1号被保険者数であることが原典で確定した（修正指示A-11の留保が解消）。②4指標のうち性・年齢調整後であるのは第1号被保険者1人あたり給付月額と要介護認定率の2指標のみである。③したがって地域差指数は乗法的に分解できない（上川管内21保険者で受給率×受給者単価と給付月額の差は▲0.473から＋0.416）。どの要素で差が生じているかの読み取りに用い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受領済</t>
        </is>
      </c>
      <c r="J25" s="5" t="inlineStr">
        <is>
          <t>【令和8年10月19日　受領】B5-a（調整済み認定率（要介護度別））・B5-c（同（要支援除く））・B6-a（調整済み重度認定率）・B6-b（調整済み軽度認定率）の4ファイル。いずれも【注目する地域のみ】の出力であり、平成25年3月末から令和8年3月末までの14時点。既に収録していた221件と差異なく一致し、令和8年3月末の値（重度5.2％・軽度13.2％・合計18.4％）を加えた。計画素案 第3章第4節2を本広域連合の値に是正した。【他地域と比較】の出力の比較地域は特定できていない（確認No.190）</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2026-10-19T04:14:15Z</dcterms:created>
  <dcterms:modified xmlns:dcterms="http://purl.org/dc/terms/" xmlns:xsi="http://www.w3.org/2001/XMLSchema-instance" xsi:type="dcterms:W3CDTF">2026-10-19T04:14:18Z</dcterms:modified>
</cp:coreProperties>
</file>