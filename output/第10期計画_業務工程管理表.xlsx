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99" customHeight="1">
      <c r="A23" s="16" t="inlineStr">
        <is>
          <t>【現時点の全体状況（令和8年10月14日）】全体進捗は67％（進捗を数値で表せる10業務の単純平均）。令和8年9月は、サービス見込量の算定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1038段落153表36図で、未確定箇所は253箇所（要協議142・要確認109・要内訳2）である。確認事項は184件、成果品は137件、作成に用いた処理は134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残るのは政令・省令・報酬改定の告示を待つ分である</t>
        </is>
      </c>
      <c r="J5" s="5" t="inlineStr">
        <is>
          <t>1, 2, 22, 89, 130, 149, 170, 175, 176, 177, 178, 179, 180, 181, 182, 183, 184</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計画素案（1038段落153表36図）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1038段落153表36図となった。残る未確定箇所は253箇所（要協議142・要確認109・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新たな章又は節は起こしていない。概要版は未着手</t>
        </is>
      </c>
      <c r="J10" s="5" t="inlineStr">
        <is>
          <t>17, 18, 24, 25, 88, 112, 114, 131, 154, 170, 171, 178, 179, 180, 181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電子データは作成中。印刷・製本は令和9年3月。本文100頁程度に対する章別のページ配分が未確定（確認No.21）。【令和8年9月15〜18日】成果品は137件となった。9月に加えたものは、サービス見込量の算定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134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14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なお、介護給付費分科会第263回 資料1は、人員配置基準に係るいわゆるローカルルールについて「あくまでも厚生労働省令に従う範囲内で地域の実情に応じた内容とする必要がある」としたうえで、自治体ごとに異なる解釈や取扱いが行われている状況について引き続き実態の把握を行うこととしている（令和8年10月14日に原典により確認）。条例の規定が省令に従う範囲内であるかは、条文を確認したうえで点検す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第3章第4節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決着しない場合は介護保険事業財政調整基金を取り崩さないものとして算定する（安全側）。取り崩す場合の1億円あたりの月額への効きを併記する。（受託者の仮置き。令和8年10月の意見交換会で諮る）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第3章第2節・第3節・第4節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10" t="inlineStr">
        <is>
          <t>未回答</t>
        </is>
      </c>
      <c r="I179" s="10" t="inlineStr">
        <is>
          <t>R8.11</t>
        </is>
      </c>
      <c r="J179" s="11" t="inlineStr">
        <is>
          <t>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10" t="inlineStr">
        <is>
          <t>未回答</t>
        </is>
      </c>
      <c r="I180" s="10" t="inlineStr">
        <is>
          <t>R8.12</t>
        </is>
      </c>
      <c r="J180" s="11" t="inlineStr">
        <is>
          <t>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10" t="inlineStr">
        <is>
          <t>未回答</t>
        </is>
      </c>
      <c r="I181" s="10" t="inlineStr">
        <is>
          <t>R8.12</t>
        </is>
      </c>
      <c r="J181" s="11" t="inlineStr">
        <is>
          <t>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10" t="inlineStr">
        <is>
          <t>未回答</t>
        </is>
      </c>
      <c r="I182" s="10" t="inlineStr">
        <is>
          <t>R8.11</t>
        </is>
      </c>
      <c r="J182" s="11" t="inlineStr">
        <is>
          <t>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10" t="inlineStr">
        <is>
          <t>未回答</t>
        </is>
      </c>
      <c r="I183" s="10" t="inlineStr">
        <is>
          <t>R8.11</t>
        </is>
      </c>
      <c r="J183" s="11" t="inlineStr">
        <is>
          <t>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10" t="inlineStr">
        <is>
          <t>未回答</t>
        </is>
      </c>
      <c r="I184" s="10" t="inlineStr">
        <is>
          <t>R8.11</t>
        </is>
      </c>
      <c r="J184" s="11" t="inlineStr">
        <is>
          <t>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未回答</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262回（資料1から資料4）、第263回（資料1から資料5）、第264回（資料1から資料5）、第268回（基本的な視点（案））、第269回（資料1から資料4）及び第270回（資料1から資料5）の資料25件（全1,037頁）のご提供を受け、これらの本文を確認しました。本文を確認できていなかった3件のうち2件はこれにより解消しました（残る1件は第266回資料5であり、要約にも採用されていません）。①第256回から第261回まで及び第265回から第267回までの資料のうち当広域連合に関わるもの（特に第261回の人口減少地域）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10" t="inlineStr">
        <is>
          <t>一部提供（R8.10.14）</t>
        </is>
      </c>
      <c r="I186" s="10" t="inlineStr">
        <is>
          <t>R8.12</t>
        </is>
      </c>
      <c r="J186" s="11" t="inlineStr">
        <is>
          <t>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10" t="inlineStr">
        <is>
          <t>未回答</t>
        </is>
      </c>
      <c r="I187" s="10" t="inlineStr">
        <is>
          <t>R8.12</t>
        </is>
      </c>
      <c r="J187" s="11" t="inlineStr">
        <is>
          <t>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10" t="inlineStr">
        <is>
          <t>未回答</t>
        </is>
      </c>
      <c r="I188" s="10" t="inlineStr">
        <is>
          <t>R8.12</t>
        </is>
      </c>
      <c r="J188" s="11" t="inlineStr">
        <is>
          <t>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90" ht="32" customHeight="1">
      <c r="A190" s="3" t="inlineStr">
        <is>
          <t>区分</t>
        </is>
      </c>
      <c r="B190" s="3" t="inlineStr">
        <is>
          <t>件数</t>
        </is>
      </c>
      <c r="C190" s="3" t="inlineStr"/>
      <c r="D190" s="3" t="inlineStr"/>
      <c r="E190" s="3" t="inlineStr"/>
      <c r="F190" s="3" t="inlineStr"/>
      <c r="G190" s="3" t="inlineStr"/>
      <c r="H190" s="3" t="inlineStr"/>
      <c r="I190" s="3" t="inlineStr"/>
      <c r="J190" s="3" t="inlineStr"/>
    </row>
    <row r="191" ht="20" customHeight="1">
      <c r="A191" s="6" t="inlineStr">
        <is>
          <t>完了</t>
        </is>
      </c>
      <c r="B191" s="4">
        <f>COUNTIF(H5:H188,"完了")</f>
        <v/>
      </c>
      <c r="C191" s="5" t="inlineStr"/>
      <c r="D191" s="5" t="inlineStr"/>
      <c r="E191" s="5" t="inlineStr"/>
      <c r="F191" s="5" t="inlineStr"/>
      <c r="G191" s="5" t="inlineStr"/>
      <c r="H191" s="5" t="inlineStr"/>
      <c r="I191" s="5" t="inlineStr"/>
      <c r="J191" s="5" t="inlineStr"/>
    </row>
    <row r="192" ht="20" customHeight="1">
      <c r="A192" s="8" t="inlineStr">
        <is>
          <t>実施中</t>
        </is>
      </c>
      <c r="B192" s="4">
        <f>COUNTIF(H5:H188,"実施中")</f>
        <v/>
      </c>
      <c r="C192" s="5" t="inlineStr"/>
      <c r="D192" s="5" t="inlineStr"/>
      <c r="E192" s="5" t="inlineStr"/>
      <c r="F192" s="5" t="inlineStr"/>
      <c r="G192" s="5" t="inlineStr"/>
      <c r="H192" s="5" t="inlineStr"/>
      <c r="I192" s="5" t="inlineStr"/>
      <c r="J192" s="5" t="inlineStr"/>
    </row>
    <row r="193" ht="20" customHeight="1">
      <c r="A193" s="10" t="inlineStr">
        <is>
          <t>確認待ち</t>
        </is>
      </c>
      <c r="B193" s="4">
        <f>COUNTIF(H5:H188,"確認待ち")</f>
        <v/>
      </c>
      <c r="C193" s="5" t="inlineStr"/>
      <c r="D193" s="5" t="inlineStr"/>
      <c r="E193" s="5" t="inlineStr"/>
      <c r="F193" s="5" t="inlineStr"/>
      <c r="G193" s="5" t="inlineStr"/>
      <c r="H193" s="5" t="inlineStr"/>
      <c r="I193" s="5" t="inlineStr"/>
      <c r="J193" s="5" t="inlineStr"/>
    </row>
    <row r="194" ht="20" customHeight="1">
      <c r="A194" s="12" t="inlineStr">
        <is>
          <t>未着手</t>
        </is>
      </c>
      <c r="B194" s="4">
        <f>COUNTIF(H5:H188,"未着手")</f>
        <v/>
      </c>
      <c r="C194" s="5" t="inlineStr"/>
      <c r="D194" s="5" t="inlineStr"/>
      <c r="E194" s="5" t="inlineStr"/>
      <c r="F194" s="5" t="inlineStr"/>
      <c r="G194" s="5" t="inlineStr"/>
      <c r="H194" s="5" t="inlineStr"/>
      <c r="I194" s="5" t="inlineStr"/>
      <c r="J194" s="5" t="inlineStr"/>
    </row>
    <row r="195" ht="20" customHeight="1">
      <c r="A195" s="14" t="inlineStr">
        <is>
          <t>対象外</t>
        </is>
      </c>
      <c r="B195" s="4">
        <f>COUNTIF(H5:H188,"対象外")</f>
        <v/>
      </c>
      <c r="C195" s="5" t="inlineStr"/>
      <c r="D195" s="5" t="inlineStr"/>
      <c r="E195" s="5" t="inlineStr"/>
      <c r="F195" s="5" t="inlineStr"/>
      <c r="G195" s="5" t="inlineStr"/>
      <c r="H195" s="5" t="inlineStr"/>
      <c r="I195" s="5" t="inlineStr"/>
      <c r="J195" s="5" t="inlineStr"/>
    </row>
    <row r="197" ht="32" customHeight="1">
      <c r="A197" s="3" t="inlineStr">
        <is>
          <t>確認先</t>
        </is>
      </c>
      <c r="B197" s="3" t="inlineStr">
        <is>
          <t>件数</t>
        </is>
      </c>
      <c r="C197" s="3" t="inlineStr"/>
      <c r="D197" s="3" t="inlineStr"/>
      <c r="E197" s="3" t="inlineStr"/>
      <c r="F197" s="3" t="inlineStr"/>
      <c r="G197" s="3" t="inlineStr"/>
      <c r="H197" s="3" t="inlineStr"/>
      <c r="I197" s="3" t="inlineStr"/>
      <c r="J197" s="3" t="inlineStr"/>
    </row>
    <row r="198" ht="20" customHeight="1">
      <c r="A198" s="5" t="inlineStr">
        <is>
          <t>発注者</t>
        </is>
      </c>
      <c r="B198" s="4">
        <f>COUNTIF(G5:G188,"発注者")</f>
        <v/>
      </c>
      <c r="C198" s="5" t="inlineStr"/>
      <c r="D198" s="5" t="inlineStr"/>
      <c r="E198" s="5" t="inlineStr"/>
      <c r="F198" s="5" t="inlineStr"/>
      <c r="G198" s="5" t="inlineStr"/>
      <c r="H198" s="5" t="inlineStr"/>
      <c r="I198" s="5" t="inlineStr"/>
      <c r="J198" s="5" t="inlineStr"/>
    </row>
    <row r="199" ht="20" customHeight="1">
      <c r="A199" s="5" t="inlineStr">
        <is>
          <t>発注者・3町</t>
        </is>
      </c>
      <c r="B199" s="4">
        <f>COUNTIF(G5:G188,"発注者・3町")</f>
        <v/>
      </c>
      <c r="C199" s="5" t="inlineStr"/>
      <c r="D199" s="5" t="inlineStr"/>
      <c r="E199" s="5" t="inlineStr"/>
      <c r="F199" s="5" t="inlineStr"/>
      <c r="G199" s="5" t="inlineStr"/>
      <c r="H199" s="5" t="inlineStr"/>
      <c r="I199" s="5" t="inlineStr"/>
      <c r="J199" s="5" t="inlineStr"/>
    </row>
    <row r="200" ht="20" customHeight="1">
      <c r="A200" s="5" t="inlineStr">
        <is>
          <t>発注者・北海道</t>
        </is>
      </c>
      <c r="B200" s="4">
        <f>COUNTIF(G5:G188,"発注者・北海道")</f>
        <v/>
      </c>
      <c r="C200" s="5" t="inlineStr"/>
      <c r="D200" s="5" t="inlineStr"/>
      <c r="E200" s="5" t="inlineStr"/>
      <c r="F200" s="5" t="inlineStr"/>
      <c r="G200" s="5" t="inlineStr"/>
      <c r="H200" s="5" t="inlineStr"/>
      <c r="I200" s="5" t="inlineStr"/>
      <c r="J200" s="5" t="inlineStr"/>
    </row>
    <row r="201" ht="20" customHeight="1">
      <c r="A201" s="5" t="inlineStr">
        <is>
          <t>発注者・3町・北海道</t>
        </is>
      </c>
      <c r="B201" s="4">
        <f>COUNTIF(G5:G188,"発注者・3町・北海道")</f>
        <v/>
      </c>
      <c r="C201" s="5" t="inlineStr"/>
      <c r="D201" s="5" t="inlineStr"/>
      <c r="E201" s="5" t="inlineStr"/>
      <c r="F201" s="5" t="inlineStr"/>
      <c r="G201" s="5" t="inlineStr"/>
      <c r="H201" s="5" t="inlineStr"/>
      <c r="I201" s="5" t="inlineStr"/>
      <c r="J201" s="5" t="inlineStr"/>
    </row>
    <row r="202" ht="20" customHeight="1">
      <c r="A202" s="5" t="inlineStr">
        <is>
          <t>北海道</t>
        </is>
      </c>
      <c r="B202" s="4">
        <f>COUNTIF(G5:G188,"北海道")</f>
        <v/>
      </c>
      <c r="C202" s="5" t="inlineStr"/>
      <c r="D202" s="5" t="inlineStr"/>
      <c r="E202" s="5" t="inlineStr"/>
      <c r="F202" s="5" t="inlineStr"/>
      <c r="G202" s="5" t="inlineStr"/>
      <c r="H202" s="5" t="inlineStr"/>
      <c r="I202" s="5" t="inlineStr"/>
      <c r="J202" s="5" t="inlineStr"/>
    </row>
    <row r="204" ht="39" customHeight="1">
      <c r="A204"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204:J204"/>
    <mergeCell ref="A2:J2"/>
  </mergeCells>
  <conditionalFormatting sqref="H5:H18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88"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（1038段落153表36図）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（1038段落153表36図）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2026-10-14T16:22:05Z</dcterms:created>
  <dcterms:modified xmlns:dcterms="http://purl.org/dc/terms/" xmlns:xsi="http://www.w3.org/2001/XMLSchema-instance" xsi:type="dcterms:W3CDTF">2026-10-14T16:22:07Z</dcterms:modified>
</cp:coreProperties>
</file>