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た。計画素案は896段落143表36図で、未確定箇所は135箇所（要協議109・要確認25・要内訳1）である。確認事項は154件、成果品は111件、ビルドスクリプトは110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t>
        </is>
      </c>
      <c r="J9" s="5" t="inlineStr">
        <is>
          <t>14, 15, 16, 29, 30, 31, 33, 36, 100, 101, 112, 114, 115, 116, 127, 128, 129, 137, 146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t>
        </is>
      </c>
      <c r="J11" s="5" t="inlineStr">
        <is>
          <t>87, 143, 154</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電子データは作成中。印刷・製本は令和9年3月。本文100頁程度に対する章別のページ配分が未確定（確認No.21）。【令和8年9月15〜18日】成果品は111件となった。9月に加えたものは、サービス見込量の算定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見込量の入力値（暫定。11シート）である。棚卸しにより、ビルドスクリプト110本のうち再実行できないものは3本であり、成果品の登録漏れ・実体なしがいずれも0件であることを確認した（確認No.144）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60" ht="32" customHeight="1">
      <c r="A160" s="3" t="inlineStr">
        <is>
          <t>区分</t>
        </is>
      </c>
      <c r="B160" s="3" t="inlineStr">
        <is>
          <t>件数</t>
        </is>
      </c>
      <c r="C160" s="3" t="inlineStr"/>
      <c r="D160" s="3" t="inlineStr"/>
      <c r="E160" s="3" t="inlineStr"/>
      <c r="F160" s="3" t="inlineStr"/>
      <c r="G160" s="3" t="inlineStr"/>
      <c r="H160" s="3" t="inlineStr"/>
      <c r="I160" s="3" t="inlineStr"/>
      <c r="J160" s="3" t="inlineStr"/>
    </row>
    <row r="161" ht="20" customHeight="1">
      <c r="A161" s="6" t="inlineStr">
        <is>
          <t>完了</t>
        </is>
      </c>
      <c r="B161" s="4">
        <f>COUNTIF(H5:H158,"完了")</f>
        <v/>
      </c>
      <c r="C161" s="5" t="inlineStr"/>
      <c r="D161" s="5" t="inlineStr"/>
      <c r="E161" s="5" t="inlineStr"/>
      <c r="F161" s="5" t="inlineStr"/>
      <c r="G161" s="5" t="inlineStr"/>
      <c r="H161" s="5" t="inlineStr"/>
      <c r="I161" s="5" t="inlineStr"/>
      <c r="J161" s="5" t="inlineStr"/>
    </row>
    <row r="162" ht="20" customHeight="1">
      <c r="A162" s="8" t="inlineStr">
        <is>
          <t>実施中</t>
        </is>
      </c>
      <c r="B162" s="4">
        <f>COUNTIF(H5:H158,"実施中")</f>
        <v/>
      </c>
      <c r="C162" s="5" t="inlineStr"/>
      <c r="D162" s="5" t="inlineStr"/>
      <c r="E162" s="5" t="inlineStr"/>
      <c r="F162" s="5" t="inlineStr"/>
      <c r="G162" s="5" t="inlineStr"/>
      <c r="H162" s="5" t="inlineStr"/>
      <c r="I162" s="5" t="inlineStr"/>
      <c r="J162" s="5" t="inlineStr"/>
    </row>
    <row r="163" ht="20" customHeight="1">
      <c r="A163" s="10" t="inlineStr">
        <is>
          <t>確認待ち</t>
        </is>
      </c>
      <c r="B163" s="4">
        <f>COUNTIF(H5:H158,"確認待ち")</f>
        <v/>
      </c>
      <c r="C163" s="5" t="inlineStr"/>
      <c r="D163" s="5" t="inlineStr"/>
      <c r="E163" s="5" t="inlineStr"/>
      <c r="F163" s="5" t="inlineStr"/>
      <c r="G163" s="5" t="inlineStr"/>
      <c r="H163" s="5" t="inlineStr"/>
      <c r="I163" s="5" t="inlineStr"/>
      <c r="J163" s="5" t="inlineStr"/>
    </row>
    <row r="164" ht="20" customHeight="1">
      <c r="A164" s="12" t="inlineStr">
        <is>
          <t>未着手</t>
        </is>
      </c>
      <c r="B164" s="4">
        <f>COUNTIF(H5:H158,"未着手")</f>
        <v/>
      </c>
      <c r="C164" s="5" t="inlineStr"/>
      <c r="D164" s="5" t="inlineStr"/>
      <c r="E164" s="5" t="inlineStr"/>
      <c r="F164" s="5" t="inlineStr"/>
      <c r="G164" s="5" t="inlineStr"/>
      <c r="H164" s="5" t="inlineStr"/>
      <c r="I164" s="5" t="inlineStr"/>
      <c r="J164" s="5" t="inlineStr"/>
    </row>
    <row r="165" ht="20" customHeight="1">
      <c r="A165" s="14" t="inlineStr">
        <is>
          <t>対象外</t>
        </is>
      </c>
      <c r="B165" s="4">
        <f>COUNTIF(H5:H158,"対象外")</f>
        <v/>
      </c>
      <c r="C165" s="5" t="inlineStr"/>
      <c r="D165" s="5" t="inlineStr"/>
      <c r="E165" s="5" t="inlineStr"/>
      <c r="F165" s="5" t="inlineStr"/>
      <c r="G165" s="5" t="inlineStr"/>
      <c r="H165" s="5" t="inlineStr"/>
      <c r="I165" s="5" t="inlineStr"/>
      <c r="J165" s="5" t="inlineStr"/>
    </row>
    <row r="167" ht="32" customHeight="1">
      <c r="A167" s="3" t="inlineStr">
        <is>
          <t>確認先</t>
        </is>
      </c>
      <c r="B167" s="3" t="inlineStr">
        <is>
          <t>件数</t>
        </is>
      </c>
      <c r="C167" s="3" t="inlineStr"/>
      <c r="D167" s="3" t="inlineStr"/>
      <c r="E167" s="3" t="inlineStr"/>
      <c r="F167" s="3" t="inlineStr"/>
      <c r="G167" s="3" t="inlineStr"/>
      <c r="H167" s="3" t="inlineStr"/>
      <c r="I167" s="3" t="inlineStr"/>
      <c r="J167" s="3" t="inlineStr"/>
    </row>
    <row r="168" ht="20" customHeight="1">
      <c r="A168" s="5" t="inlineStr">
        <is>
          <t>発注者</t>
        </is>
      </c>
      <c r="B168" s="4">
        <f>COUNTIF(G5:G158,"発注者")</f>
        <v/>
      </c>
      <c r="C168" s="5" t="inlineStr"/>
      <c r="D168" s="5" t="inlineStr"/>
      <c r="E168" s="5" t="inlineStr"/>
      <c r="F168" s="5" t="inlineStr"/>
      <c r="G168" s="5" t="inlineStr"/>
      <c r="H168" s="5" t="inlineStr"/>
      <c r="I168" s="5" t="inlineStr"/>
      <c r="J168" s="5" t="inlineStr"/>
    </row>
    <row r="169" ht="20" customHeight="1">
      <c r="A169" s="5" t="inlineStr">
        <is>
          <t>発注者・3町</t>
        </is>
      </c>
      <c r="B169" s="4">
        <f>COUNTIF(G5:G158,"発注者・3町")</f>
        <v/>
      </c>
      <c r="C169" s="5" t="inlineStr"/>
      <c r="D169" s="5" t="inlineStr"/>
      <c r="E169" s="5" t="inlineStr"/>
      <c r="F169" s="5" t="inlineStr"/>
      <c r="G169" s="5" t="inlineStr"/>
      <c r="H169" s="5" t="inlineStr"/>
      <c r="I169" s="5" t="inlineStr"/>
      <c r="J169" s="5" t="inlineStr"/>
    </row>
    <row r="170" ht="20" customHeight="1">
      <c r="A170" s="5" t="inlineStr">
        <is>
          <t>発注者・北海道</t>
        </is>
      </c>
      <c r="B170" s="4">
        <f>COUNTIF(G5:G158,"発注者・北海道")</f>
        <v/>
      </c>
      <c r="C170" s="5" t="inlineStr"/>
      <c r="D170" s="5" t="inlineStr"/>
      <c r="E170" s="5" t="inlineStr"/>
      <c r="F170" s="5" t="inlineStr"/>
      <c r="G170" s="5" t="inlineStr"/>
      <c r="H170" s="5" t="inlineStr"/>
      <c r="I170" s="5" t="inlineStr"/>
      <c r="J170" s="5" t="inlineStr"/>
    </row>
    <row r="171" ht="20" customHeight="1">
      <c r="A171" s="5" t="inlineStr">
        <is>
          <t>発注者・3町・北海道</t>
        </is>
      </c>
      <c r="B171" s="4">
        <f>COUNTIF(G5:G158,"発注者・3町・北海道")</f>
        <v/>
      </c>
      <c r="C171" s="5" t="inlineStr"/>
      <c r="D171" s="5" t="inlineStr"/>
      <c r="E171" s="5" t="inlineStr"/>
      <c r="F171" s="5" t="inlineStr"/>
      <c r="G171" s="5" t="inlineStr"/>
      <c r="H171" s="5" t="inlineStr"/>
      <c r="I171" s="5" t="inlineStr"/>
      <c r="J171" s="5" t="inlineStr"/>
    </row>
    <row r="172" ht="20" customHeight="1">
      <c r="A172" s="5" t="inlineStr">
        <is>
          <t>北海道</t>
        </is>
      </c>
      <c r="B172" s="4">
        <f>COUNTIF(G5:G158,"北海道")</f>
        <v/>
      </c>
      <c r="C172" s="5" t="inlineStr"/>
      <c r="D172" s="5" t="inlineStr"/>
      <c r="E172" s="5" t="inlineStr"/>
      <c r="F172" s="5" t="inlineStr"/>
      <c r="G172" s="5" t="inlineStr"/>
      <c r="H172" s="5" t="inlineStr"/>
      <c r="I172" s="5" t="inlineStr"/>
      <c r="J172" s="5" t="inlineStr"/>
    </row>
    <row r="174" ht="28" customHeight="1">
      <c r="A17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4:J174"/>
    <mergeCell ref="A2:J2"/>
  </mergeCells>
  <conditionalFormatting sqref="H5:H15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2026-09-18T03:46:47Z</dcterms:created>
  <dcterms:modified xmlns:dcterms="http://purl.org/dc/terms/" xmlns:xsi="http://www.w3.org/2001/XMLSchema-instance" xsi:type="dcterms:W3CDTF">2026-09-18T03:46:49Z</dcterms:modified>
</cp:coreProperties>
</file>