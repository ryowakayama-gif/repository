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計画素案（886段落142表36図）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1" ht="32" customHeight="1">
      <c r="A151" s="3" t="inlineStr">
        <is>
          <t>区分</t>
        </is>
      </c>
      <c r="B151" s="3" t="inlineStr">
        <is>
          <t>件数</t>
        </is>
      </c>
      <c r="C151" s="3" t="inlineStr"/>
      <c r="D151" s="3" t="inlineStr"/>
      <c r="E151" s="3" t="inlineStr"/>
      <c r="F151" s="3" t="inlineStr"/>
      <c r="G151" s="3" t="inlineStr"/>
      <c r="H151" s="3" t="inlineStr"/>
      <c r="I151" s="3" t="inlineStr"/>
      <c r="J151" s="3" t="inlineStr"/>
    </row>
    <row r="152" ht="20" customHeight="1">
      <c r="A152" s="6" t="inlineStr">
        <is>
          <t>完了</t>
        </is>
      </c>
      <c r="B152" s="4">
        <f>COUNTIF(H5:H149,"完了")</f>
        <v/>
      </c>
      <c r="C152" s="5" t="inlineStr"/>
      <c r="D152" s="5" t="inlineStr"/>
      <c r="E152" s="5" t="inlineStr"/>
      <c r="F152" s="5" t="inlineStr"/>
      <c r="G152" s="5" t="inlineStr"/>
      <c r="H152" s="5" t="inlineStr"/>
      <c r="I152" s="5" t="inlineStr"/>
      <c r="J152" s="5" t="inlineStr"/>
    </row>
    <row r="153" ht="20" customHeight="1">
      <c r="A153" s="8" t="inlineStr">
        <is>
          <t>実施中</t>
        </is>
      </c>
      <c r="B153" s="4">
        <f>COUNTIF(H5:H149,"実施中")</f>
        <v/>
      </c>
      <c r="C153" s="5" t="inlineStr"/>
      <c r="D153" s="5" t="inlineStr"/>
      <c r="E153" s="5" t="inlineStr"/>
      <c r="F153" s="5" t="inlineStr"/>
      <c r="G153" s="5" t="inlineStr"/>
      <c r="H153" s="5" t="inlineStr"/>
      <c r="I153" s="5" t="inlineStr"/>
      <c r="J153" s="5" t="inlineStr"/>
    </row>
    <row r="154" ht="20" customHeight="1">
      <c r="A154" s="10" t="inlineStr">
        <is>
          <t>確認待ち</t>
        </is>
      </c>
      <c r="B154" s="4">
        <f>COUNTIF(H5:H149,"確認待ち")</f>
        <v/>
      </c>
      <c r="C154" s="5" t="inlineStr"/>
      <c r="D154" s="5" t="inlineStr"/>
      <c r="E154" s="5" t="inlineStr"/>
      <c r="F154" s="5" t="inlineStr"/>
      <c r="G154" s="5" t="inlineStr"/>
      <c r="H154" s="5" t="inlineStr"/>
      <c r="I154" s="5" t="inlineStr"/>
      <c r="J154" s="5" t="inlineStr"/>
    </row>
    <row r="155" ht="20" customHeight="1">
      <c r="A155" s="12" t="inlineStr">
        <is>
          <t>未着手</t>
        </is>
      </c>
      <c r="B155" s="4">
        <f>COUNTIF(H5:H149,"未着手")</f>
        <v/>
      </c>
      <c r="C155" s="5" t="inlineStr"/>
      <c r="D155" s="5" t="inlineStr"/>
      <c r="E155" s="5" t="inlineStr"/>
      <c r="F155" s="5" t="inlineStr"/>
      <c r="G155" s="5" t="inlineStr"/>
      <c r="H155" s="5" t="inlineStr"/>
      <c r="I155" s="5" t="inlineStr"/>
      <c r="J155" s="5" t="inlineStr"/>
    </row>
    <row r="156" ht="20" customHeight="1">
      <c r="A156" s="14" t="inlineStr">
        <is>
          <t>対象外</t>
        </is>
      </c>
      <c r="B156" s="4">
        <f>COUNTIF(H5:H149,"対象外")</f>
        <v/>
      </c>
      <c r="C156" s="5" t="inlineStr"/>
      <c r="D156" s="5" t="inlineStr"/>
      <c r="E156" s="5" t="inlineStr"/>
      <c r="F156" s="5" t="inlineStr"/>
      <c r="G156" s="5" t="inlineStr"/>
      <c r="H156" s="5" t="inlineStr"/>
      <c r="I156" s="5" t="inlineStr"/>
      <c r="J156" s="5" t="inlineStr"/>
    </row>
    <row r="158" ht="32" customHeight="1">
      <c r="A158" s="3" t="inlineStr">
        <is>
          <t>確認先</t>
        </is>
      </c>
      <c r="B158" s="3" t="inlineStr">
        <is>
          <t>件数</t>
        </is>
      </c>
      <c r="C158" s="3" t="inlineStr"/>
      <c r="D158" s="3" t="inlineStr"/>
      <c r="E158" s="3" t="inlineStr"/>
      <c r="F158" s="3" t="inlineStr"/>
      <c r="G158" s="3" t="inlineStr"/>
      <c r="H158" s="3" t="inlineStr"/>
      <c r="I158" s="3" t="inlineStr"/>
      <c r="J158" s="3" t="inlineStr"/>
    </row>
    <row r="159" ht="20" customHeight="1">
      <c r="A159" s="5" t="inlineStr">
        <is>
          <t>発注者</t>
        </is>
      </c>
      <c r="B159" s="4">
        <f>COUNTIF(G5:G149,"発注者")</f>
        <v/>
      </c>
      <c r="C159" s="5" t="inlineStr"/>
      <c r="D159" s="5" t="inlineStr"/>
      <c r="E159" s="5" t="inlineStr"/>
      <c r="F159" s="5" t="inlineStr"/>
      <c r="G159" s="5" t="inlineStr"/>
      <c r="H159" s="5" t="inlineStr"/>
      <c r="I159" s="5" t="inlineStr"/>
      <c r="J159" s="5" t="inlineStr"/>
    </row>
    <row r="160" ht="20" customHeight="1">
      <c r="A160" s="5" t="inlineStr">
        <is>
          <t>発注者・3町</t>
        </is>
      </c>
      <c r="B160" s="4">
        <f>COUNTIF(G5:G149,"発注者・3町")</f>
        <v/>
      </c>
      <c r="C160" s="5" t="inlineStr"/>
      <c r="D160" s="5" t="inlineStr"/>
      <c r="E160" s="5" t="inlineStr"/>
      <c r="F160" s="5" t="inlineStr"/>
      <c r="G160" s="5" t="inlineStr"/>
      <c r="H160" s="5" t="inlineStr"/>
      <c r="I160" s="5" t="inlineStr"/>
      <c r="J160" s="5" t="inlineStr"/>
    </row>
    <row r="161" ht="20" customHeight="1">
      <c r="A161" s="5" t="inlineStr">
        <is>
          <t>発注者・北海道</t>
        </is>
      </c>
      <c r="B161" s="4">
        <f>COUNTIF(G5:G149,"発注者・北海道")</f>
        <v/>
      </c>
      <c r="C161" s="5" t="inlineStr"/>
      <c r="D161" s="5" t="inlineStr"/>
      <c r="E161" s="5" t="inlineStr"/>
      <c r="F161" s="5" t="inlineStr"/>
      <c r="G161" s="5" t="inlineStr"/>
      <c r="H161" s="5" t="inlineStr"/>
      <c r="I161" s="5" t="inlineStr"/>
      <c r="J161" s="5" t="inlineStr"/>
    </row>
    <row r="162" ht="20" customHeight="1">
      <c r="A162" s="5" t="inlineStr">
        <is>
          <t>発注者・3町・北海道</t>
        </is>
      </c>
      <c r="B162" s="4">
        <f>COUNTIF(G5:G149,"発注者・3町・北海道")</f>
        <v/>
      </c>
      <c r="C162" s="5" t="inlineStr"/>
      <c r="D162" s="5" t="inlineStr"/>
      <c r="E162" s="5" t="inlineStr"/>
      <c r="F162" s="5" t="inlineStr"/>
      <c r="G162" s="5" t="inlineStr"/>
      <c r="H162" s="5" t="inlineStr"/>
      <c r="I162" s="5" t="inlineStr"/>
      <c r="J162" s="5" t="inlineStr"/>
    </row>
    <row r="163" ht="20" customHeight="1">
      <c r="A163" s="5" t="inlineStr">
        <is>
          <t>北海道</t>
        </is>
      </c>
      <c r="B163" s="4">
        <f>COUNTIF(G5:G149,"北海道")</f>
        <v/>
      </c>
      <c r="C163" s="5" t="inlineStr"/>
      <c r="D163" s="5" t="inlineStr"/>
      <c r="E163" s="5" t="inlineStr"/>
      <c r="F163" s="5" t="inlineStr"/>
      <c r="G163" s="5" t="inlineStr"/>
      <c r="H163" s="5" t="inlineStr"/>
      <c r="I163" s="5" t="inlineStr"/>
      <c r="J163" s="5" t="inlineStr"/>
    </row>
    <row r="165" ht="28" customHeight="1">
      <c r="A16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5:J165"/>
    <mergeCell ref="A1:J1"/>
    <mergeCell ref="A2:J2"/>
  </mergeCells>
  <conditionalFormatting sqref="H5:H14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（886段落142表36図）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2026-09-16T00:10:32Z</dcterms:created>
  <dcterms:modified xmlns:dcterms="http://purl.org/dc/terms/" xmlns:xsi="http://www.w3.org/2001/XMLSchema-instance" xsi:type="dcterms:W3CDTF">2026-09-16T00:10:33Z</dcterms:modified>
</cp:coreProperties>
</file>