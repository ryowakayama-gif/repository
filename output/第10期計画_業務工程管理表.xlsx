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351" customHeight="1">
      <c r="A23" s="16" t="inlineStr">
        <is>
          <t>【現時点の全体状況（令和8年10月15日）】全体進捗は67％（進捗を数値で表せる10業務の単純平均）。令和8年9月は、サービス見込量の算定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1062段落156表36図で、未確定箇所は275箇所（要協議158・要確認115・要内訳2）である。確認事項は189件、成果品は141件、作成に用いた処理は138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64件であり、その全件に資料が届かない場合の扱いを付している。うち58件は資料が届かなくても計画本文を確定でき、未確定箇所の記号が残るものは6件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残るのは政令・省令・報酬改定の告示を待つ分、参照条文の内容（受領したものは画像であり読み取れない）及び附則の経過措置である</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計画素案（1062段落156表36図）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1062段落156表36図となった。残る未確定箇所は275箇所（要協議158・要確認115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電子データは作成中。印刷・製本は令和9年3月。本文100頁程度に対する章別のページ配分が未確定（確認No.21）。【令和8年9月15〜18日】成果品は141件となった。9月に加えたものは、サービス見込量の算定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138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64件、公表資料により確認できるもの5件、公表を待つもの3件、ご判断・ご決定をお願いするもの96件、資料の徴求を要しないもの18件に分けた。資料の徴求を要する64件の全件に資料が届かない場合の扱いを付し、うち58件は資料が届かなくても計画本文を確定できることを示した。新たな確認事項は起こしていない</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is>
          <t>【令和8年10月15日】原典（『特定地域（中山間・人口減少地域）の考え方について』社会保障審議会介護保険部会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決着しない場合は特定地域の指定に係る意向表明を行わないものとして記載し、省令等の確定後に改める。（受託者の仮置き。令和8年10月の意見交換会で諮る）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is>
          <t>決着しない場合は類似保険者との比較は公表されている同規模保険者40団体による。（受託者の仮置き。令和8年10月の意見交換会で諮る）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is>
          <t>決着しない場合は代表KPI H07・H08・H12・H16は代理指標への振替案のとおりとする。（受託者の仮置き。令和8年10月の意見交換会で諮る）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10" t="inlineStr">
        <is>
          <t>確認待ち</t>
        </is>
      </c>
      <c r="I9" s="10" t="inlineStr">
        <is>
          <t>R8.8</t>
        </is>
      </c>
      <c r="J9"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is>
          <t>決着しない場合は第9期の自己評価と北海道への報告の実績を確認できないものとして、第10期の進行管理に自己評価の仕組みを置く。（受託者の仮置き。令和8年10月の意見交換会で諮る）</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is>
          <t>決着しない場合は3調査の点検事項は当方の判定のままとする。（受託者の仮置き。令和8年10月の意見交換会で諮る）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is>
          <t>決着しない場合は現に収録している対象者範囲・回収率による。設問ごとに分母が異なることを注記する。（受託者の仮置き。令和8年10月の意見交換会で諮る）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is>
          <t>決着しない場合は住民基本台帳（各年1月1日現在）の町別人口により本文を確定する。（受託者の仮置き。令和8年10月の意見交換会で諮る）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is>
          <t>決着しない場合は日常生活圏域を3町（3圏域）とする案のまま概算する。（受託者の仮置き。令和8年10月の意見交換会で諮る）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is>
          <t>決着しない場合は北海道の指定事業所一覧の「通常の事業の実施地域」により判定する。（受託者の仮置き。令和8年10月の意見交換会で諮る）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is>
          <t>決着しない場合は案C（総合戦略＋住民基本台帳の実績趨勢）のまま確定する。（受託者の仮置き。令和8年10月の意見交換会で諮る）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is>
          <t>決着しない場合は認定者数は年報の年度末（3月31日）を基準とし、月次推移は計画本文に掲げない。（受託者の仮置き。令和8年10月の意見交換会で諮る）</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is>
          <t>決着しない場合は確認事項No.60と同じ前提（単価固定・施策反映なし・適正化を織り込まない・基金取崩しなし）による。（受託者の仮置き。令和8年10月の意見交換会で諮る）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is>
          <t>決着しない場合は広域連合の代表KPI16項目を掲げ、3町計画への掲載は求めない。（受託者の仮置き。令和8年10月の意見交換会で諮る）</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is>
          <t>決着しない場合は骨子案は提出した内容のままとする。（受託者の仮置き。令和8年10月の意見交換会で諮る）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is>
          <t>決着しない場合は北海道・圏域との調整の場が設けられないものとして、北海道の第9期支援計画との整合により記載する。（受託者の仮置き。令和8年10月の意見交換会で諮る）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is>
          <t>決着しない場合は成果品の仕様は仕様書の定め（計画書 印刷200部・編集可能な電子データ及びPDF）による。（受託者の仮置き。令和8年10月の意見交換会で諮る）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is>
          <t>決着しない場合は北海道の評価指標の読替えは当方の案のままとする。（受託者の仮置き。令和8年10月の意見交換会で諮る）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is>
          <t>決着しない場合は北海道の各名簿及び介護サービス情報公表システムの定員による。（受託者の仮置き。令和8年10月の意見交換会で諮る）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is>
          <t>決着しない場合は24時間対応サービスは自然体の算定値を置き、整備による上乗せは行わない（安全側）。（受託者の仮置き。令和8年10月の意見交換会で諮る）</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is>
          <t>決着しない場合は代表KPIの目標値は、令和9年度を基準値の把握に充て、令和10年度・令和11年度に目標値を置く。（受託者の仮置き。令和8年10月の意見交換会で諮る）</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is>
          <t>決着しない場合は現に受領している交付金評価結果と実施報告書の範囲で記述する。（受託者の仮置き。令和8年10月の意見交換会で諮る）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is>
          <t>決着しない場合は令和4年度の集計表を受領できないものとして、前回比較は第9期計画の本文に掲げられた指標に限る。（受託者の仮置き。令和8年10月の意見交換会で諮る）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is>
          <t>決着しない場合は現に収録している調査対象者の範囲による。（受託者の仮置き。令和8年10月の意見交換会で諮る）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is>
          <t>決着しない場合は年齢階級ごとの要介護度の構成を令和7年度末の実績で固定する（重度化は人口の高齢化による分のみを見込む）。（受託者の仮置き。令和8年10月の意見交換会で諮る）</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is>
          <t>決着しない場合は施設入所者と在宅者を分けずに算定する（分けるための要介護度の変化のデータがないため）。（受託者の仮置き。令和8年10月の意見交換会で諮る）</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is>
          <t>決着しない場合は第9期条例の16段階・乗率（公費軽減前）を据え置いて算定し、政令の公布後に再算定する。（受託者の仮置き。令和8年10月の意見交換会で諮る）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is>
          <t>決着しない場合は経緯を確認できないものとして、第9期条例の乗率をそのまま用いる。（受託者の仮置き。令和8年10月の意見交換会で諮る）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is>
          <t>決着しない場合は上川管内の保険者の所得段階数と乗率の比較は掲げない。（受託者の仮置き。令和8年10月の意見交換会で諮る）</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is>
          <t>決着しない場合は令和6年度の所得段階別構成比と予定収納率0.99による。（受託者の仮置き。令和8年10月の意見交換会で諮る）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is>
          <t>決着しない場合は公表されている全国集計の値による。（受託者の仮置き。令和8年10月の意見交換会で諮る）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10" t="inlineStr">
        <is>
          <t>確認待ち</t>
        </is>
      </c>
      <c r="I43" s="10" t="inlineStr">
        <is>
          <t>R8.9.2</t>
        </is>
      </c>
      <c r="J43"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10" t="inlineStr">
        <is>
          <t>確認待ち</t>
        </is>
      </c>
      <c r="I44" s="10" t="inlineStr">
        <is>
          <t>R8.9</t>
        </is>
      </c>
      <c r="J44"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8" t="inlineStr">
        <is>
          <t>対応中</t>
        </is>
      </c>
      <c r="I46" s="10" t="inlineStr">
        <is>
          <t>R8.8</t>
        </is>
      </c>
      <c r="J46" s="11" t="inlineStr">
        <is>
          <t>同打合せでご依頼をいただいた。反映する工程表は発注者ご作成の予定表による。
決着しない場合は現行の工程表のまま進める。（受託者の仮置き。令和8年10月の意見交換会で諮る）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10" t="inlineStr">
        <is>
          <t>確認待ち</t>
        </is>
      </c>
      <c r="I47" s="10" t="inlineStr">
        <is>
          <t>R8.9</t>
        </is>
      </c>
      <c r="J47" s="11" t="inlineStr">
        <is>
          <t>令和8年8月28日受領の集計帳票により判明。
決着しない場合は令和8年8月28日受領の集計帳票による。（受託者の仮置き。令和8年10月の意見交換会で諮る）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10" t="inlineStr">
        <is>
          <t>確認待ち</t>
        </is>
      </c>
      <c r="I49" s="10" t="inlineStr">
        <is>
          <t>R8.9</t>
        </is>
      </c>
      <c r="J49"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10" t="inlineStr">
        <is>
          <t>確認待ち</t>
        </is>
      </c>
      <c r="I50" s="10" t="inlineStr">
        <is>
          <t>R8.9</t>
        </is>
      </c>
      <c r="J50"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10" t="inlineStr">
        <is>
          <t>確認待ち</t>
        </is>
      </c>
      <c r="I51" s="10" t="inlineStr">
        <is>
          <t>R8.9</t>
        </is>
      </c>
      <c r="J5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10" t="inlineStr">
        <is>
          <t>確認待ち</t>
        </is>
      </c>
      <c r="I52" s="10" t="inlineStr">
        <is>
          <t>R8.9</t>
        </is>
      </c>
      <c r="J52" s="11" t="inlineStr">
        <is>
          <t>第9期の通いの場と地域支援事業の評価に用いる。
決着しない場合は収録済みの令和6年度の総合事業の実施状況に関する調査の値による。（受託者の仮置き。令和8年10月の意見交換会で諮る）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10" t="inlineStr">
        <is>
          <t>確認待ち</t>
        </is>
      </c>
      <c r="I54" s="10" t="inlineStr">
        <is>
          <t>R8.9</t>
        </is>
      </c>
      <c r="J54" s="11" t="inlineStr">
        <is>
          <t>①は第10期の保険料算定を止めている。最優先。
決着しない場合は受領済みの年報・月報の値による。（受託者の仮置き。令和8年10月の意見交換会で諮る）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10" t="inlineStr">
        <is>
          <t>確認待ち</t>
        </is>
      </c>
      <c r="I55" s="10" t="inlineStr">
        <is>
          <t>R8.9</t>
        </is>
      </c>
      <c r="J55" s="11" t="inlineStr">
        <is>
          <t>計画本文への影響はない。記録として残すもの。
決着しない場合は月報の値の接続のずれは記録として残し、計画本文には用いない。（受託者の仮置き。令和8年10月の意見交換会で諮る）</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10" t="inlineStr">
        <is>
          <t>確認待ち</t>
        </is>
      </c>
      <c r="I56" s="10" t="inlineStr">
        <is>
          <t>R8.9</t>
        </is>
      </c>
      <c r="J5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10" t="inlineStr">
        <is>
          <t>確認待ち</t>
        </is>
      </c>
      <c r="I57" s="10" t="inlineStr">
        <is>
          <t>R8.9</t>
        </is>
      </c>
      <c r="J57"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10" t="inlineStr">
        <is>
          <t>確認待ち</t>
        </is>
      </c>
      <c r="I58" s="10" t="inlineStr">
        <is>
          <t>R8.9</t>
        </is>
      </c>
      <c r="J58" s="11" t="inlineStr">
        <is>
          <t>本文には現れないため、通読では気づかない。
決着しない場合は議事録は作成者名を落として再出力する（当方で対応する）。（受託者の仮置き。令和8年10月の意見交換会で諮る）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10" t="inlineStr">
        <is>
          <t>確認待ち</t>
        </is>
      </c>
      <c r="I59" s="10" t="inlineStr">
        <is>
          <t>R8.9</t>
        </is>
      </c>
      <c r="J59" s="11" t="inlineStr">
        <is>
          <t>文意は変わらない。読みやすさと文体の統一に関するもの。
決着しない場合は議事録の表記はご提案3件のとおり改める。（受託者の仮置き。令和8年10月の意見交換会で諮る）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10" t="inlineStr">
        <is>
          <t>確認待ち</t>
        </is>
      </c>
      <c r="I60" s="10" t="inlineStr">
        <is>
          <t>R8.9</t>
        </is>
      </c>
      <c r="J60"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10" t="inlineStr">
        <is>
          <t>確認待ち</t>
        </is>
      </c>
      <c r="I61" s="10" t="inlineStr">
        <is>
          <t>R8.9</t>
        </is>
      </c>
      <c r="J6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10" t="inlineStr">
        <is>
          <t>確認待ち</t>
        </is>
      </c>
      <c r="I62" s="10" t="inlineStr">
        <is>
          <t>R8.9</t>
        </is>
      </c>
      <c r="J62"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10" t="inlineStr">
        <is>
          <t>確認待ち</t>
        </is>
      </c>
      <c r="I63" s="10" t="inlineStr">
        <is>
          <t>R8.9</t>
        </is>
      </c>
      <c r="J63"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10" t="inlineStr">
        <is>
          <t>確認待ち</t>
        </is>
      </c>
      <c r="I64" s="10" t="inlineStr">
        <is>
          <t>R8.10</t>
        </is>
      </c>
      <c r="J64"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10" t="inlineStr">
        <is>
          <t>確認待ち</t>
        </is>
      </c>
      <c r="I65" s="10" t="inlineStr">
        <is>
          <t>R8.9</t>
        </is>
      </c>
      <c r="J65"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10" t="inlineStr">
        <is>
          <t>確認待ち</t>
        </is>
      </c>
      <c r="I67" s="10" t="inlineStr">
        <is>
          <t>R8.9</t>
        </is>
      </c>
      <c r="J67"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10" t="inlineStr">
        <is>
          <t>確認待ち</t>
        </is>
      </c>
      <c r="I68" s="10" t="inlineStr">
        <is>
          <t>R8.10</t>
        </is>
      </c>
      <c r="J68"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10" t="inlineStr">
        <is>
          <t>確認待ち</t>
        </is>
      </c>
      <c r="I69" s="10" t="inlineStr">
        <is>
          <t>R8.9</t>
        </is>
      </c>
      <c r="J69"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10" t="inlineStr">
        <is>
          <t>確認待ち</t>
        </is>
      </c>
      <c r="I70" s="10" t="inlineStr">
        <is>
          <t>R8.9</t>
        </is>
      </c>
      <c r="J70"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10" t="inlineStr">
        <is>
          <t>確認待ち</t>
        </is>
      </c>
      <c r="I71" s="10" t="inlineStr">
        <is>
          <t>R8.9</t>
        </is>
      </c>
      <c r="J71"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10" t="inlineStr">
        <is>
          <t>確認待ち</t>
        </is>
      </c>
      <c r="I72" s="10" t="inlineStr">
        <is>
          <t>R8.9</t>
        </is>
      </c>
      <c r="J72"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10" t="inlineStr">
        <is>
          <t>確認待ち</t>
        </is>
      </c>
      <c r="I73" s="10" t="inlineStr">
        <is>
          <t>R8.10</t>
        </is>
      </c>
      <c r="J73"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10" t="inlineStr">
        <is>
          <t>確認待ち</t>
        </is>
      </c>
      <c r="I74" s="10" t="inlineStr">
        <is>
          <t>R8.9</t>
        </is>
      </c>
      <c r="J74"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10" t="inlineStr">
        <is>
          <t>確認待ち</t>
        </is>
      </c>
      <c r="I77" s="10" t="inlineStr">
        <is>
          <t>R8.9</t>
        </is>
      </c>
      <c r="J77"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10" t="inlineStr">
        <is>
          <t>確認待ち</t>
        </is>
      </c>
      <c r="I78" s="10" t="inlineStr">
        <is>
          <t>R9.4</t>
        </is>
      </c>
      <c r="J78"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10" t="inlineStr">
        <is>
          <t>確認待ち</t>
        </is>
      </c>
      <c r="I79" s="10" t="inlineStr">
        <is>
          <t>R8.9</t>
        </is>
      </c>
      <c r="J79"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10" t="inlineStr">
        <is>
          <t>確認待ち</t>
        </is>
      </c>
      <c r="I80" s="10" t="inlineStr">
        <is>
          <t>R8.9</t>
        </is>
      </c>
      <c r="J80"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10" t="inlineStr">
        <is>
          <t>確認待ち</t>
        </is>
      </c>
      <c r="I81" s="10" t="inlineStr">
        <is>
          <t>R8.9</t>
        </is>
      </c>
      <c r="J8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10" t="inlineStr">
        <is>
          <t>確認待ち</t>
        </is>
      </c>
      <c r="I82" s="10" t="inlineStr">
        <is>
          <t>R8.9</t>
        </is>
      </c>
      <c r="J82"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10" t="inlineStr">
        <is>
          <t>確認待ち</t>
        </is>
      </c>
      <c r="I83" s="10" t="inlineStr">
        <is>
          <t>R8.9</t>
        </is>
      </c>
      <c r="J83"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10" t="inlineStr">
        <is>
          <t>確認待ち</t>
        </is>
      </c>
      <c r="I84" s="10" t="inlineStr">
        <is>
          <t>R8.9</t>
        </is>
      </c>
      <c r="J84"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10" t="inlineStr">
        <is>
          <t>確認待ち</t>
        </is>
      </c>
      <c r="I85" s="10" t="inlineStr">
        <is>
          <t>R8.9</t>
        </is>
      </c>
      <c r="J85"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10" t="inlineStr">
        <is>
          <t>確認待ち</t>
        </is>
      </c>
      <c r="I86" s="10" t="inlineStr">
        <is>
          <t>R8.9.24</t>
        </is>
      </c>
      <c r="J8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10" t="inlineStr">
        <is>
          <t>確認待ち</t>
        </is>
      </c>
      <c r="I87" s="10" t="inlineStr">
        <is>
          <t>R8.9</t>
        </is>
      </c>
      <c r="J87"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10" t="inlineStr">
        <is>
          <t>確認待ち</t>
        </is>
      </c>
      <c r="I88" s="10" t="inlineStr">
        <is>
          <t>R8.10</t>
        </is>
      </c>
      <c r="J88"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10" t="inlineStr">
        <is>
          <t>確認待ち</t>
        </is>
      </c>
      <c r="I89" s="10" t="inlineStr">
        <is>
          <t>R8.9</t>
        </is>
      </c>
      <c r="J89"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10" t="inlineStr">
        <is>
          <t>確認待ち</t>
        </is>
      </c>
      <c r="I90" s="10" t="inlineStr">
        <is>
          <t>R8.10</t>
        </is>
      </c>
      <c r="J90"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10" t="inlineStr">
        <is>
          <t>確認待ち</t>
        </is>
      </c>
      <c r="I92" s="10" t="inlineStr">
        <is>
          <t>R8.9</t>
        </is>
      </c>
      <c r="J92"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10" t="inlineStr">
        <is>
          <t>確認待ち</t>
        </is>
      </c>
      <c r="I93" s="10" t="inlineStr">
        <is>
          <t>R8.10</t>
        </is>
      </c>
      <c r="J93"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10" t="inlineStr">
        <is>
          <t>確認待ち</t>
        </is>
      </c>
      <c r="I94" s="10" t="inlineStr">
        <is>
          <t>R8.10</t>
        </is>
      </c>
      <c r="J94"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10" t="inlineStr">
        <is>
          <t>確認待ち</t>
        </is>
      </c>
      <c r="I95" s="10" t="inlineStr">
        <is>
          <t>R8.10</t>
        </is>
      </c>
      <c r="J95"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10" t="inlineStr">
        <is>
          <t>確認待ち</t>
        </is>
      </c>
      <c r="I96" s="10" t="inlineStr">
        <is>
          <t>R8.10</t>
        </is>
      </c>
      <c r="J9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10" t="inlineStr">
        <is>
          <t>確認待ち</t>
        </is>
      </c>
      <c r="I97" s="10" t="inlineStr">
        <is>
          <t>R8.10</t>
        </is>
      </c>
      <c r="J97"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10" t="inlineStr">
        <is>
          <t>確認待ち</t>
        </is>
      </c>
      <c r="I98" s="10" t="inlineStr">
        <is>
          <t>R8.10</t>
        </is>
      </c>
      <c r="J98"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10" t="inlineStr">
        <is>
          <t>確認待ち</t>
        </is>
      </c>
      <c r="I99" s="10" t="inlineStr">
        <is>
          <t>R8.9</t>
        </is>
      </c>
      <c r="J9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10" t="inlineStr">
        <is>
          <t>確認待ち</t>
        </is>
      </c>
      <c r="I100" s="10" t="inlineStr">
        <is>
          <t>R8.9</t>
        </is>
      </c>
      <c r="J10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10" t="inlineStr">
        <is>
          <t>確認待ち</t>
        </is>
      </c>
      <c r="I101" s="10" t="inlineStr">
        <is>
          <t>R8.10</t>
        </is>
      </c>
      <c r="J10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10" t="inlineStr">
        <is>
          <t>確認待ち</t>
        </is>
      </c>
      <c r="I102" s="10" t="inlineStr">
        <is>
          <t>R8.9</t>
        </is>
      </c>
      <c r="J10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10" t="inlineStr">
        <is>
          <t>確認待ち</t>
        </is>
      </c>
      <c r="I103" s="10" t="inlineStr">
        <is>
          <t>R8.10</t>
        </is>
      </c>
      <c r="J103" s="11" t="inlineStr">
        <is>
          <t>対象となり得るのは美瑛町の5事業所。
決着しない場合は過疎地域における定員超過の特例を用いないものとして見込量を算定する。（受託者の仮置き。令和8年10月の意見交換会で諮る）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10" t="inlineStr">
        <is>
          <t>確認待ち</t>
        </is>
      </c>
      <c r="I104" s="10" t="inlineStr">
        <is>
          <t>R8.9</t>
        </is>
      </c>
      <c r="J104"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10" t="inlineStr">
        <is>
          <t>確認待ち</t>
        </is>
      </c>
      <c r="I105" s="10" t="inlineStr">
        <is>
          <t>R8.9</t>
        </is>
      </c>
      <c r="J105"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10" t="inlineStr">
        <is>
          <t>一部回答済</t>
        </is>
      </c>
      <c r="I106" s="10" t="inlineStr">
        <is>
          <t>R8.9</t>
        </is>
      </c>
      <c r="J106"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10" t="inlineStr">
        <is>
          <t>確認待ち</t>
        </is>
      </c>
      <c r="I107" s="10" t="inlineStr">
        <is>
          <t>R8.9</t>
        </is>
      </c>
      <c r="J107"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10" t="inlineStr">
        <is>
          <t>確認待ち</t>
        </is>
      </c>
      <c r="I108" s="10" t="inlineStr">
        <is>
          <t>R8.10</t>
        </is>
      </c>
      <c r="J108"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10" t="inlineStr">
        <is>
          <t>確認待ち</t>
        </is>
      </c>
      <c r="I109" s="10" t="inlineStr">
        <is>
          <t>R8.9</t>
        </is>
      </c>
      <c r="J109" s="11" t="inlineStr">
        <is>
          <t>見込量の季節性の検証と施策反映の設計 04・05シート。
決着しない場合は施策反映を行わないまま概算する（安全側）。（受託者の仮置き。令和8年10月の意見交換会で諮る）</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10" t="inlineStr">
        <is>
          <t>確認待ち</t>
        </is>
      </c>
      <c r="I110" s="10" t="inlineStr">
        <is>
          <t>R8.9</t>
        </is>
      </c>
      <c r="J11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10" t="inlineStr">
        <is>
          <t>確認待ち</t>
        </is>
      </c>
      <c r="I111" s="10" t="inlineStr">
        <is>
          <t>R8.9</t>
        </is>
      </c>
      <c r="J111" s="11" t="inlineStr">
        <is>
          <t>対計画比の偏りの補正試算 05シート。
決着しない場合は施設・居住系の実績の減少を将来へ延長しないまま概算する。（受託者の仮置き。令和8年10月の意見交換会で諮る）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10" t="inlineStr">
        <is>
          <t>確認待ち</t>
        </is>
      </c>
      <c r="I112" s="10" t="inlineStr">
        <is>
          <t>R8.10</t>
        </is>
      </c>
      <c r="J11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10" t="inlineStr">
        <is>
          <t>確認待ち</t>
        </is>
      </c>
      <c r="I113" s="10" t="inlineStr">
        <is>
          <t>R8.10</t>
        </is>
      </c>
      <c r="J113"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10" t="inlineStr">
        <is>
          <t>確認待ち</t>
        </is>
      </c>
      <c r="I114" s="10" t="inlineStr">
        <is>
          <t>R8.10</t>
        </is>
      </c>
      <c r="J114" s="11" t="inlineStr">
        <is>
          <t>趨勢に現れない要因の分析 05シート。
決着しない場合は給付適正化の効果を織り込まないまま概算する（安全側）。（受託者の仮置き。令和8年10月の意見交換会で諮る）</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10" t="inlineStr">
        <is>
          <t>確認待ち</t>
        </is>
      </c>
      <c r="I115" s="10" t="inlineStr">
        <is>
          <t>R8.10</t>
        </is>
      </c>
      <c r="J115" s="11" t="inlineStr">
        <is>
          <t>趨勢に現れない要因の分析 02〜04シート。
決着しない場合は趨勢に現れない要因は向きのみを注記し、数値には織り込まない。（受託者の仮置き。令和8年10月の意見交換会で諮る）</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10" t="inlineStr">
        <is>
          <t>確認待ち</t>
        </is>
      </c>
      <c r="I116" s="10" t="inlineStr">
        <is>
          <t>R8.10</t>
        </is>
      </c>
      <c r="J116"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10" t="inlineStr">
        <is>
          <t>確認待ち</t>
        </is>
      </c>
      <c r="I118" s="10" t="inlineStr">
        <is>
          <t>R8.10</t>
        </is>
      </c>
      <c r="J1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10" t="inlineStr">
        <is>
          <t>確認待ち</t>
        </is>
      </c>
      <c r="I119" s="10" t="inlineStr">
        <is>
          <t>R8.10</t>
        </is>
      </c>
      <c r="J119" s="11" t="inlineStr">
        <is>
          <t>サービス見込量算定の統合報告書 03・04シート。
決着しない場合は令和9年4月新設の3区分を0として立てる。（受託者の仮置き。令和8年10月の意見交換会で諮る）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10" t="inlineStr">
        <is>
          <t>確認待ち</t>
        </is>
      </c>
      <c r="I120" s="10" t="inlineStr">
        <is>
          <t>R8.10</t>
        </is>
      </c>
      <c r="J120" s="11" t="inlineStr">
        <is>
          <t>サービス見込量算定の統合報告書 03・04シート。
決着しない場合は供給の制約（人材）を見込量に反映しない（需要のみで算定する）。（受託者の仮置き。令和8年10月の意見交換会で諮る）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10" t="inlineStr">
        <is>
          <t>確認待ち</t>
        </is>
      </c>
      <c r="I121" s="10" t="inlineStr">
        <is>
          <t>R8.9</t>
        </is>
      </c>
      <c r="J121" s="11" t="inlineStr">
        <is>
          <t>サービス見込量算定の統合報告書 07シート。
決着しない場合は見込量算定の4成果品を統合報告書に束ね、元の4件も残す（現行）。（受託者の仮置き。令和8年10月の意見交換会で諮る）</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10" t="inlineStr">
        <is>
          <t>確認待ち</t>
        </is>
      </c>
      <c r="I122" s="10" t="inlineStr">
        <is>
          <t>R8.10</t>
        </is>
      </c>
      <c r="J122"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10" t="inlineStr">
        <is>
          <t>確認待ち</t>
        </is>
      </c>
      <c r="I123" s="10" t="inlineStr">
        <is>
          <t>R8.10</t>
        </is>
      </c>
      <c r="J123" s="11" t="inlineStr">
        <is>
          <t>地域ケア会議の受領点検とKPI設計案 05シート。
決着しない場合は地域ケア会議の記録様式は協議資料にとどめ、令和9年度に整える。（受託者の仮置き。令和8年10月の意見交換会で諮る）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10" t="inlineStr">
        <is>
          <t>確認待ち</t>
        </is>
      </c>
      <c r="I124" s="10" t="inlineStr">
        <is>
          <t>R8.10</t>
        </is>
      </c>
      <c r="J124" s="11" t="inlineStr">
        <is>
          <t>地域ケア会議の受領点検とKPI設計案 02・06シート。
決着しない場合は地域ケア個別会議と地域ケア推進会議を分けずに計数する。（受託者の仮置き。令和8年10月の意見交換会で諮る）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10" t="inlineStr">
        <is>
          <t>確認待ち</t>
        </is>
      </c>
      <c r="I125" s="10" t="inlineStr">
        <is>
          <t>R8.10</t>
        </is>
      </c>
      <c r="J125" s="11" t="inlineStr">
        <is>
          <t>地域ケア会議の受領点検とKPI設計案 03シート。
決着しない場合は令和7年度の実施報告書により把握できる範囲で記述する。（受託者の仮置き。令和8年10月の意見交換会で諮る）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10" t="inlineStr">
        <is>
          <t>確認待ち</t>
        </is>
      </c>
      <c r="I126" s="10" t="inlineStr">
        <is>
          <t>R8.9</t>
        </is>
      </c>
      <c r="J126"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10" t="inlineStr">
        <is>
          <t>確認待ち</t>
        </is>
      </c>
      <c r="I127" s="10" t="inlineStr">
        <is>
          <t>R8.9</t>
        </is>
      </c>
      <c r="J127" s="11" t="inlineStr">
        <is>
          <t>見える化 将来推計の設定資料の受領点検 04シート。
決着しない場合は見える化システムの推計値は現行の自然体推計のまま用いる。（受託者の仮置き。令和8年10月の意見交換会で諮る）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10" t="inlineStr">
        <is>
          <t>確認待ち</t>
        </is>
      </c>
      <c r="I128" s="10" t="inlineStr">
        <is>
          <t>R8.9</t>
        </is>
      </c>
      <c r="J128"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10" t="inlineStr">
        <is>
          <t>確認待ち</t>
        </is>
      </c>
      <c r="I129" s="10" t="inlineStr">
        <is>
          <t>R8.10</t>
        </is>
      </c>
      <c r="J129"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10" t="inlineStr">
        <is>
          <t>確認待ち</t>
        </is>
      </c>
      <c r="I130" s="10" t="inlineStr">
        <is>
          <t>R8.9</t>
        </is>
      </c>
      <c r="J130" s="11" t="inlineStr">
        <is>
          <t>同表 01・03シート。
決着しない場合は基本推計に近いP3で概算する。（受託者の仮置き。令和8年10月の意見交換会で諮る）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10" t="inlineStr">
        <is>
          <t>確認待ち</t>
        </is>
      </c>
      <c r="I131" s="10" t="inlineStr">
        <is>
          <t>R8.10</t>
        </is>
      </c>
      <c r="J131"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10" t="inlineStr">
        <is>
          <t>確認待ち</t>
        </is>
      </c>
      <c r="I132" s="10" t="inlineStr">
        <is>
          <t>R8.10</t>
        </is>
      </c>
      <c r="J132"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10" t="inlineStr">
        <is>
          <t>確認待ち</t>
        </is>
      </c>
      <c r="I133" s="10" t="inlineStr">
        <is>
          <t>R8.10</t>
        </is>
      </c>
      <c r="J133"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10" t="inlineStr">
        <is>
          <t>確認待ち</t>
        </is>
      </c>
      <c r="I134" s="10" t="inlineStr">
        <is>
          <t>R8.9</t>
        </is>
      </c>
      <c r="J134"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10" t="inlineStr">
        <is>
          <t>確認待ち</t>
        </is>
      </c>
      <c r="I135" s="10" t="inlineStr">
        <is>
          <t>R8.9</t>
        </is>
      </c>
      <c r="J135"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10" t="inlineStr">
        <is>
          <t>確認待ち</t>
        </is>
      </c>
      <c r="I136" s="10" t="inlineStr">
        <is>
          <t>R8.9</t>
        </is>
      </c>
      <c r="J136" s="11" t="inlineStr">
        <is>
          <t>令和8年度実績見込み値の入力案 03・04シート。
決着しない場合は在宅の実績見込み値は当方の入力案のまま置く。（受託者の仮置き。令和8年10月の意見交換会で諮る）</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10" t="inlineStr">
        <is>
          <t>確認待ち</t>
        </is>
      </c>
      <c r="I137" s="10" t="inlineStr">
        <is>
          <t>R8.10</t>
        </is>
      </c>
      <c r="J137" s="11" t="inlineStr">
        <is>
          <t>令和8年度実績見込み値の入力案 05シート。
決着しない場合は令和8年度の月報（4〜7月）は基準年度に用いず、令和7年度を基準として概算する。（受託者の仮置き。令和8年10月の意見交換会で諮る）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10" t="inlineStr">
        <is>
          <t>確認待ち</t>
        </is>
      </c>
      <c r="I140" s="10" t="inlineStr">
        <is>
          <t>R8.10</t>
        </is>
      </c>
      <c r="J140"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10" t="inlineStr">
        <is>
          <t>確認待ち</t>
        </is>
      </c>
      <c r="I141" s="10" t="inlineStr">
        <is>
          <t>R8.9</t>
        </is>
      </c>
      <c r="J141"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10" t="inlineStr">
        <is>
          <t>確認待ち</t>
        </is>
      </c>
      <c r="I142" s="10" t="inlineStr">
        <is>
          <t>R8.9</t>
        </is>
      </c>
      <c r="J142"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10" t="inlineStr">
        <is>
          <t>確認待ち</t>
        </is>
      </c>
      <c r="I143" s="10" t="inlineStr">
        <is>
          <t>R8.9</t>
        </is>
      </c>
      <c r="J143"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10" t="inlineStr">
        <is>
          <t>確認待ち</t>
        </is>
      </c>
      <c r="I144" s="10" t="inlineStr">
        <is>
          <t>R8.9</t>
        </is>
      </c>
      <c r="J144"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10" t="inlineStr">
        <is>
          <t>確認待ち</t>
        </is>
      </c>
      <c r="I145" s="10" t="inlineStr">
        <is>
          <t>R8.9</t>
        </is>
      </c>
      <c r="J145"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10" t="inlineStr">
        <is>
          <t>確認待ち</t>
        </is>
      </c>
      <c r="I146" s="10" t="inlineStr">
        <is>
          <t>R8.9</t>
        </is>
      </c>
      <c r="J146"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10" t="inlineStr">
        <is>
          <t>確認待ち</t>
        </is>
      </c>
      <c r="I147" s="10" t="inlineStr">
        <is>
          <t>R8.10</t>
        </is>
      </c>
      <c r="J147"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10" t="inlineStr">
        <is>
          <t>確認待ち</t>
        </is>
      </c>
      <c r="I148" s="10" t="inlineStr">
        <is>
          <t>R8.10</t>
        </is>
      </c>
      <c r="J148" s="11" t="inlineStr">
        <is>
          <t>管理の統合と成果品の棚卸し 03・05シート。
決着しない場合は統合した成果品の元の資料を残す。（受託者の仮置き。令和8年10月の意見交換会で諮る）</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10" t="inlineStr">
        <is>
          <t>確認待ち</t>
        </is>
      </c>
      <c r="I149" s="10" t="inlineStr">
        <is>
          <t>R8.9</t>
        </is>
      </c>
      <c r="J149"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01・09シート【令和8年10月15日】参照条文（001685804）には認知症基本法が収録されていないため、本件は進んでいない。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10" t="inlineStr">
        <is>
          <t>確認待ち</t>
        </is>
      </c>
      <c r="I157" s="10" t="inlineStr">
        <is>
          <t>R8.10</t>
        </is>
      </c>
      <c r="J157"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10" t="inlineStr">
        <is>
          <t>確認待ち</t>
        </is>
      </c>
      <c r="I158" s="10" t="inlineStr">
        <is>
          <t>R8.10</t>
        </is>
      </c>
      <c r="J158" s="11" t="inlineStr">
        <is>
          <t>素案への加筆版の点検 03シート。
決着しない場合は計画素案 第2章第1節に町別の図を加えない。加筆分は協議用の資料にとどめる。（受託者の仮置き。令和8年10月の意見交換会で諮る）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10" t="inlineStr">
        <is>
          <t>未回答</t>
        </is>
      </c>
      <c r="I189" s="10" t="inlineStr">
        <is>
          <t>R8.12</t>
        </is>
      </c>
      <c r="J189" s="11" t="inlineStr">
        <is>
          <t>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10" t="inlineStr">
        <is>
          <t>未回答</t>
        </is>
      </c>
      <c r="I190" s="10" t="inlineStr">
        <is>
          <t>R8.12</t>
        </is>
      </c>
      <c r="J190" s="11" t="inlineStr">
        <is>
          <t>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10" t="inlineStr">
        <is>
          <t>未回答</t>
        </is>
      </c>
      <c r="I191" s="10" t="inlineStr">
        <is>
          <t>R8.12</t>
        </is>
      </c>
      <c r="J191" s="11" t="inlineStr">
        <is>
          <t>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10" t="inlineStr">
        <is>
          <t>未回答</t>
        </is>
      </c>
      <c r="I192" s="10" t="inlineStr">
        <is>
          <t>R8.12</t>
        </is>
      </c>
      <c r="J192" s="11" t="inlineStr">
        <is>
          <t>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10" t="inlineStr">
        <is>
          <t>未回答</t>
        </is>
      </c>
      <c r="I193" s="10" t="inlineStr">
        <is>
          <t>R8.12</t>
        </is>
      </c>
      <c r="J193" s="11" t="inlineStr">
        <is>
          <t>決着しない場合の当方の扱い＝医療との連携は第5章 基本目標1及び第6章第5節の記述により扱い、医療法の協議の結果の考慮については施行の時期を確認できていない旨を［要確認］として記載する</t>
        </is>
      </c>
    </row>
    <row r="195" ht="32" customHeight="1">
      <c r="A195" s="3" t="inlineStr">
        <is>
          <t>区分</t>
        </is>
      </c>
      <c r="B195" s="3" t="inlineStr">
        <is>
          <t>件数</t>
        </is>
      </c>
      <c r="C195" s="3" t="inlineStr"/>
      <c r="D195" s="3" t="inlineStr"/>
      <c r="E195" s="3" t="inlineStr"/>
      <c r="F195" s="3" t="inlineStr"/>
      <c r="G195" s="3" t="inlineStr"/>
      <c r="H195" s="3" t="inlineStr"/>
      <c r="I195" s="3" t="inlineStr"/>
      <c r="J195" s="3" t="inlineStr"/>
    </row>
    <row r="196" ht="20" customHeight="1">
      <c r="A196" s="6" t="inlineStr">
        <is>
          <t>完了</t>
        </is>
      </c>
      <c r="B196" s="4">
        <f>COUNTIF(H5:H193,"完了")</f>
        <v/>
      </c>
      <c r="C196" s="5" t="inlineStr"/>
      <c r="D196" s="5" t="inlineStr"/>
      <c r="E196" s="5" t="inlineStr"/>
      <c r="F196" s="5" t="inlineStr"/>
      <c r="G196" s="5" t="inlineStr"/>
      <c r="H196" s="5" t="inlineStr"/>
      <c r="I196" s="5" t="inlineStr"/>
      <c r="J196" s="5" t="inlineStr"/>
    </row>
    <row r="197" ht="20" customHeight="1">
      <c r="A197" s="8" t="inlineStr">
        <is>
          <t>実施中</t>
        </is>
      </c>
      <c r="B197" s="4">
        <f>COUNTIF(H5:H193,"実施中")</f>
        <v/>
      </c>
      <c r="C197" s="5" t="inlineStr"/>
      <c r="D197" s="5" t="inlineStr"/>
      <c r="E197" s="5" t="inlineStr"/>
      <c r="F197" s="5" t="inlineStr"/>
      <c r="G197" s="5" t="inlineStr"/>
      <c r="H197" s="5" t="inlineStr"/>
      <c r="I197" s="5" t="inlineStr"/>
      <c r="J197" s="5" t="inlineStr"/>
    </row>
    <row r="198" ht="20" customHeight="1">
      <c r="A198" s="10" t="inlineStr">
        <is>
          <t>確認待ち</t>
        </is>
      </c>
      <c r="B198" s="4">
        <f>COUNTIF(H5:H193,"確認待ち")</f>
        <v/>
      </c>
      <c r="C198" s="5" t="inlineStr"/>
      <c r="D198" s="5" t="inlineStr"/>
      <c r="E198" s="5" t="inlineStr"/>
      <c r="F198" s="5" t="inlineStr"/>
      <c r="G198" s="5" t="inlineStr"/>
      <c r="H198" s="5" t="inlineStr"/>
      <c r="I198" s="5" t="inlineStr"/>
      <c r="J198" s="5" t="inlineStr"/>
    </row>
    <row r="199" ht="20" customHeight="1">
      <c r="A199" s="12" t="inlineStr">
        <is>
          <t>未着手</t>
        </is>
      </c>
      <c r="B199" s="4">
        <f>COUNTIF(H5:H193,"未着手")</f>
        <v/>
      </c>
      <c r="C199" s="5" t="inlineStr"/>
      <c r="D199" s="5" t="inlineStr"/>
      <c r="E199" s="5" t="inlineStr"/>
      <c r="F199" s="5" t="inlineStr"/>
      <c r="G199" s="5" t="inlineStr"/>
      <c r="H199" s="5" t="inlineStr"/>
      <c r="I199" s="5" t="inlineStr"/>
      <c r="J199" s="5" t="inlineStr"/>
    </row>
    <row r="200" ht="20" customHeight="1">
      <c r="A200" s="14" t="inlineStr">
        <is>
          <t>対象外</t>
        </is>
      </c>
      <c r="B200" s="4">
        <f>COUNTIF(H5:H193,"対象外")</f>
        <v/>
      </c>
      <c r="C200" s="5" t="inlineStr"/>
      <c r="D200" s="5" t="inlineStr"/>
      <c r="E200" s="5" t="inlineStr"/>
      <c r="F200" s="5" t="inlineStr"/>
      <c r="G200" s="5" t="inlineStr"/>
      <c r="H200" s="5" t="inlineStr"/>
      <c r="I200" s="5" t="inlineStr"/>
      <c r="J200" s="5" t="inlineStr"/>
    </row>
    <row r="202" ht="32" customHeight="1">
      <c r="A202" s="3" t="inlineStr">
        <is>
          <t>確認先</t>
        </is>
      </c>
      <c r="B202" s="3" t="inlineStr">
        <is>
          <t>件数</t>
        </is>
      </c>
      <c r="C202" s="3" t="inlineStr"/>
      <c r="D202" s="3" t="inlineStr"/>
      <c r="E202" s="3" t="inlineStr"/>
      <c r="F202" s="3" t="inlineStr"/>
      <c r="G202" s="3" t="inlineStr"/>
      <c r="H202" s="3" t="inlineStr"/>
      <c r="I202" s="3" t="inlineStr"/>
      <c r="J202" s="3" t="inlineStr"/>
    </row>
    <row r="203" ht="20" customHeight="1">
      <c r="A203" s="5" t="inlineStr">
        <is>
          <t>発注者</t>
        </is>
      </c>
      <c r="B203" s="4">
        <f>COUNTIF(G5:G193,"発注者")</f>
        <v/>
      </c>
      <c r="C203" s="5" t="inlineStr"/>
      <c r="D203" s="5" t="inlineStr"/>
      <c r="E203" s="5" t="inlineStr"/>
      <c r="F203" s="5" t="inlineStr"/>
      <c r="G203" s="5" t="inlineStr"/>
      <c r="H203" s="5" t="inlineStr"/>
      <c r="I203" s="5" t="inlineStr"/>
      <c r="J203" s="5" t="inlineStr"/>
    </row>
    <row r="204" ht="20" customHeight="1">
      <c r="A204" s="5" t="inlineStr">
        <is>
          <t>発注者・3町</t>
        </is>
      </c>
      <c r="B204" s="4">
        <f>COUNTIF(G5:G193,"発注者・3町")</f>
        <v/>
      </c>
      <c r="C204" s="5" t="inlineStr"/>
      <c r="D204" s="5" t="inlineStr"/>
      <c r="E204" s="5" t="inlineStr"/>
      <c r="F204" s="5" t="inlineStr"/>
      <c r="G204" s="5" t="inlineStr"/>
      <c r="H204" s="5" t="inlineStr"/>
      <c r="I204" s="5" t="inlineStr"/>
      <c r="J204" s="5" t="inlineStr"/>
    </row>
    <row r="205" ht="20" customHeight="1">
      <c r="A205" s="5" t="inlineStr">
        <is>
          <t>発注者・北海道</t>
        </is>
      </c>
      <c r="B205" s="4">
        <f>COUNTIF(G5:G193,"発注者・北海道")</f>
        <v/>
      </c>
      <c r="C205" s="5" t="inlineStr"/>
      <c r="D205" s="5" t="inlineStr"/>
      <c r="E205" s="5" t="inlineStr"/>
      <c r="F205" s="5" t="inlineStr"/>
      <c r="G205" s="5" t="inlineStr"/>
      <c r="H205" s="5" t="inlineStr"/>
      <c r="I205" s="5" t="inlineStr"/>
      <c r="J205" s="5" t="inlineStr"/>
    </row>
    <row r="206" ht="20" customHeight="1">
      <c r="A206" s="5" t="inlineStr">
        <is>
          <t>発注者・3町・北海道</t>
        </is>
      </c>
      <c r="B206" s="4">
        <f>COUNTIF(G5:G193,"発注者・3町・北海道")</f>
        <v/>
      </c>
      <c r="C206" s="5" t="inlineStr"/>
      <c r="D206" s="5" t="inlineStr"/>
      <c r="E206" s="5" t="inlineStr"/>
      <c r="F206" s="5" t="inlineStr"/>
      <c r="G206" s="5" t="inlineStr"/>
      <c r="H206" s="5" t="inlineStr"/>
      <c r="I206" s="5" t="inlineStr"/>
      <c r="J206" s="5" t="inlineStr"/>
    </row>
    <row r="207" ht="20" customHeight="1">
      <c r="A207" s="5" t="inlineStr">
        <is>
          <t>北海道</t>
        </is>
      </c>
      <c r="B207" s="4">
        <f>COUNTIF(G5:G193,"北海道")</f>
        <v/>
      </c>
      <c r="C207" s="5" t="inlineStr"/>
      <c r="D207" s="5" t="inlineStr"/>
      <c r="E207" s="5" t="inlineStr"/>
      <c r="F207" s="5" t="inlineStr"/>
      <c r="G207" s="5" t="inlineStr"/>
      <c r="H207" s="5" t="inlineStr"/>
      <c r="I207" s="5" t="inlineStr"/>
      <c r="J207" s="5" t="inlineStr"/>
    </row>
    <row r="209" ht="52" customHeight="1">
      <c r="A20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3"/>
  <mergeCells count="3">
    <mergeCell ref="A1:J1"/>
    <mergeCell ref="A209:J209"/>
    <mergeCell ref="A2:J2"/>
  </mergeCells>
  <conditionalFormatting sqref="H5:H19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9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（1062段落156表36図）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（1062段落156表36図）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2026-10-15T12:27:42Z</dcterms:created>
  <dcterms:modified xmlns:dcterms="http://purl.org/dc/terms/" xmlns:xsi="http://www.w3.org/2001/XMLSchema-instance" xsi:type="dcterms:W3CDTF">2026-10-15T12:27:44Z</dcterms:modified>
</cp:coreProperties>
</file>