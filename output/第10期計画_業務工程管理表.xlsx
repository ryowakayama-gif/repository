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5, 6, 7, 23, 32</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調査クロス集計・分析（13シート）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19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0.25</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8" ht="32" customHeight="1">
      <c r="A38" s="3" t="inlineStr">
        <is>
          <t>区分</t>
        </is>
      </c>
      <c r="B38" s="3" t="inlineStr">
        <is>
          <t>件数</t>
        </is>
      </c>
      <c r="C38" s="3" t="inlineStr"/>
      <c r="D38" s="3" t="inlineStr"/>
      <c r="E38" s="3" t="inlineStr"/>
      <c r="F38" s="3" t="inlineStr"/>
      <c r="G38" s="3" t="inlineStr"/>
      <c r="H38" s="3" t="inlineStr"/>
      <c r="I38" s="3" t="inlineStr"/>
      <c r="J38" s="3" t="inlineStr"/>
    </row>
    <row r="39" ht="20" customHeight="1">
      <c r="A39" s="6" t="inlineStr">
        <is>
          <t>完了</t>
        </is>
      </c>
      <c r="B39" s="4">
        <f>COUNTIF(H5:H36,"完了")</f>
        <v/>
      </c>
      <c r="C39" s="5" t="inlineStr"/>
      <c r="D39" s="5" t="inlineStr"/>
      <c r="E39" s="5" t="inlineStr"/>
      <c r="F39" s="5" t="inlineStr"/>
      <c r="G39" s="5" t="inlineStr"/>
      <c r="H39" s="5" t="inlineStr"/>
      <c r="I39" s="5" t="inlineStr"/>
      <c r="J39" s="5" t="inlineStr"/>
    </row>
    <row r="40" ht="20" customHeight="1">
      <c r="A40" s="8" t="inlineStr">
        <is>
          <t>実施中</t>
        </is>
      </c>
      <c r="B40" s="4">
        <f>COUNTIF(H5:H36,"実施中")</f>
        <v/>
      </c>
      <c r="C40" s="5" t="inlineStr"/>
      <c r="D40" s="5" t="inlineStr"/>
      <c r="E40" s="5" t="inlineStr"/>
      <c r="F40" s="5" t="inlineStr"/>
      <c r="G40" s="5" t="inlineStr"/>
      <c r="H40" s="5" t="inlineStr"/>
      <c r="I40" s="5" t="inlineStr"/>
      <c r="J40" s="5" t="inlineStr"/>
    </row>
    <row r="41" ht="20" customHeight="1">
      <c r="A41" s="10" t="inlineStr">
        <is>
          <t>確認待ち</t>
        </is>
      </c>
      <c r="B41" s="4">
        <f>COUNTIF(H5:H36,"確認待ち")</f>
        <v/>
      </c>
      <c r="C41" s="5" t="inlineStr"/>
      <c r="D41" s="5" t="inlineStr"/>
      <c r="E41" s="5" t="inlineStr"/>
      <c r="F41" s="5" t="inlineStr"/>
      <c r="G41" s="5" t="inlineStr"/>
      <c r="H41" s="5" t="inlineStr"/>
      <c r="I41" s="5" t="inlineStr"/>
      <c r="J41" s="5" t="inlineStr"/>
    </row>
    <row r="42" ht="20" customHeight="1">
      <c r="A42" s="12" t="inlineStr">
        <is>
          <t>未着手</t>
        </is>
      </c>
      <c r="B42" s="4">
        <f>COUNTIF(H5:H36,"未着手")</f>
        <v/>
      </c>
      <c r="C42" s="5" t="inlineStr"/>
      <c r="D42" s="5" t="inlineStr"/>
      <c r="E42" s="5" t="inlineStr"/>
      <c r="F42" s="5" t="inlineStr"/>
      <c r="G42" s="5" t="inlineStr"/>
      <c r="H42" s="5" t="inlineStr"/>
      <c r="I42" s="5" t="inlineStr"/>
      <c r="J42" s="5" t="inlineStr"/>
    </row>
    <row r="43" ht="20" customHeight="1">
      <c r="A43" s="14" t="inlineStr">
        <is>
          <t>対象外</t>
        </is>
      </c>
      <c r="B43" s="4">
        <f>COUNTIF(H5:H36,"対象外")</f>
        <v/>
      </c>
      <c r="C43" s="5" t="inlineStr"/>
      <c r="D43" s="5" t="inlineStr"/>
      <c r="E43" s="5" t="inlineStr"/>
      <c r="F43" s="5" t="inlineStr"/>
      <c r="G43" s="5" t="inlineStr"/>
      <c r="H43" s="5" t="inlineStr"/>
      <c r="I43" s="5" t="inlineStr"/>
      <c r="J43" s="5" t="inlineStr"/>
    </row>
    <row r="45" ht="32" customHeight="1">
      <c r="A45" s="3" t="inlineStr">
        <is>
          <t>確認先</t>
        </is>
      </c>
      <c r="B45" s="3" t="inlineStr">
        <is>
          <t>件数</t>
        </is>
      </c>
      <c r="C45" s="3" t="inlineStr"/>
      <c r="D45" s="3" t="inlineStr"/>
      <c r="E45" s="3" t="inlineStr"/>
      <c r="F45" s="3" t="inlineStr"/>
      <c r="G45" s="3" t="inlineStr"/>
      <c r="H45" s="3" t="inlineStr"/>
      <c r="I45" s="3" t="inlineStr"/>
      <c r="J45" s="3" t="inlineStr"/>
    </row>
    <row r="46" ht="20" customHeight="1">
      <c r="A46" s="5" t="inlineStr">
        <is>
          <t>発注者</t>
        </is>
      </c>
      <c r="B46" s="4">
        <f>COUNTIF(G5:G36,"発注者")</f>
        <v/>
      </c>
      <c r="C46" s="5" t="inlineStr"/>
      <c r="D46" s="5" t="inlineStr"/>
      <c r="E46" s="5" t="inlineStr"/>
      <c r="F46" s="5" t="inlineStr"/>
      <c r="G46" s="5" t="inlineStr"/>
      <c r="H46" s="5" t="inlineStr"/>
      <c r="I46" s="5" t="inlineStr"/>
      <c r="J46" s="5" t="inlineStr"/>
    </row>
    <row r="47" ht="20" customHeight="1">
      <c r="A47" s="5" t="inlineStr">
        <is>
          <t>発注者・3町</t>
        </is>
      </c>
      <c r="B47" s="4">
        <f>COUNTIF(G5:G36,"発注者・3町")</f>
        <v/>
      </c>
      <c r="C47" s="5" t="inlineStr"/>
      <c r="D47" s="5" t="inlineStr"/>
      <c r="E47" s="5" t="inlineStr"/>
      <c r="F47" s="5" t="inlineStr"/>
      <c r="G47" s="5" t="inlineStr"/>
      <c r="H47" s="5" t="inlineStr"/>
      <c r="I47" s="5" t="inlineStr"/>
      <c r="J47" s="5" t="inlineStr"/>
    </row>
    <row r="48" ht="20" customHeight="1">
      <c r="A48" s="5" t="inlineStr">
        <is>
          <t>発注者・北海道</t>
        </is>
      </c>
      <c r="B48" s="4">
        <f>COUNTIF(G5:G36,"発注者・北海道")</f>
        <v/>
      </c>
      <c r="C48" s="5" t="inlineStr"/>
      <c r="D48" s="5" t="inlineStr"/>
      <c r="E48" s="5" t="inlineStr"/>
      <c r="F48" s="5" t="inlineStr"/>
      <c r="G48" s="5" t="inlineStr"/>
      <c r="H48" s="5" t="inlineStr"/>
      <c r="I48" s="5" t="inlineStr"/>
      <c r="J48" s="5" t="inlineStr"/>
    </row>
    <row r="49" ht="20" customHeight="1">
      <c r="A49" s="5" t="inlineStr">
        <is>
          <t>発注者・3町・北海道</t>
        </is>
      </c>
      <c r="B49" s="4">
        <f>COUNTIF(G5:G36,"発注者・3町・北海道")</f>
        <v/>
      </c>
      <c r="C49" s="5" t="inlineStr"/>
      <c r="D49" s="5" t="inlineStr"/>
      <c r="E49" s="5" t="inlineStr"/>
      <c r="F49" s="5" t="inlineStr"/>
      <c r="G49" s="5" t="inlineStr"/>
      <c r="H49" s="5" t="inlineStr"/>
      <c r="I49" s="5" t="inlineStr"/>
      <c r="J49" s="5" t="inlineStr"/>
    </row>
    <row r="50" ht="20" customHeight="1">
      <c r="A50" s="5" t="inlineStr">
        <is>
          <t>北海道</t>
        </is>
      </c>
      <c r="B50" s="4">
        <f>COUNTIF(G5:G36,"北海道")</f>
        <v/>
      </c>
      <c r="C50" s="5" t="inlineStr"/>
      <c r="D50" s="5" t="inlineStr"/>
      <c r="E50" s="5" t="inlineStr"/>
      <c r="F50" s="5" t="inlineStr"/>
      <c r="G50" s="5" t="inlineStr"/>
      <c r="H50" s="5" t="inlineStr"/>
      <c r="I50" s="5" t="inlineStr"/>
      <c r="J50" s="5" t="inlineStr"/>
    </row>
    <row r="52" ht="28" customHeight="1">
      <c r="A5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2:J52"/>
    <mergeCell ref="A1:J1"/>
    <mergeCell ref="A2:J2"/>
  </mergeCells>
  <conditionalFormatting sqref="H5:H3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3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第10期計画_調査クロス集計・分析.xlsx（22シート）
第10期計画_保険料と施策評価の他団体比較.xlsx（9シート）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2026-07-29T12:21:23Z</dcterms:created>
  <dcterms:modified xmlns:dcterms="http://purl.org/dc/terms/" xmlns:xsi="http://www.w3.org/2001/XMLSchema-instance" xsi:type="dcterms:W3CDTF">2026-07-29T12:21:23Z</dcterms:modified>
</cp:coreProperties>
</file>