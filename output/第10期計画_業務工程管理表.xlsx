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3"/>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業務仕様書「４．業務内容」（1）〜（12）及び「５．業務スケジュール（予定）」に沿って、業務内容別・月別の進捗を管理する。作成日：令和8年8月4日。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第10稿）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117" customHeight="1">
      <c r="A23" s="16" t="inlineStr">
        <is>
          <t>【現時点の全体状況（令和8年7月29日）】契約上の業務期間は令和8年8月着手であるが、発注者から第9期計画、3町の高齢者福祉計画、業務仕様書、地域包括ケア「見える化」システムのデータ、令和7年度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第10稿）、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第9期評価のレッドチームレビュー（9シート・指摘29件）、主張の根拠水準の棚卸しと再レビュー（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レッドチームレビューの指摘のうち2件（3町の数値目標、認定率の年齢調整）は検証の結果が当初の説明と逆転したため、評価の記述を訂正している。</t>
        </is>
      </c>
    </row>
  </sheetData>
  <mergeCells count="5">
    <mergeCell ref="A2:F2"/>
    <mergeCell ref="A19:F19"/>
    <mergeCell ref="A1:F1"/>
    <mergeCell ref="A23:F23"/>
    <mergeCell ref="A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素案第10稿 第1章第9節・資料6</t>
        </is>
      </c>
      <c r="F5" s="10" t="inlineStr">
        <is>
          <t>実施中</t>
        </is>
      </c>
      <c r="G5" s="17" t="n">
        <v>0.85</v>
      </c>
      <c r="H5" s="10" t="inlineStr">
        <is>
          <t>R8.10</t>
        </is>
      </c>
      <c r="I5" s="11" t="inlineStr">
        <is>
          <t>基本指針の告示待ち。告示後に最終照合を行う。特別地域加算の対象地域告示の確認が未了（確認No.1）</t>
        </is>
      </c>
      <c r="J5" s="5" t="inlineStr">
        <is>
          <t>1, 2, 22</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⑦評価そのもののレッドチームレビュー（指摘29件）
⑧全成果物の主張の棚卸し（54主張・根拠水準5階層）
⑨地域差の分析（自給率・地域差指数・保険料の管内比較）
⑩人口推計の基礎の検証（見える化A系列 2000〜2050年）
⑪将来推計 第1段階（人口と認定者数・3シナリオ）
⑫将来推計 第2段階（サービス見込量・感度分析）
⑧レビュー指摘への対応（記述の修正16件・訂正1件）</t>
        </is>
      </c>
      <c r="E6" s="5" t="inlineStr">
        <is>
          <t>妥当性検証報告書 01・02・12・23シート
素案第10稿 第3章
施策体系新旧対照表
第9期評価のレッドチームレビュー（8シート）</t>
        </is>
      </c>
      <c r="F6" s="10" t="inlineStr">
        <is>
          <t>実施中</t>
        </is>
      </c>
      <c r="G6" s="17" t="n">
        <v>0.75</v>
      </c>
      <c r="H6" s="10" t="inlineStr">
        <is>
          <t>R8.9</t>
        </is>
      </c>
      <c r="I6" s="11" t="inlineStr">
        <is>
          <t>レッドチームレビューの指摘29件のうち、記述の修正により対応できる22件への対応を進めた（記述の修正・表現の限定・注記の追加）。うち2件（No.5・No.1）は指摘が的中し、評価の記述を訂正した。No.5は「3町の高齢者福祉計画に数値目標が1件も設定されていない」という所見を「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レッドチームレビュー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t>
        </is>
      </c>
      <c r="J6" s="5" t="inlineStr">
        <is>
          <t>5, 6, 7, 23, 32, 34, 37, 38</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素案第10稿 第2章第4〜6節
実施済み3調査の受領点検と集計（11シート）</t>
        </is>
      </c>
      <c r="F7" s="10" t="inlineStr">
        <is>
          <t>実施中</t>
        </is>
      </c>
      <c r="G7" s="17" t="n">
        <v>0.9</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点検事項31件のうち重大4件（職員数の二重計上、利用者票の回答の偏り、所在地区の記入形式、老健・通所リハと見える化の乖離）の取扱いが決まると⑤4調査横断のクロス集計に着手できる（確認No.8）。あわせて同規模保険者40及び参加74市町村との比較分析を実施し、仕様書４（4）の類似保険者比較のうち住民の状態・社会参加の領域を充足した（確認No.3）</t>
        </is>
      </c>
      <c r="J7" s="5" t="inlineStr">
        <is>
          <t>3, 4, 8, 9, 10, 27, 28</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素案第10稿 第2章
実施済み3調査の受領点検と集計 05・10シート</t>
        </is>
      </c>
      <c r="F8" s="10" t="inlineStr">
        <is>
          <t>実施中</t>
        </is>
      </c>
      <c r="G8" s="17" t="n">
        <v>0.85</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⑦シナリオ比較（基本・需要上振れ・供給制約・基金活用）</t>
        </is>
      </c>
      <c r="E9" s="5" t="inlineStr">
        <is>
          <t>素案第10稿 第6章
追加調査報告書 06シート
保険料と施策評価の他団体比較（9シート）
推計資料（見える化の総括表）</t>
        </is>
      </c>
      <c r="F9" s="10" t="inlineStr">
        <is>
          <t>実施中</t>
        </is>
      </c>
      <c r="G9" s="17" t="n">
        <v>0.78</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第2段階（8シート）として取りまとめた（置き方はヒアリングシート項目6でご意向を確認する）。残るのは、居住系・施設の種別別受給者数、総合事業の実績、及び第3段階（給付費・保険料）である</t>
        </is>
      </c>
      <c r="J9" s="5" t="inlineStr">
        <is>
          <t>14, 15, 16, 29, 30, 31, 33, 36</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素案第10稿（542段落97表34図）
修正指示書（66件）</t>
        </is>
      </c>
      <c r="F10" s="10" t="inlineStr">
        <is>
          <t>実施中</t>
        </is>
      </c>
      <c r="G10" s="17" t="n">
        <v>0.55</v>
      </c>
      <c r="H10" s="10" t="inlineStr">
        <is>
          <t>R9.2</t>
        </is>
      </c>
      <c r="I10" s="11" t="inlineStr">
        <is>
          <t>素案は第10稿まで作成済み。骨子案は素案に統合している。第6章の推計値が未確定のため素案は暫定。概要版は未着手。3町の第10期計画に共通指標を掲載する合意が未了（確認No.17）</t>
        </is>
      </c>
      <c r="J10" s="5" t="inlineStr">
        <is>
          <t>17, 18, 24, 25</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0.6</v>
      </c>
      <c r="H11" s="10" t="inlineStr">
        <is>
          <t>R9.3</t>
        </is>
      </c>
      <c r="I11" s="11" t="inlineStr">
        <is>
          <t>修正指示66件のうち反映済み57件、照会・資料待ち4件、別成果物で対応5件。3町との協議は令和8年10月以降</t>
        </is>
      </c>
      <c r="J11" s="5" t="inlineStr">
        <is>
          <t>―</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0.1</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0.35</v>
      </c>
      <c r="H14" s="10" t="inlineStr">
        <is>
          <t>R9.3</t>
        </is>
      </c>
      <c r="I14" s="11" t="inlineStr">
        <is>
          <t>電子データは作成中。印刷・製本は令和9年3月。本文100頁程度に対する章別のページ配分が未確定（確認No.21）</t>
        </is>
      </c>
      <c r="J14" s="5" t="inlineStr">
        <is>
          <t>21</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事業所実態調査・在宅介護実態調査が仕様書の対象外であり、H07・H08・H12・H16のデータ源が確保できない。取扱いの決定を要する（確認No.4）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第4稿。キックオフ会議の日程が未確定</t>
        </is>
      </c>
      <c r="F5" s="8" t="inlineStr">
        <is>
          <t>実施中</t>
        </is>
      </c>
      <c r="G5" s="10" t="inlineStr"/>
      <c r="H5" s="10" t="inlineStr"/>
      <c r="I5" s="11" t="inlineStr"/>
      <c r="J5" s="5" t="inlineStr">
        <is>
          <t>キックオフ会議で、①事業所実態調査の取扱い、②人口推計の基礎及び認定率のシナリオ、③3調査の点検事項の重大4件の取扱い、④委員会日程についてご意向を確認する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t>
        </is>
      </c>
      <c r="E6" s="5" t="inlineStr">
        <is>
          <t>4調査すべてを受領し集計済。3調査は点検事項31件の解消待ち。介護給付実績分析・現状分析は見える化データにより先行実施済み（妥当性検証報告書・図表集）。人口推計は実績確定後</t>
        </is>
      </c>
      <c r="F6" s="8" t="inlineStr">
        <is>
          <t>実施中</t>
        </is>
      </c>
      <c r="G6" s="10" t="inlineStr"/>
      <c r="H6" s="10" t="inlineStr"/>
      <c r="I6" s="11" t="inlineStr"/>
      <c r="J6" s="5" t="inlineStr">
        <is>
          <t>3調査の点検事項の重大4件の解消が前提。仕様書は9月に人口推計・現状分析を求めているが、令和6〜8年度の実績確定時期の確認を要する</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t>
        </is>
      </c>
      <c r="E7" s="5" t="inlineStr">
        <is>
          <t>地域課題の整理は先行実施済み（妥当性検証報告書 主要所見20件）。骨子案は計画素案（第10稿）に統合して先行作成済み。将来推計は第1段階（人口と認定者数）・第2段階（サービス見込量）を先行して試算済み。第3段階（給付費・保険料）が未着手</t>
        </is>
      </c>
      <c r="F7" s="8" t="inlineStr">
        <is>
          <t>実施中</t>
        </is>
      </c>
      <c r="G7" s="10" t="inlineStr"/>
      <c r="H7" s="10" t="inlineStr"/>
      <c r="I7" s="11" t="inlineStr"/>
      <c r="J7" s="5" t="inlineStr">
        <is>
          <t>骨子案を素案に統合してよいか、又は骨子案を別に作成するかの確認を要する</t>
        </is>
      </c>
    </row>
    <row r="8" ht="94" customHeight="1">
      <c r="A8" s="4" t="inlineStr">
        <is>
          <t>令和8年11月</t>
        </is>
      </c>
      <c r="B8" s="5" t="inlineStr">
        <is>
          <t>構成町意見反映、第10期計画骨子の整理</t>
        </is>
      </c>
      <c r="C8" s="4" t="inlineStr">
        <is>
          <t>(6)(7)</t>
        </is>
      </c>
      <c r="D8" s="5" t="inlineStr">
        <is>
          <t>・3町意見の整理表
・意見反映後の骨子</t>
        </is>
      </c>
      <c r="E8" s="5" t="inlineStr">
        <is>
          <t>3町との協議が前提。3町の第10期高齢者福祉計画の検討状況が未確認</t>
        </is>
      </c>
      <c r="F8" s="12" t="inlineStr">
        <is>
          <t>未着手</t>
        </is>
      </c>
      <c r="G8" s="10" t="inlineStr"/>
      <c r="H8" s="10" t="inlineStr"/>
      <c r="I8" s="11" t="inlineStr"/>
      <c r="J8" s="5" t="inlineStr">
        <is>
          <t>3町の計画策定の工程と担当課の確認が前提</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素案は第10稿まで作成済み（暫定）。見込量・保険料は将来推計の完了後に確定する</t>
        </is>
      </c>
      <c r="F9" s="12" t="inlineStr">
        <is>
          <t>未着手</t>
        </is>
      </c>
      <c r="G9" s="10" t="inlineStr"/>
      <c r="H9" s="10" t="inlineStr"/>
      <c r="I9" s="11" t="inlineStr"/>
      <c r="J9" s="5" t="inlineStr">
        <is>
          <t>基金残高・収納率実績・所得段階別被保険者数の受領が前提</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7月29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58"/>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v>
      </c>
      <c r="B5" s="4" t="inlineStr">
        <is>
          <t>(1)</t>
        </is>
      </c>
      <c r="C5" s="4" t="inlineStr">
        <is>
          <t>R8.8</t>
        </is>
      </c>
      <c r="D5" s="5" t="inlineStr">
        <is>
          <t>特別地域加算の対象地域告示</t>
        </is>
      </c>
      <c r="E5"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5" s="5" t="inlineStr">
        <is>
          <t>素案 第1章第9節
追加調査報告書 01シート</t>
        </is>
      </c>
      <c r="G5" s="5" t="inlineStr">
        <is>
          <t>北海道</t>
        </is>
      </c>
      <c r="H5" s="10" t="inlineStr">
        <is>
          <t>確認待ち</t>
        </is>
      </c>
      <c r="I5" s="10" t="inlineStr">
        <is>
          <t>R8.9</t>
        </is>
      </c>
      <c r="J5" s="11" t="inlineStr"/>
    </row>
    <row r="6" ht="88" customHeight="1">
      <c r="A6" s="4" t="n">
        <v>2</v>
      </c>
      <c r="B6" s="4" t="inlineStr">
        <is>
          <t>(1)</t>
        </is>
      </c>
      <c r="C6" s="4" t="inlineStr">
        <is>
          <t>R8.9</t>
        </is>
      </c>
      <c r="D6" s="5" t="inlineStr">
        <is>
          <t>特定地域の指定に係る意向表明の手続</t>
        </is>
      </c>
      <c r="E6"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6" s="5" t="inlineStr">
        <is>
          <t>素案 第1章第9節・第6章第4節</t>
        </is>
      </c>
      <c r="G6" s="5" t="inlineStr">
        <is>
          <t>北海道</t>
        </is>
      </c>
      <c r="H6" s="10" t="inlineStr">
        <is>
          <t>確認待ち</t>
        </is>
      </c>
      <c r="I6" s="10" t="inlineStr">
        <is>
          <t>R8.10</t>
        </is>
      </c>
      <c r="J6" s="11" t="inlineStr"/>
    </row>
    <row r="7" ht="88" customHeight="1">
      <c r="A7" s="4" t="n">
        <v>3</v>
      </c>
      <c r="B7" s="4" t="inlineStr">
        <is>
          <t>(4)</t>
        </is>
      </c>
      <c r="C7" s="4" t="inlineStr">
        <is>
          <t>R8.9</t>
        </is>
      </c>
      <c r="D7" s="5" t="inlineStr">
        <is>
          <t>類似保険者との比較分析の対象</t>
        </is>
      </c>
      <c r="E7"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7" s="5" t="inlineStr">
        <is>
          <t>素案 第2章第2節
分析資料</t>
        </is>
      </c>
      <c r="G7" s="5" t="inlineStr">
        <is>
          <t>発注者</t>
        </is>
      </c>
      <c r="H7" s="10" t="inlineStr">
        <is>
          <t>確認待ち</t>
        </is>
      </c>
      <c r="I7" s="10" t="inlineStr">
        <is>
          <t>R8.9</t>
        </is>
      </c>
      <c r="J7" s="11" t="inlineStr"/>
    </row>
    <row r="8" ht="88" customHeight="1">
      <c r="A8" s="4" t="n">
        <v>4</v>
      </c>
      <c r="B8" s="4" t="inlineStr">
        <is>
          <t>(12)</t>
        </is>
      </c>
      <c r="C8" s="4" t="inlineStr">
        <is>
          <t>R8.8</t>
        </is>
      </c>
      <c r="D8" s="5" t="inlineStr">
        <is>
          <t>事業所実態調査・在宅介護実態調査の取扱い</t>
        </is>
      </c>
      <c r="E8" s="5" t="inlineStr">
        <is>
          <t>仕様書４（3）の対象4調査に事業所実態調査・在宅介護実態調査が含まれておらず、「新たなアンケート調査の企画、設計、配布、回収、入力及び督促は行わない」とされている。一方、代表KPIのH07・H08・H12・H16はこれらをデータ源としている。調査クロス集計・分析の結果、H07（主介護者）・H08（支援者の不在）は健康とくらしの調査の大雪独自設問により算定できることが判明したが、指標の定義変更を伴う。H12・H16は事業所側の情報を要するため算定できない。①発注者が実施する、②代理指標へ振り替える、③指標から外す、のいずれかの決定を要する。</t>
        </is>
      </c>
      <c r="F8" s="5" t="inlineStr">
        <is>
          <t>素案 第4章第3節・資料1
全16KPIの4項目</t>
        </is>
      </c>
      <c r="G8" s="5" t="inlineStr">
        <is>
          <t>発注者</t>
        </is>
      </c>
      <c r="H8" s="10" t="inlineStr">
        <is>
          <t>確認待ち</t>
        </is>
      </c>
      <c r="I8" s="10" t="inlineStr">
        <is>
          <t>R8.8</t>
        </is>
      </c>
      <c r="J8" s="11" t="inlineStr"/>
    </row>
    <row r="9" ht="88" customHeight="1">
      <c r="A9" s="4" t="n">
        <v>5</v>
      </c>
      <c r="B9" s="4" t="inlineStr">
        <is>
          <t>(2)</t>
        </is>
      </c>
      <c r="C9" s="4" t="inlineStr">
        <is>
          <t>R8.8</t>
        </is>
      </c>
      <c r="D9" s="5" t="inlineStr">
        <is>
          <t>第9期の施策・事業実績</t>
        </is>
      </c>
      <c r="E9" s="5" t="inlineStr">
        <is>
          <t>第9期計画（令和6〜8年度）の施策・事業実績、事業量、対象実人数、予算・決算。19施策の達成度を判定するために必要。</t>
        </is>
      </c>
      <c r="F9" s="5" t="inlineStr">
        <is>
          <t>素案 第3章第5節
妥当性検証報告書 12シート</t>
        </is>
      </c>
      <c r="G9" s="5" t="inlineStr">
        <is>
          <t>発注者</t>
        </is>
      </c>
      <c r="H9" s="10" t="inlineStr">
        <is>
          <t>確認待ち</t>
        </is>
      </c>
      <c r="I9" s="10" t="inlineStr">
        <is>
          <t>R8.8</t>
        </is>
      </c>
      <c r="J9" s="11" t="inlineStr"/>
    </row>
    <row r="10" ht="88" customHeight="1">
      <c r="A10" s="4" t="n">
        <v>6</v>
      </c>
      <c r="B10" s="4" t="inlineStr">
        <is>
          <t>(2)</t>
        </is>
      </c>
      <c r="C10" s="4" t="inlineStr">
        <is>
          <t>R8.8</t>
        </is>
      </c>
      <c r="D10" s="5" t="inlineStr">
        <is>
          <t>交付金の評価調書</t>
        </is>
      </c>
      <c r="E10"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 s="5" t="inlineStr">
        <is>
          <t>素案 第3章第4節
追加調査報告書 02シート</t>
        </is>
      </c>
      <c r="G10" s="5" t="inlineStr">
        <is>
          <t>発注者</t>
        </is>
      </c>
      <c r="H10" s="10" t="inlineStr">
        <is>
          <t>確認待ち</t>
        </is>
      </c>
      <c r="I10" s="10" t="inlineStr">
        <is>
          <t>R8.9</t>
        </is>
      </c>
      <c r="J10" s="11" t="inlineStr"/>
    </row>
    <row r="11" ht="88" customHeight="1">
      <c r="A11" s="4" t="n">
        <v>7</v>
      </c>
      <c r="B11" s="4" t="inlineStr">
        <is>
          <t>(2)</t>
        </is>
      </c>
      <c r="C11" s="4" t="inlineStr">
        <is>
          <t>R8.8</t>
        </is>
      </c>
      <c r="D11" s="5" t="inlineStr">
        <is>
          <t>第9期の自己評価と北海道への報告の実績</t>
        </is>
      </c>
      <c r="E11" s="5" t="inlineStr">
        <is>
          <t>第9期計画の代表KPIについて令和6・7年度に実績を算定した資料の有無、運営協議会への報告の有無と議事録、及び介護保険法第117条に基づく北海道への報告の実績。</t>
        </is>
      </c>
      <c r="F11" s="5" t="inlineStr">
        <is>
          <t>素案 第1章第6節・第3章第4節</t>
        </is>
      </c>
      <c r="G11" s="5" t="inlineStr">
        <is>
          <t>発注者</t>
        </is>
      </c>
      <c r="H11" s="10" t="inlineStr">
        <is>
          <t>確認待ち</t>
        </is>
      </c>
      <c r="I11" s="10" t="inlineStr">
        <is>
          <t>R8.9</t>
        </is>
      </c>
      <c r="J11" s="11" t="inlineStr"/>
    </row>
    <row r="12" ht="88" customHeight="1">
      <c r="A12" s="4" t="n">
        <v>8</v>
      </c>
      <c r="B12" s="4" t="inlineStr">
        <is>
          <t>(3)</t>
        </is>
      </c>
      <c r="C12" s="4" t="inlineStr">
        <is>
          <t>R8.8</t>
        </is>
      </c>
      <c r="D12" s="5" t="inlineStr">
        <is>
          <t>3調査の点検事項の取扱い</t>
        </is>
      </c>
      <c r="E12" s="5" t="inlineStr">
        <is>
          <t>令和8年8月4日に第10期分102ファイルを受領し点検・集計した。重大4件（同一法人による職員数の二重計上、利用者票の回答の偏り、所在地区の記入形式）の取扱いと、事業所への照会の要否・方法の確認を要する。</t>
        </is>
      </c>
      <c r="F12" s="5" t="inlineStr">
        <is>
          <t>素案 第2章第5・6節
H06・H11・H13・H14の基準値</t>
        </is>
      </c>
      <c r="G12" s="5" t="inlineStr">
        <is>
          <t>発注者</t>
        </is>
      </c>
      <c r="H12" s="10" t="inlineStr">
        <is>
          <t>確認待ち</t>
        </is>
      </c>
      <c r="I12" s="10" t="inlineStr">
        <is>
          <t>R8.8</t>
        </is>
      </c>
      <c r="J12" s="11" t="inlineStr"/>
    </row>
    <row r="13" ht="88" customHeight="1">
      <c r="A13" s="4" t="n">
        <v>9</v>
      </c>
      <c r="B13" s="4" t="inlineStr">
        <is>
          <t>(3)</t>
        </is>
      </c>
      <c r="C13" s="4" t="inlineStr">
        <is>
          <t>R8.9</t>
        </is>
      </c>
      <c r="D13" s="5" t="inlineStr">
        <is>
          <t>調査の対象者範囲と回収率</t>
        </is>
      </c>
      <c r="E13" s="5" t="inlineStr">
        <is>
          <t>4調査の対象者の範囲（要介護度、年齢、居所等）、配布数、回収数、回収率。標本規模に応じた分析の深度（クロス集計の可否）の判断に必要。</t>
        </is>
      </c>
      <c r="F13" s="5" t="inlineStr">
        <is>
          <t>素案 第2章第4〜6節
クロス集計表</t>
        </is>
      </c>
      <c r="G13" s="5" t="inlineStr">
        <is>
          <t>発注者</t>
        </is>
      </c>
      <c r="H13" s="10" t="inlineStr">
        <is>
          <t>確認待ち</t>
        </is>
      </c>
      <c r="I13" s="10" t="inlineStr">
        <is>
          <t>R8.9</t>
        </is>
      </c>
      <c r="J13" s="11" t="inlineStr"/>
    </row>
    <row r="14" ht="88" customHeight="1">
      <c r="A14" s="4" t="n">
        <v>10</v>
      </c>
      <c r="B14" s="4" t="inlineStr">
        <is>
          <t>(3)</t>
        </is>
      </c>
      <c r="C14" s="4" t="inlineStr">
        <is>
          <t>R8.9</t>
        </is>
      </c>
      <c r="D14" s="5" t="inlineStr">
        <is>
          <t>介護人材実態調査の採用者数・退職者数</t>
        </is>
      </c>
      <c r="E14" s="5" t="inlineStr">
        <is>
          <t>北海道の評価指標⑥と同じ「採用率と離職率の差」を算定するため、各年9月30日現在の在籍者数と、年間の採用者数・退職者数。H14の基準値となる。</t>
        </is>
      </c>
      <c r="F14" s="5" t="inlineStr">
        <is>
          <t>素案 第4章第3節
H14の基準値</t>
        </is>
      </c>
      <c r="G14" s="5" t="inlineStr">
        <is>
          <t>発注者</t>
        </is>
      </c>
      <c r="H14" s="10" t="inlineStr">
        <is>
          <t>確認待ち</t>
        </is>
      </c>
      <c r="I14" s="10" t="inlineStr">
        <is>
          <t>R8.9</t>
        </is>
      </c>
      <c r="J14" s="11" t="inlineStr"/>
    </row>
    <row r="15" ht="88" customHeight="1">
      <c r="A15" s="4" t="n">
        <v>11</v>
      </c>
      <c r="B15" s="4" t="inlineStr">
        <is>
          <t>(4)</t>
        </is>
      </c>
      <c r="C15" s="4" t="inlineStr">
        <is>
          <t>R8.9</t>
        </is>
      </c>
      <c r="D15" s="5" t="inlineStr">
        <is>
          <t>町別の人口・世帯データ</t>
        </is>
      </c>
      <c r="E15"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5" s="5" t="inlineStr">
        <is>
          <t>素案 第2章第1節
図1・図2・図3</t>
        </is>
      </c>
      <c r="G15" s="5" t="inlineStr">
        <is>
          <t>発注者・3町</t>
        </is>
      </c>
      <c r="H15" s="10" t="inlineStr">
        <is>
          <t>確認待ち</t>
        </is>
      </c>
      <c r="I15" s="10" t="inlineStr">
        <is>
          <t>R8.9</t>
        </is>
      </c>
      <c r="J15" s="11" t="inlineStr"/>
    </row>
    <row r="16" ht="88" customHeight="1">
      <c r="A16" s="4" t="n">
        <v>12</v>
      </c>
      <c r="B16" s="4" t="inlineStr">
        <is>
          <t>(4)</t>
        </is>
      </c>
      <c r="C16" s="4" t="inlineStr">
        <is>
          <t>R8.9</t>
        </is>
      </c>
      <c r="D16" s="5" t="inlineStr">
        <is>
          <t>日常生活圏域別のデータ</t>
        </is>
      </c>
      <c r="E16"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6" s="5" t="inlineStr">
        <is>
          <t>素案 第1章第7節・第2章
圏域別分析資料
調査クロス集計・分析 01・18シート</t>
        </is>
      </c>
      <c r="G16" s="5" t="inlineStr">
        <is>
          <t>発注者・3町</t>
        </is>
      </c>
      <c r="H16" s="10" t="inlineStr">
        <is>
          <t>確認待ち</t>
        </is>
      </c>
      <c r="I16" s="10" t="inlineStr">
        <is>
          <t>R8.9</t>
        </is>
      </c>
      <c r="J16" s="11" t="inlineStr"/>
    </row>
    <row r="17" ht="88" customHeight="1">
      <c r="A17" s="4" t="n">
        <v>13</v>
      </c>
      <c r="B17" s="4" t="inlineStr">
        <is>
          <t>(4)</t>
        </is>
      </c>
      <c r="C17" s="4" t="inlineStr">
        <is>
          <t>R8.9</t>
        </is>
      </c>
      <c r="D17" s="5" t="inlineStr">
        <is>
          <t>訪問・通所困難地域の判定資料</t>
        </is>
      </c>
      <c r="E17" s="5" t="inlineStr">
        <is>
          <t>①区域内で訪問系・通所系サービスを提供する全事業所の運営規程における「通常の事業の実施地域」（居宅サービスは北海道、地域密着型は広域連合が保有）、②中山間地域等居住者サービス提供加算・特別地域加算の算定事業所と件数、③3町の除雪計画における優先路線と冬期の通行支障の実績。</t>
        </is>
      </c>
      <c r="F17" s="5" t="inlineStr">
        <is>
          <t>素案 第1章第7節
追加調査報告書 03シート</t>
        </is>
      </c>
      <c r="G17" s="5" t="inlineStr">
        <is>
          <t>発注者・3町・北海道</t>
        </is>
      </c>
      <c r="H17" s="10" t="inlineStr">
        <is>
          <t>確認待ち</t>
        </is>
      </c>
      <c r="I17" s="10" t="inlineStr">
        <is>
          <t>R8.10</t>
        </is>
      </c>
      <c r="J17" s="11" t="inlineStr"/>
    </row>
    <row r="18" ht="88" customHeight="1">
      <c r="A18" s="4" t="n">
        <v>14</v>
      </c>
      <c r="B18" s="4" t="inlineStr">
        <is>
          <t>(5)</t>
        </is>
      </c>
      <c r="C18" s="4" t="inlineStr">
        <is>
          <t>R8.10</t>
        </is>
      </c>
      <c r="D18" s="5" t="inlineStr">
        <is>
          <t>人口推計の基礎とする系列</t>
        </is>
      </c>
      <c r="E18"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8" s="5" t="inlineStr">
        <is>
          <t>素案 第6章第1節
将来推計</t>
        </is>
      </c>
      <c r="G18" s="5" t="inlineStr">
        <is>
          <t>発注者・3町</t>
        </is>
      </c>
      <c r="H18" s="10" t="inlineStr">
        <is>
          <t>確認待ち</t>
        </is>
      </c>
      <c r="I18" s="10" t="inlineStr">
        <is>
          <t>R8.10</t>
        </is>
      </c>
      <c r="J18" s="11" t="inlineStr"/>
    </row>
    <row r="19" ht="88" customHeight="1">
      <c r="A19" s="4" t="n">
        <v>15</v>
      </c>
      <c r="B19" s="4" t="inlineStr">
        <is>
          <t>(5)</t>
        </is>
      </c>
      <c r="C19" s="4" t="inlineStr">
        <is>
          <t>R8.10</t>
        </is>
      </c>
      <c r="D19" s="5" t="inlineStr">
        <is>
          <t>認定者数の基準月と月次推移</t>
        </is>
      </c>
      <c r="E19" s="5" t="inlineStr">
        <is>
          <t>令和3〜8年度の各月の認定者数。推計ガイドは9月末を目安としつつ「年度内平均値に近い月を選択する」としているため、当広域連合の月次推移を確認して基準月を選定する。</t>
        </is>
      </c>
      <c r="F19" s="5" t="inlineStr">
        <is>
          <t>素案 第6章第1節
将来推計</t>
        </is>
      </c>
      <c r="G19" s="5" t="inlineStr">
        <is>
          <t>発注者</t>
        </is>
      </c>
      <c r="H19" s="10" t="inlineStr">
        <is>
          <t>確認待ち</t>
        </is>
      </c>
      <c r="I19" s="10" t="inlineStr">
        <is>
          <t>R8.10</t>
        </is>
      </c>
      <c r="J19" s="11" t="inlineStr"/>
    </row>
    <row r="20" ht="88" customHeight="1">
      <c r="A20" s="4" t="n">
        <v>16</v>
      </c>
      <c r="B20" s="4" t="inlineStr">
        <is>
          <t>(5)</t>
        </is>
      </c>
      <c r="C20" s="4" t="inlineStr">
        <is>
          <t>R8.11</t>
        </is>
      </c>
      <c r="D20" s="5" t="inlineStr">
        <is>
          <t>保険料算定の前提</t>
        </is>
      </c>
      <c r="E20" s="5" t="inlineStr">
        <is>
          <t>①介護給付費準備基金の残高推移と取崩実績（第7期〜第9期）、②保険料収納率の実績（第7期〜第9期）、③所得段階別被保険者数、④地域支援事業費の区分別内訳（総合事業・包括的支援事業・任意事業）。</t>
        </is>
      </c>
      <c r="F20" s="5" t="inlineStr">
        <is>
          <t>素案 第6章第3節・第6節
保険料算定表</t>
        </is>
      </c>
      <c r="G20" s="5" t="inlineStr">
        <is>
          <t>発注者</t>
        </is>
      </c>
      <c r="H20" s="10" t="inlineStr">
        <is>
          <t>確認待ち</t>
        </is>
      </c>
      <c r="I20" s="10" t="inlineStr">
        <is>
          <t>R8.11</t>
        </is>
      </c>
      <c r="J20" s="11" t="inlineStr"/>
    </row>
    <row r="21" ht="88" customHeight="1">
      <c r="A21" s="4" t="n">
        <v>17</v>
      </c>
      <c r="B21" s="4" t="inlineStr">
        <is>
          <t>(6)</t>
        </is>
      </c>
      <c r="C21" s="4" t="inlineStr">
        <is>
          <t>R8.10</t>
        </is>
      </c>
      <c r="D21" s="5" t="inlineStr">
        <is>
          <t>3町計画への共通指標の掲載</t>
        </is>
      </c>
      <c r="E21" s="5" t="inlineStr">
        <is>
          <t>第9期は3町の高齢者福祉計画に数値目標が1件も設定されておらず、広域連合の代表KPIの検証への参画を明記していたのは東川町のみであった。第10期では3町の計画に共通指標を掲載していただく合意が、資料2の実効性の前提となる。あわせて3町の第10期計画の検討資料、策定工程、担当課の確認。</t>
        </is>
      </c>
      <c r="F21" s="5" t="inlineStr">
        <is>
          <t>素案 資料2
3町協議資料</t>
        </is>
      </c>
      <c r="G21" s="5" t="inlineStr">
        <is>
          <t>発注者・3町</t>
        </is>
      </c>
      <c r="H21" s="10" t="inlineStr">
        <is>
          <t>確認待ち</t>
        </is>
      </c>
      <c r="I21" s="10" t="inlineStr">
        <is>
          <t>R8.10</t>
        </is>
      </c>
      <c r="J21" s="11" t="inlineStr"/>
    </row>
    <row r="22" ht="88" customHeight="1">
      <c r="A22" s="4" t="n">
        <v>18</v>
      </c>
      <c r="B22" s="4" t="inlineStr">
        <is>
          <t>(6)</t>
        </is>
      </c>
      <c r="C22" s="4" t="inlineStr">
        <is>
          <t>R8.10</t>
        </is>
      </c>
      <c r="D22" s="5" t="inlineStr">
        <is>
          <t>骨子案の取扱い</t>
        </is>
      </c>
      <c r="E22" s="5" t="inlineStr">
        <is>
          <t>仕様書は骨子案・計画素案・計画最終案・概要版原稿の作成を求めている。現在、骨子案の内容は計画素案（第10稿）に統合して先行作成しているが、骨子案を別に作成する必要があるかの確認。</t>
        </is>
      </c>
      <c r="F22" s="5" t="inlineStr">
        <is>
          <t>骨子案</t>
        </is>
      </c>
      <c r="G22" s="5" t="inlineStr">
        <is>
          <t>発注者</t>
        </is>
      </c>
      <c r="H22" s="10" t="inlineStr">
        <is>
          <t>確認待ち</t>
        </is>
      </c>
      <c r="I22" s="10" t="inlineStr">
        <is>
          <t>R8.9</t>
        </is>
      </c>
      <c r="J22" s="11" t="inlineStr"/>
    </row>
    <row r="23" ht="88" customHeight="1">
      <c r="A23" s="4" t="n">
        <v>19</v>
      </c>
      <c r="B23" s="4" t="inlineStr">
        <is>
          <t>(8)(9)</t>
        </is>
      </c>
      <c r="C23" s="4" t="inlineStr">
        <is>
          <t>R8.8</t>
        </is>
      </c>
      <c r="D23" s="5" t="inlineStr">
        <is>
          <t>会議日程とパブリックコメントの期間</t>
        </is>
      </c>
      <c r="E23" s="5" t="inlineStr">
        <is>
          <t>①介護保険事業計画策定委員会（運営協議会）の開催日程、審議事項、資料提出期限、②パブリックコメントの実施期間、③町別値・少数値の公表基準。工程の確定と資料作成の逆算に必要。</t>
        </is>
      </c>
      <c r="F23" s="5" t="inlineStr">
        <is>
          <t>委員会資料原案
パブリックコメント資料</t>
        </is>
      </c>
      <c r="G23" s="5" t="inlineStr">
        <is>
          <t>発注者</t>
        </is>
      </c>
      <c r="H23" s="10" t="inlineStr">
        <is>
          <t>確認待ち</t>
        </is>
      </c>
      <c r="I23" s="10" t="inlineStr">
        <is>
          <t>R8.8</t>
        </is>
      </c>
      <c r="J23" s="11" t="inlineStr"/>
    </row>
    <row r="24" ht="88" customHeight="1">
      <c r="A24" s="4" t="n">
        <v>20</v>
      </c>
      <c r="B24" s="4" t="inlineStr">
        <is>
          <t>(8)</t>
        </is>
      </c>
      <c r="C24" s="4" t="inlineStr">
        <is>
          <t>R8.9</t>
        </is>
      </c>
      <c r="D24" s="5" t="inlineStr">
        <is>
          <t>北海道・圏域との調整の場</t>
        </is>
      </c>
      <c r="E24" s="5" t="inlineStr">
        <is>
          <t>上川中部高齢者保健福祉圏域に関する北海道の調整方針、圏域連絡協議会の資料、及び圏域単位の協議の場の設置予定。24時間対応サービスの確保方策（第6章第4節）の検討に必要。</t>
        </is>
      </c>
      <c r="F24" s="5" t="inlineStr">
        <is>
          <t>素案 第6章第4節</t>
        </is>
      </c>
      <c r="G24" s="5" t="inlineStr">
        <is>
          <t>発注者・北海道</t>
        </is>
      </c>
      <c r="H24" s="10" t="inlineStr">
        <is>
          <t>確認待ち</t>
        </is>
      </c>
      <c r="I24" s="10" t="inlineStr">
        <is>
          <t>R8.10</t>
        </is>
      </c>
      <c r="J24" s="11" t="inlineStr"/>
    </row>
    <row r="25" ht="88" customHeight="1">
      <c r="A25" s="4" t="n">
        <v>21</v>
      </c>
      <c r="B25" s="4" t="inlineStr">
        <is>
          <t>(10)</t>
        </is>
      </c>
      <c r="C25" s="4" t="inlineStr">
        <is>
          <t>R8.10</t>
        </is>
      </c>
      <c r="D25" s="5" t="inlineStr">
        <is>
          <t>成果品の仕様</t>
        </is>
      </c>
      <c r="E25" s="5" t="inlineStr">
        <is>
          <t>①本文100頁程度に対する章別のページ配分、②図表の本文掲載点数の上限、③概要版の頁数と体裁、④印刷・製本の入稿期限。図表集は33シート133点あり、本文に何点まで掲載するかの決定を要する。</t>
        </is>
      </c>
      <c r="F25" s="5" t="inlineStr">
        <is>
          <t>計画書（印刷200部）
概要版</t>
        </is>
      </c>
      <c r="G25" s="5" t="inlineStr">
        <is>
          <t>発注者</t>
        </is>
      </c>
      <c r="H25" s="10" t="inlineStr">
        <is>
          <t>確認待ち</t>
        </is>
      </c>
      <c r="I25" s="10" t="inlineStr">
        <is>
          <t>R8.10</t>
        </is>
      </c>
      <c r="J25" s="11" t="inlineStr"/>
    </row>
    <row r="26" ht="88" customHeight="1">
      <c r="A26" s="4" t="n">
        <v>22</v>
      </c>
      <c r="B26" s="4" t="inlineStr">
        <is>
          <t>(1)</t>
        </is>
      </c>
      <c r="C26" s="4" t="inlineStr">
        <is>
          <t>R8.9</t>
        </is>
      </c>
      <c r="D26" s="5" t="inlineStr">
        <is>
          <t>北海道の評価指標の読替えの考え方</t>
        </is>
      </c>
      <c r="E26"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26" s="5" t="inlineStr">
        <is>
          <t>素案 第1章第6節
追加調査報告書 04シート</t>
        </is>
      </c>
      <c r="G26" s="5" t="inlineStr">
        <is>
          <t>発注者・北海道</t>
        </is>
      </c>
      <c r="H26" s="10" t="inlineStr">
        <is>
          <t>確認待ち</t>
        </is>
      </c>
      <c r="I26" s="10" t="inlineStr">
        <is>
          <t>R8.9</t>
        </is>
      </c>
      <c r="J26" s="11" t="inlineStr"/>
    </row>
    <row r="27" ht="88" customHeight="1">
      <c r="A27" s="4" t="n">
        <v>23</v>
      </c>
      <c r="B27" s="4" t="inlineStr">
        <is>
          <t>(2)</t>
        </is>
      </c>
      <c r="C27" s="4" t="inlineStr">
        <is>
          <t>R8.9</t>
        </is>
      </c>
      <c r="D27" s="5" t="inlineStr">
        <is>
          <t>事業所の定員・稼働率データ</t>
        </is>
      </c>
      <c r="E27"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27" s="5" t="inlineStr">
        <is>
          <t>素案 第2章第3節・第6章第4節
図21・図22</t>
        </is>
      </c>
      <c r="G27" s="5" t="inlineStr">
        <is>
          <t>発注者・3町</t>
        </is>
      </c>
      <c r="H27" s="10" t="inlineStr">
        <is>
          <t>確認待ち</t>
        </is>
      </c>
      <c r="I27" s="10" t="inlineStr">
        <is>
          <t>R8.10</t>
        </is>
      </c>
      <c r="J27" s="11" t="inlineStr"/>
    </row>
    <row r="28" ht="88" customHeight="1">
      <c r="A28" s="4" t="n">
        <v>24</v>
      </c>
      <c r="B28" s="4" t="inlineStr">
        <is>
          <t>(6)</t>
        </is>
      </c>
      <c r="C28" s="4" t="inlineStr">
        <is>
          <t>R8.11</t>
        </is>
      </c>
      <c r="D28" s="5" t="inlineStr">
        <is>
          <t>24時間対応サービスの確保方策の決定</t>
        </is>
      </c>
      <c r="E28"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28" s="5" t="inlineStr">
        <is>
          <t>素案 第6章第2節・第4節
見込量表（3種別）</t>
        </is>
      </c>
      <c r="G28" s="5" t="inlineStr">
        <is>
          <t>発注者</t>
        </is>
      </c>
      <c r="H28" s="10" t="inlineStr">
        <is>
          <t>確認待ち</t>
        </is>
      </c>
      <c r="I28" s="10" t="inlineStr">
        <is>
          <t>R8.11</t>
        </is>
      </c>
      <c r="J28" s="11" t="inlineStr"/>
    </row>
    <row r="29" ht="88" customHeight="1">
      <c r="A29" s="4" t="n">
        <v>25</v>
      </c>
      <c r="B29" s="4" t="inlineStr">
        <is>
          <t>(6)</t>
        </is>
      </c>
      <c r="C29" s="4" t="inlineStr">
        <is>
          <t>R8.11</t>
        </is>
      </c>
      <c r="D29" s="5" t="inlineStr">
        <is>
          <t>代表KPIの目標値の決定</t>
        </is>
      </c>
      <c r="E29"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29" s="5" t="inlineStr">
        <is>
          <t>素案 第4章第3節・第5章
全16KPIの目標値</t>
        </is>
      </c>
      <c r="G29" s="5" t="inlineStr">
        <is>
          <t>発注者</t>
        </is>
      </c>
      <c r="H29" s="10" t="inlineStr">
        <is>
          <t>確認待ち</t>
        </is>
      </c>
      <c r="I29" s="10" t="inlineStr">
        <is>
          <t>R8.12</t>
        </is>
      </c>
      <c r="J29" s="11" t="inlineStr"/>
    </row>
    <row r="30" ht="88" customHeight="1">
      <c r="A30" s="4" t="n">
        <v>26</v>
      </c>
      <c r="B30" s="4" t="inlineStr">
        <is>
          <t>(4)</t>
        </is>
      </c>
      <c r="C30" s="4" t="inlineStr">
        <is>
          <t>R8.10</t>
        </is>
      </c>
      <c r="D30" s="5" t="inlineStr">
        <is>
          <t>認知症・医療介護連携の実績データ</t>
        </is>
      </c>
      <c r="E30"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30" s="5" t="inlineStr">
        <is>
          <t>素案 第5章 基本目標1・5
図表集 認知症・医療連携</t>
        </is>
      </c>
      <c r="G30" s="5" t="inlineStr">
        <is>
          <t>発注者・3町・北海道</t>
        </is>
      </c>
      <c r="H30" s="10" t="inlineStr">
        <is>
          <t>確認待ち</t>
        </is>
      </c>
      <c r="I30" s="10" t="inlineStr">
        <is>
          <t>R8.10</t>
        </is>
      </c>
      <c r="J30" s="11" t="inlineStr"/>
    </row>
    <row r="31" ht="88" customHeight="1">
      <c r="A31" s="4" t="n">
        <v>27</v>
      </c>
      <c r="B31" s="4" t="inlineStr">
        <is>
          <t>(3)</t>
        </is>
      </c>
      <c r="C31" s="4" t="inlineStr">
        <is>
          <t>R8.9</t>
        </is>
      </c>
      <c r="D31" s="5" t="inlineStr">
        <is>
          <t>令和4年度 健康とくらしの調査の集計表</t>
        </is>
      </c>
      <c r="E31"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31" s="5" t="inlineStr">
        <is>
          <t>調査クロス集計・分析 14シート
素案 第2章第4節</t>
        </is>
      </c>
      <c r="G31" s="5" t="inlineStr">
        <is>
          <t>発注者</t>
        </is>
      </c>
      <c r="H31" s="10" t="inlineStr">
        <is>
          <t>確認待ち</t>
        </is>
      </c>
      <c r="I31" s="10" t="inlineStr">
        <is>
          <t>R8.9</t>
        </is>
      </c>
      <c r="J31" s="11" t="inlineStr"/>
    </row>
    <row r="32" ht="88" customHeight="1">
      <c r="A32" s="4" t="n">
        <v>28</v>
      </c>
      <c r="B32" s="4" t="inlineStr">
        <is>
          <t>(3)</t>
        </is>
      </c>
      <c r="C32" s="4" t="inlineStr">
        <is>
          <t>R8.9</t>
        </is>
      </c>
      <c r="D32" s="5" t="inlineStr">
        <is>
          <t>調査対象者の範囲の確認</t>
        </is>
      </c>
      <c r="E32"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32" s="5" t="inlineStr">
        <is>
          <t>調査クロス集計・分析 13・14シート
H06・H11の基準値</t>
        </is>
      </c>
      <c r="G32" s="5" t="inlineStr">
        <is>
          <t>発注者</t>
        </is>
      </c>
      <c r="H32" s="10" t="inlineStr">
        <is>
          <t>確認待ち</t>
        </is>
      </c>
      <c r="I32" s="10" t="inlineStr">
        <is>
          <t>R8.9</t>
        </is>
      </c>
      <c r="J32" s="11" t="inlineStr"/>
    </row>
    <row r="33" ht="88" customHeight="1">
      <c r="A33" s="4" t="n">
        <v>29</v>
      </c>
      <c r="B33" s="4" t="inlineStr">
        <is>
          <t>(5)</t>
        </is>
      </c>
      <c r="C33" s="4" t="inlineStr">
        <is>
          <t>R8.10</t>
        </is>
      </c>
      <c r="D33" s="5" t="inlineStr">
        <is>
          <t>重度化の速度の前提</t>
        </is>
      </c>
      <c r="E33"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33" s="5" t="inlineStr">
        <is>
          <t>素案 第6章第1節
認定者数・給付費の推計</t>
        </is>
      </c>
      <c r="G33" s="5" t="inlineStr">
        <is>
          <t>発注者</t>
        </is>
      </c>
      <c r="H33" s="10" t="inlineStr">
        <is>
          <t>確認待ち</t>
        </is>
      </c>
      <c r="I33" s="10" t="inlineStr">
        <is>
          <t>R8.10</t>
        </is>
      </c>
      <c r="J33" s="11" t="inlineStr"/>
    </row>
    <row r="34" ht="88" customHeight="1">
      <c r="A34" s="4" t="n">
        <v>30</v>
      </c>
      <c r="B34" s="4" t="inlineStr">
        <is>
          <t>(5)</t>
        </is>
      </c>
      <c r="C34" s="4" t="inlineStr">
        <is>
          <t>R8.10</t>
        </is>
      </c>
      <c r="D34" s="5" t="inlineStr">
        <is>
          <t>施設入所者と在宅者を分けた要介護度の変化</t>
        </is>
      </c>
      <c r="E34"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34" s="5" t="inlineStr">
        <is>
          <t>重度化の速度の前提
保険料と施策評価の他団体比較 05シート</t>
        </is>
      </c>
      <c r="G34" s="5" t="inlineStr">
        <is>
          <t>発注者</t>
        </is>
      </c>
      <c r="H34" s="10" t="inlineStr">
        <is>
          <t>確認待ち</t>
        </is>
      </c>
      <c r="I34" s="10" t="inlineStr">
        <is>
          <t>R8.10</t>
        </is>
      </c>
      <c r="J34" s="11" t="inlineStr"/>
    </row>
    <row r="35" ht="88" customHeight="1">
      <c r="A35" s="4" t="n">
        <v>31</v>
      </c>
      <c r="B35" s="4" t="inlineStr">
        <is>
          <t>(5)</t>
        </is>
      </c>
      <c r="C35" s="4" t="inlineStr">
        <is>
          <t>R8.10</t>
        </is>
      </c>
      <c r="D35" s="5" t="inlineStr">
        <is>
          <t>給付適正化の実施予定と推計での扱い</t>
        </is>
      </c>
      <c r="E35"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35" s="5" t="inlineStr">
        <is>
          <t>素案 第6章第2節・第5章・第7章
給付費の推計</t>
        </is>
      </c>
      <c r="G35" s="5" t="inlineStr">
        <is>
          <t>発注者</t>
        </is>
      </c>
      <c r="H35" s="10" t="inlineStr">
        <is>
          <t>確認待ち</t>
        </is>
      </c>
      <c r="I35" s="10" t="inlineStr">
        <is>
          <t>R8.10</t>
        </is>
      </c>
      <c r="J35" s="11" t="inlineStr"/>
    </row>
    <row r="36" ht="88" customHeight="1">
      <c r="A36" s="4" t="n">
        <v>32</v>
      </c>
      <c r="B36" s="4" t="inlineStr">
        <is>
          <t>(2)</t>
        </is>
      </c>
      <c r="C36" s="4" t="inlineStr">
        <is>
          <t>R8.9</t>
        </is>
      </c>
      <c r="D36" s="5" t="inlineStr">
        <is>
          <t>第7期の保険料基準額</t>
        </is>
      </c>
      <c r="E36" s="5" t="inlineStr">
        <is>
          <t>見える化システムの値は6,077円であるが、計画素案の第9稿までは5,900円としていた。剰余の累計＋159円／月は6,077円を前提としたときにのみ整合する（(6,077－6,024)×3＝159）。条例による第7期の基準額の確認を要する。</t>
        </is>
      </c>
      <c r="F36" s="5" t="inlineStr">
        <is>
          <t>素案 第6章第6節
保険料の推移</t>
        </is>
      </c>
      <c r="G36" s="5" t="inlineStr">
        <is>
          <t>発注者</t>
        </is>
      </c>
      <c r="H36" s="6" t="inlineStr">
        <is>
          <t>完了</t>
        </is>
      </c>
      <c r="I36" s="10" t="inlineStr">
        <is>
          <t>R8.9</t>
        </is>
      </c>
      <c r="J36" s="11" t="inlineStr">
        <is>
          <t>見える化C1（介護保険事業計画報告値）により6,077円を確認した（令和8年7月30日受領）。条例による確認は不要となった。</t>
        </is>
      </c>
    </row>
    <row r="37" ht="88" customHeight="1">
      <c r="A37" s="4" t="n">
        <v>33</v>
      </c>
      <c r="B37" s="4" t="inlineStr">
        <is>
          <t>(5)</t>
        </is>
      </c>
      <c r="C37" s="4" t="inlineStr">
        <is>
          <t>R8.10</t>
        </is>
      </c>
      <c r="D37" s="5" t="inlineStr">
        <is>
          <t>第10期の政令改正の内容（所得段階）</t>
        </is>
      </c>
      <c r="E37"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37" s="5" t="inlineStr">
        <is>
          <t>第10期の段階設計
保険料の算定</t>
        </is>
      </c>
      <c r="G37" s="5" t="inlineStr">
        <is>
          <t>国の情報</t>
        </is>
      </c>
      <c r="H37" s="10" t="inlineStr">
        <is>
          <t>確認待ち</t>
        </is>
      </c>
      <c r="I37" s="10" t="inlineStr">
        <is>
          <t>告示後</t>
        </is>
      </c>
      <c r="J37" s="11" t="inlineStr"/>
    </row>
    <row r="38" ht="88" customHeight="1">
      <c r="A38" s="4" t="n">
        <v>34</v>
      </c>
      <c r="B38" s="4" t="inlineStr">
        <is>
          <t>(2)</t>
        </is>
      </c>
      <c r="C38" s="4" t="inlineStr">
        <is>
          <t>R8.10</t>
        </is>
      </c>
      <c r="D38" s="5" t="inlineStr">
        <is>
          <t>第9段階の乗率の経緯</t>
        </is>
      </c>
      <c r="E38"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38" s="5" t="inlineStr">
        <is>
          <t>第10期の段階設計
保険料の所得段階と低所得者軽減の検証 08シート</t>
        </is>
      </c>
      <c r="G38" s="5" t="inlineStr">
        <is>
          <t>発注者</t>
        </is>
      </c>
      <c r="H38" s="10" t="inlineStr">
        <is>
          <t>確認待ち</t>
        </is>
      </c>
      <c r="I38" s="10" t="inlineStr">
        <is>
          <t>R8.10</t>
        </is>
      </c>
      <c r="J38" s="11" t="inlineStr"/>
    </row>
    <row r="39" ht="88" customHeight="1">
      <c r="A39" s="4" t="n">
        <v>35</v>
      </c>
      <c r="B39" s="4" t="inlineStr">
        <is>
          <t>(4)</t>
        </is>
      </c>
      <c r="C39" s="4" t="inlineStr">
        <is>
          <t>R8.10</t>
        </is>
      </c>
      <c r="D39" s="5" t="inlineStr">
        <is>
          <t>上川管内の保険者の所得段階数と乗率</t>
        </is>
      </c>
      <c r="E39" s="5" t="inlineStr">
        <is>
          <t>上川管内21保険者の第9期の所得段階数と乗率。多段階化の状況を比較するために必要。北海道の資料又は各保険者の保険料条例による。</t>
        </is>
      </c>
      <c r="F39" s="5" t="inlineStr">
        <is>
          <t>保険料の所得段階と低所得者軽減の検証 05シート</t>
        </is>
      </c>
      <c r="G39" s="5" t="inlineStr">
        <is>
          <t>発注者・北海道</t>
        </is>
      </c>
      <c r="H39" s="10" t="inlineStr">
        <is>
          <t>確認待ち</t>
        </is>
      </c>
      <c r="I39" s="10" t="inlineStr">
        <is>
          <t>R8.10</t>
        </is>
      </c>
      <c r="J39" s="11" t="inlineStr"/>
    </row>
    <row r="40" ht="88" customHeight="1">
      <c r="A40" s="4" t="n">
        <v>36</v>
      </c>
      <c r="B40" s="4" t="inlineStr">
        <is>
          <t>(5)</t>
        </is>
      </c>
      <c r="C40" s="4" t="inlineStr">
        <is>
          <t>R8.10</t>
        </is>
      </c>
      <c r="D40" s="5" t="inlineStr">
        <is>
          <t>所得段階別被保険者数の実績と収納率</t>
        </is>
      </c>
      <c r="E40"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40" s="5" t="inlineStr">
        <is>
          <t>所得段階別被保険者数の推計
保険料の算定
素案 第6章第7節</t>
        </is>
      </c>
      <c r="G40" s="5" t="inlineStr">
        <is>
          <t>発注者</t>
        </is>
      </c>
      <c r="H40" s="10" t="inlineStr">
        <is>
          <t>確認待ち</t>
        </is>
      </c>
      <c r="I40" s="10" t="inlineStr">
        <is>
          <t>R8.10</t>
        </is>
      </c>
      <c r="J40" s="11" t="inlineStr"/>
    </row>
    <row r="41" ht="88" customHeight="1">
      <c r="A41" s="4" t="n">
        <v>37</v>
      </c>
      <c r="B41" s="4" t="inlineStr">
        <is>
          <t>(2)</t>
        </is>
      </c>
      <c r="C41" s="4" t="inlineStr">
        <is>
          <t>R8.8</t>
        </is>
      </c>
      <c r="D41" s="5" t="inlineStr">
        <is>
          <t>年齢階級別・要介護度別の認定率</t>
        </is>
      </c>
      <c r="E41"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レッドチームレビュー No.1）。</t>
        </is>
      </c>
      <c r="F41" s="5" t="inlineStr">
        <is>
          <t>素案 第3章第4節
妥当性検証 所見7</t>
        </is>
      </c>
      <c r="G41" s="5" t="inlineStr">
        <is>
          <t>発注者</t>
        </is>
      </c>
      <c r="H41" s="6" t="inlineStr">
        <is>
          <t>完了</t>
        </is>
      </c>
      <c r="I41" s="10" t="inlineStr">
        <is>
          <t>R8.8</t>
        </is>
      </c>
      <c r="J41" s="11" t="inlineStr">
        <is>
          <t>令和8年7月29日にB4a・B4c・B4d・B4e・B5a・B6a・B6bを受領。認定率の年齢調整分析（7シート）として分析済み</t>
        </is>
      </c>
    </row>
    <row r="42" ht="88" customHeight="1">
      <c r="A42" s="4" t="n">
        <v>38</v>
      </c>
      <c r="B42" s="4" t="inlineStr">
        <is>
          <t>(2)</t>
        </is>
      </c>
      <c r="C42" s="4" t="inlineStr">
        <is>
          <t>R8.9</t>
        </is>
      </c>
      <c r="D42" s="5" t="inlineStr">
        <is>
          <t>交付金評価の令和6年・令和7年調査の結果</t>
        </is>
      </c>
      <c r="E42" s="5" t="inlineStr">
        <is>
          <t>現在用いている令和5年調査（令和6年度分指標）は評価対象が主に令和4年度の実施状況であり、第9期ではなく第8期の取組を反映している。第9期の評価とするには令和6年・令和7年調査の得点が必要（レッドチームレビュー No.2）。取得できない場合は「第8期の取組を反映した評価」と明記して用いる。</t>
        </is>
      </c>
      <c r="F42" s="5" t="inlineStr">
        <is>
          <t>素案 第3章第4節
妥当性検証 所見18・19</t>
        </is>
      </c>
      <c r="G42" s="5" t="inlineStr">
        <is>
          <t>発注者</t>
        </is>
      </c>
      <c r="H42" s="10" t="inlineStr">
        <is>
          <t>確認待ち</t>
        </is>
      </c>
      <c r="I42" s="10" t="inlineStr">
        <is>
          <t>R8.9</t>
        </is>
      </c>
      <c r="J42" s="11" t="inlineStr"/>
    </row>
    <row r="44" ht="32" customHeight="1">
      <c r="A44" s="3" t="inlineStr">
        <is>
          <t>区分</t>
        </is>
      </c>
      <c r="B44" s="3" t="inlineStr">
        <is>
          <t>件数</t>
        </is>
      </c>
      <c r="C44" s="3" t="inlineStr"/>
      <c r="D44" s="3" t="inlineStr"/>
      <c r="E44" s="3" t="inlineStr"/>
      <c r="F44" s="3" t="inlineStr"/>
      <c r="G44" s="3" t="inlineStr"/>
      <c r="H44" s="3" t="inlineStr"/>
      <c r="I44" s="3" t="inlineStr"/>
      <c r="J44" s="3" t="inlineStr"/>
    </row>
    <row r="45" ht="20" customHeight="1">
      <c r="A45" s="6" t="inlineStr">
        <is>
          <t>完了</t>
        </is>
      </c>
      <c r="B45" s="4">
        <f>COUNTIF(H5:H42,"完了")</f>
        <v/>
      </c>
      <c r="C45" s="5" t="inlineStr"/>
      <c r="D45" s="5" t="inlineStr"/>
      <c r="E45" s="5" t="inlineStr"/>
      <c r="F45" s="5" t="inlineStr"/>
      <c r="G45" s="5" t="inlineStr"/>
      <c r="H45" s="5" t="inlineStr"/>
      <c r="I45" s="5" t="inlineStr"/>
      <c r="J45" s="5" t="inlineStr"/>
    </row>
    <row r="46" ht="20" customHeight="1">
      <c r="A46" s="8" t="inlineStr">
        <is>
          <t>実施中</t>
        </is>
      </c>
      <c r="B46" s="4">
        <f>COUNTIF(H5:H42,"実施中")</f>
        <v/>
      </c>
      <c r="C46" s="5" t="inlineStr"/>
      <c r="D46" s="5" t="inlineStr"/>
      <c r="E46" s="5" t="inlineStr"/>
      <c r="F46" s="5" t="inlineStr"/>
      <c r="G46" s="5" t="inlineStr"/>
      <c r="H46" s="5" t="inlineStr"/>
      <c r="I46" s="5" t="inlineStr"/>
      <c r="J46" s="5" t="inlineStr"/>
    </row>
    <row r="47" ht="20" customHeight="1">
      <c r="A47" s="10" t="inlineStr">
        <is>
          <t>確認待ち</t>
        </is>
      </c>
      <c r="B47" s="4">
        <f>COUNTIF(H5:H42,"確認待ち")</f>
        <v/>
      </c>
      <c r="C47" s="5" t="inlineStr"/>
      <c r="D47" s="5" t="inlineStr"/>
      <c r="E47" s="5" t="inlineStr"/>
      <c r="F47" s="5" t="inlineStr"/>
      <c r="G47" s="5" t="inlineStr"/>
      <c r="H47" s="5" t="inlineStr"/>
      <c r="I47" s="5" t="inlineStr"/>
      <c r="J47" s="5" t="inlineStr"/>
    </row>
    <row r="48" ht="20" customHeight="1">
      <c r="A48" s="12" t="inlineStr">
        <is>
          <t>未着手</t>
        </is>
      </c>
      <c r="B48" s="4">
        <f>COUNTIF(H5:H42,"未着手")</f>
        <v/>
      </c>
      <c r="C48" s="5" t="inlineStr"/>
      <c r="D48" s="5" t="inlineStr"/>
      <c r="E48" s="5" t="inlineStr"/>
      <c r="F48" s="5" t="inlineStr"/>
      <c r="G48" s="5" t="inlineStr"/>
      <c r="H48" s="5" t="inlineStr"/>
      <c r="I48" s="5" t="inlineStr"/>
      <c r="J48" s="5" t="inlineStr"/>
    </row>
    <row r="49" ht="20" customHeight="1">
      <c r="A49" s="14" t="inlineStr">
        <is>
          <t>対象外</t>
        </is>
      </c>
      <c r="B49" s="4">
        <f>COUNTIF(H5:H42,"対象外")</f>
        <v/>
      </c>
      <c r="C49" s="5" t="inlineStr"/>
      <c r="D49" s="5" t="inlineStr"/>
      <c r="E49" s="5" t="inlineStr"/>
      <c r="F49" s="5" t="inlineStr"/>
      <c r="G49" s="5" t="inlineStr"/>
      <c r="H49" s="5" t="inlineStr"/>
      <c r="I49" s="5" t="inlineStr"/>
      <c r="J49" s="5" t="inlineStr"/>
    </row>
    <row r="51" ht="32" customHeight="1">
      <c r="A51" s="3" t="inlineStr">
        <is>
          <t>確認先</t>
        </is>
      </c>
      <c r="B51" s="3" t="inlineStr">
        <is>
          <t>件数</t>
        </is>
      </c>
      <c r="C51" s="3" t="inlineStr"/>
      <c r="D51" s="3" t="inlineStr"/>
      <c r="E51" s="3" t="inlineStr"/>
      <c r="F51" s="3" t="inlineStr"/>
      <c r="G51" s="3" t="inlineStr"/>
      <c r="H51" s="3" t="inlineStr"/>
      <c r="I51" s="3" t="inlineStr"/>
      <c r="J51" s="3" t="inlineStr"/>
    </row>
    <row r="52" ht="20" customHeight="1">
      <c r="A52" s="5" t="inlineStr">
        <is>
          <t>発注者</t>
        </is>
      </c>
      <c r="B52" s="4">
        <f>COUNTIF(G5:G42,"発注者")</f>
        <v/>
      </c>
      <c r="C52" s="5" t="inlineStr"/>
      <c r="D52" s="5" t="inlineStr"/>
      <c r="E52" s="5" t="inlineStr"/>
      <c r="F52" s="5" t="inlineStr"/>
      <c r="G52" s="5" t="inlineStr"/>
      <c r="H52" s="5" t="inlineStr"/>
      <c r="I52" s="5" t="inlineStr"/>
      <c r="J52" s="5" t="inlineStr"/>
    </row>
    <row r="53" ht="20" customHeight="1">
      <c r="A53" s="5" t="inlineStr">
        <is>
          <t>発注者・3町</t>
        </is>
      </c>
      <c r="B53" s="4">
        <f>COUNTIF(G5:G42,"発注者・3町")</f>
        <v/>
      </c>
      <c r="C53" s="5" t="inlineStr"/>
      <c r="D53" s="5" t="inlineStr"/>
      <c r="E53" s="5" t="inlineStr"/>
      <c r="F53" s="5" t="inlineStr"/>
      <c r="G53" s="5" t="inlineStr"/>
      <c r="H53" s="5" t="inlineStr"/>
      <c r="I53" s="5" t="inlineStr"/>
      <c r="J53" s="5" t="inlineStr"/>
    </row>
    <row r="54" ht="20" customHeight="1">
      <c r="A54" s="5" t="inlineStr">
        <is>
          <t>発注者・北海道</t>
        </is>
      </c>
      <c r="B54" s="4">
        <f>COUNTIF(G5:G42,"発注者・北海道")</f>
        <v/>
      </c>
      <c r="C54" s="5" t="inlineStr"/>
      <c r="D54" s="5" t="inlineStr"/>
      <c r="E54" s="5" t="inlineStr"/>
      <c r="F54" s="5" t="inlineStr"/>
      <c r="G54" s="5" t="inlineStr"/>
      <c r="H54" s="5" t="inlineStr"/>
      <c r="I54" s="5" t="inlineStr"/>
      <c r="J54" s="5" t="inlineStr"/>
    </row>
    <row r="55" ht="20" customHeight="1">
      <c r="A55" s="5" t="inlineStr">
        <is>
          <t>発注者・3町・北海道</t>
        </is>
      </c>
      <c r="B55" s="4">
        <f>COUNTIF(G5:G42,"発注者・3町・北海道")</f>
        <v/>
      </c>
      <c r="C55" s="5" t="inlineStr"/>
      <c r="D55" s="5" t="inlineStr"/>
      <c r="E55" s="5" t="inlineStr"/>
      <c r="F55" s="5" t="inlineStr"/>
      <c r="G55" s="5" t="inlineStr"/>
      <c r="H55" s="5" t="inlineStr"/>
      <c r="I55" s="5" t="inlineStr"/>
      <c r="J55" s="5" t="inlineStr"/>
    </row>
    <row r="56" ht="20" customHeight="1">
      <c r="A56" s="5" t="inlineStr">
        <is>
          <t>北海道</t>
        </is>
      </c>
      <c r="B56" s="4">
        <f>COUNTIF(G5:G42,"北海道")</f>
        <v/>
      </c>
      <c r="C56" s="5" t="inlineStr"/>
      <c r="D56" s="5" t="inlineStr"/>
      <c r="E56" s="5" t="inlineStr"/>
      <c r="F56" s="5" t="inlineStr"/>
      <c r="G56" s="5" t="inlineStr"/>
      <c r="H56" s="5" t="inlineStr"/>
      <c r="I56" s="5" t="inlineStr"/>
      <c r="J56" s="5" t="inlineStr"/>
    </row>
    <row r="58" ht="28" customHeight="1">
      <c r="A58"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58:J58"/>
    <mergeCell ref="A1:J1"/>
    <mergeCell ref="A2:J2"/>
  </mergeCells>
  <conditionalFormatting sqref="H5:H4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H5:H42"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第10期介護保険事業計画_素案_第10稿.docx
（577段落・98表・34図）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第10期計画_保険料と施策評価の他団体比較.xlsx（9シート）
第10期計画_保険料の所得段階と低所得者軽減の検証.xlsx（10シート）
第10期計画_第9期評価のレッドチームレビュー.xlsx（9シート）
第10期計画_認定率の年齢調整分析.xlsx（7シート）
第10期計画_図表集_白黒.xlsx（33シート133点）
第10期計画_妥当性検証報告書.xlsx（24シート）
第10期計画_追加調査報告書.xlsx（8シート）
第10期計画_施策体系新旧対照表.xlsx（5シート）
第10期計画_地域差の分析.xlsx（15シート）
第10期計画_人口推計の基礎の検証.xlsx（9シート）
第10期計画_将来推計_人口と認定者数.xlsx（8シート）
第10期計画_将来推計_第2段階_サービス見込量.xlsx（8シート）
第10期計画_主張の根拠水準の棚卸しと再レビュー.xlsx（8シート）
第10期計画_実施済み3調査の受領点検と集計.xlsx（16シート）
第10期計画_要介護認定データの確認.xlsx（7シート）
第10期計画_サービス受給者数データの確認.xlsx（7シート）
figures/*.png（34点）</t>
        </is>
      </c>
      <c r="D7" s="5" t="inlineStr">
        <is>
          <t>Excel（計算式・元数値を保持）
PNG及びPDF</t>
        </is>
      </c>
      <c r="E7" s="8" t="inlineStr">
        <is>
          <t>実施中</t>
        </is>
      </c>
      <c r="F7" s="20" t="n">
        <v>0.85</v>
      </c>
      <c r="G7" s="10" t="inlineStr">
        <is>
          <t>R9.3</t>
        </is>
      </c>
      <c r="H7" s="11" t="inlineStr">
        <is>
          <t>①推計資料は第1段階（人口・認定者数）と第2段階（サービス見込量）を作成済み。第3段階（給付費・保険料）が未作成。②クロス集計表は健康とくらしの調査分を作成済み。他の3調査は集計まで完了し、4調査横断のクロス集計は点検事項の重大4件の解消を待つ。③図表の元数値はシート内に保持しているが、発注者側での再計算を想定した様式の指定があれば合わせる。</t>
        </is>
      </c>
      <c r="I7" s="5" t="inlineStr">
        <is>
          <t>8, 9, 11, 14</t>
        </is>
      </c>
    </row>
    <row r="8" ht="76" customHeight="1">
      <c r="A8" s="4" t="n">
        <v>4</v>
      </c>
      <c r="B8" s="5" t="inlineStr">
        <is>
          <t>打合せ資料、会議資料原案
その他業務で作成した資料 一式</t>
        </is>
      </c>
      <c r="C8" s="5" t="inlineStr">
        <is>
          <t>第10期計画_確認依頼書.docx（第9版）
第10期計画素案_第9稿→第10稿_修正指示書.xlsx（66件）
第10期計画_業務工程管理表.xlsx（本表）
第10期計画_キックオフ会議資料_第4稿.docx（13章18表）
第10期計画_キックオフ会議ヒアリングシート.docx（13項目）
第10期計画_キックオフ資料の点検結果.xlsx（6シート）
第10期計画_必要事項の一覧.xlsx（8シート）
第10期計画_計画素案の別管理表.xlsx（6シート）
第10期計画_成果品一覧.xlsx（4シート）</t>
        </is>
      </c>
      <c r="D8" s="5" t="inlineStr">
        <is>
          <t>Word及びExcel</t>
        </is>
      </c>
      <c r="E8" s="8" t="inlineStr">
        <is>
          <t>実施中</t>
        </is>
      </c>
      <c r="F8" s="20" t="n">
        <v>0.55</v>
      </c>
      <c r="G8" s="10" t="inlineStr">
        <is>
          <t>R9.3</t>
        </is>
      </c>
      <c r="H8" s="11" t="inlineStr">
        <is>
          <t>①キックオフ会議資料は第4稿まで作成済み。会議日程が未確定。②運営協議会等への資料原案は開催日程と審議事項の確定を要する。③パブリックコメント資料は実施期間の確定を要する。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計画素案（第10稿）に統合して先行作成</t>
        </is>
      </c>
      <c r="D9" s="5" t="inlineStr">
        <is>
          <t>Word及びPDF</t>
        </is>
      </c>
      <c r="E9" s="10" t="inlineStr">
        <is>
          <t>確認待ち</t>
        </is>
      </c>
      <c r="F9" s="20" t="n">
        <v>0.7</v>
      </c>
      <c r="G9" s="10" t="inlineStr">
        <is>
          <t>R8.11</t>
        </is>
      </c>
      <c r="H9" s="11" t="inlineStr">
        <is>
          <t>骨子案を計画素案とは別に作成する必要があるかの確認。仕様書５は令和8年10月に骨子案作成、11月に骨子の整理としている。</t>
        </is>
      </c>
      <c r="I9" s="5" t="inlineStr">
        <is>
          <t>18</t>
        </is>
      </c>
    </row>
    <row r="10" ht="76" customHeight="1">
      <c r="A10" s="4" t="n">
        <v>6</v>
      </c>
      <c r="B10" s="5" t="inlineStr">
        <is>
          <t>計画素案
（発注者が必要と認める資料）</t>
        </is>
      </c>
      <c r="C10" s="5" t="inlineStr">
        <is>
          <t>第10期介護保険事業計画_素案_第10稿.docx</t>
        </is>
      </c>
      <c r="D10" s="5" t="inlineStr">
        <is>
          <t>Word及びPDF</t>
        </is>
      </c>
      <c r="E10" s="8" t="inlineStr">
        <is>
          <t>実施中</t>
        </is>
      </c>
      <c r="F10" s="20" t="n">
        <v>0.55</v>
      </c>
      <c r="G10" s="10" t="inlineStr">
        <is>
          <t>R8.12</t>
        </is>
      </c>
      <c r="H10" s="11" t="inlineStr">
        <is>
          <t>第6章の見込量・保険料が未算定。図表レイアウトを発注者にて確認中。</t>
        </is>
      </c>
      <c r="I10" s="5" t="inlineStr">
        <is>
          <t>14, 15, 16, 29, 30, 31, 33, 36</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実施中</t>
        </is>
      </c>
      <c r="G5" s="4" t="inlineStr">
        <is>
          <t>実施中</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t>
        </is>
      </c>
      <c r="J5" s="4" t="inlineStr">
        <is>
          <t>8, 9</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実施中</t>
        </is>
      </c>
      <c r="G6" s="4" t="inlineStr">
        <is>
          <t>実施中</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t>
        </is>
      </c>
      <c r="J6" s="4" t="inlineStr">
        <is>
          <t>8, 9</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実施中</t>
        </is>
      </c>
      <c r="G7" s="4" t="inlineStr">
        <is>
          <t>実施中</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実施中</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13シート）として取りまとめた。H04＝19.1％、H05の基準値を確定。大雪独自設問によりH06・H07・H08・H11の代替データ源を特定した（確認No.4）。計画素案への反映は次稿で行う。</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31件のうち重大4件の取扱いが決まるまでは、計画素案の該当箇所を令和5年調査又は見える化システムの数値により暫定的に記述し、確定を要する箇所を［要確認］としている。注3）代表KPIのうちH07・H08・H12・H16は事業所実態調査・在宅介護実態調査をデータ源としているが、これらは仕様書４（3）の対象4調査に含ま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conditionalFormatting sqref="F5:F8">
    <cfRule type="cellIs" priority="6" operator="equal" dxfId="0">
      <formula>"完了"</formula>
    </cfRule>
    <cfRule type="cellIs" priority="7" operator="equal" dxfId="1">
      <formula>"実施中"</formula>
    </cfRule>
    <cfRule type="cellIs" priority="8" operator="equal" dxfId="2">
      <formula>"確認待ち"</formula>
    </cfRule>
    <cfRule type="cellIs" priority="9" operator="equal" dxfId="3">
      <formula>"未着手"</formula>
    </cfRule>
    <cfRule type="cellIs" priority="10" operator="equal" dxfId="4">
      <formula>"対象外"</formula>
    </cfRule>
  </conditionalFormatting>
  <conditionalFormatting sqref="G5:G8">
    <cfRule type="cellIs" priority="11" operator="equal" dxfId="0">
      <formula>"完了"</formula>
    </cfRule>
    <cfRule type="cellIs" priority="12" operator="equal" dxfId="1">
      <formula>"実施中"</formula>
    </cfRule>
    <cfRule type="cellIs" priority="13" operator="equal" dxfId="2">
      <formula>"確認待ち"</formula>
    </cfRule>
    <cfRule type="cellIs" priority="14" operator="equal" dxfId="3">
      <formula>"未着手"</formula>
    </cfRule>
    <cfRule type="cellIs" priority="15" operator="equal" dxfId="4">
      <formula>"対象外"</formula>
    </cfRule>
  </conditionalFormatting>
  <conditionalFormatting sqref="H5:H8">
    <cfRule type="cellIs" priority="16" operator="equal" dxfId="0">
      <formula>"完了"</formula>
    </cfRule>
    <cfRule type="cellIs" priority="17" operator="equal" dxfId="1">
      <formula>"実施中"</formula>
    </cfRule>
    <cfRule type="cellIs" priority="18" operator="equal" dxfId="2">
      <formula>"確認待ち"</formula>
    </cfRule>
    <cfRule type="cellIs" priority="19" operator="equal" dxfId="3">
      <formula>"未着手"</formula>
    </cfRule>
    <cfRule type="cellIs" priority="20" operator="equal" dxfId="4">
      <formula>"対象外"</formula>
    </cfRule>
  </conditionalFormatting>
  <conditionalFormatting sqref="D5:D8">
    <cfRule type="cellIs" priority="21" operator="equal" dxfId="0">
      <formula>"受領済"</formula>
    </cfRule>
    <cfRule type="cellIs" priority="22" operator="equal" dxfId="2">
      <formula>"一部受領"</formula>
    </cfRule>
    <cfRule type="cellIs" priority="23"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2"/>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資料提供依頼一覧（20件）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主張の根拠水準の棚卸しと再レビュー」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t>
        </is>
      </c>
      <c r="E5" s="5" t="inlineStr">
        <is>
          <t>第9期の評価の完成</t>
        </is>
      </c>
      <c r="F5" s="5" t="inlineStr">
        <is>
          <t>発注者</t>
        </is>
      </c>
      <c r="G5" s="4" t="inlineStr">
        <is>
          <t>R8.8</t>
        </is>
      </c>
      <c r="H5" s="12" t="inlineStr">
        <is>
          <t>最高</t>
        </is>
      </c>
      <c r="I5" s="4" t="inlineStr">
        <is>
          <t>確認待ち</t>
        </is>
      </c>
      <c r="J5" s="5" t="inlineStr">
        <is>
          <t>確認事項No.1と対応。仕様書４（2）が完了しない</t>
        </is>
      </c>
    </row>
    <row r="6" ht="56" customHeight="1">
      <c r="A6" s="4" t="n">
        <v>2</v>
      </c>
      <c r="B6" s="4" t="inlineStr">
        <is>
          <t>I</t>
        </is>
      </c>
      <c r="C6" s="5" t="inlineStr">
        <is>
          <t>訪問系・通所系事業所の運営規程における通常の事業の実施地域</t>
        </is>
      </c>
      <c r="D6" s="5" t="inlineStr">
        <is>
          <t>居宅サービスは北海道、地域密着型は広域連合が保有する。訪問・通所困難地域の判定の唯一の客観的根拠。</t>
        </is>
      </c>
      <c r="E6" s="5" t="inlineStr">
        <is>
          <t>訪問・通所困難地域の判定</t>
        </is>
      </c>
      <c r="F6" s="5" t="inlineStr">
        <is>
          <t>北海道・広域連合</t>
        </is>
      </c>
      <c r="G6" s="4" t="inlineStr">
        <is>
          <t>R8.10</t>
        </is>
      </c>
      <c r="H6" s="10" t="inlineStr">
        <is>
          <t>高</t>
        </is>
      </c>
      <c r="I6" s="4" t="inlineStr">
        <is>
          <t>確認待ち</t>
        </is>
      </c>
      <c r="J6" s="5" t="inlineStr">
        <is>
          <t>確認事項No.15と対応</t>
        </is>
      </c>
    </row>
    <row r="7" ht="56" customHeight="1">
      <c r="A7" s="4" t="n">
        <v>3</v>
      </c>
      <c r="B7" s="4" t="inlineStr">
        <is>
          <t>A</t>
        </is>
      </c>
      <c r="C7" s="5" t="inlineStr">
        <is>
          <t>令和6年・令和7年の町別住民基本台帳人口（年齢4区分別）</t>
        </is>
      </c>
      <c r="D7" s="5" t="inlineStr">
        <is>
          <t>第9期計画の推計と社人研推計のどちらが実績に近いかを検証する。</t>
        </is>
      </c>
      <c r="E7" s="5" t="inlineStr">
        <is>
          <t>東川町の人口推計の乖離の要因、第10期の人口推計の基礎</t>
        </is>
      </c>
      <c r="F7" s="5" t="inlineStr">
        <is>
          <t>3町</t>
        </is>
      </c>
      <c r="G7" s="4" t="inlineStr">
        <is>
          <t>R8.9</t>
        </is>
      </c>
      <c r="H7" s="10" t="inlineStr">
        <is>
          <t>高</t>
        </is>
      </c>
      <c r="I7" s="4" t="inlineStr">
        <is>
          <t>確認待ち</t>
        </is>
      </c>
      <c r="J7" s="5" t="inlineStr">
        <is>
          <t>確認事項No.11と対応</t>
        </is>
      </c>
    </row>
    <row r="8" ht="56" customHeight="1">
      <c r="A8" s="4" t="n">
        <v>5</v>
      </c>
      <c r="B8" s="4" t="inlineStr">
        <is>
          <t>G</t>
        </is>
      </c>
      <c r="C8" s="5" t="inlineStr">
        <is>
          <t>保険者機能強化推進交付金等の評価調書（令和4〜7年度分）</t>
        </is>
      </c>
      <c r="D8" s="5" t="inlineStr">
        <is>
          <t>①0点10項目が取組の不在か要件未充足かの判別、②成果指標の分子・分母の実数、③評価対象期間の確認、④令和6年・令和7年調査の得点。</t>
        </is>
      </c>
      <c r="E8" s="5" t="inlineStr">
        <is>
          <t>交付金評価の解釈、W144の要因、評価対象期間</t>
        </is>
      </c>
      <c r="F8" s="5" t="inlineStr">
        <is>
          <t>発注者</t>
        </is>
      </c>
      <c r="G8" s="4" t="inlineStr">
        <is>
          <t>R8.9</t>
        </is>
      </c>
      <c r="H8" s="10" t="inlineStr">
        <is>
          <t>高</t>
        </is>
      </c>
      <c r="I8" s="4" t="inlineStr">
        <is>
          <t>確認待ち</t>
        </is>
      </c>
      <c r="J8" s="5" t="inlineStr">
        <is>
          <t>確認事項No.6・38と対応</t>
        </is>
      </c>
    </row>
    <row r="9" ht="56" customHeight="1">
      <c r="A9" s="4" t="n">
        <v>6</v>
      </c>
      <c r="B9" s="4" t="inlineStr">
        <is>
          <t>C</t>
        </is>
      </c>
      <c r="C9" s="5" t="inlineStr">
        <is>
          <t>国民健康保険団体連合会の給付実績情報と指定事業所台帳（一部解消）</t>
        </is>
      </c>
      <c r="D9" s="5" t="inlineStr">
        <is>
          <t>自給率（δ）は見える化から受領し、区域外の事業所による給付の割合が確定した（R8.7.30）。残るのは区域外事業所の所在地の特定（No.18）と町別給付費による金額換算（No.17）である。</t>
        </is>
      </c>
      <c r="E9" s="5" t="inlineStr">
        <is>
          <t>給付水準の要因（区域外利用との関係は無相関と判明）</t>
        </is>
      </c>
      <c r="F9" s="5" t="inlineStr">
        <is>
          <t>発注者・国保連</t>
        </is>
      </c>
      <c r="G9" s="4" t="inlineStr">
        <is>
          <t>R8.10</t>
        </is>
      </c>
      <c r="H9" s="10" t="inlineStr">
        <is>
          <t>高</t>
        </is>
      </c>
      <c r="I9" s="4" t="inlineStr">
        <is>
          <t>実施中</t>
        </is>
      </c>
      <c r="J9" s="5" t="inlineStr">
        <is>
          <t>確認事項No.30と対応。No.17・No.18に分割</t>
        </is>
      </c>
    </row>
    <row r="10" ht="56" customHeight="1">
      <c r="A10" s="4" t="n">
        <v>7</v>
      </c>
      <c r="B10" s="4" t="inlineStr">
        <is>
          <t>D</t>
        </is>
      </c>
      <c r="C10" s="5" t="inlineStr">
        <is>
          <t>事業所・施設の定員と稼働の実績</t>
        </is>
      </c>
      <c r="D10" s="5" t="inlineStr">
        <is>
          <t>①地域密着型通所介護4事業所の定員・登録者数・延べ利用者数（令和4〜8年度）、②施設・居住系の定員・入所者数・空床・休止床、③介護老人福祉施設の定員減少（234人→160人）の経緯。</t>
        </is>
      </c>
      <c r="E10" s="5" t="inlineStr">
        <is>
          <t>稼働率の低下の有無、定員減少の経緯</t>
        </is>
      </c>
      <c r="F10" s="5" t="inlineStr">
        <is>
          <t>発注者・3町</t>
        </is>
      </c>
      <c r="G10" s="4" t="inlineStr">
        <is>
          <t>R8.10</t>
        </is>
      </c>
      <c r="H10" s="10" t="inlineStr">
        <is>
          <t>高</t>
        </is>
      </c>
      <c r="I10" s="4" t="inlineStr">
        <is>
          <t>確認待ち</t>
        </is>
      </c>
      <c r="J10" s="5" t="inlineStr">
        <is>
          <t>第6章の見込量算定に直結</t>
        </is>
      </c>
    </row>
    <row r="11" ht="56" customHeight="1">
      <c r="A11" s="4" t="n">
        <v>8</v>
      </c>
      <c r="B11" s="4" t="inlineStr">
        <is>
          <t>E</t>
        </is>
      </c>
      <c r="C11" s="5" t="inlineStr">
        <is>
          <t>未利用認定者の内訳とケアプランのサービス構成</t>
        </is>
      </c>
      <c r="D11" s="5" t="inlineStr">
        <is>
          <t>①居宅サービス計画未作成者の要介護度別内訳、②認定から初回利用までの期間、③新規認定者数と認定申請件数の推移、④訪問介護と通所介護の同一利用者における組合せ。</t>
        </is>
      </c>
      <c r="E11" s="5" t="inlineStr">
        <is>
          <t>利用率低下の要因、訪問と通所の代替関係、要介護5の受給率低下の要因</t>
        </is>
      </c>
      <c r="F11" s="5" t="inlineStr">
        <is>
          <t>発注者</t>
        </is>
      </c>
      <c r="G11" s="4" t="inlineStr">
        <is>
          <t>R8.10</t>
        </is>
      </c>
      <c r="H11" s="10" t="inlineStr">
        <is>
          <t>高</t>
        </is>
      </c>
      <c r="I11" s="4" t="inlineStr">
        <is>
          <t>確認待ち</t>
        </is>
      </c>
      <c r="J11" s="5" t="inlineStr">
        <is>
          <t>確認事項No.23と対応</t>
        </is>
      </c>
    </row>
    <row r="12" ht="56" customHeight="1">
      <c r="A12" s="4" t="n">
        <v>9</v>
      </c>
      <c r="B12" s="4" t="inlineStr">
        <is>
          <t>H</t>
        </is>
      </c>
      <c r="C12" s="5" t="inlineStr">
        <is>
          <t>決算書及び介護給付費準備基金の積立・取崩実績</t>
        </is>
      </c>
      <c r="D12" s="5" t="inlineStr">
        <is>
          <t>第7期から第9期の各年度。令和8年度末の残高見込を含む。</t>
        </is>
      </c>
      <c r="E12" s="5" t="inlineStr">
        <is>
          <t>第9期の剰余額（現在は概算）</t>
        </is>
      </c>
      <c r="F12" s="5" t="inlineStr">
        <is>
          <t>発注者</t>
        </is>
      </c>
      <c r="G12" s="4" t="inlineStr">
        <is>
          <t>R8.10</t>
        </is>
      </c>
      <c r="H12" s="10" t="inlineStr">
        <is>
          <t>高</t>
        </is>
      </c>
      <c r="I12" s="4" t="inlineStr">
        <is>
          <t>確認待ち</t>
        </is>
      </c>
      <c r="J12" s="5" t="inlineStr">
        <is>
          <t>確認事項No.16と対応</t>
        </is>
      </c>
    </row>
    <row r="13" ht="56" customHeight="1">
      <c r="A13" s="4" t="n">
        <v>11</v>
      </c>
      <c r="B13" s="4" t="inlineStr">
        <is>
          <t>H</t>
        </is>
      </c>
      <c r="C13" s="5" t="inlineStr">
        <is>
          <t>第10期の政令改正の内容（所得段階・乗率・負担割合）</t>
        </is>
      </c>
      <c r="D13" s="5" t="inlineStr">
        <is>
          <t>標準段階数、標準乗率、公費軽減の乗率、第1号被保険者負担割合。</t>
        </is>
      </c>
      <c r="E13" s="5" t="inlineStr">
        <is>
          <t>第10期の段階設計と保険料算定</t>
        </is>
      </c>
      <c r="F13" s="5" t="inlineStr">
        <is>
          <t>国の情報</t>
        </is>
      </c>
      <c r="G13" s="4" t="inlineStr">
        <is>
          <t>告示後</t>
        </is>
      </c>
      <c r="H13" s="10" t="inlineStr">
        <is>
          <t>高</t>
        </is>
      </c>
      <c r="I13" s="4" t="inlineStr">
        <is>
          <t>未着手</t>
        </is>
      </c>
      <c r="J13" s="5" t="inlineStr">
        <is>
          <t>国の告示を待つ。受託者が随時確認する</t>
        </is>
      </c>
    </row>
    <row r="14" ht="56" customHeight="1">
      <c r="A14" s="4" t="n">
        <v>14</v>
      </c>
      <c r="B14" s="4" t="inlineStr">
        <is>
          <t>F</t>
        </is>
      </c>
      <c r="C14" s="5" t="inlineStr">
        <is>
          <t>在宅生活改善調査・居所変更実態調査・介護人材実態調査の第10期分</t>
        </is>
      </c>
      <c r="D14" s="5" t="inlineStr">
        <is>
          <t>令和8年8月4日に102ファイルを受領。残るのは点検事項29件の解消。</t>
        </is>
      </c>
      <c r="E14" s="5" t="inlineStr">
        <is>
          <t>4調査横断のクロス集計、H06・H11・H13・H14の基準値</t>
        </is>
      </c>
      <c r="F14" s="5" t="inlineStr">
        <is>
          <t>発注者</t>
        </is>
      </c>
      <c r="G14" s="4" t="inlineStr">
        <is>
          <t>R8.8</t>
        </is>
      </c>
      <c r="H14" s="10" t="inlineStr">
        <is>
          <t>高</t>
        </is>
      </c>
      <c r="I14" s="4" t="inlineStr">
        <is>
          <t>実施中</t>
        </is>
      </c>
      <c r="J14" s="5" t="inlineStr">
        <is>
          <t>確認事項No.8・9と対応。重大3件の取扱いが決まると着手できる</t>
        </is>
      </c>
    </row>
    <row r="15" ht="56" customHeight="1">
      <c r="A15" s="4" t="n">
        <v>17</v>
      </c>
      <c r="B15" s="4" t="inlineStr">
        <is>
          <t>C</t>
        </is>
      </c>
      <c r="C15" s="5" t="inlineStr">
        <is>
          <t>町別・サービス区分別の給付費（令和4〜7年度）</t>
        </is>
      </c>
      <c r="D15" s="5" t="inlineStr">
        <is>
          <t>自給率と掛け合わせて区域外への給付費の流出額を算定する。自給率の加重平均の算定にも必要。</t>
        </is>
      </c>
      <c r="E15" s="5" t="inlineStr">
        <is>
          <t>給付費の地域内還流の議論</t>
        </is>
      </c>
      <c r="F15" s="5" t="inlineStr">
        <is>
          <t>発注者・国保連</t>
        </is>
      </c>
      <c r="G15" s="4" t="inlineStr">
        <is>
          <t>R8.10</t>
        </is>
      </c>
      <c r="H15" s="10" t="inlineStr">
        <is>
          <t>高</t>
        </is>
      </c>
      <c r="I15" s="4" t="inlineStr">
        <is>
          <t>確認待ち</t>
        </is>
      </c>
      <c r="J15" s="5" t="inlineStr">
        <is>
          <t>自給率（δ）は受領済（R8.7.30）。金額換算に必要</t>
        </is>
      </c>
    </row>
    <row r="16" ht="56" customHeight="1">
      <c r="A16" s="4" t="n">
        <v>18</v>
      </c>
      <c r="B16" s="4" t="inlineStr">
        <is>
          <t>D</t>
        </is>
      </c>
      <c r="C16" s="5" t="inlineStr">
        <is>
          <t>指定事業所台帳（区域外事業所の所在地）</t>
        </is>
      </c>
      <c r="D16" s="5" t="inlineStr">
        <is>
          <t>区域外の事業所が旭川市か他の市町村かを特定する。圏域を越えた利用の調整（第6章第4節）の根拠となる。</t>
        </is>
      </c>
      <c r="E16" s="5" t="inlineStr">
        <is>
          <t>区域外利用の内訳</t>
        </is>
      </c>
      <c r="F16" s="5" t="inlineStr">
        <is>
          <t>発注者・国保連</t>
        </is>
      </c>
      <c r="G16" s="4" t="inlineStr">
        <is>
          <t>R8.10</t>
        </is>
      </c>
      <c r="H16" s="10" t="inlineStr">
        <is>
          <t>高</t>
        </is>
      </c>
      <c r="I16" s="4" t="inlineStr">
        <is>
          <t>確認待ち</t>
        </is>
      </c>
      <c r="J16" s="5" t="inlineStr">
        <is>
          <t>依頼No.6の残る部分。自給率では所在地が分からない</t>
        </is>
      </c>
    </row>
    <row r="17" ht="56" customHeight="1">
      <c r="A17" s="4" t="n">
        <v>19</v>
      </c>
      <c r="B17" s="4" t="inlineStr">
        <is>
          <t>B</t>
        </is>
      </c>
      <c r="C17" s="5" t="inlineStr">
        <is>
          <t>居住系・施設サービスの種別別受給者数と総合事業の実績</t>
        </is>
      </c>
      <c r="D17" s="5" t="inlineStr">
        <is>
          <t>第2段階の算定チェーンは見える化B3・D45・D46系列により閉じた。残るのは、グループホーム・特定施設等の種別別受給者数と介護予防・日常生活支援総合事業の実績である。</t>
        </is>
      </c>
      <c r="E17" s="5" t="inlineStr">
        <is>
          <t>サービス種別ごとの見込量の様式</t>
        </is>
      </c>
      <c r="F17" s="5" t="inlineStr">
        <is>
          <t>発注者</t>
        </is>
      </c>
      <c r="G17" s="4" t="inlineStr">
        <is>
          <t>R8.10</t>
        </is>
      </c>
      <c r="H17" s="10" t="inlineStr">
        <is>
          <t>高</t>
        </is>
      </c>
      <c r="I17" s="4" t="inlineStr">
        <is>
          <t>実施中</t>
        </is>
      </c>
      <c r="J17" s="5" t="inlineStr">
        <is>
          <t>施設・居住系は定員により見込むため代替可能（将来推計 第2段階 06シートで区域内定員と突合済み）。総合事業は広域連合の実績によるほかない</t>
        </is>
      </c>
    </row>
    <row r="18" ht="56" customHeight="1">
      <c r="A18" s="4" t="n">
        <v>10</v>
      </c>
      <c r="B18" s="4" t="inlineStr">
        <is>
          <t>H</t>
        </is>
      </c>
      <c r="C18" s="5" t="inlineStr">
        <is>
          <t>第7期（平成30〜令和2年度）の保険料条例</t>
        </is>
      </c>
      <c r="D18" s="5" t="inlineStr">
        <is>
          <t>基準額が6,077円か5,900円かを確定する。</t>
        </is>
      </c>
      <c r="E18" s="5" t="inlineStr">
        <is>
          <t>第7期の保険料基準額</t>
        </is>
      </c>
      <c r="F18" s="5" t="inlineStr">
        <is>
          <t>発注者</t>
        </is>
      </c>
      <c r="G18" s="4" t="inlineStr">
        <is>
          <t>R8.9</t>
        </is>
      </c>
      <c r="H18" s="8" t="inlineStr">
        <is>
          <t>中</t>
        </is>
      </c>
      <c r="I18" s="4" t="inlineStr">
        <is>
          <t>完了</t>
        </is>
      </c>
      <c r="J18" s="5" t="inlineStr">
        <is>
          <t>見える化C1により6,077円を確認（R8.7.30）。依頼は解消</t>
        </is>
      </c>
    </row>
    <row r="19" ht="56" customHeight="1">
      <c r="A19" s="4" t="n">
        <v>12</v>
      </c>
      <c r="B19" s="4" t="inlineStr">
        <is>
          <t>I</t>
        </is>
      </c>
      <c r="C19" s="5" t="inlineStr">
        <is>
          <t>小学校区と日常生活圏域の対応関係</t>
        </is>
      </c>
      <c r="D19" s="5" t="inlineStr">
        <is>
          <t>健康とくらしの調査の分析地域1（小学校区12地区）と第9期の6圏域の対応。美馬牛小学校区以外が不明。</t>
        </is>
      </c>
      <c r="E19" s="5" t="inlineStr">
        <is>
          <t>圏域別の分析、圏域設定の見直し</t>
        </is>
      </c>
      <c r="F19" s="5" t="inlineStr">
        <is>
          <t>美瑛町・3町</t>
        </is>
      </c>
      <c r="G19" s="4" t="inlineStr">
        <is>
          <t>R8.9</t>
        </is>
      </c>
      <c r="H19" s="8" t="inlineStr">
        <is>
          <t>中</t>
        </is>
      </c>
      <c r="I19" s="4" t="inlineStr">
        <is>
          <t>確認待ち</t>
        </is>
      </c>
      <c r="J19" s="5" t="inlineStr">
        <is>
          <t>確認事項No.20と対応</t>
        </is>
      </c>
    </row>
    <row r="20" ht="56" customHeight="1">
      <c r="A20" s="4" t="n">
        <v>15</v>
      </c>
      <c r="B20" s="4" t="inlineStr">
        <is>
          <t>G</t>
        </is>
      </c>
      <c r="C20" s="5" t="inlineStr">
        <is>
          <t>第9期の自己評価と北海道への報告の実績</t>
        </is>
      </c>
      <c r="D20" s="5" t="inlineStr">
        <is>
          <t>介護保険法第117条に基づく評価・公表の実績。受託者の評価との対照に必要。</t>
        </is>
      </c>
      <c r="E20" s="5" t="inlineStr">
        <is>
          <t>評価の枠組みの整理</t>
        </is>
      </c>
      <c r="F20" s="5" t="inlineStr">
        <is>
          <t>発注者</t>
        </is>
      </c>
      <c r="G20" s="4" t="inlineStr">
        <is>
          <t>R8.9</t>
        </is>
      </c>
      <c r="H20" s="8" t="inlineStr">
        <is>
          <t>中</t>
        </is>
      </c>
      <c r="I20" s="4" t="inlineStr">
        <is>
          <t>確認待ち</t>
        </is>
      </c>
      <c r="J20" s="5" t="inlineStr">
        <is>
          <t>確認事項No.7と対応</t>
        </is>
      </c>
    </row>
    <row r="21" ht="56" customHeight="1">
      <c r="A21" s="4" t="n">
        <v>16</v>
      </c>
      <c r="B21" s="4" t="inlineStr">
        <is>
          <t>C</t>
        </is>
      </c>
      <c r="C21" s="5" t="inlineStr">
        <is>
          <t>見える化システムD49の指標定義</t>
        </is>
      </c>
      <c r="D21" s="5" t="inlineStr">
        <is>
          <t>性・年齢調整の適用範囲と指数化の基準。受給率×受給者単価が給付月額指数に一致しない理由の特定に必要。</t>
        </is>
      </c>
      <c r="E21" s="5" t="inlineStr">
        <is>
          <t>地域差指数の分解の可否</t>
        </is>
      </c>
      <c r="F21" s="5" t="inlineStr">
        <is>
          <t>見える化システム・厚生労働省</t>
        </is>
      </c>
      <c r="G21" s="4" t="inlineStr">
        <is>
          <t>R8.10</t>
        </is>
      </c>
      <c r="H21" s="8" t="inlineStr">
        <is>
          <t>中</t>
        </is>
      </c>
      <c r="I21" s="4" t="inlineStr">
        <is>
          <t>未着手</t>
        </is>
      </c>
      <c r="J21" s="5" t="inlineStr">
        <is>
          <t>受託者側で確認する</t>
        </is>
      </c>
    </row>
    <row r="22" ht="56" customHeight="1">
      <c r="A22" s="4" t="n">
        <v>20</v>
      </c>
      <c r="B22" s="4" t="inlineStr">
        <is>
          <t>―</t>
        </is>
      </c>
      <c r="C22" s="5" t="inlineStr">
        <is>
          <t>（受託者の作業）会議資料・委員会資料の作成時の留保の照合</t>
        </is>
      </c>
      <c r="D22" s="5" t="inlineStr">
        <is>
          <t>分析資料に付した留保（確認していない範囲、概算値である旨、単純平均か加重平均か、時点の違い等）が、会議資料へ転記する際に落ちていないかを照合する。キックオフ資料第3稿の自己点検で、12件中5件がこの類であった。</t>
        </is>
      </c>
      <c r="E22" s="5" t="inlineStr">
        <is>
          <t>会議資料・委員会資料の記述の正確性</t>
        </is>
      </c>
      <c r="F22" s="5" t="inlineStr">
        <is>
          <t>受託者</t>
        </is>
      </c>
      <c r="G22" s="4" t="inlineStr">
        <is>
          <t>随時</t>
        </is>
      </c>
      <c r="H22" s="8" t="inlineStr">
        <is>
          <t>中</t>
        </is>
      </c>
      <c r="I22" s="4" t="inlineStr">
        <is>
          <t>実施中</t>
        </is>
      </c>
      <c r="J22" s="5" t="inlineStr">
        <is>
          <t>キックオフ資料の点検結果05シートに手順を記録</t>
        </is>
      </c>
    </row>
    <row r="23" ht="56" customHeight="1">
      <c r="A23" s="4" t="n">
        <v>1</v>
      </c>
      <c r="B23" s="4" t="inlineStr">
        <is>
          <t>B</t>
        </is>
      </c>
      <c r="C23" s="5" t="inlineStr">
        <is>
          <t>見える化B5a・B6a・B6bの令和8年3月末の値</t>
        </is>
      </c>
      <c r="D23" s="5" t="inlineStr">
        <is>
          <t>調整済み認定率は令和7年3月末までしか出力されていない。第9期の評価には令和8年3月末（令和7年度末）の値が必要。</t>
        </is>
      </c>
      <c r="E23" s="5" t="inlineStr">
        <is>
          <t>中重度・軽度の認定率の推移</t>
        </is>
      </c>
      <c r="F23" s="5" t="inlineStr">
        <is>
          <t>見える化システム</t>
        </is>
      </c>
      <c r="G23" s="4" t="inlineStr">
        <is>
          <t>R8.9</t>
        </is>
      </c>
      <c r="H23" s="14" t="inlineStr">
        <is>
          <t>低</t>
        </is>
      </c>
      <c r="I23" s="4" t="inlineStr">
        <is>
          <t>未着手</t>
        </is>
      </c>
      <c r="J23" s="5" t="inlineStr">
        <is>
          <t>受託者側で出力を試行する</t>
        </is>
      </c>
    </row>
    <row r="24" ht="56" customHeight="1">
      <c r="A24" s="4" t="n">
        <v>4</v>
      </c>
      <c r="B24" s="4" t="inlineStr">
        <is>
          <t>A</t>
        </is>
      </c>
      <c r="C24" s="5" t="inlineStr">
        <is>
          <t>令和7年国勢調査による町別の高齢者を含む世帯</t>
        </is>
      </c>
      <c r="D24" s="5" t="inlineStr">
        <is>
          <t>高齢者単身世帯・夫婦世帯の最新値。公表され次第。</t>
        </is>
      </c>
      <c r="E24" s="5" t="inlineStr">
        <is>
          <t>世帯構成の現状</t>
        </is>
      </c>
      <c r="F24" s="5" t="inlineStr">
        <is>
          <t>総務省・3町</t>
        </is>
      </c>
      <c r="G24" s="4" t="inlineStr">
        <is>
          <t>公表後</t>
        </is>
      </c>
      <c r="H24" s="14" t="inlineStr">
        <is>
          <t>低</t>
        </is>
      </c>
      <c r="I24" s="4" t="inlineStr">
        <is>
          <t>未着手</t>
        </is>
      </c>
      <c r="J24" s="5" t="inlineStr">
        <is>
          <t>公表待ち</t>
        </is>
      </c>
    </row>
    <row r="26" ht="32" customHeight="1">
      <c r="A26" s="3" t="inlineStr">
        <is>
          <t>優先度</t>
        </is>
      </c>
      <c r="B26" s="3" t="inlineStr">
        <is>
          <t>件数</t>
        </is>
      </c>
      <c r="C26" s="3" t="inlineStr">
        <is>
          <t>内容</t>
        </is>
      </c>
      <c r="D26" s="3" t="inlineStr"/>
      <c r="E26" s="3" t="inlineStr"/>
      <c r="F26" s="3" t="inlineStr"/>
      <c r="G26" s="3" t="inlineStr"/>
      <c r="H26" s="3" t="inlineStr"/>
      <c r="I26" s="3" t="inlineStr"/>
      <c r="J26" s="3" t="inlineStr"/>
    </row>
    <row r="27" ht="32" customHeight="1">
      <c r="A27" s="13" t="inlineStr">
        <is>
          <t>最高</t>
        </is>
      </c>
      <c r="B27" s="21" t="n">
        <v>1</v>
      </c>
      <c r="C27" s="5" t="inlineStr">
        <is>
          <t>No.13 令和6〜8年度の施策・事業実績、事業量、対象</t>
        </is>
      </c>
      <c r="D27" s="22" t="n"/>
      <c r="E27" s="22" t="n"/>
      <c r="F27" s="22" t="n"/>
      <c r="G27" s="22" t="n"/>
      <c r="H27" s="22" t="n"/>
      <c r="I27" s="22" t="n"/>
      <c r="J27" s="23" t="n"/>
    </row>
    <row r="28" ht="32" customHeight="1">
      <c r="A28" s="11" t="inlineStr">
        <is>
          <t>高</t>
        </is>
      </c>
      <c r="B28" s="21" t="n">
        <v>12</v>
      </c>
      <c r="C28" s="5" t="inlineStr">
        <is>
          <t>No.2 訪問系・通所系事業所の運営規程における通常の、No.3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指定事業所台帳（区域外事業所の所在地）、No.19 居住系・施設サービスの種別別受給者数と総合事</t>
        </is>
      </c>
      <c r="D28" s="22" t="n"/>
      <c r="E28" s="22" t="n"/>
      <c r="F28" s="22" t="n"/>
      <c r="G28" s="22" t="n"/>
      <c r="H28" s="22" t="n"/>
      <c r="I28" s="22" t="n"/>
      <c r="J28" s="23" t="n"/>
    </row>
    <row r="29" ht="32" customHeight="1">
      <c r="A29" s="9" t="inlineStr">
        <is>
          <t>中</t>
        </is>
      </c>
      <c r="B29" s="21" t="n">
        <v>5</v>
      </c>
      <c r="C29"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29" s="22" t="n"/>
      <c r="E29" s="22" t="n"/>
      <c r="F29" s="22" t="n"/>
      <c r="G29" s="22" t="n"/>
      <c r="H29" s="22" t="n"/>
      <c r="I29" s="22" t="n"/>
      <c r="J29" s="23" t="n"/>
    </row>
    <row r="30" ht="32" customHeight="1">
      <c r="A30" s="15" t="inlineStr">
        <is>
          <t>低</t>
        </is>
      </c>
      <c r="B30" s="21" t="n">
        <v>2</v>
      </c>
      <c r="C30" s="5" t="inlineStr">
        <is>
          <t>No.1 見える化B5a・B6a・B6bの令和8年3月、No.4 令和7年国勢調査による町別の高齢者を含む世帯</t>
        </is>
      </c>
      <c r="D30" s="22" t="n"/>
      <c r="E30" s="22" t="n"/>
      <c r="F30" s="22" t="n"/>
      <c r="G30" s="22" t="n"/>
      <c r="H30" s="22" t="n"/>
      <c r="I30" s="22" t="n"/>
      <c r="J30" s="23" t="n"/>
    </row>
    <row r="32" ht="39" customHeight="1">
      <c r="A32"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主張の根拠水準の棚卸しと再レビュー」01・06シートに示している。</t>
        </is>
      </c>
    </row>
  </sheetData>
  <mergeCells count="7">
    <mergeCell ref="A1:J1"/>
    <mergeCell ref="A32:J32"/>
    <mergeCell ref="C29:J29"/>
    <mergeCell ref="C30:J30"/>
    <mergeCell ref="C28:J28"/>
    <mergeCell ref="C27:J27"/>
    <mergeCell ref="A2:J2"/>
  </mergeCells>
  <conditionalFormatting sqref="I5:I24">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I5:I24"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2026-08-04T06:30:02Z</dcterms:created>
  <dcterms:modified xmlns:dcterms="http://purl.org/dc/terms/" xmlns:xsi="http://www.w3.org/2001/XMLSchema-instance" xsi:type="dcterms:W3CDTF">2026-08-04T06:30:02Z</dcterms:modified>
</cp:coreProperties>
</file>