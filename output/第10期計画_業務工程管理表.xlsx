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業務仕様書「４．業務内容」（1）〜（12）及び「５．業務スケジュール（予定）」に沿って、業務内容別・月別の進捗を管理する。状況基準日：令和8年10月7日。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260" customHeight="1">
      <c r="A23" s="16" t="inlineStr">
        <is>
          <t>【現時点の全体状況（令和8年10月7日）】全体進捗は67％（進捗を数値で表せる10業務の単純平均）。令和8年9月は、サービス見込量の算定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令和8年9月29日以降は、計画素案の記載内容を洗い出して令和8年3月の全国課長会議資料による制度改正11件を加え、被保険者の意見を反映させるために必要な措置と認知症高齢者の日常生活自立度の状況を補い、公表ベースで用いる版を作成した。保険者機能強化推進交付金等は、同様の構成の団体38団体との比較ができるようになった（確認事項No.168の解決）。令和8年9月30日以降は、見える化システムの推計結果と将来推計ワーニングチェックを受領点検し、入力画面の写しにより画面ごとの入力様式を確定して、値を変更する箇所と入れる値を1冊に取りまとめた。令和8年10月1日には未決の全件に既定値を仮置きし、既定値のとおり計画素案へ反映した事項を38件まで進めたうえで、第2次概算（10月30日）の組立てを作成した。第1次概算からの差分は、要介護度別の単価の採用と1人1月あたり利用回（日）数の要介護度別化の2件であり、いずれも受託者の側で確定できるものであった。計画素案は1006段落151表36図で、未確定箇所は190箇所（要協議122・要確認67・要内訳1）である。確認事項は177件、成果品は135件、作成に用いた処理は132件である。未決の確認事項には「決着しない場合の当方の扱い（既定値）」を全件置いており、ご決定がなくても算定は止まらない。発注者・3町からの追加資料がまったく届かない場合でも、現在の算定の値がそのまま計画の値として確定する（算定上の月額6,438円＝保険料基準額6,400円）。令和8年10月2日のご照会により、計画策定全体の進捗、ご確認・ご判断をお願いする事項、追加確認・資料提供が必要な事項、今後の作成・協議スケジュール及び次回協議までの双方の対応事項を1冊に取りまとめ、未確定事項をどの資料のどこで管理しているかを併せてお示しした。令和8年10月7日には、第136回社会保障審議会介護保険部会（令和8年9月18日）の資料により制度の動向6件と引き続き検討することとされた事項7件を計画素案へ加え、所得段階の置き方3案による保険料の違いと調整交付金の一定の取組による減額を掲げた。構成3町のヒアリング前の事前打合せ（令和8年10月8日）と3町合同の意見交換会の資料には、打合せの時間内でご決定をお願いしたい事項と時間配分の案を加えた。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①国の基本指針案（第134回・第135回）の確認と反映事項の整理［完了］
②特定地域（中山間・人口減少地域）の考え方（第135回資料3）の確認［完了］
③北海道第9期計画（全8章）との整合の確認［完了］
④介護保険最新情報（Vol.1521・1525）の反映［完了］
⑤新別表「確認すべき指標・状況」11事項への対応整理［完了］
⑥告示後の最終照合［未着手］</t>
        </is>
      </c>
      <c r="E5" s="5" t="inlineStr">
        <is>
          <t>妥当性検証報告書 07・17シート
追加調査報告書 01・05シート
計画素案 第1章第9節・資料6</t>
        </is>
      </c>
      <c r="F5" s="10" t="inlineStr">
        <is>
          <t>実施中</t>
        </is>
      </c>
      <c r="G5" s="17" t="n">
        <v>0.8333333333333334</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令和8年10月1日】令和8年3月の全国介護保険・高齢者保健福祉担当課長会議資料（介護保険計画課）の制度改正11件を計画素案 第1章第9節に反映した。調整交付金の年齢区分の3区分から7区分への変更（令和9年4月の事業状況報告から7区分で報告し、令和10年度の財政調整交付金から適用。激変緩和として2分の1ずつ組み合わせる）、保険料段階の基準額の80.9万円から82.65万円への改正（条例改正の手続を要する）、補足給付の見直し（令和9年度から第3段階①②を各2分割）、令和8年度介護報酬改定、一定以上所得基準、令和7年度税制改正の影響の遮断、2040年を見据えた地域類型、医療と介護の協議の場の再編成などである。従前は同資料の内容が計画素案に反映されていなかった。【令和8年10月7日】第136回社会保障審議会介護保険部会（令和8年9月18日）の資料7件を確認し、制度の動向6件を計画素案 第1章第9節に項を起こして加えた。介護情報基盤の構築と活用（標準化対応の適合基準日は令和9年1月1日、本格運用開始日は令和10年4月1日）、ケアプランデータ連携機能の統合（令和9年1月）、介護サービス事業者経営情報データベース、介護事業者の連携・協働化（都道府県との協定）、第1号保険料の在り方（高所得者の標準乗率の見直し。論点提示の段階）、介護給付適正化の取組と調整交付金の減額である。引き続き検討することとされた事項7件も、影響が及び得る計画の箇所と対にして掲げた。あわせて、補足給付の区分の細分化の時期を「令和9年度から」に、一定以上所得基準を「第10期計画期間の開始前までに結論を得ることとされたもの」に改めた（従前は時期の記載が原典と食い違っていた）。確認事項No.175からNo.177を起票した。残るのは政令・省令・報酬改定の告示を待つ分である</t>
        </is>
      </c>
      <c r="J5" s="5" t="inlineStr">
        <is>
          <t>1, 2, 22, 89, 130, 149, 170, 175, 176, 177</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①代表KPI4項目の3軸評価（目標比・推計比・全国北海道比）［完了］
②19施策の構造評価（評価可能性・妥当性）［完了］
③保険者機能強化推進交付金等による外部評価の分析［完了］
④給付実績の分析（受給率・利用率・サービス別給付動向）［完了］
⑤地域支援事業の実績整理［完了］
⑥令和6〜8年度の事業実績による達成度の再判定［未着手］
⑦評価そのものの自己点検記録（指摘29件）［完了］
⑧全成果物の主張の棚卸し（54主張・根拠水準5階層）［完了］
⑨地域差の分析（自給率・地域差指数・保険料の管内比較）［完了］
⑩人口推計の基礎の検証（見える化A系列 2000〜2050年）［完了］
⑪将来推計 第1段階（人口と認定者数・3シナリオ）［完了］
⑫将来推計 第2段階（サービス見込量・感度分析）［完了］
⑬需要3シナリオ（低位・標準・高位）の感度表［完了］
⑭点検指摘への対応（記述の修正16件・訂正1件）［完了］</t>
        </is>
      </c>
      <c r="E6" s="5" t="inlineStr">
        <is>
          <t>妥当性検証報告書 01・02・12・23シート
計画素案 第3章
施策体系新旧対照表
受託者の自己点検（8シート）</t>
        </is>
      </c>
      <c r="F6" s="10" t="inlineStr">
        <is>
          <t>実施中</t>
        </is>
      </c>
      <c r="G6" s="17" t="n">
        <v>0.9285714285714286</v>
      </c>
      <c r="H6" s="10" t="inlineStr">
        <is>
          <t>R8.11</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①健康とくらしの調査（JAGES）の集計・分析［完了］
①-2 第9期の課題・第10期の施策に対する妥当性レビューと追加分析［完了］
②在宅生活改善調査の集計・分析［一部］
③居所変更実態調査の集計・分析［一部］
④介護人材実態調査の集計・分析［一部］
⑤4調査を横断したクロス集計［完了］
⑥見える化データ・給付実績・人口推計と組み合わせた分析［完了］</t>
        </is>
      </c>
      <c r="E7" s="5" t="inlineStr">
        <is>
          <t>調査クロス集計・分析（24シート）
図表集 08〜13シート
妥当性検証報告書 11シート
計画素案 第2章第4〜6節
実施済み3調査の受領点検と集計（11シート）</t>
        </is>
      </c>
      <c r="F7" s="10" t="inlineStr">
        <is>
          <t>実施中</t>
        </is>
      </c>
      <c r="G7" s="17" t="n">
        <v>0.7857142857142857</v>
      </c>
      <c r="H7" s="10" t="inlineStr">
        <is>
          <t>R8.10</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第2章第4節に反映した（4段落・表1→30段落・表8）。集計値のみを用い、個票は収録していない。【令和8年9月17日】アンケート調査の集計分析報告書を再点検し、10シートの見込量が将来推計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見込量算定の値を直接用いる形とし、同じ数値が2つの成果品に別々に書かれない構造に改めた。確認No.140（χ²＝43.5）・No.141（在籍≠受給）を報告書の留保一覧と課題整理に収め、14シートに「測定済み」の区分を新設した。12シートの計画素案への反映状況を、計画素案の章節と突き合わせて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によっており、見込量は見込量算定（第1次概算）による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①人口・高齢者人口の分析［完了］
②認定者数・認定率の分析（年齢調整を含む）［完了］
③給付実績・受給率・利用率の分析［完了］
④サービス提供体制（事業所数・従事者数）の分析［完了］
⑤上川中部圏域内の比較［完了］
⑥類似保険者との比較［完了］
⑦構成町別の分析［完了］
⑧日常生活圏域別の分析［一部］
⑨2040年を見据えた課題の整理［完了］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0.9444444444444444</v>
      </c>
      <c r="H8" s="10" t="inlineStr">
        <is>
          <t>R8.10</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①実績値の準備（令和6〜8年度の介護保険事業状況報告）［一部］
②総人口・被保険者数の入力（社人研推計か保険者独自推計かの決定）［完了］
③自然体推計の実行と保存［完了］
④認定率・サービス利用率の施策反映［一部］
⑤事業所が存在しないサービスの見込量の直接入力［完了］
⑥給付費・保険料の算定［一部］
⑦需要3シナリオ（低位・標準・高位）の感度表［完了］
⑧シナリオ比較（基本・需要上振れ・供給制約・基金活用）［完了］</t>
        </is>
      </c>
      <c r="E9" s="5" t="inlineStr">
        <is>
          <t>計画素案 第6章
追加調査報告書 06シート
保険料と施策評価の他団体比較（9シート）
推計資料（見える化の総括表）</t>
        </is>
      </c>
      <c r="F9" s="10" t="inlineStr">
        <is>
          <t>実施中</t>
        </is>
      </c>
      <c r="G9" s="17" t="n">
        <v>0.8125</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9,035,114,142円、算定上の月額基準額6,438円である（令和8年10月1日に要介護度別の単価を採用したことによる。百円未満四捨五入した保険料基準額6,400円は変わらない）。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245〜＋327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6,438円を百円未満四捨五入した保険料基準額は6,400円で、第9期と同額の据え置きとなる。ただしこの値は単価を令和7年度で固定しており、上向きの要素（単価の趨勢＋245〜＋327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①骨子案の作成［完了］
②計画素案の作成［完了］
③計画最終案の作成［未着手］
④概要版原稿の作成［未着手］
⑤3町計画との整合の確認［一部］</t>
        </is>
      </c>
      <c r="E10" s="5" t="inlineStr">
        <is>
          <t>骨子案（11節22表）
計画素案（1006段落151表36図）
修正指示書（66件）</t>
        </is>
      </c>
      <c r="F10" s="10" t="inlineStr">
        <is>
          <t>実施中</t>
        </is>
      </c>
      <c r="G10" s="17" t="n">
        <v>0.5</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令和8年9月16日】第6章の見込量・給付費・保険料を見える化システムの自然体推計値から当方の算定に差し替えた（暫定の月額基準額 6,740円→6,436円）。計画素案が見込量算定の値を直接用いる形とし、第6章の数値が算定と離れ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1006段落151表36図となった。残る未確定箇所は190箇所（要協議122・要確認67・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4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令和8年10月1日】公表ベースで用いる版を作成した（協議用素案の本文を組み替えるため、2つの版に別の答えが並ぶことはない）。表の見出し行を次の紙面でも繰り返すこと、行を紙面の途中で分割しないこと、表頭に地色を置くことなど視認性を是正し、両方の版に及ぼした。記載内容の洗い出しにより、被保険者の意見を反映させるために必要な措置（介護保険法第117条）と認知症高齢者の日常生活自立度の状況が記載されていないことが分かり、いずれも原典で確かめたうえで加えた。当方が独自に加えていた分析8件は協議用の成果品へ移した（確認No.170・No.171）</t>
        </is>
      </c>
      <c r="J10" s="5" t="inlineStr">
        <is>
          <t>17, 18, 24, 25, 88, 112, 114, 131, 154, 170, 171</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①修正指示書の作成と管理［一部］
②図表の作成・更新［完了］
③3町との協議資料の作成［一部］
④計画原稿の修正［一部］</t>
        </is>
      </c>
      <c r="E11" s="5" t="inlineStr">
        <is>
          <t>修正指示書（66件）
図表集（33シート133点）
確認依頼書</t>
        </is>
      </c>
      <c r="F11" s="10" t="inlineStr">
        <is>
          <t>実施中</t>
        </is>
      </c>
      <c r="G11" s="17" t="n">
        <v>0.625</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令和8年10月1日】保険者機能強化推進交付金等について、同様の構成の団体（複数の市町村で構成する広域連合・一部事務組合）38団体・構成市町村205との比較ができるようになり、確認No.168が解決した。見える化システムへの入力は、画面の写しのご提供により入力様式が画面ごとに異なることを確かめ、値を変更する箇所と入れる値を画面の順に1冊へ取りまとめた。地域分析・検討シートの記入欄15件の記載案も作成した</t>
        </is>
      </c>
      <c r="J11" s="5" t="inlineStr">
        <is>
          <t>87, 103, 112, 118, 136, 143, 150, 154, 155, 156, 157, 168</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①第1回介護保険事業計画策定委員会の資料原案作成［未着手］
②第2回以降の委員会資料の作成［未着手］
③3町との協議資料の作成［完了］
④説明用データの作成［完了］</t>
        </is>
      </c>
      <c r="E12" s="5" t="inlineStr">
        <is>
          <t>委員会資料原案（未作成）</t>
        </is>
      </c>
      <c r="F12" s="10" t="inlineStr">
        <is>
          <t>実施中</t>
        </is>
      </c>
      <c r="G12" s="17" t="n">
        <v>0.5</v>
      </c>
      <c r="H12" s="10" t="inlineStr">
        <is>
          <t>R9.2</t>
        </is>
      </c>
      <c r="I12" s="11" t="inlineStr">
        <is>
          <t>委員会の開催日程、審議事項、資料提出期限が未確定（確認No.19）。図表集と妥当性検証報告書が資料の素材となる。【令和8年10月7日】構成3町のヒアリング前の事前打合せ（令和8年10月8日）の資料と3町合同の意見交換会の資料に、打合せの時間内でご決定をお願いしたい事項と時間配分の案を加えた。いずれも、この場でご決定をお願いしたいもの・時間があればご決定をお願いしたいもの・受託者の仮置きのまま進めるものに分け、所要の目安を分で付している。ご決定をお願いしたい事項は、各町へ伺う問いが立たないもの、保険料の月額への効きが大きいもの、法定記載事項に直結するもの、第2次概算の前提になるものの4つの観点のうち2つ以上に当たるものを選んだ</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①パブリックコメント用の素案の整備［一部］
②提出意見の分類・整理［未着手］
③意見に対する考え方の原案作成［未着手］
④計画への反映［未着手］</t>
        </is>
      </c>
      <c r="E13" s="5" t="inlineStr">
        <is>
          <t>パブリックコメント資料（未作成）</t>
        </is>
      </c>
      <c r="F13" s="10" t="inlineStr">
        <is>
          <t>実施中</t>
        </is>
      </c>
      <c r="G13" s="17" t="n">
        <v>0.125</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100頁程度）200部［未着手］
②計画書及び概要版の電子データ［一部］
③分析資料・推計資料・図表・グラフ・クロス集計表の電子データ［完了］
④打合せ資料・会議資料原案［完了］</t>
        </is>
      </c>
      <c r="E14" s="5" t="inlineStr">
        <is>
          <t>04シートを参照</t>
        </is>
      </c>
      <c r="F14" s="10" t="inlineStr">
        <is>
          <t>実施中</t>
        </is>
      </c>
      <c r="G14" s="17" t="n">
        <v>0.625</v>
      </c>
      <c r="H14" s="10" t="inlineStr">
        <is>
          <t>R9.3</t>
        </is>
      </c>
      <c r="I14" s="11" t="inlineStr">
        <is>
          <t>電子データは作成中。印刷・製本は令和9年3月。本文100頁程度に対する章別のページ配分が未確定（確認No.21）。【令和8年9月15〜18日】成果品は135件となった。9月に加えたものは、サービス見込量の算定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作成に用いた処理132件のうち作り直せないものは3件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令和8年10月1日】成果品6件を加えた。計画素案の公表版、記載内容の洗い出しと対比、図表データ管理台帳（台帳の数値を直すと計画本文の図が追随する）、地域分析・検討シートの記載案、見える化システムへ入力する箇所と入力値、日次の状況と翌日の作業順位である。あわせて、計画素案の点検・エクセルの図表と数値の点検・日次の進捗管理の3件を、担当者が替わっても同じ手順で行えるよう手順としてまとめた</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・サービス見込量の算定（9月26日）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第1次概算を完了し（18シート・自己点検22件。算定上の月額基準額6,438円）、計画素案 第6章第1〜3節・第6節に反映した。令和8年9月17日、アンケート調査の集計分析報告書の見込量が計画素案 第6章と食い違っていたものを是正し、見込量算定の値を直接用いる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令和8年10月1日】計画素案の記載内容の洗い出しにより制度改正11件と記載漏れ2件を加え、公表ベースで用いる版を作成した。見える化システムへの入力は、画面の写しにより入力様式を確定し、値を変更する箇所と入れる値を画面の順に取りまとめた。地域分析・検討シートの記載案も作成した。第2次概算（10月30日）に向けて決着を要する事項は日次の状況と翌日の作業順位で管理する。確認事項No.168・No.169を起票した。3町合同の意見交換会（10月上旬）の資料を作成した。策定の状況、第1次概算の結果、保険料の月額を動かす前提、地域課題15件、3町共通の確認事項、認知症施策推進計画の扱い、資料のご提供のお願い及び10月以降の工程を1冊にまとめている。決定を待たずに進められる事項として、算定の前提のうち受託者の側で確定できるもの2件（要介護度の構成・季節補正）を確定し、確認事項6件（No.88・No.105・No.106・No.112・No.113・No.131）を既定値のとおり計画素案へ反映した。混合型特定施設入居者生活介護に係る必要利用定員総数（介護保険法第117条第3項の勘案事項）は記載がなかったため、定めないこととする旨を第6章第4節4に加えた。続けて8件（No.98・No.100・No.101・No.103・No.107・No.110・No.137・No.150）を既定値のとおり反映し、第6章第6節2に単価の実績の趨勢と給付の適正化による抑制の効きを、第6章第3節2に認知症総合支援事業の実施状況を加え、第6章第2節の注に基準年度・季節補正・定員の縮小の扱いを明示した。この作業により、単価の趨勢を織り込まないことによる月額への効きを誤って記していたことが分かり是正した（実測の年率による値は＋245〜＋327円である）。さらに24件を既定値のとおり反映し、必要利用定員総数と見込量の数える対象の違い（No.141）、対計画比の補正の対象から外すサービス（No.151）、調整交付金への給付適正化の取組状況の勘案（No.93）、交付金の交付見込額の二重控除を避ける整理（No.86）、自己評価と北海道への報告（No.7）を計画素案に加えた。仮置きにより計画素案へ反映した事項は38件である。第2次概算（10月30日）の組立てを「サービス見込量の算定_第2次概算」（13シート）として作成した。第1次概算（9月26日）からの差分、保険料算定表の記号A〜Jの対照、サービス見込量・利用回（日）数・給付費の種別ごとの差分、中長期推計、月額を動かす前提、見える化システムの出力との対照、残る未決と既定値、10月30日までに行うことを掲げている。第1次概算から算定が動いたのは、要介護度別の単価の採用と1人1月あたり利用回（日）数の要介護度別化の2件であり、総給付費は9,031,900,444円から9,035,114,142円へ、算定上の月額基準額は6,436円から6,438円へ動いた。保険料基準額は6,400円で変わらない。併せて、第1次概算として提示した版は提示した時点の値を残すため別に残し、算定の正本の名から工程の名を外した（第10期計画_サービス見込量の算定）。【令和8年10月5日】日次の作業順位により確認事項8件を既定値のとおり計画素案へ反映し（反映した事項は46件）、業務内容別の進捗を作業項目の達成状況による算定に改めた。令和8年10月5日に受領した人口推計のファイルについて、コーホート変化率法の置き方を点検し修正の提案を作成した（確認事項No.174を起票）。【令和8年10月7日】第136回社会保障審議会介護保険部会（令和8年9月18日）の資料7件により、制度の動向6件と引き続き検討することとされた事項7件を計画素案へ加え、所得段階の置き方3案による保険料の違いと調整交付金の一定の取組による減額を掲げた（確認事項No.175からNo.177を起票）。構成3町のヒアリング前の事前打合せ（令和8年10月8日）の資料と3町合同の意見交換会の資料に、打合せの時間内でご決定をお願いしたい事項と時間配分の案を加えた</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パブリックコメント支援（ウェブで2週間。概要版を用いる）、意見整理、計画案修正</t>
        </is>
      </c>
      <c r="C10" s="4" t="inlineStr">
        <is>
          <t>(9)(7)</t>
        </is>
      </c>
      <c r="D10" s="5" t="inlineStr">
        <is>
          <t>・パブリックコメント用素案
・意見の分類整理表
・意見に対する考え方（原案）
・介護保険運営協議会資料（原案）
※介護保険運営協議会（パブリックコメントの前）</t>
        </is>
      </c>
      <c r="E10" s="5" t="inlineStr">
        <is>
          <t>未着手</t>
        </is>
      </c>
      <c r="F10" s="12" t="inlineStr">
        <is>
          <t>未着手</t>
        </is>
      </c>
      <c r="G10" s="10" t="inlineStr"/>
      <c r="H10" s="10" t="inlineStr"/>
      <c r="I10" s="11" t="inlineStr"/>
      <c r="J10" s="5" t="inlineStr">
        <is>
          <t>日程は令和8年10月5日に受領したスケジュールによる（確認事項No.19）</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
※2月19日　事務管理者・主監会議協議（最終協議。原稿・数値の確定）</t>
        </is>
      </c>
      <c r="E11" s="5" t="inlineStr">
        <is>
          <t>未着手</t>
        </is>
      </c>
      <c r="F11" s="12" t="inlineStr">
        <is>
          <t>未着手</t>
        </is>
      </c>
      <c r="G11" s="10" t="inlineStr"/>
      <c r="H11" s="10" t="inlineStr"/>
      <c r="I11" s="11" t="inlineStr"/>
      <c r="J11" s="5" t="inlineStr">
        <is>
          <t>日程は令和8年10月5日に受領したスケジュールによる（確認事項No.19）</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
※3月2日　全員協議会情報提供
※3月3日　第10期介護保険事業計画の決定（データの締切り）
※3月23日　広域連合議会</t>
        </is>
      </c>
      <c r="E12" s="5" t="inlineStr">
        <is>
          <t>未着手</t>
        </is>
      </c>
      <c r="F12" s="12" t="inlineStr">
        <is>
          <t>未着手</t>
        </is>
      </c>
      <c r="G12" s="10" t="inlineStr"/>
      <c r="H12" s="10" t="inlineStr"/>
      <c r="I12" s="11" t="inlineStr"/>
      <c r="J12" s="5" t="inlineStr">
        <is>
          <t>日程は令和8年10月5日に受領したスケジュールによる（確認事項No.19）。契約期間は令和9年3月26日まで。印刷・製本の所要日数を踏まえた入稿期限の確認を要する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10月7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97"/>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サービス見込量の算定</t>
        </is>
      </c>
      <c r="G5" s="5" t="inlineStr">
        <is>
          <t>発注者</t>
        </is>
      </c>
      <c r="H5" s="10" t="inlineStr">
        <is>
          <t>確認待ち</t>
        </is>
      </c>
      <c r="I5" s="10" t="inlineStr">
        <is>
          <t>R8.9</t>
        </is>
      </c>
      <c r="J5" s="11" t="inlineStr">
        <is>
          <t>令和8年度実績見込み値の入力案 03・04シート。
決着しない場合は在宅の実績見込み値は当方の入力案のまま置く。（受託者の仮置き。令和8年10月の意見交換会で諮る）</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
決着しない場合は令和8年度の月報（4〜7月）は基準年度に用いず、令和7年度を基準として概算する。（受託者の仮置き。令和8年10月の意見交換会で諮る）</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当方の資料における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
決着しない場合は案B（3町がそれぞれ市町村計画を策定する）のまま素案に反映する。（受託者の仮置き。令和8年10月の意見交換会で諮る）</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サービス見込量の算定</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
決着しない場合は計画素案 第6章第2節に利用回（日）数を、第3節2に介護予防・日常生活支援総合事業及び一般介護予防事業の量の見込みを掲げた現行のまま確定する。必要利用定員総数の第2節への再掲は行わない（第4節4による）。（受託者の仮置き。令和8年10月の意見交換会で諮る）</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サービス見込量の算定</t>
        </is>
      </c>
      <c r="G9" s="5" t="inlineStr">
        <is>
          <t>発注者</t>
        </is>
      </c>
      <c r="H9" s="10" t="inlineStr">
        <is>
          <t>確認待ち</t>
        </is>
      </c>
      <c r="I9" s="10" t="inlineStr">
        <is>
          <t>R8.9</t>
        </is>
      </c>
      <c r="J9" s="11" t="inlineStr">
        <is>
          <t>見える化 将来推計の設定資料の受領点検 04シート。
決着しない場合は見える化システムの推計値は現行の自然体推計のまま用いる。（受託者の仮置き。令和8年10月の意見交換会で諮る）</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
決着しない場合は参考シートを受領できないものとして、施設・居住系の伸びは当方の要介護度別の算定（令和7年度の利用率を固定）による。画面の伸びの選択は「令和6年度→令和7年度の伸び」とする。（受託者の仮置き。令和8年10月の意見交換会で諮る）</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
決着しない場合は計画素案は年報による21.826％を用い、参考シートの20.84％は用いない。差は時点の違いとして注記する。（受託者の仮置き。令和8年10月の意見交換会で諮る）</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サービス見込量の算定</t>
        </is>
      </c>
      <c r="G12" s="5" t="inlineStr">
        <is>
          <t>発注者</t>
        </is>
      </c>
      <c r="H12" s="10" t="inlineStr">
        <is>
          <t>確認待ち</t>
        </is>
      </c>
      <c r="I12" s="10" t="inlineStr">
        <is>
          <t>R8.9</t>
        </is>
      </c>
      <c r="J12" s="11" t="inlineStr">
        <is>
          <t>同表 01・03シート。
決着しない場合は基本推計に近いP3で概算する。（受託者の仮置き。令和8年10月の意見交換会で諮る）</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令和8年10月5日に受領した「被保険者数（補正後）補正率2区分」は、社人研推計を第1号被保険者数の実績で補正し、見える化システムの画面が求める男女別6階級の形にしたものである。国の「推計人口と第1号被保険者数の比較」は当広域連合の85歳以上で推計人口が第1号被保険者数を9.2％上回ることを示しており、補正を要する区分である。案Cによる入力値（令和8年9月30日提示）と社人研推計を補正した値のいずれを用いるかのご判断を要する（人口推計コーホート分析の妥当性検証 07シート）。
決着しない場合は人口の設定を案Cに改める（入力値は算定済み）。改められない場合は画面の社人研推計のままとし、当方の算定との差（第1号被保険者数で＋31人から＋134人）を注記する。（受託者の仮置き。令和8年10月の意見交換会で諮る）</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サービス見込量の算定</t>
        </is>
      </c>
      <c r="G14" s="5" t="inlineStr">
        <is>
          <t>発注者</t>
        </is>
      </c>
      <c r="H14" s="10" t="inlineStr">
        <is>
          <t>確認待ち</t>
        </is>
      </c>
      <c r="I14" s="10" t="inlineStr">
        <is>
          <t>R8.10</t>
        </is>
      </c>
      <c r="J14" s="11" t="inlineStr">
        <is>
          <t>令和8年度の実績見込み値の入力案（15シート）。
決着しない場合は見える化システムの令和8年度の実績見込み値は編集しないまま概算する。当方の算定は年報（令和7年度）によるため見込量は動かず、システムの出力との差として残る。（受託者の仮置き。令和8年10月の意見交換会で諮る）</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サービス見込量の算定</t>
        </is>
      </c>
      <c r="G15" s="5" t="inlineStr">
        <is>
          <t>発注者</t>
        </is>
      </c>
      <c r="H15" s="10" t="inlineStr">
        <is>
          <t>確認待ち</t>
        </is>
      </c>
      <c r="I15" s="10" t="inlineStr">
        <is>
          <t>R8.10</t>
        </is>
      </c>
      <c r="J15" s="11" t="inlineStr">
        <is>
          <t>見える化の推計設定の受領点検 06シート。
決着しない場合は令和8年度（4か月）を含まない④（令和6年度→令和7年度）の伸びを選んだものとして概算する。当方の算定（令和7年度基準）と置き方がそろう。（受託者の仮置き。令和8年10月の意見交換会で諮る）</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
決着しない場合は施策2-5の代表KPIはO2（提起された地域課題のうち翌年度の事業・予算に反映されたものの割合）とする（当方案）。（受託者の仮置き。令和8年10月の意見交換会で諮る）</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
決着しない場合は地域ケア会議の記録様式は協議資料にとどめ、令和9年度に整える。（受託者の仮置き。令和8年10月の意見交換会で諮る）</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
決着しない場合は地域ケア個別会議と地域ケア推進会議を分けずに計数する。（受託者の仮置き。令和8年10月の意見交換会で諮る）</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
決着しない場合は令和7年度の実施報告書により把握できる範囲で記述する。（受託者の仮置き。令和8年10月の意見交換会で諮る）</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保管せず作業の終了後に廃棄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
決着しない場合は転載を禁ずる旨の記載がある2件は成果品に用いず、原典（厚労省の市町村マニュアル及び別冊事例集）のみを引く。（受託者の仮置き。令和8年10月の意見交換会で諮る）</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
決着しない場合は計画本文に掲げる中長期推計は令和17年度・令和22年度とし、見込量・給付費・保険料のいずれも単価を令和7年度で固定して算定する。（受託者の仮置き。令和8年10月の意見交換会で諮る）</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
決着しない場合は令和6年度の利用者実人数を据え置いて延ばした量の見込みを掲げ、令和7年度の実施状況は単位が異なるため別の表として示す。（受託者の仮置き。令和8年10月の意見交換会で諮る）</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サービス見込量の算定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
決着しない場合は混合型特定施設の必要利用定員総数を定めないまま概算する。（受託者の仮置き。令和8年10月の意見交換会で諮る）</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
決着しない場合は令和9年4月新設の3区分を0として立てる。（受託者の仮置き。令和8年10月の意見交換会で諮る）</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
決着しない場合は供給の制約（人材）を見込量に反映しない（需要のみで算定する）。（受託者の仮置き。令和8年10月の意見交換会で諮る）</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
決着しない場合は見込量算定の4成果品を統合報告書に束ね、元の4件も残す（現行）。（受託者の仮置き。令和8年10月の意見交換会で諮る）</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245円（年率1.32％）から＋327円（年率1.75％）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
決着しない場合は単価を令和7年度で固定する（安全側）。実績の趨勢を置いた場合の差は据え置きの一覧及び計画素案 第6章第6節2に示す。（受託者の仮置き。令和8年10月の意見交換会で諮る）</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サービス見込量の算定
計画素案 第5章 基本目標5・第6章第2節</t>
        </is>
      </c>
      <c r="G28" s="5" t="inlineStr">
        <is>
          <t>発注者</t>
        </is>
      </c>
      <c r="H28" s="10" t="inlineStr">
        <is>
          <t>確認待ち</t>
        </is>
      </c>
      <c r="I28" s="10" t="inlineStr">
        <is>
          <t>R8.10</t>
        </is>
      </c>
      <c r="J28" s="11" t="inlineStr">
        <is>
          <t>趨勢に現れない要因の分析 05シート。
決着しない場合は給付適正化の効果を織り込まないまま概算する（安全側）。（受託者の仮置き。令和8年10月の意見交換会で諮る）</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
決着しない場合は趨勢に現れない要因は向きのみを注記し、数値には織り込まない。（受託者の仮置き。令和8年10月の意見交換会で諮る）</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サービス見込量の算定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
決着しない場合はサービス別の趨勢を反映する補正は行わない（見込量は要介護度別の伸びによる）。補正を行った場合の月額への効きは計画素案 第6章第6節2に併記する。（受託者の仮置き。令和8年10月の意見交換会で諮る）</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サービス見込量の算定
計画素案 第6章第4節4</t>
        </is>
      </c>
      <c r="G31" s="5" t="inlineStr">
        <is>
          <t>発注者・3町</t>
        </is>
      </c>
      <c r="H31" s="10" t="inlineStr">
        <is>
          <t>確認待ち</t>
        </is>
      </c>
      <c r="I31" s="10" t="inlineStr">
        <is>
          <t>R8.9</t>
        </is>
      </c>
      <c r="J31" s="11" t="inlineStr">
        <is>
          <t>対計画比の偏りの補正試算 05シート。
決着しない場合は施設・居住系の実績の減少を将来へ延長しないまま概算する。（受託者の仮置き。令和8年10月の意見交換会で諮る）</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
決着しない場合は補正しても外れる6件は趨勢ではなく供給・制度の問題として注記する。（受託者の仮置き。令和8年10月の意見交換会で諮る）</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サービス見込量の算定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
決着しない場合は令和8年度を基準年度に用いず、季節補正も行わないまま概算する。（受託者の仮置き。令和8年10月の意見交換会で諮る）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
決着しない場合は単価を令和7年度で固定する（安全側）。令和8年度の水準を反映した場合の差（月額＋99円）は据え置きの一覧に示す。（受託者の仮置き。令和8年10月の意見交換会で諮る）</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サービス見込量の算定
計画素案 第4章第3節・第6章第2節</t>
        </is>
      </c>
      <c r="G35" s="5" t="inlineStr">
        <is>
          <t>発注者</t>
        </is>
      </c>
      <c r="H35" s="10" t="inlineStr">
        <is>
          <t>確認待ち</t>
        </is>
      </c>
      <c r="I35" s="10" t="inlineStr">
        <is>
          <t>R8.9</t>
        </is>
      </c>
      <c r="J35" s="11" t="inlineStr">
        <is>
          <t>見込量の季節性の検証と施策反映の設計 04・05シート。
決着しない場合は施策反映を行わないまま概算する（安全側）。（受託者の仮置き。令和8年10月の意見交換会で諮る）</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サービス見込量の算定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6,438円）に置き換えた。ご判断をいただくまでは暫定であり、置き方によるちがい（要介護度別6,438円・一律6,428円・見える化6,740円）を第6節に併記している。
決着しない場合は採用パターンP3（令和7年度基準・総括表・認定者数シナリオ②）により、要介護度別の伸びで概算する。（受託者の仮置き。令和8年10月の意見交換会で諮る）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サービス見込量の算定</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
決着しない場合は計画素案 第6章第2節の表は当方の算定（令和7年度の実績に要介護度別の認定者数の伸びを乗じたもの）による値とし、見える化システムの自然体推計による値は第6節2に対比として掲げる。（受託者の仮置き。令和8年10月の意見交換会で諮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
決着しない場合は②は確認できないものとして、令和8年度を基準年度に用いない。（受託者の仮置き。令和8年10月の意見交換会で諮る）</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
決着しない場合は基準条例を受領できないものとして、省令の基準により論点を整理するにとどめ、計画素案には条例の内容を書かない。（受託者の仮置き。令和8年10月の意見交換会で諮る）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
決着しない場合は認知症対応型共同生活介護の定員は99人＋［要確認］のまま掲げる。（受託者の仮置き。令和8年10月の意見交換会で諮る）</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
決着しない場合は条例の対応規定を確認できないものとして、計画素案には省令の定めと対象事業所数（協力医療機関10・生産性向上委員会15）のみを書く。（受託者の仮置き。令和8年10月の意見交換会で諮る）</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サービス見込量の算定</t>
        </is>
      </c>
      <c r="G42" s="5" t="inlineStr">
        <is>
          <t>発注者</t>
        </is>
      </c>
      <c r="H42" s="10" t="inlineStr">
        <is>
          <t>確認待ち</t>
        </is>
      </c>
      <c r="I42" s="10" t="inlineStr">
        <is>
          <t>R8.9</t>
        </is>
      </c>
      <c r="J42" s="11" t="inlineStr">
        <is>
          <t>①は第6章第4節1 案Aの書き分けに関わるため第1次概算（9月26日）より前に整理する。
決着しない場合は省令上の類型を計画に掲げないまま概算する。（受託者の仮置き。令和8年10月の意見交換会で諮る）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
決着しない場合は過疎地域における定員超過の特例を用いないものとして見込量を算定する。（受託者の仮置き。令和8年10月の意見交換会で諮る）</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
決着しない場合は財政調整交付金の算定に給付適正化主要3事業の取組状況を勘案しないものとして算定する（調整交付金7.3755％のまま。安全側）。（受託者の仮置き。令和8年10月の意見交換会で諮る）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
決着しない場合は給付適正化計画の位置づけは案B（第9期と同じく施策として置き、施策名のかっこ書きで第7期給付適正化計画であることを示す）のままとする（令和8年9月10日 了承済み）。（受託者の仮置き。令和8年10月の意見交換会で諮る）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
決着しない場合は認定調査の委託の状況を確認できないものとして、第7期給付適正化計画には現行の取組のまま位置づける。（受託者の仮置き。令和8年10月の意見交換会で諮る）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
決着しない場合は介護給付費通知の実施状況を確認できないものとして、第7期給付適正化計画には現行の取組のまま位置づける。（受託者の仮置き。令和8年10月の意見交換会で諮る）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
決着しない場合は第9期計画の本文及び前回調査の原集計表を受領できないものとして、前回調査との比較は割合のみとし、指標別の分母を確認できない旨を注記する。（受託者の仮置き。令和8年10月の意見交換会で諮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
決着しない場合は計画素案 第1章第9節2の7件の整理のまま進め、政令・省令・報酬改定の公表後に再照合する。（受託者の仮置き。令和8年10月の意見交換会で諮る）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の算定（9月26日）より前に①の決定をいただきたい。</t>
        </is>
      </c>
      <c r="F50" s="5" t="inlineStr">
        <is>
          <t>計画素案 第1章第7節・第6章第4節4
サービス見込量の算定</t>
        </is>
      </c>
      <c r="G50" s="5" t="inlineStr">
        <is>
          <t>発注者・3町</t>
        </is>
      </c>
      <c r="H50" s="10" t="inlineStr">
        <is>
          <t>確認待ち</t>
        </is>
      </c>
      <c r="I50" s="10" t="inlineStr">
        <is>
          <t>R8.9</t>
        </is>
      </c>
      <c r="J50" s="11" t="inlineStr">
        <is>
          <t>法定記載事項であり、記載を落とすことができない。圏域が確定しないと表を作成できない。
決着しない場合は3町（3圏域）を基盤整備単位とする案のまま概算する。必要利用定員総数は［要協議］のまま残す。（受託者の仮置き。令和8年10月の意見交換会で諮る）</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
決着しない場合は地域支援事業費（B）から保険者機能強化推進事業費及び保険者努力支援事業費を除く現行の方法を採り、保険料収納必要額からの控除は行わない（二重控除を避けるため）。（受託者の仮置き。令和8年10月の意見交換会で諮る）</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
決着しない場合は町別データシートは現行の内容のまま配付する。（受託者の仮置き。令和8年10月の意見交換会で諮る）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
決着しない場合は現定員の据え置き案を掲げ、本文は［要協議］のまま残す。（受託者の仮置き。令和8年10月の意見交換会で諮る）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
決着しない場合は3町合同の意見交換会（10月上旬）と町ごとの個別協議（10月中旬〜下旬）の2段構えで進める。（受託者の仮置き。令和8年10月の意見交換会で諮る）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サービス見込量の算定（R8.9.26）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
決着しない場合は町別への按分は広域連合の規約によるものであり算定できないため、構成町の一般会計繰入金は3町計の概算のみを示す（按分の方法のご教示を受けた時点で町別までお示しする）。（受託者の仮置き。令和8年10月の意見交換会で諮る）</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
決着しない場合は国保連の給付実績の明細を受領できないものとして、代表KPI H16は地域密着型サービスに限った確認件数を代理指標とする。（受託者の仮置き。令和8年10月の意見交換会で諮る）</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
決着しない場合は職員個票を突き合わせず、事業所への照会により重複を判別する。（受託者の仮置き。令和8年10月の意見交換会で諮る）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
決着しない場合は第9期の19施策の体系を維持する（施策数を見直さない）。（受託者の仮置き。令和8年10月の意見交換会で諮る）</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
決着しない場合は北海道の名簿の定員のまま概算する。（受託者の仮置き。令和8年10月の意見交換会で諮る）</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
決着しない場合は北海道の評価指標⑥の団体別の公表値を引用できないものとして、当該指標は計画本文に掲げない。（受託者の仮置き。令和8年10月の意見交換会で諮る）</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
決着しない場合は介護リームスから抽出できないものとして、代表KPI H03は未算定のままとする。（受託者の仮置き。令和8年10月の意見交換会で諮る）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3・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
決着しない場合は代表KPIと改善事項は当方の再整理案のままとする。（受託者の仮置き。令和8年10月の意見交換会で諮る）</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
決着しない場合は北海道が家賃等の情報収集を行っていないものとして、第10期の施策に位置づけない。（受託者の仮置き。令和8年10月の意見交換会で諮る）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
決着しない場合はケアプラン点検実施要領（案）は協議資料にとどめ素案に入れない。（受託者の仮置き。令和8年10月の意見交換会で諮る）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第3章第4節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
決着しない場合は交付金の全国順位は計画本文に掲載せず、策定委員会資料にとどめる（確認事項No.71のとおり）。（受託者の仮置き。令和8年10月の意見交換会で諮る）</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
決着しない場合は成果指向型配分枠への対応状況を確認できないものとして、第10期の施策には位置づけず、確認でき次第加える。（受託者の仮置き。令和8年10月の意見交換会で諮る）</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
決着しない場合は当方の算定のまま進め、国の様式との対応は協議用の資料に対照表として掲げる。（受託者の仮置き。令和8年10月の意見交換会で諮る）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
決着しない場合は再出力を受けられないものとして、当方の要介護度別の算定による見込量を用いる。（受託者の仮置き。令和8年10月の意見交換会で諮る）</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
決着しない場合はサービスガイドに掲載する事業所の範囲は北海道の指定事業所一覧（最新のもの）による。（受託者の仮置き。令和8年10月の意見交換会で諮る）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
決着しない場合は広域連合において行うべき事業の優先順位は当方の案のままとする。（受託者の仮置き。令和8年10月の意見交換会で諮る）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
決着しない場合は区域内に事業所がないサービスは、区域外の事業所を利用できる旨を住民向けの記載に書く。（受託者の仮置き。令和8年10月の意見交換会で諮る）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
決着しない場合は人口推計の基礎は案C（総合戦略＋住民基本台帳の趨勢）のままとする。案A・案Bは対比の記録として残す。（受託者の仮置き。令和8年10月の意見交換会で諮る）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
決着しない場合は交付金の評価項目と19施策の割当ては当方の案のままとする。（受託者の仮置き。令和8年10月の意見交換会で諮る）</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
決着しない場合は当方案（単価を令和7年度で固定・施策反映を行わない・給付適正化を織り込まない・基金を取り崩さない）による。いずれも安全側であり、月額は下限に近い値となる。（受託者の仮置き。令和8年10月の意見交換会で諮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
決着しない場合は現行の扱い（第9期の算定を再現し公表値6,428円と一致する扱い）による。（受託者の仮置き。令和8年10月の意見交換会で諮る）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
決着しない場合は定期巡回・随時対応型訪問介護看護は自然体の算定値を置き、整備による上乗せは行わない（安全側）。（受託者の仮置き。令和8年10月の意見交換会で諮る）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
決着しない場合は第10期は計画値を0とせず、算定値を置く（対計画比が算出され評価の対象となるようにする）。（受託者の仮置き。令和8年10月の意見交換会で諮る）</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
決着しない場合は他団体の集計帳票6件は成果品に用いない。（受託者の仮置き。令和8年10月の意見交換会で諮る）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
決着しない場合は議事録は作成者名を落として再出力する（当方で対応する）。（受託者の仮置き。令和8年10月の意見交換会で諮る）</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
決着しない場合は議事録の表記はご提案3件のとおり改める。（受託者の仮置き。令和8年10月の意見交換会で諮る）</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
決着しない場合は介護保険事業財政調整基金を取り崩さないものとして算定する（安全側）。取り崩す場合は1億円あたり月額約▲310円となることを併記する。（受託者の仮置き。令和8年10月の意見交換会で諮る）</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
決着しない場合は名称・科目は令和6年度決算書の表記による（総額に影響しない）。（受託者の仮置き。令和8年10月の意見交換会で諮る）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
決着しない場合は月報の値の接続のずれは記録として残し、計画本文には用いない。（受託者の仮置き。令和8年10月の意見交換会で諮る）</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
決着しない場合は受領済みの年報・月報の値による。（受託者の仮置き。令和8年10月の意見交換会で諮る）</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
決着しない場合は収録済みの令和6年度の総合事業の実施状況に関する調査の値による。（受託者の仮置き。令和8年10月の意見交換会で諮る）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
決着しない場合は総括表（保険者単位）を用い、計画作成支援ツールの実績値シートは比較のためにのみ用いる。（受託者の仮置き。令和8年10月の意見交換会で諮る）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
決着しない場合は令和8年9月25日の再提供により決着済み。再提供を受けたファイルの値（3町合計と円単位一致）による。（受託者の仮置き。令和8年10月の意見交換会で諮る）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
決着しない場合は代表KPI H15の分母は標準給付費見込額とする（受託者案）。（受託者の仮置き。令和8年10月の意見交換会で諮る）</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
決着しない場合は令和8年8月28日受領の集計帳票による。（受託者の仮置き。令和8年10月の意見交換会で諮る）</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
決着しない場合は中間報告・施策体系新旧対照表・骨子案は提出した内容のままとする。（受託者の仮置き。令和8年10月の意見交換会で諮る）</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
決着しない場合は社会資源一覧の従業員数は施設単位の実人数を用い、延べの値は用いない（同一の施設が複数のサービスで登録されている分を除く）。介護人材実態調査の採用者数・離職者数も同一法人の重複計上分を除いた採用83人・離職65人を用いる。（受託者の仮置き。令和8年10月の意見交換会で諮る）</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
決着しない場合は現行の工程表のまま進める。（受託者の仮置き。令和8年10月の意見交換会で諮る）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is>
          <t>決着しない場合は告示を確認できないものとして、特別地域加算の判定を計画素案に書かず［要確認］のまま残す。（受託者の仮置き。令和8年10月の意見交換会で諮る）</t>
        </is>
      </c>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is>
          <t>決着しない場合は特定地域の指定に係る意向表明を行わないものとして記載し、省令等の確定後に改める。（受託者の仮置き。令和8年10月の意見交換会で諮る）</t>
        </is>
      </c>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is>
          <t>決着しない場合は類似保険者との比較は公表されている同規模保険者40団体による。（受託者の仮置き。令和8年10月の意見交換会で諮る）</t>
        </is>
      </c>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is>
          <t>決着しない場合は代表KPI H07・H08・H12・H16は代理指標への振替案のとおりとする。（受託者の仮置き。令和8年10月の意見交換会で諮る）</t>
        </is>
      </c>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第3章第2節・第3節・第4節
妥当性検証報告書 12シート</t>
        </is>
      </c>
      <c r="G104" s="5" t="inlineStr">
        <is>
          <t>発注者</t>
        </is>
      </c>
      <c r="H104" s="10" t="inlineStr">
        <is>
          <t>確認待ち</t>
        </is>
      </c>
      <c r="I104" s="10" t="inlineStr">
        <is>
          <t>R8.8</t>
        </is>
      </c>
      <c r="J104" s="11" t="inlineStr">
        <is>
          <t>決着しない場合は第9期の施策・事業実績を受領できないものとして、公表資料（交付金の評価結果・総合事業の実施状況に関する調査・年報）により評価する。（受託者の仮置き。令和8年10月の意見交換会で諮る）</t>
        </is>
      </c>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is>
          <t>決着しない場合は評価調書を受領できないものとして、得点0が「取組がない」のか「要件を満たさない」のか「報告していない」のかは公表資料から判別できない旨を注記する。（受託者の仮置き。令和8年10月の意見交換会で諮る）</t>
        </is>
      </c>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is>
          <t>決着しない場合は第9期の自己評価と北海道への報告の実績を確認できないものとして、第10期の進行管理に自己評価の仕組みを置く。（受託者の仮置き。令和8年10月の意見交換会で諮る）</t>
        </is>
      </c>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is>
          <t>決着しない場合は3調査の点検事項は当方の判定のままとする。（受託者の仮置き。令和8年10月の意見交換会で諮る）</t>
        </is>
      </c>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is>
          <t>決着しない場合は現に収録している対象者範囲・回収率による。設問ごとに分母が異なることを注記する。（受託者の仮置き。令和8年10月の意見交換会で諮る）</t>
        </is>
      </c>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is>
          <t>決着しない場合は採用83人・離職65人（同一法人の重複を除いた値）による。代表KPI H14は、分母となる各年9月30日現在の在籍者数を確認できないため未算定のままとする。（受託者の仮置き。令和8年10月の意見交換会で諮る）</t>
        </is>
      </c>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is>
          <t>決着しない場合は住民基本台帳（各年1月1日現在）の町別人口により本文を確定する。（受託者の仮置き。令和8年10月の意見交換会で諮る）</t>
        </is>
      </c>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is>
          <t>決着しない場合は日常生活圏域を3町（3圏域）とする案のまま概算する。（受託者の仮置き。令和8年10月の意見交換会で諮る）</t>
        </is>
      </c>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is>
          <t>決着しない場合は北海道の指定事業所一覧の「通常の事業の実施地域」により判定する。（受託者の仮置き。令和8年10月の意見交換会で諮る）</t>
        </is>
      </c>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is>
          <t>決着しない場合は案C（総合戦略＋住民基本台帳の実績趨勢）のまま確定する。（受託者の仮置き。令和8年10月の意見交換会で諮る）</t>
        </is>
      </c>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is>
          <t>決着しない場合は認定者数は年報の年度末（3月31日）を基準とし、月次推移は計画本文に掲げない。（受託者の仮置き。令和8年10月の意見交換会で諮る）</t>
        </is>
      </c>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is>
          <t>決着しない場合は確認事項No.60と同じ前提（単価固定・施策反映なし・適正化を織り込まない・基金取崩しなし）による。（受託者の仮置き。令和8年10月の意見交換会で諮る）</t>
        </is>
      </c>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is>
          <t>決着しない場合は広域連合の代表KPI16項目を掲げ、3町計画への掲載は求めない。（受託者の仮置き。令和8年10月の意見交換会で諮る）</t>
        </is>
      </c>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is>
          <t>決着しない場合は骨子案は提出した内容のままとする。（受託者の仮置き。令和8年10月の意見交換会で諮る）</t>
        </is>
      </c>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is>
          <t>令和8年10月5日に受領したスケジュールにより、②パブリックコメントの実施期間（令和9年1月。ウェブで2週間。概要版を用いる）、介護保険運営協議会をパブリックコメントの前に開くこと、令和9年2月19日の事務管理者・主監会議協議（最終協議・原稿及び数値の確定）、3月2日の全員協議会情報提供、3月3日の計画の決定（データの締切り）、3月23日の広域連合議会が分かった。月別工程に取り込んだ。残るのは①の審議事項と資料提出期限及び③の公表基準である。決着しない場合は本スケジュールのとおり工程を組む</t>
        </is>
      </c>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is>
          <t>決着しない場合は北海道・圏域との調整の場が設けられないものとして、北海道の第9期支援計画との整合により記載する。（受託者の仮置き。令和8年10月の意見交換会で諮る）</t>
        </is>
      </c>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is>
          <t>決着しない場合は成果品の仕様は仕様書の定め（計画書 印刷200部・編集可能な電子データ及びPDF）による。（受託者の仮置き。令和8年10月の意見交換会で諮る）</t>
        </is>
      </c>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is>
          <t>決着しない場合は北海道の評価指標の読替えは当方の案のままとする。（受託者の仮置き。令和8年10月の意見交換会で諮る）</t>
        </is>
      </c>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is>
          <t>決着しない場合は北海道の各名簿及び介護サービス情報公表システムの定員による。（受託者の仮置き。令和8年10月の意見交換会で諮る）</t>
        </is>
      </c>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is>
          <t>決着しない場合は24時間対応サービスは自然体の算定値を置き、整備による上乗せは行わない（安全側）。（受託者の仮置き。令和8年10月の意見交換会で諮る）</t>
        </is>
      </c>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is>
          <t>決着しない場合は代表KPIの目標値は、令和9年度を基準値の把握に充て、令和10年度・令和11年度に目標値を置く。（受託者の仮置き。令和8年10月の意見交換会で諮る）</t>
        </is>
      </c>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is>
          <t>決着しない場合は現に受領している交付金評価結果と実施報告書の範囲で記述する。（受託者の仮置き。令和8年10月の意見交換会で諮る）</t>
        </is>
      </c>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is>
          <t>決着しない場合は令和4年度の集計表を受領できないものとして、前回比較は第9期計画の本文に掲げられた指標に限る。（受託者の仮置き。令和8年10月の意見交換会で諮る）</t>
        </is>
      </c>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is>
          <t>決着しない場合は現に収録している調査対象者の範囲による。（受託者の仮置き。令和8年10月の意見交換会で諮る）</t>
        </is>
      </c>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is>
          <t>決着しない場合は年齢階級ごとの要介護度の構成を令和7年度末の実績で固定する（重度化は人口の高齢化による分のみを見込む）。（受託者の仮置き。令和8年10月の意見交換会で諮る）</t>
        </is>
      </c>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is>
          <t>決着しない場合は施設入所者と在宅者を分けずに算定する（分けるための要介護度の変化のデータがないため）。（受託者の仮置き。令和8年10月の意見交換会で諮る）</t>
        </is>
      </c>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is>
          <t>決着しない場合は給付適正化による抑制を推計に織り込まない（安全側）。対象4サービスは総給付費の7.70％であり、10％抑制でも月額▲47円であることを併記する。（受託者の仮置き。令和8年10月の意見交換会で諮る）</t>
        </is>
      </c>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is>
          <t>決着しない場合は第9期条例の16段階・乗率（公費軽減前）を据え置いて算定し、政令の公布後に再算定する。（受託者の仮置き。令和8年10月の意見交換会で諮る）</t>
        </is>
      </c>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is>
          <t>決着しない場合は経緯を確認できないものとして、第9期条例の乗率をそのまま用いる。（受託者の仮置き。令和8年10月の意見交換会で諮る）</t>
        </is>
      </c>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is>
          <t>決着しない場合は上川管内の保険者の所得段階数と乗率の比較は掲げない。（受託者の仮置き。令和8年10月の意見交換会で諮る）</t>
        </is>
      </c>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is>
          <t>決着しない場合は令和6年度の所得段階別構成比と予定収納率0.99による。（受託者の仮置き。令和8年10月の意見交換会で諮る）</t>
        </is>
      </c>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is>
          <t>決着しない場合は公表されている全国集計の値による。（受託者の仮置き。令和8年10月の意見交換会で諮る）</t>
        </is>
      </c>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サービス見込量の算定</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確認のうえ収録し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245〜＋327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サービス見込量の算定</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
決着しない場合は1人1月あたり給付費は令和7年度で固定して概算する（単価の趨勢を織り込まないことによる効きは計画素案 第6章第6節2に掲げる）。（受託者の仮置き。令和8年10月の意見交換会で諮る）</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
決着しない場合は認定者数の実績見込み値を編集する項目がないものとして、認定率の伸びに「令和6年度→令和7年度の伸び」を選ぶ。（受託者の仮置き。令和8年10月の意見交換会で諮る）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は健康とくらしの調査の個票（4,729票）によるものである。個票は発注者指示（令和8年8月28日）により保管していないため、同成果品を作り直すことは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保管せず、作業後に廃棄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
決着しない場合は健康とくらしの調査の個票の再提供を依頼しない（成果品は収録済みで内容が確定しており、現時点で不足がない）。（受託者の仮置き。令和8年10月の意見交換会で諮る）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
決着しない場合は在宅生活改善調査の結果は「在宅で困難を抱える方の状況」として引き、在宅の認定者全体の割合としては引かない。（受託者の仮置き。令和8年10月の意見交換会で諮る）</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サービス見込量の算定</t>
        </is>
      </c>
      <c r="G144" s="5" t="inlineStr">
        <is>
          <t>発注者</t>
        </is>
      </c>
      <c r="H144" s="10" t="inlineStr">
        <is>
          <t>確認待ち</t>
        </is>
      </c>
      <c r="I144" s="10" t="inlineStr">
        <is>
          <t>R8.9</t>
        </is>
      </c>
      <c r="J144" s="11" t="inlineStr">
        <is>
          <t>調査結果と年報実績の突合クロス集計 03・04・05シート。
決着しない場合は必要利用定員総数は区域内の施設の定員とは別に整理したまま概算する。（受託者の仮置き。令和8年10月の意見交換会で諮る）</t>
        </is>
      </c>
    </row>
    <row r="145" ht="88" customHeight="1">
      <c r="A145" s="4" t="n">
        <v>142</v>
      </c>
      <c r="B145" s="4" t="inlineStr">
        <is>
          <t>(5)</t>
        </is>
      </c>
      <c r="C145" s="4" t="inlineStr">
        <is>
          <t>R8.9</t>
        </is>
      </c>
      <c r="D145" s="5" t="inlineStr">
        <is>
          <t>第1次概算を既定値のまま出してよいか</t>
        </is>
      </c>
      <c r="E145" s="5" t="inlineStr">
        <is>
          <t>サービス見込量の算定（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245〜＋327円）であり、これだけは9月26日までに決定をいただきたい。</t>
        </is>
      </c>
      <c r="F145" s="5" t="inlineStr">
        <is>
          <t>サービス見込量の算定</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
決着しない場合は本表そのものに係る確認事項である。決着しない場合は、本シートの既定値によったことを第1次概算の資料に明示して提出する。（受託者の仮置き。令和8年10月の意見交換会で諮る）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
決着しない場合は未確定箇所の表示は［要協議］［要確認］［要内訳］の3種のままとする。（受託者の仮置き。令和8年10月の意見交換会で諮る）</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
決着しない場合は統合した成果品の元の資料を残す。（受託者の仮置き。令和8年10月の意見交換会で諮る）</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サービス見込量の算定</t>
        </is>
      </c>
      <c r="G148" s="5" t="inlineStr">
        <is>
          <t>発注者</t>
        </is>
      </c>
      <c r="H148" s="10" t="inlineStr">
        <is>
          <t>確認待ち</t>
        </is>
      </c>
      <c r="I148" s="10" t="inlineStr">
        <is>
          <t>R8.9</t>
        </is>
      </c>
      <c r="J148" s="11" t="inlineStr">
        <is>
          <t>管理の統合と成果品の棚卸し 04シート。
決着しない場合はサービス見込量・給付費・保険料は年報（保険者単位）の値で概算し、町別データシートは計画作成支援ツールの値のまま示す。3町を足しても年報の値にならないことを注記する。（受託者の仮置き。令和8年10月の意見交換会で諮る）</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
決着しない場合は年報の値を用いる（総括表・給付費と内的整合が取れているため）。画面の値は用いず、2％以上食い違う3区分を注記する。（受託者の仮置き。令和8年10月の意見交換会で諮る）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サービス見込量の算定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
決着しない場合は要介護度別の伸びによる算定（第1次概算）で概算し、一律の伸びによる従前の値を併記する（差は計画素案 第6章第6節2に掲げる）。（受託者の仮置き。令和8年10月の意見交換会で諮る）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サービス見込量の算定</t>
        </is>
      </c>
      <c r="G151" s="5" t="inlineStr">
        <is>
          <t>発注者</t>
        </is>
      </c>
      <c r="H151" s="10" t="inlineStr">
        <is>
          <t>確認待ち</t>
        </is>
      </c>
      <c r="I151" s="10" t="inlineStr">
        <is>
          <t>R8.9</t>
        </is>
      </c>
      <c r="J151" s="11" t="inlineStr">
        <is>
          <t>入力前段支援アプリの点検 04シート。
決着しない場合は令和8年度を含まない④（令和6年度→令和7年度）を採ったものとして概算する。当方の算定（令和7年度基準）と置き方がそろう。（受託者の仮置き。令和8年10月の意見交換会で諮る）</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
決着しない場合は受領済みの画面の写しの範囲で概算し、確認できていない項目はその旨を明記する。（受託者の仮置き。令和8年10月の意見交換会で諮る）</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
決着しない場合は認知症基本法の条文を受領できないものとして、計画素案には条番号のみを書き項番号は［要確認］のまま残す。（受託者の仮置き。令和8年10月の意見交換会で諮る）</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
決着しない場合は6事業別の事業費を受領できないものとして、認知症総合支援事業の量の見込みは立てず、3町の取組の回数のみを掲げる。（受託者の仮置き。令和8年10月の意見交換会で諮る）</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サービス見込量の算定
計画素案 第6章第2節</t>
        </is>
      </c>
      <c r="G155" s="5" t="inlineStr">
        <is>
          <t>発注者</t>
        </is>
      </c>
      <c r="H155" s="10" t="inlineStr">
        <is>
          <t>確認待ち</t>
        </is>
      </c>
      <c r="I155" s="10" t="inlineStr">
        <is>
          <t>R8.9</t>
        </is>
      </c>
      <c r="J155" s="11" t="inlineStr">
        <is>
          <t>認知症施策推進計画の位置づけと見込量への反映 04・06シート。
決着しない場合は認知症対応型共同生活介護及び介護老人福祉施設を対計画比の補正の対象から外したものとして概算する。定員の縮小を趨勢として二重に織り込まないため（安全側）。（受託者の仮置き。令和8年10月の意見交換会で諮る）</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05シート。令和8年10月5日に受領した人口推計のファイルは町別に推計しており、東川町の値が発散している（人口推計コーホート分析の妥当性検証 04シート）。町別に掲げる場合は式の是正が前提となる。
決着しない場合は町別の将来推計は計画本文に掲げない（令和8年9月10日の了承のとおり）。（受託者の仮置き。令和8年10月の意見交換会で諮る）</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
決着しない場合は計画素案 第2章第1節に町別の図を加えない。加筆分は協議用の資料にとどめる。（受託者の仮置き。令和8年10月の意見交換会で諮る）</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令和8年10月5日に受領した人口推計のファイルについても検証した。東川町だけ90歳以上の変化率の分母が5年前の90歳以上になっているため、東川町の総人口が令和32年度で実績の4.7倍へ発散する。正しく組み直すと65歳以上（3町計）は横ばいとなり、案Cと1.4％から4.9％以内で一致する（人口推計コーホート分析の妥当性検証 04・05・06シート）。決着しない場合は案Cのままとする</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
決着しない場合は当方の算定（16段階×8年度）による。所得段階の設定は弾力化を選ぶ。（受託者の仮置き。令和8年10月の意見交換会で諮る）</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
決着しない場合は算定の側だけを令和12・27・32年度まで広げ、計画本文に掲げる中長期は令和17年度・令和22年度のままとする。（受託者の仮置き。令和8年10月の意見交換会で諮る）</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第4章第3節・第5章 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
決着しない場合は設問ごとの有効回答を分母とし、町別の値は掲げない（令和8年9月25日に是正済み）。（受託者の仮置き。令和8年10月の意見交換会で諮る）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の算定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8" t="inlineStr">
        <is>
          <t>一部解消</t>
        </is>
      </c>
      <c r="I174" s="10" t="inlineStr">
        <is>
          <t>R8.10</t>
        </is>
      </c>
      <c r="J174" s="11" t="inlineStr">
        <is>
          <t>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
決着しない場合は計画素案から協議用の成果品へ移す8件は移し、「協議」判定の15件はそのまま素案に残す（令和8年9月29日 ご指示のとおり）。（受託者の仮置き。令和8年10月の意見交換会で諮る）</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10" t="inlineStr">
        <is>
          <t>確認待ち</t>
        </is>
      </c>
      <c r="I175" s="10" t="inlineStr">
        <is>
          <t>R8.11</t>
        </is>
      </c>
      <c r="J175" s="11" t="inlineStr">
        <is>
          <t>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
決着しない場合は第9期計画にない体裁は現在のままとし、計画として確定する前に改めてお諮りする（令和8年9月29日 ご指示により保留）。（受託者の仮置き。令和8年10月の意見交換会で諮る）</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10" t="inlineStr">
        <is>
          <t>未回答</t>
        </is>
      </c>
      <c r="I176" s="10" t="inlineStr">
        <is>
          <t>R8.10</t>
        </is>
      </c>
      <c r="J176" s="11" t="inlineStr">
        <is>
          <t>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10" t="inlineStr">
        <is>
          <t>未回答</t>
        </is>
      </c>
      <c r="I177" s="10" t="inlineStr">
        <is>
          <t>R8.11</t>
        </is>
      </c>
      <c r="J177" s="11" t="inlineStr">
        <is>
          <t>決着しない場合の当方の扱い＝現行のまま（③は本文の図を計画に載せ、図表集の図は参考として残す。④は本文の図の数値を図表データ管理台帳で管理する）。いずれも保険料・見込量の算定には影響しない</t>
        </is>
      </c>
    </row>
    <row r="178" ht="88" customHeight="1">
      <c r="A178" s="4" t="n">
        <v>174</v>
      </c>
      <c r="B178" s="4" t="inlineStr">
        <is>
          <t>(5)</t>
        </is>
      </c>
      <c r="C178" s="4" t="inlineStr">
        <is>
          <t>R8.10</t>
        </is>
      </c>
      <c r="D178" s="5" t="inlineStr">
        <is>
          <t>人口及び第1号被保険者数の入力値をどの系列にそろえるか（内部整合）</t>
        </is>
      </c>
      <c r="E178" s="5" t="inlineStr">
        <is>
          <t>見える化システムの「総人口と被保険者数の設定」は、総人口・男女別6階級・第2号被保険者数を求め、第1号被保険者数と総数は自動で計算されます。このため、総数と男女別の内訳は同じ系列から作る必要があります。現在、第1号被保険者数の系列が3つあります。①案C（当方が令和8年9月30日にお示しした入力値の基礎。総人口を地方創生総合戦略の水準により置き、年齢階級別の内訳を住民基本台帳の実績趨勢によるもの）、②社人研推計を補正したもののうち「令和5年推計を元にした補正」の合計（見える化システムの画面が現に表示している値と一致します）、③同じく「被保険者数（補正後）補正率2区分」の男女別の和。②と③は年度により総数が一致せず、令和22年度で55人の差があります。いずれを正式に採る値とするかをお決めいただきたい。</t>
        </is>
      </c>
      <c r="F178" s="5" t="inlineStr">
        <is>
          <t>人口推計コーホート分析の妥当性検証 07シート
見える化へ入力する箇所と入力値 02シート
計画素案 第2章第1節・第6章第1節</t>
        </is>
      </c>
      <c r="G178" s="5" t="inlineStr">
        <is>
          <t>発注者</t>
        </is>
      </c>
      <c r="H178" s="10" t="inlineStr">
        <is>
          <t>未回答</t>
        </is>
      </c>
      <c r="I178" s="10" t="inlineStr">
        <is>
          <t>R8.10</t>
        </is>
      </c>
      <c r="J178" s="11" t="inlineStr">
        <is>
          <t>決着しない場合の当方の扱い＝案C（①）による。計画素案 第6章第1節の将来推計は令和8年9月10日のご了承のとおり案Cのままとし、見える化システムへの入力値も案Cにそろえる。②③を採る場合は、総人口・男女別6階級・第2号被保険者数のすべてを同じ系列から作り直す</t>
        </is>
      </c>
    </row>
    <row r="179" ht="88" customHeight="1">
      <c r="A179" s="4" t="n">
        <v>175</v>
      </c>
      <c r="B179" s="4" t="inlineStr">
        <is>
          <t>(1)</t>
        </is>
      </c>
      <c r="C179" s="4" t="inlineStr">
        <is>
          <t>R8.11</t>
        </is>
      </c>
      <c r="D179" s="5" t="inlineStr">
        <is>
          <t>介護情報基盤及びケアプランデータ連携への対応の工程</t>
        </is>
      </c>
      <c r="E179" s="5" t="inlineStr">
        <is>
          <t>令和8年9月18日の社会保障審議会介護保険部会において、全市町村が令和10年4月1日までに介護保険事務システムから介護情報基盤へのデータ移行を含めて完了し、介護情報基盤の活用を開始することを目指すこととされました（標準化対応の適合基準日は令和9年1月1日）。構成3町における①介護保険事務システムの標準化対応の状況、②介護情報基盤へデータを送信するためのシステムの改修の予定、③データ移行の予定をお示しいただきたい。あわせて、ケアプランデータ連携機能が令和9年1月に介護情報基盤へ統合され、以後は新システム（介護保険資格確認等WEBサービス）での事業所及び管理者の登録を要することとなるため、区域内の事業所への周知をどこが行うかをお決めいただきたい。</t>
        </is>
      </c>
      <c r="F179" s="5" t="inlineStr">
        <is>
          <t>計画素案 第1章第9節5・第5章 基本目標1・基本目標4</t>
        </is>
      </c>
      <c r="G179" s="5" t="inlineStr">
        <is>
          <t>発注者・3町</t>
        </is>
      </c>
      <c r="H179" s="10" t="inlineStr">
        <is>
          <t>未回答</t>
        </is>
      </c>
      <c r="I179" s="10" t="inlineStr">
        <is>
          <t>R8.11</t>
        </is>
      </c>
      <c r="J179" s="11" t="inlineStr">
        <is>
          <t>決着しない場合の当方の扱い＝国が示す本格運用開始日（令和10年4月1日）までに完了することを前提として計画素案に記載し、年度ごとの工程は［要確認］として残す。事業所への周知は広域連合と3町が共同で行うものとして記載する</t>
        </is>
      </c>
    </row>
    <row r="180" ht="88" customHeight="1">
      <c r="A180" s="4" t="n">
        <v>176</v>
      </c>
      <c r="B180" s="4" t="inlineStr">
        <is>
          <t>(1)</t>
        </is>
      </c>
      <c r="C180" s="4" t="inlineStr">
        <is>
          <t>R8.12</t>
        </is>
      </c>
      <c r="D180" s="5" t="inlineStr">
        <is>
          <t>介護サービス事業者経営情報データベースの公表結果の活用の範囲</t>
        </is>
      </c>
      <c r="E180" s="5" t="inlineStr">
        <is>
          <t>介護サービス事業者の経営情報の報告が義務づけられ、国において属性等に応じて区分した分析結果が公表されます。初年度及び2年度目の報告分の分析結果は、令和9年4月以降に社会保障審議会介護保険部会に報告される予定とされています。市町村の区域を単位とする値が得られるかは示されていないため、公表された分析結果のうち本計画の供給の継続に関する分析に用いられる範囲について、ご見解をお示しいただきたい。</t>
        </is>
      </c>
      <c r="F180" s="5" t="inlineStr">
        <is>
          <t>計画素案 第1章第9節5・第5章 基本目標4</t>
        </is>
      </c>
      <c r="G180" s="5" t="inlineStr">
        <is>
          <t>発注者</t>
        </is>
      </c>
      <c r="H180" s="10" t="inlineStr">
        <is>
          <t>未回答</t>
        </is>
      </c>
      <c r="I180" s="10" t="inlineStr">
        <is>
          <t>R8.12</t>
        </is>
      </c>
      <c r="J180" s="11" t="inlineStr">
        <is>
          <t>決着しない場合の当方の扱い＝公表された区分のうち当区域の事業所の規模に近いものを参考として用い、区域内の事業所の経営状況を表すものとしては用いない。計画素案には活用の方針のみを記載し、数値は掲げない</t>
        </is>
      </c>
    </row>
    <row r="181" ht="88" customHeight="1">
      <c r="A181" s="4" t="n">
        <v>177</v>
      </c>
      <c r="B181" s="4" t="inlineStr">
        <is>
          <t>(3)</t>
        </is>
      </c>
      <c r="C181" s="4" t="inlineStr">
        <is>
          <t>R8.12</t>
        </is>
      </c>
      <c r="D181" s="5" t="inlineStr">
        <is>
          <t>都道府県との協定に基づく連携への関与</t>
        </is>
      </c>
      <c r="E181" s="5" t="inlineStr">
        <is>
          <t>一定期間の事業継続や事業者間の連携・協働を推進する法人・事業所が都道府県と協定を締結する仕組みが示され、令和9年度概算要求において、協定に基づく連携の取組に要する経費への支援及び連携に参画する事業所に対する介護テクノロジー導入支援の補助率の上乗せが盛り込まれています。協定に基づく取組の推進に関する都道府県及び市町村の果たすべき役割は引き続き検討することとされているため、北海道における実施の方針及び当広域連合の関与の仕方についてお考えをお示しいただきたい。</t>
        </is>
      </c>
      <c r="F181" s="5" t="inlineStr">
        <is>
          <t>計画素案 第1章第9節5・第5章 基本目標3・基本目標4</t>
        </is>
      </c>
      <c r="G181" s="5" t="inlineStr">
        <is>
          <t>発注者・北海道</t>
        </is>
      </c>
      <c r="H181" s="10" t="inlineStr">
        <is>
          <t>未回答</t>
        </is>
      </c>
      <c r="I181" s="10" t="inlineStr">
        <is>
          <t>R8.12</t>
        </is>
      </c>
      <c r="J181" s="11" t="inlineStr">
        <is>
          <t>決着しない場合の当方の扱い＝計画素案には北海道及び事業者とともに活用を検討する旨のみを記載し、具体の取組及び目標は国から市町村の役割が示された後に定める</t>
        </is>
      </c>
    </row>
    <row r="183" ht="32" customHeight="1">
      <c r="A183" s="3" t="inlineStr">
        <is>
          <t>区分</t>
        </is>
      </c>
      <c r="B183" s="3" t="inlineStr">
        <is>
          <t>件数</t>
        </is>
      </c>
      <c r="C183" s="3" t="inlineStr"/>
      <c r="D183" s="3" t="inlineStr"/>
      <c r="E183" s="3" t="inlineStr"/>
      <c r="F183" s="3" t="inlineStr"/>
      <c r="G183" s="3" t="inlineStr"/>
      <c r="H183" s="3" t="inlineStr"/>
      <c r="I183" s="3" t="inlineStr"/>
      <c r="J183" s="3" t="inlineStr"/>
    </row>
    <row r="184" ht="20" customHeight="1">
      <c r="A184" s="6" t="inlineStr">
        <is>
          <t>完了</t>
        </is>
      </c>
      <c r="B184" s="4">
        <f>COUNTIF(H5:H181,"完了")</f>
        <v/>
      </c>
      <c r="C184" s="5" t="inlineStr"/>
      <c r="D184" s="5" t="inlineStr"/>
      <c r="E184" s="5" t="inlineStr"/>
      <c r="F184" s="5" t="inlineStr"/>
      <c r="G184" s="5" t="inlineStr"/>
      <c r="H184" s="5" t="inlineStr"/>
      <c r="I184" s="5" t="inlineStr"/>
      <c r="J184" s="5" t="inlineStr"/>
    </row>
    <row r="185" ht="20" customHeight="1">
      <c r="A185" s="8" t="inlineStr">
        <is>
          <t>実施中</t>
        </is>
      </c>
      <c r="B185" s="4">
        <f>COUNTIF(H5:H181,"実施中")</f>
        <v/>
      </c>
      <c r="C185" s="5" t="inlineStr"/>
      <c r="D185" s="5" t="inlineStr"/>
      <c r="E185" s="5" t="inlineStr"/>
      <c r="F185" s="5" t="inlineStr"/>
      <c r="G185" s="5" t="inlineStr"/>
      <c r="H185" s="5" t="inlineStr"/>
      <c r="I185" s="5" t="inlineStr"/>
      <c r="J185" s="5" t="inlineStr"/>
    </row>
    <row r="186" ht="20" customHeight="1">
      <c r="A186" s="10" t="inlineStr">
        <is>
          <t>確認待ち</t>
        </is>
      </c>
      <c r="B186" s="4">
        <f>COUNTIF(H5:H181,"確認待ち")</f>
        <v/>
      </c>
      <c r="C186" s="5" t="inlineStr"/>
      <c r="D186" s="5" t="inlineStr"/>
      <c r="E186" s="5" t="inlineStr"/>
      <c r="F186" s="5" t="inlineStr"/>
      <c r="G186" s="5" t="inlineStr"/>
      <c r="H186" s="5" t="inlineStr"/>
      <c r="I186" s="5" t="inlineStr"/>
      <c r="J186" s="5" t="inlineStr"/>
    </row>
    <row r="187" ht="20" customHeight="1">
      <c r="A187" s="12" t="inlineStr">
        <is>
          <t>未着手</t>
        </is>
      </c>
      <c r="B187" s="4">
        <f>COUNTIF(H5:H181,"未着手")</f>
        <v/>
      </c>
      <c r="C187" s="5" t="inlineStr"/>
      <c r="D187" s="5" t="inlineStr"/>
      <c r="E187" s="5" t="inlineStr"/>
      <c r="F187" s="5" t="inlineStr"/>
      <c r="G187" s="5" t="inlineStr"/>
      <c r="H187" s="5" t="inlineStr"/>
      <c r="I187" s="5" t="inlineStr"/>
      <c r="J187" s="5" t="inlineStr"/>
    </row>
    <row r="188" ht="20" customHeight="1">
      <c r="A188" s="14" t="inlineStr">
        <is>
          <t>対象外</t>
        </is>
      </c>
      <c r="B188" s="4">
        <f>COUNTIF(H5:H181,"対象外")</f>
        <v/>
      </c>
      <c r="C188" s="5" t="inlineStr"/>
      <c r="D188" s="5" t="inlineStr"/>
      <c r="E188" s="5" t="inlineStr"/>
      <c r="F188" s="5" t="inlineStr"/>
      <c r="G188" s="5" t="inlineStr"/>
      <c r="H188" s="5" t="inlineStr"/>
      <c r="I188" s="5" t="inlineStr"/>
      <c r="J188" s="5" t="inlineStr"/>
    </row>
    <row r="190" ht="32" customHeight="1">
      <c r="A190" s="3" t="inlineStr">
        <is>
          <t>確認先</t>
        </is>
      </c>
      <c r="B190" s="3" t="inlineStr">
        <is>
          <t>件数</t>
        </is>
      </c>
      <c r="C190" s="3" t="inlineStr"/>
      <c r="D190" s="3" t="inlineStr"/>
      <c r="E190" s="3" t="inlineStr"/>
      <c r="F190" s="3" t="inlineStr"/>
      <c r="G190" s="3" t="inlineStr"/>
      <c r="H190" s="3" t="inlineStr"/>
      <c r="I190" s="3" t="inlineStr"/>
      <c r="J190" s="3" t="inlineStr"/>
    </row>
    <row r="191" ht="20" customHeight="1">
      <c r="A191" s="5" t="inlineStr">
        <is>
          <t>発注者</t>
        </is>
      </c>
      <c r="B191" s="4">
        <f>COUNTIF(G5:G181,"発注者")</f>
        <v/>
      </c>
      <c r="C191" s="5" t="inlineStr"/>
      <c r="D191" s="5" t="inlineStr"/>
      <c r="E191" s="5" t="inlineStr"/>
      <c r="F191" s="5" t="inlineStr"/>
      <c r="G191" s="5" t="inlineStr"/>
      <c r="H191" s="5" t="inlineStr"/>
      <c r="I191" s="5" t="inlineStr"/>
      <c r="J191" s="5" t="inlineStr"/>
    </row>
    <row r="192" ht="20" customHeight="1">
      <c r="A192" s="5" t="inlineStr">
        <is>
          <t>発注者・3町</t>
        </is>
      </c>
      <c r="B192" s="4">
        <f>COUNTIF(G5:G181,"発注者・3町")</f>
        <v/>
      </c>
      <c r="C192" s="5" t="inlineStr"/>
      <c r="D192" s="5" t="inlineStr"/>
      <c r="E192" s="5" t="inlineStr"/>
      <c r="F192" s="5" t="inlineStr"/>
      <c r="G192" s="5" t="inlineStr"/>
      <c r="H192" s="5" t="inlineStr"/>
      <c r="I192" s="5" t="inlineStr"/>
      <c r="J192" s="5" t="inlineStr"/>
    </row>
    <row r="193" ht="20" customHeight="1">
      <c r="A193" s="5" t="inlineStr">
        <is>
          <t>発注者・北海道</t>
        </is>
      </c>
      <c r="B193" s="4">
        <f>COUNTIF(G5:G181,"発注者・北海道")</f>
        <v/>
      </c>
      <c r="C193" s="5" t="inlineStr"/>
      <c r="D193" s="5" t="inlineStr"/>
      <c r="E193" s="5" t="inlineStr"/>
      <c r="F193" s="5" t="inlineStr"/>
      <c r="G193" s="5" t="inlineStr"/>
      <c r="H193" s="5" t="inlineStr"/>
      <c r="I193" s="5" t="inlineStr"/>
      <c r="J193" s="5" t="inlineStr"/>
    </row>
    <row r="194" ht="20" customHeight="1">
      <c r="A194" s="5" t="inlineStr">
        <is>
          <t>発注者・3町・北海道</t>
        </is>
      </c>
      <c r="B194" s="4">
        <f>COUNTIF(G5:G181,"発注者・3町・北海道")</f>
        <v/>
      </c>
      <c r="C194" s="5" t="inlineStr"/>
      <c r="D194" s="5" t="inlineStr"/>
      <c r="E194" s="5" t="inlineStr"/>
      <c r="F194" s="5" t="inlineStr"/>
      <c r="G194" s="5" t="inlineStr"/>
      <c r="H194" s="5" t="inlineStr"/>
      <c r="I194" s="5" t="inlineStr"/>
      <c r="J194" s="5" t="inlineStr"/>
    </row>
    <row r="195" ht="20" customHeight="1">
      <c r="A195" s="5" t="inlineStr">
        <is>
          <t>北海道</t>
        </is>
      </c>
      <c r="B195" s="4">
        <f>COUNTIF(G5:G181,"北海道")</f>
        <v/>
      </c>
      <c r="C195" s="5" t="inlineStr"/>
      <c r="D195" s="5" t="inlineStr"/>
      <c r="E195" s="5" t="inlineStr"/>
      <c r="F195" s="5" t="inlineStr"/>
      <c r="G195" s="5" t="inlineStr"/>
      <c r="H195" s="5" t="inlineStr"/>
      <c r="I195" s="5" t="inlineStr"/>
      <c r="J195" s="5" t="inlineStr"/>
    </row>
    <row r="197" ht="39" customHeight="1">
      <c r="A197"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
注4）回答欄の「決着しない場合は…」は、ご決定をいただけない場合に受託者が仮に置く扱いである。**決定ではない。**令和8年10月の3町合同の意見交換会で内容を諮り、ご決定をいただいた時点で回答欄に反映する。保険料を動かすものは、保険料が不足する側に誤らない向き（安全側）に置いている。</t>
        </is>
      </c>
    </row>
  </sheetData>
  <mergeCells count="3">
    <mergeCell ref="A197:J197"/>
    <mergeCell ref="A1:J1"/>
    <mergeCell ref="A2:J2"/>
  </mergeCells>
  <conditionalFormatting sqref="H5:H18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81"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（1006段落151表36図）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令和8年9月16日）まで作成済み。算定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成果品そのものによる。</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（1006段落151表36図）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第2章第4節（高齢者の生活実態）に反映した（4段落・表1→30段落・表8）。集計値のみを用い、個票は収録していない。地区の定義（小学校区とするか）は［要確認］のまま残している（確認No.9）。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受領済</t>
        </is>
      </c>
      <c r="J17" s="5" t="inlineStr">
        <is>
          <t>令和8年8月26日の進捗確認の打合せで合意。令和8年8月28日に受領し、令和8年9月11日に令和7年度の全様式（要介護度別の明細を含む）を確認した。第3段階の給付費の算定と代表KPI H15の基準値に反映済みである</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受領済</t>
        </is>
      </c>
      <c r="J18" s="5" t="inlineStr">
        <is>
          <t>同打合せで、締まっているのは令和8年7月分までであることを確認した。令和8年4月から7月までの4か月分を受領済みである。令和8年8月分は、同月の審査分の利用状況統計表（給付費）を受領しているのに対し数量の側が4か月のままであり、月数をそろえるために別途ご提供を要する（確認事項No.136）</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2026-10-07T22:15:26Z</dcterms:created>
  <dcterms:modified xmlns:dcterms="http://purl.org/dc/terms/" xmlns:xsi="http://www.w3.org/2001/XMLSchema-instance" xsi:type="dcterms:W3CDTF">2026-10-07T22:15:28Z</dcterms:modified>
</cp:coreProperties>
</file>