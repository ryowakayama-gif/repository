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t>
        </is>
      </c>
      <c r="E6" s="5" t="inlineStr">
        <is>
          <t>妥当性検証報告書 01・02・12・23シート
素案第10稿 第3章
施策体系新旧対照表</t>
        </is>
      </c>
      <c r="F6" s="10" t="inlineStr">
        <is>
          <t>実施中</t>
        </is>
      </c>
      <c r="G6" s="17" t="n">
        <v>0.8</v>
      </c>
      <c r="H6" s="10" t="inlineStr">
        <is>
          <t>R8.9</t>
        </is>
      </c>
      <c r="I6" s="11" t="inlineStr">
        <is>
          <t>令和6〜8年度の施策・事業実績、事業量、対象実人数、予算・決算が未受領（確認No.5）。受領後に施策単位の達成度を判定する</t>
        </is>
      </c>
      <c r="J6" s="5" t="inlineStr">
        <is>
          <t>5, 6, 7, 23, 32, 34</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調査クロス集計・分析（13シート）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19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未着手</t>
        </is>
      </c>
      <c r="G9" s="17" t="n">
        <v>0.3</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10" t="inlineStr">
        <is>
          <t>確認待ち</t>
        </is>
      </c>
      <c r="I36" s="10" t="inlineStr">
        <is>
          <t>R8.9</t>
        </is>
      </c>
      <c r="J36" s="11" t="inlineStr"/>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2" ht="32" customHeight="1">
      <c r="A42" s="3" t="inlineStr">
        <is>
          <t>区分</t>
        </is>
      </c>
      <c r="B42" s="3" t="inlineStr">
        <is>
          <t>件数</t>
        </is>
      </c>
      <c r="C42" s="3" t="inlineStr"/>
      <c r="D42" s="3" t="inlineStr"/>
      <c r="E42" s="3" t="inlineStr"/>
      <c r="F42" s="3" t="inlineStr"/>
      <c r="G42" s="3" t="inlineStr"/>
      <c r="H42" s="3" t="inlineStr"/>
      <c r="I42" s="3" t="inlineStr"/>
      <c r="J42" s="3" t="inlineStr"/>
    </row>
    <row r="43" ht="20" customHeight="1">
      <c r="A43" s="6" t="inlineStr">
        <is>
          <t>完了</t>
        </is>
      </c>
      <c r="B43" s="4">
        <f>COUNTIF(H5:H40,"完了")</f>
        <v/>
      </c>
      <c r="C43" s="5" t="inlineStr"/>
      <c r="D43" s="5" t="inlineStr"/>
      <c r="E43" s="5" t="inlineStr"/>
      <c r="F43" s="5" t="inlineStr"/>
      <c r="G43" s="5" t="inlineStr"/>
      <c r="H43" s="5" t="inlineStr"/>
      <c r="I43" s="5" t="inlineStr"/>
      <c r="J43" s="5" t="inlineStr"/>
    </row>
    <row r="44" ht="20" customHeight="1">
      <c r="A44" s="8" t="inlineStr">
        <is>
          <t>実施中</t>
        </is>
      </c>
      <c r="B44" s="4">
        <f>COUNTIF(H5:H40,"実施中")</f>
        <v/>
      </c>
      <c r="C44" s="5" t="inlineStr"/>
      <c r="D44" s="5" t="inlineStr"/>
      <c r="E44" s="5" t="inlineStr"/>
      <c r="F44" s="5" t="inlineStr"/>
      <c r="G44" s="5" t="inlineStr"/>
      <c r="H44" s="5" t="inlineStr"/>
      <c r="I44" s="5" t="inlineStr"/>
      <c r="J44" s="5" t="inlineStr"/>
    </row>
    <row r="45" ht="20" customHeight="1">
      <c r="A45" s="10" t="inlineStr">
        <is>
          <t>確認待ち</t>
        </is>
      </c>
      <c r="B45" s="4">
        <f>COUNTIF(H5:H40,"確認待ち")</f>
        <v/>
      </c>
      <c r="C45" s="5" t="inlineStr"/>
      <c r="D45" s="5" t="inlineStr"/>
      <c r="E45" s="5" t="inlineStr"/>
      <c r="F45" s="5" t="inlineStr"/>
      <c r="G45" s="5" t="inlineStr"/>
      <c r="H45" s="5" t="inlineStr"/>
      <c r="I45" s="5" t="inlineStr"/>
      <c r="J45" s="5" t="inlineStr"/>
    </row>
    <row r="46" ht="20" customHeight="1">
      <c r="A46" s="12" t="inlineStr">
        <is>
          <t>未着手</t>
        </is>
      </c>
      <c r="B46" s="4">
        <f>COUNTIF(H5:H40,"未着手")</f>
        <v/>
      </c>
      <c r="C46" s="5" t="inlineStr"/>
      <c r="D46" s="5" t="inlineStr"/>
      <c r="E46" s="5" t="inlineStr"/>
      <c r="F46" s="5" t="inlineStr"/>
      <c r="G46" s="5" t="inlineStr"/>
      <c r="H46" s="5" t="inlineStr"/>
      <c r="I46" s="5" t="inlineStr"/>
      <c r="J46" s="5" t="inlineStr"/>
    </row>
    <row r="47" ht="20" customHeight="1">
      <c r="A47" s="14" t="inlineStr">
        <is>
          <t>対象外</t>
        </is>
      </c>
      <c r="B47" s="4">
        <f>COUNTIF(H5:H40,"対象外")</f>
        <v/>
      </c>
      <c r="C47" s="5" t="inlineStr"/>
      <c r="D47" s="5" t="inlineStr"/>
      <c r="E47" s="5" t="inlineStr"/>
      <c r="F47" s="5" t="inlineStr"/>
      <c r="G47" s="5" t="inlineStr"/>
      <c r="H47" s="5" t="inlineStr"/>
      <c r="I47" s="5" t="inlineStr"/>
      <c r="J47" s="5" t="inlineStr"/>
    </row>
    <row r="49" ht="32" customHeight="1">
      <c r="A49" s="3" t="inlineStr">
        <is>
          <t>確認先</t>
        </is>
      </c>
      <c r="B49" s="3" t="inlineStr">
        <is>
          <t>件数</t>
        </is>
      </c>
      <c r="C49" s="3" t="inlineStr"/>
      <c r="D49" s="3" t="inlineStr"/>
      <c r="E49" s="3" t="inlineStr"/>
      <c r="F49" s="3" t="inlineStr"/>
      <c r="G49" s="3" t="inlineStr"/>
      <c r="H49" s="3" t="inlineStr"/>
      <c r="I49" s="3" t="inlineStr"/>
      <c r="J49" s="3" t="inlineStr"/>
    </row>
    <row r="50" ht="20" customHeight="1">
      <c r="A50" s="5" t="inlineStr">
        <is>
          <t>発注者</t>
        </is>
      </c>
      <c r="B50" s="4">
        <f>COUNTIF(G5:G40,"発注者")</f>
        <v/>
      </c>
      <c r="C50" s="5" t="inlineStr"/>
      <c r="D50" s="5" t="inlineStr"/>
      <c r="E50" s="5" t="inlineStr"/>
      <c r="F50" s="5" t="inlineStr"/>
      <c r="G50" s="5" t="inlineStr"/>
      <c r="H50" s="5" t="inlineStr"/>
      <c r="I50" s="5" t="inlineStr"/>
      <c r="J50" s="5" t="inlineStr"/>
    </row>
    <row r="51" ht="20" customHeight="1">
      <c r="A51" s="5" t="inlineStr">
        <is>
          <t>発注者・3町</t>
        </is>
      </c>
      <c r="B51" s="4">
        <f>COUNTIF(G5:G40,"発注者・3町")</f>
        <v/>
      </c>
      <c r="C51" s="5" t="inlineStr"/>
      <c r="D51" s="5" t="inlineStr"/>
      <c r="E51" s="5" t="inlineStr"/>
      <c r="F51" s="5" t="inlineStr"/>
      <c r="G51" s="5" t="inlineStr"/>
      <c r="H51" s="5" t="inlineStr"/>
      <c r="I51" s="5" t="inlineStr"/>
      <c r="J51" s="5" t="inlineStr"/>
    </row>
    <row r="52" ht="20" customHeight="1">
      <c r="A52" s="5" t="inlineStr">
        <is>
          <t>発注者・北海道</t>
        </is>
      </c>
      <c r="B52" s="4">
        <f>COUNTIF(G5:G40,"発注者・北海道")</f>
        <v/>
      </c>
      <c r="C52" s="5" t="inlineStr"/>
      <c r="D52" s="5" t="inlineStr"/>
      <c r="E52" s="5" t="inlineStr"/>
      <c r="F52" s="5" t="inlineStr"/>
      <c r="G52" s="5" t="inlineStr"/>
      <c r="H52" s="5" t="inlineStr"/>
      <c r="I52" s="5" t="inlineStr"/>
      <c r="J52" s="5" t="inlineStr"/>
    </row>
    <row r="53" ht="20" customHeight="1">
      <c r="A53" s="5" t="inlineStr">
        <is>
          <t>発注者・3町・北海道</t>
        </is>
      </c>
      <c r="B53" s="4">
        <f>COUNTIF(G5:G40,"発注者・3町・北海道")</f>
        <v/>
      </c>
      <c r="C53" s="5" t="inlineStr"/>
      <c r="D53" s="5" t="inlineStr"/>
      <c r="E53" s="5" t="inlineStr"/>
      <c r="F53" s="5" t="inlineStr"/>
      <c r="G53" s="5" t="inlineStr"/>
      <c r="H53" s="5" t="inlineStr"/>
      <c r="I53" s="5" t="inlineStr"/>
      <c r="J53" s="5" t="inlineStr"/>
    </row>
    <row r="54" ht="20" customHeight="1">
      <c r="A54" s="5" t="inlineStr">
        <is>
          <t>北海道</t>
        </is>
      </c>
      <c r="B54" s="4">
        <f>COUNTIF(G5:G40,"北海道")</f>
        <v/>
      </c>
      <c r="C54" s="5" t="inlineStr"/>
      <c r="D54" s="5" t="inlineStr"/>
      <c r="E54" s="5" t="inlineStr"/>
      <c r="F54" s="5" t="inlineStr"/>
      <c r="G54" s="5" t="inlineStr"/>
      <c r="H54" s="5" t="inlineStr"/>
      <c r="I54" s="5" t="inlineStr"/>
      <c r="J54" s="5" t="inlineStr"/>
    </row>
    <row r="56" ht="28" customHeight="1">
      <c r="A5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56:J56"/>
    <mergeCell ref="A2:J2"/>
  </mergeCells>
  <conditionalFormatting sqref="H5:H4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第10期計画_調査クロス集計・分析.xlsx（22シート）
第10期計画_保険料と施策評価の他団体比較.xlsx（9シート）
第10期計画_保険料の所得段階と低所得者軽減の検証.xlsx（10シート）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2026-07-29T12:37:16Z</dcterms:created>
  <dcterms:modified xmlns:dcterms="http://purl.org/dc/terms/" xmlns:xsi="http://www.w3.org/2001/XMLSchema-instance" xsi:type="dcterms:W3CDTF">2026-07-29T12:37:16Z</dcterms:modified>
</cp:coreProperties>
</file>