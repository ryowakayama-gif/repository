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業務仕様書「４．業務内容」（1）〜（12）及び「５．業務スケジュール（予定）」に沿って、業務内容別・月別の進捗を管理する。状況基準日：令和8年9月16日。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65" customHeight="1">
      <c r="A23" s="16" t="inlineStr">
        <is>
          <t>【現時点の全体状況（令和8年9月16日）】全体進捗は76％（進捗を数値で表せる10業務の単純平均）。令和8年9月は、サービス見込量の算定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計画素案は896段落143表36図で、未確定箇所は135箇所である。確認事項は153件、成果品は106件、ビルドスクリプトは105本（再実行できないもの3本）。第1次概算を止めている確認事項には「決着しない場合の当方の扱い（既定値）」を全件置いており、ご決定がなくても算定は止まらない。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本文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t>
        </is>
      </c>
      <c r="J9" s="5" t="inlineStr">
        <is>
          <t>14, 15, 16, 29, 30, 31, 33, 36, 100, 101, 112, 114, 115, 116, 137, 146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計画素案（896段落143表36図）
修正指示書（66件）</t>
        </is>
      </c>
      <c r="F10" s="10" t="inlineStr">
        <is>
          <t>実施中</t>
        </is>
      </c>
      <c r="G10" s="17" t="n">
        <v>0.9399999999999999</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896段落143表36図となった。残る未確定箇所は135箇所（要協議109・要確認25・要内訳1）で、うち58箇所（43％）が第6章第4節（施設の見込み）に集中しており、日常生活圏域と必要利用定員総数（確認No.88）の決定によって解消する。概要版は未着手</t>
        </is>
      </c>
      <c r="J10" s="5" t="inlineStr">
        <is>
          <t>17, 18, 24, 25, 88, 112, 114, 131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0.96</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t>
        </is>
      </c>
      <c r="J11" s="5" t="inlineStr">
        <is>
          <t>143</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0.74</v>
      </c>
      <c r="H14" s="10" t="inlineStr">
        <is>
          <t>R9.3</t>
        </is>
      </c>
      <c r="I14" s="11" t="inlineStr">
        <is>
          <t>電子データは作成中。印刷・製本は令和9年3月。本文100頁程度に対する章別のページ配分が未確定（確認No.21）。【令和8年9月15〜16日】成果品は106件となった（送付33・条件付き50・内部保管18・対象外5）。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である。棚卸しにより、ビルドスクリプト105本のうち102本が再実行でき、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16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03・04シート。令和8年9月16日、令和6年度の実績を据え置いて延ばした量の見込みを第6章第3節2に掲げた。令和7年度の実績の受領後に置き直す</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48" ht="88" customHeight="1">
      <c r="A148" s="4" t="n">
        <v>147</v>
      </c>
      <c r="B148" s="4" t="inlineStr">
        <is>
          <t>(5)</t>
        </is>
      </c>
      <c r="C148" s="4" t="inlineStr">
        <is>
          <t>R8.9</t>
        </is>
      </c>
      <c r="D148" s="5" t="inlineStr">
        <is>
          <t>見える化システムの伸びの選択肢をどれとするか</t>
        </is>
      </c>
      <c r="E148"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48" s="5" t="inlineStr">
        <is>
          <t>見える化システムへの入力
サービス見込量 第1次概算</t>
        </is>
      </c>
      <c r="G148" s="5" t="inlineStr">
        <is>
          <t>発注者</t>
        </is>
      </c>
      <c r="H148" s="10" t="inlineStr">
        <is>
          <t>確認待ち</t>
        </is>
      </c>
      <c r="I148" s="10" t="inlineStr">
        <is>
          <t>R8.9</t>
        </is>
      </c>
      <c r="J148" s="11" t="inlineStr">
        <is>
          <t>入力前段支援アプリの点検 04シート</t>
        </is>
      </c>
    </row>
    <row r="149" ht="88" customHeight="1">
      <c r="A149" s="4" t="n">
        <v>148</v>
      </c>
      <c r="B149" s="4" t="inlineStr">
        <is>
          <t>(2)(5)</t>
        </is>
      </c>
      <c r="C149" s="4" t="inlineStr">
        <is>
          <t>R8.9</t>
        </is>
      </c>
      <c r="D149" s="5" t="inlineStr">
        <is>
          <t>見える化システムの操作手引・認証後画面の写しのご提供</t>
        </is>
      </c>
      <c r="E149"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49" s="5" t="inlineStr">
        <is>
          <t>見える化システムへの入力
将来推計 第2段階</t>
        </is>
      </c>
      <c r="G149" s="5" t="inlineStr">
        <is>
          <t>発注者</t>
        </is>
      </c>
      <c r="H149" s="10" t="inlineStr">
        <is>
          <t>確認待ち</t>
        </is>
      </c>
      <c r="I149" s="10" t="inlineStr">
        <is>
          <t>R8.9</t>
        </is>
      </c>
      <c r="J149" s="11" t="inlineStr">
        <is>
          <t>入力前段支援アプリの点検 07シート</t>
        </is>
      </c>
    </row>
    <row r="150" ht="88" customHeight="1">
      <c r="A150" s="4" t="n">
        <v>149</v>
      </c>
      <c r="B150" s="4" t="inlineStr">
        <is>
          <t>(2)(6)</t>
        </is>
      </c>
      <c r="C150" s="4" t="inlineStr">
        <is>
          <t>R8.9</t>
        </is>
      </c>
      <c r="D150" s="5" t="inlineStr">
        <is>
          <t>認知症基本法の条文ほか認知症施策の根拠資料のご提供</t>
        </is>
      </c>
      <c r="E150"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0" s="5" t="inlineStr">
        <is>
          <t>計画素案 第1章第2節・第5章 基本目標2
認知症施策推進計画の位置づけと見込量への反映</t>
        </is>
      </c>
      <c r="G150" s="5" t="inlineStr">
        <is>
          <t>発注者</t>
        </is>
      </c>
      <c r="H150" s="10" t="inlineStr">
        <is>
          <t>確認待ち</t>
        </is>
      </c>
      <c r="I150" s="10" t="inlineStr">
        <is>
          <t>R8.9</t>
        </is>
      </c>
      <c r="J150" s="11" t="inlineStr">
        <is>
          <t>認知症施策推進計画の位置づけと見込量への反映 01・09シート</t>
        </is>
      </c>
    </row>
    <row r="151" ht="88" customHeight="1">
      <c r="A151" s="4" t="n">
        <v>150</v>
      </c>
      <c r="B151" s="4" t="inlineStr">
        <is>
          <t>(5)</t>
        </is>
      </c>
      <c r="C151" s="4" t="inlineStr">
        <is>
          <t>R8.10</t>
        </is>
      </c>
      <c r="D151" s="5" t="inlineStr">
        <is>
          <t>認知症総合支援事業の実績のご提供</t>
        </is>
      </c>
      <c r="E151"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1" s="5" t="inlineStr">
        <is>
          <t>サービス見込量 第2次概算
計画素案 第6章第3節2</t>
        </is>
      </c>
      <c r="G151" s="5" t="inlineStr">
        <is>
          <t>発注者</t>
        </is>
      </c>
      <c r="H151" s="10" t="inlineStr">
        <is>
          <t>確認待ち</t>
        </is>
      </c>
      <c r="I151" s="10" t="inlineStr">
        <is>
          <t>R8.10</t>
        </is>
      </c>
      <c r="J151" s="11" t="inlineStr">
        <is>
          <t>認知症施策推進計画の位置づけと見込量への反映 06シート</t>
        </is>
      </c>
    </row>
    <row r="152" ht="88" customHeight="1">
      <c r="A152" s="4" t="n">
        <v>151</v>
      </c>
      <c r="B152" s="4" t="inlineStr">
        <is>
          <t>(5)</t>
        </is>
      </c>
      <c r="C152" s="4" t="inlineStr">
        <is>
          <t>R8.9</t>
        </is>
      </c>
      <c r="D152" s="5" t="inlineStr">
        <is>
          <t>認知症対応型共同生活介護を対計画比の補正の対象から外してよいか</t>
        </is>
      </c>
      <c r="E152"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2" s="5" t="inlineStr">
        <is>
          <t>サービス見込量 第1次概算
計画素案 第6章第2節</t>
        </is>
      </c>
      <c r="G152" s="5" t="inlineStr">
        <is>
          <t>発注者</t>
        </is>
      </c>
      <c r="H152" s="10" t="inlineStr">
        <is>
          <t>確認待ち</t>
        </is>
      </c>
      <c r="I152" s="10" t="inlineStr">
        <is>
          <t>R8.9</t>
        </is>
      </c>
      <c r="J152" s="11" t="inlineStr">
        <is>
          <t>認知症施策推進計画の位置づけと見込量への反映 04・06シート</t>
        </is>
      </c>
    </row>
    <row r="153" ht="88" customHeight="1">
      <c r="A153" s="4" t="n">
        <v>152</v>
      </c>
      <c r="B153" s="4" t="inlineStr">
        <is>
          <t>(2)(6)</t>
        </is>
      </c>
      <c r="C153" s="4" t="inlineStr">
        <is>
          <t>R8.10</t>
        </is>
      </c>
      <c r="D153" s="5" t="inlineStr">
        <is>
          <t>町別の人口の将来推計を計画本文に掲げるか</t>
        </is>
      </c>
      <c r="E153"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3" s="5" t="inlineStr">
        <is>
          <t>サービス見込量 第2次概算
計画素案 第2章第1節・第6章第1節</t>
        </is>
      </c>
      <c r="G153" s="5" t="inlineStr">
        <is>
          <t>発注者</t>
        </is>
      </c>
      <c r="H153" s="10" t="inlineStr">
        <is>
          <t>確認待ち</t>
        </is>
      </c>
      <c r="I153" s="10" t="inlineStr">
        <is>
          <t>R8.10</t>
        </is>
      </c>
      <c r="J153" s="11" t="inlineStr">
        <is>
          <t>社内作業ファイルの点検 05シート</t>
        </is>
      </c>
    </row>
    <row r="154" ht="88" customHeight="1">
      <c r="A154" s="4" t="n">
        <v>153</v>
      </c>
      <c r="B154" s="4" t="inlineStr">
        <is>
          <t>(2)</t>
        </is>
      </c>
      <c r="C154" s="4" t="inlineStr">
        <is>
          <t>R8.10</t>
        </is>
      </c>
      <c r="D154" s="5" t="inlineStr">
        <is>
          <t>人口の将来推計の方法を案Cからコーホート変化率法に改めるか</t>
        </is>
      </c>
      <c r="E154"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4" s="5" t="inlineStr">
        <is>
          <t>サービス見込量 第2次概算
計画素案 第2章第1節・第6章第1節</t>
        </is>
      </c>
      <c r="G154" s="5" t="inlineStr">
        <is>
          <t>発注者</t>
        </is>
      </c>
      <c r="H154" s="10" t="inlineStr">
        <is>
          <t>確認待ち</t>
        </is>
      </c>
      <c r="I154" s="10" t="inlineStr">
        <is>
          <t>R8.10</t>
        </is>
      </c>
      <c r="J154" s="11" t="inlineStr">
        <is>
          <t>社内作業ファイルの点検 05シート</t>
        </is>
      </c>
    </row>
    <row r="156" ht="32" customHeight="1">
      <c r="A156" s="3" t="inlineStr">
        <is>
          <t>区分</t>
        </is>
      </c>
      <c r="B156" s="3" t="inlineStr">
        <is>
          <t>件数</t>
        </is>
      </c>
      <c r="C156" s="3" t="inlineStr"/>
      <c r="D156" s="3" t="inlineStr"/>
      <c r="E156" s="3" t="inlineStr"/>
      <c r="F156" s="3" t="inlineStr"/>
      <c r="G156" s="3" t="inlineStr"/>
      <c r="H156" s="3" t="inlineStr"/>
      <c r="I156" s="3" t="inlineStr"/>
      <c r="J156" s="3" t="inlineStr"/>
    </row>
    <row r="157" ht="20" customHeight="1">
      <c r="A157" s="6" t="inlineStr">
        <is>
          <t>完了</t>
        </is>
      </c>
      <c r="B157" s="4">
        <f>COUNTIF(H5:H154,"完了")</f>
        <v/>
      </c>
      <c r="C157" s="5" t="inlineStr"/>
      <c r="D157" s="5" t="inlineStr"/>
      <c r="E157" s="5" t="inlineStr"/>
      <c r="F157" s="5" t="inlineStr"/>
      <c r="G157" s="5" t="inlineStr"/>
      <c r="H157" s="5" t="inlineStr"/>
      <c r="I157" s="5" t="inlineStr"/>
      <c r="J157" s="5" t="inlineStr"/>
    </row>
    <row r="158" ht="20" customHeight="1">
      <c r="A158" s="8" t="inlineStr">
        <is>
          <t>実施中</t>
        </is>
      </c>
      <c r="B158" s="4">
        <f>COUNTIF(H5:H154,"実施中")</f>
        <v/>
      </c>
      <c r="C158" s="5" t="inlineStr"/>
      <c r="D158" s="5" t="inlineStr"/>
      <c r="E158" s="5" t="inlineStr"/>
      <c r="F158" s="5" t="inlineStr"/>
      <c r="G158" s="5" t="inlineStr"/>
      <c r="H158" s="5" t="inlineStr"/>
      <c r="I158" s="5" t="inlineStr"/>
      <c r="J158" s="5" t="inlineStr"/>
    </row>
    <row r="159" ht="20" customHeight="1">
      <c r="A159" s="10" t="inlineStr">
        <is>
          <t>確認待ち</t>
        </is>
      </c>
      <c r="B159" s="4">
        <f>COUNTIF(H5:H154,"確認待ち")</f>
        <v/>
      </c>
      <c r="C159" s="5" t="inlineStr"/>
      <c r="D159" s="5" t="inlineStr"/>
      <c r="E159" s="5" t="inlineStr"/>
      <c r="F159" s="5" t="inlineStr"/>
      <c r="G159" s="5" t="inlineStr"/>
      <c r="H159" s="5" t="inlineStr"/>
      <c r="I159" s="5" t="inlineStr"/>
      <c r="J159" s="5" t="inlineStr"/>
    </row>
    <row r="160" ht="20" customHeight="1">
      <c r="A160" s="12" t="inlineStr">
        <is>
          <t>未着手</t>
        </is>
      </c>
      <c r="B160" s="4">
        <f>COUNTIF(H5:H154,"未着手")</f>
        <v/>
      </c>
      <c r="C160" s="5" t="inlineStr"/>
      <c r="D160" s="5" t="inlineStr"/>
      <c r="E160" s="5" t="inlineStr"/>
      <c r="F160" s="5" t="inlineStr"/>
      <c r="G160" s="5" t="inlineStr"/>
      <c r="H160" s="5" t="inlineStr"/>
      <c r="I160" s="5" t="inlineStr"/>
      <c r="J160" s="5" t="inlineStr"/>
    </row>
    <row r="161" ht="20" customHeight="1">
      <c r="A161" s="14" t="inlineStr">
        <is>
          <t>対象外</t>
        </is>
      </c>
      <c r="B161" s="4">
        <f>COUNTIF(H5:H154,"対象外")</f>
        <v/>
      </c>
      <c r="C161" s="5" t="inlineStr"/>
      <c r="D161" s="5" t="inlineStr"/>
      <c r="E161" s="5" t="inlineStr"/>
      <c r="F161" s="5" t="inlineStr"/>
      <c r="G161" s="5" t="inlineStr"/>
      <c r="H161" s="5" t="inlineStr"/>
      <c r="I161" s="5" t="inlineStr"/>
      <c r="J161" s="5" t="inlineStr"/>
    </row>
    <row r="163" ht="32" customHeight="1">
      <c r="A163" s="3" t="inlineStr">
        <is>
          <t>確認先</t>
        </is>
      </c>
      <c r="B163" s="3" t="inlineStr">
        <is>
          <t>件数</t>
        </is>
      </c>
      <c r="C163" s="3" t="inlineStr"/>
      <c r="D163" s="3" t="inlineStr"/>
      <c r="E163" s="3" t="inlineStr"/>
      <c r="F163" s="3" t="inlineStr"/>
      <c r="G163" s="3" t="inlineStr"/>
      <c r="H163" s="3" t="inlineStr"/>
      <c r="I163" s="3" t="inlineStr"/>
      <c r="J163" s="3" t="inlineStr"/>
    </row>
    <row r="164" ht="20" customHeight="1">
      <c r="A164" s="5" t="inlineStr">
        <is>
          <t>発注者</t>
        </is>
      </c>
      <c r="B164" s="4">
        <f>COUNTIF(G5:G154,"発注者")</f>
        <v/>
      </c>
      <c r="C164" s="5" t="inlineStr"/>
      <c r="D164" s="5" t="inlineStr"/>
      <c r="E164" s="5" t="inlineStr"/>
      <c r="F164" s="5" t="inlineStr"/>
      <c r="G164" s="5" t="inlineStr"/>
      <c r="H164" s="5" t="inlineStr"/>
      <c r="I164" s="5" t="inlineStr"/>
      <c r="J164" s="5" t="inlineStr"/>
    </row>
    <row r="165" ht="20" customHeight="1">
      <c r="A165" s="5" t="inlineStr">
        <is>
          <t>発注者・3町</t>
        </is>
      </c>
      <c r="B165" s="4">
        <f>COUNTIF(G5:G154,"発注者・3町")</f>
        <v/>
      </c>
      <c r="C165" s="5" t="inlineStr"/>
      <c r="D165" s="5" t="inlineStr"/>
      <c r="E165" s="5" t="inlineStr"/>
      <c r="F165" s="5" t="inlineStr"/>
      <c r="G165" s="5" t="inlineStr"/>
      <c r="H165" s="5" t="inlineStr"/>
      <c r="I165" s="5" t="inlineStr"/>
      <c r="J165" s="5" t="inlineStr"/>
    </row>
    <row r="166" ht="20" customHeight="1">
      <c r="A166" s="5" t="inlineStr">
        <is>
          <t>発注者・北海道</t>
        </is>
      </c>
      <c r="B166" s="4">
        <f>COUNTIF(G5:G154,"発注者・北海道")</f>
        <v/>
      </c>
      <c r="C166" s="5" t="inlineStr"/>
      <c r="D166" s="5" t="inlineStr"/>
      <c r="E166" s="5" t="inlineStr"/>
      <c r="F166" s="5" t="inlineStr"/>
      <c r="G166" s="5" t="inlineStr"/>
      <c r="H166" s="5" t="inlineStr"/>
      <c r="I166" s="5" t="inlineStr"/>
      <c r="J166" s="5" t="inlineStr"/>
    </row>
    <row r="167" ht="20" customHeight="1">
      <c r="A167" s="5" t="inlineStr">
        <is>
          <t>発注者・3町・北海道</t>
        </is>
      </c>
      <c r="B167" s="4">
        <f>COUNTIF(G5:G154,"発注者・3町・北海道")</f>
        <v/>
      </c>
      <c r="C167" s="5" t="inlineStr"/>
      <c r="D167" s="5" t="inlineStr"/>
      <c r="E167" s="5" t="inlineStr"/>
      <c r="F167" s="5" t="inlineStr"/>
      <c r="G167" s="5" t="inlineStr"/>
      <c r="H167" s="5" t="inlineStr"/>
      <c r="I167" s="5" t="inlineStr"/>
      <c r="J167" s="5" t="inlineStr"/>
    </row>
    <row r="168" ht="20" customHeight="1">
      <c r="A168" s="5" t="inlineStr">
        <is>
          <t>北海道</t>
        </is>
      </c>
      <c r="B168" s="4">
        <f>COUNTIF(G5:G154,"北海道")</f>
        <v/>
      </c>
      <c r="C168" s="5" t="inlineStr"/>
      <c r="D168" s="5" t="inlineStr"/>
      <c r="E168" s="5" t="inlineStr"/>
      <c r="F168" s="5" t="inlineStr"/>
      <c r="G168" s="5" t="inlineStr"/>
      <c r="H168" s="5" t="inlineStr"/>
      <c r="I168" s="5" t="inlineStr"/>
      <c r="J168" s="5" t="inlineStr"/>
    </row>
    <row r="170" ht="28" customHeight="1">
      <c r="A17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70:J170"/>
    <mergeCell ref="A1:J1"/>
    <mergeCell ref="A2:J2"/>
  </mergeCells>
  <conditionalFormatting sqref="H5:H15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5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（896段落143表36図）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（896段落143表36図）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2026-09-17T00:37:39Z</dcterms:created>
  <dcterms:modified xmlns:dcterms="http://purl.org/dc/terms/" xmlns:xsi="http://www.w3.org/2001/XMLSchema-instance" xsi:type="dcterms:W3CDTF">2026-09-17T00:37:40Z</dcterms:modified>
</cp:coreProperties>
</file>