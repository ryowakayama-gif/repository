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業務仕様書「４．業務内容」（1）〜（12）及び「５．業務スケジュール（予定）」に沿って、業務内容別・月別の進捗を管理する。状況基準日：令和8年8月25日。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0.65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0.85</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0.78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0.7</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0.15</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0.45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25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代表KPI H07・H08・H12・H16の代理指標</t>
        </is>
      </c>
      <c r="E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9" s="5" t="inlineStr">
        <is>
          <t>素案 第3章第2節・第3節・第5節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3調査の点検事項の取扱い</t>
        </is>
      </c>
      <c r="E1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7" s="5" t="inlineStr">
        <is>
          <t>素案 第1章第7節
追加調査報告書 03シート
住まいと施設の公表名簿との突合 08シート</t>
        </is>
      </c>
      <c r="G17" s="5" t="inlineStr">
        <is>
          <t>発注者・3町</t>
        </is>
      </c>
      <c r="H17" s="8" t="inlineStr">
        <is>
          <t>実施中</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骨子案の内容の確認</t>
        </is>
      </c>
      <c r="E22" s="5" t="inlineStr">
        <is>
          <t>令和8年8月に骨子案を作成した（11節22表）。第10節に決定・確認を要する事項12件を整理している。章立て、基本理念、5つの基本目標、代表KPI16項目の枠組み及び算定の枠組みについて、ご意向を確認する。</t>
        </is>
      </c>
      <c r="F22" s="5" t="inlineStr">
        <is>
          <t>骨子案
素案の次稿</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では当初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6" t="inlineStr">
        <is>
          <t>完了</t>
        </is>
      </c>
      <c r="I36" s="10" t="inlineStr">
        <is>
          <t>R8.9</t>
        </is>
      </c>
      <c r="J36" s="11" t="inlineStr">
        <is>
          <t>見える化C1（介護保険事業計画報告値）により6,077円を確認した（令和8年7月30日受領）。条例による確認は不要となった。</t>
        </is>
      </c>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1" ht="88" customHeight="1">
      <c r="A41" s="4" t="n">
        <v>37</v>
      </c>
      <c r="B41" s="4" t="inlineStr">
        <is>
          <t>(2)</t>
        </is>
      </c>
      <c r="C41" s="4" t="inlineStr">
        <is>
          <t>R8.8</t>
        </is>
      </c>
      <c r="D41" s="5" t="inlineStr">
        <is>
          <t>年齢階級別・要介護度別の認定率</t>
        </is>
      </c>
      <c r="E4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41" s="5" t="inlineStr">
        <is>
          <t>素案 第3章第4節
妥当性検証 所見7</t>
        </is>
      </c>
      <c r="G41" s="5" t="inlineStr">
        <is>
          <t>発注者</t>
        </is>
      </c>
      <c r="H41" s="6" t="inlineStr">
        <is>
          <t>完了</t>
        </is>
      </c>
      <c r="I41" s="10" t="inlineStr">
        <is>
          <t>R8.8</t>
        </is>
      </c>
      <c r="J41" s="11" t="inlineStr">
        <is>
          <t>令和8年7月29日にB4a・B4c・B4d・B4e・B5a・B6a・B6bを受領。認定率の年齢調整分析（7シート）として分析済み</t>
        </is>
      </c>
    </row>
    <row r="42" ht="88" customHeight="1">
      <c r="A42" s="4" t="n">
        <v>38</v>
      </c>
      <c r="B42" s="4" t="inlineStr">
        <is>
          <t>(2)</t>
        </is>
      </c>
      <c r="C42" s="4" t="inlineStr">
        <is>
          <t>R8.9</t>
        </is>
      </c>
      <c r="D42" s="5" t="inlineStr">
        <is>
          <t>交付金評価の令和6年・令和7年調査の結果</t>
        </is>
      </c>
      <c r="E4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42" s="5" t="inlineStr">
        <is>
          <t>素案 第3章第4節
妥当性検証 所見18・19</t>
        </is>
      </c>
      <c r="G42" s="5" t="inlineStr">
        <is>
          <t>発注者</t>
        </is>
      </c>
      <c r="H42" s="10" t="inlineStr">
        <is>
          <t>確認待ち</t>
        </is>
      </c>
      <c r="I42" s="10" t="inlineStr">
        <is>
          <t>R8.9</t>
        </is>
      </c>
      <c r="J42" s="11" t="inlineStr"/>
    </row>
    <row r="44" ht="32" customHeight="1">
      <c r="A44" s="3" t="inlineStr">
        <is>
          <t>区分</t>
        </is>
      </c>
      <c r="B44" s="3" t="inlineStr">
        <is>
          <t>件数</t>
        </is>
      </c>
      <c r="C44" s="3" t="inlineStr"/>
      <c r="D44" s="3" t="inlineStr"/>
      <c r="E44" s="3" t="inlineStr"/>
      <c r="F44" s="3" t="inlineStr"/>
      <c r="G44" s="3" t="inlineStr"/>
      <c r="H44" s="3" t="inlineStr"/>
      <c r="I44" s="3" t="inlineStr"/>
      <c r="J44" s="3" t="inlineStr"/>
    </row>
    <row r="45" ht="20" customHeight="1">
      <c r="A45" s="6" t="inlineStr">
        <is>
          <t>完了</t>
        </is>
      </c>
      <c r="B45" s="4">
        <f>COUNTIF(H5:H42,"完了")</f>
        <v/>
      </c>
      <c r="C45" s="5" t="inlineStr"/>
      <c r="D45" s="5" t="inlineStr"/>
      <c r="E45" s="5" t="inlineStr"/>
      <c r="F45" s="5" t="inlineStr"/>
      <c r="G45" s="5" t="inlineStr"/>
      <c r="H45" s="5" t="inlineStr"/>
      <c r="I45" s="5" t="inlineStr"/>
      <c r="J45" s="5" t="inlineStr"/>
    </row>
    <row r="46" ht="20" customHeight="1">
      <c r="A46" s="8" t="inlineStr">
        <is>
          <t>実施中</t>
        </is>
      </c>
      <c r="B46" s="4">
        <f>COUNTIF(H5:H42,"実施中")</f>
        <v/>
      </c>
      <c r="C46" s="5" t="inlineStr"/>
      <c r="D46" s="5" t="inlineStr"/>
      <c r="E46" s="5" t="inlineStr"/>
      <c r="F46" s="5" t="inlineStr"/>
      <c r="G46" s="5" t="inlineStr"/>
      <c r="H46" s="5" t="inlineStr"/>
      <c r="I46" s="5" t="inlineStr"/>
      <c r="J46" s="5" t="inlineStr"/>
    </row>
    <row r="47" ht="20" customHeight="1">
      <c r="A47" s="10" t="inlineStr">
        <is>
          <t>確認待ち</t>
        </is>
      </c>
      <c r="B47" s="4">
        <f>COUNTIF(H5:H42,"確認待ち")</f>
        <v/>
      </c>
      <c r="C47" s="5" t="inlineStr"/>
      <c r="D47" s="5" t="inlineStr"/>
      <c r="E47" s="5" t="inlineStr"/>
      <c r="F47" s="5" t="inlineStr"/>
      <c r="G47" s="5" t="inlineStr"/>
      <c r="H47" s="5" t="inlineStr"/>
      <c r="I47" s="5" t="inlineStr"/>
      <c r="J47" s="5" t="inlineStr"/>
    </row>
    <row r="48" ht="20" customHeight="1">
      <c r="A48" s="12" t="inlineStr">
        <is>
          <t>未着手</t>
        </is>
      </c>
      <c r="B48" s="4">
        <f>COUNTIF(H5:H42,"未着手")</f>
        <v/>
      </c>
      <c r="C48" s="5" t="inlineStr"/>
      <c r="D48" s="5" t="inlineStr"/>
      <c r="E48" s="5" t="inlineStr"/>
      <c r="F48" s="5" t="inlineStr"/>
      <c r="G48" s="5" t="inlineStr"/>
      <c r="H48" s="5" t="inlineStr"/>
      <c r="I48" s="5" t="inlineStr"/>
      <c r="J48" s="5" t="inlineStr"/>
    </row>
    <row r="49" ht="20" customHeight="1">
      <c r="A49" s="14" t="inlineStr">
        <is>
          <t>対象外</t>
        </is>
      </c>
      <c r="B49" s="4">
        <f>COUNTIF(H5:H42,"対象外")</f>
        <v/>
      </c>
      <c r="C49" s="5" t="inlineStr"/>
      <c r="D49" s="5" t="inlineStr"/>
      <c r="E49" s="5" t="inlineStr"/>
      <c r="F49" s="5" t="inlineStr"/>
      <c r="G49" s="5" t="inlineStr"/>
      <c r="H49" s="5" t="inlineStr"/>
      <c r="I49" s="5" t="inlineStr"/>
      <c r="J49" s="5" t="inlineStr"/>
    </row>
    <row r="51" ht="32" customHeight="1">
      <c r="A51" s="3" t="inlineStr">
        <is>
          <t>確認先</t>
        </is>
      </c>
      <c r="B51" s="3" t="inlineStr">
        <is>
          <t>件数</t>
        </is>
      </c>
      <c r="C51" s="3" t="inlineStr"/>
      <c r="D51" s="3" t="inlineStr"/>
      <c r="E51" s="3" t="inlineStr"/>
      <c r="F51" s="3" t="inlineStr"/>
      <c r="G51" s="3" t="inlineStr"/>
      <c r="H51" s="3" t="inlineStr"/>
      <c r="I51" s="3" t="inlineStr"/>
      <c r="J51" s="3" t="inlineStr"/>
    </row>
    <row r="52" ht="20" customHeight="1">
      <c r="A52" s="5" t="inlineStr">
        <is>
          <t>発注者</t>
        </is>
      </c>
      <c r="B52" s="4">
        <f>COUNTIF(G5:G42,"発注者")</f>
        <v/>
      </c>
      <c r="C52" s="5" t="inlineStr"/>
      <c r="D52" s="5" t="inlineStr"/>
      <c r="E52" s="5" t="inlineStr"/>
      <c r="F52" s="5" t="inlineStr"/>
      <c r="G52" s="5" t="inlineStr"/>
      <c r="H52" s="5" t="inlineStr"/>
      <c r="I52" s="5" t="inlineStr"/>
      <c r="J52" s="5" t="inlineStr"/>
    </row>
    <row r="53" ht="20" customHeight="1">
      <c r="A53" s="5" t="inlineStr">
        <is>
          <t>発注者・3町</t>
        </is>
      </c>
      <c r="B53" s="4">
        <f>COUNTIF(G5:G42,"発注者・3町")</f>
        <v/>
      </c>
      <c r="C53" s="5" t="inlineStr"/>
      <c r="D53" s="5" t="inlineStr"/>
      <c r="E53" s="5" t="inlineStr"/>
      <c r="F53" s="5" t="inlineStr"/>
      <c r="G53" s="5" t="inlineStr"/>
      <c r="H53" s="5" t="inlineStr"/>
      <c r="I53" s="5" t="inlineStr"/>
      <c r="J53" s="5" t="inlineStr"/>
    </row>
    <row r="54" ht="20" customHeight="1">
      <c r="A54" s="5" t="inlineStr">
        <is>
          <t>発注者・北海道</t>
        </is>
      </c>
      <c r="B54" s="4">
        <f>COUNTIF(G5:G42,"発注者・北海道")</f>
        <v/>
      </c>
      <c r="C54" s="5" t="inlineStr"/>
      <c r="D54" s="5" t="inlineStr"/>
      <c r="E54" s="5" t="inlineStr"/>
      <c r="F54" s="5" t="inlineStr"/>
      <c r="G54" s="5" t="inlineStr"/>
      <c r="H54" s="5" t="inlineStr"/>
      <c r="I54" s="5" t="inlineStr"/>
      <c r="J54" s="5" t="inlineStr"/>
    </row>
    <row r="55" ht="20" customHeight="1">
      <c r="A55" s="5" t="inlineStr">
        <is>
          <t>発注者・3町・北海道</t>
        </is>
      </c>
      <c r="B55" s="4">
        <f>COUNTIF(G5:G42,"発注者・3町・北海道")</f>
        <v/>
      </c>
      <c r="C55" s="5" t="inlineStr"/>
      <c r="D55" s="5" t="inlineStr"/>
      <c r="E55" s="5" t="inlineStr"/>
      <c r="F55" s="5" t="inlineStr"/>
      <c r="G55" s="5" t="inlineStr"/>
      <c r="H55" s="5" t="inlineStr"/>
      <c r="I55" s="5" t="inlineStr"/>
      <c r="J55" s="5" t="inlineStr"/>
    </row>
    <row r="56" ht="20" customHeight="1">
      <c r="A56" s="5" t="inlineStr">
        <is>
          <t>北海道</t>
        </is>
      </c>
      <c r="B56" s="4">
        <f>COUNTIF(G5:G42,"北海道")</f>
        <v/>
      </c>
      <c r="C56" s="5" t="inlineStr"/>
      <c r="D56" s="5" t="inlineStr"/>
      <c r="E56" s="5" t="inlineStr"/>
      <c r="F56" s="5" t="inlineStr"/>
      <c r="G56" s="5" t="inlineStr"/>
      <c r="H56" s="5" t="inlineStr"/>
      <c r="I56" s="5" t="inlineStr"/>
      <c r="J56" s="5" t="inlineStr"/>
    </row>
    <row r="58" ht="28" customHeight="1">
      <c r="A5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58:J58"/>
    <mergeCell ref="A1:J1"/>
    <mergeCell ref="A2:J2"/>
  </mergeCells>
  <conditionalFormatting sqref="H5:H4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3"/>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資料提供依頼一覧（21件）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確認待ち</t>
        </is>
      </c>
      <c r="J7" s="5" t="inlineStr">
        <is>
          <t>確認事項No.6・38と対応</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介護保険事業状況報告（月報・年報）の保険者控え（令和2年度〜令和7年度）</t>
        </is>
      </c>
      <c r="D17" s="5" t="inlineStr">
        <is>
          <t>第3段階（給付費・保険料）の算定に用いる給付費の月次・年度の実績。あわせて第9期の給付費の計画乖離（代表KPI H15）の把握に用いる。見える化には年報ベースの値が収録されているが、月次の推移と直近年度の速報値は保険者控えによる。</t>
        </is>
      </c>
      <c r="E17" s="5" t="inlineStr">
        <is>
          <t>第3段階の給付費の算定、H15の基準値</t>
        </is>
      </c>
      <c r="F17" s="5" t="inlineStr">
        <is>
          <t>発注者</t>
        </is>
      </c>
      <c r="G17" s="4" t="inlineStr">
        <is>
          <t>R8.9</t>
        </is>
      </c>
      <c r="H17" s="10" t="inlineStr">
        <is>
          <t>高</t>
        </is>
      </c>
      <c r="I17" s="4" t="inlineStr">
        <is>
          <t>確認待ち</t>
        </is>
      </c>
      <c r="J17" s="5" t="inlineStr">
        <is>
          <t>キックオフ会議のご指示により「令和8年実績」を年報・月報の実績に改める整理としたことに対応する</t>
        </is>
      </c>
    </row>
    <row r="18" ht="56" customHeight="1">
      <c r="A18" s="4" t="n">
        <v>10</v>
      </c>
      <c r="B18" s="4" t="inlineStr">
        <is>
          <t>H</t>
        </is>
      </c>
      <c r="C18" s="5" t="inlineStr">
        <is>
          <t>第7期（平成30〜令和2年度）の保険料条例</t>
        </is>
      </c>
      <c r="D18" s="5" t="inlineStr">
        <is>
          <t>基準額が6,077円か5,900円かを確定する。</t>
        </is>
      </c>
      <c r="E18" s="5" t="inlineStr">
        <is>
          <t>第7期の保険料基準額</t>
        </is>
      </c>
      <c r="F18" s="5" t="inlineStr">
        <is>
          <t>発注者</t>
        </is>
      </c>
      <c r="G18" s="4" t="inlineStr">
        <is>
          <t>R8.9</t>
        </is>
      </c>
      <c r="H18" s="8" t="inlineStr">
        <is>
          <t>中</t>
        </is>
      </c>
      <c r="I18" s="4" t="inlineStr">
        <is>
          <t>完了</t>
        </is>
      </c>
      <c r="J18" s="5" t="inlineStr">
        <is>
          <t>見える化C1により6,077円を確認（R8.7.30）。依頼は解消</t>
        </is>
      </c>
    </row>
    <row r="19" ht="56" customHeight="1">
      <c r="A19" s="4" t="n">
        <v>12</v>
      </c>
      <c r="B19" s="4" t="inlineStr">
        <is>
          <t>I</t>
        </is>
      </c>
      <c r="C19" s="5" t="inlineStr">
        <is>
          <t>小学校区と日常生活圏域の対応関係</t>
        </is>
      </c>
      <c r="D19" s="5" t="inlineStr">
        <is>
          <t>健康とくらしの調査の分析地域1（小学校区12地区）と第9期の6圏域の対応。美馬牛小学校区以外が不明。</t>
        </is>
      </c>
      <c r="E19" s="5" t="inlineStr">
        <is>
          <t>圏域別の分析、圏域設定の見直し</t>
        </is>
      </c>
      <c r="F19" s="5" t="inlineStr">
        <is>
          <t>美瑛町・3町</t>
        </is>
      </c>
      <c r="G19" s="4" t="inlineStr">
        <is>
          <t>R8.9</t>
        </is>
      </c>
      <c r="H19" s="8" t="inlineStr">
        <is>
          <t>中</t>
        </is>
      </c>
      <c r="I19" s="4" t="inlineStr">
        <is>
          <t>確認待ち</t>
        </is>
      </c>
      <c r="J19" s="5" t="inlineStr">
        <is>
          <t>確認事項No.20と対応</t>
        </is>
      </c>
    </row>
    <row r="20" ht="56" customHeight="1">
      <c r="A20" s="4" t="n">
        <v>15</v>
      </c>
      <c r="B20" s="4" t="inlineStr">
        <is>
          <t>G</t>
        </is>
      </c>
      <c r="C20" s="5" t="inlineStr">
        <is>
          <t>第9期の自己評価と北海道への報告の実績</t>
        </is>
      </c>
      <c r="D20" s="5" t="inlineStr">
        <is>
          <t>介護保険法第117条に基づく評価・公表の実績。受託者の評価との対照に必要。</t>
        </is>
      </c>
      <c r="E20" s="5" t="inlineStr">
        <is>
          <t>評価の枠組みの整理</t>
        </is>
      </c>
      <c r="F20" s="5" t="inlineStr">
        <is>
          <t>発注者</t>
        </is>
      </c>
      <c r="G20" s="4" t="inlineStr">
        <is>
          <t>R8.9</t>
        </is>
      </c>
      <c r="H20" s="8" t="inlineStr">
        <is>
          <t>中</t>
        </is>
      </c>
      <c r="I20" s="4" t="inlineStr">
        <is>
          <t>確認待ち</t>
        </is>
      </c>
      <c r="J20" s="5" t="inlineStr">
        <is>
          <t>確認事項No.7と対応</t>
        </is>
      </c>
    </row>
    <row r="21" ht="56" customHeight="1">
      <c r="A21" s="4" t="n">
        <v>16</v>
      </c>
      <c r="B21" s="4" t="inlineStr">
        <is>
          <t>C</t>
        </is>
      </c>
      <c r="C21" s="5" t="inlineStr">
        <is>
          <t>見える化システムD49の指標定義</t>
        </is>
      </c>
      <c r="D21" s="5" t="inlineStr">
        <is>
          <t>性・年齢調整の適用範囲と指数化の基準。受給率×受給者単価が給付月額指数に一致しない理由の特定に必要。</t>
        </is>
      </c>
      <c r="E21" s="5" t="inlineStr">
        <is>
          <t>地域差指数の分解の可否</t>
        </is>
      </c>
      <c r="F21" s="5" t="inlineStr">
        <is>
          <t>見える化システム・厚生労働省</t>
        </is>
      </c>
      <c r="G21" s="4" t="inlineStr">
        <is>
          <t>R8.10</t>
        </is>
      </c>
      <c r="H21" s="8" t="inlineStr">
        <is>
          <t>中</t>
        </is>
      </c>
      <c r="I21" s="4" t="inlineStr">
        <is>
          <t>未着手</t>
        </is>
      </c>
      <c r="J21" s="5" t="inlineStr">
        <is>
          <t>受託者側で確認する</t>
        </is>
      </c>
    </row>
    <row r="22" ht="56" customHeight="1">
      <c r="A22" s="4" t="n">
        <v>20</v>
      </c>
      <c r="B22" s="4" t="inlineStr">
        <is>
          <t>―</t>
        </is>
      </c>
      <c r="C22" s="5" t="inlineStr">
        <is>
          <t>（受託者の作業）会議資料・委員会資料の作成時の留保の照合</t>
        </is>
      </c>
      <c r="D22"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2" s="5" t="inlineStr">
        <is>
          <t>会議資料・委員会資料の記述の正確性</t>
        </is>
      </c>
      <c r="F22" s="5" t="inlineStr">
        <is>
          <t>受託者</t>
        </is>
      </c>
      <c r="G22" s="4" t="inlineStr">
        <is>
          <t>随時</t>
        </is>
      </c>
      <c r="H22" s="8" t="inlineStr">
        <is>
          <t>中</t>
        </is>
      </c>
      <c r="I22" s="4" t="inlineStr">
        <is>
          <t>実施中</t>
        </is>
      </c>
      <c r="J22" s="5" t="inlineStr">
        <is>
          <t>受託者の自己点検に手順を記録</t>
        </is>
      </c>
    </row>
    <row r="23" ht="56" customHeight="1">
      <c r="A23" s="4" t="n">
        <v>1</v>
      </c>
      <c r="B23" s="4" t="inlineStr">
        <is>
          <t>B</t>
        </is>
      </c>
      <c r="C23" s="5" t="inlineStr">
        <is>
          <t>見える化B5a・B6a・B6bの令和8年3月末の値</t>
        </is>
      </c>
      <c r="D23" s="5" t="inlineStr">
        <is>
          <t>調整済み認定率は令和7年3月末までしか出力されていない。第9期の評価には令和8年3月末（令和7年度末）の値が必要。</t>
        </is>
      </c>
      <c r="E23" s="5" t="inlineStr">
        <is>
          <t>中重度・軽度の認定率の推移</t>
        </is>
      </c>
      <c r="F23" s="5" t="inlineStr">
        <is>
          <t>見える化システム</t>
        </is>
      </c>
      <c r="G23" s="4" t="inlineStr">
        <is>
          <t>R8.9</t>
        </is>
      </c>
      <c r="H23" s="14" t="inlineStr">
        <is>
          <t>低</t>
        </is>
      </c>
      <c r="I23" s="4" t="inlineStr">
        <is>
          <t>未着手</t>
        </is>
      </c>
      <c r="J23" s="5" t="inlineStr">
        <is>
          <t>受託者側で出力を試行する</t>
        </is>
      </c>
    </row>
    <row r="24" ht="56" customHeight="1">
      <c r="A24" s="4" t="n">
        <v>2</v>
      </c>
      <c r="B24" s="4" t="inlineStr">
        <is>
          <t>I</t>
        </is>
      </c>
      <c r="C24" s="5" t="inlineStr">
        <is>
          <t>訪問系・通所系事業所の運営規程における通常の事業の実施地域【令和8年8月4日受領済】</t>
        </is>
      </c>
      <c r="D24"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4" s="5" t="inlineStr">
        <is>
          <t>訪問・通所困難地域の判定</t>
        </is>
      </c>
      <c r="F24" s="5" t="inlineStr">
        <is>
          <t>北海道・広域連合</t>
        </is>
      </c>
      <c r="G24" s="4" t="inlineStr">
        <is>
          <t>受領済</t>
        </is>
      </c>
      <c r="H24" s="14" t="inlineStr">
        <is>
          <t>低</t>
        </is>
      </c>
      <c r="I24" s="4" t="inlineStr">
        <is>
          <t>完了</t>
        </is>
      </c>
      <c r="J24" s="5" t="inlineStr">
        <is>
          <t>確認事項No.15と対応。住まいと施設の公表名簿との突合 08シート</t>
        </is>
      </c>
    </row>
    <row r="25" ht="56" customHeight="1">
      <c r="A25" s="4" t="n">
        <v>4</v>
      </c>
      <c r="B25" s="4" t="inlineStr">
        <is>
          <t>A</t>
        </is>
      </c>
      <c r="C25" s="5" t="inlineStr">
        <is>
          <t>令和7年国勢調査による町別の高齢者を含む世帯</t>
        </is>
      </c>
      <c r="D25" s="5" t="inlineStr">
        <is>
          <t>高齢者単身世帯・夫婦世帯の最新値。公表され次第。</t>
        </is>
      </c>
      <c r="E25" s="5" t="inlineStr">
        <is>
          <t>世帯構成の現状</t>
        </is>
      </c>
      <c r="F25" s="5" t="inlineStr">
        <is>
          <t>総務省・3町</t>
        </is>
      </c>
      <c r="G25" s="4" t="inlineStr">
        <is>
          <t>公表後</t>
        </is>
      </c>
      <c r="H25" s="14" t="inlineStr">
        <is>
          <t>低</t>
        </is>
      </c>
      <c r="I25" s="4" t="inlineStr">
        <is>
          <t>未着手</t>
        </is>
      </c>
      <c r="J25" s="5" t="inlineStr">
        <is>
          <t>公表待ち</t>
        </is>
      </c>
    </row>
    <row r="27" ht="32" customHeight="1">
      <c r="A27" s="3" t="inlineStr">
        <is>
          <t>優先度</t>
        </is>
      </c>
      <c r="B27" s="3" t="inlineStr">
        <is>
          <t>件数</t>
        </is>
      </c>
      <c r="C27" s="3" t="inlineStr">
        <is>
          <t>内容</t>
        </is>
      </c>
      <c r="D27" s="3" t="inlineStr"/>
      <c r="E27" s="3" t="inlineStr"/>
      <c r="F27" s="3" t="inlineStr"/>
      <c r="G27" s="3" t="inlineStr"/>
      <c r="H27" s="3" t="inlineStr"/>
      <c r="I27" s="3" t="inlineStr"/>
      <c r="J27" s="3" t="inlineStr"/>
    </row>
    <row r="28" ht="32" customHeight="1">
      <c r="A28" s="13" t="inlineStr">
        <is>
          <t>最高</t>
        </is>
      </c>
      <c r="B28" s="21" t="n">
        <v>1</v>
      </c>
      <c r="C28" s="5" t="inlineStr">
        <is>
          <t>No.13 令和6〜8年度の施策・事業実績、事業量、対象</t>
        </is>
      </c>
      <c r="D28" s="22" t="n"/>
      <c r="E28" s="22" t="n"/>
      <c r="F28" s="22" t="n"/>
      <c r="G28" s="22" t="n"/>
      <c r="H28" s="22" t="n"/>
      <c r="I28" s="22" t="n"/>
      <c r="J28" s="23" t="n"/>
    </row>
    <row r="29" ht="32" customHeight="1">
      <c r="A29" s="11" t="inlineStr">
        <is>
          <t>高</t>
        </is>
      </c>
      <c r="B29" s="21" t="n">
        <v>12</v>
      </c>
      <c r="C29"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介護保険事業状況報告（月報・年報）の保険者控、No.19 居住系・施設サービスの種別別受給者数と総合事</t>
        </is>
      </c>
      <c r="D29" s="22" t="n"/>
      <c r="E29" s="22" t="n"/>
      <c r="F29" s="22" t="n"/>
      <c r="G29" s="22" t="n"/>
      <c r="H29" s="22" t="n"/>
      <c r="I29" s="22" t="n"/>
      <c r="J29" s="23" t="n"/>
    </row>
    <row r="30" ht="32" customHeight="1">
      <c r="A30" s="9" t="inlineStr">
        <is>
          <t>中</t>
        </is>
      </c>
      <c r="B30" s="21" t="n">
        <v>5</v>
      </c>
      <c r="C30"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0" s="22" t="n"/>
      <c r="E30" s="22" t="n"/>
      <c r="F30" s="22" t="n"/>
      <c r="G30" s="22" t="n"/>
      <c r="H30" s="22" t="n"/>
      <c r="I30" s="22" t="n"/>
      <c r="J30" s="23" t="n"/>
    </row>
    <row r="31" ht="32" customHeight="1">
      <c r="A31" s="15" t="inlineStr">
        <is>
          <t>低</t>
        </is>
      </c>
      <c r="B31" s="21" t="n">
        <v>3</v>
      </c>
      <c r="C31" s="5" t="inlineStr">
        <is>
          <t>No.1 見える化B5a・B6a・B6bの令和8年3月、No.2 訪問系・通所系事業所の運営規程における通常の、No.4 令和7年国勢調査による町別の高齢者を含む世帯</t>
        </is>
      </c>
      <c r="D31" s="22" t="n"/>
      <c r="E31" s="22" t="n"/>
      <c r="F31" s="22" t="n"/>
      <c r="G31" s="22" t="n"/>
      <c r="H31" s="22" t="n"/>
      <c r="I31" s="22" t="n"/>
      <c r="J31" s="23" t="n"/>
    </row>
    <row r="33" ht="39" customHeight="1">
      <c r="A33"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29:J29"/>
    <mergeCell ref="C30:J30"/>
    <mergeCell ref="C28:J28"/>
    <mergeCell ref="A2:J2"/>
    <mergeCell ref="C31:J31"/>
    <mergeCell ref="A33:J33"/>
  </mergeCells>
  <conditionalFormatting sqref="I5:I2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I5:I25"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2026-08-25T09:14:32Z</dcterms:created>
  <dcterms:modified xmlns:dcterms="http://purl.org/dc/terms/" xmlns:xsi="http://www.w3.org/2001/XMLSchema-instance" xsi:type="dcterms:W3CDTF">2026-08-25T09:14:32Z</dcterms:modified>
</cp:coreProperties>
</file>