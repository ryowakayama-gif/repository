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916段落141表36図で、未確定箇所は146箇所（要協議112・要確認33・要内訳1）である。確認事項は171件、成果品は123件、ビルドスクリプトは120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計画素案（916段落141表36図）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916段落141表36図となった。残る未確定箇所は146箇所（要協議112・要確認33・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電子データは作成中。印刷・製本は令和9年3月。本文100頁程度に対する章別のページ配分が未確定（確認No.21）。【令和8年9月15〜18日】成果品は123件となった。9月に加えたものは、サービス見込量の算定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120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1"/>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t>
        </is>
      </c>
    </row>
    <row r="177" ht="32" customHeight="1">
      <c r="A177" s="3" t="inlineStr">
        <is>
          <t>区分</t>
        </is>
      </c>
      <c r="B177" s="3" t="inlineStr">
        <is>
          <t>件数</t>
        </is>
      </c>
      <c r="C177" s="3" t="inlineStr"/>
      <c r="D177" s="3" t="inlineStr"/>
      <c r="E177" s="3" t="inlineStr"/>
      <c r="F177" s="3" t="inlineStr"/>
      <c r="G177" s="3" t="inlineStr"/>
      <c r="H177" s="3" t="inlineStr"/>
      <c r="I177" s="3" t="inlineStr"/>
      <c r="J177" s="3" t="inlineStr"/>
    </row>
    <row r="178" ht="20" customHeight="1">
      <c r="A178" s="6" t="inlineStr">
        <is>
          <t>完了</t>
        </is>
      </c>
      <c r="B178" s="4">
        <f>COUNTIF(H5:H175,"完了")</f>
        <v/>
      </c>
      <c r="C178" s="5" t="inlineStr"/>
      <c r="D178" s="5" t="inlineStr"/>
      <c r="E178" s="5" t="inlineStr"/>
      <c r="F178" s="5" t="inlineStr"/>
      <c r="G178" s="5" t="inlineStr"/>
      <c r="H178" s="5" t="inlineStr"/>
      <c r="I178" s="5" t="inlineStr"/>
      <c r="J178" s="5" t="inlineStr"/>
    </row>
    <row r="179" ht="20" customHeight="1">
      <c r="A179" s="8" t="inlineStr">
        <is>
          <t>実施中</t>
        </is>
      </c>
      <c r="B179" s="4">
        <f>COUNTIF(H5:H175,"実施中")</f>
        <v/>
      </c>
      <c r="C179" s="5" t="inlineStr"/>
      <c r="D179" s="5" t="inlineStr"/>
      <c r="E179" s="5" t="inlineStr"/>
      <c r="F179" s="5" t="inlineStr"/>
      <c r="G179" s="5" t="inlineStr"/>
      <c r="H179" s="5" t="inlineStr"/>
      <c r="I179" s="5" t="inlineStr"/>
      <c r="J179" s="5" t="inlineStr"/>
    </row>
    <row r="180" ht="20" customHeight="1">
      <c r="A180" s="10" t="inlineStr">
        <is>
          <t>確認待ち</t>
        </is>
      </c>
      <c r="B180" s="4">
        <f>COUNTIF(H5:H175,"確認待ち")</f>
        <v/>
      </c>
      <c r="C180" s="5" t="inlineStr"/>
      <c r="D180" s="5" t="inlineStr"/>
      <c r="E180" s="5" t="inlineStr"/>
      <c r="F180" s="5" t="inlineStr"/>
      <c r="G180" s="5" t="inlineStr"/>
      <c r="H180" s="5" t="inlineStr"/>
      <c r="I180" s="5" t="inlineStr"/>
      <c r="J180" s="5" t="inlineStr"/>
    </row>
    <row r="181" ht="20" customHeight="1">
      <c r="A181" s="12" t="inlineStr">
        <is>
          <t>未着手</t>
        </is>
      </c>
      <c r="B181" s="4">
        <f>COUNTIF(H5:H175,"未着手")</f>
        <v/>
      </c>
      <c r="C181" s="5" t="inlineStr"/>
      <c r="D181" s="5" t="inlineStr"/>
      <c r="E181" s="5" t="inlineStr"/>
      <c r="F181" s="5" t="inlineStr"/>
      <c r="G181" s="5" t="inlineStr"/>
      <c r="H181" s="5" t="inlineStr"/>
      <c r="I181" s="5" t="inlineStr"/>
      <c r="J181" s="5" t="inlineStr"/>
    </row>
    <row r="182" ht="20" customHeight="1">
      <c r="A182" s="14" t="inlineStr">
        <is>
          <t>対象外</t>
        </is>
      </c>
      <c r="B182" s="4">
        <f>COUNTIF(H5:H175,"対象外")</f>
        <v/>
      </c>
      <c r="C182" s="5" t="inlineStr"/>
      <c r="D182" s="5" t="inlineStr"/>
      <c r="E182" s="5" t="inlineStr"/>
      <c r="F182" s="5" t="inlineStr"/>
      <c r="G182" s="5" t="inlineStr"/>
      <c r="H182" s="5" t="inlineStr"/>
      <c r="I182" s="5" t="inlineStr"/>
      <c r="J182" s="5" t="inlineStr"/>
    </row>
    <row r="184" ht="32" customHeight="1">
      <c r="A184" s="3" t="inlineStr">
        <is>
          <t>確認先</t>
        </is>
      </c>
      <c r="B184" s="3" t="inlineStr">
        <is>
          <t>件数</t>
        </is>
      </c>
      <c r="C184" s="3" t="inlineStr"/>
      <c r="D184" s="3" t="inlineStr"/>
      <c r="E184" s="3" t="inlineStr"/>
      <c r="F184" s="3" t="inlineStr"/>
      <c r="G184" s="3" t="inlineStr"/>
      <c r="H184" s="3" t="inlineStr"/>
      <c r="I184" s="3" t="inlineStr"/>
      <c r="J184" s="3" t="inlineStr"/>
    </row>
    <row r="185" ht="20" customHeight="1">
      <c r="A185" s="5" t="inlineStr">
        <is>
          <t>発注者</t>
        </is>
      </c>
      <c r="B185" s="4">
        <f>COUNTIF(G5:G175,"発注者")</f>
        <v/>
      </c>
      <c r="C185" s="5" t="inlineStr"/>
      <c r="D185" s="5" t="inlineStr"/>
      <c r="E185" s="5" t="inlineStr"/>
      <c r="F185" s="5" t="inlineStr"/>
      <c r="G185" s="5" t="inlineStr"/>
      <c r="H185" s="5" t="inlineStr"/>
      <c r="I185" s="5" t="inlineStr"/>
      <c r="J185" s="5" t="inlineStr"/>
    </row>
    <row r="186" ht="20" customHeight="1">
      <c r="A186" s="5" t="inlineStr">
        <is>
          <t>発注者・3町</t>
        </is>
      </c>
      <c r="B186" s="4">
        <f>COUNTIF(G5:G175,"発注者・3町")</f>
        <v/>
      </c>
      <c r="C186" s="5" t="inlineStr"/>
      <c r="D186" s="5" t="inlineStr"/>
      <c r="E186" s="5" t="inlineStr"/>
      <c r="F186" s="5" t="inlineStr"/>
      <c r="G186" s="5" t="inlineStr"/>
      <c r="H186" s="5" t="inlineStr"/>
      <c r="I186" s="5" t="inlineStr"/>
      <c r="J186" s="5" t="inlineStr"/>
    </row>
    <row r="187" ht="20" customHeight="1">
      <c r="A187" s="5" t="inlineStr">
        <is>
          <t>発注者・北海道</t>
        </is>
      </c>
      <c r="B187" s="4">
        <f>COUNTIF(G5:G175,"発注者・北海道")</f>
        <v/>
      </c>
      <c r="C187" s="5" t="inlineStr"/>
      <c r="D187" s="5" t="inlineStr"/>
      <c r="E187" s="5" t="inlineStr"/>
      <c r="F187" s="5" t="inlineStr"/>
      <c r="G187" s="5" t="inlineStr"/>
      <c r="H187" s="5" t="inlineStr"/>
      <c r="I187" s="5" t="inlineStr"/>
      <c r="J187" s="5" t="inlineStr"/>
    </row>
    <row r="188" ht="20" customHeight="1">
      <c r="A188" s="5" t="inlineStr">
        <is>
          <t>発注者・3町・北海道</t>
        </is>
      </c>
      <c r="B188" s="4">
        <f>COUNTIF(G5:G175,"発注者・3町・北海道")</f>
        <v/>
      </c>
      <c r="C188" s="5" t="inlineStr"/>
      <c r="D188" s="5" t="inlineStr"/>
      <c r="E188" s="5" t="inlineStr"/>
      <c r="F188" s="5" t="inlineStr"/>
      <c r="G188" s="5" t="inlineStr"/>
      <c r="H188" s="5" t="inlineStr"/>
      <c r="I188" s="5" t="inlineStr"/>
      <c r="J188" s="5" t="inlineStr"/>
    </row>
    <row r="189" ht="20" customHeight="1">
      <c r="A189" s="5" t="inlineStr">
        <is>
          <t>北海道</t>
        </is>
      </c>
      <c r="B189" s="4">
        <f>COUNTIF(G5:G175,"北海道")</f>
        <v/>
      </c>
      <c r="C189" s="5" t="inlineStr"/>
      <c r="D189" s="5" t="inlineStr"/>
      <c r="E189" s="5" t="inlineStr"/>
      <c r="F189" s="5" t="inlineStr"/>
      <c r="G189" s="5" t="inlineStr"/>
      <c r="H189" s="5" t="inlineStr"/>
      <c r="I189" s="5" t="inlineStr"/>
      <c r="J189" s="5" t="inlineStr"/>
    </row>
    <row r="191" ht="28" customHeight="1">
      <c r="A191"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91:J191"/>
    <mergeCell ref="A2:J2"/>
  </mergeCells>
  <conditionalFormatting sqref="H5:H17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5"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（916段落141表36図）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（916段落141表36図）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2026-09-29T05:19:46Z</dcterms:created>
  <dcterms:modified xmlns:dcterms="http://purl.org/dc/terms/" xmlns:xsi="http://www.w3.org/2001/XMLSchema-instance" xsi:type="dcterms:W3CDTF">2026-09-29T05:19:47Z</dcterms:modified>
</cp:coreProperties>
</file>