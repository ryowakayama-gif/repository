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当方はサービス計（総括表詳細（１）÷12）までは確定値で出せるが、要介護度別の内訳は在宅サービス利用率による按分の推定値である。Excelの形でご提供いただければ、要介護度別に合計すると総括表の令和7年度と一致することを検算したうえで確定値をお渡しできる。</t>
        </is>
      </c>
      <c r="F135" s="5" t="inlineStr">
        <is>
          <t>将来推計 第2段階
サービス見込量 第1次概算</t>
        </is>
      </c>
      <c r="G135" s="5" t="inlineStr">
        <is>
          <t>発注者</t>
        </is>
      </c>
      <c r="H135" s="10" t="inlineStr">
        <is>
          <t>確認待ち</t>
        </is>
      </c>
      <c r="I135" s="10" t="inlineStr">
        <is>
          <t>R8.9</t>
        </is>
      </c>
      <c r="J135" s="11" t="inlineStr">
        <is>
          <t>令和8年度実績見込み値の入力案 01〜04シート</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0を入れると令和9年度から令和11年度も0のまま残る。①入力欄が小数を受け付けるかをご確認いただきたい。②整数しか受け付けない場合、定期巡回を0とするか1とするかをご判断いただきたい。当方は最大剰余法により要支援・要介護の群ごとの合計を保つ整数版を併せて用意している。</t>
        </is>
      </c>
      <c r="F136" s="5" t="inlineStr">
        <is>
          <t>将来推計 第2段階</t>
        </is>
      </c>
      <c r="G136" s="5" t="inlineStr">
        <is>
          <t>発注者</t>
        </is>
      </c>
      <c r="H136" s="10" t="inlineStr">
        <is>
          <t>確認待ち</t>
        </is>
      </c>
      <c r="I136" s="10" t="inlineStr">
        <is>
          <t>R8.9</t>
        </is>
      </c>
      <c r="J136" s="11" t="inlineStr">
        <is>
          <t>令和8年度実績見込み値の入力案 02・03シート</t>
        </is>
      </c>
    </row>
    <row r="137" ht="88" customHeight="1">
      <c r="A137" s="4" t="n">
        <v>136</v>
      </c>
      <c r="B137" s="4" t="inlineStr">
        <is>
          <t>(5)</t>
        </is>
      </c>
      <c r="C137" s="4" t="inlineStr">
        <is>
          <t>R8.9</t>
        </is>
      </c>
      <c r="D137" s="5" t="inlineStr">
        <is>
          <t>画面の令和7年度と総括表の月平均の食い違い</t>
        </is>
      </c>
      <c r="E137" s="5" t="inlineStr">
        <is>
          <t>施設・居住系の令和7年度について、画面に表示された値と総括表詳細（１）の年間の延べ人月を12で除した値が一致しない。特定施設入居者生活介護は画面64人・総括表61.50人（＋4.1％）、介護老人保健施設は画面130人・総括表134.08人（▲3.0％）、介護医療院は画面6人・総括表5.50人（＋9.1％）である。総括表は利用者数×1人1月あたり給付費＝給付費が全行で成立し、その合計が年報の給付費と円単位で一致する系列である（令和7年度 2,915,307,125円）。当方は総括表を用いる整理としたが、画面の値がどの系列によるものかを確かめられていない。年報のご提供（確認事項No.134）により確かめる。なお画面の令和7年度は、特定施設入居者生活介護で合計64人に対し要介護度別の和が63人、介護老人福祉施設で合計140人に対し和が141人であり、そのまま貼ると誤差が入る。</t>
        </is>
      </c>
      <c r="F137" s="5" t="inlineStr">
        <is>
          <t>将来推計 第2段階
計画素案 第6章第2節</t>
        </is>
      </c>
      <c r="G137" s="5" t="inlineStr">
        <is>
          <t>発注者</t>
        </is>
      </c>
      <c r="H137" s="10" t="inlineStr">
        <is>
          <t>確認待ち</t>
        </is>
      </c>
      <c r="I137" s="10" t="inlineStr">
        <is>
          <t>R8.10</t>
        </is>
      </c>
      <c r="J137" s="11" t="inlineStr">
        <is>
          <t>令和8年度実績見込み値の入力案 05シート</t>
        </is>
      </c>
    </row>
    <row r="139" ht="32" customHeight="1">
      <c r="A139" s="3" t="inlineStr">
        <is>
          <t>区分</t>
        </is>
      </c>
      <c r="B139" s="3" t="inlineStr">
        <is>
          <t>件数</t>
        </is>
      </c>
      <c r="C139" s="3" t="inlineStr"/>
      <c r="D139" s="3" t="inlineStr"/>
      <c r="E139" s="3" t="inlineStr"/>
      <c r="F139" s="3" t="inlineStr"/>
      <c r="G139" s="3" t="inlineStr"/>
      <c r="H139" s="3" t="inlineStr"/>
      <c r="I139" s="3" t="inlineStr"/>
      <c r="J139" s="3" t="inlineStr"/>
    </row>
    <row r="140" ht="20" customHeight="1">
      <c r="A140" s="6" t="inlineStr">
        <is>
          <t>完了</t>
        </is>
      </c>
      <c r="B140" s="4">
        <f>COUNTIF(H5:H137,"完了")</f>
        <v/>
      </c>
      <c r="C140" s="5" t="inlineStr"/>
      <c r="D140" s="5" t="inlineStr"/>
      <c r="E140" s="5" t="inlineStr"/>
      <c r="F140" s="5" t="inlineStr"/>
      <c r="G140" s="5" t="inlineStr"/>
      <c r="H140" s="5" t="inlineStr"/>
      <c r="I140" s="5" t="inlineStr"/>
      <c r="J140" s="5" t="inlineStr"/>
    </row>
    <row r="141" ht="20" customHeight="1">
      <c r="A141" s="8" t="inlineStr">
        <is>
          <t>実施中</t>
        </is>
      </c>
      <c r="B141" s="4">
        <f>COUNTIF(H5:H137,"実施中")</f>
        <v/>
      </c>
      <c r="C141" s="5" t="inlineStr"/>
      <c r="D141" s="5" t="inlineStr"/>
      <c r="E141" s="5" t="inlineStr"/>
      <c r="F141" s="5" t="inlineStr"/>
      <c r="G141" s="5" t="inlineStr"/>
      <c r="H141" s="5" t="inlineStr"/>
      <c r="I141" s="5" t="inlineStr"/>
      <c r="J141" s="5" t="inlineStr"/>
    </row>
    <row r="142" ht="20" customHeight="1">
      <c r="A142" s="10" t="inlineStr">
        <is>
          <t>確認待ち</t>
        </is>
      </c>
      <c r="B142" s="4">
        <f>COUNTIF(H5:H137,"確認待ち")</f>
        <v/>
      </c>
      <c r="C142" s="5" t="inlineStr"/>
      <c r="D142" s="5" t="inlineStr"/>
      <c r="E142" s="5" t="inlineStr"/>
      <c r="F142" s="5" t="inlineStr"/>
      <c r="G142" s="5" t="inlineStr"/>
      <c r="H142" s="5" t="inlineStr"/>
      <c r="I142" s="5" t="inlineStr"/>
      <c r="J142" s="5" t="inlineStr"/>
    </row>
    <row r="143" ht="20" customHeight="1">
      <c r="A143" s="12" t="inlineStr">
        <is>
          <t>未着手</t>
        </is>
      </c>
      <c r="B143" s="4">
        <f>COUNTIF(H5:H137,"未着手")</f>
        <v/>
      </c>
      <c r="C143" s="5" t="inlineStr"/>
      <c r="D143" s="5" t="inlineStr"/>
      <c r="E143" s="5" t="inlineStr"/>
      <c r="F143" s="5" t="inlineStr"/>
      <c r="G143" s="5" t="inlineStr"/>
      <c r="H143" s="5" t="inlineStr"/>
      <c r="I143" s="5" t="inlineStr"/>
      <c r="J143" s="5" t="inlineStr"/>
    </row>
    <row r="144" ht="20" customHeight="1">
      <c r="A144" s="14" t="inlineStr">
        <is>
          <t>対象外</t>
        </is>
      </c>
      <c r="B144" s="4">
        <f>COUNTIF(H5:H137,"対象外")</f>
        <v/>
      </c>
      <c r="C144" s="5" t="inlineStr"/>
      <c r="D144" s="5" t="inlineStr"/>
      <c r="E144" s="5" t="inlineStr"/>
      <c r="F144" s="5" t="inlineStr"/>
      <c r="G144" s="5" t="inlineStr"/>
      <c r="H144" s="5" t="inlineStr"/>
      <c r="I144" s="5" t="inlineStr"/>
      <c r="J144" s="5" t="inlineStr"/>
    </row>
    <row r="146" ht="32" customHeight="1">
      <c r="A146" s="3" t="inlineStr">
        <is>
          <t>確認先</t>
        </is>
      </c>
      <c r="B146" s="3" t="inlineStr">
        <is>
          <t>件数</t>
        </is>
      </c>
      <c r="C146" s="3" t="inlineStr"/>
      <c r="D146" s="3" t="inlineStr"/>
      <c r="E146" s="3" t="inlineStr"/>
      <c r="F146" s="3" t="inlineStr"/>
      <c r="G146" s="3" t="inlineStr"/>
      <c r="H146" s="3" t="inlineStr"/>
      <c r="I146" s="3" t="inlineStr"/>
      <c r="J146" s="3" t="inlineStr"/>
    </row>
    <row r="147" ht="20" customHeight="1">
      <c r="A147" s="5" t="inlineStr">
        <is>
          <t>発注者</t>
        </is>
      </c>
      <c r="B147" s="4">
        <f>COUNTIF(G5:G137,"発注者")</f>
        <v/>
      </c>
      <c r="C147" s="5" t="inlineStr"/>
      <c r="D147" s="5" t="inlineStr"/>
      <c r="E147" s="5" t="inlineStr"/>
      <c r="F147" s="5" t="inlineStr"/>
      <c r="G147" s="5" t="inlineStr"/>
      <c r="H147" s="5" t="inlineStr"/>
      <c r="I147" s="5" t="inlineStr"/>
      <c r="J147" s="5" t="inlineStr"/>
    </row>
    <row r="148" ht="20" customHeight="1">
      <c r="A148" s="5" t="inlineStr">
        <is>
          <t>発注者・3町</t>
        </is>
      </c>
      <c r="B148" s="4">
        <f>COUNTIF(G5:G137,"発注者・3町")</f>
        <v/>
      </c>
      <c r="C148" s="5" t="inlineStr"/>
      <c r="D148" s="5" t="inlineStr"/>
      <c r="E148" s="5" t="inlineStr"/>
      <c r="F148" s="5" t="inlineStr"/>
      <c r="G148" s="5" t="inlineStr"/>
      <c r="H148" s="5" t="inlineStr"/>
      <c r="I148" s="5" t="inlineStr"/>
      <c r="J148" s="5" t="inlineStr"/>
    </row>
    <row r="149" ht="20" customHeight="1">
      <c r="A149" s="5" t="inlineStr">
        <is>
          <t>発注者・北海道</t>
        </is>
      </c>
      <c r="B149" s="4">
        <f>COUNTIF(G5:G137,"発注者・北海道")</f>
        <v/>
      </c>
      <c r="C149" s="5" t="inlineStr"/>
      <c r="D149" s="5" t="inlineStr"/>
      <c r="E149" s="5" t="inlineStr"/>
      <c r="F149" s="5" t="inlineStr"/>
      <c r="G149" s="5" t="inlineStr"/>
      <c r="H149" s="5" t="inlineStr"/>
      <c r="I149" s="5" t="inlineStr"/>
      <c r="J149" s="5" t="inlineStr"/>
    </row>
    <row r="150" ht="20" customHeight="1">
      <c r="A150" s="5" t="inlineStr">
        <is>
          <t>発注者・3町・北海道</t>
        </is>
      </c>
      <c r="B150" s="4">
        <f>COUNTIF(G5:G137,"発注者・3町・北海道")</f>
        <v/>
      </c>
      <c r="C150" s="5" t="inlineStr"/>
      <c r="D150" s="5" t="inlineStr"/>
      <c r="E150" s="5" t="inlineStr"/>
      <c r="F150" s="5" t="inlineStr"/>
      <c r="G150" s="5" t="inlineStr"/>
      <c r="H150" s="5" t="inlineStr"/>
      <c r="I150" s="5" t="inlineStr"/>
      <c r="J150" s="5" t="inlineStr"/>
    </row>
    <row r="151" ht="20" customHeight="1">
      <c r="A151" s="5" t="inlineStr">
        <is>
          <t>北海道</t>
        </is>
      </c>
      <c r="B151" s="4">
        <f>COUNTIF(G5:G137,"北海道")</f>
        <v/>
      </c>
      <c r="C151" s="5" t="inlineStr"/>
      <c r="D151" s="5" t="inlineStr"/>
      <c r="E151" s="5" t="inlineStr"/>
      <c r="F151" s="5" t="inlineStr"/>
      <c r="G151" s="5" t="inlineStr"/>
      <c r="H151" s="5" t="inlineStr"/>
      <c r="I151" s="5" t="inlineStr"/>
      <c r="J151" s="5" t="inlineStr"/>
    </row>
    <row r="153" ht="28" customHeight="1">
      <c r="A15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3:J153"/>
    <mergeCell ref="A2:J2"/>
  </mergeCells>
  <conditionalFormatting sqref="H5:H13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2026-09-11T03:24:55Z</dcterms:created>
  <dcterms:modified xmlns:dcterms="http://purl.org/dc/terms/" xmlns:xsi="http://www.w3.org/2001/XMLSchema-instance" xsi:type="dcterms:W3CDTF">2026-09-11T03:24:56Z</dcterms:modified>
</cp:coreProperties>
</file>