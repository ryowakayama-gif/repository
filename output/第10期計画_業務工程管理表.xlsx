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34" customHeight="1">
      <c r="A23" s="16" t="inlineStr">
        <is>
          <t>【現時点の全体状況（令和8年10月5日）】全体進捗は67％（進捗を数値で表せる10業務の単純平均）。令和8年9月は、サービス見込量の算定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973段落148表36図で、未確定箇所は163箇所（要協議119・要確認43・要内訳1）である。確認事項は174件、成果品は134件、作成に用いた処理は131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中に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残るのは政令・省令・報酬改定の告示を待つ分である</t>
        </is>
      </c>
      <c r="J5" s="5" t="inlineStr">
        <is>
          <t>1, 2, 22, 89, 130, 149, 170</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計画素案（973段落148表36図）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973段落148表36図となった。残る未確定箇所は163箇所（要協議119・要確認43・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t>
        </is>
      </c>
      <c r="J10" s="5" t="inlineStr">
        <is>
          <t>17, 18, 24, 25, 88, 112, 114, 131, 154, 170, 171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電子データは作成中。印刷・製本は令和9年3月。本文100頁程度に対する章別のページ配分が未確定（確認No.21）。【令和8年9月15〜18日】成果品は134件となった。9月に加えたものは、サービス見込量の算定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131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は1億円あたり月額約▲310円となること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80" ht="32" customHeight="1">
      <c r="A180" s="3" t="inlineStr">
        <is>
          <t>区分</t>
        </is>
      </c>
      <c r="B180" s="3" t="inlineStr">
        <is>
          <t>件数</t>
        </is>
      </c>
      <c r="C180" s="3" t="inlineStr"/>
      <c r="D180" s="3" t="inlineStr"/>
      <c r="E180" s="3" t="inlineStr"/>
      <c r="F180" s="3" t="inlineStr"/>
      <c r="G180" s="3" t="inlineStr"/>
      <c r="H180" s="3" t="inlineStr"/>
      <c r="I180" s="3" t="inlineStr"/>
      <c r="J180" s="3" t="inlineStr"/>
    </row>
    <row r="181" ht="20" customHeight="1">
      <c r="A181" s="6" t="inlineStr">
        <is>
          <t>完了</t>
        </is>
      </c>
      <c r="B181" s="4">
        <f>COUNTIF(H5:H178,"完了")</f>
        <v/>
      </c>
      <c r="C181" s="5" t="inlineStr"/>
      <c r="D181" s="5" t="inlineStr"/>
      <c r="E181" s="5" t="inlineStr"/>
      <c r="F181" s="5" t="inlineStr"/>
      <c r="G181" s="5" t="inlineStr"/>
      <c r="H181" s="5" t="inlineStr"/>
      <c r="I181" s="5" t="inlineStr"/>
      <c r="J181" s="5" t="inlineStr"/>
    </row>
    <row r="182" ht="20" customHeight="1">
      <c r="A182" s="8" t="inlineStr">
        <is>
          <t>実施中</t>
        </is>
      </c>
      <c r="B182" s="4">
        <f>COUNTIF(H5:H178,"実施中")</f>
        <v/>
      </c>
      <c r="C182" s="5" t="inlineStr"/>
      <c r="D182" s="5" t="inlineStr"/>
      <c r="E182" s="5" t="inlineStr"/>
      <c r="F182" s="5" t="inlineStr"/>
      <c r="G182" s="5" t="inlineStr"/>
      <c r="H182" s="5" t="inlineStr"/>
      <c r="I182" s="5" t="inlineStr"/>
      <c r="J182" s="5" t="inlineStr"/>
    </row>
    <row r="183" ht="20" customHeight="1">
      <c r="A183" s="10" t="inlineStr">
        <is>
          <t>確認待ち</t>
        </is>
      </c>
      <c r="B183" s="4">
        <f>COUNTIF(H5:H178,"確認待ち")</f>
        <v/>
      </c>
      <c r="C183" s="5" t="inlineStr"/>
      <c r="D183" s="5" t="inlineStr"/>
      <c r="E183" s="5" t="inlineStr"/>
      <c r="F183" s="5" t="inlineStr"/>
      <c r="G183" s="5" t="inlineStr"/>
      <c r="H183" s="5" t="inlineStr"/>
      <c r="I183" s="5" t="inlineStr"/>
      <c r="J183" s="5" t="inlineStr"/>
    </row>
    <row r="184" ht="20" customHeight="1">
      <c r="A184" s="12" t="inlineStr">
        <is>
          <t>未着手</t>
        </is>
      </c>
      <c r="B184" s="4">
        <f>COUNTIF(H5:H178,"未着手")</f>
        <v/>
      </c>
      <c r="C184" s="5" t="inlineStr"/>
      <c r="D184" s="5" t="inlineStr"/>
      <c r="E184" s="5" t="inlineStr"/>
      <c r="F184" s="5" t="inlineStr"/>
      <c r="G184" s="5" t="inlineStr"/>
      <c r="H184" s="5" t="inlineStr"/>
      <c r="I184" s="5" t="inlineStr"/>
      <c r="J184" s="5" t="inlineStr"/>
    </row>
    <row r="185" ht="20" customHeight="1">
      <c r="A185" s="14" t="inlineStr">
        <is>
          <t>対象外</t>
        </is>
      </c>
      <c r="B185" s="4">
        <f>COUNTIF(H5:H178,"対象外")</f>
        <v/>
      </c>
      <c r="C185" s="5" t="inlineStr"/>
      <c r="D185" s="5" t="inlineStr"/>
      <c r="E185" s="5" t="inlineStr"/>
      <c r="F185" s="5" t="inlineStr"/>
      <c r="G185" s="5" t="inlineStr"/>
      <c r="H185" s="5" t="inlineStr"/>
      <c r="I185" s="5" t="inlineStr"/>
      <c r="J185" s="5" t="inlineStr"/>
    </row>
    <row r="187" ht="32" customHeight="1">
      <c r="A187" s="3" t="inlineStr">
        <is>
          <t>確認先</t>
        </is>
      </c>
      <c r="B187" s="3" t="inlineStr">
        <is>
          <t>件数</t>
        </is>
      </c>
      <c r="C187" s="3" t="inlineStr"/>
      <c r="D187" s="3" t="inlineStr"/>
      <c r="E187" s="3" t="inlineStr"/>
      <c r="F187" s="3" t="inlineStr"/>
      <c r="G187" s="3" t="inlineStr"/>
      <c r="H187" s="3" t="inlineStr"/>
      <c r="I187" s="3" t="inlineStr"/>
      <c r="J187" s="3" t="inlineStr"/>
    </row>
    <row r="188" ht="20" customHeight="1">
      <c r="A188" s="5" t="inlineStr">
        <is>
          <t>発注者</t>
        </is>
      </c>
      <c r="B188" s="4">
        <f>COUNTIF(G5:G178,"発注者")</f>
        <v/>
      </c>
      <c r="C188" s="5" t="inlineStr"/>
      <c r="D188" s="5" t="inlineStr"/>
      <c r="E188" s="5" t="inlineStr"/>
      <c r="F188" s="5" t="inlineStr"/>
      <c r="G188" s="5" t="inlineStr"/>
      <c r="H188" s="5" t="inlineStr"/>
      <c r="I188" s="5" t="inlineStr"/>
      <c r="J188" s="5" t="inlineStr"/>
    </row>
    <row r="189" ht="20" customHeight="1">
      <c r="A189" s="5" t="inlineStr">
        <is>
          <t>発注者・3町</t>
        </is>
      </c>
      <c r="B189" s="4">
        <f>COUNTIF(G5:G178,"発注者・3町")</f>
        <v/>
      </c>
      <c r="C189" s="5" t="inlineStr"/>
      <c r="D189" s="5" t="inlineStr"/>
      <c r="E189" s="5" t="inlineStr"/>
      <c r="F189" s="5" t="inlineStr"/>
      <c r="G189" s="5" t="inlineStr"/>
      <c r="H189" s="5" t="inlineStr"/>
      <c r="I189" s="5" t="inlineStr"/>
      <c r="J189" s="5" t="inlineStr"/>
    </row>
    <row r="190" ht="20" customHeight="1">
      <c r="A190" s="5" t="inlineStr">
        <is>
          <t>発注者・北海道</t>
        </is>
      </c>
      <c r="B190" s="4">
        <f>COUNTIF(G5:G178,"発注者・北海道")</f>
        <v/>
      </c>
      <c r="C190" s="5" t="inlineStr"/>
      <c r="D190" s="5" t="inlineStr"/>
      <c r="E190" s="5" t="inlineStr"/>
      <c r="F190" s="5" t="inlineStr"/>
      <c r="G190" s="5" t="inlineStr"/>
      <c r="H190" s="5" t="inlineStr"/>
      <c r="I190" s="5" t="inlineStr"/>
      <c r="J190" s="5" t="inlineStr"/>
    </row>
    <row r="191" ht="20" customHeight="1">
      <c r="A191" s="5" t="inlineStr">
        <is>
          <t>発注者・3町・北海道</t>
        </is>
      </c>
      <c r="B191" s="4">
        <f>COUNTIF(G5:G178,"発注者・3町・北海道")</f>
        <v/>
      </c>
      <c r="C191" s="5" t="inlineStr"/>
      <c r="D191" s="5" t="inlineStr"/>
      <c r="E191" s="5" t="inlineStr"/>
      <c r="F191" s="5" t="inlineStr"/>
      <c r="G191" s="5" t="inlineStr"/>
      <c r="H191" s="5" t="inlineStr"/>
      <c r="I191" s="5" t="inlineStr"/>
      <c r="J191" s="5" t="inlineStr"/>
    </row>
    <row r="192" ht="20" customHeight="1">
      <c r="A192" s="5" t="inlineStr">
        <is>
          <t>北海道</t>
        </is>
      </c>
      <c r="B192" s="4">
        <f>COUNTIF(G5:G178,"北海道")</f>
        <v/>
      </c>
      <c r="C192" s="5" t="inlineStr"/>
      <c r="D192" s="5" t="inlineStr"/>
      <c r="E192" s="5" t="inlineStr"/>
      <c r="F192" s="5" t="inlineStr"/>
      <c r="G192" s="5" t="inlineStr"/>
      <c r="H192" s="5" t="inlineStr"/>
      <c r="I192" s="5" t="inlineStr"/>
      <c r="J192" s="5" t="inlineStr"/>
    </row>
    <row r="194" ht="39" customHeight="1">
      <c r="A19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194:J194"/>
    <mergeCell ref="A2:J2"/>
  </mergeCells>
  <conditionalFormatting sqref="H5:H17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（973段落148表36図）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（973段落148表36図）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2026-10-05T04:31:17Z</dcterms:created>
  <dcterms:modified xmlns:dcterms="http://purl.org/dc/terms/" xmlns:xsi="http://www.w3.org/2001/XMLSchema-instance" xsi:type="dcterms:W3CDTF">2026-10-05T04:31:19Z</dcterms:modified>
</cp:coreProperties>
</file>