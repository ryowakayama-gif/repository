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0.97</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0.92</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アンケート分析の作業状況は「9月作業_アンケート分析の作業状況」（10シート）に整理した。残るのは確定値化と計画本文への反映であり、未了8件のうち5件は発注者のご判断又は資料の提供を待っている。介護給付実績分析・現状分析は見える化データにより先行実施済み（妥当性検証報告書・図表集）。人口推計は総合戦略ベースで第1〜第3段階まで算定済み</t>
        </is>
      </c>
      <c r="F6" s="8" t="inlineStr">
        <is>
          <t>実施中</t>
        </is>
      </c>
      <c r="G6" s="10" t="inlineStr"/>
      <c r="H6" s="10" t="inlineStr"/>
      <c r="I6" s="11" t="inlineStr"/>
      <c r="J6" s="5" t="inlineStr">
        <is>
          <t>計画本文への反映は点検事項の重大6件の取扱い（確認事項No.8）による。この1件の決定により照会の発出から成果品の更新まで一連の作業が動く。アンケート分析そのものは完了しているため、9月工程の成果物は暫定版として提出できる状態にあ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14"/>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93</v>
      </c>
      <c r="B5" s="4" t="inlineStr">
        <is>
          <t>(5)(6)</t>
        </is>
      </c>
      <c r="C5" s="4" t="inlineStr">
        <is>
          <t>R8.9</t>
        </is>
      </c>
      <c r="D5" s="5" t="inlineStr">
        <is>
          <t>財政調整交付金の算定における給付適正化主要3事業の取組状況の勘案</t>
        </is>
      </c>
      <c r="E5"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5" s="5" t="inlineStr">
        <is>
          <t>将来推計 第3段階
計画素案 第6章第6節
サービス見込量 第2次概算</t>
        </is>
      </c>
      <c r="G5" s="5" t="inlineStr">
        <is>
          <t>発注者・北海道</t>
        </is>
      </c>
      <c r="H5" s="10" t="inlineStr">
        <is>
          <t>確認待ち</t>
        </is>
      </c>
      <c r="I5" s="10" t="inlineStr">
        <is>
          <t>R8.10</t>
        </is>
      </c>
      <c r="J5" s="11" t="inlineStr">
        <is>
          <t>確認事項No.86（保険者機能強化推進交付金等の交付見込額の控除）と併せて第2次概算（10月30日）までに整理する</t>
        </is>
      </c>
    </row>
    <row r="6" ht="88" customHeight="1">
      <c r="A6" s="4" t="n">
        <v>94</v>
      </c>
      <c r="B6" s="4" t="inlineStr">
        <is>
          <t>(6)</t>
        </is>
      </c>
      <c r="C6" s="4" t="inlineStr">
        <is>
          <t>R8.9</t>
        </is>
      </c>
      <c r="D6" s="5" t="inlineStr">
        <is>
          <t>給付適正化計画の位置づけ（案Bの採用）と毎年度の目標の記載場所</t>
        </is>
      </c>
      <c r="E6"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6" s="5" t="inlineStr">
        <is>
          <t>計画素案 第1章第2節・第5章 基本目標5・資料5
給付適正化計画の位置づけと追加検討事項</t>
        </is>
      </c>
      <c r="G6" s="5" t="inlineStr">
        <is>
          <t>発注者</t>
        </is>
      </c>
      <c r="H6" s="10" t="inlineStr">
        <is>
          <t>確認待ち</t>
        </is>
      </c>
      <c r="I6" s="10" t="inlineStr">
        <is>
          <t>R8.10</t>
        </is>
      </c>
      <c r="J6" s="11" t="inlineStr">
        <is>
          <t>位置づけの決定は令和8年9月10日に了承済み。本件は反映内容の事後確認である</t>
        </is>
      </c>
    </row>
    <row r="7" ht="88" customHeight="1">
      <c r="A7" s="4" t="n">
        <v>92</v>
      </c>
      <c r="B7" s="4" t="inlineStr">
        <is>
          <t>(6)</t>
        </is>
      </c>
      <c r="C7" s="4" t="inlineStr">
        <is>
          <t>R8.9</t>
        </is>
      </c>
      <c r="D7" s="5" t="inlineStr">
        <is>
          <t>認定調査の指定居宅介護支援事業所等への委託の状況</t>
        </is>
      </c>
      <c r="E7"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7" s="5" t="inlineStr">
        <is>
          <t>給付適正化計画の位置づけと追加検討事項 04シート
計画素案 第5章 基本目標5</t>
        </is>
      </c>
      <c r="G7" s="5" t="inlineStr">
        <is>
          <t>発注者</t>
        </is>
      </c>
      <c r="H7" s="10" t="inlineStr">
        <is>
          <t>確認待ち</t>
        </is>
      </c>
      <c r="I7" s="10" t="inlineStr">
        <is>
          <t>R8.10</t>
        </is>
      </c>
      <c r="J7" s="11" t="inlineStr">
        <is>
          <t>委託していない場合は、直営の認定調査についても実態を把握することが望ましいとされている</t>
        </is>
      </c>
    </row>
    <row r="8" ht="88" customHeight="1">
      <c r="A8" s="4" t="n">
        <v>91</v>
      </c>
      <c r="B8" s="4" t="inlineStr">
        <is>
          <t>(2)(6)</t>
        </is>
      </c>
      <c r="C8" s="4" t="inlineStr">
        <is>
          <t>R8.9</t>
        </is>
      </c>
      <c r="D8" s="5" t="inlineStr">
        <is>
          <t>介護給付費通知及び給付実績の活用による確認等</t>
        </is>
      </c>
      <c r="E8"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8" s="5" t="inlineStr">
        <is>
          <t>給付適正化計画の位置づけと追加検討事項 02シート
計画素案 第5章 基本目標5</t>
        </is>
      </c>
      <c r="G8" s="5" t="inlineStr">
        <is>
          <t>発注者</t>
        </is>
      </c>
      <c r="H8" s="10" t="inlineStr">
        <is>
          <t>確認待ち</t>
        </is>
      </c>
      <c r="I8" s="10" t="inlineStr">
        <is>
          <t>R8.10</t>
        </is>
      </c>
      <c r="J8" s="11" t="inlineStr">
        <is>
          <t>国保連の適正化システムには強調表示等の工夫が取り入れられており、小規模保険者でも実施しやすいとされている</t>
        </is>
      </c>
    </row>
    <row r="9" ht="88" customHeight="1">
      <c r="A9" s="4" t="n">
        <v>90</v>
      </c>
      <c r="B9" s="4" t="inlineStr">
        <is>
          <t>(2)(6)</t>
        </is>
      </c>
      <c r="C9" s="4" t="inlineStr">
        <is>
          <t>R8.9</t>
        </is>
      </c>
      <c r="D9" s="5" t="inlineStr">
        <is>
          <t>第9期計画の本文の提供</t>
        </is>
      </c>
      <c r="E9" s="5" t="inlineStr">
        <is>
          <t>第9期計画における給付適正化の記載を確定するためご提供いただきたい。当方が保有しているのは第9期計画から作成した施策別の整理であり、本文そのものではない。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t>
        </is>
      </c>
      <c r="F9" s="5" t="inlineStr">
        <is>
          <t>給付適正化計画の位置づけと追加検討事項 01シート
計画素案 第5章 基本目標5</t>
        </is>
      </c>
      <c r="G9" s="5" t="inlineStr">
        <is>
          <t>発注者</t>
        </is>
      </c>
      <c r="H9" s="10" t="inlineStr">
        <is>
          <t>確認待ち</t>
        </is>
      </c>
      <c r="I9" s="10" t="inlineStr">
        <is>
          <t>R8.9</t>
        </is>
      </c>
      <c r="J9" s="11" t="inlineStr">
        <is>
          <t>第9期計画の体裁を勘案して第10期での位置づけを決めるため、本文の確認が前提となる</t>
        </is>
      </c>
    </row>
    <row r="10" ht="88" customHeight="1">
      <c r="A10" s="4" t="n">
        <v>89</v>
      </c>
      <c r="B10" s="4" t="inlineStr">
        <is>
          <t>(1)(6)</t>
        </is>
      </c>
      <c r="C10" s="4" t="inlineStr">
        <is>
          <t>R8.9</t>
        </is>
      </c>
      <c r="D10" s="5" t="inlineStr">
        <is>
          <t>社会福祉法等の一部を改正する法律（令和8年法律第51号）の反映</t>
        </is>
      </c>
      <c r="E10"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10" s="5" t="inlineStr">
        <is>
          <t>計画素案 第1章第9節・第2章第8節・第5章・第6章第2節・第6章第4節
ケアプラン点検実施要領</t>
        </is>
      </c>
      <c r="G10" s="5" t="inlineStr">
        <is>
          <t>発注者</t>
        </is>
      </c>
      <c r="H10" s="10" t="inlineStr">
        <is>
          <t>確認待ち</t>
        </is>
      </c>
      <c r="I10" s="10" t="inlineStr">
        <is>
          <t>R8.10</t>
        </is>
      </c>
      <c r="J10" s="11" t="inlineStr">
        <is>
          <t>②の統合により、第10期のサービス種別の区分が変わる。国の様式（介護保険事業計画作成支援ツール）の確定を待って見込量の区分を改める</t>
        </is>
      </c>
    </row>
    <row r="11" ht="88" customHeight="1">
      <c r="A11" s="4" t="n">
        <v>88</v>
      </c>
      <c r="B11" s="4" t="inlineStr">
        <is>
          <t>(5)(6)</t>
        </is>
      </c>
      <c r="C11" s="4" t="inlineStr">
        <is>
          <t>R8.9</t>
        </is>
      </c>
      <c r="D11" s="5" t="inlineStr">
        <is>
          <t>日常生活圏域ごとの必要利用定員総数（法定記載事項）</t>
        </is>
      </c>
      <c r="E11"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11" s="5" t="inlineStr">
        <is>
          <t>計画素案 第1章第7節・第6章第4節4
サービス見込量 第1次概算</t>
        </is>
      </c>
      <c r="G11" s="5" t="inlineStr">
        <is>
          <t>発注者・3町</t>
        </is>
      </c>
      <c r="H11" s="10" t="inlineStr">
        <is>
          <t>確認待ち</t>
        </is>
      </c>
      <c r="I11" s="10" t="inlineStr">
        <is>
          <t>R8.9</t>
        </is>
      </c>
      <c r="J11" s="11" t="inlineStr">
        <is>
          <t>法定記載事項であり、記載を落とすことができない。圏域が確定しないと表を作成できない</t>
        </is>
      </c>
    </row>
    <row r="12" ht="88" customHeight="1">
      <c r="A12" s="4" t="n">
        <v>87</v>
      </c>
      <c r="B12" s="4" t="inlineStr">
        <is>
          <t>(2)(4)</t>
        </is>
      </c>
      <c r="C12" s="4" t="inlineStr">
        <is>
          <t>R8.9</t>
        </is>
      </c>
      <c r="D12" s="5" t="inlineStr">
        <is>
          <t>給付費データ集計　令和7年度の広域連合単位と3町合計の差</t>
        </is>
      </c>
      <c r="E12" s="5" t="inlineStr">
        <is>
          <t>令和8年8月28日に受領した給付費データ集計12ファイルについて、令和7年度は3町のファイルの合計3,213,054,558円に対し広域連合単位のファイルが3,083,474,291円であり、129,580,267円（4.0％）の差がある。令和6年度・令和8年度は完全に一致する。差は要介護度により1.7％から5.9％まで幅があり、月数の違いによる一様な差ではない。①抽出条件（対象月・審査月・住所地特例の扱い等）の違いによるものかご確認いただきたい。②いずれの値を実績として用いるかをご指示いただきたい。受託者案は、町別に把握できる3町のファイルの合計を用い、出所と差を注記する扱いとする。</t>
        </is>
      </c>
      <c r="F12" s="5" t="inlineStr">
        <is>
          <t>計画素案 第2章第2節5
町別データシート
給付実績データの受領点検</t>
        </is>
      </c>
      <c r="G12" s="5" t="inlineStr">
        <is>
          <t>発注者</t>
        </is>
      </c>
      <c r="H12" s="10" t="inlineStr">
        <is>
          <t>確認待ち</t>
        </is>
      </c>
      <c r="I12" s="10" t="inlineStr">
        <is>
          <t>R8.9</t>
        </is>
      </c>
      <c r="J12" s="11" t="inlineStr">
        <is>
          <t>保険料の算定には介護保険特別会計決算の値を用いるため、本件は実績の記載に影響するものであり保険料算定には影響しない</t>
        </is>
      </c>
    </row>
    <row r="13" ht="88" customHeight="1">
      <c r="A13" s="4" t="n">
        <v>86</v>
      </c>
      <c r="B13" s="4" t="inlineStr">
        <is>
          <t>(5)(6)</t>
        </is>
      </c>
      <c r="C13" s="4" t="inlineStr">
        <is>
          <t>R8.9</t>
        </is>
      </c>
      <c r="D13" s="5" t="inlineStr">
        <is>
          <t>保険者機能強化推進交付金等の交付見込額の保険料収納必要額からの控除</t>
        </is>
      </c>
      <c r="E13"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13" s="5" t="inlineStr">
        <is>
          <t>計画素案 第6章第6節
将来推計 第3段階
保険料算定式の国の様式との対照</t>
        </is>
      </c>
      <c r="G13" s="5" t="inlineStr">
        <is>
          <t>発注者</t>
        </is>
      </c>
      <c r="H13" s="10" t="inlineStr">
        <is>
          <t>確認待ち</t>
        </is>
      </c>
      <c r="I13" s="10" t="inlineStr">
        <is>
          <t>R8.10</t>
        </is>
      </c>
      <c r="J13" s="11" t="inlineStr">
        <is>
          <t>控除する場合は保険料基準額が下がる。第2次概算（10月30日）までに決定をいただきたい</t>
        </is>
      </c>
    </row>
    <row r="14" ht="88" customHeight="1">
      <c r="A14" s="4" t="n">
        <v>85</v>
      </c>
      <c r="B14" s="4" t="inlineStr">
        <is>
          <t>(4)</t>
        </is>
      </c>
      <c r="C14" s="4" t="inlineStr">
        <is>
          <t>R8.9</t>
        </is>
      </c>
      <c r="D14" s="5" t="inlineStr">
        <is>
          <t>町別データシートの内容と配付</t>
        </is>
      </c>
      <c r="E14"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14" s="5" t="inlineStr">
        <is>
          <t>町別データシート
構成町の意見への回答 2</t>
        </is>
      </c>
      <c r="G14" s="5" t="inlineStr">
        <is>
          <t>発注者・3町</t>
        </is>
      </c>
      <c r="H14" s="10" t="inlineStr">
        <is>
          <t>確認待ち</t>
        </is>
      </c>
      <c r="I14" s="10" t="inlineStr">
        <is>
          <t>R8.9</t>
        </is>
      </c>
      <c r="J14" s="11" t="inlineStr">
        <is>
          <t>町別の認定率は、広域連合が第1号被保険者数を分母とするのに対し住民基本台帳の65歳以上人口を分母とせざるを得ないため、定義が異なる旨を注記している</t>
        </is>
      </c>
    </row>
    <row r="15" ht="88" customHeight="1">
      <c r="A15" s="4" t="n">
        <v>84</v>
      </c>
      <c r="B15" s="4" t="inlineStr">
        <is>
          <t>(5)(7)</t>
        </is>
      </c>
      <c r="C15" s="4" t="inlineStr">
        <is>
          <t>R8.9</t>
        </is>
      </c>
      <c r="D15" s="5" t="inlineStr">
        <is>
          <t>東川町の施設整備・サービス提供方針</t>
        </is>
      </c>
      <c r="E15"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掲載がなく休止と整合する。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15" s="5" t="inlineStr">
        <is>
          <t>サービス見込量 第2次概算
計画素案 第2章第2節・第6章第2節・第4節
構成町の意見への回答 6</t>
        </is>
      </c>
      <c r="G15" s="5" t="inlineStr">
        <is>
          <t>発注者・東川町</t>
        </is>
      </c>
      <c r="H15" s="10" t="inlineStr">
        <is>
          <t>確認待ち</t>
        </is>
      </c>
      <c r="I15" s="10" t="inlineStr">
        <is>
          <t>R8.10</t>
        </is>
      </c>
      <c r="J15" s="11" t="inlineStr">
        <is>
          <t>東神楽町からは整備方針の検討状況（10月視察・11月市場調査）をご回答いただいている。美瑛町からは高齢者福祉計画の工程と要望3件をご回答いただいている</t>
        </is>
      </c>
    </row>
    <row r="16" ht="88" customHeight="1">
      <c r="A16" s="4" t="n">
        <v>83</v>
      </c>
      <c r="B16" s="4" t="inlineStr">
        <is>
          <t>(7)(8)</t>
        </is>
      </c>
      <c r="C16" s="4" t="inlineStr">
        <is>
          <t>R8.9</t>
        </is>
      </c>
      <c r="D16" s="5" t="inlineStr">
        <is>
          <t>構成町との意見交換会の実施方法と町別データシート</t>
        </is>
      </c>
      <c r="E16"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16" s="5" t="inlineStr">
        <is>
          <t>意見交換会資料
町別データシート
構成町の意見への回答 2・3</t>
        </is>
      </c>
      <c r="G16" s="5" t="inlineStr">
        <is>
          <t>発注者・3町</t>
        </is>
      </c>
      <c r="H16" s="10" t="inlineStr">
        <is>
          <t>確認待ち</t>
        </is>
      </c>
      <c r="I16" s="10" t="inlineStr">
        <is>
          <t>R8.9</t>
        </is>
      </c>
      <c r="J16" s="11" t="inlineStr">
        <is>
          <t>仕様書４（8）「各種会議への技術的支援」に含まれるため追加の費用は生じない。美瑛町は10月中旬までに素案、11月中旬までに原案を作成する予定である</t>
        </is>
      </c>
    </row>
    <row r="17" ht="88" customHeight="1">
      <c r="A17" s="4" t="n">
        <v>82</v>
      </c>
      <c r="B17" s="4" t="inlineStr">
        <is>
          <t>(5)</t>
        </is>
      </c>
      <c r="C17" s="4" t="inlineStr">
        <is>
          <t>R8.9</t>
        </is>
      </c>
      <c r="D17" s="5" t="inlineStr">
        <is>
          <t>構成町の一般会計繰入金の町別按分の方法</t>
        </is>
      </c>
      <c r="E17"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17" s="5" t="inlineStr">
        <is>
          <t>サービス見込量 第1次概算（R8.9.26）
構成町の意見への回答 4</t>
        </is>
      </c>
      <c r="G17" s="5" t="inlineStr">
        <is>
          <t>発注者</t>
        </is>
      </c>
      <c r="H17" s="10" t="inlineStr">
        <is>
          <t>確認待ち</t>
        </is>
      </c>
      <c r="I17" s="10" t="inlineStr">
        <is>
          <t>R8.9.24</t>
        </is>
      </c>
      <c r="J17" s="11" t="inlineStr">
        <is>
          <t>3町計の概算は令和9年度523.7百万円・令和10年度531.5百万円・令和11年度539.0百万円である。確定値ではなく、決定1〜3・決定8の前提により動く</t>
        </is>
      </c>
    </row>
    <row r="18" ht="88" customHeight="1">
      <c r="A18" s="4" t="n">
        <v>81</v>
      </c>
      <c r="B18" s="4" t="inlineStr">
        <is>
          <t>(4)(6)</t>
        </is>
      </c>
      <c r="C18" s="4" t="inlineStr">
        <is>
          <t>R8.9</t>
        </is>
      </c>
      <c r="D18" s="5" t="inlineStr">
        <is>
          <t>代表KPI H16のデータ源（国保連の給付実績の明細情報）</t>
        </is>
      </c>
      <c r="E18"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18" s="5" t="inlineStr">
        <is>
          <t>計画素案 第4章第3節・第5章 基本目標5・資料1
給付実績データの受領点検 05
内部確認結果への対応整理 04・09</t>
        </is>
      </c>
      <c r="G18" s="5" t="inlineStr">
        <is>
          <t>発注者</t>
        </is>
      </c>
      <c r="H18" s="10" t="inlineStr">
        <is>
          <t>確認待ち</t>
        </is>
      </c>
      <c r="I18" s="10" t="inlineStr">
        <is>
          <t>R8.9</t>
        </is>
      </c>
      <c r="J18" s="11" t="inlineStr">
        <is>
          <t>広域型（特別養護老人ホーム・介護老人保健施設・訪問介護等）の指定権者は北海道であるため、代替案は地域密着型サービスに限った確認件数となる。策定率そのものは測れない</t>
        </is>
      </c>
    </row>
    <row r="19" ht="88" customHeight="1">
      <c r="A19" s="4" t="n">
        <v>80</v>
      </c>
      <c r="B19" s="4" t="inlineStr">
        <is>
          <t>(3)</t>
        </is>
      </c>
      <c r="C19" s="4" t="inlineStr">
        <is>
          <t>R8.9</t>
        </is>
      </c>
      <c r="D19" s="5" t="inlineStr">
        <is>
          <t>職員個票のリストによる重複確認の可否</t>
        </is>
      </c>
      <c r="E19"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19" s="5" t="inlineStr">
        <is>
          <t>内部確認結果への対応整理 03・08
実施済み3調査の受領点検と集計 06・07</t>
        </is>
      </c>
      <c r="G19" s="5" t="inlineStr">
        <is>
          <t>発注者</t>
        </is>
      </c>
      <c r="H19" s="10" t="inlineStr">
        <is>
          <t>確認待ち</t>
        </is>
      </c>
      <c r="I19" s="10" t="inlineStr">
        <is>
          <t>R8.9</t>
        </is>
      </c>
      <c r="J19" s="11" t="inlineStr">
        <is>
          <t>受託者としては、個票を突き合わせず事業所への照会だけで判別する方法を推奨する</t>
        </is>
      </c>
    </row>
    <row r="20" ht="88" customHeight="1">
      <c r="A20" s="4" t="n">
        <v>79</v>
      </c>
      <c r="B20" s="4" t="inlineStr">
        <is>
          <t>(6)</t>
        </is>
      </c>
      <c r="C20" s="4" t="inlineStr">
        <is>
          <t>R8.9</t>
        </is>
      </c>
      <c r="D20" s="5" t="inlineStr">
        <is>
          <t>第5章の施策数の見直しの範囲</t>
        </is>
      </c>
      <c r="E20"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20" s="5" t="inlineStr">
        <is>
          <t>計画素案 第5章
骨子案 第5節</t>
        </is>
      </c>
      <c r="G20" s="5" t="inlineStr">
        <is>
          <t>発注者</t>
        </is>
      </c>
      <c r="H20" s="10" t="inlineStr">
        <is>
          <t>確認待ち</t>
        </is>
      </c>
      <c r="I20" s="10" t="inlineStr">
        <is>
          <t>R8.9</t>
        </is>
      </c>
      <c r="J20" s="11" t="inlineStr">
        <is>
          <t>施策数を減らす場合、第9期からの継続性の説明を要する。3町協議の前に方針を決めておきたい</t>
        </is>
      </c>
    </row>
    <row r="21" ht="88" customHeight="1">
      <c r="A21" s="4" t="n">
        <v>78</v>
      </c>
      <c r="B21" s="4" t="inlineStr">
        <is>
          <t>(5)</t>
        </is>
      </c>
      <c r="C21" s="4" t="inlineStr">
        <is>
          <t>R8.9</t>
        </is>
      </c>
      <c r="D21" s="5" t="inlineStr">
        <is>
          <t>グループホームびえいの郷の定員減の時期</t>
        </is>
      </c>
      <c r="E21"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21" s="5" t="inlineStr">
        <is>
          <t>計画素案 第2章第3節・第6章第2節
将来推計 第2・第3段階</t>
        </is>
      </c>
      <c r="G21" s="5" t="inlineStr">
        <is>
          <t>発注者・美瑛町</t>
        </is>
      </c>
      <c r="H21" s="10" t="inlineStr">
        <is>
          <t>確認待ち</t>
        </is>
      </c>
      <c r="I21" s="10" t="inlineStr">
        <is>
          <t>R8.9</t>
        </is>
      </c>
      <c r="J21" s="11" t="inlineStr">
        <is>
          <t>認知症対応型共同生活介護の定員は見込量の上限となる。サービス見込量と保険料に直接効く</t>
        </is>
      </c>
    </row>
    <row r="22" ht="88" customHeight="1">
      <c r="A22" s="4" t="n">
        <v>77</v>
      </c>
      <c r="B22" s="4" t="inlineStr">
        <is>
          <t>(4)</t>
        </is>
      </c>
      <c r="C22" s="4" t="inlineStr">
        <is>
          <t>R8.9</t>
        </is>
      </c>
      <c r="D22" s="5" t="inlineStr">
        <is>
          <t>北海道の評価指標⑥の団体別の公表値</t>
        </is>
      </c>
      <c r="E22"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22" s="5" t="inlineStr">
        <is>
          <t>計画素案 第4章第3節・資料1
内部確認結果への対応整理 04</t>
        </is>
      </c>
      <c r="G22" s="5" t="inlineStr">
        <is>
          <t>発注者・北海道</t>
        </is>
      </c>
      <c r="H22" s="10" t="inlineStr">
        <is>
          <t>確認待ち</t>
        </is>
      </c>
      <c r="I22" s="10" t="inlineStr">
        <is>
          <t>R8.9</t>
        </is>
      </c>
      <c r="J22" s="11" t="inlineStr">
        <is>
          <t>引用できれば、構成町・事業所に新たな集計事務を求めずに済む</t>
        </is>
      </c>
    </row>
    <row r="23" ht="88" customHeight="1">
      <c r="A23" s="4" t="n">
        <v>76</v>
      </c>
      <c r="B23" s="4" t="inlineStr">
        <is>
          <t>(4)</t>
        </is>
      </c>
      <c r="C23" s="4" t="inlineStr">
        <is>
          <t>R8.9</t>
        </is>
      </c>
      <c r="D23" s="5" t="inlineStr">
        <is>
          <t>介護リームスから抽出できる項目</t>
        </is>
      </c>
      <c r="E23"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23" s="5" t="inlineStr">
        <is>
          <t>計画素案 第4章第3節・資料1
図表集31シート</t>
        </is>
      </c>
      <c r="G23" s="5" t="inlineStr">
        <is>
          <t>発注者</t>
        </is>
      </c>
      <c r="H23" s="10" t="inlineStr">
        <is>
          <t>確認待ち</t>
        </is>
      </c>
      <c r="I23" s="10" t="inlineStr">
        <is>
          <t>R8.9</t>
        </is>
      </c>
      <c r="J23" s="11" t="inlineStr">
        <is>
          <t>H03はこれまで「要確認・未算定」であった。データ源が確定すれば本文の成果指標に格上げできる</t>
        </is>
      </c>
    </row>
    <row r="24" ht="88" customHeight="1">
      <c r="A24" s="4" t="n">
        <v>75</v>
      </c>
      <c r="B24" s="4" t="inlineStr">
        <is>
          <t>(6)(7)</t>
        </is>
      </c>
      <c r="C24" s="4" t="inlineStr">
        <is>
          <t>R8.9</t>
        </is>
      </c>
      <c r="D24" s="5" t="inlineStr">
        <is>
          <t>代表KPIと改善事項の再整理案</t>
        </is>
      </c>
      <c r="E24"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24" s="5" t="inlineStr">
        <is>
          <t>計画素案 第4章第3節・第5章・資料1
骨子案 第4節
図表集31シート
代表KPIの振替案と確認事項の精査</t>
        </is>
      </c>
      <c r="G24" s="5" t="inlineStr">
        <is>
          <t>発注者</t>
        </is>
      </c>
      <c r="H24" s="10" t="inlineStr">
        <is>
          <t>確認待ち</t>
        </is>
      </c>
      <c r="I24" s="10" t="inlineStr">
        <is>
          <t>R8.9</t>
        </is>
      </c>
      <c r="J24" s="11" t="inlineStr">
        <is>
          <t>決定4（代表KPIの目標値）は、本案が了承されると対象が7項目に減る。本案の了承を先に行っていただきたい</t>
        </is>
      </c>
    </row>
    <row r="25" ht="88" customHeight="1">
      <c r="A25" s="4" t="n">
        <v>74</v>
      </c>
      <c r="B25" s="4" t="inlineStr">
        <is>
          <t>(2)(6)</t>
        </is>
      </c>
      <c r="C25" s="4" t="inlineStr">
        <is>
          <t>R8.9</t>
        </is>
      </c>
      <c r="D25" s="5" t="inlineStr">
        <is>
          <t>有料老人ホーム等の家賃等の情報収集（北海道）</t>
        </is>
      </c>
      <c r="E25"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25" s="5" t="inlineStr">
        <is>
          <t>ケアプラン点検実施要領（案）9
計画素案 第5章 基本目標5</t>
        </is>
      </c>
      <c r="G25" s="5" t="inlineStr">
        <is>
          <t>北海道上川総合振興局</t>
        </is>
      </c>
      <c r="H25" s="10" t="inlineStr">
        <is>
          <t>確認待ち</t>
        </is>
      </c>
      <c r="I25" s="10" t="inlineStr">
        <is>
          <t>R9.4</t>
        </is>
      </c>
      <c r="J25" s="11" t="inlineStr">
        <is>
          <t>北海道が情報収集を行っていない場合、市町村が単独で取り組んでも評価の対象とならない。令和9年4月の依頼に併せて確認する</t>
        </is>
      </c>
    </row>
    <row r="26" ht="88" customHeight="1">
      <c r="A26" s="4" t="n">
        <v>73</v>
      </c>
      <c r="B26" s="4" t="inlineStr">
        <is>
          <t>(2)(6)</t>
        </is>
      </c>
      <c r="C26" s="4" t="inlineStr">
        <is>
          <t>R8.9</t>
        </is>
      </c>
      <c r="D26" s="5" t="inlineStr">
        <is>
          <t>ケアプラン点検実施要領（案）の確定に要する事項</t>
        </is>
      </c>
      <c r="E26"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26" s="5" t="inlineStr">
        <is>
          <t>ケアプラン点検実施要領（案）
計画素案 第5章 基本目標5</t>
        </is>
      </c>
      <c r="G26" s="5" t="inlineStr">
        <is>
          <t>発注者・3町</t>
        </is>
      </c>
      <c r="H26" s="10" t="inlineStr">
        <is>
          <t>確認待ち</t>
        </is>
      </c>
      <c r="I26" s="10" t="inlineStr">
        <is>
          <t>R8.9</t>
        </is>
      </c>
      <c r="J26" s="11" t="inlineStr">
        <is>
          <t>④は美瑛町がエ・オとも8点、東神楽町がオで8点を得ており、東川町は両方とも0点である。3町の取組を持ち寄れば区域共通の仕組みとして16点分が回復する</t>
        </is>
      </c>
    </row>
    <row r="27" ht="88" customHeight="1">
      <c r="A27" s="4" t="n">
        <v>72</v>
      </c>
      <c r="B27" s="4" t="inlineStr">
        <is>
          <t>(2)(6)</t>
        </is>
      </c>
      <c r="C27" s="4" t="inlineStr">
        <is>
          <t>R8.9</t>
        </is>
      </c>
      <c r="D27" s="5" t="inlineStr">
        <is>
          <t>介護給付適正化のケアプラン点検の着手（本文記載）</t>
        </is>
      </c>
      <c r="E27"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27" s="5" t="inlineStr">
        <is>
          <t>計画素案 第5章 基本目標5
ケアプラン点検実施要領（案）
策定委員会資料_交付金評価結果 5</t>
        </is>
      </c>
      <c r="G27" s="5" t="inlineStr">
        <is>
          <t>発注者</t>
        </is>
      </c>
      <c r="H27" s="6" t="inlineStr">
        <is>
          <t>了承済</t>
        </is>
      </c>
      <c r="I27" s="10" t="inlineStr">
        <is>
          <t>R8.9.3</t>
        </is>
      </c>
      <c r="J27"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28" ht="88" customHeight="1">
      <c r="A28" s="4" t="n">
        <v>71</v>
      </c>
      <c r="B28" s="4" t="inlineStr">
        <is>
          <t>(2)(7)</t>
        </is>
      </c>
      <c r="C28" s="4" t="inlineStr">
        <is>
          <t>R8.9</t>
        </is>
      </c>
      <c r="D28" s="5" t="inlineStr">
        <is>
          <t>交付金の評価結果を委員会資料として整理したこと</t>
        </is>
      </c>
      <c r="E28"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28" s="5" t="inlineStr">
        <is>
          <t>計画素案 第1章第6節・第3章
策定委員会資料_交付金評価結果</t>
        </is>
      </c>
      <c r="G28" s="5" t="inlineStr">
        <is>
          <t>発注者</t>
        </is>
      </c>
      <c r="H28" s="6" t="inlineStr">
        <is>
          <t>了承済</t>
        </is>
      </c>
      <c r="I28" s="10" t="inlineStr">
        <is>
          <t>R8.9.3</t>
        </is>
      </c>
      <c r="J28"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29" ht="88" customHeight="1">
      <c r="A29" s="4" t="n">
        <v>70</v>
      </c>
      <c r="B29" s="4" t="inlineStr">
        <is>
          <t>(2)(6)</t>
        </is>
      </c>
      <c r="C29" s="4" t="inlineStr">
        <is>
          <t>R8.9</t>
        </is>
      </c>
      <c r="D29" s="5" t="inlineStr">
        <is>
          <t>交付金の全国順位の計画本文への掲載</t>
        </is>
      </c>
      <c r="E29"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29" s="5" t="inlineStr">
        <is>
          <t>計画素案 第4章第4節
図表集 27シート
交付金評価指標と全国集計の受領点検 04シート</t>
        </is>
      </c>
      <c r="G29" s="5" t="inlineStr">
        <is>
          <t>発注者</t>
        </is>
      </c>
      <c r="H29" s="10" t="inlineStr">
        <is>
          <t>確認待ち</t>
        </is>
      </c>
      <c r="I29" s="10" t="inlineStr">
        <is>
          <t>R8.9</t>
        </is>
      </c>
      <c r="J29"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30" ht="88" customHeight="1">
      <c r="A30" s="4" t="n">
        <v>69</v>
      </c>
      <c r="B30" s="4" t="inlineStr">
        <is>
          <t>(2)(6)</t>
        </is>
      </c>
      <c r="C30" s="4" t="inlineStr">
        <is>
          <t>R8.9</t>
        </is>
      </c>
      <c r="D30" s="5" t="inlineStr">
        <is>
          <t>成果指向型配分枠（令和8年度新設）への対応</t>
        </is>
      </c>
      <c r="E30"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30" s="5" t="inlineStr">
        <is>
          <t>計画素案 第5章
交付金評価指標と全国集計の受領点検 06シート</t>
        </is>
      </c>
      <c r="G30" s="5" t="inlineStr">
        <is>
          <t>発注者</t>
        </is>
      </c>
      <c r="H30" s="10" t="inlineStr">
        <is>
          <t>確認待ち</t>
        </is>
      </c>
      <c r="I30" s="10" t="inlineStr">
        <is>
          <t>R8.10</t>
        </is>
      </c>
      <c r="J30" s="11" t="inlineStr">
        <is>
          <t>第10期の初年度（令和9年度）の交付金は令和8年度の取組を評価する。本計画の策定と並行して令和8年度の取組を設計できれば、第10期の初年度から得点に結びつく</t>
        </is>
      </c>
    </row>
    <row r="31" ht="88" customHeight="1">
      <c r="A31" s="4" t="n">
        <v>67</v>
      </c>
      <c r="B31" s="4" t="inlineStr">
        <is>
          <t>(5)(6)</t>
        </is>
      </c>
      <c r="C31" s="4" t="inlineStr">
        <is>
          <t>R8.8</t>
        </is>
      </c>
      <c r="D31" s="5" t="inlineStr">
        <is>
          <t>算定方法の国の様式との整合（点検結果）</t>
        </is>
      </c>
      <c r="E31"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31" s="5" t="inlineStr">
        <is>
          <t>算定方法の整合確認（国と見える化）
将来推計 第2段階・第3段階
計画素案 第6章第3節・第6節</t>
        </is>
      </c>
      <c r="G31" s="5" t="inlineStr">
        <is>
          <t>発注者</t>
        </is>
      </c>
      <c r="H31" s="10" t="inlineStr">
        <is>
          <t>確認待ち</t>
        </is>
      </c>
      <c r="I31" s="10" t="inlineStr">
        <is>
          <t>R8.9</t>
        </is>
      </c>
      <c r="J31" s="11" t="inlineStr">
        <is>
          <t>①②は保険料の算定基礎の範囲の問題であり、第10期の保険料水準に直接影響する。③④⑤は算定結果を変えないが、国の様式との対応を示すために必要である</t>
        </is>
      </c>
    </row>
    <row r="32" ht="88" customHeight="1">
      <c r="A32" s="4" t="n">
        <v>68</v>
      </c>
      <c r="B32" s="4" t="inlineStr">
        <is>
          <t>(5)</t>
        </is>
      </c>
      <c r="C32" s="4" t="inlineStr">
        <is>
          <t>R8.8</t>
        </is>
      </c>
      <c r="D32" s="5" t="inlineStr">
        <is>
          <t>見える化システムの自然体推計の再出力のお願い</t>
        </is>
      </c>
      <c r="E32"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32" s="5" t="inlineStr">
        <is>
          <t>将来推計 第3段階 01シート
算定方法の整合確認 04シート・07シート
計画素案 第6章第3節</t>
        </is>
      </c>
      <c r="G32" s="5" t="inlineStr">
        <is>
          <t>発注者</t>
        </is>
      </c>
      <c r="H32" s="10" t="inlineStr">
        <is>
          <t>確認待ち</t>
        </is>
      </c>
      <c r="I32" s="10" t="inlineStr">
        <is>
          <t>R8.9</t>
        </is>
      </c>
      <c r="J32" s="11" t="inlineStr">
        <is>
          <t>解消すれば、第2段階の見込量と第3段階の給付費とを同じ人口の基礎で接続できる。現行では両者が別々の経路で算定されており一致しない</t>
        </is>
      </c>
    </row>
    <row r="33" ht="88" customHeight="1">
      <c r="A33" s="4" t="n">
        <v>66</v>
      </c>
      <c r="B33" s="4" t="inlineStr">
        <is>
          <t>(4)(6)</t>
        </is>
      </c>
      <c r="C33" s="4" t="inlineStr">
        <is>
          <t>R8.8</t>
        </is>
      </c>
      <c r="D33" s="5" t="inlineStr">
        <is>
          <t>サービスガイドに掲載する事業所の範囲</t>
        </is>
      </c>
      <c r="E33"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33" s="5" t="inlineStr">
        <is>
          <t>介護高齢者福祉サービスガイド_構成案
3町の社会資源一覧との突合 06シート
計画素案 第2章第3節</t>
        </is>
      </c>
      <c r="G33" s="5" t="inlineStr">
        <is>
          <t>発注者</t>
        </is>
      </c>
      <c r="H33" s="10" t="inlineStr">
        <is>
          <t>確認待ち</t>
        </is>
      </c>
      <c r="I33" s="10" t="inlineStr">
        <is>
          <t>R8.9</t>
        </is>
      </c>
      <c r="J33" s="11" t="inlineStr">
        <is>
          <t>事業所数は出所により異なるが、どれかが誤っているのではなく時点と定義の違いである。住民に配布するガイドでは、編集の時点で最新の公表資料により全件を洗い直す必要がある</t>
        </is>
      </c>
    </row>
    <row r="34" ht="88" customHeight="1">
      <c r="A34" s="4" t="n">
        <v>65</v>
      </c>
      <c r="B34" s="4" t="inlineStr">
        <is>
          <t>(6)(7)</t>
        </is>
      </c>
      <c r="C34" s="4" t="inlineStr">
        <is>
          <t>R8.8</t>
        </is>
      </c>
      <c r="D34" s="5" t="inlineStr">
        <is>
          <t>広域連合において行うべき事業の優先順位</t>
        </is>
      </c>
      <c r="E34"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34" s="5" t="inlineStr">
        <is>
          <t>広域連合において行うべき事業の優先順位
介護高齢者福祉サービスガイド_構成案
計画素案 第5章・第6章第3節2</t>
        </is>
      </c>
      <c r="G34" s="5" t="inlineStr">
        <is>
          <t>発注者</t>
        </is>
      </c>
      <c r="H34" s="10" t="inlineStr">
        <is>
          <t>確認待ち</t>
        </is>
      </c>
      <c r="I34" s="10" t="inlineStr">
        <is>
          <t>R8.9</t>
        </is>
      </c>
      <c r="J34"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35" ht="88" customHeight="1">
      <c r="A35" s="4" t="n">
        <v>64</v>
      </c>
      <c r="B35" s="4" t="inlineStr">
        <is>
          <t>(6)</t>
        </is>
      </c>
      <c r="C35" s="4" t="inlineStr">
        <is>
          <t>R8.8</t>
        </is>
      </c>
      <c r="D35" s="5" t="inlineStr">
        <is>
          <t>区域内に事業所がないサービスの住民向けの記載</t>
        </is>
      </c>
      <c r="E35"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35" s="5" t="inlineStr">
        <is>
          <t>介護高齢者福祉サービスガイド_構成案
計画素案 第6章第4節</t>
        </is>
      </c>
      <c r="G35" s="5" t="inlineStr">
        <is>
          <t>発注者</t>
        </is>
      </c>
      <c r="H35" s="10" t="inlineStr">
        <is>
          <t>確認待ち</t>
        </is>
      </c>
      <c r="I35" s="10" t="inlineStr">
        <is>
          <t>R8.10</t>
        </is>
      </c>
      <c r="J35" s="11" t="inlineStr">
        <is>
          <t>第10期計画の確保方策（第6章第4節の3案）の決定と一体の判断である。整備しないことを決めるのであれば、他保険者の事業所の利用の案内は住民にとって必要になる</t>
        </is>
      </c>
    </row>
    <row r="36" ht="88" customHeight="1">
      <c r="A36" s="4" t="n">
        <v>63</v>
      </c>
      <c r="B36" s="4" t="inlineStr">
        <is>
          <t>(4)(5)</t>
        </is>
      </c>
      <c r="C36" s="4" t="inlineStr">
        <is>
          <t>R8.8</t>
        </is>
      </c>
      <c r="D36" s="5" t="inlineStr">
        <is>
          <t>人口推計の基礎を総合戦略とするご指示への対応</t>
        </is>
      </c>
      <c r="E36"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36" s="5" t="inlineStr">
        <is>
          <t>人口推計の基礎の変更_総合戦略ベース
将来推計 第1〜3段階
計画素案 第2章第1節・第6章</t>
        </is>
      </c>
      <c r="G36" s="5" t="inlineStr">
        <is>
          <t>発注者</t>
        </is>
      </c>
      <c r="H36" s="10" t="inlineStr">
        <is>
          <t>確認待ち</t>
        </is>
      </c>
      <c r="I36" s="10" t="inlineStr">
        <is>
          <t>R8.9</t>
        </is>
      </c>
      <c r="J36" s="11" t="inlineStr">
        <is>
          <t>4件は一体の判断である。9月中にご確認いただければ10月の3町協議に間に合う。成果品は案Cに置き換え済みであり、案A・案Bは対比の記録として残している</t>
        </is>
      </c>
    </row>
    <row r="37" ht="88" customHeight="1">
      <c r="A37" s="4" t="n">
        <v>62</v>
      </c>
      <c r="B37" s="4" t="inlineStr">
        <is>
          <t>(4)</t>
        </is>
      </c>
      <c r="C37" s="4" t="inlineStr">
        <is>
          <t>R8.8</t>
        </is>
      </c>
      <c r="D37" s="5" t="inlineStr">
        <is>
          <t>社人研推計の町別データの入手（完了）</t>
        </is>
      </c>
      <c r="E37"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37" s="5" t="inlineStr">
        <is>
          <t>計画素案 第2章第1節
人口推計の補正 05シート</t>
        </is>
      </c>
      <c r="G37" s="5" t="inlineStr">
        <is>
          <t>発注者</t>
        </is>
      </c>
      <c r="H37" s="6" t="inlineStr">
        <is>
          <t>完了</t>
        </is>
      </c>
      <c r="I37" s="10" t="inlineStr">
        <is>
          <t>R8.8.31</t>
        </is>
      </c>
      <c r="J37"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38" ht="88" customHeight="1">
      <c r="A38" s="4" t="n">
        <v>61</v>
      </c>
      <c r="B38" s="4" t="inlineStr">
        <is>
          <t>(2)</t>
        </is>
      </c>
      <c r="C38" s="4" t="inlineStr">
        <is>
          <t>R8.8</t>
        </is>
      </c>
      <c r="D38" s="5" t="inlineStr">
        <is>
          <t>交付金の評価項目と19施策の割当て</t>
        </is>
      </c>
      <c r="E38"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38" s="5" t="inlineStr">
        <is>
          <t>第9期施策別評価表 06シート</t>
        </is>
      </c>
      <c r="G38" s="5" t="inlineStr">
        <is>
          <t>発注者</t>
        </is>
      </c>
      <c r="H38" s="10" t="inlineStr">
        <is>
          <t>確認待ち</t>
        </is>
      </c>
      <c r="I38" s="10" t="inlineStr">
        <is>
          <t>R8.9</t>
        </is>
      </c>
      <c r="J38" s="11" t="inlineStr">
        <is>
          <t>交付金は取組の有無と要件の充足を測るものであり、事業量・対象実人数・決算額を測るものではない。プロセス評価の代替にはならない</t>
        </is>
      </c>
    </row>
    <row r="39" ht="88" customHeight="1">
      <c r="A39" s="4" t="n">
        <v>60</v>
      </c>
      <c r="B39" s="4" t="inlineStr">
        <is>
          <t>(5)</t>
        </is>
      </c>
      <c r="C39" s="4" t="inlineStr">
        <is>
          <t>R8.8</t>
        </is>
      </c>
      <c r="D39" s="5" t="inlineStr">
        <is>
          <t>第10期の保険料算定の前提（受託者案）</t>
        </is>
      </c>
      <c r="E39"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39" s="5" t="inlineStr">
        <is>
          <t>将来推計 第3段階 05・06シート
計画素案 第6章第6節</t>
        </is>
      </c>
      <c r="G39" s="5" t="inlineStr">
        <is>
          <t>発注者</t>
        </is>
      </c>
      <c r="H39" s="10" t="inlineStr">
        <is>
          <t>確認待ち</t>
        </is>
      </c>
      <c r="I39" s="10" t="inlineStr">
        <is>
          <t>R8.10</t>
        </is>
      </c>
      <c r="J39" s="11" t="inlineStr">
        <is>
          <t>第10期の保険料水準の決定に直結する。水準そのものより「どの前提でその水準になるか」を示すことが要る</t>
        </is>
      </c>
    </row>
    <row r="40" ht="88" customHeight="1">
      <c r="A40" s="4" t="n">
        <v>59</v>
      </c>
      <c r="B40" s="4" t="inlineStr">
        <is>
          <t>(5)</t>
        </is>
      </c>
      <c r="C40" s="4" t="inlineStr">
        <is>
          <t>R8.8</t>
        </is>
      </c>
      <c r="D40" s="5" t="inlineStr">
        <is>
          <t>調整交付金の算定基礎の確認</t>
        </is>
      </c>
      <c r="E40"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40" s="5" t="inlineStr">
        <is>
          <t>将来推計 第3段階 00・03シート</t>
        </is>
      </c>
      <c r="G40" s="5" t="inlineStr">
        <is>
          <t>発注者</t>
        </is>
      </c>
      <c r="H40" s="10" t="inlineStr">
        <is>
          <t>確認待ち</t>
        </is>
      </c>
      <c r="I40" s="10" t="inlineStr">
        <is>
          <t>R8.9</t>
        </is>
      </c>
      <c r="J40" s="11" t="inlineStr">
        <is>
          <t>この扱いにより第9期の算定を再現でき、公表値6,428円と一致した。第10期の算定でも同じ扱いによる</t>
        </is>
      </c>
    </row>
    <row r="41" ht="88" customHeight="1">
      <c r="A41" s="4" t="n">
        <v>58</v>
      </c>
      <c r="B41" s="4" t="inlineStr">
        <is>
          <t>(2)</t>
        </is>
      </c>
      <c r="C41" s="4" t="inlineStr">
        <is>
          <t>R8.8</t>
        </is>
      </c>
      <c r="D41" s="5" t="inlineStr">
        <is>
          <t>定期巡回・随時対応型訪問介護看護の第10期の取扱い</t>
        </is>
      </c>
      <c r="E41"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41" s="5" t="inlineStr">
        <is>
          <t>見える化総括表の受領点検 02シート
計画素案 第4章</t>
        </is>
      </c>
      <c r="G41" s="5" t="inlineStr">
        <is>
          <t>発注者</t>
        </is>
      </c>
      <c r="H41" s="10" t="inlineStr">
        <is>
          <t>確認待ち</t>
        </is>
      </c>
      <c r="I41" s="10" t="inlineStr">
        <is>
          <t>R8.9</t>
        </is>
      </c>
      <c r="J41" s="11" t="inlineStr">
        <is>
          <t>2期続けて計画に位置づけながら実績が伴っていない。代表KPI H12（必要サービス未充足率）の設定にも関わる</t>
        </is>
      </c>
    </row>
    <row r="42" ht="88" customHeight="1">
      <c r="A42" s="4" t="n">
        <v>57</v>
      </c>
      <c r="B42" s="4" t="inlineStr">
        <is>
          <t>(2)</t>
        </is>
      </c>
      <c r="C42" s="4" t="inlineStr">
        <is>
          <t>R8.8</t>
        </is>
      </c>
      <c r="D42" s="5" t="inlineStr">
        <is>
          <t>計画値を0としたサービスに実績がある2件</t>
        </is>
      </c>
      <c r="E42"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42" s="5" t="inlineStr">
        <is>
          <t>見える化総括表の受領点検 02シート
計画素案 第4章</t>
        </is>
      </c>
      <c r="G42" s="5" t="inlineStr">
        <is>
          <t>発注者</t>
        </is>
      </c>
      <c r="H42" s="10" t="inlineStr">
        <is>
          <t>確認待ち</t>
        </is>
      </c>
      <c r="I42" s="10" t="inlineStr">
        <is>
          <t>R8.9</t>
        </is>
      </c>
      <c r="J42" s="11" t="inlineStr">
        <is>
          <t>計画値が0だと対計画比が算出されず、評価の対象から漏れる。第10期で同じ状態を繰り返さないための確認</t>
        </is>
      </c>
    </row>
    <row r="43" ht="88" customHeight="1">
      <c r="A43" s="4" t="n">
        <v>56</v>
      </c>
      <c r="B43" s="4" t="inlineStr">
        <is>
          <t>(2)</t>
        </is>
      </c>
      <c r="C43" s="4" t="inlineStr">
        <is>
          <t>R8.8</t>
        </is>
      </c>
      <c r="D43" s="5" t="inlineStr">
        <is>
          <t>令和8年8月31日受領の要介護認定集計帳票6件が他団体のもの</t>
        </is>
      </c>
      <c r="E43"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43" s="5" t="inlineStr">
        <is>
          <t>見える化総括表の受領点検 00シート</t>
        </is>
      </c>
      <c r="G43" s="5" t="inlineStr">
        <is>
          <t>発注者</t>
        </is>
      </c>
      <c r="H43" s="10" t="inlineStr">
        <is>
          <t>確認待ち</t>
        </is>
      </c>
      <c r="I43" s="10" t="inlineStr">
        <is>
          <t>R8.9</t>
        </is>
      </c>
      <c r="J43" s="11" t="inlineStr">
        <is>
          <t>他団体の資料を成果品に用いない。第8期の認定所要日数の推移は第9期の評価の材料になる</t>
        </is>
      </c>
    </row>
    <row r="44" ht="88" customHeight="1">
      <c r="A44" s="4" t="n">
        <v>54</v>
      </c>
      <c r="B44" s="4" t="inlineStr">
        <is>
          <t>(12)</t>
        </is>
      </c>
      <c r="C44" s="4" t="inlineStr">
        <is>
          <t>R8.8</t>
        </is>
      </c>
      <c r="D44" s="5" t="inlineStr">
        <is>
          <t>議事録の文書プロパティに個人名が再度入る</t>
        </is>
      </c>
      <c r="E44"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44" s="5" t="inlineStr">
        <is>
          <t>中間報告会議議事録
業務工程管理表</t>
        </is>
      </c>
      <c r="G44" s="5" t="inlineStr">
        <is>
          <t>発注者</t>
        </is>
      </c>
      <c r="H44" s="10" t="inlineStr">
        <is>
          <t>確認待ち</t>
        </is>
      </c>
      <c r="I44" s="10" t="inlineStr">
        <is>
          <t>R8.9</t>
        </is>
      </c>
      <c r="J44" s="11" t="inlineStr">
        <is>
          <t>本文には現れないため、通読では気づかない</t>
        </is>
      </c>
    </row>
    <row r="45" ht="88" customHeight="1">
      <c r="A45" s="4" t="n">
        <v>55</v>
      </c>
      <c r="B45" s="4" t="inlineStr">
        <is>
          <t>(12)</t>
        </is>
      </c>
      <c r="C45" s="4" t="inlineStr">
        <is>
          <t>R8.8</t>
        </is>
      </c>
      <c r="D45" s="5" t="inlineStr">
        <is>
          <t>議事録の表記に関するご提案3件</t>
        </is>
      </c>
      <c r="E45"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45" s="5" t="inlineStr">
        <is>
          <t>中間報告会議議事録
業務工程管理表</t>
        </is>
      </c>
      <c r="G45" s="5" t="inlineStr">
        <is>
          <t>発注者</t>
        </is>
      </c>
      <c r="H45" s="10" t="inlineStr">
        <is>
          <t>確認待ち</t>
        </is>
      </c>
      <c r="I45" s="10" t="inlineStr">
        <is>
          <t>R8.9</t>
        </is>
      </c>
      <c r="J45" s="11" t="inlineStr">
        <is>
          <t>文意は変わらない。読みやすさと文体の統一に関するもの</t>
        </is>
      </c>
    </row>
    <row r="46" ht="88" customHeight="1">
      <c r="A46" s="4" t="n">
        <v>53</v>
      </c>
      <c r="B46" s="4" t="inlineStr">
        <is>
          <t>(5)</t>
        </is>
      </c>
      <c r="C46" s="4" t="inlineStr">
        <is>
          <t>R8.8</t>
        </is>
      </c>
      <c r="D46" s="5" t="inlineStr">
        <is>
          <t>介護保険事業財政調整基金の積立ての上限と取崩方針</t>
        </is>
      </c>
      <c r="E46"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46" s="5" t="inlineStr">
        <is>
          <t>基金条例の確認 02シート
素案 第6章第6節
将来推計 第3段階</t>
        </is>
      </c>
      <c r="G46" s="5" t="inlineStr">
        <is>
          <t>発注者</t>
        </is>
      </c>
      <c r="H46" s="10" t="inlineStr">
        <is>
          <t>確認待ち</t>
        </is>
      </c>
      <c r="I46" s="10" t="inlineStr">
        <is>
          <t>R8.9</t>
        </is>
      </c>
      <c r="J46" s="11" t="inlineStr">
        <is>
          <t>第10期の保険料の水準に影響する。条例の受領により判明した</t>
        </is>
      </c>
    </row>
    <row r="47" ht="88" customHeight="1">
      <c r="A47" s="4" t="n">
        <v>52</v>
      </c>
      <c r="B47" s="4" t="inlineStr">
        <is>
          <t>(5)</t>
        </is>
      </c>
      <c r="C47" s="4" t="inlineStr">
        <is>
          <t>R8.8</t>
        </is>
      </c>
      <c r="D47" s="5" t="inlineStr">
        <is>
          <t>令和6年度決算書の受領に伴う確認</t>
        </is>
      </c>
      <c r="E47"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47" s="5" t="inlineStr">
        <is>
          <t>令和6年度決算書の受領点検 03シート
素案 第6章第3節・第6節</t>
        </is>
      </c>
      <c r="G47" s="5" t="inlineStr">
        <is>
          <t>発注者</t>
        </is>
      </c>
      <c r="H47" s="10" t="inlineStr">
        <is>
          <t>確認待ち</t>
        </is>
      </c>
      <c r="I47" s="10" t="inlineStr">
        <is>
          <t>R8.9</t>
        </is>
      </c>
      <c r="J47" s="11" t="inlineStr">
        <is>
          <t>いずれも金額の総額に影響しない。名称と科目の確認である</t>
        </is>
      </c>
    </row>
    <row r="48" ht="88" customHeight="1">
      <c r="A48" s="4" t="n">
        <v>51</v>
      </c>
      <c r="B48" s="4" t="inlineStr">
        <is>
          <t>(2)</t>
        </is>
      </c>
      <c r="C48" s="4" t="inlineStr">
        <is>
          <t>R8.8</t>
        </is>
      </c>
      <c r="D48" s="5" t="inlineStr">
        <is>
          <t>月報の値の接続のずれ（ご報告）</t>
        </is>
      </c>
      <c r="E48"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48" s="5" t="inlineStr">
        <is>
          <t>年報月報の受領点検 04シート</t>
        </is>
      </c>
      <c r="G48" s="5" t="inlineStr">
        <is>
          <t>発注者</t>
        </is>
      </c>
      <c r="H48" s="10" t="inlineStr">
        <is>
          <t>確認待ち</t>
        </is>
      </c>
      <c r="I48" s="10" t="inlineStr">
        <is>
          <t>R8.9</t>
        </is>
      </c>
      <c r="J48" s="11" t="inlineStr">
        <is>
          <t>計画本文への影響はない。記録として残すもの</t>
        </is>
      </c>
    </row>
    <row r="49" ht="88" customHeight="1">
      <c r="A49" s="4" t="n">
        <v>50</v>
      </c>
      <c r="B49" s="4" t="inlineStr">
        <is>
          <t>(5)</t>
        </is>
      </c>
      <c r="C49" s="4" t="inlineStr">
        <is>
          <t>R8.8</t>
        </is>
      </c>
      <c r="D49" s="5" t="inlineStr">
        <is>
          <t>年報・月報の受領に伴う確認</t>
        </is>
      </c>
      <c r="E49"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49" s="5" t="inlineStr">
        <is>
          <t>年報月報の受領点検
将来推計 第3段階
素案 第6章第3節・第6節</t>
        </is>
      </c>
      <c r="G49" s="5" t="inlineStr">
        <is>
          <t>発注者</t>
        </is>
      </c>
      <c r="H49" s="10" t="inlineStr">
        <is>
          <t>確認待ち</t>
        </is>
      </c>
      <c r="I49" s="10" t="inlineStr">
        <is>
          <t>R8.9</t>
        </is>
      </c>
      <c r="J49" s="11" t="inlineStr">
        <is>
          <t>①は第10期の保険料算定を止めている。最優先</t>
        </is>
      </c>
    </row>
    <row r="50" ht="88" customHeight="1">
      <c r="A50" s="4" t="n">
        <v>49</v>
      </c>
      <c r="B50" s="4" t="inlineStr">
        <is>
          <t>(12)</t>
        </is>
      </c>
      <c r="C50" s="4" t="inlineStr">
        <is>
          <t>R8.8</t>
        </is>
      </c>
      <c r="D50" s="5" t="inlineStr">
        <is>
          <t>中間報告会議の議事録の記載の確認【回答済】</t>
        </is>
      </c>
      <c r="E50"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50" s="5" t="inlineStr">
        <is>
          <t>中間報告会議議事録
業務工程管理表
必要事項の一覧</t>
        </is>
      </c>
      <c r="G50" s="5" t="inlineStr">
        <is>
          <t>発注者</t>
        </is>
      </c>
      <c r="H50" s="6" t="inlineStr">
        <is>
          <t>了承済</t>
        </is>
      </c>
      <c r="I50" s="10" t="inlineStr">
        <is>
          <t>R8.8.28</t>
        </is>
      </c>
      <c r="J50" s="11" t="inlineStr">
        <is>
          <t>議事録に反映済み。年報・月報の到着後に資料No.21・22を受領済とする</t>
        </is>
      </c>
    </row>
    <row r="51" ht="88" customHeight="1">
      <c r="A51" s="4" t="n">
        <v>48</v>
      </c>
      <c r="B51" s="4" t="inlineStr">
        <is>
          <t>(2)</t>
        </is>
      </c>
      <c r="C51" s="4" t="inlineStr">
        <is>
          <t>R8.8</t>
        </is>
      </c>
      <c r="D51" s="5" t="inlineStr">
        <is>
          <t>総合事業の実施状況に関する調査（令和6年度）の確認</t>
        </is>
      </c>
      <c r="E51"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51" s="5" t="inlineStr">
        <is>
          <t>総合事業実施状況調査の受領点検
素案 第3章第1節・第2節
H05の基準値</t>
        </is>
      </c>
      <c r="G51" s="5" t="inlineStr">
        <is>
          <t>発注者</t>
        </is>
      </c>
      <c r="H51" s="10" t="inlineStr">
        <is>
          <t>確認待ち</t>
        </is>
      </c>
      <c r="I51" s="10" t="inlineStr">
        <is>
          <t>R8.9</t>
        </is>
      </c>
      <c r="J51" s="11" t="inlineStr">
        <is>
          <t>第9期の通いの場と地域支援事業の評価に用いる</t>
        </is>
      </c>
    </row>
    <row r="52" ht="88" customHeight="1">
      <c r="A52" s="4" t="n">
        <v>47</v>
      </c>
      <c r="B52" s="4" t="inlineStr">
        <is>
          <t>(5)</t>
        </is>
      </c>
      <c r="C52" s="4" t="inlineStr">
        <is>
          <t>R8.8</t>
        </is>
      </c>
      <c r="D52" s="5" t="inlineStr">
        <is>
          <t>計画作成支援ツールの実績値シートの確認</t>
        </is>
      </c>
      <c r="E52"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52" s="5" t="inlineStr">
        <is>
          <t>給付実績データの受領点検 04シート
将来推計 第3段階</t>
        </is>
      </c>
      <c r="G52" s="5" t="inlineStr">
        <is>
          <t>発注者</t>
        </is>
      </c>
      <c r="H52" s="10" t="inlineStr">
        <is>
          <t>確認待ち</t>
        </is>
      </c>
      <c r="I52" s="10" t="inlineStr">
        <is>
          <t>R8.9</t>
        </is>
      </c>
      <c r="J52" s="11" t="inlineStr">
        <is>
          <t>第3段階（給付費・保険料）の算定に用いる</t>
        </is>
      </c>
    </row>
    <row r="53" ht="88" customHeight="1">
      <c r="A53" s="4" t="n">
        <v>46</v>
      </c>
      <c r="B53" s="4" t="inlineStr">
        <is>
          <t>(5)</t>
        </is>
      </c>
      <c r="C53" s="4" t="inlineStr">
        <is>
          <t>R8.8</t>
        </is>
      </c>
      <c r="D53" s="5" t="inlineStr">
        <is>
          <t>令和7年度の給付費の集計が一致しない</t>
        </is>
      </c>
      <c r="E53"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53" s="5" t="inlineStr">
        <is>
          <t>給付実績データの受領点検
将来推計 第2・3段階</t>
        </is>
      </c>
      <c r="G53" s="5" t="inlineStr">
        <is>
          <t>発注者</t>
        </is>
      </c>
      <c r="H53" s="10" t="inlineStr">
        <is>
          <t>確認待ち</t>
        </is>
      </c>
      <c r="I53" s="10" t="inlineStr">
        <is>
          <t>R8.9</t>
        </is>
      </c>
      <c r="J53" s="11" t="inlineStr">
        <is>
          <t>解消するまでは令和7年度の町別の値は用いず、大雪地区広域連合の合計のみを用いる</t>
        </is>
      </c>
    </row>
    <row r="54" ht="88" customHeight="1">
      <c r="A54" s="4" t="n">
        <v>44</v>
      </c>
      <c r="B54" s="4" t="inlineStr">
        <is>
          <t>(5)</t>
        </is>
      </c>
      <c r="C54" s="4" t="inlineStr">
        <is>
          <t>R8.8</t>
        </is>
      </c>
      <c r="D54" s="5" t="inlineStr">
        <is>
          <t>給付実績データに含まれる個人情報の取扱い</t>
        </is>
      </c>
      <c r="E54"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54" s="5" t="inlineStr">
        <is>
          <t>給付実績データの受領点検
将来推計 第2・3段階</t>
        </is>
      </c>
      <c r="G54" s="5" t="inlineStr">
        <is>
          <t>発注者</t>
        </is>
      </c>
      <c r="H54" s="6" t="inlineStr">
        <is>
          <t>了承済（保管せず廃棄）</t>
        </is>
      </c>
      <c r="I54" s="10" t="inlineStr">
        <is>
          <t>R8.8.28</t>
        </is>
      </c>
      <c r="J54"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55" ht="88" customHeight="1">
      <c r="A55" s="4" t="n">
        <v>45</v>
      </c>
      <c r="B55" s="4" t="inlineStr">
        <is>
          <t>(5)</t>
        </is>
      </c>
      <c r="C55" s="4" t="inlineStr">
        <is>
          <t>R8.8</t>
        </is>
      </c>
      <c r="D55" s="5" t="inlineStr">
        <is>
          <t>代表KPI H15の分母の定義</t>
        </is>
      </c>
      <c r="E55"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55" s="5" t="inlineStr">
        <is>
          <t>計画素案 第4章 資料1
中間報告 第3節</t>
        </is>
      </c>
      <c r="G55" s="5" t="inlineStr">
        <is>
          <t>発注者</t>
        </is>
      </c>
      <c r="H55" s="10" t="inlineStr">
        <is>
          <t>確認待ち</t>
        </is>
      </c>
      <c r="I55" s="10" t="inlineStr">
        <is>
          <t>R8.9</t>
        </is>
      </c>
      <c r="J55" s="11" t="inlineStr">
        <is>
          <t>受託者案は標準給付費見込額。計画期間を通じた財政運営の指標であるため</t>
        </is>
      </c>
    </row>
    <row r="56" ht="88" customHeight="1">
      <c r="A56" s="4" t="n">
        <v>43</v>
      </c>
      <c r="B56" s="4" t="inlineStr">
        <is>
          <t>(2)</t>
        </is>
      </c>
      <c r="C56" s="4" t="inlineStr">
        <is>
          <t>R8.8</t>
        </is>
      </c>
      <c r="D56" s="5" t="inlineStr">
        <is>
          <t>認定に要する日数の扱い</t>
        </is>
      </c>
      <c r="E56"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56" s="5" t="inlineStr">
        <is>
          <t>中間報告 第3節
計画素案 第2章・第5章</t>
        </is>
      </c>
      <c r="G56" s="5" t="inlineStr">
        <is>
          <t>発注者</t>
        </is>
      </c>
      <c r="H56" s="10" t="inlineStr">
        <is>
          <t>確認待ち</t>
        </is>
      </c>
      <c r="I56" s="10" t="inlineStr">
        <is>
          <t>R8.9</t>
        </is>
      </c>
      <c r="J56" s="11" t="inlineStr">
        <is>
          <t>令和8年8月28日受領の集計帳票により判明</t>
        </is>
      </c>
    </row>
    <row r="57" ht="88" customHeight="1">
      <c r="A57" s="4" t="n">
        <v>39</v>
      </c>
      <c r="B57" s="4" t="inlineStr">
        <is>
          <t>(2)</t>
        </is>
      </c>
      <c r="C57" s="4" t="inlineStr">
        <is>
          <t>R8.8</t>
        </is>
      </c>
      <c r="D57" s="5" t="inlineStr">
        <is>
          <t>中間報告・施策体系新旧対照表・骨子案のご確認</t>
        </is>
      </c>
      <c r="E57"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57" s="5" t="inlineStr">
        <is>
          <t>計画骨子案
施策体系新旧対照表
計画素案 第4章・第5章</t>
        </is>
      </c>
      <c r="G57" s="5" t="inlineStr">
        <is>
          <t>発注者</t>
        </is>
      </c>
      <c r="H57" s="10" t="inlineStr">
        <is>
          <t>確認待ち</t>
        </is>
      </c>
      <c r="I57" s="10" t="inlineStr">
        <is>
          <t>R8.9.2</t>
        </is>
      </c>
      <c r="J57" s="11" t="inlineStr">
        <is>
          <t>同打合せで期限を令和8年9月2日（水）と設定。令和8年8月28日の発注者のご指示により、議事録に①②を加え、期限を明記した（校正No.14・15）</t>
        </is>
      </c>
    </row>
    <row r="58" ht="88" customHeight="1">
      <c r="A58" s="4" t="n">
        <v>40</v>
      </c>
      <c r="B58" s="4" t="inlineStr">
        <is>
          <t>(3)</t>
        </is>
      </c>
      <c r="C58" s="4" t="inlineStr">
        <is>
          <t>R8.8</t>
        </is>
      </c>
      <c r="D58" s="5" t="inlineStr">
        <is>
          <t>社会資源一覧の従業員数の重複計上の扱い</t>
        </is>
      </c>
      <c r="E58"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58" s="5" t="inlineStr">
        <is>
          <t>従業員数の重複計上の整理
計画素案 第2章第3節・第6章第2節</t>
        </is>
      </c>
      <c r="G58" s="5" t="inlineStr">
        <is>
          <t>発注者・3町</t>
        </is>
      </c>
      <c r="H58" s="10" t="inlineStr">
        <is>
          <t>確認待ち</t>
        </is>
      </c>
      <c r="I58" s="10" t="inlineStr">
        <is>
          <t>R8.9</t>
        </is>
      </c>
      <c r="J58" s="11" t="inlineStr">
        <is>
          <t>受託者の案は施設単位の実人数。「従業員数の重複計上の整理」01シートに確認欄を設けて両案に対応した</t>
        </is>
      </c>
    </row>
    <row r="59" ht="88" customHeight="1">
      <c r="A59" s="4" t="n">
        <v>41</v>
      </c>
      <c r="B59" s="4" t="inlineStr">
        <is>
          <t>(5)</t>
        </is>
      </c>
      <c r="C59" s="4" t="inlineStr">
        <is>
          <t>R8.8</t>
        </is>
      </c>
      <c r="D59" s="5" t="inlineStr">
        <is>
          <t>令和8年度の実績の推定方法</t>
        </is>
      </c>
      <c r="E59"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59" s="5" t="inlineStr">
        <is>
          <t>計画素案 第6章
将来推計 第1〜3段階</t>
        </is>
      </c>
      <c r="G59" s="5" t="inlineStr">
        <is>
          <t>発注者</t>
        </is>
      </c>
      <c r="H59" s="6" t="inlineStr">
        <is>
          <t>了承済</t>
        </is>
      </c>
      <c r="I59" s="10" t="inlineStr">
        <is>
          <t>R8.8.26</t>
        </is>
      </c>
      <c r="J59" s="11" t="inlineStr">
        <is>
          <t>令和8年8月26日の進捗確認の打合せで了承。対前年比等の単純な外挿は用いない</t>
        </is>
      </c>
    </row>
    <row r="60" ht="88" customHeight="1">
      <c r="A60" s="4" t="n">
        <v>42</v>
      </c>
      <c r="B60" s="4" t="inlineStr">
        <is>
          <t>(8)</t>
        </is>
      </c>
      <c r="C60" s="4" t="inlineStr">
        <is>
          <t>R8.8</t>
        </is>
      </c>
      <c r="D60" s="5" t="inlineStr">
        <is>
          <t>キックオフ会議資料への工程表の反映</t>
        </is>
      </c>
      <c r="E60"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60" s="5" t="inlineStr">
        <is>
          <t>キックオフ会議資料</t>
        </is>
      </c>
      <c r="G60" s="5" t="inlineStr">
        <is>
          <t>発注者・3町</t>
        </is>
      </c>
      <c r="H60" s="8" t="inlineStr">
        <is>
          <t>対応中</t>
        </is>
      </c>
      <c r="I60" s="10" t="inlineStr">
        <is>
          <t>R8.8</t>
        </is>
      </c>
      <c r="J60" s="11" t="inlineStr">
        <is>
          <t>同打合せでご依頼をいただいた。反映する工程表は発注者ご作成の予定表による</t>
        </is>
      </c>
    </row>
    <row r="61" ht="88" customHeight="1">
      <c r="A61" s="4" t="n">
        <v>1</v>
      </c>
      <c r="B61" s="4" t="inlineStr">
        <is>
          <t>(1)</t>
        </is>
      </c>
      <c r="C61" s="4" t="inlineStr">
        <is>
          <t>R8.8</t>
        </is>
      </c>
      <c r="D61" s="5" t="inlineStr">
        <is>
          <t>特別地域加算の対象地域告示</t>
        </is>
      </c>
      <c r="E61"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61" s="5" t="inlineStr">
        <is>
          <t>素案 第1章第9節
追加調査報告書 01シート</t>
        </is>
      </c>
      <c r="G61" s="5" t="inlineStr">
        <is>
          <t>北海道</t>
        </is>
      </c>
      <c r="H61" s="10" t="inlineStr">
        <is>
          <t>確認待ち</t>
        </is>
      </c>
      <c r="I61" s="10" t="inlineStr">
        <is>
          <t>R8.9</t>
        </is>
      </c>
      <c r="J61" s="11" t="inlineStr"/>
    </row>
    <row r="62" ht="88" customHeight="1">
      <c r="A62" s="4" t="n">
        <v>2</v>
      </c>
      <c r="B62" s="4" t="inlineStr">
        <is>
          <t>(1)</t>
        </is>
      </c>
      <c r="C62" s="4" t="inlineStr">
        <is>
          <t>R8.9</t>
        </is>
      </c>
      <c r="D62" s="5" t="inlineStr">
        <is>
          <t>特定地域の指定に係る意向表明の手続</t>
        </is>
      </c>
      <c r="E62"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2" s="5" t="inlineStr">
        <is>
          <t>素案 第1章第9節・第6章第4節</t>
        </is>
      </c>
      <c r="G62" s="5" t="inlineStr">
        <is>
          <t>北海道</t>
        </is>
      </c>
      <c r="H62" s="10" t="inlineStr">
        <is>
          <t>確認待ち</t>
        </is>
      </c>
      <c r="I62" s="10" t="inlineStr">
        <is>
          <t>R8.10</t>
        </is>
      </c>
      <c r="J62" s="11" t="inlineStr"/>
    </row>
    <row r="63" ht="88" customHeight="1">
      <c r="A63" s="4" t="n">
        <v>3</v>
      </c>
      <c r="B63" s="4" t="inlineStr">
        <is>
          <t>(4)</t>
        </is>
      </c>
      <c r="C63" s="4" t="inlineStr">
        <is>
          <t>R8.9</t>
        </is>
      </c>
      <c r="D63" s="5" t="inlineStr">
        <is>
          <t>類似保険者との比較分析の対象</t>
        </is>
      </c>
      <c r="E63"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63" s="5" t="inlineStr">
        <is>
          <t>素案 第2章第2節
分析資料</t>
        </is>
      </c>
      <c r="G63" s="5" t="inlineStr">
        <is>
          <t>発注者</t>
        </is>
      </c>
      <c r="H63" s="10" t="inlineStr">
        <is>
          <t>確認待ち</t>
        </is>
      </c>
      <c r="I63" s="10" t="inlineStr">
        <is>
          <t>R8.9</t>
        </is>
      </c>
      <c r="J63" s="11" t="inlineStr"/>
    </row>
    <row r="64" ht="88" customHeight="1">
      <c r="A64" s="4" t="n">
        <v>4</v>
      </c>
      <c r="B64" s="4" t="inlineStr">
        <is>
          <t>(12)</t>
        </is>
      </c>
      <c r="C64" s="4" t="inlineStr">
        <is>
          <t>R8.8</t>
        </is>
      </c>
      <c r="D64" s="5" t="inlineStr">
        <is>
          <t>代表KPI H07・H08・H12・H16の代理指標</t>
        </is>
      </c>
      <c r="E64"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64" s="5" t="inlineStr">
        <is>
          <t>素案 第4章第3節・資料1
全16KPIの4項目</t>
        </is>
      </c>
      <c r="G64" s="5" t="inlineStr">
        <is>
          <t>発注者</t>
        </is>
      </c>
      <c r="H64" s="10" t="inlineStr">
        <is>
          <t>確認待ち</t>
        </is>
      </c>
      <c r="I64" s="10" t="inlineStr">
        <is>
          <t>R8.8</t>
        </is>
      </c>
      <c r="J64" s="11" t="inlineStr"/>
    </row>
    <row r="65" ht="88" customHeight="1">
      <c r="A65" s="4" t="n">
        <v>5</v>
      </c>
      <c r="B65" s="4" t="inlineStr">
        <is>
          <t>(2)</t>
        </is>
      </c>
      <c r="C65" s="4" t="inlineStr">
        <is>
          <t>R8.8</t>
        </is>
      </c>
      <c r="D65" s="5" t="inlineStr">
        <is>
          <t>第9期の施策・事業実績</t>
        </is>
      </c>
      <c r="E65"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65" s="5" t="inlineStr">
        <is>
          <t>素案 第3章第2節・第3節・第5節
妥当性検証報告書 12シート</t>
        </is>
      </c>
      <c r="G65" s="5" t="inlineStr">
        <is>
          <t>発注者</t>
        </is>
      </c>
      <c r="H65" s="10" t="inlineStr">
        <is>
          <t>確認待ち</t>
        </is>
      </c>
      <c r="I65" s="10" t="inlineStr">
        <is>
          <t>R8.8</t>
        </is>
      </c>
      <c r="J65" s="11" t="inlineStr"/>
    </row>
    <row r="66" ht="88" customHeight="1">
      <c r="A66" s="4" t="n">
        <v>6</v>
      </c>
      <c r="B66" s="4" t="inlineStr">
        <is>
          <t>(2)</t>
        </is>
      </c>
      <c r="C66" s="4" t="inlineStr">
        <is>
          <t>R8.8</t>
        </is>
      </c>
      <c r="D66" s="5" t="inlineStr">
        <is>
          <t>交付金の評価調書</t>
        </is>
      </c>
      <c r="E66"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66" s="5" t="inlineStr">
        <is>
          <t>素案 第3章第4節
追加調査報告書 02シート</t>
        </is>
      </c>
      <c r="G66" s="5" t="inlineStr">
        <is>
          <t>発注者</t>
        </is>
      </c>
      <c r="H66" s="10" t="inlineStr">
        <is>
          <t>確認待ち</t>
        </is>
      </c>
      <c r="I66" s="10" t="inlineStr">
        <is>
          <t>R8.9</t>
        </is>
      </c>
      <c r="J66" s="11" t="inlineStr"/>
    </row>
    <row r="67" ht="88" customHeight="1">
      <c r="A67" s="4" t="n">
        <v>7</v>
      </c>
      <c r="B67" s="4" t="inlineStr">
        <is>
          <t>(2)</t>
        </is>
      </c>
      <c r="C67" s="4" t="inlineStr">
        <is>
          <t>R8.8</t>
        </is>
      </c>
      <c r="D67" s="5" t="inlineStr">
        <is>
          <t>第9期の自己評価と北海道への報告の実績</t>
        </is>
      </c>
      <c r="E67" s="5" t="inlineStr">
        <is>
          <t>第9期計画の代表KPIについて令和6・7年度に実績を算定した資料の有無、運営協議会への報告の有無と議事録、及び介護保険法第117条に基づく北海道への報告の実績。</t>
        </is>
      </c>
      <c r="F67" s="5" t="inlineStr">
        <is>
          <t>素案 第1章第6節・第3章第4節</t>
        </is>
      </c>
      <c r="G67" s="5" t="inlineStr">
        <is>
          <t>発注者</t>
        </is>
      </c>
      <c r="H67" s="10" t="inlineStr">
        <is>
          <t>確認待ち</t>
        </is>
      </c>
      <c r="I67" s="10" t="inlineStr">
        <is>
          <t>R8.9</t>
        </is>
      </c>
      <c r="J67" s="11" t="inlineStr"/>
    </row>
    <row r="68" ht="88" customHeight="1">
      <c r="A68" s="4" t="n">
        <v>8</v>
      </c>
      <c r="B68" s="4" t="inlineStr">
        <is>
          <t>(3)</t>
        </is>
      </c>
      <c r="C68" s="4" t="inlineStr">
        <is>
          <t>R8.8</t>
        </is>
      </c>
      <c r="D68" s="5" t="inlineStr">
        <is>
          <t>3調査の点検事項の取扱い</t>
        </is>
      </c>
      <c r="E68"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68" s="5" t="inlineStr">
        <is>
          <t>素案 第2章第5・6節
H06・H11・H13・H14の基準値</t>
        </is>
      </c>
      <c r="G68" s="5" t="inlineStr">
        <is>
          <t>発注者</t>
        </is>
      </c>
      <c r="H68" s="10" t="inlineStr">
        <is>
          <t>確認待ち</t>
        </is>
      </c>
      <c r="I68" s="10" t="inlineStr">
        <is>
          <t>R8.8</t>
        </is>
      </c>
      <c r="J68" s="11" t="inlineStr"/>
    </row>
    <row r="69" ht="88" customHeight="1">
      <c r="A69" s="4" t="n">
        <v>9</v>
      </c>
      <c r="B69" s="4" t="inlineStr">
        <is>
          <t>(3)</t>
        </is>
      </c>
      <c r="C69" s="4" t="inlineStr">
        <is>
          <t>R8.9</t>
        </is>
      </c>
      <c r="D69" s="5" t="inlineStr">
        <is>
          <t>調査の対象者範囲と回収率</t>
        </is>
      </c>
      <c r="E69" s="5" t="inlineStr">
        <is>
          <t>4調査の対象者の範囲（要介護度、年齢、居所等）、配布数、回収数、回収率。標本規模に応じた分析の深度（クロス集計の可否）の判断に必要。</t>
        </is>
      </c>
      <c r="F69" s="5" t="inlineStr">
        <is>
          <t>素案 第2章第4〜6節
クロス集計表</t>
        </is>
      </c>
      <c r="G69" s="5" t="inlineStr">
        <is>
          <t>発注者</t>
        </is>
      </c>
      <c r="H69" s="10" t="inlineStr">
        <is>
          <t>確認待ち</t>
        </is>
      </c>
      <c r="I69" s="10" t="inlineStr">
        <is>
          <t>R8.9</t>
        </is>
      </c>
      <c r="J69" s="11" t="inlineStr"/>
    </row>
    <row r="70" ht="88" customHeight="1">
      <c r="A70" s="4" t="n">
        <v>10</v>
      </c>
      <c r="B70" s="4" t="inlineStr">
        <is>
          <t>(3)</t>
        </is>
      </c>
      <c r="C70" s="4" t="inlineStr">
        <is>
          <t>R8.9</t>
        </is>
      </c>
      <c r="D70" s="5" t="inlineStr">
        <is>
          <t>介護人材実態調査の採用者数・退職者数</t>
        </is>
      </c>
      <c r="E70" s="5" t="inlineStr">
        <is>
          <t>北海道の評価指標⑥と同じ「採用率と離職率の差」を算定するため、各年9月30日現在の在籍者数と、年間の採用者数・退職者数。H14の基準値となる。</t>
        </is>
      </c>
      <c r="F70" s="5" t="inlineStr">
        <is>
          <t>素案 第4章第3節
H14の基準値</t>
        </is>
      </c>
      <c r="G70" s="5" t="inlineStr">
        <is>
          <t>発注者</t>
        </is>
      </c>
      <c r="H70" s="10" t="inlineStr">
        <is>
          <t>確認待ち</t>
        </is>
      </c>
      <c r="I70" s="10" t="inlineStr">
        <is>
          <t>R8.9</t>
        </is>
      </c>
      <c r="J70" s="11" t="inlineStr"/>
    </row>
    <row r="71" ht="88" customHeight="1">
      <c r="A71" s="4" t="n">
        <v>11</v>
      </c>
      <c r="B71" s="4" t="inlineStr">
        <is>
          <t>(4)</t>
        </is>
      </c>
      <c r="C71" s="4" t="inlineStr">
        <is>
          <t>R8.9</t>
        </is>
      </c>
      <c r="D71" s="5" t="inlineStr">
        <is>
          <t>町別の人口・世帯データ</t>
        </is>
      </c>
      <c r="E71"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71" s="5" t="inlineStr">
        <is>
          <t>素案 第2章第1節
図1・図2・図3</t>
        </is>
      </c>
      <c r="G71" s="5" t="inlineStr">
        <is>
          <t>発注者・3町</t>
        </is>
      </c>
      <c r="H71" s="10" t="inlineStr">
        <is>
          <t>確認待ち</t>
        </is>
      </c>
      <c r="I71" s="10" t="inlineStr">
        <is>
          <t>R8.9</t>
        </is>
      </c>
      <c r="J71" s="11" t="inlineStr"/>
    </row>
    <row r="72" ht="88" customHeight="1">
      <c r="A72" s="4" t="n">
        <v>12</v>
      </c>
      <c r="B72" s="4" t="inlineStr">
        <is>
          <t>(4)</t>
        </is>
      </c>
      <c r="C72" s="4" t="inlineStr">
        <is>
          <t>R8.9</t>
        </is>
      </c>
      <c r="D72" s="5" t="inlineStr">
        <is>
          <t>日常生活圏域別のデータ</t>
        </is>
      </c>
      <c r="E72"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72" s="5" t="inlineStr">
        <is>
          <t>素案 第1章第7節・第2章
圏域別分析資料
調査クロス集計・分析 01・18シート</t>
        </is>
      </c>
      <c r="G72" s="5" t="inlineStr">
        <is>
          <t>発注者・3町</t>
        </is>
      </c>
      <c r="H72" s="10" t="inlineStr">
        <is>
          <t>確認待ち</t>
        </is>
      </c>
      <c r="I72" s="10" t="inlineStr">
        <is>
          <t>R8.9</t>
        </is>
      </c>
      <c r="J72" s="11" t="inlineStr"/>
    </row>
    <row r="73" ht="88" customHeight="1">
      <c r="A73" s="4" t="n">
        <v>13</v>
      </c>
      <c r="B73" s="4" t="inlineStr">
        <is>
          <t>(4)</t>
        </is>
      </c>
      <c r="C73" s="4" t="inlineStr">
        <is>
          <t>R8.9</t>
        </is>
      </c>
      <c r="D73" s="5" t="inlineStr">
        <is>
          <t>訪問・通所困難地域の判定資料</t>
        </is>
      </c>
      <c r="E73"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73" s="5" t="inlineStr">
        <is>
          <t>素案 第1章第7節
追加調査報告書 03シート
住まいと施設の公表名簿との突合 08シート</t>
        </is>
      </c>
      <c r="G73" s="5" t="inlineStr">
        <is>
          <t>発注者・3町</t>
        </is>
      </c>
      <c r="H73" s="8" t="inlineStr">
        <is>
          <t>実施中</t>
        </is>
      </c>
      <c r="I73" s="10" t="inlineStr">
        <is>
          <t>R8.10</t>
        </is>
      </c>
      <c r="J73" s="11" t="inlineStr"/>
    </row>
    <row r="74" ht="88" customHeight="1">
      <c r="A74" s="4" t="n">
        <v>14</v>
      </c>
      <c r="B74" s="4" t="inlineStr">
        <is>
          <t>(5)</t>
        </is>
      </c>
      <c r="C74" s="4" t="inlineStr">
        <is>
          <t>R8.10</t>
        </is>
      </c>
      <c r="D74" s="5" t="inlineStr">
        <is>
          <t>人口推計の基礎とする系列</t>
        </is>
      </c>
      <c r="E74"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74" s="5" t="inlineStr">
        <is>
          <t>素案 第6章第1節
将来推計</t>
        </is>
      </c>
      <c r="G74" s="5" t="inlineStr">
        <is>
          <t>発注者・3町</t>
        </is>
      </c>
      <c r="H74" s="10" t="inlineStr">
        <is>
          <t>確認待ち</t>
        </is>
      </c>
      <c r="I74" s="10" t="inlineStr">
        <is>
          <t>R8.10</t>
        </is>
      </c>
      <c r="J74" s="11" t="inlineStr"/>
    </row>
    <row r="75" ht="88" customHeight="1">
      <c r="A75" s="4" t="n">
        <v>15</v>
      </c>
      <c r="B75" s="4" t="inlineStr">
        <is>
          <t>(5)</t>
        </is>
      </c>
      <c r="C75" s="4" t="inlineStr">
        <is>
          <t>R8.10</t>
        </is>
      </c>
      <c r="D75" s="5" t="inlineStr">
        <is>
          <t>認定者数の基準月と月次推移</t>
        </is>
      </c>
      <c r="E75" s="5" t="inlineStr">
        <is>
          <t>令和3〜8年度の各月の認定者数。推計ガイドは9月末を目安としつつ「年度内平均値に近い月を選択する」としているため、当広域連合の月次推移を確認して基準月を選定する。</t>
        </is>
      </c>
      <c r="F75" s="5" t="inlineStr">
        <is>
          <t>素案 第6章第1節
将来推計</t>
        </is>
      </c>
      <c r="G75" s="5" t="inlineStr">
        <is>
          <t>発注者</t>
        </is>
      </c>
      <c r="H75" s="10" t="inlineStr">
        <is>
          <t>確認待ち</t>
        </is>
      </c>
      <c r="I75" s="10" t="inlineStr">
        <is>
          <t>R8.10</t>
        </is>
      </c>
      <c r="J75" s="11" t="inlineStr"/>
    </row>
    <row r="76" ht="88" customHeight="1">
      <c r="A76" s="4" t="n">
        <v>16</v>
      </c>
      <c r="B76" s="4" t="inlineStr">
        <is>
          <t>(5)</t>
        </is>
      </c>
      <c r="C76" s="4" t="inlineStr">
        <is>
          <t>R8.11</t>
        </is>
      </c>
      <c r="D76" s="5" t="inlineStr">
        <is>
          <t>保険料算定の前提</t>
        </is>
      </c>
      <c r="E76" s="5" t="inlineStr">
        <is>
          <t>①介護給付費準備基金の残高推移と取崩実績（第7期〜第9期）、②保険料収納率の実績（第7期〜第9期）、③所得段階別被保険者数、④地域支援事業費の区分別内訳（総合事業・包括的支援事業・任意事業）。</t>
        </is>
      </c>
      <c r="F76" s="5" t="inlineStr">
        <is>
          <t>素案 第6章第3節・第6節
保険料算定表</t>
        </is>
      </c>
      <c r="G76" s="5" t="inlineStr">
        <is>
          <t>発注者</t>
        </is>
      </c>
      <c r="H76" s="10" t="inlineStr">
        <is>
          <t>確認待ち</t>
        </is>
      </c>
      <c r="I76" s="10" t="inlineStr">
        <is>
          <t>R8.11</t>
        </is>
      </c>
      <c r="J76" s="11" t="inlineStr"/>
    </row>
    <row r="77" ht="88" customHeight="1">
      <c r="A77" s="4" t="n">
        <v>17</v>
      </c>
      <c r="B77" s="4" t="inlineStr">
        <is>
          <t>(6)</t>
        </is>
      </c>
      <c r="C77" s="4" t="inlineStr">
        <is>
          <t>R8.10</t>
        </is>
      </c>
      <c r="D77" s="5" t="inlineStr">
        <is>
          <t>3町計画への共通指標の掲載</t>
        </is>
      </c>
      <c r="E77"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77" s="5" t="inlineStr">
        <is>
          <t>素案 資料2
3町協議資料</t>
        </is>
      </c>
      <c r="G77" s="5" t="inlineStr">
        <is>
          <t>発注者・3町</t>
        </is>
      </c>
      <c r="H77" s="10" t="inlineStr">
        <is>
          <t>確認待ち</t>
        </is>
      </c>
      <c r="I77" s="10" t="inlineStr">
        <is>
          <t>R8.10</t>
        </is>
      </c>
      <c r="J77" s="11" t="inlineStr"/>
    </row>
    <row r="78" ht="88" customHeight="1">
      <c r="A78" s="4" t="n">
        <v>18</v>
      </c>
      <c r="B78" s="4" t="inlineStr">
        <is>
          <t>(6)</t>
        </is>
      </c>
      <c r="C78" s="4" t="inlineStr">
        <is>
          <t>R8.10</t>
        </is>
      </c>
      <c r="D78" s="5" t="inlineStr">
        <is>
          <t>骨子案の内容の確認</t>
        </is>
      </c>
      <c r="E78" s="5" t="inlineStr">
        <is>
          <t>令和8年8月に骨子案を作成した（11節22表）。第10節に決定・確認を要する事項12件を整理している。章立て、基本理念、5つの基本目標、代表KPI16項目の枠組み及び算定の枠組みについて、ご意向を確認する。</t>
        </is>
      </c>
      <c r="F78" s="5" t="inlineStr">
        <is>
          <t>骨子案
素案の次稿</t>
        </is>
      </c>
      <c r="G78" s="5" t="inlineStr">
        <is>
          <t>発注者</t>
        </is>
      </c>
      <c r="H78" s="10" t="inlineStr">
        <is>
          <t>確認待ち</t>
        </is>
      </c>
      <c r="I78" s="10" t="inlineStr">
        <is>
          <t>R8.9</t>
        </is>
      </c>
      <c r="J78" s="11" t="inlineStr"/>
    </row>
    <row r="79" ht="88" customHeight="1">
      <c r="A79" s="4" t="n">
        <v>19</v>
      </c>
      <c r="B79" s="4" t="inlineStr">
        <is>
          <t>(8)(9)</t>
        </is>
      </c>
      <c r="C79" s="4" t="inlineStr">
        <is>
          <t>R8.8</t>
        </is>
      </c>
      <c r="D79" s="5" t="inlineStr">
        <is>
          <t>会議日程とパブリックコメントの期間</t>
        </is>
      </c>
      <c r="E79" s="5" t="inlineStr">
        <is>
          <t>①介護保険事業計画策定委員会（運営協議会）の開催日程、審議事項、資料提出期限、②パブリックコメントの実施期間、③町別値・少数値の公表基準。工程の確定と資料作成の逆算に必要。</t>
        </is>
      </c>
      <c r="F79" s="5" t="inlineStr">
        <is>
          <t>委員会資料原案
パブリックコメント資料</t>
        </is>
      </c>
      <c r="G79" s="5" t="inlineStr">
        <is>
          <t>発注者</t>
        </is>
      </c>
      <c r="H79" s="10" t="inlineStr">
        <is>
          <t>確認待ち</t>
        </is>
      </c>
      <c r="I79" s="10" t="inlineStr">
        <is>
          <t>R8.8</t>
        </is>
      </c>
      <c r="J79" s="11" t="inlineStr"/>
    </row>
    <row r="80" ht="88" customHeight="1">
      <c r="A80" s="4" t="n">
        <v>20</v>
      </c>
      <c r="B80" s="4" t="inlineStr">
        <is>
          <t>(8)</t>
        </is>
      </c>
      <c r="C80" s="4" t="inlineStr">
        <is>
          <t>R8.9</t>
        </is>
      </c>
      <c r="D80" s="5" t="inlineStr">
        <is>
          <t>北海道・圏域との調整の場</t>
        </is>
      </c>
      <c r="E80" s="5" t="inlineStr">
        <is>
          <t>上川中部高齢者保健福祉圏域に関する北海道の調整方針、圏域連絡協議会の資料、及び圏域単位の協議の場の設置予定。24時間対応サービスの確保方策（第6章第4節）の検討に必要。</t>
        </is>
      </c>
      <c r="F80" s="5" t="inlineStr">
        <is>
          <t>素案 第6章第4節</t>
        </is>
      </c>
      <c r="G80" s="5" t="inlineStr">
        <is>
          <t>発注者・北海道</t>
        </is>
      </c>
      <c r="H80" s="10" t="inlineStr">
        <is>
          <t>確認待ち</t>
        </is>
      </c>
      <c r="I80" s="10" t="inlineStr">
        <is>
          <t>R8.10</t>
        </is>
      </c>
      <c r="J80" s="11" t="inlineStr"/>
    </row>
    <row r="81" ht="88" customHeight="1">
      <c r="A81" s="4" t="n">
        <v>21</v>
      </c>
      <c r="B81" s="4" t="inlineStr">
        <is>
          <t>(10)</t>
        </is>
      </c>
      <c r="C81" s="4" t="inlineStr">
        <is>
          <t>R8.10</t>
        </is>
      </c>
      <c r="D81" s="5" t="inlineStr">
        <is>
          <t>成果品の仕様</t>
        </is>
      </c>
      <c r="E81" s="5" t="inlineStr">
        <is>
          <t>①本文100頁程度に対する章別のページ配分、②図表の本文掲載点数の上限、③概要版の頁数と体裁、④印刷・製本の入稿期限。図表集は33シート133点あり、本文に何点まで掲載するかの決定を要する。</t>
        </is>
      </c>
      <c r="F81" s="5" t="inlineStr">
        <is>
          <t>計画書（印刷200部）
概要版</t>
        </is>
      </c>
      <c r="G81" s="5" t="inlineStr">
        <is>
          <t>発注者</t>
        </is>
      </c>
      <c r="H81" s="10" t="inlineStr">
        <is>
          <t>確認待ち</t>
        </is>
      </c>
      <c r="I81" s="10" t="inlineStr">
        <is>
          <t>R8.10</t>
        </is>
      </c>
      <c r="J81" s="11" t="inlineStr"/>
    </row>
    <row r="82" ht="88" customHeight="1">
      <c r="A82" s="4" t="n">
        <v>22</v>
      </c>
      <c r="B82" s="4" t="inlineStr">
        <is>
          <t>(1)</t>
        </is>
      </c>
      <c r="C82" s="4" t="inlineStr">
        <is>
          <t>R8.9</t>
        </is>
      </c>
      <c r="D82" s="5" t="inlineStr">
        <is>
          <t>北海道の評価指標の読替えの考え方</t>
        </is>
      </c>
      <c r="E82"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82" s="5" t="inlineStr">
        <is>
          <t>素案 第1章第6節
追加調査報告書 04シート</t>
        </is>
      </c>
      <c r="G82" s="5" t="inlineStr">
        <is>
          <t>発注者・北海道</t>
        </is>
      </c>
      <c r="H82" s="10" t="inlineStr">
        <is>
          <t>確認待ち</t>
        </is>
      </c>
      <c r="I82" s="10" t="inlineStr">
        <is>
          <t>R8.9</t>
        </is>
      </c>
      <c r="J82" s="11" t="inlineStr"/>
    </row>
    <row r="83" ht="88" customHeight="1">
      <c r="A83" s="4" t="n">
        <v>23</v>
      </c>
      <c r="B83" s="4" t="inlineStr">
        <is>
          <t>(2)</t>
        </is>
      </c>
      <c r="C83" s="4" t="inlineStr">
        <is>
          <t>R8.9</t>
        </is>
      </c>
      <c r="D83" s="5" t="inlineStr">
        <is>
          <t>事業所の定員・稼働率データ</t>
        </is>
      </c>
      <c r="E83"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83" s="5" t="inlineStr">
        <is>
          <t>素案 第2章第3節・第6章第4節
図21・図22</t>
        </is>
      </c>
      <c r="G83" s="5" t="inlineStr">
        <is>
          <t>発注者・3町</t>
        </is>
      </c>
      <c r="H83" s="10" t="inlineStr">
        <is>
          <t>確認待ち</t>
        </is>
      </c>
      <c r="I83" s="10" t="inlineStr">
        <is>
          <t>R8.10</t>
        </is>
      </c>
      <c r="J83" s="11" t="inlineStr"/>
    </row>
    <row r="84" ht="88" customHeight="1">
      <c r="A84" s="4" t="n">
        <v>24</v>
      </c>
      <c r="B84" s="4" t="inlineStr">
        <is>
          <t>(6)</t>
        </is>
      </c>
      <c r="C84" s="4" t="inlineStr">
        <is>
          <t>R8.11</t>
        </is>
      </c>
      <c r="D84" s="5" t="inlineStr">
        <is>
          <t>24時間対応サービスの確保方策の決定</t>
        </is>
      </c>
      <c r="E84"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84" s="5" t="inlineStr">
        <is>
          <t>素案 第6章第2節・第4節
見込量表（3種別）</t>
        </is>
      </c>
      <c r="G84" s="5" t="inlineStr">
        <is>
          <t>発注者</t>
        </is>
      </c>
      <c r="H84" s="10" t="inlineStr">
        <is>
          <t>確認待ち</t>
        </is>
      </c>
      <c r="I84" s="10" t="inlineStr">
        <is>
          <t>R8.11</t>
        </is>
      </c>
      <c r="J84" s="11" t="inlineStr"/>
    </row>
    <row r="85" ht="88" customHeight="1">
      <c r="A85" s="4" t="n">
        <v>25</v>
      </c>
      <c r="B85" s="4" t="inlineStr">
        <is>
          <t>(6)</t>
        </is>
      </c>
      <c r="C85" s="4" t="inlineStr">
        <is>
          <t>R8.11</t>
        </is>
      </c>
      <c r="D85" s="5" t="inlineStr">
        <is>
          <t>代表KPIの目標値の決定</t>
        </is>
      </c>
      <c r="E85"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85" s="5" t="inlineStr">
        <is>
          <t>素案 第4章第3節・第5章
全16KPIの目標値</t>
        </is>
      </c>
      <c r="G85" s="5" t="inlineStr">
        <is>
          <t>発注者</t>
        </is>
      </c>
      <c r="H85" s="10" t="inlineStr">
        <is>
          <t>確認待ち</t>
        </is>
      </c>
      <c r="I85" s="10" t="inlineStr">
        <is>
          <t>R8.12</t>
        </is>
      </c>
      <c r="J85" s="11" t="inlineStr"/>
    </row>
    <row r="86" ht="88" customHeight="1">
      <c r="A86" s="4" t="n">
        <v>26</v>
      </c>
      <c r="B86" s="4" t="inlineStr">
        <is>
          <t>(4)</t>
        </is>
      </c>
      <c r="C86" s="4" t="inlineStr">
        <is>
          <t>R8.10</t>
        </is>
      </c>
      <c r="D86" s="5" t="inlineStr">
        <is>
          <t>認知症・医療介護連携の実績データ</t>
        </is>
      </c>
      <c r="E86"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86" s="5" t="inlineStr">
        <is>
          <t>素案 第5章 基本目標1・5
図表集 認知症・医療連携</t>
        </is>
      </c>
      <c r="G86" s="5" t="inlineStr">
        <is>
          <t>発注者・3町・北海道</t>
        </is>
      </c>
      <c r="H86" s="10" t="inlineStr">
        <is>
          <t>確認待ち</t>
        </is>
      </c>
      <c r="I86" s="10" t="inlineStr">
        <is>
          <t>R8.10</t>
        </is>
      </c>
      <c r="J86" s="11" t="inlineStr"/>
    </row>
    <row r="87" ht="88" customHeight="1">
      <c r="A87" s="4" t="n">
        <v>27</v>
      </c>
      <c r="B87" s="4" t="inlineStr">
        <is>
          <t>(3)</t>
        </is>
      </c>
      <c r="C87" s="4" t="inlineStr">
        <is>
          <t>R8.9</t>
        </is>
      </c>
      <c r="D87" s="5" t="inlineStr">
        <is>
          <t>令和4年度 健康とくらしの調査の集計表</t>
        </is>
      </c>
      <c r="E87"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87" s="5" t="inlineStr">
        <is>
          <t>調査クロス集計・分析 14シート
素案 第2章第4節</t>
        </is>
      </c>
      <c r="G87" s="5" t="inlineStr">
        <is>
          <t>発注者</t>
        </is>
      </c>
      <c r="H87" s="10" t="inlineStr">
        <is>
          <t>確認待ち</t>
        </is>
      </c>
      <c r="I87" s="10" t="inlineStr">
        <is>
          <t>R8.9</t>
        </is>
      </c>
      <c r="J87" s="11" t="inlineStr"/>
    </row>
    <row r="88" ht="88" customHeight="1">
      <c r="A88" s="4" t="n">
        <v>28</v>
      </c>
      <c r="B88" s="4" t="inlineStr">
        <is>
          <t>(3)</t>
        </is>
      </c>
      <c r="C88" s="4" t="inlineStr">
        <is>
          <t>R8.9</t>
        </is>
      </c>
      <c r="D88" s="5" t="inlineStr">
        <is>
          <t>調査対象者の範囲の確認</t>
        </is>
      </c>
      <c r="E88"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88" s="5" t="inlineStr">
        <is>
          <t>調査クロス集計・分析 13・14シート
H06・H11の基準値</t>
        </is>
      </c>
      <c r="G88" s="5" t="inlineStr">
        <is>
          <t>発注者</t>
        </is>
      </c>
      <c r="H88" s="10" t="inlineStr">
        <is>
          <t>確認待ち</t>
        </is>
      </c>
      <c r="I88" s="10" t="inlineStr">
        <is>
          <t>R8.9</t>
        </is>
      </c>
      <c r="J88" s="11" t="inlineStr"/>
    </row>
    <row r="89" ht="88" customHeight="1">
      <c r="A89" s="4" t="n">
        <v>29</v>
      </c>
      <c r="B89" s="4" t="inlineStr">
        <is>
          <t>(5)</t>
        </is>
      </c>
      <c r="C89" s="4" t="inlineStr">
        <is>
          <t>R8.10</t>
        </is>
      </c>
      <c r="D89" s="5" t="inlineStr">
        <is>
          <t>重度化の速度の前提</t>
        </is>
      </c>
      <c r="E89"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89" s="5" t="inlineStr">
        <is>
          <t>素案 第6章第1節
認定者数・給付費の推計</t>
        </is>
      </c>
      <c r="G89" s="5" t="inlineStr">
        <is>
          <t>発注者</t>
        </is>
      </c>
      <c r="H89" s="10" t="inlineStr">
        <is>
          <t>確認待ち</t>
        </is>
      </c>
      <c r="I89" s="10" t="inlineStr">
        <is>
          <t>R8.10</t>
        </is>
      </c>
      <c r="J89" s="11" t="inlineStr"/>
    </row>
    <row r="90" ht="88" customHeight="1">
      <c r="A90" s="4" t="n">
        <v>30</v>
      </c>
      <c r="B90" s="4" t="inlineStr">
        <is>
          <t>(5)</t>
        </is>
      </c>
      <c r="C90" s="4" t="inlineStr">
        <is>
          <t>R8.10</t>
        </is>
      </c>
      <c r="D90" s="5" t="inlineStr">
        <is>
          <t>施設入所者と在宅者を分けた要介護度の変化</t>
        </is>
      </c>
      <c r="E90"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90" s="5" t="inlineStr">
        <is>
          <t>重度化の速度の前提
保険料と施策評価の他団体比較 05シート</t>
        </is>
      </c>
      <c r="G90" s="5" t="inlineStr">
        <is>
          <t>発注者</t>
        </is>
      </c>
      <c r="H90" s="10" t="inlineStr">
        <is>
          <t>確認待ち</t>
        </is>
      </c>
      <c r="I90" s="10" t="inlineStr">
        <is>
          <t>R8.10</t>
        </is>
      </c>
      <c r="J90" s="11" t="inlineStr"/>
    </row>
    <row r="91" ht="88" customHeight="1">
      <c r="A91" s="4" t="n">
        <v>31</v>
      </c>
      <c r="B91" s="4" t="inlineStr">
        <is>
          <t>(5)</t>
        </is>
      </c>
      <c r="C91" s="4" t="inlineStr">
        <is>
          <t>R8.10</t>
        </is>
      </c>
      <c r="D91" s="5" t="inlineStr">
        <is>
          <t>給付適正化の実施予定と推計での扱い</t>
        </is>
      </c>
      <c r="E91"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91" s="5" t="inlineStr">
        <is>
          <t>素案 第6章第2節・第5章・第7章
給付費の推計</t>
        </is>
      </c>
      <c r="G91" s="5" t="inlineStr">
        <is>
          <t>発注者</t>
        </is>
      </c>
      <c r="H91" s="10" t="inlineStr">
        <is>
          <t>確認待ち</t>
        </is>
      </c>
      <c r="I91" s="10" t="inlineStr">
        <is>
          <t>R8.10</t>
        </is>
      </c>
      <c r="J91" s="11" t="inlineStr"/>
    </row>
    <row r="92" ht="88" customHeight="1">
      <c r="A92" s="4" t="n">
        <v>32</v>
      </c>
      <c r="B92" s="4" t="inlineStr">
        <is>
          <t>(2)</t>
        </is>
      </c>
      <c r="C92" s="4" t="inlineStr">
        <is>
          <t>R8.9</t>
        </is>
      </c>
      <c r="D92" s="5" t="inlineStr">
        <is>
          <t>第7期の保険料基準額</t>
        </is>
      </c>
      <c r="E92" s="5" t="inlineStr">
        <is>
          <t>見える化システムの値は6,077円であるが、計画素案では当初5,900円としていた。剰余の累計＋159円／月は6,077円を前提としたときにのみ整合する（(6,077－6,024)×3＝159）。条例による第7期の基準額の確認を要する。</t>
        </is>
      </c>
      <c r="F92" s="5" t="inlineStr">
        <is>
          <t>素案 第6章第6節
保険料の推移</t>
        </is>
      </c>
      <c r="G92" s="5" t="inlineStr">
        <is>
          <t>発注者</t>
        </is>
      </c>
      <c r="H92" s="6" t="inlineStr">
        <is>
          <t>完了</t>
        </is>
      </c>
      <c r="I92" s="10" t="inlineStr">
        <is>
          <t>R8.9</t>
        </is>
      </c>
      <c r="J92" s="11" t="inlineStr">
        <is>
          <t>見える化C1（介護保険事業計画報告値）により6,077円を確認した（令和8年7月30日受領）。条例による確認は不要となった。</t>
        </is>
      </c>
    </row>
    <row r="93" ht="88" customHeight="1">
      <c r="A93" s="4" t="n">
        <v>33</v>
      </c>
      <c r="B93" s="4" t="inlineStr">
        <is>
          <t>(5)</t>
        </is>
      </c>
      <c r="C93" s="4" t="inlineStr">
        <is>
          <t>R8.10</t>
        </is>
      </c>
      <c r="D93" s="5" t="inlineStr">
        <is>
          <t>第10期の政令改正の内容（所得段階）</t>
        </is>
      </c>
      <c r="E93"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93" s="5" t="inlineStr">
        <is>
          <t>第10期の段階設計
保険料の算定</t>
        </is>
      </c>
      <c r="G93" s="5" t="inlineStr">
        <is>
          <t>国の情報</t>
        </is>
      </c>
      <c r="H93" s="10" t="inlineStr">
        <is>
          <t>確認待ち</t>
        </is>
      </c>
      <c r="I93" s="10" t="inlineStr">
        <is>
          <t>告示後</t>
        </is>
      </c>
      <c r="J93" s="11" t="inlineStr"/>
    </row>
    <row r="94" ht="88" customHeight="1">
      <c r="A94" s="4" t="n">
        <v>34</v>
      </c>
      <c r="B94" s="4" t="inlineStr">
        <is>
          <t>(2)</t>
        </is>
      </c>
      <c r="C94" s="4" t="inlineStr">
        <is>
          <t>R8.10</t>
        </is>
      </c>
      <c r="D94" s="5" t="inlineStr">
        <is>
          <t>第9段階の乗率の経緯</t>
        </is>
      </c>
      <c r="E94"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94" s="5" t="inlineStr">
        <is>
          <t>第10期の段階設計
保険料の所得段階と低所得者軽減の検証 08シート</t>
        </is>
      </c>
      <c r="G94" s="5" t="inlineStr">
        <is>
          <t>発注者</t>
        </is>
      </c>
      <c r="H94" s="10" t="inlineStr">
        <is>
          <t>確認待ち</t>
        </is>
      </c>
      <c r="I94" s="10" t="inlineStr">
        <is>
          <t>R8.10</t>
        </is>
      </c>
      <c r="J94" s="11" t="inlineStr"/>
    </row>
    <row r="95" ht="88" customHeight="1">
      <c r="A95" s="4" t="n">
        <v>35</v>
      </c>
      <c r="B95" s="4" t="inlineStr">
        <is>
          <t>(4)</t>
        </is>
      </c>
      <c r="C95" s="4" t="inlineStr">
        <is>
          <t>R8.10</t>
        </is>
      </c>
      <c r="D95" s="5" t="inlineStr">
        <is>
          <t>上川管内の保険者の所得段階数と乗率</t>
        </is>
      </c>
      <c r="E95" s="5" t="inlineStr">
        <is>
          <t>上川管内21保険者の第9期の所得段階数と乗率。多段階化の状況を比較するために必要。北海道の資料又は各保険者の保険料条例による。</t>
        </is>
      </c>
      <c r="F95" s="5" t="inlineStr">
        <is>
          <t>保険料の所得段階と低所得者軽減の検証 05シート</t>
        </is>
      </c>
      <c r="G95" s="5" t="inlineStr">
        <is>
          <t>発注者・北海道</t>
        </is>
      </c>
      <c r="H95" s="10" t="inlineStr">
        <is>
          <t>確認待ち</t>
        </is>
      </c>
      <c r="I95" s="10" t="inlineStr">
        <is>
          <t>R8.10</t>
        </is>
      </c>
      <c r="J95" s="11" t="inlineStr"/>
    </row>
    <row r="96" ht="88" customHeight="1">
      <c r="A96" s="4" t="n">
        <v>36</v>
      </c>
      <c r="B96" s="4" t="inlineStr">
        <is>
          <t>(5)</t>
        </is>
      </c>
      <c r="C96" s="4" t="inlineStr">
        <is>
          <t>R8.10</t>
        </is>
      </c>
      <c r="D96" s="5" t="inlineStr">
        <is>
          <t>所得段階別被保険者数の実績と収納率</t>
        </is>
      </c>
      <c r="E96"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96" s="5" t="inlineStr">
        <is>
          <t>所得段階別被保険者数の推計
保険料の算定
素案 第6章第7節</t>
        </is>
      </c>
      <c r="G96" s="5" t="inlineStr">
        <is>
          <t>発注者</t>
        </is>
      </c>
      <c r="H96" s="10" t="inlineStr">
        <is>
          <t>確認待ち</t>
        </is>
      </c>
      <c r="I96" s="10" t="inlineStr">
        <is>
          <t>R8.10</t>
        </is>
      </c>
      <c r="J96" s="11" t="inlineStr"/>
    </row>
    <row r="97" ht="88" customHeight="1">
      <c r="A97" s="4" t="n">
        <v>37</v>
      </c>
      <c r="B97" s="4" t="inlineStr">
        <is>
          <t>(2)</t>
        </is>
      </c>
      <c r="C97" s="4" t="inlineStr">
        <is>
          <t>R8.8</t>
        </is>
      </c>
      <c r="D97" s="5" t="inlineStr">
        <is>
          <t>年齢階級別・要介護度別の認定率</t>
        </is>
      </c>
      <c r="E97"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97" s="5" t="inlineStr">
        <is>
          <t>素案 第3章第4節
妥当性検証 所見7</t>
        </is>
      </c>
      <c r="G97" s="5" t="inlineStr">
        <is>
          <t>発注者</t>
        </is>
      </c>
      <c r="H97" s="6" t="inlineStr">
        <is>
          <t>完了</t>
        </is>
      </c>
      <c r="I97" s="10" t="inlineStr">
        <is>
          <t>R8.8</t>
        </is>
      </c>
      <c r="J97" s="11" t="inlineStr">
        <is>
          <t>令和8年7月29日にB4a・B4c・B4d・B4e・B5a・B6a・B6bを受領。認定率の年齢調整分析（7シート）として分析済み</t>
        </is>
      </c>
    </row>
    <row r="98" ht="88" customHeight="1">
      <c r="A98" s="4" t="n">
        <v>38</v>
      </c>
      <c r="B98" s="4" t="inlineStr">
        <is>
          <t>(2)</t>
        </is>
      </c>
      <c r="C98" s="4" t="inlineStr">
        <is>
          <t>R8.9</t>
        </is>
      </c>
      <c r="D98" s="5" t="inlineStr">
        <is>
          <t>交付金評価の令和6年・令和7年調査の結果</t>
        </is>
      </c>
      <c r="E98"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98" s="5" t="inlineStr">
        <is>
          <t>素案 第3章第4節
妥当性検証 所見18・19</t>
        </is>
      </c>
      <c r="G98" s="5" t="inlineStr">
        <is>
          <t>発注者</t>
        </is>
      </c>
      <c r="H98" s="10" t="inlineStr">
        <is>
          <t>確認待ち</t>
        </is>
      </c>
      <c r="I98" s="10" t="inlineStr">
        <is>
          <t>R8.9</t>
        </is>
      </c>
      <c r="J98" s="11" t="inlineStr"/>
    </row>
    <row r="100" ht="32" customHeight="1">
      <c r="A100" s="3" t="inlineStr">
        <is>
          <t>区分</t>
        </is>
      </c>
      <c r="B100" s="3" t="inlineStr">
        <is>
          <t>件数</t>
        </is>
      </c>
      <c r="C100" s="3" t="inlineStr"/>
      <c r="D100" s="3" t="inlineStr"/>
      <c r="E100" s="3" t="inlineStr"/>
      <c r="F100" s="3" t="inlineStr"/>
      <c r="G100" s="3" t="inlineStr"/>
      <c r="H100" s="3" t="inlineStr"/>
      <c r="I100" s="3" t="inlineStr"/>
      <c r="J100" s="3" t="inlineStr"/>
    </row>
    <row r="101" ht="20" customHeight="1">
      <c r="A101" s="6" t="inlineStr">
        <is>
          <t>完了</t>
        </is>
      </c>
      <c r="B101" s="4">
        <f>COUNTIF(H5:H98,"完了")</f>
        <v/>
      </c>
      <c r="C101" s="5" t="inlineStr"/>
      <c r="D101" s="5" t="inlineStr"/>
      <c r="E101" s="5" t="inlineStr"/>
      <c r="F101" s="5" t="inlineStr"/>
      <c r="G101" s="5" t="inlineStr"/>
      <c r="H101" s="5" t="inlineStr"/>
      <c r="I101" s="5" t="inlineStr"/>
      <c r="J101" s="5" t="inlineStr"/>
    </row>
    <row r="102" ht="20" customHeight="1">
      <c r="A102" s="8" t="inlineStr">
        <is>
          <t>実施中</t>
        </is>
      </c>
      <c r="B102" s="4">
        <f>COUNTIF(H5:H98,"実施中")</f>
        <v/>
      </c>
      <c r="C102" s="5" t="inlineStr"/>
      <c r="D102" s="5" t="inlineStr"/>
      <c r="E102" s="5" t="inlineStr"/>
      <c r="F102" s="5" t="inlineStr"/>
      <c r="G102" s="5" t="inlineStr"/>
      <c r="H102" s="5" t="inlineStr"/>
      <c r="I102" s="5" t="inlineStr"/>
      <c r="J102" s="5" t="inlineStr"/>
    </row>
    <row r="103" ht="20" customHeight="1">
      <c r="A103" s="10" t="inlineStr">
        <is>
          <t>確認待ち</t>
        </is>
      </c>
      <c r="B103" s="4">
        <f>COUNTIF(H5:H98,"確認待ち")</f>
        <v/>
      </c>
      <c r="C103" s="5" t="inlineStr"/>
      <c r="D103" s="5" t="inlineStr"/>
      <c r="E103" s="5" t="inlineStr"/>
      <c r="F103" s="5" t="inlineStr"/>
      <c r="G103" s="5" t="inlineStr"/>
      <c r="H103" s="5" t="inlineStr"/>
      <c r="I103" s="5" t="inlineStr"/>
      <c r="J103" s="5" t="inlineStr"/>
    </row>
    <row r="104" ht="20" customHeight="1">
      <c r="A104" s="12" t="inlineStr">
        <is>
          <t>未着手</t>
        </is>
      </c>
      <c r="B104" s="4">
        <f>COUNTIF(H5:H98,"未着手")</f>
        <v/>
      </c>
      <c r="C104" s="5" t="inlineStr"/>
      <c r="D104" s="5" t="inlineStr"/>
      <c r="E104" s="5" t="inlineStr"/>
      <c r="F104" s="5" t="inlineStr"/>
      <c r="G104" s="5" t="inlineStr"/>
      <c r="H104" s="5" t="inlineStr"/>
      <c r="I104" s="5" t="inlineStr"/>
      <c r="J104" s="5" t="inlineStr"/>
    </row>
    <row r="105" ht="20" customHeight="1">
      <c r="A105" s="14" t="inlineStr">
        <is>
          <t>対象外</t>
        </is>
      </c>
      <c r="B105" s="4">
        <f>COUNTIF(H5:H98,"対象外")</f>
        <v/>
      </c>
      <c r="C105" s="5" t="inlineStr"/>
      <c r="D105" s="5" t="inlineStr"/>
      <c r="E105" s="5" t="inlineStr"/>
      <c r="F105" s="5" t="inlineStr"/>
      <c r="G105" s="5" t="inlineStr"/>
      <c r="H105" s="5" t="inlineStr"/>
      <c r="I105" s="5" t="inlineStr"/>
      <c r="J105" s="5" t="inlineStr"/>
    </row>
    <row r="107" ht="32" customHeight="1">
      <c r="A107" s="3" t="inlineStr">
        <is>
          <t>確認先</t>
        </is>
      </c>
      <c r="B107" s="3" t="inlineStr">
        <is>
          <t>件数</t>
        </is>
      </c>
      <c r="C107" s="3" t="inlineStr"/>
      <c r="D107" s="3" t="inlineStr"/>
      <c r="E107" s="3" t="inlineStr"/>
      <c r="F107" s="3" t="inlineStr"/>
      <c r="G107" s="3" t="inlineStr"/>
      <c r="H107" s="3" t="inlineStr"/>
      <c r="I107" s="3" t="inlineStr"/>
      <c r="J107" s="3" t="inlineStr"/>
    </row>
    <row r="108" ht="20" customHeight="1">
      <c r="A108" s="5" t="inlineStr">
        <is>
          <t>発注者</t>
        </is>
      </c>
      <c r="B108" s="4">
        <f>COUNTIF(G5:G98,"発注者")</f>
        <v/>
      </c>
      <c r="C108" s="5" t="inlineStr"/>
      <c r="D108" s="5" t="inlineStr"/>
      <c r="E108" s="5" t="inlineStr"/>
      <c r="F108" s="5" t="inlineStr"/>
      <c r="G108" s="5" t="inlineStr"/>
      <c r="H108" s="5" t="inlineStr"/>
      <c r="I108" s="5" t="inlineStr"/>
      <c r="J108" s="5" t="inlineStr"/>
    </row>
    <row r="109" ht="20" customHeight="1">
      <c r="A109" s="5" t="inlineStr">
        <is>
          <t>発注者・3町</t>
        </is>
      </c>
      <c r="B109" s="4">
        <f>COUNTIF(G5:G98,"発注者・3町")</f>
        <v/>
      </c>
      <c r="C109" s="5" t="inlineStr"/>
      <c r="D109" s="5" t="inlineStr"/>
      <c r="E109" s="5" t="inlineStr"/>
      <c r="F109" s="5" t="inlineStr"/>
      <c r="G109" s="5" t="inlineStr"/>
      <c r="H109" s="5" t="inlineStr"/>
      <c r="I109" s="5" t="inlineStr"/>
      <c r="J109" s="5" t="inlineStr"/>
    </row>
    <row r="110" ht="20" customHeight="1">
      <c r="A110" s="5" t="inlineStr">
        <is>
          <t>発注者・北海道</t>
        </is>
      </c>
      <c r="B110" s="4">
        <f>COUNTIF(G5:G98,"発注者・北海道")</f>
        <v/>
      </c>
      <c r="C110" s="5" t="inlineStr"/>
      <c r="D110" s="5" t="inlineStr"/>
      <c r="E110" s="5" t="inlineStr"/>
      <c r="F110" s="5" t="inlineStr"/>
      <c r="G110" s="5" t="inlineStr"/>
      <c r="H110" s="5" t="inlineStr"/>
      <c r="I110" s="5" t="inlineStr"/>
      <c r="J110" s="5" t="inlineStr"/>
    </row>
    <row r="111" ht="20" customHeight="1">
      <c r="A111" s="5" t="inlineStr">
        <is>
          <t>発注者・3町・北海道</t>
        </is>
      </c>
      <c r="B111" s="4">
        <f>COUNTIF(G5:G98,"発注者・3町・北海道")</f>
        <v/>
      </c>
      <c r="C111" s="5" t="inlineStr"/>
      <c r="D111" s="5" t="inlineStr"/>
      <c r="E111" s="5" t="inlineStr"/>
      <c r="F111" s="5" t="inlineStr"/>
      <c r="G111" s="5" t="inlineStr"/>
      <c r="H111" s="5" t="inlineStr"/>
      <c r="I111" s="5" t="inlineStr"/>
      <c r="J111" s="5" t="inlineStr"/>
    </row>
    <row r="112" ht="20" customHeight="1">
      <c r="A112" s="5" t="inlineStr">
        <is>
          <t>北海道</t>
        </is>
      </c>
      <c r="B112" s="4">
        <f>COUNTIF(G5:G98,"北海道")</f>
        <v/>
      </c>
      <c r="C112" s="5" t="inlineStr"/>
      <c r="D112" s="5" t="inlineStr"/>
      <c r="E112" s="5" t="inlineStr"/>
      <c r="F112" s="5" t="inlineStr"/>
      <c r="G112" s="5" t="inlineStr"/>
      <c r="H112" s="5" t="inlineStr"/>
      <c r="I112" s="5" t="inlineStr"/>
      <c r="J112" s="5" t="inlineStr"/>
    </row>
    <row r="114" ht="28" customHeight="1">
      <c r="A114"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14:J114"/>
    <mergeCell ref="A1:J1"/>
    <mergeCell ref="A2:J2"/>
  </mergeCells>
  <conditionalFormatting sqref="H5:H9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98"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2026-09-10T05:43:06Z</dcterms:created>
  <dcterms:modified xmlns:dcterms="http://purl.org/dc/terms/" xmlns:xsi="http://www.w3.org/2001/XMLSchema-instance" xsi:type="dcterms:W3CDTF">2026-09-10T05:43:06Z</dcterms:modified>
</cp:coreProperties>
</file>