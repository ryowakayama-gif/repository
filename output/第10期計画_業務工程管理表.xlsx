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2"/>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業務仕様書「４．業務内容」（1）〜（12）及び「５．業務スケジュール（予定）」に沿って、業務内容別・月別の進捗を管理する。作成日：令和8年7月29日。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1" ht="32" customHeight="1">
      <c r="A11" s="3" t="inlineStr">
        <is>
          <t>区分</t>
        </is>
      </c>
      <c r="B11" s="3" t="inlineStr">
        <is>
          <t>意味</t>
        </is>
      </c>
      <c r="C11" s="3" t="inlineStr">
        <is>
          <t>色</t>
        </is>
      </c>
      <c r="D11" s="3" t="inlineStr"/>
      <c r="E11" s="3" t="inlineStr"/>
      <c r="F11" s="3" t="inlineStr"/>
    </row>
    <row r="12" ht="24" customHeight="1">
      <c r="A12" s="6" t="inlineStr">
        <is>
          <t>完了</t>
        </is>
      </c>
      <c r="B12" s="5" t="inlineStr">
        <is>
          <t>当該項目の作業が終わり、成果物を提出済み又は提出可能な状態にある</t>
        </is>
      </c>
      <c r="C12" s="7" t="inlineStr"/>
      <c r="D12" s="5" t="inlineStr"/>
      <c r="E12" s="5" t="inlineStr"/>
      <c r="F12" s="5" t="inlineStr"/>
    </row>
    <row r="13" ht="24" customHeight="1">
      <c r="A13" s="8" t="inlineStr">
        <is>
          <t>実施中</t>
        </is>
      </c>
      <c r="B13" s="5" t="inlineStr">
        <is>
          <t>着手しているが完了していない</t>
        </is>
      </c>
      <c r="C13" s="9" t="inlineStr"/>
      <c r="D13" s="5" t="inlineStr"/>
      <c r="E13" s="5" t="inlineStr"/>
      <c r="F13" s="5" t="inlineStr"/>
    </row>
    <row r="14" ht="24" customHeight="1">
      <c r="A14" s="10" t="inlineStr">
        <is>
          <t>確認待ち</t>
        </is>
      </c>
      <c r="B14" s="5" t="inlineStr">
        <is>
          <t>受託者の作業は終わっており、発注者・3町・北海道からの回答又は資料の提供を待っている</t>
        </is>
      </c>
      <c r="C14" s="11" t="inlineStr"/>
      <c r="D14" s="5" t="inlineStr"/>
      <c r="E14" s="5" t="inlineStr"/>
      <c r="F14" s="5" t="inlineStr"/>
    </row>
    <row r="15" ht="24" customHeight="1">
      <c r="A15" s="12" t="inlineStr">
        <is>
          <t>未着手</t>
        </is>
      </c>
      <c r="B15" s="5" t="inlineStr">
        <is>
          <t>工程上まだ着手していない、又は前提条件が整っていない</t>
        </is>
      </c>
      <c r="C15" s="13" t="inlineStr"/>
      <c r="D15" s="5" t="inlineStr"/>
      <c r="E15" s="5" t="inlineStr"/>
      <c r="F15" s="5" t="inlineStr"/>
    </row>
    <row r="16" ht="24" customHeight="1">
      <c r="A16" s="14" t="inlineStr">
        <is>
          <t>対象外</t>
        </is>
      </c>
      <c r="B16" s="5" t="inlineStr">
        <is>
          <t>本業務の範囲外、又は該当がない</t>
        </is>
      </c>
      <c r="C16" s="15" t="inlineStr"/>
      <c r="D16" s="5" t="inlineStr"/>
      <c r="E16" s="5" t="inlineStr"/>
      <c r="F16" s="5" t="inlineStr"/>
    </row>
    <row r="18" ht="39" customHeight="1">
      <c r="A18"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0" ht="28" customHeight="1">
      <c r="A20"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2" ht="52" customHeight="1">
      <c r="A22"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t>
        </is>
      </c>
    </row>
  </sheetData>
  <mergeCells count="5">
    <mergeCell ref="A2:F2"/>
    <mergeCell ref="A1:F1"/>
    <mergeCell ref="A22:F22"/>
    <mergeCell ref="A18:F18"/>
    <mergeCell ref="A20:F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t>
        </is>
      </c>
      <c r="E6" s="5" t="inlineStr">
        <is>
          <t>妥当性検証報告書 01・02・12・23シート
素案第10稿 第3章
施策体系新旧対照表</t>
        </is>
      </c>
      <c r="F6" s="10" t="inlineStr">
        <is>
          <t>実施中</t>
        </is>
      </c>
      <c r="G6" s="17" t="n">
        <v>0.8</v>
      </c>
      <c r="H6" s="10" t="inlineStr">
        <is>
          <t>R8.9</t>
        </is>
      </c>
      <c r="I6" s="11" t="inlineStr">
        <is>
          <t>令和6〜8年度の施策・事業実績、事業量、対象実人数、予算・決算が未受領（確認No.5）。受領後に施策単位の達成度を判定する</t>
        </is>
      </c>
      <c r="J6" s="5" t="inlineStr">
        <is>
          <t>5, 6, 7, 23</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調査クロス集計・分析（13シート）
図表集 08〜13シート
妥当性検証報告書 11シート
素案第10稿 第2章第4〜6節</t>
        </is>
      </c>
      <c r="F7" s="10" t="inlineStr">
        <is>
          <t>実施中</t>
        </is>
      </c>
      <c r="G7" s="17" t="n">
        <v>0.8</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19シート）。レビューにより、本調査の対象者が一般高齢者及び総合事業対象者であり要支援者・要介護者を含まないことが判明したため、H06・H11の位置づけを代替から補完に改めた（確認No.28）。第10期分の3調査が未受領のため②③④は令和5年調査分の再整理にとどまり、⑤4調査横断のクロス集計は未着手（確認No.8）。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t>
        </is>
      </c>
      <c r="F8" s="10" t="inlineStr">
        <is>
          <t>実施中</t>
        </is>
      </c>
      <c r="G8" s="17" t="n">
        <v>0.8</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t>
        </is>
      </c>
      <c r="J8" s="5" t="inlineStr">
        <is>
          <t>3, 11, 12, 13, 26</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推計資料（見える化の総括表）</t>
        </is>
      </c>
      <c r="F9" s="10" t="inlineStr">
        <is>
          <t>未着手</t>
        </is>
      </c>
      <c r="G9" s="17" t="n">
        <v>0.15</v>
      </c>
      <c r="H9" s="10" t="inlineStr">
        <is>
          <t>R8.12</t>
        </is>
      </c>
      <c r="I9" s="11" t="inlineStr">
        <is>
          <t>自然体推計の構造と補正手順は整理済み（追加調査報告書06シート）。令和6〜8年度の実績確定後に着手する。総人口・被保険者数を社人研推計とするか3町の総合計画等による推計に差し替えるかの決定が必要（確認No.14）</t>
        </is>
      </c>
      <c r="J9" s="5" t="inlineStr">
        <is>
          <t>14, 15, 16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素案第10稿（565段落98表34図）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貸与資料の受領と整理は先行実施済み。第9期計画の評価・検証は妥当性検証報告書（24シート）として先行して取りまとめ済み。キックオフ会議の日程が未確定</t>
        </is>
      </c>
      <c r="F5" s="8" t="inlineStr">
        <is>
          <t>実施中</t>
        </is>
      </c>
      <c r="G5" s="10" t="inlineStr"/>
      <c r="H5" s="10" t="inlineStr"/>
      <c r="I5" s="11" t="inlineStr"/>
      <c r="J5" s="5" t="inlineStr">
        <is>
          <t>キックオフ会議で、①事業所実態調査の取扱い、②工程の前倒しの可否、③委員会日程を決定いただきたい</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JAGES調査は分析済み。他3調査は第10期分の確定集計が未受領。介護給付実績分析・現状分析は見える化データにより先行実施済み（妥当性検証報告書・図表集）。人口推計は実績確定後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3調査の確定集計の受領が前提。仕様書は9月に人口推計・現状分析を求めているが、令和6〜8年度の実績確定時期の確認を要する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主要所見20件）。骨子案は計画素案（第10稿）に統合して先行作成済み。将来推計は未着手</t>
        </is>
      </c>
      <c r="F7" s="12" t="inlineStr">
        <is>
          <t>未着手</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3調査の確定集計</t>
        </is>
      </c>
      <c r="E12" s="5" t="inlineStr">
        <is>
          <t>在宅生活改善調査・居所変更実態調査・介護人材実態調査（第10期分）の調査票、回答データ（Excel、CSV等）、集計資料、分析資料及び報告書。仕様書４（3）は契約締結後に貸与するとしている。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居宅サービスは北海道、地域密着型は広域連合が保有）、②中山間地域等居住者サービス提供加算・特別地域加算の算定事業所と件数、③3町の除雪計画における優先路線と冬期の通行支障の実績。</t>
        </is>
      </c>
      <c r="F17" s="5" t="inlineStr">
        <is>
          <t>素案 第1章第7節
追加調査報告書 03シート</t>
        </is>
      </c>
      <c r="G17" s="5" t="inlineStr">
        <is>
          <t>発注者・3町・北海道</t>
        </is>
      </c>
      <c r="H17" s="10" t="inlineStr">
        <is>
          <t>確認待ち</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4" ht="32" customHeight="1">
      <c r="A34" s="3" t="inlineStr">
        <is>
          <t>区分</t>
        </is>
      </c>
      <c r="B34" s="3" t="inlineStr">
        <is>
          <t>件数</t>
        </is>
      </c>
      <c r="C34" s="3" t="inlineStr"/>
      <c r="D34" s="3" t="inlineStr"/>
      <c r="E34" s="3" t="inlineStr"/>
      <c r="F34" s="3" t="inlineStr"/>
      <c r="G34" s="3" t="inlineStr"/>
      <c r="H34" s="3" t="inlineStr"/>
      <c r="I34" s="3" t="inlineStr"/>
      <c r="J34" s="3" t="inlineStr"/>
    </row>
    <row r="35" ht="20" customHeight="1">
      <c r="A35" s="6" t="inlineStr">
        <is>
          <t>完了</t>
        </is>
      </c>
      <c r="B35" s="4">
        <f>COUNTIF(H5:H32,"完了")</f>
        <v/>
      </c>
      <c r="C35" s="5" t="inlineStr"/>
      <c r="D35" s="5" t="inlineStr"/>
      <c r="E35" s="5" t="inlineStr"/>
      <c r="F35" s="5" t="inlineStr"/>
      <c r="G35" s="5" t="inlineStr"/>
      <c r="H35" s="5" t="inlineStr"/>
      <c r="I35" s="5" t="inlineStr"/>
      <c r="J35" s="5" t="inlineStr"/>
    </row>
    <row r="36" ht="20" customHeight="1">
      <c r="A36" s="8" t="inlineStr">
        <is>
          <t>実施中</t>
        </is>
      </c>
      <c r="B36" s="4">
        <f>COUNTIF(H5:H32,"実施中")</f>
        <v/>
      </c>
      <c r="C36" s="5" t="inlineStr"/>
      <c r="D36" s="5" t="inlineStr"/>
      <c r="E36" s="5" t="inlineStr"/>
      <c r="F36" s="5" t="inlineStr"/>
      <c r="G36" s="5" t="inlineStr"/>
      <c r="H36" s="5" t="inlineStr"/>
      <c r="I36" s="5" t="inlineStr"/>
      <c r="J36" s="5" t="inlineStr"/>
    </row>
    <row r="37" ht="20" customHeight="1">
      <c r="A37" s="10" t="inlineStr">
        <is>
          <t>確認待ち</t>
        </is>
      </c>
      <c r="B37" s="4">
        <f>COUNTIF(H5:H32,"確認待ち")</f>
        <v/>
      </c>
      <c r="C37" s="5" t="inlineStr"/>
      <c r="D37" s="5" t="inlineStr"/>
      <c r="E37" s="5" t="inlineStr"/>
      <c r="F37" s="5" t="inlineStr"/>
      <c r="G37" s="5" t="inlineStr"/>
      <c r="H37" s="5" t="inlineStr"/>
      <c r="I37" s="5" t="inlineStr"/>
      <c r="J37" s="5" t="inlineStr"/>
    </row>
    <row r="38" ht="20" customHeight="1">
      <c r="A38" s="12" t="inlineStr">
        <is>
          <t>未着手</t>
        </is>
      </c>
      <c r="B38" s="4">
        <f>COUNTIF(H5:H32,"未着手")</f>
        <v/>
      </c>
      <c r="C38" s="5" t="inlineStr"/>
      <c r="D38" s="5" t="inlineStr"/>
      <c r="E38" s="5" t="inlineStr"/>
      <c r="F38" s="5" t="inlineStr"/>
      <c r="G38" s="5" t="inlineStr"/>
      <c r="H38" s="5" t="inlineStr"/>
      <c r="I38" s="5" t="inlineStr"/>
      <c r="J38" s="5" t="inlineStr"/>
    </row>
    <row r="39" ht="20" customHeight="1">
      <c r="A39" s="14" t="inlineStr">
        <is>
          <t>対象外</t>
        </is>
      </c>
      <c r="B39" s="4">
        <f>COUNTIF(H5:H32,"対象外")</f>
        <v/>
      </c>
      <c r="C39" s="5" t="inlineStr"/>
      <c r="D39" s="5" t="inlineStr"/>
      <c r="E39" s="5" t="inlineStr"/>
      <c r="F39" s="5" t="inlineStr"/>
      <c r="G39" s="5" t="inlineStr"/>
      <c r="H39" s="5" t="inlineStr"/>
      <c r="I39" s="5" t="inlineStr"/>
      <c r="J39" s="5" t="inlineStr"/>
    </row>
    <row r="41" ht="32" customHeight="1">
      <c r="A41" s="3" t="inlineStr">
        <is>
          <t>確認先</t>
        </is>
      </c>
      <c r="B41" s="3" t="inlineStr">
        <is>
          <t>件数</t>
        </is>
      </c>
      <c r="C41" s="3" t="inlineStr"/>
      <c r="D41" s="3" t="inlineStr"/>
      <c r="E41" s="3" t="inlineStr"/>
      <c r="F41" s="3" t="inlineStr"/>
      <c r="G41" s="3" t="inlineStr"/>
      <c r="H41" s="3" t="inlineStr"/>
      <c r="I41" s="3" t="inlineStr"/>
      <c r="J41" s="3" t="inlineStr"/>
    </row>
    <row r="42" ht="20" customHeight="1">
      <c r="A42" s="5" t="inlineStr">
        <is>
          <t>発注者</t>
        </is>
      </c>
      <c r="B42" s="4">
        <f>COUNTIF(G5:G32,"発注者")</f>
        <v/>
      </c>
      <c r="C42" s="5" t="inlineStr"/>
      <c r="D42" s="5" t="inlineStr"/>
      <c r="E42" s="5" t="inlineStr"/>
      <c r="F42" s="5" t="inlineStr"/>
      <c r="G42" s="5" t="inlineStr"/>
      <c r="H42" s="5" t="inlineStr"/>
      <c r="I42" s="5" t="inlineStr"/>
      <c r="J42" s="5" t="inlineStr"/>
    </row>
    <row r="43" ht="20" customHeight="1">
      <c r="A43" s="5" t="inlineStr">
        <is>
          <t>発注者・3町</t>
        </is>
      </c>
      <c r="B43" s="4">
        <f>COUNTIF(G5:G32,"発注者・3町")</f>
        <v/>
      </c>
      <c r="C43" s="5" t="inlineStr"/>
      <c r="D43" s="5" t="inlineStr"/>
      <c r="E43" s="5" t="inlineStr"/>
      <c r="F43" s="5" t="inlineStr"/>
      <c r="G43" s="5" t="inlineStr"/>
      <c r="H43" s="5" t="inlineStr"/>
      <c r="I43" s="5" t="inlineStr"/>
      <c r="J43" s="5" t="inlineStr"/>
    </row>
    <row r="44" ht="20" customHeight="1">
      <c r="A44" s="5" t="inlineStr">
        <is>
          <t>発注者・北海道</t>
        </is>
      </c>
      <c r="B44" s="4">
        <f>COUNTIF(G5:G32,"発注者・北海道")</f>
        <v/>
      </c>
      <c r="C44" s="5" t="inlineStr"/>
      <c r="D44" s="5" t="inlineStr"/>
      <c r="E44" s="5" t="inlineStr"/>
      <c r="F44" s="5" t="inlineStr"/>
      <c r="G44" s="5" t="inlineStr"/>
      <c r="H44" s="5" t="inlineStr"/>
      <c r="I44" s="5" t="inlineStr"/>
      <c r="J44" s="5" t="inlineStr"/>
    </row>
    <row r="45" ht="20" customHeight="1">
      <c r="A45" s="5" t="inlineStr">
        <is>
          <t>発注者・3町・北海道</t>
        </is>
      </c>
      <c r="B45" s="4">
        <f>COUNTIF(G5:G32,"発注者・3町・北海道")</f>
        <v/>
      </c>
      <c r="C45" s="5" t="inlineStr"/>
      <c r="D45" s="5" t="inlineStr"/>
      <c r="E45" s="5" t="inlineStr"/>
      <c r="F45" s="5" t="inlineStr"/>
      <c r="G45" s="5" t="inlineStr"/>
      <c r="H45" s="5" t="inlineStr"/>
      <c r="I45" s="5" t="inlineStr"/>
      <c r="J45" s="5" t="inlineStr"/>
    </row>
    <row r="46" ht="20" customHeight="1">
      <c r="A46" s="5" t="inlineStr">
        <is>
          <t>北海道</t>
        </is>
      </c>
      <c r="B46" s="4">
        <f>COUNTIF(G5:G32,"北海道")</f>
        <v/>
      </c>
      <c r="C46" s="5" t="inlineStr"/>
      <c r="D46" s="5" t="inlineStr"/>
      <c r="E46" s="5" t="inlineStr"/>
      <c r="F46" s="5" t="inlineStr"/>
      <c r="G46" s="5" t="inlineStr"/>
      <c r="H46" s="5" t="inlineStr"/>
      <c r="I46" s="5" t="inlineStr"/>
      <c r="J46" s="5" t="inlineStr"/>
    </row>
    <row r="48" ht="28" customHeight="1">
      <c r="A4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48:J48"/>
    <mergeCell ref="A2:J2"/>
  </mergeCells>
  <conditionalFormatting sqref="H5:H3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3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第10期計画_調査クロス集計・分析.xlsx（13シート）
第10期計画_図表集_白黒.xlsx（33シート133点）
第10期計画_妥当性検証報告書.xlsx（24シート）
第10期計画_追加調査報告書.xlsx（8シート）
第10期計画_施策体系新旧対照表.xlsx（5シート）
figures/*.png（34点）</t>
        </is>
      </c>
      <c r="D7" s="5" t="inlineStr">
        <is>
          <t>Excel（計算式・元数値を保持）
PNG及びPDF</t>
        </is>
      </c>
      <c r="E7" s="8" t="inlineStr">
        <is>
          <t>実施中</t>
        </is>
      </c>
      <c r="F7" s="20" t="n">
        <v>0.7</v>
      </c>
      <c r="G7" s="10" t="inlineStr">
        <is>
          <t>R9.3</t>
        </is>
      </c>
      <c r="H7" s="11" t="inlineStr">
        <is>
          <t>①推計資料（人口推計・サービス見込量・保険料算定）が未作成。②クロス集計表は健康とくらしの調査分を作成済み。他の3調査分は第10期データの受領後に作成する。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第10期計画_確認依頼書.docx（第8版）
第10期計画素案_第9稿→第10稿_修正指示書.xlsx（66件）
第10期計画_業務工程管理表.xlsx（本表）</t>
        </is>
      </c>
      <c r="D8" s="5" t="inlineStr">
        <is>
          <t>Word及びExcel</t>
        </is>
      </c>
      <c r="E8" s="8" t="inlineStr">
        <is>
          <t>実施中</t>
        </is>
      </c>
      <c r="F8" s="20" t="n">
        <v>0.35</v>
      </c>
      <c r="G8" s="10" t="inlineStr">
        <is>
          <t>R9.3</t>
        </is>
      </c>
      <c r="H8" s="11" t="inlineStr">
        <is>
          <t>①キックオフ会議資料は日程確定後に作成する。②運営協議会等への資料原案は開催日程と審議事項の確定を要する。③パブリックコメント資料は実施期間の確定を要する。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一部受領</t>
        </is>
      </c>
      <c r="E5" s="4" t="inlineStr">
        <is>
          <t>完了</t>
        </is>
      </c>
      <c r="F5" s="4" t="inlineStr">
        <is>
          <t>未着手</t>
        </is>
      </c>
      <c r="G5" s="4" t="inlineStr">
        <is>
          <t>実施中</t>
        </is>
      </c>
      <c r="H5" s="4" t="inlineStr">
        <is>
          <t>実施中</t>
        </is>
      </c>
      <c r="I5" s="11" t="inlineStr">
        <is>
          <t>第9期計画に掲載された令和5年5月25日実施分（居宅介護支援事業所12事業所・91人）を再整理し、図表集12シートに結果概要としてまとめた（要介護度別内訳を含む）。第10期分の調査票・回答データ・集計資料は未受領のため、クロス集計とH06の基準値の算定ができない。</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一部受領</t>
        </is>
      </c>
      <c r="E6" s="4" t="inlineStr">
        <is>
          <t>完了</t>
        </is>
      </c>
      <c r="F6" s="4" t="inlineStr">
        <is>
          <t>未着手</t>
        </is>
      </c>
      <c r="G6" s="4" t="inlineStr">
        <is>
          <t>実施中</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第10期分は未受領。介護老人福祉施設の定員が234人から160人へ減少しており、移行先の実態把握が第6章の見込量算定に直結す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一部受領</t>
        </is>
      </c>
      <c r="E7" s="4" t="inlineStr">
        <is>
          <t>完了</t>
        </is>
      </c>
      <c r="F7" s="4" t="inlineStr">
        <is>
          <t>未着手</t>
        </is>
      </c>
      <c r="G7" s="4" t="inlineStr">
        <is>
          <t>実施中</t>
        </is>
      </c>
      <c r="H7" s="4" t="inlineStr">
        <is>
          <t>実施中</t>
        </is>
      </c>
      <c r="I7" s="11" t="inlineStr">
        <is>
          <t>第9期計画に掲載された令和5年5月25日実施分（施設系35事業所中27施設回答・回収率77.1％・該当職員405人）を再整理し、図表集13シートにまとめた。第10期分は未受領。北海道の評価指標⑥と同じ「採用率と離職率の差」（H14）の算定には、各年9月30日現在の在籍者数と年間の採用者数・退職者数を要す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第9期計画に掲載された令和5年調査分を再整理した段階であり、第10期分の調査票・回答データ・集計資料は未受領である。このため計画素案の該当箇所は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2026-07-29T11:53:08Z</dcterms:created>
  <dcterms:modified xmlns:dcterms="http://purl.org/dc/terms/" xmlns:xsi="http://www.w3.org/2001/XMLSchema-instance" xsi:type="dcterms:W3CDTF">2026-07-29T11:53:08Z</dcterms:modified>
</cp:coreProperties>
</file>