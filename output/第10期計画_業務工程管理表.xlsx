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管理方法" sheetId="1" state="visible" r:id="rId1"/>
    <sheet xmlns:r="http://schemas.openxmlformats.org/officeDocument/2006/relationships" name="01_業務内容別の進捗" sheetId="2" state="visible" r:id="rId2"/>
    <sheet xmlns:r="http://schemas.openxmlformats.org/officeDocument/2006/relationships" name="02_月別工程管理" sheetId="3" state="visible" r:id="rId3"/>
    <sheet xmlns:r="http://schemas.openxmlformats.org/officeDocument/2006/relationships" name="03_確認事項一覧" sheetId="4" state="visible" r:id="rId4"/>
    <sheet xmlns:r="http://schemas.openxmlformats.org/officeDocument/2006/relationships" name="04_成果品管理" sheetId="5" state="visible" r:id="rId5"/>
    <sheet xmlns:r="http://schemas.openxmlformats.org/officeDocument/2006/relationships" name="05_調査別の状況" sheetId="6" state="visible" r:id="rId6"/>
    <sheet xmlns:r="http://schemas.openxmlformats.org/officeDocument/2006/relationships" name="06_資料提供依頼一覧" sheetId="7" state="visible" r:id="rId7"/>
  </sheets>
  <definedNames>
    <definedName name="_xlnm._FilterDatabase" localSheetId="3" hidden="1">'03_確認事項一覧'!$A$4:$J$193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i val="1"/>
      <sz val="9"/>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DEEBF7"/>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0" borderId="0" applyAlignment="1" pivotButton="0" quotePrefix="0" xfId="0">
      <alignment vertical="top" wrapText="1"/>
    </xf>
    <xf numFmtId="9" fontId="2" fillId="0" borderId="1" applyAlignment="1" pivotButton="0" quotePrefix="0" xfId="0">
      <alignment horizontal="center" vertical="top" wrapText="1"/>
    </xf>
    <xf numFmtId="0" fontId="5" fillId="3" borderId="1" applyAlignment="1" pivotButton="0" quotePrefix="0" xfId="0">
      <alignment horizontal="left" vertical="top" wrapText="1"/>
    </xf>
    <xf numFmtId="9" fontId="2" fillId="3" borderId="1" applyAlignment="1" pivotButton="0" quotePrefix="0" xfId="0">
      <alignment horizontal="center" vertical="top" wrapText="1"/>
    </xf>
    <xf numFmtId="9" fontId="2" fillId="7" borderId="1" applyAlignment="1" pivotButton="0" quotePrefix="0" xfId="0">
      <alignment horizontal="center" vertical="top" wrapText="1"/>
    </xf>
    <xf numFmtId="0" fontId="2" fillId="0" borderId="1" applyAlignment="1" pivotButton="0" quotePrefix="0" xfId="0">
      <alignment horizontal="right" vertical="top" wrapText="1"/>
    </xf>
    <xf numFmtId="0" fontId="0" fillId="0" borderId="4" pivotButton="0" quotePrefix="0" xfId="0"/>
    <xf numFmtId="0" fontId="0" fillId="0" borderId="5" pivotButton="0" quotePrefix="0" xfId="0"/>
  </cellXfs>
  <cellStyles count="1">
    <cellStyle name="Normal" xfId="0" builtinId="0" hidden="0"/>
  </cellStyles>
  <dxfs count="5">
    <dxf>
      <fill>
        <patternFill patternType="solid">
          <fgColor rgb="00E2EFDA"/>
          <bgColor rgb="00E2EFDA"/>
        </patternFill>
      </fill>
    </dxf>
    <dxf>
      <fill>
        <patternFill patternType="solid">
          <fgColor rgb="00DEEBF7"/>
          <bgColor rgb="00DEEBF7"/>
        </patternFill>
      </fill>
    </dxf>
    <dxf>
      <fill>
        <patternFill patternType="solid">
          <fgColor rgb="00FFF2CC"/>
          <bgColor rgb="00FFF2CC"/>
        </patternFill>
      </fill>
    </dxf>
    <dxf>
      <fill>
        <patternFill patternType="solid">
          <fgColor rgb="00FCE4D6"/>
          <bgColor rgb="00FCE4D6"/>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52" customWidth="1" min="3" max="3"/>
    <col width="44" customWidth="1" min="4" max="4"/>
    <col width="30" customWidth="1" min="5" max="5"/>
    <col width="20" customWidth="1" min="6" max="6"/>
  </cols>
  <sheetData>
    <row r="1" ht="26" customHeight="1">
      <c r="A1" s="1" t="inlineStr">
        <is>
          <t>第10期介護保険事業計画策定業務　業務工程管理表</t>
        </is>
      </c>
    </row>
    <row r="2" ht="52" customHeight="1">
      <c r="A2" s="2" t="inlineStr">
        <is>
          <t>業務仕様書「４．業務内容」（1）〜（12）及び「５．業務スケジュール（予定）」に沿って、業務内容別・月別の進捗を管理する。状況基準日：令和8年10月16日。</t>
        </is>
      </c>
    </row>
    <row r="4" ht="32" customHeight="1">
      <c r="A4" s="3" t="inlineStr">
        <is>
          <t>No.</t>
        </is>
      </c>
      <c r="B4" s="3" t="inlineStr">
        <is>
          <t>シート</t>
        </is>
      </c>
      <c r="C4" s="3" t="inlineStr">
        <is>
          <t>内容</t>
        </is>
      </c>
      <c r="D4" s="3" t="inlineStr">
        <is>
          <t>更新の頻度と担当</t>
        </is>
      </c>
      <c r="E4" s="3" t="inlineStr"/>
      <c r="F4" s="3" t="inlineStr"/>
    </row>
    <row r="5" ht="62" customHeight="1">
      <c r="A5" s="4" t="inlineStr">
        <is>
          <t>1</t>
        </is>
      </c>
      <c r="B5" s="5" t="inlineStr">
        <is>
          <t>01_業務内容別の進捗</t>
        </is>
      </c>
      <c r="C5" s="5" t="inlineStr">
        <is>
          <t>仕様書４（1）〜（12）の12業務について、作業項目・成果物・進捗・未了の理由を管理する。業務内容別の完了状況はここで確認する。</t>
        </is>
      </c>
      <c r="D5" s="5" t="inlineStr">
        <is>
          <t>受託者が随時更新。工程末に発注者が確認</t>
        </is>
      </c>
      <c r="E5" s="5" t="inlineStr"/>
      <c r="F5" s="5" t="inlineStr"/>
    </row>
    <row r="6" ht="62" customHeight="1">
      <c r="A6" s="4" t="inlineStr">
        <is>
          <t>2</t>
        </is>
      </c>
      <c r="B6" s="5" t="inlineStr">
        <is>
          <t>02_月別工程管理</t>
        </is>
      </c>
      <c r="C6" s="5" t="inlineStr">
        <is>
          <t>仕様書５の月別工程（令和8年8月〜令和9年3月）について、各月の業務内容・成果物・提出期日・発注者確認の状況を管理する。仕様書は「各工程終了後、発注者が指定する期日までに成果物を提出し、発注者の確認を受けた上で次工程へ進む」としているため、確認欄を必須とする。</t>
        </is>
      </c>
      <c r="D6" s="5" t="inlineStr">
        <is>
          <t>受託者が月次更新。確認欄は発注者が記入</t>
        </is>
      </c>
      <c r="E6" s="5" t="inlineStr"/>
      <c r="F6" s="5" t="inlineStr"/>
    </row>
    <row r="7" ht="62" customHeight="1">
      <c r="A7" s="4" t="inlineStr">
        <is>
          <t>3</t>
        </is>
      </c>
      <c r="B7" s="5" t="inlineStr">
        <is>
          <t>03_確認事項一覧</t>
        </is>
      </c>
      <c r="C7" s="5" t="inlineStr">
        <is>
          <t>発注者・構成3町・北海道への確認事項を、業務工程と成果物に紐づけて管理する。計画素案の本文には確認事項の注記を書かず、本シートで一元管理する。</t>
        </is>
      </c>
      <c r="D7" s="5" t="inlineStr">
        <is>
          <t>受託者が随時追加。回答欄は発注者が記入</t>
        </is>
      </c>
      <c r="E7" s="5" t="inlineStr"/>
      <c r="F7" s="5" t="inlineStr"/>
    </row>
    <row r="8" ht="62" customHeight="1">
      <c r="A8" s="4" t="inlineStr">
        <is>
          <t>4</t>
        </is>
      </c>
      <c r="B8" s="5" t="inlineStr">
        <is>
          <t>04_成果品管理</t>
        </is>
      </c>
      <c r="C8" s="5" t="inlineStr">
        <is>
          <t>仕様書４（10）の納品物について、形式・部数・提出期日・状態を管理する。</t>
        </is>
      </c>
      <c r="D8" s="5" t="inlineStr">
        <is>
          <t>受託者が随時更新</t>
        </is>
      </c>
      <c r="E8" s="5" t="inlineStr"/>
      <c r="F8" s="5" t="inlineStr"/>
    </row>
    <row r="9" ht="62" customHeight="1">
      <c r="A9" s="4" t="inlineStr">
        <is>
          <t>5</t>
        </is>
      </c>
      <c r="B9" s="5" t="inlineStr">
        <is>
          <t>05_調査別の状況</t>
        </is>
      </c>
      <c r="C9" s="5" t="inlineStr">
        <is>
          <t>仕様書４（3）の対象4調査について、貸与資料の受領・集計・クロス集計・分析の各段階の状況を管理する。</t>
        </is>
      </c>
      <c r="D9" s="5" t="inlineStr">
        <is>
          <t>受託者が随時更新</t>
        </is>
      </c>
      <c r="E9" s="5" t="inlineStr"/>
      <c r="F9" s="5" t="inlineStr"/>
    </row>
    <row r="10" ht="62" customHeight="1">
      <c r="A10" s="4" t="inlineStr">
        <is>
          <t>6</t>
        </is>
      </c>
      <c r="B10" s="5" t="inlineStr">
        <is>
          <t>06_資料提供依頼一覧</t>
        </is>
      </c>
      <c r="C10" s="5" t="inlineStr">
        <is>
          <t>成果物の主張を確定するために提供を要する資料を、領域別・優先度別に管理する。03シートが「決定」を求めるのに対し、本シートは「資料の提供」を求めるものである。</t>
        </is>
      </c>
      <c r="D10" s="5" t="inlineStr">
        <is>
          <t>受託者が随時追加。状態欄は受領時に更新</t>
        </is>
      </c>
      <c r="E10" s="5" t="inlineStr"/>
      <c r="F10" s="5" t="inlineStr"/>
    </row>
    <row r="12" ht="32" customHeight="1">
      <c r="A12" s="3" t="inlineStr">
        <is>
          <t>区分</t>
        </is>
      </c>
      <c r="B12" s="3" t="inlineStr">
        <is>
          <t>意味</t>
        </is>
      </c>
      <c r="C12" s="3" t="inlineStr">
        <is>
          <t>色</t>
        </is>
      </c>
      <c r="D12" s="3" t="inlineStr"/>
      <c r="E12" s="3" t="inlineStr"/>
      <c r="F12" s="3" t="inlineStr"/>
    </row>
    <row r="13" ht="24" customHeight="1">
      <c r="A13" s="6" t="inlineStr">
        <is>
          <t>完了</t>
        </is>
      </c>
      <c r="B13" s="5" t="inlineStr">
        <is>
          <t>当該項目の作業が終わり、成果物を提出済み又は提出可能な状態にある</t>
        </is>
      </c>
      <c r="C13" s="7" t="inlineStr"/>
      <c r="D13" s="5" t="inlineStr"/>
      <c r="E13" s="5" t="inlineStr"/>
      <c r="F13" s="5" t="inlineStr"/>
    </row>
    <row r="14" ht="24" customHeight="1">
      <c r="A14" s="8" t="inlineStr">
        <is>
          <t>実施中</t>
        </is>
      </c>
      <c r="B14" s="5" t="inlineStr">
        <is>
          <t>着手しているが完了していない</t>
        </is>
      </c>
      <c r="C14" s="9" t="inlineStr"/>
      <c r="D14" s="5" t="inlineStr"/>
      <c r="E14" s="5" t="inlineStr"/>
      <c r="F14" s="5" t="inlineStr"/>
    </row>
    <row r="15" ht="24" customHeight="1">
      <c r="A15" s="10" t="inlineStr">
        <is>
          <t>確認待ち</t>
        </is>
      </c>
      <c r="B15" s="5" t="inlineStr">
        <is>
          <t>受託者の作業は終わっており、発注者・3町・北海道からの回答又は資料の提供を待っている</t>
        </is>
      </c>
      <c r="C15" s="11" t="inlineStr"/>
      <c r="D15" s="5" t="inlineStr"/>
      <c r="E15" s="5" t="inlineStr"/>
      <c r="F15" s="5" t="inlineStr"/>
    </row>
    <row r="16" ht="24" customHeight="1">
      <c r="A16" s="12" t="inlineStr">
        <is>
          <t>未着手</t>
        </is>
      </c>
      <c r="B16" s="5" t="inlineStr">
        <is>
          <t>工程上まだ着手していない、又は前提条件が整っていない</t>
        </is>
      </c>
      <c r="C16" s="13" t="inlineStr"/>
      <c r="D16" s="5" t="inlineStr"/>
      <c r="E16" s="5" t="inlineStr"/>
      <c r="F16" s="5" t="inlineStr"/>
    </row>
    <row r="17" ht="24" customHeight="1">
      <c r="A17" s="14" t="inlineStr">
        <is>
          <t>対象外</t>
        </is>
      </c>
      <c r="B17" s="5" t="inlineStr">
        <is>
          <t>本業務の範囲外、又は該当がない</t>
        </is>
      </c>
      <c r="C17" s="15" t="inlineStr"/>
      <c r="D17" s="5" t="inlineStr"/>
      <c r="E17" s="5" t="inlineStr"/>
      <c r="F17" s="5" t="inlineStr"/>
    </row>
    <row r="19" ht="39" customHeight="1">
      <c r="A19" s="16" t="inlineStr">
        <is>
          <t>【本表の位置づけ】計画素案の本文には、確認事項や作業上の留意点を注記として書き込まない方針とする。本文の注記は、計画の読み手（住民・委員・関係機関）が計画を理解するために必要なものに限り、受託者と発注者の間の作業管理に関する事項は本表で管理する。確定していない数値は、本文では［要協議］［要確認］［要内訳］として空欄扱いのまま残し、その解消に必要な作業と確認事項は本表03シートで管理する。</t>
        </is>
      </c>
    </row>
    <row r="21" ht="28" customHeight="1">
      <c r="A21" s="16" t="inlineStr">
        <is>
          <t>【段階承認について】仕様書５は「受託者は各工程終了後、発注者が指定する期日までに成果物を提出し、発注者の確認を受けた上で次工程へ進むものとする」と定めている。02シートの「発注者確認」欄は、この段階承認を記録するためのものである。確認日と確認者を記入いただくことで、次工程への移行が可能となる。</t>
        </is>
      </c>
    </row>
    <row r="23" ht="364" customHeight="1">
      <c r="A23" s="16" t="inlineStr">
        <is>
          <t>【現時点の全体状況（令和8年10月16日）】全体進捗は67％（進捗を数値で表せる10業務の単純平均）。令和8年9月は、サービス見込量の算定 第1次概算を完了して計画素案 第6章に反映し（暫定の月額基準額6,436円）、健康とくらしの調査の結果を第2章第4節に入れ、認知症施策推進計画の位置づけを案Bで確定して4箇所に反映した。年報の要介護度別の明細により調査の結果と保険者の実績を突合し、調査①が在宅の認定者全体を代表しないことを測定した。令和8年9月17日以降は、見込量算定に要する資料と電話照会の進め方、資料を受領できない場合のサービス見込量、社内で作成された素案への加筆版の点検を行い、他のメンバーによる点検のための確認箇所と手順を取りまとめ、社内で作成された全国自治体共通版の見える化入力シート・手順書を点検して当方の算定との整合を確かめた。令和8年9月24日以降は、見える化システムが求める所得段階別第1号被保険者数と令和12・27・32年度の見込量を算定して確認事項No.156・No.157を解消し、外部レビュー3回の指摘29件を検証して是正した（代表KPIの定義・割合の分母・時点の混在を計画素案と報告書でそろえた）。令和8年9月25日には令和7年度の給付費データの再提供により確認事項No.87（3町合計と広域連合単位の差129,580,267円）が決着し、構成3町の地域包括支援センター事業実施報告書により地域支援事業の量・認知症総合支援事業の取組の回数・地域ケア会議の開催回数が一部把握できた。同日、令和8年8月審査分の利用状況統計表と訪問系サービスの明細を受領し、令和8年9月28日の受領点検により審査月8月分の費用総額288,036,749円を確認した。令和8年9月29日以降は、計画素案の記載内容を洗い出して令和8年3月の全国課長会議資料による制度改正11件を加え、被保険者の意見を反映させるために必要な措置と認知症高齢者の日常生活自立度の状況を補い、公表ベースで用いる版を作成した。保険者機能強化推進交付金等は、同様の構成の団体38団体との比較ができるようになった（確認事項No.168の解決）。令和8年9月30日以降は、見える化システムの推計結果と将来推計ワーニングチェックを受領点検し、入力画面の写しにより画面ごとの入力様式を確定して、値を変更する箇所と入れる値を1冊に取りまとめた。令和8年10月1日には未決の全件に既定値を仮置きし、既定値のとおり計画素案へ反映した事項を38件まで進めたうえで、第2次概算（10月30日）の組立てを作成した。第1次概算からの差分は、要介護度別の単価の採用と1人1月あたり利用回（日）数の要介護度別化の2件であり、いずれも受託者の側で確定できるものであった。計画素案は1062段落156表36図で、未確定箇所は275箇所（要協議158・要確認115・要内訳2）である。確認事項は189件、成果品は141件、作成に用いた処理は138件である。未決の確認事項には「決着しない場合の当方の扱い（既定値）」を全件置いており、ご決定がなくても算定は止まらない。発注者・3町からの追加資料がまったく届かない場合でも、現在の算定の値がそのまま計画の値として確定する（算定上の月額6,438円＝保険料基準額6,400円）。令和8年10月2日のご照会により、計画策定全体の進捗、ご確認・ご判断をお願いする事項、追加確認・資料提供が必要な事項、今後の作成・協議スケジュール及び次回協議までの双方の対応事項を1冊に取りまとめ、未確定事項をどの資料のどこで管理しているかを併せてお示しした。令和8年10月7日には、第136回社会保障審議会介護保険部会（令和8年9月18日）の資料により制度の動向6件と引き続き検討することとされた事項7件を計画素案へ加え、所得段階の置き方3案による保険料の違いと調整交付金の一定の取組による減額を掲げた。構成3町のヒアリング前の事前打合せ（令和8年10月8日）と3町合同の意見交換会の資料には、打合せの時間内でご決定をお願いしたい事項と時間配分の案を加えた。令和8年10月14日には、計画の記載事項の網羅性を再度点検し、対比の軸を介護保険法第117条の記載事項から条文の構成全体（計画の性格・作成の基準・策定の手続）へ広げたうえで、介護保険法以外の関係法令9件との対比を加えた。記載を確認できなかった6件は、いずれも原典により確かめて計画素案へ加えた。あわせて、社会保障審議会介護給付費分科会において令和9年度介護報酬改定に向けて検討されている論点31件を計画素案と突き合わせ、当区域に直結する17件を整理した。改定の内容が示されるのは令和8年12月頃及び令和9年1月頃の見込みであり、いずれもサービス見込量 第2次概算より後である。令和8年10月15日には、改正法の法律案要綱及び新旧対照条文により改正後の介護保険法第117条ほかの条文を確認し、ご決定・ご確認をお待ちしている事項の一覧を何をすれば決着するかという軸で区分した。参照条文の文字起こしにより介護保険法第117条の項の全体が確定し、医療計画との整合性の確保及び混合型特定施設の必要利用定員総数がいずれも都道府県介護保険事業支援計画の事項であることが分かったため、計画素案の6箇所を是正した。広域連合及び構成3町等から資料の徴求を要するものは63件であり、その全件に資料が届かない場合の扱いを付している。うち57件は資料が届かなくても計画本文を確定でき、未確定箇所の記号が残るものは6件である。ご決定・ご確認をお待ちしている事項は173件であり、その全件に決着しない場合の扱いを置いているため、受託者の作業だけで進められるものは残っていない。残るのは資料のご提供と照会という相手のある作業であり、サービス見込量 第2次概算は、ご決定を待たずに現在の前提のまま組める状態にある。直近の工程は、サービス見込量 第2次概算（令和8年10月30日）と予算編成用（令和8年11月13日）である。</t>
        </is>
      </c>
    </row>
    <row r="25" ht="104" customHeight="1">
      <c r="A25" s="16" t="inlineStr">
        <is>
          <t>【業務着手時の状況（令和8年7月29日）】契約上の業務期間は令和8年8月着手であるが、発注者から第9期計画、3町の高齢者福祉計画、業務仕様書、地域包括ケア「見える化」システムのデータ、令和7年度 健康とくらしの調査の成果物の貸与を受け、（1）制度改正等の整理、（2）第9期計画の評価・検証、（4）現状分析及び地域課題の整理を先行して実施している。成果物として、妥当性検証報告書（24シート）、追加調査報告書（8シート）、図表集（33シート133点）、修正指示書（66件）、計画素案、施策体系新旧対照表（5シート）、確認依頼書を作成済みである。また、健康とくらしの調査の個票データによる調査クロス集計・分析（24シート）、認定率の年齢調整分析（7シート）、保険料と施策評価の他団体比較（9シート）、保険料の所得段階と低所得者軽減の検証（10シート）、受託者の自己点検（9シート・指摘29件）、受託者の自己点検（8シート・主張54件）、地域差の分析（15シート）、計画素案の別管理表（6シート）、必要事項の一覧（8シート）、人口推計の基礎の検証（9シート）、将来推計 第1段階（8シート）、将来推計 第2段階（8シート）、実施済み3調査の受領点検と集計（16シート）、要介護認定データの確認（7シート）、サービス受給者数データの確認（7シート）を作成した。人口推計の基礎は、社人研推計をそのまま用いることを受託者の案とし、これを作業上の前提として仮に置いて試算している（キックオフ会議でご意向を確認する）。自己点検記録の指摘のうち2件（3町の数値目標、認定率の年齢調整）は検証の結果が当初の説明と逆転したため、評価の記述を訂正している。</t>
        </is>
      </c>
    </row>
  </sheetData>
  <mergeCells count="6">
    <mergeCell ref="A2:F2"/>
    <mergeCell ref="A19:F19"/>
    <mergeCell ref="A1:F1"/>
    <mergeCell ref="A23:F23"/>
    <mergeCell ref="A21:F2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34" customWidth="1" min="3" max="3"/>
    <col width="32" customWidth="1" min="4" max="4"/>
    <col width="26" customWidth="1" min="5" max="5"/>
    <col width="9" customWidth="1" min="6" max="6"/>
    <col width="9" customWidth="1" min="7" max="7"/>
    <col width="12" customWidth="1" min="8" max="8"/>
    <col width="30" customWidth="1" min="9" max="9"/>
    <col width="12" customWidth="1" min="10" max="10"/>
  </cols>
  <sheetData>
    <row r="1" ht="26" customHeight="1">
      <c r="A1" s="1" t="inlineStr">
        <is>
          <t>仕様書４　業務内容別の進捗</t>
        </is>
      </c>
    </row>
    <row r="2" ht="52" customHeight="1">
      <c r="A2" s="2" t="inlineStr">
        <is>
          <t>仕様書「４．業務内容」（1）〜（12）ごとに、作業項目・成果物・進捗を管理する。状態欄はプルダウンから選択すると色が変わる。</t>
        </is>
      </c>
    </row>
    <row r="4" ht="32" customHeight="1">
      <c r="A4" s="3" t="inlineStr">
        <is>
          <t>No.</t>
        </is>
      </c>
      <c r="B4" s="3" t="inlineStr">
        <is>
          <t>業務内容（仕様書）</t>
        </is>
      </c>
      <c r="C4" s="3" t="inlineStr">
        <is>
          <t>仕様書の要求</t>
        </is>
      </c>
      <c r="D4" s="3" t="inlineStr">
        <is>
          <t>作業項目</t>
        </is>
      </c>
      <c r="E4" s="3" t="inlineStr">
        <is>
          <t>成果物</t>
        </is>
      </c>
      <c r="F4" s="3" t="inlineStr">
        <is>
          <t>状態</t>
        </is>
      </c>
      <c r="G4" s="3" t="inlineStr">
        <is>
          <t>進捗</t>
        </is>
      </c>
      <c r="H4" s="3" t="inlineStr">
        <is>
          <t>完了予定</t>
        </is>
      </c>
      <c r="I4" s="3" t="inlineStr">
        <is>
          <t>未了の理由・次の作業</t>
        </is>
      </c>
      <c r="J4" s="3" t="inlineStr">
        <is>
          <t>確認事項No.</t>
        </is>
      </c>
    </row>
    <row r="5" ht="118" customHeight="1">
      <c r="A5" s="4" t="inlineStr">
        <is>
          <t>(1)</t>
        </is>
      </c>
      <c r="B5" s="5" t="inlineStr">
        <is>
          <t>制度改正等の整理</t>
        </is>
      </c>
      <c r="C5" s="5" t="inlineStr">
        <is>
          <t>介護保険制度、高齢者福祉施策その他関連制度について、国及び北海道の制度改正、通知、各種指針等の動向を把握し、第10期計画へ反映すべき事項を整理する。反映すべき制度改正事項及び留意事項について情報提供及び技術的助言を行う。</t>
        </is>
      </c>
      <c r="D5" s="5" t="inlineStr">
        <is>
          <t>①国の基本指針案（第134回・第135回）の確認と反映事項の整理［完了］
②特定地域（中山間・人口減少地域）の考え方（第135回資料3）の確認［完了］
③北海道第9期計画（全8章）との整合の確認［完了］
④介護保険最新情報（Vol.1521・1525）の反映［完了］
⑤新別表「確認すべき指標・状況」11事項への対応整理［完了］
⑥告示後の最終照合［未着手］</t>
        </is>
      </c>
      <c r="E5" s="5" t="inlineStr">
        <is>
          <t>妥当性検証報告書 07・17シート
追加調査報告書 01・05シート
計画素案 第1章第9節・資料6</t>
        </is>
      </c>
      <c r="F5" s="10" t="inlineStr">
        <is>
          <t>実施中</t>
        </is>
      </c>
      <c r="G5" s="17" t="n">
        <v>0.8333333333333334</v>
      </c>
      <c r="H5" s="10" t="inlineStr">
        <is>
          <t>R8.10</t>
        </is>
      </c>
      <c r="I5" s="11" t="inlineStr">
        <is>
          <t>基本指針の告示待ち。告示後に最終照合を行う。特別地域加算の対象地域告示の確認が未了（確認No.1）。【令和8年9月16日】共生社会の実現を推進するための認知症基本法（令和5年法律第65号）第13条の名宛人が「市町村」であることを整理し、案B（3町がそれぞれ市町村認知症施策推進計画を策定し、広域連合の計画は介護保険法第117条第3項により認知症施策を掲げる）を採用して計画素案の4箇所に反映した（確認No.130）。法の条文・国の基本計画・北海道の認知症施策推進計画が未受領のため、条番号のみを書き項番号は［要確認］としている（確認No.149）。社会福祉法等の一部を改正する法律（令和8年法律第51号）の7件は第1章第9節2に整理済みで、政令・省令・報酬改定の公表後に再照合する（確認No.89）。【令和8年10月1日】令和8年3月の全国介護保険・高齢者保健福祉担当課長会議資料（介護保険計画課）の制度改正11件を計画素案 第1章第9節に反映した。調整交付金の年齢区分の3区分から7区分への変更（令和9年4月の事業状況報告から7区分で報告し、令和10年度の財政調整交付金から適用。激変緩和として2分の1ずつ組み合わせる）、保険料段階の基準額の80.9万円から82.65万円への改正（条例改正の手続を要する）、補足給付の見直し（令和9年度から第3段階①②を各2分割）、令和8年度介護報酬改定、一定以上所得基準、令和7年度税制改正の影響の遮断、2040年を見据えた地域類型、医療と介護の協議の場の再編成などである。従前は同資料の内容が計画素案に反映されていなかった。【令和8年10月7日】第136回社会保障審議会介護保険部会（令和8年9月18日）の資料7件を確認し、制度の動向6件を計画素案 第1章第9節に項を起こして加えた。介護情報基盤の構築と活用（標準化対応の適合基準日は令和9年1月1日、本格運用開始日は令和10年4月1日）、ケアプランデータ連携機能の統合（令和9年1月）、介護サービス事業者経営情報データベース、介護事業者の連携・協働化（都道府県との協定）、第1号保険料の在り方（高所得者の標準乗率の見直し。論点提示の段階）、介護給付適正化の取組と調整交付金の減額である。引き続き検討することとされた事項7件も、影響が及び得る計画の箇所と対にして掲げた。あわせて、補足給付の区分の細分化の時期を「令和9年度から」に、一定以上所得基準を「第10期計画期間の開始前までに結論を得ることとされたもの」に改めた（従前は時期の記載が原典と食い違っていた）。確認事項No.175からNo.177を起票した。【令和8年10月14日】計画の記載事項の網羅性を再度点検した。対比の軸を介護保険法第117条の記載事項（第2項・第3項の各号）から条文の構成全体（計画の性格・作成の基準・策定の手続）へ広げ、介護保険法以外の関係法令9件（老人福祉法第20条の8、成年後見制度の利用の促進に関する法律第14条、高齢者虐待の防止等に関する法律、認知症基本法第3条・第13条、水防法・土砂災害防止法、介護保険法第78条の4、社会福祉法等の一部を改正する法律、地方自治法第284条）との対比を加えた。中長期的なサービスの見通しと、その見通しを踏まえた提供体制の確保等のための施策は別の記載事項であり、推計の表を加えたことでは充足しないものとして分けて点検する形に改めた。法令の条文を確認できていないため、点検の単位は条文の番号ではなく記載事項の内容とし、項番号は記載していない。あわせて社会保障審議会介護給付費分科会（第256回から第270回）において令和9年度介護報酬改定に向けて検討されている論点31件を計画素案・サービス見込量の算定・確認事項の台帳と突き合わせ、当区域に直結する17件を整理した。特に当区域の事情に関わるものは、短期入所生活介護の季節利用に係る例外（積雪期）、夜間対応型訪問介護の定期巡回への移行（移行猶予 令和11年3月）、高齢者向け住まいに係る通所介護等の報酬区分の見直し、特定地域における配置の弾力化、特別養護老人ホームの指定定員と実際の受入能力の差の5件である。資料の原本を確認できていないため、計画素案には検討されている事項があることまでを記載し、単位数・要件・施行時期は書いていない。確認事項No.178からNo.184を起票した。【令和8年10月15日】社会福祉法等の一部を改正する法律案要綱（全31頁）及び令和5年改正の概要のご提供を受け、改正事項を原典により点検した。従前は部会資料（概要）によっていたため施行期日の例外を2件しか把握していなかったが、要綱 第10の1により4区分が確定し、公布の日から施行される1件を除きいずれも第10期計画の期間中に施行されることが分かった（介護支援専門員の資格に係る更新制の廃止は1年6月以内、特定施設の定義の改正及び有料老人ホームの登録制度は2年以内、被保険者証の添付等に関する規定及び登録施設介護支援等は3年以内）。介護保険法の改正事項16件のうち11件に記述の是正を要し、14件が新たに分かった。介護保険法第117条の改正後の号及び項（第2項第3号・第4号、第3項第4号・第5号、第5項及び第14項）が確定した。お示しいただいた記事の記述11件を原典により確かめた（一致8・一部一致1・確認できない2）。確認事項No.185・No.186を起票した。同日、新旧対照条文（全353頁）、参照条文（全45頁）、特定地域の考え方について（介護保険部会 第135回 資料3）及び介護保険における3つの加算の対象地域一覧のご提供を受け、改正後の条文を確認した（確認No.181は大きく解決）。介護保険法の改正が第3条関係（令和9年4月1日又は1年6月以内）と第4条関係（2年以内又は3年以内）の2つに分かれること、中長期的な推計のうち量が第2項第3号（定めるものとする）、費用の額及び保険料の水準が第3項第3号（定めるよう努めるものとする）であること、第115条の48の会議が改正後「支援会議」と称すること、第118条第2項により都道府県介護保険事業支援計画にも中長期的な推計が定めるものとされることを確かめた。特別地域加算の対象地域に構成3町がいずれも掲げられていないこと（確認No.1は解決）と、北海道が全域の豪雪地帯であるため中山間地域等における小規模事業所加算及び中山間地域等に居住する者へのサービス提供加算の地域の要件には該当することを確かめた。同日、参照条文（16法令）を文字によりご提供いただいたことにより、介護保険法第117条の項の全体（全14項）及び第3項の全10号、第118条並びに第115条の45の項及び号を確認した（確認No.181は解決）。残るのは政令・省令・報酬改定の告示を待つ分、附則第3条から第77条までの経過措置、認知症基本法ほか関係法令の条文（確認No.149。参照条文は改正法が参照する条文に限られ収録がない）及び医療法等の一部を改正する法律による改正の施行の状況（確認No.189）である。【令和8年10月16日】告示後の最終照合は、基本指針、政令、省令及び介護報酬改定の告示を待つため着手できない</t>
        </is>
      </c>
      <c r="J5" s="5" t="inlineStr">
        <is>
          <t>1, 2, 22, 89, 130, 149, 170, 175, 176, 177, 178, 179, 180, 181, 182, 183, 184, 185, 186</t>
        </is>
      </c>
    </row>
    <row r="6" ht="118" customHeight="1">
      <c r="A6" s="4" t="inlineStr">
        <is>
          <t>(2)</t>
        </is>
      </c>
      <c r="B6" s="5" t="inlineStr">
        <is>
          <t>第9期計画の評価・検証</t>
        </is>
      </c>
      <c r="C6" s="5" t="inlineStr">
        <is>
          <t>第9期計画について、計画期間における各種施策、介護保険給付実績、地域支援事業、介護予防施策等の実施状況を整理し、成果及び課題を分析するとともに、第10期計画へ反映すべき事項を取りまとめる。</t>
        </is>
      </c>
      <c r="D6" s="5" t="inlineStr">
        <is>
          <t>①代表KPI4項目の3軸評価（目標比・推計比・全国北海道比）［完了］
②19施策の構造評価（評価可能性・妥当性）［完了］
③保険者機能強化推進交付金等による外部評価の分析［完了］
④給付実績の分析（受給率・利用率・サービス別給付動向）［完了］
⑤地域支援事業の実績整理［完了］
⑥令和6〜8年度の事業実績による達成度の再判定［未着手］
⑦評価そのものの自己点検記録（指摘29件）［完了］
⑧全成果物の主張の棚卸し（54主張・根拠水準5階層）［完了］
⑨地域差の分析（自給率・地域差指数・保険料の管内比較）［完了］
⑩人口推計の基礎の検証（見える化A系列 2000〜2050年）［完了］
⑪将来推計 第1段階（人口と認定者数・3シナリオ）［完了］
⑫将来推計 第2段階（サービス見込量・感度分析）［完了］
⑬需要3シナリオ（低位・標準・高位）の感度表［完了］
⑭点検指摘への対応（記述の修正16件・訂正1件）［完了］</t>
        </is>
      </c>
      <c r="E6" s="5" t="inlineStr">
        <is>
          <t>妥当性検証報告書 01・02・12・23シート
計画素案 第3章
施策体系新旧対照表
受託者の自己点検（8シート）</t>
        </is>
      </c>
      <c r="F6" s="10" t="inlineStr">
        <is>
          <t>実施中</t>
        </is>
      </c>
      <c r="G6" s="17" t="n">
        <v>0.9285714285714286</v>
      </c>
      <c r="H6" s="10" t="inlineStr">
        <is>
          <t>R8.11</t>
        </is>
      </c>
      <c r="I6" s="11" t="inlineStr">
        <is>
          <t>受託者の自己点検による指摘29件のうち、記述の修正により対応できる22件への対応を進めた（記述の修正・表現の限定・注記の追加）。うち2件（No.5・No.1）は指摘のとおりであることが確認され、評価の記述を訂正した。No.5は「3町の高齢者福祉計画に数値目標がない」という所見を「事業の数値目標を設定しているのは東川町のみ」に訂正。No.1は見える化B4・B5・B6系列の受領により年齢調整分析を実施し、従来の説明「軽度は改善・中重度は悪化」が逆であることが判明したため撤回した（認定率の年齢調整分析 7シート）。残る2件（人口推計の検証・保険者の自己評価）は資料の受領を要する。自己点検の結果、現時点の評価は「計画記載事項の検証」と「外部評価の分析」にとどまり、事業が計画どおり実施されたかというプロセス評価が空白であることを確認したため、進捗を0.80から0.65に改めた。令和6〜8年度の施策・事業実績、事業量、対象実人数、予算・決算が未受領（確認No.5）。受領後に施策単位の達成度を判定する。あわせて年齢階級別認定率（確認No.37）及び交付金評価の最新調査（確認No.38）を要する。【令和8年9月16日】給付適正化計画の位置づけを案B（第9期と同じく施策として置き、施策名のかっこ書きで第7期給付適正化計画であることを示す）で確定し、計画素案 第1章第2節・第5章 基本目標5（3）・資料5に反映した。主要3事業の毎年度の定量目標も同項に表として掲げた。認知症対応型通所介護は第9期の計画値が0であったため対計画比が算出されず評価から漏れていたことを確認した（第10期は1.05人／月を算定済み）。残るのは第9期計画の本文（電子データ）の受領（確認No.90）と令和6〜8年度の施策・事業実績（確認No.5）である</t>
        </is>
      </c>
      <c r="J6" s="5" t="inlineStr">
        <is>
          <t>5, 6, 7, 23, 32, 34, 37, 38, 90</t>
        </is>
      </c>
    </row>
    <row r="7" ht="118" customHeight="1">
      <c r="A7" s="4" t="inlineStr">
        <is>
          <t>(3)</t>
        </is>
      </c>
      <c r="B7" s="5" t="inlineStr">
        <is>
          <t>実施済み調査結果の集計・分析</t>
        </is>
      </c>
      <c r="C7" s="5" t="inlineStr">
        <is>
          <t>発注者が実施済みの4調査（在宅生活改善調査、居所変更実態調査、介護人材実態調査、健康とくらしの調査）について、貸与資料を基に集計、クロス集計、分析、課題整理及び第10期計画への反映を行う。単純集計及び必要なクロス集計を行うとともに、見える化システム、介護給付実績及び人口推計等と組み合わせた分析を実施する。</t>
        </is>
      </c>
      <c r="D7" s="5" t="inlineStr">
        <is>
          <t>①健康とくらしの調査（JAGES）の集計・分析［完了］
①-2 第9期の課題・第10期の施策に対する妥当性レビューと追加分析［完了］
②在宅生活改善調査の集計・分析［一部］
③居所変更実態調査の集計・分析［一部］
④介護人材実態調査の集計・分析［一部］
⑤4調査を横断したクロス集計［完了］
⑥見える化データ・給付実績・人口推計と組み合わせた分析［完了］</t>
        </is>
      </c>
      <c r="E7" s="5" t="inlineStr">
        <is>
          <t>調査クロス集計・分析（24シート）
図表集 08〜13シート
妥当性検証報告書 11シート
計画素案 第2章第4〜6節
実施済み3調査の受領点検と集計（11シート）</t>
        </is>
      </c>
      <c r="F7" s="10" t="inlineStr">
        <is>
          <t>実施中</t>
        </is>
      </c>
      <c r="G7" s="17" t="n">
        <v>0.7857142857142857</v>
      </c>
      <c r="H7" s="10" t="inlineStr">
        <is>
          <t>R8.10</t>
        </is>
      </c>
      <c r="I7" s="11" t="inlineStr">
        <is>
          <t>健康とくらしの調査は個票データ4,729票によりクロス集計・分析を完了（作業項目①⑥）。第9期の課題20件及び第10期の施策体系に対する妥当性レビューを行い、不足と判定した4領域（介護・介助が必要な層、認知症、施設志向と在宅資源、地域重点度と社会参加の障壁）の分析を追加した（全24シート）。レビューにより、本調査の対象者が一般高齢者及び総合事業対象者であり要支援者・要介護者を含まないことが判明したため、H06・H11の位置づけを代替から補完に改めた（確認No.28）。令和8年8月4日に②③④の第10期分（23の法人・事業者、102ファイル）を受領し、点検と集計を行った（実施済み3調査の受領点検と集計 11シート）。同資料10シートで見える化のK系列・M2系列と突合し、グループホーム・特定施設・住宅型有料・サ高住の介護職員129人が見える化では把握できないことを確認した。令和8年8月5日、4調査を横断したクロス集計は行わず完了とするご意向をいただいた。利用者票の所在地区の記入形式が9種類に分かれ個票を地区に割り付けられないためである。これに代えて、各調査内のクロス集計と公表データによる供給構造の分析により調査相互を接続し、アンケート調査の集計分析報告書（14シート）として取りまとめ、発注者から提示のあった様式に合わせて実施済み調査 結果報告書（Word・8章51表39図）を作成した。点検事項35件のうち重大6件（職員数の二重計上、利用者票の回答の偏り、所在地区の記入形式、老健・通所リハと見える化の乖離、区域内最大の特定施設の未回答）は、計画本文へ反映する数値の確定に必要であり、ヒアリングシート項目13・14でご意向を確認する（確認No.8）。同日に北海道の施設・住まいの名簿5種を受領し、居所変更実態調査及び見える化K系列と突合した（住まいと施設の公表名簿との突合 7シート）。特定施設の区域内定員が58人ではなく156人であること、住宅型有料老人ホームが3施設ではなく9施設・定員223人であること、特別養護老人ホームの定員が160人＋地域密着型62人であることを確認し、将来推計 第2段階06シートを訂正した。同日受領した北海道の介護保険事業所一覧（47区分）により、区域内の指定事業所124件の「通常の事業実施地域」を整理し（確認No.15の解消）、13区分のうち10区分で見える化K系列の事業所数と一致することを確認した。あわせて同規模保険者40及び参加74市町村との比較分析を実施し、仕様書４（4）の類似保険者比較のうち住民の状態・社会参加の領域を充足した（確認No.3）。【令和8年9月11日】年報（令和7年度）の要介護度別の明細を収めたことにより、調査の結果と保険者の実績の突合が初めて可能になった（調査結果と年報実績の突合クロス集計 10シート）。調査①の要介護度分布は在宅の認定者の分布と食い違い（χ²＝43.5、自由度6。1％点16.81）、調査①が在宅の認定者全体を代表しないことを測定した（確認No.140）。従前の「課題のある利用者を抽出する設計である」という定性的な留保が、偏りの大きさと向きを伴う測定値になった。施設の側から数えた在籍者と保険者の側から数えた受給者は数える対象が異なるため一致せず、介護老人保健施設だけが在籍206人＞受給134.1人／月である（確認No.141）。区域内の施設の定員は必要利用定員総数の上限ではない。【令和8年9月15日】健康とくらしの調査（4,729票）の結果を計画素案 第2章第4節に反映した（4段落・表1→30段落・表8）。集計値のみを用い、個票は収録していない。【令和8年9月17日】アンケート調査の集計分析報告書を再点検し、10シートの見込量が将来推計 第2段階のままで計画素案 第6章（第1次概算）と食い違っていたものを是正した（施設 R11 339人→352.3人／月、居住系 145人→149.4人／月）。報告書が見込量算定の値を直接用いる形とし、同じ数値が2つの成果品に別々に書かれない構造に改めた。確認No.140（χ²＝43.5）・No.141（在籍≠受給）を報告書の留保一覧と課題整理に収め、14シートに「測定済み」の区分を新設した。12シートの計画素案への反映状況を、計画素案の章節と突き合わせて改めた（反映済5・着手可6・決定待ち9）。【令和8年9月24日】令和8年9月の業務報告としてアンケート調査の分析 令和8年9月業務報告（Word・全11節）を作成した。あわせて、点検事項の取扱いの決定を要しない所見6件を計画素案へ反映した（第1章第7節の通常の事業の実施地域、第2章第3節の運営法人の集中、第6章第4節の区域内の入居状況と受給者数、第6章第5節の入所の経路）。所見20件のうち反映済み11件・決定待ち9件となり、点検事項の決定を要しないものはすべて反映した。特定施設入居者生活介護は区域内3施設とも入居率が高い（98.3％と97.0％。合計の98.7％は時点が異なる参考値）である一方、当広域連合の被保険者の受給者数は61.5人／月（定員の39.4％）であり、定員に対する割合が低いことは区域内に空きがあることを意味しないことを第6章第4節に明記した。件数・留保・所見は集計分析報告書によっており、見込量は見込量算定（第1次概算）によるため計画素案 第6章と同じ値になる。あわせて社内チェック用にアンケート分析 点検箇所と手順（Word・全10節）を作成し、点検を3層（機械で確かめる・数値の出所を辿る・記述の当否）に分けたうえで、特に見る箇所7件とこの作業で実際に起きた誤り7件を掲げた。残るのは点検事項の重大6件の取扱いの決定（確認No.8）である</t>
        </is>
      </c>
      <c r="J7" s="5" t="inlineStr">
        <is>
          <t>3, 4, 8, 9, 10, 27, 28, 139, 140, 141</t>
        </is>
      </c>
    </row>
    <row r="8" ht="118" customHeight="1">
      <c r="A8" s="4" t="inlineStr">
        <is>
          <t>(4)</t>
        </is>
      </c>
      <c r="B8" s="5" t="inlineStr">
        <is>
          <t>現状分析及び地域課題の整理</t>
        </is>
      </c>
      <c r="C8" s="5" t="inlineStr">
        <is>
          <t>人口、高齢者人口、要支援・要介護認定者数、介護給付実績、介護サービス利用状況、地域支援事業の実施状況等について分析し、現状及び地域課題を整理する。必要に応じ全国平均、北海道平均及び類似保険者との比較分析を行うとともに、構成町別及び日常生活圏域等の地域特性を踏まえた分析を実施する。2040年を見据えた提供体制、人材確保、地域包括ケア、給付適正化の課題を整理する。</t>
        </is>
      </c>
      <c r="D8" s="5" t="inlineStr">
        <is>
          <t>①人口・高齢者人口の分析［完了］
②認定者数・認定率の分析（年齢調整を含む）［完了］
③給付実績・受給率・利用率の分析［完了］
④サービス提供体制（事業所数・従事者数）の分析［完了］
⑤上川中部圏域内の比較［完了］
⑥類似保険者との比較［完了］
⑦構成町別の分析［完了］
⑧日常生活圏域別の分析［一部］
⑨2040年を見据えた課題の整理［完了］</t>
        </is>
      </c>
      <c r="E8" s="5" t="inlineStr">
        <is>
          <t>妥当性検証報告書 03〜06・13・14・21・22シート
図表集 01〜31シート
調査クロス集計・分析 01・02・19〜21シート
計画素案 第2章
実施済み3調査の受領点検と集計 05・10シート</t>
        </is>
      </c>
      <c r="F8" s="10" t="inlineStr">
        <is>
          <t>実施中</t>
        </is>
      </c>
      <c r="G8" s="17" t="n">
        <v>0.9444444444444444</v>
      </c>
      <c r="H8" s="10" t="inlineStr">
        <is>
          <t>R8.10</t>
        </is>
      </c>
      <c r="I8" s="11" t="inlineStr">
        <is>
          <t>⑥類似保険者との比較は、健康とくらしの調査の同規模保険者40との比較により住民の状態・社会参加の領域を実施済み。給付・供給面は見える化のδ3系列が提供不可のため比較対象の選定条件の決定を要する（確認No.3）
⑦構成町別の分析は、健康とくらしの調査により3町別の20指標を整理済み。人口・世帯は令和5年までの前回計画掲載値による。令和6〜8年の町別データが未受領（確認No.11）
⑧日常生活圏域別の分析は、健康とくらしの調査の小学校区12地区別集計により着手済み。小学校区と6圏域の対応関係及び圏域別の給付データが未受領（確認No.12）。在宅生活改善調査の利用者票は所在地区の記入形式が統一されておらず、地区別の集計に用いられない（3調査の点検 No.3）
④サービス提供体制は、介護人材実態調査と見える化のK系列・M2系列の突合により従事者数の把握範囲を確定した（3調査の点検 10シート）</t>
        </is>
      </c>
      <c r="J8" s="5" t="inlineStr">
        <is>
          <t>3, 11, 12, 13, 26, 35</t>
        </is>
      </c>
    </row>
    <row r="9" ht="118" customHeight="1">
      <c r="A9" s="4" t="inlineStr">
        <is>
          <t>(5)</t>
        </is>
      </c>
      <c r="B9" s="5" t="inlineStr">
        <is>
          <t>将来推計</t>
        </is>
      </c>
      <c r="C9" s="5" t="inlineStr">
        <is>
          <t>第10期計画期間及び2040年を見据えた人口、高齢者人口、要支援・要介護認定者数、介護サービス利用者数、介護サービス見込量、介護給付費及び第1号被保険者介護保険料について推計を行う。国が示す推計ツール及び見える化システムを活用し、必要に応じ発注者と協議する。</t>
        </is>
      </c>
      <c r="D9" s="5" t="inlineStr">
        <is>
          <t>①実績値の準備（令和6〜8年度の介護保険事業状況報告）［一部］
②総人口・被保険者数の入力（社人研推計か保険者独自推計かの決定）［完了］
③自然体推計の実行と保存［完了］
④認定率・サービス利用率の施策反映［一部］
⑤事業所が存在しないサービスの見込量の直接入力［完了］
⑥給付費・保険料の算定［一部］
⑦需要3シナリオ（低位・標準・高位）の感度表［完了］
⑧シナリオ比較（基本・需要上振れ・供給制約・基金活用）［完了］</t>
        </is>
      </c>
      <c r="E9" s="5" t="inlineStr">
        <is>
          <t>計画素案 第6章
追加調査報告書 06シート
保険料と施策評価の他団体比較（9シート）
推計資料（見える化の総括表）</t>
        </is>
      </c>
      <c r="F9" s="10" t="inlineStr">
        <is>
          <t>実施中</t>
        </is>
      </c>
      <c r="G9" s="17" t="n">
        <v>0.8125</v>
      </c>
      <c r="H9" s="10" t="inlineStr">
        <is>
          <t>R8.12</t>
        </is>
      </c>
      <c r="I9" s="11" t="inlineStr">
        <is>
          <t>令和8年8月4日に見える化B3系列（要介護度別認定者数）及びD系列（受給者数・利用率・1人当たり利用日数）を受領し、第2段階の算定チェーン（認定者数×利用率×1人当たり利用日数）が閉じた。同チェーンにより令和7年度の実績を1％未満の差で再現できることを検証した（サービス受給者数データの確認 05シート）。令和8年7月30日に見える化A系列（人口・2000〜2050年）を受領し、人口推計の基礎は社人研推計をそのまま用いることを受託者の案とし、これを仮に置いて第1段階（人口と認定者数）を試算し、将来推計（8シート）として取りまとめた（基礎の採用はキックオフ会議でご意向を確認する。確認No.14）。階級別人口は令和7年度の実績人口に社人研推計の伸び率を乗じて求め、基準年度の認定者数が実績1,984人と一致することを確認した。令和11年度の認定者数は認定率のシナリオにより2,004〜2,112人となる。第2段階（サービス見込量）は、利用率と1人当たり利用日数・回数を令和7年度の値で固定する案を基本とし、趨勢を見込む場合を感度分析として併記する形で試算し、将来推計 第2段階（8シート）として取りまとめた（置き方はヒアリングシート項目6でご意向を確認する）。この基本ケースを標準とする需要3シナリオ（低位・標準・高位）を感度表（8シート）として取りまとめた。令和11年度の幅は在宅＋0.0〜＋13.5％、居住系▲9.9〜＋5.4％、施設▲13.5〜＋5.4％、訪問介護▲3.4〜＋36.0％である。高位でも施設・居住系は区域内定員に収まる。採用値は標準とすることを受託者案とする。【令和8年9月15〜16日】「現状の資料で算定できる限界まで算定を進め、資料回収が難しいものは過年度数値据え置き」とのご指示により、サービス見込量の算定 第1次概算を完了した（18シート・自己点検22件）。伸びを一律から要介護度別に改め、利用回（日）数の見込み（法第117条第2項第1号。確認No.131）、地域支援事業の量の見込み（同項第2号。確認No.112）、中長期推計 令和17年度・令和22年度（確認No.114）、令和9年4月新設の3区分（確認No.115）、要介護度別の給付費、在宅と施設の連鎖、供給の制約（定員上限。確認No.116）、報酬改定率の感度まで算定した。総給付費（3か年計）9,035,114,142円、算定上の月額基準額6,438円である（令和8年10月1日に要介護度別の単価を採用したことによる。百円未満四捨五入した保険料基準額6,400円は変わらない）。基準年度の給付費2,915,307,125円は見える化の総括表と円単位で一致する。資料が回収できない23件は据え置きとし、月額への効きとともに掲げた（100円以上動かし得るもの3件・安全側の既定値3件）。残るのは前提の決定（第2次概算 令和8年10月30日）であり、効きが最も大きいのは1人1月あたり給付費の実績値の年度（確認No.137。月額＋245〜＋327円）である。【令和8年9月17日】据え置き23件を出どころで3つに分けた（資料を受領できない場合のサービス見込量）。区分A4件は受託者の側で確定でき資料を要しない。区分B15件は発注者・3町の資料待ちであるが、届かなければ据え置きのまま確定し算定は止まらない。区分C4件は国の告示・公布を待つもので「受領できない」では済まない（報酬改定率・第1号被保険者負担割合・所得段階の政令改正・令和9年4月新設の3区分）。算定上の月額6,438円を百円未満四捨五入した保険料基準額は6,400円で、第9期と同額の据え置きとなる。ただしこの値は単価を令和7年度で固定しており、上向きの要素（単価の趨勢＋245〜＋327円、報酬改定率3％で＋182円、第1号負担割合1ポイントで約＋290円）を織り込んでいないため据え置き前提の下限に近い。【令和8年9月18日】見える化システムの将来推計へ入力する令和9年度以降の見込量の値を、要介護度別・入力欄の桁に合わせて用意した（見える化 見込量の入力値（暫定））。利用者数は整数、利用回（日）数は小数第1位で、要支援の群・要介護の群ごとに合計を保つ最大剰余法により配分している。単純に四捨五入すると定期巡回・随時対応型訪問介護看護（月0.58人）のような小口のサービスが0になり、令和9年度以降も0のまま残るためである。本表の値は必要資料が未受領であることによる暫定値であり、その旨を各シートの表題・注記・印刷のフッターに明記している。入力の前に選ぶ設定（総人口の設定・確認No.127、令和8年度の実績見込み値の編集・確認No.128、伸びの選択・確認No.129、1人1月あたり給付費の年度・確認No.137）のご判断を要する。社内で作成された全国自治体共通版の入力シート（615項目）と入力手順書を点検し、当方の算定との整合を確かめた。⑤保険料推計の算式は当方の保険料算定式と等価で、当方の値を入れると算定上の月額6,436円を小数第4位まで再現する。615項目のうち当方の算定で埋まるのは137件で、151件が資料待ち、140件がご判断・未算定である。見える化システムが求める8年度のうち令和12・27・32年度の99項目は当方が未算定であるが、人口の基礎は令和32年度まであるため算定を広げられる（確認No.157）。所得段階別第1号被保険者数の将来8年度分も未算定である（確認No.156）</t>
        </is>
      </c>
      <c r="J9" s="5" t="inlineStr">
        <is>
          <t>14, 15, 16, 29, 30, 31, 33, 36, 100, 101, 112, 114, 115, 116, 127, 128, 129, 137, 146, 156, 157</t>
        </is>
      </c>
    </row>
    <row r="10" ht="118" customHeight="1">
      <c r="A10" s="4" t="inlineStr">
        <is>
          <t>(6)</t>
        </is>
      </c>
      <c r="B10" s="5" t="inlineStr">
        <is>
          <t>計画書の作成</t>
        </is>
      </c>
      <c r="C10" s="5" t="inlineStr">
        <is>
          <t>分析結果及び推計結果を踏まえ、第10期計画の骨子案、計画素案、計画最終案及び概要版原稿を作成する。国の基本指針、北海道支援計画及び構成町の高齢者保健福祉計画との整合を図るとともに、地域特性を踏まえた内容とする。</t>
        </is>
      </c>
      <c r="D10" s="5" t="inlineStr">
        <is>
          <t>①骨子案の作成［完了］
②計画素案の作成［完了］
③計画最終案の作成［未着手］
④概要版原稿の作成［未着手］
⑤3町計画との整合の確認［一部］</t>
        </is>
      </c>
      <c r="E10" s="5" t="inlineStr">
        <is>
          <t>骨子案（11節22表）
計画素案（1062段落156表36図）
修正指示書（66件）</t>
        </is>
      </c>
      <c r="F10" s="10" t="inlineStr">
        <is>
          <t>実施中</t>
        </is>
      </c>
      <c r="G10" s="17" t="n">
        <v>0.5</v>
      </c>
      <c r="H10" s="10" t="inlineStr">
        <is>
          <t>R9.2</t>
        </is>
      </c>
      <c r="I10" s="11" t="inlineStr">
        <is>
          <t>骨子案を作成した（令和8年8月）。概要版は未着手。3町の第10期計画に共通指標を掲載する合意が未了（確認No.17）。【令和8年9月15日】計画素案 第2章第4節（高齢者の生活実態）に健康とくらしの調査の結果を入れた（4段落・表1→30段落・表8）。【令和8年9月16日】第6章の見込量・給付費・保険料を見える化システムの自然体推計値から当方の算定に差し替えた（暫定の月額基準額 6,740円→6,436円）。計画素案が見込量算定の値を直接用いる形とし、第6章の数値が算定と離れないようにした。第6章第2節に利用回（日）数の表を新設し介護予防給付を要支援1・2の内訳で掲げ、第6章第3節に地域支援事業の量の見込みを加え、第6章第6節の保険料算定表の記号A〜Jに年度別の額を入れた。認知症施策を案Bで4箇所に反映した。素案は806段落130表36図から1062段落156表36図となった。残る未確定箇所は275箇所（要協議158・要確認115・要内訳2）で、うち58箇所（43％）が第6章第4節（施設の見込み）に集中しており、日常生活圏域と必要利用定員総数（確認No.88）の決定によって解消する。【令和8年9月17日】社内で計画素案に図と注記を加えた版を受領し点検した。加筆の土台は令和8年9月10日の素案（806段落130表36図）であり、そのまま差し替えると9月15日・16日の反映が失われる（第6章の保険料が6,740円のまま、見込量の表頭が「R8実績」のままとなる）。加筆はすべて第2章第1節への挿入で削除はなく、町別の人口ピラミッドは第9期計画になく加える値打ちがあるため、差し替えではなく加筆分を最新版へ移す手順を8段階で示した（確認No.154）。加筆に付されている「※（案）」の注記15件は作業上のやり取りであり、計画素案の本文に確認事項を書かない方針により本文には置かず、確認事項・資料提供依頼として登録する。【令和8年9月24日】アンケート調査の所見のうち取扱いの決定を要しない6件を反映した（第1章第7節の通常の事業の実施地域、第2章第3節の運営法人の集中、第6章第4節の区域内の入居状況と当連合の被保険者の受給者数、第6章第5節の入所の経路）。【令和8年9月25日】代表KPI16項目の名称・定義・算式・基準値を1か所にまとめ、第4章第3節・各基本目標の達成目標・資料1が同じ定義を掲げる形に改めた。在宅生活改善調査による基準値の分母を設問ごとの有効回答に改め（在宅生活の維持の見通し73.5％・区域内で提供できないサービスが必要と判断された利用者の割合20.2％）、通いの場参加率を第5章 基本目標2でも令和6年度3.53％に統一した。第2章第2節5の町別の給付費の注を、3町のファイルの合計と広域連合単位のファイルが要介護度ごとに一致することに改めた（確認No.87の決着）。第5章 基本目標2に認知症初期集中支援推進事業の実施状況を加えた（構成3町が担当チームを設置しているが、令和7年度は美瑛町が対応件数0件で医師を確保できず休止している）。概要版は未着手。【令和8年10月1日】公表ベースで用いる版を作成した（協議用素案の本文を組み替えるため、2つの版に別の答えが並ぶことはない）。表の見出し行を次の紙面でも繰り返すこと、行を紙面の途中で分割しないこと、表頭に地色を置くことなど視認性を是正し、両方の版に及ぼした。記載内容の洗い出しにより、被保険者の意見を反映させるために必要な措置（介護保険法第117条）と認知症高齢者の日常生活自立度の状況が記載されていないことが分かり、いずれも原典で確かめたうえで加えた。当方が独自に加えていた分析8件は協議用の成果品へ移した（確認No.170・No.171）。【令和8年10月14日】網羅性の再点検により記載が確認できなかった6件を原典で確かめたうえで加えた。老人福祉法第20条の8による市町村老人福祉計画との関係及び一体のものとして作成する定め（第1章第2節・第1章第8節）、成年後見制度の利用の促進に関する法律第14条による市町村の計画及び高齢者虐待の防止等に関する法律による市町村の事務（第1章第2節）、認知症基本法第3条の基本理念（第1章第2節）、医療計画との整合性の確保が法の定めであること（第1章第8節）、計画の北海道知事への提出（第1章第5節）、要配慮者利用施設の避難確保計画（第5章 基本目標5）、中長期的なサービスの見通しを踏まえた確保の方策（第6章第5節）である。あわせて第1章第9節に項を新設し、令和9年度介護報酬改定に向けて検討されている事項のうち本計画に関わり得るもの6件を掲げた（単位数・要件・施行時期は書いていない）。【令和8年10月15日】社会福祉法等の一部を改正する法律案要綱により21箇所を改めた。第1章第9節2に施行の日の表を新設し、改正事項の表を介護保険法の改正と社会福祉法その他の法律の改正に分け、改正事項ごとに施行の日の欄を設けて8件から18件に広げた。新たに加えたものは、特定福祉用具販売に係る費用の額の見直し、指定介護老人福祉施設等の指定の辞退、要介護認定等の申請の代行の拡大、電子資格確認の導入及び被保険者証に関する規定の整備、第1号介護予防支援事業の委託の見直し、地域ケア会議の見直し、成年後見制度等の適切な利用の支援、小規模市町村地域支援連携協働体制整備事業、災害時福祉業務従事者の登録、市町村老人福祉計画及び市町村地域福祉計画の記載事項、介護福祉士に関する改正、特定地域における介護老人保健施設等の開設許可の特例である。あわせて、中長期的な推計についての北海道の意見の聴取（第1章第5節）、区域ごとの入居定員総数の勘案（第2章第3節）、地域支援事業の量の中長期的な推計（第6章第3節2）を加え、第2章第8節の総給付費が令和9年度から令和32年度まで［要確認］であったものを算定の値に改めた。同日、新旧対照条文及び対象地域の一覧により15箇所を改めた。特定地域の基準①について、従前は「東川町・美瑛町は特別豪雪地帯を有し、美瑛町は過疎地域でもあるため、対象地域である可能性がある」としていたものを「構成3町はいずれも対象地域に掲げられていない」に改め、3つの加算の注に単位数、地域の要件、構成3町の判定及び事業所ごとの要件を示した。中長期的な推計について量（第117条第2項第3号）と費用の額及び保険料の水準（同条第3項第3号）の区別を第1章第9節2・第2章第8節・第6章第3節に加え、第5項の勘案及び第14項の意見の聴取の対象を「第2項第1号から第3号まで」に改め、第1章第8節に第118条第2項の改正を加えた。新たな章又は節は起こしていない。概要版は未着手。同日、参照条文により、医療計画及び地域医療構想との整合性の確保が都道府県介護保険事業支援計画の義務（第118条第10項）であり、市町村介護保険事業計画の相手は地域における医療及び介護の総合的な確保の促進に関する法律第5条第1項の市町村計画（第117条第10項）であることを確かめ、第1章第8節を是正した。混合型特定施設入居者生活介護に係る必要利用定員総数は第118条第4項により都道府県介護保険事業支援計画において定めることができる事項であり本計画の記載事項でないことを第6章第4節4に明記した（確認No.113は解決）。未確定箇所のうち、決着しない場合の扱いによっても記号が残るものは15件であり、意見公募手続（令和9年1月）までに解消を要する。【令和8年10月16日】③計画最終案は令和9年2月の工程であり、④概要版原稿は未着手、⑤3町計画との整合は共通指標の掲載の合意をお待ちしている</t>
        </is>
      </c>
      <c r="J10" s="5" t="inlineStr">
        <is>
          <t>17, 18, 24, 25, 88, 112, 114, 131, 154, 170, 171, 178, 179, 180, 181, 185, 186</t>
        </is>
      </c>
    </row>
    <row r="11" ht="118" customHeight="1">
      <c r="A11" s="4" t="inlineStr">
        <is>
          <t>(7)</t>
        </is>
      </c>
      <c r="B11" s="5" t="inlineStr">
        <is>
          <t>計画策定支援</t>
        </is>
      </c>
      <c r="C11" s="5" t="inlineStr">
        <is>
          <t>構成町との協議、計画内容の調整及び計画案の修正等、計画策定に必要な支援を行う。発注者からの指示に基づき、各種分析結果及び推計結果を反映した計画原稿の修正、図表の更新その他計画策定に必要な技術的支援を行う。</t>
        </is>
      </c>
      <c r="D11" s="5" t="inlineStr">
        <is>
          <t>①修正指示書の作成と管理［一部］
②図表の作成・更新［完了］
③3町との協議資料の作成［一部］
④計画原稿の修正［一部］</t>
        </is>
      </c>
      <c r="E11" s="5" t="inlineStr">
        <is>
          <t>修正指示書（66件）
図表集（33シート133点）
確認依頼書</t>
        </is>
      </c>
      <c r="F11" s="10" t="inlineStr">
        <is>
          <t>実施中</t>
        </is>
      </c>
      <c r="G11" s="17" t="n">
        <v>0.625</v>
      </c>
      <c r="H11" s="10" t="inlineStr">
        <is>
          <t>R9.3</t>
        </is>
      </c>
      <c r="I11" s="11" t="inlineStr">
        <is>
          <t>修正指示66件のうち反映済み57件、照会・資料待ち4件、別成果物で対応5件。3町との協議は令和8年10月以降。【令和8年9月16日】確認事項が153件となった。第1次概算を止めている確認事項に「決着しない場合の当方の扱い（既定値）」を全件置き、ご決定がなくても算定が止まらないようにした（計画素案の課題整理 9シート）。確認事項が本表（業務工程管理表）と計画素案の別管理表の2つに分かれており、同じ問いを二重に管理しているものが8件あることを整理した。台帳は1つに減らさず、本表を正として別管理表に対応するNo.を注記する（確認No.143）。【令和8年9月17日】見込量算定に要する資料の一覧・届かない場合の既定値・電話で照会する際の言い方の例を1冊にまとめた。確認No.87（令和7年度の給付費データの差）は、令和7年度のみ3町計が広域連合を129,580,267円（4.20％）上回り、令和6年度・令和8年度は円単位で一致する状態であった。照会は「どの条件で抽出したものか」を伺う形とし、他町の名称は挙げない。本件は保険料の算定には影響しない（保険料は特別会計の決算額による）。【令和8年9月18日】他のメンバーによる点検をお願いするため、確認箇所と手順を取りまとめた（チェック依頼 確認箇所と手順）。同日、社内で作成された全国自治体共通版の入力シート・手順書を点検し、本件に当てはめるときの手当て13件を示した。担当者名・連絡先を求める欄が発注者指示と衝突するため、記入枠とするか欄を落とす扱いをお諮りしている（確認No.155）。【令和8年9月25日】確認No.87（令和7年度の給付費データの差）が決着した。令和7年度の広域連合単位のファイルの再提供を受け、要支援1から要介護5までの全7区分で3町合計と円単位で一致した。従前のファイルもその明細を集計すると同じ額になるため、差は抽出条件の違いではなく表が明細と一致していなかったことによる。これにより令和8年度の単価の残差も＋1.63％の単一の値に定まった（従前は分母の採り方により＋1.63％から＋5.90％の幅があるとしていた）。構成3町の地域包括支援センター事業実施報告書により、地域支援事業の量（確認No.112）・認知症総合支援事業の取組の回数（確認No.150）・地域ケア会議の開催回数（確認No.118〜No.122）が一部解決した。確認No.156・No.157は当方で算定して解消した。同日、令和8年8月審査分の利用状況統計表（3町・各9頁）と訪問系サービスの明細を受領した。従前は月報に給付費が含まれないため月次の給付費がないとしていたが、本資料により1か月分の町別・サービス別・要介護度別の給付費を確認できるようになった（確認No.103と一体）。訪問系の明細は氏名・年齢・被保険者番号を含む個票であるため格納せず、集計値のみを用いて作業終了後に廃棄する。【令和8年9月28日】利用状況統計表の受領点検を終えた。審査月8月分の費用総額288,036,749円・介護給付費258,821,513円で、令和7年度の同じ審査月（269,678,563円）を6.81％上回る。町別・要介護度別の構成比は令和8年度4〜7月と2ポイント以内で一致し、訪問入浴介護の単位数は同じ回に受領した明細の集計と一致する。ただし令和8年度は給付費が審査月4〜8月の5か月、数量（月報）が4〜7月の4か月で月数がそろわないため、単価の残差の算定は当面4か月のままとし、令和8年8月分の月報のご提供を待って改める（確認No.136と一体）。【令和8年10月1日】保険者機能強化推進交付金等について、同様の構成の団体（複数の市町村で構成する広域連合・一部事務組合）38団体・構成市町村205との比較ができるようになり、確認No.168が解決した。見える化システムへの入力は、画面の写しのご提供により入力様式が画面ごとに異なることを確かめ、値を変更する箇所と入れる値を画面の順に1冊へ取りまとめた。地域分析・検討シートの記入欄15件の記載案も作成した</t>
        </is>
      </c>
      <c r="J11" s="5" t="inlineStr">
        <is>
          <t>87, 103, 112, 118, 136, 143, 150, 154, 155, 156, 157, 168</t>
        </is>
      </c>
    </row>
    <row r="12" ht="118" customHeight="1">
      <c r="A12" s="4" t="inlineStr">
        <is>
          <t>(8)</t>
        </is>
      </c>
      <c r="B12" s="5" t="inlineStr">
        <is>
          <t>各種会議への技術的支援</t>
        </is>
      </c>
      <c r="C12" s="5" t="inlineStr">
        <is>
          <t>介護保険運営協議会、構成町との協議その他計画策定に必要な会議において、発注者から求めがあった場合は、分析結果、推計内容その他必要な事項について技術的助言を行う。会議に使用する資料原案、図表、グラフ、分析資料及び説明用データの作成支援を行う。</t>
        </is>
      </c>
      <c r="D12" s="5" t="inlineStr">
        <is>
          <t>①第1回介護保険事業計画策定委員会の資料原案作成［未着手］
②第2回以降の委員会資料の作成［未着手］
③3町との協議資料の作成［完了］
④説明用データの作成［完了］</t>
        </is>
      </c>
      <c r="E12" s="5" t="inlineStr">
        <is>
          <t>委員会資料原案（未作成）</t>
        </is>
      </c>
      <c r="F12" s="10" t="inlineStr">
        <is>
          <t>実施中</t>
        </is>
      </c>
      <c r="G12" s="17" t="n">
        <v>0.5</v>
      </c>
      <c r="H12" s="10" t="inlineStr">
        <is>
          <t>R9.2</t>
        </is>
      </c>
      <c r="I12" s="11" t="inlineStr">
        <is>
          <t>委員会の開催日程、審議事項、資料提出期限が未確定（確認No.19）。図表集と妥当性検証報告書が資料の素材となる。【令和8年10月7日】構成3町のヒアリング前の事前打合せ（令和8年10月8日）の資料と3町合同の意見交換会の資料に、打合せの時間内でご決定をお願いしたい事項と時間配分の案を加えた。いずれも、この場でご決定をお願いしたいもの・時間があればご決定をお願いしたいもの・受託者の仮置きのまま進めるものに分け、所要の目安を分で付している。ご決定をお願いしたい事項は、各町へ伺う問いが立たないもの、保険料の月額への効きが大きいもの、法定記載事項に直結するもの、第2次概算の前提になるものの4つの観点のうち2つ以上に当たるものを選んだ。【令和8年10月15日】ご決定・ご確認をお待ちしている事項の一覧を、何をすれば決着するかという軸で区分した（別冊「確認事項の資料徴求と公表資料による確認」）。広域連合及び構成3町等から資料の徴求を要するもの63件、公表資料により確認できるもの7件、国の政令・省令・告示の公表を待つもの3件、ご判断・ご決定をお願いするもの96件、資料の徴求を要しないもの20件である。資料の徴求を要する63件の全件に資料が届かない場合の扱いを付し、①安全側の置き方で算定する2件・②未確定箇所として残す6件・③当該の記載を掲げない14件・④現に確認できている値で確定する41件に分けた。うち57件は資料が届かなくても計画本文を確定でき、未確定箇所の記号が残るものは6件である。あわせて、仕様書の業務内容別の件数、動かせない日程がそれぞれ必要とするもの、不足している情報の性質及び決着した事項の経緯を加えた。確認事項が最も集まっているのは(6)計画書の作成で79件であり、ご判断・ご決定をお願いするものが49件ある。ご決定をいただけない場合でも当方の作業が止まるものはない。優先してご提供をお願いするものは、保険料の月額に効くもの、介護保険法第117条に関わるもの、影響度が優先であるもの及び資料が届かないと計画の記載に跡が残るものの4つの観点で掲げた。【令和8年10月16日】ご決定・ご確認をお待ちしている事項の全件に決着しない場合の扱いを置いているため、受託者の側で進められる作業は残っておらず、残るのは資料のご提供と照会という相手のある作業である。サービス見込量 第2次概算（令和8年10月30日）は、ご決定を待たずに現在の前提のまま組める状態にある。3町との協議資料は作成済みであり、協議の実施をお待ちしている</t>
        </is>
      </c>
      <c r="J12" s="5" t="inlineStr">
        <is>
          <t>19, 20</t>
        </is>
      </c>
    </row>
    <row r="13" ht="118" customHeight="1">
      <c r="A13" s="4" t="inlineStr">
        <is>
          <t>(9)</t>
        </is>
      </c>
      <c r="B13" s="5" t="inlineStr">
        <is>
          <t>パブリックコメント支援</t>
        </is>
      </c>
      <c r="C13" s="5" t="inlineStr">
        <is>
          <t>パブリックコメントの実施に当たり、計画素案の修正案の作成、提出意見の分類及び整理、意見に対する考え方の原案作成並びに計画への反映に関する技術的助言を行う。</t>
        </is>
      </c>
      <c r="D13" s="5" t="inlineStr">
        <is>
          <t>①パブリックコメント用の素案の整備［一部］
②提出意見の分類・整理［未着手］
③意見に対する考え方の原案作成［未着手］
④計画への反映［未着手］</t>
        </is>
      </c>
      <c r="E13" s="5" t="inlineStr">
        <is>
          <t>パブリックコメント資料（未作成）</t>
        </is>
      </c>
      <c r="F13" s="10" t="inlineStr">
        <is>
          <t>実施中</t>
        </is>
      </c>
      <c r="G13" s="17" t="n">
        <v>0.125</v>
      </c>
      <c r="H13" s="10" t="inlineStr">
        <is>
          <t>R9.1</t>
        </is>
      </c>
      <c r="I13" s="11" t="inlineStr">
        <is>
          <t>実施期間が未確定（確認No.19）。令和9年1月の工程</t>
        </is>
      </c>
      <c r="J13" s="5" t="inlineStr">
        <is>
          <t>19</t>
        </is>
      </c>
    </row>
    <row r="14" ht="118" customHeight="1">
      <c r="A14" s="4" t="inlineStr">
        <is>
          <t>(10)</t>
        </is>
      </c>
      <c r="B14" s="5" t="inlineStr">
        <is>
          <t>成果品の作成</t>
        </is>
      </c>
      <c r="C14" s="5" t="inlineStr">
        <is>
          <t>成果品を納品する。編集可能な電子データ（Word、Excel等）及びPDF形式により提出し、図表、グラフ及び統計資料についても加工可能な形式で納品する。計画骨子案、計画素案、計画最終案その他必要と認める資料は指定期日までに提出する。</t>
        </is>
      </c>
      <c r="D14" s="5" t="inlineStr">
        <is>
          <t>①計画書の印刷・製本（A4判 表紙レザック 本文1色 100頁程度）200部［未着手］
②計画書及び概要版の電子データ［一部］
③分析資料・推計資料・図表・グラフ・クロス集計表の電子データ［完了］
④打合せ資料・会議資料原案［完了］</t>
        </is>
      </c>
      <c r="E14" s="5" t="inlineStr">
        <is>
          <t>04シートを参照</t>
        </is>
      </c>
      <c r="F14" s="10" t="inlineStr">
        <is>
          <t>実施中</t>
        </is>
      </c>
      <c r="G14" s="17" t="n">
        <v>0.625</v>
      </c>
      <c r="H14" s="10" t="inlineStr">
        <is>
          <t>R9.3</t>
        </is>
      </c>
      <c r="I14" s="11" t="inlineStr">
        <is>
          <t>電子データは作成中。印刷・製本は令和9年3月。本文100頁程度に対する章別のページ配分が未確定（確認No.21）。【令和8年9月15〜18日】成果品は141件となった。9月に加えたものは、サービス見込量の算定 第1次概算（18シート）、調査結果と年報実績の突合クロス集計（10シート）、計画素案の課題整理（9シート）、管理の統合と成果品の棚卸し（9シート）、入力前段支援アプリの点検（8シート）、認知症施策推進計画の位置づけと見込量への反映（10シート）、社内作業ファイルの点検（12シート）、見込量算定に要する資料と電話照会の進め方（Word）、資料を受領できない場合のサービス見込量（Word）、計画素案への加筆版の点検（9シート）、チェック依頼 確認箇所と手順（Word）、見える化 見込量の入力値（暫定。11シート）、見える化入力マニュアルの点検と整合確認（12シート）である。棚卸しにより、作成に用いた処理138件のうち作り直せないものは3件であり、成果品の登録漏れ・実体なしがいずれも0件であることを確認した（確認No.144）。【令和8年9月24〜25日】所得段階別の将来推計（5シート）、令和8年9月25日受領資料の受領点検（12シート）、アンケート調査の分析 令和8年9月業務報告（Word）、アンケート分析 点検箇所と手順（Word）を加えた。あわせて自己点検を持たない成果品をなくした（アンケート調査の集計分析報告書12件・実施済み調査 結果報告書10件を新設、令和8年9月業務報告は40件）。発注者へ送付する成果品に当方の内部の仕組み・作業経過の語が残っていないことを機械で確かめる点検も加えた。紙面の点検により、令和8年9月業務報告15ページ・実施済み調査 結果報告書51ページのいずれも紙面をまたぐ表が0件であることを確かめた。10月工程の地域課題整理資料・3町協議資料に当たる「10月 地域課題の整理と3町協議の確認事項」（11シート）も加えた。保険者機能強化推進交付金等の市町村分の評価指標について、大項目53件・明細列299件の配点と構成3町の3か年の得点を対応させた一覧を Excel と PDF（全21ページ）で作成した。【令和8年9月28日】令和8年8月審査分の利用状況統計表の受領点検（10シート）を加えた。審査月単位・町別・サービス種類41区分・要介護度別に、利用実人員・回数・単位数・費用総額・介護給付費を確認した（費用総額288,036,749円、うち介護給付費258,821,513円）。受領物が画像の写しであるため、要介護度別の和が「計」に一致すること（738件）と小計の行が内訳の和に一致すること（66件）を全区分で確かめ、合わない箇所は画像を拡大して確かめて是正した（36か所）。自己点検17件。【令和8年10月1日】成果品6件を加えた。計画素案の公表版、記載内容の洗い出しと対比、図表データ管理台帳（台帳の数値を直すと計画本文の図が追随する）、地域分析・検討シートの記載案、見える化システムへ入力する箇所と入力値、日次の状況と翌日の作業順位である。あわせて、計画素案の点検・エクセルの図表と数値の点検・日次の進捗管理の3件を、担当者が替わっても同じ手順で行えるよう手順としてまとめた</t>
        </is>
      </c>
      <c r="J14" s="5" t="inlineStr">
        <is>
          <t>21, 103, 136, 144</t>
        </is>
      </c>
    </row>
    <row r="15" ht="118" customHeight="1">
      <c r="A15" s="4" t="inlineStr">
        <is>
          <t>(11)</t>
        </is>
      </c>
      <c r="B15" s="5" t="inlineStr">
        <is>
          <t>成果品の帰属</t>
        </is>
      </c>
      <c r="C15" s="5" t="inlineStr">
        <is>
          <t>本業務により作成した成果品の著作権（著作権法第27条及び第28条に規定する権利を含む。）は、成果品の引渡しをもって発注者に帰属する。ただし、受託者が従前から保有する技術、ノウハウ等についてはこの限りでない。</t>
        </is>
      </c>
      <c r="D15" s="5" t="inlineStr">
        <is>
          <t>①引渡し時の権利帰属の確認</t>
        </is>
      </c>
      <c r="E15" s="5" t="inlineStr">
        <is>
          <t>―</t>
        </is>
      </c>
      <c r="F15" s="10" t="inlineStr">
        <is>
          <t>対象外</t>
        </is>
      </c>
      <c r="G15" s="17" t="n"/>
      <c r="H15" s="10" t="inlineStr">
        <is>
          <t>R9.3</t>
        </is>
      </c>
      <c r="I15" s="11" t="inlineStr">
        <is>
          <t>契約条項であり、成果品の引渡し時に確認する</t>
        </is>
      </c>
      <c r="J15" s="5" t="inlineStr">
        <is>
          <t>―</t>
        </is>
      </c>
    </row>
    <row r="16" ht="118" customHeight="1">
      <c r="A16" s="4" t="inlineStr">
        <is>
          <t>(12)</t>
        </is>
      </c>
      <c r="B16" s="5" t="inlineStr">
        <is>
          <t>その他</t>
        </is>
      </c>
      <c r="C16" s="5" t="inlineStr">
        <is>
          <t>仕様書に定めのない事項又は疑義が生じた場合は、発注者及び受託者が協議の上決定する。</t>
        </is>
      </c>
      <c r="D16" s="5" t="inlineStr">
        <is>
          <t>①疑義事項の整理と協議
②仕様書の対象外となる作業の取扱いの決定</t>
        </is>
      </c>
      <c r="E16" s="5" t="inlineStr">
        <is>
          <t>確認依頼書
03シート</t>
        </is>
      </c>
      <c r="F16" s="10" t="inlineStr">
        <is>
          <t>実施中</t>
        </is>
      </c>
      <c r="G16" s="17" t="n"/>
      <c r="H16" s="10" t="inlineStr">
        <is>
          <t>随時</t>
        </is>
      </c>
      <c r="I16" s="11" t="inlineStr">
        <is>
          <t>事業所実態調査は実施済みだが、受領した回答に受入困難・BCP等の設問がなく、H12・H16の基準値を算定できない。在宅介護実態調査（H07・H08）は実施されていない。代理指標への振替の決定を要する（確認No.4）</t>
        </is>
      </c>
      <c r="J16" s="5" t="inlineStr">
        <is>
          <t>4</t>
        </is>
      </c>
    </row>
    <row r="18" ht="22" customHeight="1">
      <c r="A18" s="5" t="inlineStr"/>
      <c r="B18" s="18" t="inlineStr">
        <is>
          <t>全体進捗（加重平均を除く単純平均）</t>
        </is>
      </c>
      <c r="C18" s="5" t="inlineStr"/>
      <c r="D18" s="5" t="inlineStr"/>
      <c r="E18" s="5" t="inlineStr"/>
      <c r="F18" s="5" t="inlineStr"/>
      <c r="G18" s="19">
        <f>ROUND(AVERAGE(G5:G16),2)</f>
        <v/>
      </c>
      <c r="H18" s="5" t="inlineStr"/>
      <c r="I18" s="5" t="inlineStr"/>
      <c r="J18" s="5" t="inlineStr"/>
    </row>
    <row r="20" ht="28" customHeight="1">
      <c r="A20" s="16" t="inlineStr">
        <is>
          <t>注1）進捗は、当該業務の作業項目のうち完了したものの割合を受託者が見積もったものである。注2）（1）（2）（4）は契約上の着手時期（令和8年8月）より前に、貸与資料の範囲で先行して実施している。注3）（11）成果品の帰属は契約条項であり、作業工程としては「対象外」としている。注4）「確認事項No.」は03シートの番号に対応する。確認事項が解消されない限り当該業務は完了しない。</t>
        </is>
      </c>
    </row>
  </sheetData>
  <mergeCells count="3">
    <mergeCell ref="A1:J1"/>
    <mergeCell ref="A20:J20"/>
    <mergeCell ref="A2:J2"/>
  </mergeCells>
  <conditionalFormatting sqref="F5:F16">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0">
      <formula>"了承済（保管せず廃棄）"</formula>
    </cfRule>
    <cfRule type="cellIs" priority="5" operator="equal" dxfId="3">
      <formula>"未着手"</formula>
    </cfRule>
    <cfRule type="cellIs" priority="6" operator="equal" dxfId="4">
      <formula>"対象外"</formula>
    </cfRule>
    <cfRule type="cellIs" priority="7" operator="equal" dxfId="0">
      <formula>"代替により解消"</formula>
    </cfRule>
    <cfRule type="cellIs" priority="8" operator="equal" dxfId="1">
      <formula>"一部解消"</formula>
    </cfRule>
    <cfRule type="cellIs" priority="9" operator="equal" dxfId="1">
      <formula>"提供予定（即時）"</formula>
    </cfRule>
    <cfRule type="cellIs" priority="10" operator="equal" dxfId="1">
      <formula>"作成中"</formula>
    </cfRule>
    <cfRule type="cellIs" priority="11" operator="equal" dxfId="0">
      <formula>"了承済"</formula>
    </cfRule>
    <cfRule type="cellIs" priority="12" operator="equal" dxfId="1">
      <formula>"対応中"</formula>
    </cfRule>
  </conditionalFormatting>
  <dataValidations count="1">
    <dataValidation sqref="F5:F16" showDropDown="0" showInputMessage="0" showErrorMessage="0" allowBlank="1" type="list">
      <formula1>"完了,実施中,確認待ち,未着手,対象外"</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4" topLeftCell="A5" activePane="bottomLeft" state="frozen"/>
      <selection pane="bottomLeft" activeCell="A1" sqref="A1"/>
    </sheetView>
  </sheetViews>
  <sheetFormatPr baseColWidth="8" defaultRowHeight="15"/>
  <cols>
    <col width="11" customWidth="1" min="1" max="1"/>
    <col width="40" customWidth="1" min="2" max="2"/>
    <col width="12" customWidth="1" min="3" max="3"/>
    <col width="30" customWidth="1" min="4" max="4"/>
    <col width="26" customWidth="1" min="5" max="5"/>
    <col width="9" customWidth="1" min="6" max="6"/>
    <col width="12" customWidth="1" min="7" max="7"/>
    <col width="12" customWidth="1" min="8" max="8"/>
    <col width="14" customWidth="1" min="9" max="9"/>
    <col width="26" customWidth="1" min="10" max="10"/>
  </cols>
  <sheetData>
    <row r="1" ht="26" customHeight="1">
      <c r="A1" s="1" t="inlineStr">
        <is>
          <t>仕様書５　業務スケジュール（予定）に沿った月別工程管理</t>
        </is>
      </c>
    </row>
    <row r="2" ht="52" customHeight="1">
      <c r="A2" s="2" t="inlineStr">
        <is>
          <t>仕様書５の月別工程について、業務内容・成果物・提出期日・発注者確認を管理する。仕様書は「受託者は各工程終了後、発注者が指定する期日までに成果物を提出し、発注者の確認を受けた上で次工程へ進むものとする」と定めているため、各月の末尾に発注者確認の欄を設けている。</t>
        </is>
      </c>
    </row>
    <row r="4" ht="32" customHeight="1">
      <c r="A4" s="3" t="inlineStr">
        <is>
          <t>年月</t>
        </is>
      </c>
      <c r="B4" s="3" t="inlineStr">
        <is>
          <t>業務内容（仕様書５のとおり）</t>
        </is>
      </c>
      <c r="C4" s="3" t="inlineStr">
        <is>
          <t>対応する業務内容</t>
        </is>
      </c>
      <c r="D4" s="3" t="inlineStr">
        <is>
          <t>工程末に提出する成果物</t>
        </is>
      </c>
      <c r="E4" s="3" t="inlineStr">
        <is>
          <t>現時点の状況</t>
        </is>
      </c>
      <c r="F4" s="3" t="inlineStr">
        <is>
          <t>状態</t>
        </is>
      </c>
      <c r="G4" s="3" t="inlineStr">
        <is>
          <t>提出期日</t>
        </is>
      </c>
      <c r="H4" s="3" t="inlineStr">
        <is>
          <t>提出日</t>
        </is>
      </c>
      <c r="I4" s="3" t="inlineStr">
        <is>
          <t>発注者確認（日・確認者）</t>
        </is>
      </c>
      <c r="J4" s="3" t="inlineStr">
        <is>
          <t>備考・次工程への条件</t>
        </is>
      </c>
    </row>
    <row r="5" ht="94" customHeight="1">
      <c r="A5" s="4" t="inlineStr">
        <is>
          <t>令和8年8月</t>
        </is>
      </c>
      <c r="B5" s="5" t="inlineStr">
        <is>
          <t>業務着手、キックオフ会議、第9期計画の評価・検証開始、各種資料整理</t>
        </is>
      </c>
      <c r="C5" s="4" t="inlineStr">
        <is>
          <t>(1)(2)(12)</t>
        </is>
      </c>
      <c r="D5" s="5" t="inlineStr">
        <is>
          <t>・キックオフ会議資料
・貸与資料の受領一覧
・第9期計画の評価・検証の中間報告</t>
        </is>
      </c>
      <c r="E5" s="5" t="inlineStr">
        <is>
          <t>貸与資料の受領と整理は先行実施済み。第9期計画の評価・検証は妥当性検証報告書（24シート）として先行して取りまとめ済み。令和8年8月4日に3調査の第10期分102ファイルを受領し、点検・集計・見える化との突合を完了した。キックオフ会議資料は作成中。キックオフ会議の日程が未確定</t>
        </is>
      </c>
      <c r="F5" s="8" t="inlineStr">
        <is>
          <t>実施中</t>
        </is>
      </c>
      <c r="G5" s="10" t="inlineStr"/>
      <c r="H5" s="10" t="inlineStr"/>
      <c r="I5" s="11" t="inlineStr"/>
      <c r="J5" s="5" t="inlineStr">
        <is>
          <t>キックオフ会議で、①代表KPI4項目の代理指標、②人口推計の基礎及び認定率のシナリオ、③3調査の点検事項の重大6件の取扱い、④委員会日程についてご意向を確認する</t>
        </is>
      </c>
    </row>
    <row r="6" ht="94" customHeight="1">
      <c r="A6" s="4" t="inlineStr">
        <is>
          <t>令和8年9月</t>
        </is>
      </c>
      <c r="B6" s="5" t="inlineStr">
        <is>
          <t>実施済み調査（在宅生活改善調査、居所変更実態調査、介護人材実態調査及びJAGES調査）の集計・分析、介護給付実績分析、人口推計、現状分析</t>
        </is>
      </c>
      <c r="C6" s="4" t="inlineStr">
        <is>
          <t>(3)(4)(5)</t>
        </is>
      </c>
      <c r="D6" s="5" t="inlineStr">
        <is>
          <t>・4調査の集計・クロス集計表
・介護給付実績分析資料
・人口推計の基礎資料
・現状分析資料
・サービス見込量の算定（9月26日）</t>
        </is>
      </c>
      <c r="E6" s="5" t="inlineStr">
        <is>
          <t>4調査すべての集計・クロス集計・分析を完了し、アンケート調査の集計分析報告書（15シート）として取りまとめ、発注者から提示のあった様式に合わせて実施済み調査 結果報告書（Word・51表39図）を作成した。4調査横断のクロス集計は発注者のご意向により行わない。令和8年9月11日、年報の要介護度別の明細により調査の結果と保険者の実績を突合し（突合クロス集計 10シート）、調査①が在宅の認定者全体を代表しないことをχ²＝43.5（自由度6。1％点16.81）として測定した（確認事項No.140）。令和8年9月15日、健康とくらしの調査の結果を計画素案 第2章第4節に反映した（4段落・表1→30段落・表8）。令和8年9月15〜16日、サービス見込量の算定 第1次概算を完了し（18シート・自己点検22件。算定上の月額基準額6,438円）、計画素案 第6章第1〜3節・第6節に反映した。令和8年9月17日、アンケート調査の集計分析報告書の見込量が計画素案 第6章と食い違っていたものを是正し、見込量算定の値を直接用いる形として同じ数値が2か所に別々に書かれない構造に改めた。同日、資料を受領できない場合のサービス見込量を整理し、据え置き23件を区分A（受託者で確定・4件）・区分B（発注者と3町の資料待ち・15件）・区分C（国の告示待ち・4件）に分けた。令和8年9月24日、見える化システムが求める所得段階別第1号被保険者数（16段階・確認事項No.156）と令和12・27・32年度の見込量・給付費（確認事項No.157）を算定し、両確認事項を解消した。中長期の年次を広げたことにより、地域密着型介護老人福祉施設が定員62人に達するのは令和17年度ではなく令和12年度であることが分かった。同日、令和8年9月のアンケート分析について業務報告（Word）を作成した（再レビューにより全11節・表16に改めた）。令和8年9月25日、令和7年度の給付費データ（広域連合単位）の再提供と、構成3町の地域包括支援センター事業実施報告書（令和7年度）・実施計画書（令和8年度）を受領した。確認事項No.87（令和7年度の給付費の差129,580,267円）は要介護度別まで円単位で一致して決着し、地域支援事業の量（確認事項No.112）・認知症総合支援事業の取組の回数（確認事項No.150）・地域ケア会議の開催回数（確認事項No.118〜No.122）が一部解決した。同日、外部レビュー3回の指摘29件を検証して是正し、代表KPIの定義・割合の分母・時点の混在を計画素案と報告書でそろえた。同日、令和8年8月審査分の利用状況統計表（3町・各9頁）と訪問系サービスの明細を受領した。従前は月報に給付費が含まれないため月次の給付費がないとしていたが、本資料により1か月分の町別・サービス別・要介護度別の給付費を確認できるようになった（確認事項No.103と一体）。令和8年9月28日に受領点検を終え、審査月8月分の費用総額288,036,749円・介護給付費258,821,513円を確認した。訪問系の明細は氏名・年齢・被保険者番号を含む個票であるため格納せず、集計値のみを用いて作業終了後に廃棄する。介護給付実績分析・現状分析は見える化データにより先行実施済み（妥当性検証報告書・図表集）。人口推計は総合戦略ベース（案C）で第1〜第3段階まで算定済み</t>
        </is>
      </c>
      <c r="F6" s="8" t="inlineStr">
        <is>
          <t>実施中</t>
        </is>
      </c>
      <c r="G6" s="10" t="inlineStr"/>
      <c r="H6" s="10" t="inlineStr"/>
      <c r="I6" s="11" t="inlineStr"/>
      <c r="J6" s="5" t="inlineStr">
        <is>
          <t>第1次概算は9月26日に提示できる状態にある。同概算を止めている確認事項21件には「決着しない場合の当方の扱い（既定値）」を全件置いており、ご決定がなくても算定は止まらない。残るのは点検事項の重大6件の取扱い（確認事項No.8）で、この1件の決定により調査の確定値化と成果品の更新が動く</t>
        </is>
      </c>
    </row>
    <row r="7" ht="94" customHeight="1">
      <c r="A7" s="4" t="inlineStr">
        <is>
          <t>令和8年10月</t>
        </is>
      </c>
      <c r="B7" s="5" t="inlineStr">
        <is>
          <t>地域課題整理、将来推計、第10期計画骨子案作成、構成町との協議・調整</t>
        </is>
      </c>
      <c r="C7" s="4" t="inlineStr">
        <is>
          <t>(4)(5)(6)(7)</t>
        </is>
      </c>
      <c r="D7" s="5" t="inlineStr">
        <is>
          <t>・地域課題整理資料
・将来推計結果（自然体・施策反映）
・第10期計画骨子案
・3町協議資料
・サービス見込量 第2次概算</t>
        </is>
      </c>
      <c r="E7" s="5" t="inlineStr">
        <is>
          <t>地域課題の整理は先行実施済み（妥当性検証報告書 主要所見20件）。骨子案を作成した（第10期介護保険事業計画_骨子案.docx・11節22表）。将来推計は第1段階から第3段階まで算定済み。令和8年9月9日のご照会により、構成町との協議を3町合同の意見交換会（10月上旬）と町ごとの個別協議（10月中旬〜下旬）の2段構えとする案を示した（確認事項No.83）。【令和8年9月28日】地域課題整理資料と3町協議資料を「10月 地域課題の整理と3町協議の確認事項」（11シート）として作成した。地域課題15件を根拠となる数値・出所・計画本文の反映先と対にして掲げ、町ごとの確認事項と3町共通の確認事項を一覧にした。町ごとの論点9件を確認事項No.159からNo.167として起票した。認知症基本法第13条の市町村認知症施策推進計画（案B）については、保険者機能強化推進交付金等の認知症総合支援（支援 目標Ⅱ）の町別評価を踏まえ、各町で決めていただく事項を掲げた（令和8年度 東川町33点・美瑛町19点・東神楽町37点）。併せて交付金の評価結果を1冊に取りまとめ、「交付金評価の取りまとめと第10期への反映」（12シート）とした。3町の得点は3か年ほぼ横ばいである一方、全国平均が32.5点上がったため全国での位置は下がっている（東川町15.0％→6.7％・美瑛町14.3％→6.0％・東神楽町28.3％→20.5％）。全国の多くの市町村が得点しているのに3町とも0点である明細列38件を17の大項目に束ね、可4・条件付き12・現時点では不可1と判定した。【令和8年10月1日】計画素案の記載内容の洗い出しにより制度改正11件と記載漏れ2件を加え、公表ベースで用いる版を作成した。見える化システムへの入力は、画面の写しにより入力様式を確定し、値を変更する箇所と入れる値を画面の順に取りまとめた。地域分析・検討シートの記載案も作成した。第2次概算（10月30日）に向けて決着を要する事項は日次の状況と翌日の作業順位で管理する。確認事項No.168・No.169を起票した。3町合同の意見交換会（10月上旬）の資料を作成した。策定の状況、第1次概算の結果、保険料の月額を動かす前提、地域課題15件、3町共通の確認事項、認知症施策推進計画の扱い、資料のご提供のお願い及び10月以降の工程を1冊にまとめている。決定を待たずに進められる事項として、算定の前提のうち受託者の側で確定できるもの2件（要介護度の構成・季節補正）を確定し、確認事項6件（No.88・No.105・No.106・No.112・No.113・No.131）を既定値のとおり計画素案へ反映した。混合型特定施設入居者生活介護に係る必要利用定員総数（介護保険法第117条第3項の勘案事項）は記載がなかったため、定めないこととする旨を第6章第4節4に加えた。続けて8件（No.98・No.100・No.101・No.103・No.107・No.110・No.137・No.150）を既定値のとおり反映し、第6章第6節2に単価の実績の趨勢と給付の適正化による抑制の効きを、第6章第3節2に認知症総合支援事業の実施状況を加え、第6章第2節の注に基準年度・季節補正・定員の縮小の扱いを明示した。この作業により、単価の趨勢を織り込まないことによる月額への効きを誤って記していたことが分かり是正した（実測の年率による値は＋245〜＋327円である）。さらに24件を既定値のとおり反映し、必要利用定員総数と見込量の数える対象の違い（No.141）、対計画比の補正の対象から外すサービス（No.151）、調整交付金への給付適正化の取組状況の勘案（No.93）、交付金の交付見込額の二重控除を避ける整理（No.86）、自己評価と北海道への報告（No.7）を計画素案に加えた。仮置きにより計画素案へ反映した事項は38件である。第2次概算（10月30日）の組立てを「サービス見込量の算定_第2次概算」（13シート）として作成した。第1次概算（9月26日）からの差分、保険料算定表の記号A〜Jの対照、サービス見込量・利用回（日）数・給付費の種別ごとの差分、中長期推計、月額を動かす前提、見える化システムの出力との対照、残る未決と既定値、10月30日までに行うことを掲げている。第1次概算から算定が動いたのは、要介護度別の単価の採用と1人1月あたり利用回（日）数の要介護度別化の2件であり、総給付費は9,031,900,444円から9,035,114,142円へ、算定上の月額基準額は6,436円から6,438円へ動いた。保険料基準額は6,400円で変わらない。併せて、第1次概算として提示した版は提示した時点の値を残すため別に残し、算定の正本の名から工程の名を外した（第10期計画_サービス見込量の算定）。【令和8年10月5日】日次の作業順位により確認事項8件を既定値のとおり計画素案へ反映し（反映した事項は46件）、業務内容別の進捗を作業項目の達成状況による算定に改めた。令和8年10月5日に受領した人口推計のファイルについて、コーホート変化率法の置き方を点検し修正の提案を作成した（確認事項No.174を起票）。【令和8年10月7日】第136回社会保障審議会介護保険部会（令和8年9月18日）の資料7件により、制度の動向6件と引き続き検討することとされた事項7件を計画素案へ加え、所得段階の置き方3案による保険料の違いと調整交付金の一定の取組による減額を掲げた（確認事項No.175からNo.177を起票）。構成3町のヒアリング前の事前打合せ（令和8年10月8日）の資料と3町合同の意見交換会の資料に、打合せの時間内でご決定をお願いしたい事項と時間配分の案を加えた。【令和8年10月14日】計画の記載事項の網羅性を再度点検し、対比の軸を介護保険法第117条の記載事項から条文の構成全体へ広げ、介護保険法以外の関係法令9件との対比を加えた。記載を確認できなかった6件を計画素案へ反映した。あわせて介護給付費分科会（第256回から第270回）において令和9年度介護報酬改定に向けて検討されている論点31件を受領し、当区域に直結する17件を計画素案と突き合わせた（確認事項No.178からNo.184を起票）。【令和8年10月15日】社会福祉法等の一部を改正する法律案要綱（全31頁）及び令和5年改正の概要のご提供を受けて改正事項を点検し、施行期日の4区分を確定したほか、介護保険法第117条の改正後の号及び項を確定した。法第117条第2項第3号が地域支援事業の量の中長期的な推計も求めるものであることから、令和17年度・令和22年度の量を算定して計画素案 第6章第3節2に加えた。お示しいただいた記事の記述11件を原典により確かめ、計画素案の21箇所を改めた（確認事項No.185・No.186を起票）。同日、新旧対照条文（全353頁）、参照条文（全45頁）、特定地域の考え方について（介護保険部会 第135回 資料3）及び介護保険における3つの加算の対象地域一覧のご提供を受け、改正後の条文を確認して計画素案の15箇所を改めた。特別地域加算の対象地域に構成3町がいずれも掲げられていないことを確認し確認事項No.1を解決した（北海道が全域の豪雪地帯であるため他の2つの加算の地域の要件には該当する）。確認事項No.181は大きく解決し、確認事項No.2に基準の内容を記録した。同日、参照条文（全16法令・原資料87頁）の文字起こしのご提供を受け、介護保険法第117条の項の全体（全14項）及び第3項の全10号、第118条並びに第115条の45の項及び号を確認した（確認事項No.181は解決）。当方の記述の誤り5件が分かり、医療計画及び地域医療構想との整合性の確保が都道府県介護保険事業支援計画の義務であること、混合型及び介護専用型の特定施設入居者生活介護に係る必要利用定員総数が都道府県介護保険事業支援計画の事項であること（確認事項No.113は解決）を含め計画素案の6箇所を是正した。確認事項No.187からNo.189までを起票した。同日、ご決定・ご確認をお待ちしている事項の一覧を何をすれば決着するかという軸で区分し、広域連合及び構成3町等から資料の徴求を要するもの63件、公表資料により確認できるもの7件、公表を待つもの3件、ご判断・ご決定をお願いするもの96件、資料の徴求を要しないもの20件に分けた。資料の徴求を要する63件の全件に資料が届かない場合の扱いを付し、うち57件は資料が届かなくても計画本文を確定できることを示した。あわせて、仕様書の業務内容別の件数、動かせない日程がそれぞれ必要とするもの、不足している情報の性質及び決着した事項の経緯を加えた。新たな確認事項は起こしていない。【令和8年10月16日】本表の基準日を令和8年10月16日に進めた。ご決定・ご確認をお待ちしている事項の全件に決着しない場合の扱いを置いているため、受託者の側で進められる作業は残っておらず、残るのは資料のご提供と照会という相手のある作業である。サービス見込量 第2次概算（10月30日）は、ご決定を待たずに現在の前提のまま組める状態にある</t>
        </is>
      </c>
      <c r="F7" s="8" t="inlineStr">
        <is>
          <t>実施中</t>
        </is>
      </c>
      <c r="G7" s="10" t="inlineStr"/>
      <c r="H7" s="10" t="inlineStr"/>
      <c r="I7" s="11" t="inlineStr"/>
      <c r="J7" s="5" t="inlineStr">
        <is>
          <t>骨子案 第10節の決定・確認を要する事項12件についてご意向を確認する。個別協議で3町の施設整備・サービス提供方針を確認しサービス見込量に反映する</t>
        </is>
      </c>
    </row>
    <row r="8" ht="94" customHeight="1">
      <c r="A8" s="4" t="inlineStr">
        <is>
          <t>令和8年11月</t>
        </is>
      </c>
      <c r="B8" s="5" t="inlineStr">
        <is>
          <t>構成町意見反映、第10期計画骨子の整理</t>
        </is>
      </c>
      <c r="C8" s="4" t="inlineStr">
        <is>
          <t>(6)(7)</t>
        </is>
      </c>
      <c r="D8" s="5" t="inlineStr">
        <is>
          <t>・3町意見の整理表
・意見反映後の骨子
・サービス見込量 予算編成用（11月13日）</t>
        </is>
      </c>
      <c r="E8" s="5" t="inlineStr">
        <is>
          <t>3町との協議が前提。美瑛町は高齢者福祉計画を10月中旬までに素案、11月中旬までに原案とする予定である。美瑛町の予算編成（11月初旬から調整）に用いるため、サービス見込量の予算編成用を11月13日に提示する（前倒し）</t>
        </is>
      </c>
      <c r="F8" s="12" t="inlineStr">
        <is>
          <t>未着手</t>
        </is>
      </c>
      <c r="G8" s="10" t="inlineStr"/>
      <c r="H8" s="10" t="inlineStr"/>
      <c r="I8" s="11" t="inlineStr"/>
      <c r="J8" s="5" t="inlineStr">
        <is>
          <t>3町の計画策定の工程と担当課の確認が前提。予算編成用の見込量は決定3（施設整備の方針）・決定8（保険料の設計）のご決定を前提とする</t>
        </is>
      </c>
    </row>
    <row r="9" ht="94" customHeight="1">
      <c r="A9" s="4" t="inlineStr">
        <is>
          <t>令和8年12月</t>
        </is>
      </c>
      <c r="B9" s="5" t="inlineStr">
        <is>
          <t>第10期計画素案作成、介護サービス見込量及び介護保険料推計、令和9年度予算作成支援</t>
        </is>
      </c>
      <c r="C9" s="4" t="inlineStr">
        <is>
          <t>(5)(6)(7)</t>
        </is>
      </c>
      <c r="D9" s="5" t="inlineStr">
        <is>
          <t>・第10期計画素案（確定版）
・サービス見込量推計表
・保険料算定表
・予算資料</t>
        </is>
      </c>
      <c r="E9" s="5" t="inlineStr">
        <is>
          <t>素案は令和8年8月時点の版を改訂しながら作成を進めている。見込量・給付費・保険料は令和8年9月16日に第1次概算の値を第6章に反映済みであり（暫定の月額基準額6,436円）、第2次概算（10月30日）及び前提の決定により確定する。令和9年度予算作成支援は、美瑛町の予算編成の工程に合わせて9月26日（第1次概算）・10月30日（第2次概算）・11月13日（予算編成用）に前倒しして提示する。12月の成果物は従前どおり12月に提出する</t>
        </is>
      </c>
      <c r="F9" s="12" t="inlineStr">
        <is>
          <t>未着手</t>
        </is>
      </c>
      <c r="G9" s="10" t="inlineStr"/>
      <c r="H9" s="10" t="inlineStr"/>
      <c r="I9" s="11" t="inlineStr"/>
      <c r="J9" s="5" t="inlineStr">
        <is>
          <t>基金残高・収納率実績・所得段階別被保険者数の受領が前提。町別按分の方法のご教示を要する（確認事項No.82）</t>
        </is>
      </c>
    </row>
    <row r="10" ht="94" customHeight="1">
      <c r="A10" s="4" t="inlineStr">
        <is>
          <t>令和9年1月</t>
        </is>
      </c>
      <c r="B10" s="5" t="inlineStr">
        <is>
          <t>パブリックコメント支援（ウェブで2週間。概要版を用いる）、意見整理、計画案修正</t>
        </is>
      </c>
      <c r="C10" s="4" t="inlineStr">
        <is>
          <t>(9)(7)</t>
        </is>
      </c>
      <c r="D10" s="5" t="inlineStr">
        <is>
          <t>・パブリックコメント用素案
・意見の分類整理表
・意見に対する考え方（原案）
・介護保険運営協議会資料（原案）
※介護保険運営協議会（パブリックコメントの前）</t>
        </is>
      </c>
      <c r="E10" s="5" t="inlineStr">
        <is>
          <t>未着手</t>
        </is>
      </c>
      <c r="F10" s="12" t="inlineStr">
        <is>
          <t>未着手</t>
        </is>
      </c>
      <c r="G10" s="10" t="inlineStr"/>
      <c r="H10" s="10" t="inlineStr"/>
      <c r="I10" s="11" t="inlineStr"/>
      <c r="J10" s="5" t="inlineStr">
        <is>
          <t>日程は令和8年10月5日に受領したスケジュールによる（確認事項No.19）</t>
        </is>
      </c>
    </row>
    <row r="11" ht="94" customHeight="1">
      <c r="A11" s="4" t="inlineStr">
        <is>
          <t>令和9年2月</t>
        </is>
      </c>
      <c r="B11" s="5" t="inlineStr">
        <is>
          <t>第10期計画最終案作成、運営協議会等への資料原案作成支援</t>
        </is>
      </c>
      <c r="C11" s="4" t="inlineStr">
        <is>
          <t>(6)(8)</t>
        </is>
      </c>
      <c r="D11" s="5" t="inlineStr">
        <is>
          <t>・第10期計画最終案
・運営協議会資料原案
※2月19日　事務管理者・主監会議協議（最終協議。原稿・数値の確定）</t>
        </is>
      </c>
      <c r="E11" s="5" t="inlineStr">
        <is>
          <t>未着手</t>
        </is>
      </c>
      <c r="F11" s="12" t="inlineStr">
        <is>
          <t>未着手</t>
        </is>
      </c>
      <c r="G11" s="10" t="inlineStr"/>
      <c r="H11" s="10" t="inlineStr"/>
      <c r="I11" s="11" t="inlineStr"/>
      <c r="J11" s="5" t="inlineStr">
        <is>
          <t>日程は令和8年10月5日に受領したスケジュールによる（確認事項No.19）</t>
        </is>
      </c>
    </row>
    <row r="12" ht="94" customHeight="1">
      <c r="A12" s="4" t="inlineStr">
        <is>
          <t>令和9年3月</t>
        </is>
      </c>
      <c r="B12" s="5" t="inlineStr">
        <is>
          <t>第10期計画書・概要版完成、成果品納品</t>
        </is>
      </c>
      <c r="C12" s="4" t="inlineStr">
        <is>
          <t>(6)(10)</t>
        </is>
      </c>
      <c r="D12" s="5" t="inlineStr">
        <is>
          <t>・計画書（印刷200部）
・計画書及び概要版の電子データ
・分析資料等の電子データ
・打合せ資料等
※3月2日　全員協議会情報提供
※3月3日　第10期介護保険事業計画の決定（データの締切り）
※3月23日　広域連合議会</t>
        </is>
      </c>
      <c r="E12" s="5" t="inlineStr">
        <is>
          <t>未着手</t>
        </is>
      </c>
      <c r="F12" s="12" t="inlineStr">
        <is>
          <t>未着手</t>
        </is>
      </c>
      <c r="G12" s="10" t="inlineStr"/>
      <c r="H12" s="10" t="inlineStr"/>
      <c r="I12" s="11" t="inlineStr"/>
      <c r="J12" s="5" t="inlineStr">
        <is>
          <t>日程は令和8年10月5日に受領したスケジュールによる（確認事項No.19）。契約期間は令和9年3月26日まで。印刷・製本の所要日数を踏まえた入稿期限の確認を要する</t>
        </is>
      </c>
    </row>
    <row r="14" ht="32" customHeight="1">
      <c r="A14" s="3" t="inlineStr">
        <is>
          <t>区分</t>
        </is>
      </c>
      <c r="B14" s="3" t="inlineStr">
        <is>
          <t>件数</t>
        </is>
      </c>
      <c r="C14" s="3" t="inlineStr"/>
      <c r="D14" s="3" t="inlineStr"/>
      <c r="E14" s="3" t="inlineStr"/>
      <c r="F14" s="3" t="inlineStr"/>
      <c r="G14" s="3" t="inlineStr"/>
      <c r="H14" s="3" t="inlineStr"/>
      <c r="I14" s="3" t="inlineStr"/>
      <c r="J14" s="3" t="inlineStr"/>
    </row>
    <row r="15" ht="20" customHeight="1">
      <c r="A15" s="6" t="inlineStr">
        <is>
          <t>完了</t>
        </is>
      </c>
      <c r="B15" s="4">
        <f>COUNTIF(F5:F12,"完了")</f>
        <v/>
      </c>
      <c r="C15" s="5" t="inlineStr"/>
      <c r="D15" s="5" t="inlineStr"/>
      <c r="E15" s="5" t="inlineStr"/>
      <c r="F15" s="5" t="inlineStr"/>
      <c r="G15" s="5" t="inlineStr"/>
      <c r="H15" s="5" t="inlineStr"/>
      <c r="I15" s="5" t="inlineStr"/>
      <c r="J15" s="5" t="inlineStr"/>
    </row>
    <row r="16" ht="20" customHeight="1">
      <c r="A16" s="8" t="inlineStr">
        <is>
          <t>実施中</t>
        </is>
      </c>
      <c r="B16" s="4">
        <f>COUNTIF(F5:F12,"実施中")</f>
        <v/>
      </c>
      <c r="C16" s="5" t="inlineStr"/>
      <c r="D16" s="5" t="inlineStr"/>
      <c r="E16" s="5" t="inlineStr"/>
      <c r="F16" s="5" t="inlineStr"/>
      <c r="G16" s="5" t="inlineStr"/>
      <c r="H16" s="5" t="inlineStr"/>
      <c r="I16" s="5" t="inlineStr"/>
      <c r="J16" s="5" t="inlineStr"/>
    </row>
    <row r="17" ht="20" customHeight="1">
      <c r="A17" s="10" t="inlineStr">
        <is>
          <t>確認待ち</t>
        </is>
      </c>
      <c r="B17" s="4">
        <f>COUNTIF(F5:F12,"確認待ち")</f>
        <v/>
      </c>
      <c r="C17" s="5" t="inlineStr"/>
      <c r="D17" s="5" t="inlineStr"/>
      <c r="E17" s="5" t="inlineStr"/>
      <c r="F17" s="5" t="inlineStr"/>
      <c r="G17" s="5" t="inlineStr"/>
      <c r="H17" s="5" t="inlineStr"/>
      <c r="I17" s="5" t="inlineStr"/>
      <c r="J17" s="5" t="inlineStr"/>
    </row>
    <row r="18" ht="20" customHeight="1">
      <c r="A18" s="12" t="inlineStr">
        <is>
          <t>未着手</t>
        </is>
      </c>
      <c r="B18" s="4">
        <f>COUNTIF(F5:F12,"未着手")</f>
        <v/>
      </c>
      <c r="C18" s="5" t="inlineStr"/>
      <c r="D18" s="5" t="inlineStr"/>
      <c r="E18" s="5" t="inlineStr"/>
      <c r="F18" s="5" t="inlineStr"/>
      <c r="G18" s="5" t="inlineStr"/>
      <c r="H18" s="5" t="inlineStr"/>
      <c r="I18" s="5" t="inlineStr"/>
      <c r="J18" s="5" t="inlineStr"/>
    </row>
    <row r="19" ht="20" customHeight="1">
      <c r="A19" s="14" t="inlineStr">
        <is>
          <t>対象外</t>
        </is>
      </c>
      <c r="B19" s="4">
        <f>COUNTIF(F5:F12,"対象外")</f>
        <v/>
      </c>
      <c r="C19" s="5" t="inlineStr"/>
      <c r="D19" s="5" t="inlineStr"/>
      <c r="E19" s="5" t="inlineStr"/>
      <c r="F19" s="5" t="inlineStr"/>
      <c r="G19" s="5" t="inlineStr"/>
      <c r="H19" s="5" t="inlineStr"/>
      <c r="I19" s="5" t="inlineStr"/>
      <c r="J19" s="5" t="inlineStr"/>
    </row>
    <row r="21" ht="39" customHeight="1">
      <c r="A21" s="16" t="inlineStr">
        <is>
          <t>注1）「対応する業務内容」は仕様書４（1）〜（12）の番号。01シートと対応する。注2）「提出期日」は発注者が指定する期日を記入する欄。仕様書５は各工程終了後の成果物提出と発注者確認を次工程の条件としているため、期日を月ごとに定めていただく必要がある。注3）令和8年10月16日時点で、（1）制度改正等の整理、（2）第9期計画の評価・検証、（4）現状分析及び地域課題の整理、（6）計画書の作成の一部を先行実施している。先行実施分は8月・9月・10月の工程に前倒しで反映される。注4）仕様書は9月に人口推計・現状分析を求めているが、令和6〜8年度の給付実績・事業実績の確定時期によっては後ろ倒しとなる可能性がある。キックオフ会議で工程の調整を協議したい。</t>
        </is>
      </c>
    </row>
  </sheetData>
  <mergeCells count="3">
    <mergeCell ref="A1:J1"/>
    <mergeCell ref="A21:J21"/>
    <mergeCell ref="A2:J2"/>
  </mergeCells>
  <conditionalFormatting sqref="F5:F12">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0">
      <formula>"了承済（保管せず廃棄）"</formula>
    </cfRule>
    <cfRule type="cellIs" priority="5" operator="equal" dxfId="3">
      <formula>"未着手"</formula>
    </cfRule>
    <cfRule type="cellIs" priority="6" operator="equal" dxfId="4">
      <formula>"対象外"</formula>
    </cfRule>
    <cfRule type="cellIs" priority="7" operator="equal" dxfId="0">
      <formula>"代替により解消"</formula>
    </cfRule>
    <cfRule type="cellIs" priority="8" operator="equal" dxfId="1">
      <formula>"一部解消"</formula>
    </cfRule>
    <cfRule type="cellIs" priority="9" operator="equal" dxfId="1">
      <formula>"提供予定（即時）"</formula>
    </cfRule>
    <cfRule type="cellIs" priority="10" operator="equal" dxfId="1">
      <formula>"作成中"</formula>
    </cfRule>
    <cfRule type="cellIs" priority="11" operator="equal" dxfId="0">
      <formula>"了承済"</formula>
    </cfRule>
    <cfRule type="cellIs" priority="12" operator="equal" dxfId="1">
      <formula>"対応中"</formula>
    </cfRule>
  </conditionalFormatting>
  <dataValidations count="1">
    <dataValidation sqref="F5:F12" showDropDown="0" showInputMessage="0" showErrorMessage="0" allowBlank="1" type="list">
      <formula1>"完了,実施中,確認待ち,未着手,対象外"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9"/>
  <sheetViews>
    <sheetView workbookViewId="0">
      <pane ySplit="4" topLeftCell="A5" activePane="bottomLeft" state="frozen"/>
      <selection pane="bottomLeft" activeCell="A1" sqref="A1"/>
    </sheetView>
  </sheetViews>
  <sheetFormatPr baseColWidth="8" defaultRowHeight="15"/>
  <cols>
    <col width="5" customWidth="1" min="1" max="1"/>
    <col width="9" customWidth="1" min="2" max="2"/>
    <col width="11" customWidth="1" min="3" max="3"/>
    <col width="30" customWidth="1" min="4" max="4"/>
    <col width="40" customWidth="1" min="5" max="5"/>
    <col width="26" customWidth="1" min="6" max="6"/>
    <col width="26" customWidth="1" min="7" max="7"/>
    <col width="9" customWidth="1" min="8" max="8"/>
    <col width="11" customWidth="1" min="9" max="9"/>
    <col width="26" customWidth="1" min="10" max="10"/>
  </cols>
  <sheetData>
    <row r="1" ht="26" customHeight="1">
      <c r="A1" s="1" t="inlineStr">
        <is>
          <t>確認事項一覧（業務工程・成果物との紐づけ）</t>
        </is>
      </c>
    </row>
    <row r="2" ht="52" customHeight="1">
      <c r="A2" s="2" t="inlineStr">
        <is>
          <t>発注者・構成3町・北海道への確認事項を、業務工程と成果物に紐づけて管理する。計画素案の本文には確認事項の注記を書かず、本シートで一元管理する。「止めている成果物」は、当該確認事項が解消されないと確定できない成果物を示す。</t>
        </is>
      </c>
    </row>
    <row r="4" ht="32" customHeight="1">
      <c r="A4" s="3" t="inlineStr">
        <is>
          <t>No.</t>
        </is>
      </c>
      <c r="B4" s="3" t="inlineStr">
        <is>
          <t>業務内容</t>
        </is>
      </c>
      <c r="C4" s="3" t="inlineStr">
        <is>
          <t>工程（月）</t>
        </is>
      </c>
      <c r="D4" s="3" t="inlineStr">
        <is>
          <t>確認事項</t>
        </is>
      </c>
      <c r="E4" s="3" t="inlineStr">
        <is>
          <t>確認をお願いする内容</t>
        </is>
      </c>
      <c r="F4" s="3" t="inlineStr">
        <is>
          <t>止めている成果物</t>
        </is>
      </c>
      <c r="G4" s="3" t="inlineStr">
        <is>
          <t>確認先</t>
        </is>
      </c>
      <c r="H4" s="3" t="inlineStr">
        <is>
          <t>状態</t>
        </is>
      </c>
      <c r="I4" s="3" t="inlineStr">
        <is>
          <t>回答期限</t>
        </is>
      </c>
      <c r="J4" s="3" t="inlineStr">
        <is>
          <t>回答・対応</t>
        </is>
      </c>
    </row>
    <row r="5" ht="88" customHeight="1">
      <c r="A5" s="4" t="n">
        <v>1</v>
      </c>
      <c r="B5" s="4" t="inlineStr">
        <is>
          <t>(1)</t>
        </is>
      </c>
      <c r="C5" s="4" t="inlineStr">
        <is>
          <t>R8.8</t>
        </is>
      </c>
      <c r="D5" s="5" t="inlineStr">
        <is>
          <t>特別地域加算の対象地域告示</t>
        </is>
      </c>
      <c r="E5" s="5" t="inlineStr">
        <is>
          <t>厚生労働大臣が定める特別地域（特別地域加算の対象地域）の告示に、東川町・美瑛町が掲載されているかどうか。第10期から創設される特定地域（中山間・人口減少地域）の基準①に直結し、該当すれば人員基準の緩和や特定地域居宅サービス等事業が使える。</t>
        </is>
      </c>
      <c r="F5" s="5" t="inlineStr">
        <is>
          <t>素案 第1章第9節
追加調査報告書 01シート</t>
        </is>
      </c>
      <c r="G5" s="5" t="inlineStr">
        <is>
          <t>北海道</t>
        </is>
      </c>
      <c r="H5" s="10" t="inlineStr">
        <is>
          <t>解決</t>
        </is>
      </c>
      <c r="I5" s="10" t="inlineStr">
        <is>
          <t>R8.9</t>
        </is>
      </c>
      <c r="J5" s="11" t="inlineStr">
        <is>
          <t>【令和8年10月15日　解決】厚生労働省『介護保険における特別地域加算・中山間地域等小規模事業所加算・中山間地域等居住者サービス提供加算の対象地域一覧』により確認した。特別地域加算の対象地域のうち北海道で対象となるのは全域を範囲とする市町村22及び一部だけを対象とする市町村14であり、構成3町はいずれも掲げられていない。豪雪地帯、特別豪雪地帯、辺地又は過疎地域であることは対象となるための前提の一つであり、厚生労働大臣が別に定める地域として掲げられていなければ対象とならない。一方、北海道は全域が豪雪地帯であり、構成3町の地域区分は「その他」で特別地域加算の対象ではないため、中山間地域等における小規模事業所加算（所定単位数の10／100）及び中山間地域等に居住する者へのサービス提供加算（同5／100）の地域の要件には該当する（小規模事業所加算は事業所ごとの回数等の要件を併せて満たす必要がある）。1人1月あたり給付費は令和7年度の実績によっており現に算定されている加算を含むが、算定していない事業所が算定を始めた場合は単価を上げる側に働くため、事業所ごとの算定の状況の確認を要する［要確認］。計画素案 第1章第9節1・第1章第9節6・第6章第6節2に反映した。</t>
        </is>
      </c>
    </row>
    <row r="6" ht="88" customHeight="1">
      <c r="A6" s="4" t="n">
        <v>2</v>
      </c>
      <c r="B6" s="4" t="inlineStr">
        <is>
          <t>(1)</t>
        </is>
      </c>
      <c r="C6" s="4" t="inlineStr">
        <is>
          <t>R8.9</t>
        </is>
      </c>
      <c r="D6" s="5" t="inlineStr">
        <is>
          <t>特定地域の指定に係る意向表明の手続</t>
        </is>
      </c>
      <c r="E6" s="5" t="inlineStr">
        <is>
          <t>特定地域の指定は「市町村が指定の要否を検討し、その意向を踏まえて都道府県が対象地域を定める」とされている。当広域連合が意向を示す時期と手続、及び制度の適用単位が市町村か保険者かの確認。</t>
        </is>
      </c>
      <c r="F6" s="5" t="inlineStr">
        <is>
          <t>素案 第1章第9節・第6章第4節</t>
        </is>
      </c>
      <c r="G6" s="5" t="inlineStr">
        <is>
          <t>北海道</t>
        </is>
      </c>
      <c r="H6" s="10" t="inlineStr">
        <is>
          <t>確認待ち</t>
        </is>
      </c>
      <c r="I6" s="10" t="inlineStr">
        <is>
          <t>R8.10</t>
        </is>
      </c>
      <c r="J6" s="11" t="inlineStr">
        <is>
          <t>【令和8年10月15日】原典（『特定地域（中山間・人口減少地域）の考え方について』社会保障審議会介護保険部会 第135回 資料3）を確認した。①定義規定は改正後の介護保険法第42条第1項第3号であり、「人口の減少その他の厚生労働省令で定める基準に該当する地域として都道府県が定めるもの」である。基準は厚生労働省令で定められる。②基準の素案は「75歳以上人口密度＝5人／km²未満」又は「75歳以上人口＝1,000人未満かつ減少」であり、全国で356市町村（20.5％）が該当する見通しとされている。③市町村内の一部地域を指定する場合の範囲は、旧市町村単位、行政区単位又は日常生活圏域単位が考えられるとされており、日常生活圏域の設定（確認No.88）に関わる。④対象地域の特定は、介護保険事業（支援）計画の策定プロセスにおいて市町村の意向を確認し都道府県が決定することが適当とされている。⑤構成3町は特別地域加算の対象地域に掲げられていないため基準①には該当しない（確認No.1）。なお確定していないのは、厚生労働省令による基準、意向を示す時期及び手続並びに制度の適用単位である。
決着しない場合は特定地域の指定に係る意向表明を行わないものとして記載し、省令等の確定後に改める。（受託者の仮置き。令和8年10月の意見交換会で諮る）</t>
        </is>
      </c>
    </row>
    <row r="7" ht="88" customHeight="1">
      <c r="A7" s="4" t="n">
        <v>3</v>
      </c>
      <c r="B7" s="4" t="inlineStr">
        <is>
          <t>(4)</t>
        </is>
      </c>
      <c r="C7" s="4" t="inlineStr">
        <is>
          <t>R8.9</t>
        </is>
      </c>
      <c r="D7" s="5" t="inlineStr">
        <is>
          <t>類似保険者との比較分析の対象</t>
        </is>
      </c>
      <c r="E7" s="5" t="inlineStr">
        <is>
          <t>仕様書４（4）は「必要に応じ全国平均、北海道平均及び類似保険者との比較分析を行う」としているが、見える化のδ3系列（地域比較）は当広域連合のデータ登録がなく出力できない。健康とくらしの調査の同規模保険者40（人口5万未満・集計数82,106票）との比較により、住民の心身の状態と社会参加の領域は比較分析を実施済み（調査クロス集計・分析19〜21シート）。残るのは給付・供給面の類似保険者比較であり、比較対象の保険者と選定条件（人口規模、高齢化率、施設整備状況、財政力等）の決定を要する。</t>
        </is>
      </c>
      <c r="F7" s="5" t="inlineStr">
        <is>
          <t>素案 第2章第2節
分析資料</t>
        </is>
      </c>
      <c r="G7" s="5" t="inlineStr">
        <is>
          <t>発注者</t>
        </is>
      </c>
      <c r="H7" s="10" t="inlineStr">
        <is>
          <t>確認待ち</t>
        </is>
      </c>
      <c r="I7" s="10" t="inlineStr">
        <is>
          <t>R8.9</t>
        </is>
      </c>
      <c r="J7" s="11" t="inlineStr">
        <is>
          <t>決着しない場合は類似保険者との比較は公表されている同規模保険者40団体による。（受託者の仮置き。令和8年10月の意見交換会で諮る）</t>
        </is>
      </c>
    </row>
    <row r="8" ht="88" customHeight="1">
      <c r="A8" s="4" t="n">
        <v>4</v>
      </c>
      <c r="B8" s="4" t="inlineStr">
        <is>
          <t>(12)</t>
        </is>
      </c>
      <c r="C8" s="4" t="inlineStr">
        <is>
          <t>R8.8</t>
        </is>
      </c>
      <c r="D8" s="5" t="inlineStr">
        <is>
          <t>代表KPI H07・H08・H12・H16の代理指標</t>
        </is>
      </c>
      <c r="E8" s="5" t="inlineStr">
        <is>
          <t>令和8年8月6日のご連絡により、事業所実態調査は実施済みで、現時点で提出されている調査結果はすべて受領しているとの確認を得た。受領した事業所票27件の項目は介護職員数、常勤・非常勤、外国人、派遣、採用・離職であり、欠員、受入困難、休廃止・縮小意向、ICT、生産性、BCPは含まれていない。このためH12・H16は基準値を算定できない。在宅介護実態調査（H07・H08）は実施されていない。調査クロス集計・分析の結果、H07（主介護者）・H08（支援者の不在）は健康とくらしの調査の大雪独自設問により算定できることが判明したが、指標の定義変更を伴う。①代理指標へ振り替える、②指標から外す、③2問に絞って事業所へ照会する、のいずれかの決定を要する。</t>
        </is>
      </c>
      <c r="F8" s="5" t="inlineStr">
        <is>
          <t>素案 第4章第3節・資料1
全16KPIの4項目</t>
        </is>
      </c>
      <c r="G8" s="5" t="inlineStr">
        <is>
          <t>発注者</t>
        </is>
      </c>
      <c r="H8" s="10" t="inlineStr">
        <is>
          <t>確認待ち</t>
        </is>
      </c>
      <c r="I8" s="10" t="inlineStr">
        <is>
          <t>R8.8</t>
        </is>
      </c>
      <c r="J8" s="11" t="inlineStr">
        <is>
          <t>決着しない場合は代表KPI H07・H08・H12・H16は代理指標への振替案のとおりとする。（受託者の仮置き。令和8年10月の意見交換会で諮る）</t>
        </is>
      </c>
    </row>
    <row r="9" ht="88" customHeight="1">
      <c r="A9" s="4" t="n">
        <v>5</v>
      </c>
      <c r="B9" s="4" t="inlineStr">
        <is>
          <t>(2)</t>
        </is>
      </c>
      <c r="C9" s="4" t="inlineStr">
        <is>
          <t>R8.8</t>
        </is>
      </c>
      <c r="D9" s="5" t="inlineStr">
        <is>
          <t>第9期の施策・事業実績</t>
        </is>
      </c>
      <c r="E9" s="5" t="inlineStr">
        <is>
          <t>第9期計画（令和6〜8年度）の施策・事業実績、事業量、対象実人数、予算・決算。19施策の達成度を判定するために必要。記入様式を別冊「資料提供依頼_第9期の施策事業実績」として作成した（5区分14項目・7シート）。既存資料の写しでも足りる。</t>
        </is>
      </c>
      <c r="F9" s="5" t="inlineStr">
        <is>
          <t>素案 第3章第2節・第3節・第4節
妥当性検証報告書 12シート</t>
        </is>
      </c>
      <c r="G9" s="5" t="inlineStr">
        <is>
          <t>発注者</t>
        </is>
      </c>
      <c r="H9" s="10" t="inlineStr">
        <is>
          <t>確認待ち</t>
        </is>
      </c>
      <c r="I9" s="10" t="inlineStr">
        <is>
          <t>R8.8</t>
        </is>
      </c>
      <c r="J9" s="11" t="inlineStr">
        <is>
          <t>決着しない場合は第9期の施策・事業実績を受領できないものとして、公表資料（交付金の評価結果・総合事業の実施状況に関する調査・年報）により評価する。（受託者の仮置き。令和8年10月の意見交換会で諮る）</t>
        </is>
      </c>
    </row>
    <row r="10" ht="88" customHeight="1">
      <c r="A10" s="4" t="n">
        <v>6</v>
      </c>
      <c r="B10" s="4" t="inlineStr">
        <is>
          <t>(2)</t>
        </is>
      </c>
      <c r="C10" s="4" t="inlineStr">
        <is>
          <t>R8.8</t>
        </is>
      </c>
      <c r="D10" s="5" t="inlineStr">
        <is>
          <t>交付金の評価調書</t>
        </is>
      </c>
      <c r="E10" s="5" t="inlineStr">
        <is>
          <t>保険者機能強化推進交付金等の評価調書（令和4〜6年度分）。0点となっている10項目について、取組自体がないのか、取組はあるが要件を満たさないのかの判別に必要。特に推進Ⅰ「評価結果を関係者間で共有し取組を検討」と「今年度の評価得点」。</t>
        </is>
      </c>
      <c r="F10" s="5" t="inlineStr">
        <is>
          <t>素案 第3章第4節
追加調査報告書 02シート</t>
        </is>
      </c>
      <c r="G10" s="5" t="inlineStr">
        <is>
          <t>発注者</t>
        </is>
      </c>
      <c r="H10" s="10" t="inlineStr">
        <is>
          <t>確認待ち</t>
        </is>
      </c>
      <c r="I10" s="10" t="inlineStr">
        <is>
          <t>R8.9</t>
        </is>
      </c>
      <c r="J10" s="11" t="inlineStr">
        <is>
          <t>決着しない場合は評価調書を受領できないものとして、得点0が「取組がない」のか「要件を満たさない」のか「報告していない」のかは公表資料から判別できない旨を注記する。（受託者の仮置き。令和8年10月の意見交換会で諮る）</t>
        </is>
      </c>
    </row>
    <row r="11" ht="88" customHeight="1">
      <c r="A11" s="4" t="n">
        <v>7</v>
      </c>
      <c r="B11" s="4" t="inlineStr">
        <is>
          <t>(2)</t>
        </is>
      </c>
      <c r="C11" s="4" t="inlineStr">
        <is>
          <t>R8.8</t>
        </is>
      </c>
      <c r="D11" s="5" t="inlineStr">
        <is>
          <t>第9期の自己評価と北海道への報告の実績</t>
        </is>
      </c>
      <c r="E11" s="5" t="inlineStr">
        <is>
          <t>第9期計画の代表KPIについて令和6・7年度に実績を算定した資料の有無、運営協議会への報告の有無と議事録、及び介護保険法第117条に基づく北海道への報告の実績。</t>
        </is>
      </c>
      <c r="F11" s="5" t="inlineStr">
        <is>
          <t>素案 第1章第6節・第3章第4節</t>
        </is>
      </c>
      <c r="G11" s="5" t="inlineStr">
        <is>
          <t>発注者</t>
        </is>
      </c>
      <c r="H11" s="10" t="inlineStr">
        <is>
          <t>確認待ち</t>
        </is>
      </c>
      <c r="I11" s="10" t="inlineStr">
        <is>
          <t>R8.9</t>
        </is>
      </c>
      <c r="J11" s="11" t="inlineStr">
        <is>
          <t>決着しない場合は第9期の自己評価と北海道への報告の実績を確認できないものとして、第10期の進行管理に自己評価の仕組みを置く。（受託者の仮置き。令和8年10月の意見交換会で諮る）</t>
        </is>
      </c>
    </row>
    <row r="12" ht="88" customHeight="1">
      <c r="A12" s="4" t="n">
        <v>8</v>
      </c>
      <c r="B12" s="4" t="inlineStr">
        <is>
          <t>(3)</t>
        </is>
      </c>
      <c r="C12" s="4" t="inlineStr">
        <is>
          <t>R8.8</t>
        </is>
      </c>
      <c r="D12" s="5" t="inlineStr">
        <is>
          <t>3調査の点検事項の取扱い</t>
        </is>
      </c>
      <c r="E12" s="5" t="inlineStr">
        <is>
          <t>令和8年8月4日に第10期分102ファイルを受領し点検・集計した。重大6件（同一法人による職員数の二重計上、利用者票の回答の偏り、所在地区の記入形式、老健・通所リハと見える化の乖離、区域内最大の特定施設の未回答、区域内の施設数と未回答数）の取扱いと、事業所への照会の要否・方法の確認を要する。</t>
        </is>
      </c>
      <c r="F12" s="5" t="inlineStr">
        <is>
          <t>素案 第2章第5・6節
H06・H11・H13・H14の基準値</t>
        </is>
      </c>
      <c r="G12" s="5" t="inlineStr">
        <is>
          <t>発注者</t>
        </is>
      </c>
      <c r="H12" s="10" t="inlineStr">
        <is>
          <t>確認待ち</t>
        </is>
      </c>
      <c r="I12" s="10" t="inlineStr">
        <is>
          <t>R8.8</t>
        </is>
      </c>
      <c r="J12" s="11" t="inlineStr">
        <is>
          <t>決着しない場合は3調査の点検事項は当方の判定のままとする。（受託者の仮置き。令和8年10月の意見交換会で諮る）</t>
        </is>
      </c>
    </row>
    <row r="13" ht="88" customHeight="1">
      <c r="A13" s="4" t="n">
        <v>9</v>
      </c>
      <c r="B13" s="4" t="inlineStr">
        <is>
          <t>(3)</t>
        </is>
      </c>
      <c r="C13" s="4" t="inlineStr">
        <is>
          <t>R8.9</t>
        </is>
      </c>
      <c r="D13" s="5" t="inlineStr">
        <is>
          <t>調査の対象者範囲と回収率</t>
        </is>
      </c>
      <c r="E13" s="5" t="inlineStr">
        <is>
          <t>4調査の対象者の範囲（要介護度、年齢、居所等）、配布数、回収数、回収率。標本規模に応じた分析の深度（クロス集計の可否）の判断に必要。</t>
        </is>
      </c>
      <c r="F13" s="5" t="inlineStr">
        <is>
          <t>素案 第2章第4〜6節
クロス集計表</t>
        </is>
      </c>
      <c r="G13" s="5" t="inlineStr">
        <is>
          <t>発注者</t>
        </is>
      </c>
      <c r="H13" s="10" t="inlineStr">
        <is>
          <t>確認待ち</t>
        </is>
      </c>
      <c r="I13" s="10" t="inlineStr">
        <is>
          <t>R8.9</t>
        </is>
      </c>
      <c r="J13" s="11" t="inlineStr">
        <is>
          <t>決着しない場合は現に収録している対象者範囲・回収率による。設問ごとに分母が異なることを注記する。（受託者の仮置き。令和8年10月の意見交換会で諮る）</t>
        </is>
      </c>
    </row>
    <row r="14" ht="88" customHeight="1">
      <c r="A14" s="4" t="n">
        <v>10</v>
      </c>
      <c r="B14" s="4" t="inlineStr">
        <is>
          <t>(3)</t>
        </is>
      </c>
      <c r="C14" s="4" t="inlineStr">
        <is>
          <t>R8.9</t>
        </is>
      </c>
      <c r="D14" s="5" t="inlineStr">
        <is>
          <t>介護人材実態調査の採用者数・退職者数</t>
        </is>
      </c>
      <c r="E14" s="5" t="inlineStr">
        <is>
          <t>北海道の評価指標⑥と同じ「採用率と離職率の差」を算定するため、各年9月30日現在の在籍者数と、年間の採用者数・退職者数。H14の基準値となる。</t>
        </is>
      </c>
      <c r="F14" s="5" t="inlineStr">
        <is>
          <t>素案 第4章第3節
H14の基準値</t>
        </is>
      </c>
      <c r="G14" s="5" t="inlineStr">
        <is>
          <t>発注者</t>
        </is>
      </c>
      <c r="H14" s="10" t="inlineStr">
        <is>
          <t>確認待ち</t>
        </is>
      </c>
      <c r="I14" s="10" t="inlineStr">
        <is>
          <t>R8.9</t>
        </is>
      </c>
      <c r="J14" s="11" t="inlineStr">
        <is>
          <t>決着しない場合は採用83人・離職65人（同一法人の重複を除いた値）による。代表KPI H14は、分母となる各年9月30日現在の在籍者数を確認できないため未算定のままとする。（受託者の仮置き。令和8年10月の意見交換会で諮る）</t>
        </is>
      </c>
    </row>
    <row r="15" ht="88" customHeight="1">
      <c r="A15" s="4" t="n">
        <v>11</v>
      </c>
      <c r="B15" s="4" t="inlineStr">
        <is>
          <t>(4)</t>
        </is>
      </c>
      <c r="C15" s="4" t="inlineStr">
        <is>
          <t>R8.9</t>
        </is>
      </c>
      <c r="D15" s="5" t="inlineStr">
        <is>
          <t>町別の人口・世帯データ</t>
        </is>
      </c>
      <c r="E15" s="5" t="inlineStr">
        <is>
          <t>①住民基本台帳による町別・年齢4区分別人口（0〜39歳／40〜64歳／65〜74歳／75歳以上）令和6〜8年 各年10月1日現在、②町別高齢化率 令和6〜8年、③令和7年国勢調査による町別の高齢者を含む世帯（公表され次第）。あわせて、見える化の地域分析で市区町村を選択して人口系列（A1〜A4）を出力できるかの確認。</t>
        </is>
      </c>
      <c r="F15" s="5" t="inlineStr">
        <is>
          <t>素案 第2章第1節
図1・図2・図3</t>
        </is>
      </c>
      <c r="G15" s="5" t="inlineStr">
        <is>
          <t>発注者・3町</t>
        </is>
      </c>
      <c r="H15" s="10" t="inlineStr">
        <is>
          <t>確認待ち</t>
        </is>
      </c>
      <c r="I15" s="10" t="inlineStr">
        <is>
          <t>R8.9</t>
        </is>
      </c>
      <c r="J15" s="11" t="inlineStr">
        <is>
          <t>決着しない場合は住民基本台帳（各年1月1日現在）の町別人口により本文を確定する。（受託者の仮置き。令和8年10月の意見交換会で諮る）</t>
        </is>
      </c>
    </row>
    <row r="16" ht="88" customHeight="1">
      <c r="A16" s="4" t="n">
        <v>12</v>
      </c>
      <c r="B16" s="4" t="inlineStr">
        <is>
          <t>(4)</t>
        </is>
      </c>
      <c r="C16" s="4" t="inlineStr">
        <is>
          <t>R8.9</t>
        </is>
      </c>
      <c r="D16" s="5" t="inlineStr">
        <is>
          <t>日常生活圏域別のデータ</t>
        </is>
      </c>
      <c r="E16" s="5" t="inlineStr">
        <is>
          <t>①美瑛町4地区を含む6圏域別の面積・人口・高齢者人口・認定者数・受給者数・給付費（令和8年10月1日現在）。仕様書４（4）が求める圏域別の地域特性分析に必要。②健康とくらしの調査の分析地域1（小学校区12地区）と6圏域の対応関係。美馬牛小学校区は美馬牛地区に対応すると考えられるが、美瑛・美沢・明徳・美瑛東の各小学校区と旭・北西地区、朗根内地区、市街地・周辺地区との対応が確定しない。対応が確定すれば、見える化のデータを待たずに圏域別分析ができる。</t>
        </is>
      </c>
      <c r="F16" s="5" t="inlineStr">
        <is>
          <t>素案 第1章第7節・第2章
圏域別分析資料
調査クロス集計・分析 01・18シート</t>
        </is>
      </c>
      <c r="G16" s="5" t="inlineStr">
        <is>
          <t>発注者・3町</t>
        </is>
      </c>
      <c r="H16" s="10" t="inlineStr">
        <is>
          <t>確認待ち</t>
        </is>
      </c>
      <c r="I16" s="10" t="inlineStr">
        <is>
          <t>R8.9</t>
        </is>
      </c>
      <c r="J16" s="11" t="inlineStr">
        <is>
          <t>決着しない場合は日常生活圏域を3町（3圏域）とする案のまま概算する。（受託者の仮置き。令和8年10月の意見交換会で諮る）</t>
        </is>
      </c>
    </row>
    <row r="17" ht="88" customHeight="1">
      <c r="A17" s="4" t="n">
        <v>13</v>
      </c>
      <c r="B17" s="4" t="inlineStr">
        <is>
          <t>(4)</t>
        </is>
      </c>
      <c r="C17" s="4" t="inlineStr">
        <is>
          <t>R8.9</t>
        </is>
      </c>
      <c r="D17" s="5" t="inlineStr">
        <is>
          <t>訪問・通所困難地域の判定資料</t>
        </is>
      </c>
      <c r="E17" s="5" t="inlineStr">
        <is>
          <t>①区域内で訪問系・通所系サービスを提供する全事業所の運営規程における「通常の事業の実施地域」【令和8年8月4日に北海道の介護保険事業所一覧により解消。124件を整理した】、②中山間地域等居住者サービス提供加算・特別地域加算の算定事業所と件数、③3町の除雪計画における優先路線と冬期の通行支障の実績。残るのは②③である。</t>
        </is>
      </c>
      <c r="F17" s="5" t="inlineStr">
        <is>
          <t>素案 第1章第7節
追加調査報告書 03シート
住まいと施設の公表名簿との突合 08シート</t>
        </is>
      </c>
      <c r="G17" s="5" t="inlineStr">
        <is>
          <t>発注者・3町</t>
        </is>
      </c>
      <c r="H17" s="8" t="inlineStr">
        <is>
          <t>実施中</t>
        </is>
      </c>
      <c r="I17" s="10" t="inlineStr">
        <is>
          <t>R8.10</t>
        </is>
      </c>
      <c r="J17" s="11" t="inlineStr">
        <is>
          <t>決着しない場合は北海道の指定事業所一覧の「通常の事業の実施地域」により判定する。（受託者の仮置き。令和8年10月の意見交換会で諮る）</t>
        </is>
      </c>
    </row>
    <row r="18" ht="88" customHeight="1">
      <c r="A18" s="4" t="n">
        <v>14</v>
      </c>
      <c r="B18" s="4" t="inlineStr">
        <is>
          <t>(5)</t>
        </is>
      </c>
      <c r="C18" s="4" t="inlineStr">
        <is>
          <t>R8.10</t>
        </is>
      </c>
      <c r="D18" s="5" t="inlineStr">
        <is>
          <t>人口推計の基礎とする系列</t>
        </is>
      </c>
      <c r="E18" s="5" t="inlineStr">
        <is>
          <t>総人口・第1号被保険者数について、①国立社会保障・人口問題研究所推計（見える化の初期値）をそのまま用いるか、②3町の総合計画等による推計人口に差し替えるかの決定。②の場合は5歳階級別・男女別の推計値が必要。東川町は25年以上人口増を続けており、社人研推計との乖離が大きい。</t>
        </is>
      </c>
      <c r="F18" s="5" t="inlineStr">
        <is>
          <t>素案 第6章第1節
将来推計</t>
        </is>
      </c>
      <c r="G18" s="5" t="inlineStr">
        <is>
          <t>発注者・3町</t>
        </is>
      </c>
      <c r="H18" s="10" t="inlineStr">
        <is>
          <t>確認待ち</t>
        </is>
      </c>
      <c r="I18" s="10" t="inlineStr">
        <is>
          <t>R8.10</t>
        </is>
      </c>
      <c r="J18" s="11" t="inlineStr">
        <is>
          <t>決着しない場合は案C（総合戦略＋住民基本台帳の実績趨勢）のまま確定する。（受託者の仮置き。令和8年10月の意見交換会で諮る）</t>
        </is>
      </c>
    </row>
    <row r="19" ht="88" customHeight="1">
      <c r="A19" s="4" t="n">
        <v>15</v>
      </c>
      <c r="B19" s="4" t="inlineStr">
        <is>
          <t>(5)</t>
        </is>
      </c>
      <c r="C19" s="4" t="inlineStr">
        <is>
          <t>R8.10</t>
        </is>
      </c>
      <c r="D19" s="5" t="inlineStr">
        <is>
          <t>認定者数の基準月と月次推移</t>
        </is>
      </c>
      <c r="E19" s="5" t="inlineStr">
        <is>
          <t>令和3〜8年度の各月の認定者数。推計ガイドは9月末を目安としつつ「年度内平均値に近い月を選択する」としているため、当広域連合の月次推移を確認して基準月を選定する。</t>
        </is>
      </c>
      <c r="F19" s="5" t="inlineStr">
        <is>
          <t>素案 第6章第1節
将来推計</t>
        </is>
      </c>
      <c r="G19" s="5" t="inlineStr">
        <is>
          <t>発注者</t>
        </is>
      </c>
      <c r="H19" s="10" t="inlineStr">
        <is>
          <t>確認待ち</t>
        </is>
      </c>
      <c r="I19" s="10" t="inlineStr">
        <is>
          <t>R8.10</t>
        </is>
      </c>
      <c r="J19" s="11" t="inlineStr">
        <is>
          <t>決着しない場合は認定者数は年報の年度末（3月31日）を基準とし、月次推移は計画本文に掲げない。（受託者の仮置き。令和8年10月の意見交換会で諮る）</t>
        </is>
      </c>
    </row>
    <row r="20" ht="88" customHeight="1">
      <c r="A20" s="4" t="n">
        <v>16</v>
      </c>
      <c r="B20" s="4" t="inlineStr">
        <is>
          <t>(5)</t>
        </is>
      </c>
      <c r="C20" s="4" t="inlineStr">
        <is>
          <t>R8.11</t>
        </is>
      </c>
      <c r="D20" s="5" t="inlineStr">
        <is>
          <t>保険料算定の前提</t>
        </is>
      </c>
      <c r="E20" s="5" t="inlineStr">
        <is>
          <t>①介護給付費準備基金の残高推移と取崩実績（第7期〜第9期）、②保険料収納率の実績（第7期〜第9期）、③所得段階別被保険者数、④地域支援事業費の区分別内訳（総合事業・包括的支援事業・任意事業）。</t>
        </is>
      </c>
      <c r="F20" s="5" t="inlineStr">
        <is>
          <t>素案 第6章第3節・第6節
保険料算定表</t>
        </is>
      </c>
      <c r="G20" s="5" t="inlineStr">
        <is>
          <t>発注者</t>
        </is>
      </c>
      <c r="H20" s="10" t="inlineStr">
        <is>
          <t>確認待ち</t>
        </is>
      </c>
      <c r="I20" s="10" t="inlineStr">
        <is>
          <t>R8.11</t>
        </is>
      </c>
      <c r="J20" s="11" t="inlineStr">
        <is>
          <t>決着しない場合は確認事項No.60と同じ前提（単価固定・施策反映なし・適正化を織り込まない・基金取崩しなし）による。（受託者の仮置き。令和8年10月の意見交換会で諮る）</t>
        </is>
      </c>
    </row>
    <row r="21" ht="88" customHeight="1">
      <c r="A21" s="4" t="n">
        <v>17</v>
      </c>
      <c r="B21" s="4" t="inlineStr">
        <is>
          <t>(6)</t>
        </is>
      </c>
      <c r="C21" s="4" t="inlineStr">
        <is>
          <t>R8.10</t>
        </is>
      </c>
      <c r="D21" s="5" t="inlineStr">
        <is>
          <t>3町計画への共通指標の掲載</t>
        </is>
      </c>
      <c r="E21" s="5" t="inlineStr">
        <is>
          <t>第9期は、3町の高齢者福祉計画のうち事業の数値目標を設定していたのは東川町のみで、広域連合の代表KPIの検証への参画を明記していたのも東川町のみであった。第10期では3町の計画に共通指標を掲載していただく合意が、資料2の実効性の前提となる。あわせて3町の第10期計画の検討資料、策定工程、担当課の確認。</t>
        </is>
      </c>
      <c r="F21" s="5" t="inlineStr">
        <is>
          <t>素案 資料2
3町協議資料</t>
        </is>
      </c>
      <c r="G21" s="5" t="inlineStr">
        <is>
          <t>発注者・3町</t>
        </is>
      </c>
      <c r="H21" s="10" t="inlineStr">
        <is>
          <t>確認待ち</t>
        </is>
      </c>
      <c r="I21" s="10" t="inlineStr">
        <is>
          <t>R8.10</t>
        </is>
      </c>
      <c r="J21" s="11" t="inlineStr">
        <is>
          <t>決着しない場合は広域連合の代表KPI16項目を掲げ、3町計画への掲載は求めない。（受託者の仮置き。令和8年10月の意見交換会で諮る）</t>
        </is>
      </c>
    </row>
    <row r="22" ht="88" customHeight="1">
      <c r="A22" s="4" t="n">
        <v>18</v>
      </c>
      <c r="B22" s="4" t="inlineStr">
        <is>
          <t>(6)</t>
        </is>
      </c>
      <c r="C22" s="4" t="inlineStr">
        <is>
          <t>R8.10</t>
        </is>
      </c>
      <c r="D22" s="5" t="inlineStr">
        <is>
          <t>骨子案の内容の確認</t>
        </is>
      </c>
      <c r="E22" s="5" t="inlineStr">
        <is>
          <t>令和8年8月に骨子案を作成した（11節22表）。第10節に決定・確認を要する事項12件を整理している。章立て、基本理念、5つの基本目標、代表KPI16項目の枠組み及び算定の枠組みについて、ご意向を確認する。</t>
        </is>
      </c>
      <c r="F22" s="5" t="inlineStr">
        <is>
          <t>骨子案
素案の次稿</t>
        </is>
      </c>
      <c r="G22" s="5" t="inlineStr">
        <is>
          <t>発注者</t>
        </is>
      </c>
      <c r="H22" s="10" t="inlineStr">
        <is>
          <t>確認待ち</t>
        </is>
      </c>
      <c r="I22" s="10" t="inlineStr">
        <is>
          <t>R8.9</t>
        </is>
      </c>
      <c r="J22" s="11" t="inlineStr">
        <is>
          <t>決着しない場合は骨子案は提出した内容のままとする。（受託者の仮置き。令和8年10月の意見交換会で諮る）</t>
        </is>
      </c>
    </row>
    <row r="23" ht="88" customHeight="1">
      <c r="A23" s="4" t="n">
        <v>19</v>
      </c>
      <c r="B23" s="4" t="inlineStr">
        <is>
          <t>(8)(9)</t>
        </is>
      </c>
      <c r="C23" s="4" t="inlineStr">
        <is>
          <t>R8.8</t>
        </is>
      </c>
      <c r="D23" s="5" t="inlineStr">
        <is>
          <t>会議日程とパブリックコメントの期間</t>
        </is>
      </c>
      <c r="E23" s="5" t="inlineStr">
        <is>
          <t>①介護保険事業計画策定委員会（運営協議会）の開催日程、審議事項、資料提出期限、②パブリックコメントの実施期間、③町別値・少数値の公表基準。工程の確定と資料作成の逆算に必要。</t>
        </is>
      </c>
      <c r="F23" s="5" t="inlineStr">
        <is>
          <t>委員会資料原案
パブリックコメント資料</t>
        </is>
      </c>
      <c r="G23" s="5" t="inlineStr">
        <is>
          <t>発注者</t>
        </is>
      </c>
      <c r="H23" s="10" t="inlineStr">
        <is>
          <t>確認待ち</t>
        </is>
      </c>
      <c r="I23" s="10" t="inlineStr">
        <is>
          <t>R8.8</t>
        </is>
      </c>
      <c r="J23" s="11" t="inlineStr">
        <is>
          <t>令和8年10月5日に受領したスケジュールにより、②パブリックコメントの実施期間（令和9年1月。ウェブで2週間。概要版を用いる）、介護保険運営協議会をパブリックコメントの前に開くこと、令和9年2月19日の事務管理者・主監会議協議（最終協議・原稿及び数値の確定）、3月2日の全員協議会情報提供、3月3日の計画の決定（データの締切り）、3月23日の広域連合議会が分かった。月別工程に取り込んだ。残るのは①の審議事項と資料提出期限及び③の公表基準である。決着しない場合は本スケジュールのとおり工程を組む</t>
        </is>
      </c>
    </row>
    <row r="24" ht="88" customHeight="1">
      <c r="A24" s="4" t="n">
        <v>20</v>
      </c>
      <c r="B24" s="4" t="inlineStr">
        <is>
          <t>(8)</t>
        </is>
      </c>
      <c r="C24" s="4" t="inlineStr">
        <is>
          <t>R8.9</t>
        </is>
      </c>
      <c r="D24" s="5" t="inlineStr">
        <is>
          <t>北海道・圏域との調整の場</t>
        </is>
      </c>
      <c r="E24" s="5" t="inlineStr">
        <is>
          <t>上川中部高齢者保健福祉圏域に関する北海道の調整方針、圏域連絡協議会の資料、及び圏域単位の協議の場の設置予定。24時間対応サービスの確保方策（第6章第4節）の検討に必要。</t>
        </is>
      </c>
      <c r="F24" s="5" t="inlineStr">
        <is>
          <t>素案 第6章第4節</t>
        </is>
      </c>
      <c r="G24" s="5" t="inlineStr">
        <is>
          <t>発注者・北海道</t>
        </is>
      </c>
      <c r="H24" s="10" t="inlineStr">
        <is>
          <t>確認待ち</t>
        </is>
      </c>
      <c r="I24" s="10" t="inlineStr">
        <is>
          <t>R8.10</t>
        </is>
      </c>
      <c r="J24" s="11" t="inlineStr">
        <is>
          <t>決着しない場合は北海道・圏域との調整の場が設けられないものとして、北海道の第9期支援計画との整合により記載する。（受託者の仮置き。令和8年10月の意見交換会で諮る）</t>
        </is>
      </c>
    </row>
    <row r="25" ht="88" customHeight="1">
      <c r="A25" s="4" t="n">
        <v>21</v>
      </c>
      <c r="B25" s="4" t="inlineStr">
        <is>
          <t>(10)</t>
        </is>
      </c>
      <c r="C25" s="4" t="inlineStr">
        <is>
          <t>R8.10</t>
        </is>
      </c>
      <c r="D25" s="5" t="inlineStr">
        <is>
          <t>成果品の仕様</t>
        </is>
      </c>
      <c r="E25" s="5" t="inlineStr">
        <is>
          <t>①本文100頁程度に対する章別のページ配分、②図表の本文掲載点数の上限、③概要版の頁数と体裁、④印刷・製本の入稿期限。図表集は33シート133点あり、本文に何点まで掲載するかの決定を要する。</t>
        </is>
      </c>
      <c r="F25" s="5" t="inlineStr">
        <is>
          <t>計画書（印刷200部）
概要版</t>
        </is>
      </c>
      <c r="G25" s="5" t="inlineStr">
        <is>
          <t>発注者</t>
        </is>
      </c>
      <c r="H25" s="10" t="inlineStr">
        <is>
          <t>確認待ち</t>
        </is>
      </c>
      <c r="I25" s="10" t="inlineStr">
        <is>
          <t>R8.10</t>
        </is>
      </c>
      <c r="J25" s="11" t="inlineStr">
        <is>
          <t>決着しない場合は成果品の仕様は仕様書の定め（計画書 印刷200部・編集可能な電子データ及びPDF）による。（受託者の仮置き。令和8年10月の意見交換会で諮る）</t>
        </is>
      </c>
    </row>
    <row r="26" ht="88" customHeight="1">
      <c r="A26" s="4" t="n">
        <v>22</v>
      </c>
      <c r="B26" s="4" t="inlineStr">
        <is>
          <t>(1)</t>
        </is>
      </c>
      <c r="C26" s="4" t="inlineStr">
        <is>
          <t>R8.9</t>
        </is>
      </c>
      <c r="D26" s="5" t="inlineStr">
        <is>
          <t>北海道の評価指標の読替えの考え方</t>
        </is>
      </c>
      <c r="E26" s="5" t="inlineStr">
        <is>
          <t>北海道の評価指標には「市町村数」を単位とするものが多く、1保険者である当広域連合にはそのまま適用できない。北海道が管内の広域連合（道内24広域連合）に対して読替えの考え方を示しているかどうか。示されていない場合は、①日常生活圏域数、②実数・率、③3町のうち実施している町数のいずれに置き換えるかの決定を要する。</t>
        </is>
      </c>
      <c r="F26" s="5" t="inlineStr">
        <is>
          <t>素案 第1章第6節
追加調査報告書 04シート</t>
        </is>
      </c>
      <c r="G26" s="5" t="inlineStr">
        <is>
          <t>発注者・北海道</t>
        </is>
      </c>
      <c r="H26" s="10" t="inlineStr">
        <is>
          <t>確認待ち</t>
        </is>
      </c>
      <c r="I26" s="10" t="inlineStr">
        <is>
          <t>R8.9</t>
        </is>
      </c>
      <c r="J26" s="11" t="inlineStr">
        <is>
          <t>決着しない場合は北海道の評価指標の読替えは当方の案のままとする。（受託者の仮置き。令和8年10月の意見交換会で諮る）</t>
        </is>
      </c>
    </row>
    <row r="27" ht="88" customHeight="1">
      <c r="A27" s="4" t="n">
        <v>23</v>
      </c>
      <c r="B27" s="4" t="inlineStr">
        <is>
          <t>(2)</t>
        </is>
      </c>
      <c r="C27" s="4" t="inlineStr">
        <is>
          <t>R8.9</t>
        </is>
      </c>
      <c r="D27" s="5" t="inlineStr">
        <is>
          <t>事業所の定員・稼働率データ</t>
        </is>
      </c>
      <c r="E27" s="5" t="inlineStr">
        <is>
          <t>①地域密着型通所介護4事業所の定員、登録者数、延べ利用者数（令和4〜8年度）、②施設・居住系サービスの入所者数・空床・休止床。地域密着型通所介護は事業所数4で不変、従事者は増加しているのに給付費が27.0％減少しており、稼働率の低下が疑われる。第10期基本指針案の別表 七が求める入所率・稼働率の把握にも必要。</t>
        </is>
      </c>
      <c r="F27" s="5" t="inlineStr">
        <is>
          <t>素案 第2章第3節・第6章第4節
図21・図22</t>
        </is>
      </c>
      <c r="G27" s="5" t="inlineStr">
        <is>
          <t>発注者・3町</t>
        </is>
      </c>
      <c r="H27" s="10" t="inlineStr">
        <is>
          <t>確認待ち</t>
        </is>
      </c>
      <c r="I27" s="10" t="inlineStr">
        <is>
          <t>R8.10</t>
        </is>
      </c>
      <c r="J27" s="11" t="inlineStr">
        <is>
          <t>決着しない場合は北海道の各名簿及び介護サービス情報公表システムの定員による。（受託者の仮置き。令和8年10月の意見交換会で諮る）</t>
        </is>
      </c>
    </row>
    <row r="28" ht="88" customHeight="1">
      <c r="A28" s="4" t="n">
        <v>24</v>
      </c>
      <c r="B28" s="4" t="inlineStr">
        <is>
          <t>(6)</t>
        </is>
      </c>
      <c r="C28" s="4" t="inlineStr">
        <is>
          <t>R8.11</t>
        </is>
      </c>
      <c r="D28" s="5" t="inlineStr">
        <is>
          <t>24時間対応サービスの確保方策の決定</t>
        </is>
      </c>
      <c r="E28" s="5" t="inlineStr">
        <is>
          <t>定期巡回・随時対応型訪問介護看護、夜間対応型訪問介護、看護小規模多機能型居宅介護の3種別は制度創設以来13年間、区域内に事業所がない。①区域内に整備する、②区域外（旭川市）の事業所の利用により確保する、③特定地域居宅サービス等事業として広域連合が実施する、④整備しない、のいずれかの決定を要する。決定しないと第6章第2節の地域密着型サービスの見込量が確定しない。</t>
        </is>
      </c>
      <c r="F28" s="5" t="inlineStr">
        <is>
          <t>素案 第6章第2節・第4節
見込量表（3種別）</t>
        </is>
      </c>
      <c r="G28" s="5" t="inlineStr">
        <is>
          <t>発注者</t>
        </is>
      </c>
      <c r="H28" s="10" t="inlineStr">
        <is>
          <t>確認待ち</t>
        </is>
      </c>
      <c r="I28" s="10" t="inlineStr">
        <is>
          <t>R8.11</t>
        </is>
      </c>
      <c r="J28" s="11" t="inlineStr">
        <is>
          <t>決着しない場合は24時間対応サービスは自然体の算定値を置き、整備による上乗せは行わない（安全側）。（受託者の仮置き。令和8年10月の意見交換会で諮る）</t>
        </is>
      </c>
    </row>
    <row r="29" ht="88" customHeight="1">
      <c r="A29" s="4" t="n">
        <v>25</v>
      </c>
      <c r="B29" s="4" t="inlineStr">
        <is>
          <t>(6)</t>
        </is>
      </c>
      <c r="C29" s="4" t="inlineStr">
        <is>
          <t>R8.11</t>
        </is>
      </c>
      <c r="D29" s="5" t="inlineStr">
        <is>
          <t>代表KPIの目標値の決定</t>
        </is>
      </c>
      <c r="E29" s="5" t="inlineStr">
        <is>
          <t>計画素案で［要協議］としている代表KPIの令和11年度目標値。基準値が確定している指標については目標水準の考え方（維持・改善・低下抑制）の決定を、調査結果を要する指標については調査データの受領後の設定を要する。認定率や利用率は一律に低下を目標とせず、適正水準と要因を評価する方針としている。</t>
        </is>
      </c>
      <c r="F29" s="5" t="inlineStr">
        <is>
          <t>素案 第4章第3節・第5章
全16KPIの目標値</t>
        </is>
      </c>
      <c r="G29" s="5" t="inlineStr">
        <is>
          <t>発注者</t>
        </is>
      </c>
      <c r="H29" s="10" t="inlineStr">
        <is>
          <t>確認待ち</t>
        </is>
      </c>
      <c r="I29" s="10" t="inlineStr">
        <is>
          <t>R8.12</t>
        </is>
      </c>
      <c r="J29" s="11" t="inlineStr">
        <is>
          <t>決着しない場合は代表KPIの目標値は、令和9年度を基準値の把握に充て、令和10年度・令和11年度に目標値を置く。（受託者の仮置き。令和8年10月の意見交換会で諮る）</t>
        </is>
      </c>
    </row>
    <row r="30" ht="88" customHeight="1">
      <c r="A30" s="4" t="n">
        <v>26</v>
      </c>
      <c r="B30" s="4" t="inlineStr">
        <is>
          <t>(4)</t>
        </is>
      </c>
      <c r="C30" s="4" t="inlineStr">
        <is>
          <t>R8.10</t>
        </is>
      </c>
      <c r="D30" s="5" t="inlineStr">
        <is>
          <t>認知症・医療介護連携の実績データ</t>
        </is>
      </c>
      <c r="E30" s="5" t="inlineStr">
        <is>
          <t>見える化システムのJ系列（認知症）及びL20〜L26（診療報酬側の連携指標）は当広域連合のデータ登録がなく取得できない。①認知症初期集中支援チームの訪問実績、認知症地域支援推進員の配置人数、認知症カフェの箇所数等（3町）、②医療側からの連携の実施状況（上川中部圏域の医療機関又は北海道の医療計画・地域医療構想の資料）。</t>
        </is>
      </c>
      <c r="F30" s="5" t="inlineStr">
        <is>
          <t>素案 第5章 基本目標1・5
図表集 認知症・医療連携</t>
        </is>
      </c>
      <c r="G30" s="5" t="inlineStr">
        <is>
          <t>発注者・3町・北海道</t>
        </is>
      </c>
      <c r="H30" s="10" t="inlineStr">
        <is>
          <t>確認待ち</t>
        </is>
      </c>
      <c r="I30" s="10" t="inlineStr">
        <is>
          <t>R8.10</t>
        </is>
      </c>
      <c r="J30" s="11" t="inlineStr">
        <is>
          <t>決着しない場合は現に受領している交付金評価結果と実施報告書の範囲で記述する。（受託者の仮置き。令和8年10月の意見交換会で諮る）</t>
        </is>
      </c>
    </row>
    <row r="31" ht="88" customHeight="1">
      <c r="A31" s="4" t="n">
        <v>27</v>
      </c>
      <c r="B31" s="4" t="inlineStr">
        <is>
          <t>(3)</t>
        </is>
      </c>
      <c r="C31" s="4" t="inlineStr">
        <is>
          <t>R8.9</t>
        </is>
      </c>
      <c r="D31" s="5" t="inlineStr">
        <is>
          <t>令和4年度 健康とくらしの調査の集計表</t>
        </is>
      </c>
      <c r="E31" s="5" t="inlineStr">
        <is>
          <t>第9期からの変化を検定するため、令和4年度調査の有効回答数（指標別）と集計表。現在は有効回答数を4,700と仮定して2標本の検定を行っており、4,000〜5,000の範囲では判定が変わらないことを確認しているが、確定値による検証を要する。</t>
        </is>
      </c>
      <c r="F31" s="5" t="inlineStr">
        <is>
          <t>調査クロス集計・分析 14シート
素案 第2章第4節</t>
        </is>
      </c>
      <c r="G31" s="5" t="inlineStr">
        <is>
          <t>発注者</t>
        </is>
      </c>
      <c r="H31" s="10" t="inlineStr">
        <is>
          <t>確認待ち</t>
        </is>
      </c>
      <c r="I31" s="10" t="inlineStr">
        <is>
          <t>R8.9</t>
        </is>
      </c>
      <c r="J31" s="11" t="inlineStr">
        <is>
          <t>決着しない場合は令和4年度の集計表を受領できないものとして、前回比較は第9期計画の本文に掲げられた指標に限る。（受託者の仮置き。令和8年10月の意見交換会で諮る）</t>
        </is>
      </c>
    </row>
    <row r="32" ht="88" customHeight="1">
      <c r="A32" s="4" t="n">
        <v>28</v>
      </c>
      <c r="B32" s="4" t="inlineStr">
        <is>
          <t>(3)</t>
        </is>
      </c>
      <c r="C32" s="4" t="inlineStr">
        <is>
          <t>R8.9</t>
        </is>
      </c>
      <c r="D32" s="5" t="inlineStr">
        <is>
          <t>調査対象者の範囲の確認</t>
        </is>
      </c>
      <c r="E32" s="5" t="inlineStr">
        <is>
          <t>令和7年度 健康とくらしの調査の対象者は「一般高齢者＋総合事業対象者」であり、要支援者・要介護者を含まないことを調査報告書で確認した。この理解で相違ないか、及び第10期の各調査（在宅生活改善・居所変更・介護人材）の対象者の範囲。母集団が異なる指標を併記する際の前提となる。</t>
        </is>
      </c>
      <c r="F32" s="5" t="inlineStr">
        <is>
          <t>調査クロス集計・分析 13・14シート
H06・H11の基準値</t>
        </is>
      </c>
      <c r="G32" s="5" t="inlineStr">
        <is>
          <t>発注者</t>
        </is>
      </c>
      <c r="H32" s="10" t="inlineStr">
        <is>
          <t>確認待ち</t>
        </is>
      </c>
      <c r="I32" s="10" t="inlineStr">
        <is>
          <t>R8.9</t>
        </is>
      </c>
      <c r="J32" s="11" t="inlineStr">
        <is>
          <t>決着しない場合は現に収録している調査対象者の範囲による。（受託者の仮置き。令和8年10月の意見交換会で諮る）</t>
        </is>
      </c>
    </row>
    <row r="33" ht="88" customHeight="1">
      <c r="A33" s="4" t="n">
        <v>29</v>
      </c>
      <c r="B33" s="4" t="inlineStr">
        <is>
          <t>(5)</t>
        </is>
      </c>
      <c r="C33" s="4" t="inlineStr">
        <is>
          <t>R8.10</t>
        </is>
      </c>
      <c r="D33" s="5" t="inlineStr">
        <is>
          <t>重度化の速度の前提</t>
        </is>
      </c>
      <c r="E33" s="5" t="inlineStr">
        <is>
          <t>将来推計の認定者数に最も大きく影響する決定事項。交付金の成果指標では、長期的な要介護度の変化が要介護1・2で全国の0.86倍、要介護3〜5で全国の0.51倍と良好である一方、単年度変化率の前年度との差は軽度＋9.34（全国▲1.95）、中重度＋6.33（全国＋0.15）と全国と逆方向に動いている。①長期の良好な実績を将来に延長する、②直近の反転を反映する、③全国並みの重度化速度に収束すると置く、のいずれかの決定を要する。</t>
        </is>
      </c>
      <c r="F33" s="5" t="inlineStr">
        <is>
          <t>素案 第6章第1節
認定者数・給付費の推計</t>
        </is>
      </c>
      <c r="G33" s="5" t="inlineStr">
        <is>
          <t>発注者</t>
        </is>
      </c>
      <c r="H33" s="10" t="inlineStr">
        <is>
          <t>確認待ち</t>
        </is>
      </c>
      <c r="I33" s="10" t="inlineStr">
        <is>
          <t>R8.10</t>
        </is>
      </c>
      <c r="J33" s="11" t="inlineStr">
        <is>
          <t>決着しない場合は年齢階級ごとの要介護度の構成を令和7年度末の実績で固定する（重度化は人口の高齢化による分のみを見込む）。（受託者の仮置き。令和8年10月の意見交換会で諮る）</t>
        </is>
      </c>
    </row>
    <row r="34" ht="88" customHeight="1">
      <c r="A34" s="4" t="n">
        <v>30</v>
      </c>
      <c r="B34" s="4" t="inlineStr">
        <is>
          <t>(5)</t>
        </is>
      </c>
      <c r="C34" s="4" t="inlineStr">
        <is>
          <t>R8.10</t>
        </is>
      </c>
      <c r="D34" s="5" t="inlineStr">
        <is>
          <t>施設入所者と在宅者を分けた要介護度の変化</t>
        </is>
      </c>
      <c r="E34" s="5" t="inlineStr">
        <is>
          <t>長期的な要介護度の変化が全国より良好である要因の特定に必要。施設及び居住系サービスの受給率が全国比1.08と高く、施設入所により在宅の重度化が見えにくくなっている可能性がある。介護老人福祉施設の定員が234人から160人へ減少しているため、この経路によるものであれば同じ実績は続かない。</t>
        </is>
      </c>
      <c r="F34" s="5" t="inlineStr">
        <is>
          <t>重度化の速度の前提
保険料と施策評価の他団体比較 05シート</t>
        </is>
      </c>
      <c r="G34" s="5" t="inlineStr">
        <is>
          <t>発注者</t>
        </is>
      </c>
      <c r="H34" s="10" t="inlineStr">
        <is>
          <t>確認待ち</t>
        </is>
      </c>
      <c r="I34" s="10" t="inlineStr">
        <is>
          <t>R8.10</t>
        </is>
      </c>
      <c r="J34" s="11" t="inlineStr">
        <is>
          <t>決着しない場合は施設入所者と在宅者を分けずに算定する（分けるための要介護度の変化のデータがないため）。（受託者の仮置き。令和8年10月の意見交換会で諮る）</t>
        </is>
      </c>
    </row>
    <row r="35" ht="88" customHeight="1">
      <c r="A35" s="4" t="n">
        <v>31</v>
      </c>
      <c r="B35" s="4" t="inlineStr">
        <is>
          <t>(5)</t>
        </is>
      </c>
      <c r="C35" s="4" t="inlineStr">
        <is>
          <t>R8.10</t>
        </is>
      </c>
      <c r="D35" s="5" t="inlineStr">
        <is>
          <t>給付適正化の実施予定と推計での扱い</t>
        </is>
      </c>
      <c r="E35" s="5" t="inlineStr">
        <is>
          <t>交付金の推進Ⅱ（公正・公平な給付）は全国の39.0％で全8目標中最低であり、ケアプラン点検の実施割合と医療情報との突合の実施割合がいずれも0点である。第10期にこれらを実施するか、実施する場合に給付費の推計へ政策効果として見込むかの決定を要する。</t>
        </is>
      </c>
      <c r="F35" s="5" t="inlineStr">
        <is>
          <t>素案 第6章第2節・第5章・第7章
給付費の推計</t>
        </is>
      </c>
      <c r="G35" s="5" t="inlineStr">
        <is>
          <t>発注者</t>
        </is>
      </c>
      <c r="H35" s="10" t="inlineStr">
        <is>
          <t>確認待ち</t>
        </is>
      </c>
      <c r="I35" s="10" t="inlineStr">
        <is>
          <t>R8.10</t>
        </is>
      </c>
      <c r="J35" s="11" t="inlineStr">
        <is>
          <t>決着しない場合は給付適正化による抑制を推計に織り込まない（安全側）。対象4サービスは総給付費の7.70％であり、10％抑制でも月額▲47円であることを併記する。（受託者の仮置き。令和8年10月の意見交換会で諮る）</t>
        </is>
      </c>
    </row>
    <row r="36" ht="88" customHeight="1">
      <c r="A36" s="4" t="n">
        <v>32</v>
      </c>
      <c r="B36" s="4" t="inlineStr">
        <is>
          <t>(2)</t>
        </is>
      </c>
      <c r="C36" s="4" t="inlineStr">
        <is>
          <t>R8.9</t>
        </is>
      </c>
      <c r="D36" s="5" t="inlineStr">
        <is>
          <t>第7期の保険料基準額</t>
        </is>
      </c>
      <c r="E36" s="5" t="inlineStr">
        <is>
          <t>見える化システムの値は6,077円であるが、計画素案では当初5,900円としていた。剰余の累計＋159円／月は6,077円を前提としたときにのみ整合する（(6,077－6,024)×3＝159）。条例による第7期の基準額の確認を要する。</t>
        </is>
      </c>
      <c r="F36" s="5" t="inlineStr">
        <is>
          <t>素案 第6章第6節
保険料の推移</t>
        </is>
      </c>
      <c r="G36" s="5" t="inlineStr">
        <is>
          <t>発注者</t>
        </is>
      </c>
      <c r="H36" s="6" t="inlineStr">
        <is>
          <t>完了</t>
        </is>
      </c>
      <c r="I36" s="10" t="inlineStr">
        <is>
          <t>R8.9</t>
        </is>
      </c>
      <c r="J36" s="11" t="inlineStr">
        <is>
          <t>見える化C1（介護保険事業計画報告値）により6,077円を確認した（令和8年7月30日受領）。条例による確認は不要となった。</t>
        </is>
      </c>
    </row>
    <row r="37" ht="88" customHeight="1">
      <c r="A37" s="4" t="n">
        <v>33</v>
      </c>
      <c r="B37" s="4" t="inlineStr">
        <is>
          <t>(5)</t>
        </is>
      </c>
      <c r="C37" s="4" t="inlineStr">
        <is>
          <t>R8.10</t>
        </is>
      </c>
      <c r="D37" s="5" t="inlineStr">
        <is>
          <t>第10期の政令改正の内容（所得段階）</t>
        </is>
      </c>
      <c r="E37" s="5" t="inlineStr">
        <is>
          <t>第10期の標準段階数、標準乗率、公費軽減の乗率及び第1号被保険者負担割合。政令改正により定まるため告示後の確認を要する。当広域連合の現行16段階の乗率との相対的な関係が変わる可能性がある。</t>
        </is>
      </c>
      <c r="F37" s="5" t="inlineStr">
        <is>
          <t>第10期の段階設計
保険料の算定</t>
        </is>
      </c>
      <c r="G37" s="5" t="inlineStr">
        <is>
          <t>国の情報</t>
        </is>
      </c>
      <c r="H37" s="10" t="inlineStr">
        <is>
          <t>確認待ち</t>
        </is>
      </c>
      <c r="I37" s="10" t="inlineStr">
        <is>
          <t>告示後</t>
        </is>
      </c>
      <c r="J37" s="11" t="inlineStr">
        <is>
          <t>決着しない場合は第9期条例の16段階・乗率（公費軽減前）を据え置いて算定し、政令の公布後に再算定する。（受託者の仮置き。令和8年10月の意見交換会で諮る）</t>
        </is>
      </c>
    </row>
    <row r="38" ht="88" customHeight="1">
      <c r="A38" s="4" t="n">
        <v>34</v>
      </c>
      <c r="B38" s="4" t="inlineStr">
        <is>
          <t>(2)</t>
        </is>
      </c>
      <c r="C38" s="4" t="inlineStr">
        <is>
          <t>R8.10</t>
        </is>
      </c>
      <c r="D38" s="5" t="inlineStr">
        <is>
          <t>第9段階の乗率の経緯</t>
        </is>
      </c>
      <c r="E38" s="5" t="inlineStr">
        <is>
          <t>第9段階（合計所得320万円以上420万円未満）の乗率1.63は国標準1.70を下回っている。低所得者対策とは性格が異なるため、この設定の経緯と考え方の確認を要する。第8期の9段階制における乗率を引き継いだ可能性がある。</t>
        </is>
      </c>
      <c r="F38" s="5" t="inlineStr">
        <is>
          <t>第10期の段階設計
保険料の所得段階と低所得者軽減の検証 08シート</t>
        </is>
      </c>
      <c r="G38" s="5" t="inlineStr">
        <is>
          <t>発注者</t>
        </is>
      </c>
      <c r="H38" s="10" t="inlineStr">
        <is>
          <t>確認待ち</t>
        </is>
      </c>
      <c r="I38" s="10" t="inlineStr">
        <is>
          <t>R8.10</t>
        </is>
      </c>
      <c r="J38" s="11" t="inlineStr">
        <is>
          <t>決着しない場合は経緯を確認できないものとして、第9期条例の乗率をそのまま用いる。（受託者の仮置き。令和8年10月の意見交換会で諮る）</t>
        </is>
      </c>
    </row>
    <row r="39" ht="88" customHeight="1">
      <c r="A39" s="4" t="n">
        <v>35</v>
      </c>
      <c r="B39" s="4" t="inlineStr">
        <is>
          <t>(4)</t>
        </is>
      </c>
      <c r="C39" s="4" t="inlineStr">
        <is>
          <t>R8.10</t>
        </is>
      </c>
      <c r="D39" s="5" t="inlineStr">
        <is>
          <t>上川管内の保険者の所得段階数と乗率</t>
        </is>
      </c>
      <c r="E39" s="5" t="inlineStr">
        <is>
          <t>上川管内21保険者の第9期の所得段階数と乗率。多段階化の状況を比較するために必要。北海道の資料又は各保険者の保険料条例による。</t>
        </is>
      </c>
      <c r="F39" s="5" t="inlineStr">
        <is>
          <t>保険料の所得段階と低所得者軽減の検証 05シート</t>
        </is>
      </c>
      <c r="G39" s="5" t="inlineStr">
        <is>
          <t>発注者・北海道</t>
        </is>
      </c>
      <c r="H39" s="10" t="inlineStr">
        <is>
          <t>確認待ち</t>
        </is>
      </c>
      <c r="I39" s="10" t="inlineStr">
        <is>
          <t>R8.10</t>
        </is>
      </c>
      <c r="J39" s="11" t="inlineStr">
        <is>
          <t>決着しない場合は上川管内の保険者の所得段階数と乗率の比較は掲げない。（受託者の仮置き。令和8年10月の意見交換会で諮る）</t>
        </is>
      </c>
    </row>
    <row r="40" ht="88" customHeight="1">
      <c r="A40" s="4" t="n">
        <v>36</v>
      </c>
      <c r="B40" s="4" t="inlineStr">
        <is>
          <t>(5)</t>
        </is>
      </c>
      <c r="C40" s="4" t="inlineStr">
        <is>
          <t>R8.10</t>
        </is>
      </c>
      <c r="D40" s="5" t="inlineStr">
        <is>
          <t>所得段階別被保険者数の実績と収納率</t>
        </is>
      </c>
      <c r="E40" s="5" t="inlineStr">
        <is>
          <t>①令和5〜8年度の所得段階別被保険者数（各年度）、②第7期〜第9期の保険料収納率（可能であれば所得段階別）、③公費軽減の対象者数と適用率。第9期計画は3年間の推計値のみを掲載しており実績が確認できない。低所得層の収納率が低い場合、軽減の効果と滞納対策の必要性を検証できる。</t>
        </is>
      </c>
      <c r="F40" s="5" t="inlineStr">
        <is>
          <t>所得段階別被保険者数の推計
保険料の算定
素案 第6章第7節</t>
        </is>
      </c>
      <c r="G40" s="5" t="inlineStr">
        <is>
          <t>発注者</t>
        </is>
      </c>
      <c r="H40" s="10" t="inlineStr">
        <is>
          <t>確認待ち</t>
        </is>
      </c>
      <c r="I40" s="10" t="inlineStr">
        <is>
          <t>R8.10</t>
        </is>
      </c>
      <c r="J40" s="11" t="inlineStr">
        <is>
          <t>決着しない場合は令和6年度の所得段階別構成比と予定収納率0.99による。（受託者の仮置き。令和8年10月の意見交換会で諮る）</t>
        </is>
      </c>
    </row>
    <row r="41" ht="88" customHeight="1">
      <c r="A41" s="4" t="n">
        <v>37</v>
      </c>
      <c r="B41" s="4" t="inlineStr">
        <is>
          <t>(2)</t>
        </is>
      </c>
      <c r="C41" s="4" t="inlineStr">
        <is>
          <t>R8.8</t>
        </is>
      </c>
      <c r="D41" s="5" t="inlineStr">
        <is>
          <t>年齢階級別・要介護度別の認定率</t>
        </is>
      </c>
      <c r="E41" s="5" t="inlineStr">
        <is>
          <t>見える化B4系列の年齢階級別認定率（65〜74歳を含む）及び要介護度別の認定率。第9期の評価で「年齢層をそろえると認定率は低下している」としているが、根拠は合計・75歳以上・85歳以上の3系列のみで、65〜74歳を確認していない。また性・年齢調整済み要介護2以上認定率（W144）は上昇しており、整合を実証するには要介護度別の推移が必要（自己点検記録 No.1）。</t>
        </is>
      </c>
      <c r="F41" s="5" t="inlineStr">
        <is>
          <t>素案 第3章第4節
妥当性検証 所見7</t>
        </is>
      </c>
      <c r="G41" s="5" t="inlineStr">
        <is>
          <t>発注者</t>
        </is>
      </c>
      <c r="H41" s="6" t="inlineStr">
        <is>
          <t>完了</t>
        </is>
      </c>
      <c r="I41" s="10" t="inlineStr">
        <is>
          <t>R8.8</t>
        </is>
      </c>
      <c r="J41" s="11" t="inlineStr">
        <is>
          <t>令和8年7月29日にB4a・B4c・B4d・B4e・B5a・B6a・B6bを受領。認定率の年齢調整分析（7シート）として分析済み</t>
        </is>
      </c>
    </row>
    <row r="42" ht="88" customHeight="1">
      <c r="A42" s="4" t="n">
        <v>38</v>
      </c>
      <c r="B42" s="4" t="inlineStr">
        <is>
          <t>(2)</t>
        </is>
      </c>
      <c r="C42" s="4" t="inlineStr">
        <is>
          <t>R8.9</t>
        </is>
      </c>
      <c r="D42" s="5" t="inlineStr">
        <is>
          <t>交付金評価の令和6年・令和7年調査の結果</t>
        </is>
      </c>
      <c r="E42" s="5" t="inlineStr">
        <is>
          <t>現在用いている令和5年調査（令和6年度分指標）は評価対象が主に令和4年度の実施状況であり、第9期ではなく第8期の取組を反映している。第9期の評価とするには令和6年・令和7年調査の得点が必要（自己点検記録 No.2）。取得できない場合は「第8期の取組を反映した評価」と明記して用いる。</t>
        </is>
      </c>
      <c r="F42" s="5" t="inlineStr">
        <is>
          <t>素案 第3章第4節
妥当性検証 所見18・19</t>
        </is>
      </c>
      <c r="G42" s="5" t="inlineStr">
        <is>
          <t>発注者</t>
        </is>
      </c>
      <c r="H42" s="10" t="inlineStr">
        <is>
          <t>確認待ち</t>
        </is>
      </c>
      <c r="I42" s="10" t="inlineStr">
        <is>
          <t>R8.9</t>
        </is>
      </c>
      <c r="J42" s="11" t="inlineStr">
        <is>
          <t>決着しない場合は公表されている全国集計の値による。（受託者の仮置き。令和8年10月の意見交換会で諮る）</t>
        </is>
      </c>
    </row>
    <row r="43" ht="88" customHeight="1">
      <c r="A43" s="4" t="n">
        <v>39</v>
      </c>
      <c r="B43" s="4" t="inlineStr">
        <is>
          <t>(2)</t>
        </is>
      </c>
      <c r="C43" s="4" t="inlineStr">
        <is>
          <t>R8.8</t>
        </is>
      </c>
      <c r="D43" s="5" t="inlineStr">
        <is>
          <t>中間報告・施策体系新旧対照表・骨子案のご確認</t>
        </is>
      </c>
      <c r="E43" s="5" t="inlineStr">
        <is>
          <t>令和8年8月26日の進捗確認の打合せにおいて、①第9期計画の評価・検証 中間報告、②施策体系新旧対照表、③計画骨子案の3点についてご確認をいただくこととなった。特に、第9期の目標指標をそのまま継続するのか、新設するのかについて、骨子案 第4節（第9期計画の評価概要）・第5節（基本理念・基本目標）・第6節（成果指標の枠組み）をご覧いただきたい。</t>
        </is>
      </c>
      <c r="F43" s="5" t="inlineStr">
        <is>
          <t>計画骨子案
施策体系新旧対照表
計画素案 第4章・第5章</t>
        </is>
      </c>
      <c r="G43" s="5" t="inlineStr">
        <is>
          <t>発注者</t>
        </is>
      </c>
      <c r="H43" s="10" t="inlineStr">
        <is>
          <t>確認待ち</t>
        </is>
      </c>
      <c r="I43" s="10" t="inlineStr">
        <is>
          <t>R8.9.2</t>
        </is>
      </c>
      <c r="J43" s="11" t="inlineStr">
        <is>
          <t>同打合せで期限を令和8年9月2日（水）と設定。令和8年8月28日の発注者のご指示により、議事録に①②を加え、期限を明記した（校正No.14・15）。
決着しない場合は中間報告・施策体系新旧対照表・骨子案は提出した内容のままとする。（受託者の仮置き。令和8年10月の意見交換会で諮る）</t>
        </is>
      </c>
    </row>
    <row r="44" ht="88" customHeight="1">
      <c r="A44" s="4" t="n">
        <v>40</v>
      </c>
      <c r="B44" s="4" t="inlineStr">
        <is>
          <t>(3)</t>
        </is>
      </c>
      <c r="C44" s="4" t="inlineStr">
        <is>
          <t>R8.8</t>
        </is>
      </c>
      <c r="D44" s="5" t="inlineStr">
        <is>
          <t>社会資源一覧の従業員数の重複計上の扱い</t>
        </is>
      </c>
      <c r="E44" s="5" t="inlineStr">
        <is>
          <t>同一の施設が複数のサービスで登録されており、同じ職員がサービスごとに計上されている（重複の候補8組・252人）。供給制約の推定に用いる従業員数を、延べとするか施設単位の実人数とするかのご確認。同打合せでは、受託者が方法を提案するか、重複の候補の一覧に発注者がご記入いただくかの2案が挙げられた。</t>
        </is>
      </c>
      <c r="F44" s="5" t="inlineStr">
        <is>
          <t>従業員数の重複計上の整理
計画素案 第2章第3節・第6章第2節</t>
        </is>
      </c>
      <c r="G44" s="5" t="inlineStr">
        <is>
          <t>発注者・3町</t>
        </is>
      </c>
      <c r="H44" s="10" t="inlineStr">
        <is>
          <t>確認待ち</t>
        </is>
      </c>
      <c r="I44" s="10" t="inlineStr">
        <is>
          <t>R8.9</t>
        </is>
      </c>
      <c r="J44" s="11" t="inlineStr">
        <is>
          <t>受託者の案は施設単位の実人数。「従業員数の重複計上の整理」01シートに確認欄を設けて両案に対応した。
決着しない場合は社会資源一覧の従業員数は施設単位の実人数を用い、延べの値は用いない（同一の施設が複数のサービスで登録されている分を除く）。介護人材実態調査の採用者数・離職者数も同一法人の重複計上分を除いた採用83人・離職65人を用いる。（受託者の仮置き。令和8年10月の意見交換会で諮る）</t>
        </is>
      </c>
    </row>
    <row r="45" ht="88" customHeight="1">
      <c r="A45" s="4" t="n">
        <v>41</v>
      </c>
      <c r="B45" s="4" t="inlineStr">
        <is>
          <t>(5)</t>
        </is>
      </c>
      <c r="C45" s="4" t="inlineStr">
        <is>
          <t>R8.8</t>
        </is>
      </c>
      <c r="D45" s="5" t="inlineStr">
        <is>
          <t>令和8年度の実績の推定方法</t>
        </is>
      </c>
      <c r="E45" s="5" t="inlineStr">
        <is>
          <t>令和8年度は本業務の期間中に確定しない。同打合せにおいて、月報により各月の推移を把握したうえで、見える化システムによる試算（人口、高齢化率、年齢区分別の認定率等）により推定する方針でご了承をいただいた。本欄は、その方針を記録として残すものである。</t>
        </is>
      </c>
      <c r="F45" s="5" t="inlineStr">
        <is>
          <t>計画素案 第6章
将来推計 第1〜3段階</t>
        </is>
      </c>
      <c r="G45" s="5" t="inlineStr">
        <is>
          <t>発注者</t>
        </is>
      </c>
      <c r="H45" s="6" t="inlineStr">
        <is>
          <t>了承済</t>
        </is>
      </c>
      <c r="I45" s="10" t="inlineStr">
        <is>
          <t>R8.8.26</t>
        </is>
      </c>
      <c r="J45" s="11" t="inlineStr">
        <is>
          <t>令和8年8月26日の進捗確認の打合せで了承。対前年比等の単純な外挿は用いない</t>
        </is>
      </c>
    </row>
    <row r="46" ht="88" customHeight="1">
      <c r="A46" s="4" t="n">
        <v>42</v>
      </c>
      <c r="B46" s="4" t="inlineStr">
        <is>
          <t>(8)</t>
        </is>
      </c>
      <c r="C46" s="4" t="inlineStr">
        <is>
          <t>R8.8</t>
        </is>
      </c>
      <c r="D46" s="5" t="inlineStr">
        <is>
          <t>キックオフ会議資料への工程表の反映</t>
        </is>
      </c>
      <c r="E46" s="5" t="inlineStr">
        <is>
          <t>キックオフ会議資料に、委員会の開催時期を含む工程表（第1回〜第4回の策定委員会、令和9年1〜3月のパブリックコメント）を反映した版をご提供する。3町へ展開し、工程に相違がないかをご確認いただく。</t>
        </is>
      </c>
      <c r="F46" s="5" t="inlineStr">
        <is>
          <t>キックオフ会議資料</t>
        </is>
      </c>
      <c r="G46" s="5" t="inlineStr">
        <is>
          <t>発注者・3町</t>
        </is>
      </c>
      <c r="H46" s="8" t="inlineStr">
        <is>
          <t>対応中</t>
        </is>
      </c>
      <c r="I46" s="10" t="inlineStr">
        <is>
          <t>R8.8</t>
        </is>
      </c>
      <c r="J46" s="11" t="inlineStr">
        <is>
          <t>同打合せでご依頼をいただいた。反映する工程表は発注者ご作成の予定表による。
決着しない場合は現行の工程表のまま進める。（受託者の仮置き。令和8年10月の意見交換会で諮る）</t>
        </is>
      </c>
    </row>
    <row r="47" ht="88" customHeight="1">
      <c r="A47" s="4" t="n">
        <v>43</v>
      </c>
      <c r="B47" s="4" t="inlineStr">
        <is>
          <t>(2)</t>
        </is>
      </c>
      <c r="C47" s="4" t="inlineStr">
        <is>
          <t>R8.8</t>
        </is>
      </c>
      <c r="D47" s="5" t="inlineStr">
        <is>
          <t>認定に要する日数の扱い</t>
        </is>
      </c>
      <c r="E47" s="5" t="inlineStr">
        <is>
          <t>受領した要介護認定 集計帳票によると、申請日から二次判定日までの平均所要日数は、新規で令和6年度45.4日・令和7年度46.7日である。介護保険法第27条第11項は申請から30日以内の処分を定めている。本件を第9期の評価及び第10期の課題として扱うかのご確認。なお主治医意見書の入手日は3年度とも未入力であり、申請から意見書入手までの日数は算定できない。</t>
        </is>
      </c>
      <c r="F47" s="5" t="inlineStr">
        <is>
          <t>中間報告 第3節
計画素案 第2章・第5章</t>
        </is>
      </c>
      <c r="G47" s="5" t="inlineStr">
        <is>
          <t>発注者</t>
        </is>
      </c>
      <c r="H47" s="10" t="inlineStr">
        <is>
          <t>確認待ち</t>
        </is>
      </c>
      <c r="I47" s="10" t="inlineStr">
        <is>
          <t>R8.9</t>
        </is>
      </c>
      <c r="J47" s="11" t="inlineStr">
        <is>
          <t>令和8年8月28日受領の集計帳票により判明。
決着しない場合は令和8年8月28日受領の集計帳票による。（受託者の仮置き。令和8年10月の意見交換会で諮る）</t>
        </is>
      </c>
    </row>
    <row r="48" ht="88" customHeight="1">
      <c r="A48" s="4" t="n">
        <v>44</v>
      </c>
      <c r="B48" s="4" t="inlineStr">
        <is>
          <t>(5)</t>
        </is>
      </c>
      <c r="C48" s="4" t="inlineStr">
        <is>
          <t>R8.8</t>
        </is>
      </c>
      <c r="D48" s="5" t="inlineStr">
        <is>
          <t>給付実績データに含まれる個人情報の取扱い</t>
        </is>
      </c>
      <c r="E48" s="5" t="inlineStr">
        <is>
          <t>令和8年8月28日受領の給付実績データ9ファイルの第1シートには、被保険者番号・氏名・性別・生年月日・住民コード・世帯番号・住所コード・郵便番号が含まれている（5万7千〜5万9千行）。①個票を含むファイルの送付が意図されたものか。集計シートのみで足りる場合は次回以降は集計シートのみで作業できる。②受託者における保管期間と廃棄の方法。③町別ファイルの第1シートが広域連合の全件である点。</t>
        </is>
      </c>
      <c r="F48" s="5" t="inlineStr">
        <is>
          <t>給付実績データの受領点検
将来推計 第2・3段階</t>
        </is>
      </c>
      <c r="G48" s="5" t="inlineStr">
        <is>
          <t>発注者</t>
        </is>
      </c>
      <c r="H48" s="6" t="inlineStr">
        <is>
          <t>了承済（保管せず廃棄）</t>
        </is>
      </c>
      <c r="I48" s="10" t="inlineStr">
        <is>
          <t>R8.8.28</t>
        </is>
      </c>
      <c r="J48" s="11" t="inlineStr">
        <is>
          <t>令和8年8月28日、発注者より「保管せず廃棄する方針」とのご指示をいただいた。受託者は集計シートの値のみを成果品に収録し、個票を含む受領ファイルは作業終了後ただちに消去した。②の保管期間の設定は不要となった。③町別ファイルの第1シートが広域連合の全件である点は、町へお渡しになる場合のご参考として引き続きお伝えする</t>
        </is>
      </c>
    </row>
    <row r="49" ht="88" customHeight="1">
      <c r="A49" s="4" t="n">
        <v>45</v>
      </c>
      <c r="B49" s="4" t="inlineStr">
        <is>
          <t>(5)</t>
        </is>
      </c>
      <c r="C49" s="4" t="inlineStr">
        <is>
          <t>R8.8</t>
        </is>
      </c>
      <c r="D49" s="5" t="inlineStr">
        <is>
          <t>代表KPI H15の分母の定義</t>
        </is>
      </c>
      <c r="E49" s="5" t="inlineStr">
        <is>
          <t>令和6年度の給付費実績3,084,937,834円に対し、第9期計画の標準給付費見込額3,127,780,210円との乖離は▲1.37％、総給付費2,924,324,000円との乖離は＋5.49％である。目標±5％以内との関係で結果が変わるため、いずれを分母とするかのご決定をお願いする。</t>
        </is>
      </c>
      <c r="F49" s="5" t="inlineStr">
        <is>
          <t>計画素案 第4章 資料1
中間報告 第3節</t>
        </is>
      </c>
      <c r="G49" s="5" t="inlineStr">
        <is>
          <t>発注者</t>
        </is>
      </c>
      <c r="H49" s="10" t="inlineStr">
        <is>
          <t>確認待ち</t>
        </is>
      </c>
      <c r="I49" s="10" t="inlineStr">
        <is>
          <t>R8.9</t>
        </is>
      </c>
      <c r="J49" s="11" t="inlineStr">
        <is>
          <t>受託者案は標準給付費見込額。計画期間を通じた財政運営の指標であるため。
決着しない場合は代表KPI H15の分母は標準給付費見込額とする（受託者案）。（受託者の仮置き。令和8年10月の意見交換会で諮る）</t>
        </is>
      </c>
    </row>
    <row r="50" ht="88" customHeight="1">
      <c r="A50" s="4" t="n">
        <v>46</v>
      </c>
      <c r="B50" s="4" t="inlineStr">
        <is>
          <t>(5)</t>
        </is>
      </c>
      <c r="C50" s="4" t="inlineStr">
        <is>
          <t>R8.8</t>
        </is>
      </c>
      <c r="D50" s="5" t="inlineStr">
        <is>
          <t>令和7年度の給付費の集計が一致しない</t>
        </is>
      </c>
      <c r="E50" s="5" t="inlineStr">
        <is>
          <t>3町の給付費総額の合計が、大雪地区広域連合の給付費総額を129,580,267円（4.20％）上回っていた。【令和8年9月25日　解決】【大雪】令和7年度のファイルの再提供を受け、要介護度別まで円単位で一致した（確認No.87と同じ件）。【美瑛町】令和7年度のファイルの利用回数のシート名が「（東神楽）」となっている点は、収録されている値が美瑛町のものであることを確認しており、シート名の誤りとして扱う。</t>
        </is>
      </c>
      <c r="F50" s="5" t="inlineStr">
        <is>
          <t>給付実績データの受領点検
将来推計 第2・3段階</t>
        </is>
      </c>
      <c r="G50" s="5" t="inlineStr">
        <is>
          <t>発注者</t>
        </is>
      </c>
      <c r="H50" s="10" t="inlineStr">
        <is>
          <t>確認待ち</t>
        </is>
      </c>
      <c r="I50" s="10" t="inlineStr">
        <is>
          <t>R8.9</t>
        </is>
      </c>
      <c r="J50" s="11" t="inlineStr">
        <is>
          <t>解消するまでは令和7年度の町別の値は用いず、大雪地区広域連合の合計のみを用いる。
決着しない場合は令和8年9月25日の再提供により決着済み。再提供を受けたファイルの値（3町合計と円単位一致）による。（受託者の仮置き。令和8年10月の意見交換会で諮る）</t>
        </is>
      </c>
    </row>
    <row r="51" ht="88" customHeight="1">
      <c r="A51" s="4" t="n">
        <v>47</v>
      </c>
      <c r="B51" s="4" t="inlineStr">
        <is>
          <t>(5)</t>
        </is>
      </c>
      <c r="C51" s="4" t="inlineStr">
        <is>
          <t>R8.8</t>
        </is>
      </c>
      <c r="D51" s="5" t="inlineStr">
        <is>
          <t>計画作成支援ツールの実績値シートの確認</t>
        </is>
      </c>
      <c r="E51" s="5" t="inlineStr">
        <is>
          <t>令和8年8月28日に町別3ファイルを受領した。①ファイルに町名の記載がないため、施設・居住系の利用者数により東神楽町・東川町・美瑛町と特定した。この対応で相違ないか。②美瑛町の施設サービス居住費が471,272円と他町（618万円・761万円）に比べ小さく、短期入所の食費が18,492,717円と他町（5万円・27万円）に比べ大きい。施設の利用者数は美瑛町が最も多いため、入力のご確認。③保険料収納必要額の欄は令和6年度のみである。令和7年度分が確定次第ご提供いただきたい。</t>
        </is>
      </c>
      <c r="F51" s="5" t="inlineStr">
        <is>
          <t>給付実績データの受領点検 04シート
将来推計 第3段階</t>
        </is>
      </c>
      <c r="G51" s="5" t="inlineStr">
        <is>
          <t>発注者</t>
        </is>
      </c>
      <c r="H51" s="10" t="inlineStr">
        <is>
          <t>確認待ち</t>
        </is>
      </c>
      <c r="I51" s="10" t="inlineStr">
        <is>
          <t>R8.9</t>
        </is>
      </c>
      <c r="J51" s="11" t="inlineStr">
        <is>
          <t>第3段階（給付費・保険料）の算定に用いる。
決着しない場合は総括表（保険者単位）を用い、計画作成支援ツールの実績値シートは比較のためにのみ用いる。（受託者の仮置き。令和8年10月の意見交換会で諮る）</t>
        </is>
      </c>
    </row>
    <row r="52" ht="88" customHeight="1">
      <c r="A52" s="4" t="n">
        <v>48</v>
      </c>
      <c r="B52" s="4" t="inlineStr">
        <is>
          <t>(2)</t>
        </is>
      </c>
      <c r="C52" s="4" t="inlineStr">
        <is>
          <t>R8.8</t>
        </is>
      </c>
      <c r="D52" s="5" t="inlineStr">
        <is>
          <t>総合事業の実施状況に関する調査（令和6年度）の確認</t>
        </is>
      </c>
      <c r="E52" s="5" t="inlineStr">
        <is>
          <t>令和8年8月28日に市町村Ⅰ・Ⅱ・Ⅲの3表を受領した。①生活支援コーディネーターと協議体の数について、東川町・東神楽町は総数の欄に、美瑛町は圏域別（第1層・第2層）の欄に記入されている。記入欄の違いによるものか、配置の考え方の違いによるものか。3町計はコーディネーター11人・協議体8とみてよいか。②訪問型・通所型従前相当の利用者延べ人数が、東川町のみ「−」と回答されている。未把握と解してよいか。③代表KPI H05の総合事業ベースの参加率の分母について、見える化A系列の令和6年（9,346人）を用いているが、住民基本台帳の値に置き換えるべきか。④令和7年度分の調査回答の写しをご提供いただきたい。</t>
        </is>
      </c>
      <c r="F52" s="5" t="inlineStr">
        <is>
          <t>総合事業実施状況調査の受領点検
素案 第3章第1節・第2節
H05の基準値</t>
        </is>
      </c>
      <c r="G52" s="5" t="inlineStr">
        <is>
          <t>発注者</t>
        </is>
      </c>
      <c r="H52" s="10" t="inlineStr">
        <is>
          <t>確認待ち</t>
        </is>
      </c>
      <c r="I52" s="10" t="inlineStr">
        <is>
          <t>R8.9</t>
        </is>
      </c>
      <c r="J52" s="11" t="inlineStr">
        <is>
          <t>第9期の通いの場と地域支援事業の評価に用いる。
決着しない場合は収録済みの令和6年度の総合事業の実施状況に関する調査の値による。（受託者の仮置き。令和8年10月の意見交換会で諮る）</t>
        </is>
      </c>
    </row>
    <row r="53" ht="88" customHeight="1">
      <c r="A53" s="4" t="n">
        <v>49</v>
      </c>
      <c r="B53" s="4" t="inlineStr">
        <is>
          <t>(12)</t>
        </is>
      </c>
      <c r="C53" s="4" t="inlineStr">
        <is>
          <t>R8.8</t>
        </is>
      </c>
      <c r="D53" s="5" t="inlineStr">
        <is>
          <t>中間報告会議の議事録の記載の確認【回答済】</t>
        </is>
      </c>
      <c r="E53" s="5" t="inlineStr">
        <is>
          <t>令和8年8月26日付の議事録を校正した（15件）。ご確認をお願いした4件について令和8年8月28日にご回答をいただいた。①開催日は令和8年8月26日（水）が正しい。受託者の記録を令和8年8月25日から改めた（本表・進捗報告書ほか）。②年報・月報は令和8年8月27日に発注者において受領され、受託者へは後日ご送付いただく。資料No.21・22は引き続き未受領とする。③会議の目的に掲げた業務進捗の報告を議事録の本文に記載する。④出席者は村田の欠席で相違ない。</t>
        </is>
      </c>
      <c r="F53" s="5" t="inlineStr">
        <is>
          <t>中間報告会議議事録
業務工程管理表
必要事項の一覧</t>
        </is>
      </c>
      <c r="G53" s="5" t="inlineStr">
        <is>
          <t>発注者</t>
        </is>
      </c>
      <c r="H53" s="6" t="inlineStr">
        <is>
          <t>了承済</t>
        </is>
      </c>
      <c r="I53" s="10" t="inlineStr">
        <is>
          <t>R8.8.28</t>
        </is>
      </c>
      <c r="J53" s="11" t="inlineStr">
        <is>
          <t>議事録に反映済み。年報・月報の到着後に資料No.21・22を受領済とする</t>
        </is>
      </c>
    </row>
    <row r="54" ht="88" customHeight="1">
      <c r="A54" s="4" t="n">
        <v>50</v>
      </c>
      <c r="B54" s="4" t="inlineStr">
        <is>
          <t>(5)</t>
        </is>
      </c>
      <c r="C54" s="4" t="inlineStr">
        <is>
          <t>R8.8</t>
        </is>
      </c>
      <c r="D54" s="5" t="inlineStr">
        <is>
          <t>年報・月報の受領に伴う確認</t>
        </is>
      </c>
      <c r="E54" s="5" t="inlineStr">
        <is>
          <t>令和8年8月28日に年報（令和6・7年度）と月報（令和8年4〜7月）を受領した。次の4点のご確認をお願いする。①令和7年度の年報は様式4・様式4の2・様式4の3及び経理状況が全項目0で未入力である。決算の整理が済み次第ご提供いただきたい。令和7年度末の介護給付費準備基金の残高が第10期の保険料算定に必要である。②第9期の標準月額保険料は令和6年度6,400円である。令和7年度の欄は未入力であった。3か年とも6,400円で相違ないか。③保険料収納率の実績は現年度分で99.885％（令和6年度）・99.866％（令和7年度）である。計画作成支援ツールの予定収納率99％と、第10期でどちらを用いるか。④重度要介護認定率について、年報による算定は6.38％、中間報告の記載は6.3％で0.08ポイントの差がある。計画本文に用いる値をどちらとするか。判定は変わらない。</t>
        </is>
      </c>
      <c r="F54" s="5" t="inlineStr">
        <is>
          <t>年報月報の受領点検
将来推計 第3段階
素案 第6章第3節・第6節</t>
        </is>
      </c>
      <c r="G54" s="5" t="inlineStr">
        <is>
          <t>発注者</t>
        </is>
      </c>
      <c r="H54" s="10" t="inlineStr">
        <is>
          <t>確認待ち</t>
        </is>
      </c>
      <c r="I54" s="10" t="inlineStr">
        <is>
          <t>R8.9</t>
        </is>
      </c>
      <c r="J54" s="11" t="inlineStr">
        <is>
          <t>①は第10期の保険料算定を止めている。最優先。
決着しない場合は受領済みの年報・月報の値による。（受託者の仮置き。令和8年10月の意見交換会で諮る）</t>
        </is>
      </c>
    </row>
    <row r="55" ht="88" customHeight="1">
      <c r="A55" s="4" t="n">
        <v>51</v>
      </c>
      <c r="B55" s="4" t="inlineStr">
        <is>
          <t>(2)</t>
        </is>
      </c>
      <c r="C55" s="4" t="inlineStr">
        <is>
          <t>R8.8</t>
        </is>
      </c>
      <c r="D55" s="5" t="inlineStr">
        <is>
          <t>月報の値の接続のずれ（ご報告）</t>
        </is>
      </c>
      <c r="E55" s="5" t="inlineStr">
        <is>
          <t>月報4か月分は画像の目視により値を確定した。文字認識では誤りが生じたため採用していない。確定にあたり、次の3件の接続のずれを確認した。①6月報の前月末9,087人に対し5月報の当月末は9,086人で1人多い。②7月報の前月末9,067人に対し6月報の当月末は9,068人で1人少ない。③6月の施設サービス受給者数は、施設種別の合計285人に対し総数が284人で1人少ない。①②は遡及訂正、③は同一月に2施設を利用した者の名寄せによるものと解している。いずれも各月の内部計算は成立しており、受託者としては値そのものの誤りではないと考えているが、念のためご確認いただきたい。なお4月報の前月末は令和7年度の年報の年度末と完全に一致し、年報と月報は接続している。</t>
        </is>
      </c>
      <c r="F55" s="5" t="inlineStr">
        <is>
          <t>年報月報の受領点検 04シート</t>
        </is>
      </c>
      <c r="G55" s="5" t="inlineStr">
        <is>
          <t>発注者</t>
        </is>
      </c>
      <c r="H55" s="10" t="inlineStr">
        <is>
          <t>確認待ち</t>
        </is>
      </c>
      <c r="I55" s="10" t="inlineStr">
        <is>
          <t>R8.9</t>
        </is>
      </c>
      <c r="J55" s="11" t="inlineStr">
        <is>
          <t>計画本文への影響はない。記録として残すもの。
決着しない場合は月報の値の接続のずれは記録として残し、計画本文には用いない。（受託者の仮置き。令和8年10月の意見交換会で諮る）</t>
        </is>
      </c>
    </row>
    <row r="56" ht="88" customHeight="1">
      <c r="A56" s="4" t="n">
        <v>52</v>
      </c>
      <c r="B56" s="4" t="inlineStr">
        <is>
          <t>(5)</t>
        </is>
      </c>
      <c r="C56" s="4" t="inlineStr">
        <is>
          <t>R8.8</t>
        </is>
      </c>
      <c r="D56" s="5" t="inlineStr">
        <is>
          <t>令和6年度決算書の受領に伴う確認</t>
        </is>
      </c>
      <c r="E56" s="5" t="inlineStr">
        <is>
          <t>令和8年8月28日に令和6年度決算書（介護保険特別会計）を受領し、年報の様式4と対照した結果、歳入10項目・歳出12項目のすべてで金額が一致した。次の3点のご確認をお願いする。①【解決済】基金の名称は、令和8年8月28日に受領した大雪地区広域連合基金条例の別表により「介護保険事業財政調整基金」と確定した。年報の「介護給付費準備基金」は国の様式上の呼称である。計画本文には条例上の名称を用いる。②決算書の地域支援事業費に「一般介護予防事業費」の項がなく、年報の様式4でも同項は0円である。総合事業の実施状況に関する調査では介護予防普及啓発事業を3町とも実施しているため、どの科目で執行されているか。③保険料の不納欠損額が決算書646,812円・年報645,312円、収入未済額が決算書1,361,675円・年報1,363,175円で、区分が1,500円分だけ異なる。調定額・収納額は一致する。計画本文に用いる値をどちらとするか。</t>
        </is>
      </c>
      <c r="F56" s="5" t="inlineStr">
        <is>
          <t>令和6年度決算書の受領点検 03シート
素案 第6章第3節・第6節</t>
        </is>
      </c>
      <c r="G56" s="5" t="inlineStr">
        <is>
          <t>発注者</t>
        </is>
      </c>
      <c r="H56" s="10" t="inlineStr">
        <is>
          <t>確認待ち</t>
        </is>
      </c>
      <c r="I56" s="10" t="inlineStr">
        <is>
          <t>R8.9</t>
        </is>
      </c>
      <c r="J56" s="11" t="inlineStr">
        <is>
          <t>いずれも金額の総額に影響しない。名称と科目の確認である。
決着しない場合は名称・科目は令和6年度決算書の表記による（総額に影響しない）。（受託者の仮置き。令和8年10月の意見交換会で諮る）</t>
        </is>
      </c>
    </row>
    <row r="57" ht="88" customHeight="1">
      <c r="A57" s="4" t="n">
        <v>53</v>
      </c>
      <c r="B57" s="4" t="inlineStr">
        <is>
          <t>(5)</t>
        </is>
      </c>
      <c r="C57" s="4" t="inlineStr">
        <is>
          <t>R8.8</t>
        </is>
      </c>
      <c r="D57" s="5" t="inlineStr">
        <is>
          <t>介護保険事業財政調整基金の積立ての上限と取崩方針</t>
        </is>
      </c>
      <c r="E57" s="5" t="inlineStr">
        <is>
          <t>令和8年8月28日に受領した基金条例の第5条第3項は、剰余金の積立てを「当該計画期間における介護保険事業計画で算定する介護保険料必要収納額の100分の10に相当する額まで」としている。第9期の保険料収納必要額2,051,968,467円（3か年計）の100分の10は205,196,846円であり、令和6年度末の基金残高231,689,018円はこれを26,492,172円上回る。①令和6年度に実質収支142,873,961円が生じながら積立てが運用益232,197円のみであったのは、上限に達しているためという理解で相違ないか。②「100分の10に相当する額まで」は、各年度の積立額の上限ではなく基金残高の上限を定めたものという解釈で相違ないか。③条例にいう「介護保険事業計画で算定する介護保険料必要収納額」は第9期計画の3か年計2,051,968,467円を指すか。④第10期の保険料算定において基金をどこまで取り崩す方針とするか。受託者の案は、条例上の上限に収まる水準まで取り崩して保険料の上昇を抑制することである。</t>
        </is>
      </c>
      <c r="F57" s="5" t="inlineStr">
        <is>
          <t>基金条例の確認 02シート
素案 第6章第6節
将来推計 第3段階</t>
        </is>
      </c>
      <c r="G57" s="5" t="inlineStr">
        <is>
          <t>発注者</t>
        </is>
      </c>
      <c r="H57" s="10" t="inlineStr">
        <is>
          <t>確認待ち</t>
        </is>
      </c>
      <c r="I57" s="10" t="inlineStr">
        <is>
          <t>R8.9</t>
        </is>
      </c>
      <c r="J57" s="11" t="inlineStr">
        <is>
          <t>第10期の保険料の水準に影響する。条例の受領により判明した。
決着しない場合は介護保険事業財政調整基金を取り崩さないものとして算定する（安全側）。取り崩す場合の1億円あたりの月額への効きを併記する。（受託者の仮置き。令和8年10月の意見交換会で諮る）</t>
        </is>
      </c>
    </row>
    <row r="58" ht="88" customHeight="1">
      <c r="A58" s="4" t="n">
        <v>54</v>
      </c>
      <c r="B58" s="4" t="inlineStr">
        <is>
          <t>(12)</t>
        </is>
      </c>
      <c r="C58" s="4" t="inlineStr">
        <is>
          <t>R8.8</t>
        </is>
      </c>
      <c r="D58" s="5" t="inlineStr">
        <is>
          <t>議事録の文書プロパティに個人名が再度入る</t>
        </is>
      </c>
      <c r="E58" s="5" t="inlineStr">
        <is>
          <t>令和8年8月31日に受領した編集後の議事録の文書プロパティに、作成者として個人名が再度入っていた。令和8年8月28日の校正で法人名に是正した箇所である。Word で保存すると作成者が自動で入るためと思われる。構成3町へ展開される文書であり、送付前の是正を要する。Word の「ファイル」→「情報」→「問題のチェック」→「ドキュメント検査」で個人情報を削除してから保存する運用をご提案する。受託者側では生成時に自動で整備している。</t>
        </is>
      </c>
      <c r="F58" s="5" t="inlineStr">
        <is>
          <t>中間報告会議議事録
業務工程管理表</t>
        </is>
      </c>
      <c r="G58" s="5" t="inlineStr">
        <is>
          <t>発注者</t>
        </is>
      </c>
      <c r="H58" s="10" t="inlineStr">
        <is>
          <t>確認待ち</t>
        </is>
      </c>
      <c r="I58" s="10" t="inlineStr">
        <is>
          <t>R8.9</t>
        </is>
      </c>
      <c r="J58" s="11" t="inlineStr">
        <is>
          <t>本文には現れないため、通読では気づかない。
決着しない場合は議事録は作成者名を落として再出力する（当方で対応する）。（受託者の仮置き。令和8年10月の意見交換会で諮る）</t>
        </is>
      </c>
    </row>
    <row r="59" ht="88" customHeight="1">
      <c r="A59" s="4" t="n">
        <v>55</v>
      </c>
      <c r="B59" s="4" t="inlineStr">
        <is>
          <t>(12)</t>
        </is>
      </c>
      <c r="C59" s="4" t="inlineStr">
        <is>
          <t>R8.8</t>
        </is>
      </c>
      <c r="D59" s="5" t="inlineStr">
        <is>
          <t>議事録の表記に関するご提案3件</t>
        </is>
      </c>
      <c r="E59" s="5" t="inlineStr">
        <is>
          <t>編集後の議事録について、次の3件をご提案する。いずれも発注者が意図して編集された箇所に関わるため、受託者の判断では変えず、本文は受領版のままとしている。①「必要書類の確認」で2つの合意事項が1文になり文の途中で主語が変わるため、2文に分ける。②「業務進捗」の並列の読点を「及び」に改める。③「実態が確認された」を「実態があることを確認」に改め、他の記述の簡潔体に揃える。このままで差し支えないとのご判断であれば、受領版の表記のままで確定する。</t>
        </is>
      </c>
      <c r="F59" s="5" t="inlineStr">
        <is>
          <t>中間報告会議議事録
業務工程管理表</t>
        </is>
      </c>
      <c r="G59" s="5" t="inlineStr">
        <is>
          <t>発注者</t>
        </is>
      </c>
      <c r="H59" s="10" t="inlineStr">
        <is>
          <t>確認待ち</t>
        </is>
      </c>
      <c r="I59" s="10" t="inlineStr">
        <is>
          <t>R8.9</t>
        </is>
      </c>
      <c r="J59" s="11" t="inlineStr">
        <is>
          <t>文意は変わらない。読みやすさと文体の統一に関するもの。
決着しない場合は議事録の表記はご提案3件のとおり改める。（受託者の仮置き。令和8年10月の意見交換会で諮る）</t>
        </is>
      </c>
    </row>
    <row r="60" ht="88" customHeight="1">
      <c r="A60" s="4" t="n">
        <v>56</v>
      </c>
      <c r="B60" s="4" t="inlineStr">
        <is>
          <t>(2)</t>
        </is>
      </c>
      <c r="C60" s="4" t="inlineStr">
        <is>
          <t>R8.8</t>
        </is>
      </c>
      <c r="D60" s="5" t="inlineStr">
        <is>
          <t>令和8年8月31日受領の要介護認定集計帳票6件が他団体のもの</t>
        </is>
      </c>
      <c r="E60" s="5" t="inlineStr">
        <is>
          <t>令和8年8月31日に受領したPDF6件（074021_2021.pdf〜074021_2026.pdf）は、表紙及び各帳票に「北塩原村」と印字されており、大雪地区広域連合の資料ではない。帳票の構成は令和8年8月28日に受領した大雪地区広域連合の集計帳票と同じである。①出力の際の団体の指定をご確認いただきたい。②受託者は他団体の資料として用いず、作業終了後に消去する。③大雪地区広域連合の同帳票は令和6〜8年度分を受領済みである。令和3〜5年度分をご提供いただければ、第8期の認定事務の推移まで遡って確認できる。</t>
        </is>
      </c>
      <c r="F60" s="5" t="inlineStr">
        <is>
          <t>見える化総括表の受領点検 00シート</t>
        </is>
      </c>
      <c r="G60" s="5" t="inlineStr">
        <is>
          <t>発注者</t>
        </is>
      </c>
      <c r="H60" s="10" t="inlineStr">
        <is>
          <t>確認待ち</t>
        </is>
      </c>
      <c r="I60" s="10" t="inlineStr">
        <is>
          <t>R8.9</t>
        </is>
      </c>
      <c r="J60" s="11" t="inlineStr">
        <is>
          <t>他団体の資料を成果品に用いない。第8期の認定所要日数の推移は第9期の評価の材料になる。
決着しない場合は他団体の集計帳票6件は成果品に用いない。（受託者の仮置き。令和8年10月の意見交換会で諮る）</t>
        </is>
      </c>
    </row>
    <row r="61" ht="88" customHeight="1">
      <c r="A61" s="4" t="n">
        <v>57</v>
      </c>
      <c r="B61" s="4" t="inlineStr">
        <is>
          <t>(2)</t>
        </is>
      </c>
      <c r="C61" s="4" t="inlineStr">
        <is>
          <t>R8.8</t>
        </is>
      </c>
      <c r="D61" s="5" t="inlineStr">
        <is>
          <t>計画値を0としたサービスに実績がある2件</t>
        </is>
      </c>
      <c r="E61" s="5" t="inlineStr">
        <is>
          <t>見える化システムの総括表により、次の2件が確定した。①認知症対応型通所介護は第9期の計画値が0であるが、令和6・7年度とも延べ12人・約124万円の実績がある。第8期は令和5年度に計画12人・実績12人であった。②介護療養型医療施設は令和6年度に延べ1人・325,178円の実績がある（同施設は令和5年度末で廃止）。①について、第10期の計画値の置き方（0のままとするか実績相当を計上するか）をご相談したい。②は経過的なものとして第10期には計上しない扱いでよいか。</t>
        </is>
      </c>
      <c r="F61" s="5" t="inlineStr">
        <is>
          <t>見える化総括表の受領点検 02シート
計画素案 第4章</t>
        </is>
      </c>
      <c r="G61" s="5" t="inlineStr">
        <is>
          <t>発注者</t>
        </is>
      </c>
      <c r="H61" s="10" t="inlineStr">
        <is>
          <t>確認待ち</t>
        </is>
      </c>
      <c r="I61" s="10" t="inlineStr">
        <is>
          <t>R8.9</t>
        </is>
      </c>
      <c r="J61" s="11" t="inlineStr">
        <is>
          <t>計画値が0だと対計画比が算出されず、評価の対象から漏れる。第10期で同じ状態を繰り返さないための確認。
決着しない場合は第10期は計画値を0とせず、算定値を置く（対計画比が算出され評価の対象となるようにする）。（受託者の仮置き。令和8年10月の意見交換会で諮る）</t>
        </is>
      </c>
    </row>
    <row r="62" ht="88" customHeight="1">
      <c r="A62" s="4" t="n">
        <v>58</v>
      </c>
      <c r="B62" s="4" t="inlineStr">
        <is>
          <t>(2)</t>
        </is>
      </c>
      <c r="C62" s="4" t="inlineStr">
        <is>
          <t>R8.8</t>
        </is>
      </c>
      <c r="D62" s="5" t="inlineStr">
        <is>
          <t>定期巡回・随時対応型訪問介護看護の第10期の取扱い</t>
        </is>
      </c>
      <c r="E62" s="5" t="inlineStr">
        <is>
          <t>見える化システムの総括表により、第8期は3か年とも計画（延べ72人）に対し実績0人、第9期も令和6年度は計画60人に対し実績0人、令和7年度は実績7人であることが確定した。第7期には実績があった（平成30年度4人・令和元年度18人・令和2年度28人）ため、その後に供給が失われたとみられる。①この間の事業所の状況（撤退・休止の別と時期）。②第10期に引き続き計画に位置づけるか、位置づける場合の整備の見通し。③位置づけない場合、24時間対応の必要量をどのサービスで満たすとするか。</t>
        </is>
      </c>
      <c r="F62" s="5" t="inlineStr">
        <is>
          <t>見える化総括表の受領点検 02シート
計画素案 第4章</t>
        </is>
      </c>
      <c r="G62" s="5" t="inlineStr">
        <is>
          <t>発注者</t>
        </is>
      </c>
      <c r="H62" s="10" t="inlineStr">
        <is>
          <t>確認待ち</t>
        </is>
      </c>
      <c r="I62" s="10" t="inlineStr">
        <is>
          <t>R8.9</t>
        </is>
      </c>
      <c r="J62" s="11" t="inlineStr">
        <is>
          <t>2期続けて計画に位置づけながら実績が伴っていない。代表KPI H12（必要サービス未充足率）の設定にも関わる。
決着しない場合は定期巡回・随時対応型訪問介護看護は自然体の算定値を置き、整備による上乗せは行わない（安全側）。（受託者の仮置き。令和8年10月の意見交換会で諮る）</t>
        </is>
      </c>
    </row>
    <row r="63" ht="88" customHeight="1">
      <c r="A63" s="4" t="n">
        <v>59</v>
      </c>
      <c r="B63" s="4" t="inlineStr">
        <is>
          <t>(5)</t>
        </is>
      </c>
      <c r="C63" s="4" t="inlineStr">
        <is>
          <t>R8.8</t>
        </is>
      </c>
      <c r="D63" s="5" t="inlineStr">
        <is>
          <t>調整交付金の算定基礎の確認</t>
        </is>
      </c>
      <c r="E63" s="5" t="inlineStr">
        <is>
          <t>第9期計画の調整交付金相当額492,515,476円を5％で割り戻すと9,850,309,520円となり、標準給付費見込額9,519,211,524円との差331,097,996円（年110,365,999円）が介護予防・日常生活支援総合事業費に当たると考えられる。同じ基礎に対する調整交付金見込額の割合は7.3755％で、第9期計画の見込交付割合（令和6年度7.51％・令和7年度7.43％・令和8年度7.19％）の平均と一致する。①調整交付金の算定基礎に包括的支援事業費及び任意事業費を含めない扱いで相違ないか。②第9期計画の総合事業費の年額110,365,999円で相違ないか（令和6年度決算は101,274,621円）。</t>
        </is>
      </c>
      <c r="F63" s="5" t="inlineStr">
        <is>
          <t>将来推計 第3段階 00・03シート</t>
        </is>
      </c>
      <c r="G63" s="5" t="inlineStr">
        <is>
          <t>発注者</t>
        </is>
      </c>
      <c r="H63" s="10" t="inlineStr">
        <is>
          <t>確認待ち</t>
        </is>
      </c>
      <c r="I63" s="10" t="inlineStr">
        <is>
          <t>R8.9</t>
        </is>
      </c>
      <c r="J63" s="11" t="inlineStr">
        <is>
          <t>この扱いにより第9期の算定を再現でき、公表値6,428円と一致した。第10期の算定でも同じ扱いによる。
決着しない場合は現行の扱い（第9期の算定を再現し公表値6,428円と一致する扱い）による。（受託者の仮置き。令和8年10月の意見交換会で諮る）</t>
        </is>
      </c>
    </row>
    <row r="64" ht="88" customHeight="1">
      <c r="A64" s="4" t="n">
        <v>60</v>
      </c>
      <c r="B64" s="4" t="inlineStr">
        <is>
          <t>(5)</t>
        </is>
      </c>
      <c r="C64" s="4" t="inlineStr">
        <is>
          <t>R8.8</t>
        </is>
      </c>
      <c r="D64" s="5" t="inlineStr">
        <is>
          <t>第10期の保険料算定の前提（受託者案）</t>
        </is>
      </c>
      <c r="E64" s="5" t="inlineStr">
        <is>
          <t>令和8年8月28日及び31日の受領資料により、将来推計 第3段階（給付費と保険料）の暫定算定を行った。第9期の算定を再現すると公表値6,428円と一致する。この式に第10期の前提を入れた基本ケースは月額6,740円で、第9期の条例基準額6,400円を340円上回る。次の4件について受託者案のご確認をお願いしたい。①給付費の採用値を見える化の自然体推計とすること。人口の基礎の変更（No.63）に合わせて認定者数の比で置き直し、9,267百万円を9,484百万円としている。第9期の実績年率で置くと月額は6,144円となり596円下がる。②予定保険料収納率を99.0％のままとするか、現年度分の実績（99.8％台）に即した水準に改めるか。③調整交付金の見込交付割合を第9期計画と同水準（7.375％）とすること。交付実績は第7期90％・第8期88％で計画を下回っている。④第1号被保険者負担割合は政令待ちのため第9期と同じ23％で置くこと。</t>
        </is>
      </c>
      <c r="F64" s="5" t="inlineStr">
        <is>
          <t>将来推計 第3段階 05・06シート
計画素案 第6章第6節</t>
        </is>
      </c>
      <c r="G64" s="5" t="inlineStr">
        <is>
          <t>発注者</t>
        </is>
      </c>
      <c r="H64" s="10" t="inlineStr">
        <is>
          <t>確認待ち</t>
        </is>
      </c>
      <c r="I64" s="10" t="inlineStr">
        <is>
          <t>R8.10</t>
        </is>
      </c>
      <c r="J64" s="11" t="inlineStr">
        <is>
          <t>第10期の保険料水準の決定に直結する。水準そのものより「どの前提でその水準になるか」を示すことが要る。
決着しない場合は当方案（単価を令和7年度で固定・施策反映を行わない・給付適正化を織り込まない・基金を取り崩さない）による。いずれも安全側であり、月額は下限に近い値となる。（受託者の仮置き。令和8年10月の意見交換会で諮る）</t>
        </is>
      </c>
    </row>
    <row r="65" ht="88" customHeight="1">
      <c r="A65" s="4" t="n">
        <v>61</v>
      </c>
      <c r="B65" s="4" t="inlineStr">
        <is>
          <t>(2)</t>
        </is>
      </c>
      <c r="C65" s="4" t="inlineStr">
        <is>
          <t>R8.8</t>
        </is>
      </c>
      <c r="D65" s="5" t="inlineStr">
        <is>
          <t>交付金の評価項目と19施策の割当て</t>
        </is>
      </c>
      <c r="E65" s="5" t="inlineStr">
        <is>
          <t>資料提供依頼No.13（施策・事業実績）の受領前に判定できる範囲を示すため、保険者機能強化推進交付金等の大項目別得点53項目を19施策に割り当て、暫定の判定を行った。結果は、取組あり・改善4施策、横ばい7施策、低下4施策、交付金では判定できない4施策（1-4虐待防止、2-4住まいと生活支援、4-2事業者の適正・円滑な運営、5-1災害・感染症対策）である。①割当ては受託者によるものであり、ご確認をお願いしたい。②1つの交付金項目が複数の施策に対応する場合がある（介護人材の確保・定着の取組状況は4-1と4-4の双方）。この扱いで相違ないか。③交付金に該当項目がない4施策は、実績がなければ判定できないことをご承知おきいただきたい。</t>
        </is>
      </c>
      <c r="F65" s="5" t="inlineStr">
        <is>
          <t>第9期施策別評価表 06シート</t>
        </is>
      </c>
      <c r="G65" s="5" t="inlineStr">
        <is>
          <t>発注者</t>
        </is>
      </c>
      <c r="H65" s="10" t="inlineStr">
        <is>
          <t>確認待ち</t>
        </is>
      </c>
      <c r="I65" s="10" t="inlineStr">
        <is>
          <t>R8.9</t>
        </is>
      </c>
      <c r="J65" s="11" t="inlineStr">
        <is>
          <t>交付金は取組の有無と要件の充足を測るものであり、事業量・対象実人数・決算額を測るものではない。プロセス評価の代替にはならない。
決着しない場合は交付金の評価項目と19施策の割当ては当方の案のままとする。（受託者の仮置き。令和8年10月の意見交換会で諮る）</t>
        </is>
      </c>
    </row>
    <row r="66" ht="88" customHeight="1">
      <c r="A66" s="4" t="n">
        <v>62</v>
      </c>
      <c r="B66" s="4" t="inlineStr">
        <is>
          <t>(4)</t>
        </is>
      </c>
      <c r="C66" s="4" t="inlineStr">
        <is>
          <t>R8.8</t>
        </is>
      </c>
      <c r="D66" s="5" t="inlineStr">
        <is>
          <t>社人研推計の町別データの入手（完了）</t>
        </is>
      </c>
      <c r="E66" s="5" t="inlineStr">
        <is>
          <t>計画素案 第2章第1節の町別75歳以上人口は、令和2年国勢調査の町別75歳以上を起点に3町計の後期高齢者比の推移で按分した推計値であり、公表値ではない（本文に［要確認］を付している）。国立社会保障・人口問題研究所「日本の地域別将来推計人口」（令和5年推計）の市区町村別・男女5歳階級別表を入手できれば、按分をやめて公表値に置き換えられる。受託者の作業環境は外部サイトへ接続できないため、①発注者において当該表をダウンロードしご提供いただけないか。②又は見える化システムから町別のA系列を出力いただけないか。いずれも難しい場合は、按分による推計値である旨を本文の注記として残す。</t>
        </is>
      </c>
      <c r="F66" s="5" t="inlineStr">
        <is>
          <t>計画素案 第2章第1節
人口推計の補正 05シート</t>
        </is>
      </c>
      <c r="G66" s="5" t="inlineStr">
        <is>
          <t>発注者</t>
        </is>
      </c>
      <c r="H66" s="6" t="inlineStr">
        <is>
          <t>完了</t>
        </is>
      </c>
      <c r="I66" s="10" t="inlineStr">
        <is>
          <t>R8.8.31</t>
        </is>
      </c>
      <c r="J66" s="11" t="inlineStr">
        <is>
          <t>令和8年8月31日に結果表3-1〜3-4をご提供いただき解消した。按分をやめて公表値に置き換えた結果、町別の補正方向が4件変わった（東川町の75歳以上は「上方に補正」から「補正しない」へ、美瑛町の75歳以上は「補正しない」から「上方に補正」へ）。3町計の補正係数と保険料の試算には影響しない</t>
        </is>
      </c>
    </row>
    <row r="67" ht="88" customHeight="1">
      <c r="A67" s="4" t="n">
        <v>63</v>
      </c>
      <c r="B67" s="4" t="inlineStr">
        <is>
          <t>(4)(5)</t>
        </is>
      </c>
      <c r="C67" s="4" t="inlineStr">
        <is>
          <t>R8.8</t>
        </is>
      </c>
      <c r="D67" s="5" t="inlineStr">
        <is>
          <t>人口推計の基礎を総合戦略とするご指示への対応</t>
        </is>
      </c>
      <c r="E67" s="5" t="inlineStr">
        <is>
          <t>令和8年8月31日に「人口推計は社人研ではなく総合戦略上の人口で行ってほしい」とのご指示をいただいた。ご指示をそのまま実行するには次の制約がある。①総合戦略の目標は総人口のみで、介護保険の推計に必要な年齢階級別の内訳がない。②美瑛町は総合戦略に人口目標そのものが設定されていない。③東神楽町の目標（9,500人維持）は令和8年中に割り込む見込みで、東川町の目標（8,635人）は実績が既に91人上回っている。受託者は、総人口は総合戦略の目標、年齢階級別は住民基本台帳の実績趨勢による案Cを組み立て、ご指示の趣旨に沿うものとして成果品に反映した。指数による概算では令和11年度の月額基準額は案A（社人研）6,670円・案B（社人研＋補正）6,578円・案C 6,774円、第1段階から第3段階まで通して再計算した案Cは6,755円であり、その後の算定方法の点検（No.67）により6,740円に改めた。①案Cでよいか、②美瑛町の人口目標の有無、③東川町・東神楽町の目標値の扱い、④年齢階級別の内訳の作り方の4件をご確認いただきたい。</t>
        </is>
      </c>
      <c r="F67" s="5" t="inlineStr">
        <is>
          <t>人口推計の基礎の変更_総合戦略ベース
将来推計 第1〜3段階
計画素案 第2章第1節・第6章</t>
        </is>
      </c>
      <c r="G67" s="5" t="inlineStr">
        <is>
          <t>発注者</t>
        </is>
      </c>
      <c r="H67" s="10" t="inlineStr">
        <is>
          <t>確認待ち</t>
        </is>
      </c>
      <c r="I67" s="10" t="inlineStr">
        <is>
          <t>R8.9</t>
        </is>
      </c>
      <c r="J67" s="11" t="inlineStr">
        <is>
          <t>4件は一体の判断である。9月中にご確認いただければ10月の3町協議に間に合う。成果品は案Cに置き換え済みであり、案A・案Bは対比の記録として残している。
決着しない場合は人口推計の基礎は案C（総合戦略＋住民基本台帳の趨勢）のままとする。案A・案Bは対比の記録として残す。（受託者の仮置き。令和8年10月の意見交換会で諮る）</t>
        </is>
      </c>
    </row>
    <row r="68" ht="88" customHeight="1">
      <c r="A68" s="4" t="n">
        <v>64</v>
      </c>
      <c r="B68" s="4" t="inlineStr">
        <is>
          <t>(6)</t>
        </is>
      </c>
      <c r="C68" s="4" t="inlineStr">
        <is>
          <t>R8.8</t>
        </is>
      </c>
      <c r="D68" s="5" t="inlineStr">
        <is>
          <t>区域内に事業所がないサービスの住民向けの記載</t>
        </is>
      </c>
      <c r="E68" s="5" t="inlineStr">
        <is>
          <t>定期巡回・随時対応型訪問介護看護、夜間対応型訪問介護及び看護小規模多機能型居宅介護は、制度創設以来13年間、区域内に事業所が存在しない。サービスガイドを住民に配布する場合、①「区域内に事業所がありません」と明記するか、②記載自体を省くか、③上川中部圏域の他保険者の事業所を利用できる旨を案内するか。富良野市のガイドは、訪問入浴介護について「市内に事業所はありませんが上記の事業所が利用できます」と明記する扱いをしている。</t>
        </is>
      </c>
      <c r="F68" s="5" t="inlineStr">
        <is>
          <t>介護高齢者福祉サービスガイド_構成案
計画素案 第6章第4節</t>
        </is>
      </c>
      <c r="G68" s="5" t="inlineStr">
        <is>
          <t>発注者</t>
        </is>
      </c>
      <c r="H68" s="10" t="inlineStr">
        <is>
          <t>確認待ち</t>
        </is>
      </c>
      <c r="I68" s="10" t="inlineStr">
        <is>
          <t>R8.10</t>
        </is>
      </c>
      <c r="J68" s="11" t="inlineStr">
        <is>
          <t>第10期計画の確保方策（第6章第4節の3案）の決定と一体の判断である。整備しないことを決めるのであれば、他保険者の事業所の利用の案内は住民にとって必要になる。
決着しない場合は区域内に事業所がないサービスは、区域外の事業所を利用できる旨を住民向けの記載に書く。（受託者の仮置き。令和8年10月の意見交換会で諮る）</t>
        </is>
      </c>
    </row>
    <row r="69" ht="88" customHeight="1">
      <c r="A69" s="4" t="n">
        <v>65</v>
      </c>
      <c r="B69" s="4" t="inlineStr">
        <is>
          <t>(6)(7)</t>
        </is>
      </c>
      <c r="C69" s="4" t="inlineStr">
        <is>
          <t>R8.8</t>
        </is>
      </c>
      <c r="D69" s="5" t="inlineStr">
        <is>
          <t>広域連合において行うべき事業の優先順位</t>
        </is>
      </c>
      <c r="E69" s="5" t="inlineStr">
        <is>
          <t>令和8年8月31日に「大雪地区広域事務組合において行うべき事業を優先順位をもとに整理してほしい。出来れば富良野市のサービス事業一覧のようなものができるとありがたい」とのご指示をいただき、富良野市のサービスガイドと鹿児島県の生活支援体制整備事業取組事例集を参照して20件を整理した。義務・欠落・実行・効果・主体の5項目を各3点で採点し、優先度A4件・B7件・C9件に分けている。①優先順位の考え方（5項目の採点）でよいか。地域の事情による重み付け（冬期の除雪等）を加えるべきか。②優先度Aの4件（総合事業の事業評価・生活支援体制整備の区域共通運営・24時間対応サービスの確保方策・包括的支援事業と任意事業の実績管理）と、これに準ずる2件（高齢者福祉サービスの一覧化・介護給付適正化）でよいか。③3町の介護保険外の高齢者福祉サービス（緊急通報・除雪・配食・外出支援・介護用品券・成年後見支援等）の事業名・対象・内容・利用料を3町からご提供いただきたい。④本表を令和8年10月・11月の3町協議の資料として用いるか。⑤サービスガイドを成果品として作るか。作る場合、住民配布用の冊子とするか内部管理用の一覧にとどめるか。</t>
        </is>
      </c>
      <c r="F69" s="5" t="inlineStr">
        <is>
          <t>広域連合において行うべき事業の優先順位
介護高齢者福祉サービスガイド_構成案
計画素案 第5章・第6章第3節2</t>
        </is>
      </c>
      <c r="G69" s="5" t="inlineStr">
        <is>
          <t>発注者</t>
        </is>
      </c>
      <c r="H69" s="10" t="inlineStr">
        <is>
          <t>確認待ち</t>
        </is>
      </c>
      <c r="I69" s="10" t="inlineStr">
        <is>
          <t>R8.9</t>
        </is>
      </c>
      <c r="J69" s="11" t="inlineStr">
        <is>
          <t>③は資料提供のお願いである。受託者が照会様式（富良野市ガイド17〜18頁の項目立て）を用意する。事業所の所在地・電話番号は、個人情報を保管しない方針により受託者は保有していないため、発注者において追記いただく必要がある。
決着しない場合は広域連合において行うべき事業の優先順位は当方の案のままとする。（受託者の仮置き。令和8年10月の意見交換会で諮る）</t>
        </is>
      </c>
    </row>
    <row r="70" ht="88" customHeight="1">
      <c r="A70" s="4" t="n">
        <v>66</v>
      </c>
      <c r="B70" s="4" t="inlineStr">
        <is>
          <t>(4)(6)</t>
        </is>
      </c>
      <c r="C70" s="4" t="inlineStr">
        <is>
          <t>R8.8</t>
        </is>
      </c>
      <c r="D70" s="5" t="inlineStr">
        <is>
          <t>サービスガイドに掲載する事業所の範囲</t>
        </is>
      </c>
      <c r="E70" s="5" t="inlineStr">
        <is>
          <t>計画素案の事業所の記載とサービスガイド構成案の掲載件数をサービス種別ごとに照合したところ、22種別のうち17種別が4つの出所（見える化・北海道の介護保険事業所一覧・介護サービス情報公表システム・3町の社会資源一覧）で一致し、5種別が一致しなかった。うち受託者の名寄せの誤りによる1件は修正済みである（社会資源一覧の「地域老人福祉施設」を介護老人福祉施設に寄せていたため特養4・地域密着型特養2となっていた。地域密着型に寄せることで3・3となり4出所が一致する）。残る4件についてご確認をお願いしたい。①居宅介護支援　北海道一覧13に対し社会資源一覧11。北海道一覧にのみあるほの香居宅介護支援事業所（美瑛町）及びライフデザイン陽風（美瑛町）を掲載するか。②認知症対応型共同生活介護　北海道一覧7に対し社会資源一覧6。北海道一覧にのみあるグループホーム くるみの郷（東川町）を掲載するか（同施設は定員も未確認である）。③訪問看護　社会資源一覧にあるだいだいの丘クリニック（東神楽町）は北海道一覧の訪問看護区分に現れない。掲載してよいか。④居宅療養管理指導　令和6年度に区域内10事業所があるが、医科・歯科・薬局のみなし指定であり名簿に現れない。富良野市と同じく「各病院・歯科医・薬剤師」の形でよいか。</t>
        </is>
      </c>
      <c r="F70" s="5" t="inlineStr">
        <is>
          <t>介護高齢者福祉サービスガイド_構成案
3町の社会資源一覧との突合 06シート
計画素案 第2章第3節</t>
        </is>
      </c>
      <c r="G70" s="5" t="inlineStr">
        <is>
          <t>発注者</t>
        </is>
      </c>
      <c r="H70" s="10" t="inlineStr">
        <is>
          <t>確認待ち</t>
        </is>
      </c>
      <c r="I70" s="10" t="inlineStr">
        <is>
          <t>R8.9</t>
        </is>
      </c>
      <c r="J70" s="11" t="inlineStr">
        <is>
          <t>事業所数は出所により異なるが、どれかが誤っているのではなく時点と定義の違いである。住民に配布するガイドでは、編集の時点で最新の公表資料により全件を洗い直す必要がある。
決着しない場合はサービスガイドに掲載する事業所の範囲は北海道の指定事業所一覧（最新のもの）による。（受託者の仮置き。令和8年10月の意見交換会で諮る）</t>
        </is>
      </c>
    </row>
    <row r="71" ht="88" customHeight="1">
      <c r="A71" s="4" t="n">
        <v>67</v>
      </c>
      <c r="B71" s="4" t="inlineStr">
        <is>
          <t>(5)(6)</t>
        </is>
      </c>
      <c r="C71" s="4" t="inlineStr">
        <is>
          <t>R8.8</t>
        </is>
      </c>
      <c r="D71" s="5" t="inlineStr">
        <is>
          <t>算定方法の国の様式との整合（点検結果）</t>
        </is>
      </c>
      <c r="E71" s="5" t="inlineStr">
        <is>
          <t>見込量算定と保険料試算の計算方法を、国の様式（介護保険事業計画作成支援ツール及び自然体推計の計算過程確認シートのガイド）並びに見える化システムの将来推計と対照した。式の骨格・補正後被保険者数の算定・予定収納率は一致していた。次の点を修正したのでご確認をお願いしたい。①地域支援事業費（B）から保険者機能強化推進事業費2,033,000円及び保険者努力支援事業費4,190,000円を除いた。いずれも交付金を財源とする事業であり第1号被保険者負担分の算定基礎には含まれない（月額▲13円）。②調整交付金の算定基礎に加える総合事業費を、決算科目の「介護予防・生活支援サービス事業費」101,274,621円から計画作成支援ツールの「介護予防・日常生活支援総合事業費」107,129,318円に改めた（月額▲1円）。③保険料収納必要額の式にF（財政安定化基金拠出金）・G（同償還金）・H（市町村相互財政安定化事業）を明示した（いずれも0円）。④第2段階の感度分析に国のガイドが課す上限1.1・下限0.9を適用した（適用前は延べ48件で範囲を外れていた）。⑤割増率1.05909を項目別に分解し、計画作成支援ツールの実績値で検算した（差0.0005％で一致）。以上により基本ケースは月額6,755円から6,740円に改まった。</t>
        </is>
      </c>
      <c r="F71" s="5" t="inlineStr">
        <is>
          <t>算定方法の整合確認（国と見える化）
将来推計 第2段階・第3段階
計画素案 第6章第3節・第6節</t>
        </is>
      </c>
      <c r="G71" s="5" t="inlineStr">
        <is>
          <t>発注者</t>
        </is>
      </c>
      <c r="H71" s="10" t="inlineStr">
        <is>
          <t>確認待ち</t>
        </is>
      </c>
      <c r="I71" s="10" t="inlineStr">
        <is>
          <t>R8.9</t>
        </is>
      </c>
      <c r="J71" s="11" t="inlineStr">
        <is>
          <t>①②は保険料の算定基礎の範囲の問題であり、第10期の保険料水準に直接影響する。③④⑤は算定結果を変えないが、国の様式との対応を示すために必要である。
決着しない場合は当方の算定のまま進め、国の様式との対応は協議用の資料に対照表として掲げる。（受託者の仮置き。令和8年10月の意見交換会で諮る）</t>
        </is>
      </c>
    </row>
    <row r="72" ht="88" customHeight="1">
      <c r="A72" s="4" t="n">
        <v>68</v>
      </c>
      <c r="B72" s="4" t="inlineStr">
        <is>
          <t>(5)</t>
        </is>
      </c>
      <c r="C72" s="4" t="inlineStr">
        <is>
          <t>R8.8</t>
        </is>
      </c>
      <c r="D72" s="5" t="inlineStr">
        <is>
          <t>見える化システムの自然体推計の再出力のお願い</t>
        </is>
      </c>
      <c r="E72" s="5" t="inlineStr">
        <is>
          <t>現行の給付費は、見える化システムの自然体推計（社人研の人口を基礎とする）による総額に、認定者数の比を乗じて置き直している。国の手順（利用者数×利用回数×1人1回あたり給付費）とは対応しない。人口の基礎を総合戦略ベース（案C）に改めた以上、本来は見える化システム上で被保険者数を差し替えて自然体推計を出し直すのが正しい。①見える化システムの将来推計で、第1号被保険者数を案Cの値に差し替えたうえで自然体推計を出力し、ご提供いただけないか。差替えに要する値（令和9〜11年度の5歳階級別第1号被保険者数）は受託者が用意する。②システムの操作は保険者でなければ行えないため、発注者にお願いするほかない。③難しい場合は、認定者数の比による置き直しである旨を計画本文に明記して進める。</t>
        </is>
      </c>
      <c r="F72" s="5" t="inlineStr">
        <is>
          <t>将来推計 第3段階 01シート
算定方法の整合確認 04シート・07シート
計画素案 第6章第3節</t>
        </is>
      </c>
      <c r="G72" s="5" t="inlineStr">
        <is>
          <t>発注者</t>
        </is>
      </c>
      <c r="H72" s="10" t="inlineStr">
        <is>
          <t>確認待ち</t>
        </is>
      </c>
      <c r="I72" s="10" t="inlineStr">
        <is>
          <t>R8.9</t>
        </is>
      </c>
      <c r="J72" s="11" t="inlineStr">
        <is>
          <t>解消すれば、第2段階の見込量と第3段階の給付費とを同じ人口の基礎で接続できる。現行では両者が別々の経路で算定されており一致しない。
決着しない場合は再出力を受けられないものとして、当方の要介護度別の算定による見込量を用いる。（受託者の仮置き。令和8年10月の意見交換会で諮る）</t>
        </is>
      </c>
    </row>
    <row r="73" ht="88" customHeight="1">
      <c r="A73" s="4" t="n">
        <v>69</v>
      </c>
      <c r="B73" s="4" t="inlineStr">
        <is>
          <t>(2)(6)</t>
        </is>
      </c>
      <c r="C73" s="4" t="inlineStr">
        <is>
          <t>R8.9</t>
        </is>
      </c>
      <c r="D73" s="5" t="inlineStr">
        <is>
          <t>成果指向型配分枠（令和8年度新設）への対応</t>
        </is>
      </c>
      <c r="E73" s="5" t="inlineStr">
        <is>
          <t>令和8年度評価指標に、成果指向型配分枠（配点100点）が新設されていることが分かった。地域のデータ分析に基づき対象層・アウトプット指標・アウトカム指標と目標値を設定することが要件である。①第10期の施策設計に織り込むか。②織り込む場合、対象層をどこに置くか。受託者の分析からは、通いの場に来ていない層（参加率8.8％）、認定を受けながらサービスを利用していない504人、85歳以上（3年で162人増）、フレイル該当者（19.1％）が候補となる。③令和8年度の該当状況調査に3町がどのように回答したかをご確認いただきたい。全国集計に該当する列がないため確認できない。</t>
        </is>
      </c>
      <c r="F73" s="5" t="inlineStr">
        <is>
          <t>計画素案 第5章
交付金評価指標と全国集計の受領点検 06シート</t>
        </is>
      </c>
      <c r="G73" s="5" t="inlineStr">
        <is>
          <t>発注者</t>
        </is>
      </c>
      <c r="H73" s="10" t="inlineStr">
        <is>
          <t>確認待ち</t>
        </is>
      </c>
      <c r="I73" s="10" t="inlineStr">
        <is>
          <t>R8.10</t>
        </is>
      </c>
      <c r="J73" s="11" t="inlineStr">
        <is>
          <t>令和7年3月の全国介護保険・高齢者保健福祉担当課長会議資料（介護保険計画課）によれば、成果指向型配分枠は令和7年度に新設され、令和8年度評価指標においては例年7〜8月頃に実施する該当状況調査において成果指向型配分枠分も併せて実施する予定とされている。3町が令和8年度の該当状況調査で回答している可能性がある。第10期の初年度（令和9年度）の交付金は令和8年度の取組を評価する。本計画の策定と並行して令和8年度の取組を設計できれば、第10期の初年度から得点に結びつく。
決着しない場合は成果指向型配分枠への対応状況を確認できないものとして、第10期の施策には位置づけず、確認でき次第加える。（受託者の仮置き。令和8年10月の意見交換会で諮る）</t>
        </is>
      </c>
    </row>
    <row r="74" ht="88" customHeight="1">
      <c r="A74" s="4" t="n">
        <v>70</v>
      </c>
      <c r="B74" s="4" t="inlineStr">
        <is>
          <t>(2)(6)</t>
        </is>
      </c>
      <c r="C74" s="4" t="inlineStr">
        <is>
          <t>R8.9</t>
        </is>
      </c>
      <c r="D74" s="5" t="inlineStr">
        <is>
          <t>交付金の全国順位の計画本文への掲載</t>
        </is>
      </c>
      <c r="E74" s="5" t="inlineStr">
        <is>
          <t>交付金の全国集計結果の原本（令和6〜8年度）を受領し、これまで3町の値しか持たなかった比較を全国1,741市町村・北海道179市町村まで広げることができた。全国平均は3年で32.5点（422.4点→454.9点）上がったのに対し、3町平均は2.0点（332.0点→334.0点）の変化にとどまり、対全国比は78.6％から73.4％へ低下している。推進・支援合計の全国順位（下位からの位置）は、令和8年度で東川町6.7％・美瑛町6.0％・東神楽町20.5％であり、東川町・美瑛町は全国の下位1割以内である。①この順位を計画本文に載せるか、対全国比にとどめるか。②載せる場合、3町別に示すか3町平均にとどめるか。</t>
        </is>
      </c>
      <c r="F74" s="5" t="inlineStr">
        <is>
          <t>計画素案 第3章第4節
図表集 27シート
交付金評価指標と全国集計の受領点検 04シート</t>
        </is>
      </c>
      <c r="G74" s="5" t="inlineStr">
        <is>
          <t>発注者</t>
        </is>
      </c>
      <c r="H74" s="10" t="inlineStr">
        <is>
          <t>確認待ち</t>
        </is>
      </c>
      <c r="I74" s="10" t="inlineStr">
        <is>
          <t>R8.9</t>
        </is>
      </c>
      <c r="J74" s="11" t="inlineStr">
        <is>
          <t>令和8年9月3日のご指示により、交付金の評価結果は計画本文に載せず策定委員会資料として整理することとなった（No.71）。順位は委員会資料に掲載している。交付金の交付額は得点に応じて配分されるため、順位は財源の差として実質的な意味を持つ。
決着しない場合は交付金の全国順位は計画本文に掲載せず、策定委員会資料にとどめる（確認事項No.71のとおり）。（受託者の仮置き。令和8年10月の意見交換会で諮る）</t>
        </is>
      </c>
    </row>
    <row r="75" ht="88" customHeight="1">
      <c r="A75" s="4" t="n">
        <v>71</v>
      </c>
      <c r="B75" s="4" t="inlineStr">
        <is>
          <t>(2)(7)</t>
        </is>
      </c>
      <c r="C75" s="4" t="inlineStr">
        <is>
          <t>R8.9</t>
        </is>
      </c>
      <c r="D75" s="5" t="inlineStr">
        <is>
          <t>交付金の評価結果を委員会資料として整理したこと</t>
        </is>
      </c>
      <c r="E75" s="5" t="inlineStr">
        <is>
          <t>令和8年9月3日のご指示により、交付金の評価結果を計画本文（第3章第4節）から外し、策定委員会資料として整理した。評価指標が「モニタリングの結果を外部の関係者と共有し、乖離の要因やその対応策について、外部の関係者を含む議論の場で検証を行っている」ことを求めており、委員会にお諮りすること自体が要件に当たるためである。計画本文には、毎年度7〜9月に委員会へ報告し検証する手順のみを第1章第6節に定めた。①この整理でよいか。②委員会資料は毎年度作成するものとしてよいか。③第3章の節番号を繰り上げた（旧第5節→第4節）。章立ての変更についてご確認をお願いしたい。</t>
        </is>
      </c>
      <c r="F75" s="5" t="inlineStr">
        <is>
          <t>計画素案 第1章第6節・第3章
策定委員会資料_交付金評価結果</t>
        </is>
      </c>
      <c r="G75" s="5" t="inlineStr">
        <is>
          <t>発注者</t>
        </is>
      </c>
      <c r="H75" s="6" t="inlineStr">
        <is>
          <t>了承済</t>
        </is>
      </c>
      <c r="I75" s="10" t="inlineStr">
        <is>
          <t>R8.9.3</t>
        </is>
      </c>
      <c r="J75" s="11" t="inlineStr">
        <is>
          <t>令和8年9月3日「確認事項2件はともにOKです。進めて下さい。」により①〜③を了承。第3章の節番号の繰り上げ（旧第5節→第4節）を確定し、目次を更新した。委員会資料は毎年度作成するものとする。委員会に諮ることが要件であるため、本文に結果を載せるだけでは要件を満たさない。手順を計画に位置づけ、資料を毎年度作ることで満たされる</t>
        </is>
      </c>
    </row>
    <row r="76" ht="88" customHeight="1">
      <c r="A76" s="4" t="n">
        <v>72</v>
      </c>
      <c r="B76" s="4" t="inlineStr">
        <is>
          <t>(2)(6)</t>
        </is>
      </c>
      <c r="C76" s="4" t="inlineStr">
        <is>
          <t>R8.9</t>
        </is>
      </c>
      <c r="D76" s="5" t="inlineStr">
        <is>
          <t>介護給付適正化のケアプラン点検の着手（本文記載）</t>
        </is>
      </c>
      <c r="E76" s="5" t="inlineStr">
        <is>
          <t>令和8年9月3日のご指示により、給付費適正化を計画本文に記載した。交付金の全国集計結果の明細列を点検したところ、介護給付適正化の主要3事業のうち、縦覧点検・医療情報との突合は令和7年度から3町とも実施し国の評価で満点（16点）となっているが、ケアプランの点検は令和6〜8年度とも3町いずれも0点である。このため「3事業の全てを実施している」（配点6点・全国該当率96.9％）が3町とも0点となり、北海道の評価指標⑧（介護給付適正化の主要3事業の実施率100％）の目標に達していない。①ケアプランの点検を令和9年度から実施することでよいか。②実施要領（対象の抽出方法・点検の視点・点検後の指導と改善確認の手順）を受託者が原案を作成してよいか。③初年度の点検件数の目安をご指示いただきたい。居宅介護支援事業所は区域内に11事業所ある。④要介護認定の適正化の実施状況をご確認いただきたい。国の評価に単独の項目がないため公表資料からは確認できない。</t>
        </is>
      </c>
      <c r="F76" s="5" t="inlineStr">
        <is>
          <t>計画素案 第5章 基本目標5
ケアプラン点検実施要領（案）
策定委員会資料_交付金評価結果 5</t>
        </is>
      </c>
      <c r="G76" s="5" t="inlineStr">
        <is>
          <t>発注者</t>
        </is>
      </c>
      <c r="H76" s="6" t="inlineStr">
        <is>
          <t>了承済</t>
        </is>
      </c>
      <c r="I76" s="10" t="inlineStr">
        <is>
          <t>R8.9.3</t>
        </is>
      </c>
      <c r="J76" s="11" t="inlineStr">
        <is>
          <t>令和8年9月3日「確認事項2件はともにOKです。進めて下さい。」により①②を了承。ケアプラン点検実施要領（案）を作成した。③の点検件数は受託者案として、令和9年度264件（11事業所×4人×6か月分）、令和10年度396件、令和11年度528件を同要領の第7節に記載し、策定委員会でご協議いただく。④は同要領の第14節で確定を要する事項として引き続き管理する。主要3事業のうち1事業が未実施であることが外部データで裏づけられた。適正化方策そのものは3町とも策定済みであり、評価指標の設定・毎年度の分析改善・成果の公表の3つを加えれば24点分が回復する</t>
        </is>
      </c>
    </row>
    <row r="77" ht="88" customHeight="1">
      <c r="A77" s="4" t="n">
        <v>73</v>
      </c>
      <c r="B77" s="4" t="inlineStr">
        <is>
          <t>(2)(6)</t>
        </is>
      </c>
      <c r="C77" s="4" t="inlineStr">
        <is>
          <t>R8.9</t>
        </is>
      </c>
      <c r="D77" s="5" t="inlineStr">
        <is>
          <t>ケアプラン点検実施要領（案）の確定に要する事項</t>
        </is>
      </c>
      <c r="E77" s="5" t="inlineStr">
        <is>
          <t>令和8年9月3日のご了承を受け、ケアプラン点検実施要領（案）を作成した。確定に当たり次の点をご確認いただきたい。①初年度の点検件数の目安（11事業所×1事業所あたり4人×1人6か月分＝264件、年間の居宅介護支援等11,112件に対し2.4％）でよいか。国は実施割合を該当状況調査を踏まえて算定するとしており、上位7割・5割・3割・1割の境界は公表されていない。②要介護認定の適正化の実施状況をご教示いただきたい。③美瑛町の2事業所（北海道の指定事業所一覧にあり社会資源一覧にないもの。ほの香居宅介護支援事業所、ライフデザイン陽風）の指定の状況をご確認いただきたい。④美瑛町・東神楽町が交付金の評価で得点しているリハビリテーション専門職等の関与（福祉用具の貸与後の点検、福祉用具購入費・住宅改修費の申請内容の検討）の具体的な内容をご教示いただきたい。区域共通の仕組みとするためである。⑤改善率・再指摘率の目標値（受託者案：改善率80％→90％、再指摘率20％以下→15％以下）でよいか。⑥様式第1号〜第7号は令和9年度当初に別紙として確定することでよいか。</t>
        </is>
      </c>
      <c r="F77" s="5" t="inlineStr">
        <is>
          <t>ケアプラン点検実施要領（案）
計画素案 第5章 基本目標5</t>
        </is>
      </c>
      <c r="G77" s="5" t="inlineStr">
        <is>
          <t>発注者・3町</t>
        </is>
      </c>
      <c r="H77" s="10" t="inlineStr">
        <is>
          <t>確認待ち</t>
        </is>
      </c>
      <c r="I77" s="10" t="inlineStr">
        <is>
          <t>R8.9</t>
        </is>
      </c>
      <c r="J77" s="11" t="inlineStr">
        <is>
          <t>④は美瑛町がエ・オとも8点、東神楽町がオで8点を得ており、東川町は両方とも0点である。3町の取組を持ち寄れば区域共通の仕組みとして16点分が回復する。
決着しない場合はケアプラン点検実施要領（案）は協議資料にとどめ素案に入れない。（受託者の仮置き。令和8年10月の意見交換会で諮る）</t>
        </is>
      </c>
    </row>
    <row r="78" ht="88" customHeight="1">
      <c r="A78" s="4" t="n">
        <v>74</v>
      </c>
      <c r="B78" s="4" t="inlineStr">
        <is>
          <t>(2)(6)</t>
        </is>
      </c>
      <c r="C78" s="4" t="inlineStr">
        <is>
          <t>R8.9</t>
        </is>
      </c>
      <c r="D78" s="5" t="inlineStr">
        <is>
          <t>有料老人ホーム等の家賃等の情報収集（北海道）</t>
        </is>
      </c>
      <c r="E78" s="5" t="inlineStr">
        <is>
          <t>ケアプラン点検の評価指標のうち「有料老人ホームやサービス付き高齢者向け住宅の入居者に係るものも含めている」（配点8点・全国該当率61.3％）は、都道府県が家賃や介護保険外のサービス提供費用等について情報収集を行った上で、市町村がこれらの情報提供を受けるなどによりケアプラン点検を行っている場合に評価の対象とされる。区域内には住宅型有料老人ホーム9施設（定員223人）、サービス付き高齢者向け住宅2施設（66戸）がある。①北海道が家賃等の情報収集を行っているかをご確認いただきたい。②行っている場合、令和9年4月に情報提供を依頼する手順でよいか。③行っていない場合、区域外の有料老人ホーム等に入居する被保険者の実態について情報収集し北海道・他市町村と連携する体制を整えることで評価の対象となるため、その方法を協議したい。</t>
        </is>
      </c>
      <c r="F78" s="5" t="inlineStr">
        <is>
          <t>ケアプラン点検実施要領（案）9
計画素案 第5章 基本目標5</t>
        </is>
      </c>
      <c r="G78" s="5" t="inlineStr">
        <is>
          <t>北海道上川総合振興局</t>
        </is>
      </c>
      <c r="H78" s="10" t="inlineStr">
        <is>
          <t>確認待ち</t>
        </is>
      </c>
      <c r="I78" s="10" t="inlineStr">
        <is>
          <t>R9.4</t>
        </is>
      </c>
      <c r="J78" s="11" t="inlineStr">
        <is>
          <t>北海道が情報収集を行っていない場合、市町村が単独で取り組んでも評価の対象とならない。令和9年4月の依頼に併せて確認する。
決着しない場合は北海道が家賃等の情報収集を行っていないものとして、第10期の施策に位置づけない。（受託者の仮置き。令和8年10月の意見交換会で諮る）</t>
        </is>
      </c>
    </row>
    <row r="79" ht="88" customHeight="1">
      <c r="A79" s="4" t="n">
        <v>75</v>
      </c>
      <c r="B79" s="4" t="inlineStr">
        <is>
          <t>(6)(7)</t>
        </is>
      </c>
      <c r="C79" s="4" t="inlineStr">
        <is>
          <t>R8.9</t>
        </is>
      </c>
      <c r="D79" s="5" t="inlineStr">
        <is>
          <t>代表KPIと改善事項の再整理案</t>
        </is>
      </c>
      <c r="E79" s="5" t="inlineStr">
        <is>
          <t>令和8年9月3日の内部確認結果により、代表KPI16項目すべてを設定することを前提とせず必要性を再検討すること、骨子案 第4節「第10期へ引き継ぐ改善事項」8項目を実際に実施し継続して確認できるかという観点で再整理することをご指示いただいた。受託者案として、代表KPIは本文の成果指標を12項目から7項目に絞り（期末に1回確認する指標3・指標から外す3・施策のアウトプットに置き換える3・引用に改める1）、改善事項は8項目を6項目に集約する案を「内部確認結果への対応整理」04・05シートに示した。①この再整理案でよいか。②H09・H10を施策のアウトプットに置き換えることでよいか。③「KPI」の用語説明を資料1の冒頭に加えることでよいか。④優先度D群4項目（H16・H14・H09・H10）について、指標から外すのではなく、数値目標を置かず取組の方向のみを記載する指標として計画に残す扱いでよいか。高得点団体の第9期計画では、17項目の目標指標のうち4項目が「認知度の向上に取り組み、次回アンケートで検証」として数値目標を置かない扱いとしている。</t>
        </is>
      </c>
      <c r="F79" s="5" t="inlineStr">
        <is>
          <t>計画素案 第4章第3節・第5章・資料1
骨子案 第4節
図表集31シート
代表KPIの振替案と確認事項の精査</t>
        </is>
      </c>
      <c r="G79" s="5" t="inlineStr">
        <is>
          <t>発注者</t>
        </is>
      </c>
      <c r="H79" s="10" t="inlineStr">
        <is>
          <t>確認待ち</t>
        </is>
      </c>
      <c r="I79" s="10" t="inlineStr">
        <is>
          <t>R8.9</t>
        </is>
      </c>
      <c r="J79" s="11" t="inlineStr">
        <is>
          <t>決定4（代表KPIの目標値）は、本案が了承されると対象が7項目に減る。本案の了承を先に行っていただきたい。
決着しない場合は代表KPIと改善事項は当方の再整理案のままとする。（受託者の仮置き。令和8年10月の意見交換会で諮る）</t>
        </is>
      </c>
    </row>
    <row r="80" ht="88" customHeight="1">
      <c r="A80" s="4" t="n">
        <v>76</v>
      </c>
      <c r="B80" s="4" t="inlineStr">
        <is>
          <t>(4)</t>
        </is>
      </c>
      <c r="C80" s="4" t="inlineStr">
        <is>
          <t>R8.9</t>
        </is>
      </c>
      <c r="D80" s="5" t="inlineStr">
        <is>
          <t>介護リームスから抽出できる項目</t>
        </is>
      </c>
      <c r="E80" s="5" t="inlineStr">
        <is>
          <t>令和8年9月3日の内部確認結果により、代表KPI H03（75歳以上新規認定率）が介護リームスから抽出可能である旨のご確認をいただいた。算定に必要なのは、①各年度の新規認定者数（75歳以上）、②各年度末の75歳以上被保険者数の2つである。①について、年齢階級別に抽出できるか、また令和4年度まで遡って抽出できるかをご教示いただきたい。基準値と第9期中の推移を示すために3か年分を要する。</t>
        </is>
      </c>
      <c r="F80" s="5" t="inlineStr">
        <is>
          <t>計画素案 第4章第3節・資料1
図表集31シート</t>
        </is>
      </c>
      <c r="G80" s="5" t="inlineStr">
        <is>
          <t>発注者</t>
        </is>
      </c>
      <c r="H80" s="10" t="inlineStr">
        <is>
          <t>確認待ち</t>
        </is>
      </c>
      <c r="I80" s="10" t="inlineStr">
        <is>
          <t>R8.9</t>
        </is>
      </c>
      <c r="J80" s="11" t="inlineStr">
        <is>
          <t>H03はこれまで「要確認・未算定」であった。データ源が確定すれば本文の成果指標に格上げできる。
決着しない場合は介護リームスから抽出できないものとして、代表KPI H03は未算定のままとする。（受託者の仮置き。令和8年10月の意見交換会で諮る）</t>
        </is>
      </c>
    </row>
    <row r="81" ht="88" customHeight="1">
      <c r="A81" s="4" t="n">
        <v>77</v>
      </c>
      <c r="B81" s="4" t="inlineStr">
        <is>
          <t>(4)</t>
        </is>
      </c>
      <c r="C81" s="4" t="inlineStr">
        <is>
          <t>R8.9</t>
        </is>
      </c>
      <c r="D81" s="5" t="inlineStr">
        <is>
          <t>北海道の評価指標⑥の団体別の公表値</t>
        </is>
      </c>
      <c r="E81" s="5" t="inlineStr">
        <is>
          <t>代表KPI H14（採用率と離職率の差）について、広域連合が独自に集計すると各年9月30日現在の在籍者数を事業所に新たに求めることになる。北海道が同じ算定方法で評価指標⑥を算定しているため、その団体別の値を引用したい。①団体別の値を入手できるか。②入手できない場合、H14を指標から外してよいか。</t>
        </is>
      </c>
      <c r="F81" s="5" t="inlineStr">
        <is>
          <t>計画素案 第4章第3節・資料1
内部確認結果への対応整理 04</t>
        </is>
      </c>
      <c r="G81" s="5" t="inlineStr">
        <is>
          <t>発注者・北海道</t>
        </is>
      </c>
      <c r="H81" s="10" t="inlineStr">
        <is>
          <t>確認待ち</t>
        </is>
      </c>
      <c r="I81" s="10" t="inlineStr">
        <is>
          <t>R8.9</t>
        </is>
      </c>
      <c r="J81" s="11" t="inlineStr">
        <is>
          <t>引用できれば、構成町・事業所に新たな集計事務を求めずに済む。
決着しない場合は北海道の評価指標⑥の団体別の公表値を引用できないものとして、当該指標は計画本文に掲げない。（受託者の仮置き。令和8年10月の意見交換会で諮る）</t>
        </is>
      </c>
    </row>
    <row r="82" ht="88" customHeight="1">
      <c r="A82" s="4" t="n">
        <v>78</v>
      </c>
      <c r="B82" s="4" t="inlineStr">
        <is>
          <t>(5)</t>
        </is>
      </c>
      <c r="C82" s="4" t="inlineStr">
        <is>
          <t>R8.9</t>
        </is>
      </c>
      <c r="D82" s="5" t="inlineStr">
        <is>
          <t>グループホームびえいの郷の定員減の時期</t>
        </is>
      </c>
      <c r="E82" s="5" t="inlineStr">
        <is>
          <t>令和8年9月3日の内部確認結果に、グループホームびえいの郷の定員が18人から9人に減ったとのご指摘がある。①減員の時期（何年度からか）。②現在受託者が用いている定員（見える化D26で令和4年度以降99人、計画作成支援ツールで3町計86人・美瑛町21人）に既に反映されているか。反映されていない場合、第2章第3節の定員と第6章第2節の見込量の上限が変わる。</t>
        </is>
      </c>
      <c r="F82" s="5" t="inlineStr">
        <is>
          <t>計画素案 第2章第3節・第6章第2節
将来推計 第2・第3段階</t>
        </is>
      </c>
      <c r="G82" s="5" t="inlineStr">
        <is>
          <t>発注者・美瑛町</t>
        </is>
      </c>
      <c r="H82" s="10" t="inlineStr">
        <is>
          <t>確認待ち</t>
        </is>
      </c>
      <c r="I82" s="10" t="inlineStr">
        <is>
          <t>R8.9</t>
        </is>
      </c>
      <c r="J82" s="11" t="inlineStr">
        <is>
          <t>認知症対応型共同生活介護の定員は見込量の上限となる。サービス見込量と保険料に直接効く。
決着しない場合は北海道の名簿の定員のまま概算する。（受託者の仮置き。令和8年10月の意見交換会で諮る）</t>
        </is>
      </c>
    </row>
    <row r="83" ht="88" customHeight="1">
      <c r="A83" s="4" t="n">
        <v>79</v>
      </c>
      <c r="B83" s="4" t="inlineStr">
        <is>
          <t>(6)</t>
        </is>
      </c>
      <c r="C83" s="4" t="inlineStr">
        <is>
          <t>R8.9</t>
        </is>
      </c>
      <c r="D83" s="5" t="inlineStr">
        <is>
          <t>第5章の施策数の見直しの範囲</t>
        </is>
      </c>
      <c r="E83" s="5" t="inlineStr">
        <is>
          <t>令和8年9月3日の内部確認結果により、「項目や指標を増やすことを目的とせず、できるだけシンプルな計画とする」との基本的な考え方が示された。この考え方を、代表KPIと「第10期へ引き継ぐ改善事項」のほか、第5章の施策の数にも及ぼすかをご確認いただきたい。第9期は19施策であり、第10期の施策数は3町協議で確定する工程としている。</t>
        </is>
      </c>
      <c r="F83" s="5" t="inlineStr">
        <is>
          <t>計画素案 第5章
骨子案 第5節</t>
        </is>
      </c>
      <c r="G83" s="5" t="inlineStr">
        <is>
          <t>発注者</t>
        </is>
      </c>
      <c r="H83" s="10" t="inlineStr">
        <is>
          <t>確認待ち</t>
        </is>
      </c>
      <c r="I83" s="10" t="inlineStr">
        <is>
          <t>R8.9</t>
        </is>
      </c>
      <c r="J83" s="11" t="inlineStr">
        <is>
          <t>施策数を減らす場合、第9期からの継続性の説明を要する。3町協議の前に方針を決めておきたい。
決着しない場合は第9期の19施策の体系を維持する（施策数を見直さない）。（受託者の仮置き。令和8年10月の意見交換会で諮る）</t>
        </is>
      </c>
    </row>
    <row r="84" ht="88" customHeight="1">
      <c r="A84" s="4" t="n">
        <v>80</v>
      </c>
      <c r="B84" s="4" t="inlineStr">
        <is>
          <t>(3)</t>
        </is>
      </c>
      <c r="C84" s="4" t="inlineStr">
        <is>
          <t>R8.9</t>
        </is>
      </c>
      <c r="D84" s="5" t="inlineStr">
        <is>
          <t>職員個票のリストによる重複確認の可否</t>
        </is>
      </c>
      <c r="E84" s="5" t="inlineStr">
        <is>
          <t>令和8年8月26日の打合せ顛末に、介護人材実態調査の重複について「必要に応じてビズアップから対象者等のリストの提供を受け、大雪地区広域連合において重複状況を確認・調整する方法も含めて検討する」との記載がある。職員個票は氏名等を含む個人情報であり、令和8年8月28日に「個人情報については保管せず廃棄する」との方針をいただいている。①個票のリストによる確認を行うか。②行う場合の受渡しの方法と廃棄の時期をご決定いただきたい。行わない場合は、重複の可能性がある介護職員13人を別掲とし、総数から除外する受託者案（未回答時の扱い 類型①）による。</t>
        </is>
      </c>
      <c r="F84" s="5" t="inlineStr">
        <is>
          <t>内部確認結果への対応整理 03・08
実施済み3調査の受領点検と集計 06・07</t>
        </is>
      </c>
      <c r="G84" s="5" t="inlineStr">
        <is>
          <t>発注者</t>
        </is>
      </c>
      <c r="H84" s="10" t="inlineStr">
        <is>
          <t>確認待ち</t>
        </is>
      </c>
      <c r="I84" s="10" t="inlineStr">
        <is>
          <t>R8.9</t>
        </is>
      </c>
      <c r="J84" s="11" t="inlineStr">
        <is>
          <t>受託者としては、個票を突き合わせず事業所への照会だけで判別する方法を推奨する。
決着しない場合は職員個票を突き合わせず、事業所への照会により重複を判別する。（受託者の仮置き。令和8年10月の意見交換会で諮る）</t>
        </is>
      </c>
    </row>
    <row r="85" ht="88" customHeight="1">
      <c r="A85" s="4" t="n">
        <v>81</v>
      </c>
      <c r="B85" s="4" t="inlineStr">
        <is>
          <t>(4)(6)</t>
        </is>
      </c>
      <c r="C85" s="4" t="inlineStr">
        <is>
          <t>R8.9</t>
        </is>
      </c>
      <c r="D85" s="5" t="inlineStr">
        <is>
          <t>代表KPI H16のデータ源（国保連の給付実績の明細情報）</t>
        </is>
      </c>
      <c r="E85" s="5" t="inlineStr">
        <is>
          <t>H16（業務継続計画を策定している事業所の割合）について、令和8年9月4日に受領済みの給付費データ12ファイルを点検した。第1シート（給付費）の収録項目は125項目で、最も細かい単位はサービス種類コードであり、サービス項目コード（加算・減算の単位）の列はない。12ファイルすべての共有文字列を検索したところ、「減算」「加算」「業務継続」「ＢＣＰ」はいずれも0件であった。交付金の令和8年度評価指標（42頁）及び介護サービス情報公表システムにも業務継続計画の項目はない。①国民健康保険団体連合会の給付実績（明細情報）から業務継続計画未策定減算を算定した事業所を抽出できるか。②抽出できない場合、H16を指標から外し、第5章基本目標5のアウトプットとして「指定・更新・運営指導の際に業務継続計画の策定を確認した地域密着型サービス事業所の数」を置くことでよいか。区域内の地域密着型サービス事業所は17事業所（東川町4・美瑛町10・東神楽町3）である。</t>
        </is>
      </c>
      <c r="F85" s="5" t="inlineStr">
        <is>
          <t>計画素案 第4章第3節・第5章 基本目標5・資料1
給付実績データの受領点検 05
内部確認結果への対応整理 04・09</t>
        </is>
      </c>
      <c r="G85" s="5" t="inlineStr">
        <is>
          <t>発注者</t>
        </is>
      </c>
      <c r="H85" s="10" t="inlineStr">
        <is>
          <t>確認待ち</t>
        </is>
      </c>
      <c r="I85" s="10" t="inlineStr">
        <is>
          <t>R8.9</t>
        </is>
      </c>
      <c r="J85" s="11" t="inlineStr">
        <is>
          <t>広域型（特別養護老人ホーム・介護老人保健施設・訪問介護等）の指定権者は北海道であるため、代替案は地域密着型サービスに限った確認件数となる。策定率そのものは測れない。
決着しない場合は国保連の給付実績の明細を受領できないものとして、代表KPI H16は地域密着型サービスに限った確認件数を代理指標とする。（受託者の仮置き。令和8年10月の意見交換会で諮る）</t>
        </is>
      </c>
    </row>
    <row r="86" ht="88" customHeight="1">
      <c r="A86" s="4" t="n">
        <v>82</v>
      </c>
      <c r="B86" s="4" t="inlineStr">
        <is>
          <t>(5)</t>
        </is>
      </c>
      <c r="C86" s="4" t="inlineStr">
        <is>
          <t>R8.9</t>
        </is>
      </c>
      <c r="D86" s="5" t="inlineStr">
        <is>
          <t>構成町の一般会計繰入金の町別按分の方法</t>
        </is>
      </c>
      <c r="E86" s="5" t="inlineStr">
        <is>
          <t>美瑛町の予算編成（10月から予算作成、11月初旬から調整）に用いるため、サービス見込量の概算を前倒しして提示する。構成町の一般会計繰入金の概算は3町計では算定できるが（令和9年度523,747,088円・令和6年度決算比＋7.8％）、町別への按分は広域連合の規約によるため受託者では算定できない。広域連合の規約による負担割合又は按分の方法をご教示いただきたい。これがないと、美瑛町の予算編成にそのまま使える形にならない。あわせて、令和6年度の一般会計繰入金485,878,950円のうち介護給付費繰入金・地域支援事業繰入金以外の85,652,820円（事務費繰入金・低所得者保険料軽減繰入金等）の款項の内訳をご提供いただければ、概算を精緻にできる。</t>
        </is>
      </c>
      <c r="F86" s="5" t="inlineStr">
        <is>
          <t>サービス見込量の算定（R8.9.26）
構成町の意見への回答 4</t>
        </is>
      </c>
      <c r="G86" s="5" t="inlineStr">
        <is>
          <t>発注者</t>
        </is>
      </c>
      <c r="H86" s="10" t="inlineStr">
        <is>
          <t>確認待ち</t>
        </is>
      </c>
      <c r="I86" s="10" t="inlineStr">
        <is>
          <t>R8.9.24</t>
        </is>
      </c>
      <c r="J86" s="11" t="inlineStr">
        <is>
          <t>3町計の概算は令和9年度523.7百万円・令和10年度531.5百万円・令和11年度539.0百万円である。確定値ではなく、決定1〜3・決定8の前提により動く。
決着しない場合は町別への按分は広域連合の規約によるものであり算定できないため、構成町の一般会計繰入金は3町計の概算のみを示す（按分の方法のご教示を受けた時点で町別までお示しする）。（受託者の仮置き。令和8年10月の意見交換会で諮る）</t>
        </is>
      </c>
    </row>
    <row r="87" ht="88" customHeight="1">
      <c r="A87" s="4" t="n">
        <v>83</v>
      </c>
      <c r="B87" s="4" t="inlineStr">
        <is>
          <t>(7)(8)</t>
        </is>
      </c>
      <c r="C87" s="4" t="inlineStr">
        <is>
          <t>R8.9</t>
        </is>
      </c>
      <c r="D87" s="5" t="inlineStr">
        <is>
          <t>構成町との意見交換会の実施方法と町別データシート</t>
        </is>
      </c>
      <c r="E87" s="5" t="inlineStr">
        <is>
          <t>美瑛町から直接意見交換できる機会について要望があった旨のご照会をいただいた。①3町合同の意見交換会（10月上旬・120分）と町ごとの個別協議（10月中旬〜下旬・各90分）、必要に応じ3町合同の確認（11月上旬・90分）の3回の構成でよいか。②高齢者福祉計画の担当の方のご出席をお願いできるか。介護保険事業計画との役割分担をその場で確認できる。③日程調整・開催通知・会場手配を広域連合にお願いしたい。受託者は資料の作成、当日の説明、議事録の作成を行う。④美瑛町の高齢者福祉計画の素案作成に用いる町別データシートに収める内容（8項目）でよいか。追加したい項目があればご教示いただきたい。</t>
        </is>
      </c>
      <c r="F87" s="5" t="inlineStr">
        <is>
          <t>意見交換会資料
町別データシート
構成町の意見への回答 2・3</t>
        </is>
      </c>
      <c r="G87" s="5" t="inlineStr">
        <is>
          <t>発注者・3町</t>
        </is>
      </c>
      <c r="H87" s="10" t="inlineStr">
        <is>
          <t>確認待ち</t>
        </is>
      </c>
      <c r="I87" s="10" t="inlineStr">
        <is>
          <t>R8.9</t>
        </is>
      </c>
      <c r="J87" s="11" t="inlineStr">
        <is>
          <t>仕様書４（8）「各種会議への技術的支援」に含まれるため追加の費用は生じない。美瑛町は10月中旬までに素案、11月中旬までに原案を作成する予定である。
決着しない場合は3町合同の意見交換会（10月上旬）と町ごとの個別協議（10月中旬〜下旬）の2段構えで進める。（受託者の仮置き。令和8年10月の意見交換会で諮る）</t>
        </is>
      </c>
    </row>
    <row r="88" ht="88" customHeight="1">
      <c r="A88" s="4" t="n">
        <v>84</v>
      </c>
      <c r="B88" s="4" t="inlineStr">
        <is>
          <t>(5)(7)</t>
        </is>
      </c>
      <c r="C88" s="4" t="inlineStr">
        <is>
          <t>R8.9</t>
        </is>
      </c>
      <c r="D88" s="5" t="inlineStr">
        <is>
          <t>東川町の施設整備・サービス提供方針</t>
        </is>
      </c>
      <c r="E88" s="5" t="inlineStr">
        <is>
          <t>令和8年9月9日に東神楽町・美瑛町のご回答を共有いただいたが、東川町のご回答は得られていない。東川町は令和6年度から令和8年度にかけて認定者数が23人増えており、3町で最も増加が大きい。見込量への影響が最も大きい町である。次の4件について、10月中旬の個別協議までにご回答をいただきたい。①旭川福祉事業会（ひだまりの里、羽衣園）の第10期中の介護サービス提供方針。②休止中のひだまりの里デイサービス（地域密着型）の再開見込み。北海道の指定事業所一覧にも掲載がない。計画素案が地域密着型通所介護の給付費▲27.0％の理由を「稼働率の低下が疑われる」と推測で書いている箇所を事実に置き換えられる。③ひだまりの里（老健）・羽衣園（特養）の令和9〜11年度の定員等の変更予定。④定期巡回・随時対応型訪問介護看護を第10期中に公募する考えがあるか。</t>
        </is>
      </c>
      <c r="F88" s="5" t="inlineStr">
        <is>
          <t>サービス見込量 第2次概算
計画素案 第2章第2節・第6章第2節・第4節
構成町の意見への回答 6</t>
        </is>
      </c>
      <c r="G88" s="5" t="inlineStr">
        <is>
          <t>発注者・東川町</t>
        </is>
      </c>
      <c r="H88" s="10" t="inlineStr">
        <is>
          <t>確認待ち</t>
        </is>
      </c>
      <c r="I88" s="10" t="inlineStr">
        <is>
          <t>R8.10</t>
        </is>
      </c>
      <c r="J88" s="11" t="inlineStr">
        <is>
          <t>東神楽町からは整備方針の検討状況（10月視察・11月市場調査）をご回答いただいている。美瑛町からは高齢者福祉計画の工程と要望3件をご回答いただいている。
決着しない場合は現定員の据え置き案を掲げ、本文は［要協議］のまま残す。（受託者の仮置き。令和8年10月の意見交換会で諮る）</t>
        </is>
      </c>
    </row>
    <row r="89" ht="88" customHeight="1">
      <c r="A89" s="4" t="n">
        <v>85</v>
      </c>
      <c r="B89" s="4" t="inlineStr">
        <is>
          <t>(4)</t>
        </is>
      </c>
      <c r="C89" s="4" t="inlineStr">
        <is>
          <t>R8.9</t>
        </is>
      </c>
      <c r="D89" s="5" t="inlineStr">
        <is>
          <t>町別データシートの内容と配付</t>
        </is>
      </c>
      <c r="E89" s="5" t="inlineStr">
        <is>
          <t>美瑛町の高齢者福祉計画の素案作成にお使いいただくため、現状分析・地域課題の整理から町別の数値を抜き出した町別データシート（7シート）を作成した。町ごとに10項目を収め、3町分を同じ様式としている。①収める内容（10項目）でよいか。追加したい項目はあるか。②東川町・東神楽町にも同時に配付してよいか。③サービス見込量・給付費・保険料は保険者単位で算定するため町別には掲げていない（05シート）。この整理でよいか。④出所により値が異なる4件（地域支援事業費・要介護認定者数・認知症対応型共同生活介護の定員・給付費の実績）は複数の出所の値と差の理由を併記した。この扱いでよいか。</t>
        </is>
      </c>
      <c r="F89" s="5" t="inlineStr">
        <is>
          <t>町別データシート
構成町の意見への回答 2</t>
        </is>
      </c>
      <c r="G89" s="5" t="inlineStr">
        <is>
          <t>発注者・3町</t>
        </is>
      </c>
      <c r="H89" s="10" t="inlineStr">
        <is>
          <t>確認待ち</t>
        </is>
      </c>
      <c r="I89" s="10" t="inlineStr">
        <is>
          <t>R8.9</t>
        </is>
      </c>
      <c r="J89" s="11" t="inlineStr">
        <is>
          <t>町別の認定率は、広域連合が第1号被保険者数を分母とするのに対し住民基本台帳の65歳以上人口を分母とせざるを得ないため、定義が異なる旨を注記している。
決着しない場合は町別データシートは現行の内容のまま配付する。（受託者の仮置き。令和8年10月の意見交換会で諮る）</t>
        </is>
      </c>
    </row>
    <row r="90" ht="88" customHeight="1">
      <c r="A90" s="4" t="n">
        <v>86</v>
      </c>
      <c r="B90" s="4" t="inlineStr">
        <is>
          <t>(5)(6)</t>
        </is>
      </c>
      <c r="C90" s="4" t="inlineStr">
        <is>
          <t>R8.9</t>
        </is>
      </c>
      <c r="D90" s="5" t="inlineStr">
        <is>
          <t>保険者機能強化推進交付金等の交付見込額の保険料収納必要額からの控除</t>
        </is>
      </c>
      <c r="E90" s="5" t="inlineStr">
        <is>
          <t>国の様式における保険料収納必要額の算式には、「保険者機能強化推進交付金等の交付見込額」を控除する項目がある。当方は令和8年8月31日の点検により、地域支援事業費（B）から保険者機能強化推進事業費2,033,000円及び保険者努力支援事業費4,190,000円を除く方法を採っており、収納必要額からの控除は行っていない。両者を併用すると二重控除となるため、いずれかを選ぶ必要がある。①現行の扱い（Bから除く）を維持してよいか。②令和9〜11年度の交付金の交付見込額を控除する方法に改める場合、見込額をいくらと置くか。他団体の第9期計画では1億円を控除している例がある。③控除する場合、地域支援事業費（B）は決算の款4の全体に戻す。</t>
        </is>
      </c>
      <c r="F90" s="5" t="inlineStr">
        <is>
          <t>計画素案 第6章第6節
将来推計 第3段階
保険料算定式の国の様式との対照</t>
        </is>
      </c>
      <c r="G90" s="5" t="inlineStr">
        <is>
          <t>発注者</t>
        </is>
      </c>
      <c r="H90" s="10" t="inlineStr">
        <is>
          <t>確認待ち</t>
        </is>
      </c>
      <c r="I90" s="10" t="inlineStr">
        <is>
          <t>R8.10</t>
        </is>
      </c>
      <c r="J90" s="11" t="inlineStr">
        <is>
          <t>控除する場合は保険料基準額が下がる。第2次概算（10月30日）までに決定をいただきたい。
決着しない場合は地域支援事業費（B）から保険者機能強化推進事業費及び保険者努力支援事業費を除く現行の方法を採り、保険料収納必要額からの控除は行わない（二重控除を避けるため）。（受託者の仮置き。令和8年10月の意見交換会で諮る）</t>
        </is>
      </c>
    </row>
    <row r="91" ht="88" customHeight="1">
      <c r="A91" s="4" t="n">
        <v>87</v>
      </c>
      <c r="B91" s="4" t="inlineStr">
        <is>
          <t>(2)(4)</t>
        </is>
      </c>
      <c r="C91" s="4" t="inlineStr">
        <is>
          <t>R8.9</t>
        </is>
      </c>
      <c r="D91" s="5" t="inlineStr">
        <is>
          <t>給付費データ集計　令和7年度の広域連合単位と3町合計の差</t>
        </is>
      </c>
      <c r="E91" s="5" t="inlineStr">
        <is>
          <t>令和8年8月28日に受領した給付費データ集計12ファイルについて、令和7年度は3町のファイルの合計3,213,054,558円に対し広域連合単位のファイルが3,083,474,291円であり、129,580,267円（4.0％）の差があった。【令和8年9月25日　解決】令和7年度の広域連合単位のファイルの再提供を受け、「介護度別給付費」の表の総計が3,213,054,558円となり、要支援1から要介護5までの全7区分で3町合計と円単位で一致した。従前のファイルもその明細を集計すると同じ額になるため、差は3町と広域連合で抽出条件が違ったことによるものではなく、表が明細と一致していなかったことによるものである。これにより令和6年度から令和8年度まで3町合計＝広域連合単位となった。</t>
        </is>
      </c>
      <c r="F91" s="5" t="inlineStr">
        <is>
          <t>計画素案 第2章第2節5
町別データシート
給付実績データの受領点検
令和8年9月25日受領資料の受領点検</t>
        </is>
      </c>
      <c r="G91" s="5" t="inlineStr">
        <is>
          <t>発注者</t>
        </is>
      </c>
      <c r="H91" s="10" t="inlineStr">
        <is>
          <t>解決</t>
        </is>
      </c>
      <c r="I91" s="10" t="inlineStr">
        <is>
          <t>R8.9</t>
        </is>
      </c>
      <c r="J91" s="11" t="inlineStr">
        <is>
          <t>計画素案・町別データシート・見込量算定の注記を改めた。保険料の算定には介護保険特別会計決算の値を用いるため、本件は実績の記載に関するものであり保険料算定には影響しない。【令和8年9月25日　解決】令和7年度の給付費データの再提供を受けて点検した。従前のファイルの「介護度別給付費」の表は3,083,474,291円であったが、同じファイルの明細を集計すると3,213,054,558円となり、3町合計及び再提供を受けたファイルの表と要支援1から要介護5までの全7区分で円単位まで一致した。差は集計表が明細と一致していなかったことによるものであり、対象月、審査月又は住所地特例の扱いの違いによるものではない。これにより、町別に按分すると3町とも上回るとしていた従前の整理は取り下げた</t>
        </is>
      </c>
    </row>
    <row r="92" ht="88" customHeight="1">
      <c r="A92" s="4" t="n">
        <v>88</v>
      </c>
      <c r="B92" s="4" t="inlineStr">
        <is>
          <t>(5)(6)</t>
        </is>
      </c>
      <c r="C92" s="4" t="inlineStr">
        <is>
          <t>R8.9</t>
        </is>
      </c>
      <c r="D92" s="5" t="inlineStr">
        <is>
          <t>日常生活圏域ごとの必要利用定員総数（法定記載事項）</t>
        </is>
      </c>
      <c r="E92" s="5" t="inlineStr">
        <is>
          <t>介護保険法第117条第2項第1号は、日常生活圏域ごとに認知症対応型共同生活介護、地域密着型特定施設入居者生活介護及び地域密着型介護老人福祉施設入所者生活介護の必要利用定員総数を計画に定めることを求めている。第9期計画には当該記載がないため、第10期計画に新たに設ける（計画素案 第6章第4節4）。①基盤整備単位としての日常生活圏域を3町（3圏域）とすることでよいか（統計・分析単位は第9期の6圏域を維持する。計画素案 第1章第7節）。②認知症対応型共同生活介護の圏域別の定員をご確認いただきたい。北海道の名簿では7事業所108人＋［要確認］、見える化システムD26（令和6年度）では5事業所99人であり一致しない。③令和9〜11年度の必要利用定員総数は3町の整備方針の確定後に定める。サービス見込量の算定（9月26日）より前に①の決定をいただきたい。</t>
        </is>
      </c>
      <c r="F92" s="5" t="inlineStr">
        <is>
          <t>計画素案 第1章第7節・第6章第4節4
サービス見込量の算定</t>
        </is>
      </c>
      <c r="G92" s="5" t="inlineStr">
        <is>
          <t>発注者・3町</t>
        </is>
      </c>
      <c r="H92" s="10" t="inlineStr">
        <is>
          <t>確認待ち</t>
        </is>
      </c>
      <c r="I92" s="10" t="inlineStr">
        <is>
          <t>R8.9</t>
        </is>
      </c>
      <c r="J92" s="11" t="inlineStr">
        <is>
          <t>法定記載事項であり、記載を落とすことができない。圏域が確定しないと表を作成できない。
決着しない場合は3町（3圏域）を基盤整備単位とする案のまま概算する。必要利用定員総数は［要協議］のまま残す。（受託者の仮置き。令和8年10月の意見交換会で諮る）</t>
        </is>
      </c>
    </row>
    <row r="93" ht="88" customHeight="1">
      <c r="A93" s="4" t="n">
        <v>89</v>
      </c>
      <c r="B93" s="4" t="inlineStr">
        <is>
          <t>(1)(6)</t>
        </is>
      </c>
      <c r="C93" s="4" t="inlineStr">
        <is>
          <t>R8.9</t>
        </is>
      </c>
      <c r="D93" s="5" t="inlineStr">
        <is>
          <t>社会福祉法等の一部を改正する法律（令和8年法律第51号）の反映</t>
        </is>
      </c>
      <c r="E93" s="5" t="inlineStr">
        <is>
          <t>令和8年法律第51号により介護保険法が改正され、施行は原則として令和9年4月1日（第10期計画の初年度）である。本計画に関係する改正は7件あり、計画素案 第1章第9節2に整理した。①特定地域サービス及び特定地域居宅サービス等事業の創設、②夜間対応型訪問介護の廃止と定期巡回・随時対応型訪問介護看護への統合、③中長期的なサービス見通しの必須化及び有料老人ホーム・サービス付き高齢者向け住宅の入居定員の勘案の明確化、④介護予防・地域の支え合い拠点機能の強化、⑤頼れる身寄りがいない高齢者等への支援の第二種社会福祉事業への位置づけ（介護予防ケアマネジメントの居宅介護支援事業者への直接委託を含む）、⑥有料老人ホームの登録制の導入と登録施設介護（予防）支援の新設、⑦介護支援専門員証の更新制の廃止・申請代行者の追加・電子資格確認。①この整理でよいか。②⑤の介護予防ケアマネジメントの直接委託について、3町と実施の可否を協議してよいか。③政令・省令・報酬改定の内容が示された時点で再照合する。</t>
        </is>
      </c>
      <c r="F93" s="5" t="inlineStr">
        <is>
          <t>計画素案 第1章第9節・第2章第8節・第5章・第6章第2節・第6章第4節
ケアプラン点検実施要領</t>
        </is>
      </c>
      <c r="G93" s="5" t="inlineStr">
        <is>
          <t>発注者</t>
        </is>
      </c>
      <c r="H93" s="10" t="inlineStr">
        <is>
          <t>確認待ち</t>
        </is>
      </c>
      <c r="I93" s="10" t="inlineStr">
        <is>
          <t>R8.10</t>
        </is>
      </c>
      <c r="J93" s="11" t="inlineStr">
        <is>
          <t>②の統合により、第10期のサービス種別の区分が変わる。国の様式（介護保険事業計画作成支援ツール）の確定を待って見込量の区分を改める。
決着しない場合は計画素案 第1章第9節2の7件の整理のまま進め、政令・省令・報酬改定の公表後に再照合する。（受託者の仮置き。令和8年10月の意見交換会で諮る）</t>
        </is>
      </c>
    </row>
    <row r="94" ht="88" customHeight="1">
      <c r="A94" s="4" t="n">
        <v>90</v>
      </c>
      <c r="B94" s="4" t="inlineStr">
        <is>
          <t>(2)(6)</t>
        </is>
      </c>
      <c r="C94" s="4" t="inlineStr">
        <is>
          <t>R8.9</t>
        </is>
      </c>
      <c r="D94" s="5" t="inlineStr">
        <is>
          <t>第9期計画の本文（電子データ）及び前回調査の原集計表の提供</t>
        </is>
      </c>
      <c r="E94" s="5" t="inlineStr">
        <is>
          <t>第9期計画の本文は業務着手時に貸与を受けて確認しているが、次の2点は本文から読み取ることができないためご提供いただきたい。①給付適正化に関する記載の箇所。施策4-3の名称が「介護給付費の適正化（第6期給付適正化計画）」であることは把握しているが、この語が施策名のかっこ書きに限られるのか、本文中に別の記載（節見出し、目標の表、事業の一覧など）があるのかを確認する必要がある。主要事業を3事業とするか4事業とするかの記載も確認したい。②前回（令和4年度）調査の指標別の分母及び集計条件。本文に掲載されている割合の分母が指標ごとに分からないため、4調査のうち①②③については内容の経年比較ができない（規模の比較にとどめている）。原集計表があれば接続できる。【令和8年9月25日に起票内容を改めた】従前は「本文そのものを受領していない」としていたが、本文は確認しており、確認できないのは上記2点であることを明らかにした。</t>
        </is>
      </c>
      <c r="F94" s="5" t="inlineStr">
        <is>
          <t>給付適正化計画の位置づけと追加検討事項 01シート
計画素案 第5章 基本目標5・第2章第4節
アンケート調査の分析 令和8年9月業務報告 第4節</t>
        </is>
      </c>
      <c r="G94" s="5" t="inlineStr">
        <is>
          <t>発注者</t>
        </is>
      </c>
      <c r="H94" s="10" t="inlineStr">
        <is>
          <t>確認待ち</t>
        </is>
      </c>
      <c r="I94" s="10" t="inlineStr">
        <is>
          <t>R8.10</t>
        </is>
      </c>
      <c r="J94" s="11" t="inlineStr">
        <is>
          <t>第9期計画の体裁を勘案して第10期での位置づけを決めるため、記載の箇所の確認が前提となる。前回調査の分母は経年比較の前提となる。
決着しない場合は第9期計画の本文及び前回調査の原集計表を受領できないものとして、前回調査との比較は割合のみとし、指標別の分母を確認できない旨を注記する。（受託者の仮置き。令和8年10月の意見交換会で諮る）</t>
        </is>
      </c>
    </row>
    <row r="95" ht="88" customHeight="1">
      <c r="A95" s="4" t="n">
        <v>91</v>
      </c>
      <c r="B95" s="4" t="inlineStr">
        <is>
          <t>(2)(6)</t>
        </is>
      </c>
      <c r="C95" s="4" t="inlineStr">
        <is>
          <t>R8.9</t>
        </is>
      </c>
      <c r="D95" s="5" t="inlineStr">
        <is>
          <t>介護給付費通知及び給付実績の活用による確認等</t>
        </is>
      </c>
      <c r="E95" s="5" t="inlineStr">
        <is>
          <t>指針が「積極的な実施が望まれる取組」とする①給付実績の活用による確認等（不適切な給付や請求誤りの多い事業者等の抽出と確認）、②介護給付費通知について、当広域連合における実施の有無をご確認いただきたい。実施している場合は実施方法と件数をご教示いただきたい。</t>
        </is>
      </c>
      <c r="F95" s="5" t="inlineStr">
        <is>
          <t>給付適正化計画の位置づけと追加検討事項 02シート
計画素案 第5章 基本目標5</t>
        </is>
      </c>
      <c r="G95" s="5" t="inlineStr">
        <is>
          <t>発注者</t>
        </is>
      </c>
      <c r="H95" s="10" t="inlineStr">
        <is>
          <t>確認待ち</t>
        </is>
      </c>
      <c r="I95" s="10" t="inlineStr">
        <is>
          <t>R8.10</t>
        </is>
      </c>
      <c r="J95" s="11" t="inlineStr">
        <is>
          <t>国保連の適正化システムには強調表示等の工夫が取り入れられており、小規模保険者でも実施しやすいとされている。
決着しない場合は介護給付費通知の実施状況を確認できないものとして、第7期給付適正化計画には現行の取組のまま位置づける。（受託者の仮置き。令和8年10月の意見交換会で諮る）</t>
        </is>
      </c>
    </row>
    <row r="96" ht="88" customHeight="1">
      <c r="A96" s="4" t="n">
        <v>92</v>
      </c>
      <c r="B96" s="4" t="inlineStr">
        <is>
          <t>(6)</t>
        </is>
      </c>
      <c r="C96" s="4" t="inlineStr">
        <is>
          <t>R8.9</t>
        </is>
      </c>
      <c r="D96" s="5" t="inlineStr">
        <is>
          <t>認定調査の指定居宅介護支援事業所等への委託の状況</t>
        </is>
      </c>
      <c r="E96" s="5" t="inlineStr">
        <is>
          <t>介護給付適正化の主要3事業のうち要介護認定の適正化について、指針は「指定居宅介護支援事業所等に委託している区分変更申請及び更新申請にかかる認定調査の結果について、保険者による点検等を実施する」こととしている。毎年度の定量的な目標を設定するため、認定調査の委託の有無と件数（令和7年度実績）をご教示いただきたい。</t>
        </is>
      </c>
      <c r="F96" s="5" t="inlineStr">
        <is>
          <t>給付適正化計画の位置づけと追加検討事項 04シート
計画素案 第5章 基本目標5</t>
        </is>
      </c>
      <c r="G96" s="5" t="inlineStr">
        <is>
          <t>発注者</t>
        </is>
      </c>
      <c r="H96" s="10" t="inlineStr">
        <is>
          <t>確認待ち</t>
        </is>
      </c>
      <c r="I96" s="10" t="inlineStr">
        <is>
          <t>R8.10</t>
        </is>
      </c>
      <c r="J96" s="11" t="inlineStr">
        <is>
          <t>委託していない場合は、直営の認定調査についても実態を把握することが望ましいとされている。
決着しない場合は認定調査の委託の状況を確認できないものとして、第7期給付適正化計画には現行の取組のまま位置づける。（受託者の仮置き。令和8年10月の意見交換会で諮る）</t>
        </is>
      </c>
    </row>
    <row r="97" ht="88" customHeight="1">
      <c r="A97" s="4" t="n">
        <v>93</v>
      </c>
      <c r="B97" s="4" t="inlineStr">
        <is>
          <t>(5)(6)</t>
        </is>
      </c>
      <c r="C97" s="4" t="inlineStr">
        <is>
          <t>R8.9</t>
        </is>
      </c>
      <c r="D97" s="5" t="inlineStr">
        <is>
          <t>財政調整交付金の算定における給付適正化主要3事業の取組状況の勘案</t>
        </is>
      </c>
      <c r="E97" s="5" t="inlineStr">
        <is>
          <t>介護給付適正化の計画策定に関する指針（令和5年9月12日 老介発0912第1号）第二の(2)④は、介護給付費財政調整交付金の第9期計画期間（令和6年度から）の算定に当たって、給付適正化主要3事業の取組状況を勘案することとしている。当広域連合はケアプランの点検が令和6〜8年度とも3町いずれも0点であり、3事業中2事業の実施にとどまる。将来推計は調整交付金の見込交付割合を7.375％（第9期計画と同水準）として置いている。①算定にどのように反映されるかを北海道にご確認いただきたい。②影響がある場合、将来推計の感度分析に加える。調整交付金見込額（E）が減ると保険料は上がる。</t>
        </is>
      </c>
      <c r="F97" s="5" t="inlineStr">
        <is>
          <t>将来推計 第3段階
計画素案 第6章第6節
サービス見込量 第2次概算</t>
        </is>
      </c>
      <c r="G97" s="5" t="inlineStr">
        <is>
          <t>発注者・北海道</t>
        </is>
      </c>
      <c r="H97" s="10" t="inlineStr">
        <is>
          <t>確認待ち</t>
        </is>
      </c>
      <c r="I97" s="10" t="inlineStr">
        <is>
          <t>R8.10</t>
        </is>
      </c>
      <c r="J97" s="11" t="inlineStr">
        <is>
          <t>確認事項No.86（保険者機能強化推進交付金等の交付見込額の控除）と併せて第2次概算（10月30日）までに整理する。
決着しない場合は財政調整交付金の算定に給付適正化主要3事業の取組状況を勘案しないものとして算定する（調整交付金7.3755％のまま。安全側）。（受託者の仮置き。令和8年10月の意見交換会で諮る）</t>
        </is>
      </c>
    </row>
    <row r="98" ht="88" customHeight="1">
      <c r="A98" s="4" t="n">
        <v>94</v>
      </c>
      <c r="B98" s="4" t="inlineStr">
        <is>
          <t>(6)</t>
        </is>
      </c>
      <c r="C98" s="4" t="inlineStr">
        <is>
          <t>R8.9</t>
        </is>
      </c>
      <c r="D98" s="5" t="inlineStr">
        <is>
          <t>給付適正化計画の位置づけ（案Bの採用）と毎年度の目標の記載場所</t>
        </is>
      </c>
      <c r="E98" s="5" t="inlineStr">
        <is>
          <t>令和8年9月10日、給付適正化計画の位置づけについて案B（第9期と同じく施策として置き、施策名のかっこ書きで第7期給付適正化計画であることを示す）を採用し、計画素案を更新するご指示をいただいた。計画素案 第5章 基本目標5（3）に【介護給付費の適正化（第7期給付適正化計画）】の項を設け、法第117条第2項第3号・第4号に対応する記載であることと、第9期計画の施策4-3を継承することを明記した。主要3事業の毎年度の定量的な目標は、北海道への報告が求められるため同項に表として掲げた。①この反映内容でよいか。②毎年度の目標の表を資料編に移す必要はないか。③［要協議］としている3項目（認定調査の点検件数・住宅改修の点検件数・福祉用具購入貸与調査の件数）は確認事項No.92の回答後に定める。</t>
        </is>
      </c>
      <c r="F98" s="5" t="inlineStr">
        <is>
          <t>計画素案 第1章第2節・第5章 基本目標5・資料5
給付適正化計画の位置づけと追加検討事項</t>
        </is>
      </c>
      <c r="G98" s="5" t="inlineStr">
        <is>
          <t>発注者</t>
        </is>
      </c>
      <c r="H98" s="10" t="inlineStr">
        <is>
          <t>確認待ち</t>
        </is>
      </c>
      <c r="I98" s="10" t="inlineStr">
        <is>
          <t>R8.10</t>
        </is>
      </c>
      <c r="J98" s="11" t="inlineStr">
        <is>
          <t>位置づけの決定は令和8年9月10日に了承済み。本件は反映内容の事後確認である。
決着しない場合は給付適正化計画の位置づけは案B（第9期と同じく施策として置き、施策名のかっこ書きで第7期給付適正化計画であることを示す）のままとする（令和8年9月10日 了承済み）。（受託者の仮置き。令和8年10月の意見交換会で諮る）</t>
        </is>
      </c>
    </row>
    <row r="99" ht="88" customHeight="1">
      <c r="A99" s="4" t="n">
        <v>95</v>
      </c>
      <c r="B99" s="4" t="inlineStr">
        <is>
          <t>(6)</t>
        </is>
      </c>
      <c r="C99" s="4" t="inlineStr">
        <is>
          <t>R8.9</t>
        </is>
      </c>
      <c r="D99" s="5" t="inlineStr">
        <is>
          <t>大雪地区広域連合の指定地域密着型サービスの基準条例のご提供</t>
        </is>
      </c>
      <c r="E99" s="5" t="inlineStr">
        <is>
          <t>地域密着型サービスの人員、設備及び運営に関する基準は、介護保険法第78条の4第1項により広域連合の条例で定めるものであり、指定地域密着型サービス基準（平成18年厚生労働省令第34号）はその条例を定めるに当たっての基準（従うべき・標準・参酌）である。省令の規定がそのまま事業者に適用されるのではなく、条例の対応規定を経て適用される。当方は当該条例を受領していないため、令和6年厚生労働省令第16号による改正後の省令に対応しているかを確認できていない。①指定地域密着型サービスの事業の人員、設備及び運営に関する基準を定める条例、②指定地域密着型介護予防サービスに係る同種の条例の全文と最終改正年月日をご提供いただきたい。令和9年4月1日に義務となる協力医療機関の要件強化及び生産性向上委員会（確認事項No.97）も条例の対応規定を経て事業者に及ぶため、条例の改正の要否は第10期計画の前提に当たる。なお、介護給付費分科会第263回 資料1は、人員配置基準に係るいわゆるローカルルールについて「あくまでも厚生労働省令に従う範囲内で地域の実情に応じた内容とする必要がある」としたうえで、自治体ごとに異なる解釈や取扱いが行われている状況について引き続き実態の把握を行うこととしている（令和8年10月14日に原典により確認）。条例の規定が省令に従う範囲内であるかは、条文を確認したうえで点検する。</t>
        </is>
      </c>
      <c r="F99" s="5" t="inlineStr">
        <is>
          <t>地域密着型サービス基準省令の論点整理
計画素案 第6章第4節</t>
        </is>
      </c>
      <c r="G99" s="5" t="inlineStr">
        <is>
          <t>発注者</t>
        </is>
      </c>
      <c r="H99" s="10" t="inlineStr">
        <is>
          <t>確認待ち</t>
        </is>
      </c>
      <c r="I99" s="10" t="inlineStr">
        <is>
          <t>R8.9</t>
        </is>
      </c>
      <c r="J99" s="11" t="inlineStr">
        <is>
          <t>論点整理 04シート。最も重い確認事項として整理している。
決着しない場合は基準条例を受領できないものとして、省令の基準により論点を整理するにとどめ、計画素案には条例の内容を書かない。（受託者の仮置き。令和8年10月の意見交換会で諮る）</t>
        </is>
      </c>
    </row>
    <row r="100" ht="88" customHeight="1">
      <c r="A100" s="4" t="n">
        <v>96</v>
      </c>
      <c r="B100" s="4" t="inlineStr">
        <is>
          <t>(6)</t>
        </is>
      </c>
      <c r="C100" s="4" t="inlineStr">
        <is>
          <t>R8.9</t>
        </is>
      </c>
      <c r="D100" s="5" t="inlineStr">
        <is>
          <t>認知症対応型共同生活介護の共同生活住居数と、くるみの郷の定員</t>
        </is>
      </c>
      <c r="E100" s="5" t="inlineStr">
        <is>
          <t>省令第93条第1項により、認知症対応型共同生活介護事業所の共同生活住居の数は1以上3以下、1住居の入居定員は5人以上9人以下である。①区域内7事業所の共同生活住居（ユニット）数をご確認いただきたい。現在判明しているのはグループホームファミリー2・グループホームびえいの郷2の2事業所のみである。②グループホーム くるみの郷（東川町）は介護サービス情報公表システムに掲載がなく定員が未確定である。定員をご確認いただきたい。共同生活住居数は、必要利用定員総数に住居数を併記するか（省令上の整備の単位との対応）と、共用型指定認知症対応型通所介護の受入可能数（共同生活住居ごとに1日3人以下）のいずれの検討にも要る。</t>
        </is>
      </c>
      <c r="F100" s="5" t="inlineStr">
        <is>
          <t>計画素案 第2章第3節6
計画素案 第6章第4節4
地域密着型サービス基準省令の論点整理</t>
        </is>
      </c>
      <c r="G100" s="5" t="inlineStr">
        <is>
          <t>発注者・3町</t>
        </is>
      </c>
      <c r="H100" s="10" t="inlineStr">
        <is>
          <t>確認待ち</t>
        </is>
      </c>
      <c r="I100" s="10" t="inlineStr">
        <is>
          <t>R8.9</t>
        </is>
      </c>
      <c r="J100" s="11" t="inlineStr">
        <is>
          <t>第2章第3節6及び第6章第4節4の町別の分布欄の誤り（東川町45→36、計108→99）は令和8年9月10日に修正済み。
決着しない場合は認知症対応型共同生活介護の定員は99人＋［要確認］のまま掲げる。（受託者の仮置き。令和8年10月の意見交換会で諮る）</t>
        </is>
      </c>
    </row>
    <row r="101" ht="88" customHeight="1">
      <c r="A101" s="4" t="n">
        <v>97</v>
      </c>
      <c r="B101" s="4" t="inlineStr">
        <is>
          <t>(6)</t>
        </is>
      </c>
      <c r="C101" s="4" t="inlineStr">
        <is>
          <t>R8.9</t>
        </is>
      </c>
      <c r="D101" s="5" t="inlineStr">
        <is>
          <t>令和9年4月1日から義務となる2件への対応</t>
        </is>
      </c>
      <c r="E101" s="5" t="inlineStr">
        <is>
          <t>令和6年厚生労働省令第16号の附則により努力義務とされていた次の2件は、経過措置が令和9年3月31日で満了し、令和9年4月1日から義務となる。第10期計画の期間（令和9〜11年度）はその全部が満了後に当たる。①協力医療機関の要件（省令第105条・第127条・第152条第1項。附則第6条）。常時の相談対応体制・常時の診療体制、地域密着型介護老人福祉施設はこれに加えて入院の受入体制（病院に限る）。対象は認知症対応型共同生活介護7事業所・地域密着型介護老人福祉施設3施設の計10。年1回以上の対応確認と市町村長（広域連合長）への届出を要する。当区域の人口10万人当たり医師数は44.9人で全国の19％である。②生産性向上に資する方策を検討する委員会（省令第86条の2ほか。附則第4条）。対象は小規模多機能型居宅介護5・認知症対応型共同生活介護7・地域密着型介護老人福祉施設3の計15事業所。確保状況の照会の要否と時期をご判断いただきたい。</t>
        </is>
      </c>
      <c r="F101" s="5" t="inlineStr">
        <is>
          <t>計画素案 第1章第9節
計画素案 第5章 基本目標3・4
計画素案 第6章第4節3</t>
        </is>
      </c>
      <c r="G101" s="5" t="inlineStr">
        <is>
          <t>発注者</t>
        </is>
      </c>
      <c r="H101" s="10" t="inlineStr">
        <is>
          <t>確認待ち</t>
        </is>
      </c>
      <c r="I101" s="10" t="inlineStr">
        <is>
          <t>R8.10</t>
        </is>
      </c>
      <c r="J101" s="11" t="inlineStr">
        <is>
          <t>確認事項No.95（条例）と一体。条例に対応規定がなければ事業者に及ばない。
決着しない場合は条例の対応規定を確認できないものとして、計画素案には省令の定めと対象事業所数（協力医療機関10・生産性向上委員会15）のみを書く。（受託者の仮置き。令和8年10月の意見交換会で諮る）</t>
        </is>
      </c>
    </row>
    <row r="102" ht="88" customHeight="1">
      <c r="A102" s="4" t="n">
        <v>98</v>
      </c>
      <c r="B102" s="4" t="inlineStr">
        <is>
          <t>(6)</t>
        </is>
      </c>
      <c r="C102" s="4" t="inlineStr">
        <is>
          <t>R8.9</t>
        </is>
      </c>
      <c r="D102" s="5" t="inlineStr">
        <is>
          <t>基盤整備の選択肢として省令上の類型を計画に掲げるか</t>
        </is>
      </c>
      <c r="E102" s="5" t="inlineStr">
        <is>
          <t>指定地域密着型サービス基準の全文を当区域の実データと突き合わせた結果、計画素案に記載のない次の類型が第10期の選択肢になり得る。①連携型指定定期巡回・随時対応型訪問介護看護（省令第3条の41。訪問看護サービスを行う看護職員の常勤換算2.5以上の配置義務が課されない）。②共用型指定認知症対応型通所介護（第45条〜第47条。既存のグループホーム等の居間・食堂を用いる）。③サテライト型（第63条ほか。区域内に美瑛慈光園サテライト特養 燈の実例がある）。④共生型地域密着型通所介護（第37条の2。障害福祉事業者による提供）。⑤指定療養通所介護（第38条〜第40条の16。看護師を中心とする類型）。いずれも計画素案 第6章第4節の既存の記述に加える形とし、新たな節は起こさない案である。掲げるかどうかをご判断いただきたい。④の検討には区域内の障害福祉サービス事業所の一覧、⑤の検討には区域内の病院・診療所の一覧（所在地を含む）を要する。</t>
        </is>
      </c>
      <c r="F102" s="5" t="inlineStr">
        <is>
          <t>計画素案 第6章第4節1
計画素案 第6章第2節2（2）
サービス見込量の算定</t>
        </is>
      </c>
      <c r="G102" s="5" t="inlineStr">
        <is>
          <t>発注者</t>
        </is>
      </c>
      <c r="H102" s="10" t="inlineStr">
        <is>
          <t>確認待ち</t>
        </is>
      </c>
      <c r="I102" s="10" t="inlineStr">
        <is>
          <t>R8.9</t>
        </is>
      </c>
      <c r="J102" s="11" t="inlineStr">
        <is>
          <t>①は第6章第4節1 案Aの書き分けに関わるため第1次概算（9月26日）より前に整理する。
決着しない場合は省令上の類型を計画に掲げないまま概算する。（受託者の仮置き。令和8年10月の意見交換会で諮る）</t>
        </is>
      </c>
    </row>
    <row r="103" ht="88" customHeight="1">
      <c r="A103" s="4" t="n">
        <v>99</v>
      </c>
      <c r="B103" s="4" t="inlineStr">
        <is>
          <t>(6)</t>
        </is>
      </c>
      <c r="C103" s="4" t="inlineStr">
        <is>
          <t>R8.9</t>
        </is>
      </c>
      <c r="D103" s="5" t="inlineStr">
        <is>
          <t>過疎地域における小規模多機能型居宅介護の定員超過の特例の取扱い</t>
        </is>
      </c>
      <c r="E103" s="5" t="inlineStr">
        <is>
          <t>省令第82条第2項は、過疎地域その他これに類する地域において、地域の実情により効率的運営に必要であると市町村が認めた場合は、認めた日から市町村介護保険事業計画の終期まで（次期計画の作成に当たり、新規に代替サービスを整備するよりも既存の事業所を活用することがより効率的であると認めた場合は次期計画の終期まで）に限り、登録定員及び利用定員を超えて提供できると定める。特例の期限が計画の終期に紐づくため、計画と一体の判断になる。美瑛町は過疎地域であり（北海道の地域指定一覧 令和8年4月1日現在）、区域内の小規模多機能型居宅介護5事業所はそのすべてが美瑛町に所在する。①現に第82条第2項により定員超過を認めている事業所があるか。②第10期計画において特例の取扱いをあらかじめ定めるか。</t>
        </is>
      </c>
      <c r="F103" s="5" t="inlineStr">
        <is>
          <t>計画素案 第6章第4節
計画素案 第6章第2節2（2）
地域密着型サービス基準省令の論点整理</t>
        </is>
      </c>
      <c r="G103" s="5" t="inlineStr">
        <is>
          <t>発注者</t>
        </is>
      </c>
      <c r="H103" s="10" t="inlineStr">
        <is>
          <t>確認待ち</t>
        </is>
      </c>
      <c r="I103" s="10" t="inlineStr">
        <is>
          <t>R8.10</t>
        </is>
      </c>
      <c r="J103" s="11" t="inlineStr">
        <is>
          <t>対象となり得るのは美瑛町の5事業所。
決着しない場合は過疎地域における定員超過の特例を用いないものとして見込量を算定する。（受託者の仮置き。令和8年10月の意見交換会で諮る）</t>
        </is>
      </c>
    </row>
    <row r="104" ht="88" customHeight="1">
      <c r="A104" s="4" t="n">
        <v>100</v>
      </c>
      <c r="B104" s="4" t="inlineStr">
        <is>
          <t>(5)(6)</t>
        </is>
      </c>
      <c r="C104" s="4" t="inlineStr">
        <is>
          <t>R8.9</t>
        </is>
      </c>
      <c r="D104" s="5" t="inlineStr">
        <is>
          <t>サービス見込量及び給付費の算定に用いる基準年度と出所</t>
        </is>
      </c>
      <c r="E104" s="5" t="inlineStr">
        <is>
          <t>見込量の算定について、基準年度をどこに置くかを実測により整理した。①数量（利用者数）の基準年度に使えるのは令和7年度だけである。令和8年度は約4か月分の実績しかなく、計画作成支援ツールの月平均利用者数は年度累計を12で除しているため令和7年度の約0.37倍の値になっている。②単価（1人1月あたり給付費・利用回数）は月数に中立であり令和8年度でも用いられる。③出所により水準が異なる。見える化システムの総括表は保険者単位、計画作成支援ツールは3町合計であり、同じ令和7年度の利用者数でも+1.4％から+243％の開きがある。④見える化システムの総括表は利用者数×1人あたり給付費＝給付費が全行で成立し、給付費の合計が年報と円単位で一致する。以上により、令和7年度・見える化システムの総括表・認定者数シナリオ②を採用パターンとする案とした。この置き方に改めてよいかご判断いただきたい。</t>
        </is>
      </c>
      <c r="F104" s="5" t="inlineStr">
        <is>
          <t>サービス見込量の算定
将来推計 第3段階
計画素案 第6章第2節・第3節・第6節</t>
        </is>
      </c>
      <c r="G104" s="5" t="inlineStr">
        <is>
          <t>発注者</t>
        </is>
      </c>
      <c r="H104" s="10" t="inlineStr">
        <is>
          <t>確認待ち</t>
        </is>
      </c>
      <c r="I104" s="10" t="inlineStr">
        <is>
          <t>R8.9</t>
        </is>
      </c>
      <c r="J104" s="11" t="inlineStr">
        <is>
          <t>サービス見込量の算定 03シート。算定上の月額基準額は現行6,740円に対し採用パターンで6,428円。令和8年9月16日、計画素案 第6章第2節・第3節・第6節を採用パターンによる算定（要介護度別。月額6,438円）に置き換えた。ご判断をいただくまでは暫定であり、置き方によるちがい（要介護度別6,438円・一律6,428円・見える化6,740円）を第6節に併記している。
決着しない場合は採用パターンP3（令和7年度基準・総括表・認定者数シナリオ②）により、要介護度別の伸びで概算する。（受託者の仮置き。令和8年10月の意見交換会で諮る）</t>
        </is>
      </c>
    </row>
    <row r="105" ht="88" customHeight="1">
      <c r="A105" s="4" t="n">
        <v>101</v>
      </c>
      <c r="B105" s="4" t="inlineStr">
        <is>
          <t>(6)</t>
        </is>
      </c>
      <c r="C105" s="4" t="inlineStr">
        <is>
          <t>R8.9</t>
        </is>
      </c>
      <c r="D105" s="5" t="inlineStr">
        <is>
          <t>計画素案 第6章第2節2の見込量の表の数値の差し替え</t>
        </is>
      </c>
      <c r="E105" s="5" t="inlineStr">
        <is>
          <t>計画素案 第6章第2節2（1）〜（3）の見込量の表の数値は、見える化システムの総括表・計画作成支援ツール・将来推計 第2段階のいずれとも一致せず、当方で出所を特定できていない。また表頭を「R8実績」としているが、令和8年度は約4か月分の実績しかなく、実績として掲げられる年度ではない。①「サービス見込量の算定」の結果に差し替えてよいか。②表頭を「R7実績」に改めてよいか。差し替えると見込量・給付費・保険料が一本の経路でつながる。</t>
        </is>
      </c>
      <c r="F105" s="5" t="inlineStr">
        <is>
          <t>計画素案 第6章第2節2
サービス見込量の算定</t>
        </is>
      </c>
      <c r="G105" s="5" t="inlineStr">
        <is>
          <t>発注者</t>
        </is>
      </c>
      <c r="H105" s="10" t="inlineStr">
        <is>
          <t>確認待ち</t>
        </is>
      </c>
      <c r="I105" s="10" t="inlineStr">
        <is>
          <t>R8.9</t>
        </is>
      </c>
      <c r="J105" s="11" t="inlineStr">
        <is>
          <t>確認事項No.100（採用パターン）の決定と一体で処理する。令和8年9月16日、第6章第2節の表を第1次概算の算定結果に差し替えた（表頭の「R8実績」は「R7実績」に改めた）。ご判断をいただくまでは暫定である。
決着しない場合は計画素案 第6章第2節の表は当方の算定（令和7年度の実績に要介護度別の認定者数の伸びを乗じたもの）による値とし、見える化システムの自然体推計による値は第6節2に対比として掲げる。（受託者の仮置き。令和8年10月の意見交換会で諮る）</t>
        </is>
      </c>
    </row>
    <row r="106" ht="88" customHeight="1">
      <c r="A106" s="4" t="n">
        <v>102</v>
      </c>
      <c r="B106" s="4" t="inlineStr">
        <is>
          <t>(5)</t>
        </is>
      </c>
      <c r="C106" s="4" t="inlineStr">
        <is>
          <t>R8.9</t>
        </is>
      </c>
      <c r="D106" s="5" t="inlineStr">
        <is>
          <t>計画作成支援ツールの令和8年度の月数と予防訪問看護の計上</t>
        </is>
      </c>
      <c r="E106" s="5" t="inlineStr">
        <is>
          <t>①計画作成支援ツールの令和8年度が何か月分の実績かをご確認いただきたい。給付費が令和7年度の36.0％であることからおおむね4.3か月分と見ているが、月数そのものは公表されていない。令和8年度を実績として掲げる場合は月数の明記を要する。②同ツールの予防訪問看護は令和6年度18人に対し令和7年度が0人である。同じ年度の見える化システムの訪問看護（月135.2人）とツールの訪問看護（月117人）の差18.2人にほぼ一致するため計上の変化とみられるが、欠測か訪問看護への統合かを確認できていない。</t>
        </is>
      </c>
      <c r="F106" s="5" t="inlineStr">
        <is>
          <t>サービス見込量の算定
計画素案 第6章第2節2</t>
        </is>
      </c>
      <c r="G106" s="5" t="inlineStr">
        <is>
          <t>発注者</t>
        </is>
      </c>
      <c r="H106" s="10" t="inlineStr">
        <is>
          <t>一部回答済</t>
        </is>
      </c>
      <c r="I106" s="10" t="inlineStr">
        <is>
          <t>R8.9</t>
        </is>
      </c>
      <c r="J106" s="11" t="inlineStr">
        <is>
          <t>①は解決した。介護保険事業状況報告の月報（令和8年4〜7月）により令和8年度は4か月と確定した（data_nenpo.GEPPO）。月報は給付費（様式4）を含まないため月次の給付費は得られない。②は確認待ち。確認事項No.87と同じ資料に関するもの。
決着しない場合は②は確認できないものとして、令和8年度を基準年度に用いない。（受託者の仮置き。令和8年10月の意見交換会で諮る）</t>
        </is>
      </c>
    </row>
    <row r="107" ht="88" customHeight="1">
      <c r="A107" s="4" t="n">
        <v>103</v>
      </c>
      <c r="B107" s="4" t="inlineStr">
        <is>
          <t>(5)(6)</t>
        </is>
      </c>
      <c r="C107" s="4" t="inlineStr">
        <is>
          <t>R8.9</t>
        </is>
      </c>
      <c r="D107" s="5" t="inlineStr">
        <is>
          <t>令和8年度を基準年度に用いず、季節を理由とする補正も行わないこと</t>
        </is>
      </c>
      <c r="E107" s="5" t="inlineStr">
        <is>
          <t>令和8年度の数値が年度途中であること、北海道の地理的特性から冬季と夏季で事業内容・給付費が異なる可能性が高いことについて、月次データで検証した。①冬季（12〜3月）と夏季（6〜9月）の対比は、施設が＋2.80％・在宅が▲2.48％で、令和6年度・令和7年度の2年とも同じ向きに再現する。居住系と合計は測定できない。②施設と在宅が逆向きであるため給付費で加重すると相殺され、年度換算係数は2.9935で一律の3.0000と0.22％しか違わない。③採用パターン（令和7年度基準）は完結年度であるため季節指数の和が12となり、年度換算係数は12÷12＝1.0000で恒等的に消える。季節補正の効きは0円である。以上により、令和8年度を基準年度に用いず、季節を理由とする補正も行わないこととしてよいかご判断いただきたい。なお月次データは見える化D1（3区分・24か月）のみであり、サービス種別ごとの季節性と単価の季節性は測定できない。</t>
        </is>
      </c>
      <c r="F107" s="5" t="inlineStr">
        <is>
          <t>サービス見込量の算定
将来推計 第3段階
計画素案 第6章第2節2</t>
        </is>
      </c>
      <c r="G107" s="5" t="inlineStr">
        <is>
          <t>発注者</t>
        </is>
      </c>
      <c r="H107" s="10" t="inlineStr">
        <is>
          <t>確認待ち</t>
        </is>
      </c>
      <c r="I107" s="10" t="inlineStr">
        <is>
          <t>R8.9</t>
        </is>
      </c>
      <c r="J107" s="11" t="inlineStr">
        <is>
          <t>見込量の季節性の検証と施策反映の設計 01・03シート。【令和8年9月28日】令和8年8月審査分の利用状況統計表により、審査月単位・町別・サービス種類別・要介護度別の給付費が得られた。同じ様式で継続してご提供を受けられれば季節性を測定できる。現時点では1か月分であるため、当面は従前の測定を用いる。
決着しない場合は令和8年度を基準年度に用いず、季節補正も行わないまま概算する。（受託者の仮置き。令和8年10月の意見交換会で諮る）</t>
        </is>
      </c>
    </row>
    <row r="108" ht="88" customHeight="1">
      <c r="A108" s="4" t="n">
        <v>104</v>
      </c>
      <c r="B108" s="4" t="inlineStr">
        <is>
          <t>(5)</t>
        </is>
      </c>
      <c r="C108" s="4" t="inlineStr">
        <is>
          <t>R8.9</t>
        </is>
      </c>
      <c r="D108" s="5" t="inlineStr">
        <is>
          <t>第10期の単価を令和7年度で固定するか、令和8年度の水準を反映するか</t>
        </is>
      </c>
      <c r="E108" s="5" t="inlineStr">
        <is>
          <t>令和8年度が使いづらい主因は季節ではなく単価である。給付費は令和7年度の36.00％で4.320か月相当だが、月数は月報により4か月と確定しており、受給者数は月報で＋1.99％にとどまるため期待は4.079か月相当である。差の残差は単価であり＋1.63％である。【令和8年9月25日】確認事項No.87の解決により3町合計と広域連合単位がいずれの年度も一致したため、分母は一つに定まり残差は＋1.63％の単一の値となった（従前は＋1.63％から＋5.90％の幅があるとしていた）。月額に直すと＋99円であり、季節補正（▲14円）より大きい。①単価を令和7年度で固定するか、令和8年度の水準を反映するかをご判断いただきたい。月次の給付費が存在しないため、この上昇が季節によるものか年次の動きかは当区域では測定できない。</t>
        </is>
      </c>
      <c r="F108" s="5" t="inlineStr">
        <is>
          <t>サービス見込量 第2次概算
将来推計 第3段階
計画素案 第6章第3節・第6節</t>
        </is>
      </c>
      <c r="G108" s="5" t="inlineStr">
        <is>
          <t>発注者</t>
        </is>
      </c>
      <c r="H108" s="10" t="inlineStr">
        <is>
          <t>確認待ち</t>
        </is>
      </c>
      <c r="I108" s="10" t="inlineStr">
        <is>
          <t>R8.10</t>
        </is>
      </c>
      <c r="J108" s="11" t="inlineStr">
        <is>
          <t>確認事項No.87と一体。見込量の季節性の検証と施策反映の設計 02シート。
決着しない場合は単価を令和7年度で固定する（安全側）。令和8年度の水準を反映した場合の差（月額＋99円）は据え置きの一覧に示す。（受託者の仮置き。令和8年10月の意見交換会で諮る）</t>
        </is>
      </c>
    </row>
    <row r="109" ht="88" customHeight="1">
      <c r="A109" s="4" t="n">
        <v>105</v>
      </c>
      <c r="B109" s="4" t="inlineStr">
        <is>
          <t>(6)</t>
        </is>
      </c>
      <c r="C109" s="4" t="inlineStr">
        <is>
          <t>R8.9</t>
        </is>
      </c>
      <c r="D109" s="5" t="inlineStr">
        <is>
          <t>施策反映を行うか。行う場合の対象と歯止め</t>
        </is>
      </c>
      <c r="E109" s="5" t="inlineStr">
        <is>
          <t>KPI達成を目的とした施策反映について整理した。①採用パターンの算定式で動く変数は認定者数のスカラー1つだけであり、要介護度別に分解しない限りH01・H02は正しく反映できない。②代表KPI16項目のうち、見込量に量的に効き、かつ基準値と目標値が両方確定しているものは限られる。③数値を置ける施策は定期巡回・随時対応型訪問介護看護の整備のみで、5.0人／月・令和10年度からとした場合、訪問介護からの振替で月額＋2円、純増で月額＋13円である。5.0人／月は受託者の仮置きであり確定した根拠はない。④H15（給付費の計画乖離率）は令和6年度▲3.66％・令和7年度▲2.17％で、第7期からの8年度すべてで負である。計画が実績を上回ってきた状況で、施策の達成を前提にさらに見込量を下げると保険料が不足する側に誤る。歯止めの案（自然体推計を基本とする・根拠のある振替えに限る・純減を認めない・感度分析で幅を示す・H15で事後に検証する）を設けてよいかご判断いただきたい。またH01の目標「全国平均以下」が基準時点で既に達成されているかをご確認いただきたい。達成済みであれば見込量を下げる余地はない。</t>
        </is>
      </c>
      <c r="F109" s="5" t="inlineStr">
        <is>
          <t>サービス見込量の算定
計画素案 第4章第3節・第6章第2節</t>
        </is>
      </c>
      <c r="G109" s="5" t="inlineStr">
        <is>
          <t>発注者</t>
        </is>
      </c>
      <c r="H109" s="10" t="inlineStr">
        <is>
          <t>確認待ち</t>
        </is>
      </c>
      <c r="I109" s="10" t="inlineStr">
        <is>
          <t>R8.9</t>
        </is>
      </c>
      <c r="J109" s="11" t="inlineStr">
        <is>
          <t>見込量の季節性の検証と施策反映の設計 04・05シート。
決着しない場合は施策反映を行わないまま概算する（安全側）。（受託者の仮置き。令和8年10月の意見交換会で諮る）</t>
        </is>
      </c>
    </row>
    <row r="110" ht="88" customHeight="1">
      <c r="A110" s="4" t="n">
        <v>106</v>
      </c>
      <c r="B110" s="4" t="inlineStr">
        <is>
          <t>(5)(6)</t>
        </is>
      </c>
      <c r="C110" s="4" t="inlineStr">
        <is>
          <t>R8.9</t>
        </is>
      </c>
      <c r="D110" s="5" t="inlineStr">
        <is>
          <t>見込量の伸びを一律からサービス別の趨勢を半分反映する置き方に改めるか</t>
        </is>
      </c>
      <c r="E110" s="5" t="inlineStr">
        <is>
          <t>施策反映より先に、サービス別の対計画比の偏りを補正した場合を試算した。①第7期から第9期までの8年度の対計画比は、定期巡回34.0％から居宅療養管理指導146.6％まで開き、全体は8年度すべてで100％未満（8年平均94.93％）である。②この開きは、サービスごとに伸びが違うのに見込量を一律の伸び（認定者数の伸び）で置いていることによる。実績の伸びはサービス別に年率▲10.7％から＋28.8％まで開いており、認定者数の伸び（年率＋0.48％）とは別物である。③補正の式は g'＝gn＋φ×clip(gs－gn,±3％) とし、起点と予測年数を変えた5通りのバックテストで30設定を比べてφ＝0.5・上限±3％・窓5年を選んだ。一律は30設定中15位である。総給付費の予測誤差は一律1.68％に対し補正1.13％である。この置き方に改めてよいかご判断いただきたい。</t>
        </is>
      </c>
      <c r="F110" s="5" t="inlineStr">
        <is>
          <t>サービス見込量の算定
将来推計 第3段階
計画素案 第6章第2節2</t>
        </is>
      </c>
      <c r="G110" s="5" t="inlineStr">
        <is>
          <t>発注者</t>
        </is>
      </c>
      <c r="H110" s="10" t="inlineStr">
        <is>
          <t>確認待ち</t>
        </is>
      </c>
      <c r="I110" s="10" t="inlineStr">
        <is>
          <t>R8.9</t>
        </is>
      </c>
      <c r="J110" s="11" t="inlineStr">
        <is>
          <t>対計画比の偏りの補正試算 03シート。確認事項No.100（採用パターン）と一体。
決着しない場合はサービス別の趨勢を反映する補正は行わない（見込量は要介護度別の伸びによる）。補正を行った場合の月額への効きは計画素案 第6章第6節2に併記する。（受託者の仮置き。令和8年10月の意見交換会で諮る）</t>
        </is>
      </c>
    </row>
    <row r="111" ht="88" customHeight="1">
      <c r="A111" s="4" t="n">
        <v>107</v>
      </c>
      <c r="B111" s="4" t="inlineStr">
        <is>
          <t>(5)(6)</t>
        </is>
      </c>
      <c r="C111" s="4" t="inlineStr">
        <is>
          <t>R8.9</t>
        </is>
      </c>
      <c r="D111" s="5" t="inlineStr">
        <is>
          <t>施設・居住系の実績の減少を将来へ延長するか</t>
        </is>
      </c>
      <c r="E111" s="5" t="inlineStr">
        <is>
          <t>対計画比の偏りを補正すると、在宅系が増え施設・居住系が減る。しかし施設・居住系の実績の減少には定員の縮小が含まれる。介護老人福祉施設の定員は平成29年度234人から令和2年度以降160人へ31.6％、認知症対応型共同生活介護は15.4％減っている。趨勢をそのまま延長すると「第10期にさらに定員が縮小する」ことを前提にしてしまう。延長すると算定上の月額基準額は6,428円から6,371円へ▲58円、延長しないと6,476円へ＋48円で符号が変わる。第10期に定員を維持する方針であれば延長しない扱いとなる。確認事項No.84（東川町の施設整備・サービス提供方針）と一体でご判断いただきたい。</t>
        </is>
      </c>
      <c r="F111" s="5" t="inlineStr">
        <is>
          <t>サービス見込量の算定
計画素案 第6章第4節4</t>
        </is>
      </c>
      <c r="G111" s="5" t="inlineStr">
        <is>
          <t>発注者・3町</t>
        </is>
      </c>
      <c r="H111" s="10" t="inlineStr">
        <is>
          <t>確認待ち</t>
        </is>
      </c>
      <c r="I111" s="10" t="inlineStr">
        <is>
          <t>R8.9</t>
        </is>
      </c>
      <c r="J111" s="11" t="inlineStr">
        <is>
          <t>対計画比の偏りの補正試算 05シート。
決着しない場合は施設・居住系の実績の減少を将来へ延長しないまま概算する。（受託者の仮置き。令和8年10月の意見交換会で諮る）</t>
        </is>
      </c>
    </row>
    <row r="112" ht="88" customHeight="1">
      <c r="A112" s="4" t="n">
        <v>108</v>
      </c>
      <c r="B112" s="4" t="inlineStr">
        <is>
          <t>(5)</t>
        </is>
      </c>
      <c r="C112" s="4" t="inlineStr">
        <is>
          <t>R8.9</t>
        </is>
      </c>
      <c r="D112" s="5" t="inlineStr">
        <is>
          <t>補正しても外れるサービス6件の理由</t>
        </is>
      </c>
      <c r="E112" s="5" t="inlineStr">
        <is>
          <t>対計画比の偏りの補正は総給付費の予測を改善するが、サービス別の大きな外れは解消しない。次の理由をご確認いただきたい。①居宅療養管理指導が8年間で4.2倍（555人→2,319人）になった理由。医師・歯科医師・薬剤師等のどの職種が増えているか。②地域密着型通所介護が令和5年度1,321人から令和6年度950人へ1年で28％減った理由。事業所の休廃止・定員の縮小の有無。③短期入所生活介護・短期入所療養介護の対計画比が8年平均80.1％・84.3％と安定して低い理由。空床利用の運用と、需要があって受けられていないのかどうか。④訪問看護・訪問リハビリテーションが8年間で57％・85％増えた理由。これらは趨勢の問題ではなく供給又は制度の問題であり、機械的な補正では直らない。</t>
        </is>
      </c>
      <c r="F112" s="5" t="inlineStr">
        <is>
          <t>対計画比の偏りの補正試算
計画素案 第6章第2節2</t>
        </is>
      </c>
      <c r="G112" s="5" t="inlineStr">
        <is>
          <t>発注者・3町</t>
        </is>
      </c>
      <c r="H112" s="10" t="inlineStr">
        <is>
          <t>確認待ち</t>
        </is>
      </c>
      <c r="I112" s="10" t="inlineStr">
        <is>
          <t>R8.10</t>
        </is>
      </c>
      <c r="J112" s="11" t="inlineStr">
        <is>
          <t>供給実現性の段階でサービスごとに判断する材料。
決着しない場合は補正しても外れる6件は趨勢ではなく供給・制度の問題として注記する。（受託者の仮置き。令和8年10月の意見交換会で諮る）</t>
        </is>
      </c>
    </row>
    <row r="113" ht="88" customHeight="1">
      <c r="A113" s="4" t="n">
        <v>109</v>
      </c>
      <c r="B113" s="4" t="inlineStr">
        <is>
          <t>(5)</t>
        </is>
      </c>
      <c r="C113" s="4" t="inlineStr">
        <is>
          <t>R8.9</t>
        </is>
      </c>
      <c r="D113" s="5" t="inlineStr">
        <is>
          <t>第10期の単価を令和7年度で固定するか、実績の趨勢を置くか</t>
        </is>
      </c>
      <c r="E113" s="5" t="inlineStr">
        <is>
          <t>令和9年度は介護報酬改定の年に当たり、第10期の初年度である。改定は3年ごとに行われ、平成30年度・令和3年度・令和6年度と実施されてきた。改定率は令和8年9月10日時点で未告示である。当区域の単価を、前年の利用者構成で固定した連鎖ラスパイレス指数で測ると、平成30年度から令和7年度までの7年間で＋12.93％（年率＋1.75％）伸びている。改定のあった年（平均＋1.42％）となかった年（平均＋2.20％）で差は見られず、当区域のデータでは改定による分と改定以外の分を分けられない。1人1月あたり利用日数・回数の伸びは年率＋0.25％（中央値）にとどまるため、残りは加算の算定・要介護度の重度化によるものとみられる。採用パターンが単価を令和7年度で固定していることはこの趨勢を落としており、月額で＋245円（年率1.32％）から＋327円（年率1.75％）に当たる。改定率1％あたりの月額は＋61円である。①単価を固定したまま改定率のみを乗じるか、②実績の趨勢を置くかをご判断いただきたい。</t>
        </is>
      </c>
      <c r="F113" s="5" t="inlineStr">
        <is>
          <t>サービス見込量 第2次概算
将来推計 第3段階
計画素案 第6章第3節・第6節</t>
        </is>
      </c>
      <c r="G113" s="5" t="inlineStr">
        <is>
          <t>発注者</t>
        </is>
      </c>
      <c r="H113" s="10" t="inlineStr">
        <is>
          <t>確認待ち</t>
        </is>
      </c>
      <c r="I113" s="10" t="inlineStr">
        <is>
          <t>R8.10</t>
        </is>
      </c>
      <c r="J113" s="11" t="inlineStr">
        <is>
          <t>趨勢に現れない要因の分析 06シート。「構成町の意見への回答」の「令和9年度が改定の年に当たらない」との記述は誤りであり修正した。
決着しない場合は単価を令和7年度で固定する（安全側）。実績の趨勢を置いた場合の差は据え置きの一覧及び計画素案 第6章第6節2に示す。（受託者の仮置き。令和8年10月の意見交換会で諮る）</t>
        </is>
      </c>
    </row>
    <row r="114" ht="88" customHeight="1">
      <c r="A114" s="4" t="n">
        <v>110</v>
      </c>
      <c r="B114" s="4" t="inlineStr">
        <is>
          <t>(5)(6)</t>
        </is>
      </c>
      <c r="C114" s="4" t="inlineStr">
        <is>
          <t>R8.9</t>
        </is>
      </c>
      <c r="D114" s="5" t="inlineStr">
        <is>
          <t>給付適正化の効果を見込量に織り込まないことでよいか</t>
        </is>
      </c>
      <c r="E114" s="5" t="inlineStr">
        <is>
          <t>給付適正化の対象サービス（住宅改修・特定福祉用具販売・福祉用具貸与・介護予防支援及び居宅介護支援）は総給付費の7.70％である。対象サービスを10％抑制できたとしても月額は▲47円にとどまる。①見込量は自然体推計であり、適正化は施策として別に置く整理としている。織り込むと施策の達成を前提に給付費を下げることになり、施策反映の歯止め（純減を認めない）に反する。②対計画比の偏りの補正は対象4サービスのうち3件を増やす向きに働く。適正化は抑制する向きであり、両者を二重に扱わない整理を要する。③住宅改修と特定福祉用具販売は令和7年度の対計画比が126.3％・128.5％と高く、点検の必要性と符合する。ただし8年平均では92.4％・95.6％であり直近2年の上振れによる。この整理でよいかご判断いただきたい。</t>
        </is>
      </c>
      <c r="F114" s="5" t="inlineStr">
        <is>
          <t>サービス見込量の算定
計画素案 第5章 基本目標5・第6章第2節</t>
        </is>
      </c>
      <c r="G114" s="5" t="inlineStr">
        <is>
          <t>発注者</t>
        </is>
      </c>
      <c r="H114" s="10" t="inlineStr">
        <is>
          <t>確認待ち</t>
        </is>
      </c>
      <c r="I114" s="10" t="inlineStr">
        <is>
          <t>R8.10</t>
        </is>
      </c>
      <c r="J114" s="11" t="inlineStr">
        <is>
          <t>趨勢に現れない要因の分析 05シート。
決着しない場合は給付適正化の効果を織り込まないまま概算する（安全側）。（受託者の仮置き。令和8年10月の意見交換会で諮る）</t>
        </is>
      </c>
    </row>
    <row r="115" ht="88" customHeight="1">
      <c r="A115" s="4" t="n">
        <v>111</v>
      </c>
      <c r="B115" s="4" t="inlineStr">
        <is>
          <t>(6)</t>
        </is>
      </c>
      <c r="C115" s="4" t="inlineStr">
        <is>
          <t>R8.9</t>
        </is>
      </c>
      <c r="D115" s="5" t="inlineStr">
        <is>
          <t>過年度の趨勢に現れない要因の扱い（認知症施策・高齢者向け住まいほか）</t>
        </is>
      </c>
      <c r="E115" s="5" t="inlineStr">
        <is>
          <t>見込量の算定は実績の趨勢を延ばすものであり、国の第10期基本指針（案）及び北海道第9期計画の8基本目標のうち過去の実績に現れていないものは反映されない。要因を12件抽出し、測れるもの7件・向きのみ3件・測れないもの2件に分けた。①認知症施策。認知症高齢者自立度Ⅱ以上の割合は平成24年4月末65.4％から令和6年10月末60.3％へ低下する一方、実数は年率＋2.17％で増えている。認知症対応型共同生活介護の実績は年率▲4.96％で減り、入居率は82.4％で定員に余裕がある。趨勢を延ばすと施策の方向と逆になる。②高齢者向け住まい。介護保険の指定を受けない住宅型有料老人ホーム9施設223人・サービス付き高齢者向け住宅2施設66戸・軽費老人ホーム1施設50人の計339人は、在宅受給者の月平均991.4人の34.2％に当たる。施設そのものは給付費に現れないが入居者は在宅サービスを利用する。第10期中の開設・廃止の予定をご提供いただきたい。③北海道第10期支援計画は未策定である。示された時点で再照合する。</t>
        </is>
      </c>
      <c r="F115" s="5" t="inlineStr">
        <is>
          <t>計画素案 第1章第8節・第2章第3節6・第5章 基本目標2・第6章第2節</t>
        </is>
      </c>
      <c r="G115" s="5" t="inlineStr">
        <is>
          <t>発注者・3町</t>
        </is>
      </c>
      <c r="H115" s="10" t="inlineStr">
        <is>
          <t>確認待ち</t>
        </is>
      </c>
      <c r="I115" s="10" t="inlineStr">
        <is>
          <t>R8.10</t>
        </is>
      </c>
      <c r="J115" s="11" t="inlineStr">
        <is>
          <t>趨勢に現れない要因の分析 02〜04シート。
決着しない場合は趨勢に現れない要因は向きのみを注記し、数値には織り込まない。（受託者の仮置き。令和8年10月の意見交換会で諮る）</t>
        </is>
      </c>
    </row>
    <row r="116" ht="88" customHeight="1">
      <c r="A116" s="4" t="n">
        <v>112</v>
      </c>
      <c r="B116" s="4" t="inlineStr">
        <is>
          <t>(5)(6)</t>
        </is>
      </c>
      <c r="C116" s="4" t="inlineStr">
        <is>
          <t>R8.9</t>
        </is>
      </c>
      <c r="D116" s="5" t="inlineStr">
        <is>
          <t>地域支援事業の量の見込みを算定してよいか</t>
        </is>
      </c>
      <c r="E116" s="5" t="inlineStr">
        <is>
          <t>介護保険法第117条第2項第2号は「各年度における地域支援事業の量の見込み」を基本的記載事項としているが、当方は費用の額（B＝地域支援事業費）のみを令和6年度決算の水準で置いており、量を算定していない。①【令和8年9月25日】3町の地域包括支援センター事業実施報告書（令和7年度）を受領し、事業ごとの実施状況と量を確認できた。ただし量の単位が延べ人数であり、令和6年度の実施状況調査の利用者実人数に置き換えられない。事業ごとの利用者実人数（年間）と事業費のご提供をお願いしたい。②一般介護予防事業は通いの場の箇所数・参加者数を実績の趨勢で置く。③改正法により住民主体の通いの場が総合事業に位置づけられるため、これを反映する。④見える化のF15〜F25（地域包括支援センターの相談体制）及びF28〜F40（多様なサービス・活動の数）の再出力を依頼中である。算定してよいかご判断いただきたい。</t>
        </is>
      </c>
      <c r="F116" s="5" t="inlineStr">
        <is>
          <t>サービス見込量 第2次概算
計画素案 第6章第3節</t>
        </is>
      </c>
      <c r="G116" s="5" t="inlineStr">
        <is>
          <t>発注者</t>
        </is>
      </c>
      <c r="H116" s="10" t="inlineStr">
        <is>
          <t>確認待ち</t>
        </is>
      </c>
      <c r="I116" s="10" t="inlineStr">
        <is>
          <t>R8.10</t>
        </is>
      </c>
      <c r="J116" s="11" t="inlineStr">
        <is>
          <t>サービス見込量算定の統合報告書 03・04シート。令和8年9月16日、令和6年度の実績を据え置いて延ばした量の見込みを第6章第3節2に掲げた。令和8年9月25日、3町の実施報告書により令和7年度の実施状況を確認し、見込量算定 11シートに掲げた。単位が延べ人数であるため見込みの基礎は令和6年度のままとし、利用者実人数の受領後に置き直す。
決着しない場合は令和6年度の利用者実人数を据え置いて延ばした量の見込みを掲げ、令和7年度の実施状況は単位が異なるため別の表として示す。（受託者の仮置き。令和8年10月の意見交換会で諮る）</t>
        </is>
      </c>
    </row>
    <row r="117" ht="88" customHeight="1">
      <c r="A117" s="4" t="n">
        <v>113</v>
      </c>
      <c r="B117" s="4" t="inlineStr">
        <is>
          <t>(5)</t>
        </is>
      </c>
      <c r="C117" s="4" t="inlineStr">
        <is>
          <t>R8.9</t>
        </is>
      </c>
      <c r="D117" s="5" t="inlineStr">
        <is>
          <t>混合型特定施設の必要利用定員総数を定めるか</t>
        </is>
      </c>
      <c r="E117" s="5" t="inlineStr">
        <is>
          <t>介護保険法第117条第3項は、見込量を定めるに当たって勘案すべき事項として混合型特定施設入居者生活介護に係る必要利用定員総数を挙げている。第9期計画には記載がない。区域内の特定施設入居者生活介護は定員156人に対し令和7年度の実績が61.5人／月（39.4％）である。率が低いのは、他の保険者の被保険者が区域内の施設に入居していることによる（当方の61.5人／月には要支援1・2を含んでいる）。定員に対する当連合の被保険者の受給者数の割合が低いことは、区域内に空きがあることを意味しない。①区域内の特定施設が混合型か介護専用型かを確認できていない。北海道の指定事業所一覧における類型の別をご確認いただきたい。②混合型である場合、必要利用定員総数を定めるかどうかをご判断いただきたい。定めない場合は、定めない旨を計画に記載する。</t>
        </is>
      </c>
      <c r="F117" s="5" t="inlineStr">
        <is>
          <t>サービス見込量の算定
計画素案 第6章第4節4</t>
        </is>
      </c>
      <c r="G117" s="5" t="inlineStr">
        <is>
          <t>発注者・北海道</t>
        </is>
      </c>
      <c r="H117" s="10" t="inlineStr">
        <is>
          <t>解決</t>
        </is>
      </c>
      <c r="I117" s="10" t="inlineStr">
        <is>
          <t>R8.9</t>
        </is>
      </c>
      <c r="J117" s="11" t="inlineStr">
        <is>
          <t>サービス見込量算定の統合報告書 03・04シート。確認事項No.88（日常生活圏域と必要利用定員総数）と一体。【令和8年10月15日　解決】参照条文により、混合型特定施設入居者生活介護に係る必要利用定員総数は介護保険法第118条第4項により都道府県介護保険事業支援計画において定めることができる事項であり、第117条には現れないことを確かめた。介護専用型特定施設入居者生活介護に係る必要利用定員総数も第118条第2項第1号により都道府県が定める。すなわちいずれも本計画の記載事項ではない。当方が従前「第117条第3項の勘案事項」としていたのは誤りであった。あわせて第8条第21項により、介護専用型特定施設はその入居者が要介護者、その配偶者その他厚生労働省令で定める者に限られるものであり、類型は入居の要件により定まることが分かった。計画素案 第6章第4節4の記述を是正した</t>
        </is>
      </c>
    </row>
    <row r="118" ht="88" customHeight="1">
      <c r="A118" s="4" t="n">
        <v>114</v>
      </c>
      <c r="B118" s="4" t="inlineStr">
        <is>
          <t>(5)(6)</t>
        </is>
      </c>
      <c r="C118" s="4" t="inlineStr">
        <is>
          <t>R8.9</t>
        </is>
      </c>
      <c r="D118" s="5" t="inlineStr">
        <is>
          <t>令和22年度までの中長期推計をどこまで算定するか</t>
        </is>
      </c>
      <c r="E118" s="5" t="inlineStr">
        <is>
          <t>社会福祉法等の一部を改正する法律（令和8年法律第51号）により、中長期的なサービス見通しを計画に定めることが必須となる。国の第10期基本指針（案）も2040年度を含む中長期推計を求めている。当方は認定者数について令和17年度2,228人・令和22年度2,288人を算定済みであるが、見込量・給付費・保険料は令和9〜11年度にとどまる。①採用パターンP3の1人あたり給付費を固定し、認定者数の推計値を乗じてサービス種類別に延長する方法により算定できる。②保険料の水準は第1号被保険者数の推計値で除して示す。③単価を令和7年度で固定するか趨勢を置くかは確認事項No.109と一体であり、13年先まで固定すると水準を大きく下回る。④地域支援事業の量及び費用の額も対象であり確認事項No.112と一体である。算定の範囲（サービス種類別か区分計か、令和17年度も示すか）をご判断いただきたい。</t>
        </is>
      </c>
      <c r="F118" s="5" t="inlineStr">
        <is>
          <t>サービス見込量 第2次概算
将来推計 第3段階
計画素案 第2章第8節・第6章第2節</t>
        </is>
      </c>
      <c r="G118" s="5" t="inlineStr">
        <is>
          <t>発注者</t>
        </is>
      </c>
      <c r="H118" s="10" t="inlineStr">
        <is>
          <t>確認待ち</t>
        </is>
      </c>
      <c r="I118" s="10" t="inlineStr">
        <is>
          <t>R8.10</t>
        </is>
      </c>
      <c r="J118" s="11" t="inlineStr">
        <is>
          <t>サービス見込量算定の統合報告書 03・04シート。令和8年9月16日、令和17年度・令和22年度の見込量及び総給付費を第6章第2節・第3節に掲げた（単価は令和7年度で固定）。保険料の水準及び地域支援事業費は将来にわたり置けないため掲げていない。
決着しない場合は計画本文に掲げる中長期推計は令和17年度・令和22年度とし、見込量・給付費・保険料のいずれも単価を令和7年度で固定して算定する。（受託者の仮置き。令和8年10月の意見交換会で諮る）</t>
        </is>
      </c>
    </row>
    <row r="119" ht="88" customHeight="1">
      <c r="A119" s="4" t="n">
        <v>115</v>
      </c>
      <c r="B119" s="4" t="inlineStr">
        <is>
          <t>(5)(6)</t>
        </is>
      </c>
      <c r="C119" s="4" t="inlineStr">
        <is>
          <t>R8.9</t>
        </is>
      </c>
      <c r="D119" s="5" t="inlineStr">
        <is>
          <t>令和9年4月に新設される区分を見込量に立てるか</t>
        </is>
      </c>
      <c r="E119" s="5" t="inlineStr">
        <is>
          <t>第10期の初年度から次の区分が生じる。いずれも見込量の区分に影響する。①登録施設介護（予防）支援。有料老人ホームの登録制の導入に伴い新設される。区域内の指定を受けない住宅型有料老人ホーム9施設223人が対象となり得る。②特定地域サービス（特例介護サービスの新類型）。既存サービスからの振替であり総量は変わらないが、月単位の包括払いを選ぶ場合は単価が変わる。③特定地域居宅サービス等事業。市町村が事業として実施する仕組みである。政令・省令・報酬が未告示であるため、現時点では区分を立てず、計画素案 第6章第4節1の確保方策の選択肢として扱うことを考えている。この整理でよいかご判断いただきたい。また、3町における特定地域の指定の意向をご教示いただきたい。【令和8年9月18日】社内で作成された全国自治体共通版の入力シートを点検したところ、地域支援事業の区分に「特定地域居宅サービス等事業」と「介護情報利活用事業」が置かれていた。③は給付の側ではなく地域支援事業の側の区分である可能性があり、「介護情報利活用事業」は当方がいずれの区分にも立てていない。いずれも受領物からの読み取りであって原典で確かめていないため、改正法・政令・省令により確認を要する。確認できるまで当方は現行の整理（給付の側に3区分を0で立てる）のままとする。</t>
        </is>
      </c>
      <c r="F119" s="5" t="inlineStr">
        <is>
          <t>サービス見込量 第2次概算
計画素案 第1章第9節・第6章第2節・第4節</t>
        </is>
      </c>
      <c r="G119" s="5" t="inlineStr">
        <is>
          <t>発注者・3町</t>
        </is>
      </c>
      <c r="H119" s="10" t="inlineStr">
        <is>
          <t>確認待ち</t>
        </is>
      </c>
      <c r="I119" s="10" t="inlineStr">
        <is>
          <t>R8.10</t>
        </is>
      </c>
      <c r="J119" s="11" t="inlineStr">
        <is>
          <t>サービス見込量算定の統合報告書 03・04シート。
決着しない場合は令和9年4月新設の3区分を0として立てる。（受託者の仮置き。令和8年10月の意見交換会で諮る）</t>
        </is>
      </c>
    </row>
    <row r="120" ht="88" customHeight="1">
      <c r="A120" s="4" t="n">
        <v>116</v>
      </c>
      <c r="B120" s="4" t="inlineStr">
        <is>
          <t>(5)(6)</t>
        </is>
      </c>
      <c r="C120" s="4" t="inlineStr">
        <is>
          <t>R8.9</t>
        </is>
      </c>
      <c r="D120" s="5" t="inlineStr">
        <is>
          <t>介護人材の確保状況を供給の制約として見込量に反映するか</t>
        </is>
      </c>
      <c r="E120" s="5" t="inlineStr">
        <is>
          <t>国の第10期基本指針（案）は人材確保・生産性向上・経営改善支援を記載充実事項に挙げている。当方の見込量は需要の推計であり、供給の制約を反映していない。①介護老人福祉施設では准看護師が7人から3人へ、生活相談員が5人から3人へ減少している。②計画素案 第6章第2節は需要の自然体推計・施策反映・供給実現性・需給差確認の4段階を掲げているが、供給実現性を算定するには事業所の休廃止・縮小意向と稼働率・待機の実績を要する。③見込量そのものは需要のまま置き、需給差を未充足・区域外利用・待機に分解して別に示す方法を考えている。この整理でよいか、また必要な資料をご提供いただけるかご確認いただきたい。</t>
        </is>
      </c>
      <c r="F120" s="5" t="inlineStr">
        <is>
          <t>サービス見込量 第2次概算
計画素案 第6章第2節・第4節</t>
        </is>
      </c>
      <c r="G120" s="5" t="inlineStr">
        <is>
          <t>発注者・3町</t>
        </is>
      </c>
      <c r="H120" s="10" t="inlineStr">
        <is>
          <t>確認待ち</t>
        </is>
      </c>
      <c r="I120" s="10" t="inlineStr">
        <is>
          <t>R8.10</t>
        </is>
      </c>
      <c r="J120" s="11" t="inlineStr">
        <is>
          <t>サービス見込量算定の統合報告書 03・04シート。
決着しない場合は供給の制約（人材）を見込量に反映しない（需要のみで算定する）。（受託者の仮置き。令和8年10月の意見交換会で諮る）</t>
        </is>
      </c>
    </row>
    <row r="121" ht="88" customHeight="1">
      <c r="A121" s="4" t="n">
        <v>117</v>
      </c>
      <c r="B121" s="4" t="inlineStr">
        <is>
          <t>(9)</t>
        </is>
      </c>
      <c r="C121" s="4" t="inlineStr">
        <is>
          <t>R8.9</t>
        </is>
      </c>
      <c r="D121" s="5" t="inlineStr">
        <is>
          <t>成果品の統合の方針</t>
        </is>
      </c>
      <c r="E121" s="5" t="inlineStr">
        <is>
          <t>見込量算定に関する成果品が4件（計36シート）に分かれていたため、統合報告書1件に束ねた。元の4件も残している。①送付資料一覧では統合報告書を主とし、元の4件を参考として扱う整理を考えている。②これ以外にも同じ整理が必要と考えられる成果品の群がある。受領点検の群、第9期評価の群、調査の集計・点検の群、人口推計の群、会議資料の校正の群である。③統合すると成果品の件数は減るが、1件あたりのシート数が増える。納品時の見やすさをどちらに置くかご判断いただきたい。</t>
        </is>
      </c>
      <c r="F121" s="5" t="inlineStr">
        <is>
          <t>成果品一覧
送付資料一覧</t>
        </is>
      </c>
      <c r="G121" s="5" t="inlineStr">
        <is>
          <t>発注者</t>
        </is>
      </c>
      <c r="H121" s="10" t="inlineStr">
        <is>
          <t>確認待ち</t>
        </is>
      </c>
      <c r="I121" s="10" t="inlineStr">
        <is>
          <t>R8.9</t>
        </is>
      </c>
      <c r="J121" s="11" t="inlineStr">
        <is>
          <t>サービス見込量算定の統合報告書 07シート。
決着しない場合は見込量算定の4成果品を統合報告書に束ね、元の4件も残す（現行）。（受託者の仮置き。令和8年10月の意見交換会で諮る）</t>
        </is>
      </c>
    </row>
    <row r="122" ht="88" customHeight="1">
      <c r="A122" s="4" t="n">
        <v>118</v>
      </c>
      <c r="B122" s="4" t="inlineStr">
        <is>
          <t>(2)(6)</t>
        </is>
      </c>
      <c r="C122" s="4" t="inlineStr">
        <is>
          <t>R8.9</t>
        </is>
      </c>
      <c r="D122" s="5" t="inlineStr">
        <is>
          <t>施策2-5の代表KPIを「施策化への転換率」とするか</t>
        </is>
      </c>
      <c r="E122" s="5" t="inlineStr">
        <is>
          <t>第9期計画の施策2-5「地域ケア会議の推進」の指標は「会議の開催回数」であり、第9期評価では「指標不足・成果を測る指標がない」と判定している。①令和8年9月11日に受領した市町村マニュアル（厚生労働省委託事業 令和3年度介護予防活動普及展開事業）が示す「構造」「過程」「結果」の3視点により13指標を並べ、うち7件を計画に掲げる案とした。②代表KPIを「提起された地域課題のうち、翌年度の事業・予算に反映されたものの割合」（施策化への転換率）とする。率は分母が小さい年に振れるため、実数（件数）を併記する。③基準値がないため、令和9年度は基準値の把握に充て、令和10・11年度に目標値を置く。④検討した事例の6か月後の生活機能、及び参加者が会議の成果を感じた割合を掲げるかは、町の負担を勘案してご判断いただきたい。</t>
        </is>
      </c>
      <c r="F122" s="5" t="inlineStr">
        <is>
          <t>計画素案 第5章 基本目標2
第9期評価（施策2-5）</t>
        </is>
      </c>
      <c r="G122" s="5" t="inlineStr">
        <is>
          <t>発注者</t>
        </is>
      </c>
      <c r="H122" s="10" t="inlineStr">
        <is>
          <t>確認待ち</t>
        </is>
      </c>
      <c r="I122" s="10" t="inlineStr">
        <is>
          <t>R8.10</t>
        </is>
      </c>
      <c r="J122" s="11" t="inlineStr">
        <is>
          <t>地域ケア会議の受領点検とKPI設計案 04シート。
決着しない場合は施策2-5の代表KPIはO2（提起された地域課題のうち翌年度の事業・予算に反映されたものの割合）とする（当方案）。（受託者の仮置き。令和8年10月の意見交換会で諮る）</t>
        </is>
      </c>
    </row>
    <row r="123" ht="88" customHeight="1">
      <c r="A123" s="4" t="n">
        <v>119</v>
      </c>
      <c r="B123" s="4" t="inlineStr">
        <is>
          <t>(2)(6)</t>
        </is>
      </c>
      <c r="C123" s="4" t="inlineStr">
        <is>
          <t>R8.9</t>
        </is>
      </c>
      <c r="D123" s="5" t="inlineStr">
        <is>
          <t>地域ケア会議の3町共通の記録様式を整えてよいか</t>
        </is>
      </c>
      <c r="E123" s="5" t="inlineStr">
        <is>
          <t>KPIの過程・結果の指標は、いずれも会議の記録に依存する。①記録様式の項目案12件を示した。課題の区分・課題の性質（特異的か普遍的か）・送り先・施策への反映の4項目が、成果指標の分母・分子を作る要である。②個票は3町が保有し、広域連合へは集計値のみを提出する整理としたい。氏名・生年月日・住所・被保険者番号は記入せず、事例の特定は町ごとの連番による。助言者は職種名のみを記入し、氏名・所属機関名は記入しない。③広域連合へ提出する集計の様式10項目も併せて示した。この整理でよいかご判断いただきたい。</t>
        </is>
      </c>
      <c r="F123" s="5" t="inlineStr">
        <is>
          <t>計画素案 第5章 基本目標2</t>
        </is>
      </c>
      <c r="G123" s="5" t="inlineStr">
        <is>
          <t>発注者・3町</t>
        </is>
      </c>
      <c r="H123" s="10" t="inlineStr">
        <is>
          <t>確認待ち</t>
        </is>
      </c>
      <c r="I123" s="10" t="inlineStr">
        <is>
          <t>R8.10</t>
        </is>
      </c>
      <c r="J123" s="11" t="inlineStr">
        <is>
          <t>地域ケア会議の受領点検とKPI設計案 05シート。
決着しない場合は地域ケア会議の記録様式は協議資料にとどめ、令和9年度に整える。（受託者の仮置き。令和8年10月の意見交換会で諮る）</t>
        </is>
      </c>
    </row>
    <row r="124" ht="88" customHeight="1">
      <c r="A124" s="4" t="n">
        <v>120</v>
      </c>
      <c r="B124" s="4" t="inlineStr">
        <is>
          <t>(2)(6)</t>
        </is>
      </c>
      <c r="C124" s="4" t="inlineStr">
        <is>
          <t>R8.9</t>
        </is>
      </c>
      <c r="D124" s="5" t="inlineStr">
        <is>
          <t>地域ケア個別会議と地域ケア推進会議を分けて計数するか</t>
        </is>
      </c>
      <c r="E124" s="5" t="inlineStr">
        <is>
          <t>介護保険法第115条の48の会議について、市町村マニュアルは、個別ケースの支援内容の検討を地域ケア個別会議、地域づくり・資源開発・政策形成を地域ケア推進会議として整理している例を示している。①第9期計画は2つを分けずに「会議の開催回数」で測っている。第10期では分けて数える案としたい。②推進会議を町ごとに置くか、広域連合に1つ置くか、既存の会議体に推進会議の機能を持たせるかをご判断いただきたい。日常生活圏域を3町とする案（確認事項No.88）と一体で整理する。③会議の設置要綱を町ごとに定めるか、広域連合が標準の様式を示すかも併せてご判断いただきたい。</t>
        </is>
      </c>
      <c r="F124" s="5" t="inlineStr">
        <is>
          <t>計画素案 第5章 基本目標2・第6章第4節4</t>
        </is>
      </c>
      <c r="G124" s="5" t="inlineStr">
        <is>
          <t>発注者・3町</t>
        </is>
      </c>
      <c r="H124" s="10" t="inlineStr">
        <is>
          <t>確認待ち</t>
        </is>
      </c>
      <c r="I124" s="10" t="inlineStr">
        <is>
          <t>R8.10</t>
        </is>
      </c>
      <c r="J124" s="11" t="inlineStr">
        <is>
          <t>地域ケア会議の受領点検とKPI設計案 02・06シート。
決着しない場合は地域ケア個別会議と地域ケア推進会議を分けずに計数する。（受託者の仮置き。令和8年10月の意見交換会で諮る）</t>
        </is>
      </c>
    </row>
    <row r="125" ht="88" customHeight="1">
      <c r="A125" s="4" t="n">
        <v>121</v>
      </c>
      <c r="B125" s="4" t="inlineStr">
        <is>
          <t>(2)</t>
        </is>
      </c>
      <c r="C125" s="4" t="inlineStr">
        <is>
          <t>R8.9</t>
        </is>
      </c>
      <c r="D125" s="5" t="inlineStr">
        <is>
          <t>3町の地域ケア会議の実績（令和6〜8年度）のご提供</t>
        </is>
      </c>
      <c r="E125" s="5" t="inlineStr">
        <is>
          <t>KPIの現況値を置くために次の7項目が必要である。①地域ケア個別会議の開催回数、②地域ケア推進会議の開催回数、③検討した事例数、④提起された地域課題の件数、⑤推進会議等で方策を協議した件数、⑥事業・予算に反映された件数、⑦助言者の職種数。①〜③は開催記録から把握できると考えられるが、④〜⑦は記録様式が整っていない場合は過去にさかのぼって把握できない可能性がある。把握できる範囲をご教示いただきたい。なお見える化システムのF15からF25（地域ケア会議開催回数を含む）は再出力を依頼しており、これにより①の一部は補える見込みである。当方が現に持っているのは、交付金評価の「生活支援コーディネーターの地域ケア会議への参加割合」（3町とも令和8年度に満点）と、理学療法士の地域ケア会議等への派遣回数（令和6年度・美瑛町12回）だけである。</t>
        </is>
      </c>
      <c r="F125" s="5" t="inlineStr">
        <is>
          <t>計画素案 第5章 基本目標2
第9期評価（施策2-5）</t>
        </is>
      </c>
      <c r="G125" s="5" t="inlineStr">
        <is>
          <t>3町</t>
        </is>
      </c>
      <c r="H125" s="10" t="inlineStr">
        <is>
          <t>確認待ち</t>
        </is>
      </c>
      <c r="I125" s="10" t="inlineStr">
        <is>
          <t>R8.10</t>
        </is>
      </c>
      <c r="J125" s="11" t="inlineStr">
        <is>
          <t>地域ケア会議の受領点検とKPI設計案 03シート。
決着しない場合は令和7年度の実施報告書により把握できる範囲で記述する。（受託者の仮置き。令和8年10月の意見交換会で諮る）</t>
        </is>
      </c>
    </row>
    <row r="126" ht="88" customHeight="1">
      <c r="A126" s="4" t="n">
        <v>122</v>
      </c>
      <c r="B126" s="4" t="inlineStr">
        <is>
          <t>(9)</t>
        </is>
      </c>
      <c r="C126" s="4" t="inlineStr">
        <is>
          <t>R8.9</t>
        </is>
      </c>
      <c r="D126" s="5" t="inlineStr">
        <is>
          <t>地域ケア会議関係資料の取扱いの確認</t>
        </is>
      </c>
      <c r="E126" s="5" t="inlineStr">
        <is>
          <t>令和8年9月11日に受領した5件（PDF82ファイル）のうち、次の2件には転載を禁ずる旨の記載がある。①通いの場の課題解決に向けたマニュアル「本マニュアルの内容、テキスト、画像等の無断転載・無断使用を固く禁じます」。②令和7年度北海道介護予防活動普及展開事業の普及啓発セミナー資料「動画内で使用されている全てのテキスト、音声、音楽、画像、映像等を無断使用、複製、改編したり販売や貸与することを禁止します」。当方は、①は出典として参照するにとどめ記述・図表を転載しない、②は成果品に用いず記載の借用も行わない、という扱いとした。また②には担当者の氏名・電話番号・電子メールアドレス・顔写真が含まれるため、保管せず作業の終了後に廃棄する。この扱いでよいかご確認いただきたい。②を成果品に引用する必要がある場合は、北海道への確認をお願いすることになる。</t>
        </is>
      </c>
      <c r="F126" s="5" t="inlineStr">
        <is>
          <t>地域ケア会議の受領点検とKPI設計案
計画素案 第5章 基本目標2</t>
        </is>
      </c>
      <c r="G126" s="5" t="inlineStr">
        <is>
          <t>発注者</t>
        </is>
      </c>
      <c r="H126" s="10" t="inlineStr">
        <is>
          <t>確認待ち</t>
        </is>
      </c>
      <c r="I126" s="10" t="inlineStr">
        <is>
          <t>R8.9</t>
        </is>
      </c>
      <c r="J126" s="11" t="inlineStr">
        <is>
          <t>同表 00・01シート。
決着しない場合は転載を禁ずる旨の記載がある2件は成果品に用いず、原典（厚労省の市町村マニュアル及び別冊事例集）のみを引く。（受託者の仮置き。令和8年10月の意見交換会で諮る）</t>
        </is>
      </c>
    </row>
    <row r="127" ht="88" customHeight="1">
      <c r="A127" s="4" t="n">
        <v>123</v>
      </c>
      <c r="B127" s="4" t="inlineStr">
        <is>
          <t>(5)</t>
        </is>
      </c>
      <c r="C127" s="4" t="inlineStr">
        <is>
          <t>R8.9</t>
        </is>
      </c>
      <c r="D127" s="5" t="inlineStr">
        <is>
          <t>見える化システムの施設・居住系の画面から先へ進めない件</t>
        </is>
      </c>
      <c r="E127" s="5" t="inlineStr">
        <is>
          <t>当方は見える化システムに接続できないため画面の状態を確認できない。令和8年9月11日に受領した4ファイルから、次の2点を先に確かめていただきたい。①施設・居住系7区分のうち地域密着型特定施設入居者生活介護は区域内に事業所がなく、サービス利用者数の推計誤差も算定されていない。当該サービスの欄が空欄になっていないか（空欄であれば0を入力する）。介護療養型医療施設の区分が画面に残っている場合も同様である。②今回お送りいただいた4件はいずれも「推計方法の設定」画面で認定率の伸び・在宅サービス利用率の伸びを選ぶための資料である。この2つの設定が選択済み・保存済みか。③認知症対応型共同生活介護の定員が未確定であるため（99人＋［要確認］。確認事項No.88）、定員との整合の検査に掛かっている可能性がある。④画面の写し・エラーの表示・入力済みの値をご提供いただければさらに絞り込める。⑤上記で解消しない場合は見える化システムのヘルプデスクへの照会をお願いしたい。</t>
        </is>
      </c>
      <c r="F127" s="5" t="inlineStr">
        <is>
          <t>将来推計 第2段階・第3段階
サービス見込量の算定</t>
        </is>
      </c>
      <c r="G127" s="5" t="inlineStr">
        <is>
          <t>発注者</t>
        </is>
      </c>
      <c r="H127" s="10" t="inlineStr">
        <is>
          <t>確認待ち</t>
        </is>
      </c>
      <c r="I127" s="10" t="inlineStr">
        <is>
          <t>R8.9</t>
        </is>
      </c>
      <c r="J127" s="11" t="inlineStr">
        <is>
          <t>見える化 将来推計の設定資料の受領点検 04シート。
決着しない場合は見える化システムの推計値は現行の自然体推計のまま用いる。（受託者の仮置き。令和8年10月の意見交換会で諮る）</t>
        </is>
      </c>
    </row>
    <row r="128" ht="88" customHeight="1">
      <c r="A128" s="4" t="n">
        <v>124</v>
      </c>
      <c r="B128" s="4" t="inlineStr">
        <is>
          <t>(5)</t>
        </is>
      </c>
      <c r="C128" s="4" t="inlineStr">
        <is>
          <t>R8.9</t>
        </is>
      </c>
      <c r="D128" s="5" t="inlineStr">
        <is>
          <t>施設・居住系サービス利用者数の伸びの参考シートの有無</t>
        </is>
      </c>
      <c r="E128" s="5" t="inlineStr">
        <is>
          <t>認定率と在宅サービス利用率については伸びのパターンを比較する参考シートが出力されているが、施設・居住系サービス利用者数について同じ形のシートが受領資料に含まれていない。見える化システムから出力できるものであればご提供いただきたい。施設・居住系は定員に縛られ、在宅とは伸びの置き方が異なるため、実績の推移を確かめたうえで伸びを選ぶ必要がある。</t>
        </is>
      </c>
      <c r="F128" s="5" t="inlineStr">
        <is>
          <t>将来推計 第2段階
計画素案 第6章第2節・第4節</t>
        </is>
      </c>
      <c r="G128" s="5" t="inlineStr">
        <is>
          <t>発注者</t>
        </is>
      </c>
      <c r="H128" s="10" t="inlineStr">
        <is>
          <t>確認待ち</t>
        </is>
      </c>
      <c r="I128" s="10" t="inlineStr">
        <is>
          <t>R8.9</t>
        </is>
      </c>
      <c r="J128" s="11" t="inlineStr">
        <is>
          <t>同表 00シート。
決着しない場合は参考シートを受領できないものとして、施設・居住系の伸びは当方の要介護度別の算定（令和7年度の利用率を固定）による。画面の伸びの選択は「令和6年度→令和7年度の伸び」とする。（受託者の仮置き。令和8年10月の意見交換会で諮る）</t>
        </is>
      </c>
    </row>
    <row r="129" ht="88" customHeight="1">
      <c r="A129" s="4" t="n">
        <v>125</v>
      </c>
      <c r="B129" s="4" t="inlineStr">
        <is>
          <t>(5)(6)</t>
        </is>
      </c>
      <c r="C129" s="4" t="inlineStr">
        <is>
          <t>R8.9</t>
        </is>
      </c>
      <c r="D129" s="5" t="inlineStr">
        <is>
          <t>将来推計の参考シートの認定率が総括表の認定率と一致しないこと</t>
        </is>
      </c>
      <c r="E129" s="5" t="inlineStr">
        <is>
          <t>令和8年9月16日の点検により、当初の見立て（差は分子に第2号被保険者の認定者を含むかによる）を改めた。①当方の認定率21.8％（令和7年度）は年報様式1の5の第1号被保険者の認定者1,984人を年報の第1号被保険者数（年度末）9,090人で除したものであり、分子に第2号被保険者の認定者36人を含んでいない。②見える化システムの総括表にも要介護認定率の行があり、令和7年度21.307161％である。これは総括表の要介護認定者数1,943人を第1号被保険者数9,119人で除した値と小数第6位まで一致する。分子1,943人は年報の第1号1,984人と2.1％の差であり、総数2,020人とは3.8％の差である。分子は第1号被保険者の認定者とみるのが自然である。そうであれば当方と総括表は同じ定義であり、差は時点（総括表は各年9月末、当方は年度末）による。③一方、将来推計の推計方法を設定するための参考シートの認定率は令和7年度20.84％であり、総括表の21.31％と一致しない。令和3年度から令和7年度までの5か年とも比が0.977〜0.982である。差を分子の違いとみると35〜44人、分母の違いとみると逆算した分母が9,426人から9,323人へ年25人ずつ滑らかに減る系列になる。当方ではどちらとも決められない。④この3つ目の率が何であるか（性・年齢階級別に推計した認定率を全体に戻したものか、分子から第2号被保険者の認定者を除いたものか、ほか）をご確認いただきたい。⑤計画に掲げる認定率は、当方の定義（第1号のみ・年度末）で統一してよいかをご判断いただきたい。</t>
        </is>
      </c>
      <c r="F129" s="5" t="inlineStr">
        <is>
          <t>計画素案 第2章第1節3・第6章第1節
将来推計 第1段階・第2段階</t>
        </is>
      </c>
      <c r="G129" s="5" t="inlineStr">
        <is>
          <t>発注者</t>
        </is>
      </c>
      <c r="H129" s="10" t="inlineStr">
        <is>
          <t>確認待ち</t>
        </is>
      </c>
      <c r="I129" s="10" t="inlineStr">
        <is>
          <t>R8.10</t>
        </is>
      </c>
      <c r="J129" s="11" t="inlineStr">
        <is>
          <t>見える化の推計設定の受領点検 02シート。
決着しない場合は計画素案は年報による21.826％を用い、参考シートの20.84％は用いない。差は時点の違いとして注記する。（受託者の仮置き。令和8年10月の意見交換会で諮る）</t>
        </is>
      </c>
    </row>
    <row r="130" ht="88" customHeight="1">
      <c r="A130" s="4" t="n">
        <v>126</v>
      </c>
      <c r="B130" s="4" t="inlineStr">
        <is>
          <t>(5)</t>
        </is>
      </c>
      <c r="C130" s="4" t="inlineStr">
        <is>
          <t>R8.9</t>
        </is>
      </c>
      <c r="D130" s="5" t="inlineStr">
        <is>
          <t>見える化システムの推計方式は基本推計でよいか</t>
        </is>
      </c>
      <c r="E130" s="5" t="inlineStr">
        <is>
          <t>受領した認定者数の推計誤差では、令和6年度は基本推計▲0.72％・包括推計＋0.55％、令和7年度は基本推計▲0.50％・包括推計＋1.91％である。令和6年度だけを見れば包括推計の方が1.00に近いが、基本推計は2か年とも実績をわずかに下回る側で振れが小さく（2か年平均の絶対誤差0.61％）、包括推計は2か年とも上回る側で振れが大きい（同1.23％）。当方の採用パターンP3は年齢階級別の人口に階級別認定率を乗じる方法であり、基本推計（性別・年齢5歳階級別・要介護度別）に近い。見える化システムで推計方式を選ぶ場面では基本推計を選ぶ整理でよいかご判断いただきたい。</t>
        </is>
      </c>
      <c r="F130" s="5" t="inlineStr">
        <is>
          <t>将来推計 第2段階
サービス見込量の算定</t>
        </is>
      </c>
      <c r="G130" s="5" t="inlineStr">
        <is>
          <t>発注者</t>
        </is>
      </c>
      <c r="H130" s="10" t="inlineStr">
        <is>
          <t>確認待ち</t>
        </is>
      </c>
      <c r="I130" s="10" t="inlineStr">
        <is>
          <t>R8.9</t>
        </is>
      </c>
      <c r="J130" s="11" t="inlineStr">
        <is>
          <t>同表 01・03シート。
決着しない場合は基本推計に近いP3で概算する。（受託者の仮置き。令和8年10月の意見交換会で諮る）</t>
        </is>
      </c>
    </row>
    <row r="131" ht="88" customHeight="1">
      <c r="A131" s="4" t="n">
        <v>127</v>
      </c>
      <c r="B131" s="4" t="inlineStr">
        <is>
          <t>(5)</t>
        </is>
      </c>
      <c r="C131" s="4" t="inlineStr">
        <is>
          <t>R8.9</t>
        </is>
      </c>
      <c r="D131" s="5" t="inlineStr">
        <is>
          <t>見える化システムの総人口の設定を案Cに改めるか</t>
        </is>
      </c>
      <c r="E131" s="5" t="inlineStr">
        <is>
          <t>「実績及び推計方法の設定」の「総人口と被保険者数の設定」は「初期設定済です」と表示されており、国立社会保障・人口問題研究所「日本の地域別将来推計人口（令和5（2023）年推計）」が初期値として登録されている。当方は令和8年9月10日のご了承により案C（総人口＝地方創生総合戦略、年齢階級別＝住民基本台帳の実績趨勢）を採っており、3町計 令和11年度の65歳以上は案C 9,213人・見える化A系列（社人研）9,313人で100人の差がある。システムの設定を案Cに改めないと、計画本文の人口とシステムの推計が食い違う。設定を改めてよいか、また補正値の入力を当方で用意してよいかご判断いただきたい。決着しない場合は、計画本文は案Cのままとし、システムの推計は参考値として扱う。</t>
        </is>
      </c>
      <c r="F131" s="5" t="inlineStr">
        <is>
          <t>将来推計 第1段階
計画素案 第2章第1節・第6章第1節</t>
        </is>
      </c>
      <c r="G131" s="5" t="inlineStr">
        <is>
          <t>発注者</t>
        </is>
      </c>
      <c r="H131" s="10" t="inlineStr">
        <is>
          <t>確認待ち</t>
        </is>
      </c>
      <c r="I131" s="10" t="inlineStr">
        <is>
          <t>R8.10</t>
        </is>
      </c>
      <c r="J131" s="11" t="inlineStr">
        <is>
          <t>見える化の推計設定の受領点検 06シート。令和8年10月5日に受領した「被保険者数（補正後）補正率2区分」は、社人研推計を第1号被保険者数の実績で補正し、見える化システムの画面が求める男女別6階級の形にしたものである。国の「推計人口と第1号被保険者数の比較」は当広域連合の85歳以上で推計人口が第1号被保険者数を9.2％上回ることを示しており、補正を要する区分である。案Cによる入力値（令和8年9月30日提示）と社人研推計を補正した値のいずれを用いるかのご判断を要する（人口推計コーホート分析の妥当性検証 07シート）。
決着しない場合は人口の設定を案Cに改める（入力値は算定済み）。改められない場合は画面の社人研推計のままとし、当方の算定との差（第1号被保険者数で＋31人から＋134人）を注記する。（受託者の仮置き。令和8年10月の意見交換会で諮る）</t>
        </is>
      </c>
    </row>
    <row r="132" ht="88" customHeight="1">
      <c r="A132" s="4" t="n">
        <v>128</v>
      </c>
      <c r="B132" s="4" t="inlineStr">
        <is>
          <t>(5)</t>
        </is>
      </c>
      <c r="C132" s="4" t="inlineStr">
        <is>
          <t>R8.9</t>
        </is>
      </c>
      <c r="D132" s="5" t="inlineStr">
        <is>
          <t>令和8年度の実績見込み値を編集するか</t>
        </is>
      </c>
      <c r="E132" s="5" t="inlineStr">
        <is>
          <t>「推計方法の設定」では、施設・居住系サービス及び在宅サービスの令和8年度の実績見込み値について「編集しない場合は令和8年度の介護保険事業状況報告月報の値から計算した実績見込み値（計算値）を使用します」とされており、現在は編集していない。令和8年度は令和8年4月から7月までの4か月であり、当方は数量の基準年度を令和7年度のみとしている。また在宅サービスは冬季が夏季より2.48％低いため、4月から7月までの値は夏季に偏る。①実績見込み値を編集して令和7年度の月平均に置き換えるか、②月報からの計算値のままとするかをご判断いただきたい。①を採る場合の入力値は年報（令和7年度）の要介護度別の明細により算定済みである（認定者数・施設居住系・在宅の利用者数・在宅の利用回（日）数の4項目）。決着しない場合は、当方の算定は年報の令和7年度によるため見込量に影響はなく、システムの出力との差として残る。</t>
        </is>
      </c>
      <c r="F132" s="5" t="inlineStr">
        <is>
          <t>将来推計 第2段階
サービス見込量の算定</t>
        </is>
      </c>
      <c r="G132" s="5" t="inlineStr">
        <is>
          <t>発注者</t>
        </is>
      </c>
      <c r="H132" s="10" t="inlineStr">
        <is>
          <t>確認待ち</t>
        </is>
      </c>
      <c r="I132" s="10" t="inlineStr">
        <is>
          <t>R8.10</t>
        </is>
      </c>
      <c r="J132" s="11" t="inlineStr">
        <is>
          <t>令和8年度の実績見込み値の入力案（15シート）。
決着しない場合は見える化システムの令和8年度の実績見込み値は編集しないまま概算する。当方の算定は年報（令和7年度）によるため見込量は動かず、システムの出力との差として残る。（受託者の仮置き。令和8年10月の意見交換会で諮る）</t>
        </is>
      </c>
    </row>
    <row r="133" ht="88" customHeight="1">
      <c r="A133" s="4" t="n">
        <v>129</v>
      </c>
      <c r="B133" s="4" t="inlineStr">
        <is>
          <t>(5)</t>
        </is>
      </c>
      <c r="C133" s="4" t="inlineStr">
        <is>
          <t>R8.9</t>
        </is>
      </c>
      <c r="D133" s="5" t="inlineStr">
        <is>
          <t>見える化システムの利用率等の伸びの選択</t>
        </is>
      </c>
      <c r="E133" s="5" t="inlineStr">
        <is>
          <t>「推計方法の設定」の伸びの選択は、施設・居住系サービスの利用率等の伸び、在宅サービス利用者数の利用率の伸び、在宅サービス1人1月あたり利用回（日）数の伸びの3つとも「0（ゼロ）」である。画面の選択肢は①令和3年度→令和8年度・②令和7年度→令和8年度・③令和6年度→令和8年度・④令和6年度→令和7年度の4つであり、①から③は令和8年度（4か月）を含むため、令和8年度を含まない④が当方の整理に合う。ただし1年分の伸びを延長することになる。なお①の伸びは施設・居住系の3サービスとも0.0％であり、施設・居住系については伸びを0と置いても大きくは変わらない。在宅は居宅療養管理指導が令和3年度4.97％から令和8年度14.22％へ2.9倍になっており、扱いが異なる。決着しない場合は④を選ぶ。</t>
        </is>
      </c>
      <c r="F133" s="5" t="inlineStr">
        <is>
          <t>将来推計 第2段階
サービス見込量の算定</t>
        </is>
      </c>
      <c r="G133" s="5" t="inlineStr">
        <is>
          <t>発注者</t>
        </is>
      </c>
      <c r="H133" s="10" t="inlineStr">
        <is>
          <t>確認待ち</t>
        </is>
      </c>
      <c r="I133" s="10" t="inlineStr">
        <is>
          <t>R8.10</t>
        </is>
      </c>
      <c r="J133" s="11" t="inlineStr">
        <is>
          <t>見える化の推計設定の受領点検 06シート。
決着しない場合は令和8年度（4か月）を含まない④（令和6年度→令和7年度）の伸びを選んだものとして概算する。当方の算定（令和7年度基準）と置き方がそろう。（受託者の仮置き。令和8年10月の意見交換会で諮る）</t>
        </is>
      </c>
    </row>
    <row r="134" ht="88" customHeight="1">
      <c r="A134" s="4" t="n">
        <v>130</v>
      </c>
      <c r="B134" s="4" t="inlineStr">
        <is>
          <t>(6)</t>
        </is>
      </c>
      <c r="C134" s="4" t="inlineStr">
        <is>
          <t>R8.9</t>
        </is>
      </c>
      <c r="D134" s="5" t="inlineStr">
        <is>
          <t>認知症基本法第13条の市町村認知症施策推進計画をどう扱うか</t>
        </is>
      </c>
      <c r="E134" s="5" t="inlineStr">
        <is>
          <t>共生社会の実現を推進するための認知症基本法（令和5年法律第65号）は、市町村認知症施策推進計画について定めている（第13条。項番号は［要確認］）。計画素案には同法への言及がなく、現在0件である。第1章第2節（計画の位置付け）は構成3町の老人福祉計画との切り分けと給付適正化計画（法第117条第2項第3号・第4号）を整理しているが、認知症は扱っていない。次の3点をご判断いただきたい。①策定の主体。同法は「市町村」を名宛人としており、介護保険の保険者である広域連合とは範囲が異なる。広域連合が第10期計画に一体のものとして位置づけるか、構成3町がそれぞれ策定するかを決める必要がある。②認知症総合支援事業（地域支援事業の包括的支援事業）の実施主体との関係。③同法が求める認知症の人及び家族等からの意見の聴取を誰がどのように行うか。意見聴取は記述の追加では満たされず、策定委員会・運営協議会の構成が決まる前に方針を決める必要がある。</t>
        </is>
      </c>
      <c r="F134" s="5" t="inlineStr">
        <is>
          <t>計画素案 第1章第2節・第5章 基本目標2</t>
        </is>
      </c>
      <c r="G134" s="5" t="inlineStr">
        <is>
          <t>発注者・3町</t>
        </is>
      </c>
      <c r="H134" s="10" t="inlineStr">
        <is>
          <t>確認待ち</t>
        </is>
      </c>
      <c r="I134" s="10" t="inlineStr">
        <is>
          <t>R8.9</t>
        </is>
      </c>
      <c r="J134" s="11" t="inlineStr">
        <is>
          <t>ブランチ内資料の点検（令和8年9月11日）による指摘。当方の資料における認知症基本法への言及は1件のみで、第13条への言及はない。令和8年9月16日、検討資料「認知症施策推進計画の位置づけと見込量への反映」（10シート）を作成した。①はご了承により案Bを採用し、計画素案 第1章第2節・第1章第8節・資料2・第5章 基本目標2に反映済みである（令和8年9月16日）。案Bは、構成3町がそれぞれ市町村認知症施策推進計画を策定し、広域連合の計画は介護保険法第117条第3項の任意記載事項として認知症施策を掲げるものである。②③は決着していない。②は交付金評価が市町村単位で3町の得点が開いている（令和8年度 東川33・美瑛19・東神楽37点）ことを整理した。③は手元に意見を聴いた資料がないことを確かめ、聴取の方法3案と時期（方針決定は令和8年9月中）を示した。諮る資料であり素案には入れていない。
決着しない場合は案B（3町がそれぞれ市町村計画を策定する）のまま素案に反映する。（受託者の仮置き。令和8年10月の意見交換会で諮る）</t>
        </is>
      </c>
    </row>
    <row r="135" ht="88" customHeight="1">
      <c r="A135" s="4" t="n">
        <v>131</v>
      </c>
      <c r="B135" s="4" t="inlineStr">
        <is>
          <t>(5)(6)</t>
        </is>
      </c>
      <c r="C135" s="4" t="inlineStr">
        <is>
          <t>R8.9</t>
        </is>
      </c>
      <c r="D135" s="5" t="inlineStr">
        <is>
          <t>第6章第2節の見込量の表に何を掲げるか</t>
        </is>
      </c>
      <c r="E135" s="5" t="inlineStr">
        <is>
          <t>第6章第2節の導入文は「利用者数、回数・日数、必要定員及び給付費を推計し」としているが、実際の表は介護給付の1月当たり利用者数のみである。①利用回数・利用日数を同節に掲げるか。国の様式は回数・日数を求めており、見える化システムにも設定項目がある。②必要利用定員総数は第4節4に置いているが、第2節に再掲するかどうか。③介護予防・日常生活支援総合事業の量の見込み（法第117条第2項第2号の基本的記載事項）は第3節2に置くこととしているが、同節の表は現在のところ費用の額のみである（確認事項No.112と一体）。様式は第3章第2節の第9期実績から起こすことができる。本節の記載範囲をご判断いただきたい。なお本節の表の数値は、見える化システムの将来推計の自然体推計値であることが令和8年9月11日に受領した画面の写しにより確かめられた（施設・居住系7サービス16値が完全に一致）。</t>
        </is>
      </c>
      <c r="F135" s="5" t="inlineStr">
        <is>
          <t>計画素案 第6章第2節・第3節
サービス見込量の算定</t>
        </is>
      </c>
      <c r="G135" s="5" t="inlineStr">
        <is>
          <t>発注者</t>
        </is>
      </c>
      <c r="H135" s="10" t="inlineStr">
        <is>
          <t>確認待ち</t>
        </is>
      </c>
      <c r="I135" s="10" t="inlineStr">
        <is>
          <t>R8.9</t>
        </is>
      </c>
      <c r="J135" s="11" t="inlineStr">
        <is>
          <t>ブランチ内資料の点検（令和8年9月11日）による指摘。見込量表の出所が特定できていなかった点は解決した。令和8年9月16日、第1次概算の結果を第6章第2節・第3節に反映し、①利用回（日）数を（4）として、③総合事業及び一般介護予防事業の量の見込みを第3節2として掲げた。②必要利用定員総数の第2節への再掲は行っていない。掲げ方の可否をご確認いただきたい。
決着しない場合は計画素案 第6章第2節に利用回（日）数を、第3節2に介護予防・日常生活支援総合事業及び一般介護予防事業の量の見込みを掲げた現行のまま確定する。必要利用定員総数の第2節への再掲は行わない（第4節4による）。（受託者の仮置き。令和8年10月の意見交換会で諮る）</t>
        </is>
      </c>
    </row>
    <row r="136" ht="88" customHeight="1">
      <c r="A136" s="4" t="n">
        <v>132</v>
      </c>
      <c r="B136" s="4" t="inlineStr">
        <is>
          <t>(5)</t>
        </is>
      </c>
      <c r="C136" s="4" t="inlineStr">
        <is>
          <t>R8.9</t>
        </is>
      </c>
      <c r="D136" s="5" t="inlineStr">
        <is>
          <t>在宅サービスの実績見込み値の編集画面の現在値のご提供</t>
        </is>
      </c>
      <c r="E136" s="5" t="inlineStr">
        <is>
          <t>在宅サービスについて、当方は要介護度別の利用者数の実数を持っていない。「推計方法の設定」の（4）1）「利用者数の実績見込み値を編集する」を開いた画面の写しをご提供いただければ、施設・居住系と同じようにそのまま貼り付けられる実数の表をお作りする。あわせて（4）2）の利用回（日）数の編集画面もご提供いただきたい。利用回（日）数については、当方は要介護度別の実績を持っておらず、現時点では案を示していない。なお在宅については、現在の計算値に乗じる倍率（令和7年度の利用率÷令和8年度の利用率）を用意している。</t>
        </is>
      </c>
      <c r="F136" s="5" t="inlineStr">
        <is>
          <t>将来推計 第2段階
サービス見込量の算定</t>
        </is>
      </c>
      <c r="G136" s="5" t="inlineStr">
        <is>
          <t>発注者</t>
        </is>
      </c>
      <c r="H136" s="10" t="inlineStr">
        <is>
          <t>確認待ち</t>
        </is>
      </c>
      <c r="I136" s="10" t="inlineStr">
        <is>
          <t>R8.9</t>
        </is>
      </c>
      <c r="J136" s="11" t="inlineStr">
        <is>
          <t>令和8年度実績見込み値の入力案 03・04シート。
決着しない場合は在宅の実績見込み値は当方の入力案のまま置く。（受託者の仮置き。令和8年10月の意見交換会で諮る）</t>
        </is>
      </c>
    </row>
    <row r="137" ht="88" customHeight="1">
      <c r="A137" s="4" t="n">
        <v>133</v>
      </c>
      <c r="B137" s="4" t="inlineStr">
        <is>
          <t>(5)</t>
        </is>
      </c>
      <c r="C137" s="4" t="inlineStr">
        <is>
          <t>R8.9</t>
        </is>
      </c>
      <c r="D137" s="5" t="inlineStr">
        <is>
          <t>介護老人保健施設の令和8年度の減少をどう見るか</t>
        </is>
      </c>
      <c r="E137" s="5" t="inlineStr">
        <is>
          <t>介護老人保健施設の利用者数は令和7年度130人／月から令和8年度111人／月へ14.6％減っている。当方の季節性の検証では施設は冬季が夏季より2.80％高く、令和8年度が令和8年4月から7月までであることによる分はこの程度の大きさである。14.6％の減はこれでは説明できない。①休止床・改修・職員の不足など、実際に受入れが減っている事情があるかをご確認いただきたい。②実際の減少である場合は、令和7年度の水準を実績見込み値に置くと過大な見込みになる。③定員は3施設240人で平成27年度から変わっていない（計画素案 第6章第4節2）。④同じ期間に介護老人福祉施設は140人から146人へ増えており、施設全体が減っているわけではない。</t>
        </is>
      </c>
      <c r="F137" s="5" t="inlineStr">
        <is>
          <t>将来推計 第2段階
計画素案 第6章第4節2</t>
        </is>
      </c>
      <c r="G137" s="5" t="inlineStr">
        <is>
          <t>発注者・3町</t>
        </is>
      </c>
      <c r="H137" s="10" t="inlineStr">
        <is>
          <t>確認待ち</t>
        </is>
      </c>
      <c r="I137" s="10" t="inlineStr">
        <is>
          <t>R8.10</t>
        </is>
      </c>
      <c r="J137" s="11" t="inlineStr">
        <is>
          <t>令和8年度実績見込み値の入力案 05シート。
決着しない場合は令和8年度の月報（4〜7月）は基準年度に用いず、令和7年度を基準として概算する。（受託者の仮置き。令和8年10月の意見交換会で諮る）</t>
        </is>
      </c>
    </row>
    <row r="138" ht="88" customHeight="1">
      <c r="A138" s="4" t="n">
        <v>134</v>
      </c>
      <c r="B138" s="4" t="inlineStr">
        <is>
          <t>(5)</t>
        </is>
      </c>
      <c r="C138" s="4" t="inlineStr">
        <is>
          <t>R8.9</t>
        </is>
      </c>
      <c r="D138" s="5" t="inlineStr">
        <is>
          <t>年報（令和7年度）の様式別データのご提供</t>
        </is>
      </c>
      <c r="E138" s="5" t="inlineStr">
        <is>
          <t>見える化システムの令和8年度の実績見込み値を令和7年度に差し替えるに当たり、要介護度別の確定値を作るには年報（令和7年度）の次の様式が必要である。①様式1の5（要介護（要支援）認定者数。性別・年齢階級別）、②様式1の6（15）及び様式1の7（16）（18）（サービス別・要介護度別の受給者数）、③様式1の7（17）（19）（同 利用回（日）数）、④様式2（件数）。</t>
        </is>
      </c>
      <c r="F138" s="5" t="inlineStr">
        <is>
          <t>将来推計 第2段階
サービス見込量の算定</t>
        </is>
      </c>
      <c r="G138" s="5" t="inlineStr">
        <is>
          <t>発注者</t>
        </is>
      </c>
      <c r="H138" s="6" t="inlineStr">
        <is>
          <t>完了</t>
        </is>
      </c>
      <c r="I138" s="10" t="inlineStr">
        <is>
          <t>R8.9</t>
        </is>
      </c>
      <c r="J138" s="11" t="inlineStr">
        <is>
          <t>令和8年9月11日に年報（令和7年度）の全様式を電子データで確認し、①〜④のすべてが得られた。②③④の要介護度別を確定値に置き換え、12で除した値が総括表詳細（１）と全24サービスで一致することを検算した（令和8年度実績見込み値の入力案 02〜06シート）。当該データは令和8年8月28日に受領済みの資料No.22と同一であり、当方が主要値のみを取り込み明細を取り込んでいなかったことによる起票であった。明細は確認のうえ収録した。本確認事項は当方の取込漏れによるものであり取り下げる</t>
        </is>
      </c>
    </row>
    <row r="139" ht="88" customHeight="1">
      <c r="A139" s="4" t="n">
        <v>135</v>
      </c>
      <c r="B139" s="4" t="inlineStr">
        <is>
          <t>(5)</t>
        </is>
      </c>
      <c r="C139" s="4" t="inlineStr">
        <is>
          <t>R8.9</t>
        </is>
      </c>
      <c r="D139" s="5" t="inlineStr">
        <is>
          <t>実績見込み値の入力欄が小数を受け付けるか</t>
        </is>
      </c>
      <c r="E139" s="5" t="inlineStr">
        <is>
          <t>整数に丸めると0又は1になるサービスがある。定期巡回・随時対応型訪問介護看護は月平均0.583人、認知症対応型通所介護は月平均1.000人である（いずれも区域内に事業所がなく区域外の事業所の利用による）。各欄を単純に四捨五入すると全欄が0になり、令和9年度から令和11年度も0のまま残る。</t>
        </is>
      </c>
      <c r="F139" s="5" t="inlineStr">
        <is>
          <t>将来推計 第2段階</t>
        </is>
      </c>
      <c r="G139" s="5" t="inlineStr">
        <is>
          <t>発注者</t>
        </is>
      </c>
      <c r="H139" s="6" t="inlineStr">
        <is>
          <t>完了</t>
        </is>
      </c>
      <c r="I139" s="10" t="inlineStr">
        <is>
          <t>R8.9</t>
        </is>
      </c>
      <c r="J139" s="11" t="inlineStr">
        <is>
          <t>令和8年9月11日、弊社の別案件において実際に小数を入力して出力された推計結果により解決した。①利用者数（人数）の欄は整数で扱われる（同じ表で令和6・7年度の人数は小数10桁まで表示されるのに対し、編集した令和8年度の人数は全45サービスが整数、令和9〜11年度の推計値も全135件が整数）。②利用回（日）数の欄は小数第1位まで受け付ける。当方は人数を最大剰余法による整数版（要支援・要介護の群ごとの合計を保つ）、利用回（日）数を小数第1位版として用意した。定期巡回は要介護5に1人が立ち0にはならない（令和8年度実績見込み値の入力案 02・03・04・05シート）</t>
        </is>
      </c>
    </row>
    <row r="140" ht="88" customHeight="1">
      <c r="A140" s="4" t="n">
        <v>136</v>
      </c>
      <c r="B140" s="4" t="inlineStr">
        <is>
          <t>(5)</t>
        </is>
      </c>
      <c r="C140" s="4" t="inlineStr">
        <is>
          <t>R8.9</t>
        </is>
      </c>
      <c r="D140" s="5" t="inlineStr">
        <is>
          <t>画面の令和7年度と年報の月平均の食い違い</t>
        </is>
      </c>
      <c r="E140" s="5" t="inlineStr">
        <is>
          <t>施設・居住系の令和7年度について、画面に表示された値と年報の要介護度別を12で除した値が一致しない。特定施設入居者生活介護は画面64人・年報61.50人（＋4.1％）、介護老人保健施設は画面130人・年報134.08人（▲3.0％）、介護医療院は画面6人・年報5.50人（＋9.1％）である。年報の側は、要介護度別の和を12で除した値が総括表詳細（１）と全24サービスで一致し、総括表の給付費の合計が年報の給付費と円単位で一致する（令和7年度 2,915,307,125円）。①画面の整数がどのように作られているかをご確認いただきたい（保険者単位と3町合計の違い、時点の違い、現物給付分と償還払いを含む件数の違いのいずれかと考えられる）。②実績見込み値には年報の値を用いる整理としてよいかご判断いただきたい。③画面の令和7年度は、特定施設入居者生活介護で合計64人に対し要介護度別の和が63人、介護老人福祉施設で合計140人に対し和が141人であり、そのまま貼ると誤差が入る。</t>
        </is>
      </c>
      <c r="F140" s="5" t="inlineStr">
        <is>
          <t>将来推計 第2段階
計画素案 第6章第2節</t>
        </is>
      </c>
      <c r="G140" s="5" t="inlineStr">
        <is>
          <t>発注者</t>
        </is>
      </c>
      <c r="H140" s="10" t="inlineStr">
        <is>
          <t>確認待ち</t>
        </is>
      </c>
      <c r="I140" s="10" t="inlineStr">
        <is>
          <t>R8.10</t>
        </is>
      </c>
      <c r="J140" s="11" t="inlineStr">
        <is>
          <t>令和8年度実績見込み値の入力案 05シート。【令和8年9月28日】令和8年8月審査分の利用状況統計表により給付費は審査月4〜8月の5か月となったが、月報は令和8年4〜7月の4か月のままである。月数をそろえるには令和8年8月分の月報を要する。
決着しない場合は年報の値を用いる（総括表・給付費と内的整合が取れているため）。画面の値は用いず、2％以上食い違う3区分を注記する。（受託者の仮置き。令和8年10月の意見交換会で諮る）</t>
        </is>
      </c>
    </row>
    <row r="141" ht="88" customHeight="1">
      <c r="A141" s="4" t="n">
        <v>137</v>
      </c>
      <c r="B141" s="4" t="inlineStr">
        <is>
          <t>(5)</t>
        </is>
      </c>
      <c r="C141" s="4" t="inlineStr">
        <is>
          <t>R8.9</t>
        </is>
      </c>
      <c r="D141" s="5" t="inlineStr">
        <is>
          <t>1人1月あたり給付費の実績値をどの年度にするか</t>
        </is>
      </c>
      <c r="E141" s="5" t="inlineStr">
        <is>
          <t>見える化システムの「推計方法の設定」には、1人1月あたり給付費の実績値を令和7年度とするか令和8年度とするかを選ぶ項目があり、施設・居住系と在宅で別に選べる。①当方は令和7年度（12か月の完結年度）を選ぶ案としたい。②ただし当方の検証では、単価は介護報酬改定の有無に関係なく年率1.75％で伸びており（構成を固定した連鎖ラスパイレス指数で7年＋12.93％）、令和7年度で固定することは月額で＋245〜＋327円に当たる。③令和9年度は介護報酬改定の年である（3年周期。第10期の初年度）。改定率1％あたり月額＋61円である。④施設・居住系と在宅で年度をそろえるかどうかも併せてご判断いただきたい。</t>
        </is>
      </c>
      <c r="F141" s="5" t="inlineStr">
        <is>
          <t>将来推計 第2段階
サービス見込量の算定</t>
        </is>
      </c>
      <c r="G141" s="5" t="inlineStr">
        <is>
          <t>発注者</t>
        </is>
      </c>
      <c r="H141" s="10" t="inlineStr">
        <is>
          <t>確認待ち</t>
        </is>
      </c>
      <c r="I141" s="10" t="inlineStr">
        <is>
          <t>R8.9</t>
        </is>
      </c>
      <c r="J141" s="11" t="inlineStr">
        <is>
          <t>令和8年度実績見込み値の入力案 00シート3。趨勢に現れない要因の分析（確認事項No.109〜No.111）と一体。
決着しない場合は1人1月あたり給付費は令和7年度で固定して概算する（単価の趨勢を織り込まないことによる効きは計画素案 第6章第6節2に掲げる）。（受託者の仮置き。令和8年10月の意見交換会で諮る）</t>
        </is>
      </c>
    </row>
    <row r="142" ht="88" customHeight="1">
      <c r="A142" s="4" t="n">
        <v>138</v>
      </c>
      <c r="B142" s="4" t="inlineStr">
        <is>
          <t>(5)</t>
        </is>
      </c>
      <c r="C142" s="4" t="inlineStr">
        <is>
          <t>R8.9</t>
        </is>
      </c>
      <c r="D142" s="5" t="inlineStr">
        <is>
          <t>認定者数の実績見込み値を編集する項目が画面にあるか</t>
        </is>
      </c>
      <c r="E142" s="5" t="inlineStr">
        <is>
          <t>当方は令和8年9月11日に「差し替えは4画面ある」とお伝えしたが、①認定者数について編集する項目が画面にあるかを確かめられていない。①受領した画面の写しで「実績及び推計方法の設定」に列挙されている編集項目は、（3）1）施設・居住系サービス利用者数の実績見込み値、（4）1）在宅サービス利用者数の実績見込み値、（4）2）在宅サービス利用回（日）数の実績見込み値の3件であり、認定者数の実績見込み値を編集する項目は写っていない。②画面の認定率は令和7年度・令和8年度とも20.84％で同じであり、令和8年度は既に令和7年度の率で置かれている可能性がある。③編集する項目がある場合は年報の実数（第1号1,984人）を入力する。ただし見える化システムの認定率の定義は当方と異なるため（画面20.84％・当方21.8％。時点も画面は各年9月末、当方は年度末。確認事項No.125が未解決）、年度末の実数をそのまま置いてよいかを併せてご確認いただきたい。④編集する項目がない場合は、認定率の伸びに「当該市町村における令和6年度→令和7年度の伸び」を選ぶことで令和8年度の影響を避ける形になる。</t>
        </is>
      </c>
      <c r="F142" s="5" t="inlineStr">
        <is>
          <t>将来推計 第2段階</t>
        </is>
      </c>
      <c r="G142" s="5" t="inlineStr">
        <is>
          <t>発注者</t>
        </is>
      </c>
      <c r="H142" s="10" t="inlineStr">
        <is>
          <t>確認待ち</t>
        </is>
      </c>
      <c r="I142" s="10" t="inlineStr">
        <is>
          <t>R8.9</t>
        </is>
      </c>
      <c r="J142" s="11" t="inlineStr">
        <is>
          <t>令和8年度実績見込み値の入力案 00シート1・07シート。②③④はそのまま入力できるため、本件は①のみに関わる。
決着しない場合は認定者数の実績見込み値を編集する項目がないものとして、認定率の伸びに「令和6年度→令和7年度の伸び」を選ぶ。（受託者の仮置き。令和8年10月の意見交換会で諮る）</t>
        </is>
      </c>
    </row>
    <row r="143" ht="88" customHeight="1">
      <c r="A143" s="4" t="n">
        <v>139</v>
      </c>
      <c r="B143" s="4" t="inlineStr">
        <is>
          <t>(3)</t>
        </is>
      </c>
      <c r="C143" s="4" t="inlineStr">
        <is>
          <t>R8.9</t>
        </is>
      </c>
      <c r="D143" s="5" t="inlineStr">
        <is>
          <t>健康とくらしの調査の個票の再提供の要否</t>
        </is>
      </c>
      <c r="E143" s="5" t="inlineStr">
        <is>
          <t>「調査クロス集計・分析」（24シート）は健康とくらしの調査の個票（4,729票）によるものである。個票は発注者指示（令和8年8月28日）により保管していないため、同成果品を作り直すことはできない。成果品そのものは収録済みで内容は確定しており、計画素案・代表KPIへの反映も済んでいるため現時点で不足はない。①今後、地区の定義の変更（確認事項No.9）や設問の追加集計により作り直しが必要になる場合は個票の再提供を要する。②その場合も個票は保管せず、作業後に廃棄する。③作り直しの予定がなければ再提供は不要である。</t>
        </is>
      </c>
      <c r="F143" s="5" t="inlineStr">
        <is>
          <t>調査クロス集計・分析の更新</t>
        </is>
      </c>
      <c r="G143" s="5" t="inlineStr">
        <is>
          <t>発注者</t>
        </is>
      </c>
      <c r="H143" s="10" t="inlineStr">
        <is>
          <t>確認待ち</t>
        </is>
      </c>
      <c r="I143" s="10" t="inlineStr">
        <is>
          <t>R8.9</t>
        </is>
      </c>
      <c r="J143" s="11" t="inlineStr">
        <is>
          <t>調査結果と年報実績の突合クロス集計 01シート。アンケート関係の成果品7件のうち6件は再出力できる。
決着しない場合は健康とくらしの調査の個票の再提供を依頼しない（成果品は収録済みで内容が確定しており、現時点で不足がない）。（受託者の仮置き。令和8年10月の意見交換会で諮る）</t>
        </is>
      </c>
    </row>
    <row r="144" ht="88" customHeight="1">
      <c r="A144" s="4" t="n">
        <v>140</v>
      </c>
      <c r="B144" s="4" t="inlineStr">
        <is>
          <t>(3)(6)</t>
        </is>
      </c>
      <c r="C144" s="4" t="inlineStr">
        <is>
          <t>R8.9</t>
        </is>
      </c>
      <c r="D144" s="5" t="inlineStr">
        <is>
          <t>在宅生活改善調査の結果を在宅の認定者全体に当てはめないこと</t>
        </is>
      </c>
      <c r="E144" s="5" t="inlineStr">
        <is>
          <t>在宅生活改善調査の利用者票（要介護度の判明98票）の要介護度分布は、年報による在宅の認定者（1,503.8人）の分布と食い違う（χ²＝43.5、自由度6。1％点16.81）。要介護3が期待6.7人に対し19人（2.8倍）、要支援1が期待18.9人に対し3人（0.16倍）である。ケアマネジャーを通じて在宅生活に困難を抱える方を集めた調査であり、在宅の認定者全体を代表するものではない。①計画素案において本調査の結果を引くときは「在宅で困難を抱える方の状況」として引き、在宅の認定者全体の割合として引かない整理としてよいか。②本調査に基づく代表KPI H12（確認事項No.4の振替案）も同じ母集団の指標となるため、目標値の置き方を併せてご判断いただきたい。</t>
        </is>
      </c>
      <c r="F144" s="5" t="inlineStr">
        <is>
          <t>計画素案 第2章第4節・第4章第3節</t>
        </is>
      </c>
      <c r="G144" s="5" t="inlineStr">
        <is>
          <t>発注者</t>
        </is>
      </c>
      <c r="H144" s="10" t="inlineStr">
        <is>
          <t>確認待ち</t>
        </is>
      </c>
      <c r="I144" s="10" t="inlineStr">
        <is>
          <t>R8.9</t>
        </is>
      </c>
      <c r="J144" s="11" t="inlineStr">
        <is>
          <t>調査結果と年報実績の突合クロス集計 02シート。年報の要介護度別を収めたことにより初めて確かめられた。
決着しない場合は在宅生活改善調査の結果は「在宅で困難を抱える方の状況」として引き、在宅の認定者全体の割合としては引かない。（受託者の仮置き。令和8年10月の意見交換会で諮る）</t>
        </is>
      </c>
    </row>
    <row r="145" ht="88" customHeight="1">
      <c r="A145" s="4" t="n">
        <v>141</v>
      </c>
      <c r="B145" s="4" t="inlineStr">
        <is>
          <t>(3)(5)</t>
        </is>
      </c>
      <c r="C145" s="4" t="inlineStr">
        <is>
          <t>R8.9</t>
        </is>
      </c>
      <c r="D145" s="5" t="inlineStr">
        <is>
          <t>区域を越えた施設利用の扱い</t>
        </is>
      </c>
      <c r="E145" s="5" t="inlineStr">
        <is>
          <t>施設の側から数えた在籍者（居所変更実態調査）と、保険者の側から数えた受給者（年報）は一致しない。介護老人保健施設は在籍206人に対し年報の受給者134.1人／月で在籍が上回る（区域内の施設が他の保険者の被保険者を受け入れている）。特別養護老人ホーム等は受給者197.5人／月が回答施設の定員152人を上回る（区域外の施設の利用と未回答施設の両方による）。①必要利用定員総数（確認事項No.88）は保険者単位で定めるものであり、区域内の施設の定員とは別に整理する必要がある。この整理でよいかご判断いただきたい。②区域外の施設を利用している当広域連合の被保険者の数を把握する手段があるかご教示いただきたい。住所地特例被保険者は年報様式1で77人と分かるが、住所地特例に当たらない区域外利用は年報からは分けられない。</t>
        </is>
      </c>
      <c r="F145" s="5" t="inlineStr">
        <is>
          <t>計画素案 第6章第4節4
サービス見込量の算定</t>
        </is>
      </c>
      <c r="G145" s="5" t="inlineStr">
        <is>
          <t>発注者</t>
        </is>
      </c>
      <c r="H145" s="10" t="inlineStr">
        <is>
          <t>確認待ち</t>
        </is>
      </c>
      <c r="I145" s="10" t="inlineStr">
        <is>
          <t>R8.9</t>
        </is>
      </c>
      <c r="J145" s="11" t="inlineStr">
        <is>
          <t>調査結果と年報実績の突合クロス集計 03・04・05シート。
決着しない場合は必要利用定員総数は区域内の施設の定員とは別に整理したまま概算する。（受託者の仮置き。令和8年10月の意見交換会で諮る）</t>
        </is>
      </c>
    </row>
    <row r="146" ht="88" customHeight="1">
      <c r="A146" s="4" t="n">
        <v>142</v>
      </c>
      <c r="B146" s="4" t="inlineStr">
        <is>
          <t>(5)</t>
        </is>
      </c>
      <c r="C146" s="4" t="inlineStr">
        <is>
          <t>R8.9</t>
        </is>
      </c>
      <c r="D146" s="5" t="inlineStr">
        <is>
          <t>第1次概算を既定値のまま出してよいか</t>
        </is>
      </c>
      <c r="E146" s="5" t="inlineStr">
        <is>
          <t>サービス見込量の算定（令和8年9月26日）を止めている確認事項が17件あり、うち期限が令和8年9月のものが16件ある。9月26日までに全件の決着は難しいと見込まれる。①決着していないものは当方の既定値により概算し、どの既定値によったかを明示する扱いでよいか。②既定値のうち保険料を高めに出す向きのもの（施策反映を行わない・給付適正化の効果を織り込まない・施設・居住系の実績の減少を将来へ延長しない）は安全側の置き方である。施策の達成を前提に下げると保険料が不足する側に誤るため、この向きとしている。この整理でよいか。③効きが最も大きいのは確認事項No.137（1人1月あたり給付費の実績値の年度。月額で＋245〜＋327円）であり、これだけは9月26日までに決定をいただきたい。</t>
        </is>
      </c>
      <c r="F146" s="5" t="inlineStr">
        <is>
          <t>サービス見込量の算定</t>
        </is>
      </c>
      <c r="G146" s="5" t="inlineStr">
        <is>
          <t>発注者</t>
        </is>
      </c>
      <c r="H146" s="10" t="inlineStr">
        <is>
          <t>確認待ち</t>
        </is>
      </c>
      <c r="I146" s="10" t="inlineStr">
        <is>
          <t>R8.9</t>
        </is>
      </c>
      <c r="J146" s="11" t="inlineStr">
        <is>
          <t>計画素案の課題整理 03シート。既定値は17件すべてに置いており、自己点検で網羅を確かめている。
決着しない場合は本表そのものに係る確認事項である。決着しない場合は、本シートの既定値によったことを第1次概算の資料に明示して提出する。（受託者の仮置き。令和8年10月の意見交換会で諮る）</t>
        </is>
      </c>
    </row>
    <row r="147" ht="88" customHeight="1">
      <c r="A147" s="4" t="n">
        <v>143</v>
      </c>
      <c r="B147" s="4" t="inlineStr">
        <is>
          <t>(6)</t>
        </is>
      </c>
      <c r="C147" s="4" t="inlineStr">
        <is>
          <t>R8.9</t>
        </is>
      </c>
      <c r="D147" s="5" t="inlineStr">
        <is>
          <t>計画素案の未確定箇所の表示の統一</t>
        </is>
      </c>
      <c r="E147" s="5" t="inlineStr">
        <is>
          <t>計画素案の未確定箇所は127箇所ある（要協議106・要確認20・要内訳1）。うち55箇所（43％）が第6章第4節（施設の見込み）に集中しており、日常生活圏域ごとの必要利用定員総数（確認事項No.88）が決まらないことによる。①［要協議］は決定を要するもの、［要確認］は事実の確認を要するもの、［要内訳］は内訳の提供を要するものという使い分けでよいか。②現在は同じ性質のものに異なる記号を用いている箇所がある。使い分けを揃える作業は受託者の作業だけで進む。③策定委員会にお諮りする版では、未確定箇所をそのまま残すか、一覧表に移して本文からは外すかをご判断いただきたい。</t>
        </is>
      </c>
      <c r="F147" s="5" t="inlineStr">
        <is>
          <t>計画素案（策定委員会用）</t>
        </is>
      </c>
      <c r="G147" s="5" t="inlineStr">
        <is>
          <t>発注者</t>
        </is>
      </c>
      <c r="H147" s="10" t="inlineStr">
        <is>
          <t>確認待ち</t>
        </is>
      </c>
      <c r="I147" s="10" t="inlineStr">
        <is>
          <t>R8.10</t>
        </is>
      </c>
      <c r="J147" s="11" t="inlineStr">
        <is>
          <t>計画素案の課題整理 01シート。未確定箇所とは別に、書くべき内容がまだ入っていない節が3節ある（第2章第4節・第6章第5節・第6章第7節）。
決着しない場合は未確定箇所の表示は［要協議］［要確認］［要内訳］の3種のままとする。（受託者の仮置き。令和8年10月の意見交換会で諮る）</t>
        </is>
      </c>
    </row>
    <row r="148" ht="88" customHeight="1">
      <c r="A148" s="4" t="n">
        <v>144</v>
      </c>
      <c r="B148" s="4" t="inlineStr">
        <is>
          <t>(12)</t>
        </is>
      </c>
      <c r="C148" s="4" t="inlineStr">
        <is>
          <t>R8.9</t>
        </is>
      </c>
      <c r="D148" s="5" t="inlineStr">
        <is>
          <t>統合した成果品の元の資料を残すか</t>
        </is>
      </c>
      <c r="E148" s="5" t="inlineStr">
        <is>
          <t>見込量算定の4件（基準年度とパターンの比較・季節性と施策反映・対計画比の補正・趨勢に現れない要因）は、サービス見込量算定_統合報告書（44シート）に収録済みで内容は同一である。現在は元の4件も残しており、同じ内容が2か所にある。①納品時に元の4件を残すか、統合報告書に一本化するかをご判断いただきたい。②残す場合、更新は統合報告書と元の資料の両方に反映する必要がある。③今後の統合（人口・認定者数の推計の5件ほか）も同じ扱いとしてよいか。④会議資料の校正記録6件は内部保管であり、納品時に1件へ束ねることができる。</t>
        </is>
      </c>
      <c r="F148" s="5" t="inlineStr">
        <is>
          <t>成果品一覧（納品時の構成）</t>
        </is>
      </c>
      <c r="G148" s="5" t="inlineStr">
        <is>
          <t>発注者</t>
        </is>
      </c>
      <c r="H148" s="10" t="inlineStr">
        <is>
          <t>確認待ち</t>
        </is>
      </c>
      <c r="I148" s="10" t="inlineStr">
        <is>
          <t>R8.10</t>
        </is>
      </c>
      <c r="J148" s="11" t="inlineStr">
        <is>
          <t>管理の統合と成果品の棚卸し 03・05シート。
決着しない場合は統合した成果品の元の資料を残す。（受託者の仮置き。令和8年10月の意見交換会で諮る）</t>
        </is>
      </c>
    </row>
    <row r="149" ht="88" customHeight="1">
      <c r="A149" s="4" t="n">
        <v>145</v>
      </c>
      <c r="B149" s="4" t="inlineStr">
        <is>
          <t>(5)</t>
        </is>
      </c>
      <c r="C149" s="4" t="inlineStr">
        <is>
          <t>R8.9</t>
        </is>
      </c>
      <c r="D149" s="5" t="inlineStr">
        <is>
          <t>計画作成支援ツールと年報のどちらを町別の値に用いるか</t>
        </is>
      </c>
      <c r="E149" s="5" t="inlineStr">
        <is>
          <t>施設・居住系サービスの月平均利用者数は、計画作成支援ツール（3町合計）が527人、年報（保険者単位）が480.17人で9.8％違う。サービス別では介護医療院が最も大きく違う（＋63.6％）。①サービス見込量・給付費・保険料は保険者単位で算定するため年報の値を用いる整理でよいか。②町別データシートは町別の値を示すため計画作成支援ツールの値によっており、3町を足しても年報の値にはならない。この違いを町別データシートに注記する整理でよいか。③給付費（確認事項No.87）も同じ性質の差であり、併せて整理する。</t>
        </is>
      </c>
      <c r="F149" s="5" t="inlineStr">
        <is>
          <t>町別データシート
サービス見込量の算定</t>
        </is>
      </c>
      <c r="G149" s="5" t="inlineStr">
        <is>
          <t>発注者</t>
        </is>
      </c>
      <c r="H149" s="10" t="inlineStr">
        <is>
          <t>確認待ち</t>
        </is>
      </c>
      <c r="I149" s="10" t="inlineStr">
        <is>
          <t>R8.9</t>
        </is>
      </c>
      <c r="J149" s="11" t="inlineStr">
        <is>
          <t>管理の統合と成果品の棚卸し 04シート。
決着しない場合はサービス見込量・給付費・保険料は年報（保険者単位）の値で概算し、町別データシートは計画作成支援ツールの値のまま示す。3町を足しても年報の値にならないことを注記する。（受託者の仮置き。令和8年10月の意見交換会で諮る）</t>
        </is>
      </c>
    </row>
    <row r="150" ht="88" customHeight="1">
      <c r="A150" s="4" t="n">
        <v>146</v>
      </c>
      <c r="B150" s="4" t="inlineStr">
        <is>
          <t>(5)</t>
        </is>
      </c>
      <c r="C150" s="4" t="inlineStr">
        <is>
          <t>R8.9</t>
        </is>
      </c>
      <c r="D150" s="5" t="inlineStr">
        <is>
          <t>見込量の伸びを要介護度別に改めてよいか</t>
        </is>
      </c>
      <c r="E150" s="5" t="inlineStr">
        <is>
          <t>従前の採用パターンP3は、認定者数の総数による一律の伸びでサービス見込量を延ばしていた。令和8年9月11日に年報（令和7年度）の要介護度別の明細を収めたことにより、サービス種別×要介護度の実績が確定値で得られるようになった。年報様式1の5の年齢階級別×要介護度の表により、年齢階級ごとの要介護度の構成も得られる。これにより、要介護度別に利用率を固定して延ばす算定ができる。①要介護度別の伸びによる算定に改めてよいか。一律の伸びとの差は算定上の月額基準額で＋8円である。②国の介護保険事業計画作成支援ツール及び見える化システムは要介護度別の入力を求めるため、入力値としても要介護度別が要る。③要介護度の構成そのもの（同じ年齢階級の中での構成）は令和7年度末の実績で固定している。認知症の人の増加による構成の変化は反映していない。</t>
        </is>
      </c>
      <c r="F150" s="5" t="inlineStr">
        <is>
          <t>サービス見込量の算定
計画素案 第6章第2節</t>
        </is>
      </c>
      <c r="G150" s="5" t="inlineStr">
        <is>
          <t>発注者</t>
        </is>
      </c>
      <c r="H150" s="10" t="inlineStr">
        <is>
          <t>確認待ち</t>
        </is>
      </c>
      <c r="I150" s="10" t="inlineStr">
        <is>
          <t>R8.9</t>
        </is>
      </c>
      <c r="J150" s="11" t="inlineStr">
        <is>
          <t>サービス見込量の算定 第1次概算 02〜04シート。令和8年9月16日、要介護度別の伸びによる算定を計画素案 第6章第2節に反映した。一律の伸びによる値との差は月額＋8円であり、第6節に併記している。ご判断をいただくまでは暫定である。
決着しない場合は要介護度別の伸びによる算定（第1次概算）で概算し、一律の伸びによる従前の値を併記する（差は計画素案 第6章第6節2に掲げる）。（受託者の仮置き。令和8年10月の意見交換会で諮る）</t>
        </is>
      </c>
    </row>
    <row r="151" ht="88" customHeight="1">
      <c r="A151" s="4" t="n">
        <v>147</v>
      </c>
      <c r="B151" s="4" t="inlineStr">
        <is>
          <t>(5)</t>
        </is>
      </c>
      <c r="C151" s="4" t="inlineStr">
        <is>
          <t>R8.9</t>
        </is>
      </c>
      <c r="D151" s="5" t="inlineStr">
        <is>
          <t>見える化システムの伸びの選択肢をどれとするか</t>
        </is>
      </c>
      <c r="E151" s="5" t="inlineStr">
        <is>
          <t>令和8年9月11日に受領した画面の写しによれば、施設・居住系サービス利用率の変化の画面で選べる伸びは①令和3年度→令和8年度 ②令和7年度→令和8年度 ③令和6年度→令和8年度 ④令和6年度→令和7年度 の4件である。①②③はいずれも令和8年度を終期側に含む。令和8年度は令和8年4〜7月の4か月から計算した実績見込み値であり、夏季に偏る（在宅 冬季▲2.48％・施設＋2.80％）。①当方は令和8年度を含まない④を採る整理としているが、これでよいかご判断いただきたい。②在宅サービス利用者数の伸び・在宅サービス1人1月あたり利用回（日）数の伸びにも同じ選択が要る。③当方の算定（令和7年度基準）と置き方がそろうのは④である。</t>
        </is>
      </c>
      <c r="F151" s="5" t="inlineStr">
        <is>
          <t>見える化システムへの入力
サービス見込量の算定</t>
        </is>
      </c>
      <c r="G151" s="5" t="inlineStr">
        <is>
          <t>発注者</t>
        </is>
      </c>
      <c r="H151" s="10" t="inlineStr">
        <is>
          <t>確認待ち</t>
        </is>
      </c>
      <c r="I151" s="10" t="inlineStr">
        <is>
          <t>R8.9</t>
        </is>
      </c>
      <c r="J151" s="11" t="inlineStr">
        <is>
          <t>入力前段支援アプリの点検 04シート。
決着しない場合は令和8年度を含まない④（令和6年度→令和7年度）を採ったものとして概算する。当方の算定（令和7年度基準）と置き方がそろう。（受託者の仮置き。令和8年10月の意見交換会で諮る）</t>
        </is>
      </c>
    </row>
    <row r="152" ht="88" customHeight="1">
      <c r="A152" s="4" t="n">
        <v>148</v>
      </c>
      <c r="B152" s="4" t="inlineStr">
        <is>
          <t>(2)(5)</t>
        </is>
      </c>
      <c r="C152" s="4" t="inlineStr">
        <is>
          <t>R8.9</t>
        </is>
      </c>
      <c r="D152" s="5" t="inlineStr">
        <is>
          <t>見える化システムの操作手引・認証後画面の写しのご提供</t>
        </is>
      </c>
      <c r="E152" s="5" t="inlineStr">
        <is>
          <t>当方はシステムに接続できないため、画面の項目名・選択肢・単位・丸め・空欄と0の扱いを令和8年9月11日に受領した写しの範囲でしか確認できていない。①当該年度の操作手引・項目定義をご提供いただきたい。②認証後画面の入力画面の写しの続きをご提供いただきたい（認定者数の実績見込み値の編集項目の有無＝確認事項No.138、1人1月あたり給付費の実績値の年度を選ぶ項目＝確認事項No.137、施設・居住系の伸びの選択肢の画面＝確認事項No.147）。ID・パスワードは写さないようお願いしたい。③確認事項No.123（施設・居住系の画面から進めない）もこれにより切り分けられる。</t>
        </is>
      </c>
      <c r="F152" s="5" t="inlineStr">
        <is>
          <t>見える化システムへの入力
将来推計 第2段階</t>
        </is>
      </c>
      <c r="G152" s="5" t="inlineStr">
        <is>
          <t>発注者</t>
        </is>
      </c>
      <c r="H152" s="10" t="inlineStr">
        <is>
          <t>確認待ち</t>
        </is>
      </c>
      <c r="I152" s="10" t="inlineStr">
        <is>
          <t>R8.9</t>
        </is>
      </c>
      <c r="J152" s="11" t="inlineStr">
        <is>
          <t>入力前段支援アプリの点検 07シート。
決着しない場合は受領済みの画面の写しの範囲で概算し、確認できていない項目はその旨を明記する。（受託者の仮置き。令和8年10月の意見交換会で諮る）</t>
        </is>
      </c>
    </row>
    <row r="153" ht="88" customHeight="1">
      <c r="A153" s="4" t="n">
        <v>149</v>
      </c>
      <c r="B153" s="4" t="inlineStr">
        <is>
          <t>(2)(6)</t>
        </is>
      </c>
      <c r="C153" s="4" t="inlineStr">
        <is>
          <t>R8.9</t>
        </is>
      </c>
      <c r="D153" s="5" t="inlineStr">
        <is>
          <t>認知症基本法の条文ほか認知症施策の根拠資料のご提供</t>
        </is>
      </c>
      <c r="E153" s="5" t="inlineStr">
        <is>
          <t>当方は外部に接続できないため、共生社会の実現を推進するための認知症基本法（令和5年法律第65号）の条文を確認できていない。第13条が市町村認知症施策推進計画について定めることは確認事項No.130に記録しているが、項番号・文言・努力義務の範囲・認知症の人及び家族等からの意見の聴取の規定の位置はいずれも確かめられていない。①同法の条文、②国の認知症施策推進基本計画、③北海道の認知症施策推進計画の策定状況をご提供・ご確認いただきたい。計画への位置づけ（No.130）の判断の前提になる。</t>
        </is>
      </c>
      <c r="F153" s="5" t="inlineStr">
        <is>
          <t>計画素案 第1章第2節・第5章 基本目標2
認知症施策推進計画の位置づけと見込量への反映</t>
        </is>
      </c>
      <c r="G153" s="5" t="inlineStr">
        <is>
          <t>発注者</t>
        </is>
      </c>
      <c r="H153" s="10" t="inlineStr">
        <is>
          <t>確認待ち</t>
        </is>
      </c>
      <c r="I153" s="10" t="inlineStr">
        <is>
          <t>R8.9</t>
        </is>
      </c>
      <c r="J153" s="11" t="inlineStr">
        <is>
          <t>認知症施策推進計画の位置づけと見込量への反映 01・09シート【令和8年10月15日】参照条文（001685804）には認知症基本法が収録されていないため、本件は進んでいない。
決着しない場合は認知症基本法の条文を受領できないものとして、計画素案には条番号のみを書き項番号は［要確認］のまま残す。（受託者の仮置き。令和8年10月の意見交換会で諮る）</t>
        </is>
      </c>
    </row>
    <row r="154" ht="88" customHeight="1">
      <c r="A154" s="4" t="n">
        <v>150</v>
      </c>
      <c r="B154" s="4" t="inlineStr">
        <is>
          <t>(5)</t>
        </is>
      </c>
      <c r="C154" s="4" t="inlineStr">
        <is>
          <t>R8.10</t>
        </is>
      </c>
      <c r="D154" s="5" t="inlineStr">
        <is>
          <t>認知症総合支援事業の実績のご提供</t>
        </is>
      </c>
      <c r="E154" s="5" t="inlineStr">
        <is>
          <t>地域支援事業（包括的支援事業）の量の見込みが立たない。決算の科目は4区分であり、包括的支援事業の6事業別の内訳が分からない。介護予防・日常生活支援総合事業の実施状況に関する調査は包括的支援事業を含まない。保険者機能強化推進交付金等の得点は取組の有無であって量ではない。【令和8年9月25日】3町の地域包括支援センター事業実施報告書（令和7年度）を受領し、認知症初期集中支援チーム員会議・オレンジカフェ・サポーター養成講座の回数を町別に確認できた。美瑛町の認知症初期集中支援推進事業は令和7年度の実績が0件であり、医師を確保できず休止中である旨が報告されている。①なお得られないのは6事業別の事業費である。②認知症サポーターの養成人数及びステップアップ講座の修了者数、チームオレンジの数を町別・年度別にご提供いただきたい（東神楽町は量の欄が第1号被保険者数であり回数が分からない）。介護保険法第117条第2項第2号の地域支援事業の量の見込みに当たる（確認事項No.112と一体）。</t>
        </is>
      </c>
      <c r="F154" s="5" t="inlineStr">
        <is>
          <t>サービス見込量 第2次概算
計画素案 第6章第3節2
令和8年9月25日受領資料の受領点検</t>
        </is>
      </c>
      <c r="G154" s="5" t="inlineStr">
        <is>
          <t>発注者</t>
        </is>
      </c>
      <c r="H154" s="10" t="inlineStr">
        <is>
          <t>一部確認済み</t>
        </is>
      </c>
      <c r="I154" s="10" t="inlineStr">
        <is>
          <t>R8.10</t>
        </is>
      </c>
      <c r="J154" s="11" t="inlineStr">
        <is>
          <t>認知症施策推進計画の位置づけと見込量への反映 06シート。令和8年9月25日受領資料の受領点検 08シート。令和8年9月25日、美瑛町の休止を含む3町の実施状況を計画素案 第5章 基本目標2（現状と課題・関連データ・施策の方向性・主な事業）に反映した。
決着しない場合は6事業別の事業費を受領できないものとして、認知症総合支援事業の量の見込みは立てず、3町の取組の回数のみを掲げる。（受託者の仮置き。令和8年10月の意見交換会で諮る）</t>
        </is>
      </c>
    </row>
    <row r="155" ht="88" customHeight="1">
      <c r="A155" s="4" t="n">
        <v>151</v>
      </c>
      <c r="B155" s="4" t="inlineStr">
        <is>
          <t>(5)</t>
        </is>
      </c>
      <c r="C155" s="4" t="inlineStr">
        <is>
          <t>R8.9</t>
        </is>
      </c>
      <c r="D155" s="5" t="inlineStr">
        <is>
          <t>認知症対応型共同生活介護を対計画比の補正の対象から外してよいか</t>
        </is>
      </c>
      <c r="E155" s="5" t="inlineStr">
        <is>
          <t>同サービスの令和4年度の落ち込み（前年比▲14.7％。月平均100.0人から85.3人）は1事業所の定員縮小によるものである。区域全体の定員は平成28年から令和2年の115人が令和4年以降99人に減っている。対計画比の補正（確認事項No.106）を当てると、定員の縮小を趨勢として将来へもう一度織り込むことになる。令和6年度から令和7年度は＋3.7％と増に転じており、当方の算定（令和7年度基準）は直近の水準を起点としている。①同サービスを補正の対象から外す整理でよいか。②同じ理由により介護老人福祉施設（平成29年度234人から令和2年度以降160人へ▲31.6％）も対象から外すかを併せてご判断いただきたい。</t>
        </is>
      </c>
      <c r="F155" s="5" t="inlineStr">
        <is>
          <t>サービス見込量の算定
計画素案 第6章第2節</t>
        </is>
      </c>
      <c r="G155" s="5" t="inlineStr">
        <is>
          <t>発注者</t>
        </is>
      </c>
      <c r="H155" s="10" t="inlineStr">
        <is>
          <t>確認待ち</t>
        </is>
      </c>
      <c r="I155" s="10" t="inlineStr">
        <is>
          <t>R8.9</t>
        </is>
      </c>
      <c r="J155" s="11" t="inlineStr">
        <is>
          <t>認知症施策推進計画の位置づけと見込量への反映 04・06シート。
決着しない場合は認知症対応型共同生活介護及び介護老人福祉施設を対計画比の補正の対象から外したものとして概算する。定員の縮小を趨勢として二重に織り込まないため（安全側）。（受託者の仮置き。令和8年10月の意見交換会で諮る）</t>
        </is>
      </c>
    </row>
    <row r="156" ht="88" customHeight="1">
      <c r="A156" s="4" t="n">
        <v>152</v>
      </c>
      <c r="B156" s="4" t="inlineStr">
        <is>
          <t>(2)(6)</t>
        </is>
      </c>
      <c r="C156" s="4" t="inlineStr">
        <is>
          <t>R8.10</t>
        </is>
      </c>
      <c r="D156" s="5" t="inlineStr">
        <is>
          <t>町別の人口の将来推計を計画本文に掲げるか</t>
        </is>
      </c>
      <c r="E156" s="5" t="inlineStr">
        <is>
          <t>令和8年9月10日に「町別は現況（実績・国勢調査）のみ本文に加え、将来推計は3町計の案Cのままとする」ことを了承いただいている。社内の作業により3町それぞれのコーホート変化率法による将来推計を組んでいるため、これを本文に掲げる場合は当該了承を改めることになる。掲げる場合でも、サービス見込量・給付費・保険料の算定は保険者（広域連合）を単位として行う（介護保険法第3条・地方自治法第284条）。町別に掲げるのは人口の推計にとどまる。決着しない場合は了承のとおり町別は現況のみとする。</t>
        </is>
      </c>
      <c r="F156" s="5" t="inlineStr">
        <is>
          <t>サービス見込量 第2次概算
計画素案 第2章第1節・第6章第1節</t>
        </is>
      </c>
      <c r="G156" s="5" t="inlineStr">
        <is>
          <t>発注者</t>
        </is>
      </c>
      <c r="H156" s="10" t="inlineStr">
        <is>
          <t>確認待ち</t>
        </is>
      </c>
      <c r="I156" s="10" t="inlineStr">
        <is>
          <t>R8.10</t>
        </is>
      </c>
      <c r="J156" s="11" t="inlineStr">
        <is>
          <t>社内作業ファイルの点検 05シート。令和8年10月5日に受領した人口推計のファイルは町別に推計しており、東川町の値が発散している（人口推計コーホート分析の妥当性検証 04シート）。町別に掲げる場合は式の是正が前提となる。
決着しない場合は町別の将来推計は計画本文に掲げない（令和8年9月10日の了承のとおり）。（受託者の仮置き。令和8年10月の意見交換会で諮る）</t>
        </is>
      </c>
    </row>
    <row r="157" ht="88" customHeight="1">
      <c r="A157" s="4" t="n">
        <v>153</v>
      </c>
      <c r="B157" s="4" t="inlineStr">
        <is>
          <t>(2)</t>
        </is>
      </c>
      <c r="C157" s="4" t="inlineStr">
        <is>
          <t>R8.10</t>
        </is>
      </c>
      <c r="D157" s="5" t="inlineStr">
        <is>
          <t>人口の将来推計の方法を案Cからコーホート変化率法に改めるか</t>
        </is>
      </c>
      <c r="E157" s="5" t="inlineStr">
        <is>
          <t>同じ住民基本台帳（令和3年→令和8年）で正しく組み直すと、65歳以上（3町計）は令和8年9,176人・令和13年9,081人・令和18年8,982人で横ばいとなり、案C（令和11年度末9,213人・令和22年度末9,491人）と向きが一致し、水準の開きも3％から4％にとどまる。ただしコーホート変化率法は5年刻みの暦年でしか出ず、計画の年次（各年度末）にはそのままでは合わない。また移動の趨勢をそのまま将来へ繰り返すため、移住による若年層の増加がある町では総人口が増え続ける形になる。案Cは各年度で出て、総人口は地方創生総合戦略による。決着しない場合は案Cのままとし、組み直した変化率法は参考として内部に残す。</t>
        </is>
      </c>
      <c r="F157" s="5" t="inlineStr">
        <is>
          <t>サービス見込量 第2次概算
計画素案 第2章第1節・第6章第1節</t>
        </is>
      </c>
      <c r="G157" s="5" t="inlineStr">
        <is>
          <t>発注者</t>
        </is>
      </c>
      <c r="H157" s="10" t="inlineStr">
        <is>
          <t>確認待ち</t>
        </is>
      </c>
      <c r="I157" s="10" t="inlineStr">
        <is>
          <t>R8.10</t>
        </is>
      </c>
      <c r="J157" s="11" t="inlineStr">
        <is>
          <t>社内作業ファイルの点検 05シート。令和8年10月5日に受領した人口推計のファイルについても検証した。東川町だけ90歳以上の変化率の分母が5年前の90歳以上になっているため、東川町の総人口が令和32年度で実績の4.7倍へ発散する。正しく組み直すと65歳以上（3町計）は横ばいとなり、案Cと1.4％から4.9％以内で一致する（人口推計コーホート分析の妥当性検証 04・05・06シート）。決着しない場合は案Cのままとする</t>
        </is>
      </c>
    </row>
    <row r="158" ht="88" customHeight="1">
      <c r="A158" s="4" t="n">
        <v>154</v>
      </c>
      <c r="B158" s="4" t="inlineStr">
        <is>
          <t>(6)</t>
        </is>
      </c>
      <c r="C158" s="4" t="inlineStr">
        <is>
          <t>R8.10</t>
        </is>
      </c>
      <c r="D158" s="5" t="inlineStr">
        <is>
          <t>計画素案 第2章第1節に町別の図を加えるか</t>
        </is>
      </c>
      <c r="E158" s="5" t="inlineStr">
        <is>
          <t>令和8年9月17日、社内で計画素案に図13点を加えた版を受領した。町別の人口と高齢化率、町別の男女別人口（人口ピラミッド）、町別の世帯構成、要介護認定者数、認知症高齢者の割合・自立度である。①町別の人口ピラミッドは第9期計画になく、加える値打ちがある。②ただし計画素案 第2章第1節は住民基本台帳の各年10月1日現在で統一しており、加筆の図は令和8年1月1日現在である。時点をそろえる（10月1日の値が出た時点で入れ替える）か、時点を明記して別の表として置くかをご判断いただきたい。③要介護認定者数と認知症高齢者は既存の記述と重なる（第2章第1節 図4、第2章第3節）。決着しない場合は図表集に収め、本文には加えない。</t>
        </is>
      </c>
      <c r="F158" s="5" t="inlineStr">
        <is>
          <t>計画素案 第2章第1節
図表集</t>
        </is>
      </c>
      <c r="G158" s="5" t="inlineStr">
        <is>
          <t>発注者</t>
        </is>
      </c>
      <c r="H158" s="10" t="inlineStr">
        <is>
          <t>確認待ち</t>
        </is>
      </c>
      <c r="I158" s="10" t="inlineStr">
        <is>
          <t>R8.10</t>
        </is>
      </c>
      <c r="J158" s="11" t="inlineStr">
        <is>
          <t>素案への加筆版の点検 03シート。
決着しない場合は計画素案 第2章第1節に町別の図を加えない。加筆分は協議用の資料にとどめる。（受託者の仮置き。令和8年10月の意見交換会で諮る）</t>
        </is>
      </c>
    </row>
    <row r="159" ht="88" customHeight="1">
      <c r="A159" s="4" t="n">
        <v>155</v>
      </c>
      <c r="B159" s="4" t="inlineStr">
        <is>
          <t>(5)(7)</t>
        </is>
      </c>
      <c r="C159" s="4" t="inlineStr">
        <is>
          <t>R8.10</t>
        </is>
      </c>
      <c r="D159" s="5" t="inlineStr">
        <is>
          <t>全国自治体共通版の入力シート・手順書を本件に用いるか</t>
        </is>
      </c>
      <c r="E159" s="5" t="inlineStr">
        <is>
          <t>社内で作成された全国自治体共通版の見える化システム簡易入力シート（5シート・615項目・徴求資料107件）と入力手順書を本件の入力に用いるかどうか。様式としての作りは妥当であるが、全国共通版であり広域連合を想定していないため、当てはめに手当てを7件要する。特に①入力シートNo.2〜4（入力担当者・庁内確認者・提出承認者の氏名）及び④徴求資料一覧No.1（担当者連絡先・代表電話）は、担当者名・電話番号・メールアドレスを収録しない発注者指示と衝突するため、記入枠とするか欄を落とし、埋めたファイルを成果品として保存しない扱いとしたい。また地域支援事業は3町が実施主体であり、決算（広域連合の款項）と3町合計とで範囲が違う。【令和8年9月18日 ご判断】共通版はそのまま用いず、当方の試算（見える化 見込量の入力値（暫定））によることとなった。共通版は点検の観点としてのみ用い、記載の借用は行わない。これにより担当者名・連絡先の欄の扱いも生じない。</t>
        </is>
      </c>
      <c r="F159" s="5" t="inlineStr">
        <is>
          <t>見える化システムへの入力
サービス見込量 第2次概算</t>
        </is>
      </c>
      <c r="G159" s="5" t="inlineStr">
        <is>
          <t>発注者</t>
        </is>
      </c>
      <c r="H159" s="6" t="inlineStr">
        <is>
          <t>了承済</t>
        </is>
      </c>
      <c r="I159" s="10" t="inlineStr">
        <is>
          <t>R8.10</t>
        </is>
      </c>
      <c r="J159" s="11" t="inlineStr">
        <is>
          <t>見える化入力マニュアルの点検と整合確認 03・09シート。【令和8年9月18日　了承済】全国自治体共通版の入力シート及び手順書はそのまま用いず、当方の試算によることとなった。記載の借用も行わない。これにより、同シートが担当者名及び連絡先を求める欄についての手当ては要しないこととなった。なお所得段階別13段階の推計（確認No.156）及び令和12・27・32年度の算定（確認No.157）は、見える化システム自体が求めるものであるため残り、いずれも当方で算定して解消した</t>
        </is>
      </c>
    </row>
    <row r="160" ht="88" customHeight="1">
      <c r="A160" s="4" t="n">
        <v>156</v>
      </c>
      <c r="B160" s="4" t="inlineStr">
        <is>
          <t>(5)</t>
        </is>
      </c>
      <c r="C160" s="4" t="inlineStr">
        <is>
          <t>R8.10</t>
        </is>
      </c>
      <c r="D160" s="5" t="inlineStr">
        <is>
          <t>所得段階別第1号被保険者数の将来8年度分を当方で算定してよいか</t>
        </is>
      </c>
      <c r="E160" s="5" t="inlineStr">
        <is>
          <t>見える化システムは第1段階から第13段階までの第1号被保険者数を令和9・10・11・12・17・22・27・32年度について求める（104項目）。当方は所得段階別加入割合補正後の被保険者数を係数で一括して算定しており、段階別の将来人数は出していない。令和6・7年度の段階別の実績の構成比を固定し、第1号被保険者数の将来推計に乗じて按分する案でよいかご判断いただきたい。合計は補正後被保険者数と整合させる。所得段階の弾力化を行う場合は構成比が変わるため、併せて所得段階の設定（標準又は弾力化）のご確認を要する。【令和8年9月24日 ご指示により算定した】令和6年度の実績の構成比を固定し、将来の第1号被保険者数（案C）に乗じて16段階×8年度を算定した。構成比を令和6年度に採ったのは、当方の保険料算定が採用している係数（0.991352）と同じであり、本表の人数から見える化システムが算定する補正後被保険者数が当方の値と一致するためである。構成比を令和7年度に改めると係数は1.015890となり算定上の月額が163円下がるが、これは本表の作り方ではなく係数の選択そのものである（将来推計 第3段階 04シートの感度）。当連合は16段階であるため、入力画面では所得段階の設定を「弾力化」とする（見える化システムの標準は13段階）。第10期の段階数・乗率は政令改正により変わり得る（確認事項No.33）。</t>
        </is>
      </c>
      <c r="F160" s="5" t="inlineStr">
        <is>
          <t>見える化システムへの入力
将来推計 第3段階</t>
        </is>
      </c>
      <c r="G160" s="5" t="inlineStr">
        <is>
          <t>発注者</t>
        </is>
      </c>
      <c r="H160" s="8" t="inlineStr">
        <is>
          <t>対応中</t>
        </is>
      </c>
      <c r="I160" s="10" t="inlineStr">
        <is>
          <t>R8.10</t>
        </is>
      </c>
      <c r="J160" s="11" t="inlineStr">
        <is>
          <t>見える化入力マニュアルの点検と整合確認 07シート。
決着しない場合は当方の算定（16段階×8年度）による。所得段階の設定は弾力化を選ぶ。（受託者の仮置き。令和8年10月の意見交換会で諮る）</t>
        </is>
      </c>
    </row>
    <row r="161" ht="88" customHeight="1">
      <c r="A161" s="4" t="n">
        <v>157</v>
      </c>
      <c r="B161" s="4" t="inlineStr">
        <is>
          <t>(5)(6)</t>
        </is>
      </c>
      <c r="C161" s="4" t="inlineStr">
        <is>
          <t>R8.10</t>
        </is>
      </c>
      <c r="D161" s="5" t="inlineStr">
        <is>
          <t>中長期推計を令和12・27・32年度まで広げるか</t>
        </is>
      </c>
      <c r="E161" s="5" t="inlineStr">
        <is>
          <t>当方の見込量・給付費は令和9年度から令和11年度と令和17・22年度の5年度である（確認事項No.114による）。見える化システムは令和12・27・32年度も求めており、不足する3年度に係る項目は33項目×3＝99項目にのぼる。人口の基礎（案Cに社人研の伸びで接続したもの）は令和32年度まであるため、見込量の算定を3年度分広げれば埋まる。受託者の作業だけで進む。計画本文に掲げるかどうかは別のご判断による。【令和8年9月24日 ご指示により算定した】中長期の年次を令和12・17・22・27・32年度の5年次へ広げた。計画本文に掲げるのは従前どおり令和17年度・令和22年度であり、素案の記載は変わっていない。広げたことにより、地域密着型介護老人福祉施設入所者生活介護が定員（62人）を超えるのは令和17年度ではなく令和12年度であることが分かった（従前は令和12年度を算定していなかった）。参考の月額（その水準が3年続いた場合）は令和12年度6,527円・令和17年度6,988円・令和22年度7,003円・令和27年度6,779円・令和32年度6,940円である。</t>
        </is>
      </c>
      <c r="F161" s="5" t="inlineStr">
        <is>
          <t>見える化システムへの入力
計画素案 第6章第1節・第3節</t>
        </is>
      </c>
      <c r="G161" s="5" t="inlineStr">
        <is>
          <t>発注者</t>
        </is>
      </c>
      <c r="H161" s="8" t="inlineStr">
        <is>
          <t>対応中</t>
        </is>
      </c>
      <c r="I161" s="10" t="inlineStr">
        <is>
          <t>R8.10</t>
        </is>
      </c>
      <c r="J161" s="11" t="inlineStr">
        <is>
          <t>見える化入力マニュアルの点検と整合確認 05シート。
決着しない場合は算定の側だけを令和12・27・32年度まで広げ、計画本文に掲げる中長期は令和17年度・令和22年度のままとする。（受託者の仮置き。令和8年10月の意見交換会で諮る）</t>
        </is>
      </c>
    </row>
    <row r="162" ht="88" customHeight="1">
      <c r="A162" s="4" t="n">
        <v>158</v>
      </c>
      <c r="B162" s="4" t="inlineStr">
        <is>
          <t>(2)(4)</t>
        </is>
      </c>
      <c r="C162" s="4" t="inlineStr">
        <is>
          <t>R8.10</t>
        </is>
      </c>
      <c r="D162" s="5" t="inlineStr">
        <is>
          <t>在宅生活改善調査による代表KPI2項目の分母と町別の示し方</t>
        </is>
      </c>
      <c r="E162" s="5" t="inlineStr">
        <is>
          <t>在宅生活改善調査（利用者票99票）による代表KPI2項目の分母を設問ごとの有効回答とすることでよろしいかご確認いただきたい。①H06（在宅生活継続困難割合）は「在宅生活の維持の見通し」の有効回答98票を分母とし、72票÷98票＝73.5％とした。回収票99票を分母とする72.7％ではない（99票のうち1票は問2が無回答である）。②H12（区域内で提供できないサービスが必要と判断された利用者の割合）は「より適切と思われるサービス」の有効回答99票を分母とし、20票÷99票＝20.2％とした。従前は要介護度の有効回答98票を分母として20.4％としていたが、要介護度はH12の分母の条件ではないため改めた。③H12を町別に示す場合、区分できるのは利用者の居住地ではなく調査票を提出した事業所の所在地であるため、計画素案には町別の値を掲げていない。町別に示す必要がある場合は、提出事業所と町の対応が確認できる資料を要する。④なお、設問番号は資料により食い違うため、計画素案及び成果品では設問名で示し番号を書いていない。従前はH12のデータ源を「問3」と記載していたが、当方の結果報告書の構成では問3は「在宅生活の継続を困難にしている要因」である。調査票の原本により番号を確認できれば番号でも示す。</t>
        </is>
      </c>
      <c r="F162" s="5" t="inlineStr">
        <is>
          <t>計画素案 第4章第3節・第5章 基本目標3・資料1
アンケート調査の集計分析報告書 02・14シート</t>
        </is>
      </c>
      <c r="G162" s="5" t="inlineStr">
        <is>
          <t>発注者</t>
        </is>
      </c>
      <c r="H162" s="10" t="inlineStr">
        <is>
          <t>確認待ち</t>
        </is>
      </c>
      <c r="I162" s="10" t="inlineStr">
        <is>
          <t>R8.10</t>
        </is>
      </c>
      <c r="J162" s="11" t="inlineStr">
        <is>
          <t>既定値は①②のとおり設問別の有効回答を分母とし、③は町別の値を掲げない。令和8年9月25日の点検による。
決着しない場合は設問ごとの有効回答を分母とし、町別の値は掲げない（令和8年9月25日に是正済み）。（受託者の仮置き。令和8年10月の意見交換会で諮る）</t>
        </is>
      </c>
    </row>
    <row r="163" ht="88" customHeight="1">
      <c r="A163" s="4" t="n">
        <v>159</v>
      </c>
      <c r="B163" s="4" t="inlineStr">
        <is>
          <t>(4)(6)</t>
        </is>
      </c>
      <c r="C163" s="4" t="inlineStr">
        <is>
          <t>R8.10</t>
        </is>
      </c>
      <c r="D163" s="5" t="inlineStr">
        <is>
          <t>東川町の通いの場の整備と担い手の確保</t>
        </is>
      </c>
      <c r="E163" s="5" t="inlineStr">
        <is>
          <t>令和6年度の通いの場は箇所数2・参加実人数40人で3町の中で最も少なく、週1回以上の通いの場がない。地域介護予防活動支援事業も3町で唯一実施していない。第10期に整備を進めるか、進める場合の担い手をどう確保するかを伺いたい。代表KPI H05（通いの場参加率）は令和6年度3.53％であり、週1回以上の1.28％は東神楽町だけで生み出している。</t>
        </is>
      </c>
      <c r="F163" s="5" t="inlineStr">
        <is>
          <t>計画素案 第3章第1節・第5章 基本目標2
10月 地域課題の整理と3町協議の確認事項</t>
        </is>
      </c>
      <c r="G163" s="5" t="inlineStr">
        <is>
          <t>発注者・東川町</t>
        </is>
      </c>
      <c r="H163" s="10" t="inlineStr">
        <is>
          <t>確認待ち</t>
        </is>
      </c>
      <c r="I163" s="10" t="inlineStr">
        <is>
          <t>R8.10</t>
        </is>
      </c>
      <c r="J163" s="11" t="inlineStr">
        <is>
          <t>決着しない場合は、現状のまま（東川町の整備を見込まない）第10期の目標値を置く</t>
        </is>
      </c>
    </row>
    <row r="164" ht="88" customHeight="1">
      <c r="A164" s="4" t="n">
        <v>160</v>
      </c>
      <c r="B164" s="4" t="inlineStr">
        <is>
          <t>(6)</t>
        </is>
      </c>
      <c r="C164" s="4" t="inlineStr">
        <is>
          <t>R8.10</t>
        </is>
      </c>
      <c r="D164" s="5" t="inlineStr">
        <is>
          <t>東川町の認知症サポーター養成講座の実施状況</t>
        </is>
      </c>
      <c r="E164" s="5" t="inlineStr">
        <is>
          <t>保険者機能強化推進交付金等（市町村分）の認知症サポーター数の評価が令和6年度から令和8年度まで3か年とも0点である。養成講座の実施状況と、第10期の取組の方針を伺いたい。得点0が取組の不在によるものか要件の未充足によるものかは公表資料からは判別できない。</t>
        </is>
      </c>
      <c r="F164" s="5" t="inlineStr">
        <is>
          <t>計画素案 第5章 基本目標2
10月 地域課題の整理と3町協議の確認事項</t>
        </is>
      </c>
      <c r="G164" s="5" t="inlineStr">
        <is>
          <t>発注者・東川町</t>
        </is>
      </c>
      <c r="H164" s="10" t="inlineStr">
        <is>
          <t>確認待ち</t>
        </is>
      </c>
      <c r="I164" s="10" t="inlineStr">
        <is>
          <t>R8.10</t>
        </is>
      </c>
      <c r="J164" s="11" t="inlineStr">
        <is>
          <t>決着しない場合は、現に確認できる取組の範囲で記述し目標値は置かない</t>
        </is>
      </c>
    </row>
    <row r="165" ht="88" customHeight="1">
      <c r="A165" s="4" t="n">
        <v>161</v>
      </c>
      <c r="B165" s="4" t="inlineStr">
        <is>
          <t>(6)</t>
        </is>
      </c>
      <c r="C165" s="4" t="inlineStr">
        <is>
          <t>R8.10</t>
        </is>
      </c>
      <c r="D165" s="5" t="inlineStr">
        <is>
          <t>東川町のチームオレンジ事業の位置づけ</t>
        </is>
      </c>
      <c r="E165" s="5" t="inlineStr">
        <is>
          <t>令和7年3月にチームオレンジ結成会を開催し、令和8年度の地域包括支援センター事業実施計画書に「チームオレンジ事業」を立てている。3町の中で唯一の取組である。第10期の位置づけと、3町展開の可否を伺いたい。</t>
        </is>
      </c>
      <c r="F165" s="5" t="inlineStr">
        <is>
          <t>計画素案 第5章 基本目標2
10月 地域課題の整理と3町協議の確認事項</t>
        </is>
      </c>
      <c r="G165" s="5" t="inlineStr">
        <is>
          <t>発注者・東川町</t>
        </is>
      </c>
      <c r="H165" s="10" t="inlineStr">
        <is>
          <t>確認待ち</t>
        </is>
      </c>
      <c r="I165" s="10" t="inlineStr">
        <is>
          <t>R8.10</t>
        </is>
      </c>
      <c r="J165" s="11" t="inlineStr">
        <is>
          <t>決着しない場合は、東川町の取組として記述し3町展開は記述しない</t>
        </is>
      </c>
    </row>
    <row r="166" ht="88" customHeight="1">
      <c r="A166" s="4" t="n">
        <v>162</v>
      </c>
      <c r="B166" s="4" t="inlineStr">
        <is>
          <t>(6)</t>
        </is>
      </c>
      <c r="C166" s="4" t="inlineStr">
        <is>
          <t>R8.10</t>
        </is>
      </c>
      <c r="D166" s="5" t="inlineStr">
        <is>
          <t>美瑛町の認知症初期集中支援推進事業の再開の見通し</t>
        </is>
      </c>
      <c r="E166" s="5" t="inlineStr">
        <is>
          <t>令和7年度の地域包括支援センター事業実施報告書によれば、対応件数0件で医師を確保できず休止している。令和9年度以降の再開の見通しと、再開できない場合の代替の体制を伺いたい。認知症基本法第13条の市町村認知症施策推進計画の中心となる事業である。</t>
        </is>
      </c>
      <c r="F166" s="5" t="inlineStr">
        <is>
          <t>計画素案 第5章 基本目標2
10月 地域課題の整理と3町協議の確認事項</t>
        </is>
      </c>
      <c r="G166" s="5" t="inlineStr">
        <is>
          <t>発注者・美瑛町</t>
        </is>
      </c>
      <c r="H166" s="10" t="inlineStr">
        <is>
          <t>確認待ち</t>
        </is>
      </c>
      <c r="I166" s="10" t="inlineStr">
        <is>
          <t>R8.10</t>
        </is>
      </c>
      <c r="J166" s="11" t="inlineStr">
        <is>
          <t>決着しない場合は、令和7年度の実施状況のとおり記述し、再開の時期は［要協議］のまま残す</t>
        </is>
      </c>
    </row>
    <row r="167" ht="88" customHeight="1">
      <c r="A167" s="4" t="n">
        <v>163</v>
      </c>
      <c r="B167" s="4" t="inlineStr">
        <is>
          <t>(6)</t>
        </is>
      </c>
      <c r="C167" s="4" t="inlineStr">
        <is>
          <t>R8.10</t>
        </is>
      </c>
      <c r="D167" s="5" t="inlineStr">
        <is>
          <t>美瑛町の地域リハビリテーション活動支援事業の3町展開</t>
        </is>
      </c>
      <c r="E167" s="5" t="inlineStr">
        <is>
          <t>3町の中で唯一実施しており、理学療法士等を通いの場へ派遣している。3町展開の可否と、実施上の課題（派遣元の確保、派遣先の選び方）を伺いたい。交付金の評価項目でもある。</t>
        </is>
      </c>
      <c r="F167" s="5" t="inlineStr">
        <is>
          <t>計画素案 第5章 基本目標2
10月 地域課題の整理と3町協議の確認事項</t>
        </is>
      </c>
      <c r="G167" s="5" t="inlineStr">
        <is>
          <t>発注者・美瑛町</t>
        </is>
      </c>
      <c r="H167" s="10" t="inlineStr">
        <is>
          <t>確認待ち</t>
        </is>
      </c>
      <c r="I167" s="10" t="inlineStr">
        <is>
          <t>R8.10</t>
        </is>
      </c>
      <c r="J167" s="11" t="inlineStr">
        <is>
          <t>決着しない場合は、美瑛町の取組として記述し3町展開は記述しない</t>
        </is>
      </c>
    </row>
    <row r="168" ht="88" customHeight="1">
      <c r="A168" s="4" t="n">
        <v>164</v>
      </c>
      <c r="B168" s="4" t="inlineStr">
        <is>
          <t>(6)(7)</t>
        </is>
      </c>
      <c r="C168" s="4" t="inlineStr">
        <is>
          <t>R8.10</t>
        </is>
      </c>
      <c r="D168" s="5" t="inlineStr">
        <is>
          <t>美瑛町の地域密着型介護老人福祉施設の整備方針</t>
        </is>
      </c>
      <c r="E168" s="5" t="inlineStr">
        <is>
          <t>区域内定員62人のうち43人が美瑛町にある。サービス見込量の算定では令和11年度に定員の99.9％に達し、令和12年度には定員を超えると見込まれる。第10期の整備方針を伺いたい。確認事項No.88（必要利用定員総数）と一体のものである。</t>
        </is>
      </c>
      <c r="F168" s="5" t="inlineStr">
        <is>
          <t>計画素案 第6章第4節・第6章第5節
10月 地域課題の整理と3町協議の確認事項</t>
        </is>
      </c>
      <c r="G168" s="5" t="inlineStr">
        <is>
          <t>発注者・美瑛町</t>
        </is>
      </c>
      <c r="H168" s="10" t="inlineStr">
        <is>
          <t>確認待ち</t>
        </is>
      </c>
      <c r="I168" s="10" t="inlineStr">
        <is>
          <t>R8.10</t>
        </is>
      </c>
      <c r="J168" s="11" t="inlineStr">
        <is>
          <t>決着しない場合は、現定員の据え置き案を掲げ本文は［要協議］のまま残す</t>
        </is>
      </c>
    </row>
    <row r="169" ht="88" customHeight="1">
      <c r="A169" s="4" t="n">
        <v>165</v>
      </c>
      <c r="B169" s="4" t="inlineStr">
        <is>
          <t>(6)</t>
        </is>
      </c>
      <c r="C169" s="4" t="inlineStr">
        <is>
          <t>R8.10</t>
        </is>
      </c>
      <c r="D169" s="5" t="inlineStr">
        <is>
          <t>美瑛町の難聴高齢者の早期発見・早期介入の取組</t>
        </is>
      </c>
      <c r="E169" s="5" t="inlineStr">
        <is>
          <t>保険者機能強化推進交付金等（市町村分）の当該項目の評価が令和8年度に0点である（他の2町は各10点）。取組の状況と第10期の方針を伺いたい。</t>
        </is>
      </c>
      <c r="F169" s="5" t="inlineStr">
        <is>
          <t>計画素案 第5章 基本目標2
10月 地域課題の整理と3町協議の確認事項</t>
        </is>
      </c>
      <c r="G169" s="5" t="inlineStr">
        <is>
          <t>発注者・美瑛町</t>
        </is>
      </c>
      <c r="H169" s="10" t="inlineStr">
        <is>
          <t>確認待ち</t>
        </is>
      </c>
      <c r="I169" s="10" t="inlineStr">
        <is>
          <t>R8.10</t>
        </is>
      </c>
      <c r="J169" s="11" t="inlineStr">
        <is>
          <t>決着しない場合は、現に確認できる取組の範囲で記述する</t>
        </is>
      </c>
    </row>
    <row r="170" ht="88" customHeight="1">
      <c r="A170" s="4" t="n">
        <v>166</v>
      </c>
      <c r="B170" s="4" t="inlineStr">
        <is>
          <t>(4)(6)</t>
        </is>
      </c>
      <c r="C170" s="4" t="inlineStr">
        <is>
          <t>R8.10</t>
        </is>
      </c>
      <c r="D170" s="5" t="inlineStr">
        <is>
          <t>東神楽町の通いの場の維持</t>
        </is>
      </c>
      <c r="E170" s="5" t="inlineStr">
        <is>
          <t>令和6年度の通いの場は箇所数15・参加実人数157人で3町の中で最も多く、週1回以上の通いの場はすべて東神楽町にある。この水準を第10期も維持できるか、担い手の高齢化の状況を伺いたい。維持できない場合、広域連合全体の代表KPI H05が大きく下がる。</t>
        </is>
      </c>
      <c r="F170" s="5" t="inlineStr">
        <is>
          <t>計画素案 第3章第1節・第5章 基本目標2
10月 地域課題の整理と3町協議の確認事項</t>
        </is>
      </c>
      <c r="G170" s="5" t="inlineStr">
        <is>
          <t>発注者・東神楽町</t>
        </is>
      </c>
      <c r="H170" s="10" t="inlineStr">
        <is>
          <t>確認待ち</t>
        </is>
      </c>
      <c r="I170" s="10" t="inlineStr">
        <is>
          <t>R8.10</t>
        </is>
      </c>
      <c r="J170" s="11" t="inlineStr">
        <is>
          <t>決着しない場合は、令和6年度の水準が続くものとして目標値を置く</t>
        </is>
      </c>
    </row>
    <row r="171" ht="88" customHeight="1">
      <c r="A171" s="4" t="n">
        <v>167</v>
      </c>
      <c r="B171" s="4" t="inlineStr">
        <is>
          <t>(6)</t>
        </is>
      </c>
      <c r="C171" s="4" t="inlineStr">
        <is>
          <t>R8.10</t>
        </is>
      </c>
      <c r="D171" s="5" t="inlineStr">
        <is>
          <t>東神楽町の認知症サポーター・ステップアップ講座の実施状況</t>
        </is>
      </c>
      <c r="E171" s="5" t="inlineStr">
        <is>
          <t>保険者機能強化推進交付金等（市町村分）の認知症サポーター数とステップアップ講座修了者数の評価が令和8年度にいずれも0点である。実施の状況と第10期の方針を伺いたい。ステップアップ講座は3町とも3か年0点であり、3町共通の課題となる可能性がある。</t>
        </is>
      </c>
      <c r="F171" s="5" t="inlineStr">
        <is>
          <t>計画素案 第5章 基本目標2
10月 地域課題の整理と3町協議の確認事項</t>
        </is>
      </c>
      <c r="G171" s="5" t="inlineStr">
        <is>
          <t>発注者・東神楽町</t>
        </is>
      </c>
      <c r="H171" s="10" t="inlineStr">
        <is>
          <t>確認待ち</t>
        </is>
      </c>
      <c r="I171" s="10" t="inlineStr">
        <is>
          <t>R8.10</t>
        </is>
      </c>
      <c r="J171" s="11" t="inlineStr">
        <is>
          <t>決着しない場合は、現に確認できる取組の範囲で記述し目標値は置かない</t>
        </is>
      </c>
    </row>
    <row r="172" ht="88" customHeight="1">
      <c r="A172" s="4" t="n">
        <v>168</v>
      </c>
      <c r="B172" s="4" t="inlineStr">
        <is>
          <t>(2)(6)</t>
        </is>
      </c>
      <c r="C172" s="4" t="inlineStr">
        <is>
          <t>R8.9</t>
        </is>
      </c>
      <c r="D172" s="5" t="inlineStr">
        <is>
          <t>同様の構成の団体との比較と団体名の扱い</t>
        </is>
      </c>
      <c r="E172" s="5" t="inlineStr">
        <is>
          <t>交付金の評価結果について、当連合と同様に複数の市町村で構成する広域連合・一部事務組合との比較をご要望いただいた。令和6・7・8年度の全国集計結果の原本をご提供いただき、団体と構成市町村を割り出して3か年の比較を行うことができた。全国集計には広域連合・一部事務組合の行がある（名称が市・区・町・村で終わらない行。保険者番号を持つ）。いずれも得点欄は空欄であり、得点のある行は3か年とも1,741で全国の市区町村の数と一致する。交付金が市町村に交付されるためである。構成市町村は原本の並び順から読める。団体の行の直後に構成市町村の行が続き、構成市町村の行は保険者番号の欄が空欄である。この規則により令和8年度は38団体・205市町村、令和7年度は39団体・207市町村、令和6年度は40団体・210市町村を漏れなく割り当てられ、当連合の構成が東川町・美瑛町・東神楽町となることも確かめられた。38団体の構成市町村は3か年で完全に一致する。構成市町村の得点の平均により比べたところ、当連合は38団体中36位（令和6年度は34位）、市を含まず町村のみで構成する11団体の中で10位、北海道内の4団体の中で3か年とも最も低い。推進と支援に分けると、当連合は推進＋8.0点・支援▲6.0点であり、38団体の平均（推進＋18.6点・支援＋4.9点）に対し支援の側で向きが逆である。</t>
        </is>
      </c>
      <c r="F172" s="5" t="inlineStr">
        <is>
          <t>交付金評価の取りまとめと第10期への反映 06シート</t>
        </is>
      </c>
      <c r="G172" s="5" t="inlineStr">
        <is>
          <t>発注者</t>
        </is>
      </c>
      <c r="H172" s="10" t="inlineStr">
        <is>
          <t>解決</t>
        </is>
      </c>
      <c r="I172" s="10" t="inlineStr">
        <is>
          <t>R8.10</t>
        </is>
      </c>
      <c r="J172" s="11" t="inlineStr">
        <is>
          <t>令和8年9月29日に令和6・7・8年度の原本を受領し、3か年の比較を終えた。団体名の扱いについて同日ご指示をいただいた。協議用の資料には団体名を掲げてよく、計画素案には掲げない。掲げてよいこととなった場合は協議用の様式を計画に流用する。計画素案に他の団体の名が現れないことは成果品の自己点検で確かめている。なお他の保険者が策定した計画を参照して必要項目を導くことはご指示により行わない。代わりに評価指標の明細列と全国該当率による「全国の標準」から導いている</t>
        </is>
      </c>
    </row>
    <row r="173" ht="88" customHeight="1">
      <c r="A173" s="4" t="n">
        <v>169</v>
      </c>
      <c r="B173" s="4" t="inlineStr">
        <is>
          <t>(2)(6)</t>
        </is>
      </c>
      <c r="C173" s="4" t="inlineStr">
        <is>
          <t>R8.9</t>
        </is>
      </c>
      <c r="D173" s="5" t="inlineStr">
        <is>
          <t>構成町により得点が分かれている項目の区域内での取扱い</t>
        </is>
      </c>
      <c r="E173" s="5" t="inlineStr">
        <is>
          <t>令和8年度の評価指標の明細列299のうち78列で、構成3町の一部の町のみが得点している。3町は制度・保険者が同じであり条件がそろっているため、既に実施している町の取組を区域内に広げることで得点に結びつく余地がある。配点の大きいものは医療・介護関係者間の情報共有（東神楽町のみ得点）、介護人材の確保・定着の取組状況、認知症サポーター等を活用した地域支援体制の構築である。①区域内で取扱いをそろえる項目を選ぶか。②選ぶ場合、10月の町別協議で実施の可否を伺う対象としてよいか。</t>
        </is>
      </c>
      <c r="F173" s="5" t="inlineStr">
        <is>
          <t>交付金評価の取りまとめと第10期への反映 08シート・09シート
10月 地域課題の整理と3町協議の確認事項</t>
        </is>
      </c>
      <c r="G173" s="5" t="inlineStr">
        <is>
          <t>発注者・3町</t>
        </is>
      </c>
      <c r="H173" s="10" t="inlineStr">
        <is>
          <t>確認待ち</t>
        </is>
      </c>
      <c r="I173" s="10" t="inlineStr">
        <is>
          <t>R8.10</t>
        </is>
      </c>
      <c r="J173" s="11" t="inlineStr">
        <is>
          <t>決着しない場合は、町ごとの取組の状況をそのまま記述し、区域内での統一は計画に位置づけない。第10期の施策に位置づけるかどうかは取組の必要性から判断するものであり、得点のみを理由とするものではない</t>
        </is>
      </c>
    </row>
    <row r="174" ht="88" customHeight="1">
      <c r="A174" s="4" t="n">
        <v>170</v>
      </c>
      <c r="B174" s="4" t="inlineStr">
        <is>
          <t>(6)</t>
        </is>
      </c>
      <c r="C174" s="4" t="inlineStr">
        <is>
          <t>R8.9</t>
        </is>
      </c>
      <c r="D174" s="5" t="inlineStr">
        <is>
          <t>計画素案に独自に加えた記載のうち、打合せ協議用へ移すもの</t>
        </is>
      </c>
      <c r="E174" s="5" t="inlineStr">
        <is>
          <t>計画素案の本文にある【　】の小見出し68件を、法令・基本指針が求める事項の説明、第9期計画にも同種の記載がある事項、第9期計画になく法令も直接には求めていない当方の分析の3つに区分した。このうち、計画に置くか打合せ協議用の資料へ移すかをお決めいただきたいものが23件ある（移すことを提案するもの8件、いずれとするかお決めいただくもの15件）。移す場合も本文から内容が消えるのではなく、結論のみを本文に残す。①移すことを提案する8件を移してよいか。②お決めいただく15件をそれぞれどちらとするか。</t>
        </is>
      </c>
      <c r="F174" s="5" t="inlineStr">
        <is>
          <t>計画素案の記載内容の洗い出しと対比 06シート・07シート
計画素案 第1章第6節・第2章第3節・第2章第6節・第3章第2節・第4章第3節・第6章第6節</t>
        </is>
      </c>
      <c r="G174" s="5" t="inlineStr">
        <is>
          <t>発注者</t>
        </is>
      </c>
      <c r="H174" s="8" t="inlineStr">
        <is>
          <t>一部解消</t>
        </is>
      </c>
      <c r="I174" s="10" t="inlineStr">
        <is>
          <t>R8.10</t>
        </is>
      </c>
      <c r="J174" s="11" t="inlineStr">
        <is>
          <t>令和8年9月29日 ご指示「移すは8件とも移してよい。協議は一旦そのまま」。8件を計画素案から移した。移し先はいずれも既にある成果品であり、新たな成果品は起こしていない（年次評価の実施要領・見える化データの受領点検・実施済み調査 結果報告書・第9期施策別評価表・資料1・将来推計 第3段階）。移した内容は本文から消えるのではなく結論のみを本文に残している。第6章第6節の小見出しは「暫定算定」に改めた。計画素案は943段落147表から916段落141表となった。「協議」と判定した15件は一旦そのまま計画素案に残す。
決着しない場合は計画素案から協議用の成果品へ移す8件は移し、「協議」判定の15件はそのまま素案に残す（令和8年9月29日 ご指示のとおり）。（受託者の仮置き。令和8年10月の意見交換会で諮る）</t>
        </is>
      </c>
    </row>
    <row r="175" ht="88" customHeight="1">
      <c r="A175" s="4" t="n">
        <v>171</v>
      </c>
      <c r="B175" s="4" t="inlineStr">
        <is>
          <t>(6)(10)</t>
        </is>
      </c>
      <c r="C175" s="4" t="inlineStr">
        <is>
          <t>R8.9</t>
        </is>
      </c>
      <c r="D175" s="5" t="inlineStr">
        <is>
          <t>第9期計画にない体裁の取扱い（小見出し【　】ほか）</t>
        </is>
      </c>
      <c r="E175" s="5" t="inlineStr">
        <is>
          <t>第9期計画の図表レイアウト・フォント・表の体裁を維持する方針であるが、計画素案には第9期計画にない体裁が6件ある。①本文の小見出しを【　】で示していること（第9期計画は「１」「（１）」「ア」の階層による）。②未確定箇所を［要協議］［要確認］［要内訳］で示していること。③前提を動かした場合の幅を示す感度分析の表。④複数の算定方法の結果を並べた対比の表。⑤統計的な検定の結果。⑥他団体の固有名称を掲げないこと。あわせて資料編の構成についてもご判断を要する。第9期計画の資料編に当たるものとして、⑦意見公募手続（パブリックコメント）の実施状況、⑧介護保険事業計画策定委員会の委嘱期間・組織・委員名簿・開催の状況、⑨用語解説、⑩区域内の事業所一覧を掲げるかどうか。いずれも現在の素案にはない。⑧の委員名簿は氏名を掲げるため、個人情報を収録しない方針との関係を確認する必要がある。①は節ごとに判断せず計画全体で統一する必要がある。②は協議用素案の間は残し、計画として確定する際にすべて解消する。③〜⑤は採用案が決まった時点で整理する。</t>
        </is>
      </c>
      <c r="F175" s="5" t="inlineStr">
        <is>
          <t>計画素案の記載内容の洗い出しと対比 08シート
計画素案 全体</t>
        </is>
      </c>
      <c r="G175" s="5" t="inlineStr">
        <is>
          <t>発注者</t>
        </is>
      </c>
      <c r="H175" s="10" t="inlineStr">
        <is>
          <t>確認待ち</t>
        </is>
      </c>
      <c r="I175" s="10" t="inlineStr">
        <is>
          <t>R8.11</t>
        </is>
      </c>
      <c r="J175" s="11" t="inlineStr">
        <is>
          <t>令和8年9月29日 ご指示「小見出しは保留」。現時点では決定を要しない。現在の体裁のままとする。計画として確定する前に改めてお諮りする。④の対比の表は採用案が決まった時点で1つに絞り、採らなかった案は協議用の資料に残して計画本文には残さない。【令和8年10月15日】⑥について、現在の計画素案には上川管内の保険者の名称が現れている箇所がある（第6章第6節の保険料基準額の比較に20団体、第2章第2節の認定率等の比較に5団体、旭川市は圏域及び医療機関の説明として第2章第3節・第5章・第6章第4節にも現れる）。これらはいずれも公表されている一覧による保険者の名称であり、仕様書４（4）が求める類似保険者との比較分析に用いているものである。令和8年9月29日のご指示は公表されている全国集計の行の名称（広域連合・一部事務組合38団体）についてのものであったため、上川管内の保険者の名称を計画本文に掲げてよいかを確認する。掲げないこととなった場合は、管内の平均及び当広域連合の順位のみを示す形に改める（比較分析そのものは仕様書が求めるものであるため落とさない）。
決着しない場合は第9期計画にない体裁は現在のままとし、計画として確定する前に改めてお諮りする（令和8年9月29日 ご指示により保留）。（受託者の仮置き。令和8年10月の意見交換会で諮る）</t>
        </is>
      </c>
    </row>
    <row r="176" ht="88" customHeight="1">
      <c r="A176" s="4" t="n">
        <v>172</v>
      </c>
      <c r="B176" s="4" t="inlineStr">
        <is>
          <t>(6)(10)</t>
        </is>
      </c>
      <c r="C176" s="4" t="inlineStr">
        <is>
          <t>R8.10</t>
        </is>
      </c>
      <c r="D176" s="5" t="inlineStr">
        <is>
          <t>保険者機能強化推進交付金等の評価を示す図の計画本文への掲載</t>
        </is>
      </c>
      <c r="E176" s="5" t="inlineStr">
        <is>
          <t>交付金の評価に関する図を3点作成しているが（総合得点の推移、指標群別の得点、目標別の得点の対全国比）、図表番号一覧では策定委員会の資料とし、計画本文には置いていない。計画本文の第3章第4節には交付金の評価について記述があるものの図がなく、全国との開きがどの分野にあるかが紙面では読み取りにくい。交付金の評価は、①第9期の取組の到達点を示すもの、②第10期の重点の置き方の手掛かりとなるものの双方に当たる。3点を計画本文（第3章第4節）に掲載してよいか。掲載する場合、構成3町の得点を町別に掲げるか、3町の平均のみとするかを併せてお決めいただきたい。</t>
        </is>
      </c>
      <c r="F176" s="5" t="inlineStr">
        <is>
          <t>図表データ管理台帳 03シート
計画素案 第3章第4節・資料7</t>
        </is>
      </c>
      <c r="G176" s="5" t="inlineStr">
        <is>
          <t>発注者</t>
        </is>
      </c>
      <c r="H176" s="10" t="inlineStr">
        <is>
          <t>未回答</t>
        </is>
      </c>
      <c r="I176" s="10" t="inlineStr">
        <is>
          <t>R8.10</t>
        </is>
      </c>
      <c r="J176" s="11" t="inlineStr">
        <is>
          <t>決着しない場合の当方の扱い＝掲載しない（図表番号一覧のとおり策定委員会の資料にとどめる）。得点0が「取組がない」のか「要件を満たさない」のか「報告していない」のかは公表資料から判別できないため、掲載する場合もその旨を注記する</t>
        </is>
      </c>
    </row>
    <row r="177" ht="88" customHeight="1">
      <c r="A177" s="4" t="n">
        <v>173</v>
      </c>
      <c r="B177" s="4" t="inlineStr">
        <is>
          <t>(6)</t>
        </is>
      </c>
      <c r="C177" s="4" t="inlineStr">
        <is>
          <t>R8.10</t>
        </is>
      </c>
      <c r="D177" s="5" t="inlineStr">
        <is>
          <t>計画本文の図と別冊の図表集の対応（作りが異なるもの・図表集にないもの）</t>
        </is>
      </c>
      <c r="E177" s="5" t="inlineStr">
        <is>
          <t>計画本文に差し込む図と別冊の図表集のグラフを数値で突き合わせたところ、①数値も作りも同じもの、②図表集の系列から必要な区分を抜き出した又は並べ替えたもの、③同じ主題であるが軸の取り方・区分の束ね方が異なるもの、④図表集に対応するグラフがないものの4通りがあった。③は同じ主題の図が2通りある状態であり、④は本文の図の数値を図表集で管理していない状態である。③についてはどちらを計画に載せるか、④については図表集にも収めるかをお決めいただきたい。</t>
        </is>
      </c>
      <c r="F177" s="5" t="inlineStr">
        <is>
          <t>図表データ管理台帳 01シート・02シート
計画素案 資料7／別冊の図表集</t>
        </is>
      </c>
      <c r="G177" s="5" t="inlineStr">
        <is>
          <t>発注者</t>
        </is>
      </c>
      <c r="H177" s="10" t="inlineStr">
        <is>
          <t>未回答</t>
        </is>
      </c>
      <c r="I177" s="10" t="inlineStr">
        <is>
          <t>R8.11</t>
        </is>
      </c>
      <c r="J177" s="11" t="inlineStr">
        <is>
          <t>決着しない場合の当方の扱い＝現行のまま（③は本文の図を計画に載せ、図表集の図は参考として残す。④は本文の図の数値を図表データ管理台帳で管理する）。いずれも保険料・見込量の算定には影響しない</t>
        </is>
      </c>
    </row>
    <row r="178" ht="88" customHeight="1">
      <c r="A178" s="4" t="n">
        <v>174</v>
      </c>
      <c r="B178" s="4" t="inlineStr">
        <is>
          <t>(5)</t>
        </is>
      </c>
      <c r="C178" s="4" t="inlineStr">
        <is>
          <t>R8.10</t>
        </is>
      </c>
      <c r="D178" s="5" t="inlineStr">
        <is>
          <t>人口及び第1号被保険者数の入力値をどの系列にそろえるか（内部整合）</t>
        </is>
      </c>
      <c r="E178" s="5" t="inlineStr">
        <is>
          <t>見える化システムの「総人口と被保険者数の設定」は、総人口・男女別6階級・第2号被保険者数を求め、第1号被保険者数と総数は自動で計算されます。このため、総数と男女別の内訳は同じ系列から作る必要があります。現在、第1号被保険者数の系列が3つあります。①案C（当方が令和8年9月30日にお示しした入力値の基礎。総人口を地方創生総合戦略の水準により置き、年齢階級別の内訳を住民基本台帳の実績趨勢によるもの）、②社人研推計を補正したもののうち「令和5年推計を元にした補正」の合計（見える化システムの画面が現に表示している値と一致します）、③同じく「被保険者数（補正後）補正率2区分」の男女別の和。②と③は年度により総数が一致せず、令和22年度で55人の差があります。いずれを正式に採る値とするかをお決めいただきたい。</t>
        </is>
      </c>
      <c r="F178" s="5" t="inlineStr">
        <is>
          <t>人口推計コーホート分析の妥当性検証 07シート
見える化へ入力する箇所と入力値 02シート
計画素案 第2章第1節・第6章第1節</t>
        </is>
      </c>
      <c r="G178" s="5" t="inlineStr">
        <is>
          <t>発注者</t>
        </is>
      </c>
      <c r="H178" s="10" t="inlineStr">
        <is>
          <t>未回答</t>
        </is>
      </c>
      <c r="I178" s="10" t="inlineStr">
        <is>
          <t>R8.10</t>
        </is>
      </c>
      <c r="J178" s="11" t="inlineStr">
        <is>
          <t>決着しない場合の当方の扱い＝案C（①）による。計画素案 第6章第1節の将来推計は令和8年9月10日のご了承のとおり案Cのままとし、見える化システムへの入力値も案Cにそろえる。②③を採る場合は、総人口・男女別6階級・第2号被保険者数のすべてを同じ系列から作り直す</t>
        </is>
      </c>
    </row>
    <row r="179" ht="88" customHeight="1">
      <c r="A179" s="4" t="n">
        <v>175</v>
      </c>
      <c r="B179" s="4" t="inlineStr">
        <is>
          <t>(1)</t>
        </is>
      </c>
      <c r="C179" s="4" t="inlineStr">
        <is>
          <t>R8.11</t>
        </is>
      </c>
      <c r="D179" s="5" t="inlineStr">
        <is>
          <t>介護情報基盤及びケアプランデータ連携への対応の工程</t>
        </is>
      </c>
      <c r="E179" s="5" t="inlineStr">
        <is>
          <t>令和8年9月18日の社会保障審議会介護保険部会において、全市町村が令和10年4月1日までに介護保険事務システムから介護情報基盤へのデータ移行を含めて完了し、介護情報基盤の活用を開始することを目指すこととされました（標準化対応の適合基準日は令和9年1月1日）。構成3町における①介護保険事務システムの標準化対応の状況、②介護情報基盤へデータを送信するためのシステムの改修の予定、③データ移行の予定をお示しいただきたい。あわせて、ケアプランデータ連携機能が令和9年1月に介護情報基盤へ統合され、以後は新システム（介護保険資格確認等WEBサービス）での事業所及び管理者の登録を要することとなるため、区域内の事業所への周知をどこが行うかをお決めいただきたい。</t>
        </is>
      </c>
      <c r="F179" s="5" t="inlineStr">
        <is>
          <t>計画素案 第1章第9節5・第5章 基本目標1・基本目標4</t>
        </is>
      </c>
      <c r="G179" s="5" t="inlineStr">
        <is>
          <t>発注者・3町</t>
        </is>
      </c>
      <c r="H179" s="10" t="inlineStr">
        <is>
          <t>未回答</t>
        </is>
      </c>
      <c r="I179" s="10" t="inlineStr">
        <is>
          <t>R8.11</t>
        </is>
      </c>
      <c r="J179" s="11" t="inlineStr">
        <is>
          <t>決着しない場合の当方の扱い＝国が示す本格運用開始日（令和10年4月1日）までに完了することを前提として計画素案に記載し、年度ごとの工程は［要確認］として残す。事業所への周知は広域連合と3町が共同で行うものとして記載する</t>
        </is>
      </c>
    </row>
    <row r="180" ht="88" customHeight="1">
      <c r="A180" s="4" t="n">
        <v>176</v>
      </c>
      <c r="B180" s="4" t="inlineStr">
        <is>
          <t>(1)</t>
        </is>
      </c>
      <c r="C180" s="4" t="inlineStr">
        <is>
          <t>R8.12</t>
        </is>
      </c>
      <c r="D180" s="5" t="inlineStr">
        <is>
          <t>介護サービス事業者経営情報データベースの公表結果の活用の範囲</t>
        </is>
      </c>
      <c r="E180" s="5" t="inlineStr">
        <is>
          <t>介護サービス事業者の経営情報の報告が義務づけられ、国において属性等に応じて区分した分析結果が公表されます。初年度及び2年度目の報告分の分析結果は、令和9年4月以降に社会保障審議会介護保険部会に報告される予定とされています。市町村の区域を単位とする値が得られるかは示されていないため、公表された分析結果のうち本計画の供給の継続に関する分析に用いられる範囲について、ご見解をお示しいただきたい。</t>
        </is>
      </c>
      <c r="F180" s="5" t="inlineStr">
        <is>
          <t>計画素案 第1章第9節5・第5章 基本目標4</t>
        </is>
      </c>
      <c r="G180" s="5" t="inlineStr">
        <is>
          <t>発注者</t>
        </is>
      </c>
      <c r="H180" s="10" t="inlineStr">
        <is>
          <t>未回答</t>
        </is>
      </c>
      <c r="I180" s="10" t="inlineStr">
        <is>
          <t>R8.12</t>
        </is>
      </c>
      <c r="J180" s="11" t="inlineStr">
        <is>
          <t>決着しない場合の当方の扱い＝公表された区分のうち当区域の事業所の規模に近いものを参考として用い、区域内の事業所の経営状況を表すものとしては用いない。計画素案には活用の方針のみを記載し、数値は掲げない</t>
        </is>
      </c>
    </row>
    <row r="181" ht="88" customHeight="1">
      <c r="A181" s="4" t="n">
        <v>177</v>
      </c>
      <c r="B181" s="4" t="inlineStr">
        <is>
          <t>(3)</t>
        </is>
      </c>
      <c r="C181" s="4" t="inlineStr">
        <is>
          <t>R8.12</t>
        </is>
      </c>
      <c r="D181" s="5" t="inlineStr">
        <is>
          <t>都道府県との協定に基づく連携への関与</t>
        </is>
      </c>
      <c r="E181" s="5" t="inlineStr">
        <is>
          <t>一定期間の事業継続や事業者間の連携・協働を推進する法人・事業所が都道府県と協定を締結する仕組みが示され、令和9年度概算要求において、協定に基づく連携の取組に要する経費への支援及び連携に参画する事業所に対する介護テクノロジー導入支援の補助率の上乗せが盛り込まれています。協定に基づく取組の推進に関する都道府県及び市町村の果たすべき役割は引き続き検討することとされているため、北海道における実施の方針及び当広域連合の関与の仕方についてお考えをお示しいただきたい。</t>
        </is>
      </c>
      <c r="F181" s="5" t="inlineStr">
        <is>
          <t>計画素案 第1章第9節5・第5章 基本目標3・基本目標4</t>
        </is>
      </c>
      <c r="G181" s="5" t="inlineStr">
        <is>
          <t>発注者・北海道</t>
        </is>
      </c>
      <c r="H181" s="10" t="inlineStr">
        <is>
          <t>未回答</t>
        </is>
      </c>
      <c r="I181" s="10" t="inlineStr">
        <is>
          <t>R8.12</t>
        </is>
      </c>
      <c r="J181" s="11" t="inlineStr">
        <is>
          <t>決着しない場合の当方の扱い＝計画素案には北海道及び事業者とともに活用を検討する旨のみを記載し、具体の取組及び目標は国から市町村の役割が示された後に定める</t>
        </is>
      </c>
    </row>
    <row r="182" ht="88" customHeight="1">
      <c r="A182" s="4" t="n">
        <v>178</v>
      </c>
      <c r="B182" s="4" t="inlineStr">
        <is>
          <t>(1)(6)</t>
        </is>
      </c>
      <c r="C182" s="4" t="inlineStr">
        <is>
          <t>R8.10</t>
        </is>
      </c>
      <c r="D182" s="5" t="inlineStr">
        <is>
          <t>構成3町の高齢者福祉計画と市町村老人福祉計画の関係</t>
        </is>
      </c>
      <c r="E182" s="5" t="inlineStr">
        <is>
          <t>老人福祉法第20条の8は市町村老人福祉計画を定めるものとし、同計画は市町村介護保険事業計画と一体のものとして作成することとされています。構成3町の高齢者福祉計画がこれに当たるものと考えられますが、当方は同法の条文及び3町の計画書を確認していません。①構成3町の高齢者福祉計画が老人福祉法による市町村老人福祉計画に当たるか（計画の名称及び根拠条文）。②一体のものとして作成する方法（同一の冊子とするか、本計画と3町の計画を別冊としたうえで共通KPIと役割分担により接続するか）。③3町の計画における老人福祉事業の量の目標の定め方と、本計画のサービス見込量との関係。</t>
        </is>
      </c>
      <c r="F182" s="5" t="inlineStr">
        <is>
          <t>計画素案 第1章第2節・第1章第8節
計画素案の記載内容の洗い出しと対比 02シート</t>
        </is>
      </c>
      <c r="G182" s="5" t="inlineStr">
        <is>
          <t>発注者・3町</t>
        </is>
      </c>
      <c r="H182" s="10" t="inlineStr">
        <is>
          <t>未回答</t>
        </is>
      </c>
      <c r="I182" s="10" t="inlineStr">
        <is>
          <t>R8.11</t>
        </is>
      </c>
      <c r="J182" s="11" t="inlineStr">
        <is>
          <t>決着しない場合の当方の扱い＝構成3町の高齢者福祉計画が市町村老人福祉計画に当たることを計画素案に記載し、一体のものとして作成する方法は共通KPIと役割分担表による接続とする旨を［要協議］として残す。老人福祉事業の量の目標は3町の計画に委ね、本計画には掲げない【令和8年10月15日】参照条文により、介護保険法第117条第7項が「老人福祉法第20条の8第1項に規定する市町村老人福祉計画と一体のものとして作成されなければならない」ことを定めていることを確かめた。条及び項は第20条の8第1項である。老人福祉法そのものの条文は参照条文に収録されていない（第18条及び第20条の6のみ）ため、同条の内容及び市町村老人福祉計画の記載事項はなお確認できていない</t>
        </is>
      </c>
    </row>
    <row r="183" ht="88" customHeight="1">
      <c r="A183" s="4" t="n">
        <v>179</v>
      </c>
      <c r="B183" s="4" t="inlineStr">
        <is>
          <t>(1)(6)</t>
        </is>
      </c>
      <c r="C183" s="4" t="inlineStr">
        <is>
          <t>R8.10</t>
        </is>
      </c>
      <c r="D183" s="5" t="inlineStr">
        <is>
          <t>成年後見制度の利用の促進に関する施策についての基本的な計画の策定状況</t>
        </is>
      </c>
      <c r="E183" s="5" t="inlineStr">
        <is>
          <t>成年後見制度の利用の促進に関する法律第14条は、国の基本計画を勘案して、市町村が成年後見制度の利用の促進に関する施策についての基本的な計画を定めるよう努めるものとしています。同法は市町村を名宛人としており、市町村認知症施策推進計画と同じ構造であると考えられます。①構成3町における同計画の策定の状況（策定済みか、高齢者福祉計画又は地域福祉計画の中に位置づけているか）。②中核機関の整備の状況及び権利擁護支援の地域連携ネットワークの構成（第5章 基本目標1の代表KPIの基準値に関わります）。③本計画における記載の範囲（3町の計画との役割分担）。</t>
        </is>
      </c>
      <c r="F183" s="5" t="inlineStr">
        <is>
          <t>計画素案 第1章第2節・第5章 基本目標1
計画素案の記載内容の洗い出しと対比 02シート</t>
        </is>
      </c>
      <c r="G183" s="5" t="inlineStr">
        <is>
          <t>発注者・3町</t>
        </is>
      </c>
      <c r="H183" s="10" t="inlineStr">
        <is>
          <t>未回答</t>
        </is>
      </c>
      <c r="I183" s="10" t="inlineStr">
        <is>
          <t>R8.11</t>
        </is>
      </c>
      <c r="J183" s="11" t="inlineStr">
        <is>
          <t>決着しない場合の当方の扱い＝同計画は構成3町が定めるものとして計画素案に記載し、本計画は介護保険法第117条第3項による権利擁護の施策（第5章 基本目標1）をもって接続する。中核機関の整備の状況は［要確認］として残す</t>
        </is>
      </c>
    </row>
    <row r="184" ht="88" customHeight="1">
      <c r="A184" s="4" t="n">
        <v>180</v>
      </c>
      <c r="B184" s="4" t="inlineStr">
        <is>
          <t>(1)(6)</t>
        </is>
      </c>
      <c r="C184" s="4" t="inlineStr">
        <is>
          <t>R8.10</t>
        </is>
      </c>
      <c r="D184" s="5" t="inlineStr">
        <is>
          <t>要配慮者利用施設の避難確保計画の対象施設と作成状況</t>
        </is>
      </c>
      <c r="E184" s="5" t="inlineStr">
        <is>
          <t>水防法及び土砂災害警戒区域等における土砂災害防止対策の推進に関する法律は、市町村地域防災計画に定められた要配慮者利用施設の所有者又は管理者に対し、避難確保計画の作成及び避難訓練の実施を求めています。北海道第9期計画の評価指標⑦は「避難確保計画を作成した施設」を指標としており、当方はこれを施設数の実数により用いる整理としています（計画素案 第1章第8節）。①構成3町の地域防災計画において要配慮者利用施設として定められている介護保険施設・事業所の一覧。②避難確保計画の作成及び避難訓練の実施の状況（施設数）。③第10期の目標値の置き方（全施設作成とするか）。</t>
        </is>
      </c>
      <c r="F184" s="5" t="inlineStr">
        <is>
          <t>計画素案 第1章第8節・第5章 基本目標5
計画素案の記載内容の洗い出しと対比 02シート</t>
        </is>
      </c>
      <c r="G184" s="5" t="inlineStr">
        <is>
          <t>発注者・3町</t>
        </is>
      </c>
      <c r="H184" s="10" t="inlineStr">
        <is>
          <t>未回答</t>
        </is>
      </c>
      <c r="I184" s="10" t="inlineStr">
        <is>
          <t>R8.11</t>
        </is>
      </c>
      <c r="J184" s="11" t="inlineStr">
        <is>
          <t>決着しない場合の当方の扱い＝対象施設及び作成の状況を［要確認］として残し、第5章 基本目標5の主な事業に作成及び避難訓練の確認を置くにとどめ、達成目標に数値を掲げない。避難確保計画はBCPとは別の計画であり、BCPの策定率をもって作成の状況としない</t>
        </is>
      </c>
    </row>
    <row r="185" ht="88" customHeight="1">
      <c r="A185" s="4" t="n">
        <v>181</v>
      </c>
      <c r="B185" s="4" t="inlineStr">
        <is>
          <t>(1)(6)</t>
        </is>
      </c>
      <c r="C185" s="4" t="inlineStr">
        <is>
          <t>R8.10</t>
        </is>
      </c>
      <c r="D185" s="5" t="inlineStr">
        <is>
          <t>介護保険法第117条ほか関係法令の条文のご提供</t>
        </is>
      </c>
      <c r="E185" s="5" t="inlineStr">
        <is>
          <t>当方は外部に接続できないため、法令の条文を確認できていません。確認事項No.149により認知症基本法の条文のご提供をお願いしていますが、次の法令についても同様に条文を確認できていないため、計画素案には条番号のみを記載し項番号を記載していません［要確認］。①介護保険法第117条（第1項の基本指針に即した計画、第2項・第3項の記載事項、日常生活圏域ごとの人口等の勘案、医療計画との整合性の確保、市町村老人福祉計画と一体のものとして作成すること、被保険者の意見の反映、都道府県の意見の聴取、都道府県知事への提出の各項）。②社会福祉法等の一部を改正する法律（令和8年法律第51号）による第117条の改正後の条文（中長期的なサービスの見通し及びこれを踏まえた提供体制の確保等のための施策の規定の位置）。③老人福祉法第20条の8。④成年後見制度の利用の促進に関する法律第14条。⑤高齢者虐待の防止、高齢者の養護者に対する支援等に関する法律。⑥水防法及び土砂災害防止法の要配慮者利用施設に係る規定。</t>
        </is>
      </c>
      <c r="F185" s="5" t="inlineStr">
        <is>
          <t>計画素案 第1章第2節・第1章第5節・第1章第8節・第6章第5節
計画素案の記載内容の洗い出しと対比 02シート</t>
        </is>
      </c>
      <c r="G185" s="5" t="inlineStr">
        <is>
          <t>発注者</t>
        </is>
      </c>
      <c r="H185" s="10" t="inlineStr">
        <is>
          <t>解決</t>
        </is>
      </c>
      <c r="I185" s="10" t="inlineStr">
        <is>
          <t>R8.11</t>
        </is>
      </c>
      <c r="J185" s="11" t="inlineStr">
        <is>
          <t>決着しない場合の当方の扱い＝条番号のみを記載し項番号及び号番号は記載しない。記載事項の点検は条文の番号ではなく記載事項の内容を単位として行い、条文を確認できていない箇所は［要確認］として残す。【令和8年10月14日】社会福祉法等の一部を改正する法律案要綱を確認したことにより、改正後の第117条第2項第3号・第4号、第3項第4号・第5号、第5項及び第14項の号及び項が確定した。引き続き必要なのは、①改正後の条文及び新旧対照表（要綱は改正事項の要旨であり条文の文言を確認できない）、②附則第3条から第77条までの経過措置（有料老人ホームの登録制に係る経過措置の内容）、③改正に係らない号（第2項第1号・第2号、第3項第1号から第3号まで）の条文である。【令和8年10月15日　大きく解決】社会福祉法等の一部を改正する法律案の新旧対照条文（全353頁）を確認した。改正後の介護保険法第117条（第2項第3号・第4号、第3項第3号・第4号・第4号の2・第5号・第6号・第7号・第9号、第5項、第9項、第14項）、第115条の48（支援会議）、第118条第2項・第8項・第9項並びに第120条の3から第120条の5まで（協議会）の内容が確定した。介護保険法の改正は第3条関係（令和9年4月1日又は1年6月以内）と第4条関係（2年以内又は3年以内）の2つに分かれる。新たに分かった主なものは、①第3項第3号は改正前からあり、量が第2項第3号へ移ったうえで費用の額及び保険料の水準が残ること（量は定めるものとされる事項、費用の額及び保険料の水準は定めるよう努めるものとされる事項）、②第3項第9号（入居定員総数）は改正前からあり、第5項第1号（勘案事項）との二重の構造であること、③第5項及び第14項の対象はいずれも第2項第1号から第3号までであること、④第115条の48の会議は改正後「支援会議」と称し構成員として地域包括支援センターが明示されること、⑤第118条第2項により都道府県介護保険事業支援計画にも中長期的な推計が定めるものとされること、⑥第117条第3項第6号・第7号及び第115条の49に指定登録施設介護支援の事業が加わること（3年以内）である。計画素案15箇所に反映した。【令和8年10月15日　解決】参照条文（001685804）の文字起こしのご提供を受け、介護保険法第117条の項の全体（全14項）及び第3項の全10号、第118条並びに第115条の45の項及び号を確認した。改正されない項（第4項 作成の基準、第6項 加齢に伴う特性への留意、第7項 市町村老人福祉計画と一体、第10項 他計画との整合性の確保、第11項 他計画との調和、第12項 被保険者の意見の反映、第14項 都道府県知事への提出）の項番号が確定した。新旧対照条文と重なる6件の突合はいずれも一致した。文字起こしは未校正の光学文字認識によるものであるため、条、項及び号の番号を用い条文の文言は計画素案に引用しない。引き続き必要なのは、①附則第3条から第77条までの経過措置、②認知症基本法ほか関係法令の条文（確認No.149）、③医療法等の一部を改正する法律による改正の施行の状況（確認No.189）である</t>
        </is>
      </c>
    </row>
    <row r="186" ht="88" customHeight="1">
      <c r="A186" s="4" t="n">
        <v>182</v>
      </c>
      <c r="B186" s="4" t="inlineStr">
        <is>
          <t>(1)(5)(6)</t>
        </is>
      </c>
      <c r="C186" s="4" t="inlineStr">
        <is>
          <t>R8.10</t>
        </is>
      </c>
      <c r="D186" s="5" t="inlineStr">
        <is>
          <t>介護給付費分科会の資料（原本）のご提供</t>
        </is>
      </c>
      <c r="E186" s="5" t="inlineStr">
        <is>
          <t>社会保障審議会介護給付費分科会（第256回から第270回）において、令和9年度介護報酬改定に向けた個別サービスの対応案が示されています。当方は外部に接続できないため資料の原本を確認できず、当初は社内で作成された要約の記録により論点を把握していました。令和8年10月14日に第262回（資料1から資料4）、第263回（資料1から資料5）、第264回（資料1から資料5）、第268回（基本的な視点（案））、第269回（資料1から資料4）及び第270回（資料1から資料5）の資料25件（全1,037頁）のご提供を受け、これらの本文を確認しました。本文を確認できていなかった3件のうち2件はこれにより解消しました（残る1件は第266回資料5であり、要約にも採用されていません）。①第256回から第261回まで及び第265回から第267回までの資料のうち当広域連合に関わるもの（特に第261回の人口減少地域）の原本をご提供いただきたい。②第270回 資料6をご提供いただきたい。③令和8年12月頃に示される改定の考え方及び運営基準に関する資料、令和9年1月頃の諮問・答申の資料についても、公表後にご提供いただきたい。</t>
        </is>
      </c>
      <c r="F186" s="5" t="inlineStr">
        <is>
          <t>計画素案 第1章第9節6・第6章第2節・第6章第6節2・第6章第7節
介護給付費分科会の論点整理の受領点検
介護給付費分科会資料（原典）の受領点検</t>
        </is>
      </c>
      <c r="G186" s="5" t="inlineStr">
        <is>
          <t>発注者</t>
        </is>
      </c>
      <c r="H186" s="10" t="inlineStr">
        <is>
          <t>一部提供（R8.10.14）</t>
        </is>
      </c>
      <c r="I186" s="10" t="inlineStr">
        <is>
          <t>R8.12</t>
        </is>
      </c>
      <c r="J186" s="11" t="inlineStr">
        <is>
          <t>決着しない場合の当方の扱い＝計画素案には国において検討されている事項があることまでを記載し、単位数・要件・施行時期を書かない。原本を確認できていないことを［要確認］として残し、改定率及び単価は令和7年度の実績で固定したまま概算する</t>
        </is>
      </c>
    </row>
    <row r="187" ht="88" customHeight="1">
      <c r="A187" s="4" t="n">
        <v>183</v>
      </c>
      <c r="B187" s="4" t="inlineStr">
        <is>
          <t>(5)(6)</t>
        </is>
      </c>
      <c r="C187" s="4" t="inlineStr">
        <is>
          <t>R8.10</t>
        </is>
      </c>
      <c r="D187" s="5" t="inlineStr">
        <is>
          <t>夜間対応型訪問介護の定期巡回・随時対応型への移行の扱い</t>
        </is>
      </c>
      <c r="E187" s="5" t="inlineStr">
        <is>
          <t>介護給付費分科会第269回 資料1において、夜間対応型訪問介護を定期巡回・随時対応型訪問介護看護へ移行することを見据えた評価の案が示されています。経過措置の期限について、同資料の中に「令和11年度末まで（第10期計画期間中）」とするものと「令和11年3月までの猶予期間」とするものの2通りの記載があり、いずれであるかを確認できていません（令和8年10月14日に原典により確認）。当広域連合の区域内に夜間対応型訪問介護の事業所はなく、給付の実績もありませんが、サービス見込量の区分としては現行の区分を立てています。①第10期のサービス見込量において夜間対応型訪問介護の区分をどのように扱うか（現行のまま立てる／定期巡回に統合する／省令等の確定後に改める）。②区域外の事業所を利用する当連合の被保険者がいる場合の扱い。</t>
        </is>
      </c>
      <c r="F187" s="5" t="inlineStr">
        <is>
          <t>計画素案 第6章第2節（2）・第6章第4節1
サービス見込量の算定・見える化システムへの入力値</t>
        </is>
      </c>
      <c r="G187" s="5" t="inlineStr">
        <is>
          <t>発注者</t>
        </is>
      </c>
      <c r="H187" s="10" t="inlineStr">
        <is>
          <t>未回答</t>
        </is>
      </c>
      <c r="I187" s="10" t="inlineStr">
        <is>
          <t>R8.12</t>
        </is>
      </c>
      <c r="J187" s="11" t="inlineStr">
        <is>
          <t>決着しない場合の当方の扱い＝現行の区分のまま夜間対応型訪問介護を実績なし（0）として立て、移行が検討されていることを計画素案の注に記載する。省令等が確定した時点で区分を組み替える</t>
        </is>
      </c>
    </row>
    <row r="188" ht="88" customHeight="1">
      <c r="A188" s="4" t="n">
        <v>184</v>
      </c>
      <c r="B188" s="4" t="inlineStr">
        <is>
          <t>(3)(4)(5)</t>
        </is>
      </c>
      <c r="C188" s="4" t="inlineStr">
        <is>
          <t>R8.11</t>
        </is>
      </c>
      <c r="D188" s="5" t="inlineStr">
        <is>
          <t>短期入所生活介護の季節利用及び長期利用の実態</t>
        </is>
      </c>
      <c r="E188" s="5" t="inlineStr">
        <is>
          <t>介護給付費分科会第270回 資料4において、短期入所生活介護について31日以上連続して利用する場合の減算を61日以上連続して利用する場合と同程度に改めることと、積雪期・猛暑期・農繁期等の季節による利用のみの方について例外的に当該減算を適用しない仕組みを設けることの双方が検討されています。同資料は「中山間地域では冬期間のみ利用することで在宅生活の継続を図る事例がみられるなど、人口規模が小さい自治体においては、積雪期や農繁期等の季節利用ニーズへの対応として短期入所生活介護が活用されている実態が把握された」としています（令和8年10月14日に原典により確認）。また同資料5において、短期入所療養介護にも長期利用に係る減算を新たに設けることが検討されています。当広域連合は積雪地であり、健康とくらしの調査では生活動作の困りごととして除雪を挙げた方が回答者の24.3％と最も多くなっています。①区域内の短期入所生活介護事業所における季節による利用の変動（積雪期の利用日数・緊急受入・断り件数）。②31日以上連続して利用している方の人数と長期化の理由（居住の代替としての利用か、季節的な利用か）。③事業所への照会を行うかどうか、様式を当方で用意するか。例外の対象となるには季節による利用のみであることを示す必要が生じる可能性があります。</t>
        </is>
      </c>
      <c r="F188" s="5" t="inlineStr">
        <is>
          <t>計画素案 第6章第2節 注1-1・第6章第4節
サービス見込量の算定（季節補正）</t>
        </is>
      </c>
      <c r="G188" s="5" t="inlineStr">
        <is>
          <t>発注者・3町・事業者</t>
        </is>
      </c>
      <c r="H188" s="10" t="inlineStr">
        <is>
          <t>未回答</t>
        </is>
      </c>
      <c r="I188" s="10" t="inlineStr">
        <is>
          <t>R8.12</t>
        </is>
      </c>
      <c r="J188" s="11" t="inlineStr">
        <is>
          <t>決着しない場合の当方の扱い＝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row>
    <row r="189" ht="88" customHeight="1">
      <c r="A189" s="4" t="n">
        <v>185</v>
      </c>
      <c r="B189" s="4" t="inlineStr">
        <is>
          <t>(5)(6)</t>
        </is>
      </c>
      <c r="C189" s="4" t="inlineStr">
        <is>
          <t>R8.11</t>
        </is>
      </c>
      <c r="D189" s="5" t="inlineStr">
        <is>
          <t>小規模市町村地域支援連携協働体制整備事業の対象となるかどうか</t>
        </is>
      </c>
      <c r="E189" s="5" t="inlineStr">
        <is>
          <t>社会福祉法等の一部を改正する法律案要綱 第1の4（3）により、小規模市町村（その人口規模、その人口の減少の状況等からみて福祉サービスを提供する体制の確保に支障を生じ、又は生ずるおそれがあると認められる市町村として厚生労働省令で定める基準に該当するもの）は、社会福祉法に基づく事業及び関係法律に基づく事業を一体のものとして実施することにより、包括的な支援体制を一体的に整備する事業を行うことができることとされました（社会福祉法第106条の6。施行は令和9年4月1日）。費用は小規模市町村の支弁とし、国及び都道府県が交付金を交付します。実施する場合は、関係法律に基づく事業についての市町村の支弁に係る費用から当該事業の実施に要する費用を除くこととされています（同法第106条の12）。①構成3町が厚生労働省令で定める基準に該当するかどうか。②「関係法律に基づく事業」に介護保険法の包括的支援事業（地域包括支援センターの運営）が含まれるかどうか。③含まれる場合、当該費用が本広域連合の地域支援事業費（B）から除かれるかどうか。地域支援事業費は保険料収納必要額の算定の基礎であるため、除かれる場合は保険料を下げる向きに働きます。</t>
        </is>
      </c>
      <c r="F189" s="5" t="inlineStr">
        <is>
          <t>計画素案 第1章第9節2・第6章第3節2・第6章第6節
サービス見込量の算定（地域支援事業費）</t>
        </is>
      </c>
      <c r="G189" s="5" t="inlineStr">
        <is>
          <t>発注者・3町</t>
        </is>
      </c>
      <c r="H189" s="10" t="inlineStr">
        <is>
          <t>未回答</t>
        </is>
      </c>
      <c r="I189" s="10" t="inlineStr">
        <is>
          <t>R8.12</t>
        </is>
      </c>
      <c r="J189" s="11" t="inlineStr">
        <is>
          <t>決着しない場合の当方の扱い＝現行の地域支援事業費（令和6年度決算による据え置き）により算定し、本事業を実施しないものとして扱う。厚生労働省令が示された時点で該当の有無を確かめ、該当する場合は費用の支弁の構造を改めて算定し直す。【令和8年10月15日】新旧対照条文により社会福祉法第106条の12（新設）の内容を確かめた。小規模市町村が本事業を実施する場合、介護保険法第122条の2（第3項を除く。地域支援事業に係る国の交付金）並びに第123条第3項及び第4項（都道府県の負担）の規定の適用について、第122条の2第1項の「費用」から本事業として行う社会福祉法第106条の6第2項第3号イに掲げる事業に要する費用を除き、第123条第4項の「費用」から同条第2項第1号イ及び第3号ロに掲げる事業に要する費用を除くこととされている。重層的支援体制整備事業（社会福祉法第106条の4）と同じ構造である。除かれるのは国の交付金及び都道府県の負担の対象となる費用であり、当該費用は社会福祉法による交付金等により支弁されることとなる。除かれる事業の内容（第106条の6第2項第1号イ・第3号イ・第3号ロ）は確かめていない。小規模市町村の基準は厚生労働省令で定められるため、①（該当の有無）は引き続き確認を要する【令和8年10月15日】参照条文には社会福祉法第106条の3（包括的な支援体制の整備）までが収録されており、第106条の6は改正法により新設される規定であるため現れない。本件は進んでいない</t>
        </is>
      </c>
    </row>
    <row r="190" ht="88" customHeight="1">
      <c r="A190" s="4" t="n">
        <v>186</v>
      </c>
      <c r="B190" s="4" t="inlineStr">
        <is>
          <t>(5)(6)</t>
        </is>
      </c>
      <c r="C190" s="4" t="inlineStr">
        <is>
          <t>R8.11</t>
        </is>
      </c>
      <c r="D190" s="5" t="inlineStr">
        <is>
          <t>特定施設の定義の改正による区域内3施設の扱い</t>
        </is>
      </c>
      <c r="E190" s="5" t="inlineStr">
        <is>
          <t>社会福祉法等の一部を改正する法律案要綱 第2の3により、介護保険法第8条第11項の「特定施設」が「登録有料老人ホームその他厚生労働省令で定める施設であって、地域密着型特定施設でないもの」に改められました（施行は公布の日から起算して2年を超えない範囲内において政令で定める日。令和10年6月まで）。登録有料老人ホーム事業の対象となる状態は政令で定められます（要綱 第6の4（1））。①区域内で特定施設入居者生活介護の指定を受けている3施設（定員156人）が登録有料老人ホームの登録を受けることとなるか。②登録を受けない場合、特定施設入居者生活介護の指定がどのように扱われるか（経過措置の有無）。③区域内の住宅型有料老人ホーム9施設（定員223人）のうち登録の対象となるものがあるか。特定施設入居者生活介護の見込量は令和7年度の実績（月61.5人）を基礎としており、対象となる施設の範囲が変わると見込量の前提が変わります。</t>
        </is>
      </c>
      <c r="F190" s="5" t="inlineStr">
        <is>
          <t>計画素案 第1章第9節2・第2章第3節・第6章第2節 注3・第6章第4節
サービス見込量の算定（施設・居住系サービス）</t>
        </is>
      </c>
      <c r="G190" s="5" t="inlineStr">
        <is>
          <t>発注者・北海道</t>
        </is>
      </c>
      <c r="H190" s="10" t="inlineStr">
        <is>
          <t>未回答</t>
        </is>
      </c>
      <c r="I190" s="10" t="inlineStr">
        <is>
          <t>R8.12</t>
        </is>
      </c>
      <c r="J190" s="11" t="inlineStr">
        <is>
          <t>決着しない場合の当方の扱い＝現行の指定の区分により特定施設入居者生活介護の見込量を算定し、定義の改正により対象となる施設の範囲が変わり得ることを計画素案の注に［要確認］として記載する。【令和8年10月15日】新旧対照条文により、現行の第8条第11項が「有料老人ホームその他厚生労働省令で定める施設であって、第20項に規定する地域密着型特定施設でないもの」であり、改正により「有料老人ホーム」が「老人福祉法第29条の18第5項に規定する登録有料老人ホーム」に置き換わることを確かめた。すなわち登録有料老人ホームを定義に加えるものではなく、登録を受けない有料老人ホームは特定施設に当たらなくなる。計画素案 第1章第9節2の記述を「定義に加える」から「有料老人ホームを登録有料老人ホームに改める」に是正した。【令和8年10月15日】参照条文により、現行の第8条第11項が「有料老人ホームその他厚生労働省令で定める施設であって地域密着型特定施設でないもの」であることを2つ目の原典で確かめた。また同条第21項により、介護専用型特定施設はその入居者が要介護者、その配偶者その他厚生労働省令で定める者に限られるものであり、類型は入居の要件により定まることが分かった</t>
        </is>
      </c>
    </row>
    <row r="191" ht="88" customHeight="1">
      <c r="A191" s="4" t="n">
        <v>187</v>
      </c>
      <c r="B191" s="4" t="inlineStr">
        <is>
          <t>(5)(6)</t>
        </is>
      </c>
      <c r="C191" s="4" t="inlineStr">
        <is>
          <t>R8.11</t>
        </is>
      </c>
      <c r="D191" s="5" t="inlineStr">
        <is>
          <t>「特定地域支援事業支援額」の内容</t>
        </is>
      </c>
      <c r="E191" s="5" t="inlineStr">
        <is>
          <t>介護保険法第123条第4項は、都道府県は市町村に対し特定地域支援事業支援額の100分の25に相当する額を交付するものと定めています（令和8年10月15日に参照条文により確認）。「特定地域支援事業支援額」は当方の整理にない語であり、内容を確認できていません。①同額の内容及び算定の方法。②特定地域（中山間・人口減少地域）に関わるものであるか。③当広域連合の地域支援事業費の財源に関わるか。地域支援事業費（B）は保険料収納必要額の算定の基礎であるため、財源の区分が変わると第1号被保険者の負担分が変わります。</t>
        </is>
      </c>
      <c r="F191" s="5" t="inlineStr">
        <is>
          <t>計画素案 第1章第9節1・第6章第3節2・第6章第6節
サービス見込量の算定（地域支援事業費）</t>
        </is>
      </c>
      <c r="G191" s="5" t="inlineStr">
        <is>
          <t>発注者</t>
        </is>
      </c>
      <c r="H191" s="10" t="inlineStr">
        <is>
          <t>未回答</t>
        </is>
      </c>
      <c r="I191" s="10" t="inlineStr">
        <is>
          <t>R8.12</t>
        </is>
      </c>
      <c r="J191" s="11" t="inlineStr">
        <is>
          <t>決着しない場合の当方の扱い＝現行の地域支援事業費（令和6年度決算による据え置き）により算定し、特定地域支援事業支援額を織り込まない。内容が示された時点で財源の区分を確かめ、再算定する</t>
        </is>
      </c>
    </row>
    <row r="192" ht="88" customHeight="1">
      <c r="A192" s="4" t="n">
        <v>188</v>
      </c>
      <c r="B192" s="4" t="inlineStr">
        <is>
          <t>(5)(6)</t>
        </is>
      </c>
      <c r="C192" s="4" t="inlineStr">
        <is>
          <t>R8.11</t>
        </is>
      </c>
      <c r="D192" s="5" t="inlineStr">
        <is>
          <t>地域支援事業費の政令で定める額</t>
        </is>
      </c>
      <c r="E192" s="5" t="inlineStr">
        <is>
          <t>介護保険法第115条の45第4項は、地域支援事業は、当該市町村における介護予防に関する事業の実施状況、介護保険の運営の状況、75歳以上の被保険者の数その他の状況を勘案して政令で定める額の範囲内で行うものと定めています（令和8年10月15日に参照条文により確認）。当方の地域支援事業費（第10期3か年531,483,777円）は令和6年度決算の水準を据え置いたものであり、政令で定める額との関係を確かめていません。①介護保険法施行令の当該規定及び当広域連合に係る額。②令和6年度の決算額が同額の範囲内であること。③第10期の見込額が同額の範囲内に収まるか。当方は外部の情報提供サイトへ接続できないため政令の条文を確認できません。</t>
        </is>
      </c>
      <c r="F192" s="5" t="inlineStr">
        <is>
          <t>計画素案 第6章第3節2・第6章第6節
サービス見込量の算定（地域支援事業費）</t>
        </is>
      </c>
      <c r="G192" s="5" t="inlineStr">
        <is>
          <t>発注者</t>
        </is>
      </c>
      <c r="H192" s="10" t="inlineStr">
        <is>
          <t>未回答</t>
        </is>
      </c>
      <c r="I192" s="10" t="inlineStr">
        <is>
          <t>R8.12</t>
        </is>
      </c>
      <c r="J192" s="11" t="inlineStr">
        <is>
          <t>決着しない場合の当方の扱い＝令和6年度決算の水準を据え置いたまま算定し、政令で定める額との関係を確かめていない旨を計画素案の注に［要確認］として記載する</t>
        </is>
      </c>
    </row>
    <row r="193" ht="88" customHeight="1">
      <c r="A193" s="4" t="n">
        <v>189</v>
      </c>
      <c r="B193" s="4" t="inlineStr">
        <is>
          <t>(1)(6)</t>
        </is>
      </c>
      <c r="C193" s="4" t="inlineStr">
        <is>
          <t>R8.12</t>
        </is>
      </c>
      <c r="D193" s="5" t="inlineStr">
        <is>
          <t>医療法等の一部を改正する法律による介護保険法の改正の施行の状況</t>
        </is>
      </c>
      <c r="E193" s="5" t="inlineStr">
        <is>
          <t>参照条文に収録されている介護保険法は、医療法等の一部を改正する法律（令和7年法律第87号）による改正後のものであり、その施行は公布の日から起算して2年を超えない範囲内において政令で定める日とされています（令和8年10月15日に確認）。このため、参照条文により確認した各項が本計画の策定の時点で施行されているかを確かめられていません。①同法による介護保険法の改正の内容及び施行の日。②第117条第5項（医療法第30条の18の5第1項の規定による協議の結果の考慮）が本計画の策定の時点で施行されているか。③医療法第30条の18の5（医療と介護の協議の場）の内容。令和8年9月18日の社会保障審議会介護保険部会で示された「医療と介護の協議の場の再編成」と関わります。</t>
        </is>
      </c>
      <c r="F193" s="5" t="inlineStr">
        <is>
          <t>計画素案 第1章第8節・第1章第9節1・第1章第9節6</t>
        </is>
      </c>
      <c r="G193" s="5" t="inlineStr">
        <is>
          <t>発注者</t>
        </is>
      </c>
      <c r="H193" s="10" t="inlineStr">
        <is>
          <t>未回答</t>
        </is>
      </c>
      <c r="I193" s="10" t="inlineStr">
        <is>
          <t>R8.12</t>
        </is>
      </c>
      <c r="J193" s="11" t="inlineStr">
        <is>
          <t>決着しない場合の当方の扱い＝医療との連携は第5章 基本目標1及び第6章第5節の記述により扱い、医療法の協議の結果の考慮については施行の時期を確認できていない旨を［要確認］として記載する</t>
        </is>
      </c>
    </row>
    <row r="195" ht="32" customHeight="1">
      <c r="A195" s="3" t="inlineStr">
        <is>
          <t>区分</t>
        </is>
      </c>
      <c r="B195" s="3" t="inlineStr">
        <is>
          <t>件数</t>
        </is>
      </c>
      <c r="C195" s="3" t="inlineStr"/>
      <c r="D195" s="3" t="inlineStr"/>
      <c r="E195" s="3" t="inlineStr"/>
      <c r="F195" s="3" t="inlineStr"/>
      <c r="G195" s="3" t="inlineStr"/>
      <c r="H195" s="3" t="inlineStr"/>
      <c r="I195" s="3" t="inlineStr"/>
      <c r="J195" s="3" t="inlineStr"/>
    </row>
    <row r="196" ht="20" customHeight="1">
      <c r="A196" s="6" t="inlineStr">
        <is>
          <t>完了</t>
        </is>
      </c>
      <c r="B196" s="4">
        <f>COUNTIF(H5:H193,"完了")</f>
        <v/>
      </c>
      <c r="C196" s="5" t="inlineStr"/>
      <c r="D196" s="5" t="inlineStr"/>
      <c r="E196" s="5" t="inlineStr"/>
      <c r="F196" s="5" t="inlineStr"/>
      <c r="G196" s="5" t="inlineStr"/>
      <c r="H196" s="5" t="inlineStr"/>
      <c r="I196" s="5" t="inlineStr"/>
      <c r="J196" s="5" t="inlineStr"/>
    </row>
    <row r="197" ht="20" customHeight="1">
      <c r="A197" s="8" t="inlineStr">
        <is>
          <t>実施中</t>
        </is>
      </c>
      <c r="B197" s="4">
        <f>COUNTIF(H5:H193,"実施中")</f>
        <v/>
      </c>
      <c r="C197" s="5" t="inlineStr"/>
      <c r="D197" s="5" t="inlineStr"/>
      <c r="E197" s="5" t="inlineStr"/>
      <c r="F197" s="5" t="inlineStr"/>
      <c r="G197" s="5" t="inlineStr"/>
      <c r="H197" s="5" t="inlineStr"/>
      <c r="I197" s="5" t="inlineStr"/>
      <c r="J197" s="5" t="inlineStr"/>
    </row>
    <row r="198" ht="20" customHeight="1">
      <c r="A198" s="10" t="inlineStr">
        <is>
          <t>確認待ち</t>
        </is>
      </c>
      <c r="B198" s="4">
        <f>COUNTIF(H5:H193,"確認待ち")</f>
        <v/>
      </c>
      <c r="C198" s="5" t="inlineStr"/>
      <c r="D198" s="5" t="inlineStr"/>
      <c r="E198" s="5" t="inlineStr"/>
      <c r="F198" s="5" t="inlineStr"/>
      <c r="G198" s="5" t="inlineStr"/>
      <c r="H198" s="5" t="inlineStr"/>
      <c r="I198" s="5" t="inlineStr"/>
      <c r="J198" s="5" t="inlineStr"/>
    </row>
    <row r="199" ht="20" customHeight="1">
      <c r="A199" s="12" t="inlineStr">
        <is>
          <t>未着手</t>
        </is>
      </c>
      <c r="B199" s="4">
        <f>COUNTIF(H5:H193,"未着手")</f>
        <v/>
      </c>
      <c r="C199" s="5" t="inlineStr"/>
      <c r="D199" s="5" t="inlineStr"/>
      <c r="E199" s="5" t="inlineStr"/>
      <c r="F199" s="5" t="inlineStr"/>
      <c r="G199" s="5" t="inlineStr"/>
      <c r="H199" s="5" t="inlineStr"/>
      <c r="I199" s="5" t="inlineStr"/>
      <c r="J199" s="5" t="inlineStr"/>
    </row>
    <row r="200" ht="20" customHeight="1">
      <c r="A200" s="14" t="inlineStr">
        <is>
          <t>対象外</t>
        </is>
      </c>
      <c r="B200" s="4">
        <f>COUNTIF(H5:H193,"対象外")</f>
        <v/>
      </c>
      <c r="C200" s="5" t="inlineStr"/>
      <c r="D200" s="5" t="inlineStr"/>
      <c r="E200" s="5" t="inlineStr"/>
      <c r="F200" s="5" t="inlineStr"/>
      <c r="G200" s="5" t="inlineStr"/>
      <c r="H200" s="5" t="inlineStr"/>
      <c r="I200" s="5" t="inlineStr"/>
      <c r="J200" s="5" t="inlineStr"/>
    </row>
    <row r="202" ht="32" customHeight="1">
      <c r="A202" s="3" t="inlineStr">
        <is>
          <t>確認先</t>
        </is>
      </c>
      <c r="B202" s="3" t="inlineStr">
        <is>
          <t>件数</t>
        </is>
      </c>
      <c r="C202" s="3" t="inlineStr"/>
      <c r="D202" s="3" t="inlineStr"/>
      <c r="E202" s="3" t="inlineStr"/>
      <c r="F202" s="3" t="inlineStr"/>
      <c r="G202" s="3" t="inlineStr"/>
      <c r="H202" s="3" t="inlineStr"/>
      <c r="I202" s="3" t="inlineStr"/>
      <c r="J202" s="3" t="inlineStr"/>
    </row>
    <row r="203" ht="20" customHeight="1">
      <c r="A203" s="5" t="inlineStr">
        <is>
          <t>発注者</t>
        </is>
      </c>
      <c r="B203" s="4">
        <f>COUNTIF(G5:G193,"発注者")</f>
        <v/>
      </c>
      <c r="C203" s="5" t="inlineStr"/>
      <c r="D203" s="5" t="inlineStr"/>
      <c r="E203" s="5" t="inlineStr"/>
      <c r="F203" s="5" t="inlineStr"/>
      <c r="G203" s="5" t="inlineStr"/>
      <c r="H203" s="5" t="inlineStr"/>
      <c r="I203" s="5" t="inlineStr"/>
      <c r="J203" s="5" t="inlineStr"/>
    </row>
    <row r="204" ht="20" customHeight="1">
      <c r="A204" s="5" t="inlineStr">
        <is>
          <t>発注者・3町</t>
        </is>
      </c>
      <c r="B204" s="4">
        <f>COUNTIF(G5:G193,"発注者・3町")</f>
        <v/>
      </c>
      <c r="C204" s="5" t="inlineStr"/>
      <c r="D204" s="5" t="inlineStr"/>
      <c r="E204" s="5" t="inlineStr"/>
      <c r="F204" s="5" t="inlineStr"/>
      <c r="G204" s="5" t="inlineStr"/>
      <c r="H204" s="5" t="inlineStr"/>
      <c r="I204" s="5" t="inlineStr"/>
      <c r="J204" s="5" t="inlineStr"/>
    </row>
    <row r="205" ht="20" customHeight="1">
      <c r="A205" s="5" t="inlineStr">
        <is>
          <t>発注者・北海道</t>
        </is>
      </c>
      <c r="B205" s="4">
        <f>COUNTIF(G5:G193,"発注者・北海道")</f>
        <v/>
      </c>
      <c r="C205" s="5" t="inlineStr"/>
      <c r="D205" s="5" t="inlineStr"/>
      <c r="E205" s="5" t="inlineStr"/>
      <c r="F205" s="5" t="inlineStr"/>
      <c r="G205" s="5" t="inlineStr"/>
      <c r="H205" s="5" t="inlineStr"/>
      <c r="I205" s="5" t="inlineStr"/>
      <c r="J205" s="5" t="inlineStr"/>
    </row>
    <row r="206" ht="20" customHeight="1">
      <c r="A206" s="5" t="inlineStr">
        <is>
          <t>発注者・3町・北海道</t>
        </is>
      </c>
      <c r="B206" s="4">
        <f>COUNTIF(G5:G193,"発注者・3町・北海道")</f>
        <v/>
      </c>
      <c r="C206" s="5" t="inlineStr"/>
      <c r="D206" s="5" t="inlineStr"/>
      <c r="E206" s="5" t="inlineStr"/>
      <c r="F206" s="5" t="inlineStr"/>
      <c r="G206" s="5" t="inlineStr"/>
      <c r="H206" s="5" t="inlineStr"/>
      <c r="I206" s="5" t="inlineStr"/>
      <c r="J206" s="5" t="inlineStr"/>
    </row>
    <row r="207" ht="20" customHeight="1">
      <c r="A207" s="5" t="inlineStr">
        <is>
          <t>北海道</t>
        </is>
      </c>
      <c r="B207" s="4">
        <f>COUNTIF(G5:G193,"北海道")</f>
        <v/>
      </c>
      <c r="C207" s="5" t="inlineStr"/>
      <c r="D207" s="5" t="inlineStr"/>
      <c r="E207" s="5" t="inlineStr"/>
      <c r="F207" s="5" t="inlineStr"/>
      <c r="G207" s="5" t="inlineStr"/>
      <c r="H207" s="5" t="inlineStr"/>
      <c r="I207" s="5" t="inlineStr"/>
      <c r="J207" s="5" t="inlineStr"/>
    </row>
    <row r="209" ht="52" customHeight="1">
      <c r="A209" s="16" t="inlineStr">
        <is>
          <t>注1）本シートの確認事項は、計画素案の本文には注記として記載しない。本文には確定していない数値を［要協議］［要確認］［要内訳］として残すにとどめ、その解消に必要な作業は本シートで管理する。注2）「止めている成果物」が確定しない限り、当該成果物を含む工程は完了しない。01シートの「未了の理由・次の作業」及び02シートの「備考・次工程への条件」と対応する。注3）確認事項の詳細な背景と根拠は、妥当性検証報告書及び追加調査報告書に記載している。発注者への依頼文としては確認依頼書（第8版）を別途提出している。
注4）回答欄の「決着しない場合は…」は、ご決定をいただけない場合に受託者が仮に置く扱いであり、決定ではない。令和8年10月の3町合同の意見交換会で内容を諮り、ご決定をいただいた時点で回答欄に反映する。保険料を動かすものは、保険料が不足する側に誤らない向き（安全側）に置いている。
注5）本シートはNo.の昇順に並べている。工程（月）、確認先又は状態で絞り込む場合は、見出し行の絞り込みの機能を用いる。何をすれば決着するか（資料の徴求を要するもの・公表資料により確認できるもの・ご判断をお願いするもの）による区分は、別冊「確認事項の資料徴求と公表資料による確認」に掲げている。</t>
        </is>
      </c>
    </row>
  </sheetData>
  <autoFilter ref="A4:J193"/>
  <mergeCells count="3">
    <mergeCell ref="A1:J1"/>
    <mergeCell ref="A209:J209"/>
    <mergeCell ref="A2:J2"/>
  </mergeCells>
  <conditionalFormatting sqref="H5:H193">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0">
      <formula>"了承済（保管せず廃棄）"</formula>
    </cfRule>
    <cfRule type="cellIs" priority="5" operator="equal" dxfId="3">
      <formula>"未着手"</formula>
    </cfRule>
    <cfRule type="cellIs" priority="6" operator="equal" dxfId="4">
      <formula>"対象外"</formula>
    </cfRule>
    <cfRule type="cellIs" priority="7" operator="equal" dxfId="0">
      <formula>"代替により解消"</formula>
    </cfRule>
    <cfRule type="cellIs" priority="8" operator="equal" dxfId="1">
      <formula>"一部解消"</formula>
    </cfRule>
    <cfRule type="cellIs" priority="9" operator="equal" dxfId="1">
      <formula>"提供予定（即時）"</formula>
    </cfRule>
    <cfRule type="cellIs" priority="10" operator="equal" dxfId="1">
      <formula>"作成中"</formula>
    </cfRule>
    <cfRule type="cellIs" priority="11" operator="equal" dxfId="0">
      <formula>"了承済"</formula>
    </cfRule>
    <cfRule type="cellIs" priority="12" operator="equal" dxfId="1">
      <formula>"対応中"</formula>
    </cfRule>
  </conditionalFormatting>
  <dataValidations count="1">
    <dataValidation sqref="H5:H193" showDropDown="0" showInputMessage="0" showErrorMessage="0" allowBlank="1" type="list">
      <formula1>"完了,実施中,確認待ち,未着手,対象外"</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34" customWidth="1" min="3" max="3"/>
    <col width="30" customWidth="1" min="4" max="4"/>
    <col width="9" customWidth="1" min="5" max="5"/>
    <col width="12" customWidth="1" min="6" max="6"/>
    <col width="12" customWidth="1" min="7" max="7"/>
    <col width="30" customWidth="1" min="8" max="8"/>
    <col width="26" customWidth="1" min="9" max="9"/>
  </cols>
  <sheetData>
    <row r="1" ht="26" customHeight="1">
      <c r="A1" s="1" t="inlineStr">
        <is>
          <t>仕様書４（10）　成果品の管理</t>
        </is>
      </c>
    </row>
    <row r="2" ht="52" customHeight="1">
      <c r="A2" s="2" t="inlineStr">
        <is>
          <t>仕様書４（10）が定める納品物と、その作成状況を管理する。成果品は編集可能な電子データ（Word、Excel等）及びPDF形式により提出し、図表、グラフ及び統計資料についても発注者が加工可能な形式で納品する。計画骨子案・計画素案・計画最終案その他発注者が必要と認める資料は、発注者が指定する期日までに提出する。</t>
        </is>
      </c>
    </row>
    <row r="4" ht="32" customHeight="1">
      <c r="A4" s="3" t="inlineStr">
        <is>
          <t>No.</t>
        </is>
      </c>
      <c r="B4" s="3" t="inlineStr">
        <is>
          <t>納品物（仕様書４（10））</t>
        </is>
      </c>
      <c r="C4" s="3" t="inlineStr">
        <is>
          <t>現在のファイル・稿</t>
        </is>
      </c>
      <c r="D4" s="3" t="inlineStr">
        <is>
          <t>形式・仕様</t>
        </is>
      </c>
      <c r="E4" s="3" t="inlineStr">
        <is>
          <t>状態</t>
        </is>
      </c>
      <c r="F4" s="3" t="inlineStr">
        <is>
          <t>進捗</t>
        </is>
      </c>
      <c r="G4" s="3" t="inlineStr">
        <is>
          <t>納品期日</t>
        </is>
      </c>
      <c r="H4" s="3" t="inlineStr">
        <is>
          <t>確定していない事項</t>
        </is>
      </c>
      <c r="I4" s="3" t="inlineStr">
        <is>
          <t>確認事項No.</t>
        </is>
      </c>
    </row>
    <row r="5" ht="76" customHeight="1">
      <c r="A5" s="4" t="n">
        <v>1</v>
      </c>
      <c r="B5" s="5" t="inlineStr">
        <is>
          <t>第10期介護保険事業計画書
（A4判表紙レザック本文1色
100頁程度）200部</t>
        </is>
      </c>
      <c r="C5" s="5" t="inlineStr">
        <is>
          <t>第10期介護保険事業計画_協議用素案_令和8年8月.docx
（1062段落156表36図）</t>
        </is>
      </c>
      <c r="D5" s="5" t="inlineStr">
        <is>
          <t>印刷・製本200部
入稿用PDF及びWord</t>
        </is>
      </c>
      <c r="E5" s="8" t="inlineStr">
        <is>
          <t>実施中</t>
        </is>
      </c>
      <c r="F5" s="20" t="n">
        <v>0.55</v>
      </c>
      <c r="G5" s="10" t="inlineStr">
        <is>
          <t>R9.3</t>
        </is>
      </c>
      <c r="H5" s="11" t="inlineStr">
        <is>
          <t>①本文100頁程度に対する章別のページ配分、②図表の本文掲載点数の上限、③印刷・製本の入稿期限。図表集は133点あり、本文への掲載点数の決定を要する。また未確定の数値を［要協議］［要確認］［要内訳］として本文に残している。</t>
        </is>
      </c>
      <c r="I5" s="5" t="inlineStr">
        <is>
          <t>21</t>
        </is>
      </c>
    </row>
    <row r="6" ht="76" customHeight="1">
      <c r="A6" s="4" t="n">
        <v>2</v>
      </c>
      <c r="B6" s="5" t="inlineStr">
        <is>
          <t>第10期介護保険事業計画書及び
概要版電子データ
（Word、Excel、PDF等）一式</t>
        </is>
      </c>
      <c r="C6" s="5" t="inlineStr">
        <is>
          <t>計画書：作成中（上記）
概要版：未着手</t>
        </is>
      </c>
      <c r="D6" s="5" t="inlineStr">
        <is>
          <t>Word（編集可能）
及びPDF</t>
        </is>
      </c>
      <c r="E6" s="12" t="inlineStr">
        <is>
          <t>未着手</t>
        </is>
      </c>
      <c r="F6" s="20" t="n">
        <v>0</v>
      </c>
      <c r="G6" s="10" t="inlineStr">
        <is>
          <t>R9.3</t>
        </is>
      </c>
      <c r="H6" s="11" t="inlineStr">
        <is>
          <t>概要版の頁数、体裁、掲載内容（本文からの抜粋範囲）。仕様書は概要版の仕様を定めていないため、発注者の指定を要する。</t>
        </is>
      </c>
      <c r="I6" s="5" t="inlineStr">
        <is>
          <t>21</t>
        </is>
      </c>
    </row>
    <row r="7" ht="76" customHeight="1">
      <c r="A7" s="4" t="n">
        <v>3</v>
      </c>
      <c r="B7" s="5" t="inlineStr">
        <is>
          <t>分析資料、推計資料、図表、
グラフ、クロス集計表等
電子データ 一式</t>
        </is>
      </c>
      <c r="C7" s="5" t="inlineStr">
        <is>
          <t>第10期計画_調査クロス集計・分析.xlsx（24シート）
第10期計画_アンケート調査の集計分析報告書.xlsx（15シート）
第10期計画_調査結果と年報実績の突合クロス集計.xlsx（10シート）
第10期計画_実施済み3調査の受領点検と集計.xlsx（16シート）
第10期計画_妥当性検証報告書.xlsx（24シート）
第10期計画_追加調査報告書.xlsx（8シート）
第10期計画_施策体系新旧対照表.xlsx（5シート）
第10期計画_地域差の分析.xlsx（15シート）
第10期計画_認定率の年齢調整分析.xlsx（7シート）
第10期計画_人口推計の基礎の検証.xlsx（9シート）
第10期計画_将来推計_人口と認定者数.xlsx（9シート）
第10期計画_将来推計_第2段階_サービス見込量.xlsx（8シート）
第10期計画_将来推計_第3段階_給付費と保険料.xlsx（11シート）
第10期計画_サービス見込量の算定.xlsx（18シート）
第10期計画_サービス見込量算定_統合報告書.xlsx（44シート）
第10期計画_保険料と施策評価の他団体比較.xlsx（9シート）
第10期計画_保険料の所得段階と低所得者軽減の検証.xlsx（10シート）
第10期計画_図表集_白黒.xlsx（36シート）
第10期計画_要介護認定データの確認.xlsx（7シート）
第10期計画_サービス受給者数データの確認.xlsx（7シート）
第10期計画_実施済み調査_結果報告書.docx（8章51表39図）
figures/*.png</t>
        </is>
      </c>
      <c r="D7" s="5" t="inlineStr">
        <is>
          <t>Excel（計算式・元数値を保持）
PNG及びPDF</t>
        </is>
      </c>
      <c r="E7" s="8" t="inlineStr">
        <is>
          <t>実施中</t>
        </is>
      </c>
      <c r="F7" s="20" t="n">
        <v>0.92</v>
      </c>
      <c r="G7" s="10" t="inlineStr">
        <is>
          <t>R9.3</t>
        </is>
      </c>
      <c r="H7" s="11" t="inlineStr">
        <is>
          <t>①推計資料は第1段階（人口・認定者数）・第2段階（サービス見込量）・第3段階（給付費と保険料）に加え、サービス見込量の算定（令和8年9月16日）まで作成済み。算定は要介護度別の見込量・利用回（日）数・地域支援事業の量・中長期推計（令和17年度・令和22年度）・供給の制約・報酬改定率の感度を含む。②クロス集計表は4調査すべて作成済み。4調査横断のクロス集計は発注者のご意向により行わない（アンケート調査の集計分析報告書 13シート）。令和8年9月11日に年報の要介護度別明細との突合を加えた。③図表の元数値はシート内に保持しているが、発注者側での再計算を想定した様式の指定があれば合わせる。④上記のシート数は成果品そのものによる。</t>
        </is>
      </c>
      <c r="I7" s="5" t="inlineStr">
        <is>
          <t>8, 9, 11, 14, 140, 141</t>
        </is>
      </c>
    </row>
    <row r="8" ht="76" customHeight="1">
      <c r="A8" s="4" t="n">
        <v>4</v>
      </c>
      <c r="B8" s="5" t="inlineStr">
        <is>
          <t>打合せ資料、会議資料原案
その他業務で作成した資料 一式</t>
        </is>
      </c>
      <c r="C8" s="5" t="inlineStr">
        <is>
          <t>第10期計画_確認依頼書.docx（第9版）
第10期計画素案_修正指示書.xlsx（66件）
第10期計画_業務工程管理表.xlsx（本表）
第10期計画_キックオフ会議資料.docx（13章18表）
第10期計画_キックオフ会議ヒアリングシート.docx（16項目）
第10期計画_必要事項の一覧.xlsx（8シート）
第10期計画_計画素案の別管理表.xlsx（6シート）
第10期計画_送付資料一覧.xlsx（3シート）</t>
        </is>
      </c>
      <c r="D8" s="5" t="inlineStr">
        <is>
          <t>Word及びExcel</t>
        </is>
      </c>
      <c r="E8" s="8" t="inlineStr">
        <is>
          <t>実施中</t>
        </is>
      </c>
      <c r="F8" s="20" t="n">
        <v>0.55</v>
      </c>
      <c r="G8" s="10" t="inlineStr">
        <is>
          <t>R9.3</t>
        </is>
      </c>
      <c r="H8" s="11" t="inlineStr">
        <is>
          <t>①キックオフ会議資料は作成済み。会議日程が未確定。②運営協議会等への資料原案は開催日程と審議事項の確定を要する。③パブリックコメント資料は実施期間の確定を要する。</t>
        </is>
      </c>
      <c r="I8" s="5" t="inlineStr">
        <is>
          <t>19</t>
        </is>
      </c>
    </row>
    <row r="9" ht="76" customHeight="1">
      <c r="A9" s="4" t="n">
        <v>5</v>
      </c>
      <c r="B9" s="5" t="inlineStr">
        <is>
          <t>計画骨子案
（発注者が必要と認める資料）</t>
        </is>
      </c>
      <c r="C9" s="5" t="inlineStr">
        <is>
          <t>第10期介護保険事業計画_骨子案.docx（11節22表）</t>
        </is>
      </c>
      <c r="D9" s="5" t="inlineStr">
        <is>
          <t>Word及びPDF</t>
        </is>
      </c>
      <c r="E9" s="8" t="inlineStr">
        <is>
          <t>実施中</t>
        </is>
      </c>
      <c r="F9" s="20" t="n">
        <v>0.85</v>
      </c>
      <c r="G9" s="10" t="inlineStr">
        <is>
          <t>R8.11</t>
        </is>
      </c>
      <c r="H9" s="11" t="inlineStr">
        <is>
          <t>第10節の決定・確認を要する事項12件についてご意向を確認したうえで、令和8年11月に構成3町の意見を反映して確定する。</t>
        </is>
      </c>
      <c r="I9" s="5" t="inlineStr">
        <is>
          <t>18</t>
        </is>
      </c>
    </row>
    <row r="10" ht="76" customHeight="1">
      <c r="A10" s="4" t="n">
        <v>6</v>
      </c>
      <c r="B10" s="5" t="inlineStr">
        <is>
          <t>計画素案
（発注者が必要と認める資料）</t>
        </is>
      </c>
      <c r="C10" s="5" t="inlineStr">
        <is>
          <t>第10期介護保険事業計画_協議用素案_令和8年8月.docx
（1062段落156表36図）</t>
        </is>
      </c>
      <c r="D10" s="5" t="inlineStr">
        <is>
          <t>Word及びPDF</t>
        </is>
      </c>
      <c r="E10" s="8" t="inlineStr">
        <is>
          <t>実施中</t>
        </is>
      </c>
      <c r="F10" s="20" t="n">
        <v>0.75</v>
      </c>
      <c r="G10" s="10" t="inlineStr">
        <is>
          <t>R8.12</t>
        </is>
      </c>
      <c r="H10" s="11" t="inlineStr">
        <is>
          <t>第6章の見込量・給付費・保険料は令和8年9月16日に第1次概算の値を反映済み（暫定の月額基準額6,436円）。第2次概算（令和8年10月30日）及び前提の決定により確定する。未確定箇所は135箇所（要協議109・要確認25・要内訳1）で、うち58箇所が第6章第4節に集中しており、日常生活圏域と必要利用定員総数（確認No.88）の決定により解消する。図表レイアウトを発注者にて確認中。</t>
        </is>
      </c>
      <c r="I10" s="5" t="inlineStr">
        <is>
          <t>14, 15, 16, 29, 30, 31, 33, 36, 88</t>
        </is>
      </c>
    </row>
    <row r="11" ht="76" customHeight="1">
      <c r="A11" s="4" t="n">
        <v>7</v>
      </c>
      <c r="B11" s="5" t="inlineStr">
        <is>
          <t>計画最終案
（発注者が必要と認める資料）</t>
        </is>
      </c>
      <c r="C11" s="5" t="inlineStr">
        <is>
          <t>未着手</t>
        </is>
      </c>
      <c r="D11" s="5" t="inlineStr">
        <is>
          <t>Word及びPDF</t>
        </is>
      </c>
      <c r="E11" s="12" t="inlineStr">
        <is>
          <t>未着手</t>
        </is>
      </c>
      <c r="F11" s="20" t="n">
        <v>0</v>
      </c>
      <c r="G11" s="10" t="inlineStr">
        <is>
          <t>R9.2</t>
        </is>
      </c>
      <c r="H11" s="11" t="inlineStr">
        <is>
          <t>パブリックコメントの意見反映後に作成する。</t>
        </is>
      </c>
      <c r="I11" s="5" t="inlineStr">
        <is>
          <t>19</t>
        </is>
      </c>
    </row>
    <row r="13" ht="32" customHeight="1">
      <c r="A13" s="3" t="inlineStr">
        <is>
          <t>区分</t>
        </is>
      </c>
      <c r="B13" s="3" t="inlineStr">
        <is>
          <t>件数</t>
        </is>
      </c>
      <c r="C13" s="3" t="inlineStr"/>
      <c r="D13" s="3" t="inlineStr"/>
      <c r="E13" s="3" t="inlineStr"/>
      <c r="F13" s="3" t="inlineStr"/>
      <c r="G13" s="3" t="inlineStr"/>
      <c r="H13" s="3" t="inlineStr"/>
      <c r="I13" s="3" t="inlineStr"/>
    </row>
    <row r="14" ht="20" customHeight="1">
      <c r="A14" s="6" t="inlineStr">
        <is>
          <t>完了</t>
        </is>
      </c>
      <c r="B14" s="4">
        <f>COUNTIF(E5:E11,"完了")</f>
        <v/>
      </c>
      <c r="C14" s="5" t="inlineStr"/>
      <c r="D14" s="5" t="inlineStr"/>
      <c r="E14" s="5" t="inlineStr"/>
      <c r="F14" s="5" t="inlineStr"/>
      <c r="G14" s="5" t="inlineStr"/>
      <c r="H14" s="5" t="inlineStr"/>
      <c r="I14" s="5" t="inlineStr"/>
    </row>
    <row r="15" ht="20" customHeight="1">
      <c r="A15" s="8" t="inlineStr">
        <is>
          <t>実施中</t>
        </is>
      </c>
      <c r="B15" s="4">
        <f>COUNTIF(E5:E11,"実施中")</f>
        <v/>
      </c>
      <c r="C15" s="5" t="inlineStr"/>
      <c r="D15" s="5" t="inlineStr"/>
      <c r="E15" s="5" t="inlineStr"/>
      <c r="F15" s="5" t="inlineStr"/>
      <c r="G15" s="5" t="inlineStr"/>
      <c r="H15" s="5" t="inlineStr"/>
      <c r="I15" s="5" t="inlineStr"/>
    </row>
    <row r="16" ht="20" customHeight="1">
      <c r="A16" s="10" t="inlineStr">
        <is>
          <t>確認待ち</t>
        </is>
      </c>
      <c r="B16" s="4">
        <f>COUNTIF(E5:E11,"確認待ち")</f>
        <v/>
      </c>
      <c r="C16" s="5" t="inlineStr"/>
      <c r="D16" s="5" t="inlineStr"/>
      <c r="E16" s="5" t="inlineStr"/>
      <c r="F16" s="5" t="inlineStr"/>
      <c r="G16" s="5" t="inlineStr"/>
      <c r="H16" s="5" t="inlineStr"/>
      <c r="I16" s="5" t="inlineStr"/>
    </row>
    <row r="17" ht="20" customHeight="1">
      <c r="A17" s="12" t="inlineStr">
        <is>
          <t>未着手</t>
        </is>
      </c>
      <c r="B17" s="4">
        <f>COUNTIF(E5:E11,"未着手")</f>
        <v/>
      </c>
      <c r="C17" s="5" t="inlineStr"/>
      <c r="D17" s="5" t="inlineStr"/>
      <c r="E17" s="5" t="inlineStr"/>
      <c r="F17" s="5" t="inlineStr"/>
      <c r="G17" s="5" t="inlineStr"/>
      <c r="H17" s="5" t="inlineStr"/>
      <c r="I17" s="5" t="inlineStr"/>
    </row>
    <row r="18" ht="20" customHeight="1">
      <c r="A18" s="14" t="inlineStr">
        <is>
          <t>対象外</t>
        </is>
      </c>
      <c r="B18" s="4">
        <f>COUNTIF(E5:E11,"対象外")</f>
        <v/>
      </c>
      <c r="C18" s="5" t="inlineStr"/>
      <c r="D18" s="5" t="inlineStr"/>
      <c r="E18" s="5" t="inlineStr"/>
      <c r="F18" s="5" t="inlineStr"/>
      <c r="G18" s="5" t="inlineStr"/>
      <c r="H18" s="5" t="inlineStr"/>
      <c r="I18" s="5" t="inlineStr"/>
    </row>
    <row r="20" ht="28" customHeight="1">
      <c r="A20" s="16" t="inlineStr">
        <is>
          <t>注1）成果品は編集可能な電子データ及びPDF形式により提出する。図表・グラフ・統計資料は、元数値と計算式を保持したExcelで納品する。注2）納品期日は仕様書５の月別工程から設定した予定であり、発注者が指定する期日が示された場合はそれによる。注3）「確定していない事項」は、当該成果品を完成させるために解消が必要な事項である。詳細は03シートの確認事項No.に対応する。</t>
        </is>
      </c>
    </row>
  </sheetData>
  <mergeCells count="3">
    <mergeCell ref="A1:I1"/>
    <mergeCell ref="A20:I20"/>
    <mergeCell ref="A2:I2"/>
  </mergeCells>
  <conditionalFormatting sqref="E5:E11">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0">
      <formula>"了承済（保管せず廃棄）"</formula>
    </cfRule>
    <cfRule type="cellIs" priority="5" operator="equal" dxfId="3">
      <formula>"未着手"</formula>
    </cfRule>
    <cfRule type="cellIs" priority="6" operator="equal" dxfId="4">
      <formula>"対象外"</formula>
    </cfRule>
    <cfRule type="cellIs" priority="7" operator="equal" dxfId="0">
      <formula>"代替により解消"</formula>
    </cfRule>
    <cfRule type="cellIs" priority="8" operator="equal" dxfId="1">
      <formula>"一部解消"</formula>
    </cfRule>
    <cfRule type="cellIs" priority="9" operator="equal" dxfId="1">
      <formula>"提供予定（即時）"</formula>
    </cfRule>
    <cfRule type="cellIs" priority="10" operator="equal" dxfId="1">
      <formula>"作成中"</formula>
    </cfRule>
    <cfRule type="cellIs" priority="11" operator="equal" dxfId="0">
      <formula>"了承済"</formula>
    </cfRule>
    <cfRule type="cellIs" priority="12" operator="equal" dxfId="1">
      <formula>"対応中"</formula>
    </cfRule>
  </conditionalFormatting>
  <dataValidations count="1">
    <dataValidation sqref="E5:E11" showDropDown="0" showInputMessage="0" showErrorMessage="0" allowBlank="1" type="list">
      <formula1>"完了,実施中,確認待ち,未着手,対象外"</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30" customWidth="1" min="3" max="3"/>
    <col width="11" customWidth="1" min="4" max="4"/>
    <col width="11" customWidth="1" min="5" max="5"/>
    <col width="11" customWidth="1" min="6" max="6"/>
    <col width="11" customWidth="1" min="7" max="7"/>
    <col width="11" customWidth="1" min="8" max="8"/>
    <col width="26" customWidth="1" min="9" max="9"/>
    <col width="26" customWidth="1" min="10" max="10"/>
  </cols>
  <sheetData>
    <row r="1" ht="26" customHeight="1">
      <c r="A1" s="1" t="inlineStr">
        <is>
          <t>仕様書４（3）　実施済み調査結果の集計・分析の状況</t>
        </is>
      </c>
    </row>
    <row r="2" ht="52" customHeight="1">
      <c r="A2" s="2" t="inlineStr">
        <is>
          <t>仕様書４（3）が定める対象4調査について、資料の受領から分析・計画への反映までを段階別に管理する。仕様書は「新たなアンケート調査の企画、設計、配布、回収、入力及び督促は行わない」と定めており、本業務の範囲は貸与資料に基づく集計・クロス集計・分析・課題整理・計画への反映である。</t>
        </is>
      </c>
    </row>
    <row r="4" ht="32" customHeight="1">
      <c r="A4" s="3" t="inlineStr">
        <is>
          <t>No.</t>
        </is>
      </c>
      <c r="B4" s="3" t="inlineStr">
        <is>
          <t>対象調査</t>
        </is>
      </c>
      <c r="C4" s="3" t="inlineStr">
        <is>
          <t>計画での用途</t>
        </is>
      </c>
      <c r="D4" s="3" t="inlineStr">
        <is>
          <t>①資料の受領</t>
        </is>
      </c>
      <c r="E4" s="3" t="inlineStr">
        <is>
          <t>②単純集計</t>
        </is>
      </c>
      <c r="F4" s="3" t="inlineStr">
        <is>
          <t>③クロス集計</t>
        </is>
      </c>
      <c r="G4" s="3" t="inlineStr">
        <is>
          <t>④分析・課題整理</t>
        </is>
      </c>
      <c r="H4" s="3" t="inlineStr">
        <is>
          <t>⑤計画への反映</t>
        </is>
      </c>
      <c r="I4" s="3" t="inlineStr">
        <is>
          <t>現時点の状況</t>
        </is>
      </c>
      <c r="J4" s="3" t="inlineStr">
        <is>
          <t>確認事項No.</t>
        </is>
      </c>
    </row>
    <row r="5" ht="88" customHeight="1">
      <c r="A5" s="4" t="n">
        <v>1</v>
      </c>
      <c r="B5" s="5" t="inlineStr">
        <is>
          <t>①在宅生活改善調査</t>
        </is>
      </c>
      <c r="C5" s="5" t="inlineStr">
        <is>
          <t>在宅生活の継続を困難にしている要因の把握。第2章第5節（在宅生活の課題）、第5章基本目標2（在宅生活の支援）の根拠。代表KPI H06（在宅生活継続困難割合）の基準値。</t>
        </is>
      </c>
      <c r="D5" s="4" t="inlineStr">
        <is>
          <t>受領済</t>
        </is>
      </c>
      <c r="E5" s="4" t="inlineStr">
        <is>
          <t>完了</t>
        </is>
      </c>
      <c r="F5" s="4" t="inlineStr">
        <is>
          <t>完了</t>
        </is>
      </c>
      <c r="G5" s="4" t="inlineStr">
        <is>
          <t>完了</t>
        </is>
      </c>
      <c r="H5" s="4" t="inlineStr">
        <is>
          <t>実施中</t>
        </is>
      </c>
      <c r="I5" s="11" t="inlineStr">
        <is>
          <t>第9期計画に掲載された令和5年5月25日実施分（居宅介護支援事業所12事業所・91人）を再整理し、図表集12シートに結果概要としてまとめた（要介護度別内訳を含む）。令和8年8月4日に第10期分（事業所票15件・利用者票99票）を受領し集計した。利用者票の所在地区の記入形式が不統一であり地区別集計はできない。回答の36.4％が同一法人の小規模多機能2事業所からの提出である。令和8年9月11日、年報（令和7年度）の要介護度別の明細により在宅の認定者の分布と突き合わせ、本調査が在宅の認定者全体を代表しないことを測定した（χ²＝43.5、自由度6。1％点16.81）。要介護3は期待6.7人に対し19人、要支援1は期待18.9人に対し3人である。「在宅で困難を抱える方の状況」として引き、在宅の認定者全体の割合としては引かない（確認No.140）。</t>
        </is>
      </c>
      <c r="J5" s="4" t="inlineStr">
        <is>
          <t>8, 9, 140</t>
        </is>
      </c>
    </row>
    <row r="6" ht="88" customHeight="1">
      <c r="A6" s="4" t="n">
        <v>2</v>
      </c>
      <c r="B6" s="5" t="inlineStr">
        <is>
          <t>②居所変更実態調査</t>
        </is>
      </c>
      <c r="C6" s="5" t="inlineStr">
        <is>
          <t>在宅から施設・住まいへの移行の実態把握。第2章第6節（住まいと施設）、第6章第2節（施設・居住系の見込量）の根拠。代表KPI H11（供給不足を理由とする住替え割合）の基準値。</t>
        </is>
      </c>
      <c r="D6" s="4" t="inlineStr">
        <is>
          <t>受領済</t>
        </is>
      </c>
      <c r="E6" s="4" t="inlineStr">
        <is>
          <t>完了</t>
        </is>
      </c>
      <c r="F6" s="4" t="inlineStr">
        <is>
          <t>完了</t>
        </is>
      </c>
      <c r="G6" s="4" t="inlineStr">
        <is>
          <t>完了</t>
        </is>
      </c>
      <c r="H6" s="4" t="inlineStr">
        <is>
          <t>実施中</t>
        </is>
      </c>
      <c r="I6" s="11" t="inlineStr">
        <is>
          <t>第9期計画に掲載された令和5年5月25日実施分（施設・居住系21施設回答）を再整理し、図表集11シートに結果概要としてまとめた（退居・退所者の居所変更／死亡の別を含む）。令和8年8月4日に第10期分（施設等票18件・定員652人・入所者536人）を受領し集計した。新規入所335人の入所前の居場所は病院・診療所57.0％・自宅27.5％、退去349人の退去先は病院・診療所47.0％・死亡27.2％・自宅12.3％である。令和8年9月11日、年報の要介護度別の受給者と突き合わせ、施設の側から数えた在籍者と保険者の側から数えた受給者は数える対象が異なるため一致しないことを確定した。介護老人保健施設だけが在籍206人＞受給134.1人／月であり、特別養護老人ホーム等は受給197.5人／月が回答施設の定員152人を上回る。区域内の施設の定員は必要利用定員総数の上限ではない（確認No.88・No.141）。</t>
        </is>
      </c>
      <c r="J6" s="4" t="inlineStr">
        <is>
          <t>8, 9, 88, 141</t>
        </is>
      </c>
    </row>
    <row r="7" ht="88" customHeight="1">
      <c r="A7" s="4" t="n">
        <v>3</v>
      </c>
      <c r="B7" s="5" t="inlineStr">
        <is>
          <t>③介護人材実態調査</t>
        </is>
      </c>
      <c r="C7" s="5" t="inlineStr">
        <is>
          <t>介護人材の確保・定着の実態把握。第2章第7節（介護人材）、第5章基本目標4（人材の確保）の根拠。代表KPI H13・H14（人材の確保と定着）の基準値。</t>
        </is>
      </c>
      <c r="D7" s="4" t="inlineStr">
        <is>
          <t>受領済</t>
        </is>
      </c>
      <c r="E7" s="4" t="inlineStr">
        <is>
          <t>完了</t>
        </is>
      </c>
      <c r="F7" s="4" t="inlineStr">
        <is>
          <t>完了</t>
        </is>
      </c>
      <c r="G7" s="4" t="inlineStr">
        <is>
          <t>完了</t>
        </is>
      </c>
      <c r="H7" s="4" t="inlineStr">
        <is>
          <t>実施中</t>
        </is>
      </c>
      <c r="I7" s="11" t="inlineStr">
        <is>
          <t>第9期計画に掲載された令和5年5月25日実施分（施設系35事業所中27施設回答・回収率77.1％・該当職員405人）を再整理し、図表集13シートにまとめた。令和8年8月4日に第10期分（事業所票27件・職員個票317人・職員票26件）を受領し集計した。介護職員348人（重複を除く）、介護福祉士67.1％、勤続1年未満19.9％、外国人職員11.6％、令和6年度の採用83人・離職65人である。北海道の評価指標⑥と同じ「採用率と離職率の差」（H14）の算定には、各年9月30日現在の在籍者数を要するが、本調査は令和7年4月1日現在である。</t>
        </is>
      </c>
      <c r="J7" s="4" t="inlineStr">
        <is>
          <t>8, 9, 10</t>
        </is>
      </c>
    </row>
    <row r="8" ht="88" customHeight="1">
      <c r="A8" s="4" t="n">
        <v>4</v>
      </c>
      <c r="B8" s="5" t="inlineStr">
        <is>
          <t>④健康とくらしの調査
（JAGES調査）</t>
        </is>
      </c>
      <c r="C8" s="5" t="inlineStr">
        <is>
          <t>高齢者の健康状態、社会参加、生活支援ニーズの把握。第2章第4節（高齢者の状況）、第5章基本目標1（介護予防・社会参加）の根拠。代表KPI H04（フレイル該当割合）・H05（社会参加率）の基準値。</t>
        </is>
      </c>
      <c r="D8" s="4" t="inlineStr">
        <is>
          <t>受領済</t>
        </is>
      </c>
      <c r="E8" s="4" t="inlineStr">
        <is>
          <t>完了</t>
        </is>
      </c>
      <c r="F8" s="4" t="inlineStr">
        <is>
          <t>完了</t>
        </is>
      </c>
      <c r="G8" s="4" t="inlineStr">
        <is>
          <t>完了</t>
        </is>
      </c>
      <c r="H8" s="4" t="inlineStr">
        <is>
          <t>完了</t>
        </is>
      </c>
      <c r="I8" s="11" t="inlineStr">
        <is>
          <t>令和7年11月17日〜12月8日実施分の個票データ4,729票を受領済（65歳以上7,121人対象・回収4,798票・回収率67.4％）。20指標の年齢階級別・町別集計に加え、小学校区12地区別の集計、年齢調整による地域比較、社会参加・世帯構成・経済状況・移動制約・在宅生活の課題との関連分析を実施し、調査クロス集計・分析（24シート）として取りまとめた。H04＝19.1％、H05の基準値を確定。大雪独自設問によりH06・H07・H08・H11の代替データ源を特定した（確認No.4）。令和8年9月15日、計画素案 第2章第4節（高齢者の生活実態）に反映した（4段落・表1→30段落・表8）。集計値のみを用い、個票は収録していない。地区の定義（小学校区とするか）は［要確認］のまま残している（確認No.9）。</t>
        </is>
      </c>
      <c r="J8" s="4" t="inlineStr">
        <is>
          <t>4, 8, 9</t>
        </is>
      </c>
    </row>
    <row r="10" ht="32" customHeight="1">
      <c r="A10" s="3" t="inlineStr">
        <is>
          <t>段階</t>
        </is>
      </c>
      <c r="B10" s="3" t="inlineStr">
        <is>
          <t>作業の内容</t>
        </is>
      </c>
      <c r="C10" s="3" t="inlineStr">
        <is>
          <t>仕様書の根拠</t>
        </is>
      </c>
      <c r="D10" s="3" t="inlineStr"/>
      <c r="E10" s="3" t="inlineStr"/>
      <c r="F10" s="3" t="inlineStr"/>
      <c r="G10" s="3" t="inlineStr"/>
      <c r="H10" s="3" t="inlineStr"/>
      <c r="I10" s="3" t="inlineStr"/>
      <c r="J10" s="3" t="inlineStr"/>
    </row>
    <row r="11" ht="32" customHeight="1">
      <c r="A11" s="5" t="inlineStr">
        <is>
          <t>①資料の受領</t>
        </is>
      </c>
      <c r="B11" s="5" t="inlineStr">
        <is>
          <t>調査票、回答データ（Excel、CSV等）、集計資料、分析資料及び報告書の受領と内容確認</t>
        </is>
      </c>
      <c r="C11" s="5" t="inlineStr">
        <is>
          <t>仕様書４（3）</t>
        </is>
      </c>
      <c r="D11" s="5" t="inlineStr"/>
      <c r="E11" s="5" t="inlineStr"/>
      <c r="F11" s="5" t="inlineStr"/>
      <c r="G11" s="5" t="inlineStr"/>
      <c r="H11" s="5" t="inlineStr"/>
      <c r="I11" s="5" t="inlineStr"/>
      <c r="J11" s="5" t="inlineStr"/>
    </row>
    <row r="12" ht="32" customHeight="1">
      <c r="A12" s="5" t="inlineStr">
        <is>
          <t>②単純集計</t>
        </is>
      </c>
      <c r="B12" s="5" t="inlineStr">
        <is>
          <t>各設問の単純集計（度数・構成比）の作成と、既存集計資料との照合</t>
        </is>
      </c>
      <c r="C12" s="5" t="inlineStr">
        <is>
          <t>仕様書４（3）</t>
        </is>
      </c>
      <c r="D12" s="5" t="inlineStr"/>
      <c r="E12" s="5" t="inlineStr"/>
      <c r="F12" s="5" t="inlineStr"/>
      <c r="G12" s="5" t="inlineStr"/>
      <c r="H12" s="5" t="inlineStr"/>
      <c r="I12" s="5" t="inlineStr"/>
      <c r="J12" s="5" t="inlineStr"/>
    </row>
    <row r="13" ht="32" customHeight="1">
      <c r="A13" s="5" t="inlineStr">
        <is>
          <t>③クロス集計</t>
        </is>
      </c>
      <c r="B13" s="5" t="inlineStr">
        <is>
          <t>必要なクロス集計の作成（属性別・要介護度別・町別・圏域別等）</t>
        </is>
      </c>
      <c r="C13" s="5" t="inlineStr">
        <is>
          <t>仕様書４（3）</t>
        </is>
      </c>
      <c r="D13" s="5" t="inlineStr"/>
      <c r="E13" s="5" t="inlineStr"/>
      <c r="F13" s="5" t="inlineStr"/>
      <c r="G13" s="5" t="inlineStr"/>
      <c r="H13" s="5" t="inlineStr"/>
      <c r="I13" s="5" t="inlineStr"/>
      <c r="J13" s="5" t="inlineStr"/>
    </row>
    <row r="14" ht="32" customHeight="1">
      <c r="A14" s="5" t="inlineStr">
        <is>
          <t>④分析・課題整理</t>
        </is>
      </c>
      <c r="B14" s="5" t="inlineStr">
        <is>
          <t>見える化システム、介護給付実績及び人口推計等と組み合わせた分析。地域課題、介護サービス基盤、介護予防施策及び介護人材確保等の視点からの課題整理</t>
        </is>
      </c>
      <c r="C14" s="5" t="inlineStr">
        <is>
          <t>仕様書４（3）</t>
        </is>
      </c>
      <c r="D14" s="5" t="inlineStr"/>
      <c r="E14" s="5" t="inlineStr"/>
      <c r="F14" s="5" t="inlineStr"/>
      <c r="G14" s="5" t="inlineStr"/>
      <c r="H14" s="5" t="inlineStr"/>
      <c r="I14" s="5" t="inlineStr"/>
      <c r="J14" s="5" t="inlineStr"/>
    </row>
    <row r="15" ht="32" customHeight="1">
      <c r="A15" s="5" t="inlineStr">
        <is>
          <t>⑤計画への反映</t>
        </is>
      </c>
      <c r="B15" s="5" t="inlineStr">
        <is>
          <t>第10期計画の該当章への反映、代表KPIの基準値の設定</t>
        </is>
      </c>
      <c r="C15" s="5" t="inlineStr">
        <is>
          <t>仕様書４（3）</t>
        </is>
      </c>
      <c r="D15" s="5" t="inlineStr"/>
      <c r="E15" s="5" t="inlineStr"/>
      <c r="F15" s="5" t="inlineStr"/>
      <c r="G15" s="5" t="inlineStr"/>
      <c r="H15" s="5" t="inlineStr"/>
      <c r="I15" s="5" t="inlineStr"/>
      <c r="J15" s="5" t="inlineStr"/>
    </row>
    <row r="17" ht="39" customHeight="1">
      <c r="A17" s="16" t="inlineStr">
        <is>
          <t>注1）4調査はいずれも発注者において実施済みであり、本業務では新たな調査の企画、設計、配布、回収、入力及び督促は行わない。契約締結後に発注者から貸与される資料に基づき、集計・クロス集計・分析・課題整理・計画への反映を行う。注2）健康とくらしの調査（令和7年度）は個票データを受領済であり、単純集計・クロス集計・分析を完了している（調査クロス集計・分析 13シート）。他の3調査は令和8年8月4日に第10期分を受領し、点検と集計を行った。点検事項35件のうち重大6件の取扱いが決まるまでは、計画素案の該当箇所を令和5年調査又は見える化システムの数値により暫定的に記述し、確定を要する箇所を［要確認］としている。注3）代表KPIのうちH12・H16は事業所実態調査をデータ源としているが、受領した事業所票に受入困難・BCPの設問がなく、基準値を算定できない。H07・H08の在宅介護実態調査は実施されていない（確認事項No.4）。</t>
        </is>
      </c>
    </row>
  </sheetData>
  <mergeCells count="3">
    <mergeCell ref="A17:J17"/>
    <mergeCell ref="A1:J1"/>
    <mergeCell ref="A2:J2"/>
  </mergeCells>
  <conditionalFormatting sqref="E5:E8">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0">
      <formula>"了承済（保管せず廃棄）"</formula>
    </cfRule>
    <cfRule type="cellIs" priority="5" operator="equal" dxfId="3">
      <formula>"未着手"</formula>
    </cfRule>
    <cfRule type="cellIs" priority="6" operator="equal" dxfId="4">
      <formula>"対象外"</formula>
    </cfRule>
    <cfRule type="cellIs" priority="7" operator="equal" dxfId="0">
      <formula>"代替により解消"</formula>
    </cfRule>
    <cfRule type="cellIs" priority="8" operator="equal" dxfId="1">
      <formula>"一部解消"</formula>
    </cfRule>
    <cfRule type="cellIs" priority="9" operator="equal" dxfId="1">
      <formula>"提供予定（即時）"</formula>
    </cfRule>
    <cfRule type="cellIs" priority="10" operator="equal" dxfId="1">
      <formula>"作成中"</formula>
    </cfRule>
    <cfRule type="cellIs" priority="11" operator="equal" dxfId="0">
      <formula>"了承済"</formula>
    </cfRule>
    <cfRule type="cellIs" priority="12" operator="equal" dxfId="1">
      <formula>"対応中"</formula>
    </cfRule>
  </conditionalFormatting>
  <conditionalFormatting sqref="F5:F8">
    <cfRule type="cellIs" priority="13" operator="equal" dxfId="0">
      <formula>"完了"</formula>
    </cfRule>
    <cfRule type="cellIs" priority="14" operator="equal" dxfId="1">
      <formula>"実施中"</formula>
    </cfRule>
    <cfRule type="cellIs" priority="15" operator="equal" dxfId="2">
      <formula>"確認待ち"</formula>
    </cfRule>
    <cfRule type="cellIs" priority="16" operator="equal" dxfId="0">
      <formula>"了承済（保管せず廃棄）"</formula>
    </cfRule>
    <cfRule type="cellIs" priority="17" operator="equal" dxfId="3">
      <formula>"未着手"</formula>
    </cfRule>
    <cfRule type="cellIs" priority="18" operator="equal" dxfId="4">
      <formula>"対象外"</formula>
    </cfRule>
    <cfRule type="cellIs" priority="19" operator="equal" dxfId="0">
      <formula>"代替により解消"</formula>
    </cfRule>
    <cfRule type="cellIs" priority="20" operator="equal" dxfId="1">
      <formula>"一部解消"</formula>
    </cfRule>
    <cfRule type="cellIs" priority="21" operator="equal" dxfId="1">
      <formula>"提供予定（即時）"</formula>
    </cfRule>
    <cfRule type="cellIs" priority="22" operator="equal" dxfId="1">
      <formula>"作成中"</formula>
    </cfRule>
    <cfRule type="cellIs" priority="23" operator="equal" dxfId="0">
      <formula>"了承済"</formula>
    </cfRule>
    <cfRule type="cellIs" priority="24" operator="equal" dxfId="1">
      <formula>"対応中"</formula>
    </cfRule>
  </conditionalFormatting>
  <conditionalFormatting sqref="G5:G8">
    <cfRule type="cellIs" priority="25" operator="equal" dxfId="0">
      <formula>"完了"</formula>
    </cfRule>
    <cfRule type="cellIs" priority="26" operator="equal" dxfId="1">
      <formula>"実施中"</formula>
    </cfRule>
    <cfRule type="cellIs" priority="27" operator="equal" dxfId="2">
      <formula>"確認待ち"</formula>
    </cfRule>
    <cfRule type="cellIs" priority="28" operator="equal" dxfId="0">
      <formula>"了承済（保管せず廃棄）"</formula>
    </cfRule>
    <cfRule type="cellIs" priority="29" operator="equal" dxfId="3">
      <formula>"未着手"</formula>
    </cfRule>
    <cfRule type="cellIs" priority="30" operator="equal" dxfId="4">
      <formula>"対象外"</formula>
    </cfRule>
    <cfRule type="cellIs" priority="31" operator="equal" dxfId="0">
      <formula>"代替により解消"</formula>
    </cfRule>
    <cfRule type="cellIs" priority="32" operator="equal" dxfId="1">
      <formula>"一部解消"</formula>
    </cfRule>
    <cfRule type="cellIs" priority="33" operator="equal" dxfId="1">
      <formula>"提供予定（即時）"</formula>
    </cfRule>
    <cfRule type="cellIs" priority="34" operator="equal" dxfId="1">
      <formula>"作成中"</formula>
    </cfRule>
    <cfRule type="cellIs" priority="35" operator="equal" dxfId="0">
      <formula>"了承済"</formula>
    </cfRule>
    <cfRule type="cellIs" priority="36" operator="equal" dxfId="1">
      <formula>"対応中"</formula>
    </cfRule>
  </conditionalFormatting>
  <conditionalFormatting sqref="H5:H8">
    <cfRule type="cellIs" priority="37" operator="equal" dxfId="0">
      <formula>"完了"</formula>
    </cfRule>
    <cfRule type="cellIs" priority="38" operator="equal" dxfId="1">
      <formula>"実施中"</formula>
    </cfRule>
    <cfRule type="cellIs" priority="39" operator="equal" dxfId="2">
      <formula>"確認待ち"</formula>
    </cfRule>
    <cfRule type="cellIs" priority="40" operator="equal" dxfId="0">
      <formula>"了承済（保管せず廃棄）"</formula>
    </cfRule>
    <cfRule type="cellIs" priority="41" operator="equal" dxfId="3">
      <formula>"未着手"</formula>
    </cfRule>
    <cfRule type="cellIs" priority="42" operator="equal" dxfId="4">
      <formula>"対象外"</formula>
    </cfRule>
    <cfRule type="cellIs" priority="43" operator="equal" dxfId="0">
      <formula>"代替により解消"</formula>
    </cfRule>
    <cfRule type="cellIs" priority="44" operator="equal" dxfId="1">
      <formula>"一部解消"</formula>
    </cfRule>
    <cfRule type="cellIs" priority="45" operator="equal" dxfId="1">
      <formula>"提供予定（即時）"</formula>
    </cfRule>
    <cfRule type="cellIs" priority="46" operator="equal" dxfId="1">
      <formula>"作成中"</formula>
    </cfRule>
    <cfRule type="cellIs" priority="47" operator="equal" dxfId="0">
      <formula>"了承済"</formula>
    </cfRule>
    <cfRule type="cellIs" priority="48" operator="equal" dxfId="1">
      <formula>"対応中"</formula>
    </cfRule>
  </conditionalFormatting>
  <conditionalFormatting sqref="D5:D8">
    <cfRule type="cellIs" priority="49" operator="equal" dxfId="0">
      <formula>"受領済"</formula>
    </cfRule>
    <cfRule type="cellIs" priority="50" operator="equal" dxfId="2">
      <formula>"一部受領"</formula>
    </cfRule>
    <cfRule type="cellIs" priority="51" operator="equal" dxfId="3">
      <formula>"未受領"</formula>
    </cfRule>
  </conditionalFormatting>
  <dataValidations count="5">
    <dataValidation sqref="E5:E8" showDropDown="0" showInputMessage="0" showErrorMessage="0" allowBlank="1" type="list">
      <formula1>"完了,実施中,確認待ち,未着手,対象外"</formula1>
    </dataValidation>
    <dataValidation sqref="F5:F8" showDropDown="0" showInputMessage="0" showErrorMessage="0" allowBlank="1" type="list">
      <formula1>"完了,実施中,確認待ち,未着手,対象外"</formula1>
    </dataValidation>
    <dataValidation sqref="G5:G8" showDropDown="0" showInputMessage="0" showErrorMessage="0" allowBlank="1" type="list">
      <formula1>"完了,実施中,確認待ち,未着手,対象外"</formula1>
    </dataValidation>
    <dataValidation sqref="H5:H8" showDropDown="0" showInputMessage="0" showErrorMessage="0" allowBlank="1" type="list">
      <formula1>"完了,実施中,確認待ち,未着手,対象外"</formula1>
    </dataValidation>
    <dataValidation sqref="D5:D8" showDropDown="0" showInputMessage="0" showErrorMessage="0" allowBlank="1" type="list">
      <formula1>"受領済,一部受領,未受領"</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5"/>
  <sheetViews>
    <sheetView workbookViewId="0">
      <pane ySplit="4" topLeftCell="A5" activePane="bottomLeft" state="frozen"/>
      <selection pane="bottomLeft" activeCell="A1" sqref="A1"/>
    </sheetView>
  </sheetViews>
  <sheetFormatPr baseColWidth="8" defaultRowHeight="15"/>
  <cols>
    <col width="5" customWidth="1" min="1" max="1"/>
    <col width="8" customWidth="1" min="2" max="2"/>
    <col width="30" customWidth="1" min="3" max="3"/>
    <col width="40" customWidth="1" min="4" max="4"/>
    <col width="30" customWidth="1" min="5" max="5"/>
    <col width="16" customWidth="1" min="6" max="6"/>
    <col width="11" customWidth="1" min="7" max="7"/>
    <col width="9" customWidth="1" min="8" max="8"/>
    <col width="11" customWidth="1" min="9" max="9"/>
    <col width="22" customWidth="1" min="10" max="10"/>
  </cols>
  <sheetData>
    <row r="1" ht="26" customHeight="1">
      <c r="A1" s="1" t="inlineStr">
        <is>
          <t>資料提供依頼一覧（23件）</t>
        </is>
      </c>
    </row>
    <row r="2" ht="52" customHeight="1">
      <c r="A2" s="2" t="inlineStr">
        <is>
          <t>成果物の主張を確定するために提供を要する資料を一覧化する。03シートの確認事項が発注者・3町・北海道の「決定」を求めるものであるのに対し、本シートは「資料の提供」を求めるものである。根拠及び各資料が確定する主張は、「受託者の自己点検」06シートに対応する。</t>
        </is>
      </c>
    </row>
    <row r="4" ht="32" customHeight="1">
      <c r="A4" s="3" t="inlineStr">
        <is>
          <t>No.</t>
        </is>
      </c>
      <c r="B4" s="3" t="inlineStr">
        <is>
          <t>領域</t>
        </is>
      </c>
      <c r="C4" s="3" t="inlineStr">
        <is>
          <t>資料</t>
        </is>
      </c>
      <c r="D4" s="3" t="inlineStr">
        <is>
          <t>内容</t>
        </is>
      </c>
      <c r="E4" s="3" t="inlineStr">
        <is>
          <t>確定する主張</t>
        </is>
      </c>
      <c r="F4" s="3" t="inlineStr">
        <is>
          <t>入手先</t>
        </is>
      </c>
      <c r="G4" s="3" t="inlineStr">
        <is>
          <t>希望時期</t>
        </is>
      </c>
      <c r="H4" s="3" t="inlineStr">
        <is>
          <t>優先度</t>
        </is>
      </c>
      <c r="I4" s="3" t="inlineStr">
        <is>
          <t>状態</t>
        </is>
      </c>
      <c r="J4" s="3" t="inlineStr">
        <is>
          <t>備考</t>
        </is>
      </c>
    </row>
    <row r="5" ht="56" customHeight="1">
      <c r="A5" s="4" t="n">
        <v>13</v>
      </c>
      <c r="B5" s="4" t="inlineStr">
        <is>
          <t>G</t>
        </is>
      </c>
      <c r="C5" s="5" t="inlineStr">
        <is>
          <t>令和6〜8年度の施策・事業実績、事業量、対象実人数、予算・決算</t>
        </is>
      </c>
      <c r="D5" s="5" t="inlineStr">
        <is>
          <t>第9期のプロセス評価（事業が計画どおり実施されたか）に必要。現時点で最大の空白。5区分14項目に展開し、記入様式を別冊「資料提供依頼_第9期の施策事業実績」（7シート）として作成した。既存資料（事務事業評価表、実施計画、介護保険事業状況報告、決算書）の写しのご提供でも足りる。</t>
        </is>
      </c>
      <c r="E5" s="5" t="inlineStr">
        <is>
          <t>第9期の評価の完成</t>
        </is>
      </c>
      <c r="F5" s="5" t="inlineStr">
        <is>
          <t>発注者</t>
        </is>
      </c>
      <c r="G5" s="4" t="inlineStr">
        <is>
          <t>R8.8</t>
        </is>
      </c>
      <c r="H5" s="12" t="inlineStr">
        <is>
          <t>最高</t>
        </is>
      </c>
      <c r="I5" s="4" t="inlineStr">
        <is>
          <t>一部受領</t>
        </is>
      </c>
      <c r="J5" s="5" t="inlineStr">
        <is>
          <t>確認事項No.1と対応。仕様書４（2）が完了しない。代替できない項目が3件ある（同別冊06シート）。【令和8年9月25日】3町の地域包括支援センター事業実施報告書（令和7年度）・実施計画書（令和8年度）を受領し、地域支援事業の事業ごとの実施状況と量を確認した。費用の額の記載はなく、量は延べ人数によるものである</t>
        </is>
      </c>
    </row>
    <row r="6" ht="56" customHeight="1">
      <c r="A6" s="4" t="n">
        <v>3</v>
      </c>
      <c r="B6" s="4" t="inlineStr">
        <is>
          <t>A</t>
        </is>
      </c>
      <c r="C6" s="5" t="inlineStr">
        <is>
          <t>令和6年・令和7年の町別住民基本台帳人口（年齢4区分別）</t>
        </is>
      </c>
      <c r="D6" s="5" t="inlineStr">
        <is>
          <t>第9期計画の推計と社人研推計のどちらが実績に近いかを検証する。</t>
        </is>
      </c>
      <c r="E6" s="5" t="inlineStr">
        <is>
          <t>東川町の人口推計の乖離の要因、第10期の人口推計の基礎</t>
        </is>
      </c>
      <c r="F6" s="5" t="inlineStr">
        <is>
          <t>3町</t>
        </is>
      </c>
      <c r="G6" s="4" t="inlineStr">
        <is>
          <t>R8.9</t>
        </is>
      </c>
      <c r="H6" s="10" t="inlineStr">
        <is>
          <t>高</t>
        </is>
      </c>
      <c r="I6" s="4" t="inlineStr">
        <is>
          <t>確認待ち</t>
        </is>
      </c>
      <c r="J6" s="5" t="inlineStr">
        <is>
          <t>確認事項No.11と対応</t>
        </is>
      </c>
    </row>
    <row r="7" ht="56" customHeight="1">
      <c r="A7" s="4" t="n">
        <v>5</v>
      </c>
      <c r="B7" s="4" t="inlineStr">
        <is>
          <t>G</t>
        </is>
      </c>
      <c r="C7" s="5" t="inlineStr">
        <is>
          <t>保険者機能強化推進交付金等の評価調書（令和4〜7年度分）</t>
        </is>
      </c>
      <c r="D7" s="5" t="inlineStr">
        <is>
          <t>①0点10項目が取組の不在か要件未充足かの判別、②成果指標の分子・分母の実数、③評価対象期間の確認、④令和6年・令和7年調査の得点。</t>
        </is>
      </c>
      <c r="E7" s="5" t="inlineStr">
        <is>
          <t>交付金評価の解釈、W144の要因、評価対象期間</t>
        </is>
      </c>
      <c r="F7" s="5" t="inlineStr">
        <is>
          <t>発注者</t>
        </is>
      </c>
      <c r="G7" s="4" t="inlineStr">
        <is>
          <t>R8.9</t>
        </is>
      </c>
      <c r="H7" s="10" t="inlineStr">
        <is>
          <t>高</t>
        </is>
      </c>
      <c r="I7" s="4" t="inlineStr">
        <is>
          <t>代替により解消</t>
        </is>
      </c>
      <c r="J7" s="5" t="inlineStr">
        <is>
          <t>令和8年8月28日に「保険者機能強化推進交付金等（市町村）に係る全国集計結果」令和6〜8年度を受領した。3町の項目別得点が判明したため、評価調書そのものがなくても分析できる。ただし0点の項目が未実施か要件未充足かの別は依然として不明である</t>
        </is>
      </c>
    </row>
    <row r="8" ht="56" customHeight="1">
      <c r="A8" s="4" t="n">
        <v>6</v>
      </c>
      <c r="B8" s="4" t="inlineStr">
        <is>
          <t>C</t>
        </is>
      </c>
      <c r="C8" s="5" t="inlineStr">
        <is>
          <t>国民健康保険団体連合会の給付実績情報と指定事業所台帳（一部解消）</t>
        </is>
      </c>
      <c r="D8" s="5" t="inlineStr">
        <is>
          <t>自給率（δ）は見える化から受領し、区域外の事業所による給付の割合が確定した（R8.7.30）。残るのは区域外事業所の所在地の特定（No.18）と町別給付費による金額換算（No.17）である。</t>
        </is>
      </c>
      <c r="E8" s="5" t="inlineStr">
        <is>
          <t>給付水準の要因（区域外利用との関係は無相関と判明）</t>
        </is>
      </c>
      <c r="F8" s="5" t="inlineStr">
        <is>
          <t>発注者・国保連</t>
        </is>
      </c>
      <c r="G8" s="4" t="inlineStr">
        <is>
          <t>R8.10</t>
        </is>
      </c>
      <c r="H8" s="10" t="inlineStr">
        <is>
          <t>高</t>
        </is>
      </c>
      <c r="I8" s="4" t="inlineStr">
        <is>
          <t>実施中</t>
        </is>
      </c>
      <c r="J8" s="5" t="inlineStr">
        <is>
          <t>確認事項No.30と対応。No.17・No.18に分割</t>
        </is>
      </c>
    </row>
    <row r="9" ht="56" customHeight="1">
      <c r="A9" s="4" t="n">
        <v>7</v>
      </c>
      <c r="B9" s="4" t="inlineStr">
        <is>
          <t>D</t>
        </is>
      </c>
      <c r="C9" s="5" t="inlineStr">
        <is>
          <t>事業所・施設の定員と稼働の実績</t>
        </is>
      </c>
      <c r="D9" s="5" t="inlineStr">
        <is>
          <t>①地域密着型通所介護4事業所の定員・登録者数・延べ利用者数（令和4〜8年度）、②施設・居住系の定員・入所者数・空床・休止床、③介護老人福祉施設の定員減少（234人→160人）の経緯。</t>
        </is>
      </c>
      <c r="E9" s="5" t="inlineStr">
        <is>
          <t>稼働率の低下の有無、定員減少の経緯</t>
        </is>
      </c>
      <c r="F9" s="5" t="inlineStr">
        <is>
          <t>発注者・3町</t>
        </is>
      </c>
      <c r="G9" s="4" t="inlineStr">
        <is>
          <t>R8.10</t>
        </is>
      </c>
      <c r="H9" s="10" t="inlineStr">
        <is>
          <t>高</t>
        </is>
      </c>
      <c r="I9" s="4" t="inlineStr">
        <is>
          <t>確認待ち</t>
        </is>
      </c>
      <c r="J9" s="5" t="inlineStr">
        <is>
          <t>第6章の見込量算定に直結</t>
        </is>
      </c>
    </row>
    <row r="10" ht="56" customHeight="1">
      <c r="A10" s="4" t="n">
        <v>8</v>
      </c>
      <c r="B10" s="4" t="inlineStr">
        <is>
          <t>E</t>
        </is>
      </c>
      <c r="C10" s="5" t="inlineStr">
        <is>
          <t>未利用認定者の内訳とケアプランのサービス構成</t>
        </is>
      </c>
      <c r="D10" s="5" t="inlineStr">
        <is>
          <t>①居宅サービス計画未作成者の要介護度別内訳、②認定から初回利用までの期間、③新規認定者数と認定申請件数の推移、④訪問介護と通所介護の同一利用者における組合せ。</t>
        </is>
      </c>
      <c r="E10" s="5" t="inlineStr">
        <is>
          <t>利用率低下の要因、訪問と通所の代替関係、要介護5の受給率低下の要因</t>
        </is>
      </c>
      <c r="F10" s="5" t="inlineStr">
        <is>
          <t>発注者</t>
        </is>
      </c>
      <c r="G10" s="4" t="inlineStr">
        <is>
          <t>R8.10</t>
        </is>
      </c>
      <c r="H10" s="10" t="inlineStr">
        <is>
          <t>高</t>
        </is>
      </c>
      <c r="I10" s="4" t="inlineStr">
        <is>
          <t>確認待ち</t>
        </is>
      </c>
      <c r="J10" s="5" t="inlineStr">
        <is>
          <t>確認事項No.23と対応</t>
        </is>
      </c>
    </row>
    <row r="11" ht="56" customHeight="1">
      <c r="A11" s="4" t="n">
        <v>9</v>
      </c>
      <c r="B11" s="4" t="inlineStr">
        <is>
          <t>H</t>
        </is>
      </c>
      <c r="C11" s="5" t="inlineStr">
        <is>
          <t>決算書及び介護給付費準備基金の積立・取崩実績</t>
        </is>
      </c>
      <c r="D11" s="5" t="inlineStr">
        <is>
          <t>第7期から第9期の各年度。令和8年度末の残高見込を含む。</t>
        </is>
      </c>
      <c r="E11" s="5" t="inlineStr">
        <is>
          <t>第9期の剰余額（現在は概算）</t>
        </is>
      </c>
      <c r="F11" s="5" t="inlineStr">
        <is>
          <t>発注者</t>
        </is>
      </c>
      <c r="G11" s="4" t="inlineStr">
        <is>
          <t>R8.10</t>
        </is>
      </c>
      <c r="H11" s="10" t="inlineStr">
        <is>
          <t>高</t>
        </is>
      </c>
      <c r="I11" s="4" t="inlineStr">
        <is>
          <t>確認待ち</t>
        </is>
      </c>
      <c r="J11" s="5" t="inlineStr">
        <is>
          <t>確認事項No.16と対応</t>
        </is>
      </c>
    </row>
    <row r="12" ht="56" customHeight="1">
      <c r="A12" s="4" t="n">
        <v>11</v>
      </c>
      <c r="B12" s="4" t="inlineStr">
        <is>
          <t>H</t>
        </is>
      </c>
      <c r="C12" s="5" t="inlineStr">
        <is>
          <t>第10期の政令改正の内容（所得段階・乗率・負担割合）</t>
        </is>
      </c>
      <c r="D12" s="5" t="inlineStr">
        <is>
          <t>標準段階数、標準乗率、公費軽減の乗率、第1号被保険者負担割合。</t>
        </is>
      </c>
      <c r="E12" s="5" t="inlineStr">
        <is>
          <t>第10期の段階設計と保険料算定</t>
        </is>
      </c>
      <c r="F12" s="5" t="inlineStr">
        <is>
          <t>国の情報</t>
        </is>
      </c>
      <c r="G12" s="4" t="inlineStr">
        <is>
          <t>告示後</t>
        </is>
      </c>
      <c r="H12" s="10" t="inlineStr">
        <is>
          <t>高</t>
        </is>
      </c>
      <c r="I12" s="4" t="inlineStr">
        <is>
          <t>未着手</t>
        </is>
      </c>
      <c r="J12" s="5" t="inlineStr">
        <is>
          <t>国の告示を待つ。受託者が随時確認する</t>
        </is>
      </c>
    </row>
    <row r="13" ht="56" customHeight="1">
      <c r="A13" s="4" t="n">
        <v>14</v>
      </c>
      <c r="B13" s="4" t="inlineStr">
        <is>
          <t>F</t>
        </is>
      </c>
      <c r="C13" s="5" t="inlineStr">
        <is>
          <t>在宅生活改善調査・居所変更実態調査・介護人材実態調査の第10期分</t>
        </is>
      </c>
      <c r="D13" s="5" t="inlineStr">
        <is>
          <t>令和8年8月4日に102ファイルを受領。残るのは点検事項35件の解消。</t>
        </is>
      </c>
      <c r="E13" s="5" t="inlineStr">
        <is>
          <t>4調査横断のクロス集計、H06・H11・H13・H14の基準値</t>
        </is>
      </c>
      <c r="F13" s="5" t="inlineStr">
        <is>
          <t>発注者</t>
        </is>
      </c>
      <c r="G13" s="4" t="inlineStr">
        <is>
          <t>R8.8</t>
        </is>
      </c>
      <c r="H13" s="10" t="inlineStr">
        <is>
          <t>高</t>
        </is>
      </c>
      <c r="I13" s="4" t="inlineStr">
        <is>
          <t>実施中</t>
        </is>
      </c>
      <c r="J13" s="5" t="inlineStr">
        <is>
          <t>確認事項No.8・9と対応。重大6件の取扱いが決まると着手できる</t>
        </is>
      </c>
    </row>
    <row r="14" ht="56" customHeight="1">
      <c r="A14" s="4" t="n">
        <v>17</v>
      </c>
      <c r="B14" s="4" t="inlineStr">
        <is>
          <t>C</t>
        </is>
      </c>
      <c r="C14" s="5" t="inlineStr">
        <is>
          <t>町別・サービス区分別の給付費（令和4〜7年度）</t>
        </is>
      </c>
      <c r="D14" s="5" t="inlineStr">
        <is>
          <t>自給率と掛け合わせて区域外への給付費の流出額を算定する。自給率の加重平均の算定にも必要。</t>
        </is>
      </c>
      <c r="E14" s="5" t="inlineStr">
        <is>
          <t>給付費の地域内還流の議論</t>
        </is>
      </c>
      <c r="F14" s="5" t="inlineStr">
        <is>
          <t>発注者・国保連</t>
        </is>
      </c>
      <c r="G14" s="4" t="inlineStr">
        <is>
          <t>R8.10</t>
        </is>
      </c>
      <c r="H14" s="10" t="inlineStr">
        <is>
          <t>高</t>
        </is>
      </c>
      <c r="I14" s="4" t="inlineStr">
        <is>
          <t>確認待ち</t>
        </is>
      </c>
      <c r="J14" s="5" t="inlineStr">
        <is>
          <t>自給率（δ）は受領済（R8.7.30）。金額換算に必要</t>
        </is>
      </c>
    </row>
    <row r="15" ht="56" customHeight="1">
      <c r="A15" s="4" t="n">
        <v>18</v>
      </c>
      <c r="B15" s="4" t="inlineStr">
        <is>
          <t>D</t>
        </is>
      </c>
      <c r="C15" s="5" t="inlineStr">
        <is>
          <t>指定事業所台帳（区域外事業所の所在地、区域内の地域密着型事業所）</t>
        </is>
      </c>
      <c r="D15" s="5" t="inlineStr">
        <is>
          <t>①区域外の事業所が旭川市か他の市町村かを特定する。圏域を越えた利用の調整（第6章第4節）の根拠となる。②区域内の地域密着型サービスは広域連合が指定権者であり、グループホームくるみの郷は介護サービス情報公表システムに掲載がないため定員を公表資料で確認できない。同事業所の定員及び休止の状況。③事業所票に所在町の記入欄がないため、事業所の所在町。</t>
        </is>
      </c>
      <c r="E15" s="5" t="inlineStr">
        <is>
          <t>区域外利用の内訳、認知症対応型共同生活介護の区域内定員、居所変更実態調査の定員ベースの把握率</t>
        </is>
      </c>
      <c r="F15" s="5" t="inlineStr">
        <is>
          <t>発注者・国保連</t>
        </is>
      </c>
      <c r="G15" s="4" t="inlineStr">
        <is>
          <t>R8.10</t>
        </is>
      </c>
      <c r="H15" s="10" t="inlineStr">
        <is>
          <t>高</t>
        </is>
      </c>
      <c r="I15" s="4" t="inlineStr">
        <is>
          <t>確認待ち</t>
        </is>
      </c>
      <c r="J15" s="5" t="inlineStr">
        <is>
          <t>依頼No.6の残る部分。自給率では所在地が分からない。②は点検事項No.35に対応する</t>
        </is>
      </c>
    </row>
    <row r="16" ht="56" customHeight="1">
      <c r="A16" s="4" t="n">
        <v>19</v>
      </c>
      <c r="B16" s="4" t="inlineStr">
        <is>
          <t>B</t>
        </is>
      </c>
      <c r="C16" s="5" t="inlineStr">
        <is>
          <t>居住系・施設サービスの種別別受給者数と総合事業の実績</t>
        </is>
      </c>
      <c r="D16" s="5" t="inlineStr">
        <is>
          <t>第2段階の算定チェーンは見える化B3・D45・D46系列により閉じた。残るのは、グループホーム・特定施設等の種別別受給者数と介護予防・日常生活支援総合事業の実績である。</t>
        </is>
      </c>
      <c r="E16" s="5" t="inlineStr">
        <is>
          <t>サービス種別ごとの見込量の様式</t>
        </is>
      </c>
      <c r="F16" s="5" t="inlineStr">
        <is>
          <t>発注者</t>
        </is>
      </c>
      <c r="G16" s="4" t="inlineStr">
        <is>
          <t>R8.10</t>
        </is>
      </c>
      <c r="H16" s="10" t="inlineStr">
        <is>
          <t>高</t>
        </is>
      </c>
      <c r="I16" s="4" t="inlineStr">
        <is>
          <t>実施中</t>
        </is>
      </c>
      <c r="J16" s="5" t="inlineStr">
        <is>
          <t>施設・居住系は定員により見込むため代替可能（将来推計 第2段階 06シートで区域内定員と突合済み）。総合事業は広域連合の実績によるほかない</t>
        </is>
      </c>
    </row>
    <row r="17" ht="56" customHeight="1">
      <c r="A17" s="4" t="n">
        <v>21</v>
      </c>
      <c r="B17" s="4" t="inlineStr">
        <is>
          <t>H</t>
        </is>
      </c>
      <c r="C17" s="5" t="inlineStr">
        <is>
          <t>介護保険事業状況報告　年報（令和6年度・令和7年度）</t>
        </is>
      </c>
      <c r="D17" s="5" t="inlineStr">
        <is>
          <t>第9期の令和6・7年度の確定値。見える化は年度途中で締めた値（令和6年度分は令和6年2月データ締め等）を収録しており、4月から3月までの通年の実績が確認できない。第3段階（給付費・保険料）の算定と、第9期の給付費の計画乖離（代表KPI H15）の把握に用いる。</t>
        </is>
      </c>
      <c r="E17" s="5" t="inlineStr">
        <is>
          <t>第3段階の給付費の算定、H15の基準値</t>
        </is>
      </c>
      <c r="F17" s="5" t="inlineStr">
        <is>
          <t>発注者</t>
        </is>
      </c>
      <c r="G17" s="4" t="inlineStr">
        <is>
          <t>R8.8</t>
        </is>
      </c>
      <c r="H17" s="10" t="inlineStr">
        <is>
          <t>高</t>
        </is>
      </c>
      <c r="I17" s="4" t="inlineStr">
        <is>
          <t>受領済</t>
        </is>
      </c>
      <c r="J17" s="5" t="inlineStr">
        <is>
          <t>令和8年8月26日の進捗確認の打合せで合意。令和8年8月28日に受領し、令和8年9月11日に令和7年度の全様式（要介護度別の明細を含む）を確認した。第3段階の給付費の算定と代表KPI H15の基準値に反映済みである</t>
        </is>
      </c>
    </row>
    <row r="18" ht="56" customHeight="1">
      <c r="A18" s="4" t="n">
        <v>22</v>
      </c>
      <c r="B18" s="4" t="inlineStr">
        <is>
          <t>H</t>
        </is>
      </c>
      <c r="C18" s="5" t="inlineStr">
        <is>
          <t>介護保険事業状況報告　月報（令和8年4月〜7月分）</t>
        </is>
      </c>
      <c r="D18" s="5" t="inlineStr">
        <is>
          <t>令和8年度は年報が出ないため、月報により各月の進捗を確認する。令和8年度の実績は本業務の期間中に確定しないため、月報により推移を把握したうえで見える化ベースの試算により推定する。</t>
        </is>
      </c>
      <c r="E18" s="5" t="inlineStr">
        <is>
          <t>令和8年度の推定、第9期の中間評価の更新</t>
        </is>
      </c>
      <c r="F18" s="5" t="inlineStr">
        <is>
          <t>発注者</t>
        </is>
      </c>
      <c r="G18" s="4" t="inlineStr">
        <is>
          <t>R8.8</t>
        </is>
      </c>
      <c r="H18" s="10" t="inlineStr">
        <is>
          <t>高</t>
        </is>
      </c>
      <c r="I18" s="4" t="inlineStr">
        <is>
          <t>受領済</t>
        </is>
      </c>
      <c r="J18" s="5" t="inlineStr">
        <is>
          <t>同打合せで、締まっているのは令和8年7月分までであることを確認した。令和8年4月から7月までの4か月分を受領済みである。令和8年8月分は、同月の審査分の利用状況統計表（給付費）を受領しているのに対し数量の側が4か月のままであり、月数をそろえるために別途ご提供を要する（確認事項No.136）</t>
        </is>
      </c>
    </row>
    <row r="19" ht="56" customHeight="1">
      <c r="A19" s="4" t="n">
        <v>23</v>
      </c>
      <c r="B19" s="4" t="inlineStr">
        <is>
          <t>H</t>
        </is>
      </c>
      <c r="C19" s="5" t="inlineStr">
        <is>
          <t>給付実績データ（サービス別の利用者数・利用日数等）（令和5年度〜令和7年度）</t>
        </is>
      </c>
      <c r="D19" s="5" t="inlineStr">
        <is>
          <t>サービス見込量の推定の基礎。月当たりの平均利用者数、利用者1人当たりの利用日数・回数。見える化のD系列では年度途中で締めた値となるサービスがあるため、保険者の給付実績により通年の値を確認する。</t>
        </is>
      </c>
      <c r="E19" s="5" t="inlineStr">
        <is>
          <t>第2段階の見込量の精緻化、第3段階の給付費の算定</t>
        </is>
      </c>
      <c r="F19" s="5" t="inlineStr">
        <is>
          <t>発注者</t>
        </is>
      </c>
      <c r="G19" s="4" t="inlineStr">
        <is>
          <t>R8.8.31</t>
        </is>
      </c>
      <c r="H19" s="10" t="inlineStr">
        <is>
          <t>高</t>
        </is>
      </c>
      <c r="I19" s="4" t="inlineStr">
        <is>
          <t>解消</t>
        </is>
      </c>
      <c r="J19" s="5" t="inlineStr">
        <is>
          <t>令和8年8月28日に12ファイルを受領した（大雪地区広域連合及び構成3町の令和6〜8年度）。受領ファイルの第1シートには被保険者の氏名・生年月日等の個票が含まれるため、集計シートのみを用いる。個人情報の取扱いについて確認事項No.44を起こした。【令和8年9月25日】令和7年度の広域連合単位のファイルの再提供を受け、確認事項No.87（3町合計との差129,580,267円）が決着した。同日、令和8年8月審査分の利用状況統計表（3町・各9頁）と訪問系サービス6区分の明細を受領した。統計表は町別・サービス種類別・要介護度別に利用実人員・回数・単位数・費用総額・介護給付費を掲げており、月次の給付費として用いられる見通しである（確認事項No.103と一体）。ただし画像であり数値の読み取りに確認を要する。訪問系の明細は氏名・年齢・被保険者番号を含む個票であるため格納せず、集計値のみを用いて作業終了後に廃棄する。【令和8年9月28日】利用状況統計表の再送を受け、受領点検を行った。審査月8月分の費用総額は288,036,749円（東川町78,871,240円・美瑛町133,974,459円・東神楽町75,191,050円）、うち介護給付費258,821,513円である。令和7年度の同じ審査月（269,678,563円）を6.81％上回る。要介護度別の和が「計」に一致すること、小計の行が内訳の和に一致することを全区分で確かめ、町別・要介護度別の構成比が令和8年度4〜7月と2ポイント以内で一致すること、訪問入浴介護の単位数が同時に受領した明細の集計と一致することを確認した。画像の写しであるため36か所を画像で確かめて是正しており、Excel又はCSVでのご提供であればこの確認は要らなくなる。なお統計表は令和8年度の5か月目に当たり、取り込むと給付費が5か月・数量（月報）が4か月となって月数がそろわないため、単価の残差の算定は当面4か月のままとし、令和8年8月分の月報のご提供を待って改める（確認No.136と一体）。償還払いの写しは文字の層がなく読み取れない</t>
        </is>
      </c>
    </row>
    <row r="20" ht="56" customHeight="1">
      <c r="A20" s="4" t="n">
        <v>10</v>
      </c>
      <c r="B20" s="4" t="inlineStr">
        <is>
          <t>H</t>
        </is>
      </c>
      <c r="C20" s="5" t="inlineStr">
        <is>
          <t>第7期（平成30〜令和2年度）の保険料条例</t>
        </is>
      </c>
      <c r="D20" s="5" t="inlineStr">
        <is>
          <t>基準額が6,077円か5,900円かを確定する。</t>
        </is>
      </c>
      <c r="E20" s="5" t="inlineStr">
        <is>
          <t>第7期の保険料基準額</t>
        </is>
      </c>
      <c r="F20" s="5" t="inlineStr">
        <is>
          <t>発注者</t>
        </is>
      </c>
      <c r="G20" s="4" t="inlineStr">
        <is>
          <t>R8.9</t>
        </is>
      </c>
      <c r="H20" s="8" t="inlineStr">
        <is>
          <t>中</t>
        </is>
      </c>
      <c r="I20" s="4" t="inlineStr">
        <is>
          <t>完了</t>
        </is>
      </c>
      <c r="J20" s="5" t="inlineStr">
        <is>
          <t>見える化C1により6,077円を確認（R8.7.30）。依頼は解消</t>
        </is>
      </c>
    </row>
    <row r="21" ht="56" customHeight="1">
      <c r="A21" s="4" t="n">
        <v>12</v>
      </c>
      <c r="B21" s="4" t="inlineStr">
        <is>
          <t>I</t>
        </is>
      </c>
      <c r="C21" s="5" t="inlineStr">
        <is>
          <t>小学校区と日常生活圏域の対応関係</t>
        </is>
      </c>
      <c r="D21" s="5" t="inlineStr">
        <is>
          <t>健康とくらしの調査の分析地域1（小学校区12地区）と第9期の6圏域の対応。美馬牛小学校区以外が不明。</t>
        </is>
      </c>
      <c r="E21" s="5" t="inlineStr">
        <is>
          <t>圏域別の分析、圏域設定の見直し</t>
        </is>
      </c>
      <c r="F21" s="5" t="inlineStr">
        <is>
          <t>美瑛町・3町</t>
        </is>
      </c>
      <c r="G21" s="4" t="inlineStr">
        <is>
          <t>R8.9</t>
        </is>
      </c>
      <c r="H21" s="8" t="inlineStr">
        <is>
          <t>中</t>
        </is>
      </c>
      <c r="I21" s="4" t="inlineStr">
        <is>
          <t>確認待ち</t>
        </is>
      </c>
      <c r="J21" s="5" t="inlineStr">
        <is>
          <t>確認事項No.20と対応</t>
        </is>
      </c>
    </row>
    <row r="22" ht="56" customHeight="1">
      <c r="A22" s="4" t="n">
        <v>15</v>
      </c>
      <c r="B22" s="4" t="inlineStr">
        <is>
          <t>G</t>
        </is>
      </c>
      <c r="C22" s="5" t="inlineStr">
        <is>
          <t>第9期の自己評価と北海道への報告の実績</t>
        </is>
      </c>
      <c r="D22" s="5" t="inlineStr">
        <is>
          <t>介護保険法第117条に基づく評価・公表の実績。受託者の評価との対照に必要。</t>
        </is>
      </c>
      <c r="E22" s="5" t="inlineStr">
        <is>
          <t>評価の枠組みの整理</t>
        </is>
      </c>
      <c r="F22" s="5" t="inlineStr">
        <is>
          <t>発注者</t>
        </is>
      </c>
      <c r="G22" s="4" t="inlineStr">
        <is>
          <t>R8.9</t>
        </is>
      </c>
      <c r="H22" s="8" t="inlineStr">
        <is>
          <t>中</t>
        </is>
      </c>
      <c r="I22" s="4" t="inlineStr">
        <is>
          <t>確認待ち</t>
        </is>
      </c>
      <c r="J22" s="5" t="inlineStr">
        <is>
          <t>確認事項No.7と対応</t>
        </is>
      </c>
    </row>
    <row r="23" ht="56" customHeight="1">
      <c r="A23" s="4" t="n">
        <v>16</v>
      </c>
      <c r="B23" s="4" t="inlineStr">
        <is>
          <t>C</t>
        </is>
      </c>
      <c r="C23" s="5" t="inlineStr">
        <is>
          <t>見える化システムD49の指標定義</t>
        </is>
      </c>
      <c r="D23" s="5" t="inlineStr">
        <is>
          <t>性・年齢調整の適用範囲と指数化の基準。受給率×受給者単価が給付月額指数に一致しない理由の特定に必要。</t>
        </is>
      </c>
      <c r="E23" s="5" t="inlineStr">
        <is>
          <t>地域差指数の分解の可否</t>
        </is>
      </c>
      <c r="F23" s="5" t="inlineStr">
        <is>
          <t>見える化システム・厚生労働省</t>
        </is>
      </c>
      <c r="G23" s="4" t="inlineStr">
        <is>
          <t>R8.10</t>
        </is>
      </c>
      <c r="H23" s="8" t="inlineStr">
        <is>
          <t>中</t>
        </is>
      </c>
      <c r="I23" s="4" t="inlineStr">
        <is>
          <t>未着手</t>
        </is>
      </c>
      <c r="J23" s="5" t="inlineStr">
        <is>
          <t>受託者側で確認する</t>
        </is>
      </c>
    </row>
    <row r="24" ht="56" customHeight="1">
      <c r="A24" s="4" t="n">
        <v>20</v>
      </c>
      <c r="B24" s="4" t="inlineStr">
        <is>
          <t>―</t>
        </is>
      </c>
      <c r="C24" s="5" t="inlineStr">
        <is>
          <t>（受託者の作業）会議資料・委員会資料の作成時の留保の照合</t>
        </is>
      </c>
      <c r="D24" s="5" t="inlineStr">
        <is>
          <t>分析資料に付した留保（確認していない範囲、概算値である旨、単純平均か加重平均か、時点の違い等）が、会議資料へ転記する際に落ちていないかを照合する。キックオフ資料の自己点検で、12件中5件がこの類であった。</t>
        </is>
      </c>
      <c r="E24" s="5" t="inlineStr">
        <is>
          <t>会議資料・委員会資料の記述の正確性</t>
        </is>
      </c>
      <c r="F24" s="5" t="inlineStr">
        <is>
          <t>受託者</t>
        </is>
      </c>
      <c r="G24" s="4" t="inlineStr">
        <is>
          <t>随時</t>
        </is>
      </c>
      <c r="H24" s="8" t="inlineStr">
        <is>
          <t>中</t>
        </is>
      </c>
      <c r="I24" s="4" t="inlineStr">
        <is>
          <t>実施中</t>
        </is>
      </c>
      <c r="J24" s="5" t="inlineStr">
        <is>
          <t>受託者の自己点検に手順を記録</t>
        </is>
      </c>
    </row>
    <row r="25" ht="56" customHeight="1">
      <c r="A25" s="4" t="n">
        <v>1</v>
      </c>
      <c r="B25" s="4" t="inlineStr">
        <is>
          <t>B</t>
        </is>
      </c>
      <c r="C25" s="5" t="inlineStr">
        <is>
          <t>見える化B5a・B6a・B6bの令和8年3月末の値</t>
        </is>
      </c>
      <c r="D25" s="5" t="inlineStr">
        <is>
          <t>調整済み認定率は令和7年3月末までしか出力されていない。第9期の評価には令和8年3月末（令和7年度末）の値が必要。</t>
        </is>
      </c>
      <c r="E25" s="5" t="inlineStr">
        <is>
          <t>中重度・軽度の認定率の推移</t>
        </is>
      </c>
      <c r="F25" s="5" t="inlineStr">
        <is>
          <t>見える化システム</t>
        </is>
      </c>
      <c r="G25" s="4" t="inlineStr">
        <is>
          <t>R8.9</t>
        </is>
      </c>
      <c r="H25" s="14" t="inlineStr">
        <is>
          <t>低</t>
        </is>
      </c>
      <c r="I25" s="4" t="inlineStr">
        <is>
          <t>未着手</t>
        </is>
      </c>
      <c r="J25" s="5" t="inlineStr">
        <is>
          <t>受託者側で出力を試行する</t>
        </is>
      </c>
    </row>
    <row r="26" ht="56" customHeight="1">
      <c r="A26" s="4" t="n">
        <v>2</v>
      </c>
      <c r="B26" s="4" t="inlineStr">
        <is>
          <t>I</t>
        </is>
      </c>
      <c r="C26" s="5" t="inlineStr">
        <is>
          <t>訪問系・通所系事業所の運営規程における通常の事業の実施地域【令和8年8月4日受領済】</t>
        </is>
      </c>
      <c r="D26" s="5" t="inlineStr">
        <is>
          <t>居宅サービスは北海道、地域密着型は広域連合が保有する。訪問・通所困難地域の判定の唯一の客観的根拠。北海道の介護保険事業所一覧（令和8年6月30日現在・47区分）に収録されており、区域内124件を抽出して整理した。</t>
        </is>
      </c>
      <c r="E26" s="5" t="inlineStr">
        <is>
          <t>訪問・通所困難地域の判定</t>
        </is>
      </c>
      <c r="F26" s="5" t="inlineStr">
        <is>
          <t>北海道・広域連合</t>
        </is>
      </c>
      <c r="G26" s="4" t="inlineStr">
        <is>
          <t>受領済</t>
        </is>
      </c>
      <c r="H26" s="14" t="inlineStr">
        <is>
          <t>低</t>
        </is>
      </c>
      <c r="I26" s="4" t="inlineStr">
        <is>
          <t>完了</t>
        </is>
      </c>
      <c r="J26" s="5" t="inlineStr">
        <is>
          <t>確認事項No.15と対応。住まいと施設の公表名簿との突合 08シート</t>
        </is>
      </c>
    </row>
    <row r="27" ht="56" customHeight="1">
      <c r="A27" s="4" t="n">
        <v>4</v>
      </c>
      <c r="B27" s="4" t="inlineStr">
        <is>
          <t>A</t>
        </is>
      </c>
      <c r="C27" s="5" t="inlineStr">
        <is>
          <t>令和7年国勢調査による町別の高齢者を含む世帯</t>
        </is>
      </c>
      <c r="D27" s="5" t="inlineStr">
        <is>
          <t>高齢者単身世帯・夫婦世帯の最新値。公表され次第。</t>
        </is>
      </c>
      <c r="E27" s="5" t="inlineStr">
        <is>
          <t>世帯構成の現状</t>
        </is>
      </c>
      <c r="F27" s="5" t="inlineStr">
        <is>
          <t>総務省・3町</t>
        </is>
      </c>
      <c r="G27" s="4" t="inlineStr">
        <is>
          <t>公表後</t>
        </is>
      </c>
      <c r="H27" s="14" t="inlineStr">
        <is>
          <t>低</t>
        </is>
      </c>
      <c r="I27" s="4" t="inlineStr">
        <is>
          <t>未着手</t>
        </is>
      </c>
      <c r="J27" s="5" t="inlineStr">
        <is>
          <t>公表待ち</t>
        </is>
      </c>
    </row>
    <row r="29" ht="32" customHeight="1">
      <c r="A29" s="3" t="inlineStr">
        <is>
          <t>優先度</t>
        </is>
      </c>
      <c r="B29" s="3" t="inlineStr">
        <is>
          <t>件数</t>
        </is>
      </c>
      <c r="C29" s="3" t="inlineStr">
        <is>
          <t>内容</t>
        </is>
      </c>
      <c r="D29" s="3" t="inlineStr"/>
      <c r="E29" s="3" t="inlineStr"/>
      <c r="F29" s="3" t="inlineStr"/>
      <c r="G29" s="3" t="inlineStr"/>
      <c r="H29" s="3" t="inlineStr"/>
      <c r="I29" s="3" t="inlineStr"/>
      <c r="J29" s="3" t="inlineStr"/>
    </row>
    <row r="30" ht="32" customHeight="1">
      <c r="A30" s="13" t="inlineStr">
        <is>
          <t>最高</t>
        </is>
      </c>
      <c r="B30" s="21" t="n">
        <v>1</v>
      </c>
      <c r="C30" s="5" t="inlineStr">
        <is>
          <t>No.13 令和6〜8年度の施策・事業実績、事業量、対象</t>
        </is>
      </c>
      <c r="D30" s="22" t="n"/>
      <c r="E30" s="22" t="n"/>
      <c r="F30" s="22" t="n"/>
      <c r="G30" s="22" t="n"/>
      <c r="H30" s="22" t="n"/>
      <c r="I30" s="22" t="n"/>
      <c r="J30" s="23" t="n"/>
    </row>
    <row r="31" ht="32" customHeight="1">
      <c r="A31" s="11" t="inlineStr">
        <is>
          <t>高</t>
        </is>
      </c>
      <c r="B31" s="21" t="n">
        <v>14</v>
      </c>
      <c r="C31" s="5" t="inlineStr">
        <is>
          <t>No.3 令和6年・令和7年の町別住民基本台帳人口（年、No.5 保険者機能強化推進交付金等の評価調書（令和4、No.6 国民健康保険団体連合会の給付実績情報と指定事、No.7 事業所・施設の定員と稼働の実績、No.8 未利用認定者の内訳とケアプランのサービス構成、No.9 決算書及び介護給付費準備基金の積立・取崩実績、No.11 第10期の政令改正の内容（所得段階・乗率・負、No.14 在宅生活改善調査・居所変更実態調査・介護人材、No.17 町別・サービス区分別の給付費（令和4〜7年度、No.18 指定事業所台帳（区域外事業所の所在地、区域内、No.21 介護保険事業状況報告　年報（令和6年度・令和、No.22 介護保険事業状況報告　月報（令和8年4月〜7、No.23 給付実績データ（サービス別の利用者数・利用日、No.19 居住系・施設サービスの種別別受給者数と総合事</t>
        </is>
      </c>
      <c r="D31" s="22" t="n"/>
      <c r="E31" s="22" t="n"/>
      <c r="F31" s="22" t="n"/>
      <c r="G31" s="22" t="n"/>
      <c r="H31" s="22" t="n"/>
      <c r="I31" s="22" t="n"/>
      <c r="J31" s="23" t="n"/>
    </row>
    <row r="32" ht="32" customHeight="1">
      <c r="A32" s="9" t="inlineStr">
        <is>
          <t>中</t>
        </is>
      </c>
      <c r="B32" s="21" t="n">
        <v>5</v>
      </c>
      <c r="C32" s="5" t="inlineStr">
        <is>
          <t>No.10 第7期（平成30〜令和2年度）の保険料条例、No.12 小学校区と日常生活圏域の対応関係、No.16 見える化システムD49の指標定義、No.20 （受託者の作業）会議資料・委員会資料の作成時、No.15 第9期の自己評価と北海道への報告の実績</t>
        </is>
      </c>
      <c r="D32" s="22" t="n"/>
      <c r="E32" s="22" t="n"/>
      <c r="F32" s="22" t="n"/>
      <c r="G32" s="22" t="n"/>
      <c r="H32" s="22" t="n"/>
      <c r="I32" s="22" t="n"/>
      <c r="J32" s="23" t="n"/>
    </row>
    <row r="33" ht="32" customHeight="1">
      <c r="A33" s="15" t="inlineStr">
        <is>
          <t>低</t>
        </is>
      </c>
      <c r="B33" s="21" t="n">
        <v>3</v>
      </c>
      <c r="C33" s="5" t="inlineStr">
        <is>
          <t>No.1 見える化B5a・B6a・B6bの令和8年3月、No.2 訪問系・通所系事業所の運営規程における通常の、No.4 令和7年国勢調査による町別の高齢者を含む世帯</t>
        </is>
      </c>
      <c r="D33" s="22" t="n"/>
      <c r="E33" s="22" t="n"/>
      <c r="F33" s="22" t="n"/>
      <c r="G33" s="22" t="n"/>
      <c r="H33" s="22" t="n"/>
      <c r="I33" s="22" t="n"/>
      <c r="J33" s="23" t="n"/>
    </row>
    <row r="35" ht="39" customHeight="1">
      <c r="A35" s="16" t="inlineStr">
        <is>
          <t>注1）最高優先の2件（No.13 事業実績、No.14 3調査の第10期分）は、いずれも業務内容そのものが進まない資料である。No.13がなければ仕様書４（2）のプロセス評価ができず、No.14がなければ仕様書４（3）が完了しない。注2）高優先の資料は、いずれも成果物の主張の根拠を推論・仮説から算定又は確認に引き上げるために必要である。特にNo.6（国保連の給付実績情報と指定事業所台帳）は、給付水準の要因という第10期の中心論点を確定する手段である。注3）本シートは令和8年7月29日の主張の棚卸し（全成果物46主張のMECEな分類）に基づく。各資料が確定する主張の詳細は、「受託者の自己点検」01・06シートに示している。</t>
        </is>
      </c>
    </row>
  </sheetData>
  <mergeCells count="7">
    <mergeCell ref="A1:J1"/>
    <mergeCell ref="C30:J30"/>
    <mergeCell ref="C33:J33"/>
    <mergeCell ref="C32:J32"/>
    <mergeCell ref="A35:J35"/>
    <mergeCell ref="A2:J2"/>
    <mergeCell ref="C31:J31"/>
  </mergeCells>
  <conditionalFormatting sqref="I5:I27">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0">
      <formula>"了承済（保管せず廃棄）"</formula>
    </cfRule>
    <cfRule type="cellIs" priority="5" operator="equal" dxfId="3">
      <formula>"未着手"</formula>
    </cfRule>
    <cfRule type="cellIs" priority="6" operator="equal" dxfId="4">
      <formula>"対象外"</formula>
    </cfRule>
    <cfRule type="cellIs" priority="7" operator="equal" dxfId="0">
      <formula>"代替により解消"</formula>
    </cfRule>
    <cfRule type="cellIs" priority="8" operator="equal" dxfId="1">
      <formula>"一部解消"</formula>
    </cfRule>
    <cfRule type="cellIs" priority="9" operator="equal" dxfId="1">
      <formula>"提供予定（即時）"</formula>
    </cfRule>
    <cfRule type="cellIs" priority="10" operator="equal" dxfId="1">
      <formula>"作成中"</formula>
    </cfRule>
    <cfRule type="cellIs" priority="11" operator="equal" dxfId="0">
      <formula>"了承済"</formula>
    </cfRule>
    <cfRule type="cellIs" priority="12" operator="equal" dxfId="1">
      <formula>"対応中"</formula>
    </cfRule>
  </conditionalFormatting>
  <dataValidations count="1">
    <dataValidation sqref="I5:I27" showDropDown="0" showInputMessage="0" showErrorMessage="0" allowBlank="1" type="list">
      <formula1>"完了,実施中,確認待ち,未着手,対象外"</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2026-10-16T00:41:21Z</dcterms:created>
  <dcterms:modified xmlns:dcterms="http://purl.org/dc/terms/" xmlns:xsi="http://www.w3.org/2001/XMLSchema-instance" xsi:type="dcterms:W3CDTF">2026-10-16T00:41:24Z</dcterms:modified>
</cp:coreProperties>
</file>