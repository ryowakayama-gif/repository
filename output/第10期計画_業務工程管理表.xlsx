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34" customHeight="1">
      <c r="A23" s="16" t="inlineStr">
        <is>
          <t>【現時点の全体状況（令和8年10月5日）】全体進捗は67％（進捗を数値で表せる10業務の単純平均）。令和8年9月は、サービス見込量の算定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1000段落151表36図で、未確定箇所は179箇所（要協議121・要確認57・要内訳1）である。確認事項は177件、成果品は135件、作成に用いた処理は132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計画素案（1000段落151表36図）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1000段落151表36図となった。残る未確定箇所は179箇所（要協議121・要確認57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132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3" ht="32" customHeight="1">
      <c r="A183" s="3" t="inlineStr">
        <is>
          <t>区分</t>
        </is>
      </c>
      <c r="B183" s="3" t="inlineStr">
        <is>
          <t>件数</t>
        </is>
      </c>
      <c r="C183" s="3" t="inlineStr"/>
      <c r="D183" s="3" t="inlineStr"/>
      <c r="E183" s="3" t="inlineStr"/>
      <c r="F183" s="3" t="inlineStr"/>
      <c r="G183" s="3" t="inlineStr"/>
      <c r="H183" s="3" t="inlineStr"/>
      <c r="I183" s="3" t="inlineStr"/>
      <c r="J183" s="3" t="inlineStr"/>
    </row>
    <row r="184" ht="20" customHeight="1">
      <c r="A184" s="6" t="inlineStr">
        <is>
          <t>完了</t>
        </is>
      </c>
      <c r="B184" s="4">
        <f>COUNTIF(H5:H181,"完了")</f>
        <v/>
      </c>
      <c r="C184" s="5" t="inlineStr"/>
      <c r="D184" s="5" t="inlineStr"/>
      <c r="E184" s="5" t="inlineStr"/>
      <c r="F184" s="5" t="inlineStr"/>
      <c r="G184" s="5" t="inlineStr"/>
      <c r="H184" s="5" t="inlineStr"/>
      <c r="I184" s="5" t="inlineStr"/>
      <c r="J184" s="5" t="inlineStr"/>
    </row>
    <row r="185" ht="20" customHeight="1">
      <c r="A185" s="8" t="inlineStr">
        <is>
          <t>実施中</t>
        </is>
      </c>
      <c r="B185" s="4">
        <f>COUNTIF(H5:H181,"実施中")</f>
        <v/>
      </c>
      <c r="C185" s="5" t="inlineStr"/>
      <c r="D185" s="5" t="inlineStr"/>
      <c r="E185" s="5" t="inlineStr"/>
      <c r="F185" s="5" t="inlineStr"/>
      <c r="G185" s="5" t="inlineStr"/>
      <c r="H185" s="5" t="inlineStr"/>
      <c r="I185" s="5" t="inlineStr"/>
      <c r="J185" s="5" t="inlineStr"/>
    </row>
    <row r="186" ht="20" customHeight="1">
      <c r="A186" s="10" t="inlineStr">
        <is>
          <t>確認待ち</t>
        </is>
      </c>
      <c r="B186" s="4">
        <f>COUNTIF(H5:H181,"確認待ち")</f>
        <v/>
      </c>
      <c r="C186" s="5" t="inlineStr"/>
      <c r="D186" s="5" t="inlineStr"/>
      <c r="E186" s="5" t="inlineStr"/>
      <c r="F186" s="5" t="inlineStr"/>
      <c r="G186" s="5" t="inlineStr"/>
      <c r="H186" s="5" t="inlineStr"/>
      <c r="I186" s="5" t="inlineStr"/>
      <c r="J186" s="5" t="inlineStr"/>
    </row>
    <row r="187" ht="20" customHeight="1">
      <c r="A187" s="12" t="inlineStr">
        <is>
          <t>未着手</t>
        </is>
      </c>
      <c r="B187" s="4">
        <f>COUNTIF(H5:H181,"未着手")</f>
        <v/>
      </c>
      <c r="C187" s="5" t="inlineStr"/>
      <c r="D187" s="5" t="inlineStr"/>
      <c r="E187" s="5" t="inlineStr"/>
      <c r="F187" s="5" t="inlineStr"/>
      <c r="G187" s="5" t="inlineStr"/>
      <c r="H187" s="5" t="inlineStr"/>
      <c r="I187" s="5" t="inlineStr"/>
      <c r="J187" s="5" t="inlineStr"/>
    </row>
    <row r="188" ht="20" customHeight="1">
      <c r="A188" s="14" t="inlineStr">
        <is>
          <t>対象外</t>
        </is>
      </c>
      <c r="B188" s="4">
        <f>COUNTIF(H5:H181,"対象外")</f>
        <v/>
      </c>
      <c r="C188" s="5" t="inlineStr"/>
      <c r="D188" s="5" t="inlineStr"/>
      <c r="E188" s="5" t="inlineStr"/>
      <c r="F188" s="5" t="inlineStr"/>
      <c r="G188" s="5" t="inlineStr"/>
      <c r="H188" s="5" t="inlineStr"/>
      <c r="I188" s="5" t="inlineStr"/>
      <c r="J188" s="5" t="inlineStr"/>
    </row>
    <row r="190" ht="32" customHeight="1">
      <c r="A190" s="3" t="inlineStr">
        <is>
          <t>確認先</t>
        </is>
      </c>
      <c r="B190" s="3" t="inlineStr">
        <is>
          <t>件数</t>
        </is>
      </c>
      <c r="C190" s="3" t="inlineStr"/>
      <c r="D190" s="3" t="inlineStr"/>
      <c r="E190" s="3" t="inlineStr"/>
      <c r="F190" s="3" t="inlineStr"/>
      <c r="G190" s="3" t="inlineStr"/>
      <c r="H190" s="3" t="inlineStr"/>
      <c r="I190" s="3" t="inlineStr"/>
      <c r="J190" s="3" t="inlineStr"/>
    </row>
    <row r="191" ht="20" customHeight="1">
      <c r="A191" s="5" t="inlineStr">
        <is>
          <t>発注者</t>
        </is>
      </c>
      <c r="B191" s="4">
        <f>COUNTIF(G5:G181,"発注者")</f>
        <v/>
      </c>
      <c r="C191" s="5" t="inlineStr"/>
      <c r="D191" s="5" t="inlineStr"/>
      <c r="E191" s="5" t="inlineStr"/>
      <c r="F191" s="5" t="inlineStr"/>
      <c r="G191" s="5" t="inlineStr"/>
      <c r="H191" s="5" t="inlineStr"/>
      <c r="I191" s="5" t="inlineStr"/>
      <c r="J191" s="5" t="inlineStr"/>
    </row>
    <row r="192" ht="20" customHeight="1">
      <c r="A192" s="5" t="inlineStr">
        <is>
          <t>発注者・3町</t>
        </is>
      </c>
      <c r="B192" s="4">
        <f>COUNTIF(G5:G181,"発注者・3町")</f>
        <v/>
      </c>
      <c r="C192" s="5" t="inlineStr"/>
      <c r="D192" s="5" t="inlineStr"/>
      <c r="E192" s="5" t="inlineStr"/>
      <c r="F192" s="5" t="inlineStr"/>
      <c r="G192" s="5" t="inlineStr"/>
      <c r="H192" s="5" t="inlineStr"/>
      <c r="I192" s="5" t="inlineStr"/>
      <c r="J192" s="5" t="inlineStr"/>
    </row>
    <row r="193" ht="20" customHeight="1">
      <c r="A193" s="5" t="inlineStr">
        <is>
          <t>発注者・北海道</t>
        </is>
      </c>
      <c r="B193" s="4">
        <f>COUNTIF(G5:G181,"発注者・北海道")</f>
        <v/>
      </c>
      <c r="C193" s="5" t="inlineStr"/>
      <c r="D193" s="5" t="inlineStr"/>
      <c r="E193" s="5" t="inlineStr"/>
      <c r="F193" s="5" t="inlineStr"/>
      <c r="G193" s="5" t="inlineStr"/>
      <c r="H193" s="5" t="inlineStr"/>
      <c r="I193" s="5" t="inlineStr"/>
      <c r="J193" s="5" t="inlineStr"/>
    </row>
    <row r="194" ht="20" customHeight="1">
      <c r="A194" s="5" t="inlineStr">
        <is>
          <t>発注者・3町・北海道</t>
        </is>
      </c>
      <c r="B194" s="4">
        <f>COUNTIF(G5:G181,"発注者・3町・北海道")</f>
        <v/>
      </c>
      <c r="C194" s="5" t="inlineStr"/>
      <c r="D194" s="5" t="inlineStr"/>
      <c r="E194" s="5" t="inlineStr"/>
      <c r="F194" s="5" t="inlineStr"/>
      <c r="G194" s="5" t="inlineStr"/>
      <c r="H194" s="5" t="inlineStr"/>
      <c r="I194" s="5" t="inlineStr"/>
      <c r="J194" s="5" t="inlineStr"/>
    </row>
    <row r="195" ht="20" customHeight="1">
      <c r="A195" s="5" t="inlineStr">
        <is>
          <t>北海道</t>
        </is>
      </c>
      <c r="B195" s="4">
        <f>COUNTIF(G5:G181,"北海道")</f>
        <v/>
      </c>
      <c r="C195" s="5" t="inlineStr"/>
      <c r="D195" s="5" t="inlineStr"/>
      <c r="E195" s="5" t="inlineStr"/>
      <c r="F195" s="5" t="inlineStr"/>
      <c r="G195" s="5" t="inlineStr"/>
      <c r="H195" s="5" t="inlineStr"/>
      <c r="I195" s="5" t="inlineStr"/>
      <c r="J195" s="5" t="inlineStr"/>
    </row>
    <row r="197" ht="39" customHeight="1">
      <c r="A19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97:J197"/>
    <mergeCell ref="A1:J1"/>
    <mergeCell ref="A2:J2"/>
  </mergeCells>
  <conditionalFormatting sqref="H5:H18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8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（1000段落151表36図）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（1000段落151表36図）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2026-10-07T10:08:14Z</dcterms:created>
  <dcterms:modified xmlns:dcterms="http://purl.org/dc/terms/" xmlns:xsi="http://www.w3.org/2001/XMLSchema-instance" xsi:type="dcterms:W3CDTF">2026-10-07T10:08:16Z</dcterms:modified>
</cp:coreProperties>
</file>