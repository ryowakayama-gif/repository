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業務仕様書「４．業務内容」（1）〜（12）及び「５．業務スケジュール（予定）」に沿って、業務内容別・月別の進捗を管理する。状況基準日：令和8年8月31日。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04"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0.95</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0.97</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0.99</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0.98</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残るのは、居住系・施設の種別別受給者数、総合事業の実績、及び第3段階（給付費・保険料）であ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計画素案（843段落137表36図）
修正指示書（66件）</t>
        </is>
      </c>
      <c r="F10" s="10" t="inlineStr">
        <is>
          <t>実施中</t>
        </is>
      </c>
      <c r="G10" s="17" t="n">
        <v>0.92</v>
      </c>
      <c r="H10" s="10" t="inlineStr">
        <is>
          <t>R9.2</t>
        </is>
      </c>
      <c r="I10" s="11" t="inlineStr">
        <is>
          <t>骨子案を作成した（令和8年8月）。素案は令和8年8月時点の版まで作成済み。第6章の推計値が未確定のため素案は暫定。概要版は未着手。3町の第10期計画に共通指標を掲載する合意が未了（確認No.17）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0.95</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0.2</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0.7</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アンケート分析の作業状況は「9月作業_アンケート分析の作業状況」（10シート）に整理した。残るのは確定値化と計画本文への反映であり、未了8件のうち5件は発注者のご判断又は資料の提供を待っている。介護給付実績分析・現状分析は見える化データにより先行実施済み（妥当性検証報告書・図表集）。人口推計は総合戦略ベースで第1〜第3段階まで算定済み</t>
        </is>
      </c>
      <c r="F6" s="8" t="inlineStr">
        <is>
          <t>実施中</t>
        </is>
      </c>
      <c r="G6" s="10" t="inlineStr"/>
      <c r="H6" s="10" t="inlineStr"/>
      <c r="I6" s="11" t="inlineStr"/>
      <c r="J6" s="5" t="inlineStr">
        <is>
          <t>計画本文への反映は点検事項の重大6件の取扱い（確認事項No.8）による。この1件の決定により照会の発出から成果品の更新まで一連の作業が動く。アンケート分析そのものは完了しているため、9月工程の成果物は暫定版として提出できる状態にあ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t>
        </is>
      </c>
      <c r="F7" s="8" t="inlineStr">
        <is>
          <t>実施中</t>
        </is>
      </c>
      <c r="G7" s="10" t="inlineStr"/>
      <c r="H7" s="10" t="inlineStr"/>
      <c r="I7" s="11" t="inlineStr"/>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まで作成済み（暫定）。見込量・保険料は将来推計の完了後に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8月31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60"/>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132</v>
      </c>
      <c r="B5" s="4" t="inlineStr">
        <is>
          <t>(5)</t>
        </is>
      </c>
      <c r="C5" s="4" t="inlineStr">
        <is>
          <t>R8.9</t>
        </is>
      </c>
      <c r="D5" s="5" t="inlineStr">
        <is>
          <t>在宅サービスの実績見込み値の編集画面の現在値のご提供</t>
        </is>
      </c>
      <c r="E5" s="5" t="inlineStr">
        <is>
          <t>在宅サービスについて、当方は要介護度別の利用者数の実数を持っていない。「推計方法の設定」の（4）1）「利用者数の実績見込み値を編集する」を開いた画面の写しをご提供いただければ、施設・居住系と同じようにそのまま貼り付けられる実数の表をお作りする。あわせて（4）2）の利用回（日）数の編集画面もご提供いただきたい。利用回（日）数については、当方は要介護度別の実績を持っておらず、現時点では案を示していない。なお在宅については、現在の計算値に乗じる倍率（令和7年度の利用率÷令和8年度の利用率）を用意している。</t>
        </is>
      </c>
      <c r="F5" s="5" t="inlineStr">
        <is>
          <t>将来推計 第2段階
サービス見込量 第1次概算</t>
        </is>
      </c>
      <c r="G5" s="5" t="inlineStr">
        <is>
          <t>発注者</t>
        </is>
      </c>
      <c r="H5" s="10" t="inlineStr">
        <is>
          <t>確認待ち</t>
        </is>
      </c>
      <c r="I5" s="10" t="inlineStr">
        <is>
          <t>R8.9</t>
        </is>
      </c>
      <c r="J5" s="11" t="inlineStr">
        <is>
          <t>令和8年度実績見込み値の入力案 03・04シート</t>
        </is>
      </c>
    </row>
    <row r="6" ht="88" customHeight="1">
      <c r="A6" s="4" t="n">
        <v>133</v>
      </c>
      <c r="B6" s="4" t="inlineStr">
        <is>
          <t>(5)</t>
        </is>
      </c>
      <c r="C6" s="4" t="inlineStr">
        <is>
          <t>R8.9</t>
        </is>
      </c>
      <c r="D6" s="5" t="inlineStr">
        <is>
          <t>介護老人保健施設の令和8年度の減少をどう見るか</t>
        </is>
      </c>
      <c r="E6" s="5" t="inlineStr">
        <is>
          <t>介護老人保健施設の利用者数は令和7年度130人／月から令和8年度111人／月へ14.6％減っている。当方の季節性の検証では施設は冬季が夏季より2.80％高く、令和8年度が令和8年4月から7月までであることによる分はこの程度の大きさである。14.6％の減はこれでは説明できない。①休止床・改修・職員の不足など、実際に受入れが減っている事情があるかをご確認いただきたい。②実際の減少である場合は、令和7年度の水準を実績見込み値に置くと過大な見込みになる。③定員は3施設240人で平成27年度から変わっていない（計画素案 第6章第4節2）。④同じ期間に介護老人福祉施設は140人から146人へ増えており、施設全体が減っているわけではない。</t>
        </is>
      </c>
      <c r="F6" s="5" t="inlineStr">
        <is>
          <t>将来推計 第2段階
計画素案 第6章第4節2</t>
        </is>
      </c>
      <c r="G6" s="5" t="inlineStr">
        <is>
          <t>発注者・3町</t>
        </is>
      </c>
      <c r="H6" s="10" t="inlineStr">
        <is>
          <t>確認待ち</t>
        </is>
      </c>
      <c r="I6" s="10" t="inlineStr">
        <is>
          <t>R8.10</t>
        </is>
      </c>
      <c r="J6" s="11" t="inlineStr">
        <is>
          <t>令和8年度実績見込み値の入力案 05シート</t>
        </is>
      </c>
    </row>
    <row r="7" ht="88" customHeight="1">
      <c r="A7" s="4" t="n">
        <v>130</v>
      </c>
      <c r="B7" s="4" t="inlineStr">
        <is>
          <t>(6)</t>
        </is>
      </c>
      <c r="C7" s="4" t="inlineStr">
        <is>
          <t>R8.9</t>
        </is>
      </c>
      <c r="D7" s="5" t="inlineStr">
        <is>
          <t>認知症基本法第13条の市町村認知症施策推進計画をどう扱うか</t>
        </is>
      </c>
      <c r="E7" s="5" t="inlineStr">
        <is>
          <t>共生社会の実現を推進するための認知症基本法（令和5年法律第65号）は、市町村認知症施策推進計画について定めている（第13条。項番号は［要確認］）。計画素案には同法への言及がなく、現在0件である。第1章第2節（計画の位置付け）は構成3町の老人福祉計画との切り分けと給付適正化計画（法第117条第2項第3号・第4号）を整理しているが、認知症は扱っていない。次の3点をご判断いただきたい。①策定の主体。同法は「市町村」を名宛人としており、介護保険の保険者である広域連合とは範囲が異なる。広域連合が第10期計画に一体のものとして位置づけるか、構成3町がそれぞれ策定するかを決める必要がある。②認知症総合支援事業（地域支援事業の包括的支援事業）の実施主体との関係。③同法が求める認知症の人及び家族等からの意見の聴取を誰がどのように行うか。意見聴取は記述の追加では満たされず、策定委員会・運営協議会の構成が決まる前に方針を決める必要がある。</t>
        </is>
      </c>
      <c r="F7" s="5" t="inlineStr">
        <is>
          <t>計画素案 第1章第2節・第5章 基本目標2</t>
        </is>
      </c>
      <c r="G7" s="5" t="inlineStr">
        <is>
          <t>発注者・3町</t>
        </is>
      </c>
      <c r="H7" s="10" t="inlineStr">
        <is>
          <t>確認待ち</t>
        </is>
      </c>
      <c r="I7" s="10" t="inlineStr">
        <is>
          <t>R8.9</t>
        </is>
      </c>
      <c r="J7" s="11" t="inlineStr">
        <is>
          <t>ブランチ内資料の点検（令和8年9月11日）による指摘。リポジトリ内の認知症基本法への言及は1件のみで、第13条への言及はない</t>
        </is>
      </c>
    </row>
    <row r="8" ht="88" customHeight="1">
      <c r="A8" s="4" t="n">
        <v>131</v>
      </c>
      <c r="B8" s="4" t="inlineStr">
        <is>
          <t>(5)(6)</t>
        </is>
      </c>
      <c r="C8" s="4" t="inlineStr">
        <is>
          <t>R8.9</t>
        </is>
      </c>
      <c r="D8" s="5" t="inlineStr">
        <is>
          <t>第6章第2節の見込量の表に何を掲げるか</t>
        </is>
      </c>
      <c r="E8" s="5" t="inlineStr">
        <is>
          <t>第6章第2節の導入文は「利用者数、回数・日数、必要定員及び給付費を推計し」としているが、実際の表は介護給付の1月当たり利用者数のみである。①利用回数・利用日数を同節に掲げるか。国の様式は回数・日数を求めており、見える化システムにも設定項目がある。②必要利用定員総数は第4節4に置いているが、第2節に再掲するかどうか。③介護予防・日常生活支援総合事業の量の見込み（法第117条第2項第2号の基本的記載事項）は第3節2に置くこととしているが、同節の表は現在のところ費用の額のみである（確認事項No.112と一体）。様式は第3章第2節の第9期実績から起こすことができる。本節の記載範囲をご判断いただきたい。なお本節の表の数値は、見える化システムの将来推計の自然体推計値であることが令和8年9月11日に受領した画面の写しにより確かめられた（施設・居住系7サービス16値が完全に一致）。</t>
        </is>
      </c>
      <c r="F8" s="5" t="inlineStr">
        <is>
          <t>計画素案 第6章第2節・第3節
サービス見込量 第1次概算</t>
        </is>
      </c>
      <c r="G8" s="5" t="inlineStr">
        <is>
          <t>発注者</t>
        </is>
      </c>
      <c r="H8" s="10" t="inlineStr">
        <is>
          <t>確認待ち</t>
        </is>
      </c>
      <c r="I8" s="10" t="inlineStr">
        <is>
          <t>R8.9</t>
        </is>
      </c>
      <c r="J8" s="11" t="inlineStr">
        <is>
          <t>ブランチ内資料の点検（令和8年9月11日）による指摘。見込量表の出所が特定できていなかった点は解決した</t>
        </is>
      </c>
    </row>
    <row r="9" ht="88" customHeight="1">
      <c r="A9" s="4" t="n">
        <v>123</v>
      </c>
      <c r="B9" s="4" t="inlineStr">
        <is>
          <t>(5)</t>
        </is>
      </c>
      <c r="C9" s="4" t="inlineStr">
        <is>
          <t>R8.9</t>
        </is>
      </c>
      <c r="D9" s="5" t="inlineStr">
        <is>
          <t>見える化システムの施設・居住系の画面から先へ進めない件</t>
        </is>
      </c>
      <c r="E9" s="5" t="inlineStr">
        <is>
          <t>当方は見える化システムに接続できないため画面の状態を確認できない。令和8年9月11日に受領した4ファイルから、次の2点を先に確かめていただきたい。①施設・居住系7区分のうち地域密着型特定施設入居者生活介護は区域内に事業所がなく、サービス利用者数の推計誤差も算定されていない。当該サービスの欄が空欄になっていないか（空欄であれば0を入力する）。介護療養型医療施設の区分が画面に残っている場合も同様である。②今回お送りいただいた4件はいずれも「推計方法の設定」画面で認定率の伸び・在宅サービス利用率の伸びを選ぶための資料である。この2つの設定が選択済み・保存済みか。③認知症対応型共同生活介護の定員が未確定であるため（99人＋［要確認］。確認事項No.88）、定員との整合の検査に掛かっている可能性がある。④画面の写し・エラーの表示・入力済みの値をご提供いただければさらに絞り込める。⑤上記で解消しない場合は見える化システムのヘルプデスクへの照会をお願いしたい。</t>
        </is>
      </c>
      <c r="F9" s="5" t="inlineStr">
        <is>
          <t>将来推計 第2段階・第3段階
サービス見込量 第1次概算</t>
        </is>
      </c>
      <c r="G9" s="5" t="inlineStr">
        <is>
          <t>発注者</t>
        </is>
      </c>
      <c r="H9" s="10" t="inlineStr">
        <is>
          <t>確認待ち</t>
        </is>
      </c>
      <c r="I9" s="10" t="inlineStr">
        <is>
          <t>R8.9</t>
        </is>
      </c>
      <c r="J9" s="11" t="inlineStr">
        <is>
          <t>見える化 将来推計の設定資料の受領点検 04シート</t>
        </is>
      </c>
    </row>
    <row r="10" ht="88" customHeight="1">
      <c r="A10" s="4" t="n">
        <v>124</v>
      </c>
      <c r="B10" s="4" t="inlineStr">
        <is>
          <t>(5)</t>
        </is>
      </c>
      <c r="C10" s="4" t="inlineStr">
        <is>
          <t>R8.9</t>
        </is>
      </c>
      <c r="D10" s="5" t="inlineStr">
        <is>
          <t>施設・居住系サービス利用者数の伸びの参考シートの有無</t>
        </is>
      </c>
      <c r="E10" s="5" t="inlineStr">
        <is>
          <t>認定率と在宅サービス利用率については伸びのパターンを比較する参考シートが出力されているが、施設・居住系サービス利用者数について同じ形のシートが受領資料に含まれていない。見える化システムから出力できるものであればご提供いただきたい。施設・居住系は定員に縛られ、在宅とは伸びの置き方が異なるため、実績の推移を確かめたうえで伸びを選ぶ必要がある。</t>
        </is>
      </c>
      <c r="F10" s="5" t="inlineStr">
        <is>
          <t>将来推計 第2段階
計画素案 第6章第2節・第4節</t>
        </is>
      </c>
      <c r="G10" s="5" t="inlineStr">
        <is>
          <t>発注者</t>
        </is>
      </c>
      <c r="H10" s="10" t="inlineStr">
        <is>
          <t>確認待ち</t>
        </is>
      </c>
      <c r="I10" s="10" t="inlineStr">
        <is>
          <t>R8.9</t>
        </is>
      </c>
      <c r="J10" s="11" t="inlineStr">
        <is>
          <t>同表 00シート</t>
        </is>
      </c>
    </row>
    <row r="11" ht="88" customHeight="1">
      <c r="A11" s="4" t="n">
        <v>125</v>
      </c>
      <c r="B11" s="4" t="inlineStr">
        <is>
          <t>(5)(6)</t>
        </is>
      </c>
      <c r="C11" s="4" t="inlineStr">
        <is>
          <t>R8.9</t>
        </is>
      </c>
      <c r="D11" s="5" t="inlineStr">
        <is>
          <t>計画に掲げる認定率の定義を揃えること</t>
        </is>
      </c>
      <c r="E11" s="5" t="inlineStr">
        <is>
          <t>受領した認定率のシートでは、第1号被保険者の認定率は令和7年度20.84％である。一方、計画素案は認定率21.8％（令和7年度）としている。差は分子に第2号被保険者の認定者を含むかどうかによると考えられる。①計画に掲げる認定率を、第1号被保険者のみとするか、第2号被保険者を含むかを決めていただきたい。②見える化システムで推計する場合は同システムの定義に従うことになるため、計画本文の値と食い違わないよう揃える必要がある。③時点も異なる（受領資料は各年9月末、当方は年度末）。</t>
        </is>
      </c>
      <c r="F11" s="5" t="inlineStr">
        <is>
          <t>計画素案 第2章第1節3・第6章第1節
将来推計 第1段階・第2段階</t>
        </is>
      </c>
      <c r="G11" s="5" t="inlineStr">
        <is>
          <t>発注者</t>
        </is>
      </c>
      <c r="H11" s="10" t="inlineStr">
        <is>
          <t>確認待ち</t>
        </is>
      </c>
      <c r="I11" s="10" t="inlineStr">
        <is>
          <t>R8.10</t>
        </is>
      </c>
      <c r="J11" s="11" t="inlineStr">
        <is>
          <t>同表 02シート</t>
        </is>
      </c>
    </row>
    <row r="12" ht="88" customHeight="1">
      <c r="A12" s="4" t="n">
        <v>126</v>
      </c>
      <c r="B12" s="4" t="inlineStr">
        <is>
          <t>(5)</t>
        </is>
      </c>
      <c r="C12" s="4" t="inlineStr">
        <is>
          <t>R8.9</t>
        </is>
      </c>
      <c r="D12" s="5" t="inlineStr">
        <is>
          <t>見える化システムの推計方式は基本推計でよいか</t>
        </is>
      </c>
      <c r="E12" s="5" t="inlineStr">
        <is>
          <t>受領した認定者数の推計誤差では、令和6年度は基本推計▲0.72％・包括推計＋0.55％、令和7年度は基本推計▲0.50％・包括推計＋1.91％である。令和6年度だけを見れば包括推計の方が1.00に近いが、基本推計は2か年とも実績をわずかに下回る側で振れが小さく（2か年平均の絶対誤差0.61％）、包括推計は2か年とも上回る側で振れが大きい（同1.23％）。当方の採用パターンP3は年齢階級別の人口に階級別認定率を乗じる方法であり、基本推計（性別・年齢5歳階級別・要介護度別）に近い。見える化システムで推計方式を選ぶ場面では基本推計を選ぶ整理でよいかご判断いただきたい。</t>
        </is>
      </c>
      <c r="F12" s="5" t="inlineStr">
        <is>
          <t>将来推計 第2段階
サービス見込量 第1次概算</t>
        </is>
      </c>
      <c r="G12" s="5" t="inlineStr">
        <is>
          <t>発注者</t>
        </is>
      </c>
      <c r="H12" s="10" t="inlineStr">
        <is>
          <t>確認待ち</t>
        </is>
      </c>
      <c r="I12" s="10" t="inlineStr">
        <is>
          <t>R8.9</t>
        </is>
      </c>
      <c r="J12" s="11" t="inlineStr">
        <is>
          <t>同表 01・03シート</t>
        </is>
      </c>
    </row>
    <row r="13" ht="88" customHeight="1">
      <c r="A13" s="4" t="n">
        <v>118</v>
      </c>
      <c r="B13" s="4" t="inlineStr">
        <is>
          <t>(2)(6)</t>
        </is>
      </c>
      <c r="C13" s="4" t="inlineStr">
        <is>
          <t>R8.9</t>
        </is>
      </c>
      <c r="D13" s="5" t="inlineStr">
        <is>
          <t>施策2-5の代表KPIを「施策化への転換率」とするか</t>
        </is>
      </c>
      <c r="E13" s="5" t="inlineStr">
        <is>
          <t>第9期計画の施策2-5「地域ケア会議の推進」の指標は「会議の開催回数」であり、第9期評価では「指標不足・成果を測る指標がない」と判定している。①令和8年9月11日に受領した市町村マニュアル（厚生労働省委託事業 令和3年度介護予防活動普及展開事業）が示す「構造」「過程」「結果」の3視点により13指標を並べ、うち7件を計画に掲げる案とした。②代表KPIを「提起された地域課題のうち、翌年度の事業・予算に反映されたものの割合」（施策化への転換率）とする。率は分母が小さい年に振れるため、実数（件数）を併記する。③基準値がないため、令和9年度は基準値の把握に充て、令和10・11年度に目標値を置く。④検討した事例の6か月後の生活機能、及び参加者が会議の成果を感じた割合を掲げるかは、町の負担を勘案してご判断いただきたい。</t>
        </is>
      </c>
      <c r="F13" s="5" t="inlineStr">
        <is>
          <t>計画素案 第5章 基本目標2
第9期評価（施策2-5）</t>
        </is>
      </c>
      <c r="G13" s="5" t="inlineStr">
        <is>
          <t>発注者</t>
        </is>
      </c>
      <c r="H13" s="10" t="inlineStr">
        <is>
          <t>確認待ち</t>
        </is>
      </c>
      <c r="I13" s="10" t="inlineStr">
        <is>
          <t>R8.10</t>
        </is>
      </c>
      <c r="J13" s="11" t="inlineStr">
        <is>
          <t>地域ケア会議の受領点検とKPI設計案 04シート</t>
        </is>
      </c>
    </row>
    <row r="14" ht="88" customHeight="1">
      <c r="A14" s="4" t="n">
        <v>119</v>
      </c>
      <c r="B14" s="4" t="inlineStr">
        <is>
          <t>(2)(6)</t>
        </is>
      </c>
      <c r="C14" s="4" t="inlineStr">
        <is>
          <t>R8.9</t>
        </is>
      </c>
      <c r="D14" s="5" t="inlineStr">
        <is>
          <t>地域ケア会議の3町共通の記録様式を整えてよいか</t>
        </is>
      </c>
      <c r="E14" s="5" t="inlineStr">
        <is>
          <t>KPIの過程・結果の指標は、いずれも会議の記録に依存する。①記録様式の項目案12件を示した。課題の区分・課題の性質（特異的か普遍的か）・送り先・施策への反映の4項目が、成果指標の分母・分子を作る要である。②個票は3町が保有し、広域連合へは集計値のみを提出する整理としたい。氏名・生年月日・住所・被保険者番号は記入せず、事例の特定は町ごとの連番による。助言者は職種名のみを記入し、氏名・所属機関名は記入しない。③広域連合へ提出する集計の様式10項目も併せて示した。この整理でよいかご判断いただきたい。</t>
        </is>
      </c>
      <c r="F14" s="5" t="inlineStr">
        <is>
          <t>計画素案 第5章 基本目標2</t>
        </is>
      </c>
      <c r="G14" s="5" t="inlineStr">
        <is>
          <t>発注者・3町</t>
        </is>
      </c>
      <c r="H14" s="10" t="inlineStr">
        <is>
          <t>確認待ち</t>
        </is>
      </c>
      <c r="I14" s="10" t="inlineStr">
        <is>
          <t>R8.10</t>
        </is>
      </c>
      <c r="J14" s="11" t="inlineStr">
        <is>
          <t>地域ケア会議の受領点検とKPI設計案 05シート</t>
        </is>
      </c>
    </row>
    <row r="15" ht="88" customHeight="1">
      <c r="A15" s="4" t="n">
        <v>120</v>
      </c>
      <c r="B15" s="4" t="inlineStr">
        <is>
          <t>(2)(6)</t>
        </is>
      </c>
      <c r="C15" s="4" t="inlineStr">
        <is>
          <t>R8.9</t>
        </is>
      </c>
      <c r="D15" s="5" t="inlineStr">
        <is>
          <t>地域ケア個別会議と地域ケア推進会議を分けて計数するか</t>
        </is>
      </c>
      <c r="E15" s="5" t="inlineStr">
        <is>
          <t>介護保険法第115条の48の会議について、市町村マニュアルは、個別ケースの支援内容の検討を地域ケア個別会議、地域づくり・資源開発・政策形成を地域ケア推進会議として整理している例を示している。①第9期計画は2つを分けずに「会議の開催回数」で測っている。第10期では分けて数える案としたい。②推進会議を町ごとに置くか、広域連合に1つ置くか、既存の会議体に推進会議の機能を持たせるかをご判断いただきたい。日常生活圏域を3町とする案（確認事項No.88）と一体で整理する。③会議の設置要綱を町ごとに定めるか、広域連合が標準の様式を示すかも併せてご判断いただきたい。</t>
        </is>
      </c>
      <c r="F15" s="5" t="inlineStr">
        <is>
          <t>計画素案 第5章 基本目標2・第6章第4節4</t>
        </is>
      </c>
      <c r="G15" s="5" t="inlineStr">
        <is>
          <t>発注者・3町</t>
        </is>
      </c>
      <c r="H15" s="10" t="inlineStr">
        <is>
          <t>確認待ち</t>
        </is>
      </c>
      <c r="I15" s="10" t="inlineStr">
        <is>
          <t>R8.10</t>
        </is>
      </c>
      <c r="J15" s="11" t="inlineStr">
        <is>
          <t>地域ケア会議の受領点検とKPI設計案 02・06シート</t>
        </is>
      </c>
    </row>
    <row r="16" ht="88" customHeight="1">
      <c r="A16" s="4" t="n">
        <v>121</v>
      </c>
      <c r="B16" s="4" t="inlineStr">
        <is>
          <t>(2)</t>
        </is>
      </c>
      <c r="C16" s="4" t="inlineStr">
        <is>
          <t>R8.9</t>
        </is>
      </c>
      <c r="D16" s="5" t="inlineStr">
        <is>
          <t>3町の地域ケア会議の実績（令和6〜8年度）のご提供</t>
        </is>
      </c>
      <c r="E16" s="5" t="inlineStr">
        <is>
          <t>KPIの現況値を置くために次の7項目が必要である。①地域ケア個別会議の開催回数、②地域ケア推進会議の開催回数、③検討した事例数、④提起された地域課題の件数、⑤推進会議等で方策を協議した件数、⑥事業・予算に反映された件数、⑦助言者の職種数。①〜③は開催記録から把握できると考えられるが、④〜⑦は記録様式が整っていない場合は過去にさかのぼって把握できない可能性がある。把握できる範囲をご教示いただきたい。なお見える化システムのF15からF25（地域ケア会議開催回数を含む）は再出力を依頼しており、これにより①の一部は補える見込みである。当方が現に持っているのは、交付金評価の「生活支援コーディネーターの地域ケア会議への参加割合」（3町とも令和8年度に満点）と、理学療法士の地域ケア会議等への派遣回数（令和6年度・美瑛町12回）だけである。</t>
        </is>
      </c>
      <c r="F16" s="5" t="inlineStr">
        <is>
          <t>計画素案 第5章 基本目標2
第9期評価（施策2-5）</t>
        </is>
      </c>
      <c r="G16" s="5" t="inlineStr">
        <is>
          <t>3町</t>
        </is>
      </c>
      <c r="H16" s="10" t="inlineStr">
        <is>
          <t>確認待ち</t>
        </is>
      </c>
      <c r="I16" s="10" t="inlineStr">
        <is>
          <t>R8.10</t>
        </is>
      </c>
      <c r="J16" s="11" t="inlineStr">
        <is>
          <t>地域ケア会議の受領点検とKPI設計案 03シート</t>
        </is>
      </c>
    </row>
    <row r="17" ht="88" customHeight="1">
      <c r="A17" s="4" t="n">
        <v>122</v>
      </c>
      <c r="B17" s="4" t="inlineStr">
        <is>
          <t>(9)</t>
        </is>
      </c>
      <c r="C17" s="4" t="inlineStr">
        <is>
          <t>R8.9</t>
        </is>
      </c>
      <c r="D17" s="5" t="inlineStr">
        <is>
          <t>地域ケア会議関係資料の取扱いの確認</t>
        </is>
      </c>
      <c r="E17" s="5" t="inlineStr">
        <is>
          <t>令和8年9月11日に受領した5件（PDF82ファイル）のうち、次の2件には転載を禁ずる旨の記載がある。①通いの場の課題解決に向けたマニュアル「本マニュアルの内容、テキスト、画像等の無断転載・無断使用を固く禁じます」。②令和7年度北海道介護予防活動普及展開事業の普及啓発セミナー資料「動画内で使用されている全てのテキスト、音声、音楽、画像、映像等を無断使用、複製、改編したり販売や貸与することを禁止します」。当方は、①は出典として参照するにとどめ記述・図表を転載しない、②は成果品に用いず記載の借用も行わない、という扱いとした。また②には担当者の氏名・電話番号・電子メールアドレス・顔写真が含まれるため、リポジトリに格納せず作業の終了後に消去する。この扱いでよいかご確認いただきたい。②を成果品に引用する必要がある場合は、北海道への確認をお願いすることになる。</t>
        </is>
      </c>
      <c r="F17" s="5" t="inlineStr">
        <is>
          <t>地域ケア会議の受領点検とKPI設計案
計画素案 第5章 基本目標2</t>
        </is>
      </c>
      <c r="G17" s="5" t="inlineStr">
        <is>
          <t>発注者</t>
        </is>
      </c>
      <c r="H17" s="10" t="inlineStr">
        <is>
          <t>確認待ち</t>
        </is>
      </c>
      <c r="I17" s="10" t="inlineStr">
        <is>
          <t>R8.9</t>
        </is>
      </c>
      <c r="J17" s="11" t="inlineStr">
        <is>
          <t>同表 00・01シート</t>
        </is>
      </c>
    </row>
    <row r="18" ht="88" customHeight="1">
      <c r="A18" s="4" t="n">
        <v>114</v>
      </c>
      <c r="B18" s="4" t="inlineStr">
        <is>
          <t>(5)(6)</t>
        </is>
      </c>
      <c r="C18" s="4" t="inlineStr">
        <is>
          <t>R8.9</t>
        </is>
      </c>
      <c r="D18" s="5" t="inlineStr">
        <is>
          <t>令和22年度までの中長期推計をどこまで算定するか</t>
        </is>
      </c>
      <c r="E18"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①採用パターンP3の1人あたり給付費を固定し、認定者数の推計値を乗じてサービス種類別に延長する方法により算定できる。②保険料の水準は第1号被保険者数の推計値で除して示す。③単価を令和7年度で固定するか趨勢を置くかは確認事項No.109と一体であり、13年先まで固定すると水準を大きく下回る。④地域支援事業の量及び費用の額も対象であり確認事項No.112と一体である。算定の範囲（サービス種類別か区分計か、令和17年度も示すか）をご判断いただきたい。</t>
        </is>
      </c>
      <c r="F18" s="5" t="inlineStr">
        <is>
          <t>サービス見込量 第2次概算
将来推計 第3段階
計画素案 第2章第8節・第6章第2節</t>
        </is>
      </c>
      <c r="G18" s="5" t="inlineStr">
        <is>
          <t>発注者</t>
        </is>
      </c>
      <c r="H18" s="10" t="inlineStr">
        <is>
          <t>確認待ち</t>
        </is>
      </c>
      <c r="I18" s="10" t="inlineStr">
        <is>
          <t>R8.10</t>
        </is>
      </c>
      <c r="J18" s="11" t="inlineStr">
        <is>
          <t>サービス見込量算定の統合報告書 03・04シート</t>
        </is>
      </c>
    </row>
    <row r="19" ht="88" customHeight="1">
      <c r="A19" s="4" t="n">
        <v>112</v>
      </c>
      <c r="B19" s="4" t="inlineStr">
        <is>
          <t>(5)(6)</t>
        </is>
      </c>
      <c r="C19" s="4" t="inlineStr">
        <is>
          <t>R8.9</t>
        </is>
      </c>
      <c r="D19" s="5" t="inlineStr">
        <is>
          <t>地域支援事業の量の見込みを算定してよいか</t>
        </is>
      </c>
      <c r="E19" s="5" t="inlineStr">
        <is>
          <t>介護保険法第117条第2項第2号は「各年度における地域支援事業の量の見込み」を基本的記載事項としているが、当方は費用の額（B＝地域支援事業費）のみを令和6年度決算の水準で置いており、量を算定していない。①総合事業の令和7年度実績をご提供いただければ、サービス区分ごとの利用者数を要支援認定者数の伸びで延長して算定できる。②一般介護予防事業は通いの場の箇所数・参加者数を実績の趨勢で置く。③改正法により住民主体の通いの場が総合事業に位置づけられるため、これを反映する。④見える化のF15〜F25（地域包括支援センターの相談体制）及びF28〜F40（多様なサービス・活動の数）の再出力を依頼中である。算定してよいかご判断いただきたい。</t>
        </is>
      </c>
      <c r="F19" s="5" t="inlineStr">
        <is>
          <t>サービス見込量 第2次概算
計画素案 第6章第3節</t>
        </is>
      </c>
      <c r="G19" s="5" t="inlineStr">
        <is>
          <t>発注者</t>
        </is>
      </c>
      <c r="H19" s="10" t="inlineStr">
        <is>
          <t>確認待ち</t>
        </is>
      </c>
      <c r="I19" s="10" t="inlineStr">
        <is>
          <t>R8.10</t>
        </is>
      </c>
      <c r="J19" s="11" t="inlineStr">
        <is>
          <t>サービス見込量算定の統合報告書 03・04シート</t>
        </is>
      </c>
    </row>
    <row r="20" ht="88" customHeight="1">
      <c r="A20" s="4" t="n">
        <v>113</v>
      </c>
      <c r="B20" s="4" t="inlineStr">
        <is>
          <t>(5)</t>
        </is>
      </c>
      <c r="C20" s="4" t="inlineStr">
        <is>
          <t>R8.9</t>
        </is>
      </c>
      <c r="D20" s="5" t="inlineStr">
        <is>
          <t>混合型特定施設の必要利用定員総数を定めるか</t>
        </is>
      </c>
      <c r="E20" s="5" t="inlineStr">
        <is>
          <t>介護保険法第117条第3項は、見込量を定めるに当たって勘案すべき事項として混合型特定施設入居者生活介護に係る必要利用定員総数を挙げている。第9期計画には記載がない。区域内の特定施設入居者生活介護は定員156人に対し令和7年度の実績が61.5人／月（39.4％）である。率が低いのは入居者に要支援の方が含まれ介護予防特定施設入居者生活介護として計上されることによる。①区域内の特定施設が混合型か介護専用型かを確認できていない。北海道の指定事業所一覧における類型の別をご確認いただきたい。②混合型である場合、必要利用定員総数を定めるかどうかをご判断いただきたい。定めない場合は、定めない旨を計画に記載する。</t>
        </is>
      </c>
      <c r="F20" s="5" t="inlineStr">
        <is>
          <t>サービス見込量 第1次概算
計画素案 第6章第4節4</t>
        </is>
      </c>
      <c r="G20" s="5" t="inlineStr">
        <is>
          <t>発注者・北海道</t>
        </is>
      </c>
      <c r="H20" s="10" t="inlineStr">
        <is>
          <t>確認待ち</t>
        </is>
      </c>
      <c r="I20" s="10" t="inlineStr">
        <is>
          <t>R8.9</t>
        </is>
      </c>
      <c r="J20" s="11" t="inlineStr">
        <is>
          <t>サービス見込量算定の統合報告書 03・04シート。確認事項No.88（日常生活圏域と必要利用定員総数）と一体</t>
        </is>
      </c>
    </row>
    <row r="21" ht="88" customHeight="1">
      <c r="A21" s="4" t="n">
        <v>115</v>
      </c>
      <c r="B21" s="4" t="inlineStr">
        <is>
          <t>(5)(6)</t>
        </is>
      </c>
      <c r="C21" s="4" t="inlineStr">
        <is>
          <t>R8.9</t>
        </is>
      </c>
      <c r="D21" s="5" t="inlineStr">
        <is>
          <t>令和9年4月に新設される区分を見込量に立てるか</t>
        </is>
      </c>
      <c r="E21" s="5" t="inlineStr">
        <is>
          <t>第10期の初年度から次の区分が生じる。いずれも見込量の区分に影響する。①登録施設介護（予防）支援。有料老人ホームの登録制の導入に伴い新設される。区域内の指定を受けない住宅型有料老人ホーム9施設223人が対象となり得る。②特定地域サービス（特例介護サービスの新類型）。既存サービスからの振替であり総量は変わらないが、月単位の包括払いを選ぶ場合は単価が変わる。③特定地域居宅サービス等事業。市町村が事業として実施する仕組みである。政令・省令・報酬が未告示であるため、現時点では区分を立てず、計画素案 第6章第4節1の確保方策の選択肢として扱うことを考えている。この整理でよいかご判断いただきたい。また、3町における特定地域の指定の意向をご教示いただきたい。</t>
        </is>
      </c>
      <c r="F21" s="5" t="inlineStr">
        <is>
          <t>サービス見込量 第2次概算
計画素案 第1章第9節・第6章第2節・第4節</t>
        </is>
      </c>
      <c r="G21" s="5" t="inlineStr">
        <is>
          <t>発注者・3町</t>
        </is>
      </c>
      <c r="H21" s="10" t="inlineStr">
        <is>
          <t>確認待ち</t>
        </is>
      </c>
      <c r="I21" s="10" t="inlineStr">
        <is>
          <t>R8.10</t>
        </is>
      </c>
      <c r="J21" s="11" t="inlineStr">
        <is>
          <t>サービス見込量算定の統合報告書 03・04シート</t>
        </is>
      </c>
    </row>
    <row r="22" ht="88" customHeight="1">
      <c r="A22" s="4" t="n">
        <v>116</v>
      </c>
      <c r="B22" s="4" t="inlineStr">
        <is>
          <t>(5)(6)</t>
        </is>
      </c>
      <c r="C22" s="4" t="inlineStr">
        <is>
          <t>R8.9</t>
        </is>
      </c>
      <c r="D22" s="5" t="inlineStr">
        <is>
          <t>介護人材の確保状況を供給の制約として見込量に反映するか</t>
        </is>
      </c>
      <c r="E22" s="5" t="inlineStr">
        <is>
          <t>国の第10期基本指針（案）は人材確保・生産性向上・経営改善支援を記載充実事項に挙げている。当方の見込量は需要の推計であり、供給の制約を反映していない。①介護老人福祉施設では准看護師が7人から3人へ、生活相談員が5人から3人へ減少している。②計画素案 第6章第2節は需要の自然体推計・施策反映・供給実現性・需給差確認の4段階を掲げているが、供給実現性を算定するには事業所の休廃止・縮小意向と稼働率・待機の実績を要する。③見込量そのものは需要のまま置き、需給差を未充足・区域外利用・待機に分解して別に示す方法を考えている。この整理でよいか、また必要な資料をご提供いただけるかご確認いただきたい。</t>
        </is>
      </c>
      <c r="F22" s="5" t="inlineStr">
        <is>
          <t>サービス見込量 第2次概算
計画素案 第6章第2節・第4節</t>
        </is>
      </c>
      <c r="G22" s="5" t="inlineStr">
        <is>
          <t>発注者・3町</t>
        </is>
      </c>
      <c r="H22" s="10" t="inlineStr">
        <is>
          <t>確認待ち</t>
        </is>
      </c>
      <c r="I22" s="10" t="inlineStr">
        <is>
          <t>R8.10</t>
        </is>
      </c>
      <c r="J22" s="11" t="inlineStr">
        <is>
          <t>サービス見込量算定の統合報告書 03・04シート</t>
        </is>
      </c>
    </row>
    <row r="23" ht="88" customHeight="1">
      <c r="A23" s="4" t="n">
        <v>117</v>
      </c>
      <c r="B23" s="4" t="inlineStr">
        <is>
          <t>(9)</t>
        </is>
      </c>
      <c r="C23" s="4" t="inlineStr">
        <is>
          <t>R8.9</t>
        </is>
      </c>
      <c r="D23" s="5" t="inlineStr">
        <is>
          <t>成果品の統合の方針</t>
        </is>
      </c>
      <c r="E23" s="5" t="inlineStr">
        <is>
          <t>見込量算定に関する成果品が4件（計36シート）に分かれていたため、統合報告書1件に束ねた。元の4件も残している。①送付資料一覧では統合報告書を主とし、元の4件を参考として扱う整理を考えている。②これ以外にも同じ整理が必要と考えられる成果品の群がある。受領点検の群、第9期評価の群、調査の集計・点検の群、人口推計の群、会議資料の校正の群である。③統合すると成果品の件数は減るが、1件あたりのシート数が増える。納品時の見やすさをどちらに置くかご判断いただきたい。</t>
        </is>
      </c>
      <c r="F23" s="5" t="inlineStr">
        <is>
          <t>成果品一覧
送付資料一覧</t>
        </is>
      </c>
      <c r="G23" s="5" t="inlineStr">
        <is>
          <t>発注者</t>
        </is>
      </c>
      <c r="H23" s="10" t="inlineStr">
        <is>
          <t>確認待ち</t>
        </is>
      </c>
      <c r="I23" s="10" t="inlineStr">
        <is>
          <t>R8.9</t>
        </is>
      </c>
      <c r="J23" s="11" t="inlineStr">
        <is>
          <t>サービス見込量算定の統合報告書 07シート</t>
        </is>
      </c>
    </row>
    <row r="24" ht="88" customHeight="1">
      <c r="A24" s="4" t="n">
        <v>109</v>
      </c>
      <c r="B24" s="4" t="inlineStr">
        <is>
          <t>(5)</t>
        </is>
      </c>
      <c r="C24" s="4" t="inlineStr">
        <is>
          <t>R8.9</t>
        </is>
      </c>
      <c r="D24" s="5" t="inlineStr">
        <is>
          <t>第10期の単価を令和7年度で固定するか、実績の趨勢を置くか</t>
        </is>
      </c>
      <c r="E24" s="5" t="inlineStr">
        <is>
          <t>令和9年度は介護報酬改定の年に当たり、第10期の初年度である。改定は3年ごとに行われ、平成30年度・令和3年度・令和6年度と実施されてきた。改定率は令和8年9月10日時点で未告示である。当区域の単価を、前年の利用者構成で固定した連鎖ラスパイレス指数で測ると、平成30年度から令和7年度までの7年間で＋12.93％（年率＋1.75％）伸びている。改定のあった年（平均＋1.42％）となかった年（平均＋2.20％）で差は見られず、当区域のデータでは改定による分と改定以外の分を分けられない。1人1月あたり利用日数・回数の伸びは年率＋0.25％（中央値）にとどまるため、残りは加算の算定・要介護度の重度化によるものとみられる。採用パターンが単価を令和7年度で固定していることはこの趨勢を落としており、月額で＋185円から＋374円に当たる。改定率1％あたりの月額は＋61円である。①単価を固定したまま改定率のみを乗じるか、②実績の趨勢を置くかをご判断いただきたい。</t>
        </is>
      </c>
      <c r="F24" s="5" t="inlineStr">
        <is>
          <t>サービス見込量 第2次概算
将来推計 第3段階
計画素案 第6章第3節・第6節</t>
        </is>
      </c>
      <c r="G24" s="5" t="inlineStr">
        <is>
          <t>発注者</t>
        </is>
      </c>
      <c r="H24" s="10" t="inlineStr">
        <is>
          <t>確認待ち</t>
        </is>
      </c>
      <c r="I24" s="10" t="inlineStr">
        <is>
          <t>R8.10</t>
        </is>
      </c>
      <c r="J24" s="11" t="inlineStr">
        <is>
          <t>趨勢に現れない要因の分析 06シート。「構成町の意見への回答」の「令和9年度が改定の年に当たらない」との記述は誤りであり修正した</t>
        </is>
      </c>
    </row>
    <row r="25" ht="88" customHeight="1">
      <c r="A25" s="4" t="n">
        <v>110</v>
      </c>
      <c r="B25" s="4" t="inlineStr">
        <is>
          <t>(5)(6)</t>
        </is>
      </c>
      <c r="C25" s="4" t="inlineStr">
        <is>
          <t>R8.9</t>
        </is>
      </c>
      <c r="D25" s="5" t="inlineStr">
        <is>
          <t>給付適正化の効果を見込量に織り込まないことでよいか</t>
        </is>
      </c>
      <c r="E25" s="5" t="inlineStr">
        <is>
          <t>給付適正化の対象サービス（住宅改修・特定福祉用具販売・福祉用具貸与・介護予防支援及び居宅介護支援）は総給付費の7.70％である。対象サービスを10％抑制できたとしても月額は▲47円にとどまる。①見込量は自然体推計であり、適正化は施策として別に置く整理としている。織り込むと施策の達成を前提に給付費を下げることになり、施策反映の歯止め（純減を認めない）に反する。②対計画比の偏りの補正は対象4サービスのうち3件を増やす向きに働く。適正化は抑制する向きであり、両者を二重に扱わない整理を要する。③住宅改修と特定福祉用具販売は令和7年度の対計画比が126.3％・128.5％と高く、点検の必要性と符合する。ただし8年平均では92.4％・95.6％であり直近2年の上振れによる。この整理でよいかご判断いただきたい。</t>
        </is>
      </c>
      <c r="F25" s="5" t="inlineStr">
        <is>
          <t>サービス見込量 第1次概算
計画素案 第5章 基本目標5・第6章第2節</t>
        </is>
      </c>
      <c r="G25" s="5" t="inlineStr">
        <is>
          <t>発注者</t>
        </is>
      </c>
      <c r="H25" s="10" t="inlineStr">
        <is>
          <t>確認待ち</t>
        </is>
      </c>
      <c r="I25" s="10" t="inlineStr">
        <is>
          <t>R8.10</t>
        </is>
      </c>
      <c r="J25" s="11" t="inlineStr">
        <is>
          <t>趨勢に現れない要因の分析 05シート</t>
        </is>
      </c>
    </row>
    <row r="26" ht="88" customHeight="1">
      <c r="A26" s="4" t="n">
        <v>111</v>
      </c>
      <c r="B26" s="4" t="inlineStr">
        <is>
          <t>(6)</t>
        </is>
      </c>
      <c r="C26" s="4" t="inlineStr">
        <is>
          <t>R8.9</t>
        </is>
      </c>
      <c r="D26" s="5" t="inlineStr">
        <is>
          <t>過年度の趨勢に現れない要因の扱い（認知症施策・高齢者向け住まいほか）</t>
        </is>
      </c>
      <c r="E26" s="5" t="inlineStr">
        <is>
          <t>見込量の算定は実績の趨勢を延ばすものであり、国の第10期基本指針（案）及び北海道第9期計画の8基本目標のうち過去の実績に現れていないものは反映されない。要因を12件抽出し、測れるもの7件・向きのみ3件・測れないもの2件に分けた。①認知症施策。認知症高齢者自立度Ⅱ以上の割合は平成24年4月末65.4％から令和6年10月末60.3％へ低下する一方、実数は年率＋2.17％で増えている。認知症対応型共同生活介護の実績は年率▲4.96％で減り、入居率は82.4％で定員に余裕がある。趨勢を延ばすと施策の方向と逆になる。②高齢者向け住まい。介護保険の指定を受けない住宅型有料老人ホーム9施設223人・サービス付き高齢者向け住宅2施設66戸・軽費老人ホーム1施設50人の計339人は、在宅受給者の月平均991.4人の34.2％に当たる。施設そのものは給付費に現れないが入居者は在宅サービスを利用する。第10期中の開設・廃止の予定をご提供いただきたい。③北海道第10期支援計画は未策定である。示された時点で再照合する。</t>
        </is>
      </c>
      <c r="F26" s="5" t="inlineStr">
        <is>
          <t>計画素案 第1章第8節・第2章第3節6・第5章 基本目標2・第6章第2節</t>
        </is>
      </c>
      <c r="G26" s="5" t="inlineStr">
        <is>
          <t>発注者・3町</t>
        </is>
      </c>
      <c r="H26" s="10" t="inlineStr">
        <is>
          <t>確認待ち</t>
        </is>
      </c>
      <c r="I26" s="10" t="inlineStr">
        <is>
          <t>R8.10</t>
        </is>
      </c>
      <c r="J26" s="11" t="inlineStr">
        <is>
          <t>趨勢に現れない要因の分析 02〜04シート</t>
        </is>
      </c>
    </row>
    <row r="27" ht="88" customHeight="1">
      <c r="A27" s="4" t="n">
        <v>106</v>
      </c>
      <c r="B27" s="4" t="inlineStr">
        <is>
          <t>(5)(6)</t>
        </is>
      </c>
      <c r="C27" s="4" t="inlineStr">
        <is>
          <t>R8.9</t>
        </is>
      </c>
      <c r="D27" s="5" t="inlineStr">
        <is>
          <t>見込量の伸びを一律からサービス別の趨勢を半分反映する置き方に改めるか</t>
        </is>
      </c>
      <c r="E27" s="5" t="inlineStr">
        <is>
          <t>施策反映より先に、サービス別の対計画比の偏りを補正した場合を試算した。①第7期から第9期までの8年度の対計画比は、定期巡回34.0％から居宅療養管理指導146.6％まで開き、全体は8年度すべてで100％未満（8年平均94.93％）である。②この開きは、サービスごとに伸びが違うのに見込量を一律の伸び（認定者数の伸び）で置いていることによる。実績の伸びはサービス別に年率▲10.7％から＋28.8％まで開いており、認定者数の伸び（年率＋0.48％）とは別物である。③補正の式は g'＝gn＋φ×clip(gs－gn,±3％) とし、起点と予測年数を変えた5通りのバックテストで30設定を比べてφ＝0.5・上限±3％・窓5年を選んだ。一律は30設定中15位である。総給付費の予測誤差は一律1.68％に対し補正1.13％である。この置き方に改めてよいかご判断いただきたい。</t>
        </is>
      </c>
      <c r="F27" s="5" t="inlineStr">
        <is>
          <t>サービス見込量 第1次概算
将来推計 第3段階
計画素案 第6章第2節2</t>
        </is>
      </c>
      <c r="G27" s="5" t="inlineStr">
        <is>
          <t>発注者</t>
        </is>
      </c>
      <c r="H27" s="10" t="inlineStr">
        <is>
          <t>確認待ち</t>
        </is>
      </c>
      <c r="I27" s="10" t="inlineStr">
        <is>
          <t>R8.9</t>
        </is>
      </c>
      <c r="J27" s="11" t="inlineStr">
        <is>
          <t>対計画比の偏りの補正試算 03シート。確認事項No.100（採用パターン）と一体</t>
        </is>
      </c>
    </row>
    <row r="28" ht="88" customHeight="1">
      <c r="A28" s="4" t="n">
        <v>107</v>
      </c>
      <c r="B28" s="4" t="inlineStr">
        <is>
          <t>(5)(6)</t>
        </is>
      </c>
      <c r="C28" s="4" t="inlineStr">
        <is>
          <t>R8.9</t>
        </is>
      </c>
      <c r="D28" s="5" t="inlineStr">
        <is>
          <t>施設・居住系の実績の減少を将来へ延長するか</t>
        </is>
      </c>
      <c r="E28" s="5" t="inlineStr">
        <is>
          <t>対計画比の偏りを補正すると、在宅系が増え施設・居住系が減る。しかし施設・居住系の実績の減少には定員の縮小が含まれる。介護老人福祉施設の定員は平成29年度234人から令和2年度以降160人へ31.6％、認知症対応型共同生活介護は15.4％減っている。趨勢をそのまま延長すると「第10期にさらに定員が縮小する」ことを前提にしてしまう。延長すると算定上の月額基準額は6,428円から6,371円へ▲58円、延長しないと6,476円へ＋48円で符号が変わる。第10期に定員を維持する方針であれば延長しない扱いとなる。確認事項No.84（東川町の施設整備・サービス提供方針）と一体でご判断いただきたい。</t>
        </is>
      </c>
      <c r="F28" s="5" t="inlineStr">
        <is>
          <t>サービス見込量 第1次概算
計画素案 第6章第4節4</t>
        </is>
      </c>
      <c r="G28" s="5" t="inlineStr">
        <is>
          <t>発注者・3町</t>
        </is>
      </c>
      <c r="H28" s="10" t="inlineStr">
        <is>
          <t>確認待ち</t>
        </is>
      </c>
      <c r="I28" s="10" t="inlineStr">
        <is>
          <t>R8.9</t>
        </is>
      </c>
      <c r="J28" s="11" t="inlineStr">
        <is>
          <t>対計画比の偏りの補正試算 05シート</t>
        </is>
      </c>
    </row>
    <row r="29" ht="88" customHeight="1">
      <c r="A29" s="4" t="n">
        <v>108</v>
      </c>
      <c r="B29" s="4" t="inlineStr">
        <is>
          <t>(5)</t>
        </is>
      </c>
      <c r="C29" s="4" t="inlineStr">
        <is>
          <t>R8.9</t>
        </is>
      </c>
      <c r="D29" s="5" t="inlineStr">
        <is>
          <t>補正しても外れるサービス6件の理由</t>
        </is>
      </c>
      <c r="E29" s="5" t="inlineStr">
        <is>
          <t>対計画比の偏りの補正は総給付費の予測を改善するが、サービス別の大きな外れは解消しない。次の理由をご確認いただきたい。①居宅療養管理指導が8年間で4.2倍（555人→2,319人）になった理由。医師・歯科医師・薬剤師等のどの職種が増えているか。②地域密着型通所介護が令和5年度1,321人から令和6年度950人へ1年で28％減った理由。事業所の休廃止・定員の縮小の有無。③短期入所生活介護・短期入所療養介護の対計画比が8年平均80.1％・84.3％と安定して低い理由。空床利用の運用と、需要があって受けられていないのかどうか。④訪問看護・訪問リハビリテーションが8年間で57％・85％増えた理由。これらは趨勢の問題ではなく供給又は制度の問題であり、機械的な補正では直らない。</t>
        </is>
      </c>
      <c r="F29" s="5" t="inlineStr">
        <is>
          <t>対計画比の偏りの補正試算
計画素案 第6章第2節2</t>
        </is>
      </c>
      <c r="G29" s="5" t="inlineStr">
        <is>
          <t>発注者・3町</t>
        </is>
      </c>
      <c r="H29" s="10" t="inlineStr">
        <is>
          <t>確認待ち</t>
        </is>
      </c>
      <c r="I29" s="10" t="inlineStr">
        <is>
          <t>R8.10</t>
        </is>
      </c>
      <c r="J29" s="11" t="inlineStr">
        <is>
          <t>供給実現性の段階でサービスごとに判断する材料</t>
        </is>
      </c>
    </row>
    <row r="30" ht="88" customHeight="1">
      <c r="A30" s="4" t="n">
        <v>103</v>
      </c>
      <c r="B30" s="4" t="inlineStr">
        <is>
          <t>(5)(6)</t>
        </is>
      </c>
      <c r="C30" s="4" t="inlineStr">
        <is>
          <t>R8.9</t>
        </is>
      </c>
      <c r="D30" s="5" t="inlineStr">
        <is>
          <t>令和8年度を基準年度に用いず、季節を理由とする補正も行わないこと</t>
        </is>
      </c>
      <c r="E30" s="5" t="inlineStr">
        <is>
          <t>令和8年度の数値が年度途中であること、北海道の地理的特性から冬季と夏季で事業内容・給付費が異なる可能性が高いことについて、月次データで検証した。①冬季（12〜3月）と夏季（6〜9月）の対比は、施設が＋2.80％・在宅が▲2.48％で、令和6年度・令和7年度の2年とも同じ向きに再現する。居住系と合計は測定できない。②施設と在宅が逆向きであるため給付費で加重すると相殺され、年度換算係数は2.9935で一律の3.0000と0.22％しか違わない。③採用パターン（令和7年度基準）は完結年度であるため季節指数の和が12となり、年度換算係数は12÷12＝1.0000で恒等的に消える。季節補正の効きは0円である。以上により、令和8年度を基準年度に用いず、季節を理由とする補正も行わないこととしてよいかご判断いただきたい。なお月次データは見える化D1（3区分・24か月）のみであり、サービス種別ごとの季節性と単価の季節性は測定できない。</t>
        </is>
      </c>
      <c r="F30" s="5" t="inlineStr">
        <is>
          <t>サービス見込量 第1次概算
将来推計 第3段階
計画素案 第6章第2節2</t>
        </is>
      </c>
      <c r="G30" s="5" t="inlineStr">
        <is>
          <t>発注者</t>
        </is>
      </c>
      <c r="H30" s="10" t="inlineStr">
        <is>
          <t>確認待ち</t>
        </is>
      </c>
      <c r="I30" s="10" t="inlineStr">
        <is>
          <t>R8.9</t>
        </is>
      </c>
      <c r="J30" s="11" t="inlineStr">
        <is>
          <t>見込量の季節性の検証と施策反映の設計 01・03シート</t>
        </is>
      </c>
    </row>
    <row r="31" ht="88" customHeight="1">
      <c r="A31" s="4" t="n">
        <v>104</v>
      </c>
      <c r="B31" s="4" t="inlineStr">
        <is>
          <t>(5)</t>
        </is>
      </c>
      <c r="C31" s="4" t="inlineStr">
        <is>
          <t>R8.9</t>
        </is>
      </c>
      <c r="D31" s="5" t="inlineStr">
        <is>
          <t>第10期の単価を令和7年度で固定するか、令和8年度の水準を反映するか</t>
        </is>
      </c>
      <c r="E31" s="5" t="inlineStr">
        <is>
          <t>令和8年度が使いづらい主因は季節ではなく単価である。給付費は令和7年度の36.00％で4.320か月相当だが、月数は月報により4か月と確定しており、受給者数は月報で＋1.99％にとどまるため期待は4.079か月相当である。差の残差は単価であり、分母を令和7年度の3町合計に採ると＋1.63％、広域連合単位に採ると＋5.90％となる。令和8年度は3町合計と広域連合単位が完全に一致するが、令和7年度のみ4.20％の差があるためである（確認事項No.87）。月額に直すと＋99円から＋360円の幅があり、季節補正（▲14円）よりはるかに大きい。①確認事項No.87の解決をお願いしたい。②単価を令和7年度で固定するか、令和8年度の水準を反映するかをご判断いただきたい。月次の給付費が存在しないため、この上昇が季節によるものか年次の動きかは当区域では測定できない。</t>
        </is>
      </c>
      <c r="F31" s="5" t="inlineStr">
        <is>
          <t>サービス見込量 第2次概算
将来推計 第3段階
計画素案 第6章第3節・第6節</t>
        </is>
      </c>
      <c r="G31" s="5" t="inlineStr">
        <is>
          <t>発注者</t>
        </is>
      </c>
      <c r="H31" s="10" t="inlineStr">
        <is>
          <t>確認待ち</t>
        </is>
      </c>
      <c r="I31" s="10" t="inlineStr">
        <is>
          <t>R8.10</t>
        </is>
      </c>
      <c r="J31" s="11" t="inlineStr">
        <is>
          <t>確認事項No.87と一体。見込量の季節性の検証と施策反映の設計 02シート</t>
        </is>
      </c>
    </row>
    <row r="32" ht="88" customHeight="1">
      <c r="A32" s="4" t="n">
        <v>105</v>
      </c>
      <c r="B32" s="4" t="inlineStr">
        <is>
          <t>(6)</t>
        </is>
      </c>
      <c r="C32" s="4" t="inlineStr">
        <is>
          <t>R8.9</t>
        </is>
      </c>
      <c r="D32" s="5" t="inlineStr">
        <is>
          <t>施策反映を行うか。行う場合の対象と歯止め</t>
        </is>
      </c>
      <c r="E32" s="5" t="inlineStr">
        <is>
          <t>KPI達成を目的とした施策反映について整理した。①採用パターンの算定式で動く変数は認定者数のスカラー1つだけであり、要介護度別に分解しない限りH01・H02は正しく反映できない。②代表KPI16項目のうち、見込量に量的に効き、かつ基準値と目標値が両方確定しているものは限られる。③数値を置ける施策は定期巡回・随時対応型訪問介護看護の整備のみで、5.0人／月・令和10年度からとした場合、訪問介護からの振替で月額＋2円、純増で月額＋13円である。5.0人／月は受託者の仮置きであり確定した根拠はない。④H15（給付費の計画乖離率）は令和6年度▲3.66％・令和7年度▲2.17％で、第7期からの8年度すべてで負である。計画が実績を上回ってきた状況で、施策の達成を前提にさらに見込量を下げると保険料が不足する側に誤る。歯止めの案（自然体推計を基本とする・根拠のある振替えに限る・純減を認めない・感度分析で幅を示す・H15で事後に検証する）を設けてよいかご判断いただきたい。またH01の目標「全国平均以下」が基準時点で既に達成されているかをご確認いただきたい。達成済みであれば見込量を下げる余地はない。</t>
        </is>
      </c>
      <c r="F32" s="5" t="inlineStr">
        <is>
          <t>サービス見込量 第1次概算
計画素案 第4章第3節・第6章第2節</t>
        </is>
      </c>
      <c r="G32" s="5" t="inlineStr">
        <is>
          <t>発注者</t>
        </is>
      </c>
      <c r="H32" s="10" t="inlineStr">
        <is>
          <t>確認待ち</t>
        </is>
      </c>
      <c r="I32" s="10" t="inlineStr">
        <is>
          <t>R8.9</t>
        </is>
      </c>
      <c r="J32" s="11" t="inlineStr">
        <is>
          <t>見込量の季節性の検証と施策反映の設計 04・05シート</t>
        </is>
      </c>
    </row>
    <row r="33" ht="88" customHeight="1">
      <c r="A33" s="4" t="n">
        <v>100</v>
      </c>
      <c r="B33" s="4" t="inlineStr">
        <is>
          <t>(5)(6)</t>
        </is>
      </c>
      <c r="C33" s="4" t="inlineStr">
        <is>
          <t>R8.9</t>
        </is>
      </c>
      <c r="D33" s="5" t="inlineStr">
        <is>
          <t>サービス見込量及び給付費の算定に用いる基準年度と出所</t>
        </is>
      </c>
      <c r="E33" s="5" t="inlineStr">
        <is>
          <t>見込量の算定について、基準年度をどこに置くかを実測により整理した。①数量（利用者数）の基準年度に使えるのは令和7年度だけである。令和8年度は約4か月分の実績しかなく、計画作成支援ツールの月平均利用者数は年度累計を12で除しているため令和7年度の約0.37倍の値になっている。②単価（1人1月あたり給付費・利用回数）は月数に中立であり令和8年度でも用いられる。③出所により水準が異なる。見える化システムの総括表は保険者単位、計画作成支援ツールは3町合計であり、同じ令和7年度の利用者数でも+1.4％から+243％の開きがある。④見える化システムの総括表は利用者数×1人あたり給付費＝給付費が全行で成立し、給付費の合計が年報と円単位で一致する。以上により、令和7年度・見える化システムの総括表・認定者数シナリオ②を採用パターンとする案とした。この置き方に改めてよいかご判断いただきたい。</t>
        </is>
      </c>
      <c r="F33" s="5" t="inlineStr">
        <is>
          <t>サービス見込量 第1次概算
将来推計 第3段階
計画素案 第6章第2節・第3節・第6節</t>
        </is>
      </c>
      <c r="G33" s="5" t="inlineStr">
        <is>
          <t>発注者</t>
        </is>
      </c>
      <c r="H33" s="10" t="inlineStr">
        <is>
          <t>確認待ち</t>
        </is>
      </c>
      <c r="I33" s="10" t="inlineStr">
        <is>
          <t>R8.9</t>
        </is>
      </c>
      <c r="J33" s="11" t="inlineStr">
        <is>
          <t>サービス見込量の算定 03シート。算定上の月額基準額は現行6,740円に対し採用パターンで6,428円</t>
        </is>
      </c>
    </row>
    <row r="34" ht="88" customHeight="1">
      <c r="A34" s="4" t="n">
        <v>101</v>
      </c>
      <c r="B34" s="4" t="inlineStr">
        <is>
          <t>(6)</t>
        </is>
      </c>
      <c r="C34" s="4" t="inlineStr">
        <is>
          <t>R8.9</t>
        </is>
      </c>
      <c r="D34" s="5" t="inlineStr">
        <is>
          <t>計画素案 第6章第2節2の見込量の表の数値の差し替え</t>
        </is>
      </c>
      <c r="E34" s="5" t="inlineStr">
        <is>
          <t>計画素案 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①「サービス見込量の算定」の結果に差し替えてよいか。②表頭を「R7実績」に改めてよいか。差し替えると見込量・給付費・保険料が一本の経路でつながる。</t>
        </is>
      </c>
      <c r="F34" s="5" t="inlineStr">
        <is>
          <t>計画素案 第6章第2節2
サービス見込量 第1次概算</t>
        </is>
      </c>
      <c r="G34" s="5" t="inlineStr">
        <is>
          <t>発注者</t>
        </is>
      </c>
      <c r="H34" s="10" t="inlineStr">
        <is>
          <t>確認待ち</t>
        </is>
      </c>
      <c r="I34" s="10" t="inlineStr">
        <is>
          <t>R8.9</t>
        </is>
      </c>
      <c r="J34" s="11" t="inlineStr">
        <is>
          <t>確認事項No.100（採用パターン）の決定と一体で処理する</t>
        </is>
      </c>
    </row>
    <row r="35" ht="88" customHeight="1">
      <c r="A35" s="4" t="n">
        <v>102</v>
      </c>
      <c r="B35" s="4" t="inlineStr">
        <is>
          <t>(5)</t>
        </is>
      </c>
      <c r="C35" s="4" t="inlineStr">
        <is>
          <t>R8.9</t>
        </is>
      </c>
      <c r="D35" s="5" t="inlineStr">
        <is>
          <t>計画作成支援ツールの令和8年度の月数と予防訪問看護の計上</t>
        </is>
      </c>
      <c r="E35" s="5" t="inlineStr">
        <is>
          <t>①計画作成支援ツールの令和8年度が何か月分の実績かをご確認いただきたい。給付費が令和7年度の36.0％であることからおおむね4.3か月分と見ているが、月数そのものは公表されていない。令和8年度を実績として掲げる場合は月数の明記を要する。②同ツールの予防訪問看護は令和6年度18人に対し令和7年度が0人である。同じ年度の見える化システムの訪問看護（月135.2人）とツールの訪問看護（月117人）の差18.2人にほぼ一致するため計上の変化とみられるが、欠測か訪問看護への統合かを確認できていない。</t>
        </is>
      </c>
      <c r="F35" s="5" t="inlineStr">
        <is>
          <t>サービス見込量の算定
計画素案 第6章第2節2</t>
        </is>
      </c>
      <c r="G35" s="5" t="inlineStr">
        <is>
          <t>発注者</t>
        </is>
      </c>
      <c r="H35" s="10" t="inlineStr">
        <is>
          <t>一部回答済</t>
        </is>
      </c>
      <c r="I35" s="10" t="inlineStr">
        <is>
          <t>R8.9</t>
        </is>
      </c>
      <c r="J35" s="11" t="inlineStr">
        <is>
          <t>①は解決した。介護保険事業状況報告の月報（令和8年4〜7月）により令和8年度は4か月と確定した（data_nenpo.GEPPO）。月報は給付費（様式4）を含まないため月次の給付費は得られない。②は確認待ち。確認事項No.87と同じ資料に関するもの</t>
        </is>
      </c>
    </row>
    <row r="36" ht="88" customHeight="1">
      <c r="A36" s="4" t="n">
        <v>95</v>
      </c>
      <c r="B36" s="4" t="inlineStr">
        <is>
          <t>(6)</t>
        </is>
      </c>
      <c r="C36" s="4" t="inlineStr">
        <is>
          <t>R8.9</t>
        </is>
      </c>
      <c r="D36" s="5" t="inlineStr">
        <is>
          <t>大雪地区広域連合の指定地域密着型サービスの基準条例のご提供</t>
        </is>
      </c>
      <c r="E36" s="5" t="inlineStr">
        <is>
          <t>地域密着型サービスの人員、設備及び運営に関する基準は、介護保険法第78条の4第1項により広域連合の条例で定めるものであり、指定地域密着型サービス基準（平成18年厚生労働省令第34号）はその条例を定めるに当たっての基準（従うべき・標準・参酌）である。省令の規定がそのまま事業者に適用されるのではなく、条例の対応規定を経て適用される。当方は当該条例を受領していないため、令和6年厚生労働省令第16号による改正後の省令に対応しているかを確認できていない。①指定地域密着型サービスの事業の人員、設備及び運営に関する基準を定める条例、②指定地域密着型介護予防サービスに係る同種の条例の全文と最終改正年月日をご提供いただきたい。令和9年4月1日に義務となる協力医療機関の要件強化及び生産性向上委員会（確認事項No.97）も条例の対応規定を経て事業者に及ぶため、条例の改正の要否は第10期計画の前提に当たる。</t>
        </is>
      </c>
      <c r="F36" s="5" t="inlineStr">
        <is>
          <t>地域密着型サービス基準省令の論点整理
計画素案 第6章第4節</t>
        </is>
      </c>
      <c r="G36" s="5" t="inlineStr">
        <is>
          <t>発注者</t>
        </is>
      </c>
      <c r="H36" s="10" t="inlineStr">
        <is>
          <t>確認待ち</t>
        </is>
      </c>
      <c r="I36" s="10" t="inlineStr">
        <is>
          <t>R8.9</t>
        </is>
      </c>
      <c r="J36" s="11" t="inlineStr">
        <is>
          <t>論点整理 04シート。最も重い確認事項として整理している</t>
        </is>
      </c>
    </row>
    <row r="37" ht="88" customHeight="1">
      <c r="A37" s="4" t="n">
        <v>96</v>
      </c>
      <c r="B37" s="4" t="inlineStr">
        <is>
          <t>(6)</t>
        </is>
      </c>
      <c r="C37" s="4" t="inlineStr">
        <is>
          <t>R8.9</t>
        </is>
      </c>
      <c r="D37" s="5" t="inlineStr">
        <is>
          <t>認知症対応型共同生活介護の共同生活住居数と、くるみの郷の定員</t>
        </is>
      </c>
      <c r="E37" s="5" t="inlineStr">
        <is>
          <t>省令第93条第1項により、認知症対応型共同生活介護事業所の共同生活住居の数は1以上3以下、1住居の入居定員は5人以上9人以下である。①区域内7事業所の共同生活住居（ユニット）数をご確認いただきたい。現在判明しているのはグループホームファミリー2・グループホームびえいの郷2の2事業所のみである。②グループホーム くるみの郷（東川町）は介護サービス情報公表システムに掲載がなく定員が未確定である。定員をご確認いただきたい。共同生活住居数は、必要利用定員総数に住居数を併記するか（省令上の整備の単位との対応）と、共用型指定認知症対応型通所介護の受入可能数（共同生活住居ごとに1日3人以下）のいずれの検討にも要る。</t>
        </is>
      </c>
      <c r="F37" s="5" t="inlineStr">
        <is>
          <t>計画素案 第2章第3節6
計画素案 第6章第4節4
地域密着型サービス基準省令の論点整理</t>
        </is>
      </c>
      <c r="G37" s="5" t="inlineStr">
        <is>
          <t>発注者・3町</t>
        </is>
      </c>
      <c r="H37" s="10" t="inlineStr">
        <is>
          <t>確認待ち</t>
        </is>
      </c>
      <c r="I37" s="10" t="inlineStr">
        <is>
          <t>R8.9</t>
        </is>
      </c>
      <c r="J37" s="11" t="inlineStr">
        <is>
          <t>第2章第3節6及び第6章第4節4の町別の分布欄の誤り（東川町45→36、計108→99）は令和8年9月10日に修正済み</t>
        </is>
      </c>
    </row>
    <row r="38" ht="88" customHeight="1">
      <c r="A38" s="4" t="n">
        <v>97</v>
      </c>
      <c r="B38" s="4" t="inlineStr">
        <is>
          <t>(6)</t>
        </is>
      </c>
      <c r="C38" s="4" t="inlineStr">
        <is>
          <t>R8.9</t>
        </is>
      </c>
      <c r="D38" s="5" t="inlineStr">
        <is>
          <t>令和9年4月1日から義務となる2件への対応</t>
        </is>
      </c>
      <c r="E38" s="5" t="inlineStr">
        <is>
          <t>令和6年厚生労働省令第16号の附則により努力義務とされていた次の2件は、経過措置が令和9年3月31日で満了し、令和9年4月1日から義務となる。第10期計画の期間（令和9〜11年度）はその全部が満了後に当たる。①協力医療機関の要件（省令第105条・第127条・第152条第1項。附則第6条）。常時の相談対応体制・常時の診療体制、地域密着型介護老人福祉施設はこれに加えて入院の受入体制（病院に限る）。対象は認知症対応型共同生活介護7事業所・地域密着型介護老人福祉施設3施設の計10。年1回以上の対応確認と市町村長（広域連合長）への届出を要する。当区域の人口10万人当たり医師数は44.9人で全国の19％である。②生産性向上に資する方策を検討する委員会（省令第86条の2ほか。附則第4条）。対象は小規模多機能型居宅介護5・認知症対応型共同生活介護7・地域密着型介護老人福祉施設3の計15事業所。確保状況の照会の要否と時期をご判断いただきたい。</t>
        </is>
      </c>
      <c r="F38" s="5" t="inlineStr">
        <is>
          <t>計画素案 第1章第9節
計画素案 第5章 基本目標3・4
計画素案 第6章第4節3</t>
        </is>
      </c>
      <c r="G38" s="5" t="inlineStr">
        <is>
          <t>発注者</t>
        </is>
      </c>
      <c r="H38" s="10" t="inlineStr">
        <is>
          <t>確認待ち</t>
        </is>
      </c>
      <c r="I38" s="10" t="inlineStr">
        <is>
          <t>R8.10</t>
        </is>
      </c>
      <c r="J38" s="11" t="inlineStr">
        <is>
          <t>確認事項No.95（条例）と一体。条例に対応規定がなければ事業者に及ばない</t>
        </is>
      </c>
    </row>
    <row r="39" ht="88" customHeight="1">
      <c r="A39" s="4" t="n">
        <v>98</v>
      </c>
      <c r="B39" s="4" t="inlineStr">
        <is>
          <t>(6)</t>
        </is>
      </c>
      <c r="C39" s="4" t="inlineStr">
        <is>
          <t>R8.9</t>
        </is>
      </c>
      <c r="D39" s="5" t="inlineStr">
        <is>
          <t>基盤整備の選択肢として省令上の類型を計画に掲げるか</t>
        </is>
      </c>
      <c r="E39" s="5" t="inlineStr">
        <is>
          <t>指定地域密着型サービス基準の全文を当区域の実データと突き合わせた結果、計画素案に記載のない次の類型が第10期の選択肢になり得る。①連携型指定定期巡回・随時対応型訪問介護看護（省令第3条の41。訪問看護サービスを行う看護職員の常勤換算2.5以上の配置義務が課されない）。②共用型指定認知症対応型通所介護（第45条〜第47条。既存のグループホーム等の居間・食堂を用いる）。③サテライト型（第63条ほか。区域内に美瑛慈光園サテライト特養 燈の実例がある）。④共生型地域密着型通所介護（第37条の2。障害福祉事業者による提供）。⑤指定療養通所介護（第38条〜第40条の16。看護師を中心とする類型）。いずれも計画素案 第6章第4節の既存の記述に加える形とし、新たな節は起こさない案である。掲げるかどうかをご判断いただきたい。④の検討には区域内の障害福祉サービス事業所の一覧、⑤の検討には区域内の病院・診療所の一覧（所在地を含む）を要する。</t>
        </is>
      </c>
      <c r="F39" s="5" t="inlineStr">
        <is>
          <t>計画素案 第6章第4節1
計画素案 第6章第2節2（2）
サービス見込量 第1次概算</t>
        </is>
      </c>
      <c r="G39" s="5" t="inlineStr">
        <is>
          <t>発注者</t>
        </is>
      </c>
      <c r="H39" s="10" t="inlineStr">
        <is>
          <t>確認待ち</t>
        </is>
      </c>
      <c r="I39" s="10" t="inlineStr">
        <is>
          <t>R8.9</t>
        </is>
      </c>
      <c r="J39" s="11" t="inlineStr">
        <is>
          <t>①は第6章第4節1 案Aの書き分けに関わるため第1次概算（9月26日）より前に整理する</t>
        </is>
      </c>
    </row>
    <row r="40" ht="88" customHeight="1">
      <c r="A40" s="4" t="n">
        <v>99</v>
      </c>
      <c r="B40" s="4" t="inlineStr">
        <is>
          <t>(6)</t>
        </is>
      </c>
      <c r="C40" s="4" t="inlineStr">
        <is>
          <t>R8.9</t>
        </is>
      </c>
      <c r="D40" s="5" t="inlineStr">
        <is>
          <t>過疎地域における小規模多機能型居宅介護の定員超過の特例の取扱い</t>
        </is>
      </c>
      <c r="E40" s="5" t="inlineStr">
        <is>
          <t>省令第82条第2項は、過疎地域その他これに類する地域において、地域の実情により効率的運営に必要であると市町村が認めた場合は、認めた日から市町村介護保険事業計画の終期まで（次期計画の作成に当たり、新規に代替サービスを整備するよりも既存の事業所を活用することがより効率的であると認めた場合は次期計画の終期まで）に限り、登録定員及び利用定員を超えて提供できると定める。特例の期限が計画の終期に紐づくため、計画と一体の判断になる。美瑛町は過疎地域であり（北海道の地域指定一覧 令和8年4月1日現在）、区域内の小規模多機能型居宅介護5事業所はそのすべてが美瑛町に所在する。①現に第82条第2項により定員超過を認めている事業所があるか。②第10期計画において特例の取扱いをあらかじめ定めるか。</t>
        </is>
      </c>
      <c r="F40" s="5" t="inlineStr">
        <is>
          <t>計画素案 第6章第4節
計画素案 第6章第2節2（2）
地域密着型サービス基準省令の論点整理</t>
        </is>
      </c>
      <c r="G40" s="5" t="inlineStr">
        <is>
          <t>発注者</t>
        </is>
      </c>
      <c r="H40" s="10" t="inlineStr">
        <is>
          <t>確認待ち</t>
        </is>
      </c>
      <c r="I40" s="10" t="inlineStr">
        <is>
          <t>R8.10</t>
        </is>
      </c>
      <c r="J40" s="11" t="inlineStr">
        <is>
          <t>対象となり得るのは美瑛町の5事業所</t>
        </is>
      </c>
    </row>
    <row r="41" ht="88" customHeight="1">
      <c r="A41" s="4" t="n">
        <v>93</v>
      </c>
      <c r="B41" s="4" t="inlineStr">
        <is>
          <t>(5)(6)</t>
        </is>
      </c>
      <c r="C41" s="4" t="inlineStr">
        <is>
          <t>R8.9</t>
        </is>
      </c>
      <c r="D41" s="5" t="inlineStr">
        <is>
          <t>財政調整交付金の算定における給付適正化主要3事業の取組状況の勘案</t>
        </is>
      </c>
      <c r="E41" s="5" t="inlineStr">
        <is>
          <t>介護給付適正化の計画策定に関する指針（令和5年9月12日 老介発0912第1号）第二の(2)④は、介護給付費財政調整交付金の第9期計画期間（令和6年度から）の算定に当たって、給付適正化主要3事業の取組状況を勘案することとしている。当広域連合はケアプランの点検が令和6〜8年度とも3町いずれも0点であり、3事業中2事業の実施にとどまる。将来推計は調整交付金の見込交付割合を7.375％（第9期計画と同水準）として置いている。①算定にどのように反映されるかを北海道にご確認いただきたい。②影響がある場合、将来推計の感度分析に加える。調整交付金見込額（E）が減ると保険料は上がる。</t>
        </is>
      </c>
      <c r="F41" s="5" t="inlineStr">
        <is>
          <t>将来推計 第3段階
計画素案 第6章第6節
サービス見込量 第2次概算</t>
        </is>
      </c>
      <c r="G41" s="5" t="inlineStr">
        <is>
          <t>発注者・北海道</t>
        </is>
      </c>
      <c r="H41" s="10" t="inlineStr">
        <is>
          <t>確認待ち</t>
        </is>
      </c>
      <c r="I41" s="10" t="inlineStr">
        <is>
          <t>R8.10</t>
        </is>
      </c>
      <c r="J41" s="11" t="inlineStr">
        <is>
          <t>確認事項No.86（保険者機能強化推進交付金等の交付見込額の控除）と併せて第2次概算（10月30日）までに整理する</t>
        </is>
      </c>
    </row>
    <row r="42" ht="88" customHeight="1">
      <c r="A42" s="4" t="n">
        <v>94</v>
      </c>
      <c r="B42" s="4" t="inlineStr">
        <is>
          <t>(6)</t>
        </is>
      </c>
      <c r="C42" s="4" t="inlineStr">
        <is>
          <t>R8.9</t>
        </is>
      </c>
      <c r="D42" s="5" t="inlineStr">
        <is>
          <t>給付適正化計画の位置づけ（案Bの採用）と毎年度の目標の記載場所</t>
        </is>
      </c>
      <c r="E42" s="5" t="inlineStr">
        <is>
          <t>令和8年9月10日、給付適正化計画の位置づけについて案B（第9期と同じく施策として置き、施策名のかっこ書きで第7期給付適正化計画であることを示す）を採用し、計画素案を更新するご指示をいただいた。計画素案 第5章 基本目標5（3）に【介護給付費の適正化（第7期給付適正化計画）】の項を設け、法第117条第2項第3号・第4号に対応する記載であることと、第9期計画の施策4-3を継承することを明記した。主要3事業の毎年度の定量的な目標は、北海道への報告が求められるため同項に表として掲げた。①この反映内容でよいか。②毎年度の目標の表を資料編に移す必要はないか。③［要協議］としている3項目（認定調査の点検件数・住宅改修の点検件数・福祉用具購入貸与調査の件数）は確認事項No.92の回答後に定める。</t>
        </is>
      </c>
      <c r="F42" s="5" t="inlineStr">
        <is>
          <t>計画素案 第1章第2節・第5章 基本目標5・資料5
給付適正化計画の位置づけと追加検討事項</t>
        </is>
      </c>
      <c r="G42" s="5" t="inlineStr">
        <is>
          <t>発注者</t>
        </is>
      </c>
      <c r="H42" s="10" t="inlineStr">
        <is>
          <t>確認待ち</t>
        </is>
      </c>
      <c r="I42" s="10" t="inlineStr">
        <is>
          <t>R8.10</t>
        </is>
      </c>
      <c r="J42" s="11" t="inlineStr">
        <is>
          <t>位置づけの決定は令和8年9月10日に了承済み。本件は反映内容の事後確認である</t>
        </is>
      </c>
    </row>
    <row r="43" ht="88" customHeight="1">
      <c r="A43" s="4" t="n">
        <v>92</v>
      </c>
      <c r="B43" s="4" t="inlineStr">
        <is>
          <t>(6)</t>
        </is>
      </c>
      <c r="C43" s="4" t="inlineStr">
        <is>
          <t>R8.9</t>
        </is>
      </c>
      <c r="D43" s="5" t="inlineStr">
        <is>
          <t>認定調査の指定居宅介護支援事業所等への委託の状況</t>
        </is>
      </c>
      <c r="E43" s="5" t="inlineStr">
        <is>
          <t>介護給付適正化の主要3事業のうち要介護認定の適正化について、指針は「指定居宅介護支援事業所等に委託している区分変更申請及び更新申請にかかる認定調査の結果について、保険者による点検等を実施する」こととしている。毎年度の定量的な目標を設定するため、認定調査の委託の有無と件数（令和7年度実績）をご教示いただきたい。</t>
        </is>
      </c>
      <c r="F43" s="5" t="inlineStr">
        <is>
          <t>給付適正化計画の位置づけと追加検討事項 04シート
計画素案 第5章 基本目標5</t>
        </is>
      </c>
      <c r="G43" s="5" t="inlineStr">
        <is>
          <t>発注者</t>
        </is>
      </c>
      <c r="H43" s="10" t="inlineStr">
        <is>
          <t>確認待ち</t>
        </is>
      </c>
      <c r="I43" s="10" t="inlineStr">
        <is>
          <t>R8.10</t>
        </is>
      </c>
      <c r="J43" s="11" t="inlineStr">
        <is>
          <t>委託していない場合は、直営の認定調査についても実態を把握することが望ましいとされている</t>
        </is>
      </c>
    </row>
    <row r="44" ht="88" customHeight="1">
      <c r="A44" s="4" t="n">
        <v>91</v>
      </c>
      <c r="B44" s="4" t="inlineStr">
        <is>
          <t>(2)(6)</t>
        </is>
      </c>
      <c r="C44" s="4" t="inlineStr">
        <is>
          <t>R8.9</t>
        </is>
      </c>
      <c r="D44" s="5" t="inlineStr">
        <is>
          <t>介護給付費通知及び給付実績の活用による確認等</t>
        </is>
      </c>
      <c r="E44" s="5" t="inlineStr">
        <is>
          <t>指針が「積極的な実施が望まれる取組」とする①給付実績の活用による確認等（不適切な給付や請求誤りの多い事業者等の抽出と確認）、②介護給付費通知について、当広域連合における実施の有無をご確認いただきたい。実施している場合は実施方法と件数をご教示いただきたい。</t>
        </is>
      </c>
      <c r="F44" s="5" t="inlineStr">
        <is>
          <t>給付適正化計画の位置づけと追加検討事項 02シート
計画素案 第5章 基本目標5</t>
        </is>
      </c>
      <c r="G44" s="5" t="inlineStr">
        <is>
          <t>発注者</t>
        </is>
      </c>
      <c r="H44" s="10" t="inlineStr">
        <is>
          <t>確認待ち</t>
        </is>
      </c>
      <c r="I44" s="10" t="inlineStr">
        <is>
          <t>R8.10</t>
        </is>
      </c>
      <c r="J44" s="11" t="inlineStr">
        <is>
          <t>国保連の適正化システムには強調表示等の工夫が取り入れられており、小規模保険者でも実施しやすいとされている</t>
        </is>
      </c>
    </row>
    <row r="45" ht="88" customHeight="1">
      <c r="A45" s="4" t="n">
        <v>90</v>
      </c>
      <c r="B45" s="4" t="inlineStr">
        <is>
          <t>(2)(6)</t>
        </is>
      </c>
      <c r="C45" s="4" t="inlineStr">
        <is>
          <t>R8.9</t>
        </is>
      </c>
      <c r="D45" s="5" t="inlineStr">
        <is>
          <t>第9期計画の本文の提供</t>
        </is>
      </c>
      <c r="E45" s="5" t="inlineStr">
        <is>
          <t>第9期計画における給付適正化の記載を確定するためご提供いただきたい。当方が保有しているのは第9期計画から作成した施策別の整理であり、本文そのものではない。施策4-3の名称が「介護給付費の適正化（第6期給付適正化計画）」であることは把握しているが、この語が施策名のかっこ書きに限られるのか、本文中に別の記載（節見出し、目標の表、事業の一覧など）があるのかを確認する必要がある。主要事業を3事業とするか4事業とするかの記載も確認したい。</t>
        </is>
      </c>
      <c r="F45" s="5" t="inlineStr">
        <is>
          <t>給付適正化計画の位置づけと追加検討事項 01シート
計画素案 第5章 基本目標5</t>
        </is>
      </c>
      <c r="G45" s="5" t="inlineStr">
        <is>
          <t>発注者</t>
        </is>
      </c>
      <c r="H45" s="10" t="inlineStr">
        <is>
          <t>確認待ち</t>
        </is>
      </c>
      <c r="I45" s="10" t="inlineStr">
        <is>
          <t>R8.9</t>
        </is>
      </c>
      <c r="J45" s="11" t="inlineStr">
        <is>
          <t>第9期計画の体裁を勘案して第10期での位置づけを決めるため、本文の確認が前提となる</t>
        </is>
      </c>
    </row>
    <row r="46" ht="88" customHeight="1">
      <c r="A46" s="4" t="n">
        <v>89</v>
      </c>
      <c r="B46" s="4" t="inlineStr">
        <is>
          <t>(1)(6)</t>
        </is>
      </c>
      <c r="C46" s="4" t="inlineStr">
        <is>
          <t>R8.9</t>
        </is>
      </c>
      <c r="D46" s="5" t="inlineStr">
        <is>
          <t>社会福祉法等の一部を改正する法律（令和8年法律第51号）の反映</t>
        </is>
      </c>
      <c r="E46" s="5" t="inlineStr">
        <is>
          <t>令和8年法律第51号により介護保険法が改正され、施行は原則として令和9年4月1日（第10期計画の初年度）である。本計画に関係する改正は7件あり、計画素案 第1章第9節2に整理した。①特定地域サービス及び特定地域居宅サービス等事業の創設、②夜間対応型訪問介護の廃止と定期巡回・随時対応型訪問介護看護への統合、③中長期的なサービス見通しの必須化及び有料老人ホーム・サービス付き高齢者向け住宅の入居定員の勘案の明確化、④介護予防・地域の支え合い拠点機能の強化、⑤頼れる身寄りがいない高齢者等への支援の第二種社会福祉事業への位置づけ（介護予防ケアマネジメントの居宅介護支援事業者への直接委託を含む）、⑥有料老人ホームの登録制の導入と登録施設介護（予防）支援の新設、⑦介護支援専門員証の更新制の廃止・申請代行者の追加・電子資格確認。①この整理でよいか。②⑤の介護予防ケアマネジメントの直接委託について、3町と実施の可否を協議してよいか。③政令・省令・報酬改定の内容が示された時点で再照合する。</t>
        </is>
      </c>
      <c r="F46" s="5" t="inlineStr">
        <is>
          <t>計画素案 第1章第9節・第2章第8節・第5章・第6章第2節・第6章第4節
ケアプラン点検実施要領</t>
        </is>
      </c>
      <c r="G46" s="5" t="inlineStr">
        <is>
          <t>発注者</t>
        </is>
      </c>
      <c r="H46" s="10" t="inlineStr">
        <is>
          <t>確認待ち</t>
        </is>
      </c>
      <c r="I46" s="10" t="inlineStr">
        <is>
          <t>R8.10</t>
        </is>
      </c>
      <c r="J46" s="11" t="inlineStr">
        <is>
          <t>②の統合により、第10期のサービス種別の区分が変わる。国の様式（介護保険事業計画作成支援ツール）の確定を待って見込量の区分を改める</t>
        </is>
      </c>
    </row>
    <row r="47" ht="88" customHeight="1">
      <c r="A47" s="4" t="n">
        <v>88</v>
      </c>
      <c r="B47" s="4" t="inlineStr">
        <is>
          <t>(5)(6)</t>
        </is>
      </c>
      <c r="C47" s="4" t="inlineStr">
        <is>
          <t>R8.9</t>
        </is>
      </c>
      <c r="D47" s="5" t="inlineStr">
        <is>
          <t>日常生活圏域ごとの必要利用定員総数（法定記載事項）</t>
        </is>
      </c>
      <c r="E47" s="5" t="inlineStr">
        <is>
          <t>介護保険法第117条第2項第1号は、日常生活圏域ごとに認知症対応型共同生活介護、地域密着型特定施設入居者生活介護及び地域密着型介護老人福祉施設入所者生活介護の必要利用定員総数を計画に定めることを求めている。第9期計画には当該記載がないため、第10期計画に新たに設ける（計画素案 第6章第4節4）。①基盤整備単位としての日常生活圏域を3町（3圏域）とすることでよいか（統計・分析単位は第9期の6圏域を維持する。計画素案 第1章第7節）。②認知症対応型共同生活介護の圏域別の定員をご確認いただきたい。北海道の名簿では7事業所108人＋［要確認］、見える化システムD26（令和6年度）では5事業所99人であり一致しない。③令和9〜11年度の必要利用定員総数は3町の整備方針の確定後に定める。サービス見込量 第1次概算（9月26日）より前に①の決定をいただきたい。</t>
        </is>
      </c>
      <c r="F47" s="5" t="inlineStr">
        <is>
          <t>計画素案 第1章第7節・第6章第4節4
サービス見込量 第1次概算</t>
        </is>
      </c>
      <c r="G47" s="5" t="inlineStr">
        <is>
          <t>発注者・3町</t>
        </is>
      </c>
      <c r="H47" s="10" t="inlineStr">
        <is>
          <t>確認待ち</t>
        </is>
      </c>
      <c r="I47" s="10" t="inlineStr">
        <is>
          <t>R8.9</t>
        </is>
      </c>
      <c r="J47" s="11" t="inlineStr">
        <is>
          <t>法定記載事項であり、記載を落とすことができない。圏域が確定しないと表を作成できない</t>
        </is>
      </c>
    </row>
    <row r="48" ht="88" customHeight="1">
      <c r="A48" s="4" t="n">
        <v>87</v>
      </c>
      <c r="B48" s="4" t="inlineStr">
        <is>
          <t>(2)(4)</t>
        </is>
      </c>
      <c r="C48" s="4" t="inlineStr">
        <is>
          <t>R8.9</t>
        </is>
      </c>
      <c r="D48" s="5" t="inlineStr">
        <is>
          <t>給付費データ集計　令和7年度の広域連合単位と3町合計の差</t>
        </is>
      </c>
      <c r="E48" s="5" t="inlineStr">
        <is>
          <t>令和8年8月28日に受領した給付費データ集計12ファイルについて、令和7年度は3町のファイルの合計3,213,054,558円に対し広域連合単位のファイルが3,083,474,291円であり、129,580,267円（4.0％）の差がある。令和6年度・令和8年度は完全に一致する。差は要介護度により1.7％から5.9％まで幅があり、月数の違いによる一様な差ではない。①抽出条件（対象月・審査月・住所地特例の扱い等）の違いによるものかご確認いただきたい。②いずれの値を実績として用いるかをご指示いただきたい。受託者案は、町別に把握できる3町のファイルの合計を用い、出所と差を注記する扱いとする。</t>
        </is>
      </c>
      <c r="F48" s="5" t="inlineStr">
        <is>
          <t>計画素案 第2章第2節5
町別データシート
給付実績データの受領点検</t>
        </is>
      </c>
      <c r="G48" s="5" t="inlineStr">
        <is>
          <t>発注者</t>
        </is>
      </c>
      <c r="H48" s="10" t="inlineStr">
        <is>
          <t>確認待ち</t>
        </is>
      </c>
      <c r="I48" s="10" t="inlineStr">
        <is>
          <t>R8.9</t>
        </is>
      </c>
      <c r="J48" s="11" t="inlineStr">
        <is>
          <t>保険料の算定には介護保険特別会計決算の値を用いるため、本件は実績の記載に影響するものであり保険料算定には影響しない</t>
        </is>
      </c>
    </row>
    <row r="49" ht="88" customHeight="1">
      <c r="A49" s="4" t="n">
        <v>86</v>
      </c>
      <c r="B49" s="4" t="inlineStr">
        <is>
          <t>(5)(6)</t>
        </is>
      </c>
      <c r="C49" s="4" t="inlineStr">
        <is>
          <t>R8.9</t>
        </is>
      </c>
      <c r="D49" s="5" t="inlineStr">
        <is>
          <t>保険者機能強化推進交付金等の交付見込額の保険料収納必要額からの控除</t>
        </is>
      </c>
      <c r="E49" s="5" t="inlineStr">
        <is>
          <t>国の様式における保険料収納必要額の算式には、「保険者機能強化推進交付金等の交付見込額」を控除する項目がある。当方は令和8年8月31日の点検により、地域支援事業費（B）から保険者機能強化推進事業費2,033,000円及び保険者努力支援事業費4,190,000円を除く方法を採っており、収納必要額からの控除は行っていない。両者を併用すると二重控除となるため、いずれかを選ぶ必要がある。①現行の扱い（Bから除く）を維持してよいか。②令和9〜11年度の交付金の交付見込額を控除する方法に改める場合、見込額をいくらと置くか。他団体の第9期計画では1億円を控除している例がある。③控除する場合、地域支援事業費（B）は決算の款4の全体に戻す。</t>
        </is>
      </c>
      <c r="F49" s="5" t="inlineStr">
        <is>
          <t>計画素案 第6章第6節
将来推計 第3段階
保険料算定式の国の様式との対照</t>
        </is>
      </c>
      <c r="G49" s="5" t="inlineStr">
        <is>
          <t>発注者</t>
        </is>
      </c>
      <c r="H49" s="10" t="inlineStr">
        <is>
          <t>確認待ち</t>
        </is>
      </c>
      <c r="I49" s="10" t="inlineStr">
        <is>
          <t>R8.10</t>
        </is>
      </c>
      <c r="J49" s="11" t="inlineStr">
        <is>
          <t>控除する場合は保険料基準額が下がる。第2次概算（10月30日）までに決定をいただきたい</t>
        </is>
      </c>
    </row>
    <row r="50" ht="88" customHeight="1">
      <c r="A50" s="4" t="n">
        <v>85</v>
      </c>
      <c r="B50" s="4" t="inlineStr">
        <is>
          <t>(4)</t>
        </is>
      </c>
      <c r="C50" s="4" t="inlineStr">
        <is>
          <t>R8.9</t>
        </is>
      </c>
      <c r="D50" s="5" t="inlineStr">
        <is>
          <t>町別データシートの内容と配付</t>
        </is>
      </c>
      <c r="E50"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50" s="5" t="inlineStr">
        <is>
          <t>町別データシート
構成町の意見への回答 2</t>
        </is>
      </c>
      <c r="G50" s="5" t="inlineStr">
        <is>
          <t>発注者・3町</t>
        </is>
      </c>
      <c r="H50" s="10" t="inlineStr">
        <is>
          <t>確認待ち</t>
        </is>
      </c>
      <c r="I50" s="10" t="inlineStr">
        <is>
          <t>R8.9</t>
        </is>
      </c>
      <c r="J50" s="11" t="inlineStr">
        <is>
          <t>町別の認定率は、広域連合が第1号被保険者数を分母とするのに対し住民基本台帳の65歳以上人口を分母とせざるを得ないため、定義が異なる旨を注記している</t>
        </is>
      </c>
    </row>
    <row r="51" ht="88" customHeight="1">
      <c r="A51" s="4" t="n">
        <v>84</v>
      </c>
      <c r="B51" s="4" t="inlineStr">
        <is>
          <t>(5)(7)</t>
        </is>
      </c>
      <c r="C51" s="4" t="inlineStr">
        <is>
          <t>R8.9</t>
        </is>
      </c>
      <c r="D51" s="5" t="inlineStr">
        <is>
          <t>東川町の施設整備・サービス提供方針</t>
        </is>
      </c>
      <c r="E51"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掲載がなく休止と整合する。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51" s="5" t="inlineStr">
        <is>
          <t>サービス見込量 第2次概算
計画素案 第2章第2節・第6章第2節・第4節
構成町の意見への回答 6</t>
        </is>
      </c>
      <c r="G51" s="5" t="inlineStr">
        <is>
          <t>発注者・東川町</t>
        </is>
      </c>
      <c r="H51" s="10" t="inlineStr">
        <is>
          <t>確認待ち</t>
        </is>
      </c>
      <c r="I51" s="10" t="inlineStr">
        <is>
          <t>R8.10</t>
        </is>
      </c>
      <c r="J51" s="11" t="inlineStr">
        <is>
          <t>東神楽町からは整備方針の検討状況（10月視察・11月市場調査）をご回答いただいている。美瑛町からは高齢者福祉計画の工程と要望3件をご回答いただいている</t>
        </is>
      </c>
    </row>
    <row r="52" ht="88" customHeight="1">
      <c r="A52" s="4" t="n">
        <v>83</v>
      </c>
      <c r="B52" s="4" t="inlineStr">
        <is>
          <t>(7)(8)</t>
        </is>
      </c>
      <c r="C52" s="4" t="inlineStr">
        <is>
          <t>R8.9</t>
        </is>
      </c>
      <c r="D52" s="5" t="inlineStr">
        <is>
          <t>構成町との意見交換会の実施方法と町別データシート</t>
        </is>
      </c>
      <c r="E52"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52" s="5" t="inlineStr">
        <is>
          <t>意見交換会資料
町別データシート
構成町の意見への回答 2・3</t>
        </is>
      </c>
      <c r="G52" s="5" t="inlineStr">
        <is>
          <t>発注者・3町</t>
        </is>
      </c>
      <c r="H52" s="10" t="inlineStr">
        <is>
          <t>確認待ち</t>
        </is>
      </c>
      <c r="I52" s="10" t="inlineStr">
        <is>
          <t>R8.9</t>
        </is>
      </c>
      <c r="J52" s="11" t="inlineStr">
        <is>
          <t>仕様書４（8）「各種会議への技術的支援」に含まれるため追加の費用は生じない。美瑛町は10月中旬までに素案、11月中旬までに原案を作成する予定である</t>
        </is>
      </c>
    </row>
    <row r="53" ht="88" customHeight="1">
      <c r="A53" s="4" t="n">
        <v>82</v>
      </c>
      <c r="B53" s="4" t="inlineStr">
        <is>
          <t>(5)</t>
        </is>
      </c>
      <c r="C53" s="4" t="inlineStr">
        <is>
          <t>R8.9</t>
        </is>
      </c>
      <c r="D53" s="5" t="inlineStr">
        <is>
          <t>構成町の一般会計繰入金の町別按分の方法</t>
        </is>
      </c>
      <c r="E53"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53" s="5" t="inlineStr">
        <is>
          <t>サービス見込量 第1次概算（R8.9.26）
構成町の意見への回答 4</t>
        </is>
      </c>
      <c r="G53" s="5" t="inlineStr">
        <is>
          <t>発注者</t>
        </is>
      </c>
      <c r="H53" s="10" t="inlineStr">
        <is>
          <t>確認待ち</t>
        </is>
      </c>
      <c r="I53" s="10" t="inlineStr">
        <is>
          <t>R8.9.24</t>
        </is>
      </c>
      <c r="J53" s="11" t="inlineStr">
        <is>
          <t>3町計の概算は令和9年度523.7百万円・令和10年度531.5百万円・令和11年度539.0百万円である。確定値ではなく、決定1〜3・決定8の前提により動く</t>
        </is>
      </c>
    </row>
    <row r="54" ht="88" customHeight="1">
      <c r="A54" s="4" t="n">
        <v>81</v>
      </c>
      <c r="B54" s="4" t="inlineStr">
        <is>
          <t>(4)(6)</t>
        </is>
      </c>
      <c r="C54" s="4" t="inlineStr">
        <is>
          <t>R8.9</t>
        </is>
      </c>
      <c r="D54" s="5" t="inlineStr">
        <is>
          <t>代表KPI H16のデータ源（国保連の給付実績の明細情報）</t>
        </is>
      </c>
      <c r="E54"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54" s="5" t="inlineStr">
        <is>
          <t>計画素案 第4章第3節・第5章 基本目標5・資料1
給付実績データの受領点検 05
内部確認結果への対応整理 04・09</t>
        </is>
      </c>
      <c r="G54" s="5" t="inlineStr">
        <is>
          <t>発注者</t>
        </is>
      </c>
      <c r="H54" s="10" t="inlineStr">
        <is>
          <t>確認待ち</t>
        </is>
      </c>
      <c r="I54" s="10" t="inlineStr">
        <is>
          <t>R8.9</t>
        </is>
      </c>
      <c r="J54" s="11" t="inlineStr">
        <is>
          <t>広域型（特別養護老人ホーム・介護老人保健施設・訪問介護等）の指定権者は北海道であるため、代替案は地域密着型サービスに限った確認件数となる。策定率そのものは測れない</t>
        </is>
      </c>
    </row>
    <row r="55" ht="88" customHeight="1">
      <c r="A55" s="4" t="n">
        <v>80</v>
      </c>
      <c r="B55" s="4" t="inlineStr">
        <is>
          <t>(3)</t>
        </is>
      </c>
      <c r="C55" s="4" t="inlineStr">
        <is>
          <t>R8.9</t>
        </is>
      </c>
      <c r="D55" s="5" t="inlineStr">
        <is>
          <t>職員個票のリストによる重複確認の可否</t>
        </is>
      </c>
      <c r="E55"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55" s="5" t="inlineStr">
        <is>
          <t>内部確認結果への対応整理 03・08
実施済み3調査の受領点検と集計 06・07</t>
        </is>
      </c>
      <c r="G55" s="5" t="inlineStr">
        <is>
          <t>発注者</t>
        </is>
      </c>
      <c r="H55" s="10" t="inlineStr">
        <is>
          <t>確認待ち</t>
        </is>
      </c>
      <c r="I55" s="10" t="inlineStr">
        <is>
          <t>R8.9</t>
        </is>
      </c>
      <c r="J55" s="11" t="inlineStr">
        <is>
          <t>受託者としては、個票を突き合わせず事業所への照会だけで判別する方法を推奨する</t>
        </is>
      </c>
    </row>
    <row r="56" ht="88" customHeight="1">
      <c r="A56" s="4" t="n">
        <v>79</v>
      </c>
      <c r="B56" s="4" t="inlineStr">
        <is>
          <t>(6)</t>
        </is>
      </c>
      <c r="C56" s="4" t="inlineStr">
        <is>
          <t>R8.9</t>
        </is>
      </c>
      <c r="D56" s="5" t="inlineStr">
        <is>
          <t>第5章の施策数の見直しの範囲</t>
        </is>
      </c>
      <c r="E56"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56" s="5" t="inlineStr">
        <is>
          <t>計画素案 第5章
骨子案 第5節</t>
        </is>
      </c>
      <c r="G56" s="5" t="inlineStr">
        <is>
          <t>発注者</t>
        </is>
      </c>
      <c r="H56" s="10" t="inlineStr">
        <is>
          <t>確認待ち</t>
        </is>
      </c>
      <c r="I56" s="10" t="inlineStr">
        <is>
          <t>R8.9</t>
        </is>
      </c>
      <c r="J56" s="11" t="inlineStr">
        <is>
          <t>施策数を減らす場合、第9期からの継続性の説明を要する。3町協議の前に方針を決めておきたい</t>
        </is>
      </c>
    </row>
    <row r="57" ht="88" customHeight="1">
      <c r="A57" s="4" t="n">
        <v>78</v>
      </c>
      <c r="B57" s="4" t="inlineStr">
        <is>
          <t>(5)</t>
        </is>
      </c>
      <c r="C57" s="4" t="inlineStr">
        <is>
          <t>R8.9</t>
        </is>
      </c>
      <c r="D57" s="5" t="inlineStr">
        <is>
          <t>グループホームびえいの郷の定員減の時期</t>
        </is>
      </c>
      <c r="E57"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57" s="5" t="inlineStr">
        <is>
          <t>計画素案 第2章第3節・第6章第2節
将来推計 第2・第3段階</t>
        </is>
      </c>
      <c r="G57" s="5" t="inlineStr">
        <is>
          <t>発注者・美瑛町</t>
        </is>
      </c>
      <c r="H57" s="10" t="inlineStr">
        <is>
          <t>確認待ち</t>
        </is>
      </c>
      <c r="I57" s="10" t="inlineStr">
        <is>
          <t>R8.9</t>
        </is>
      </c>
      <c r="J57" s="11" t="inlineStr">
        <is>
          <t>認知症対応型共同生活介護の定員は見込量の上限となる。サービス見込量と保険料に直接効く</t>
        </is>
      </c>
    </row>
    <row r="58" ht="88" customHeight="1">
      <c r="A58" s="4" t="n">
        <v>77</v>
      </c>
      <c r="B58" s="4" t="inlineStr">
        <is>
          <t>(4)</t>
        </is>
      </c>
      <c r="C58" s="4" t="inlineStr">
        <is>
          <t>R8.9</t>
        </is>
      </c>
      <c r="D58" s="5" t="inlineStr">
        <is>
          <t>北海道の評価指標⑥の団体別の公表値</t>
        </is>
      </c>
      <c r="E58"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58" s="5" t="inlineStr">
        <is>
          <t>計画素案 第4章第3節・資料1
内部確認結果への対応整理 04</t>
        </is>
      </c>
      <c r="G58" s="5" t="inlineStr">
        <is>
          <t>発注者・北海道</t>
        </is>
      </c>
      <c r="H58" s="10" t="inlineStr">
        <is>
          <t>確認待ち</t>
        </is>
      </c>
      <c r="I58" s="10" t="inlineStr">
        <is>
          <t>R8.9</t>
        </is>
      </c>
      <c r="J58" s="11" t="inlineStr">
        <is>
          <t>引用できれば、構成町・事業所に新たな集計事務を求めずに済む</t>
        </is>
      </c>
    </row>
    <row r="59" ht="88" customHeight="1">
      <c r="A59" s="4" t="n">
        <v>76</v>
      </c>
      <c r="B59" s="4" t="inlineStr">
        <is>
          <t>(4)</t>
        </is>
      </c>
      <c r="C59" s="4" t="inlineStr">
        <is>
          <t>R8.9</t>
        </is>
      </c>
      <c r="D59" s="5" t="inlineStr">
        <is>
          <t>介護リームスから抽出できる項目</t>
        </is>
      </c>
      <c r="E59"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59" s="5" t="inlineStr">
        <is>
          <t>計画素案 第4章第3節・資料1
図表集31シート</t>
        </is>
      </c>
      <c r="G59" s="5" t="inlineStr">
        <is>
          <t>発注者</t>
        </is>
      </c>
      <c r="H59" s="10" t="inlineStr">
        <is>
          <t>確認待ち</t>
        </is>
      </c>
      <c r="I59" s="10" t="inlineStr">
        <is>
          <t>R8.9</t>
        </is>
      </c>
      <c r="J59" s="11" t="inlineStr">
        <is>
          <t>H03はこれまで「要確認・未算定」であった。データ源が確定すれば本文の成果指標に格上げできる</t>
        </is>
      </c>
    </row>
    <row r="60" ht="88" customHeight="1">
      <c r="A60" s="4" t="n">
        <v>75</v>
      </c>
      <c r="B60" s="4" t="inlineStr">
        <is>
          <t>(6)(7)</t>
        </is>
      </c>
      <c r="C60" s="4" t="inlineStr">
        <is>
          <t>R8.9</t>
        </is>
      </c>
      <c r="D60" s="5" t="inlineStr">
        <is>
          <t>代表KPIと改善事項の再整理案</t>
        </is>
      </c>
      <c r="E60"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2・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④優先度D群4項目（H16・H14・H09・H10）について、指標から外すのではなく、数値目標を置かず取組の方向のみを記載する指標として計画に残す扱いでよいか。高得点団体の第9期計画では、17項目の目標指標のうち4項目が「認知度の向上に取り組み、次回アンケートで検証」として数値目標を置かない扱いとしている。</t>
        </is>
      </c>
      <c r="F60" s="5" t="inlineStr">
        <is>
          <t>計画素案 第4章第3節・第5章・資料1
骨子案 第4節
図表集31シート
代表KPIの振替案と確認事項の精査</t>
        </is>
      </c>
      <c r="G60" s="5" t="inlineStr">
        <is>
          <t>発注者</t>
        </is>
      </c>
      <c r="H60" s="10" t="inlineStr">
        <is>
          <t>確認待ち</t>
        </is>
      </c>
      <c r="I60" s="10" t="inlineStr">
        <is>
          <t>R8.9</t>
        </is>
      </c>
      <c r="J60" s="11" t="inlineStr">
        <is>
          <t>決定4（代表KPIの目標値）は、本案が了承されると対象が7項目に減る。本案の了承を先に行っていただきたい</t>
        </is>
      </c>
    </row>
    <row r="61" ht="88" customHeight="1">
      <c r="A61" s="4" t="n">
        <v>74</v>
      </c>
      <c r="B61" s="4" t="inlineStr">
        <is>
          <t>(2)(6)</t>
        </is>
      </c>
      <c r="C61" s="4" t="inlineStr">
        <is>
          <t>R8.9</t>
        </is>
      </c>
      <c r="D61" s="5" t="inlineStr">
        <is>
          <t>有料老人ホーム等の家賃等の情報収集（北海道）</t>
        </is>
      </c>
      <c r="E61"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61" s="5" t="inlineStr">
        <is>
          <t>ケアプラン点検実施要領（案）9
計画素案 第5章 基本目標5</t>
        </is>
      </c>
      <c r="G61" s="5" t="inlineStr">
        <is>
          <t>北海道上川総合振興局</t>
        </is>
      </c>
      <c r="H61" s="10" t="inlineStr">
        <is>
          <t>確認待ち</t>
        </is>
      </c>
      <c r="I61" s="10" t="inlineStr">
        <is>
          <t>R9.4</t>
        </is>
      </c>
      <c r="J61" s="11" t="inlineStr">
        <is>
          <t>北海道が情報収集を行っていない場合、市町村が単独で取り組んでも評価の対象とならない。令和9年4月の依頼に併せて確認する</t>
        </is>
      </c>
    </row>
    <row r="62" ht="88" customHeight="1">
      <c r="A62" s="4" t="n">
        <v>73</v>
      </c>
      <c r="B62" s="4" t="inlineStr">
        <is>
          <t>(2)(6)</t>
        </is>
      </c>
      <c r="C62" s="4" t="inlineStr">
        <is>
          <t>R8.9</t>
        </is>
      </c>
      <c r="D62" s="5" t="inlineStr">
        <is>
          <t>ケアプラン点検実施要領（案）の確定に要する事項</t>
        </is>
      </c>
      <c r="E62"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62" s="5" t="inlineStr">
        <is>
          <t>ケアプラン点検実施要領（案）
計画素案 第5章 基本目標5</t>
        </is>
      </c>
      <c r="G62" s="5" t="inlineStr">
        <is>
          <t>発注者・3町</t>
        </is>
      </c>
      <c r="H62" s="10" t="inlineStr">
        <is>
          <t>確認待ち</t>
        </is>
      </c>
      <c r="I62" s="10" t="inlineStr">
        <is>
          <t>R8.9</t>
        </is>
      </c>
      <c r="J62" s="11" t="inlineStr">
        <is>
          <t>④は美瑛町がエ・オとも8点、東神楽町がオで8点を得ており、東川町は両方とも0点である。3町の取組を持ち寄れば区域共通の仕組みとして16点分が回復する</t>
        </is>
      </c>
    </row>
    <row r="63" ht="88" customHeight="1">
      <c r="A63" s="4" t="n">
        <v>72</v>
      </c>
      <c r="B63" s="4" t="inlineStr">
        <is>
          <t>(2)(6)</t>
        </is>
      </c>
      <c r="C63" s="4" t="inlineStr">
        <is>
          <t>R8.9</t>
        </is>
      </c>
      <c r="D63" s="5" t="inlineStr">
        <is>
          <t>介護給付適正化のケアプラン点検の着手（本文記載）</t>
        </is>
      </c>
      <c r="E63"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63" s="5" t="inlineStr">
        <is>
          <t>計画素案 第5章 基本目標5
ケアプラン点検実施要領（案）
策定委員会資料_交付金評価結果 5</t>
        </is>
      </c>
      <c r="G63" s="5" t="inlineStr">
        <is>
          <t>発注者</t>
        </is>
      </c>
      <c r="H63" s="6" t="inlineStr">
        <is>
          <t>了承済</t>
        </is>
      </c>
      <c r="I63" s="10" t="inlineStr">
        <is>
          <t>R8.9.3</t>
        </is>
      </c>
      <c r="J63"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64" ht="88" customHeight="1">
      <c r="A64" s="4" t="n">
        <v>71</v>
      </c>
      <c r="B64" s="4" t="inlineStr">
        <is>
          <t>(2)(7)</t>
        </is>
      </c>
      <c r="C64" s="4" t="inlineStr">
        <is>
          <t>R8.9</t>
        </is>
      </c>
      <c r="D64" s="5" t="inlineStr">
        <is>
          <t>交付金の評価結果を委員会資料として整理したこと</t>
        </is>
      </c>
      <c r="E64"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64" s="5" t="inlineStr">
        <is>
          <t>計画素案 第1章第6節・第3章
策定委員会資料_交付金評価結果</t>
        </is>
      </c>
      <c r="G64" s="5" t="inlineStr">
        <is>
          <t>発注者</t>
        </is>
      </c>
      <c r="H64" s="6" t="inlineStr">
        <is>
          <t>了承済</t>
        </is>
      </c>
      <c r="I64" s="10" t="inlineStr">
        <is>
          <t>R8.9.3</t>
        </is>
      </c>
      <c r="J64"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65" ht="88" customHeight="1">
      <c r="A65" s="4" t="n">
        <v>70</v>
      </c>
      <c r="B65" s="4" t="inlineStr">
        <is>
          <t>(2)(6)</t>
        </is>
      </c>
      <c r="C65" s="4" t="inlineStr">
        <is>
          <t>R8.9</t>
        </is>
      </c>
      <c r="D65" s="5" t="inlineStr">
        <is>
          <t>交付金の全国順位の計画本文への掲載</t>
        </is>
      </c>
      <c r="E65" s="5" t="inlineStr">
        <is>
          <t>交付金の全国集計結果の原本（令和6〜8年度）を受領し、これまで3町の値しか持たなかった比較を全国1,745〜1,746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65" s="5" t="inlineStr">
        <is>
          <t>計画素案 第4章第4節
図表集 27シート
交付金評価指標と全国集計の受領点検 04シート</t>
        </is>
      </c>
      <c r="G65" s="5" t="inlineStr">
        <is>
          <t>発注者</t>
        </is>
      </c>
      <c r="H65" s="10" t="inlineStr">
        <is>
          <t>確認待ち</t>
        </is>
      </c>
      <c r="I65" s="10" t="inlineStr">
        <is>
          <t>R8.9</t>
        </is>
      </c>
      <c r="J65" s="11" t="inlineStr">
        <is>
          <t>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t>
        </is>
      </c>
    </row>
    <row r="66" ht="88" customHeight="1">
      <c r="A66" s="4" t="n">
        <v>69</v>
      </c>
      <c r="B66" s="4" t="inlineStr">
        <is>
          <t>(2)(6)</t>
        </is>
      </c>
      <c r="C66" s="4" t="inlineStr">
        <is>
          <t>R8.9</t>
        </is>
      </c>
      <c r="D66" s="5" t="inlineStr">
        <is>
          <t>成果指向型配分枠（令和8年度新設）への対応</t>
        </is>
      </c>
      <c r="E66"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66" s="5" t="inlineStr">
        <is>
          <t>計画素案 第5章
交付金評価指標と全国集計の受領点検 06シート</t>
        </is>
      </c>
      <c r="G66" s="5" t="inlineStr">
        <is>
          <t>発注者</t>
        </is>
      </c>
      <c r="H66" s="10" t="inlineStr">
        <is>
          <t>確認待ち</t>
        </is>
      </c>
      <c r="I66" s="10" t="inlineStr">
        <is>
          <t>R8.10</t>
        </is>
      </c>
      <c r="J66" s="11" t="inlineStr">
        <is>
          <t>第10期の初年度（令和9年度）の交付金は令和8年度の取組を評価する。本計画の策定と並行して令和8年度の取組を設計できれば、第10期の初年度から得点に結びつく</t>
        </is>
      </c>
    </row>
    <row r="67" ht="88" customHeight="1">
      <c r="A67" s="4" t="n">
        <v>67</v>
      </c>
      <c r="B67" s="4" t="inlineStr">
        <is>
          <t>(5)(6)</t>
        </is>
      </c>
      <c r="C67" s="4" t="inlineStr">
        <is>
          <t>R8.8</t>
        </is>
      </c>
      <c r="D67" s="5" t="inlineStr">
        <is>
          <t>算定方法の国の様式との整合（点検結果）</t>
        </is>
      </c>
      <c r="E67"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67" s="5" t="inlineStr">
        <is>
          <t>算定方法の整合確認（国と見える化）
将来推計 第2段階・第3段階
計画素案 第6章第3節・第6節</t>
        </is>
      </c>
      <c r="G67" s="5" t="inlineStr">
        <is>
          <t>発注者</t>
        </is>
      </c>
      <c r="H67" s="10" t="inlineStr">
        <is>
          <t>確認待ち</t>
        </is>
      </c>
      <c r="I67" s="10" t="inlineStr">
        <is>
          <t>R8.9</t>
        </is>
      </c>
      <c r="J67" s="11" t="inlineStr">
        <is>
          <t>①②は保険料の算定基礎の範囲の問題であり、第10期の保険料水準に直接影響する。③④⑤は算定結果を変えないが、国の様式との対応を示すために必要である</t>
        </is>
      </c>
    </row>
    <row r="68" ht="88" customHeight="1">
      <c r="A68" s="4" t="n">
        <v>68</v>
      </c>
      <c r="B68" s="4" t="inlineStr">
        <is>
          <t>(5)</t>
        </is>
      </c>
      <c r="C68" s="4" t="inlineStr">
        <is>
          <t>R8.8</t>
        </is>
      </c>
      <c r="D68" s="5" t="inlineStr">
        <is>
          <t>見える化システムの自然体推計の再出力のお願い</t>
        </is>
      </c>
      <c r="E68"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68" s="5" t="inlineStr">
        <is>
          <t>将来推計 第3段階 01シート
算定方法の整合確認 04シート・07シート
計画素案 第6章第3節</t>
        </is>
      </c>
      <c r="G68" s="5" t="inlineStr">
        <is>
          <t>発注者</t>
        </is>
      </c>
      <c r="H68" s="10" t="inlineStr">
        <is>
          <t>確認待ち</t>
        </is>
      </c>
      <c r="I68" s="10" t="inlineStr">
        <is>
          <t>R8.9</t>
        </is>
      </c>
      <c r="J68" s="11" t="inlineStr">
        <is>
          <t>解消すれば、第2段階の見込量と第3段階の給付費とを同じ人口の基礎で接続できる。現行では両者が別々の経路で算定されており一致しない</t>
        </is>
      </c>
    </row>
    <row r="69" ht="88" customHeight="1">
      <c r="A69" s="4" t="n">
        <v>66</v>
      </c>
      <c r="B69" s="4" t="inlineStr">
        <is>
          <t>(4)(6)</t>
        </is>
      </c>
      <c r="C69" s="4" t="inlineStr">
        <is>
          <t>R8.8</t>
        </is>
      </c>
      <c r="D69" s="5" t="inlineStr">
        <is>
          <t>サービスガイドに掲載する事業所の範囲</t>
        </is>
      </c>
      <c r="E69"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69" s="5" t="inlineStr">
        <is>
          <t>介護高齢者福祉サービスガイド_構成案
3町の社会資源一覧との突合 06シート
計画素案 第2章第3節</t>
        </is>
      </c>
      <c r="G69" s="5" t="inlineStr">
        <is>
          <t>発注者</t>
        </is>
      </c>
      <c r="H69" s="10" t="inlineStr">
        <is>
          <t>確認待ち</t>
        </is>
      </c>
      <c r="I69" s="10" t="inlineStr">
        <is>
          <t>R8.9</t>
        </is>
      </c>
      <c r="J69" s="11" t="inlineStr">
        <is>
          <t>事業所数は出所により異なるが、どれかが誤っているのではなく時点と定義の違いである。住民に配布するガイドでは、編集の時点で最新の公表資料により全件を洗い直す必要がある</t>
        </is>
      </c>
    </row>
    <row r="70" ht="88" customHeight="1">
      <c r="A70" s="4" t="n">
        <v>65</v>
      </c>
      <c r="B70" s="4" t="inlineStr">
        <is>
          <t>(6)(7)</t>
        </is>
      </c>
      <c r="C70" s="4" t="inlineStr">
        <is>
          <t>R8.8</t>
        </is>
      </c>
      <c r="D70" s="5" t="inlineStr">
        <is>
          <t>広域連合において行うべき事業の優先順位</t>
        </is>
      </c>
      <c r="E70"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70" s="5" t="inlineStr">
        <is>
          <t>広域連合において行うべき事業の優先順位
介護高齢者福祉サービスガイド_構成案
計画素案 第5章・第6章第3節2</t>
        </is>
      </c>
      <c r="G70" s="5" t="inlineStr">
        <is>
          <t>発注者</t>
        </is>
      </c>
      <c r="H70" s="10" t="inlineStr">
        <is>
          <t>確認待ち</t>
        </is>
      </c>
      <c r="I70" s="10" t="inlineStr">
        <is>
          <t>R8.9</t>
        </is>
      </c>
      <c r="J70"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t>
        </is>
      </c>
    </row>
    <row r="71" ht="88" customHeight="1">
      <c r="A71" s="4" t="n">
        <v>64</v>
      </c>
      <c r="B71" s="4" t="inlineStr">
        <is>
          <t>(6)</t>
        </is>
      </c>
      <c r="C71" s="4" t="inlineStr">
        <is>
          <t>R8.8</t>
        </is>
      </c>
      <c r="D71" s="5" t="inlineStr">
        <is>
          <t>区域内に事業所がないサービスの住民向けの記載</t>
        </is>
      </c>
      <c r="E71"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71" s="5" t="inlineStr">
        <is>
          <t>介護高齢者福祉サービスガイド_構成案
計画素案 第6章第4節</t>
        </is>
      </c>
      <c r="G71" s="5" t="inlineStr">
        <is>
          <t>発注者</t>
        </is>
      </c>
      <c r="H71" s="10" t="inlineStr">
        <is>
          <t>確認待ち</t>
        </is>
      </c>
      <c r="I71" s="10" t="inlineStr">
        <is>
          <t>R8.10</t>
        </is>
      </c>
      <c r="J71" s="11" t="inlineStr">
        <is>
          <t>第10期計画の確保方策（第6章第4節の3案）の決定と一体の判断である。整備しないことを決めるのであれば、他保険者の事業所の利用の案内は住民にとって必要になる</t>
        </is>
      </c>
    </row>
    <row r="72" ht="88" customHeight="1">
      <c r="A72" s="4" t="n">
        <v>63</v>
      </c>
      <c r="B72" s="4" t="inlineStr">
        <is>
          <t>(4)(5)</t>
        </is>
      </c>
      <c r="C72" s="4" t="inlineStr">
        <is>
          <t>R8.8</t>
        </is>
      </c>
      <c r="D72" s="5" t="inlineStr">
        <is>
          <t>人口推計の基礎を総合戦略とするご指示への対応</t>
        </is>
      </c>
      <c r="E72"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72" s="5" t="inlineStr">
        <is>
          <t>人口推計の基礎の変更_総合戦略ベース
将来推計 第1〜3段階
計画素案 第2章第1節・第6章</t>
        </is>
      </c>
      <c r="G72" s="5" t="inlineStr">
        <is>
          <t>発注者</t>
        </is>
      </c>
      <c r="H72" s="10" t="inlineStr">
        <is>
          <t>確認待ち</t>
        </is>
      </c>
      <c r="I72" s="10" t="inlineStr">
        <is>
          <t>R8.9</t>
        </is>
      </c>
      <c r="J72" s="11" t="inlineStr">
        <is>
          <t>4件は一体の判断である。9月中にご確認いただければ10月の3町協議に間に合う。成果品は案Cに置き換え済みであり、案A・案Bは対比の記録として残している</t>
        </is>
      </c>
    </row>
    <row r="73" ht="88" customHeight="1">
      <c r="A73" s="4" t="n">
        <v>62</v>
      </c>
      <c r="B73" s="4" t="inlineStr">
        <is>
          <t>(4)</t>
        </is>
      </c>
      <c r="C73" s="4" t="inlineStr">
        <is>
          <t>R8.8</t>
        </is>
      </c>
      <c r="D73" s="5" t="inlineStr">
        <is>
          <t>社人研推計の町別データの入手（完了）</t>
        </is>
      </c>
      <c r="E73"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73" s="5" t="inlineStr">
        <is>
          <t>計画素案 第2章第1節
人口推計の補正 05シート</t>
        </is>
      </c>
      <c r="G73" s="5" t="inlineStr">
        <is>
          <t>発注者</t>
        </is>
      </c>
      <c r="H73" s="6" t="inlineStr">
        <is>
          <t>完了</t>
        </is>
      </c>
      <c r="I73" s="10" t="inlineStr">
        <is>
          <t>R8.8.31</t>
        </is>
      </c>
      <c r="J73"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74" ht="88" customHeight="1">
      <c r="A74" s="4" t="n">
        <v>61</v>
      </c>
      <c r="B74" s="4" t="inlineStr">
        <is>
          <t>(2)</t>
        </is>
      </c>
      <c r="C74" s="4" t="inlineStr">
        <is>
          <t>R8.8</t>
        </is>
      </c>
      <c r="D74" s="5" t="inlineStr">
        <is>
          <t>交付金の評価項目と19施策の割当て</t>
        </is>
      </c>
      <c r="E74"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74" s="5" t="inlineStr">
        <is>
          <t>第9期施策別評価表 06シート</t>
        </is>
      </c>
      <c r="G74" s="5" t="inlineStr">
        <is>
          <t>発注者</t>
        </is>
      </c>
      <c r="H74" s="10" t="inlineStr">
        <is>
          <t>確認待ち</t>
        </is>
      </c>
      <c r="I74" s="10" t="inlineStr">
        <is>
          <t>R8.9</t>
        </is>
      </c>
      <c r="J74" s="11" t="inlineStr">
        <is>
          <t>交付金は取組の有無と要件の充足を測るものであり、事業量・対象実人数・決算額を測るものではない。プロセス評価の代替にはならない</t>
        </is>
      </c>
    </row>
    <row r="75" ht="88" customHeight="1">
      <c r="A75" s="4" t="n">
        <v>60</v>
      </c>
      <c r="B75" s="4" t="inlineStr">
        <is>
          <t>(5)</t>
        </is>
      </c>
      <c r="C75" s="4" t="inlineStr">
        <is>
          <t>R8.8</t>
        </is>
      </c>
      <c r="D75" s="5" t="inlineStr">
        <is>
          <t>第10期の保険料算定の前提（受託者案）</t>
        </is>
      </c>
      <c r="E75"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75" s="5" t="inlineStr">
        <is>
          <t>将来推計 第3段階 05・06シート
計画素案 第6章第6節</t>
        </is>
      </c>
      <c r="G75" s="5" t="inlineStr">
        <is>
          <t>発注者</t>
        </is>
      </c>
      <c r="H75" s="10" t="inlineStr">
        <is>
          <t>確認待ち</t>
        </is>
      </c>
      <c r="I75" s="10" t="inlineStr">
        <is>
          <t>R8.10</t>
        </is>
      </c>
      <c r="J75" s="11" t="inlineStr">
        <is>
          <t>第10期の保険料水準の決定に直結する。水準そのものより「どの前提でその水準になるか」を示すことが要る</t>
        </is>
      </c>
    </row>
    <row r="76" ht="88" customHeight="1">
      <c r="A76" s="4" t="n">
        <v>59</v>
      </c>
      <c r="B76" s="4" t="inlineStr">
        <is>
          <t>(5)</t>
        </is>
      </c>
      <c r="C76" s="4" t="inlineStr">
        <is>
          <t>R8.8</t>
        </is>
      </c>
      <c r="D76" s="5" t="inlineStr">
        <is>
          <t>調整交付金の算定基礎の確認</t>
        </is>
      </c>
      <c r="E76"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76" s="5" t="inlineStr">
        <is>
          <t>将来推計 第3段階 00・03シート</t>
        </is>
      </c>
      <c r="G76" s="5" t="inlineStr">
        <is>
          <t>発注者</t>
        </is>
      </c>
      <c r="H76" s="10" t="inlineStr">
        <is>
          <t>確認待ち</t>
        </is>
      </c>
      <c r="I76" s="10" t="inlineStr">
        <is>
          <t>R8.9</t>
        </is>
      </c>
      <c r="J76" s="11" t="inlineStr">
        <is>
          <t>この扱いにより第9期の算定を再現でき、公表値6,428円と一致した。第10期の算定でも同じ扱いによる</t>
        </is>
      </c>
    </row>
    <row r="77" ht="88" customHeight="1">
      <c r="A77" s="4" t="n">
        <v>58</v>
      </c>
      <c r="B77" s="4" t="inlineStr">
        <is>
          <t>(2)</t>
        </is>
      </c>
      <c r="C77" s="4" t="inlineStr">
        <is>
          <t>R8.8</t>
        </is>
      </c>
      <c r="D77" s="5" t="inlineStr">
        <is>
          <t>定期巡回・随時対応型訪問介護看護の第10期の取扱い</t>
        </is>
      </c>
      <c r="E77"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77" s="5" t="inlineStr">
        <is>
          <t>見える化総括表の受領点検 02シート
計画素案 第4章</t>
        </is>
      </c>
      <c r="G77" s="5" t="inlineStr">
        <is>
          <t>発注者</t>
        </is>
      </c>
      <c r="H77" s="10" t="inlineStr">
        <is>
          <t>確認待ち</t>
        </is>
      </c>
      <c r="I77" s="10" t="inlineStr">
        <is>
          <t>R8.9</t>
        </is>
      </c>
      <c r="J77" s="11" t="inlineStr">
        <is>
          <t>2期続けて計画に位置づけながら実績が伴っていない。代表KPI H12（必要サービス未充足率）の設定にも関わる</t>
        </is>
      </c>
    </row>
    <row r="78" ht="88" customHeight="1">
      <c r="A78" s="4" t="n">
        <v>57</v>
      </c>
      <c r="B78" s="4" t="inlineStr">
        <is>
          <t>(2)</t>
        </is>
      </c>
      <c r="C78" s="4" t="inlineStr">
        <is>
          <t>R8.8</t>
        </is>
      </c>
      <c r="D78" s="5" t="inlineStr">
        <is>
          <t>計画値を0としたサービスに実績がある2件</t>
        </is>
      </c>
      <c r="E78"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78" s="5" t="inlineStr">
        <is>
          <t>見える化総括表の受領点検 02シート
計画素案 第4章</t>
        </is>
      </c>
      <c r="G78" s="5" t="inlineStr">
        <is>
          <t>発注者</t>
        </is>
      </c>
      <c r="H78" s="10" t="inlineStr">
        <is>
          <t>確認待ち</t>
        </is>
      </c>
      <c r="I78" s="10" t="inlineStr">
        <is>
          <t>R8.9</t>
        </is>
      </c>
      <c r="J78" s="11" t="inlineStr">
        <is>
          <t>計画値が0だと対計画比が算出されず、評価の対象から漏れる。第10期で同じ状態を繰り返さないための確認</t>
        </is>
      </c>
    </row>
    <row r="79" ht="88" customHeight="1">
      <c r="A79" s="4" t="n">
        <v>56</v>
      </c>
      <c r="B79" s="4" t="inlineStr">
        <is>
          <t>(2)</t>
        </is>
      </c>
      <c r="C79" s="4" t="inlineStr">
        <is>
          <t>R8.8</t>
        </is>
      </c>
      <c r="D79" s="5" t="inlineStr">
        <is>
          <t>令和8年8月31日受領の要介護認定集計帳票6件が他団体のもの</t>
        </is>
      </c>
      <c r="E79"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79" s="5" t="inlineStr">
        <is>
          <t>見える化総括表の受領点検 00シート</t>
        </is>
      </c>
      <c r="G79" s="5" t="inlineStr">
        <is>
          <t>発注者</t>
        </is>
      </c>
      <c r="H79" s="10" t="inlineStr">
        <is>
          <t>確認待ち</t>
        </is>
      </c>
      <c r="I79" s="10" t="inlineStr">
        <is>
          <t>R8.9</t>
        </is>
      </c>
      <c r="J79" s="11" t="inlineStr">
        <is>
          <t>他団体の資料を成果品に用いない。第8期の認定所要日数の推移は第9期の評価の材料になる</t>
        </is>
      </c>
    </row>
    <row r="80" ht="88" customHeight="1">
      <c r="A80" s="4" t="n">
        <v>54</v>
      </c>
      <c r="B80" s="4" t="inlineStr">
        <is>
          <t>(12)</t>
        </is>
      </c>
      <c r="C80" s="4" t="inlineStr">
        <is>
          <t>R8.8</t>
        </is>
      </c>
      <c r="D80" s="5" t="inlineStr">
        <is>
          <t>議事録の文書プロパティに個人名が再度入る</t>
        </is>
      </c>
      <c r="E80"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80" s="5" t="inlineStr">
        <is>
          <t>中間報告会議議事録
業務工程管理表</t>
        </is>
      </c>
      <c r="G80" s="5" t="inlineStr">
        <is>
          <t>発注者</t>
        </is>
      </c>
      <c r="H80" s="10" t="inlineStr">
        <is>
          <t>確認待ち</t>
        </is>
      </c>
      <c r="I80" s="10" t="inlineStr">
        <is>
          <t>R8.9</t>
        </is>
      </c>
      <c r="J80" s="11" t="inlineStr">
        <is>
          <t>本文には現れないため、通読では気づかない</t>
        </is>
      </c>
    </row>
    <row r="81" ht="88" customHeight="1">
      <c r="A81" s="4" t="n">
        <v>55</v>
      </c>
      <c r="B81" s="4" t="inlineStr">
        <is>
          <t>(12)</t>
        </is>
      </c>
      <c r="C81" s="4" t="inlineStr">
        <is>
          <t>R8.8</t>
        </is>
      </c>
      <c r="D81" s="5" t="inlineStr">
        <is>
          <t>議事録の表記に関するご提案3件</t>
        </is>
      </c>
      <c r="E81"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81" s="5" t="inlineStr">
        <is>
          <t>中間報告会議議事録
業務工程管理表</t>
        </is>
      </c>
      <c r="G81" s="5" t="inlineStr">
        <is>
          <t>発注者</t>
        </is>
      </c>
      <c r="H81" s="10" t="inlineStr">
        <is>
          <t>確認待ち</t>
        </is>
      </c>
      <c r="I81" s="10" t="inlineStr">
        <is>
          <t>R8.9</t>
        </is>
      </c>
      <c r="J81" s="11" t="inlineStr">
        <is>
          <t>文意は変わらない。読みやすさと文体の統一に関するもの</t>
        </is>
      </c>
    </row>
    <row r="82" ht="88" customHeight="1">
      <c r="A82" s="4" t="n">
        <v>53</v>
      </c>
      <c r="B82" s="4" t="inlineStr">
        <is>
          <t>(5)</t>
        </is>
      </c>
      <c r="C82" s="4" t="inlineStr">
        <is>
          <t>R8.8</t>
        </is>
      </c>
      <c r="D82" s="5" t="inlineStr">
        <is>
          <t>介護保険事業財政調整基金の積立ての上限と取崩方針</t>
        </is>
      </c>
      <c r="E82"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82" s="5" t="inlineStr">
        <is>
          <t>基金条例の確認 02シート
素案 第6章第6節
将来推計 第3段階</t>
        </is>
      </c>
      <c r="G82" s="5" t="inlineStr">
        <is>
          <t>発注者</t>
        </is>
      </c>
      <c r="H82" s="10" t="inlineStr">
        <is>
          <t>確認待ち</t>
        </is>
      </c>
      <c r="I82" s="10" t="inlineStr">
        <is>
          <t>R8.9</t>
        </is>
      </c>
      <c r="J82" s="11" t="inlineStr">
        <is>
          <t>第10期の保険料の水準に影響する。条例の受領により判明した</t>
        </is>
      </c>
    </row>
    <row r="83" ht="88" customHeight="1">
      <c r="A83" s="4" t="n">
        <v>52</v>
      </c>
      <c r="B83" s="4" t="inlineStr">
        <is>
          <t>(5)</t>
        </is>
      </c>
      <c r="C83" s="4" t="inlineStr">
        <is>
          <t>R8.8</t>
        </is>
      </c>
      <c r="D83" s="5" t="inlineStr">
        <is>
          <t>令和6年度決算書の受領に伴う確認</t>
        </is>
      </c>
      <c r="E83"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83" s="5" t="inlineStr">
        <is>
          <t>令和6年度決算書の受領点検 03シート
素案 第6章第3節・第6節</t>
        </is>
      </c>
      <c r="G83" s="5" t="inlineStr">
        <is>
          <t>発注者</t>
        </is>
      </c>
      <c r="H83" s="10" t="inlineStr">
        <is>
          <t>確認待ち</t>
        </is>
      </c>
      <c r="I83" s="10" t="inlineStr">
        <is>
          <t>R8.9</t>
        </is>
      </c>
      <c r="J83" s="11" t="inlineStr">
        <is>
          <t>いずれも金額の総額に影響しない。名称と科目の確認である</t>
        </is>
      </c>
    </row>
    <row r="84" ht="88" customHeight="1">
      <c r="A84" s="4" t="n">
        <v>51</v>
      </c>
      <c r="B84" s="4" t="inlineStr">
        <is>
          <t>(2)</t>
        </is>
      </c>
      <c r="C84" s="4" t="inlineStr">
        <is>
          <t>R8.8</t>
        </is>
      </c>
      <c r="D84" s="5" t="inlineStr">
        <is>
          <t>月報の値の接続のずれ（ご報告）</t>
        </is>
      </c>
      <c r="E84"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84" s="5" t="inlineStr">
        <is>
          <t>年報月報の受領点検 04シート</t>
        </is>
      </c>
      <c r="G84" s="5" t="inlineStr">
        <is>
          <t>発注者</t>
        </is>
      </c>
      <c r="H84" s="10" t="inlineStr">
        <is>
          <t>確認待ち</t>
        </is>
      </c>
      <c r="I84" s="10" t="inlineStr">
        <is>
          <t>R8.9</t>
        </is>
      </c>
      <c r="J84" s="11" t="inlineStr">
        <is>
          <t>計画本文への影響はない。記録として残すもの</t>
        </is>
      </c>
    </row>
    <row r="85" ht="88" customHeight="1">
      <c r="A85" s="4" t="n">
        <v>50</v>
      </c>
      <c r="B85" s="4" t="inlineStr">
        <is>
          <t>(5)</t>
        </is>
      </c>
      <c r="C85" s="4" t="inlineStr">
        <is>
          <t>R8.8</t>
        </is>
      </c>
      <c r="D85" s="5" t="inlineStr">
        <is>
          <t>年報・月報の受領に伴う確認</t>
        </is>
      </c>
      <c r="E85"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85" s="5" t="inlineStr">
        <is>
          <t>年報月報の受領点検
将来推計 第3段階
素案 第6章第3節・第6節</t>
        </is>
      </c>
      <c r="G85" s="5" t="inlineStr">
        <is>
          <t>発注者</t>
        </is>
      </c>
      <c r="H85" s="10" t="inlineStr">
        <is>
          <t>確認待ち</t>
        </is>
      </c>
      <c r="I85" s="10" t="inlineStr">
        <is>
          <t>R8.9</t>
        </is>
      </c>
      <c r="J85" s="11" t="inlineStr">
        <is>
          <t>①は第10期の保険料算定を止めている。最優先</t>
        </is>
      </c>
    </row>
    <row r="86" ht="88" customHeight="1">
      <c r="A86" s="4" t="n">
        <v>49</v>
      </c>
      <c r="B86" s="4" t="inlineStr">
        <is>
          <t>(12)</t>
        </is>
      </c>
      <c r="C86" s="4" t="inlineStr">
        <is>
          <t>R8.8</t>
        </is>
      </c>
      <c r="D86" s="5" t="inlineStr">
        <is>
          <t>中間報告会議の議事録の記載の確認【回答済】</t>
        </is>
      </c>
      <c r="E86"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86" s="5" t="inlineStr">
        <is>
          <t>中間報告会議議事録
業務工程管理表
必要事項の一覧</t>
        </is>
      </c>
      <c r="G86" s="5" t="inlineStr">
        <is>
          <t>発注者</t>
        </is>
      </c>
      <c r="H86" s="6" t="inlineStr">
        <is>
          <t>了承済</t>
        </is>
      </c>
      <c r="I86" s="10" t="inlineStr">
        <is>
          <t>R8.8.28</t>
        </is>
      </c>
      <c r="J86" s="11" t="inlineStr">
        <is>
          <t>議事録に反映済み。年報・月報の到着後に資料No.21・22を受領済とする</t>
        </is>
      </c>
    </row>
    <row r="87" ht="88" customHeight="1">
      <c r="A87" s="4" t="n">
        <v>48</v>
      </c>
      <c r="B87" s="4" t="inlineStr">
        <is>
          <t>(2)</t>
        </is>
      </c>
      <c r="C87" s="4" t="inlineStr">
        <is>
          <t>R8.8</t>
        </is>
      </c>
      <c r="D87" s="5" t="inlineStr">
        <is>
          <t>総合事業の実施状況に関する調査（令和6年度）の確認</t>
        </is>
      </c>
      <c r="E87"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87" s="5" t="inlineStr">
        <is>
          <t>総合事業実施状況調査の受領点検
素案 第3章第1節・第2節
H05の基準値</t>
        </is>
      </c>
      <c r="G87" s="5" t="inlineStr">
        <is>
          <t>発注者</t>
        </is>
      </c>
      <c r="H87" s="10" t="inlineStr">
        <is>
          <t>確認待ち</t>
        </is>
      </c>
      <c r="I87" s="10" t="inlineStr">
        <is>
          <t>R8.9</t>
        </is>
      </c>
      <c r="J87" s="11" t="inlineStr">
        <is>
          <t>第9期の通いの場と地域支援事業の評価に用いる</t>
        </is>
      </c>
    </row>
    <row r="88" ht="88" customHeight="1">
      <c r="A88" s="4" t="n">
        <v>47</v>
      </c>
      <c r="B88" s="4" t="inlineStr">
        <is>
          <t>(5)</t>
        </is>
      </c>
      <c r="C88" s="4" t="inlineStr">
        <is>
          <t>R8.8</t>
        </is>
      </c>
      <c r="D88" s="5" t="inlineStr">
        <is>
          <t>計画作成支援ツールの実績値シートの確認</t>
        </is>
      </c>
      <c r="E88"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88" s="5" t="inlineStr">
        <is>
          <t>給付実績データの受領点検 04シート
将来推計 第3段階</t>
        </is>
      </c>
      <c r="G88" s="5" t="inlineStr">
        <is>
          <t>発注者</t>
        </is>
      </c>
      <c r="H88" s="10" t="inlineStr">
        <is>
          <t>確認待ち</t>
        </is>
      </c>
      <c r="I88" s="10" t="inlineStr">
        <is>
          <t>R8.9</t>
        </is>
      </c>
      <c r="J88" s="11" t="inlineStr">
        <is>
          <t>第3段階（給付費・保険料）の算定に用いる</t>
        </is>
      </c>
    </row>
    <row r="89" ht="88" customHeight="1">
      <c r="A89" s="4" t="n">
        <v>46</v>
      </c>
      <c r="B89" s="4" t="inlineStr">
        <is>
          <t>(5)</t>
        </is>
      </c>
      <c r="C89" s="4" t="inlineStr">
        <is>
          <t>R8.8</t>
        </is>
      </c>
      <c r="D89" s="5" t="inlineStr">
        <is>
          <t>令和7年度の給付費の集計が一致しない</t>
        </is>
      </c>
      <c r="E89" s="5" t="inlineStr">
        <is>
          <t>3町の給付費総額の合計が、大雪地区広域連合の給付費総額を129,580,267円（4.20％）上回る。令和6年度・令和8年度は完全に一致する。【美瑛町】令和7年度のファイルは利用回数のシート名が「（東神楽）」となっており、他年度と異なる手順で作成された可能性がある。【大雪】又は【美瑛町】の令和7年度のファイルの再作成をご検討いただきたい。</t>
        </is>
      </c>
      <c r="F89" s="5" t="inlineStr">
        <is>
          <t>給付実績データの受領点検
将来推計 第2・3段階</t>
        </is>
      </c>
      <c r="G89" s="5" t="inlineStr">
        <is>
          <t>発注者</t>
        </is>
      </c>
      <c r="H89" s="10" t="inlineStr">
        <is>
          <t>確認待ち</t>
        </is>
      </c>
      <c r="I89" s="10" t="inlineStr">
        <is>
          <t>R8.9</t>
        </is>
      </c>
      <c r="J89" s="11" t="inlineStr">
        <is>
          <t>解消するまでは令和7年度の町別の値は用いず、大雪地区広域連合の合計のみを用いる</t>
        </is>
      </c>
    </row>
    <row r="90" ht="88" customHeight="1">
      <c r="A90" s="4" t="n">
        <v>44</v>
      </c>
      <c r="B90" s="4" t="inlineStr">
        <is>
          <t>(5)</t>
        </is>
      </c>
      <c r="C90" s="4" t="inlineStr">
        <is>
          <t>R8.8</t>
        </is>
      </c>
      <c r="D90" s="5" t="inlineStr">
        <is>
          <t>給付実績データに含まれる個人情報の取扱い</t>
        </is>
      </c>
      <c r="E90"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90" s="5" t="inlineStr">
        <is>
          <t>給付実績データの受領点検
将来推計 第2・3段階</t>
        </is>
      </c>
      <c r="G90" s="5" t="inlineStr">
        <is>
          <t>発注者</t>
        </is>
      </c>
      <c r="H90" s="6" t="inlineStr">
        <is>
          <t>了承済（保管せず廃棄）</t>
        </is>
      </c>
      <c r="I90" s="10" t="inlineStr">
        <is>
          <t>R8.8.28</t>
        </is>
      </c>
      <c r="J90"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91" ht="88" customHeight="1">
      <c r="A91" s="4" t="n">
        <v>45</v>
      </c>
      <c r="B91" s="4" t="inlineStr">
        <is>
          <t>(5)</t>
        </is>
      </c>
      <c r="C91" s="4" t="inlineStr">
        <is>
          <t>R8.8</t>
        </is>
      </c>
      <c r="D91" s="5" t="inlineStr">
        <is>
          <t>代表KPI H15の分母の定義</t>
        </is>
      </c>
      <c r="E91"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91" s="5" t="inlineStr">
        <is>
          <t>計画素案 第4章 資料1
中間報告 第3節</t>
        </is>
      </c>
      <c r="G91" s="5" t="inlineStr">
        <is>
          <t>発注者</t>
        </is>
      </c>
      <c r="H91" s="10" t="inlineStr">
        <is>
          <t>確認待ち</t>
        </is>
      </c>
      <c r="I91" s="10" t="inlineStr">
        <is>
          <t>R8.9</t>
        </is>
      </c>
      <c r="J91" s="11" t="inlineStr">
        <is>
          <t>受託者案は標準給付費見込額。計画期間を通じた財政運営の指標であるため</t>
        </is>
      </c>
    </row>
    <row r="92" ht="88" customHeight="1">
      <c r="A92" s="4" t="n">
        <v>43</v>
      </c>
      <c r="B92" s="4" t="inlineStr">
        <is>
          <t>(2)</t>
        </is>
      </c>
      <c r="C92" s="4" t="inlineStr">
        <is>
          <t>R8.8</t>
        </is>
      </c>
      <c r="D92" s="5" t="inlineStr">
        <is>
          <t>認定に要する日数の扱い</t>
        </is>
      </c>
      <c r="E92"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92" s="5" t="inlineStr">
        <is>
          <t>中間報告 第3節
計画素案 第2章・第5章</t>
        </is>
      </c>
      <c r="G92" s="5" t="inlineStr">
        <is>
          <t>発注者</t>
        </is>
      </c>
      <c r="H92" s="10" t="inlineStr">
        <is>
          <t>確認待ち</t>
        </is>
      </c>
      <c r="I92" s="10" t="inlineStr">
        <is>
          <t>R8.9</t>
        </is>
      </c>
      <c r="J92" s="11" t="inlineStr">
        <is>
          <t>令和8年8月28日受領の集計帳票により判明</t>
        </is>
      </c>
    </row>
    <row r="93" ht="88" customHeight="1">
      <c r="A93" s="4" t="n">
        <v>39</v>
      </c>
      <c r="B93" s="4" t="inlineStr">
        <is>
          <t>(2)</t>
        </is>
      </c>
      <c r="C93" s="4" t="inlineStr">
        <is>
          <t>R8.8</t>
        </is>
      </c>
      <c r="D93" s="5" t="inlineStr">
        <is>
          <t>中間報告・施策体系新旧対照表・骨子案のご確認</t>
        </is>
      </c>
      <c r="E93"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93" s="5" t="inlineStr">
        <is>
          <t>計画骨子案
施策体系新旧対照表
計画素案 第4章・第5章</t>
        </is>
      </c>
      <c r="G93" s="5" t="inlineStr">
        <is>
          <t>発注者</t>
        </is>
      </c>
      <c r="H93" s="10" t="inlineStr">
        <is>
          <t>確認待ち</t>
        </is>
      </c>
      <c r="I93" s="10" t="inlineStr">
        <is>
          <t>R8.9.2</t>
        </is>
      </c>
      <c r="J93" s="11" t="inlineStr">
        <is>
          <t>同打合せで期限を令和8年9月2日（水）と設定。令和8年8月28日の発注者のご指示により、議事録に①②を加え、期限を明記した（校正No.14・15）</t>
        </is>
      </c>
    </row>
    <row r="94" ht="88" customHeight="1">
      <c r="A94" s="4" t="n">
        <v>40</v>
      </c>
      <c r="B94" s="4" t="inlineStr">
        <is>
          <t>(3)</t>
        </is>
      </c>
      <c r="C94" s="4" t="inlineStr">
        <is>
          <t>R8.8</t>
        </is>
      </c>
      <c r="D94" s="5" t="inlineStr">
        <is>
          <t>社会資源一覧の従業員数の重複計上の扱い</t>
        </is>
      </c>
      <c r="E94"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94" s="5" t="inlineStr">
        <is>
          <t>従業員数の重複計上の整理
計画素案 第2章第3節・第6章第2節</t>
        </is>
      </c>
      <c r="G94" s="5" t="inlineStr">
        <is>
          <t>発注者・3町</t>
        </is>
      </c>
      <c r="H94" s="10" t="inlineStr">
        <is>
          <t>確認待ち</t>
        </is>
      </c>
      <c r="I94" s="10" t="inlineStr">
        <is>
          <t>R8.9</t>
        </is>
      </c>
      <c r="J94" s="11" t="inlineStr">
        <is>
          <t>受託者の案は施設単位の実人数。「従業員数の重複計上の整理」01シートに確認欄を設けて両案に対応した</t>
        </is>
      </c>
    </row>
    <row r="95" ht="88" customHeight="1">
      <c r="A95" s="4" t="n">
        <v>41</v>
      </c>
      <c r="B95" s="4" t="inlineStr">
        <is>
          <t>(5)</t>
        </is>
      </c>
      <c r="C95" s="4" t="inlineStr">
        <is>
          <t>R8.8</t>
        </is>
      </c>
      <c r="D95" s="5" t="inlineStr">
        <is>
          <t>令和8年度の実績の推定方法</t>
        </is>
      </c>
      <c r="E95"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95" s="5" t="inlineStr">
        <is>
          <t>計画素案 第6章
将来推計 第1〜3段階</t>
        </is>
      </c>
      <c r="G95" s="5" t="inlineStr">
        <is>
          <t>発注者</t>
        </is>
      </c>
      <c r="H95" s="6" t="inlineStr">
        <is>
          <t>了承済</t>
        </is>
      </c>
      <c r="I95" s="10" t="inlineStr">
        <is>
          <t>R8.8.26</t>
        </is>
      </c>
      <c r="J95" s="11" t="inlineStr">
        <is>
          <t>令和8年8月26日の進捗確認の打合せで了承。対前年比等の単純な外挿は用いない</t>
        </is>
      </c>
    </row>
    <row r="96" ht="88" customHeight="1">
      <c r="A96" s="4" t="n">
        <v>42</v>
      </c>
      <c r="B96" s="4" t="inlineStr">
        <is>
          <t>(8)</t>
        </is>
      </c>
      <c r="C96" s="4" t="inlineStr">
        <is>
          <t>R8.8</t>
        </is>
      </c>
      <c r="D96" s="5" t="inlineStr">
        <is>
          <t>キックオフ会議資料への工程表の反映</t>
        </is>
      </c>
      <c r="E96"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96" s="5" t="inlineStr">
        <is>
          <t>キックオフ会議資料</t>
        </is>
      </c>
      <c r="G96" s="5" t="inlineStr">
        <is>
          <t>発注者・3町</t>
        </is>
      </c>
      <c r="H96" s="8" t="inlineStr">
        <is>
          <t>対応中</t>
        </is>
      </c>
      <c r="I96" s="10" t="inlineStr">
        <is>
          <t>R8.8</t>
        </is>
      </c>
      <c r="J96" s="11" t="inlineStr">
        <is>
          <t>同打合せでご依頼をいただいた。反映する工程表は発注者ご作成の予定表による</t>
        </is>
      </c>
    </row>
    <row r="97" ht="88" customHeight="1">
      <c r="A97" s="4" t="n">
        <v>1</v>
      </c>
      <c r="B97" s="4" t="inlineStr">
        <is>
          <t>(1)</t>
        </is>
      </c>
      <c r="C97" s="4" t="inlineStr">
        <is>
          <t>R8.8</t>
        </is>
      </c>
      <c r="D97" s="5" t="inlineStr">
        <is>
          <t>特別地域加算の対象地域告示</t>
        </is>
      </c>
      <c r="E97"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97" s="5" t="inlineStr">
        <is>
          <t>素案 第1章第9節
追加調査報告書 01シート</t>
        </is>
      </c>
      <c r="G97" s="5" t="inlineStr">
        <is>
          <t>北海道</t>
        </is>
      </c>
      <c r="H97" s="10" t="inlineStr">
        <is>
          <t>確認待ち</t>
        </is>
      </c>
      <c r="I97" s="10" t="inlineStr">
        <is>
          <t>R8.9</t>
        </is>
      </c>
      <c r="J97" s="11" t="inlineStr"/>
    </row>
    <row r="98" ht="88" customHeight="1">
      <c r="A98" s="4" t="n">
        <v>2</v>
      </c>
      <c r="B98" s="4" t="inlineStr">
        <is>
          <t>(1)</t>
        </is>
      </c>
      <c r="C98" s="4" t="inlineStr">
        <is>
          <t>R8.9</t>
        </is>
      </c>
      <c r="D98" s="5" t="inlineStr">
        <is>
          <t>特定地域の指定に係る意向表明の手続</t>
        </is>
      </c>
      <c r="E98"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98" s="5" t="inlineStr">
        <is>
          <t>素案 第1章第9節・第6章第4節</t>
        </is>
      </c>
      <c r="G98" s="5" t="inlineStr">
        <is>
          <t>北海道</t>
        </is>
      </c>
      <c r="H98" s="10" t="inlineStr">
        <is>
          <t>確認待ち</t>
        </is>
      </c>
      <c r="I98" s="10" t="inlineStr">
        <is>
          <t>R8.10</t>
        </is>
      </c>
      <c r="J98" s="11" t="inlineStr"/>
    </row>
    <row r="99" ht="88" customHeight="1">
      <c r="A99" s="4" t="n">
        <v>3</v>
      </c>
      <c r="B99" s="4" t="inlineStr">
        <is>
          <t>(4)</t>
        </is>
      </c>
      <c r="C99" s="4" t="inlineStr">
        <is>
          <t>R8.9</t>
        </is>
      </c>
      <c r="D99" s="5" t="inlineStr">
        <is>
          <t>類似保険者との比較分析の対象</t>
        </is>
      </c>
      <c r="E99"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99" s="5" t="inlineStr">
        <is>
          <t>素案 第2章第2節
分析資料</t>
        </is>
      </c>
      <c r="G99" s="5" t="inlineStr">
        <is>
          <t>発注者</t>
        </is>
      </c>
      <c r="H99" s="10" t="inlineStr">
        <is>
          <t>確認待ち</t>
        </is>
      </c>
      <c r="I99" s="10" t="inlineStr">
        <is>
          <t>R8.9</t>
        </is>
      </c>
      <c r="J99" s="11" t="inlineStr"/>
    </row>
    <row r="100" ht="88" customHeight="1">
      <c r="A100" s="4" t="n">
        <v>4</v>
      </c>
      <c r="B100" s="4" t="inlineStr">
        <is>
          <t>(12)</t>
        </is>
      </c>
      <c r="C100" s="4" t="inlineStr">
        <is>
          <t>R8.8</t>
        </is>
      </c>
      <c r="D100" s="5" t="inlineStr">
        <is>
          <t>代表KPI H07・H08・H12・H16の代理指標</t>
        </is>
      </c>
      <c r="E100"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100" s="5" t="inlineStr">
        <is>
          <t>素案 第4章第3節・資料1
全16KPIの4項目</t>
        </is>
      </c>
      <c r="G100" s="5" t="inlineStr">
        <is>
          <t>発注者</t>
        </is>
      </c>
      <c r="H100" s="10" t="inlineStr">
        <is>
          <t>確認待ち</t>
        </is>
      </c>
      <c r="I100" s="10" t="inlineStr">
        <is>
          <t>R8.8</t>
        </is>
      </c>
      <c r="J100" s="11" t="inlineStr"/>
    </row>
    <row r="101" ht="88" customHeight="1">
      <c r="A101" s="4" t="n">
        <v>5</v>
      </c>
      <c r="B101" s="4" t="inlineStr">
        <is>
          <t>(2)</t>
        </is>
      </c>
      <c r="C101" s="4" t="inlineStr">
        <is>
          <t>R8.8</t>
        </is>
      </c>
      <c r="D101" s="5" t="inlineStr">
        <is>
          <t>第9期の施策・事業実績</t>
        </is>
      </c>
      <c r="E101"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101" s="5" t="inlineStr">
        <is>
          <t>素案 第3章第2節・第3節・第5節
妥当性検証報告書 12シート</t>
        </is>
      </c>
      <c r="G101" s="5" t="inlineStr">
        <is>
          <t>発注者</t>
        </is>
      </c>
      <c r="H101" s="10" t="inlineStr">
        <is>
          <t>確認待ち</t>
        </is>
      </c>
      <c r="I101" s="10" t="inlineStr">
        <is>
          <t>R8.8</t>
        </is>
      </c>
      <c r="J101" s="11" t="inlineStr"/>
    </row>
    <row r="102" ht="88" customHeight="1">
      <c r="A102" s="4" t="n">
        <v>6</v>
      </c>
      <c r="B102" s="4" t="inlineStr">
        <is>
          <t>(2)</t>
        </is>
      </c>
      <c r="C102" s="4" t="inlineStr">
        <is>
          <t>R8.8</t>
        </is>
      </c>
      <c r="D102" s="5" t="inlineStr">
        <is>
          <t>交付金の評価調書</t>
        </is>
      </c>
      <c r="E102"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2" s="5" t="inlineStr">
        <is>
          <t>素案 第3章第4節
追加調査報告書 02シート</t>
        </is>
      </c>
      <c r="G102" s="5" t="inlineStr">
        <is>
          <t>発注者</t>
        </is>
      </c>
      <c r="H102" s="10" t="inlineStr">
        <is>
          <t>確認待ち</t>
        </is>
      </c>
      <c r="I102" s="10" t="inlineStr">
        <is>
          <t>R8.9</t>
        </is>
      </c>
      <c r="J102" s="11" t="inlineStr"/>
    </row>
    <row r="103" ht="88" customHeight="1">
      <c r="A103" s="4" t="n">
        <v>7</v>
      </c>
      <c r="B103" s="4" t="inlineStr">
        <is>
          <t>(2)</t>
        </is>
      </c>
      <c r="C103" s="4" t="inlineStr">
        <is>
          <t>R8.8</t>
        </is>
      </c>
      <c r="D103" s="5" t="inlineStr">
        <is>
          <t>第9期の自己評価と北海道への報告の実績</t>
        </is>
      </c>
      <c r="E103" s="5" t="inlineStr">
        <is>
          <t>第9期計画の代表KPIについて令和6・7年度に実績を算定した資料の有無、運営協議会への報告の有無と議事録、及び介護保険法第117条に基づく北海道への報告の実績。</t>
        </is>
      </c>
      <c r="F103" s="5" t="inlineStr">
        <is>
          <t>素案 第1章第6節・第3章第4節</t>
        </is>
      </c>
      <c r="G103" s="5" t="inlineStr">
        <is>
          <t>発注者</t>
        </is>
      </c>
      <c r="H103" s="10" t="inlineStr">
        <is>
          <t>確認待ち</t>
        </is>
      </c>
      <c r="I103" s="10" t="inlineStr">
        <is>
          <t>R8.9</t>
        </is>
      </c>
      <c r="J103" s="11" t="inlineStr"/>
    </row>
    <row r="104" ht="88" customHeight="1">
      <c r="A104" s="4" t="n">
        <v>8</v>
      </c>
      <c r="B104" s="4" t="inlineStr">
        <is>
          <t>(3)</t>
        </is>
      </c>
      <c r="C104" s="4" t="inlineStr">
        <is>
          <t>R8.8</t>
        </is>
      </c>
      <c r="D104" s="5" t="inlineStr">
        <is>
          <t>3調査の点検事項の取扱い</t>
        </is>
      </c>
      <c r="E104"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04" s="5" t="inlineStr">
        <is>
          <t>素案 第2章第5・6節
H06・H11・H13・H14の基準値</t>
        </is>
      </c>
      <c r="G104" s="5" t="inlineStr">
        <is>
          <t>発注者</t>
        </is>
      </c>
      <c r="H104" s="10" t="inlineStr">
        <is>
          <t>確認待ち</t>
        </is>
      </c>
      <c r="I104" s="10" t="inlineStr">
        <is>
          <t>R8.8</t>
        </is>
      </c>
      <c r="J104" s="11" t="inlineStr"/>
    </row>
    <row r="105" ht="88" customHeight="1">
      <c r="A105" s="4" t="n">
        <v>9</v>
      </c>
      <c r="B105" s="4" t="inlineStr">
        <is>
          <t>(3)</t>
        </is>
      </c>
      <c r="C105" s="4" t="inlineStr">
        <is>
          <t>R8.9</t>
        </is>
      </c>
      <c r="D105" s="5" t="inlineStr">
        <is>
          <t>調査の対象者範囲と回収率</t>
        </is>
      </c>
      <c r="E105" s="5" t="inlineStr">
        <is>
          <t>4調査の対象者の範囲（要介護度、年齢、居所等）、配布数、回収数、回収率。標本規模に応じた分析の深度（クロス集計の可否）の判断に必要。</t>
        </is>
      </c>
      <c r="F105" s="5" t="inlineStr">
        <is>
          <t>素案 第2章第4〜6節
クロス集計表</t>
        </is>
      </c>
      <c r="G105" s="5" t="inlineStr">
        <is>
          <t>発注者</t>
        </is>
      </c>
      <c r="H105" s="10" t="inlineStr">
        <is>
          <t>確認待ち</t>
        </is>
      </c>
      <c r="I105" s="10" t="inlineStr">
        <is>
          <t>R8.9</t>
        </is>
      </c>
      <c r="J105" s="11" t="inlineStr"/>
    </row>
    <row r="106" ht="88" customHeight="1">
      <c r="A106" s="4" t="n">
        <v>10</v>
      </c>
      <c r="B106" s="4" t="inlineStr">
        <is>
          <t>(3)</t>
        </is>
      </c>
      <c r="C106" s="4" t="inlineStr">
        <is>
          <t>R8.9</t>
        </is>
      </c>
      <c r="D106" s="5" t="inlineStr">
        <is>
          <t>介護人材実態調査の採用者数・退職者数</t>
        </is>
      </c>
      <c r="E106" s="5" t="inlineStr">
        <is>
          <t>北海道の評価指標⑥と同じ「採用率と離職率の差」を算定するため、各年9月30日現在の在籍者数と、年間の採用者数・退職者数。H14の基準値となる。</t>
        </is>
      </c>
      <c r="F106" s="5" t="inlineStr">
        <is>
          <t>素案 第4章第3節
H14の基準値</t>
        </is>
      </c>
      <c r="G106" s="5" t="inlineStr">
        <is>
          <t>発注者</t>
        </is>
      </c>
      <c r="H106" s="10" t="inlineStr">
        <is>
          <t>確認待ち</t>
        </is>
      </c>
      <c r="I106" s="10" t="inlineStr">
        <is>
          <t>R8.9</t>
        </is>
      </c>
      <c r="J106" s="11" t="inlineStr"/>
    </row>
    <row r="107" ht="88" customHeight="1">
      <c r="A107" s="4" t="n">
        <v>11</v>
      </c>
      <c r="B107" s="4" t="inlineStr">
        <is>
          <t>(4)</t>
        </is>
      </c>
      <c r="C107" s="4" t="inlineStr">
        <is>
          <t>R8.9</t>
        </is>
      </c>
      <c r="D107" s="5" t="inlineStr">
        <is>
          <t>町別の人口・世帯データ</t>
        </is>
      </c>
      <c r="E107"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07" s="5" t="inlineStr">
        <is>
          <t>素案 第2章第1節
図1・図2・図3</t>
        </is>
      </c>
      <c r="G107" s="5" t="inlineStr">
        <is>
          <t>発注者・3町</t>
        </is>
      </c>
      <c r="H107" s="10" t="inlineStr">
        <is>
          <t>確認待ち</t>
        </is>
      </c>
      <c r="I107" s="10" t="inlineStr">
        <is>
          <t>R8.9</t>
        </is>
      </c>
      <c r="J107" s="11" t="inlineStr"/>
    </row>
    <row r="108" ht="88" customHeight="1">
      <c r="A108" s="4" t="n">
        <v>12</v>
      </c>
      <c r="B108" s="4" t="inlineStr">
        <is>
          <t>(4)</t>
        </is>
      </c>
      <c r="C108" s="4" t="inlineStr">
        <is>
          <t>R8.9</t>
        </is>
      </c>
      <c r="D108" s="5" t="inlineStr">
        <is>
          <t>日常生活圏域別のデータ</t>
        </is>
      </c>
      <c r="E108"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08" s="5" t="inlineStr">
        <is>
          <t>素案 第1章第7節・第2章
圏域別分析資料
調査クロス集計・分析 01・18シート</t>
        </is>
      </c>
      <c r="G108" s="5" t="inlineStr">
        <is>
          <t>発注者・3町</t>
        </is>
      </c>
      <c r="H108" s="10" t="inlineStr">
        <is>
          <t>確認待ち</t>
        </is>
      </c>
      <c r="I108" s="10" t="inlineStr">
        <is>
          <t>R8.9</t>
        </is>
      </c>
      <c r="J108" s="11" t="inlineStr"/>
    </row>
    <row r="109" ht="88" customHeight="1">
      <c r="A109" s="4" t="n">
        <v>13</v>
      </c>
      <c r="B109" s="4" t="inlineStr">
        <is>
          <t>(4)</t>
        </is>
      </c>
      <c r="C109" s="4" t="inlineStr">
        <is>
          <t>R8.9</t>
        </is>
      </c>
      <c r="D109" s="5" t="inlineStr">
        <is>
          <t>訪問・通所困難地域の判定資料</t>
        </is>
      </c>
      <c r="E109"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09" s="5" t="inlineStr">
        <is>
          <t>素案 第1章第7節
追加調査報告書 03シート
住まいと施設の公表名簿との突合 08シート</t>
        </is>
      </c>
      <c r="G109" s="5" t="inlineStr">
        <is>
          <t>発注者・3町</t>
        </is>
      </c>
      <c r="H109" s="8" t="inlineStr">
        <is>
          <t>実施中</t>
        </is>
      </c>
      <c r="I109" s="10" t="inlineStr">
        <is>
          <t>R8.10</t>
        </is>
      </c>
      <c r="J109" s="11" t="inlineStr"/>
    </row>
    <row r="110" ht="88" customHeight="1">
      <c r="A110" s="4" t="n">
        <v>14</v>
      </c>
      <c r="B110" s="4" t="inlineStr">
        <is>
          <t>(5)</t>
        </is>
      </c>
      <c r="C110" s="4" t="inlineStr">
        <is>
          <t>R8.10</t>
        </is>
      </c>
      <c r="D110" s="5" t="inlineStr">
        <is>
          <t>人口推計の基礎とする系列</t>
        </is>
      </c>
      <c r="E110"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10" s="5" t="inlineStr">
        <is>
          <t>素案 第6章第1節
将来推計</t>
        </is>
      </c>
      <c r="G110" s="5" t="inlineStr">
        <is>
          <t>発注者・3町</t>
        </is>
      </c>
      <c r="H110" s="10" t="inlineStr">
        <is>
          <t>確認待ち</t>
        </is>
      </c>
      <c r="I110" s="10" t="inlineStr">
        <is>
          <t>R8.10</t>
        </is>
      </c>
      <c r="J110" s="11" t="inlineStr"/>
    </row>
    <row r="111" ht="88" customHeight="1">
      <c r="A111" s="4" t="n">
        <v>15</v>
      </c>
      <c r="B111" s="4" t="inlineStr">
        <is>
          <t>(5)</t>
        </is>
      </c>
      <c r="C111" s="4" t="inlineStr">
        <is>
          <t>R8.10</t>
        </is>
      </c>
      <c r="D111" s="5" t="inlineStr">
        <is>
          <t>認定者数の基準月と月次推移</t>
        </is>
      </c>
      <c r="E111" s="5" t="inlineStr">
        <is>
          <t>令和3〜8年度の各月の認定者数。推計ガイドは9月末を目安としつつ「年度内平均値に近い月を選択する」としているため、当広域連合の月次推移を確認して基準月を選定する。</t>
        </is>
      </c>
      <c r="F111" s="5" t="inlineStr">
        <is>
          <t>素案 第6章第1節
将来推計</t>
        </is>
      </c>
      <c r="G111" s="5" t="inlineStr">
        <is>
          <t>発注者</t>
        </is>
      </c>
      <c r="H111" s="10" t="inlineStr">
        <is>
          <t>確認待ち</t>
        </is>
      </c>
      <c r="I111" s="10" t="inlineStr">
        <is>
          <t>R8.10</t>
        </is>
      </c>
      <c r="J111" s="11" t="inlineStr"/>
    </row>
    <row r="112" ht="88" customHeight="1">
      <c r="A112" s="4" t="n">
        <v>16</v>
      </c>
      <c r="B112" s="4" t="inlineStr">
        <is>
          <t>(5)</t>
        </is>
      </c>
      <c r="C112" s="4" t="inlineStr">
        <is>
          <t>R8.11</t>
        </is>
      </c>
      <c r="D112" s="5" t="inlineStr">
        <is>
          <t>保険料算定の前提</t>
        </is>
      </c>
      <c r="E112" s="5" t="inlineStr">
        <is>
          <t>①介護給付費準備基金の残高推移と取崩実績（第7期〜第9期）、②保険料収納率の実績（第7期〜第9期）、③所得段階別被保険者数、④地域支援事業費の区分別内訳（総合事業・包括的支援事業・任意事業）。</t>
        </is>
      </c>
      <c r="F112" s="5" t="inlineStr">
        <is>
          <t>素案 第6章第3節・第6節
保険料算定表</t>
        </is>
      </c>
      <c r="G112" s="5" t="inlineStr">
        <is>
          <t>発注者</t>
        </is>
      </c>
      <c r="H112" s="10" t="inlineStr">
        <is>
          <t>確認待ち</t>
        </is>
      </c>
      <c r="I112" s="10" t="inlineStr">
        <is>
          <t>R8.11</t>
        </is>
      </c>
      <c r="J112" s="11" t="inlineStr"/>
    </row>
    <row r="113" ht="88" customHeight="1">
      <c r="A113" s="4" t="n">
        <v>17</v>
      </c>
      <c r="B113" s="4" t="inlineStr">
        <is>
          <t>(6)</t>
        </is>
      </c>
      <c r="C113" s="4" t="inlineStr">
        <is>
          <t>R8.10</t>
        </is>
      </c>
      <c r="D113" s="5" t="inlineStr">
        <is>
          <t>3町計画への共通指標の掲載</t>
        </is>
      </c>
      <c r="E113"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113" s="5" t="inlineStr">
        <is>
          <t>素案 資料2
3町協議資料</t>
        </is>
      </c>
      <c r="G113" s="5" t="inlineStr">
        <is>
          <t>発注者・3町</t>
        </is>
      </c>
      <c r="H113" s="10" t="inlineStr">
        <is>
          <t>確認待ち</t>
        </is>
      </c>
      <c r="I113" s="10" t="inlineStr">
        <is>
          <t>R8.10</t>
        </is>
      </c>
      <c r="J113" s="11" t="inlineStr"/>
    </row>
    <row r="114" ht="88" customHeight="1">
      <c r="A114" s="4" t="n">
        <v>18</v>
      </c>
      <c r="B114" s="4" t="inlineStr">
        <is>
          <t>(6)</t>
        </is>
      </c>
      <c r="C114" s="4" t="inlineStr">
        <is>
          <t>R8.10</t>
        </is>
      </c>
      <c r="D114" s="5" t="inlineStr">
        <is>
          <t>骨子案の内容の確認</t>
        </is>
      </c>
      <c r="E114" s="5" t="inlineStr">
        <is>
          <t>令和8年8月に骨子案を作成した（11節22表）。第10節に決定・確認を要する事項12件を整理している。章立て、基本理念、5つの基本目標、代表KPI16項目の枠組み及び算定の枠組みについて、ご意向を確認する。</t>
        </is>
      </c>
      <c r="F114" s="5" t="inlineStr">
        <is>
          <t>骨子案
素案の次稿</t>
        </is>
      </c>
      <c r="G114" s="5" t="inlineStr">
        <is>
          <t>発注者</t>
        </is>
      </c>
      <c r="H114" s="10" t="inlineStr">
        <is>
          <t>確認待ち</t>
        </is>
      </c>
      <c r="I114" s="10" t="inlineStr">
        <is>
          <t>R8.9</t>
        </is>
      </c>
      <c r="J114" s="11" t="inlineStr"/>
    </row>
    <row r="115" ht="88" customHeight="1">
      <c r="A115" s="4" t="n">
        <v>19</v>
      </c>
      <c r="B115" s="4" t="inlineStr">
        <is>
          <t>(8)(9)</t>
        </is>
      </c>
      <c r="C115" s="4" t="inlineStr">
        <is>
          <t>R8.8</t>
        </is>
      </c>
      <c r="D115" s="5" t="inlineStr">
        <is>
          <t>会議日程とパブリックコメントの期間</t>
        </is>
      </c>
      <c r="E115" s="5" t="inlineStr">
        <is>
          <t>①介護保険事業計画策定委員会（運営協議会）の開催日程、審議事項、資料提出期限、②パブリックコメントの実施期間、③町別値・少数値の公表基準。工程の確定と資料作成の逆算に必要。</t>
        </is>
      </c>
      <c r="F115" s="5" t="inlineStr">
        <is>
          <t>委員会資料原案
パブリックコメント資料</t>
        </is>
      </c>
      <c r="G115" s="5" t="inlineStr">
        <is>
          <t>発注者</t>
        </is>
      </c>
      <c r="H115" s="10" t="inlineStr">
        <is>
          <t>確認待ち</t>
        </is>
      </c>
      <c r="I115" s="10" t="inlineStr">
        <is>
          <t>R8.8</t>
        </is>
      </c>
      <c r="J115" s="11" t="inlineStr"/>
    </row>
    <row r="116" ht="88" customHeight="1">
      <c r="A116" s="4" t="n">
        <v>20</v>
      </c>
      <c r="B116" s="4" t="inlineStr">
        <is>
          <t>(8)</t>
        </is>
      </c>
      <c r="C116" s="4" t="inlineStr">
        <is>
          <t>R8.9</t>
        </is>
      </c>
      <c r="D116" s="5" t="inlineStr">
        <is>
          <t>北海道・圏域との調整の場</t>
        </is>
      </c>
      <c r="E116" s="5" t="inlineStr">
        <is>
          <t>上川中部高齢者保健福祉圏域に関する北海道の調整方針、圏域連絡協議会の資料、及び圏域単位の協議の場の設置予定。24時間対応サービスの確保方策（第6章第4節）の検討に必要。</t>
        </is>
      </c>
      <c r="F116" s="5" t="inlineStr">
        <is>
          <t>素案 第6章第4節</t>
        </is>
      </c>
      <c r="G116" s="5" t="inlineStr">
        <is>
          <t>発注者・北海道</t>
        </is>
      </c>
      <c r="H116" s="10" t="inlineStr">
        <is>
          <t>確認待ち</t>
        </is>
      </c>
      <c r="I116" s="10" t="inlineStr">
        <is>
          <t>R8.10</t>
        </is>
      </c>
      <c r="J116" s="11" t="inlineStr"/>
    </row>
    <row r="117" ht="88" customHeight="1">
      <c r="A117" s="4" t="n">
        <v>21</v>
      </c>
      <c r="B117" s="4" t="inlineStr">
        <is>
          <t>(10)</t>
        </is>
      </c>
      <c r="C117" s="4" t="inlineStr">
        <is>
          <t>R8.10</t>
        </is>
      </c>
      <c r="D117" s="5" t="inlineStr">
        <is>
          <t>成果品の仕様</t>
        </is>
      </c>
      <c r="E117" s="5" t="inlineStr">
        <is>
          <t>①本文100頁程度に対する章別のページ配分、②図表の本文掲載点数の上限、③概要版の頁数と体裁、④印刷・製本の入稿期限。図表集は33シート133点あり、本文に何点まで掲載するかの決定を要する。</t>
        </is>
      </c>
      <c r="F117" s="5" t="inlineStr">
        <is>
          <t>計画書（印刷200部）
概要版</t>
        </is>
      </c>
      <c r="G117" s="5" t="inlineStr">
        <is>
          <t>発注者</t>
        </is>
      </c>
      <c r="H117" s="10" t="inlineStr">
        <is>
          <t>確認待ち</t>
        </is>
      </c>
      <c r="I117" s="10" t="inlineStr">
        <is>
          <t>R8.10</t>
        </is>
      </c>
      <c r="J117" s="11" t="inlineStr"/>
    </row>
    <row r="118" ht="88" customHeight="1">
      <c r="A118" s="4" t="n">
        <v>22</v>
      </c>
      <c r="B118" s="4" t="inlineStr">
        <is>
          <t>(1)</t>
        </is>
      </c>
      <c r="C118" s="4" t="inlineStr">
        <is>
          <t>R8.9</t>
        </is>
      </c>
      <c r="D118" s="5" t="inlineStr">
        <is>
          <t>北海道の評価指標の読替えの考え方</t>
        </is>
      </c>
      <c r="E118"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118" s="5" t="inlineStr">
        <is>
          <t>素案 第1章第6節
追加調査報告書 04シート</t>
        </is>
      </c>
      <c r="G118" s="5" t="inlineStr">
        <is>
          <t>発注者・北海道</t>
        </is>
      </c>
      <c r="H118" s="10" t="inlineStr">
        <is>
          <t>確認待ち</t>
        </is>
      </c>
      <c r="I118" s="10" t="inlineStr">
        <is>
          <t>R8.9</t>
        </is>
      </c>
      <c r="J118" s="11" t="inlineStr"/>
    </row>
    <row r="119" ht="88" customHeight="1">
      <c r="A119" s="4" t="n">
        <v>23</v>
      </c>
      <c r="B119" s="4" t="inlineStr">
        <is>
          <t>(2)</t>
        </is>
      </c>
      <c r="C119" s="4" t="inlineStr">
        <is>
          <t>R8.9</t>
        </is>
      </c>
      <c r="D119" s="5" t="inlineStr">
        <is>
          <t>事業所の定員・稼働率データ</t>
        </is>
      </c>
      <c r="E119"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119" s="5" t="inlineStr">
        <is>
          <t>素案 第2章第3節・第6章第4節
図21・図22</t>
        </is>
      </c>
      <c r="G119" s="5" t="inlineStr">
        <is>
          <t>発注者・3町</t>
        </is>
      </c>
      <c r="H119" s="10" t="inlineStr">
        <is>
          <t>確認待ち</t>
        </is>
      </c>
      <c r="I119" s="10" t="inlineStr">
        <is>
          <t>R8.10</t>
        </is>
      </c>
      <c r="J119" s="11" t="inlineStr"/>
    </row>
    <row r="120" ht="88" customHeight="1">
      <c r="A120" s="4" t="n">
        <v>24</v>
      </c>
      <c r="B120" s="4" t="inlineStr">
        <is>
          <t>(6)</t>
        </is>
      </c>
      <c r="C120" s="4" t="inlineStr">
        <is>
          <t>R8.11</t>
        </is>
      </c>
      <c r="D120" s="5" t="inlineStr">
        <is>
          <t>24時間対応サービスの確保方策の決定</t>
        </is>
      </c>
      <c r="E120"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120" s="5" t="inlineStr">
        <is>
          <t>素案 第6章第2節・第4節
見込量表（3種別）</t>
        </is>
      </c>
      <c r="G120" s="5" t="inlineStr">
        <is>
          <t>発注者</t>
        </is>
      </c>
      <c r="H120" s="10" t="inlineStr">
        <is>
          <t>確認待ち</t>
        </is>
      </c>
      <c r="I120" s="10" t="inlineStr">
        <is>
          <t>R8.11</t>
        </is>
      </c>
      <c r="J120" s="11" t="inlineStr"/>
    </row>
    <row r="121" ht="88" customHeight="1">
      <c r="A121" s="4" t="n">
        <v>25</v>
      </c>
      <c r="B121" s="4" t="inlineStr">
        <is>
          <t>(6)</t>
        </is>
      </c>
      <c r="C121" s="4" t="inlineStr">
        <is>
          <t>R8.11</t>
        </is>
      </c>
      <c r="D121" s="5" t="inlineStr">
        <is>
          <t>代表KPIの目標値の決定</t>
        </is>
      </c>
      <c r="E121"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121" s="5" t="inlineStr">
        <is>
          <t>素案 第4章第3節・第5章
全16KPIの目標値</t>
        </is>
      </c>
      <c r="G121" s="5" t="inlineStr">
        <is>
          <t>発注者</t>
        </is>
      </c>
      <c r="H121" s="10" t="inlineStr">
        <is>
          <t>確認待ち</t>
        </is>
      </c>
      <c r="I121" s="10" t="inlineStr">
        <is>
          <t>R8.12</t>
        </is>
      </c>
      <c r="J121" s="11" t="inlineStr"/>
    </row>
    <row r="122" ht="88" customHeight="1">
      <c r="A122" s="4" t="n">
        <v>26</v>
      </c>
      <c r="B122" s="4" t="inlineStr">
        <is>
          <t>(4)</t>
        </is>
      </c>
      <c r="C122" s="4" t="inlineStr">
        <is>
          <t>R8.10</t>
        </is>
      </c>
      <c r="D122" s="5" t="inlineStr">
        <is>
          <t>認知症・医療介護連携の実績データ</t>
        </is>
      </c>
      <c r="E122"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122" s="5" t="inlineStr">
        <is>
          <t>素案 第5章 基本目標1・5
図表集 認知症・医療連携</t>
        </is>
      </c>
      <c r="G122" s="5" t="inlineStr">
        <is>
          <t>発注者・3町・北海道</t>
        </is>
      </c>
      <c r="H122" s="10" t="inlineStr">
        <is>
          <t>確認待ち</t>
        </is>
      </c>
      <c r="I122" s="10" t="inlineStr">
        <is>
          <t>R8.10</t>
        </is>
      </c>
      <c r="J122" s="11" t="inlineStr"/>
    </row>
    <row r="123" ht="88" customHeight="1">
      <c r="A123" s="4" t="n">
        <v>27</v>
      </c>
      <c r="B123" s="4" t="inlineStr">
        <is>
          <t>(3)</t>
        </is>
      </c>
      <c r="C123" s="4" t="inlineStr">
        <is>
          <t>R8.9</t>
        </is>
      </c>
      <c r="D123" s="5" t="inlineStr">
        <is>
          <t>令和4年度 健康とくらしの調査の集計表</t>
        </is>
      </c>
      <c r="E123"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123" s="5" t="inlineStr">
        <is>
          <t>調査クロス集計・分析 14シート
素案 第2章第4節</t>
        </is>
      </c>
      <c r="G123" s="5" t="inlineStr">
        <is>
          <t>発注者</t>
        </is>
      </c>
      <c r="H123" s="10" t="inlineStr">
        <is>
          <t>確認待ち</t>
        </is>
      </c>
      <c r="I123" s="10" t="inlineStr">
        <is>
          <t>R8.9</t>
        </is>
      </c>
      <c r="J123" s="11" t="inlineStr"/>
    </row>
    <row r="124" ht="88" customHeight="1">
      <c r="A124" s="4" t="n">
        <v>28</v>
      </c>
      <c r="B124" s="4" t="inlineStr">
        <is>
          <t>(3)</t>
        </is>
      </c>
      <c r="C124" s="4" t="inlineStr">
        <is>
          <t>R8.9</t>
        </is>
      </c>
      <c r="D124" s="5" t="inlineStr">
        <is>
          <t>調査対象者の範囲の確認</t>
        </is>
      </c>
      <c r="E124"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124" s="5" t="inlineStr">
        <is>
          <t>調査クロス集計・分析 13・14シート
H06・H11の基準値</t>
        </is>
      </c>
      <c r="G124" s="5" t="inlineStr">
        <is>
          <t>発注者</t>
        </is>
      </c>
      <c r="H124" s="10" t="inlineStr">
        <is>
          <t>確認待ち</t>
        </is>
      </c>
      <c r="I124" s="10" t="inlineStr">
        <is>
          <t>R8.9</t>
        </is>
      </c>
      <c r="J124" s="11" t="inlineStr"/>
    </row>
    <row r="125" ht="88" customHeight="1">
      <c r="A125" s="4" t="n">
        <v>29</v>
      </c>
      <c r="B125" s="4" t="inlineStr">
        <is>
          <t>(5)</t>
        </is>
      </c>
      <c r="C125" s="4" t="inlineStr">
        <is>
          <t>R8.10</t>
        </is>
      </c>
      <c r="D125" s="5" t="inlineStr">
        <is>
          <t>重度化の速度の前提</t>
        </is>
      </c>
      <c r="E125"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125" s="5" t="inlineStr">
        <is>
          <t>素案 第6章第1節
認定者数・給付費の推計</t>
        </is>
      </c>
      <c r="G125" s="5" t="inlineStr">
        <is>
          <t>発注者</t>
        </is>
      </c>
      <c r="H125" s="10" t="inlineStr">
        <is>
          <t>確認待ち</t>
        </is>
      </c>
      <c r="I125" s="10" t="inlineStr">
        <is>
          <t>R8.10</t>
        </is>
      </c>
      <c r="J125" s="11" t="inlineStr"/>
    </row>
    <row r="126" ht="88" customHeight="1">
      <c r="A126" s="4" t="n">
        <v>30</v>
      </c>
      <c r="B126" s="4" t="inlineStr">
        <is>
          <t>(5)</t>
        </is>
      </c>
      <c r="C126" s="4" t="inlineStr">
        <is>
          <t>R8.10</t>
        </is>
      </c>
      <c r="D126" s="5" t="inlineStr">
        <is>
          <t>施設入所者と在宅者を分けた要介護度の変化</t>
        </is>
      </c>
      <c r="E126"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126" s="5" t="inlineStr">
        <is>
          <t>重度化の速度の前提
保険料と施策評価の他団体比較 05シート</t>
        </is>
      </c>
      <c r="G126" s="5" t="inlineStr">
        <is>
          <t>発注者</t>
        </is>
      </c>
      <c r="H126" s="10" t="inlineStr">
        <is>
          <t>確認待ち</t>
        </is>
      </c>
      <c r="I126" s="10" t="inlineStr">
        <is>
          <t>R8.10</t>
        </is>
      </c>
      <c r="J126" s="11" t="inlineStr"/>
    </row>
    <row r="127" ht="88" customHeight="1">
      <c r="A127" s="4" t="n">
        <v>31</v>
      </c>
      <c r="B127" s="4" t="inlineStr">
        <is>
          <t>(5)</t>
        </is>
      </c>
      <c r="C127" s="4" t="inlineStr">
        <is>
          <t>R8.10</t>
        </is>
      </c>
      <c r="D127" s="5" t="inlineStr">
        <is>
          <t>給付適正化の実施予定と推計での扱い</t>
        </is>
      </c>
      <c r="E127"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127" s="5" t="inlineStr">
        <is>
          <t>素案 第6章第2節・第5章・第7章
給付費の推計</t>
        </is>
      </c>
      <c r="G127" s="5" t="inlineStr">
        <is>
          <t>発注者</t>
        </is>
      </c>
      <c r="H127" s="10" t="inlineStr">
        <is>
          <t>確認待ち</t>
        </is>
      </c>
      <c r="I127" s="10" t="inlineStr">
        <is>
          <t>R8.10</t>
        </is>
      </c>
      <c r="J127" s="11" t="inlineStr"/>
    </row>
    <row r="128" ht="88" customHeight="1">
      <c r="A128" s="4" t="n">
        <v>32</v>
      </c>
      <c r="B128" s="4" t="inlineStr">
        <is>
          <t>(2)</t>
        </is>
      </c>
      <c r="C128" s="4" t="inlineStr">
        <is>
          <t>R8.9</t>
        </is>
      </c>
      <c r="D128" s="5" t="inlineStr">
        <is>
          <t>第7期の保険料基準額</t>
        </is>
      </c>
      <c r="E128" s="5" t="inlineStr">
        <is>
          <t>見える化システムの値は6,077円であるが、計画素案では当初5,900円としていた。剰余の累計＋159円／月は6,077円を前提としたときにのみ整合する（(6,077－6,024)×3＝159）。条例による第7期の基準額の確認を要する。</t>
        </is>
      </c>
      <c r="F128" s="5" t="inlineStr">
        <is>
          <t>素案 第6章第6節
保険料の推移</t>
        </is>
      </c>
      <c r="G128" s="5" t="inlineStr">
        <is>
          <t>発注者</t>
        </is>
      </c>
      <c r="H128" s="6" t="inlineStr">
        <is>
          <t>完了</t>
        </is>
      </c>
      <c r="I128" s="10" t="inlineStr">
        <is>
          <t>R8.9</t>
        </is>
      </c>
      <c r="J128" s="11" t="inlineStr">
        <is>
          <t>見える化C1（介護保険事業計画報告値）により6,077円を確認した（令和8年7月30日受領）。条例による確認は不要となった。</t>
        </is>
      </c>
    </row>
    <row r="129" ht="88" customHeight="1">
      <c r="A129" s="4" t="n">
        <v>33</v>
      </c>
      <c r="B129" s="4" t="inlineStr">
        <is>
          <t>(5)</t>
        </is>
      </c>
      <c r="C129" s="4" t="inlineStr">
        <is>
          <t>R8.10</t>
        </is>
      </c>
      <c r="D129" s="5" t="inlineStr">
        <is>
          <t>第10期の政令改正の内容（所得段階）</t>
        </is>
      </c>
      <c r="E129"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129" s="5" t="inlineStr">
        <is>
          <t>第10期の段階設計
保険料の算定</t>
        </is>
      </c>
      <c r="G129" s="5" t="inlineStr">
        <is>
          <t>国の情報</t>
        </is>
      </c>
      <c r="H129" s="10" t="inlineStr">
        <is>
          <t>確認待ち</t>
        </is>
      </c>
      <c r="I129" s="10" t="inlineStr">
        <is>
          <t>告示後</t>
        </is>
      </c>
      <c r="J129" s="11" t="inlineStr"/>
    </row>
    <row r="130" ht="88" customHeight="1">
      <c r="A130" s="4" t="n">
        <v>34</v>
      </c>
      <c r="B130" s="4" t="inlineStr">
        <is>
          <t>(2)</t>
        </is>
      </c>
      <c r="C130" s="4" t="inlineStr">
        <is>
          <t>R8.10</t>
        </is>
      </c>
      <c r="D130" s="5" t="inlineStr">
        <is>
          <t>第9段階の乗率の経緯</t>
        </is>
      </c>
      <c r="E130"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130" s="5" t="inlineStr">
        <is>
          <t>第10期の段階設計
保険料の所得段階と低所得者軽減の検証 08シート</t>
        </is>
      </c>
      <c r="G130" s="5" t="inlineStr">
        <is>
          <t>発注者</t>
        </is>
      </c>
      <c r="H130" s="10" t="inlineStr">
        <is>
          <t>確認待ち</t>
        </is>
      </c>
      <c r="I130" s="10" t="inlineStr">
        <is>
          <t>R8.10</t>
        </is>
      </c>
      <c r="J130" s="11" t="inlineStr"/>
    </row>
    <row r="131" ht="88" customHeight="1">
      <c r="A131" s="4" t="n">
        <v>35</v>
      </c>
      <c r="B131" s="4" t="inlineStr">
        <is>
          <t>(4)</t>
        </is>
      </c>
      <c r="C131" s="4" t="inlineStr">
        <is>
          <t>R8.10</t>
        </is>
      </c>
      <c r="D131" s="5" t="inlineStr">
        <is>
          <t>上川管内の保険者の所得段階数と乗率</t>
        </is>
      </c>
      <c r="E131" s="5" t="inlineStr">
        <is>
          <t>上川管内21保険者の第9期の所得段階数と乗率。多段階化の状況を比較するために必要。北海道の資料又は各保険者の保険料条例による。</t>
        </is>
      </c>
      <c r="F131" s="5" t="inlineStr">
        <is>
          <t>保険料の所得段階と低所得者軽減の検証 05シート</t>
        </is>
      </c>
      <c r="G131" s="5" t="inlineStr">
        <is>
          <t>発注者・北海道</t>
        </is>
      </c>
      <c r="H131" s="10" t="inlineStr">
        <is>
          <t>確認待ち</t>
        </is>
      </c>
      <c r="I131" s="10" t="inlineStr">
        <is>
          <t>R8.10</t>
        </is>
      </c>
      <c r="J131" s="11" t="inlineStr"/>
    </row>
    <row r="132" ht="88" customHeight="1">
      <c r="A132" s="4" t="n">
        <v>36</v>
      </c>
      <c r="B132" s="4" t="inlineStr">
        <is>
          <t>(5)</t>
        </is>
      </c>
      <c r="C132" s="4" t="inlineStr">
        <is>
          <t>R8.10</t>
        </is>
      </c>
      <c r="D132" s="5" t="inlineStr">
        <is>
          <t>所得段階別被保険者数の実績と収納率</t>
        </is>
      </c>
      <c r="E132"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132" s="5" t="inlineStr">
        <is>
          <t>所得段階別被保険者数の推計
保険料の算定
素案 第6章第7節</t>
        </is>
      </c>
      <c r="G132" s="5" t="inlineStr">
        <is>
          <t>発注者</t>
        </is>
      </c>
      <c r="H132" s="10" t="inlineStr">
        <is>
          <t>確認待ち</t>
        </is>
      </c>
      <c r="I132" s="10" t="inlineStr">
        <is>
          <t>R8.10</t>
        </is>
      </c>
      <c r="J132" s="11" t="inlineStr"/>
    </row>
    <row r="133" ht="88" customHeight="1">
      <c r="A133" s="4" t="n">
        <v>37</v>
      </c>
      <c r="B133" s="4" t="inlineStr">
        <is>
          <t>(2)</t>
        </is>
      </c>
      <c r="C133" s="4" t="inlineStr">
        <is>
          <t>R8.8</t>
        </is>
      </c>
      <c r="D133" s="5" t="inlineStr">
        <is>
          <t>年齢階級別・要介護度別の認定率</t>
        </is>
      </c>
      <c r="E133"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133" s="5" t="inlineStr">
        <is>
          <t>素案 第3章第4節
妥当性検証 所見7</t>
        </is>
      </c>
      <c r="G133" s="5" t="inlineStr">
        <is>
          <t>発注者</t>
        </is>
      </c>
      <c r="H133" s="6" t="inlineStr">
        <is>
          <t>完了</t>
        </is>
      </c>
      <c r="I133" s="10" t="inlineStr">
        <is>
          <t>R8.8</t>
        </is>
      </c>
      <c r="J133" s="11" t="inlineStr">
        <is>
          <t>令和8年7月29日にB4a・B4c・B4d・B4e・B5a・B6a・B6bを受領。認定率の年齢調整分析（7シート）として分析済み</t>
        </is>
      </c>
    </row>
    <row r="134" ht="88" customHeight="1">
      <c r="A134" s="4" t="n">
        <v>38</v>
      </c>
      <c r="B134" s="4" t="inlineStr">
        <is>
          <t>(2)</t>
        </is>
      </c>
      <c r="C134" s="4" t="inlineStr">
        <is>
          <t>R8.9</t>
        </is>
      </c>
      <c r="D134" s="5" t="inlineStr">
        <is>
          <t>交付金評価の令和6年・令和7年調査の結果</t>
        </is>
      </c>
      <c r="E134"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134" s="5" t="inlineStr">
        <is>
          <t>素案 第3章第4節
妥当性検証 所見18・19</t>
        </is>
      </c>
      <c r="G134" s="5" t="inlineStr">
        <is>
          <t>発注者</t>
        </is>
      </c>
      <c r="H134" s="10" t="inlineStr">
        <is>
          <t>確認待ち</t>
        </is>
      </c>
      <c r="I134" s="10" t="inlineStr">
        <is>
          <t>R8.9</t>
        </is>
      </c>
      <c r="J134" s="11" t="inlineStr"/>
    </row>
    <row r="135" ht="88" customHeight="1">
      <c r="A135" s="4" t="n">
        <v>134</v>
      </c>
      <c r="B135" s="4" t="inlineStr">
        <is>
          <t>(5)</t>
        </is>
      </c>
      <c r="C135" s="4" t="inlineStr">
        <is>
          <t>R8.9</t>
        </is>
      </c>
      <c r="D135" s="5" t="inlineStr">
        <is>
          <t>年報（令和7年度）の様式別データのご提供</t>
        </is>
      </c>
      <c r="E135" s="5" t="inlineStr">
        <is>
          <t>見える化システムの令和8年度の実績見込み値を令和7年度に差し替えるに当たり、要介護度別の確定値を作るには年報（令和7年度）の次の様式が必要である。①様式1の5（要介護（要支援）認定者数。性別・年齢階級別）、②様式1の6（15）及び様式1の7（16）（18）（サービス別・要介護度別の受給者数）、③様式1の7（17）（19）（同 利用回（日）数）、④様式2（件数）。</t>
        </is>
      </c>
      <c r="F135" s="5" t="inlineStr">
        <is>
          <t>将来推計 第2段階
サービス見込量 第1次概算</t>
        </is>
      </c>
      <c r="G135" s="5" t="inlineStr">
        <is>
          <t>発注者</t>
        </is>
      </c>
      <c r="H135" s="6" t="inlineStr">
        <is>
          <t>完了</t>
        </is>
      </c>
      <c r="I135" s="10" t="inlineStr">
        <is>
          <t>R8.9</t>
        </is>
      </c>
      <c r="J135" s="11" t="inlineStr">
        <is>
          <t>令和8年9月11日に年報（令和7年度）の全様式を電子データで確認し、①〜④のすべてが得られた。②③④の要介護度別を確定値に置き換え、12で除した値が総括表詳細（１）と全24サービスで一致することを検算した（令和8年度実績見込み値の入力案 02〜06シート）。当該データは令和8年8月28日に受領済みの資料No.22と同一であり、当方が主要値のみを取り込み明細を取り込んでいなかったことによる起票であった。明細は data_nenpo_meisai.py に収めた。本確認事項は当方の取込漏れによるものであり取り下げる</t>
        </is>
      </c>
    </row>
    <row r="136" ht="88" customHeight="1">
      <c r="A136" s="4" t="n">
        <v>135</v>
      </c>
      <c r="B136" s="4" t="inlineStr">
        <is>
          <t>(5)</t>
        </is>
      </c>
      <c r="C136" s="4" t="inlineStr">
        <is>
          <t>R8.9</t>
        </is>
      </c>
      <c r="D136" s="5" t="inlineStr">
        <is>
          <t>実績見込み値の入力欄が小数を受け付けるか</t>
        </is>
      </c>
      <c r="E136" s="5" t="inlineStr">
        <is>
          <t>整数に丸めると0又は1になるサービスがある。定期巡回・随時対応型訪問介護看護は月平均0.583人、認知症対応型通所介護は月平均1.000人である（いずれも区域内に事業所がなく区域外の事業所の利用による）。各欄を単純に四捨五入すると全欄が0になり、令和9年度から令和11年度も0のまま残る。</t>
        </is>
      </c>
      <c r="F136" s="5" t="inlineStr">
        <is>
          <t>将来推計 第2段階</t>
        </is>
      </c>
      <c r="G136" s="5" t="inlineStr">
        <is>
          <t>発注者</t>
        </is>
      </c>
      <c r="H136" s="6" t="inlineStr">
        <is>
          <t>完了</t>
        </is>
      </c>
      <c r="I136" s="10" t="inlineStr">
        <is>
          <t>R8.9</t>
        </is>
      </c>
      <c r="J136" s="11" t="inlineStr">
        <is>
          <t>令和8年9月11日、弊社の別案件において実際に小数を入力して出力された推計結果により解決した。①利用者数（人数）の欄は整数で扱われる（同じ表で令和6・7年度の人数は小数10桁まで表示されるのに対し、編集した令和8年度の人数は全45サービスが整数、令和9〜11年度の推計値も全135件が整数）。②利用回（日）数の欄は小数第1位まで受け付ける。当方は人数を最大剰余法による整数版（要支援・要介護の群ごとの合計を保つ）、利用回（日）数を小数第1位版として用意した。定期巡回は要介護5に1人が立ち0にはならない（令和8年度実績見込み値の入力案 02・03・04・05シート）</t>
        </is>
      </c>
    </row>
    <row r="137" ht="88" customHeight="1">
      <c r="A137" s="4" t="n">
        <v>137</v>
      </c>
      <c r="B137" s="4" t="inlineStr">
        <is>
          <t>(5)</t>
        </is>
      </c>
      <c r="C137" s="4" t="inlineStr">
        <is>
          <t>R8.9</t>
        </is>
      </c>
      <c r="D137" s="5" t="inlineStr">
        <is>
          <t>1人1月あたり給付費の実績値をどの年度にするか</t>
        </is>
      </c>
      <c r="E137" s="5" t="inlineStr">
        <is>
          <t>見える化システムの「推計方法の設定」には、1人1月あたり給付費の実績値を令和7年度とするか令和8年度とするかを選ぶ項目があり、施設・居住系と在宅で別に選べる。①当方は令和7年度（12か月の完結年度）を選ぶ案としたい。②ただし当方の検証では、単価は介護報酬改定の有無に関係なく年率1.75％で伸びており（構成を固定した連鎖ラスパイレス指数で7年＋12.93％）、令和7年度で固定することは月額で＋185〜＋374円に当たる。③令和9年度は介護報酬改定の年である（3年周期。第10期の初年度）。改定率1％あたり月額＋61円である。④施設・居住系と在宅で年度をそろえるかどうかも併せてご判断いただきたい。</t>
        </is>
      </c>
      <c r="F137" s="5" t="inlineStr">
        <is>
          <t>将来推計 第2段階
サービス見込量 第1次概算</t>
        </is>
      </c>
      <c r="G137" s="5" t="inlineStr">
        <is>
          <t>発注者</t>
        </is>
      </c>
      <c r="H137" s="10" t="inlineStr">
        <is>
          <t>確認待ち</t>
        </is>
      </c>
      <c r="I137" s="10" t="inlineStr">
        <is>
          <t>R8.9</t>
        </is>
      </c>
      <c r="J137" s="11" t="inlineStr">
        <is>
          <t>令和8年度実績見込み値の入力案 00シート3。趨勢に現れない要因の分析（確認事項No.109〜No.111）と一体</t>
        </is>
      </c>
    </row>
    <row r="138" ht="88" customHeight="1">
      <c r="A138" s="4" t="n">
        <v>138</v>
      </c>
      <c r="B138" s="4" t="inlineStr">
        <is>
          <t>(5)</t>
        </is>
      </c>
      <c r="C138" s="4" t="inlineStr">
        <is>
          <t>R8.9</t>
        </is>
      </c>
      <c r="D138" s="5" t="inlineStr">
        <is>
          <t>認定者数の実績見込み値を編集する項目が画面にあるか</t>
        </is>
      </c>
      <c r="E138" s="5" t="inlineStr">
        <is>
          <t>当方は令和8年9月11日に「差し替えは4画面ある」とお伝えしたが、①認定者数について編集する項目が画面にあるかを確かめられていない。①受領した画面の写しで「実績及び推計方法の設定」に列挙されている編集項目は、（3）1）施設・居住系サービス利用者数の実績見込み値、（4）1）在宅サービス利用者数の実績見込み値、（4）2）在宅サービス利用回（日）数の実績見込み値の3件であり、認定者数の実績見込み値を編集する項目は写っていない。②画面の認定率は令和7年度・令和8年度とも20.84％で同じであり、令和8年度は既に令和7年度の率で置かれている可能性がある。③編集する項目がある場合は年報の実数（第1号1,984人）を入力する。ただし見える化システムの認定率の定義は当方と異なるため（画面20.84％・当方21.8％。時点も画面は各年9月末、当方は年度末。確認事項No.125が未解決）、年度末の実数をそのまま置いてよいかを併せてご確認いただきたい。④編集する項目がない場合は、認定率の伸びに「当該市町村における令和6年度→令和7年度の伸び」を選ぶことで令和8年度の影響を避ける形になる。</t>
        </is>
      </c>
      <c r="F138" s="5" t="inlineStr">
        <is>
          <t>将来推計 第2段階</t>
        </is>
      </c>
      <c r="G138" s="5" t="inlineStr">
        <is>
          <t>発注者</t>
        </is>
      </c>
      <c r="H138" s="10" t="inlineStr">
        <is>
          <t>確認待ち</t>
        </is>
      </c>
      <c r="I138" s="10" t="inlineStr">
        <is>
          <t>R8.9</t>
        </is>
      </c>
      <c r="J138" s="11" t="inlineStr">
        <is>
          <t>令和8年度実績見込み値の入力案 00シート1・07シート。②③④はそのまま入力できるため、本件は①のみに関わる</t>
        </is>
      </c>
    </row>
    <row r="139" ht="88" customHeight="1">
      <c r="A139" s="4" t="n">
        <v>139</v>
      </c>
      <c r="B139" s="4" t="inlineStr">
        <is>
          <t>(3)</t>
        </is>
      </c>
      <c r="C139" s="4" t="inlineStr">
        <is>
          <t>R8.9</t>
        </is>
      </c>
      <c r="D139" s="5" t="inlineStr">
        <is>
          <t>健康とくらしの調査の個票の再提供の要否</t>
        </is>
      </c>
      <c r="E139" s="5" t="inlineStr">
        <is>
          <t>「調査クロス集計・分析」（24シート）を作るスクリプトは健康とくらしの調査の個票CSV（4,729票）を読む。個票は発注者指示（令和8年8月28日）によりリポジトリに格納しておらず、作業領域にも残っていないため再実行できない。成果品そのものは収録済みで内容は確定しており、計画素案・代表KPIへの反映も済んでいるため現時点で不足はない。①今後、地区の定義の変更（確認事項No.9）や設問の追加集計により作り直しが必要になる場合は個票の再提供を要する。②その場合も個票はリポジトリに格納せず、作業領域にとどめて作業後に消去する。③作り直しの予定がなければ再提供は不要である。</t>
        </is>
      </c>
      <c r="F139" s="5" t="inlineStr">
        <is>
          <t>調査クロス集計・分析の更新</t>
        </is>
      </c>
      <c r="G139" s="5" t="inlineStr">
        <is>
          <t>発注者</t>
        </is>
      </c>
      <c r="H139" s="10" t="inlineStr">
        <is>
          <t>確認待ち</t>
        </is>
      </c>
      <c r="I139" s="10" t="inlineStr">
        <is>
          <t>R8.9</t>
        </is>
      </c>
      <c r="J139" s="11" t="inlineStr">
        <is>
          <t>調査結果と年報実績の突合クロス集計 01シート。アンケート関係の成果品7件のうち6件は再出力できる</t>
        </is>
      </c>
    </row>
    <row r="140" ht="88" customHeight="1">
      <c r="A140" s="4" t="n">
        <v>140</v>
      </c>
      <c r="B140" s="4" t="inlineStr">
        <is>
          <t>(3)(6)</t>
        </is>
      </c>
      <c r="C140" s="4" t="inlineStr">
        <is>
          <t>R8.9</t>
        </is>
      </c>
      <c r="D140" s="5" t="inlineStr">
        <is>
          <t>在宅生活改善調査の結果を在宅の認定者全体に当てはめないこと</t>
        </is>
      </c>
      <c r="E140" s="5" t="inlineStr">
        <is>
          <t>在宅生活改善調査の利用者票（要介護度の判明98票）の要介護度分布は、年報による在宅の認定者（1,503.8人）の分布と食い違う（χ²＝43.5、自由度6。1％点16.81）。要介護3が期待6.7人に対し19人（2.8倍）、要支援1が期待18.9人に対し3人（0.16倍）である。ケアマネジャーを通じて在宅生活に困難を抱える方を集めた調査であり、在宅の認定者全体を代表するものではない。①計画素案において本調査の結果を引くときは「在宅で困難を抱える方の状況」として引き、在宅の認定者全体の割合として引かない整理としてよいか。②本調査に基づく代表KPI H12（確認事項No.4の振替案）も同じ母集団の指標となるため、目標値の置き方を併せてご判断いただきたい。</t>
        </is>
      </c>
      <c r="F140" s="5" t="inlineStr">
        <is>
          <t>計画素案 第2章第4節・第4章第3節</t>
        </is>
      </c>
      <c r="G140" s="5" t="inlineStr">
        <is>
          <t>発注者</t>
        </is>
      </c>
      <c r="H140" s="10" t="inlineStr">
        <is>
          <t>確認待ち</t>
        </is>
      </c>
      <c r="I140" s="10" t="inlineStr">
        <is>
          <t>R8.9</t>
        </is>
      </c>
      <c r="J140" s="11" t="inlineStr">
        <is>
          <t>調査結果と年報実績の突合クロス集計 02シート。年報の要介護度別を収めたことにより初めて確かめられた</t>
        </is>
      </c>
    </row>
    <row r="141" ht="88" customHeight="1">
      <c r="A141" s="4" t="n">
        <v>141</v>
      </c>
      <c r="B141" s="4" t="inlineStr">
        <is>
          <t>(3)(5)</t>
        </is>
      </c>
      <c r="C141" s="4" t="inlineStr">
        <is>
          <t>R8.9</t>
        </is>
      </c>
      <c r="D141" s="5" t="inlineStr">
        <is>
          <t>区域を越えた施設利用の扱い</t>
        </is>
      </c>
      <c r="E141" s="5" t="inlineStr">
        <is>
          <t>施設の側から数えた在籍者（居所変更実態調査）と、保険者の側から数えた受給者（年報）は一致しない。介護老人保健施設は在籍206人に対し年報の受給者134.1人／月で在籍が上回る（区域内の施設が他の保険者の被保険者を受け入れている）。特別養護老人ホーム等は受給者197.5人／月が回答施設の定員152人を上回る（区域外の施設の利用と未回答施設の両方による）。①必要利用定員総数（確認事項No.88）は保険者単位で定めるものであり、区域内の施設の定員とは別に整理する必要がある。この整理でよいかご判断いただきたい。②区域外の施設を利用している当広域連合の被保険者の数を把握する手段があるかご教示いただきたい。住所地特例被保険者は年報様式1で77人と分かるが、住所地特例に当たらない区域外利用は年報からは分けられない。</t>
        </is>
      </c>
      <c r="F141" s="5" t="inlineStr">
        <is>
          <t>計画素案 第6章第4節4
サービス見込量 第1次概算</t>
        </is>
      </c>
      <c r="G141" s="5" t="inlineStr">
        <is>
          <t>発注者</t>
        </is>
      </c>
      <c r="H141" s="10" t="inlineStr">
        <is>
          <t>確認待ち</t>
        </is>
      </c>
      <c r="I141" s="10" t="inlineStr">
        <is>
          <t>R8.9</t>
        </is>
      </c>
      <c r="J141" s="11" t="inlineStr">
        <is>
          <t>調査結果と年報実績の突合クロス集計 03・04・05シート</t>
        </is>
      </c>
    </row>
    <row r="142" ht="88" customHeight="1">
      <c r="A142" s="4" t="n">
        <v>142</v>
      </c>
      <c r="B142" s="4" t="inlineStr">
        <is>
          <t>(5)</t>
        </is>
      </c>
      <c r="C142" s="4" t="inlineStr">
        <is>
          <t>R8.9</t>
        </is>
      </c>
      <c r="D142" s="5" t="inlineStr">
        <is>
          <t>第1次概算を既定値のまま出してよいか</t>
        </is>
      </c>
      <c r="E142" s="5" t="inlineStr">
        <is>
          <t>サービス見込量 第1次概算（令和8年9月26日）を止めている確認事項が17件あり、うち期限が令和8年9月のものが16件ある。9月26日までに全件の決着は難しいと見込まれる。①決着していないものは当方の既定値により概算し、どの既定値によったかを明示する扱いでよいか。②既定値のうち保険料を高めに出す向きのもの（施策反映を行わない・給付適正化の効果を織り込まない・施設・居住系の実績の減少を将来へ延長しない）は安全側の置き方である。施策の達成を前提に下げると保険料が不足する側に誤るため、この向きとしている。この整理でよいか。③効きが最も大きいのは確認事項No.137（1人1月あたり給付費の実績値の年度。月額で＋185〜＋374円）であり、これだけは9月26日までに決定をいただきたい。</t>
        </is>
      </c>
      <c r="F142" s="5" t="inlineStr">
        <is>
          <t>サービス見込量 第1次概算</t>
        </is>
      </c>
      <c r="G142" s="5" t="inlineStr">
        <is>
          <t>発注者</t>
        </is>
      </c>
      <c r="H142" s="10" t="inlineStr">
        <is>
          <t>確認待ち</t>
        </is>
      </c>
      <c r="I142" s="10" t="inlineStr">
        <is>
          <t>R8.9</t>
        </is>
      </c>
      <c r="J142" s="11" t="inlineStr">
        <is>
          <t>計画素案の課題整理 03シート。既定値は17件すべてに置いており、自己点検で網羅を確かめている</t>
        </is>
      </c>
    </row>
    <row r="143" ht="88" customHeight="1">
      <c r="A143" s="4" t="n">
        <v>143</v>
      </c>
      <c r="B143" s="4" t="inlineStr">
        <is>
          <t>(6)</t>
        </is>
      </c>
      <c r="C143" s="4" t="inlineStr">
        <is>
          <t>R8.9</t>
        </is>
      </c>
      <c r="D143" s="5" t="inlineStr">
        <is>
          <t>計画素案の未確定箇所の表示の統一</t>
        </is>
      </c>
      <c r="E143" s="5" t="inlineStr">
        <is>
          <t>計画素案の未確定箇所は127箇所ある（要協議106・要確認20・要内訳1。素案の実物から数えた値）。うち55箇所（43％）が第6章第4節（施設の見込み）に集中しており、日常生活圏域ごとの必要利用定員総数（確認事項No.88）が決まらないことによる。①［要協議］は決定を要するもの、［要確認］は事実の確認を要するもの、［要内訳］は内訳の提供を要するものという使い分けでよいか。②現在は同じ性質のものに異なる記号を用いている箇所がある。使い分けを揃える作業は受託者の作業だけで進む。③策定委員会にお諮りする版では、未確定箇所をそのまま残すか、一覧表に移して本文からは外すかをご判断いただきたい。</t>
        </is>
      </c>
      <c r="F143" s="5" t="inlineStr">
        <is>
          <t>計画素案（策定委員会用）</t>
        </is>
      </c>
      <c r="G143" s="5" t="inlineStr">
        <is>
          <t>発注者</t>
        </is>
      </c>
      <c r="H143" s="10" t="inlineStr">
        <is>
          <t>確認待ち</t>
        </is>
      </c>
      <c r="I143" s="10" t="inlineStr">
        <is>
          <t>R8.10</t>
        </is>
      </c>
      <c r="J143" s="11" t="inlineStr">
        <is>
          <t>計画素案の課題整理 01シート。未確定箇所とは別に、書くべき内容がまだ入っていない節が3節ある（第2章第4節・第6章第5節・第6章第7節）</t>
        </is>
      </c>
    </row>
    <row r="144" ht="88" customHeight="1">
      <c r="A144" s="4" t="n">
        <v>136</v>
      </c>
      <c r="B144" s="4" t="inlineStr">
        <is>
          <t>(5)</t>
        </is>
      </c>
      <c r="C144" s="4" t="inlineStr">
        <is>
          <t>R8.9</t>
        </is>
      </c>
      <c r="D144" s="5" t="inlineStr">
        <is>
          <t>画面の令和7年度と年報の月平均の食い違い</t>
        </is>
      </c>
      <c r="E144" s="5" t="inlineStr">
        <is>
          <t>施設・居住系の令和7年度について、画面に表示された値と年報の要介護度別を12で除した値が一致しない。特定施設入居者生活介護は画面64人・年報61.50人（＋4.1％）、介護老人保健施設は画面130人・年報134.08人（▲3.0％）、介護医療院は画面6人・年報5.50人（＋9.1％）である。年報の側は、要介護度別の和を12で除した値が総括表詳細（１）と全24サービスで一致し、総括表の給付費の合計が年報の給付費と円単位で一致する（令和7年度 2,915,307,125円）。①画面の整数がどのように作られているかをご確認いただきたい（保険者単位と3町合計の違い、時点の違い、現物給付分と償還払いを含む件数の違いのいずれかと考えられる）。②実績見込み値には年報の値を用いる整理としてよいかご判断いただきたい。③画面の令和7年度は、特定施設入居者生活介護で合計64人に対し要介護度別の和が63人、介護老人福祉施設で合計140人に対し和が141人であり、そのまま貼ると誤差が入る。</t>
        </is>
      </c>
      <c r="F144" s="5" t="inlineStr">
        <is>
          <t>将来推計 第2段階
計画素案 第6章第2節</t>
        </is>
      </c>
      <c r="G144" s="5" t="inlineStr">
        <is>
          <t>発注者</t>
        </is>
      </c>
      <c r="H144" s="10" t="inlineStr">
        <is>
          <t>確認待ち</t>
        </is>
      </c>
      <c r="I144" s="10" t="inlineStr">
        <is>
          <t>R8.10</t>
        </is>
      </c>
      <c r="J144" s="11" t="inlineStr">
        <is>
          <t>令和8年度実績見込み値の入力案 05シート</t>
        </is>
      </c>
    </row>
    <row r="146" ht="32" customHeight="1">
      <c r="A146" s="3" t="inlineStr">
        <is>
          <t>区分</t>
        </is>
      </c>
      <c r="B146" s="3" t="inlineStr">
        <is>
          <t>件数</t>
        </is>
      </c>
      <c r="C146" s="3" t="inlineStr"/>
      <c r="D146" s="3" t="inlineStr"/>
      <c r="E146" s="3" t="inlineStr"/>
      <c r="F146" s="3" t="inlineStr"/>
      <c r="G146" s="3" t="inlineStr"/>
      <c r="H146" s="3" t="inlineStr"/>
      <c r="I146" s="3" t="inlineStr"/>
      <c r="J146" s="3" t="inlineStr"/>
    </row>
    <row r="147" ht="20" customHeight="1">
      <c r="A147" s="6" t="inlineStr">
        <is>
          <t>完了</t>
        </is>
      </c>
      <c r="B147" s="4">
        <f>COUNTIF(H5:H144,"完了")</f>
        <v/>
      </c>
      <c r="C147" s="5" t="inlineStr"/>
      <c r="D147" s="5" t="inlineStr"/>
      <c r="E147" s="5" t="inlineStr"/>
      <c r="F147" s="5" t="inlineStr"/>
      <c r="G147" s="5" t="inlineStr"/>
      <c r="H147" s="5" t="inlineStr"/>
      <c r="I147" s="5" t="inlineStr"/>
      <c r="J147" s="5" t="inlineStr"/>
    </row>
    <row r="148" ht="20" customHeight="1">
      <c r="A148" s="8" t="inlineStr">
        <is>
          <t>実施中</t>
        </is>
      </c>
      <c r="B148" s="4">
        <f>COUNTIF(H5:H144,"実施中")</f>
        <v/>
      </c>
      <c r="C148" s="5" t="inlineStr"/>
      <c r="D148" s="5" t="inlineStr"/>
      <c r="E148" s="5" t="inlineStr"/>
      <c r="F148" s="5" t="inlineStr"/>
      <c r="G148" s="5" t="inlineStr"/>
      <c r="H148" s="5" t="inlineStr"/>
      <c r="I148" s="5" t="inlineStr"/>
      <c r="J148" s="5" t="inlineStr"/>
    </row>
    <row r="149" ht="20" customHeight="1">
      <c r="A149" s="10" t="inlineStr">
        <is>
          <t>確認待ち</t>
        </is>
      </c>
      <c r="B149" s="4">
        <f>COUNTIF(H5:H144,"確認待ち")</f>
        <v/>
      </c>
      <c r="C149" s="5" t="inlineStr"/>
      <c r="D149" s="5" t="inlineStr"/>
      <c r="E149" s="5" t="inlineStr"/>
      <c r="F149" s="5" t="inlineStr"/>
      <c r="G149" s="5" t="inlineStr"/>
      <c r="H149" s="5" t="inlineStr"/>
      <c r="I149" s="5" t="inlineStr"/>
      <c r="J149" s="5" t="inlineStr"/>
    </row>
    <row r="150" ht="20" customHeight="1">
      <c r="A150" s="12" t="inlineStr">
        <is>
          <t>未着手</t>
        </is>
      </c>
      <c r="B150" s="4">
        <f>COUNTIF(H5:H144,"未着手")</f>
        <v/>
      </c>
      <c r="C150" s="5" t="inlineStr"/>
      <c r="D150" s="5" t="inlineStr"/>
      <c r="E150" s="5" t="inlineStr"/>
      <c r="F150" s="5" t="inlineStr"/>
      <c r="G150" s="5" t="inlineStr"/>
      <c r="H150" s="5" t="inlineStr"/>
      <c r="I150" s="5" t="inlineStr"/>
      <c r="J150" s="5" t="inlineStr"/>
    </row>
    <row r="151" ht="20" customHeight="1">
      <c r="A151" s="14" t="inlineStr">
        <is>
          <t>対象外</t>
        </is>
      </c>
      <c r="B151" s="4">
        <f>COUNTIF(H5:H144,"対象外")</f>
        <v/>
      </c>
      <c r="C151" s="5" t="inlineStr"/>
      <c r="D151" s="5" t="inlineStr"/>
      <c r="E151" s="5" t="inlineStr"/>
      <c r="F151" s="5" t="inlineStr"/>
      <c r="G151" s="5" t="inlineStr"/>
      <c r="H151" s="5" t="inlineStr"/>
      <c r="I151" s="5" t="inlineStr"/>
      <c r="J151" s="5" t="inlineStr"/>
    </row>
    <row r="153" ht="32" customHeight="1">
      <c r="A153" s="3" t="inlineStr">
        <is>
          <t>確認先</t>
        </is>
      </c>
      <c r="B153" s="3" t="inlineStr">
        <is>
          <t>件数</t>
        </is>
      </c>
      <c r="C153" s="3" t="inlineStr"/>
      <c r="D153" s="3" t="inlineStr"/>
      <c r="E153" s="3" t="inlineStr"/>
      <c r="F153" s="3" t="inlineStr"/>
      <c r="G153" s="3" t="inlineStr"/>
      <c r="H153" s="3" t="inlineStr"/>
      <c r="I153" s="3" t="inlineStr"/>
      <c r="J153" s="3" t="inlineStr"/>
    </row>
    <row r="154" ht="20" customHeight="1">
      <c r="A154" s="5" t="inlineStr">
        <is>
          <t>発注者</t>
        </is>
      </c>
      <c r="B154" s="4">
        <f>COUNTIF(G5:G144,"発注者")</f>
        <v/>
      </c>
      <c r="C154" s="5" t="inlineStr"/>
      <c r="D154" s="5" t="inlineStr"/>
      <c r="E154" s="5" t="inlineStr"/>
      <c r="F154" s="5" t="inlineStr"/>
      <c r="G154" s="5" t="inlineStr"/>
      <c r="H154" s="5" t="inlineStr"/>
      <c r="I154" s="5" t="inlineStr"/>
      <c r="J154" s="5" t="inlineStr"/>
    </row>
    <row r="155" ht="20" customHeight="1">
      <c r="A155" s="5" t="inlineStr">
        <is>
          <t>発注者・3町</t>
        </is>
      </c>
      <c r="B155" s="4">
        <f>COUNTIF(G5:G144,"発注者・3町")</f>
        <v/>
      </c>
      <c r="C155" s="5" t="inlineStr"/>
      <c r="D155" s="5" t="inlineStr"/>
      <c r="E155" s="5" t="inlineStr"/>
      <c r="F155" s="5" t="inlineStr"/>
      <c r="G155" s="5" t="inlineStr"/>
      <c r="H155" s="5" t="inlineStr"/>
      <c r="I155" s="5" t="inlineStr"/>
      <c r="J155" s="5" t="inlineStr"/>
    </row>
    <row r="156" ht="20" customHeight="1">
      <c r="A156" s="5" t="inlineStr">
        <is>
          <t>発注者・北海道</t>
        </is>
      </c>
      <c r="B156" s="4">
        <f>COUNTIF(G5:G144,"発注者・北海道")</f>
        <v/>
      </c>
      <c r="C156" s="5" t="inlineStr"/>
      <c r="D156" s="5" t="inlineStr"/>
      <c r="E156" s="5" t="inlineStr"/>
      <c r="F156" s="5" t="inlineStr"/>
      <c r="G156" s="5" t="inlineStr"/>
      <c r="H156" s="5" t="inlineStr"/>
      <c r="I156" s="5" t="inlineStr"/>
      <c r="J156" s="5" t="inlineStr"/>
    </row>
    <row r="157" ht="20" customHeight="1">
      <c r="A157" s="5" t="inlineStr">
        <is>
          <t>発注者・3町・北海道</t>
        </is>
      </c>
      <c r="B157" s="4">
        <f>COUNTIF(G5:G144,"発注者・3町・北海道")</f>
        <v/>
      </c>
      <c r="C157" s="5" t="inlineStr"/>
      <c r="D157" s="5" t="inlineStr"/>
      <c r="E157" s="5" t="inlineStr"/>
      <c r="F157" s="5" t="inlineStr"/>
      <c r="G157" s="5" t="inlineStr"/>
      <c r="H157" s="5" t="inlineStr"/>
      <c r="I157" s="5" t="inlineStr"/>
      <c r="J157" s="5" t="inlineStr"/>
    </row>
    <row r="158" ht="20" customHeight="1">
      <c r="A158" s="5" t="inlineStr">
        <is>
          <t>北海道</t>
        </is>
      </c>
      <c r="B158" s="4">
        <f>COUNTIF(G5:G144,"北海道")</f>
        <v/>
      </c>
      <c r="C158" s="5" t="inlineStr"/>
      <c r="D158" s="5" t="inlineStr"/>
      <c r="E158" s="5" t="inlineStr"/>
      <c r="F158" s="5" t="inlineStr"/>
      <c r="G158" s="5" t="inlineStr"/>
      <c r="H158" s="5" t="inlineStr"/>
      <c r="I158" s="5" t="inlineStr"/>
      <c r="J158" s="5" t="inlineStr"/>
    </row>
    <row r="160" ht="28" customHeight="1">
      <c r="A160"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160:J160"/>
    <mergeCell ref="A1:J1"/>
    <mergeCell ref="A2:J2"/>
  </mergeCells>
  <conditionalFormatting sqref="H5:H144">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144"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（843段落137表36図）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第10期計画_受託者の自己点検.xlsx（9シート）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第10期計画_将来推計_第2段階_サービス見込量.xlsx（8シート）
第10期計画_受託者の自己点検.xlsx（8シート）
第10期計画_実施済み3調査の受領点検と集計.xlsx（16シート）
第10期計画_アンケート調査の集計分析報告書.xlsx（14シート）
第10期計画_実施済み調査_結果報告書.docx（8章51表39図）
第10期計画_要介護認定データの確認.xlsx（7シート）
第10期計画_サービス受給者数データの確認.xlsx（7シート）
figures/*.png（34点）</t>
        </is>
      </c>
      <c r="D7" s="5" t="inlineStr">
        <is>
          <t>Excel（計算式・元数値を保持）
PNG及びPDF</t>
        </is>
      </c>
      <c r="E7" s="8" t="inlineStr">
        <is>
          <t>実施中</t>
        </is>
      </c>
      <c r="F7" s="20" t="n">
        <v>0.85</v>
      </c>
      <c r="G7" s="10" t="inlineStr">
        <is>
          <t>R9.3</t>
        </is>
      </c>
      <c r="H7" s="11" t="inlineStr">
        <is>
          <t>①推計資料は第1段階（人口・認定者数）と第2段階（サービス見込量）を作成済み。第3段階（給付費・保険料）が未作成。②クロス集計表は4調査すべて作成済み。4調査横断のクロス集計は発注者のご意向により行わない（アンケート調査の集計分析報告書 13シート）。③図表の元数値はシート内に保持しているが、発注者側での再計算を想定した様式の指定があれば合わせる。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の改訂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確認事項No.1と対応。仕様書４（2）が完了しない。代替できない項目が3件ある（同別冊06シート）</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令和8年8月26日の進捗確認の打合せで合意。様式のままのExcelが望ましいがPDFでも可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2026-09-15T01:59:25Z</dcterms:created>
  <dcterms:modified xmlns:dcterms="http://purl.org/dc/terms/" xmlns:xsi="http://www.w3.org/2001/XMLSchema-instance" xsi:type="dcterms:W3CDTF">2026-09-15T01:59:25Z</dcterms:modified>
</cp:coreProperties>
</file>