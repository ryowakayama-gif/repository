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業務仕様書「４．業務内容」（1）〜（12）及び「５．業務スケジュール（予定）」に沿って、業務内容別・月別の進捗を管理する。状況基準日：令和8年10月15日。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299" customHeight="1">
      <c r="A23" s="16" t="inlineStr">
        <is>
          <t>【現時点の全体状況（令和8年10月15日）】全体進捗は67％（進捗を数値で表せる10業務の単純平均）。令和8年9月は、サービス見込量の算定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令和8年9月29日以降は、計画素案の記載内容を洗い出して令和8年3月の全国課長会議資料による制度改正11件を加え、被保険者の意見を反映させるために必要な措置と認知症高齢者の日常生活自立度の状況を補い、公表ベースで用いる版を作成した。保険者機能強化推進交付金等は、同様の構成の団体38団体との比較ができるようになった（確認事項No.168の解決）。令和8年9月30日以降は、見える化システムの推計結果と将来推計ワーニングチェックを受領点検し、入力画面の写しにより画面ごとの入力様式を確定して、値を変更する箇所と入れる値を1冊に取りまとめた。令和8年10月1日には未決の全件に既定値を仮置きし、既定値のとおり計画素案へ反映した事項を38件まで進めたうえで、第2次概算（10月30日）の組立てを作成した。第1次概算からの差分は、要介護度別の単価の採用と1人1月あたり利用回（日）数の要介護度別化の2件であり、いずれも受託者の側で確定できるものであった。計画素案は1060段落156表36図で、未確定箇所は273箇所（要協議158・要確認113・要内訳2）である。確認事項は186件、成果品は138件、作成に用いた処理は135件である。未決の確認事項には「決着しない場合の当方の扱い（既定値）」を全件置いており、ご決定がなくても算定は止まらない。発注者・3町からの追加資料がまったく届かない場合でも、現在の算定の値がそのまま計画の値として確定する（算定上の月額6,438円＝保険料基準額6,400円）。令和8年10月2日のご照会により、計画策定全体の進捗、ご確認・ご判断をお願いする事項、追加確認・資料提供が必要な事項、今後の作成・協議スケジュール及び次回協議までの双方の対応事項を1冊に取りまとめ、未確定事項をどの資料のどこで管理しているかを併せてお示しした。令和8年10月7日には、第136回社会保障審議会介護保険部会（令和8年9月18日）の資料により制度の動向6件と引き続き検討することとされた事項7件を計画素案へ加え、所得段階の置き方3案による保険料の違いと調整交付金の一定の取組による減額を掲げた。構成3町のヒアリング前の事前打合せ（令和8年10月8日）と3町合同の意見交換会の資料には、打合せの時間内でご決定をお願いしたい事項と時間配分の案を加えた。令和8年10月14日には、計画の記載事項の網羅性を再度点検し、対比の軸を介護保険法第117条の記載事項から条文の構成全体（計画の性格・作成の基準・策定の手続）へ広げたうえで、介護保険法以外の関係法令9件との対比を加えた。記載を確認できなかった6件は、いずれも原典により確かめて計画素案へ加えた。あわせて、社会保障審議会介護給付費分科会において令和9年度介護報酬改定に向けて検討されている論点31件を計画素案と突き合わせ、当区域に直結する17件を整理した。改定の内容が示されるのは令和8年12月頃及び令和9年1月頃の見込みであり、いずれもサービス見込量 第2次概算より後である。直近の工程は、サービス見込量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①国の基本指針案（第134回・第135回）の確認と反映事項の整理［完了］
②特定地域（中山間・人口減少地域）の考え方（第135回資料3）の確認［完了］
③北海道第9期計画（全8章）との整合の確認［完了］
④介護保険最新情報（Vol.1521・1525）の反映［完了］
⑤新別表「確認すべき指標・状況」11事項への対応整理［完了］
⑥告示後の最終照合［未着手］</t>
        </is>
      </c>
      <c r="E5" s="5" t="inlineStr">
        <is>
          <t>妥当性検証報告書 07・17シート
追加調査報告書 01・05シート
計画素案 第1章第9節・資料6</t>
        </is>
      </c>
      <c r="F5" s="10" t="inlineStr">
        <is>
          <t>実施中</t>
        </is>
      </c>
      <c r="G5" s="17" t="n">
        <v>0.8333333333333334</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令和8年10月1日】令和8年3月の全国介護保険・高齢者保健福祉担当課長会議資料（介護保険計画課）の制度改正11件を計画素案 第1章第9節に反映した。調整交付金の年齢区分の3区分から7区分への変更（令和9年4月の事業状況報告から7区分で報告し、令和10年度の財政調整交付金から適用。激変緩和として2分の1ずつ組み合わせる）、保険料段階の基準額の80.9万円から82.65万円への改正（条例改正の手続を要する）、補足給付の見直し（令和9年度から第3段階①②を各2分割）、令和8年度介護報酬改定、一定以上所得基準、令和7年度税制改正の影響の遮断、2040年を見据えた地域類型、医療と介護の協議の場の再編成などである。従前は同資料の内容が計画素案に反映されていなかった。【令和8年10月7日】第136回社会保障審議会介護保険部会（令和8年9月18日）の資料7件を確認し、制度の動向6件を計画素案 第1章第9節に項を起こして加えた。介護情報基盤の構築と活用（標準化対応の適合基準日は令和9年1月1日、本格運用開始日は令和10年4月1日）、ケアプランデータ連携機能の統合（令和9年1月）、介護サービス事業者経営情報データベース、介護事業者の連携・協働化（都道府県との協定）、第1号保険料の在り方（高所得者の標準乗率の見直し。論点提示の段階）、介護給付適正化の取組と調整交付金の減額である。引き続き検討することとされた事項7件も、影響が及び得る計画の箇所と対にして掲げた。あわせて、補足給付の区分の細分化の時期を「令和9年度から」に、一定以上所得基準を「第10期計画期間の開始前までに結論を得ることとされたもの」に改めた（従前は時期の記載が原典と食い違っていた）。確認事項No.175からNo.177を起票した。【令和8年10月14日】計画の記載事項の網羅性を再度点検した。対比の軸を介護保険法第117条の記載事項（第2項・第3項の各号）から条文の構成全体（計画の性格・作成の基準・策定の手続）へ広げ、介護保険法以外の関係法令9件（老人福祉法第20条の8、成年後見制度の利用の促進に関する法律第14条、高齢者虐待の防止等に関する法律、認知症基本法第3条・第13条、水防法・土砂災害防止法、介護保険法第78条の4、社会福祉法等の一部を改正する法律、地方自治法第284条）との対比を加えた。中長期的なサービスの見通しと、その見通しを踏まえた提供体制の確保等のための施策は別の記載事項であり、推計の表を加えたことでは充足しないものとして分けて点検する形に改めた。法令の条文を確認できていないため、点検の単位は条文の番号ではなく記載事項の内容とし、項番号は記載していない。あわせて社会保障審議会介護給付費分科会（第256回から第270回）において令和9年度介護報酬改定に向けて検討されている論点31件を計画素案・サービス見込量の算定・確認事項の台帳と突き合わせ、当区域に直結する17件を整理した。特に当区域の事情に関わるものは、短期入所生活介護の季節利用に係る例外（積雪期）、夜間対応型訪問介護の定期巡回への移行（移行猶予 令和11年3月）、高齢者向け住まいに係る通所介護等の報酬区分の見直し、特定地域における配置の弾力化、特別養護老人ホームの指定定員と実際の受入能力の差の5件である。資料の原本を確認できていないため、計画素案には検討されている事項があることまでを記載し、単位数・要件・施行時期は書いていない。確認事項No.178からNo.184を起票した。【令和8年10月15日】社会福祉法等の一部を改正する法律案要綱（全31頁）及び令和5年改正の概要のご提供を受け、改正事項を原典により点検した。従前は部会資料（概要）によっていたため施行期日の例外を2件しか把握していなかったが、要綱 第10の1により4区分が確定し、いずれも第10期計画の期間中に施行されることが分かった（介護支援専門員の資格に係る更新制の廃止は1年6月以内、特定施設の定義の改正及び有料老人ホームの登録制度は2年以内、被保険者証の添付等に関する規定及び登録施設介護支援等は3年以内）。介護保険法の改正事項16件のうち11件に記述の是正を要し、14件が新たに分かった。介護保険法第117条の改正後の号及び項（第2項第3号・第4号、第3項第4号・第5号、第5項及び第14項）が確定した。お示しいただいた記事の記述11件を原典により確かめた（一致8・一部一致1・確認できない2）。確認事項No.185・No.186を起票した。残るのは政令・省令・報酬改定の告示を待つ分及び改正後の条文・新旧対照表・附則の経過措置である</t>
        </is>
      </c>
      <c r="J5" s="5" t="inlineStr">
        <is>
          <t>1, 2, 22, 89, 130, 149, 170, 175, 176, 177, 178, 179, 180, 181, 182, 183, 184, 185, 186</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①代表KPI4項目の3軸評価（目標比・推計比・全国北海道比）［完了］
②19施策の構造評価（評価可能性・妥当性）［完了］
③保険者機能強化推進交付金等による外部評価の分析［完了］
④給付実績の分析（受給率・利用率・サービス別給付動向）［完了］
⑤地域支援事業の実績整理［完了］
⑥令和6〜8年度の事業実績による達成度の再判定［未着手］
⑦評価そのものの自己点検記録（指摘29件）［完了］
⑧全成果物の主張の棚卸し（54主張・根拠水準5階層）［完了］
⑨地域差の分析（自給率・地域差指数・保険料の管内比較）［完了］
⑩人口推計の基礎の検証（見える化A系列 2000〜2050年）［完了］
⑪将来推計 第1段階（人口と認定者数・3シナリオ）［完了］
⑫将来推計 第2段階（サービス見込量・感度分析）［完了］
⑬需要3シナリオ（低位・標準・高位）の感度表［完了］
⑭点検指摘への対応（記述の修正16件・訂正1件）［完了］</t>
        </is>
      </c>
      <c r="E6" s="5" t="inlineStr">
        <is>
          <t>妥当性検証報告書 01・02・12・23シート
計画素案 第3章
施策体系新旧対照表
受託者の自己点検（8シート）</t>
        </is>
      </c>
      <c r="F6" s="10" t="inlineStr">
        <is>
          <t>実施中</t>
        </is>
      </c>
      <c r="G6" s="17" t="n">
        <v>0.9285714285714286</v>
      </c>
      <c r="H6" s="10" t="inlineStr">
        <is>
          <t>R8.11</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①健康とくらしの調査（JAGES）の集計・分析［完了］
①-2 第9期の課題・第10期の施策に対する妥当性レビューと追加分析［完了］
②在宅生活改善調査の集計・分析［一部］
③居所変更実態調査の集計・分析［一部］
④介護人材実態調査の集計・分析［一部］
⑤4調査を横断したクロス集計［完了］
⑥見える化データ・給付実績・人口推計と組み合わせた分析［完了］</t>
        </is>
      </c>
      <c r="E7" s="5" t="inlineStr">
        <is>
          <t>調査クロス集計・分析（24シート）
図表集 08〜13シート
妥当性検証報告書 11シート
計画素案 第2章第4〜6節
実施済み3調査の受領点検と集計（11シート）</t>
        </is>
      </c>
      <c r="F7" s="10" t="inlineStr">
        <is>
          <t>実施中</t>
        </is>
      </c>
      <c r="G7" s="17" t="n">
        <v>0.7857142857142857</v>
      </c>
      <c r="H7" s="10" t="inlineStr">
        <is>
          <t>R8.10</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第2章第4節に反映した（4段落・表1→30段落・表8）。集計値のみを用い、個票は収録していない。【令和8年9月17日】アンケート調査の集計分析報告書を再点検し、10シートの見込量が将来推計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見込量算定の値を直接用いる形とし、同じ数値が2つの成果品に別々に書かれない構造に改めた。確認No.140（χ²＝43.5）・No.141（在籍≠受給）を報告書の留保一覧と課題整理に収め、14シートに「測定済み」の区分を新設した。12シートの計画素案への反映状況を、計画素案の章節と突き合わせて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によっており、見込量は見込量算定（第1次概算）による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①人口・高齢者人口の分析［完了］
②認定者数・認定率の分析（年齢調整を含む）［完了］
③給付実績・受給率・利用率の分析［完了］
④サービス提供体制（事業所数・従事者数）の分析［完了］
⑤上川中部圏域内の比較［完了］
⑥類似保険者との比較［完了］
⑦構成町別の分析［完了］
⑧日常生活圏域別の分析［一部］
⑨2040年を見据えた課題の整理［完了］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0.9444444444444444</v>
      </c>
      <c r="H8" s="10" t="inlineStr">
        <is>
          <t>R8.10</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①実績値の準備（令和6〜8年度の介護保険事業状況報告）［一部］
②総人口・被保険者数の入力（社人研推計か保険者独自推計かの決定）［完了］
③自然体推計の実行と保存［完了］
④認定率・サービス利用率の施策反映［一部］
⑤事業所が存在しないサービスの見込量の直接入力［完了］
⑥給付費・保険料の算定［一部］
⑦需要3シナリオ（低位・標準・高位）の感度表［完了］
⑧シナリオ比較（基本・需要上振れ・供給制約・基金活用）［完了］</t>
        </is>
      </c>
      <c r="E9" s="5" t="inlineStr">
        <is>
          <t>計画素案 第6章
追加調査報告書 06シート
保険料と施策評価の他団体比較（9シート）
推計資料（見える化の総括表）</t>
        </is>
      </c>
      <c r="F9" s="10" t="inlineStr">
        <is>
          <t>実施中</t>
        </is>
      </c>
      <c r="G9" s="17" t="n">
        <v>0.8125</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9,035,114,142円、算定上の月額基準額6,438円である（令和8年10月1日に要介護度別の単価を採用したことによる。百円未満四捨五入した保険料基準額6,400円は変わらない）。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245〜＋327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6,438円を百円未満四捨五入した保険料基準額は6,400円で、第9期と同額の据え置きとなる。ただしこの値は単価を令和7年度で固定しており、上向きの要素（単価の趨勢＋245〜＋327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①骨子案の作成［完了］
②計画素案の作成［完了］
③計画最終案の作成［未着手］
④概要版原稿の作成［未着手］
⑤3町計画との整合の確認［一部］</t>
        </is>
      </c>
      <c r="E10" s="5" t="inlineStr">
        <is>
          <t>骨子案（11節22表）
計画素案（1060段落156表36図）
修正指示書（66件）</t>
        </is>
      </c>
      <c r="F10" s="10" t="inlineStr">
        <is>
          <t>実施中</t>
        </is>
      </c>
      <c r="G10" s="17" t="n">
        <v>0.5</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令和8年9月16日】第6章の見込量・給付費・保険料を見える化システムの自然体推計値から当方の算定に差し替えた（暫定の月額基準額 6,740円→6,436円）。計画素案が見込量算定の値を直接用いる形とし、第6章の数値が算定と離れ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1060段落156表36図となった。残る未確定箇所は273箇所（要協議158・要確認113・要内訳2）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4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令和8年10月1日】公表ベースで用いる版を作成した（協議用素案の本文を組み替えるため、2つの版に別の答えが並ぶことはない）。表の見出し行を次の紙面でも繰り返すこと、行を紙面の途中で分割しないこと、表頭に地色を置くことなど視認性を是正し、両方の版に及ぼした。記載内容の洗い出しにより、被保険者の意見を反映させるために必要な措置（介護保険法第117条）と認知症高齢者の日常生活自立度の状況が記載されていないことが分かり、いずれも原典で確かめたうえで加えた。当方が独自に加えていた分析8件は協議用の成果品へ移した（確認No.170・No.171）。【令和8年10月14日】網羅性の再点検により記載が確認できなかった6件を原典で確かめたうえで加えた。老人福祉法第20条の8による市町村老人福祉計画との関係及び一体のものとして作成する定め（第1章第2節・第1章第8節）、成年後見制度の利用の促進に関する法律第14条による市町村の計画及び高齢者虐待の防止等に関する法律による市町村の事務（第1章第2節）、認知症基本法第3条の基本理念（第1章第2節）、医療計画との整合性の確保が法の定めであること（第1章第8節）、計画の北海道知事への提出（第1章第5節）、要配慮者利用施設の避難確保計画（第5章 基本目標5）、中長期的なサービスの見通しを踏まえた確保の方策（第6章第5節）である。あわせて第1章第9節に項を新設し、令和9年度介護報酬改定に向けて検討されている事項のうち本計画に関わり得るもの6件を掲げた（単位数・要件・施行時期は書いていない）。【令和8年10月15日】社会福祉法等の一部を改正する法律案要綱により21箇所を改めた。第1章第9節2に施行の日の表を新設し、改正事項の表を介護保険法の改正と社会福祉法その他の法律の改正に分け、改正事項ごとに施行の日の欄を設けて8件から18件に広げた。新たに加えたものは、特定福祉用具販売に係る費用の額の見直し、指定介護老人福祉施設等の指定の辞退、要介護認定等の申請の代行の拡大、電子資格確認の導入及び被保険者証に関する規定の整備、第1号介護予防支援事業の委託の見直し、地域ケア会議の見直し、成年後見制度等の適切な利用の支援、小規模市町村地域支援連携協働体制整備事業、災害時福祉業務従事者の登録、市町村老人福祉計画及び市町村地域福祉計画の記載事項、介護福祉士に関する改正、特定地域における介護老人保健施設等の開設許可の特例である。あわせて、中長期的な推計についての北海道の意見の聴取（第1章第5節）、区域ごとの入居定員総数の勘案（第2章第3節）、地域支援事業の量の中長期的な推計（第6章第3節2）を加え、第2章第8節の総給付費が令和9年度から令和32年度まで［要確認］であったものを算定の値に改めた。新たな章又は節は起こしていない。概要版は未着手</t>
        </is>
      </c>
      <c r="J10" s="5" t="inlineStr">
        <is>
          <t>17, 18, 24, 25, 88, 112, 114, 131, 154, 170, 171, 178, 179, 180, 181, 185, 186</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①修正指示書の作成と管理［一部］
②図表の作成・更新［完了］
③3町との協議資料の作成［一部］
④計画原稿の修正［一部］</t>
        </is>
      </c>
      <c r="E11" s="5" t="inlineStr">
        <is>
          <t>修正指示書（66件）
図表集（33シート133点）
確認依頼書</t>
        </is>
      </c>
      <c r="F11" s="10" t="inlineStr">
        <is>
          <t>実施中</t>
        </is>
      </c>
      <c r="G11" s="17" t="n">
        <v>0.625</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令和8年10月1日】保険者機能強化推進交付金等について、同様の構成の団体（複数の市町村で構成する広域連合・一部事務組合）38団体・構成市町村205との比較ができるようになり、確認No.168が解決した。見える化システムへの入力は、画面の写しのご提供により入力様式が画面ごとに異なることを確かめ、値を変更する箇所と入れる値を画面の順に1冊へ取りまとめた。地域分析・検討シートの記入欄15件の記載案も作成した</t>
        </is>
      </c>
      <c r="J11" s="5" t="inlineStr">
        <is>
          <t>87, 103, 112, 118, 136, 143, 150, 154, 155, 156, 157, 168</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①第1回介護保険事業計画策定委員会の資料原案作成［未着手］
②第2回以降の委員会資料の作成［未着手］
③3町との協議資料の作成［完了］
④説明用データの作成［完了］</t>
        </is>
      </c>
      <c r="E12" s="5" t="inlineStr">
        <is>
          <t>委員会資料原案（未作成）</t>
        </is>
      </c>
      <c r="F12" s="10" t="inlineStr">
        <is>
          <t>実施中</t>
        </is>
      </c>
      <c r="G12" s="17" t="n">
        <v>0.5</v>
      </c>
      <c r="H12" s="10" t="inlineStr">
        <is>
          <t>R9.2</t>
        </is>
      </c>
      <c r="I12" s="11" t="inlineStr">
        <is>
          <t>委員会の開催日程、審議事項、資料提出期限が未確定（確認No.19）。図表集と妥当性検証報告書が資料の素材となる。【令和8年10月7日】構成3町のヒアリング前の事前打合せ（令和8年10月8日）の資料と3町合同の意見交換会の資料に、打合せの時間内でご決定をお願いしたい事項と時間配分の案を加えた。いずれも、この場でご決定をお願いしたいもの・時間があればご決定をお願いしたいもの・受託者の仮置きのまま進めるものに分け、所要の目安を分で付している。ご決定をお願いしたい事項は、各町へ伺う問いが立たないもの、保険料の月額への効きが大きいもの、法定記載事項に直結するもの、第2次概算の前提になるものの4つの観点のうち2つ以上に当たるものを選んだ</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①パブリックコメント用の素案の整備［一部］
②提出意見の分類・整理［未着手］
③意見に対する考え方の原案作成［未着手］
④計画への反映［未着手］</t>
        </is>
      </c>
      <c r="E13" s="5" t="inlineStr">
        <is>
          <t>パブリックコメント資料（未作成）</t>
        </is>
      </c>
      <c r="F13" s="10" t="inlineStr">
        <is>
          <t>実施中</t>
        </is>
      </c>
      <c r="G13" s="17" t="n">
        <v>0.125</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100頁程度）200部［未着手］
②計画書及び概要版の電子データ［一部］
③分析資料・推計資料・図表・グラフ・クロス集計表の電子データ［完了］
④打合せ資料・会議資料原案［完了］</t>
        </is>
      </c>
      <c r="E14" s="5" t="inlineStr">
        <is>
          <t>04シートを参照</t>
        </is>
      </c>
      <c r="F14" s="10" t="inlineStr">
        <is>
          <t>実施中</t>
        </is>
      </c>
      <c r="G14" s="17" t="n">
        <v>0.625</v>
      </c>
      <c r="H14" s="10" t="inlineStr">
        <is>
          <t>R9.3</t>
        </is>
      </c>
      <c r="I14" s="11" t="inlineStr">
        <is>
          <t>電子データは作成中。印刷・製本は令和9年3月。本文100頁程度に対する章別のページ配分が未確定（確認No.21）。【令和8年9月15〜18日】成果品は138件となった。9月に加えたものは、サービス見込量の算定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作成に用いた処理135件のうち作り直せないものは3件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地域課題の整理と3町協議の確認事項」（11シート）も加えた。保険者機能強化推進交付金等の市町村分の評価指標について、大項目53件・明細列299件の配点と構成3町の3か年の得点を対応させた一覧を Excel と PDF（全21ページ）で作成し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令和8年10月1日】成果品6件を加えた。計画素案の公表版、記載内容の洗い出しと対比、図表データ管理台帳（台帳の数値を直すと計画本文の図が追随する）、地域分析・検討シートの記載案、見える化システムへ入力する箇所と入力値、日次の状況と翌日の作業順位である。あわせて、計画素案の点検・エクセルの図表と数値の点検・日次の進捗管理の3件を、担当者が替わっても同じ手順で行えるよう手順としてまとめた</t>
        </is>
      </c>
      <c r="J14" s="5" t="inlineStr">
        <is>
          <t>21, 103, 136, 144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・サービス見込量の算定（9月26日）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第1次概算を完了し（18シート・自己点検22件。算定上の月額基準額6,438円）、計画素案 第6章第1〜3節・第6節に反映した。令和8年9月17日、アンケート調査の集計分析報告書の見込量が計画素案 第6章と食い違っていたものを是正し、見込量算定の値を直接用いる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併せて交付金の評価結果を1冊に取りまとめ、「交付金評価の取りまとめと第10期への反映」（12シート）とした。3町の得点は3か年ほぼ横ばいである一方、全国平均が32.5点上がったため全国での位置は下がっている（東川町15.0％→6.7％・美瑛町14.3％→6.0％・東神楽町28.3％→20.5％）。全国の多くの市町村が得点しているのに3町とも0点である明細列38件を17の大項目に束ね、可4・条件付き12・現時点では不可1と判定した。【令和8年10月1日】計画素案の記載内容の洗い出しにより制度改正11件と記載漏れ2件を加え、公表ベースで用いる版を作成した。見える化システムへの入力は、画面の写しにより入力様式を確定し、値を変更する箇所と入れる値を画面の順に取りまとめた。地域分析・検討シートの記載案も作成した。第2次概算（10月30日）に向けて決着を要する事項は日次の状況と翌日の作業順位で管理する。確認事項No.168・No.169を起票した。3町合同の意見交換会（10月上旬）の資料を作成した。策定の状況、第1次概算の結果、保険料の月額を動かす前提、地域課題15件、3町共通の確認事項、認知症施策推進計画の扱い、資料のご提供のお願い及び10月以降の工程を1冊にまとめている。決定を待たずに進められる事項として、算定の前提のうち受託者の側で確定できるもの2件（要介護度の構成・季節補正）を確定し、確認事項6件（No.88・No.105・No.106・No.112・No.113・No.131）を既定値のとおり計画素案へ反映した。混合型特定施設入居者生活介護に係る必要利用定員総数（介護保険法第117条第3項の勘案事項）は記載がなかったため、定めないこととする旨を第6章第4節4に加えた。続けて8件（No.98・No.100・No.101・No.103・No.107・No.110・No.137・No.150）を既定値のとおり反映し、第6章第6節2に単価の実績の趨勢と給付の適正化による抑制の効きを、第6章第3節2に認知症総合支援事業の実施状況を加え、第6章第2節の注に基準年度・季節補正・定員の縮小の扱いを明示した。この作業により、単価の趨勢を織り込まないことによる月額への効きを誤って記していたことが分かり是正した（実測の年率による値は＋245〜＋327円である）。さらに24件を既定値のとおり反映し、必要利用定員総数と見込量の数える対象の違い（No.141）、対計画比の補正の対象から外すサービス（No.151）、調整交付金への給付適正化の取組状況の勘案（No.93）、交付金の交付見込額の二重控除を避ける整理（No.86）、自己評価と北海道への報告（No.7）を計画素案に加えた。仮置きにより計画素案へ反映した事項は38件である。第2次概算（10月30日）の組立てを「サービス見込量の算定_第2次概算」（13シート）として作成した。第1次概算（9月26日）からの差分、保険料算定表の記号A〜Jの対照、サービス見込量・利用回（日）数・給付費の種別ごとの差分、中長期推計、月額を動かす前提、見える化システムの出力との対照、残る未決と既定値、10月30日までに行うことを掲げている。第1次概算から算定が動いたのは、要介護度別の単価の採用と1人1月あたり利用回（日）数の要介護度別化の2件であり、総給付費は9,031,900,444円から9,035,114,142円へ、算定上の月額基準額は6,436円から6,438円へ動いた。保険料基準額は6,400円で変わらない。併せて、第1次概算として提示した版は提示した時点の値を残すため別に残し、算定の正本の名から工程の名を外した（第10期計画_サービス見込量の算定）。【令和8年10月5日】日次の作業順位により確認事項8件を既定値のとおり計画素案へ反映し（反映した事項は46件）、業務内容別の進捗を作業項目の達成状況による算定に改めた。令和8年10月5日に受領した人口推計のファイルについて、コーホート変化率法の置き方を点検し修正の提案を作成した（確認事項No.174を起票）。【令和8年10月7日】第136回社会保障審議会介護保険部会（令和8年9月18日）の資料7件により、制度の動向6件と引き続き検討することとされた事項7件を計画素案へ加え、所得段階の置き方3案による保険料の違いと調整交付金の一定の取組による減額を掲げた（確認事項No.175からNo.177を起票）。構成3町のヒアリング前の事前打合せ（令和8年10月8日）の資料と3町合同の意見交換会の資料に、打合せの時間内でご決定をお願いしたい事項と時間配分の案を加えた。【令和8年10月14日】計画の記載事項の網羅性を再度点検し、対比の軸を介護保険法第117条の記載事項から条文の構成全体へ広げ、介護保険法以外の関係法令9件との対比を加えた。記載を確認できなかった6件を計画素案へ反映した。あわせて介護給付費分科会（第256回から第270回）において令和9年度介護報酬改定に向けて検討されている論点31件を受領し、当区域に直結する17件を計画素案と突き合わせた（確認事項No.178からNo.184を起票）。【令和8年10月15日】社会福祉法等の一部を改正する法律案要綱（全31頁）及び令和5年改正の概要のご提供を受けて改正事項を点検し、施行期日の4区分を確定したほか、介護保険法第117条の改正後の号及び項を確定した。法第117条第2項第3号が地域支援事業の量の中長期的な推計も求めるものであることから、令和17年度・令和22年度の量を算定して計画素案 第6章第3節2に加えた。お示しいただいた記事の記述11件を原典により確かめ、計画素案の21箇所を改めた（確認事項No.185・No.186を起票）</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パブリックコメント支援（ウェブで2週間。概要版を用いる）、意見整理、計画案修正</t>
        </is>
      </c>
      <c r="C10" s="4" t="inlineStr">
        <is>
          <t>(9)(7)</t>
        </is>
      </c>
      <c r="D10" s="5" t="inlineStr">
        <is>
          <t>・パブリックコメント用素案
・意見の分類整理表
・意見に対する考え方（原案）
・介護保険運営協議会資料（原案）
※介護保険運営協議会（パブリックコメントの前）</t>
        </is>
      </c>
      <c r="E10" s="5" t="inlineStr">
        <is>
          <t>未着手</t>
        </is>
      </c>
      <c r="F10" s="12" t="inlineStr">
        <is>
          <t>未着手</t>
        </is>
      </c>
      <c r="G10" s="10" t="inlineStr"/>
      <c r="H10" s="10" t="inlineStr"/>
      <c r="I10" s="11" t="inlineStr"/>
      <c r="J10" s="5" t="inlineStr">
        <is>
          <t>日程は令和8年10月5日に受領したスケジュールによる（確認事項No.19）</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
※2月19日　事務管理者・主監会議協議（最終協議。原稿・数値の確定）</t>
        </is>
      </c>
      <c r="E11" s="5" t="inlineStr">
        <is>
          <t>未着手</t>
        </is>
      </c>
      <c r="F11" s="12" t="inlineStr">
        <is>
          <t>未着手</t>
        </is>
      </c>
      <c r="G11" s="10" t="inlineStr"/>
      <c r="H11" s="10" t="inlineStr"/>
      <c r="I11" s="11" t="inlineStr"/>
      <c r="J11" s="5" t="inlineStr">
        <is>
          <t>日程は令和8年10月5日に受領したスケジュールによる（確認事項No.19）</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
※3月2日　全員協議会情報提供
※3月3日　第10期介護保険事業計画の決定（データの締切り）
※3月23日　広域連合議会</t>
        </is>
      </c>
      <c r="E12" s="5" t="inlineStr">
        <is>
          <t>未着手</t>
        </is>
      </c>
      <c r="F12" s="12" t="inlineStr">
        <is>
          <t>未着手</t>
        </is>
      </c>
      <c r="G12" s="10" t="inlineStr"/>
      <c r="H12" s="10" t="inlineStr"/>
      <c r="I12" s="11" t="inlineStr"/>
      <c r="J12" s="5" t="inlineStr">
        <is>
          <t>日程は令和8年10月5日に受領したスケジュールによる（確認事項No.19）。契約期間は令和9年3月26日まで。印刷・製本の所要日数を踏まえた入稿期限の確認を要する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10月15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6"/>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サービス見込量の算定</t>
        </is>
      </c>
      <c r="G5" s="5" t="inlineStr">
        <is>
          <t>発注者</t>
        </is>
      </c>
      <c r="H5" s="10" t="inlineStr">
        <is>
          <t>確認待ち</t>
        </is>
      </c>
      <c r="I5" s="10" t="inlineStr">
        <is>
          <t>R8.9</t>
        </is>
      </c>
      <c r="J5" s="11" t="inlineStr">
        <is>
          <t>令和8年度実績見込み値の入力案 03・04シート。
決着しない場合は在宅の実績見込み値は当方の入力案のまま置く。（受託者の仮置き。令和8年10月の意見交換会で諮る）</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
決着しない場合は令和8年度の月報（4〜7月）は基準年度に用いず、令和7年度を基準として概算する。（受託者の仮置き。令和8年10月の意見交換会で諮る）</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当方の資料における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
決着しない場合は案B（3町がそれぞれ市町村計画を策定する）のまま素案に反映する。（受託者の仮置き。令和8年10月の意見交換会で諮る）</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サービス見込量の算定</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
決着しない場合は計画素案 第6章第2節に利用回（日）数を、第3節2に介護予防・日常生活支援総合事業及び一般介護予防事業の量の見込みを掲げた現行のまま確定する。必要利用定員総数の第2節への再掲は行わない（第4節4による）。（受託者の仮置き。令和8年10月の意見交換会で諮る）</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サービス見込量の算定</t>
        </is>
      </c>
      <c r="G9" s="5" t="inlineStr">
        <is>
          <t>発注者</t>
        </is>
      </c>
      <c r="H9" s="10" t="inlineStr">
        <is>
          <t>確認待ち</t>
        </is>
      </c>
      <c r="I9" s="10" t="inlineStr">
        <is>
          <t>R8.9</t>
        </is>
      </c>
      <c r="J9" s="11" t="inlineStr">
        <is>
          <t>見える化 将来推計の設定資料の受領点検 04シート。
決着しない場合は見える化システムの推計値は現行の自然体推計のまま用いる。（受託者の仮置き。令和8年10月の意見交換会で諮る）</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
決着しない場合は参考シートを受領できないものとして、施設・居住系の伸びは当方の要介護度別の算定（令和7年度の利用率を固定）による。画面の伸びの選択は「令和6年度→令和7年度の伸び」とする。（受託者の仮置き。令和8年10月の意見交換会で諮る）</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
決着しない場合は計画素案は年報による21.826％を用い、参考シートの20.84％は用いない。差は時点の違いとして注記する。（受託者の仮置き。令和8年10月の意見交換会で諮る）</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サービス見込量の算定</t>
        </is>
      </c>
      <c r="G12" s="5" t="inlineStr">
        <is>
          <t>発注者</t>
        </is>
      </c>
      <c r="H12" s="10" t="inlineStr">
        <is>
          <t>確認待ち</t>
        </is>
      </c>
      <c r="I12" s="10" t="inlineStr">
        <is>
          <t>R8.9</t>
        </is>
      </c>
      <c r="J12" s="11" t="inlineStr">
        <is>
          <t>同表 01・03シート。
決着しない場合は基本推計に近いP3で概算する。（受託者の仮置き。令和8年10月の意見交換会で諮る）</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令和8年10月5日に受領した「被保険者数（補正後）補正率2区分」は、社人研推計を第1号被保険者数の実績で補正し、見える化システムの画面が求める男女別6階級の形にしたものである。国の「推計人口と第1号被保険者数の比較」は当広域連合の85歳以上で推計人口が第1号被保険者数を9.2％上回ることを示しており、補正を要する区分である。案Cによる入力値（令和8年9月30日提示）と社人研推計を補正した値のいずれを用いるかのご判断を要する（人口推計コーホート分析の妥当性検証 07シート）。
決着しない場合は人口の設定を案Cに改める（入力値は算定済み）。改められない場合は画面の社人研推計のままとし、当方の算定との差（第1号被保険者数で＋31人から＋134人）を注記する。（受託者の仮置き。令和8年10月の意見交換会で諮る）</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サービス見込量の算定</t>
        </is>
      </c>
      <c r="G14" s="5" t="inlineStr">
        <is>
          <t>発注者</t>
        </is>
      </c>
      <c r="H14" s="10" t="inlineStr">
        <is>
          <t>確認待ち</t>
        </is>
      </c>
      <c r="I14" s="10" t="inlineStr">
        <is>
          <t>R8.10</t>
        </is>
      </c>
      <c r="J14" s="11" t="inlineStr">
        <is>
          <t>令和8年度の実績見込み値の入力案（15シート）。
決着しない場合は見える化システムの令和8年度の実績見込み値は編集しないまま概算する。当方の算定は年報（令和7年度）によるため見込量は動かず、システムの出力との差として残る。（受託者の仮置き。令和8年10月の意見交換会で諮る）</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サービス見込量の算定</t>
        </is>
      </c>
      <c r="G15" s="5" t="inlineStr">
        <is>
          <t>発注者</t>
        </is>
      </c>
      <c r="H15" s="10" t="inlineStr">
        <is>
          <t>確認待ち</t>
        </is>
      </c>
      <c r="I15" s="10" t="inlineStr">
        <is>
          <t>R8.10</t>
        </is>
      </c>
      <c r="J15" s="11" t="inlineStr">
        <is>
          <t>見える化の推計設定の受領点検 06シート。
決着しない場合は令和8年度（4か月）を含まない④（令和6年度→令和7年度）の伸びを選んだものとして概算する。当方の算定（令和7年度基準）と置き方がそろう。（受託者の仮置き。令和8年10月の意見交換会で諮る）</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
決着しない場合は施策2-5の代表KPIはO2（提起された地域課題のうち翌年度の事業・予算に反映されたものの割合）とする（当方案）。（受託者の仮置き。令和8年10月の意見交換会で諮る）</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
決着しない場合は地域ケア会議の記録様式は協議資料にとどめ、令和9年度に整える。（受託者の仮置き。令和8年10月の意見交換会で諮る）</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
決着しない場合は地域ケア個別会議と地域ケア推進会議を分けずに計数する。（受託者の仮置き。令和8年10月の意見交換会で諮る）</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
決着しない場合は令和7年度の実施報告書により把握できる範囲で記述する。（受託者の仮置き。令和8年10月の意見交換会で諮る）</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保管せず作業の終了後に廃棄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
決着しない場合は転載を禁ずる旨の記載がある2件は成果品に用いず、原典（厚労省の市町村マニュアル及び別冊事例集）のみを引く。（受託者の仮置き。令和8年10月の意見交換会で諮る）</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
決着しない場合は計画本文に掲げる中長期推計は令和17年度・令和22年度とし、見込量・給付費・保険料のいずれも単価を令和7年度で固定して算定する。（受託者の仮置き。令和8年10月の意見交換会で諮る）</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
決着しない場合は令和6年度の利用者実人数を据え置いて延ばした量の見込みを掲げ、令和7年度の実施状況は単位が異なるため別の表として示す。（受託者の仮置き。令和8年10月の意見交換会で諮る）</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サービス見込量の算定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
決着しない場合は混合型特定施設の必要利用定員総数を定めないまま概算する。（受託者の仮置き。令和8年10月の意見交換会で諮る）</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
決着しない場合は令和9年4月新設の3区分を0として立てる。（受託者の仮置き。令和8年10月の意見交換会で諮る）</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
決着しない場合は供給の制約（人材）を見込量に反映しない（需要のみで算定する）。（受託者の仮置き。令和8年10月の意見交換会で諮る）</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
決着しない場合は見込量算定の4成果品を統合報告書に束ね、元の4件も残す（現行）。（受託者の仮置き。令和8年10月の意見交換会で諮る）</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245円（年率1.32％）から＋327円（年率1.75％）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
決着しない場合は単価を令和7年度で固定する（安全側）。実績の趨勢を置いた場合の差は据え置きの一覧及び計画素案 第6章第6節2に示す。（受託者の仮置き。令和8年10月の意見交換会で諮る）</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サービス見込量の算定
計画素案 第5章 基本目標5・第6章第2節</t>
        </is>
      </c>
      <c r="G28" s="5" t="inlineStr">
        <is>
          <t>発注者</t>
        </is>
      </c>
      <c r="H28" s="10" t="inlineStr">
        <is>
          <t>確認待ち</t>
        </is>
      </c>
      <c r="I28" s="10" t="inlineStr">
        <is>
          <t>R8.10</t>
        </is>
      </c>
      <c r="J28" s="11" t="inlineStr">
        <is>
          <t>趨勢に現れない要因の分析 05シート。
決着しない場合は給付適正化の効果を織り込まないまま概算する（安全側）。（受託者の仮置き。令和8年10月の意見交換会で諮る）</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
決着しない場合は趨勢に現れない要因は向きのみを注記し、数値には織り込まない。（受託者の仮置き。令和8年10月の意見交換会で諮る）</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サービス見込量の算定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
決着しない場合はサービス別の趨勢を反映する補正は行わない（見込量は要介護度別の伸びによる）。補正を行った場合の月額への効きは計画素案 第6章第6節2に併記する。（受託者の仮置き。令和8年10月の意見交換会で諮る）</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サービス見込量の算定
計画素案 第6章第4節4</t>
        </is>
      </c>
      <c r="G31" s="5" t="inlineStr">
        <is>
          <t>発注者・3町</t>
        </is>
      </c>
      <c r="H31" s="10" t="inlineStr">
        <is>
          <t>確認待ち</t>
        </is>
      </c>
      <c r="I31" s="10" t="inlineStr">
        <is>
          <t>R8.9</t>
        </is>
      </c>
      <c r="J31" s="11" t="inlineStr">
        <is>
          <t>対計画比の偏りの補正試算 05シート。
決着しない場合は施設・居住系の実績の減少を将来へ延長しないまま概算する。（受託者の仮置き。令和8年10月の意見交換会で諮る）</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
決着しない場合は補正しても外れる6件は趨勢ではなく供給・制度の問題として注記する。（受託者の仮置き。令和8年10月の意見交換会で諮る）</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サービス見込量の算定
将来推計 第3段階
計画素案 第6章第2節2</t>
        </is>
      </c>
      <c r="G33" s="5" t="inlineStr">
        <is>
          <t>発注者</t>
        </is>
      </c>
      <c r="H33" s="10" t="inlineStr">
        <is>
          <t>確認待ち</t>
        </is>
      </c>
      <c r="I33" s="10" t="inlineStr">
        <is>
          <t>R8.9</t>
        </is>
      </c>
      <c r="J33" s="11" t="inlineStr">
        <is>
          <t>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
決着しない場合は令和8年度を基準年度に用いず、季節補正も行わないまま概算する。（受託者の仮置き。令和8年10月の意見交換会で諮る）</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
決着しない場合は単価を令和7年度で固定する（安全側）。令和8年度の水準を反映した場合の差（月額＋99円）は据え置きの一覧に示す。（受託者の仮置き。令和8年10月の意見交換会で諮る）</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サービス見込量の算定
計画素案 第4章第3節・第6章第2節</t>
        </is>
      </c>
      <c r="G35" s="5" t="inlineStr">
        <is>
          <t>発注者</t>
        </is>
      </c>
      <c r="H35" s="10" t="inlineStr">
        <is>
          <t>確認待ち</t>
        </is>
      </c>
      <c r="I35" s="10" t="inlineStr">
        <is>
          <t>R8.9</t>
        </is>
      </c>
      <c r="J35" s="11" t="inlineStr">
        <is>
          <t>見込量の季節性の検証と施策反映の設計 04・05シート。
決着しない場合は施策反映を行わないまま概算する（安全側）。（受託者の仮置き。令和8年10月の意見交換会で諮る）</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サービス見込量の算定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6,438円）に置き換えた。ご判断をいただくまでは暫定であり、置き方によるちがい（要介護度別6,438円・一律6,428円・見える化6,740円）を第6節に併記している。
決着しない場合は採用パターンP3（令和7年度基準・総括表・認定者数シナリオ②）により、要介護度別の伸びで概算する。（受託者の仮置き。令和8年10月の意見交換会で諮る）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サービス見込量の算定</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
決着しない場合は計画素案 第6章第2節の表は当方の算定（令和7年度の実績に要介護度別の認定者数の伸びを乗じたもの）による値とし、見える化システムの自然体推計による値は第6節2に対比として掲げる。（受託者の仮置き。令和8年10月の意見交換会で諮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
決着しない場合は②は確認できないものとして、令和8年度を基準年度に用いない。（受託者の仮置き。令和8年10月の意見交換会で諮る）</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なお、介護給付費分科会第263回 資料1は、人員配置基準に係るいわゆるローカルルールについて「あくまでも厚生労働省令に従う範囲内で地域の実情に応じた内容とする必要がある」としたうえで、自治体ごとに異なる解釈や取扱いが行われている状況について引き続き実態の把握を行うこととしている（令和8年10月14日に原典により確認）。条例の規定が省令に従う範囲内であるかは、条文を確認したうえで点検す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
決着しない場合は基準条例を受領できないものとして、省令の基準により論点を整理するにとどめ、計画素案には条例の内容を書かない。（受託者の仮置き。令和8年10月の意見交換会で諮る）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
決着しない場合は認知症対応型共同生活介護の定員は99人＋［要確認］のまま掲げる。（受託者の仮置き。令和8年10月の意見交換会で諮る）</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
決着しない場合は条例の対応規定を確認できないものとして、計画素案には省令の定めと対象事業所数（協力医療機関10・生産性向上委員会15）のみを書く。（受託者の仮置き。令和8年10月の意見交換会で諮る）</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サービス見込量の算定</t>
        </is>
      </c>
      <c r="G42" s="5" t="inlineStr">
        <is>
          <t>発注者</t>
        </is>
      </c>
      <c r="H42" s="10" t="inlineStr">
        <is>
          <t>確認待ち</t>
        </is>
      </c>
      <c r="I42" s="10" t="inlineStr">
        <is>
          <t>R8.9</t>
        </is>
      </c>
      <c r="J42" s="11" t="inlineStr">
        <is>
          <t>①は第6章第4節1 案Aの書き分けに関わるため第1次概算（9月26日）より前に整理する。
決着しない場合は省令上の類型を計画に掲げないまま概算する。（受託者の仮置き。令和8年10月の意見交換会で諮る）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
決着しない場合は過疎地域における定員超過の特例を用いないものとして見込量を算定する。（受託者の仮置き。令和8年10月の意見交換会で諮る）</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
決着しない場合は財政調整交付金の算定に給付適正化主要3事業の取組状況を勘案しないものとして算定する（調整交付金7.3755％のまま。安全側）。（受託者の仮置き。令和8年10月の意見交換会で諮る）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
決着しない場合は給付適正化計画の位置づけは案B（第9期と同じく施策として置き、施策名のかっこ書きで第7期給付適正化計画であることを示す）のままとする（令和8年9月10日 了承済み）。（受託者の仮置き。令和8年10月の意見交換会で諮る）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
決着しない場合は認定調査の委託の状況を確認できないものとして、第7期給付適正化計画には現行の取組のまま位置づける。（受託者の仮置き。令和8年10月の意見交換会で諮る）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
決着しない場合は介護給付費通知の実施状況を確認できないものとして、第7期給付適正化計画には現行の取組のまま位置づける。（受託者の仮置き。令和8年10月の意見交換会で諮る）</t>
        </is>
      </c>
    </row>
    <row r="48" ht="88" customHeight="1">
      <c r="A48" s="4" t="n">
        <v>90</v>
      </c>
      <c r="B48" s="4" t="inlineStr">
        <is>
          <t>(2)(6)</t>
        </is>
      </c>
      <c r="C48" s="4" t="inlineStr">
        <is>
          <t>R8.9</t>
        </is>
      </c>
      <c r="D48" s="5" t="inlineStr">
        <is>
          <t>第9期計画の本文（電子データ）及び前回調査の原集計表の提供</t>
        </is>
      </c>
      <c r="E48"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48" s="5" t="inlineStr">
        <is>
          <t>給付適正化計画の位置づけと追加検討事項 01シート
計画素案 第5章 基本目標5・第2章第4節
アンケート調査の分析 令和8年9月業務報告 第4節</t>
        </is>
      </c>
      <c r="G48" s="5" t="inlineStr">
        <is>
          <t>発注者</t>
        </is>
      </c>
      <c r="H48" s="10" t="inlineStr">
        <is>
          <t>確認待ち</t>
        </is>
      </c>
      <c r="I48" s="10" t="inlineStr">
        <is>
          <t>R8.10</t>
        </is>
      </c>
      <c r="J48" s="11" t="inlineStr">
        <is>
          <t>第9期計画の体裁を勘案して第10期での位置づけを決めるため、記載の箇所の確認が前提となる。前回調査の分母は経年比較の前提となる。
決着しない場合は第9期計画の本文及び前回調査の原集計表を受領できないものとして、前回調査との比較は割合のみとし、指標別の分母を確認できない旨を注記する。（受託者の仮置き。令和8年10月の意見交換会で諮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
決着しない場合は計画素案 第1章第9節2の7件の整理のまま進め、政令・省令・報酬改定の公表後に再照合する。（受託者の仮置き。令和8年10月の意見交換会で諮る）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の算定（9月26日）より前に①の決定をいただきたい。</t>
        </is>
      </c>
      <c r="F50" s="5" t="inlineStr">
        <is>
          <t>計画素案 第1章第7節・第6章第4節4
サービス見込量の算定</t>
        </is>
      </c>
      <c r="G50" s="5" t="inlineStr">
        <is>
          <t>発注者・3町</t>
        </is>
      </c>
      <c r="H50" s="10" t="inlineStr">
        <is>
          <t>確認待ち</t>
        </is>
      </c>
      <c r="I50" s="10" t="inlineStr">
        <is>
          <t>R8.9</t>
        </is>
      </c>
      <c r="J50" s="11" t="inlineStr">
        <is>
          <t>法定記載事項であり、記載を落とすことができない。圏域が確定しないと表を作成できない。
決着しない場合は3町（3圏域）を基盤整備単位とする案のまま概算する。必要利用定員総数は［要協議］のまま残す。（受託者の仮置き。令和8年10月の意見交換会で諮る）</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51" s="5" t="inlineStr">
        <is>
          <t>計画素案 第2章第2節5
町別データシート
給付実績データの受領点検
令和8年9月25日受領資料の受領点検</t>
        </is>
      </c>
      <c r="G51" s="5" t="inlineStr">
        <is>
          <t>発注者</t>
        </is>
      </c>
      <c r="H51" s="10" t="inlineStr">
        <is>
          <t>解決</t>
        </is>
      </c>
      <c r="I51" s="10" t="inlineStr">
        <is>
          <t>R8.9</t>
        </is>
      </c>
      <c r="J51" s="11" t="inlineStr">
        <is>
          <t>計画素案・町別データシート・見込量算定の注記を改めた。保険料の算定には介護保険特別会計決算の値を用いるため、本件は実績の記載に関するものであり保険料算定には影響しない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
決着しない場合は地域支援事業費（B）から保険者機能強化推進事業費及び保険者努力支援事業費を除く現行の方法を採り、保険料収納必要額からの控除は行わない（二重控除を避けるため）。（受託者の仮置き。令和8年10月の意見交換会で諮る）</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
決着しない場合は町別データシートは現行の内容のまま配付する。（受託者の仮置き。令和8年10月の意見交換会で諮る）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
決着しない場合は現定員の据え置き案を掲げ、本文は［要協議］のまま残す。（受託者の仮置き。令和8年10月の意見交換会で諮る）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
決着しない場合は3町合同の意見交換会（10月上旬）と町ごとの個別協議（10月中旬〜下旬）の2段構えで進める。（受託者の仮置き。令和8年10月の意見交換会で諮る）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サービス見込量の算定（R8.9.26）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
決着しない場合は町別への按分は広域連合の規約によるものであり算定できないため、構成町の一般会計繰入金は3町計の概算のみを示す（按分の方法のご教示を受けた時点で町別までお示しする）。（受託者の仮置き。令和8年10月の意見交換会で諮る）</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
決着しない場合は国保連の給付実績の明細を受領できないものとして、代表KPI H16は地域密着型サービスに限った確認件数を代理指標とする。（受託者の仮置き。令和8年10月の意見交換会で諮る）</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
決着しない場合は職員個票を突き合わせず、事業所への照会により重複を判別する。（受託者の仮置き。令和8年10月の意見交換会で諮る）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
決着しない場合は第9期の19施策の体系を維持する（施策数を見直さない）。（受託者の仮置き。令和8年10月の意見交換会で諮る）</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
決着しない場合は北海道の名簿の定員のまま概算する。（受託者の仮置き。令和8年10月の意見交換会で諮る）</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
決着しない場合は北海道の評価指標⑥の団体別の公表値を引用できないものとして、当該指標は計画本文に掲げない。（受託者の仮置き。令和8年10月の意見交換会で諮る）</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
決着しない場合は介護リームスから抽出できないものとして、代表KPI H03は未算定のままとする。（受託者の仮置き。令和8年10月の意見交換会で諮る）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3・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
決着しない場合は代表KPIと改善事項は当方の再整理案のままとする。（受託者の仮置き。令和8年10月の意見交換会で諮る）</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
決着しない場合は北海道が家賃等の情報収集を行っていないものとして、第10期の施策に位置づけない。（受託者の仮置き。令和8年10月の意見交換会で諮る）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
決着しない場合はケアプラン点検実施要領（案）は協議資料にとどめ素案に入れない。（受託者の仮置き。令和8年10月の意見交換会で諮る）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第3章第4節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
決着しない場合は交付金の全国順位は計画本文に掲載せず、策定委員会資料にとどめる（確認事項No.71のとおり）。（受託者の仮置き。令和8年10月の意見交換会で諮る）</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令和7年3月の全国介護保険・高齢者保健福祉担当課長会議資料（介護保険計画課）によれば、成果指向型配分枠は令和7年度に新設され、令和8年度評価指標においては例年7〜8月頃に実施する該当状況調査において成果指向型配分枠分も併せて実施する予定とされている。3町が令和8年度の該当状況調査で回答している可能性がある。第10期の初年度（令和9年度）の交付金は令和8年度の取組を評価する。本計画の策定と並行して令和8年度の取組を設計できれば、第10期の初年度から得点に結びつく。
決着しない場合は成果指向型配分枠への対応状況を確認できないものとして、第10期の施策には位置づけず、確認でき次第加える。（受託者の仮置き。令和8年10月の意見交換会で諮る）</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
決着しない場合は当方の算定のまま進め、国の様式との対応は協議用の資料に対照表として掲げる。（受託者の仮置き。令和8年10月の意見交換会で諮る）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
決着しない場合は再出力を受けられないものとして、当方の要介護度別の算定による見込量を用いる。（受託者の仮置き。令和8年10月の意見交換会で諮る）</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
決着しない場合はサービスガイドに掲載する事業所の範囲は北海道の指定事業所一覧（最新のもの）による。（受託者の仮置き。令和8年10月の意見交換会で諮る）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
決着しない場合は広域連合において行うべき事業の優先順位は当方の案のままとする。（受託者の仮置き。令和8年10月の意見交換会で諮る）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
決着しない場合は区域内に事業所がないサービスは、区域外の事業所を利用できる旨を住民向けの記載に書く。（受託者の仮置き。令和8年10月の意見交換会で諮る）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
決着しない場合は人口推計の基礎は案C（総合戦略＋住民基本台帳の趨勢）のままとする。案A・案Bは対比の記録として残す。（受託者の仮置き。令和8年10月の意見交換会で諮る）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
決着しない場合は交付金の評価項目と19施策の割当ては当方の案のままとする。（受託者の仮置き。令和8年10月の意見交換会で諮る）</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
決着しない場合は当方案（単価を令和7年度で固定・施策反映を行わない・給付適正化を織り込まない・基金を取り崩さない）による。いずれも安全側であり、月額は下限に近い値となる。（受託者の仮置き。令和8年10月の意見交換会で諮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
決着しない場合は現行の扱い（第9期の算定を再現し公表値6,428円と一致する扱い）による。（受託者の仮置き。令和8年10月の意見交換会で諮る）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
決着しない場合は定期巡回・随時対応型訪問介護看護は自然体の算定値を置き、整備による上乗せは行わない（安全側）。（受託者の仮置き。令和8年10月の意見交換会で諮る）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
決着しない場合は第10期は計画値を0とせず、算定値を置く（対計画比が算出され評価の対象となるようにする）。（受託者の仮置き。令和8年10月の意見交換会で諮る）</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
決着しない場合は他団体の集計帳票6件は成果品に用いない。（受託者の仮置き。令和8年10月の意見交換会で諮る）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
決着しない場合は議事録は作成者名を落として再出力する（当方で対応する）。（受託者の仮置き。令和8年10月の意見交換会で諮る）</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
決着しない場合は議事録の表記はご提案3件のとおり改める。（受託者の仮置き。令和8年10月の意見交換会で諮る）</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
決着しない場合は介護保険事業財政調整基金を取り崩さないものとして算定する（安全側）。取り崩す場合の1億円あたりの月額への効きを併記する。（受託者の仮置き。令和8年10月の意見交換会で諮る）</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
決着しない場合は名称・科目は令和6年度決算書の表記による（総額に影響しない）。（受託者の仮置き。令和8年10月の意見交換会で諮る）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
決着しない場合は月報の値の接続のずれは記録として残し、計画本文には用いない。（受託者の仮置き。令和8年10月の意見交換会で諮る）</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
決着しない場合は受領済みの年報・月報の値による。（受託者の仮置き。令和8年10月の意見交換会で諮る）</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
決着しない場合は収録済みの令和6年度の総合事業の実施状況に関する調査の値による。（受託者の仮置き。令和8年10月の意見交換会で諮る）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
決着しない場合は総括表（保険者単位）を用い、計画作成支援ツールの実績値シートは比較のためにのみ用いる。（受託者の仮置き。令和8年10月の意見交換会で諮る）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
決着しない場合は令和8年9月25日の再提供により決着済み。再提供を受けたファイルの値（3町合計と円単位一致）による。（受託者の仮置き。令和8年10月の意見交換会で諮る）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
決着しない場合は代表KPI H15の分母は標準給付費見込額とする（受託者案）。（受託者の仮置き。令和8年10月の意見交換会で諮る）</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
決着しない場合は令和8年8月28日受領の集計帳票による。（受託者の仮置き。令和8年10月の意見交換会で諮る）</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
決着しない場合は中間報告・施策体系新旧対照表・骨子案は提出した内容のままとする。（受託者の仮置き。令和8年10月の意見交換会で諮る）</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
決着しない場合は社会資源一覧の従業員数は施設単位の実人数を用い、延べの値は用いない（同一の施設が複数のサービスで登録されている分を除く）。介護人材実態調査の採用者数・離職者数も同一法人の重複計上分を除いた採用83人・離職65人を用いる。（受託者の仮置き。令和8年10月の意見交換会で諮る）</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
決着しない場合は現行の工程表のまま進める。（受託者の仮置き。令和8年10月の意見交換会で諮る）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is>
          <t>決着しない場合は告示を確認できないものとして、特別地域加算の判定を計画素案に書かず［要確認］のまま残す。（受託者の仮置き。令和8年10月の意見交換会で諮る）</t>
        </is>
      </c>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is>
          <t>決着しない場合は特定地域の指定に係る意向表明を行わないものとして記載し、省令等の確定後に改める。（受託者の仮置き。令和8年10月の意見交換会で諮る）</t>
        </is>
      </c>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is>
          <t>決着しない場合は類似保険者との比較は公表されている同規模保険者40団体による。（受託者の仮置き。令和8年10月の意見交換会で諮る）</t>
        </is>
      </c>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is>
          <t>決着しない場合は代表KPI H07・H08・H12・H16は代理指標への振替案のとおりとする。（受託者の仮置き。令和8年10月の意見交換会で諮る）</t>
        </is>
      </c>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第3章第2節・第3節・第4節
妥当性検証報告書 12シート</t>
        </is>
      </c>
      <c r="G104" s="5" t="inlineStr">
        <is>
          <t>発注者</t>
        </is>
      </c>
      <c r="H104" s="10" t="inlineStr">
        <is>
          <t>確認待ち</t>
        </is>
      </c>
      <c r="I104" s="10" t="inlineStr">
        <is>
          <t>R8.8</t>
        </is>
      </c>
      <c r="J104" s="11" t="inlineStr">
        <is>
          <t>決着しない場合は第9期の施策・事業実績を受領できないものとして、公表資料（交付金の評価結果・総合事業の実施状況に関する調査・年報）により評価する。（受託者の仮置き。令和8年10月の意見交換会で諮る）</t>
        </is>
      </c>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is>
          <t>決着しない場合は評価調書を受領できないものとして、得点0が「取組がない」のか「要件を満たさない」のか「報告していない」のかは公表資料から判別できない旨を注記する。（受託者の仮置き。令和8年10月の意見交換会で諮る）</t>
        </is>
      </c>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is>
          <t>決着しない場合は第9期の自己評価と北海道への報告の実績を確認できないものとして、第10期の進行管理に自己評価の仕組みを置く。（受託者の仮置き。令和8年10月の意見交換会で諮る）</t>
        </is>
      </c>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is>
          <t>決着しない場合は3調査の点検事項は当方の判定のままとする。（受託者の仮置き。令和8年10月の意見交換会で諮る）</t>
        </is>
      </c>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is>
          <t>決着しない場合は現に収録している対象者範囲・回収率による。設問ごとに分母が異なることを注記する。（受託者の仮置き。令和8年10月の意見交換会で諮る）</t>
        </is>
      </c>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is>
          <t>決着しない場合は採用83人・離職65人（同一法人の重複を除いた値）による。代表KPI H14は、分母となる各年9月30日現在の在籍者数を確認できないため未算定のままとする。（受託者の仮置き。令和8年10月の意見交換会で諮る）</t>
        </is>
      </c>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is>
          <t>決着しない場合は住民基本台帳（各年1月1日現在）の町別人口により本文を確定する。（受託者の仮置き。令和8年10月の意見交換会で諮る）</t>
        </is>
      </c>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is>
          <t>決着しない場合は日常生活圏域を3町（3圏域）とする案のまま概算する。（受託者の仮置き。令和8年10月の意見交換会で諮る）</t>
        </is>
      </c>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is>
          <t>決着しない場合は北海道の指定事業所一覧の「通常の事業の実施地域」により判定する。（受託者の仮置き。令和8年10月の意見交換会で諮る）</t>
        </is>
      </c>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is>
          <t>決着しない場合は案C（総合戦略＋住民基本台帳の実績趨勢）のまま確定する。（受託者の仮置き。令和8年10月の意見交換会で諮る）</t>
        </is>
      </c>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is>
          <t>決着しない場合は認定者数は年報の年度末（3月31日）を基準とし、月次推移は計画本文に掲げない。（受託者の仮置き。令和8年10月の意見交換会で諮る）</t>
        </is>
      </c>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is>
          <t>決着しない場合は確認事項No.60と同じ前提（単価固定・施策反映なし・適正化を織り込まない・基金取崩しなし）による。（受託者の仮置き。令和8年10月の意見交換会で諮る）</t>
        </is>
      </c>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is>
          <t>決着しない場合は広域連合の代表KPI16項目を掲げ、3町計画への掲載は求めない。（受託者の仮置き。令和8年10月の意見交換会で諮る）</t>
        </is>
      </c>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is>
          <t>決着しない場合は骨子案は提出した内容のままとする。（受託者の仮置き。令和8年10月の意見交換会で諮る）</t>
        </is>
      </c>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is>
          <t>令和8年10月5日に受領したスケジュールにより、②パブリックコメントの実施期間（令和9年1月。ウェブで2週間。概要版を用いる）、介護保険運営協議会をパブリックコメントの前に開くこと、令和9年2月19日の事務管理者・主監会議協議（最終協議・原稿及び数値の確定）、3月2日の全員協議会情報提供、3月3日の計画の決定（データの締切り）、3月23日の広域連合議会が分かった。月別工程に取り込んだ。残るのは①の審議事項と資料提出期限及び③の公表基準である。決着しない場合は本スケジュールのとおり工程を組む</t>
        </is>
      </c>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is>
          <t>決着しない場合は北海道・圏域との調整の場が設けられないものとして、北海道の第9期支援計画との整合により記載する。（受託者の仮置き。令和8年10月の意見交換会で諮る）</t>
        </is>
      </c>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is>
          <t>決着しない場合は成果品の仕様は仕様書の定め（計画書 印刷200部・編集可能な電子データ及びPDF）による。（受託者の仮置き。令和8年10月の意見交換会で諮る）</t>
        </is>
      </c>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is>
          <t>決着しない場合は北海道の評価指標の読替えは当方の案のままとする。（受託者の仮置き。令和8年10月の意見交換会で諮る）</t>
        </is>
      </c>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is>
          <t>決着しない場合は北海道の各名簿及び介護サービス情報公表システムの定員による。（受託者の仮置き。令和8年10月の意見交換会で諮る）</t>
        </is>
      </c>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is>
          <t>決着しない場合は24時間対応サービスは自然体の算定値を置き、整備による上乗せは行わない（安全側）。（受託者の仮置き。令和8年10月の意見交換会で諮る）</t>
        </is>
      </c>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is>
          <t>決着しない場合は代表KPIの目標値は、令和9年度を基準値の把握に充て、令和10年度・令和11年度に目標値を置く。（受託者の仮置き。令和8年10月の意見交換会で諮る）</t>
        </is>
      </c>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is>
          <t>決着しない場合は現に受領している交付金評価結果と実施報告書の範囲で記述する。（受託者の仮置き。令和8年10月の意見交換会で諮る）</t>
        </is>
      </c>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is>
          <t>決着しない場合は令和4年度の集計表を受領できないものとして、前回比較は第9期計画の本文に掲げられた指標に限る。（受託者の仮置き。令和8年10月の意見交換会で諮る）</t>
        </is>
      </c>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is>
          <t>決着しない場合は現に収録している調査対象者の範囲による。（受託者の仮置き。令和8年10月の意見交換会で諮る）</t>
        </is>
      </c>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is>
          <t>決着しない場合は年齢階級ごとの要介護度の構成を令和7年度末の実績で固定する（重度化は人口の高齢化による分のみを見込む）。（受託者の仮置き。令和8年10月の意見交換会で諮る）</t>
        </is>
      </c>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is>
          <t>決着しない場合は施設入所者と在宅者を分けずに算定する（分けるための要介護度の変化のデータがないため）。（受託者の仮置き。令和8年10月の意見交換会で諮る）</t>
        </is>
      </c>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is>
          <t>決着しない場合は給付適正化による抑制を推計に織り込まない（安全側）。対象4サービスは総給付費の7.70％であり、10％抑制でも月額▲47円であることを併記する。（受託者の仮置き。令和8年10月の意見交換会で諮る）</t>
        </is>
      </c>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is>
          <t>決着しない場合は第9期条例の16段階・乗率（公費軽減前）を据え置いて算定し、政令の公布後に再算定する。（受託者の仮置き。令和8年10月の意見交換会で諮る）</t>
        </is>
      </c>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is>
          <t>決着しない場合は経緯を確認できないものとして、第9期条例の乗率をそのまま用いる。（受託者の仮置き。令和8年10月の意見交換会で諮る）</t>
        </is>
      </c>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is>
          <t>決着しない場合は上川管内の保険者の所得段階数と乗率の比較は掲げない。（受託者の仮置き。令和8年10月の意見交換会で諮る）</t>
        </is>
      </c>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is>
          <t>決着しない場合は令和6年度の所得段階別構成比と予定収納率0.99による。（受託者の仮置き。令和8年10月の意見交換会で諮る）</t>
        </is>
      </c>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is>
          <t>決着しない場合は公表されている全国集計の値による。（受託者の仮置き。令和8年10月の意見交換会で諮る）</t>
        </is>
      </c>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サービス見込量の算定</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確認のうえ収録し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245〜＋327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サービス見込量の算定</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
決着しない場合は1人1月あたり給付費は令和7年度で固定して概算する（単価の趨勢を織り込まないことによる効きは計画素案 第6章第6節2に掲げる）。（受託者の仮置き。令和8年10月の意見交換会で諮る）</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
決着しない場合は認定者数の実績見込み値を編集する項目がないものとして、認定率の伸びに「令和6年度→令和7年度の伸び」を選ぶ。（受託者の仮置き。令和8年10月の意見交換会で諮る）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は健康とくらしの調査の個票（4,729票）によるものである。個票は発注者指示（令和8年8月28日）により保管していないため、同成果品を作り直すことは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保管せず、作業後に廃棄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
決着しない場合は健康とくらしの調査の個票の再提供を依頼しない（成果品は収録済みで内容が確定しており、現時点で不足がない）。（受託者の仮置き。令和8年10月の意見交換会で諮る）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
決着しない場合は在宅生活改善調査の結果は「在宅で困難を抱える方の状況」として引き、在宅の認定者全体の割合としては引かない。（受託者の仮置き。令和8年10月の意見交換会で諮る）</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サービス見込量の算定</t>
        </is>
      </c>
      <c r="G144" s="5" t="inlineStr">
        <is>
          <t>発注者</t>
        </is>
      </c>
      <c r="H144" s="10" t="inlineStr">
        <is>
          <t>確認待ち</t>
        </is>
      </c>
      <c r="I144" s="10" t="inlineStr">
        <is>
          <t>R8.9</t>
        </is>
      </c>
      <c r="J144" s="11" t="inlineStr">
        <is>
          <t>調査結果と年報実績の突合クロス集計 03・04・05シート。
決着しない場合は必要利用定員総数は区域内の施設の定員とは別に整理したまま概算する。（受託者の仮置き。令和8年10月の意見交換会で諮る）</t>
        </is>
      </c>
    </row>
    <row r="145" ht="88" customHeight="1">
      <c r="A145" s="4" t="n">
        <v>142</v>
      </c>
      <c r="B145" s="4" t="inlineStr">
        <is>
          <t>(5)</t>
        </is>
      </c>
      <c r="C145" s="4" t="inlineStr">
        <is>
          <t>R8.9</t>
        </is>
      </c>
      <c r="D145" s="5" t="inlineStr">
        <is>
          <t>第1次概算を既定値のまま出してよいか</t>
        </is>
      </c>
      <c r="E145" s="5" t="inlineStr">
        <is>
          <t>サービス見込量の算定（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245〜＋327円）であり、これだけは9月26日までに決定をいただきたい。</t>
        </is>
      </c>
      <c r="F145" s="5" t="inlineStr">
        <is>
          <t>サービス見込量の算定</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
決着しない場合は本表そのものに係る確認事項である。決着しない場合は、本シートの既定値によったことを第1次概算の資料に明示して提出する。（受託者の仮置き。令和8年10月の意見交換会で諮る）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
決着しない場合は未確定箇所の表示は［要協議］［要確認］［要内訳］の3種のままとする。（受託者の仮置き。令和8年10月の意見交換会で諮る）</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
決着しない場合は統合した成果品の元の資料を残す。（受託者の仮置き。令和8年10月の意見交換会で諮る）</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サービス見込量の算定</t>
        </is>
      </c>
      <c r="G148" s="5" t="inlineStr">
        <is>
          <t>発注者</t>
        </is>
      </c>
      <c r="H148" s="10" t="inlineStr">
        <is>
          <t>確認待ち</t>
        </is>
      </c>
      <c r="I148" s="10" t="inlineStr">
        <is>
          <t>R8.9</t>
        </is>
      </c>
      <c r="J148" s="11" t="inlineStr">
        <is>
          <t>管理の統合と成果品の棚卸し 04シート。
決着しない場合はサービス見込量・給付費・保険料は年報（保険者単位）の値で概算し、町別データシートは計画作成支援ツールの値のまま示す。3町を足しても年報の値にならないことを注記する。（受託者の仮置き。令和8年10月の意見交換会で諮る）</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
決着しない場合は年報の値を用いる（総括表・給付費と内的整合が取れているため）。画面の値は用いず、2％以上食い違う3区分を注記する。（受託者の仮置き。令和8年10月の意見交換会で諮る）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サービス見込量の算定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
決着しない場合は要介護度別の伸びによる算定（第1次概算）で概算し、一律の伸びによる従前の値を併記する（差は計画素案 第6章第6節2に掲げる）。（受託者の仮置き。令和8年10月の意見交換会で諮る）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サービス見込量の算定</t>
        </is>
      </c>
      <c r="G151" s="5" t="inlineStr">
        <is>
          <t>発注者</t>
        </is>
      </c>
      <c r="H151" s="10" t="inlineStr">
        <is>
          <t>確認待ち</t>
        </is>
      </c>
      <c r="I151" s="10" t="inlineStr">
        <is>
          <t>R8.9</t>
        </is>
      </c>
      <c r="J151" s="11" t="inlineStr">
        <is>
          <t>入力前段支援アプリの点検 04シート。
決着しない場合は令和8年度を含まない④（令和6年度→令和7年度）を採ったものとして概算する。当方の算定（令和7年度基準）と置き方がそろう。（受託者の仮置き。令和8年10月の意見交換会で諮る）</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
決着しない場合は受領済みの画面の写しの範囲で概算し、確認できていない項目はその旨を明記する。（受託者の仮置き。令和8年10月の意見交換会で諮る）</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
決着しない場合は認知症基本法の条文を受領できないものとして、計画素案には条番号のみを書き項番号は［要確認］のまま残す。（受託者の仮置き。令和8年10月の意見交換会で諮る）</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10" t="inlineStr">
        <is>
          <t>一部確認済み</t>
        </is>
      </c>
      <c r="I154" s="10" t="inlineStr">
        <is>
          <t>R8.10</t>
        </is>
      </c>
      <c r="J154" s="11" t="inlineStr">
        <is>
          <t>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
決着しない場合は6事業別の事業費を受領できないものとして、認知症総合支援事業の量の見込みは立てず、3町の取組の回数のみを掲げる。（受託者の仮置き。令和8年10月の意見交換会で諮る）</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サービス見込量の算定
計画素案 第6章第2節</t>
        </is>
      </c>
      <c r="G155" s="5" t="inlineStr">
        <is>
          <t>発注者</t>
        </is>
      </c>
      <c r="H155" s="10" t="inlineStr">
        <is>
          <t>確認待ち</t>
        </is>
      </c>
      <c r="I155" s="10" t="inlineStr">
        <is>
          <t>R8.9</t>
        </is>
      </c>
      <c r="J155" s="11" t="inlineStr">
        <is>
          <t>認知症施策推進計画の位置づけと見込量への反映 04・06シート。
決着しない場合は認知症対応型共同生活介護及び介護老人福祉施設を対計画比の補正の対象から外したものとして概算する。定員の縮小を趨勢として二重に織り込まないため（安全側）。（受託者の仮置き。令和8年10月の意見交換会で諮る）</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05シート。令和8年10月5日に受領した人口推計のファイルは町別に推計しており、東川町の値が発散している（人口推計コーホート分析の妥当性検証 04シート）。町別に掲げる場合は式の是正が前提となる。
決着しない場合は町別の将来推計は計画本文に掲げない（令和8年9月10日の了承のとおり）。（受託者の仮置き。令和8年10月の意見交換会で諮る）</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
決着しない場合は計画素案 第2章第1節に町別の図を加えない。加筆分は協議用の資料にとどめる。（受託者の仮置き。令和8年10月の意見交換会で諮る）</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令和8年10月5日に受領した人口推計のファイルについても検証した。東川町だけ90歳以上の変化率の分母が5年前の90歳以上になっているため、東川町の総人口が令和32年度で実績の4.7倍へ発散する。正しく組み直すと65歳以上（3町計）は横ばいとなり、案Cと1.4％から4.9％以内で一致する（人口推計コーホート分析の妥当性検証 04・05・06シート）。決着しない場合は案Cのままとする</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
決着しない場合は当方の算定（16段階×8年度）による。所得段階の設定は弾力化を選ぶ。（受託者の仮置き。令和8年10月の意見交換会で諮る）</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
決着しない場合は算定の側だけを令和12・27・32年度まで広げ、計画本文に掲げる中長期は令和17年度・令和22年度のままとする。（受託者の仮置き。令和8年10月の意見交換会で諮る）</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第4章第3節・第5章 基本目標3・資料1
アンケート調査の集計分析報告書 02・14シート</t>
        </is>
      </c>
      <c r="G162" s="5" t="inlineStr">
        <is>
          <t>発注者</t>
        </is>
      </c>
      <c r="H162" s="10" t="inlineStr">
        <is>
          <t>確認待ち</t>
        </is>
      </c>
      <c r="I162" s="10" t="inlineStr">
        <is>
          <t>R8.10</t>
        </is>
      </c>
      <c r="J162" s="11" t="inlineStr">
        <is>
          <t>既定値は①②のとおり設問別の有効回答を分母とし、③は町別の値を掲げない。令和8年9月25日の点検による。
決着しない場合は設問ごとの有効回答を分母とし、町別の値は掲げない（令和8年9月25日に是正済み）。（受託者の仮置き。令和8年10月の意見交換会で諮る）</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10" t="inlineStr">
        <is>
          <t>確認待ち</t>
        </is>
      </c>
      <c r="I163" s="10" t="inlineStr">
        <is>
          <t>R8.10</t>
        </is>
      </c>
      <c r="J163" s="11" t="inlineStr">
        <is>
          <t>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10" t="inlineStr">
        <is>
          <t>確認待ち</t>
        </is>
      </c>
      <c r="I164" s="10" t="inlineStr">
        <is>
          <t>R8.10</t>
        </is>
      </c>
      <c r="J164" s="11" t="inlineStr">
        <is>
          <t>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10" t="inlineStr">
        <is>
          <t>確認待ち</t>
        </is>
      </c>
      <c r="I165" s="10" t="inlineStr">
        <is>
          <t>R8.10</t>
        </is>
      </c>
      <c r="J165" s="11" t="inlineStr">
        <is>
          <t>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10" t="inlineStr">
        <is>
          <t>確認待ち</t>
        </is>
      </c>
      <c r="I166" s="10" t="inlineStr">
        <is>
          <t>R8.10</t>
        </is>
      </c>
      <c r="J166" s="11" t="inlineStr">
        <is>
          <t>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10" t="inlineStr">
        <is>
          <t>確認待ち</t>
        </is>
      </c>
      <c r="I167" s="10" t="inlineStr">
        <is>
          <t>R8.10</t>
        </is>
      </c>
      <c r="J167" s="11" t="inlineStr">
        <is>
          <t>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43人が美瑛町にある。サービス見込量の算定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10" t="inlineStr">
        <is>
          <t>確認待ち</t>
        </is>
      </c>
      <c r="I168" s="10" t="inlineStr">
        <is>
          <t>R8.10</t>
        </is>
      </c>
      <c r="J168" s="11" t="inlineStr">
        <is>
          <t>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10" t="inlineStr">
        <is>
          <t>確認待ち</t>
        </is>
      </c>
      <c r="I169" s="10" t="inlineStr">
        <is>
          <t>R8.10</t>
        </is>
      </c>
      <c r="J169" s="11" t="inlineStr">
        <is>
          <t>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10" t="inlineStr">
        <is>
          <t>確認待ち</t>
        </is>
      </c>
      <c r="I170" s="10" t="inlineStr">
        <is>
          <t>R8.10</t>
        </is>
      </c>
      <c r="J170" s="11" t="inlineStr">
        <is>
          <t>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10" t="inlineStr">
        <is>
          <t>確認待ち</t>
        </is>
      </c>
      <c r="I171" s="10" t="inlineStr">
        <is>
          <t>R8.10</t>
        </is>
      </c>
      <c r="J171" s="11" t="inlineStr">
        <is>
          <t>決着しない場合は、現に確認できる取組の範囲で記述し目標値は置かない</t>
        </is>
      </c>
    </row>
    <row r="172" ht="88" customHeight="1">
      <c r="A172" s="4" t="n">
        <v>168</v>
      </c>
      <c r="B172" s="4" t="inlineStr">
        <is>
          <t>(2)(6)</t>
        </is>
      </c>
      <c r="C172" s="4" t="inlineStr">
        <is>
          <t>R8.9</t>
        </is>
      </c>
      <c r="D172" s="5" t="inlineStr">
        <is>
          <t>同様の構成の団体との比較と団体名の扱い</t>
        </is>
      </c>
      <c r="E172" s="5" t="inlineStr">
        <is>
          <t>交付金の評価結果について、当連合と同様に複数の市町村で構成する広域連合・一部事務組合との比較をご要望いただいた。令和6・7・8年度の全国集計結果の原本をご提供いただき、団体と構成市町村を割り出して3か年の比較を行うことができた。全国集計には広域連合・一部事務組合の行がある（名称が市・区・町・村で終わらない行。保険者番号を持つ）。いずれも得点欄は空欄であり、得点のある行は3か年とも1,741で全国の市区町村の数と一致する。交付金が市町村に交付されるためである。構成市町村は原本の並び順から読める。団体の行の直後に構成市町村の行が続き、構成市町村の行は保険者番号の欄が空欄である。この規則により令和8年度は38団体・205市町村、令和7年度は39団体・207市町村、令和6年度は40団体・210市町村を漏れなく割り当てられ、当連合の構成が東川町・美瑛町・東神楽町となることも確かめられた。38団体の構成市町村は3か年で完全に一致する。構成市町村の得点の平均により比べたところ、当連合は38団体中36位（令和6年度は34位）、市を含まず町村のみで構成する11団体の中で10位、北海道内の4団体の中で3か年とも最も低い。推進と支援に分けると、当連合は推進＋8.0点・支援▲6.0点であり、38団体の平均（推進＋18.6点・支援＋4.9点）に対し支援の側で向きが逆である。</t>
        </is>
      </c>
      <c r="F172" s="5" t="inlineStr">
        <is>
          <t>交付金評価の取りまとめと第10期への反映 06シート</t>
        </is>
      </c>
      <c r="G172" s="5" t="inlineStr">
        <is>
          <t>発注者</t>
        </is>
      </c>
      <c r="H172" s="10" t="inlineStr">
        <is>
          <t>解決</t>
        </is>
      </c>
      <c r="I172" s="10" t="inlineStr">
        <is>
          <t>R8.10</t>
        </is>
      </c>
      <c r="J172" s="11" t="inlineStr">
        <is>
          <t>令和8年9月29日に令和6・7・8年度の原本を受領し、3か年の比較を終えた。団体名の扱いについて同日ご指示をいただいた。協議用の資料には団体名を掲げてよく、計画素案には掲げない。掲げてよいこととなった場合は協議用の様式を計画に流用する。計画素案に他の団体の名が現れないことは成果品の自己点検で確かめている。なお他の保険者が策定した計画を参照して必要項目を導くことはご指示により行わない。代わりに評価指標の明細列と全国該当率による「全国の標準」から導いている</t>
        </is>
      </c>
    </row>
    <row r="173" ht="88" customHeight="1">
      <c r="A173" s="4" t="n">
        <v>169</v>
      </c>
      <c r="B173" s="4" t="inlineStr">
        <is>
          <t>(2)(6)</t>
        </is>
      </c>
      <c r="C173" s="4" t="inlineStr">
        <is>
          <t>R8.9</t>
        </is>
      </c>
      <c r="D173" s="5" t="inlineStr">
        <is>
          <t>構成町により得点が分かれている項目の区域内での取扱い</t>
        </is>
      </c>
      <c r="E173" s="5" t="inlineStr">
        <is>
          <t>令和8年度の評価指標の明細列299のうち78列で、構成3町の一部の町のみが得点している。3町は制度・保険者が同じであり条件がそろっているため、既に実施している町の取組を区域内に広げることで得点に結びつく余地がある。配点の大きいものは医療・介護関係者間の情報共有（東神楽町のみ得点）、介護人材の確保・定着の取組状況、認知症サポーター等を活用した地域支援体制の構築である。①区域内で取扱いをそろえる項目を選ぶか。②選ぶ場合、10月の町別協議で実施の可否を伺う対象としてよいか。</t>
        </is>
      </c>
      <c r="F173" s="5" t="inlineStr">
        <is>
          <t>交付金評価の取りまとめと第10期への反映 08シート・09シート
10月 地域課題の整理と3町協議の確認事項</t>
        </is>
      </c>
      <c r="G173" s="5" t="inlineStr">
        <is>
          <t>発注者・3町</t>
        </is>
      </c>
      <c r="H173" s="10" t="inlineStr">
        <is>
          <t>確認待ち</t>
        </is>
      </c>
      <c r="I173" s="10" t="inlineStr">
        <is>
          <t>R8.10</t>
        </is>
      </c>
      <c r="J173" s="11" t="inlineStr">
        <is>
          <t>決着しない場合は、町ごとの取組の状況をそのまま記述し、区域内での統一は計画に位置づけない。第10期の施策に位置づけるかどうかは取組の必要性から判断するものであり、得点のみを理由とするものではない</t>
        </is>
      </c>
    </row>
    <row r="174" ht="88" customHeight="1">
      <c r="A174" s="4" t="n">
        <v>170</v>
      </c>
      <c r="B174" s="4" t="inlineStr">
        <is>
          <t>(6)</t>
        </is>
      </c>
      <c r="C174" s="4" t="inlineStr">
        <is>
          <t>R8.9</t>
        </is>
      </c>
      <c r="D174" s="5" t="inlineStr">
        <is>
          <t>計画素案に独自に加えた記載のうち、打合せ協議用へ移すもの</t>
        </is>
      </c>
      <c r="E174" s="5" t="inlineStr">
        <is>
          <t>計画素案の本文にある【　】の小見出し68件を、法令・基本指針が求める事項の説明、第9期計画にも同種の記載がある事項、第9期計画になく法令も直接には求めていない当方の分析の3つに区分した。このうち、計画に置くか打合せ協議用の資料へ移すかをお決めいただきたいものが23件ある（移すことを提案するもの8件、いずれとするかお決めいただくもの15件）。移す場合も本文から内容が消えるのではなく、結論のみを本文に残す。①移すことを提案する8件を移してよいか。②お決めいただく15件をそれぞれどちらとするか。</t>
        </is>
      </c>
      <c r="F174" s="5" t="inlineStr">
        <is>
          <t>計画素案の記載内容の洗い出しと対比 06シート・07シート
計画素案 第1章第6節・第2章第3節・第2章第6節・第3章第2節・第4章第3節・第6章第6節</t>
        </is>
      </c>
      <c r="G174" s="5" t="inlineStr">
        <is>
          <t>発注者</t>
        </is>
      </c>
      <c r="H174" s="8" t="inlineStr">
        <is>
          <t>一部解消</t>
        </is>
      </c>
      <c r="I174" s="10" t="inlineStr">
        <is>
          <t>R8.10</t>
        </is>
      </c>
      <c r="J174" s="11" t="inlineStr">
        <is>
          <t>令和8年9月29日 ご指示「移すは8件とも移してよい。協議は一旦そのまま」。8件を計画素案から移した。移し先はいずれも既にある成果品であり、新たな成果品は起こしていない（年次評価の実施要領・見える化データの受領点検・実施済み調査 結果報告書・第9期施策別評価表・資料1・将来推計 第3段階）。移した内容は本文から消えるのではなく結論のみを本文に残している。第6章第6節の小見出しは「暫定算定」に改めた。計画素案は943段落147表から916段落141表となった。「協議」と判定した15件は一旦そのまま計画素案に残す。
決着しない場合は計画素案から協議用の成果品へ移す8件は移し、「協議」判定の15件はそのまま素案に残す（令和8年9月29日 ご指示のとおり）。（受託者の仮置き。令和8年10月の意見交換会で諮る）</t>
        </is>
      </c>
    </row>
    <row r="175" ht="88" customHeight="1">
      <c r="A175" s="4" t="n">
        <v>171</v>
      </c>
      <c r="B175" s="4" t="inlineStr">
        <is>
          <t>(6)(10)</t>
        </is>
      </c>
      <c r="C175" s="4" t="inlineStr">
        <is>
          <t>R8.9</t>
        </is>
      </c>
      <c r="D175" s="5" t="inlineStr">
        <is>
          <t>第9期計画にない体裁の取扱い（小見出し【　】ほか）</t>
        </is>
      </c>
      <c r="E175" s="5" t="inlineStr">
        <is>
          <t>第9期計画の図表レイアウト・フォント・表の体裁を維持する方針であるが、計画素案には第9期計画にない体裁が6件ある。①本文の小見出しを【　】で示していること（第9期計画は「１」「（１）」「ア」の階層による）。②未確定箇所を［要協議］［要確認］［要内訳］で示していること。③前提を動かした場合の幅を示す感度分析の表。④複数の算定方法の結果を並べた対比の表。⑤統計的な検定の結果。⑥他団体の固有名称を掲げないこと。あわせて資料編の構成についてもご判断を要する。第9期計画の資料編に当たるものとして、⑦意見公募手続（パブリックコメント）の実施状況、⑧介護保険事業計画策定委員会の委嘱期間・組織・委員名簿・開催の状況、⑨用語解説、⑩区域内の事業所一覧を掲げるかどうか。いずれも現在の素案にはない。⑧の委員名簿は氏名を掲げるため、個人情報を収録しない方針との関係を確認する必要がある。①は節ごとに判断せず計画全体で統一する必要がある。②は協議用素案の間は残し、計画として確定する際にすべて解消する。③〜⑤は採用案が決まった時点で整理する。</t>
        </is>
      </c>
      <c r="F175" s="5" t="inlineStr">
        <is>
          <t>計画素案の記載内容の洗い出しと対比 08シート
計画素案 全体</t>
        </is>
      </c>
      <c r="G175" s="5" t="inlineStr">
        <is>
          <t>発注者</t>
        </is>
      </c>
      <c r="H175" s="10" t="inlineStr">
        <is>
          <t>確認待ち</t>
        </is>
      </c>
      <c r="I175" s="10" t="inlineStr">
        <is>
          <t>R8.11</t>
        </is>
      </c>
      <c r="J175" s="11" t="inlineStr">
        <is>
          <t>令和8年9月29日 ご指示「小見出しは保留」。現時点では決定を要しない。現在の体裁のままとする。計画として確定する前に改めてお諮りする。④の対比の表は採用案が決まった時点で1つに絞り、採らなかった案は協議用の資料に残して計画本文には残さない。
決着しない場合は第9期計画にない体裁は現在のままとし、計画として確定する前に改めてお諮りする（令和8年9月29日 ご指示により保留）。（受託者の仮置き。令和8年10月の意見交換会で諮る）</t>
        </is>
      </c>
    </row>
    <row r="176" ht="88" customHeight="1">
      <c r="A176" s="4" t="n">
        <v>172</v>
      </c>
      <c r="B176" s="4" t="inlineStr">
        <is>
          <t>(6)(10)</t>
        </is>
      </c>
      <c r="C176" s="4" t="inlineStr">
        <is>
          <t>R8.10</t>
        </is>
      </c>
      <c r="D176" s="5" t="inlineStr">
        <is>
          <t>保険者機能強化推進交付金等の評価を示す図の計画本文への掲載</t>
        </is>
      </c>
      <c r="E176" s="5" t="inlineStr">
        <is>
          <t>交付金の評価に関する図を3点作成しているが（総合得点の推移、指標群別の得点、目標別の得点の対全国比）、図表番号一覧では策定委員会の資料とし、計画本文には置いていない。計画本文の第3章第4節には交付金の評価について記述があるものの図がなく、全国との開きがどの分野にあるかが紙面では読み取りにくい。交付金の評価は、①第9期の取組の到達点を示すもの、②第10期の重点の置き方の手掛かりとなるものの双方に当たる。3点を計画本文（第3章第4節）に掲載してよいか。掲載する場合、構成3町の得点を町別に掲げるか、3町の平均のみとするかを併せてお決めいただきたい。</t>
        </is>
      </c>
      <c r="F176" s="5" t="inlineStr">
        <is>
          <t>図表データ管理台帳 03シート
計画素案 第3章第4節・資料7</t>
        </is>
      </c>
      <c r="G176" s="5" t="inlineStr">
        <is>
          <t>発注者</t>
        </is>
      </c>
      <c r="H176" s="10" t="inlineStr">
        <is>
          <t>未回答</t>
        </is>
      </c>
      <c r="I176" s="10" t="inlineStr">
        <is>
          <t>R8.10</t>
        </is>
      </c>
      <c r="J176" s="11" t="inlineStr">
        <is>
          <t>決着しない場合の当方の扱い＝掲載しない（図表番号一覧のとおり策定委員会の資料にとどめる）。得点0が「取組がない」のか「要件を満たさない」のか「報告していない」のかは公表資料から判別できないため、掲載する場合もその旨を注記する</t>
        </is>
      </c>
    </row>
    <row r="177" ht="88" customHeight="1">
      <c r="A177" s="4" t="n">
        <v>173</v>
      </c>
      <c r="B177" s="4" t="inlineStr">
        <is>
          <t>(6)</t>
        </is>
      </c>
      <c r="C177" s="4" t="inlineStr">
        <is>
          <t>R8.10</t>
        </is>
      </c>
      <c r="D177" s="5" t="inlineStr">
        <is>
          <t>計画本文の図と別冊の図表集の対応（作りが異なるもの・図表集にないもの）</t>
        </is>
      </c>
      <c r="E177" s="5" t="inlineStr">
        <is>
          <t>計画本文に差し込む図と別冊の図表集のグラフを数値で突き合わせたところ、①数値も作りも同じもの、②図表集の系列から必要な区分を抜き出した又は並べ替えたもの、③同じ主題であるが軸の取り方・区分の束ね方が異なるもの、④図表集に対応するグラフがないものの4通りがあった。③は同じ主題の図が2通りある状態であり、④は本文の図の数値を図表集で管理していない状態である。③についてはどちらを計画に載せるか、④については図表集にも収めるかをお決めいただきたい。</t>
        </is>
      </c>
      <c r="F177" s="5" t="inlineStr">
        <is>
          <t>図表データ管理台帳 01シート・02シート
計画素案 資料7／別冊の図表集</t>
        </is>
      </c>
      <c r="G177" s="5" t="inlineStr">
        <is>
          <t>発注者</t>
        </is>
      </c>
      <c r="H177" s="10" t="inlineStr">
        <is>
          <t>未回答</t>
        </is>
      </c>
      <c r="I177" s="10" t="inlineStr">
        <is>
          <t>R8.11</t>
        </is>
      </c>
      <c r="J177" s="11" t="inlineStr">
        <is>
          <t>決着しない場合の当方の扱い＝現行のまま（③は本文の図を計画に載せ、図表集の図は参考として残す。④は本文の図の数値を図表データ管理台帳で管理する）。いずれも保険料・見込量の算定には影響しない</t>
        </is>
      </c>
    </row>
    <row r="178" ht="88" customHeight="1">
      <c r="A178" s="4" t="n">
        <v>174</v>
      </c>
      <c r="B178" s="4" t="inlineStr">
        <is>
          <t>(5)</t>
        </is>
      </c>
      <c r="C178" s="4" t="inlineStr">
        <is>
          <t>R8.10</t>
        </is>
      </c>
      <c r="D178" s="5" t="inlineStr">
        <is>
          <t>人口及び第1号被保険者数の入力値をどの系列にそろえるか（内部整合）</t>
        </is>
      </c>
      <c r="E178" s="5" t="inlineStr">
        <is>
          <t>見える化システムの「総人口と被保険者数の設定」は、総人口・男女別6階級・第2号被保険者数を求め、第1号被保険者数と総数は自動で計算されます。このため、総数と男女別の内訳は同じ系列から作る必要があります。現在、第1号被保険者数の系列が3つあります。①案C（当方が令和8年9月30日にお示しした入力値の基礎。総人口を地方創生総合戦略の水準により置き、年齢階級別の内訳を住民基本台帳の実績趨勢によるもの）、②社人研推計を補正したもののうち「令和5年推計を元にした補正」の合計（見える化システムの画面が現に表示している値と一致します）、③同じく「被保険者数（補正後）補正率2区分」の男女別の和。②と③は年度により総数が一致せず、令和22年度で55人の差があります。いずれを正式に採る値とするかをお決めいただきたい。</t>
        </is>
      </c>
      <c r="F178" s="5" t="inlineStr">
        <is>
          <t>人口推計コーホート分析の妥当性検証 07シート
見える化へ入力する箇所と入力値 02シート
計画素案 第2章第1節・第6章第1節</t>
        </is>
      </c>
      <c r="G178" s="5" t="inlineStr">
        <is>
          <t>発注者</t>
        </is>
      </c>
      <c r="H178" s="10" t="inlineStr">
        <is>
          <t>未回答</t>
        </is>
      </c>
      <c r="I178" s="10" t="inlineStr">
        <is>
          <t>R8.10</t>
        </is>
      </c>
      <c r="J178" s="11" t="inlineStr">
        <is>
          <t>決着しない場合の当方の扱い＝案C（①）による。計画素案 第6章第1節の将来推計は令和8年9月10日のご了承のとおり案Cのままとし、見える化システムへの入力値も案Cにそろえる。②③を採る場合は、総人口・男女別6階級・第2号被保険者数のすべてを同じ系列から作り直す</t>
        </is>
      </c>
    </row>
    <row r="179" ht="88" customHeight="1">
      <c r="A179" s="4" t="n">
        <v>175</v>
      </c>
      <c r="B179" s="4" t="inlineStr">
        <is>
          <t>(1)</t>
        </is>
      </c>
      <c r="C179" s="4" t="inlineStr">
        <is>
          <t>R8.11</t>
        </is>
      </c>
      <c r="D179" s="5" t="inlineStr">
        <is>
          <t>介護情報基盤及びケアプランデータ連携への対応の工程</t>
        </is>
      </c>
      <c r="E179" s="5" t="inlineStr">
        <is>
          <t>令和8年9月18日の社会保障審議会介護保険部会において、全市町村が令和10年4月1日までに介護保険事務システムから介護情報基盤へのデータ移行を含めて完了し、介護情報基盤の活用を開始することを目指すこととされました（標準化対応の適合基準日は令和9年1月1日）。構成3町における①介護保険事務システムの標準化対応の状況、②介護情報基盤へデータを送信するためのシステムの改修の予定、③データ移行の予定をお示しいただきたい。あわせて、ケアプランデータ連携機能が令和9年1月に介護情報基盤へ統合され、以後は新システム（介護保険資格確認等WEBサービス）での事業所及び管理者の登録を要することとなるため、区域内の事業所への周知をどこが行うかをお決めいただきたい。</t>
        </is>
      </c>
      <c r="F179" s="5" t="inlineStr">
        <is>
          <t>計画素案 第1章第9節5・第5章 基本目標1・基本目標4</t>
        </is>
      </c>
      <c r="G179" s="5" t="inlineStr">
        <is>
          <t>発注者・3町</t>
        </is>
      </c>
      <c r="H179" s="10" t="inlineStr">
        <is>
          <t>未回答</t>
        </is>
      </c>
      <c r="I179" s="10" t="inlineStr">
        <is>
          <t>R8.11</t>
        </is>
      </c>
      <c r="J179" s="11" t="inlineStr">
        <is>
          <t>決着しない場合の当方の扱い＝国が示す本格運用開始日（令和10年4月1日）までに完了することを前提として計画素案に記載し、年度ごとの工程は［要確認］として残す。事業所への周知は広域連合と3町が共同で行うものとして記載する</t>
        </is>
      </c>
    </row>
    <row r="180" ht="88" customHeight="1">
      <c r="A180" s="4" t="n">
        <v>176</v>
      </c>
      <c r="B180" s="4" t="inlineStr">
        <is>
          <t>(1)</t>
        </is>
      </c>
      <c r="C180" s="4" t="inlineStr">
        <is>
          <t>R8.12</t>
        </is>
      </c>
      <c r="D180" s="5" t="inlineStr">
        <is>
          <t>介護サービス事業者経営情報データベースの公表結果の活用の範囲</t>
        </is>
      </c>
      <c r="E180" s="5" t="inlineStr">
        <is>
          <t>介護サービス事業者の経営情報の報告が義務づけられ、国において属性等に応じて区分した分析結果が公表されます。初年度及び2年度目の報告分の分析結果は、令和9年4月以降に社会保障審議会介護保険部会に報告される予定とされています。市町村の区域を単位とする値が得られるかは示されていないため、公表された分析結果のうち本計画の供給の継続に関する分析に用いられる範囲について、ご見解をお示しいただきたい。</t>
        </is>
      </c>
      <c r="F180" s="5" t="inlineStr">
        <is>
          <t>計画素案 第1章第9節5・第5章 基本目標4</t>
        </is>
      </c>
      <c r="G180" s="5" t="inlineStr">
        <is>
          <t>発注者</t>
        </is>
      </c>
      <c r="H180" s="10" t="inlineStr">
        <is>
          <t>未回答</t>
        </is>
      </c>
      <c r="I180" s="10" t="inlineStr">
        <is>
          <t>R8.12</t>
        </is>
      </c>
      <c r="J180" s="11" t="inlineStr">
        <is>
          <t>決着しない場合の当方の扱い＝公表された区分のうち当区域の事業所の規模に近いものを参考として用い、区域内の事業所の経営状況を表すものとしては用いない。計画素案には活用の方針のみを記載し、数値は掲げない</t>
        </is>
      </c>
    </row>
    <row r="181" ht="88" customHeight="1">
      <c r="A181" s="4" t="n">
        <v>177</v>
      </c>
      <c r="B181" s="4" t="inlineStr">
        <is>
          <t>(3)</t>
        </is>
      </c>
      <c r="C181" s="4" t="inlineStr">
        <is>
          <t>R8.12</t>
        </is>
      </c>
      <c r="D181" s="5" t="inlineStr">
        <is>
          <t>都道府県との協定に基づく連携への関与</t>
        </is>
      </c>
      <c r="E181" s="5" t="inlineStr">
        <is>
          <t>一定期間の事業継続や事業者間の連携・協働を推進する法人・事業所が都道府県と協定を締結する仕組みが示され、令和9年度概算要求において、協定に基づく連携の取組に要する経費への支援及び連携に参画する事業所に対する介護テクノロジー導入支援の補助率の上乗せが盛り込まれています。協定に基づく取組の推進に関する都道府県及び市町村の果たすべき役割は引き続き検討することとされているため、北海道における実施の方針及び当広域連合の関与の仕方についてお考えをお示しいただきたい。</t>
        </is>
      </c>
      <c r="F181" s="5" t="inlineStr">
        <is>
          <t>計画素案 第1章第9節5・第5章 基本目標3・基本目標4</t>
        </is>
      </c>
      <c r="G181" s="5" t="inlineStr">
        <is>
          <t>発注者・北海道</t>
        </is>
      </c>
      <c r="H181" s="10" t="inlineStr">
        <is>
          <t>未回答</t>
        </is>
      </c>
      <c r="I181" s="10" t="inlineStr">
        <is>
          <t>R8.12</t>
        </is>
      </c>
      <c r="J181" s="11" t="inlineStr">
        <is>
          <t>決着しない場合の当方の扱い＝計画素案には北海道及び事業者とともに活用を検討する旨のみを記載し、具体の取組及び目標は国から市町村の役割が示された後に定める</t>
        </is>
      </c>
    </row>
    <row r="182" ht="88" customHeight="1">
      <c r="A182" s="4" t="n">
        <v>178</v>
      </c>
      <c r="B182" s="4" t="inlineStr">
        <is>
          <t>(1)(6)</t>
        </is>
      </c>
      <c r="C182" s="4" t="inlineStr">
        <is>
          <t>R8.10</t>
        </is>
      </c>
      <c r="D182" s="5" t="inlineStr">
        <is>
          <t>構成3町の高齢者福祉計画と市町村老人福祉計画の関係</t>
        </is>
      </c>
      <c r="E182" s="5" t="inlineStr">
        <is>
          <t>老人福祉法第20条の8は市町村老人福祉計画を定めるものとし、同計画は市町村介護保険事業計画と一体のものとして作成することとされています。構成3町の高齢者福祉計画がこれに当たるものと考えられますが、当方は同法の条文及び3町の計画書を確認していません。①構成3町の高齢者福祉計画が老人福祉法による市町村老人福祉計画に当たるか（計画の名称及び根拠条文）。②一体のものとして作成する方法（同一の冊子とするか、本計画と3町の計画を別冊としたうえで共通KPIと役割分担により接続するか）。③3町の計画における老人福祉事業の量の目標の定め方と、本計画のサービス見込量との関係。</t>
        </is>
      </c>
      <c r="F182" s="5" t="inlineStr">
        <is>
          <t>計画素案 第1章第2節・第1章第8節
計画素案の記載内容の洗い出しと対比 02シート</t>
        </is>
      </c>
      <c r="G182" s="5" t="inlineStr">
        <is>
          <t>発注者・3町</t>
        </is>
      </c>
      <c r="H182" s="10" t="inlineStr">
        <is>
          <t>未回答</t>
        </is>
      </c>
      <c r="I182" s="10" t="inlineStr">
        <is>
          <t>R8.11</t>
        </is>
      </c>
      <c r="J182" s="11" t="inlineStr">
        <is>
          <t>決着しない場合の当方の扱い＝構成3町の高齢者福祉計画が市町村老人福祉計画に当たることを計画素案に記載し、一体のものとして作成する方法は共通KPIと役割分担表による接続とする旨を［要協議］として残す。老人福祉事業の量の目標は3町の計画に委ね、本計画には掲げない</t>
        </is>
      </c>
    </row>
    <row r="183" ht="88" customHeight="1">
      <c r="A183" s="4" t="n">
        <v>179</v>
      </c>
      <c r="B183" s="4" t="inlineStr">
        <is>
          <t>(1)(6)</t>
        </is>
      </c>
      <c r="C183" s="4" t="inlineStr">
        <is>
          <t>R8.10</t>
        </is>
      </c>
      <c r="D183" s="5" t="inlineStr">
        <is>
          <t>成年後見制度の利用の促進に関する施策についての基本的な計画の策定状況</t>
        </is>
      </c>
      <c r="E183" s="5" t="inlineStr">
        <is>
          <t>成年後見制度の利用の促進に関する法律第14条は、国の基本計画を勘案して、市町村が成年後見制度の利用の促進に関する施策についての基本的な計画を定めるよう努めるものとしています。同法は市町村を名宛人としており、市町村認知症施策推進計画と同じ構造であると考えられます。①構成3町における同計画の策定の状況（策定済みか、高齢者福祉計画又は地域福祉計画の中に位置づけているか）。②中核機関の整備の状況及び権利擁護支援の地域連携ネットワークの構成（第5章 基本目標1の代表KPIの基準値に関わります）。③本計画における記載の範囲（3町の計画との役割分担）。</t>
        </is>
      </c>
      <c r="F183" s="5" t="inlineStr">
        <is>
          <t>計画素案 第1章第2節・第5章 基本目標1
計画素案の記載内容の洗い出しと対比 02シート</t>
        </is>
      </c>
      <c r="G183" s="5" t="inlineStr">
        <is>
          <t>発注者・3町</t>
        </is>
      </c>
      <c r="H183" s="10" t="inlineStr">
        <is>
          <t>未回答</t>
        </is>
      </c>
      <c r="I183" s="10" t="inlineStr">
        <is>
          <t>R8.11</t>
        </is>
      </c>
      <c r="J183" s="11" t="inlineStr">
        <is>
          <t>決着しない場合の当方の扱い＝同計画は構成3町が定めるものとして計画素案に記載し、本計画は介護保険法第117条第3項による権利擁護の施策（第5章 基本目標1）をもって接続する。中核機関の整備の状況は［要確認］として残す</t>
        </is>
      </c>
    </row>
    <row r="184" ht="88" customHeight="1">
      <c r="A184" s="4" t="n">
        <v>180</v>
      </c>
      <c r="B184" s="4" t="inlineStr">
        <is>
          <t>(1)(6)</t>
        </is>
      </c>
      <c r="C184" s="4" t="inlineStr">
        <is>
          <t>R8.10</t>
        </is>
      </c>
      <c r="D184" s="5" t="inlineStr">
        <is>
          <t>要配慮者利用施設の避難確保計画の対象施設と作成状況</t>
        </is>
      </c>
      <c r="E184" s="5" t="inlineStr">
        <is>
          <t>水防法及び土砂災害警戒区域等における土砂災害防止対策の推進に関する法律は、市町村地域防災計画に定められた要配慮者利用施設の所有者又は管理者に対し、避難確保計画の作成及び避難訓練の実施を求めています。北海道第9期計画の評価指標⑦は「避難確保計画を作成した施設」を指標としており、当方はこれを施設数の実数により用いる整理としています（計画素案 第1章第8節）。①構成3町の地域防災計画において要配慮者利用施設として定められている介護保険施設・事業所の一覧。②避難確保計画の作成及び避難訓練の実施の状況（施設数）。③第10期の目標値の置き方（全施設作成とするか）。</t>
        </is>
      </c>
      <c r="F184" s="5" t="inlineStr">
        <is>
          <t>計画素案 第1章第8節・第5章 基本目標5
計画素案の記載内容の洗い出しと対比 02シート</t>
        </is>
      </c>
      <c r="G184" s="5" t="inlineStr">
        <is>
          <t>発注者・3町</t>
        </is>
      </c>
      <c r="H184" s="10" t="inlineStr">
        <is>
          <t>未回答</t>
        </is>
      </c>
      <c r="I184" s="10" t="inlineStr">
        <is>
          <t>R8.11</t>
        </is>
      </c>
      <c r="J184" s="11" t="inlineStr">
        <is>
          <t>決着しない場合の当方の扱い＝対象施設及び作成の状況を［要確認］として残し、第5章 基本目標5の主な事業に作成及び避難訓練の確認を置くにとどめ、達成目標に数値を掲げない。避難確保計画はBCPとは別の計画であり、BCPの策定率をもって作成の状況としない</t>
        </is>
      </c>
    </row>
    <row r="185" ht="88" customHeight="1">
      <c r="A185" s="4" t="n">
        <v>181</v>
      </c>
      <c r="B185" s="4" t="inlineStr">
        <is>
          <t>(1)(6)</t>
        </is>
      </c>
      <c r="C185" s="4" t="inlineStr">
        <is>
          <t>R8.10</t>
        </is>
      </c>
      <c r="D185" s="5" t="inlineStr">
        <is>
          <t>介護保険法第117条ほか関係法令の条文のご提供</t>
        </is>
      </c>
      <c r="E185" s="5" t="inlineStr">
        <is>
          <t>当方は外部に接続できないため、法令の条文を確認できていません。確認事項No.149により認知症基本法の条文のご提供をお願いしていますが、次の法令についても同様に条文を確認できていないため、計画素案には条番号のみを記載し項番号を記載していません［要確認］。①介護保険法第117条（第1項の基本指針に即した計画、第2項・第3項の記載事項、日常生活圏域ごとの人口等の勘案、医療計画との整合性の確保、市町村老人福祉計画と一体のものとして作成すること、被保険者の意見の反映、都道府県の意見の聴取、都道府県知事への提出の各項）。②社会福祉法等の一部を改正する法律（令和8年法律第51号）による第117条の改正後の条文（中長期的なサービスの見通し及びこれを踏まえた提供体制の確保等のための施策の規定の位置）。③老人福祉法第20条の8。④成年後見制度の利用の促進に関する法律第14条。⑤高齢者虐待の防止、高齢者の養護者に対する支援等に関する法律。⑥水防法及び土砂災害防止法の要配慮者利用施設に係る規定。</t>
        </is>
      </c>
      <c r="F185" s="5" t="inlineStr">
        <is>
          <t>計画素案 第1章第2節・第1章第5節・第1章第8節・第6章第5節
計画素案の記載内容の洗い出しと対比 02シート</t>
        </is>
      </c>
      <c r="G185" s="5" t="inlineStr">
        <is>
          <t>発注者</t>
        </is>
      </c>
      <c r="H185" s="10" t="inlineStr">
        <is>
          <t>未回答</t>
        </is>
      </c>
      <c r="I185" s="10" t="inlineStr">
        <is>
          <t>R8.11</t>
        </is>
      </c>
      <c r="J185" s="11" t="inlineStr">
        <is>
          <t>決着しない場合の当方の扱い＝条番号のみを記載し項番号及び号番号は記載しない。記載事項の点検は条文の番号ではなく記載事項の内容を単位として行い、条文を確認できていない箇所は［要確認］として残す。【令和8年10月14日】社会福祉法等の一部を改正する法律案要綱を確認したことにより、改正後の第117条第2項第3号・第4号、第3項第4号・第5号、第5項及び第14項の号及び項が確定した。引き続き必要なのは、①改正後の条文及び新旧対照表（要綱は改正事項の要旨であり条文の文言を確認できない）、②附則第3条から第77条までの経過措置（有料老人ホームの登録制に係る経過措置の内容）、③改正に係らない号（第2項第1号・第2号、第3項第1号から第3号まで）の条文である</t>
        </is>
      </c>
    </row>
    <row r="186" ht="88" customHeight="1">
      <c r="A186" s="4" t="n">
        <v>182</v>
      </c>
      <c r="B186" s="4" t="inlineStr">
        <is>
          <t>(1)(5)(6)</t>
        </is>
      </c>
      <c r="C186" s="4" t="inlineStr">
        <is>
          <t>R8.10</t>
        </is>
      </c>
      <c r="D186" s="5" t="inlineStr">
        <is>
          <t>介護給付費分科会の資料（原本）のご提供</t>
        </is>
      </c>
      <c r="E186" s="5" t="inlineStr">
        <is>
          <t>社会保障審議会介護給付費分科会（第256回から第270回）において、令和9年度介護報酬改定に向けた個別サービスの対応案が示されています。当方は外部に接続できないため資料の原本を確認できず、当初は社内で作成された要約の記録により論点を把握していました。令和8年10月14日に第262回（資料1から資料4）、第263回（資料1から資料5）、第264回（資料1から資料5）、第268回（基本的な視点（案））、第269回（資料1から資料4）及び第270回（資料1から資料5）の資料25件（全1,037頁）のご提供を受け、これらの本文を確認しました。本文を確認できていなかった3件のうち2件はこれにより解消しました（残る1件は第266回資料5であり、要約にも採用されていません）。①第256回から第261回まで及び第265回から第267回までの資料のうち当広域連合に関わるもの（特に第261回の人口減少地域）の原本をご提供いただきたい。②第270回 資料6をご提供いただきたい。③令和8年12月頃に示される改定の考え方及び運営基準に関する資料、令和9年1月頃の諮問・答申の資料についても、公表後にご提供いただきたい。</t>
        </is>
      </c>
      <c r="F186" s="5" t="inlineStr">
        <is>
          <t>計画素案 第1章第9節6・第6章第2節・第6章第6節2・第6章第7節
介護給付費分科会の論点整理の受領点検
介護給付費分科会資料（原典）の受領点検</t>
        </is>
      </c>
      <c r="G186" s="5" t="inlineStr">
        <is>
          <t>発注者</t>
        </is>
      </c>
      <c r="H186" s="10" t="inlineStr">
        <is>
          <t>一部提供（R8.10.14）</t>
        </is>
      </c>
      <c r="I186" s="10" t="inlineStr">
        <is>
          <t>R8.12</t>
        </is>
      </c>
      <c r="J186" s="11" t="inlineStr">
        <is>
          <t>決着しない場合の当方の扱い＝計画素案には国において検討されている事項があることまでを記載し、単位数・要件・施行時期を書かない。原本を確認できていないことを［要確認］として残し、改定率及び単価は令和7年度の実績で固定したまま概算する</t>
        </is>
      </c>
    </row>
    <row r="187" ht="88" customHeight="1">
      <c r="A187" s="4" t="n">
        <v>183</v>
      </c>
      <c r="B187" s="4" t="inlineStr">
        <is>
          <t>(5)(6)</t>
        </is>
      </c>
      <c r="C187" s="4" t="inlineStr">
        <is>
          <t>R8.10</t>
        </is>
      </c>
      <c r="D187" s="5" t="inlineStr">
        <is>
          <t>夜間対応型訪問介護の定期巡回・随時対応型への移行の扱い</t>
        </is>
      </c>
      <c r="E187" s="5" t="inlineStr">
        <is>
          <t>介護給付費分科会第269回 資料1において、夜間対応型訪問介護を定期巡回・随時対応型訪問介護看護へ移行することを見据えた評価の案が示されています。経過措置の期限について、同資料の中に「令和11年度末まで（第10期計画期間中）」とするものと「令和11年3月までの猶予期間」とするものの2通りの記載があり、いずれであるかを確認できていません（令和8年10月14日に原典により確認）。当広域連合の区域内に夜間対応型訪問介護の事業所はなく、給付の実績もありませんが、サービス見込量の区分としては現行の区分を立てています。①第10期のサービス見込量において夜間対応型訪問介護の区分をどのように扱うか（現行のまま立てる／定期巡回に統合する／省令等の確定後に改める）。②区域外の事業所を利用する当連合の被保険者がいる場合の扱い。</t>
        </is>
      </c>
      <c r="F187" s="5" t="inlineStr">
        <is>
          <t>計画素案 第6章第2節（2）・第6章第4節1
サービス見込量の算定・見える化システムへの入力値</t>
        </is>
      </c>
      <c r="G187" s="5" t="inlineStr">
        <is>
          <t>発注者</t>
        </is>
      </c>
      <c r="H187" s="10" t="inlineStr">
        <is>
          <t>未回答</t>
        </is>
      </c>
      <c r="I187" s="10" t="inlineStr">
        <is>
          <t>R8.12</t>
        </is>
      </c>
      <c r="J187" s="11" t="inlineStr">
        <is>
          <t>決着しない場合の当方の扱い＝現行の区分のまま夜間対応型訪問介護を実績なし（0）として立て、移行が検討されていることを計画素案の注に記載する。省令等が確定した時点で区分を組み替える</t>
        </is>
      </c>
    </row>
    <row r="188" ht="88" customHeight="1">
      <c r="A188" s="4" t="n">
        <v>184</v>
      </c>
      <c r="B188" s="4" t="inlineStr">
        <is>
          <t>(3)(4)(5)</t>
        </is>
      </c>
      <c r="C188" s="4" t="inlineStr">
        <is>
          <t>R8.11</t>
        </is>
      </c>
      <c r="D188" s="5" t="inlineStr">
        <is>
          <t>短期入所生活介護の季節利用及び長期利用の実態</t>
        </is>
      </c>
      <c r="E188" s="5" t="inlineStr">
        <is>
          <t>介護給付費分科会第270回 資料4において、短期入所生活介護について31日以上連続して利用する場合の減算を61日以上連続して利用する場合と同程度に改めることと、積雪期・猛暑期・農繁期等の季節による利用のみの方について例外的に当該減算を適用しない仕組みを設けることの双方が検討されています。同資料は「中山間地域では冬期間のみ利用することで在宅生活の継続を図る事例がみられるなど、人口規模が小さい自治体においては、積雪期や農繁期等の季節利用ニーズへの対応として短期入所生活介護が活用されている実態が把握された」としています（令和8年10月14日に原典により確認）。また同資料5において、短期入所療養介護にも長期利用に係る減算を新たに設けることが検討されています。当広域連合は積雪地であり、健康とくらしの調査では生活動作の困りごととして除雪を挙げた方が回答者の24.3％と最も多くなっています。①区域内の短期入所生活介護事業所における季節による利用の変動（積雪期の利用日数・緊急受入・断り件数）。②31日以上連続して利用している方の人数と長期化の理由（居住の代替としての利用か、季節的な利用か）。③事業所への照会を行うかどうか、様式を当方で用意するか。例外の対象となるには季節による利用のみであることを示す必要が生じる可能性があります。</t>
        </is>
      </c>
      <c r="F188" s="5" t="inlineStr">
        <is>
          <t>計画素案 第6章第2節 注1-1・第6章第4節
サービス見込量の算定（季節補正）</t>
        </is>
      </c>
      <c r="G188" s="5" t="inlineStr">
        <is>
          <t>発注者・3町・事業者</t>
        </is>
      </c>
      <c r="H188" s="10" t="inlineStr">
        <is>
          <t>未回答</t>
        </is>
      </c>
      <c r="I188" s="10" t="inlineStr">
        <is>
          <t>R8.12</t>
        </is>
      </c>
      <c r="J188" s="11" t="inlineStr">
        <is>
          <t>決着しない場合の当方の扱い＝令和7年度（12か月の完結年度）の実績により短期入所生活介護の見込量を算定し、季節補正を行わない（基準年度が完結年度であるため年度換算係数は1.0000となり効きは0円である）。季節利用の例外が示された時点で利用日数の置き方を確かめる</t>
        </is>
      </c>
    </row>
    <row r="189" ht="88" customHeight="1">
      <c r="A189" s="4" t="n">
        <v>185</v>
      </c>
      <c r="B189" s="4" t="inlineStr">
        <is>
          <t>(5)(6)</t>
        </is>
      </c>
      <c r="C189" s="4" t="inlineStr">
        <is>
          <t>R8.11</t>
        </is>
      </c>
      <c r="D189" s="5" t="inlineStr">
        <is>
          <t>小規模市町村地域支援連携協働体制整備事業の対象となるかどうか</t>
        </is>
      </c>
      <c r="E189" s="5" t="inlineStr">
        <is>
          <t>社会福祉法等の一部を改正する法律案要綱 第1の4（3）により、小規模市町村（その人口規模、その人口の減少の状況等からみて福祉サービスを提供する体制の確保に支障を生じ、又は生ずるおそれがあると認められる市町村として厚生労働省令で定める基準に該当するもの）は、社会福祉法に基づく事業及び関係法律に基づく事業を一体のものとして実施することにより、包括的な支援体制を一体的に整備する事業を行うことができることとされました（社会福祉法第106条の6。施行は令和9年4月1日）。費用は小規模市町村の支弁とし、国及び都道府県が交付金を交付します。実施する場合は、関係法律に基づく事業についての市町村の支弁に係る費用から当該事業の実施に要する費用を除くこととされています（同法第106条の12）。①構成3町が厚生労働省令で定める基準に該当するかどうか。②「関係法律に基づく事業」に介護保険法の包括的支援事業（地域包括支援センターの運営）が含まれるかどうか。③含まれる場合、当該費用が本広域連合の地域支援事業費（B）から除かれるかどうか。地域支援事業費は保険料収納必要額の算定の基礎であるため、除かれる場合は保険料を下げる向きに働きます。</t>
        </is>
      </c>
      <c r="F189" s="5" t="inlineStr">
        <is>
          <t>計画素案 第1章第9節2・第6章第3節2・第6章第6節
サービス見込量の算定（地域支援事業費）</t>
        </is>
      </c>
      <c r="G189" s="5" t="inlineStr">
        <is>
          <t>発注者・3町</t>
        </is>
      </c>
      <c r="H189" s="10" t="inlineStr">
        <is>
          <t>未回答</t>
        </is>
      </c>
      <c r="I189" s="10" t="inlineStr">
        <is>
          <t>R8.12</t>
        </is>
      </c>
      <c r="J189" s="11" t="inlineStr">
        <is>
          <t>決着しない場合の当方の扱い＝現行の地域支援事業費（令和6年度決算による据え置き）により算定し、本事業を実施しないものとして扱う。厚生労働省令が示された時点で該当の有無を確かめ、該当する場合は費用の支弁の構造を改めて算定し直す</t>
        </is>
      </c>
    </row>
    <row r="190" ht="88" customHeight="1">
      <c r="A190" s="4" t="n">
        <v>186</v>
      </c>
      <c r="B190" s="4" t="inlineStr">
        <is>
          <t>(5)(6)</t>
        </is>
      </c>
      <c r="C190" s="4" t="inlineStr">
        <is>
          <t>R8.11</t>
        </is>
      </c>
      <c r="D190" s="5" t="inlineStr">
        <is>
          <t>特定施設の定義の改正による区域内3施設の扱い</t>
        </is>
      </c>
      <c r="E190" s="5" t="inlineStr">
        <is>
          <t>社会福祉法等の一部を改正する法律案要綱 第2の3により、介護保険法第8条第11項の「特定施設」が「登録有料老人ホームその他厚生労働省令で定める施設であって、地域密着型特定施設でないもの」に改められました（施行は公布の日から起算して2年を超えない範囲内において政令で定める日。令和10年6月まで）。登録有料老人ホーム事業の対象となる状態は政令で定められます（要綱 第6の4（1））。①区域内で特定施設入居者生活介護の指定を受けている3施設（定員156人）が登録有料老人ホームの登録を受けることとなるか。②登録を受けない場合、特定施設入居者生活介護の指定がどのように扱われるか（経過措置の有無）。③区域内の住宅型有料老人ホーム9施設（定員223人）のうち登録の対象となるものがあるか。特定施設入居者生活介護の見込量は令和7年度の実績（月61.5人）を基礎としており、対象となる施設の範囲が変わると見込量の前提が変わります。</t>
        </is>
      </c>
      <c r="F190" s="5" t="inlineStr">
        <is>
          <t>計画素案 第1章第9節2・第2章第3節・第6章第2節 注3・第6章第4節
サービス見込量の算定（施設・居住系サービス）</t>
        </is>
      </c>
      <c r="G190" s="5" t="inlineStr">
        <is>
          <t>発注者・北海道</t>
        </is>
      </c>
      <c r="H190" s="10" t="inlineStr">
        <is>
          <t>未回答</t>
        </is>
      </c>
      <c r="I190" s="10" t="inlineStr">
        <is>
          <t>R8.12</t>
        </is>
      </c>
      <c r="J190" s="11" t="inlineStr">
        <is>
          <t>決着しない場合の当方の扱い＝現行の指定の区分により特定施設入居者生活介護の見込量を算定し、定義の改正により対象となる施設の範囲が変わり得ることを計画素案の注に［要確認］として記載する</t>
        </is>
      </c>
    </row>
    <row r="192" ht="32" customHeight="1">
      <c r="A192" s="3" t="inlineStr">
        <is>
          <t>区分</t>
        </is>
      </c>
      <c r="B192" s="3" t="inlineStr">
        <is>
          <t>件数</t>
        </is>
      </c>
      <c r="C192" s="3" t="inlineStr"/>
      <c r="D192" s="3" t="inlineStr"/>
      <c r="E192" s="3" t="inlineStr"/>
      <c r="F192" s="3" t="inlineStr"/>
      <c r="G192" s="3" t="inlineStr"/>
      <c r="H192" s="3" t="inlineStr"/>
      <c r="I192" s="3" t="inlineStr"/>
      <c r="J192" s="3" t="inlineStr"/>
    </row>
    <row r="193" ht="20" customHeight="1">
      <c r="A193" s="6" t="inlineStr">
        <is>
          <t>完了</t>
        </is>
      </c>
      <c r="B193" s="4">
        <f>COUNTIF(H5:H190,"完了")</f>
        <v/>
      </c>
      <c r="C193" s="5" t="inlineStr"/>
      <c r="D193" s="5" t="inlineStr"/>
      <c r="E193" s="5" t="inlineStr"/>
      <c r="F193" s="5" t="inlineStr"/>
      <c r="G193" s="5" t="inlineStr"/>
      <c r="H193" s="5" t="inlineStr"/>
      <c r="I193" s="5" t="inlineStr"/>
      <c r="J193" s="5" t="inlineStr"/>
    </row>
    <row r="194" ht="20" customHeight="1">
      <c r="A194" s="8" t="inlineStr">
        <is>
          <t>実施中</t>
        </is>
      </c>
      <c r="B194" s="4">
        <f>COUNTIF(H5:H190,"実施中")</f>
        <v/>
      </c>
      <c r="C194" s="5" t="inlineStr"/>
      <c r="D194" s="5" t="inlineStr"/>
      <c r="E194" s="5" t="inlineStr"/>
      <c r="F194" s="5" t="inlineStr"/>
      <c r="G194" s="5" t="inlineStr"/>
      <c r="H194" s="5" t="inlineStr"/>
      <c r="I194" s="5" t="inlineStr"/>
      <c r="J194" s="5" t="inlineStr"/>
    </row>
    <row r="195" ht="20" customHeight="1">
      <c r="A195" s="10" t="inlineStr">
        <is>
          <t>確認待ち</t>
        </is>
      </c>
      <c r="B195" s="4">
        <f>COUNTIF(H5:H190,"確認待ち")</f>
        <v/>
      </c>
      <c r="C195" s="5" t="inlineStr"/>
      <c r="D195" s="5" t="inlineStr"/>
      <c r="E195" s="5" t="inlineStr"/>
      <c r="F195" s="5" t="inlineStr"/>
      <c r="G195" s="5" t="inlineStr"/>
      <c r="H195" s="5" t="inlineStr"/>
      <c r="I195" s="5" t="inlineStr"/>
      <c r="J195" s="5" t="inlineStr"/>
    </row>
    <row r="196" ht="20" customHeight="1">
      <c r="A196" s="12" t="inlineStr">
        <is>
          <t>未着手</t>
        </is>
      </c>
      <c r="B196" s="4">
        <f>COUNTIF(H5:H190,"未着手")</f>
        <v/>
      </c>
      <c r="C196" s="5" t="inlineStr"/>
      <c r="D196" s="5" t="inlineStr"/>
      <c r="E196" s="5" t="inlineStr"/>
      <c r="F196" s="5" t="inlineStr"/>
      <c r="G196" s="5" t="inlineStr"/>
      <c r="H196" s="5" t="inlineStr"/>
      <c r="I196" s="5" t="inlineStr"/>
      <c r="J196" s="5" t="inlineStr"/>
    </row>
    <row r="197" ht="20" customHeight="1">
      <c r="A197" s="14" t="inlineStr">
        <is>
          <t>対象外</t>
        </is>
      </c>
      <c r="B197" s="4">
        <f>COUNTIF(H5:H190,"対象外")</f>
        <v/>
      </c>
      <c r="C197" s="5" t="inlineStr"/>
      <c r="D197" s="5" t="inlineStr"/>
      <c r="E197" s="5" t="inlineStr"/>
      <c r="F197" s="5" t="inlineStr"/>
      <c r="G197" s="5" t="inlineStr"/>
      <c r="H197" s="5" t="inlineStr"/>
      <c r="I197" s="5" t="inlineStr"/>
      <c r="J197" s="5" t="inlineStr"/>
    </row>
    <row r="199" ht="32" customHeight="1">
      <c r="A199" s="3" t="inlineStr">
        <is>
          <t>確認先</t>
        </is>
      </c>
      <c r="B199" s="3" t="inlineStr">
        <is>
          <t>件数</t>
        </is>
      </c>
      <c r="C199" s="3" t="inlineStr"/>
      <c r="D199" s="3" t="inlineStr"/>
      <c r="E199" s="3" t="inlineStr"/>
      <c r="F199" s="3" t="inlineStr"/>
      <c r="G199" s="3" t="inlineStr"/>
      <c r="H199" s="3" t="inlineStr"/>
      <c r="I199" s="3" t="inlineStr"/>
      <c r="J199" s="3" t="inlineStr"/>
    </row>
    <row r="200" ht="20" customHeight="1">
      <c r="A200" s="5" t="inlineStr">
        <is>
          <t>発注者</t>
        </is>
      </c>
      <c r="B200" s="4">
        <f>COUNTIF(G5:G190,"発注者")</f>
        <v/>
      </c>
      <c r="C200" s="5" t="inlineStr"/>
      <c r="D200" s="5" t="inlineStr"/>
      <c r="E200" s="5" t="inlineStr"/>
      <c r="F200" s="5" t="inlineStr"/>
      <c r="G200" s="5" t="inlineStr"/>
      <c r="H200" s="5" t="inlineStr"/>
      <c r="I200" s="5" t="inlineStr"/>
      <c r="J200" s="5" t="inlineStr"/>
    </row>
    <row r="201" ht="20" customHeight="1">
      <c r="A201" s="5" t="inlineStr">
        <is>
          <t>発注者・3町</t>
        </is>
      </c>
      <c r="B201" s="4">
        <f>COUNTIF(G5:G190,"発注者・3町")</f>
        <v/>
      </c>
      <c r="C201" s="5" t="inlineStr"/>
      <c r="D201" s="5" t="inlineStr"/>
      <c r="E201" s="5" t="inlineStr"/>
      <c r="F201" s="5" t="inlineStr"/>
      <c r="G201" s="5" t="inlineStr"/>
      <c r="H201" s="5" t="inlineStr"/>
      <c r="I201" s="5" t="inlineStr"/>
      <c r="J201" s="5" t="inlineStr"/>
    </row>
    <row r="202" ht="20" customHeight="1">
      <c r="A202" s="5" t="inlineStr">
        <is>
          <t>発注者・北海道</t>
        </is>
      </c>
      <c r="B202" s="4">
        <f>COUNTIF(G5:G190,"発注者・北海道")</f>
        <v/>
      </c>
      <c r="C202" s="5" t="inlineStr"/>
      <c r="D202" s="5" t="inlineStr"/>
      <c r="E202" s="5" t="inlineStr"/>
      <c r="F202" s="5" t="inlineStr"/>
      <c r="G202" s="5" t="inlineStr"/>
      <c r="H202" s="5" t="inlineStr"/>
      <c r="I202" s="5" t="inlineStr"/>
      <c r="J202" s="5" t="inlineStr"/>
    </row>
    <row r="203" ht="20" customHeight="1">
      <c r="A203" s="5" t="inlineStr">
        <is>
          <t>発注者・3町・北海道</t>
        </is>
      </c>
      <c r="B203" s="4">
        <f>COUNTIF(G5:G190,"発注者・3町・北海道")</f>
        <v/>
      </c>
      <c r="C203" s="5" t="inlineStr"/>
      <c r="D203" s="5" t="inlineStr"/>
      <c r="E203" s="5" t="inlineStr"/>
      <c r="F203" s="5" t="inlineStr"/>
      <c r="G203" s="5" t="inlineStr"/>
      <c r="H203" s="5" t="inlineStr"/>
      <c r="I203" s="5" t="inlineStr"/>
      <c r="J203" s="5" t="inlineStr"/>
    </row>
    <row r="204" ht="20" customHeight="1">
      <c r="A204" s="5" t="inlineStr">
        <is>
          <t>北海道</t>
        </is>
      </c>
      <c r="B204" s="4">
        <f>COUNTIF(G5:G190,"北海道")</f>
        <v/>
      </c>
      <c r="C204" s="5" t="inlineStr"/>
      <c r="D204" s="5" t="inlineStr"/>
      <c r="E204" s="5" t="inlineStr"/>
      <c r="F204" s="5" t="inlineStr"/>
      <c r="G204" s="5" t="inlineStr"/>
      <c r="H204" s="5" t="inlineStr"/>
      <c r="I204" s="5" t="inlineStr"/>
      <c r="J204" s="5" t="inlineStr"/>
    </row>
    <row r="206" ht="39" customHeight="1">
      <c r="A206"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
注4）回答欄の「決着しない場合は…」は、ご決定をいただけない場合に受託者が仮に置く扱いである。**決定ではない。**令和8年10月の3町合同の意見交換会で内容を諮り、ご決定をいただいた時点で回答欄に反映する。保険料を動かすものは、保険料が不足する側に誤らない向き（安全側）に置いている。</t>
        </is>
      </c>
    </row>
  </sheetData>
  <mergeCells count="3">
    <mergeCell ref="A1:J1"/>
    <mergeCell ref="A206:J206"/>
    <mergeCell ref="A2:J2"/>
  </mergeCells>
  <conditionalFormatting sqref="H5:H190">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90"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（1060段落156表36図）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令和8年9月16日）まで作成済み。算定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成果品そのものによる。</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（1060段落156表36図）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第2章第4節（高齢者の生活実態）に反映した（4段落・表1→30段落・表8）。集計値のみを用い、個票は収録していない。地区の定義（小学校区とするか）は［要確認］のまま残している（確認No.9）。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受領済</t>
        </is>
      </c>
      <c r="J17" s="5" t="inlineStr">
        <is>
          <t>令和8年8月26日の進捗確認の打合せで合意。令和8年8月28日に受領し、令和8年9月11日に令和7年度の全様式（要介護度別の明細を含む）を確認した。第3段階の給付費の算定と代表KPI H15の基準値に反映済みである</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受領済</t>
        </is>
      </c>
      <c r="J18" s="5" t="inlineStr">
        <is>
          <t>同打合せで、締まっているのは令和8年7月分までであることを確認した。令和8年4月から7月までの4か月分を受領済みである。令和8年8月分は、同月の審査分の利用状況統計表（給付費）を受領しているのに対し数量の側が4か月のままであり、月数をそろえるために別途ご提供を要する（確認事項No.136）</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2026-10-15T00:19:56Z</dcterms:created>
  <dcterms:modified xmlns:dcterms="http://purl.org/dc/terms/" xmlns:xsi="http://www.w3.org/2001/XMLSchema-instance" xsi:type="dcterms:W3CDTF">2026-10-15T00:19:58Z</dcterms:modified>
</cp:coreProperties>
</file>