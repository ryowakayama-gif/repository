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業務仕様書「４．業務内容」（1）〜（12）及び「５．業務スケジュール（予定）」に沿って、業務内容別・月別の進捗を管理する。状況基準日：令和8年9月18日。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【現時点の全体状況（令和8年9月18日）】全体進捗は77％（進捗を数値で表せる10業務の単純平均）。令和8年9月は、サービス見込量の算定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計画素案は926段落145表36図で、未確定箇所は138箇所（要協議110・要確認27・要内訳1）である。確認事項は158件、成果品は116件、ビルドスクリプトは115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計画素案（926段落145表36図）
修正指示書（66件）</t>
        </is>
      </c>
      <c r="F10" s="10" t="inlineStr">
        <is>
          <t>実施中</t>
        </is>
      </c>
      <c r="G10" s="17" t="n">
        <v>0.95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926段落145表36図となった。残る未確定箇所は138箇所（要協議110・要確認27・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0.97</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t>
        </is>
      </c>
      <c r="J11" s="5" t="inlineStr">
        <is>
          <t>87, 143, 154, 155</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0.76</v>
      </c>
      <c r="H14" s="10" t="inlineStr">
        <is>
          <t>R9.3</t>
        </is>
      </c>
      <c r="I14" s="11" t="inlineStr">
        <is>
          <t>電子データは作成中。印刷・製本は令和9年3月。本文100頁程度に対する章別のページ配分が未確定（確認No.21）。【令和8年9月15〜18日】成果品は116件となった。9月に加えたものは、サービス見込量の算定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115本のうち再実行できないものは3本であり、成果品の登録漏れ・実体なしがいずれも0件であることを確認した（確認No.144）</t>
        </is>
      </c>
      <c r="J14" s="5" t="inlineStr">
        <is>
          <t>21, 144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全8節）を作成した。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18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4" ht="32" customHeight="1">
      <c r="A164" s="3" t="inlineStr">
        <is>
          <t>区分</t>
        </is>
      </c>
      <c r="B164" s="3" t="inlineStr">
        <is>
          <t>件数</t>
        </is>
      </c>
      <c r="C164" s="3" t="inlineStr"/>
      <c r="D164" s="3" t="inlineStr"/>
      <c r="E164" s="3" t="inlineStr"/>
      <c r="F164" s="3" t="inlineStr"/>
      <c r="G164" s="3" t="inlineStr"/>
      <c r="H164" s="3" t="inlineStr"/>
      <c r="I164" s="3" t="inlineStr"/>
      <c r="J164" s="3" t="inlineStr"/>
    </row>
    <row r="165" ht="20" customHeight="1">
      <c r="A165" s="6" t="inlineStr">
        <is>
          <t>完了</t>
        </is>
      </c>
      <c r="B165" s="4">
        <f>COUNTIF(H5:H162,"完了")</f>
        <v/>
      </c>
      <c r="C165" s="5" t="inlineStr"/>
      <c r="D165" s="5" t="inlineStr"/>
      <c r="E165" s="5" t="inlineStr"/>
      <c r="F165" s="5" t="inlineStr"/>
      <c r="G165" s="5" t="inlineStr"/>
      <c r="H165" s="5" t="inlineStr"/>
      <c r="I165" s="5" t="inlineStr"/>
      <c r="J165" s="5" t="inlineStr"/>
    </row>
    <row r="166" ht="20" customHeight="1">
      <c r="A166" s="8" t="inlineStr">
        <is>
          <t>実施中</t>
        </is>
      </c>
      <c r="B166" s="4">
        <f>COUNTIF(H5:H162,"実施中")</f>
        <v/>
      </c>
      <c r="C166" s="5" t="inlineStr"/>
      <c r="D166" s="5" t="inlineStr"/>
      <c r="E166" s="5" t="inlineStr"/>
      <c r="F166" s="5" t="inlineStr"/>
      <c r="G166" s="5" t="inlineStr"/>
      <c r="H166" s="5" t="inlineStr"/>
      <c r="I166" s="5" t="inlineStr"/>
      <c r="J166" s="5" t="inlineStr"/>
    </row>
    <row r="167" ht="20" customHeight="1">
      <c r="A167" s="10" t="inlineStr">
        <is>
          <t>確認待ち</t>
        </is>
      </c>
      <c r="B167" s="4">
        <f>COUNTIF(H5:H162,"確認待ち")</f>
        <v/>
      </c>
      <c r="C167" s="5" t="inlineStr"/>
      <c r="D167" s="5" t="inlineStr"/>
      <c r="E167" s="5" t="inlineStr"/>
      <c r="F167" s="5" t="inlineStr"/>
      <c r="G167" s="5" t="inlineStr"/>
      <c r="H167" s="5" t="inlineStr"/>
      <c r="I167" s="5" t="inlineStr"/>
      <c r="J167" s="5" t="inlineStr"/>
    </row>
    <row r="168" ht="20" customHeight="1">
      <c r="A168" s="12" t="inlineStr">
        <is>
          <t>未着手</t>
        </is>
      </c>
      <c r="B168" s="4">
        <f>COUNTIF(H5:H162,"未着手")</f>
        <v/>
      </c>
      <c r="C168" s="5" t="inlineStr"/>
      <c r="D168" s="5" t="inlineStr"/>
      <c r="E168" s="5" t="inlineStr"/>
      <c r="F168" s="5" t="inlineStr"/>
      <c r="G168" s="5" t="inlineStr"/>
      <c r="H168" s="5" t="inlineStr"/>
      <c r="I168" s="5" t="inlineStr"/>
      <c r="J168" s="5" t="inlineStr"/>
    </row>
    <row r="169" ht="20" customHeight="1">
      <c r="A169" s="14" t="inlineStr">
        <is>
          <t>対象外</t>
        </is>
      </c>
      <c r="B169" s="4">
        <f>COUNTIF(H5:H162,"対象外")</f>
        <v/>
      </c>
      <c r="C169" s="5" t="inlineStr"/>
      <c r="D169" s="5" t="inlineStr"/>
      <c r="E169" s="5" t="inlineStr"/>
      <c r="F169" s="5" t="inlineStr"/>
      <c r="G169" s="5" t="inlineStr"/>
      <c r="H169" s="5" t="inlineStr"/>
      <c r="I169" s="5" t="inlineStr"/>
      <c r="J169" s="5" t="inlineStr"/>
    </row>
    <row r="171" ht="32" customHeight="1">
      <c r="A171" s="3" t="inlineStr">
        <is>
          <t>確認先</t>
        </is>
      </c>
      <c r="B171" s="3" t="inlineStr">
        <is>
          <t>件数</t>
        </is>
      </c>
      <c r="C171" s="3" t="inlineStr"/>
      <c r="D171" s="3" t="inlineStr"/>
      <c r="E171" s="3" t="inlineStr"/>
      <c r="F171" s="3" t="inlineStr"/>
      <c r="G171" s="3" t="inlineStr"/>
      <c r="H171" s="3" t="inlineStr"/>
      <c r="I171" s="3" t="inlineStr"/>
      <c r="J171" s="3" t="inlineStr"/>
    </row>
    <row r="172" ht="20" customHeight="1">
      <c r="A172" s="5" t="inlineStr">
        <is>
          <t>発注者</t>
        </is>
      </c>
      <c r="B172" s="4">
        <f>COUNTIF(G5:G162,"発注者")</f>
        <v/>
      </c>
      <c r="C172" s="5" t="inlineStr"/>
      <c r="D172" s="5" t="inlineStr"/>
      <c r="E172" s="5" t="inlineStr"/>
      <c r="F172" s="5" t="inlineStr"/>
      <c r="G172" s="5" t="inlineStr"/>
      <c r="H172" s="5" t="inlineStr"/>
      <c r="I172" s="5" t="inlineStr"/>
      <c r="J172" s="5" t="inlineStr"/>
    </row>
    <row r="173" ht="20" customHeight="1">
      <c r="A173" s="5" t="inlineStr">
        <is>
          <t>発注者・3町</t>
        </is>
      </c>
      <c r="B173" s="4">
        <f>COUNTIF(G5:G162,"発注者・3町")</f>
        <v/>
      </c>
      <c r="C173" s="5" t="inlineStr"/>
      <c r="D173" s="5" t="inlineStr"/>
      <c r="E173" s="5" t="inlineStr"/>
      <c r="F173" s="5" t="inlineStr"/>
      <c r="G173" s="5" t="inlineStr"/>
      <c r="H173" s="5" t="inlineStr"/>
      <c r="I173" s="5" t="inlineStr"/>
      <c r="J173" s="5" t="inlineStr"/>
    </row>
    <row r="174" ht="20" customHeight="1">
      <c r="A174" s="5" t="inlineStr">
        <is>
          <t>発注者・北海道</t>
        </is>
      </c>
      <c r="B174" s="4">
        <f>COUNTIF(G5:G162,"発注者・北海道")</f>
        <v/>
      </c>
      <c r="C174" s="5" t="inlineStr"/>
      <c r="D174" s="5" t="inlineStr"/>
      <c r="E174" s="5" t="inlineStr"/>
      <c r="F174" s="5" t="inlineStr"/>
      <c r="G174" s="5" t="inlineStr"/>
      <c r="H174" s="5" t="inlineStr"/>
      <c r="I174" s="5" t="inlineStr"/>
      <c r="J174" s="5" t="inlineStr"/>
    </row>
    <row r="175" ht="20" customHeight="1">
      <c r="A175" s="5" t="inlineStr">
        <is>
          <t>発注者・3町・北海道</t>
        </is>
      </c>
      <c r="B175" s="4">
        <f>COUNTIF(G5:G162,"発注者・3町・北海道")</f>
        <v/>
      </c>
      <c r="C175" s="5" t="inlineStr"/>
      <c r="D175" s="5" t="inlineStr"/>
      <c r="E175" s="5" t="inlineStr"/>
      <c r="F175" s="5" t="inlineStr"/>
      <c r="G175" s="5" t="inlineStr"/>
      <c r="H175" s="5" t="inlineStr"/>
      <c r="I175" s="5" t="inlineStr"/>
      <c r="J175" s="5" t="inlineStr"/>
    </row>
    <row r="176" ht="20" customHeight="1">
      <c r="A176" s="5" t="inlineStr">
        <is>
          <t>北海道</t>
        </is>
      </c>
      <c r="B176" s="4">
        <f>COUNTIF(G5:G162,"北海道")</f>
        <v/>
      </c>
      <c r="C176" s="5" t="inlineStr"/>
      <c r="D176" s="5" t="inlineStr"/>
      <c r="E176" s="5" t="inlineStr"/>
      <c r="F176" s="5" t="inlineStr"/>
      <c r="G176" s="5" t="inlineStr"/>
      <c r="H176" s="5" t="inlineStr"/>
      <c r="I176" s="5" t="inlineStr"/>
      <c r="J176" s="5" t="inlineStr"/>
    </row>
    <row r="178" ht="28" customHeight="1">
      <c r="A17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78:J178"/>
    <mergeCell ref="A2:J2"/>
  </mergeCells>
  <conditionalFormatting sqref="H5:H16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6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（926段落145表36図）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（926段落145表36図）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2026-09-25T07:24:42Z</dcterms:created>
  <dcterms:modified xmlns:dcterms="http://purl.org/dc/terms/" xmlns:xsi="http://www.w3.org/2001/XMLSchema-instance" xsi:type="dcterms:W3CDTF">2026-09-25T07:24:43Z</dcterms:modified>
</cp:coreProperties>
</file>