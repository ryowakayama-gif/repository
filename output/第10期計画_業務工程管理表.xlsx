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896段落143表36図で、未確定箇所は135箇所（要協議109・要確認25・要内訳1）である。確認事項は157件、成果品は115件、ビルドスクリプトは114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令和8年9月業務報告（Word・全8節）を作成した。件数・留保・所見は集計分析報告書の実物から読み、見込量は見込量算定（第1次概算）を読むため計画素案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114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3" ht="32" customHeight="1">
      <c r="A163" s="3" t="inlineStr">
        <is>
          <t>区分</t>
        </is>
      </c>
      <c r="B163" s="3" t="inlineStr">
        <is>
          <t>件数</t>
        </is>
      </c>
      <c r="C163" s="3" t="inlineStr"/>
      <c r="D163" s="3" t="inlineStr"/>
      <c r="E163" s="3" t="inlineStr"/>
      <c r="F163" s="3" t="inlineStr"/>
      <c r="G163" s="3" t="inlineStr"/>
      <c r="H163" s="3" t="inlineStr"/>
      <c r="I163" s="3" t="inlineStr"/>
      <c r="J163" s="3" t="inlineStr"/>
    </row>
    <row r="164" ht="20" customHeight="1">
      <c r="A164" s="6" t="inlineStr">
        <is>
          <t>完了</t>
        </is>
      </c>
      <c r="B164" s="4">
        <f>COUNTIF(H5:H161,"完了")</f>
        <v/>
      </c>
      <c r="C164" s="5" t="inlineStr"/>
      <c r="D164" s="5" t="inlineStr"/>
      <c r="E164" s="5" t="inlineStr"/>
      <c r="F164" s="5" t="inlineStr"/>
      <c r="G164" s="5" t="inlineStr"/>
      <c r="H164" s="5" t="inlineStr"/>
      <c r="I164" s="5" t="inlineStr"/>
      <c r="J164" s="5" t="inlineStr"/>
    </row>
    <row r="165" ht="20" customHeight="1">
      <c r="A165" s="8" t="inlineStr">
        <is>
          <t>実施中</t>
        </is>
      </c>
      <c r="B165" s="4">
        <f>COUNTIF(H5:H161,"実施中")</f>
        <v/>
      </c>
      <c r="C165" s="5" t="inlineStr"/>
      <c r="D165" s="5" t="inlineStr"/>
      <c r="E165" s="5" t="inlineStr"/>
      <c r="F165" s="5" t="inlineStr"/>
      <c r="G165" s="5" t="inlineStr"/>
      <c r="H165" s="5" t="inlineStr"/>
      <c r="I165" s="5" t="inlineStr"/>
      <c r="J165" s="5" t="inlineStr"/>
    </row>
    <row r="166" ht="20" customHeight="1">
      <c r="A166" s="10" t="inlineStr">
        <is>
          <t>確認待ち</t>
        </is>
      </c>
      <c r="B166" s="4">
        <f>COUNTIF(H5:H161,"確認待ち")</f>
        <v/>
      </c>
      <c r="C166" s="5" t="inlineStr"/>
      <c r="D166" s="5" t="inlineStr"/>
      <c r="E166" s="5" t="inlineStr"/>
      <c r="F166" s="5" t="inlineStr"/>
      <c r="G166" s="5" t="inlineStr"/>
      <c r="H166" s="5" t="inlineStr"/>
      <c r="I166" s="5" t="inlineStr"/>
      <c r="J166" s="5" t="inlineStr"/>
    </row>
    <row r="167" ht="20" customHeight="1">
      <c r="A167" s="12" t="inlineStr">
        <is>
          <t>未着手</t>
        </is>
      </c>
      <c r="B167" s="4">
        <f>COUNTIF(H5:H161,"未着手")</f>
        <v/>
      </c>
      <c r="C167" s="5" t="inlineStr"/>
      <c r="D167" s="5" t="inlineStr"/>
      <c r="E167" s="5" t="inlineStr"/>
      <c r="F167" s="5" t="inlineStr"/>
      <c r="G167" s="5" t="inlineStr"/>
      <c r="H167" s="5" t="inlineStr"/>
      <c r="I167" s="5" t="inlineStr"/>
      <c r="J167" s="5" t="inlineStr"/>
    </row>
    <row r="168" ht="20" customHeight="1">
      <c r="A168" s="14" t="inlineStr">
        <is>
          <t>対象外</t>
        </is>
      </c>
      <c r="B168" s="4">
        <f>COUNTIF(H5:H161,"対象外")</f>
        <v/>
      </c>
      <c r="C168" s="5" t="inlineStr"/>
      <c r="D168" s="5" t="inlineStr"/>
      <c r="E168" s="5" t="inlineStr"/>
      <c r="F168" s="5" t="inlineStr"/>
      <c r="G168" s="5" t="inlineStr"/>
      <c r="H168" s="5" t="inlineStr"/>
      <c r="I168" s="5" t="inlineStr"/>
      <c r="J168" s="5" t="inlineStr"/>
    </row>
    <row r="170" ht="32" customHeight="1">
      <c r="A170" s="3" t="inlineStr">
        <is>
          <t>確認先</t>
        </is>
      </c>
      <c r="B170" s="3" t="inlineStr">
        <is>
          <t>件数</t>
        </is>
      </c>
      <c r="C170" s="3" t="inlineStr"/>
      <c r="D170" s="3" t="inlineStr"/>
      <c r="E170" s="3" t="inlineStr"/>
      <c r="F170" s="3" t="inlineStr"/>
      <c r="G170" s="3" t="inlineStr"/>
      <c r="H170" s="3" t="inlineStr"/>
      <c r="I170" s="3" t="inlineStr"/>
      <c r="J170" s="3" t="inlineStr"/>
    </row>
    <row r="171" ht="20" customHeight="1">
      <c r="A171" s="5" t="inlineStr">
        <is>
          <t>発注者</t>
        </is>
      </c>
      <c r="B171" s="4">
        <f>COUNTIF(G5:G161,"発注者")</f>
        <v/>
      </c>
      <c r="C171" s="5" t="inlineStr"/>
      <c r="D171" s="5" t="inlineStr"/>
      <c r="E171" s="5" t="inlineStr"/>
      <c r="F171" s="5" t="inlineStr"/>
      <c r="G171" s="5" t="inlineStr"/>
      <c r="H171" s="5" t="inlineStr"/>
      <c r="I171" s="5" t="inlineStr"/>
      <c r="J171" s="5" t="inlineStr"/>
    </row>
    <row r="172" ht="20" customHeight="1">
      <c r="A172" s="5" t="inlineStr">
        <is>
          <t>発注者・3町</t>
        </is>
      </c>
      <c r="B172" s="4">
        <f>COUNTIF(G5:G161,"発注者・3町")</f>
        <v/>
      </c>
      <c r="C172" s="5" t="inlineStr"/>
      <c r="D172" s="5" t="inlineStr"/>
      <c r="E172" s="5" t="inlineStr"/>
      <c r="F172" s="5" t="inlineStr"/>
      <c r="G172" s="5" t="inlineStr"/>
      <c r="H172" s="5" t="inlineStr"/>
      <c r="I172" s="5" t="inlineStr"/>
      <c r="J172" s="5" t="inlineStr"/>
    </row>
    <row r="173" ht="20" customHeight="1">
      <c r="A173" s="5" t="inlineStr">
        <is>
          <t>発注者・北海道</t>
        </is>
      </c>
      <c r="B173" s="4">
        <f>COUNTIF(G5:G161,"発注者・北海道")</f>
        <v/>
      </c>
      <c r="C173" s="5" t="inlineStr"/>
      <c r="D173" s="5" t="inlineStr"/>
      <c r="E173" s="5" t="inlineStr"/>
      <c r="F173" s="5" t="inlineStr"/>
      <c r="G173" s="5" t="inlineStr"/>
      <c r="H173" s="5" t="inlineStr"/>
      <c r="I173" s="5" t="inlineStr"/>
      <c r="J173" s="5" t="inlineStr"/>
    </row>
    <row r="174" ht="20" customHeight="1">
      <c r="A174" s="5" t="inlineStr">
        <is>
          <t>発注者・3町・北海道</t>
        </is>
      </c>
      <c r="B174" s="4">
        <f>COUNTIF(G5:G161,"発注者・3町・北海道")</f>
        <v/>
      </c>
      <c r="C174" s="5" t="inlineStr"/>
      <c r="D174" s="5" t="inlineStr"/>
      <c r="E174" s="5" t="inlineStr"/>
      <c r="F174" s="5" t="inlineStr"/>
      <c r="G174" s="5" t="inlineStr"/>
      <c r="H174" s="5" t="inlineStr"/>
      <c r="I174" s="5" t="inlineStr"/>
      <c r="J174" s="5" t="inlineStr"/>
    </row>
    <row r="175" ht="20" customHeight="1">
      <c r="A175" s="5" t="inlineStr">
        <is>
          <t>北海道</t>
        </is>
      </c>
      <c r="B175" s="4">
        <f>COUNTIF(G5:G161,"北海道")</f>
        <v/>
      </c>
      <c r="C175" s="5" t="inlineStr"/>
      <c r="D175" s="5" t="inlineStr"/>
      <c r="E175" s="5" t="inlineStr"/>
      <c r="F175" s="5" t="inlineStr"/>
      <c r="G175" s="5" t="inlineStr"/>
      <c r="H175" s="5" t="inlineStr"/>
      <c r="I175" s="5" t="inlineStr"/>
      <c r="J175" s="5" t="inlineStr"/>
    </row>
    <row r="177" ht="28" customHeight="1">
      <c r="A17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7:J177"/>
    <mergeCell ref="A2:J2"/>
  </mergeCells>
  <conditionalFormatting sqref="H5:H16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2026-09-24T07:16:55Z</dcterms:created>
  <dcterms:modified xmlns:dcterms="http://purl.org/dc/terms/" xmlns:xsi="http://www.w3.org/2001/XMLSchema-instance" xsi:type="dcterms:W3CDTF">2026-09-24T07:16:57Z</dcterms:modified>
</cp:coreProperties>
</file>