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業務仕様書「４．業務内容」（1）〜（12）及び「５．業務スケジュール（予定）」に沿って、業務内容別・月別の進捗を管理する。状況基準日：令和8年10月20日。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494" customHeight="1">
      <c r="A23" s="16" t="inlineStr">
        <is>
          <t>【現時点の全体状況（令和8年10月20日）】全体進捗は75％（進捗を数値で表せる10業務の単純平均）。令和8年9月は、サービス見込量の算定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1074段落158表36図で、未確定箇所は282箇所（要協議162・要確認118・要内訳2）である。確認事項は190件、成果品は143件、作成に用いた処理は140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計画素案（1074段落158表36図）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1074段落158表36図となった。残る未確定箇所は282箇所（要協議162・要確認118・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20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なお得られていないのは認知症施策推進基本計画（国）の内容である。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6" ht="32" customHeight="1">
      <c r="A196" s="3" t="inlineStr">
        <is>
          <t>区分</t>
        </is>
      </c>
      <c r="B196" s="3" t="inlineStr">
        <is>
          <t>件数</t>
        </is>
      </c>
      <c r="C196" s="3" t="inlineStr"/>
      <c r="D196" s="3" t="inlineStr"/>
      <c r="E196" s="3" t="inlineStr"/>
      <c r="F196" s="3" t="inlineStr"/>
      <c r="G196" s="3" t="inlineStr"/>
      <c r="H196" s="3" t="inlineStr"/>
      <c r="I196" s="3" t="inlineStr"/>
      <c r="J196" s="3" t="inlineStr"/>
    </row>
    <row r="197" ht="20" customHeight="1">
      <c r="A197" s="6" t="inlineStr">
        <is>
          <t>完了</t>
        </is>
      </c>
      <c r="B197" s="4">
        <f>COUNTIF(H5:H194,"完了")</f>
        <v/>
      </c>
      <c r="C197" s="5" t="inlineStr"/>
      <c r="D197" s="5" t="inlineStr"/>
      <c r="E197" s="5" t="inlineStr"/>
      <c r="F197" s="5" t="inlineStr"/>
      <c r="G197" s="5" t="inlineStr"/>
      <c r="H197" s="5" t="inlineStr"/>
      <c r="I197" s="5" t="inlineStr"/>
      <c r="J197" s="5" t="inlineStr"/>
    </row>
    <row r="198" ht="20" customHeight="1">
      <c r="A198" s="8" t="inlineStr">
        <is>
          <t>実施中</t>
        </is>
      </c>
      <c r="B198" s="4">
        <f>COUNTIF(H5:H194,"実施中")</f>
        <v/>
      </c>
      <c r="C198" s="5" t="inlineStr"/>
      <c r="D198" s="5" t="inlineStr"/>
      <c r="E198" s="5" t="inlineStr"/>
      <c r="F198" s="5" t="inlineStr"/>
      <c r="G198" s="5" t="inlineStr"/>
      <c r="H198" s="5" t="inlineStr"/>
      <c r="I198" s="5" t="inlineStr"/>
      <c r="J198" s="5" t="inlineStr"/>
    </row>
    <row r="199" ht="20" customHeight="1">
      <c r="A199" s="10" t="inlineStr">
        <is>
          <t>確認待ち</t>
        </is>
      </c>
      <c r="B199" s="4">
        <f>COUNTIF(H5:H194,"確認待ち")</f>
        <v/>
      </c>
      <c r="C199" s="5" t="inlineStr"/>
      <c r="D199" s="5" t="inlineStr"/>
      <c r="E199" s="5" t="inlineStr"/>
      <c r="F199" s="5" t="inlineStr"/>
      <c r="G199" s="5" t="inlineStr"/>
      <c r="H199" s="5" t="inlineStr"/>
      <c r="I199" s="5" t="inlineStr"/>
      <c r="J199" s="5" t="inlineStr"/>
    </row>
    <row r="200" ht="20" customHeight="1">
      <c r="A200" s="12" t="inlineStr">
        <is>
          <t>未着手</t>
        </is>
      </c>
      <c r="B200" s="4">
        <f>COUNTIF(H5:H194,"未着手")</f>
        <v/>
      </c>
      <c r="C200" s="5" t="inlineStr"/>
      <c r="D200" s="5" t="inlineStr"/>
      <c r="E200" s="5" t="inlineStr"/>
      <c r="F200" s="5" t="inlineStr"/>
      <c r="G200" s="5" t="inlineStr"/>
      <c r="H200" s="5" t="inlineStr"/>
      <c r="I200" s="5" t="inlineStr"/>
      <c r="J200" s="5" t="inlineStr"/>
    </row>
    <row r="201" ht="20" customHeight="1">
      <c r="A201" s="14" t="inlineStr">
        <is>
          <t>対象外</t>
        </is>
      </c>
      <c r="B201" s="4">
        <f>COUNTIF(H5:H194,"対象外")</f>
        <v/>
      </c>
      <c r="C201" s="5" t="inlineStr"/>
      <c r="D201" s="5" t="inlineStr"/>
      <c r="E201" s="5" t="inlineStr"/>
      <c r="F201" s="5" t="inlineStr"/>
      <c r="G201" s="5" t="inlineStr"/>
      <c r="H201" s="5" t="inlineStr"/>
      <c r="I201" s="5" t="inlineStr"/>
      <c r="J201" s="5" t="inlineStr"/>
    </row>
    <row r="203" ht="32" customHeight="1">
      <c r="A203" s="3" t="inlineStr">
        <is>
          <t>確認先</t>
        </is>
      </c>
      <c r="B203" s="3" t="inlineStr">
        <is>
          <t>件数</t>
        </is>
      </c>
      <c r="C203" s="3" t="inlineStr"/>
      <c r="D203" s="3" t="inlineStr"/>
      <c r="E203" s="3" t="inlineStr"/>
      <c r="F203" s="3" t="inlineStr"/>
      <c r="G203" s="3" t="inlineStr"/>
      <c r="H203" s="3" t="inlineStr"/>
      <c r="I203" s="3" t="inlineStr"/>
      <c r="J203" s="3" t="inlineStr"/>
    </row>
    <row r="204" ht="20" customHeight="1">
      <c r="A204" s="5" t="inlineStr">
        <is>
          <t>発注者</t>
        </is>
      </c>
      <c r="B204" s="4">
        <f>COUNTIF(G5:G194,"発注者")</f>
        <v/>
      </c>
      <c r="C204" s="5" t="inlineStr"/>
      <c r="D204" s="5" t="inlineStr"/>
      <c r="E204" s="5" t="inlineStr"/>
      <c r="F204" s="5" t="inlineStr"/>
      <c r="G204" s="5" t="inlineStr"/>
      <c r="H204" s="5" t="inlineStr"/>
      <c r="I204" s="5" t="inlineStr"/>
      <c r="J204" s="5" t="inlineStr"/>
    </row>
    <row r="205" ht="20" customHeight="1">
      <c r="A205" s="5" t="inlineStr">
        <is>
          <t>発注者・3町</t>
        </is>
      </c>
      <c r="B205" s="4">
        <f>COUNTIF(G5:G194,"発注者・3町")</f>
        <v/>
      </c>
      <c r="C205" s="5" t="inlineStr"/>
      <c r="D205" s="5" t="inlineStr"/>
      <c r="E205" s="5" t="inlineStr"/>
      <c r="F205" s="5" t="inlineStr"/>
      <c r="G205" s="5" t="inlineStr"/>
      <c r="H205" s="5" t="inlineStr"/>
      <c r="I205" s="5" t="inlineStr"/>
      <c r="J205" s="5" t="inlineStr"/>
    </row>
    <row r="206" ht="20" customHeight="1">
      <c r="A206" s="5" t="inlineStr">
        <is>
          <t>発注者・北海道</t>
        </is>
      </c>
      <c r="B206" s="4">
        <f>COUNTIF(G5:G194,"発注者・北海道")</f>
        <v/>
      </c>
      <c r="C206" s="5" t="inlineStr"/>
      <c r="D206" s="5" t="inlineStr"/>
      <c r="E206" s="5" t="inlineStr"/>
      <c r="F206" s="5" t="inlineStr"/>
      <c r="G206" s="5" t="inlineStr"/>
      <c r="H206" s="5" t="inlineStr"/>
      <c r="I206" s="5" t="inlineStr"/>
      <c r="J206" s="5" t="inlineStr"/>
    </row>
    <row r="207" ht="20" customHeight="1">
      <c r="A207" s="5" t="inlineStr">
        <is>
          <t>発注者・3町・北海道</t>
        </is>
      </c>
      <c r="B207" s="4">
        <f>COUNTIF(G5:G194,"発注者・3町・北海道")</f>
        <v/>
      </c>
      <c r="C207" s="5" t="inlineStr"/>
      <c r="D207" s="5" t="inlineStr"/>
      <c r="E207" s="5" t="inlineStr"/>
      <c r="F207" s="5" t="inlineStr"/>
      <c r="G207" s="5" t="inlineStr"/>
      <c r="H207" s="5" t="inlineStr"/>
      <c r="I207" s="5" t="inlineStr"/>
      <c r="J207" s="5" t="inlineStr"/>
    </row>
    <row r="208" ht="20" customHeight="1">
      <c r="A208" s="5" t="inlineStr">
        <is>
          <t>北海道</t>
        </is>
      </c>
      <c r="B208" s="4">
        <f>COUNTIF(G5:G194,"北海道")</f>
        <v/>
      </c>
      <c r="C208" s="5" t="inlineStr"/>
      <c r="D208" s="5" t="inlineStr"/>
      <c r="E208" s="5" t="inlineStr"/>
      <c r="F208" s="5" t="inlineStr"/>
      <c r="G208" s="5" t="inlineStr"/>
      <c r="H208" s="5" t="inlineStr"/>
      <c r="I208" s="5" t="inlineStr"/>
      <c r="J208" s="5" t="inlineStr"/>
    </row>
    <row r="210" ht="52" customHeight="1">
      <c r="A21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4"/>
  <mergeCells count="3">
    <mergeCell ref="A1:J1"/>
    <mergeCell ref="A210:J210"/>
    <mergeCell ref="A2:J2"/>
  </mergeCells>
  <conditionalFormatting sqref="H5:H19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（1074段落158表36図）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（1074段落158表36図）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6"/>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資料提供依頼一覧（24件）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受領済</t>
        </is>
      </c>
      <c r="J23"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24</v>
      </c>
      <c r="B25" s="4" t="inlineStr">
        <is>
          <t>E</t>
        </is>
      </c>
      <c r="C25" s="5" t="inlineStr">
        <is>
          <t>第9期（令和6〜8年度）の保険料率を定める介護保険条例</t>
        </is>
      </c>
      <c r="D25" s="5" t="inlineStr">
        <is>
          <t>大雪地区広域連合介護保険条例のうち、第9期の保険料率（16段階）を定める改正後のもの。あわせて、乗率を国の標準より低く定めた経緯を示す資料（議案・提案理由等）があればご提供いただきたい。</t>
        </is>
      </c>
      <c r="E25" s="5" t="inlineStr">
        <is>
          <t>所得段階と乗率の確定、保険料の算定</t>
        </is>
      </c>
      <c r="F25" s="5" t="inlineStr">
        <is>
          <t>発注者</t>
        </is>
      </c>
      <c r="G25" s="4" t="inlineStr">
        <is>
          <t>R8.11</t>
        </is>
      </c>
      <c r="H25" s="8" t="inlineStr">
        <is>
          <t>中</t>
        </is>
      </c>
      <c r="I25" s="4" t="inlineStr">
        <is>
          <t>未着手</t>
        </is>
      </c>
      <c r="J25"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6" ht="56" customHeight="1">
      <c r="A26" s="4" t="n">
        <v>1</v>
      </c>
      <c r="B26" s="4" t="inlineStr">
        <is>
          <t>B</t>
        </is>
      </c>
      <c r="C26" s="5" t="inlineStr">
        <is>
          <t>見える化B5a・B6a・B6bの令和8年3月末の値</t>
        </is>
      </c>
      <c r="D26" s="5" t="inlineStr">
        <is>
          <t>調整済み認定率は令和7年3月末までしか出力されていない。第9期の評価には令和8年3月末（令和7年度末）の値が必要。</t>
        </is>
      </c>
      <c r="E26" s="5" t="inlineStr">
        <is>
          <t>中重度・軽度の認定率の推移</t>
        </is>
      </c>
      <c r="F26" s="5" t="inlineStr">
        <is>
          <t>見える化システム</t>
        </is>
      </c>
      <c r="G26" s="4" t="inlineStr">
        <is>
          <t>R8.9</t>
        </is>
      </c>
      <c r="H26" s="14" t="inlineStr">
        <is>
          <t>低</t>
        </is>
      </c>
      <c r="I26" s="4" t="inlineStr">
        <is>
          <t>受領済</t>
        </is>
      </c>
      <c r="J26"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27" ht="56" customHeight="1">
      <c r="A27" s="4" t="n">
        <v>2</v>
      </c>
      <c r="B27" s="4" t="inlineStr">
        <is>
          <t>I</t>
        </is>
      </c>
      <c r="C27" s="5" t="inlineStr">
        <is>
          <t>訪問系・通所系事業所の運営規程における通常の事業の実施地域【令和8年8月4日受領済】</t>
        </is>
      </c>
      <c r="D27"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7" s="5" t="inlineStr">
        <is>
          <t>訪問・通所困難地域の判定</t>
        </is>
      </c>
      <c r="F27" s="5" t="inlineStr">
        <is>
          <t>北海道・広域連合</t>
        </is>
      </c>
      <c r="G27" s="4" t="inlineStr">
        <is>
          <t>受領済</t>
        </is>
      </c>
      <c r="H27" s="14" t="inlineStr">
        <is>
          <t>低</t>
        </is>
      </c>
      <c r="I27" s="4" t="inlineStr">
        <is>
          <t>完了</t>
        </is>
      </c>
      <c r="J27" s="5" t="inlineStr">
        <is>
          <t>確認事項No.15と対応。住まいと施設の公表名簿との突合 08シート</t>
        </is>
      </c>
    </row>
    <row r="28" ht="56" customHeight="1">
      <c r="A28" s="4" t="n">
        <v>4</v>
      </c>
      <c r="B28" s="4" t="inlineStr">
        <is>
          <t>A</t>
        </is>
      </c>
      <c r="C28" s="5" t="inlineStr">
        <is>
          <t>令和7年国勢調査による町別の高齢者を含む世帯</t>
        </is>
      </c>
      <c r="D28" s="5" t="inlineStr">
        <is>
          <t>高齢者単身世帯・夫婦世帯の最新値。公表され次第。</t>
        </is>
      </c>
      <c r="E28" s="5" t="inlineStr">
        <is>
          <t>世帯構成の現状</t>
        </is>
      </c>
      <c r="F28" s="5" t="inlineStr">
        <is>
          <t>総務省・3町</t>
        </is>
      </c>
      <c r="G28" s="4" t="inlineStr">
        <is>
          <t>公表後</t>
        </is>
      </c>
      <c r="H28" s="14" t="inlineStr">
        <is>
          <t>低</t>
        </is>
      </c>
      <c r="I28" s="4" t="inlineStr">
        <is>
          <t>未着手</t>
        </is>
      </c>
      <c r="J28" s="5" t="inlineStr">
        <is>
          <t>公表待ち</t>
        </is>
      </c>
    </row>
    <row r="30" ht="32" customHeight="1">
      <c r="A30" s="3" t="inlineStr">
        <is>
          <t>優先度</t>
        </is>
      </c>
      <c r="B30" s="3" t="inlineStr">
        <is>
          <t>件数</t>
        </is>
      </c>
      <c r="C30" s="3" t="inlineStr">
        <is>
          <t>内容</t>
        </is>
      </c>
      <c r="D30" s="3" t="inlineStr"/>
      <c r="E30" s="3" t="inlineStr"/>
      <c r="F30" s="3" t="inlineStr"/>
      <c r="G30" s="3" t="inlineStr"/>
      <c r="H30" s="3" t="inlineStr"/>
      <c r="I30" s="3" t="inlineStr"/>
      <c r="J30" s="3" t="inlineStr"/>
    </row>
    <row r="31" ht="32" customHeight="1">
      <c r="A31" s="13" t="inlineStr">
        <is>
          <t>最高</t>
        </is>
      </c>
      <c r="B31" s="21" t="n">
        <v>1</v>
      </c>
      <c r="C31" s="5" t="inlineStr">
        <is>
          <t>No.13 令和6〜8年度の施策・事業実績、事業量、対象</t>
        </is>
      </c>
      <c r="D31" s="22" t="n"/>
      <c r="E31" s="22" t="n"/>
      <c r="F31" s="22" t="n"/>
      <c r="G31" s="22" t="n"/>
      <c r="H31" s="22" t="n"/>
      <c r="I31" s="22" t="n"/>
      <c r="J31" s="23" t="n"/>
    </row>
    <row r="32" ht="32" customHeight="1">
      <c r="A32" s="11" t="inlineStr">
        <is>
          <t>高</t>
        </is>
      </c>
      <c r="B32" s="21" t="n">
        <v>14</v>
      </c>
      <c r="C32"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2" s="22" t="n"/>
      <c r="E32" s="22" t="n"/>
      <c r="F32" s="22" t="n"/>
      <c r="G32" s="22" t="n"/>
      <c r="H32" s="22" t="n"/>
      <c r="I32" s="22" t="n"/>
      <c r="J32" s="23" t="n"/>
    </row>
    <row r="33" ht="32" customHeight="1">
      <c r="A33" s="9" t="inlineStr">
        <is>
          <t>中</t>
        </is>
      </c>
      <c r="B33" s="21" t="n">
        <v>6</v>
      </c>
      <c r="C33"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t>
        </is>
      </c>
      <c r="D33" s="22" t="n"/>
      <c r="E33" s="22" t="n"/>
      <c r="F33" s="22" t="n"/>
      <c r="G33" s="22" t="n"/>
      <c r="H33" s="22" t="n"/>
      <c r="I33" s="22" t="n"/>
      <c r="J33" s="23" t="n"/>
    </row>
    <row r="34" ht="32" customHeight="1">
      <c r="A34" s="15" t="inlineStr">
        <is>
          <t>低</t>
        </is>
      </c>
      <c r="B34" s="21" t="n">
        <v>3</v>
      </c>
      <c r="C34" s="5" t="inlineStr">
        <is>
          <t>No.1 見える化B5a・B6a・B6bの令和8年3月、No.2 訪問系・通所系事業所の運営規程における通常の、No.4 令和7年国勢調査による町別の高齢者を含む世帯</t>
        </is>
      </c>
      <c r="D34" s="22" t="n"/>
      <c r="E34" s="22" t="n"/>
      <c r="F34" s="22" t="n"/>
      <c r="G34" s="22" t="n"/>
      <c r="H34" s="22" t="n"/>
      <c r="I34" s="22" t="n"/>
      <c r="J34" s="23" t="n"/>
    </row>
    <row r="36" ht="39" customHeight="1">
      <c r="A36"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4:J34"/>
    <mergeCell ref="A36:J36"/>
    <mergeCell ref="C33:J33"/>
    <mergeCell ref="C32:J32"/>
    <mergeCell ref="A2:J2"/>
    <mergeCell ref="C31:J31"/>
  </mergeCells>
  <conditionalFormatting sqref="I5:I2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8"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2026-10-20T07:06:02Z</dcterms:created>
  <dcterms:modified xmlns:dcterms="http://purl.org/dc/terms/" xmlns:xsi="http://www.w3.org/2001/XMLSchema-instance" xsi:type="dcterms:W3CDTF">2026-10-20T07:06:04Z</dcterms:modified>
</cp:coreProperties>
</file>