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95" customHeight="1">
      <c r="A23" s="16" t="inlineStr">
        <is>
          <t>【現時点の全体状況（令和8年10月1日）】全体進捗は79％（進捗を数値で表せる10業務の単純平均）。令和8年9月は、サービス見込量の算定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計画素案は928段落143表36図で、未確定箇所は149箇所（要協議114・要確認34・要内訳1）である。確認事項は173件、成果品は129件、ビルドスクリプトは127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6,438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0.92</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計画素案（928段落143表36図）
修正指示書（66件）</t>
        </is>
      </c>
      <c r="F10" s="10" t="inlineStr">
        <is>
          <t>実施中</t>
        </is>
      </c>
      <c r="G10" s="17" t="n">
        <v>0.98</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143表36図となった。残る未確定箇所は149箇所（要協議114・要確認34・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0.99</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0.84</v>
      </c>
      <c r="H14" s="10" t="inlineStr">
        <is>
          <t>R9.3</t>
        </is>
      </c>
      <c r="I14" s="11" t="inlineStr">
        <is>
          <t>電子データは作成中。印刷・製本は令和9年3月。本文100頁程度に対する章別のページ配分が未確定（確認No.21）。【令和8年9月15〜18日】成果品は129件となった。9月に加えたものは、サービス見込量の算定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127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決着しない場合は第6章第2節は利用者数のみを掲げたまま概算する。（受託者の仮置き。令和8年10月の意見交換会で諮る）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年率1.75％）を置いた場合の差（月額＋185円から＋374円）は据え置きの一覧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決着しない場合は一律の伸びのまま概算し、補正の効き（月額▲58円又は＋48円）を併記する。（受託者の仮置き。令和8年10月の意見交換会で諮る）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決着しない場合は素案 第6章第2節の表は見える化の自然体推計値のまま置き、P3による値を別掲する。（受託者の仮置き。令和8年10月の意見交換会で諮る）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決着しない場合は町別按分は当方の案（第1次概算）のまま示す。（受託者の仮置き。令和8年10月の意見交換会で諮る）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決着しない場合は会議日程及びパブリックコメントの期間は仕様書５の工程による。（受託者の仮置き。令和8年10月の意見交換会で諮る）</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決着しない場合は1人1月あたり給付費は令和7年度で固定して概算する（月額で＋185〜＋374円に当たる）。（受託者の仮置き。令和8年10月の意見交換会で諮る）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決着しない場合は要介護度別の伸びによる算定（第1次概算）で概算し、一律の伸びによる従前の値を併記する。差は月額＋8円である。（受託者の仮置き。令和8年10月の意見交換会で諮る）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
決着しない場合は人口の将来推計の方法は案Cのままとする。コーホート変化率法には採らない。（受託者の仮置き。令和8年10月の意見交換会で諮る）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9" ht="32" customHeight="1">
      <c r="A179" s="3" t="inlineStr">
        <is>
          <t>区分</t>
        </is>
      </c>
      <c r="B179" s="3" t="inlineStr">
        <is>
          <t>件数</t>
        </is>
      </c>
      <c r="C179" s="3" t="inlineStr"/>
      <c r="D179" s="3" t="inlineStr"/>
      <c r="E179" s="3" t="inlineStr"/>
      <c r="F179" s="3" t="inlineStr"/>
      <c r="G179" s="3" t="inlineStr"/>
      <c r="H179" s="3" t="inlineStr"/>
      <c r="I179" s="3" t="inlineStr"/>
      <c r="J179" s="3" t="inlineStr"/>
    </row>
    <row r="180" ht="20" customHeight="1">
      <c r="A180" s="6" t="inlineStr">
        <is>
          <t>完了</t>
        </is>
      </c>
      <c r="B180" s="4">
        <f>COUNTIF(H5:H177,"完了")</f>
        <v/>
      </c>
      <c r="C180" s="5" t="inlineStr"/>
      <c r="D180" s="5" t="inlineStr"/>
      <c r="E180" s="5" t="inlineStr"/>
      <c r="F180" s="5" t="inlineStr"/>
      <c r="G180" s="5" t="inlineStr"/>
      <c r="H180" s="5" t="inlineStr"/>
      <c r="I180" s="5" t="inlineStr"/>
      <c r="J180" s="5" t="inlineStr"/>
    </row>
    <row r="181" ht="20" customHeight="1">
      <c r="A181" s="8" t="inlineStr">
        <is>
          <t>実施中</t>
        </is>
      </c>
      <c r="B181" s="4">
        <f>COUNTIF(H5:H177,"実施中")</f>
        <v/>
      </c>
      <c r="C181" s="5" t="inlineStr"/>
      <c r="D181" s="5" t="inlineStr"/>
      <c r="E181" s="5" t="inlineStr"/>
      <c r="F181" s="5" t="inlineStr"/>
      <c r="G181" s="5" t="inlineStr"/>
      <c r="H181" s="5" t="inlineStr"/>
      <c r="I181" s="5" t="inlineStr"/>
      <c r="J181" s="5" t="inlineStr"/>
    </row>
    <row r="182" ht="20" customHeight="1">
      <c r="A182" s="10" t="inlineStr">
        <is>
          <t>確認待ち</t>
        </is>
      </c>
      <c r="B182" s="4">
        <f>COUNTIF(H5:H177,"確認待ち")</f>
        <v/>
      </c>
      <c r="C182" s="5" t="inlineStr"/>
      <c r="D182" s="5" t="inlineStr"/>
      <c r="E182" s="5" t="inlineStr"/>
      <c r="F182" s="5" t="inlineStr"/>
      <c r="G182" s="5" t="inlineStr"/>
      <c r="H182" s="5" t="inlineStr"/>
      <c r="I182" s="5" t="inlineStr"/>
      <c r="J182" s="5" t="inlineStr"/>
    </row>
    <row r="183" ht="20" customHeight="1">
      <c r="A183" s="12" t="inlineStr">
        <is>
          <t>未着手</t>
        </is>
      </c>
      <c r="B183" s="4">
        <f>COUNTIF(H5:H177,"未着手")</f>
        <v/>
      </c>
      <c r="C183" s="5" t="inlineStr"/>
      <c r="D183" s="5" t="inlineStr"/>
      <c r="E183" s="5" t="inlineStr"/>
      <c r="F183" s="5" t="inlineStr"/>
      <c r="G183" s="5" t="inlineStr"/>
      <c r="H183" s="5" t="inlineStr"/>
      <c r="I183" s="5" t="inlineStr"/>
      <c r="J183" s="5" t="inlineStr"/>
    </row>
    <row r="184" ht="20" customHeight="1">
      <c r="A184" s="14" t="inlineStr">
        <is>
          <t>対象外</t>
        </is>
      </c>
      <c r="B184" s="4">
        <f>COUNTIF(H5:H177,"対象外")</f>
        <v/>
      </c>
      <c r="C184" s="5" t="inlineStr"/>
      <c r="D184" s="5" t="inlineStr"/>
      <c r="E184" s="5" t="inlineStr"/>
      <c r="F184" s="5" t="inlineStr"/>
      <c r="G184" s="5" t="inlineStr"/>
      <c r="H184" s="5" t="inlineStr"/>
      <c r="I184" s="5" t="inlineStr"/>
      <c r="J184" s="5" t="inlineStr"/>
    </row>
    <row r="186" ht="32" customHeight="1">
      <c r="A186" s="3" t="inlineStr">
        <is>
          <t>確認先</t>
        </is>
      </c>
      <c r="B186" s="3" t="inlineStr">
        <is>
          <t>件数</t>
        </is>
      </c>
      <c r="C186" s="3" t="inlineStr"/>
      <c r="D186" s="3" t="inlineStr"/>
      <c r="E186" s="3" t="inlineStr"/>
      <c r="F186" s="3" t="inlineStr"/>
      <c r="G186" s="3" t="inlineStr"/>
      <c r="H186" s="3" t="inlineStr"/>
      <c r="I186" s="3" t="inlineStr"/>
      <c r="J186" s="3" t="inlineStr"/>
    </row>
    <row r="187" ht="20" customHeight="1">
      <c r="A187" s="5" t="inlineStr">
        <is>
          <t>発注者</t>
        </is>
      </c>
      <c r="B187" s="4">
        <f>COUNTIF(G5:G177,"発注者")</f>
        <v/>
      </c>
      <c r="C187" s="5" t="inlineStr"/>
      <c r="D187" s="5" t="inlineStr"/>
      <c r="E187" s="5" t="inlineStr"/>
      <c r="F187" s="5" t="inlineStr"/>
      <c r="G187" s="5" t="inlineStr"/>
      <c r="H187" s="5" t="inlineStr"/>
      <c r="I187" s="5" t="inlineStr"/>
      <c r="J187" s="5" t="inlineStr"/>
    </row>
    <row r="188" ht="20" customHeight="1">
      <c r="A188" s="5" t="inlineStr">
        <is>
          <t>発注者・3町</t>
        </is>
      </c>
      <c r="B188" s="4">
        <f>COUNTIF(G5:G177,"発注者・3町")</f>
        <v/>
      </c>
      <c r="C188" s="5" t="inlineStr"/>
      <c r="D188" s="5" t="inlineStr"/>
      <c r="E188" s="5" t="inlineStr"/>
      <c r="F188" s="5" t="inlineStr"/>
      <c r="G188" s="5" t="inlineStr"/>
      <c r="H188" s="5" t="inlineStr"/>
      <c r="I188" s="5" t="inlineStr"/>
      <c r="J188" s="5" t="inlineStr"/>
    </row>
    <row r="189" ht="20" customHeight="1">
      <c r="A189" s="5" t="inlineStr">
        <is>
          <t>発注者・北海道</t>
        </is>
      </c>
      <c r="B189" s="4">
        <f>COUNTIF(G5:G177,"発注者・北海道")</f>
        <v/>
      </c>
      <c r="C189" s="5" t="inlineStr"/>
      <c r="D189" s="5" t="inlineStr"/>
      <c r="E189" s="5" t="inlineStr"/>
      <c r="F189" s="5" t="inlineStr"/>
      <c r="G189" s="5" t="inlineStr"/>
      <c r="H189" s="5" t="inlineStr"/>
      <c r="I189" s="5" t="inlineStr"/>
      <c r="J189" s="5" t="inlineStr"/>
    </row>
    <row r="190" ht="20" customHeight="1">
      <c r="A190" s="5" t="inlineStr">
        <is>
          <t>発注者・3町・北海道</t>
        </is>
      </c>
      <c r="B190" s="4">
        <f>COUNTIF(G5:G177,"発注者・3町・北海道")</f>
        <v/>
      </c>
      <c r="C190" s="5" t="inlineStr"/>
      <c r="D190" s="5" t="inlineStr"/>
      <c r="E190" s="5" t="inlineStr"/>
      <c r="F190" s="5" t="inlineStr"/>
      <c r="G190" s="5" t="inlineStr"/>
      <c r="H190" s="5" t="inlineStr"/>
      <c r="I190" s="5" t="inlineStr"/>
      <c r="J190" s="5" t="inlineStr"/>
    </row>
    <row r="191" ht="20" customHeight="1">
      <c r="A191" s="5" t="inlineStr">
        <is>
          <t>北海道</t>
        </is>
      </c>
      <c r="B191" s="4">
        <f>COUNTIF(G5:G177,"北海道")</f>
        <v/>
      </c>
      <c r="C191" s="5" t="inlineStr"/>
      <c r="D191" s="5" t="inlineStr"/>
      <c r="E191" s="5" t="inlineStr"/>
      <c r="F191" s="5" t="inlineStr"/>
      <c r="G191" s="5" t="inlineStr"/>
      <c r="H191" s="5" t="inlineStr"/>
      <c r="I191" s="5" t="inlineStr"/>
      <c r="J191" s="5" t="inlineStr"/>
    </row>
    <row r="193" ht="39" customHeight="1">
      <c r="A19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193:J193"/>
    <mergeCell ref="A2:J2"/>
  </mergeCells>
  <conditionalFormatting sqref="H5:H17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2026-10-01T03:17:56Z</dcterms:created>
  <dcterms:modified xmlns:dcterms="http://purl.org/dc/terms/" xmlns:xsi="http://www.w3.org/2001/XMLSchema-instance" xsi:type="dcterms:W3CDTF">2026-10-01T03:17:59Z</dcterms:modified>
</cp:coreProperties>
</file>