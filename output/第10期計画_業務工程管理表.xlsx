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業務仕様書「４．業務内容」（1）〜（12）及び「５．業務スケジュール（予定）」に沿って、業務内容別・月別の進捗を管理する。状況基準日：令和8年10月15日。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299" customHeight="1">
      <c r="A23" s="16" t="inlineStr">
        <is>
          <t>【現時点の全体状況（令和8年10月15日）】全体進捗は67％（進捗を数値で表せる10業務の単純平均）。令和8年9月は、サービス見込量の算定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1059段落156表36図で、未確定箇所は273箇所（要協議158・要確認113・要内訳2）である。確認事項は186件、成果品は139件、作成に用いた処理は136件である。未決の確認事項には「決着しない場合の当方の扱い（既定値）」を全件置いており、ご決定がなくても算定は止まらない。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令和8年10月7日には、第136回社会保障審議会介護保険部会（令和8年9月18日）の資料により制度の動向6件と引き続き検討することとされた事項7件を計画素案へ加え、所得段階の置き方3案による保険料の違いと調整交付金の一定の取組による減額を掲げた。構成3町のヒアリング前の事前打合せ（令和8年10月8日）と3町合同の意見交換会の資料には、打合せの時間内でご決定をお願いしたい事項と時間配分の案を加えた。令和8年10月14日には、計画の記載事項の網羅性を再度点検し、対比の軸を介護保険法第117条の記載事項から条文の構成全体（計画の性格・作成の基準・策定の手続）へ広げたうえで、介護保険法以外の関係法令9件との対比を加えた。記載を確認できなかった6件は、いずれも原典により確かめて計画素案へ加えた。あわせて、社会保障審議会介護給付費分科会において令和9年度介護報酬改定に向けて検討されている論点31件を計画素案と突き合わせ、当区域に直結する17件を整理した。改定の内容が示されるのは令和8年12月頃及び令和9年1月頃の見込みであり、いずれもサービス見込量 第2次概算より後である。直近の工程は、サービス見込量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から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令和8年10月7日】第136回社会保障審議会介護保険部会（令和8年9月18日）の資料7件を確認し、制度の動向6件を計画素案 第1章第9節に項を起こして加えた。介護情報基盤の構築と活用（標準化対応の適合基準日は令和9年1月1日、本格運用開始日は令和10年4月1日）、ケアプランデータ連携機能の統合（令和9年1月）、介護サービス事業者経営情報データベース、介護事業者の連携・協働化（都道府県との協定）、第1号保険料の在り方（高所得者の標準乗率の見直し。論点提示の段階）、介護給付適正化の取組と調整交付金の減額である。引き続き検討することとされた事項7件も、影響が及び得る計画の箇所と対にして掲げた。あわせて、補足給付の区分の細分化の時期を「令和9年度から」に、一定以上所得基準を「第10期計画期間の開始前までに結論を得ることとされたもの」に改めた（従前は時期の記載が原典と食い違っていた）。確認事項No.175からNo.177を起票した。【令和8年10月14日】計画の記載事項の網羅性を再度点検した。対比の軸を介護保険法第117条の記載事項（第2項・第3項の各号）から条文の構成全体（計画の性格・作成の基準・策定の手続）へ広げ、介護保険法以外の関係法令9件（老人福祉法第20条の8、成年後見制度の利用の促進に関する法律第14条、高齢者虐待の防止等に関する法律、認知症基本法第3条・第13条、水防法・土砂災害防止法、介護保険法第78条の4、社会福祉法等の一部を改正する法律、地方自治法第284条）との対比を加えた。中長期的なサービスの見通しと、その見通しを踏まえた提供体制の確保等のための施策は別の記載事項であり、推計の表を加えたことでは充足しないものとして分けて点検する形に改めた。法令の条文を確認できていないため、点検の単位は条文の番号ではなく記載事項の内容とし、項番号は記載していない。あわせて社会保障審議会介護給付費分科会（第256回から第270回）において令和9年度介護報酬改定に向けて検討されている論点31件を計画素案・サービス見込量の算定・確認事項の台帳と突き合わせ、当区域に直結する17件を整理した。特に当区域の事情に関わるものは、短期入所生活介護の季節利用に係る例外（積雪期）、夜間対応型訪問介護の定期巡回への移行（移行猶予 令和11年3月）、高齢者向け住まいに係る通所介護等の報酬区分の見直し、特定地域における配置の弾力化、特別養護老人ホームの指定定員と実際の受入能力の差の5件である。資料の原本を確認できていないため、計画素案には検討されている事項があることまでを記載し、単位数・要件・施行時期は書いていない。確認事項No.178からNo.184を起票した。【令和8年10月15日】社会福祉法等の一部を改正する法律案要綱（全31頁）及び令和5年改正の概要のご提供を受け、改正事項を原典により点検した。従前は部会資料（概要）によっていたため施行期日の例外を2件しか把握していなかったが、要綱 第10の1により4区分が確定し、公布の日から施行される1件を除きいずれも第10期計画の期間中に施行されることが分かった（介護支援専門員の資格に係る更新制の廃止は1年6月以内、特定施設の定義の改正及び有料老人ホームの登録制度は2年以内、被保険者証の添付等に関する規定及び登録施設介護支援等は3年以内）。介護保険法の改正事項16件のうち11件に記述の是正を要し、14件が新たに分かった。介護保険法第117条の改正後の号及び項（第2項第3号・第4号、第3項第4号・第5号、第5項及び第14項）が確定した。お示しいただいた記事の記述11件を原典により確かめた（一致8・一部一致1・確認できない2）。確認事項No.185・No.186を起票した。同日、新旧対照条文（全353頁）、参照条文（全45頁）、特定地域の考え方について（介護保険部会 第135回 資料3）及び介護保険における3つの加算の対象地域一覧のご提供を受け、改正後の条文を確認した（確認No.181は大きく解決）。介護保険法の改正が第3条関係（令和9年4月1日又は1年6月以内）と第4条関係（2年以内又は3年以内）の2つに分かれること、中長期的な推計のうち量が第2項第3号（定めるものとする）、費用の額及び保険料の水準が第3項第3号（定めるよう努めるものとする）であること、第115条の48の会議が改正後「支援会議」と称すること、第118条第2項により都道府県介護保険事業支援計画にも中長期的な推計が定めるものとされることを確かめた。特別地域加算の対象地域に構成3町がいずれも掲げられていないこと（確認No.1は解決）と、北海道が全域の豪雪地帯であるため中山間地域等における小規模事業所加算及び中山間地域等に居住する者へのサービス提供加算の地域の要件には該当することを確かめた。残るのは政令・省令・報酬改定の告示を待つ分、参照条文の内容（受領したものは画像であり読み取れない）及び附則の経過措置である</t>
        </is>
      </c>
      <c r="J5" s="5" t="inlineStr">
        <is>
          <t>1, 2, 22, 89, 130, 149, 170, 175, 176, 177, 178, 179, 180, 181, 182, 183, 184, 185, 186</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⑥令和6〜8年度の事業実績による達成度の再判定［未着手］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0.9285714285714286</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②在宅生活改善調査の集計・分析［一部］
③居所変更実態調査の集計・分析［一部］
④介護人材実態調査の集計・分析［一部］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実施中</t>
        </is>
      </c>
      <c r="G7" s="17" t="n">
        <v>0.7857142857142857</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⑧日常生活圏域別の分析［一部］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0.9444444444444444</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①実績値の準備（令和6〜8年度の介護保険事業状況報告）［一部］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0.8125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④概要版原稿の作成［未着手］
⑤3町計画との整合の確認［一部］</t>
        </is>
      </c>
      <c r="E10" s="5" t="inlineStr">
        <is>
          <t>骨子案（11節22表）
計画素案（1059段落156表36図）
修正指示書（66件）</t>
        </is>
      </c>
      <c r="F10" s="10" t="inlineStr">
        <is>
          <t>実施中</t>
        </is>
      </c>
      <c r="G10" s="17" t="n">
        <v>0.5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1059段落156表36図となった。残る未確定箇所は273箇所（要協議158・要確認113・要内訳2）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4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令和8年10月14日】網羅性の再点検により記載が確認できなかった6件を原典で確かめたうえで加えた。老人福祉法第20条の8による市町村老人福祉計画との関係及び一体のものとして作成する定め（第1章第2節・第1章第8節）、成年後見制度の利用の促進に関する法律第14条による市町村の計画及び高齢者虐待の防止等に関する法律による市町村の事務（第1章第2節）、認知症基本法第3条の基本理念（第1章第2節）、医療計画との整合性の確保が法の定めであること（第1章第8節）、計画の北海道知事への提出（第1章第5節）、要配慮者利用施設の避難確保計画（第5章 基本目標5）、中長期的なサービスの見通しを踏まえた確保の方策（第6章第5節）である。あわせて第1章第9節に項を新設し、令和9年度介護報酬改定に向けて検討されている事項のうち本計画に関わり得るもの6件を掲げた（単位数・要件・施行時期は書いていない）。【令和8年10月15日】社会福祉法等の一部を改正する法律案要綱により21箇所を改めた。第1章第9節2に施行の日の表を新設し、改正事項の表を介護保険法の改正と社会福祉法その他の法律の改正に分け、改正事項ごとに施行の日の欄を設けて8件から18件に広げた。新たに加えたものは、特定福祉用具販売に係る費用の額の見直し、指定介護老人福祉施設等の指定の辞退、要介護認定等の申請の代行の拡大、電子資格確認の導入及び被保険者証に関する規定の整備、第1号介護予防支援事業の委託の見直し、地域ケア会議の見直し、成年後見制度等の適切な利用の支援、小規模市町村地域支援連携協働体制整備事業、災害時福祉業務従事者の登録、市町村老人福祉計画及び市町村地域福祉計画の記載事項、介護福祉士に関する改正、特定地域における介護老人保健施設等の開設許可の特例である。あわせて、中長期的な推計についての北海道の意見の聴取（第1章第5節）、区域ごとの入居定員総数の勘案（第2章第3節）、地域支援事業の量の中長期的な推計（第6章第3節2）を加え、第2章第8節の総給付費が令和9年度から令和32年度まで［要確認］であったものを算定の値に改めた。同日、新旧対照条文及び対象地域の一覧により15箇所を改めた。特定地域の基準①について、従前は「東川町・美瑛町は特別豪雪地帯を有し、美瑛町は過疎地域でもあるため、対象地域である可能性がある」としていたものを「構成3町はいずれも対象地域に掲げられていない」に改め、3つの加算の注に単位数、地域の要件、構成3町の判定及び事業所ごとの要件を示した。中長期的な推計について量（第117条第2項第3号）と費用の額及び保険料の水準（同条第3項第3号）の区別を第1章第9節2・第2章第8節・第6章第3節に加え、第5項の勘案及び第14項の意見の聴取の対象を「第2項第1号から第3号まで」に改め、第1章第8節に第118条第2項の改正を加えた。新たな章又は節は起こしていない。概要版は未着手</t>
        </is>
      </c>
      <c r="J10" s="5" t="inlineStr">
        <is>
          <t>17, 18, 24, 25, 88, 112, 114, 131, 154, 170, 171, 178, 179, 180, 181, 185, 186</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③3町との協議資料の作成［一部］
④計画原稿の修正［一部］</t>
        </is>
      </c>
      <c r="E11" s="5" t="inlineStr">
        <is>
          <t>修正指示書（66件）
図表集（33シート133点）
確認依頼書</t>
        </is>
      </c>
      <c r="F11" s="10" t="inlineStr">
        <is>
          <t>実施中</t>
        </is>
      </c>
      <c r="G11" s="17" t="n">
        <v>0.625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令和8年10月7日】構成3町のヒアリング前の事前打合せ（令和8年10月8日）の資料と3町合同の意見交換会の資料に、打合せの時間内でご決定をお願いしたい事項と時間配分の案を加えた。いずれも、この場でご決定をお願いしたいもの・時間があればご決定をお願いしたいもの・受託者の仮置きのまま進めるものに分け、所要の目安を分で付している。ご決定をお願いしたい事項は、各町へ伺う問いが立たないもの、保険料の月額への効きが大きいもの、法定記載事項に直結するもの、第2次概算の前提になるものの4つの観点のうち2つ以上に当たるものを選んだ</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電子データは作成中。印刷・製本は令和9年3月。本文100頁程度に対する章別のページ配分が未確定（確認No.21）。【令和8年9月15〜18日】成果品は139件となった。9月に加えたものは、サービス見込量の算定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136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令和8年10月5日】日次の作業順位により確認事項8件を既定値のとおり計画素案へ反映し（反映した事項は46件）、業務内容別の進捗を作業項目の達成状況による算定に改めた。令和8年10月5日に受領した人口推計のファイルについて、コーホート変化率法の置き方を点検し修正の提案を作成した（確認事項No.174を起票）。【令和8年10月7日】第136回社会保障審議会介護保険部会（令和8年9月18日）の資料7件により、制度の動向6件と引き続き検討することとされた事項7件を計画素案へ加え、所得段階の置き方3案による保険料の違いと調整交付金の一定の取組による減額を掲げた（確認事項No.175からNo.177を起票）。構成3町のヒアリング前の事前打合せ（令和8年10月8日）の資料と3町合同の意見交換会の資料に、打合せの時間内でご決定をお願いしたい事項と時間配分の案を加えた。【令和8年10月14日】計画の記載事項の網羅性を再度点検し、対比の軸を介護保険法第117条の記載事項から条文の構成全体へ広げ、介護保険法以外の関係法令9件との対比を加えた。記載を確認できなかった6件を計画素案へ反映した。あわせて介護給付費分科会（第256回から第270回）において令和9年度介護報酬改定に向けて検討されている論点31件を受領し、当区域に直結する17件を計画素案と突き合わせた（確認事項No.178からNo.184を起票）。【令和8年10月15日】社会福祉法等の一部を改正する法律案要綱（全31頁）及び令和5年改正の概要のご提供を受けて改正事項を点検し、施行期日の4区分を確定したほか、介護保険法第117条の改正後の号及び項を確定した。法第117条第2項第3号が地域支援事業の量の中長期的な推計も求めるものであることから、令和17年度・令和22年度の量を算定して計画素案 第6章第3節2に加えた。お示しいただいた記事の記述11件を原典により確かめ、計画素案の21箇所を改めた（確認事項No.185・No.186を起票）。同日、新旧対照条文（全353頁）、参照条文（全45頁）、特定地域の考え方について（介護保険部会 第135回 資料3）及び介護保険における3つの加算の対象地域一覧のご提供を受け、改正後の条文を確認して計画素案の15箇所を改めた。特別地域加算の対象地域に構成3町がいずれも掲げられていないことを確認し確認事項No.1を解決した（北海道が全域の豪雪地帯であるため他の2つの加算の地域の要件には該当する）。確認事項No.181は大きく解決し、確認事項No.2に基準の内容を記録した。新たな確認事項は起こしていない</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15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6"/>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サービス見込量の算定</t>
        </is>
      </c>
      <c r="G5" s="5" t="inlineStr">
        <is>
          <t>発注者</t>
        </is>
      </c>
      <c r="H5" s="10" t="inlineStr">
        <is>
          <t>確認待ち</t>
        </is>
      </c>
      <c r="I5" s="10" t="inlineStr">
        <is>
          <t>R8.9</t>
        </is>
      </c>
      <c r="J5" s="11" t="inlineStr">
        <is>
          <t>令和8年度実績見込み値の入力案 03・04シート。
決着しない場合は在宅の実績見込み値は当方の入力案のまま置く。（受託者の仮置き。令和8年10月の意見交換会で諮る）</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
決着しない場合は令和8年度の月報（4〜7月）は基準年度に用いず、令和7年度を基準として概算する。（受託者の仮置き。令和8年10月の意見交換会で諮る）</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サービス見込量の算定</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決着しない場合は計画素案 第6章第2節に利用回（日）数を、第3節2に介護予防・日常生活支援総合事業及び一般介護予防事業の量の見込みを掲げた現行のまま確定する。必要利用定員総数の第2節への再掲は行わない（第4節4による）。（受託者の仮置き。令和8年10月の意見交換会で諮る）</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サービス見込量の算定</t>
        </is>
      </c>
      <c r="G9" s="5" t="inlineStr">
        <is>
          <t>発注者</t>
        </is>
      </c>
      <c r="H9" s="10" t="inlineStr">
        <is>
          <t>確認待ち</t>
        </is>
      </c>
      <c r="I9" s="10" t="inlineStr">
        <is>
          <t>R8.9</t>
        </is>
      </c>
      <c r="J9" s="11" t="inlineStr">
        <is>
          <t>見える化 将来推計の設定資料の受領点検 04シート。
決着しない場合は見える化システムの推計値は現行の自然体推計のまま用いる。（受託者の仮置き。令和8年10月の意見交換会で諮る）</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サービス見込量の算定</t>
        </is>
      </c>
      <c r="G12" s="5" t="inlineStr">
        <is>
          <t>発注者</t>
        </is>
      </c>
      <c r="H12" s="10" t="inlineStr">
        <is>
          <t>確認待ち</t>
        </is>
      </c>
      <c r="I12" s="10" t="inlineStr">
        <is>
          <t>R8.9</t>
        </is>
      </c>
      <c r="J12" s="11" t="inlineStr">
        <is>
          <t>同表 01・03シート。
決着しない場合は基本推計に近いP3で概算する。（受託者の仮置き。令和8年10月の意見交換会で諮る）</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サービス見込量の算定</t>
        </is>
      </c>
      <c r="G14" s="5" t="inlineStr">
        <is>
          <t>発注者</t>
        </is>
      </c>
      <c r="H14" s="10" t="inlineStr">
        <is>
          <t>確認待ち</t>
        </is>
      </c>
      <c r="I14" s="10" t="inlineStr">
        <is>
          <t>R8.10</t>
        </is>
      </c>
      <c r="J14"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サービス見込量の算定</t>
        </is>
      </c>
      <c r="G15" s="5" t="inlineStr">
        <is>
          <t>発注者</t>
        </is>
      </c>
      <c r="H15" s="10" t="inlineStr">
        <is>
          <t>確認待ち</t>
        </is>
      </c>
      <c r="I15" s="10" t="inlineStr">
        <is>
          <t>R8.10</t>
        </is>
      </c>
      <c r="J15"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
決着しない場合は地域ケア会議の記録様式は協議資料にとどめ、令和9年度に整える。（受託者の仮置き。令和8年10月の意見交換会で諮る）</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
決着しない場合は地域ケア個別会議と地域ケア推進会議を分けずに計数する。（受託者の仮置き。令和8年10月の意見交換会で諮る）</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
決着しない場合は令和7年度の実施報告書により把握できる範囲で記述する。（受託者の仮置き。令和8年10月の意見交換会で諮る）</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サービス見込量の算定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
決着しない場合は混合型特定施設の必要利用定員総数を定めないまま概算する。（受託者の仮置き。令和8年10月の意見交換会で諮る）</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
決着しない場合は令和9年4月新設の3区分を0として立てる。（受託者の仮置き。令和8年10月の意見交換会で諮る）</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
決着しない場合は供給の制約（人材）を見込量に反映しない（需要のみで算定する）。（受託者の仮置き。令和8年10月の意見交換会で諮る）</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
決着しない場合は見込量算定の4成果品を統合報告書に束ね、元の4件も残す（現行）。（受託者の仮置き。令和8年10月の意見交換会で諮る）</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
決着しない場合は単価を令和7年度で固定する（安全側）。実績の趨勢を置いた場合の差は据え置きの一覧及び計画素案 第6章第6節2に示す。（受託者の仮置き。令和8年10月の意見交換会で諮る）</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サービス見込量の算定
計画素案 第5章 基本目標5・第6章第2節</t>
        </is>
      </c>
      <c r="G28" s="5" t="inlineStr">
        <is>
          <t>発注者</t>
        </is>
      </c>
      <c r="H28" s="10" t="inlineStr">
        <is>
          <t>確認待ち</t>
        </is>
      </c>
      <c r="I28" s="10" t="inlineStr">
        <is>
          <t>R8.10</t>
        </is>
      </c>
      <c r="J28" s="11" t="inlineStr">
        <is>
          <t>趨勢に現れない要因の分析 05シート。
決着しない場合は給付適正化の効果を織り込まないまま概算する（安全側）。（受託者の仮置き。令和8年10月の意見交換会で諮る）</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
決着しない場合は趨勢に現れない要因は向きのみを注記し、数値には織り込まない。（受託者の仮置き。令和8年10月の意見交換会で諮る）</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サービス見込量の算定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
決着しない場合はサービス別の趨勢を反映する補正は行わない（見込量は要介護度別の伸びによる）。補正を行った場合の月額への効きは計画素案 第6章第6節2に併記する。（受託者の仮置き。令和8年10月の意見交換会で諮る）</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サービス見込量の算定
計画素案 第6章第4節4</t>
        </is>
      </c>
      <c r="G31" s="5" t="inlineStr">
        <is>
          <t>発注者・3町</t>
        </is>
      </c>
      <c r="H31" s="10" t="inlineStr">
        <is>
          <t>確認待ち</t>
        </is>
      </c>
      <c r="I31" s="10" t="inlineStr">
        <is>
          <t>R8.9</t>
        </is>
      </c>
      <c r="J31" s="11" t="inlineStr">
        <is>
          <t>対計画比の偏りの補正試算 05シート。
決着しない場合は施設・居住系の実績の減少を将来へ延長しないまま概算する。（受託者の仮置き。令和8年10月の意見交換会で諮る）</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サービス見込量の算定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サービス見込量の算定
計画素案 第4章第3節・第6章第2節</t>
        </is>
      </c>
      <c r="G35" s="5" t="inlineStr">
        <is>
          <t>発注者</t>
        </is>
      </c>
      <c r="H35" s="10" t="inlineStr">
        <is>
          <t>確認待ち</t>
        </is>
      </c>
      <c r="I35" s="10" t="inlineStr">
        <is>
          <t>R8.9</t>
        </is>
      </c>
      <c r="J35" s="11" t="inlineStr">
        <is>
          <t>見込量の季節性の検証と施策反映の設計 04・05シート。
決着しない場合は施策反映を行わないまま概算する（安全側）。（受託者の仮置き。令和8年10月の意見交換会で諮る）</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サービス見込量の算定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決着しない場合は採用パターンP3（令和7年度基準・総括表・認定者数シナリオ②）により、要介護度別の伸びで概算する。（受託者の仮置き。令和8年10月の意見交換会で諮る）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サービス見込量の算定</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決着しない場合は計画素案 第6章第2節の表は当方の算定（令和7年度の実績に要介護度別の認定者数の伸びを乗じたもの）による値とし、見える化システムの自然体推計による値は第6節2に対比として掲げる。（受託者の仮置き。令和8年10月の意見交換会で諮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なお、介護給付費分科会第263回 資料1は、人員配置基準に係るいわゆるローカルルールについて「あくまでも厚生労働省令に従う範囲内で地域の実情に応じた内容とする必要がある」としたうえで、自治体ごとに異なる解釈や取扱いが行われている状況について引き続き実態の把握を行うこととしている（令和8年10月14日に原典により確認）。条例の規定が省令に従う範囲内であるかは、条文を確認したうえで点検す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サービス見込量の算定</t>
        </is>
      </c>
      <c r="G42" s="5" t="inlineStr">
        <is>
          <t>発注者</t>
        </is>
      </c>
      <c r="H42" s="10" t="inlineStr">
        <is>
          <t>確認待ち</t>
        </is>
      </c>
      <c r="I42" s="10" t="inlineStr">
        <is>
          <t>R8.9</t>
        </is>
      </c>
      <c r="J4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
決着しない場合は過疎地域における定員超過の特例を用いないものとして見込量を算定する。（受託者の仮置き。令和8年10月の意見交換会で諮る）</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50" s="5" t="inlineStr">
        <is>
          <t>計画素案 第1章第7節・第6章第4節4
サービス見込量の算定</t>
        </is>
      </c>
      <c r="G50" s="5" t="inlineStr">
        <is>
          <t>発注者・3町</t>
        </is>
      </c>
      <c r="H50" s="10" t="inlineStr">
        <is>
          <t>確認待ち</t>
        </is>
      </c>
      <c r="I50" s="10" t="inlineStr">
        <is>
          <t>R8.9</t>
        </is>
      </c>
      <c r="J50"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サービス見込量の算定（R8.9.26）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
決着しない場合は町別への按分は広域連合の規約によるものであり算定できないため、構成町の一般会計繰入金は3町計の概算のみを示す（按分の方法のご教示を受けた時点で町別までお示しする）。（受託者の仮置き。令和8年10月の意見交換会で諮る）</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3・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第3章第4節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
決着しない場合は議事録は作成者名を落として再出力する（当方で対応する）。（受託者の仮置き。令和8年10月の意見交換会で諮る）</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
決着しない場合は議事録の表記はご提案3件のとおり改める。（受託者の仮置き。令和8年10月の意見交換会で諮る）</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
決着しない場合は介護保険事業財政調整基金を取り崩さないものとして算定する（安全側）。取り崩す場合の1億円あたりの月額への効きを併記する。（受託者の仮置き。令和8年10月の意見交換会で諮る）</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
決着しない場合は月報の値の接続のずれは記録として残し、計画本文には用いない。（受託者の仮置き。令和8年10月の意見交換会で諮る）</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
決着しない場合は受領済みの年報・月報の値による。（受託者の仮置き。令和8年10月の意見交換会で諮る）</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
決着しない場合は収録済みの令和6年度の総合事業の実施状況に関する調査の値による。（受託者の仮置き。令和8年10月の意見交換会で諮る）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
決着しない場合は令和8年8月28日受領の集計帳票による。（受託者の仮置き。令和8年10月の意見交換会で諮る）</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
決着しない場合は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受託者の仮置き。令和8年10月の意見交換会で諮る）</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
決着しない場合は現行の工程表のまま進める。（受託者の仮置き。令和8年10月の意見交換会で諮る）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解決</t>
        </is>
      </c>
      <c r="I100" s="10" t="inlineStr">
        <is>
          <t>R8.9</t>
        </is>
      </c>
      <c r="J100" s="11" t="inlineStr">
        <is>
          <t>【令和8年10月15日　解決】厚生労働省『介護保険における特別地域加算・中山間地域等小規模事業所加算・中山間地域等居住者サービス提供加算の対象地域一覧』により確認した。特別地域加算の対象地域のうち北海道で対象となるのは全域を範囲とする市町村22及び一部だけを対象とする市町村14であり、構成3町はいずれも掲げられていない。豪雪地帯、特別豪雪地帯、辺地又は過疎地域であることは対象となるための前提の一つであり、厚生労働大臣が別に定める地域として掲げられていなければ対象とならない。一方、北海道は全域が豪雪地帯であり、構成3町の地域区分は「その他」で特別地域加算の対象ではないため、中山間地域等における小規模事業所加算（所定単位数の10／100）及び中山間地域等に居住する者へのサービス提供加算（同5／100）の地域の要件には該当する（小規模事業所加算は事業所ごとの回数等の要件を併せて満たす必要がある）。1人1月あたり給付費は令和7年度の実績によっており現に算定されている加算を含むが、算定していない事業所が算定を始めた場合は単価を上げる側に働くため、事業所ごとの算定の状況の確認を要する［要確認］。計画素案 第1章第9節1・第1章第9節6・第6章第6節2に反映した。</t>
        </is>
      </c>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is>
          <t>【令和8年10月15日】原典（『特定地域（中山間・人口減少地域）の考え方について』社会保障審議会介護保険部会 第135回 資料3）を確認した。①定義規定は改正後の介護保険法第42条第1項第3号であり、「人口の減少その他の厚生労働省令で定める基準に該当する地域として都道府県が定めるもの」である。基準は厚生労働省令で定められる。②基準の素案は「75歳以上人口密度＝5人／km²未満」又は「75歳以上人口＝1,000人未満かつ減少」であり、全国で356市町村（20.5％）が該当する見通しとされている。③市町村内の一部地域を指定する場合の範囲は、旧市町村単位、行政区単位又は日常生活圏域単位が考えられるとされており、日常生活圏域の設定（確認No.88）に関わる。④対象地域の特定は、介護保険事業（支援）計画の策定プロセスにおいて市町村の意向を確認し都道府県が決定することが適当とされている。⑤構成3町は特別地域加算の対象地域に掲げられていないため基準①には該当しない（確認No.1）。なお確定していないのは、厚生労働省令による基準、意向を示す時期及び手続並びに制度の適用単位である。
決着しない場合は特定地域の指定に係る意向表明を行わないものとして記載し、省令等の確定後に改める。（受託者の仮置き。令和8年10月の意見交換会で諮る）</t>
        </is>
      </c>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is>
          <t>決着しない場合は類似保険者との比較は公表されている同規模保険者40団体による。（受託者の仮置き。令和8年10月の意見交換会で諮る）</t>
        </is>
      </c>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is>
          <t>決着しない場合は代表KPI H07・H08・H12・H16は代理指標への振替案のとおりとする。（受託者の仮置き。令和8年10月の意見交換会で諮る）</t>
        </is>
      </c>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第3章第2節・第3節・第4節
妥当性検証報告書 12シート</t>
        </is>
      </c>
      <c r="G104" s="5" t="inlineStr">
        <is>
          <t>発注者</t>
        </is>
      </c>
      <c r="H104" s="10" t="inlineStr">
        <is>
          <t>確認待ち</t>
        </is>
      </c>
      <c r="I104" s="10" t="inlineStr">
        <is>
          <t>R8.8</t>
        </is>
      </c>
      <c r="J104"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is>
          <t>決着しない場合は第9期の自己評価と北海道への報告の実績を確認できないものとして、第10期の進行管理に自己評価の仕組みを置く。（受託者の仮置き。令和8年10月の意見交換会で諮る）</t>
        </is>
      </c>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is>
          <t>決着しない場合は3調査の点検事項は当方の判定のままとする。（受託者の仮置き。令和8年10月の意見交換会で諮る）</t>
        </is>
      </c>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is>
          <t>決着しない場合は現に収録している対象者範囲・回収率による。設問ごとに分母が異なることを注記する。（受託者の仮置き。令和8年10月の意見交換会で諮る）</t>
        </is>
      </c>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is>
          <t>決着しない場合は住民基本台帳（各年1月1日現在）の町別人口により本文を確定する。（受託者の仮置き。令和8年10月の意見交換会で諮る）</t>
        </is>
      </c>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is>
          <t>決着しない場合は日常生活圏域を3町（3圏域）とする案のまま概算する。（受託者の仮置き。令和8年10月の意見交換会で諮る）</t>
        </is>
      </c>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is>
          <t>決着しない場合は北海道の指定事業所一覧の「通常の事業の実施地域」により判定する。（受託者の仮置き。令和8年10月の意見交換会で諮る）</t>
        </is>
      </c>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is>
          <t>決着しない場合は案C（総合戦略＋住民基本台帳の実績趨勢）のまま確定する。（受託者の仮置き。令和8年10月の意見交換会で諮る）</t>
        </is>
      </c>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is>
          <t>決着しない場合は認定者数は年報の年度末（3月31日）を基準とし、月次推移は計画本文に掲げない。（受託者の仮置き。令和8年10月の意見交換会で諮る）</t>
        </is>
      </c>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is>
          <t>決着しない場合は確認事項No.60と同じ前提（単価固定・施策反映なし・適正化を織り込まない・基金取崩しなし）による。（受託者の仮置き。令和8年10月の意見交換会で諮る）</t>
        </is>
      </c>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is>
          <t>決着しない場合は広域連合の代表KPI16項目を掲げ、3町計画への掲載は求めない。（受託者の仮置き。令和8年10月の意見交換会で諮る）</t>
        </is>
      </c>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is>
          <t>決着しない場合は骨子案は提出した内容のままとする。（受託者の仮置き。令和8年10月の意見交換会で諮る）</t>
        </is>
      </c>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is>
          <t>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t>
        </is>
      </c>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is>
          <t>決着しない場合は北海道・圏域との調整の場が設けられないものとして、北海道の第9期支援計画との整合により記載する。（受託者の仮置き。令和8年10月の意見交換会で諮る）</t>
        </is>
      </c>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is>
          <t>決着しない場合は成果品の仕様は仕様書の定め（計画書 印刷200部・編集可能な電子データ及びPDF）による。（受託者の仮置き。令和8年10月の意見交換会で諮る）</t>
        </is>
      </c>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is>
          <t>決着しない場合は北海道の評価指標の読替えは当方の案のままとする。（受託者の仮置き。令和8年10月の意見交換会で諮る）</t>
        </is>
      </c>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is>
          <t>決着しない場合は北海道の各名簿及び介護サービス情報公表システムの定員による。（受託者の仮置き。令和8年10月の意見交換会で諮る）</t>
        </is>
      </c>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is>
          <t>決着しない場合は24時間対応サービスは自然体の算定値を置き、整備による上乗せは行わない（安全側）。（受託者の仮置き。令和8年10月の意見交換会で諮る）</t>
        </is>
      </c>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is>
          <t>決着しない場合は代表KPIの目標値は、令和9年度を基準値の把握に充て、令和10年度・令和11年度に目標値を置く。（受託者の仮置き。令和8年10月の意見交換会で諮る）</t>
        </is>
      </c>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is>
          <t>決着しない場合は現に受領している交付金評価結果と実施報告書の範囲で記述する。（受託者の仮置き。令和8年10月の意見交換会で諮る）</t>
        </is>
      </c>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is>
          <t>決着しない場合は令和4年度の集計表を受領できないものとして、前回比較は第9期計画の本文に掲げられた指標に限る。（受託者の仮置き。令和8年10月の意見交換会で諮る）</t>
        </is>
      </c>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is>
          <t>決着しない場合は現に収録している調査対象者の範囲による。（受託者の仮置き。令和8年10月の意見交換会で諮る）</t>
        </is>
      </c>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is>
          <t>決着しない場合は年齢階級ごとの要介護度の構成を令和7年度末の実績で固定する（重度化は人口の高齢化による分のみを見込む）。（受託者の仮置き。令和8年10月の意見交換会で諮る）</t>
        </is>
      </c>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is>
          <t>決着しない場合は施設入所者と在宅者を分けずに算定する（分けるための要介護度の変化のデータがないため）。（受託者の仮置き。令和8年10月の意見交換会で諮る）</t>
        </is>
      </c>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is>
          <t>決着しない場合は第9期条例の16段階・乗率（公費軽減前）を据え置いて算定し、政令の公布後に再算定する。（受託者の仮置き。令和8年10月の意見交換会で諮る）</t>
        </is>
      </c>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is>
          <t>決着しない場合は経緯を確認できないものとして、第9期条例の乗率をそのまま用いる。（受託者の仮置き。令和8年10月の意見交換会で諮る）</t>
        </is>
      </c>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is>
          <t>決着しない場合は上川管内の保険者の所得段階数と乗率の比較は掲げない。（受託者の仮置き。令和8年10月の意見交換会で諮る）</t>
        </is>
      </c>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is>
          <t>決着しない場合は令和6年度の所得段階別構成比と予定収納率0.99による。（受託者の仮置き。令和8年10月の意見交換会で諮る）</t>
        </is>
      </c>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is>
          <t>決着しない場合は公表されている全国集計の値による。（受託者の仮置き。令和8年10月の意見交換会で諮る）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サービス見込量の算定</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
決着しない場合は1人1月あたり給付費は令和7年度で固定して概算する（単価の趨勢を織り込まないことによる効きは計画素案 第6章第6節2に掲げる）。（受託者の仮置き。令和8年10月の意見交換会で諮る）</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サービス見込量の算定</t>
        </is>
      </c>
      <c r="G144" s="5" t="inlineStr">
        <is>
          <t>発注者</t>
        </is>
      </c>
      <c r="H144" s="10" t="inlineStr">
        <is>
          <t>確認待ち</t>
        </is>
      </c>
      <c r="I144" s="10" t="inlineStr">
        <is>
          <t>R8.9</t>
        </is>
      </c>
      <c r="J144"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5" ht="88" customHeight="1">
      <c r="A145" s="4" t="n">
        <v>142</v>
      </c>
      <c r="B145" s="4" t="inlineStr">
        <is>
          <t>(5)</t>
        </is>
      </c>
      <c r="C145" s="4" t="inlineStr">
        <is>
          <t>R8.9</t>
        </is>
      </c>
      <c r="D145" s="5" t="inlineStr">
        <is>
          <t>第1次概算を既定値のまま出してよいか</t>
        </is>
      </c>
      <c r="E145"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5" s="5" t="inlineStr">
        <is>
          <t>サービス見込量の算定</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
決着しない場合は統合した成果品の元の資料を残す。（受託者の仮置き。令和8年10月の意見交換会で諮る）</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サービス見込量の算定</t>
        </is>
      </c>
      <c r="G148" s="5" t="inlineStr">
        <is>
          <t>発注者</t>
        </is>
      </c>
      <c r="H148" s="10" t="inlineStr">
        <is>
          <t>確認待ち</t>
        </is>
      </c>
      <c r="I148" s="10" t="inlineStr">
        <is>
          <t>R8.9</t>
        </is>
      </c>
      <c r="J148"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決着しない場合は要介護度別の伸びによる算定（第1次概算）で概算し、一律の伸びによる従前の値を併記する（差は計画素案 第6章第6節2に掲げる）。（受託者の仮置き。令和8年10月の意見交換会で諮る）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決着しない場合は町別の将来推計は計画本文に掲げない（令和8年9月10日の了承のとおり）。（受託者の仮置き。令和8年10月の意見交換会で諮る）</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
決着しない場合は計画素案 第2章第1節に町別の図を加えない。加筆分は協議用の資料にとどめる。（受託者の仮置き。令和8年10月の意見交換会で諮る）</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第4章第3節・第5章 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令和8年10月15日】⑥について、現在の計画素案には上川管内の保険者の名称が現れている箇所がある（第6章第6節の保険料基準額の比較に20団体、第2章第2節の認定率等の比較に5団体、旭川市は圏域及び医療機関の説明として第2章第3節・第5章・第6章第4節にも現れる）。これらはいずれも公表されている一覧による保険者の名称であり、仕様書４（4）が求める類似保険者との比較分析に用いているものである。令和8年9月29日のご指示は公表されている全国集計の行の名称（広域連合・一部事務組合38団体）についてのものであったため、上川管内の保険者の名称を計画本文に掲げてよいかを確認する。掲げないこととなった場合は、管内の平均及び当広域連合の順位のみを示す形に改める（比較分析そのものは仕様書が求めるものであるため落と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10" t="inlineStr">
        <is>
          <t>未回答</t>
        </is>
      </c>
      <c r="I178" s="10" t="inlineStr">
        <is>
          <t>R8.10</t>
        </is>
      </c>
      <c r="J178" s="11" t="inlineStr">
        <is>
          <t>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10" t="inlineStr">
        <is>
          <t>未回答</t>
        </is>
      </c>
      <c r="I179" s="10" t="inlineStr">
        <is>
          <t>R8.11</t>
        </is>
      </c>
      <c r="J179" s="11" t="inlineStr">
        <is>
          <t>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10" t="inlineStr">
        <is>
          <t>未回答</t>
        </is>
      </c>
      <c r="I180" s="10" t="inlineStr">
        <is>
          <t>R8.12</t>
        </is>
      </c>
      <c r="J180" s="11" t="inlineStr">
        <is>
          <t>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10" t="inlineStr">
        <is>
          <t>未回答</t>
        </is>
      </c>
      <c r="I181" s="10" t="inlineStr">
        <is>
          <t>R8.12</t>
        </is>
      </c>
      <c r="J181" s="11" t="inlineStr">
        <is>
          <t>決着しない場合の当方の扱い＝計画素案には北海道及び事業者とともに活用を検討する旨のみを記載し、具体の取組及び目標は国から市町村の役割が示された後に定める</t>
        </is>
      </c>
    </row>
    <row r="182" ht="88" customHeight="1">
      <c r="A182" s="4" t="n">
        <v>178</v>
      </c>
      <c r="B182" s="4" t="inlineStr">
        <is>
          <t>(1)(6)</t>
        </is>
      </c>
      <c r="C182" s="4" t="inlineStr">
        <is>
          <t>R8.10</t>
        </is>
      </c>
      <c r="D182" s="5" t="inlineStr">
        <is>
          <t>構成3町の高齢者福祉計画と市町村老人福祉計画の関係</t>
        </is>
      </c>
      <c r="E182" s="5" t="inlineStr">
        <is>
          <t>老人福祉法第20条の8は市町村老人福祉計画を定めるものとし、同計画は市町村介護保険事業計画と一体のものとして作成することとされています。構成3町の高齢者福祉計画がこれに当たるものと考えられますが、当方は同法の条文及び3町の計画書を確認していません。①構成3町の高齢者福祉計画が老人福祉法による市町村老人福祉計画に当たるか（計画の名称及び根拠条文）。②一体のものとして作成する方法（同一の冊子とするか、本計画と3町の計画を別冊としたうえで共通KPIと役割分担により接続するか）。③3町の計画における老人福祉事業の量の目標の定め方と、本計画のサービス見込量との関係。</t>
        </is>
      </c>
      <c r="F182" s="5" t="inlineStr">
        <is>
          <t>計画素案 第1章第2節・第1章第8節
計画素案の記載内容の洗い出しと対比 02シート</t>
        </is>
      </c>
      <c r="G182" s="5" t="inlineStr">
        <is>
          <t>発注者・3町</t>
        </is>
      </c>
      <c r="H182" s="10" t="inlineStr">
        <is>
          <t>未回答</t>
        </is>
      </c>
      <c r="I182" s="10" t="inlineStr">
        <is>
          <t>R8.11</t>
        </is>
      </c>
      <c r="J182" s="11" t="inlineStr">
        <is>
          <t>決着しない場合の当方の扱い＝構成3町の高齢者福祉計画が市町村老人福祉計画に当たることを計画素案に記載し、一体のものとして作成する方法は共通KPIと役割分担表による接続とする旨を［要協議］として残す。老人福祉事業の量の目標は3町の計画に委ね、本計画には掲げない</t>
        </is>
      </c>
    </row>
    <row r="183" ht="88" customHeight="1">
      <c r="A183" s="4" t="n">
        <v>179</v>
      </c>
      <c r="B183" s="4" t="inlineStr">
        <is>
          <t>(1)(6)</t>
        </is>
      </c>
      <c r="C183" s="4" t="inlineStr">
        <is>
          <t>R8.10</t>
        </is>
      </c>
      <c r="D183" s="5" t="inlineStr">
        <is>
          <t>成年後見制度の利用の促進に関する施策についての基本的な計画の策定状況</t>
        </is>
      </c>
      <c r="E183" s="5" t="inlineStr">
        <is>
          <t>成年後見制度の利用の促進に関する法律第14条は、国の基本計画を勘案して、市町村が成年後見制度の利用の促進に関する施策についての基本的な計画を定めるよう努めるものとしています。同法は市町村を名宛人としており、市町村認知症施策推進計画と同じ構造であると考えられます。①構成3町における同計画の策定の状況（策定済みか、高齢者福祉計画又は地域福祉計画の中に位置づけているか）。②中核機関の整備の状況及び権利擁護支援の地域連携ネットワークの構成（第5章 基本目標1の代表KPIの基準値に関わります）。③本計画における記載の範囲（3町の計画との役割分担）。</t>
        </is>
      </c>
      <c r="F183" s="5" t="inlineStr">
        <is>
          <t>計画素案 第1章第2節・第5章 基本目標1
計画素案の記載内容の洗い出しと対比 02シート</t>
        </is>
      </c>
      <c r="G183" s="5" t="inlineStr">
        <is>
          <t>発注者・3町</t>
        </is>
      </c>
      <c r="H183" s="10" t="inlineStr">
        <is>
          <t>未回答</t>
        </is>
      </c>
      <c r="I183" s="10" t="inlineStr">
        <is>
          <t>R8.11</t>
        </is>
      </c>
      <c r="J183" s="11" t="inlineStr">
        <is>
          <t>決着しない場合の当方の扱い＝同計画は構成3町が定めるものとして計画素案に記載し、本計画は介護保険法第117条第3項による権利擁護の施策（第5章 基本目標1）をもって接続する。中核機関の整備の状況は［要確認］として残す</t>
        </is>
      </c>
    </row>
    <row r="184" ht="88" customHeight="1">
      <c r="A184" s="4" t="n">
        <v>180</v>
      </c>
      <c r="B184" s="4" t="inlineStr">
        <is>
          <t>(1)(6)</t>
        </is>
      </c>
      <c r="C184" s="4" t="inlineStr">
        <is>
          <t>R8.10</t>
        </is>
      </c>
      <c r="D184" s="5" t="inlineStr">
        <is>
          <t>要配慮者利用施設の避難確保計画の対象施設と作成状況</t>
        </is>
      </c>
      <c r="E184" s="5" t="inlineStr">
        <is>
          <t>水防法及び土砂災害警戒区域等における土砂災害防止対策の推進に関する法律は、市町村地域防災計画に定められた要配慮者利用施設の所有者又は管理者に対し、避難確保計画の作成及び避難訓練の実施を求めています。北海道第9期計画の評価指標⑦は「避難確保計画を作成した施設」を指標としており、当方はこれを施設数の実数により用いる整理としています（計画素案 第1章第8節）。①構成3町の地域防災計画において要配慮者利用施設として定められている介護保険施設・事業所の一覧。②避難確保計画の作成及び避難訓練の実施の状況（施設数）。③第10期の目標値の置き方（全施設作成とするか）。</t>
        </is>
      </c>
      <c r="F184" s="5" t="inlineStr">
        <is>
          <t>計画素案 第1章第8節・第5章 基本目標5
計画素案の記載内容の洗い出しと対比 02シート</t>
        </is>
      </c>
      <c r="G184" s="5" t="inlineStr">
        <is>
          <t>発注者・3町</t>
        </is>
      </c>
      <c r="H184" s="10" t="inlineStr">
        <is>
          <t>未回答</t>
        </is>
      </c>
      <c r="I184" s="10" t="inlineStr">
        <is>
          <t>R8.11</t>
        </is>
      </c>
      <c r="J184" s="11" t="inlineStr">
        <is>
          <t>決着しない場合の当方の扱い＝対象施設及び作成の状況を［要確認］として残し、第5章 基本目標5の主な事業に作成及び避難訓練の確認を置くにとどめ、達成目標に数値を掲げない。避難確保計画はBCPとは別の計画であり、BCPの策定率をもって作成の状況としない</t>
        </is>
      </c>
    </row>
    <row r="185" ht="88" customHeight="1">
      <c r="A185" s="4" t="n">
        <v>181</v>
      </c>
      <c r="B185" s="4" t="inlineStr">
        <is>
          <t>(1)(6)</t>
        </is>
      </c>
      <c r="C185" s="4" t="inlineStr">
        <is>
          <t>R8.10</t>
        </is>
      </c>
      <c r="D185" s="5" t="inlineStr">
        <is>
          <t>介護保険法第117条ほか関係法令の条文のご提供</t>
        </is>
      </c>
      <c r="E185" s="5" t="inlineStr">
        <is>
          <t>当方は外部に接続できないため、法令の条文を確認できていません。確認事項No.149により認知症基本法の条文のご提供をお願いしていますが、次の法令についても同様に条文を確認できていないため、計画素案には条番号のみを記載し項番号を記載していません［要確認］。①介護保険法第117条（第1項の基本指針に即した計画、第2項・第3項の記載事項、日常生活圏域ごとの人口等の勘案、医療計画との整合性の確保、市町村老人福祉計画と一体のものとして作成すること、被保険者の意見の反映、都道府県の意見の聴取、都道府県知事への提出の各項）。②社会福祉法等の一部を改正する法律（令和8年法律第51号）による第117条の改正後の条文（中長期的なサービスの見通し及びこれを踏まえた提供体制の確保等のための施策の規定の位置）。③老人福祉法第20条の8。④成年後見制度の利用の促進に関する法律第14条。⑤高齢者虐待の防止、高齢者の養護者に対する支援等に関する法律。⑥水防法及び土砂災害防止法の要配慮者利用施設に係る規定。</t>
        </is>
      </c>
      <c r="F185" s="5" t="inlineStr">
        <is>
          <t>計画素案 第1章第2節・第1章第5節・第1章第8節・第6章第5節
計画素案の記載内容の洗い出しと対比 02シート</t>
        </is>
      </c>
      <c r="G185" s="5" t="inlineStr">
        <is>
          <t>発注者</t>
        </is>
      </c>
      <c r="H185" s="10" t="inlineStr">
        <is>
          <t>未回答</t>
        </is>
      </c>
      <c r="I185" s="10" t="inlineStr">
        <is>
          <t>R8.11</t>
        </is>
      </c>
      <c r="J185" s="11" t="inlineStr">
        <is>
          <t>決着しない場合の当方の扱い＝条番号のみを記載し項番号及び号番号は記載しない。記載事項の点検は条文の番号ではなく記載事項の内容を単位として行い、条文を確認できていない箇所は［要確認］として残す。【令和8年10月14日】社会福祉法等の一部を改正する法律案要綱を確認したことにより、改正後の第117条第2項第3号・第4号、第3項第4号・第5号、第5項及び第14項の号及び項が確定した。引き続き必要なのは、①改正後の条文及び新旧対照表（要綱は改正事項の要旨であり条文の文言を確認できない）、②附則第3条から第77条までの経過措置（有料老人ホームの登録制に係る経過措置の内容）、③改正に係らない号（第2項第1号・第2号、第3項第1号から第3号まで）の条文である。【令和8年10月15日　大きく解決】社会福祉法等の一部を改正する法律案の新旧対照条文（全353頁）を確認した。改正後の介護保険法第117条（第2項第3号・第4号、第3項第3号・第4号・第4号の2・第5号・第6号・第7号・第9号、第5項、第9項、第14項）、第115条の48（支援会議）、第118条第2項・第8項・第9項並びに第120条の3から第120条の5まで（協議会）の内容が確定した。介護保険法の改正は第3条関係（令和9年4月1日又は1年6月以内）と第4条関係（2年以内又は3年以内）の2つに分かれる。新たに分かった主なものは、①第3項第3号は改正前からあり、量が第2項第3号へ移ったうえで費用の額及び保険料の水準が残ること（量は定めるものとされる事項、費用の額及び保険料の水準は定めるよう努めるものとされる事項）、②第3項第9号（入居定員総数）は改正前からあり、第5項第1号（勘案事項）との二重の構造であること、③第5項及び第14項の対象はいずれも第2項第1号から第3号までであること、④第115条の48の会議は改正後「支援会議」と称し構成員として地域包括支援センターが明示されること、⑤第118条第2項により都道府県介護保険事業支援計画にも中長期的な推計が定めるものとされること、⑥第117条第3項第6号・第7号及び第115条の49に指定登録施設介護支援の事業が加わること（3年以内）である。計画素案15箇所に反映した。引き続き必要なのは、①参照条文（001685804）の条文の内容（受領したものは画像であり文字の層がないため読み取れない）、②附則第3条から第77条までの経過措置、③認知症基本法ほか関係法令の条文（確認No.149）である</t>
        </is>
      </c>
    </row>
    <row r="186" ht="88" customHeight="1">
      <c r="A186" s="4" t="n">
        <v>182</v>
      </c>
      <c r="B186" s="4" t="inlineStr">
        <is>
          <t>(1)(5)(6)</t>
        </is>
      </c>
      <c r="C186" s="4" t="inlineStr">
        <is>
          <t>R8.10</t>
        </is>
      </c>
      <c r="D186" s="5" t="inlineStr">
        <is>
          <t>介護給付費分科会の資料（原本）のご提供</t>
        </is>
      </c>
      <c r="E186" s="5" t="inlineStr">
        <is>
          <t>社会保障審議会介護給付費分科会（第256回から第270回）において、令和9年度介護報酬改定に向けた個別サービスの対応案が示されています。当方は外部に接続できないため資料の原本を確認できず、当初は社内で作成された要約の記録により論点を把握していました。令和8年10月14日に第262回（資料1から資料4）、第263回（資料1から資料5）、第264回（資料1から資料5）、第268回（基本的な視点（案））、第269回（資料1から資料4）及び第270回（資料1から資料5）の資料25件（全1,037頁）のご提供を受け、これらの本文を確認しました。本文を確認できていなかった3件のうち2件はこれにより解消しました（残る1件は第266回資料5であり、要約にも採用されていません）。①第256回から第261回まで及び第265回から第267回までの資料のうち当広域連合に関わるもの（特に第261回の人口減少地域）の原本をご提供いただきたい。②第270回 資料6をご提供いただきたい。③令和8年12月頃に示される改定の考え方及び運営基準に関する資料、令和9年1月頃の諮問・答申の資料についても、公表後にご提供いただきたい。</t>
        </is>
      </c>
      <c r="F186" s="5" t="inlineStr">
        <is>
          <t>計画素案 第1章第9節6・第6章第2節・第6章第6節2・第6章第7節
介護給付費分科会の論点整理の受領点検
介護給付費分科会資料（原典）の受領点検</t>
        </is>
      </c>
      <c r="G186" s="5" t="inlineStr">
        <is>
          <t>発注者</t>
        </is>
      </c>
      <c r="H186" s="10" t="inlineStr">
        <is>
          <t>一部提供（R8.10.14）</t>
        </is>
      </c>
      <c r="I186" s="10" t="inlineStr">
        <is>
          <t>R8.12</t>
        </is>
      </c>
      <c r="J186" s="11" t="inlineStr">
        <is>
          <t>決着しない場合の当方の扱い＝計画素案には国において検討されている事項があることまでを記載し、単位数・要件・施行時期を書かない。原本を確認できていないことを［要確認］として残し、改定率及び単価は令和7年度の実績で固定したまま概算する</t>
        </is>
      </c>
    </row>
    <row r="187" ht="88" customHeight="1">
      <c r="A187" s="4" t="n">
        <v>183</v>
      </c>
      <c r="B187" s="4" t="inlineStr">
        <is>
          <t>(5)(6)</t>
        </is>
      </c>
      <c r="C187" s="4" t="inlineStr">
        <is>
          <t>R8.10</t>
        </is>
      </c>
      <c r="D187" s="5" t="inlineStr">
        <is>
          <t>夜間対応型訪問介護の定期巡回・随時対応型への移行の扱い</t>
        </is>
      </c>
      <c r="E187" s="5" t="inlineStr">
        <is>
          <t>介護給付費分科会第269回 資料1において、夜間対応型訪問介護を定期巡回・随時対応型訪問介護看護へ移行することを見据えた評価の案が示されています。経過措置の期限について、同資料の中に「令和11年度末まで（第10期計画期間中）」とするものと「令和11年3月までの猶予期間」とするものの2通りの記載があり、いずれであるかを確認できていません（令和8年10月14日に原典により確認）。当広域連合の区域内に夜間対応型訪問介護の事業所はなく、給付の実績もありませんが、サービス見込量の区分としては現行の区分を立てています。①第10期のサービス見込量において夜間対応型訪問介護の区分をどのように扱うか（現行のまま立てる／定期巡回に統合する／省令等の確定後に改める）。②区域外の事業所を利用する当連合の被保険者がいる場合の扱い。</t>
        </is>
      </c>
      <c r="F187" s="5" t="inlineStr">
        <is>
          <t>計画素案 第6章第2節（2）・第6章第4節1
サービス見込量の算定・見える化システムへの入力値</t>
        </is>
      </c>
      <c r="G187" s="5" t="inlineStr">
        <is>
          <t>発注者</t>
        </is>
      </c>
      <c r="H187" s="10" t="inlineStr">
        <is>
          <t>未回答</t>
        </is>
      </c>
      <c r="I187" s="10" t="inlineStr">
        <is>
          <t>R8.12</t>
        </is>
      </c>
      <c r="J187" s="11" t="inlineStr">
        <is>
          <t>決着しない場合の当方の扱い＝現行の区分のまま夜間対応型訪問介護を実績なし（0）として立て、移行が検討されていることを計画素案の注に記載する。省令等が確定した時点で区分を組み替える</t>
        </is>
      </c>
    </row>
    <row r="188" ht="88" customHeight="1">
      <c r="A188" s="4" t="n">
        <v>184</v>
      </c>
      <c r="B188" s="4" t="inlineStr">
        <is>
          <t>(3)(4)(5)</t>
        </is>
      </c>
      <c r="C188" s="4" t="inlineStr">
        <is>
          <t>R8.11</t>
        </is>
      </c>
      <c r="D188" s="5" t="inlineStr">
        <is>
          <t>短期入所生活介護の季節利用及び長期利用の実態</t>
        </is>
      </c>
      <c r="E188" s="5" t="inlineStr">
        <is>
          <t>介護給付費分科会第270回 資料4において、短期入所生活介護について31日以上連続して利用する場合の減算を61日以上連続して利用する場合と同程度に改めることと、積雪期・猛暑期・農繁期等の季節による利用のみの方について例外的に当該減算を適用しない仕組みを設けることの双方が検討されています。同資料は「中山間地域では冬期間のみ利用することで在宅生活の継続を図る事例がみられるなど、人口規模が小さい自治体においては、積雪期や農繁期等の季節利用ニーズへの対応として短期入所生活介護が活用されている実態が把握された」としています（令和8年10月14日に原典により確認）。また同資料5において、短期入所療養介護にも長期利用に係る減算を新たに設けることが検討されています。当広域連合は積雪地であり、健康とくらしの調査では生活動作の困りごととして除雪を挙げた方が回答者の24.3％と最も多くなっています。①区域内の短期入所生活介護事業所における季節による利用の変動（積雪期の利用日数・緊急受入・断り件数）。②31日以上連続して利用している方の人数と長期化の理由（居住の代替としての利用か、季節的な利用か）。③事業所への照会を行うかどうか、様式を当方で用意するか。例外の対象となるには季節による利用のみであることを示す必要が生じる可能性があります。</t>
        </is>
      </c>
      <c r="F188" s="5" t="inlineStr">
        <is>
          <t>計画素案 第6章第2節 注1-1・第6章第4節
サービス見込量の算定（季節補正）</t>
        </is>
      </c>
      <c r="G188" s="5" t="inlineStr">
        <is>
          <t>発注者・3町・事業者</t>
        </is>
      </c>
      <c r="H188" s="10" t="inlineStr">
        <is>
          <t>未回答</t>
        </is>
      </c>
      <c r="I188" s="10" t="inlineStr">
        <is>
          <t>R8.12</t>
        </is>
      </c>
      <c r="J188" s="11" t="inlineStr">
        <is>
          <t>決着しない場合の当方の扱い＝令和7年度（12か月の完結年度）の実績により短期入所生活介護の見込量を算定し、季節補正を行わない（基準年度が完結年度であるため年度換算係数は1.0000となり効きは0円である）。季節利用の例外が示された時点で利用日数の置き方を確かめる</t>
        </is>
      </c>
    </row>
    <row r="189" ht="88" customHeight="1">
      <c r="A189" s="4" t="n">
        <v>185</v>
      </c>
      <c r="B189" s="4" t="inlineStr">
        <is>
          <t>(5)(6)</t>
        </is>
      </c>
      <c r="C189" s="4" t="inlineStr">
        <is>
          <t>R8.11</t>
        </is>
      </c>
      <c r="D189" s="5" t="inlineStr">
        <is>
          <t>小規模市町村地域支援連携協働体制整備事業の対象となるかどうか</t>
        </is>
      </c>
      <c r="E189" s="5" t="inlineStr">
        <is>
          <t>社会福祉法等の一部を改正する法律案要綱 第1の4（3）により、小規模市町村（その人口規模、その人口の減少の状況等からみて福祉サービスを提供する体制の確保に支障を生じ、又は生ずるおそれがあると認められる市町村として厚生労働省令で定める基準に該当するもの）は、社会福祉法に基づく事業及び関係法律に基づく事業を一体のものとして実施することにより、包括的な支援体制を一体的に整備する事業を行うことができることとされました（社会福祉法第106条の6。施行は令和9年4月1日）。費用は小規模市町村の支弁とし、国及び都道府県が交付金を交付します。実施する場合は、関係法律に基づく事業についての市町村の支弁に係る費用から当該事業の実施に要する費用を除くこととされています（同法第106条の12）。①構成3町が厚生労働省令で定める基準に該当するかどうか。②「関係法律に基づく事業」に介護保険法の包括的支援事業（地域包括支援センターの運営）が含まれるかどうか。③含まれる場合、当該費用が本広域連合の地域支援事業費（B）から除かれるかどうか。地域支援事業費は保険料収納必要額の算定の基礎であるため、除かれる場合は保険料を下げる向きに働きます。</t>
        </is>
      </c>
      <c r="F189" s="5" t="inlineStr">
        <is>
          <t>計画素案 第1章第9節2・第6章第3節2・第6章第6節
サービス見込量の算定（地域支援事業費）</t>
        </is>
      </c>
      <c r="G189" s="5" t="inlineStr">
        <is>
          <t>発注者・3町</t>
        </is>
      </c>
      <c r="H189" s="10" t="inlineStr">
        <is>
          <t>未回答</t>
        </is>
      </c>
      <c r="I189" s="10" t="inlineStr">
        <is>
          <t>R8.12</t>
        </is>
      </c>
      <c r="J189" s="11" t="inlineStr">
        <is>
          <t>決着しない場合の当方の扱い＝現行の地域支援事業費（令和6年度決算による据え置き）により算定し、本事業を実施しないものとして扱う。厚生労働省令が示された時点で該当の有無を確かめ、該当する場合は費用の支弁の構造を改めて算定し直す。【令和8年10月15日】新旧対照条文により社会福祉法第106条の12（新設）の内容を確かめた。小規模市町村が本事業を実施する場合、介護保険法第122条の2（第3項を除く。地域支援事業に係る国の交付金）並びに第123条第3項及び第4項（都道府県の負担）の規定の適用について、第122条の2第1項の「費用」から本事業として行う社会福祉法第106条の6第2項第3号イに掲げる事業に要する費用を除き、第123条第4項の「費用」から同条第2項第1号イ及び第3号ロに掲げる事業に要する費用を除くこととされている。重層的支援体制整備事業（社会福祉法第106条の4）と同じ構造である。除かれるのは国の交付金及び都道府県の負担の対象となる費用であり、当該費用は社会福祉法による交付金等により支弁されることとなる。除かれる事業の内容（第106条の6第2項第1号イ・第3号イ・第3号ロ）は確かめていない。小規模市町村の基準は厚生労働省令で定められるため、①（該当の有無）は引き続き確認を要する</t>
        </is>
      </c>
    </row>
    <row r="190" ht="88" customHeight="1">
      <c r="A190" s="4" t="n">
        <v>186</v>
      </c>
      <c r="B190" s="4" t="inlineStr">
        <is>
          <t>(5)(6)</t>
        </is>
      </c>
      <c r="C190" s="4" t="inlineStr">
        <is>
          <t>R8.11</t>
        </is>
      </c>
      <c r="D190" s="5" t="inlineStr">
        <is>
          <t>特定施設の定義の改正による区域内3施設の扱い</t>
        </is>
      </c>
      <c r="E190" s="5" t="inlineStr">
        <is>
          <t>社会福祉法等の一部を改正する法律案要綱 第2の3により、介護保険法第8条第11項の「特定施設」が「登録有料老人ホームその他厚生労働省令で定める施設であって、地域密着型特定施設でないもの」に改められました（施行は公布の日から起算して2年を超えない範囲内において政令で定める日。令和10年6月まで）。登録有料老人ホーム事業の対象となる状態は政令で定められます（要綱 第6の4（1））。①区域内で特定施設入居者生活介護の指定を受けている3施設（定員156人）が登録有料老人ホームの登録を受けることとなるか。②登録を受けない場合、特定施設入居者生活介護の指定がどのように扱われるか（経過措置の有無）。③区域内の住宅型有料老人ホーム9施設（定員223人）のうち登録の対象となるものがあるか。特定施設入居者生活介護の見込量は令和7年度の実績（月61.5人）を基礎としており、対象となる施設の範囲が変わると見込量の前提が変わります。</t>
        </is>
      </c>
      <c r="F190" s="5" t="inlineStr">
        <is>
          <t>計画素案 第1章第9節2・第2章第3節・第6章第2節 注3・第6章第4節
サービス見込量の算定（施設・居住系サービス）</t>
        </is>
      </c>
      <c r="G190" s="5" t="inlineStr">
        <is>
          <t>発注者・北海道</t>
        </is>
      </c>
      <c r="H190" s="10" t="inlineStr">
        <is>
          <t>未回答</t>
        </is>
      </c>
      <c r="I190" s="10" t="inlineStr">
        <is>
          <t>R8.12</t>
        </is>
      </c>
      <c r="J190" s="11" t="inlineStr">
        <is>
          <t>決着しない場合の当方の扱い＝現行の指定の区分により特定施設入居者生活介護の見込量を算定し、定義の改正により対象となる施設の範囲が変わり得ることを計画素案の注に［要確認］として記載する。【令和8年10月15日】新旧対照条文により、現行の第8条第11項が「有料老人ホームその他厚生労働省令で定める施設であって、第20項に規定する地域密着型特定施設でないもの」であり、改正により「有料老人ホーム」が「老人福祉法第29条の18第5項に規定する登録有料老人ホーム」に置き換わることを確かめた。すなわち登録有料老人ホームを定義に加えるものではなく、登録を受けない有料老人ホームは特定施設に当たらなくなる。計画素案 第1章第9節2の記述を「定義に加える」から「有料老人ホームを登録有料老人ホームに改める」に是正した</t>
        </is>
      </c>
    </row>
    <row r="192" ht="32" customHeight="1">
      <c r="A192" s="3" t="inlineStr">
        <is>
          <t>区分</t>
        </is>
      </c>
      <c r="B192" s="3" t="inlineStr">
        <is>
          <t>件数</t>
        </is>
      </c>
      <c r="C192" s="3" t="inlineStr"/>
      <c r="D192" s="3" t="inlineStr"/>
      <c r="E192" s="3" t="inlineStr"/>
      <c r="F192" s="3" t="inlineStr"/>
      <c r="G192" s="3" t="inlineStr"/>
      <c r="H192" s="3" t="inlineStr"/>
      <c r="I192" s="3" t="inlineStr"/>
      <c r="J192" s="3" t="inlineStr"/>
    </row>
    <row r="193" ht="20" customHeight="1">
      <c r="A193" s="6" t="inlineStr">
        <is>
          <t>完了</t>
        </is>
      </c>
      <c r="B193" s="4">
        <f>COUNTIF(H5:H190,"完了")</f>
        <v/>
      </c>
      <c r="C193" s="5" t="inlineStr"/>
      <c r="D193" s="5" t="inlineStr"/>
      <c r="E193" s="5" t="inlineStr"/>
      <c r="F193" s="5" t="inlineStr"/>
      <c r="G193" s="5" t="inlineStr"/>
      <c r="H193" s="5" t="inlineStr"/>
      <c r="I193" s="5" t="inlineStr"/>
      <c r="J193" s="5" t="inlineStr"/>
    </row>
    <row r="194" ht="20" customHeight="1">
      <c r="A194" s="8" t="inlineStr">
        <is>
          <t>実施中</t>
        </is>
      </c>
      <c r="B194" s="4">
        <f>COUNTIF(H5:H190,"実施中")</f>
        <v/>
      </c>
      <c r="C194" s="5" t="inlineStr"/>
      <c r="D194" s="5" t="inlineStr"/>
      <c r="E194" s="5" t="inlineStr"/>
      <c r="F194" s="5" t="inlineStr"/>
      <c r="G194" s="5" t="inlineStr"/>
      <c r="H194" s="5" t="inlineStr"/>
      <c r="I194" s="5" t="inlineStr"/>
      <c r="J194" s="5" t="inlineStr"/>
    </row>
    <row r="195" ht="20" customHeight="1">
      <c r="A195" s="10" t="inlineStr">
        <is>
          <t>確認待ち</t>
        </is>
      </c>
      <c r="B195" s="4">
        <f>COUNTIF(H5:H190,"確認待ち")</f>
        <v/>
      </c>
      <c r="C195" s="5" t="inlineStr"/>
      <c r="D195" s="5" t="inlineStr"/>
      <c r="E195" s="5" t="inlineStr"/>
      <c r="F195" s="5" t="inlineStr"/>
      <c r="G195" s="5" t="inlineStr"/>
      <c r="H195" s="5" t="inlineStr"/>
      <c r="I195" s="5" t="inlineStr"/>
      <c r="J195" s="5" t="inlineStr"/>
    </row>
    <row r="196" ht="20" customHeight="1">
      <c r="A196" s="12" t="inlineStr">
        <is>
          <t>未着手</t>
        </is>
      </c>
      <c r="B196" s="4">
        <f>COUNTIF(H5:H190,"未着手")</f>
        <v/>
      </c>
      <c r="C196" s="5" t="inlineStr"/>
      <c r="D196" s="5" t="inlineStr"/>
      <c r="E196" s="5" t="inlineStr"/>
      <c r="F196" s="5" t="inlineStr"/>
      <c r="G196" s="5" t="inlineStr"/>
      <c r="H196" s="5" t="inlineStr"/>
      <c r="I196" s="5" t="inlineStr"/>
      <c r="J196" s="5" t="inlineStr"/>
    </row>
    <row r="197" ht="20" customHeight="1">
      <c r="A197" s="14" t="inlineStr">
        <is>
          <t>対象外</t>
        </is>
      </c>
      <c r="B197" s="4">
        <f>COUNTIF(H5:H190,"対象外")</f>
        <v/>
      </c>
      <c r="C197" s="5" t="inlineStr"/>
      <c r="D197" s="5" t="inlineStr"/>
      <c r="E197" s="5" t="inlineStr"/>
      <c r="F197" s="5" t="inlineStr"/>
      <c r="G197" s="5" t="inlineStr"/>
      <c r="H197" s="5" t="inlineStr"/>
      <c r="I197" s="5" t="inlineStr"/>
      <c r="J197" s="5" t="inlineStr"/>
    </row>
    <row r="199" ht="32" customHeight="1">
      <c r="A199" s="3" t="inlineStr">
        <is>
          <t>確認先</t>
        </is>
      </c>
      <c r="B199" s="3" t="inlineStr">
        <is>
          <t>件数</t>
        </is>
      </c>
      <c r="C199" s="3" t="inlineStr"/>
      <c r="D199" s="3" t="inlineStr"/>
      <c r="E199" s="3" t="inlineStr"/>
      <c r="F199" s="3" t="inlineStr"/>
      <c r="G199" s="3" t="inlineStr"/>
      <c r="H199" s="3" t="inlineStr"/>
      <c r="I199" s="3" t="inlineStr"/>
      <c r="J199" s="3" t="inlineStr"/>
    </row>
    <row r="200" ht="20" customHeight="1">
      <c r="A200" s="5" t="inlineStr">
        <is>
          <t>発注者</t>
        </is>
      </c>
      <c r="B200" s="4">
        <f>COUNTIF(G5:G190,"発注者")</f>
        <v/>
      </c>
      <c r="C200" s="5" t="inlineStr"/>
      <c r="D200" s="5" t="inlineStr"/>
      <c r="E200" s="5" t="inlineStr"/>
      <c r="F200" s="5" t="inlineStr"/>
      <c r="G200" s="5" t="inlineStr"/>
      <c r="H200" s="5" t="inlineStr"/>
      <c r="I200" s="5" t="inlineStr"/>
      <c r="J200" s="5" t="inlineStr"/>
    </row>
    <row r="201" ht="20" customHeight="1">
      <c r="A201" s="5" t="inlineStr">
        <is>
          <t>発注者・3町</t>
        </is>
      </c>
      <c r="B201" s="4">
        <f>COUNTIF(G5:G190,"発注者・3町")</f>
        <v/>
      </c>
      <c r="C201" s="5" t="inlineStr"/>
      <c r="D201" s="5" t="inlineStr"/>
      <c r="E201" s="5" t="inlineStr"/>
      <c r="F201" s="5" t="inlineStr"/>
      <c r="G201" s="5" t="inlineStr"/>
      <c r="H201" s="5" t="inlineStr"/>
      <c r="I201" s="5" t="inlineStr"/>
      <c r="J201" s="5" t="inlineStr"/>
    </row>
    <row r="202" ht="20" customHeight="1">
      <c r="A202" s="5" t="inlineStr">
        <is>
          <t>発注者・北海道</t>
        </is>
      </c>
      <c r="B202" s="4">
        <f>COUNTIF(G5:G190,"発注者・北海道")</f>
        <v/>
      </c>
      <c r="C202" s="5" t="inlineStr"/>
      <c r="D202" s="5" t="inlineStr"/>
      <c r="E202" s="5" t="inlineStr"/>
      <c r="F202" s="5" t="inlineStr"/>
      <c r="G202" s="5" t="inlineStr"/>
      <c r="H202" s="5" t="inlineStr"/>
      <c r="I202" s="5" t="inlineStr"/>
      <c r="J202" s="5" t="inlineStr"/>
    </row>
    <row r="203" ht="20" customHeight="1">
      <c r="A203" s="5" t="inlineStr">
        <is>
          <t>発注者・3町・北海道</t>
        </is>
      </c>
      <c r="B203" s="4">
        <f>COUNTIF(G5:G190,"発注者・3町・北海道")</f>
        <v/>
      </c>
      <c r="C203" s="5" t="inlineStr"/>
      <c r="D203" s="5" t="inlineStr"/>
      <c r="E203" s="5" t="inlineStr"/>
      <c r="F203" s="5" t="inlineStr"/>
      <c r="G203" s="5" t="inlineStr"/>
      <c r="H203" s="5" t="inlineStr"/>
      <c r="I203" s="5" t="inlineStr"/>
      <c r="J203" s="5" t="inlineStr"/>
    </row>
    <row r="204" ht="20" customHeight="1">
      <c r="A204" s="5" t="inlineStr">
        <is>
          <t>北海道</t>
        </is>
      </c>
      <c r="B204" s="4">
        <f>COUNTIF(G5:G190,"北海道")</f>
        <v/>
      </c>
      <c r="C204" s="5" t="inlineStr"/>
      <c r="D204" s="5" t="inlineStr"/>
      <c r="E204" s="5" t="inlineStr"/>
      <c r="F204" s="5" t="inlineStr"/>
      <c r="G204" s="5" t="inlineStr"/>
      <c r="H204" s="5" t="inlineStr"/>
      <c r="I204" s="5" t="inlineStr"/>
      <c r="J204" s="5" t="inlineStr"/>
    </row>
    <row r="206" ht="39" customHeight="1">
      <c r="A206"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り、決定ではない。令和8年10月の3町合同の意見交換会で内容を諮り、ご決定をいただいた時点で回答欄に反映する。保険料を動かすものは、保険料が不足する側に誤らない向き（安全側）に置いている。</t>
        </is>
      </c>
    </row>
  </sheetData>
  <mergeCells count="3">
    <mergeCell ref="A1:J1"/>
    <mergeCell ref="A206:J206"/>
    <mergeCell ref="A2:J2"/>
  </mergeCells>
  <conditionalFormatting sqref="H5:H190">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90"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（1059段落156表36図）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（1059段落156表36図）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2026-10-15T02:16:48Z</dcterms:created>
  <dcterms:modified xmlns:dcterms="http://purl.org/dc/terms/" xmlns:xsi="http://www.w3.org/2001/XMLSchema-instance" xsi:type="dcterms:W3CDTF">2026-10-15T02:16:50Z</dcterms:modified>
</cp:coreProperties>
</file>