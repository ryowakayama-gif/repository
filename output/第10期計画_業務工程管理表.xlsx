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計画素案（806段落130表36図）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136</v>
      </c>
      <c r="B144" s="4" t="inlineStr">
        <is>
          <t>(5)</t>
        </is>
      </c>
      <c r="C144" s="4" t="inlineStr">
        <is>
          <t>R8.9</t>
        </is>
      </c>
      <c r="D144" s="5" t="inlineStr">
        <is>
          <t>画面の令和7年度と年報の月平均の食い違い</t>
        </is>
      </c>
      <c r="E144"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4" s="5" t="inlineStr">
        <is>
          <t>将来推計 第2段階
計画素案 第6章第2節</t>
        </is>
      </c>
      <c r="G144" s="5" t="inlineStr">
        <is>
          <t>発注者</t>
        </is>
      </c>
      <c r="H144" s="10" t="inlineStr">
        <is>
          <t>確認待ち</t>
        </is>
      </c>
      <c r="I144" s="10" t="inlineStr">
        <is>
          <t>R8.10</t>
        </is>
      </c>
      <c r="J144" s="11" t="inlineStr">
        <is>
          <t>令和8年度実績見込み値の入力案 05シート</t>
        </is>
      </c>
    </row>
    <row r="146" ht="32" customHeight="1">
      <c r="A146" s="3" t="inlineStr">
        <is>
          <t>区分</t>
        </is>
      </c>
      <c r="B146" s="3" t="inlineStr">
        <is>
          <t>件数</t>
        </is>
      </c>
      <c r="C146" s="3" t="inlineStr"/>
      <c r="D146" s="3" t="inlineStr"/>
      <c r="E146" s="3" t="inlineStr"/>
      <c r="F146" s="3" t="inlineStr"/>
      <c r="G146" s="3" t="inlineStr"/>
      <c r="H146" s="3" t="inlineStr"/>
      <c r="I146" s="3" t="inlineStr"/>
      <c r="J146" s="3" t="inlineStr"/>
    </row>
    <row r="147" ht="20" customHeight="1">
      <c r="A147" s="6" t="inlineStr">
        <is>
          <t>完了</t>
        </is>
      </c>
      <c r="B147" s="4">
        <f>COUNTIF(H5:H144,"完了")</f>
        <v/>
      </c>
      <c r="C147" s="5" t="inlineStr"/>
      <c r="D147" s="5" t="inlineStr"/>
      <c r="E147" s="5" t="inlineStr"/>
      <c r="F147" s="5" t="inlineStr"/>
      <c r="G147" s="5" t="inlineStr"/>
      <c r="H147" s="5" t="inlineStr"/>
      <c r="I147" s="5" t="inlineStr"/>
      <c r="J147" s="5" t="inlineStr"/>
    </row>
    <row r="148" ht="20" customHeight="1">
      <c r="A148" s="8" t="inlineStr">
        <is>
          <t>実施中</t>
        </is>
      </c>
      <c r="B148" s="4">
        <f>COUNTIF(H5:H144,"実施中")</f>
        <v/>
      </c>
      <c r="C148" s="5" t="inlineStr"/>
      <c r="D148" s="5" t="inlineStr"/>
      <c r="E148" s="5" t="inlineStr"/>
      <c r="F148" s="5" t="inlineStr"/>
      <c r="G148" s="5" t="inlineStr"/>
      <c r="H148" s="5" t="inlineStr"/>
      <c r="I148" s="5" t="inlineStr"/>
      <c r="J148" s="5" t="inlineStr"/>
    </row>
    <row r="149" ht="20" customHeight="1">
      <c r="A149" s="10" t="inlineStr">
        <is>
          <t>確認待ち</t>
        </is>
      </c>
      <c r="B149" s="4">
        <f>COUNTIF(H5:H144,"確認待ち")</f>
        <v/>
      </c>
      <c r="C149" s="5" t="inlineStr"/>
      <c r="D149" s="5" t="inlineStr"/>
      <c r="E149" s="5" t="inlineStr"/>
      <c r="F149" s="5" t="inlineStr"/>
      <c r="G149" s="5" t="inlineStr"/>
      <c r="H149" s="5" t="inlineStr"/>
      <c r="I149" s="5" t="inlineStr"/>
      <c r="J149" s="5" t="inlineStr"/>
    </row>
    <row r="150" ht="20" customHeight="1">
      <c r="A150" s="12" t="inlineStr">
        <is>
          <t>未着手</t>
        </is>
      </c>
      <c r="B150" s="4">
        <f>COUNTIF(H5:H144,"未着手")</f>
        <v/>
      </c>
      <c r="C150" s="5" t="inlineStr"/>
      <c r="D150" s="5" t="inlineStr"/>
      <c r="E150" s="5" t="inlineStr"/>
      <c r="F150" s="5" t="inlineStr"/>
      <c r="G150" s="5" t="inlineStr"/>
      <c r="H150" s="5" t="inlineStr"/>
      <c r="I150" s="5" t="inlineStr"/>
      <c r="J150" s="5" t="inlineStr"/>
    </row>
    <row r="151" ht="20" customHeight="1">
      <c r="A151" s="14" t="inlineStr">
        <is>
          <t>対象外</t>
        </is>
      </c>
      <c r="B151" s="4">
        <f>COUNTIF(H5:H144,"対象外")</f>
        <v/>
      </c>
      <c r="C151" s="5" t="inlineStr"/>
      <c r="D151" s="5" t="inlineStr"/>
      <c r="E151" s="5" t="inlineStr"/>
      <c r="F151" s="5" t="inlineStr"/>
      <c r="G151" s="5" t="inlineStr"/>
      <c r="H151" s="5" t="inlineStr"/>
      <c r="I151" s="5" t="inlineStr"/>
      <c r="J151" s="5" t="inlineStr"/>
    </row>
    <row r="153" ht="32" customHeight="1">
      <c r="A153" s="3" t="inlineStr">
        <is>
          <t>確認先</t>
        </is>
      </c>
      <c r="B153" s="3" t="inlineStr">
        <is>
          <t>件数</t>
        </is>
      </c>
      <c r="C153" s="3" t="inlineStr"/>
      <c r="D153" s="3" t="inlineStr"/>
      <c r="E153" s="3" t="inlineStr"/>
      <c r="F153" s="3" t="inlineStr"/>
      <c r="G153" s="3" t="inlineStr"/>
      <c r="H153" s="3" t="inlineStr"/>
      <c r="I153" s="3" t="inlineStr"/>
      <c r="J153" s="3" t="inlineStr"/>
    </row>
    <row r="154" ht="20" customHeight="1">
      <c r="A154" s="5" t="inlineStr">
        <is>
          <t>発注者</t>
        </is>
      </c>
      <c r="B154" s="4">
        <f>COUNTIF(G5:G144,"発注者")</f>
        <v/>
      </c>
      <c r="C154" s="5" t="inlineStr"/>
      <c r="D154" s="5" t="inlineStr"/>
      <c r="E154" s="5" t="inlineStr"/>
      <c r="F154" s="5" t="inlineStr"/>
      <c r="G154" s="5" t="inlineStr"/>
      <c r="H154" s="5" t="inlineStr"/>
      <c r="I154" s="5" t="inlineStr"/>
      <c r="J154" s="5" t="inlineStr"/>
    </row>
    <row r="155" ht="20" customHeight="1">
      <c r="A155" s="5" t="inlineStr">
        <is>
          <t>発注者・3町</t>
        </is>
      </c>
      <c r="B155" s="4">
        <f>COUNTIF(G5:G144,"発注者・3町")</f>
        <v/>
      </c>
      <c r="C155" s="5" t="inlineStr"/>
      <c r="D155" s="5" t="inlineStr"/>
      <c r="E155" s="5" t="inlineStr"/>
      <c r="F155" s="5" t="inlineStr"/>
      <c r="G155" s="5" t="inlineStr"/>
      <c r="H155" s="5" t="inlineStr"/>
      <c r="I155" s="5" t="inlineStr"/>
      <c r="J155" s="5" t="inlineStr"/>
    </row>
    <row r="156" ht="20" customHeight="1">
      <c r="A156" s="5" t="inlineStr">
        <is>
          <t>発注者・北海道</t>
        </is>
      </c>
      <c r="B156" s="4">
        <f>COUNTIF(G5:G144,"発注者・北海道")</f>
        <v/>
      </c>
      <c r="C156" s="5" t="inlineStr"/>
      <c r="D156" s="5" t="inlineStr"/>
      <c r="E156" s="5" t="inlineStr"/>
      <c r="F156" s="5" t="inlineStr"/>
      <c r="G156" s="5" t="inlineStr"/>
      <c r="H156" s="5" t="inlineStr"/>
      <c r="I156" s="5" t="inlineStr"/>
      <c r="J156" s="5" t="inlineStr"/>
    </row>
    <row r="157" ht="20" customHeight="1">
      <c r="A157" s="5" t="inlineStr">
        <is>
          <t>発注者・3町・北海道</t>
        </is>
      </c>
      <c r="B157" s="4">
        <f>COUNTIF(G5:G144,"発注者・3町・北海道")</f>
        <v/>
      </c>
      <c r="C157" s="5" t="inlineStr"/>
      <c r="D157" s="5" t="inlineStr"/>
      <c r="E157" s="5" t="inlineStr"/>
      <c r="F157" s="5" t="inlineStr"/>
      <c r="G157" s="5" t="inlineStr"/>
      <c r="H157" s="5" t="inlineStr"/>
      <c r="I157" s="5" t="inlineStr"/>
      <c r="J157" s="5" t="inlineStr"/>
    </row>
    <row r="158" ht="20" customHeight="1">
      <c r="A158" s="5" t="inlineStr">
        <is>
          <t>北海道</t>
        </is>
      </c>
      <c r="B158" s="4">
        <f>COUNTIF(G5:G144,"北海道")</f>
        <v/>
      </c>
      <c r="C158" s="5" t="inlineStr"/>
      <c r="D158" s="5" t="inlineStr"/>
      <c r="E158" s="5" t="inlineStr"/>
      <c r="F158" s="5" t="inlineStr"/>
      <c r="G158" s="5" t="inlineStr"/>
      <c r="H158" s="5" t="inlineStr"/>
      <c r="I158" s="5" t="inlineStr"/>
      <c r="J158" s="5" t="inlineStr"/>
    </row>
    <row r="160" ht="28" customHeight="1">
      <c r="A16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60:J160"/>
    <mergeCell ref="A1:J1"/>
    <mergeCell ref="A2:J2"/>
  </mergeCells>
  <conditionalFormatting sqref="H5:H14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4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（806段落130表36図）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2026-09-12T02:18:33Z</dcterms:created>
  <dcterms:modified xmlns:dcterms="http://purl.org/dc/terms/" xmlns:xsi="http://www.w3.org/2001/XMLSchema-instance" xsi:type="dcterms:W3CDTF">2026-09-12T02:18:33Z</dcterms:modified>
</cp:coreProperties>
</file>