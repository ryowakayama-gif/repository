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修正指示一覧" sheetId="2" state="visible" r:id="rId2"/>
    <sheet xmlns:r="http://schemas.openxmlformats.org/officeDocument/2006/relationships" name="進捗管理" sheetId="3" state="visible" r:id="rId3"/>
    <sheet xmlns:r="http://schemas.openxmlformats.org/officeDocument/2006/relationships" name="数値照合結果" sheetId="4" state="visible" r:id="rId4"/>
    <sheet xmlns:r="http://schemas.openxmlformats.org/officeDocument/2006/relationships" name="凡例・参照資料" sheetId="5" state="visible" r:id="rId5"/>
  </sheets>
  <definedNames>
    <definedName name="_xlnm._FilterDatabase" localSheetId="1" hidden="1">'修正指示一覧'!$A$4:$L$70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rlito"/>
      <b val="1"/>
      <color rgb="00FFFFFF"/>
      <sz val="16"/>
    </font>
    <font>
      <name val="Carlito"/>
      <sz val="10"/>
    </font>
    <font>
      <name val="Carlito"/>
      <b val="1"/>
      <color rgb="00FFFFFF"/>
      <sz val="10"/>
    </font>
    <font>
      <name val="Carlito"/>
      <sz val="9"/>
    </font>
    <font>
      <name val="Carlito"/>
      <i val="1"/>
      <sz val="9"/>
    </font>
    <font>
      <name val="Carlito"/>
      <b val="1"/>
      <sz val="9"/>
    </font>
    <font>
      <name val="Carlito"/>
      <b val="1"/>
      <sz val="10"/>
    </font>
  </fonts>
  <fills count="9">
    <fill>
      <patternFill/>
    </fill>
    <fill>
      <patternFill patternType="gray125"/>
    </fill>
    <fill>
      <patternFill patternType="solid">
        <fgColor rgb="001F4E78"/>
      </patternFill>
    </fill>
    <fill>
      <patternFill patternType="solid">
        <fgColor rgb="00EAF3F8"/>
      </patternFill>
    </fill>
    <fill>
      <patternFill patternType="solid">
        <fgColor rgb="005B9BD5"/>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pivotButton="0" quotePrefix="0" xfId="0"/>
    <xf numFmtId="0" fontId="2" fillId="0" borderId="0" applyAlignment="1" pivotButton="0" quotePrefix="0" xfId="0">
      <alignment vertical="top" wrapText="1"/>
    </xf>
    <xf numFmtId="0" fontId="3" fillId="4"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0" borderId="0" applyAlignment="1" pivotButton="0" quotePrefix="0" xfId="0">
      <alignment vertical="top" wrapText="1"/>
    </xf>
    <xf numFmtId="0" fontId="4" fillId="0" borderId="1" applyAlignment="1" pivotButton="0" quotePrefix="0" xfId="0">
      <alignment horizontal="center"/>
    </xf>
    <xf numFmtId="164" fontId="4" fillId="0" borderId="1" applyAlignment="1" pivotButton="0" quotePrefix="0" xfId="0">
      <alignment horizontal="center"/>
    </xf>
    <xf numFmtId="0" fontId="6" fillId="8" borderId="1" applyAlignment="1" pivotButton="0" quotePrefix="0" xfId="0">
      <alignment vertical="top" wrapText="1"/>
    </xf>
    <xf numFmtId="0" fontId="6" fillId="8" borderId="1" applyAlignment="1" pivotButton="0" quotePrefix="0" xfId="0">
      <alignment horizontal="center"/>
    </xf>
    <xf numFmtId="164" fontId="6" fillId="8" borderId="1" applyAlignment="1" pivotButton="0" quotePrefix="0" xfId="0">
      <alignment horizontal="center"/>
    </xf>
    <xf numFmtId="0" fontId="7"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 customWidth="1" min="1" max="1"/>
    <col width="26" customWidth="1" min="2" max="2"/>
    <col width="96" customWidth="1" min="3" max="3"/>
  </cols>
  <sheetData>
    <row r="1" ht="26" customHeight="1">
      <c r="A1" s="1" t="inlineStr">
        <is>
          <t>大雪地区広域連合　第10期介護保険事業計画素案　修正指示書（令和8年7月）</t>
        </is>
      </c>
    </row>
    <row r="2" ht="18" customHeight="1">
      <c r="A2" s="2" t="inlineStr">
        <is>
          <t>令和8（2026）年7月28日作成／第1回介護保険事業計画策定委員会前の修正管理用</t>
        </is>
      </c>
    </row>
    <row r="4" ht="48" customHeight="1">
      <c r="A4" s="3" t="inlineStr">
        <is>
          <t>本書は、計画素案（第9期目次準拠）を第9期介護保険事業計画・3町高齢者福祉計画の原典及び「第9期計画の目次踏襲・流用／修正切分け」「委員会確認事項メモ」の方針に突合した結果に基づく修正指示書です。区分Aは第1回委員会前の必須修正、区分Bは原稿整備段階の修正、区分Cは前回精査からの継続確認事項です。</t>
        </is>
      </c>
    </row>
    <row r="6" ht="30" customHeight="1">
      <c r="A6" s="4" t="inlineStr">
        <is>
          <t>No.</t>
        </is>
      </c>
      <c r="B6" s="4" t="inlineStr">
        <is>
          <t>シート</t>
        </is>
      </c>
      <c r="C6" s="4" t="inlineStr">
        <is>
          <t>用途</t>
        </is>
      </c>
    </row>
    <row r="7">
      <c r="A7" s="5" t="n">
        <v>1</v>
      </c>
      <c r="B7" s="5" t="inlineStr">
        <is>
          <t>修正指示一覧</t>
        </is>
      </c>
      <c r="C7" s="5" t="inlineStr">
        <is>
          <t>66件の修正指示。区分・優先度・該当箇所・現行記載・修正案・根拠と、計画素案への反映状況を記載します。</t>
        </is>
      </c>
    </row>
    <row r="8">
      <c r="A8" s="5" t="n">
        <v>2</v>
      </c>
      <c r="B8" s="5" t="inlineStr">
        <is>
          <t>進捗管理</t>
        </is>
      </c>
      <c r="C8" s="5" t="inlineStr">
        <is>
          <t>区分別・優先度別に、計画素案への反映状況の件数を自動集計します（修正指示一覧の状態欄と連動）。</t>
        </is>
      </c>
    </row>
    <row r="9">
      <c r="A9" s="5" t="n">
        <v>3</v>
      </c>
      <c r="B9" s="5" t="inlineStr">
        <is>
          <t>数値照合結果</t>
        </is>
      </c>
      <c r="C9" s="5" t="inlineStr">
        <is>
          <t>計画素案の主要数値と第9期計画等の原典との照合結果。一致・不一致・要確認の別と原典ページを記載します。</t>
        </is>
      </c>
    </row>
    <row r="10">
      <c r="A10" s="5" t="n">
        <v>4</v>
      </c>
      <c r="B10" s="5" t="inlineStr">
        <is>
          <t>凡例・参照資料</t>
        </is>
      </c>
      <c r="C10" s="5" t="inlineStr">
        <is>
          <t>区分・優先度・状態の定義、セル色の凡例、参照した原典資料の一覧。</t>
        </is>
      </c>
    </row>
    <row r="12">
      <c r="A12" s="6" t="inlineStr">
        <is>
          <t>入力欄は淡黄色、確認済み又は一致は淡緑色、要協議・不一致事項は淡橙色で表示します。</t>
        </is>
      </c>
    </row>
  </sheetData>
  <mergeCells count="4">
    <mergeCell ref="A1:C1"/>
    <mergeCell ref="A4:C4"/>
    <mergeCell ref="A2:C2"/>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2"/>
  <sheetViews>
    <sheetView workbookViewId="0">
      <pane ySplit="4" topLeftCell="A5" activePane="bottomLeft" state="frozen"/>
      <selection pane="bottomLeft" activeCell="A1" sqref="A1"/>
    </sheetView>
  </sheetViews>
  <sheetFormatPr baseColWidth="8" defaultRowHeight="15"/>
  <cols>
    <col width="7" customWidth="1" min="1" max="1"/>
    <col width="7" customWidth="1" min="2" max="2"/>
    <col width="9" customWidth="1" min="3" max="3"/>
    <col width="20" customWidth="1" min="4" max="4"/>
    <col width="24" customWidth="1" min="5" max="5"/>
    <col width="40" customWidth="1" min="6" max="6"/>
    <col width="40" customWidth="1" min="7" max="7"/>
    <col width="46" customWidth="1" min="8" max="8"/>
    <col width="34" customWidth="1" min="9" max="9"/>
    <col width="14" customWidth="1" min="10" max="10"/>
    <col width="12" customWidth="1" min="11" max="11"/>
    <col width="12" customWidth="1" min="12" max="12"/>
  </cols>
  <sheetData>
    <row r="1" ht="26" customHeight="1">
      <c r="A1" s="1" t="inlineStr">
        <is>
          <t>修正指示一覧（全66件・令和8年7月）</t>
        </is>
      </c>
    </row>
    <row r="2" ht="18" customHeight="1">
      <c r="A2" s="2" t="inlineStr">
        <is>
          <t>区分A：委員会前必須（20件）／区分B：原稿整備（25件）／区分C：継続確認（21件）　※「状態」は計画素案への反映状況（淡緑＝反映済／淡黄＝反映済だが照会継続／淡橙＝照会・資料待ち／灰＝図表集・工程表で対応）</t>
        </is>
      </c>
    </row>
    <row r="4" ht="30" customHeight="1">
      <c r="A4" s="4" t="inlineStr">
        <is>
          <t>No.</t>
        </is>
      </c>
      <c r="B4" s="4" t="inlineStr">
        <is>
          <t>区分</t>
        </is>
      </c>
      <c r="C4" s="4" t="inlineStr">
        <is>
          <t>優先度</t>
        </is>
      </c>
      <c r="D4" s="4" t="inlineStr">
        <is>
          <t>該当箇所</t>
        </is>
      </c>
      <c r="E4" s="4" t="inlineStr">
        <is>
          <t>該当表・見出し</t>
        </is>
      </c>
      <c r="F4" s="4" t="inlineStr">
        <is>
          <t>指摘内容</t>
        </is>
      </c>
      <c r="G4" s="4" t="inlineStr">
        <is>
          <t>現行の記載</t>
        </is>
      </c>
      <c r="H4" s="4" t="inlineStr">
        <is>
          <t>修正案</t>
        </is>
      </c>
      <c r="I4" s="4" t="inlineStr">
        <is>
          <t>根拠・出典</t>
        </is>
      </c>
      <c r="J4" s="4" t="inlineStr">
        <is>
          <t>確認要否</t>
        </is>
      </c>
      <c r="K4" s="4" t="inlineStr">
        <is>
          <t>対応者</t>
        </is>
      </c>
      <c r="L4" s="4" t="inlineStr">
        <is>
          <t>状態</t>
        </is>
      </c>
    </row>
    <row r="5">
      <c r="A5" s="5" t="inlineStr">
        <is>
          <t>A-1</t>
        </is>
      </c>
      <c r="B5" s="5" t="inlineStr">
        <is>
          <t>A</t>
        </is>
      </c>
      <c r="C5" s="5" t="inlineStr">
        <is>
          <t>最優先</t>
        </is>
      </c>
      <c r="D5" s="5" t="inlineStr">
        <is>
          <t>第6章第3節</t>
        </is>
      </c>
      <c r="E5" s="5" t="inlineStr">
        <is>
          <t>表36「介護サービス給付費・介護予防サービス給付費」／表39「自然体推計による給付費の概算」</t>
        </is>
      </c>
      <c r="F5" s="5" t="inlineStr">
        <is>
          <t>同一の総額9,267.4百万円を2通りの区分で内訳表示しているが、区分定義の注記がないため「施設サービス」が表ごとに2,691.5と3,416.0（1.27倍）と食い違って見える。</t>
        </is>
      </c>
      <c r="G5" s="5" t="inlineStr">
        <is>
          <t>表36（5区分）：居宅3,292.5／地域密着型2,523.5／施設2,691.5／予防383.0／居宅介護支援377.0。表39（3区分）：居宅4,686.9／居住系1,164.5／施設3,416.0。</t>
        </is>
      </c>
      <c r="H5" s="5" t="inlineStr">
        <is>
          <t>両表に区分定義の注を追加する。注案：「表36はサービス類型別、表39は見える化の3区分（居宅・居住系・施設）による内訳である。表39の『施設』には地域密着型介護老人福祉施設（第10期計724.5百万円）を、『居住系』には認知症対応型共同生活介護（同1,164.5百万円）を含み、特定施設入居者生活介護は『居宅』に計上している。」</t>
        </is>
      </c>
      <c r="I5" s="5" t="inlineStr">
        <is>
          <t>突合検算：634.4＋724.5＋1,164.6＝2,523.5（表36の地域密着型サービス給付費と一致）</t>
        </is>
      </c>
      <c r="J5" s="7" t="inlineStr">
        <is>
          <t>要（原票で区分定義を確認）</t>
        </is>
      </c>
      <c r="K5" s="8" t="inlineStr"/>
      <c r="L5" s="9" t="inlineStr">
        <is>
          <t>反映済</t>
        </is>
      </c>
    </row>
    <row r="6">
      <c r="A6" s="5" t="inlineStr">
        <is>
          <t>A-2</t>
        </is>
      </c>
      <c r="B6" s="5" t="inlineStr">
        <is>
          <t>A</t>
        </is>
      </c>
      <c r="C6" s="5" t="inlineStr">
        <is>
          <t>最優先</t>
        </is>
      </c>
      <c r="D6" s="5" t="inlineStr">
        <is>
          <t>第6章第2節</t>
        </is>
      </c>
      <c r="E6" s="5" t="inlineStr">
        <is>
          <t>表30「サービス種類別・中長期見込量（記載様式）」</t>
        </is>
      </c>
      <c r="F6" s="5" t="inlineStr">
        <is>
          <t>R8列とR9以降列で出典が異なるため、481→474が7人の減少に見える。加えて表30の注記（「R8サービス別利用者は自然体推計確認シートの月平均基準値」）は表32〜35に対応するもので、表30の実数値と食い違っている。</t>
        </is>
      </c>
      <c r="G6" s="5" t="inlineStr">
        <is>
          <t>R8実績：居宅1,020人／月、施設・居住系481人／月（＝見える化R8年1月の在宅1,020・施設336・居住系145）。R9：施設・居住系474人（自然体推計値）。</t>
        </is>
      </c>
      <c r="H6" s="5" t="inlineStr">
        <is>
          <t>R8列を自然体推計基準値に統一し（施設・居住系474人相当）、見える化実績は別欄に併記する。統一しない場合は表30に個別注「R8列は見える化R8年1月の受給者実績、R9以降は自然体推計値であり、基準・出典が異なるため増減として読まない」を付す。</t>
        </is>
      </c>
      <c r="I6" s="5" t="inlineStr">
        <is>
          <t>素案第2章第1節（見える化R8年1月値）／表30注記</t>
        </is>
      </c>
      <c r="J6" s="5" t="inlineStr">
        <is>
          <t>不要（編集判断）</t>
        </is>
      </c>
      <c r="K6" s="8" t="inlineStr"/>
      <c r="L6" s="9" t="inlineStr">
        <is>
          <t>反映済</t>
        </is>
      </c>
    </row>
    <row r="7">
      <c r="A7" s="5" t="inlineStr">
        <is>
          <t>A-3</t>
        </is>
      </c>
      <c r="B7" s="5" t="inlineStr">
        <is>
          <t>A</t>
        </is>
      </c>
      <c r="C7" s="5" t="inlineStr">
        <is>
          <t>最優先</t>
        </is>
      </c>
      <c r="D7" s="5" t="inlineStr">
        <is>
          <t>第4章第2節</t>
        </is>
      </c>
      <c r="E7" s="5" t="inlineStr">
        <is>
          <t>表18「2040年を見据えた基本戦略と5つの基本目標」</t>
        </is>
      </c>
      <c r="F7" s="5" t="inlineStr">
        <is>
          <t>第4章第2節は第10期の基本目標名案のみを掲げ、第5章の見出しは第9期の基本目標名を用いているため、同一計画内で基本目標名が二重になっている。第4章と第5章が別体系に見える。</t>
        </is>
      </c>
      <c r="G7" s="5" t="inlineStr">
        <is>
          <t>表18：基本目標1「地域包括ケア・相談・医療介護連携」〜基本目標5「保険運営・レジリエンス・PDCA」。第5章見出し：基本目標1「地域包括ケアシステムの深化・推進」〜基本目標5「災害や感染症対策に係る体制整備」。</t>
        </is>
      </c>
      <c r="H7" s="5" t="inlineStr">
        <is>
          <t>表18を「第9期の基本目標／第10期の基本目標（案）／主な変更点・変更理由」の3列による新旧対照表に改める。あわせて「第5章の見出しは委員会決定まで第9期名称を維持する」旨を注記する。</t>
        </is>
      </c>
      <c r="I7" s="5" t="inlineStr">
        <is>
          <t>切分けメモ 5.「第9期の基本目標名と順序を正本とする」／確認事項メモ No.6</t>
        </is>
      </c>
      <c r="J7" s="7" t="inlineStr">
        <is>
          <t>要（委員会で名称を決定）</t>
        </is>
      </c>
      <c r="K7" s="8" t="inlineStr"/>
      <c r="L7" s="9" t="inlineStr">
        <is>
          <t>反映済</t>
        </is>
      </c>
    </row>
    <row r="8">
      <c r="A8" s="5" t="inlineStr">
        <is>
          <t>A-4</t>
        </is>
      </c>
      <c r="B8" s="5" t="inlineStr">
        <is>
          <t>A</t>
        </is>
      </c>
      <c r="C8" s="5" t="inlineStr">
        <is>
          <t>最優先</t>
        </is>
      </c>
      <c r="D8" s="5" t="inlineStr">
        <is>
          <t>第4章第3節</t>
        </is>
      </c>
      <c r="E8" s="5" t="inlineStr">
        <is>
          <t>表19「施策の体系と成果指標」</t>
        </is>
      </c>
      <c r="F8" s="5" t="inlineStr">
        <is>
          <t>本文にKPI16項目を全て掲載しており、「計画本文12項目＋補完4項目」の二層構造と矛盾する。切分けメモの「直ちに修正できる部分」5（KPI詳細を資料編へ移す）が未完了。</t>
        </is>
      </c>
      <c r="G8" s="5" t="inlineStr">
        <is>
          <t>表19にH01〜H16の16項目を掲載。R11目標はH01のみ「適正水準（参考基準18.4％）」、他は「―」。（資料編 資料1では正しく12項目＋4項目に分離済み）</t>
        </is>
      </c>
      <c r="H8" s="5" t="inlineStr">
        <is>
          <t>表19を本文KPI12項目（H01・H02・H04・H05・H06・H07・H09・H10・H12・H13・H15・H16）に限定する。補完4項目（H03・H08・H11・H14）は資料編 資料1（2）に集約し、本文には「補完4項目は資料編に掲載」と1行を残す。</t>
        </is>
      </c>
      <c r="I8" s="5" t="inlineStr">
        <is>
          <t>切分けメモ 4.／第4章「第8稿第4節 成果KPI」区分C／確認事項メモ No.7</t>
        </is>
      </c>
      <c r="J8" s="5" t="inlineStr">
        <is>
          <t>不要（本文と資料編の分担の整理であり、内容の変更を伴わない）</t>
        </is>
      </c>
      <c r="K8" s="8" t="inlineStr"/>
      <c r="L8" s="9" t="inlineStr">
        <is>
          <t>反映済</t>
        </is>
      </c>
    </row>
    <row r="9">
      <c r="A9" s="5" t="inlineStr">
        <is>
          <t>A-5</t>
        </is>
      </c>
      <c r="B9" s="5" t="inlineStr">
        <is>
          <t>A</t>
        </is>
      </c>
      <c r="C9" s="5" t="inlineStr">
        <is>
          <t>高</t>
        </is>
      </c>
      <c r="D9" s="5" t="inlineStr">
        <is>
          <t>第5章 基本目標1／基本目標2</t>
        </is>
      </c>
      <c r="E9" s="5" t="inlineStr">
        <is>
          <t>表21「地域ケア会議」／表22「地域ケア会議・包括的支援」</t>
        </is>
      </c>
      <c r="F9" s="5" t="inlineStr">
        <is>
          <t>同一施策が2箇所に重複掲載されている。主な取組・管理指標・主体まで完全に同一の行。</t>
        </is>
      </c>
      <c r="G9" s="5" t="inlineStr">
        <is>
          <t>表21・表22ともに、取組「個別課題から地域課題・資源開発・施策化へ接続」、管理指標「地域課題化率、施策反映件数」、主体「3町」。</t>
        </is>
      </c>
      <c r="H9" s="5" t="inlineStr">
        <is>
          <t>第9期体系では地域ケア会議は基本目標2に属するため、表22に一本化し表21から削除する。基本目標1では、地域ケア会議で抽出された地域課題の施策反映を医療介護連携・権利擁護の後段で参照する形とする。</t>
        </is>
      </c>
      <c r="I9" s="5" t="inlineStr">
        <is>
          <t>第9期計画 第5章 基本目標2「5 地域ケア会議の推進」</t>
        </is>
      </c>
      <c r="J9" s="5" t="inlineStr">
        <is>
          <t>不要（編集判断）</t>
        </is>
      </c>
      <c r="K9" s="8" t="inlineStr"/>
      <c r="L9" s="9" t="inlineStr">
        <is>
          <t>反映済</t>
        </is>
      </c>
    </row>
    <row r="10">
      <c r="A10" s="5" t="inlineStr">
        <is>
          <t>A-6</t>
        </is>
      </c>
      <c r="B10" s="5" t="inlineStr">
        <is>
          <t>A</t>
        </is>
      </c>
      <c r="C10" s="5" t="inlineStr">
        <is>
          <t>高</t>
        </is>
      </c>
      <c r="D10" s="5" t="inlineStr">
        <is>
          <t>第5章 基本目標1／基本目標2</t>
        </is>
      </c>
      <c r="E10" s="5" t="inlineStr">
        <is>
          <t>表21「包括相談」／表22「地域共生・包括相談」</t>
        </is>
      </c>
      <c r="F10" s="5" t="inlineStr">
        <is>
          <t>相談支援施策が2箇所に実質重複して掲載されている。</t>
        </is>
      </c>
      <c r="G10" s="5" t="inlineStr">
        <is>
          <t>表21「包括相談」：取組「初動基準、複合課題の連携、相談終結・引継ぎの標準化」／指標「標準日数内初動率、終結・引継ぎ率」。表22「地域共生・包括相談」：取組「複合課題の連携、相談支援、参加支援」／指標「初動率、支援接続率」。</t>
        </is>
      </c>
      <c r="H10" s="5" t="inlineStr">
        <is>
          <t>相談支援の実施主体・成果指標は基本目標1「包括相談」に集約する。基本目標2は「地域共生社会に向けた参加支援・重層的支援体制の整備」に限定し、指標は参加支援・多機関協働に絞る。</t>
        </is>
      </c>
      <c r="I10" s="5" t="inlineStr">
        <is>
          <t>第9期計画 第5章 基本目標2「6 包括的な支援体制の整備」との対応</t>
        </is>
      </c>
      <c r="J10" s="5" t="inlineStr">
        <is>
          <t>不要（編集判断）</t>
        </is>
      </c>
      <c r="K10" s="8" t="inlineStr"/>
      <c r="L10" s="9" t="inlineStr">
        <is>
          <t>反映済</t>
        </is>
      </c>
    </row>
    <row r="11">
      <c r="A11" s="5" t="inlineStr">
        <is>
          <t>B-1</t>
        </is>
      </c>
      <c r="B11" s="5" t="inlineStr">
        <is>
          <t>B</t>
        </is>
      </c>
      <c r="C11" s="5" t="inlineStr">
        <is>
          <t>高</t>
        </is>
      </c>
      <c r="D11" s="5" t="inlineStr">
        <is>
          <t>第5章 基本目標4</t>
        </is>
      </c>
      <c r="E11" s="5" t="inlineStr">
        <is>
          <t>【介護給付適正化計画（第10期計画期間）】</t>
        </is>
      </c>
      <c r="F11" s="5" t="inlineStr">
        <is>
          <t>給付適正化計画は介護保険事業計画とは別の期数を持つが、期数が記載されていない。</t>
        </is>
      </c>
      <c r="G11" s="5" t="inlineStr">
        <is>
          <t>「【介護給付適正化計画（第10期計画期間）】」</t>
        </is>
      </c>
      <c r="H11" s="5" t="inlineStr">
        <is>
          <t>「【第7期介護給付適正化計画（令和9〜11年度）】」に改める。期数は北海道・国の給付適正化計画の期別に照らして確定する。</t>
        </is>
      </c>
      <c r="I11" s="5" t="inlineStr">
        <is>
          <t>第9期計画 第5章 基本目標4「3 介護給付費の適正化【主要3事業】（第6期給付適正化計画）」</t>
        </is>
      </c>
      <c r="J11" s="7" t="inlineStr">
        <is>
          <t>要（広域連合に期数を確認）</t>
        </is>
      </c>
      <c r="K11" s="8" t="inlineStr"/>
      <c r="L11" s="9" t="inlineStr">
        <is>
          <t>反映済</t>
        </is>
      </c>
    </row>
    <row r="12">
      <c r="A12" s="5" t="inlineStr">
        <is>
          <t>B-2</t>
        </is>
      </c>
      <c r="B12" s="5" t="inlineStr">
        <is>
          <t>B</t>
        </is>
      </c>
      <c r="C12" s="5" t="inlineStr">
        <is>
          <t>中</t>
        </is>
      </c>
      <c r="D12" s="5" t="inlineStr">
        <is>
          <t>第3章第4節</t>
        </is>
      </c>
      <c r="E12" s="5" t="inlineStr">
        <is>
          <t>「2 前期計画から引き継ぐ主要課題」の直前</t>
        </is>
      </c>
      <c r="F12" s="5" t="inlineStr">
        <is>
          <t>項番号「1」が欠落している。「2」「3」「4」のみが存在する。</t>
        </is>
      </c>
      <c r="G12" s="5" t="inlineStr">
        <is>
          <t>第4節の本文・表13（19施策の構造評価）に見出しが付されておらず、次の見出しが「2 前期計画から引き継ぐ主要課題」となっている。</t>
        </is>
      </c>
      <c r="H12" s="5" t="inlineStr">
        <is>
          <t>表13の前に見出し「1 施策別の構造評価」を追加する。</t>
        </is>
      </c>
      <c r="I12" s="5" t="inlineStr">
        <is>
          <t>計画素案 第3章第4節の見出し構成</t>
        </is>
      </c>
      <c r="J12" s="5" t="inlineStr">
        <is>
          <t>不要</t>
        </is>
      </c>
      <c r="K12" s="8" t="inlineStr"/>
      <c r="L12" s="9" t="inlineStr">
        <is>
          <t>反映済</t>
        </is>
      </c>
    </row>
    <row r="13">
      <c r="A13" s="5" t="inlineStr">
        <is>
          <t>B-3</t>
        </is>
      </c>
      <c r="B13" s="5" t="inlineStr">
        <is>
          <t>B</t>
        </is>
      </c>
      <c r="C13" s="5" t="inlineStr">
        <is>
          <t>最優先</t>
        </is>
      </c>
      <c r="D13" s="5" t="inlineStr">
        <is>
          <t>第6章第2節</t>
        </is>
      </c>
      <c r="E13" s="5" t="inlineStr">
        <is>
          <t>表35「介護予防給付サービス」</t>
        </is>
      </c>
      <c r="F13" s="5" t="inlineStr">
        <is>
          <t>利用者数が全項目「―」だが、受領した推計ワークシートに介護予防の内訳（人数・回数・給付費）が揃っており表を確定できる。「現行出力で内訳が確定できない」という注記は事実と異なる。</t>
        </is>
      </c>
      <c r="G13" s="5" t="inlineStr">
        <is>
          <t>表35は16項目すべて「―」。注記は「見える化の最終推計出力で分割する」。</t>
        </is>
      </c>
      <c r="H13" s="5" t="inlineStr">
        <is>
          <t>ワークシート『介護サービス給付費(推計値)(2)』の値で表35を確定する。R9／R10／R11／R17／R22の順に、訪問看護25/25/26/27/27、訪問リハ23/23/24/25/25、居宅療養管理指導16/16/16/17/17、通所リハ79/79/80/83/83、短期入所生活介護1/1/1/1/1、福祉用具貸与236/239/239/251/250、特定福祉用具購入7/7/7/8/8、住宅改修4/4/4/4/4、特定施設14/14/14/15/15、小規模多機能13/13/13/14/14。訪問入浴・短期入所療養介護3種・認知症対応型通所・認知症GHは全期間0。あわせて注記を削除する。</t>
        </is>
      </c>
      <c r="I13" s="5" t="inlineStr">
        <is>
          <t>自然体推計の計算過程確認シート『介護サービス給付費(推計値)(2)』（介護予防給付費の合計127.1百万円は素案表36と一致）</t>
        </is>
      </c>
      <c r="J13" s="5" t="inlineStr">
        <is>
          <t>不要（数値確定済み）</t>
        </is>
      </c>
      <c r="K13" s="8" t="inlineStr"/>
      <c r="L13" s="9" t="inlineStr">
        <is>
          <t>反映済</t>
        </is>
      </c>
    </row>
    <row r="14">
      <c r="A14" s="5" t="inlineStr">
        <is>
          <t>B-4</t>
        </is>
      </c>
      <c r="B14" s="5" t="inlineStr">
        <is>
          <t>B</t>
        </is>
      </c>
      <c r="C14" s="5" t="inlineStr">
        <is>
          <t>中</t>
        </is>
      </c>
      <c r="D14" s="5" t="inlineStr">
        <is>
          <t>計画全体</t>
        </is>
      </c>
      <c r="E14" s="5" t="inlineStr">
        <is>
          <t>章別・節別のページ配分</t>
        </is>
      </c>
      <c r="F14" s="5" t="inlineStr">
        <is>
          <t>第2章第2〜6節が方針記述1〜2段落のみで、資料受領後の増補量が確保されていない。成果品仕様（本文約100頁）に対する分量設計が未定。</t>
        </is>
      </c>
      <c r="G14" s="5" t="inlineStr">
        <is>
          <t>第9期計画では第2章第3節にニーズ調査結果8頁、第4節に在宅介護実態14頁の実データを掲載していたが、第9稿の同節はいずれも1〜2段落。</t>
        </is>
      </c>
      <c r="H14" s="5" t="inlineStr">
        <is>
          <t>章別・節別のページ配分表を作成し、資料受領後の増補量を事前に確保する。11月の計画素案更新前までに確定する。</t>
        </is>
      </c>
      <c r="I14" s="5" t="inlineStr">
        <is>
          <t>第9期計画 第2章／業務仕様（本文約100頁・200部）</t>
        </is>
      </c>
      <c r="J14" s="7" t="inlineStr">
        <is>
          <t>要（広域連合と分量方針を協議）</t>
        </is>
      </c>
      <c r="K14" s="8" t="inlineStr"/>
      <c r="L14" s="10" t="inlineStr">
        <is>
          <t>別成果物で対応</t>
        </is>
      </c>
    </row>
    <row r="15">
      <c r="A15" s="5" t="inlineStr">
        <is>
          <t>B-5</t>
        </is>
      </c>
      <c r="B15" s="5" t="inlineStr">
        <is>
          <t>B</t>
        </is>
      </c>
      <c r="C15" s="5" t="inlineStr">
        <is>
          <t>低</t>
        </is>
      </c>
      <c r="D15" s="5" t="inlineStr">
        <is>
          <t>第1章第9節／資料編</t>
        </is>
      </c>
      <c r="E15" s="5" t="inlineStr">
        <is>
          <t>本文中の出典URL</t>
        </is>
      </c>
      <c r="F15" s="5" t="inlineStr">
        <is>
          <t>厚生労働省の資料URLが本文中に直書きされている。印刷物としては脚注または資料編への集約が通例。</t>
        </is>
      </c>
      <c r="G15" s="5" t="inlineStr">
        <is>
          <t>第1章第9節に基本指針案・介護保険最新情報Vol.1525のURL、資料編末尾に7件のURLを本文段落として記載。</t>
        </is>
      </c>
      <c r="H15" s="5" t="inlineStr">
        <is>
          <t>本文中のURLは脚注又は資料編「資料5 主な参照資料」へ集約し、本文には資料名と公表日のみを記載する。</t>
        </is>
      </c>
      <c r="I15" s="5" t="inlineStr">
        <is>
          <t>計画素案 第1章第9節・資料編</t>
        </is>
      </c>
      <c r="J15" s="5" t="inlineStr">
        <is>
          <t>不要</t>
        </is>
      </c>
      <c r="K15" s="8" t="inlineStr"/>
      <c r="L15" s="10" t="inlineStr">
        <is>
          <t>別成果物で対応</t>
        </is>
      </c>
    </row>
    <row r="16">
      <c r="A16" s="5" t="inlineStr">
        <is>
          <t>B-6</t>
        </is>
      </c>
      <c r="B16" s="5" t="inlineStr">
        <is>
          <t>B</t>
        </is>
      </c>
      <c r="C16" s="5" t="inlineStr">
        <is>
          <t>低</t>
        </is>
      </c>
      <c r="D16" s="5" t="inlineStr">
        <is>
          <t>資料編 末尾</t>
        </is>
      </c>
      <c r="E16" s="5" t="inlineStr">
        <is>
          <t>「第7稿追加参照データ」</t>
        </is>
      </c>
      <c r="F16" s="5" t="inlineStr">
        <is>
          <t>版ラベル（作業用表示）が資料編に残存している。第8稿にあった作業用表示121件は第9稿でほぼ分離済みだが、この1件が残る。</t>
        </is>
      </c>
      <c r="G16" s="5" t="inlineStr">
        <is>
          <t>「第7稿追加参照データ」という見出しの下に見える化D25〜D48の取得データを記載。</t>
        </is>
      </c>
      <c r="H16" s="5" t="inlineStr">
        <is>
          <t>版ラベルを削除し、直前の「令和8年7月22日反映データ」に統合する。</t>
        </is>
      </c>
      <c r="I16" s="5" t="inlineStr">
        <is>
          <t>確認事項メモ 1.「版ごとの更新履歴は計画本文から分離する」</t>
        </is>
      </c>
      <c r="J16" s="5" t="inlineStr">
        <is>
          <t>不要</t>
        </is>
      </c>
      <c r="K16" s="8" t="inlineStr"/>
      <c r="L16" s="9" t="inlineStr">
        <is>
          <t>反映済</t>
        </is>
      </c>
    </row>
    <row r="17">
      <c r="A17" s="5" t="inlineStr">
        <is>
          <t>B-7</t>
        </is>
      </c>
      <c r="B17" s="5" t="inlineStr">
        <is>
          <t>B</t>
        </is>
      </c>
      <c r="C17" s="5" t="inlineStr">
        <is>
          <t>低</t>
        </is>
      </c>
      <c r="D17" s="5" t="inlineStr">
        <is>
          <t>目次</t>
        </is>
      </c>
      <c r="E17" s="5" t="inlineStr">
        <is>
          <t>目次全体</t>
        </is>
      </c>
      <c r="F17" s="5" t="inlineStr">
        <is>
          <t>目次が手打ちで、ページ番号が「最終組版時に更新」となっている。第9稿で見出しスタイル（見出し1／2／3）が適用されたため、自動目次への置換が可能になっている。</t>
        </is>
      </c>
      <c r="G17" s="5" t="inlineStr">
        <is>
          <t>目次は本文スタイル（Normal）で手入力。末尾に「※ページ番号は最終組版時に更新します。」</t>
        </is>
      </c>
      <c r="H17" s="5" t="inlineStr">
        <is>
          <t>Word自動目次（TOCフィールド）へ置換する。ページ番号は組版時にフィールド更新で反映させる。</t>
        </is>
      </c>
      <c r="I17" s="5" t="inlineStr">
        <is>
          <t>切分けメモ 3.「見出しスタイルを設定し目次更新を可能にする」（第9稿で対応済み）</t>
        </is>
      </c>
      <c r="J17" s="5" t="inlineStr">
        <is>
          <t>不要</t>
        </is>
      </c>
      <c r="K17" s="8" t="inlineStr"/>
      <c r="L17" s="9" t="inlineStr">
        <is>
          <t>反映済</t>
        </is>
      </c>
    </row>
    <row r="18">
      <c r="A18" s="5" t="inlineStr">
        <is>
          <t>C-1</t>
        </is>
      </c>
      <c r="B18" s="5" t="inlineStr">
        <is>
          <t>C</t>
        </is>
      </c>
      <c r="C18" s="5" t="inlineStr">
        <is>
          <t>高</t>
        </is>
      </c>
      <c r="D18" s="5" t="inlineStr">
        <is>
          <t>第6章第4節</t>
        </is>
      </c>
      <c r="E18" s="5" t="inlineStr">
        <is>
          <t>表40「施設・居住系サービスの整備見込み」／表41「定員と自然体推計基準利用者の照合」</t>
        </is>
      </c>
      <c r="F18" s="5" t="inlineStr">
        <is>
          <t>【一部解決】見える化D25では地域密着型介護老人福祉施設の定員は平成30年度から令和6年度まで一貫して62人であり、素案の62人は公表値どおりで正しい。ただし第9期計画の掲載定員63人との1人差は残る。</t>
        </is>
      </c>
      <c r="G18" s="5" t="inlineStr">
        <is>
          <t>表40・表41ともに「R7公開定員 62人」、表41の単純比率104.8％。</t>
        </is>
      </c>
      <c r="H18" s="5" t="inlineStr">
        <is>
          <t>表41に「第9期計画掲載定員63人」の列を追加し、1人差の理由（休止床、指定台帳と公表値の差等）を注記する。基準年度は令和6年度に修正する（B-8参照）。</t>
        </is>
      </c>
      <c r="I18" s="5" t="inlineStr">
        <is>
          <t>見える化D25_定員（施設サービス別）：H30〜R6年度62人／第9期計画 第6章第4節：63人（美瑛43＝サテライト特養 燈18＋美瑛慈光園25、東神楽20＝アゼリアハイツ）</t>
        </is>
      </c>
      <c r="J18" s="7" t="inlineStr">
        <is>
          <t>要（1人差の理由を確認）</t>
        </is>
      </c>
      <c r="K18" s="8" t="inlineStr"/>
      <c r="L18" s="8" t="inlineStr">
        <is>
          <t>反映済（照会継続）</t>
        </is>
      </c>
    </row>
    <row r="19">
      <c r="A19" s="5" t="inlineStr">
        <is>
          <t>C-2</t>
        </is>
      </c>
      <c r="B19" s="5" t="inlineStr">
        <is>
          <t>C</t>
        </is>
      </c>
      <c r="C19" s="5" t="inlineStr">
        <is>
          <t>低</t>
        </is>
      </c>
      <c r="D19" s="5" t="inlineStr">
        <is>
          <t>第6章第4節</t>
        </is>
      </c>
      <c r="E19" s="5" t="inlineStr">
        <is>
          <t>表40／表41 特定施設入居者生活介護</t>
        </is>
      </c>
      <c r="F19" s="5" t="inlineStr">
        <is>
          <t>【解決】156人の出所が見える化D26で確認できた。定員は平成27年度から令和6年度まで156人（令和4年度のみ158人）。</t>
        </is>
      </c>
      <c r="G19" s="5" t="inlineStr">
        <is>
          <t>表40・表41ともに「R7公開定員 156人」、表41の単純比率42.3％。</t>
        </is>
      </c>
      <c r="H19" s="5" t="inlineStr">
        <is>
          <t>出所を「見える化D26_定員（居住系サービス別）令和6年度値」として表41の注に明記する。基準年度は令和6年度に修正する（B-8参照）。</t>
        </is>
      </c>
      <c r="I19" s="5" t="inlineStr">
        <is>
          <t>見える化D26_定員（居住系サービス別）：特定施設入居者生活介護 H27〜R6年度156人（R4年度のみ158人）</t>
        </is>
      </c>
      <c r="J19" s="5" t="inlineStr">
        <is>
          <t>不要（確認済み）</t>
        </is>
      </c>
      <c r="K19" s="8" t="inlineStr"/>
      <c r="L19" s="8" t="inlineStr">
        <is>
          <t>反映済（照会継続）</t>
        </is>
      </c>
    </row>
    <row r="20">
      <c r="A20" s="5" t="inlineStr">
        <is>
          <t>C-3</t>
        </is>
      </c>
      <c r="B20" s="5" t="inlineStr">
        <is>
          <t>C</t>
        </is>
      </c>
      <c r="C20" s="5" t="inlineStr">
        <is>
          <t>高</t>
        </is>
      </c>
      <c r="D20" s="5" t="inlineStr">
        <is>
          <t>第6章第3節</t>
        </is>
      </c>
      <c r="E20" s="5" t="inlineStr">
        <is>
          <t>表36／表38</t>
        </is>
      </c>
      <c r="F20" s="5" t="inlineStr">
        <is>
          <t>第9期計画の給付費との前期比較が記載されておらず、第10期の水準が高いのか低いのか判断できない。「総給付費」の語が第9期計画では2階層で使われているため、誤読の恐れがある。</t>
        </is>
      </c>
      <c r="G20" s="5" t="inlineStr">
        <is>
          <t>表36「自然体給付費合計（参考）」第10期計9,267.4百万円。前期比の記載なし。</t>
        </is>
      </c>
      <c r="H20" s="5" t="inlineStr">
        <is>
          <t>「第9期89.05億円→第10期92.67億円（＋4.1％）」と前期比を併記する。第9期の総給付費は標準給付費見込額（95.19億円）や地域支援事業費を含む合計（101.13億円）とは異なる階層の数値であることを注記する。</t>
        </is>
      </c>
      <c r="I20" s="5" t="inlineStr">
        <is>
          <t>第9期計画 第6章第3節（3）：総給付費 R6 2,924,324千円＋R7 2,979,919千円＋R8 3,000,991千円＝8,905,234千円</t>
        </is>
      </c>
      <c r="J20" s="5" t="inlineStr">
        <is>
          <t>不要（数値確定済み）</t>
        </is>
      </c>
      <c r="K20" s="8" t="inlineStr"/>
      <c r="L20" s="9" t="inlineStr">
        <is>
          <t>反映済</t>
        </is>
      </c>
    </row>
    <row r="21">
      <c r="A21" s="5" t="inlineStr">
        <is>
          <t>C-4</t>
        </is>
      </c>
      <c r="B21" s="5" t="inlineStr">
        <is>
          <t>C</t>
        </is>
      </c>
      <c r="C21" s="5" t="inlineStr">
        <is>
          <t>高</t>
        </is>
      </c>
      <c r="D21" s="5" t="inlineStr">
        <is>
          <t>第3章第1節／資料編 資料1</t>
        </is>
      </c>
      <c r="E21" s="5" t="inlineStr">
        <is>
          <t>表9「第9期の4指標」／H05の定義</t>
        </is>
      </c>
      <c r="F21" s="5" t="inlineStr">
        <is>
          <t>第9期の「通いの場参加率（月1回以上）」と第10期H05「月1回以上の社会参加率（会・グループ・地域活動等）」は分子の範囲が異なるため、基準値7.3％をH05に流用できない可能性がある。第9期評価との連続性が切れる。</t>
        </is>
      </c>
      <c r="G21" s="5" t="inlineStr">
        <is>
          <t>表9：通いの場参加率 基準値R4 7.3％／目標R6 8.0％→R8 10.0％／第10期での扱い「実人数・継続・地区別カバー」。資料編 資料1：H05は「本人単位で月1回以上参加する割合」。</t>
        </is>
      </c>
      <c r="H21" s="5" t="inlineStr">
        <is>
          <t>ニーズ調査の設問一致を確認したうえで、通いの場参加率を施策管理指標として存置し、H05とは別管理とする。第9期4指標と第10期16KPIの新旧対照表を資料編に追加する。</t>
        </is>
      </c>
      <c r="I21" s="5" t="inlineStr">
        <is>
          <t>第9期計画 第1章第6節（2）アウトプット指標①／KPI定義書 H05の定義</t>
        </is>
      </c>
      <c r="J21" s="7" t="inlineStr">
        <is>
          <t>要（ニーズ調査の設問を確認）</t>
        </is>
      </c>
      <c r="K21" s="8" t="inlineStr"/>
      <c r="L21" s="9" t="inlineStr">
        <is>
          <t>反映済</t>
        </is>
      </c>
    </row>
    <row r="22">
      <c r="A22" s="5" t="inlineStr">
        <is>
          <t>C-5</t>
        </is>
      </c>
      <c r="B22" s="5" t="inlineStr">
        <is>
          <t>C</t>
        </is>
      </c>
      <c r="C22" s="5" t="inlineStr">
        <is>
          <t>中</t>
        </is>
      </c>
      <c r="D22" s="5" t="inlineStr">
        <is>
          <t>第2章第5節</t>
        </is>
      </c>
      <c r="E22" s="5" t="inlineStr">
        <is>
          <t>介護事業所の現状（第9期の介護人材実態調査）</t>
        </is>
      </c>
      <c r="F22" s="5" t="inlineStr">
        <is>
          <t>回答施設数のみ記載され回収率がないため、第10期事業所実態調査の目標回収率の根拠として使えない。</t>
        </is>
      </c>
      <c r="G22" s="5" t="inlineStr">
        <is>
          <t>「第9期の介護人材実態調査は27施設、該当職員405人を把握し、30代以下の正規職員入職割合が63.5％であること…を示しました。」</t>
        </is>
      </c>
      <c r="H22" s="5" t="inlineStr">
        <is>
          <t>「対象35事業所のうち27施設が回答（回収率77.1％）」と対象数・回収率を追記する。第10期事業所実態調査の目標回収率設定の根拠として用いる。</t>
        </is>
      </c>
      <c r="I22" s="5" t="inlineStr">
        <is>
          <t>第9期計画 第1章第5節1（対象35事業所）／第2章第5節1（4）回答者27施設・該当者405人</t>
        </is>
      </c>
      <c r="J22" s="5" t="inlineStr">
        <is>
          <t>不要（数値確定済み）</t>
        </is>
      </c>
      <c r="K22" s="8" t="inlineStr"/>
      <c r="L22" s="8" t="inlineStr">
        <is>
          <t>反映済（照会継続）</t>
        </is>
      </c>
    </row>
    <row r="23">
      <c r="A23" s="5" t="inlineStr">
        <is>
          <t>A-7</t>
        </is>
      </c>
      <c r="B23" s="5" t="inlineStr">
        <is>
          <t>A</t>
        </is>
      </c>
      <c r="C23" s="5" t="inlineStr">
        <is>
          <t>最優先</t>
        </is>
      </c>
      <c r="D23" s="5" t="inlineStr">
        <is>
          <t>計画全体／工程表／KPI定義書</t>
        </is>
      </c>
      <c r="E23" s="5" t="inlineStr">
        <is>
          <t>事業所実態調査の位置付け</t>
        </is>
      </c>
      <c r="F23" s="5" t="inlineStr">
        <is>
          <t>仕様書は「新たなアンケート調査の企画、設計、配布、回収、入力及び督促は行わない」と明記し、委託費内訳書にも調査実施の費目がない。事業所実態調査の新規実施は業務範囲外である。</t>
        </is>
      </c>
      <c r="G23" s="5" t="inlineStr">
        <is>
          <t>提案資料・素案は事業所実態調査をこれから実施する前提（工程表No.10 R8年8月17日〜10月9日、資料依頼No.10、KPI H12・H13・H14・H16のデータ源、第1回委員会資料の協議事項④）。</t>
        </is>
      </c>
      <c r="H23" s="5" t="inlineStr">
        <is>
          <t>委員会前に業務範囲を整理し、3案から方針を決定する。A案：既受領の介護人材実態調査の再分析で代替（H13・H14は取得可、H12・H16は代替指標が必要）。B案：発注者が調査を実施し受託者は設計支援・集計のみ担う（仕様変更又は別途協議）。C案：供給制約の検証を給付実績・指定台帳・ヒアリング等に置換（H12は代理指標へ変更）。</t>
        </is>
      </c>
      <c r="I23" s="5" t="inlineStr">
        <is>
          <t>仕様書４（３）／起工伺 委託費内訳書1号・2号（調査実施の費目なし）</t>
        </is>
      </c>
      <c r="J23" s="7" t="inlineStr">
        <is>
          <t>要（業務範囲を決定）</t>
        </is>
      </c>
      <c r="K23" s="8" t="inlineStr"/>
      <c r="L23" s="8" t="inlineStr">
        <is>
          <t>反映済（照会継続）</t>
        </is>
      </c>
    </row>
    <row r="24">
      <c r="A24" s="5" t="inlineStr">
        <is>
          <t>A-8</t>
        </is>
      </c>
      <c r="B24" s="5" t="inlineStr">
        <is>
          <t>A</t>
        </is>
      </c>
      <c r="C24" s="5" t="inlineStr">
        <is>
          <t>高</t>
        </is>
      </c>
      <c r="D24" s="5" t="inlineStr">
        <is>
          <t>第2章第3節／KPI定義書／工程表</t>
        </is>
      </c>
      <c r="E24" s="5" t="inlineStr">
        <is>
          <t>調査名称の統一と対象者範囲の確認</t>
        </is>
      </c>
      <c r="F24" s="5" t="inlineStr">
        <is>
          <t>【一部解決】令和7年度 健康とくらしの調査（JAGES調査）の成果物を受領し照合した結果、第9期計画の「ニーズ調査」と同一の調査体系であることを確認した。指標定義（基本チェックリストの該当項目数等）も一致し、経年比較が可能である。ただし報告書に「調査対象者に要介護者、要支援者、事業対象者を含んでいる保険者がある」との記述があり、大雪地区広域連合が該当するかが明示されていない。</t>
        </is>
      </c>
      <c r="G24" s="5" t="inlineStr">
        <is>
          <t>素案 第2章第3節、KPI定義書 H04・H05のデータ源はいずれも「介護予防・日常生活圏域ニーズ調査」。令和7年度調査は対象7,121人・回収4,798票（67.4％）・集計4,729票、令和4年度調査は対象7,239人・回収4,626票（63.9％）。</t>
        </is>
      </c>
      <c r="H24" s="5" t="inlineStr">
        <is>
          <t>計画本文・KPI定義書の調査名称を「健康とくらしの調査（JAGES調査）」に統一する。対象者に認定者を含むかを広域連合に確認する。対象者数の逆算（令和7年は第1号9,090人－認定者1,984人＝7,106人に対し対象7,121人、令和4年は9,245人－1,903人＝7,342人に対し対象7,239人）から、両年とも非認定者が対象と推定されるが確認を要する。H04の基準値はフレイル該当割合19.1％（令和7年度）、H05は社会参加6区分から採用指標を決定する。</t>
        </is>
      </c>
      <c r="I24" s="5" t="inlineStr">
        <is>
          <t>令和7年度 健康とくらしの調査 報告書「３．調査実施の概要」「４．（１）集計数及び集計についての注意」／第9期計画 第1章第5節・第2章第3節</t>
        </is>
      </c>
      <c r="J24" s="7" t="inlineStr">
        <is>
          <t>要（対象者範囲を確認）</t>
        </is>
      </c>
      <c r="K24" s="8" t="inlineStr"/>
      <c r="L24" s="7" t="inlineStr">
        <is>
          <t>照会・資料待ち</t>
        </is>
      </c>
    </row>
    <row r="25">
      <c r="A25" s="5" t="inlineStr">
        <is>
          <t>A-9</t>
        </is>
      </c>
      <c r="B25" s="5" t="inlineStr">
        <is>
          <t>A</t>
        </is>
      </c>
      <c r="C25" s="5" t="inlineStr">
        <is>
          <t>最優先</t>
        </is>
      </c>
      <c r="D25" s="5" t="inlineStr">
        <is>
          <t>資料編 資料1／KPI定義書</t>
        </is>
      </c>
      <c r="E25" s="5" t="inlineStr">
        <is>
          <t>H07・H08のデータ源</t>
        </is>
      </c>
      <c r="F25" s="5" t="inlineStr">
        <is>
          <t>H07（主介護者の高負担割合）・H08（介護離職懸念）のデータ源である在宅介護実態調査が、仕様書の対象調査に含まれていない。</t>
        </is>
      </c>
      <c r="G25" s="5" t="inlineStr">
        <is>
          <t>KPI定義書 H07・H08のデータ源は「在宅介護実態調査」。仕様書の対象は在宅生活改善・居所変更・介護人材・JAGESの4調査。</t>
        </is>
      </c>
      <c r="H25" s="5" t="inlineStr">
        <is>
          <t>在宅介護実態調査の実施予定を確認する。実施されない場合は、H07・H08を在宅生活改善調査又はJAGES調査の設問から再設計するか、補完分析から外して施策管理指標へ移す。</t>
        </is>
      </c>
      <c r="I25" s="5" t="inlineStr">
        <is>
          <t>仕様書４（３）／KPI定義書 運用定義シート H07・H08</t>
        </is>
      </c>
      <c r="J25" s="7" t="inlineStr">
        <is>
          <t>要（実施予定を確認）</t>
        </is>
      </c>
      <c r="K25" s="8" t="inlineStr"/>
      <c r="L25" s="8" t="inlineStr">
        <is>
          <t>反映済（照会継続）</t>
        </is>
      </c>
    </row>
    <row r="26">
      <c r="A26" s="5" t="inlineStr">
        <is>
          <t>A-10</t>
        </is>
      </c>
      <c r="B26" s="5" t="inlineStr">
        <is>
          <t>A</t>
        </is>
      </c>
      <c r="C26" s="5" t="inlineStr">
        <is>
          <t>最優先</t>
        </is>
      </c>
      <c r="D26" s="5" t="inlineStr">
        <is>
          <t>第3章第1節／第4章第3節／KPI定義書</t>
        </is>
      </c>
      <c r="E26" s="5" t="inlineStr">
        <is>
          <t>H01 年齢調整済要介護認定率の基準値</t>
        </is>
      </c>
      <c r="F26" s="5" t="inlineStr">
        <is>
          <t>見える化には調整済み認定率が2系列あり、18.4％は【注目する地域のみ】の値で他地域と比較できない。他地域と比較可能な【他地域と比較】系列は16.7％であり、KPIの運用定義（北海道・全国と比較）と整合しない。令和8年7月29日に受領した見える化W144により、国が全保険者を共通の方法で算定した「性・年齢調整済み要介護2以上の認定率」が得られ、この選択問題を解消できることが判明した。</t>
        </is>
      </c>
      <c r="G26" s="5" t="inlineStr">
        <is>
          <t>素案・KPI定義書・委員会資料・3町役割分担表のすべてが「調整済み認定率18.4％（令和7年度）」を基準値としている。見える化W144：性・年齢調整済み要介護2以上の認定率　大雪9.25％・北海道8.59％・全国8.99％（令和5年調査）。見える化W145：同変化率　大雪＋1.76・北海道▲1.71・全国▲0.37。</t>
        </is>
      </c>
      <c r="H26" s="5" t="inlineStr">
        <is>
          <t>H01のデータ源をW144（保険者機能強化推進交付金 評価指標Ⅳ-5「健康寿命延伸の状況（性・年齢調整済み要介護2以上の認定率）」）とし、基準値を9.25％（令和5年調査）に改める。国が毎年算定・公表しており全国・北海道と直接比較できるため、B5-aの2系列の選択問題も解消する。目標は「全国平均以下」とする。大雪は現に全国を上回り、かつ全国・北海道が低下する中で唯一上昇しているため、「維持」ではなく「低下」を目標とする必要がある。B5-aは補完指標として資料編に残し、その際は【他地域と比較】系列16.7％を用い、基準時点を「令和7年度」から「令和7年3月末時点（令和6年度末）」に修正する。</t>
        </is>
      </c>
      <c r="I26" s="5" t="inlineStr">
        <is>
          <t>見える化W144・W145／B5-a：【注目する地域のみ】18.4％（令和6年3月末・令和7年3月末時点）／【他地域と比較】16.7％（令和7年3月末時点）</t>
        </is>
      </c>
      <c r="J26" s="7" t="inlineStr">
        <is>
          <t>要（W144の採用を決定）</t>
        </is>
      </c>
      <c r="K26" s="8" t="inlineStr"/>
      <c r="L26" s="9" t="inlineStr">
        <is>
          <t>反映済</t>
        </is>
      </c>
    </row>
    <row r="27">
      <c r="A27" s="5" t="inlineStr">
        <is>
          <t>B-8</t>
        </is>
      </c>
      <c r="B27" s="5" t="inlineStr">
        <is>
          <t>B</t>
        </is>
      </c>
      <c r="C27" s="5" t="inlineStr">
        <is>
          <t>高</t>
        </is>
      </c>
      <c r="D27" s="5" t="inlineStr">
        <is>
          <t>第6章第4節</t>
        </is>
      </c>
      <c r="E27" s="5" t="inlineStr">
        <is>
          <t>表40／表41 定員の基準年度</t>
        </is>
      </c>
      <c r="F27" s="5" t="inlineStr">
        <is>
          <t>定員を「R7公開定員」としているが、見える化D25・D26の定員データは令和6年度が最新であり、令和7年度の値は存在しない。</t>
        </is>
      </c>
      <c r="G27" s="5" t="inlineStr">
        <is>
          <t>表40「R7公開定員」、表41「R7公開定員」（介護老人福祉施設160・老健240・GH99・特定施設156・地域密着型特養62）。</t>
        </is>
      </c>
      <c r="H27" s="5" t="inlineStr">
        <is>
          <t>「令和6年度公表定員」に修正する。掲載値自体はすべて見える化D25・D26の令和6年度値と一致しており、数値の変更は不要。</t>
        </is>
      </c>
      <c r="I27" s="5" t="inlineStr">
        <is>
          <t>見える化D25・D26（列は平成27年度〜令和6年度）</t>
        </is>
      </c>
      <c r="J27" s="5" t="inlineStr">
        <is>
          <t>不要（確認済み）</t>
        </is>
      </c>
      <c r="K27" s="8" t="inlineStr"/>
      <c r="L27" s="9" t="inlineStr">
        <is>
          <t>反映済</t>
        </is>
      </c>
    </row>
    <row r="28">
      <c r="A28" s="5" t="inlineStr">
        <is>
          <t>B-9</t>
        </is>
      </c>
      <c r="B28" s="5" t="inlineStr">
        <is>
          <t>B</t>
        </is>
      </c>
      <c r="C28" s="5" t="inlineStr">
        <is>
          <t>中</t>
        </is>
      </c>
      <c r="D28" s="5" t="inlineStr">
        <is>
          <t>工程表 全体工程／成果物・レビュー管理</t>
        </is>
      </c>
      <c r="E28" s="5" t="inlineStr">
        <is>
          <t>発注者の段階承認と工程のずれ</t>
        </is>
      </c>
      <c r="F28" s="5" t="inlineStr">
        <is>
          <t>仕様書は「各工程終了後、発注者が指定する期日までに成果物を提出し、発注者の確認を受けた上で次工程へ進む」と定めるが、工程表・成果物レビュー管理表にこのゲートが明示されていない。また仕様書は9月に人口推計・現状分析を求めるが工程表は10月開始。</t>
        </is>
      </c>
      <c r="G28" s="5" t="inlineStr">
        <is>
          <t>工程表は開始日・終了日・進捗のみ。No.15「人口・世帯の将来推計」は2026年10月1日開始。</t>
        </is>
      </c>
      <c r="H28" s="5" t="inlineStr">
        <is>
          <t>各作業群の末尾に「発注者確認」の行を追加し、確認完了日を次工程の開始条件として明示する。あわせて人口推計・現状分析の開始を9月に前倒しできるか協議する。</t>
        </is>
      </c>
      <c r="I28" s="5" t="inlineStr">
        <is>
          <t>仕様書５ 業務スケジュール（予定）／仕様書４（10）</t>
        </is>
      </c>
      <c r="J28" s="7" t="inlineStr">
        <is>
          <t>要（工程の前倒し可否を協議）</t>
        </is>
      </c>
      <c r="K28" s="8" t="inlineStr"/>
      <c r="L28" s="10" t="inlineStr">
        <is>
          <t>別成果物で対応</t>
        </is>
      </c>
    </row>
    <row r="29">
      <c r="A29" s="5" t="inlineStr">
        <is>
          <t>B-10</t>
        </is>
      </c>
      <c r="B29" s="5" t="inlineStr">
        <is>
          <t>B</t>
        </is>
      </c>
      <c r="C29" s="5" t="inlineStr">
        <is>
          <t>高</t>
        </is>
      </c>
      <c r="D29" s="5" t="inlineStr">
        <is>
          <t>第2章第4節／計画本文全般</t>
        </is>
      </c>
      <c r="E29" s="5" t="inlineStr">
        <is>
          <t>小標本調査の記述ルール</t>
        </is>
      </c>
      <c r="F29" s="5" t="inlineStr">
        <is>
          <t>第9期計画は在宅介護実態調査（n=37）・在宅生活改善調査（n=45）の結果について「○ポイント減少しています」と断定的に記述しているが、検定すると15項目中12項目は統計的な差が確認できない。第10期で同じ記述をすると誤った施策判断につながる。</t>
        </is>
      </c>
      <c r="G29" s="5" t="inlineStr">
        <is>
          <t>第9期計画 第2章第4節の差分記述15項目。n=37では1人が2.7ポイント、95％信頼区間は±16.1ポイントに達する。有意なのは在宅生活改善調査の「独居」＋19.6pt、「居宅サービス望まず」－16.5pt、「サ高住等」＋12.9ptの3項目のみ。</t>
        </is>
      </c>
      <c r="H29" s="5" t="inlineStr">
        <is>
          <t>計画本文の記述ルールを定める。①回答数が概ね100未満の調査結果は、差分を断定せず「統計的な差は確認できない」旨を併記する。②各図表にnを明記する。③経年比較は標本サイズの変動（在宅介護実態調査はR2 76人→R5 37人と半減）を注記する。④健康とくらしの調査（n≈4,700・95％CI±1.4pt）と小標本調査を同じ確度で扱わない。</t>
        </is>
      </c>
      <c r="I29" s="5" t="inlineStr">
        <is>
          <t>第9期計画 第2章第4節1・3／2標本の母比率の差の検定（両側・正規近似、有意水準5％）</t>
        </is>
      </c>
      <c r="J29" s="5" t="inlineStr">
        <is>
          <t>不要（記述方針）</t>
        </is>
      </c>
      <c r="K29" s="8" t="inlineStr"/>
      <c r="L29" s="9" t="inlineStr">
        <is>
          <t>反映済</t>
        </is>
      </c>
    </row>
    <row r="30">
      <c r="A30" s="5" t="inlineStr">
        <is>
          <t>B-11</t>
        </is>
      </c>
      <c r="B30" s="5" t="inlineStr">
        <is>
          <t>B</t>
        </is>
      </c>
      <c r="C30" s="5" t="inlineStr">
        <is>
          <t>中</t>
        </is>
      </c>
      <c r="D30" s="5" t="inlineStr">
        <is>
          <t>計画全体／図表集</t>
        </is>
      </c>
      <c r="E30" s="5" t="inlineStr">
        <is>
          <t>図表番号の付与</t>
        </is>
      </c>
      <c r="F30" s="5" t="inlineStr">
        <is>
          <t>第9期計画は図表に番号を付けず【　】括弧のキャプションのみで管理しており、本文から特定の図表を参照できない。また第2章第3節は丸数字①〜⑪の次が（2）（3）（4）に変わり、同一節の中で採番方式が途中で切り替わっている。</t>
        </is>
      </c>
      <c r="G30" s="5" t="inlineStr">
        <is>
          <t>第9期計画の【　】括弧キャプションは34か所。うち図表のキャプションは16か所で、第2章第4節・第5節の調査結果グラフには見出し番号すらない。</t>
        </is>
      </c>
      <c r="H30" s="5" t="inlineStr">
        <is>
          <t>第10期は「図N-M」の通し番号を付す（Nは図表集のシート単位、Mはシート内の掲載順）。本文キャプションは第9期の体裁を踏襲し「図1-1【人口の推移（大雪地区広域連合・構成3町）】」とし、図の下に「資料：〜」の1行を置く。図表集21シート「図表番号一覧」を正本とし、章構成の変更時は同シートを先に更新してから本文・図表集へ反映する。</t>
        </is>
      </c>
      <c r="I30" s="5" t="inlineStr">
        <is>
          <t>第9期計画 全体／図表集 21_図表番号一覧（全104点・本文91点／資料編12点／参考1点）</t>
        </is>
      </c>
      <c r="J30" s="5" t="inlineStr">
        <is>
          <t>不要（表記方針）</t>
        </is>
      </c>
      <c r="K30" s="8" t="inlineStr"/>
      <c r="L30" s="9" t="inlineStr">
        <is>
          <t>反映済</t>
        </is>
      </c>
    </row>
    <row r="31">
      <c r="A31" s="5" t="inlineStr">
        <is>
          <t>B-12</t>
        </is>
      </c>
      <c r="B31" s="5" t="inlineStr">
        <is>
          <t>B</t>
        </is>
      </c>
      <c r="C31" s="5" t="inlineStr">
        <is>
          <t>中</t>
        </is>
      </c>
      <c r="D31" s="5" t="inlineStr">
        <is>
          <t>第2章第3節／資料編</t>
        </is>
      </c>
      <c r="E31" s="5" t="inlineStr">
        <is>
          <t>追加6指標の掲載箇所</t>
        </is>
      </c>
      <c r="F31" s="5" t="inlineStr">
        <is>
          <t>令和7年度 健康とくらしの調査は20指標を集計しているが、第9期計画 第2章第3節が掲載したのは14指標である。差の6指標（幸福感・就労状況・スポーツの会・趣味の会・学習教養サークル・特技を伝える活動）の掲載箇所が未決である。</t>
        </is>
      </c>
      <c r="G31" s="5" t="inlineStr">
        <is>
          <t>第9期計画 第2章第3節は①〜⑪と（2）通いの場・（3）ボランティア・（4）社会的ネットワークの計14指標。うちスポーツの会・趣味の会・学習教養サークル・特技を伝える活動の4指標は第10期の代表KPI H05の構成指標にあたる。</t>
        </is>
      </c>
      <c r="H31" s="5" t="inlineStr">
        <is>
          <t>H05を「月1回以上の社会参加率（会・グループ・地域活動等）」として6区分の合成で定義する以上、構成指標4点は本文（第2章第3節）に掲載することを推奨する。幸福感・就労状況の2指標は資料編とする。図表集では暫定的に6指標12点を資料編扱いとしているため、決定後に21シートを更新する。</t>
        </is>
      </c>
      <c r="I31" s="5" t="inlineStr">
        <is>
          <t>令和7年度 健康とくらしの調査 集計結果／第9期計画 第2章第3節／資料編 資料1（H05の定義）</t>
        </is>
      </c>
      <c r="J31" s="7" t="inlineStr">
        <is>
          <t>要（掲載箇所を決定）</t>
        </is>
      </c>
      <c r="K31" s="8" t="inlineStr"/>
      <c r="L31" s="10" t="inlineStr">
        <is>
          <t>別成果物で対応</t>
        </is>
      </c>
    </row>
    <row r="32">
      <c r="A32" s="5" t="inlineStr">
        <is>
          <t>C-6</t>
        </is>
      </c>
      <c r="B32" s="5" t="inlineStr">
        <is>
          <t>C</t>
        </is>
      </c>
      <c r="C32" s="5" t="inlineStr">
        <is>
          <t>高</t>
        </is>
      </c>
      <c r="D32" s="5" t="inlineStr">
        <is>
          <t>図表集 03／第2章第1節</t>
        </is>
      </c>
      <c r="E32" s="5" t="inlineStr">
        <is>
          <t>高齢夫婦世帯数</t>
        </is>
      </c>
      <c r="F32" s="5" t="inlineStr">
        <is>
          <t>見える化A8の高齢夫婦世帯数が第9期計画の掲載値と一致しない。平成22年は一致するが、平成27年で82世帯、令和2年で177世帯の差がある。</t>
        </is>
      </c>
      <c r="G32" s="5" t="inlineStr">
        <is>
          <t>第9期計画：H22 1,461／H27 1,697／R2 1,950世帯（令和2年の構成割合34.7％）。見える化A8：H22 1,461／H27 1,615／R2 1,773世帯（同31.5％相当）。</t>
        </is>
      </c>
      <c r="H32" s="5" t="inlineStr">
        <is>
          <t>「高齢者夫婦世帯」と「高齢夫婦世帯」の定義差（夫婦のみ世帯か夫婦＋他を含むか）を確認し、第10期で採用する定義と数値を確定する。一般世帯数・高齢者を含む世帯数・高齢独居世帯数の3系列は完全に一致している。</t>
        </is>
      </c>
      <c r="I32" s="5" t="inlineStr">
        <is>
          <t>見える化A8_高齢夫婦世帯数／第9期計画 第2章第1節2</t>
        </is>
      </c>
      <c r="J32" s="7" t="inlineStr">
        <is>
          <t>要（定義を確認）</t>
        </is>
      </c>
      <c r="K32" s="8" t="inlineStr"/>
      <c r="L32" s="10" t="inlineStr">
        <is>
          <t>別成果物で対応</t>
        </is>
      </c>
    </row>
    <row r="33">
      <c r="A33" s="5" t="inlineStr">
        <is>
          <t>C-7</t>
        </is>
      </c>
      <c r="B33" s="5" t="inlineStr">
        <is>
          <t>C</t>
        </is>
      </c>
      <c r="C33" s="5" t="inlineStr">
        <is>
          <t>最優先</t>
        </is>
      </c>
      <c r="D33" s="5" t="inlineStr">
        <is>
          <t>第2章第1節／第6章第1節／図表集</t>
        </is>
      </c>
      <c r="E33" s="5" t="inlineStr">
        <is>
          <t>人口統計の基準の統一</t>
        </is>
      </c>
      <c r="F33" s="5" t="inlineStr">
        <is>
          <t>第9期計画の人口・高齢化率は住民基本台帳（各年10月1日）、素案第6章の推計と見える化A1〜A4は国勢調査＋社人研推計で、基準が二本立てになっている。令和5年で総人口が382人、高齢化率が1.1ポイント異なる。</t>
        </is>
      </c>
      <c r="G33" s="5" t="inlineStr">
        <is>
          <t>第9期計画（住基）：R5 総人口27,887人・65歳以上9,191人・高齢化率33.0％。見える化（国勢調査・社人研）：同27,505人・9,369人・34.1％。素案 表27のR8基準値26,876人は見える化A1の2026年値と一致。</t>
        </is>
      </c>
      <c r="H33" s="5" t="inlineStr">
        <is>
          <t>第10期は国勢調査・社人研ベースへの統一を推奨する（第6章の推計と現状分析の基準が揃うため）。その場合は第9期計画の図表と数値が変わるため、第2章に基準変更の注記を入れる。</t>
        </is>
      </c>
      <c r="I33" s="5" t="inlineStr">
        <is>
          <t>見える化A1・A2（出典：総務省国勢調査／社人研 日本の地域別将来推計人口）／第9期計画 第2章第1節1（住民基本台帳）</t>
        </is>
      </c>
      <c r="J33" s="7" t="inlineStr">
        <is>
          <t>要（採用基準を決定）</t>
        </is>
      </c>
      <c r="K33" s="8" t="inlineStr"/>
      <c r="L33" s="9" t="inlineStr">
        <is>
          <t>反映済</t>
        </is>
      </c>
    </row>
    <row r="34">
      <c r="A34" s="5" t="inlineStr">
        <is>
          <t>C-8</t>
        </is>
      </c>
      <c r="B34" s="5" t="inlineStr">
        <is>
          <t>C</t>
        </is>
      </c>
      <c r="C34" s="5" t="inlineStr">
        <is>
          <t>高</t>
        </is>
      </c>
      <c r="D34" s="5" t="inlineStr">
        <is>
          <t>図表集 02・03・06／第2章</t>
        </is>
      </c>
      <c r="E34" s="5" t="inlineStr">
        <is>
          <t>町別データの入手</t>
        </is>
      </c>
      <c r="F34" s="5" t="inlineStr">
        <is>
          <t>受領した見える化データは大雪地区広域連合・北海道・全国の3系列のみで、東川町・美瑛町・東神楽町の内訳がない。町別の図表（高齢化率の推移、高齢者世帯、町別出現率）を更新できない。</t>
        </is>
      </c>
      <c r="G34" s="5" t="inlineStr">
        <is>
          <t>A1〜A8、B・C・D系列とも町別の行がない。第9期計画は町別の高齢化率・出現率・世帯を掲載している。</t>
        </is>
      </c>
      <c r="H34" s="5" t="inlineStr">
        <is>
          <t>見える化を保険者内の市町村単位で再出力いただくか、住民基本台帳・介護保険事業状況報告から町別値を別途ご提供いただく。3町の地域差は第10期の主要論点であるため優先度は高い。</t>
        </is>
      </c>
      <c r="I34" s="5" t="inlineStr">
        <is>
          <t>受領データ一式（町別系列なし）／第9期計画 第2章第1節1・2・3</t>
        </is>
      </c>
      <c r="J34" s="7" t="inlineStr">
        <is>
          <t>要（町別データを依頼）</t>
        </is>
      </c>
      <c r="K34" s="8" t="inlineStr"/>
      <c r="L34" s="7" t="inlineStr">
        <is>
          <t>照会・資料待ち</t>
        </is>
      </c>
    </row>
    <row r="35">
      <c r="A35" s="5" t="inlineStr">
        <is>
          <t>A-11</t>
        </is>
      </c>
      <c r="B35" s="5" t="inlineStr">
        <is>
          <t>A</t>
        </is>
      </c>
      <c r="C35" s="5" t="inlineStr">
        <is>
          <t>最優先</t>
        </is>
      </c>
      <c r="D35" s="5" t="inlineStr">
        <is>
          <t>第2章第2節／第4章第3節</t>
        </is>
      </c>
      <c r="E35" s="5" t="inlineStr">
        <is>
          <t>給付水準の要因分解</t>
        </is>
      </c>
      <c r="F35" s="5" t="inlineStr">
        <is>
          <t>給付水準の高さの要因が、認定率ではなく受給率と受給者1人あたり給付月額にあることが見える化D49で確認できるが、素案の第2章に要因分解がなく、KPIも認定率系に偏っている。</t>
        </is>
      </c>
      <c r="G35" s="5" t="inlineStr">
        <is>
          <t>見える化D49の地域差指数（令和5年、全国＝1.00）は、第1号1人あたり給付月額1.08・受給率1.08・受給者1人あたり給付月額1.06に対し、性年齢調整後の認定率は1.02。北海道は0.94／0.97／0.92／1.07。</t>
        </is>
      </c>
      <c r="H35" s="5" t="inlineStr">
        <is>
          <t>第2章第2節に地域差指数による要因分解を新設し、受給率・受給者単価をモニタリング指標に加える。ただしD49の受給率の分母（第1号被保険者か認定者か）が出力ファイルから確認できず、見える化D42の介護サービス利用率（低下傾向）と方向が一致しないため、定義を確定してから掲載する。</t>
        </is>
      </c>
      <c r="I35" s="5" t="inlineStr">
        <is>
          <t>見える化D49（令和5年・地域別）／見える化D42（介護サービス利用率）</t>
        </is>
      </c>
      <c r="J35" s="7" t="inlineStr">
        <is>
          <t>要（受給率の定義を確認）</t>
        </is>
      </c>
      <c r="K35" s="8" t="inlineStr"/>
      <c r="L35" s="9" t="inlineStr">
        <is>
          <t>反映済</t>
        </is>
      </c>
    </row>
    <row r="36">
      <c r="A36" s="5" t="inlineStr">
        <is>
          <t>A-12</t>
        </is>
      </c>
      <c r="B36" s="5" t="inlineStr">
        <is>
          <t>A</t>
        </is>
      </c>
      <c r="C36" s="5" t="inlineStr">
        <is>
          <t>最優先</t>
        </is>
      </c>
      <c r="D36" s="5" t="inlineStr">
        <is>
          <t>第2章第1節／第2章第2節</t>
        </is>
      </c>
      <c r="E36" s="5" t="inlineStr">
        <is>
          <t>介護サービス利用率の低下</t>
        </is>
      </c>
      <c r="F36" s="5" t="inlineStr">
        <is>
          <t>介護サービス利用率が平成28年度82.2％から令和6年度74.3％へ7.9ポイント低下し、令和6年度の未利用認定者が504人（認定者の25.7％）に達しているが、素案に分析がない。</t>
        </is>
      </c>
      <c r="G36" s="5" t="inlineStr">
        <is>
          <t>見える化D42：認定者1,842人（H28）→1,962人（R6）に対し、受給者は1,515人→1,458人と減少している。</t>
        </is>
      </c>
      <c r="H36" s="5" t="inlineStr">
        <is>
          <t>第2章に介護サービス利用率の推移を新設し、未利用の要因（供給制約・申請先行・軽度者の自立）を分解して記述する。供給制約分をH12（未充足）で管理する。</t>
        </is>
      </c>
      <c r="I36" s="5" t="inlineStr">
        <is>
          <t>見える化D42（平成26年度〜令和6年度）</t>
        </is>
      </c>
      <c r="J36" s="7" t="inlineStr">
        <is>
          <t>要（未利用の要因を照会）</t>
        </is>
      </c>
      <c r="K36" s="8" t="inlineStr"/>
      <c r="L36" s="9" t="inlineStr">
        <is>
          <t>反映済</t>
        </is>
      </c>
    </row>
    <row r="37">
      <c r="A37" s="5" t="inlineStr">
        <is>
          <t>A-13</t>
        </is>
      </c>
      <c r="B37" s="5" t="inlineStr">
        <is>
          <t>A</t>
        </is>
      </c>
      <c r="C37" s="5" t="inlineStr">
        <is>
          <t>最優先</t>
        </is>
      </c>
      <c r="D37" s="5" t="inlineStr">
        <is>
          <t>第2章第1節／第6章第4節</t>
        </is>
      </c>
      <c r="E37" s="5" t="inlineStr">
        <is>
          <t>重度在宅化と供給縮小の同時進行</t>
        </is>
      </c>
      <c r="F37" s="5" t="inlineStr">
        <is>
          <t>重度者の在宅化が急速に進む一方で施設定員が縮小しているが、素案に両者を関連づけた記述がない。</t>
        </is>
      </c>
      <c r="G37" s="5" t="inlineStr">
        <is>
          <t>見える化D38：要介護5の在宅・居住系割合は31.3％（H26）→54.6％（R7）、要介護4は43.9％→49.1％。見える化D25・D26：介護老人福祉施設の定員は234人（H29）→160人（R2以降）で74人減、認知症対応型共同生活介護は117人（R3）→99人（R4以降）で18人減。</t>
        </is>
      </c>
      <c r="H37" s="5" t="inlineStr">
        <is>
          <t>第2章に「重度在宅者の増加と施設定員の縮小」を主要論点として新設し、第6章第4節の整備方針に接続する。定員減少の経緯（施設の休廃止・転換）を確認して注記する。「望んで在宅」か「施設に入れず在宅」かで施策の方向が逆になるため、判別できる把握手段を確保する。あわせて見える化K系列（令和8年7月29日受領）により、定期巡回・随時対応型訪問介護看護、夜間対応型訪問介護、看護小規模多機能型居宅介護の3サービスが制度創設以来13年間、域内に1事業所も存在しないことが確定した。この3サービスは重度者の在宅生活を24時間支える機能を担うものであり、第6章第4節の整備方針に確保方策（3町単独整備・広域整備・旭川市の事業所の活用のいずれか）を明示する。全28サービス種別のうち11種別で域内事業所がゼロである旨の一覧を第2章に新設する（図表集 図24-2）。</t>
        </is>
      </c>
      <c r="I37" s="5" t="inlineStr">
        <is>
          <t>見える化D38・D25・D26（平成27年度〜令和7年度）／K1-a〜e・K2-a〜c・K3-a〜t（平成24年度〜令和6年度）</t>
        </is>
      </c>
      <c r="J37" s="7" t="inlineStr">
        <is>
          <t>要（定員減少の経緯を照会／24時間対応の確保方策を決定）</t>
        </is>
      </c>
      <c r="K37" s="8" t="inlineStr"/>
      <c r="L37" s="8" t="inlineStr">
        <is>
          <t>反映済（照会継続）</t>
        </is>
      </c>
    </row>
    <row r="38">
      <c r="A38" s="5" t="inlineStr">
        <is>
          <t>B-13</t>
        </is>
      </c>
      <c r="B38" s="5" t="inlineStr">
        <is>
          <t>B</t>
        </is>
      </c>
      <c r="C38" s="5" t="inlineStr">
        <is>
          <t>高</t>
        </is>
      </c>
      <c r="D38" s="5" t="inlineStr">
        <is>
          <t>第3章第4節</t>
        </is>
      </c>
      <c r="E38" s="5" t="inlineStr">
        <is>
          <t>第9期KPIの評価軸</t>
        </is>
      </c>
      <c r="F38" s="5" t="inlineStr">
        <is>
          <t>代表KPI①の評価が「目標比」だけで書かれると未達となるが、第9期計画自身の推計（令和8年度22.0％）比では0.2ポイント良好で、上昇幅も全国・北海道の半分にとどまる。</t>
        </is>
      </c>
      <c r="G38" s="5" t="inlineStr">
        <is>
          <t>実績は令和8年3月末21.8％（北海道21.7％、全国20.2％）。平成30年3月末からの上昇幅は大雪＋1.0ポイントに対し北海道・全国とも＋2.2ポイント。</t>
        </is>
      </c>
      <c r="H38" s="5" t="inlineStr">
        <is>
          <t>第3章第4節の評価を「目標比」「推計比」「全国・北海道比」の3軸で併記する。①は目標未達だが推計を下回り上昇幅は全国の半分、②は目標・推計とも達成、③は目標未達だが基準値との差は有意でない、④は国目標8％を達成し自主目標に0.2ポイント未達、と整理する。</t>
        </is>
      </c>
      <c r="I38" s="5" t="inlineStr">
        <is>
          <t>第9期計画 第1章第6節1／見える化P2／令和7年度 健康とくらしの調査</t>
        </is>
      </c>
      <c r="J38" s="5" t="inlineStr">
        <is>
          <t>不要（記述方針）</t>
        </is>
      </c>
      <c r="K38" s="8" t="inlineStr"/>
      <c r="L38" s="9" t="inlineStr">
        <is>
          <t>反映済</t>
        </is>
      </c>
    </row>
    <row r="39">
      <c r="A39" s="5" t="inlineStr">
        <is>
          <t>B-14</t>
        </is>
      </c>
      <c r="B39" s="5" t="inlineStr">
        <is>
          <t>B</t>
        </is>
      </c>
      <c r="C39" s="5" t="inlineStr">
        <is>
          <t>高</t>
        </is>
      </c>
      <c r="D39" s="5" t="inlineStr">
        <is>
          <t>第4章第3節／資料編 資料1</t>
        </is>
      </c>
      <c r="E39" s="5" t="inlineStr">
        <is>
          <t>標本調査KPIの目標設定方法</t>
        </is>
      </c>
      <c r="F39" s="5" t="inlineStr">
        <is>
          <t>第9期のKPI③は令和元年22.4％・令和4年18.5％の2時点の外挿で目標18.0％を設定しており、基準値そのものの信頼性に留保が要る。第10期のH04が同じ設計になる懸念がある。</t>
        </is>
      </c>
      <c r="G39" s="5" t="inlineStr">
        <is>
          <t>実績19.1％との差＋0.6ポイントは有意でない（z＝0.74）。n≈4,700のとき単一時点の95％信頼区間は±1.1〜1.4ポイント、2時点の差の区間は±1.6〜2.0ポイント。</t>
        </is>
      </c>
      <c r="H39" s="5" t="inlineStr">
        <is>
          <t>H04・H05の基準値に95％信頼区間を併記し、目標は「統計的に有意な改善」又は「水準の維持」で設定する。2時点の直線外挿による目標設定は行わない。</t>
        </is>
      </c>
      <c r="I39" s="5" t="inlineStr">
        <is>
          <t>第9期計画 第1章第6節1（1）③／令和7年度 健康とくらしの調査</t>
        </is>
      </c>
      <c r="J39" s="7" t="inlineStr">
        <is>
          <t>要（目標設定方針を決定）</t>
        </is>
      </c>
      <c r="K39" s="8" t="inlineStr"/>
      <c r="L39" s="9" t="inlineStr">
        <is>
          <t>反映済</t>
        </is>
      </c>
    </row>
    <row r="40">
      <c r="A40" s="5" t="inlineStr">
        <is>
          <t>B-15</t>
        </is>
      </c>
      <c r="B40" s="5" t="inlineStr">
        <is>
          <t>B</t>
        </is>
      </c>
      <c r="C40" s="5" t="inlineStr">
        <is>
          <t>中</t>
        </is>
      </c>
      <c r="D40" s="5" t="inlineStr">
        <is>
          <t>第2章第1節／第6章第1節</t>
        </is>
      </c>
      <c r="E40" s="5" t="inlineStr">
        <is>
          <t>出現率と認定率の併存</t>
        </is>
      </c>
      <c r="F40" s="5" t="inlineStr">
        <is>
          <t>出現率（分母＝高齢者人口）と認定率（分母＝第1号被保険者）が同一計画内に併存している。第9期計画は第6章で出現率、第1章第6節のKPIで認定率を用いていた。</t>
        </is>
      </c>
      <c r="G40" s="5" t="inlineStr">
        <is>
          <t>第9期計画の出現率（令和8年22.0％）と認定率（同20.8％）は分母が異なる別の指標。</t>
        </is>
      </c>
      <c r="H40" s="5" t="inlineStr">
        <is>
          <t>第10期はいずれかに統一し、他方を用いる場合は分母を明記する。H01（年齢調整済認定率）との整合上、認定率（分母＝第1号被保険者）への統一を推奨する。</t>
        </is>
      </c>
      <c r="I40" s="5" t="inlineStr">
        <is>
          <t>第9期計画 第1章第6節1・第6章第1節2</t>
        </is>
      </c>
      <c r="J40" s="7" t="inlineStr">
        <is>
          <t>要（採用指標を決定）</t>
        </is>
      </c>
      <c r="K40" s="8" t="inlineStr"/>
      <c r="L40" s="9" t="inlineStr">
        <is>
          <t>反映済</t>
        </is>
      </c>
    </row>
    <row r="41">
      <c r="A41" s="5" t="inlineStr">
        <is>
          <t>B-16</t>
        </is>
      </c>
      <c r="B41" s="5" t="inlineStr">
        <is>
          <t>B</t>
        </is>
      </c>
      <c r="C41" s="5" t="inlineStr">
        <is>
          <t>中</t>
        </is>
      </c>
      <c r="D41" s="5" t="inlineStr">
        <is>
          <t>第5章 基本目標1</t>
        </is>
      </c>
      <c r="E41" s="5" t="inlineStr">
        <is>
          <t>包括センターと居宅介護支援事業所の役割分担</t>
        </is>
      </c>
      <c r="F41" s="5" t="inlineStr">
        <is>
          <t>第10期基本指針案は地域包括支援センターと居宅介護支援事業所の連携・役割分担を記載事項としているが、素案に該当記述がない。</t>
        </is>
      </c>
      <c r="G41" s="5" t="inlineStr">
        <is>
          <t>第9期の制度改正で、要支援者の介護予防ケアマネジメントを居宅介護支援事業所も指定を受けて実施可能となった（第9期計画 第1章第9節5）が、第9期計画の第5章にも体制整備の施策がない。</t>
        </is>
      </c>
      <c r="H41" s="5" t="inlineStr">
        <is>
          <t>第5章 基本目標1に施策として追加する。介護予防支援の指定を受けた居宅介護支援事業所の状況を第2章で把握する。</t>
        </is>
      </c>
      <c r="I41" s="5" t="inlineStr">
        <is>
          <t>第10期基本指針案（令和8年6月29日 社会保障審議会介護保険部会 第135回）／第9期計画 第1章第9節</t>
        </is>
      </c>
      <c r="J41" s="7" t="inlineStr">
        <is>
          <t>要（指定状況を照会）</t>
        </is>
      </c>
      <c r="K41" s="8" t="inlineStr"/>
      <c r="L41" s="9" t="inlineStr">
        <is>
          <t>反映済</t>
        </is>
      </c>
    </row>
    <row r="42">
      <c r="A42" s="5" t="inlineStr">
        <is>
          <t>B-17</t>
        </is>
      </c>
      <c r="B42" s="5" t="inlineStr">
        <is>
          <t>B</t>
        </is>
      </c>
      <c r="C42" s="5" t="inlineStr">
        <is>
          <t>中</t>
        </is>
      </c>
      <c r="D42" s="5" t="inlineStr">
        <is>
          <t>第4章第2節／第5章 基本目標4</t>
        </is>
      </c>
      <c r="E42" s="5" t="inlineStr">
        <is>
          <t>生産性向上の記載量</t>
        </is>
      </c>
      <c r="F42" s="5" t="inlineStr">
        <is>
          <t>「生産性向上」の記載密度が素案1.04回／万字と、第9期計画1.28回／万字を下回る。第10期基本指針案は人材確保・生産性向上・経営改善支援を都道府県計画の基本記載事項に追加する方向であり逆行している。</t>
        </is>
      </c>
      <c r="G42" s="5" t="inlineStr">
        <is>
          <t>出現回数は第9期計画14回（本文109,819字）、計画素案3回（同28,832字）。</t>
        </is>
      </c>
      <c r="H42" s="5" t="inlineStr">
        <is>
          <t>第5章 基本目標4に、北海道が設置する生産性向上の支援体制への参画、事業者間の協働化、経営改善支援の具体を追記する。</t>
        </is>
      </c>
      <c r="I42" s="5" t="inlineStr">
        <is>
          <t>第9期計画 第5章 基本目標4-1／第10期基本指針案</t>
        </is>
      </c>
      <c r="J42" s="7" t="inlineStr">
        <is>
          <t>要（北海道の支援体制を確認）</t>
        </is>
      </c>
      <c r="K42" s="8" t="inlineStr"/>
      <c r="L42" s="9" t="inlineStr">
        <is>
          <t>反映済</t>
        </is>
      </c>
    </row>
    <row r="43">
      <c r="A43" s="5" t="inlineStr">
        <is>
          <t>B-18</t>
        </is>
      </c>
      <c r="B43" s="5" t="inlineStr">
        <is>
          <t>B</t>
        </is>
      </c>
      <c r="C43" s="5" t="inlineStr">
        <is>
          <t>中</t>
        </is>
      </c>
      <c r="D43" s="5" t="inlineStr">
        <is>
          <t>第1章第5節</t>
        </is>
      </c>
      <c r="E43" s="5" t="inlineStr">
        <is>
          <t>北海道の関与の位置付け</t>
        </is>
      </c>
      <c r="F43" s="5" t="inlineStr">
        <is>
          <t>第10期基本指針案は市町村の現状分析・中長期推計への都道府県の積極的関与を求めているが、素案の策定体制に北海道との協議の位置付けがない。</t>
        </is>
      </c>
      <c r="G43" s="5" t="inlineStr">
        <is>
          <t>第1章第5節は住民アンケートと運営協議会のみを記載。第8節の関係図に北海道は現れるが、策定過程での協議は記載されていない。</t>
        </is>
      </c>
      <c r="H43" s="5" t="inlineStr">
        <is>
          <t>第1章第5節に北海道との協議を位置付け、提供される地域分析ツールの活用方針を記載する。</t>
        </is>
      </c>
      <c r="I43" s="5" t="inlineStr">
        <is>
          <t>第10期基本指針案／第9期計画 第1章第5節・第8節</t>
        </is>
      </c>
      <c r="J43" s="7" t="inlineStr">
        <is>
          <t>要（北海道との協議日程を確認）</t>
        </is>
      </c>
      <c r="K43" s="8" t="inlineStr"/>
      <c r="L43" s="9" t="inlineStr">
        <is>
          <t>反映済</t>
        </is>
      </c>
    </row>
    <row r="44">
      <c r="A44" s="5" t="inlineStr">
        <is>
          <t>C-9</t>
        </is>
      </c>
      <c r="B44" s="5" t="inlineStr">
        <is>
          <t>C</t>
        </is>
      </c>
      <c r="C44" s="5" t="inlineStr">
        <is>
          <t>最優先</t>
        </is>
      </c>
      <c r="D44" s="5" t="inlineStr">
        <is>
          <t>第1章第7節</t>
        </is>
      </c>
      <c r="E44" s="5" t="inlineStr">
        <is>
          <t>日常生活圏域の設定</t>
        </is>
      </c>
      <c r="F44" s="5" t="inlineStr">
        <is>
          <t>日常生活圏域6圏域のうち美瑛町の朗根内地区は人口233人・高齢者82人で、最大の美瑛町市街地・周辺地区7,869人と33.8倍の開きがある。3町の計画にはいずれも圏域の記載がない。</t>
        </is>
      </c>
      <c r="G44" s="5" t="inlineStr">
        <is>
          <t>第9期計画 第1章第7節（令和5年10月1日現在）：東川町1・美瑛町4（旭北西684人／美馬牛689人／朗根内233人／市街地周辺7,869人）・東神楽町1の計6圏域。3町計画における「日常生活圏域」の出現は0回。</t>
        </is>
      </c>
      <c r="H44" s="5" t="inlineStr">
        <is>
          <t>第10期の圏域設定を委員会の決定事項とする。統計・分析単位としての圏域と基盤整備単位としての圏域を分ける整理を提案する。3町の計画にも圏域を記載してもらう。</t>
        </is>
      </c>
      <c r="I44" s="5" t="inlineStr">
        <is>
          <t>第9期計画 第1章第7節／介護保険法第117条第2項第1号／3町 第9期高齢者福祉計画</t>
        </is>
      </c>
      <c r="J44" s="7" t="inlineStr">
        <is>
          <t>要（圏域設定を決定）</t>
        </is>
      </c>
      <c r="K44" s="8" t="inlineStr"/>
      <c r="L44" s="9" t="inlineStr">
        <is>
          <t>反映済</t>
        </is>
      </c>
    </row>
    <row r="45">
      <c r="A45" s="5" t="inlineStr">
        <is>
          <t>C-10</t>
        </is>
      </c>
      <c r="B45" s="5" t="inlineStr">
        <is>
          <t>C</t>
        </is>
      </c>
      <c r="C45" s="5" t="inlineStr">
        <is>
          <t>高</t>
        </is>
      </c>
      <c r="D45" s="5" t="inlineStr">
        <is>
          <t>第4章・第5章／資料編 資料2</t>
        </is>
      </c>
      <c r="E45" s="5" t="inlineStr">
        <is>
          <t>3町計画の数値目標が町によって異なる</t>
        </is>
      </c>
      <c r="F45" s="5" t="inlineStr">
        <is>
          <t>事業の数値目標を設定しているのは東川町のみで、美瑛町・東神楽町の計画には事業の目標を確認できない。広域がKPIを設定しても、達成手段を担う町の計画に目標がないため、PDCAが町段階で機能しない。</t>
        </is>
      </c>
      <c r="G45" s="5" t="inlineStr">
        <is>
          <t>東川町は令和6〜8年度を対象とする事業の数値目標を6事業10項目以上設定している。「数値目標」という用語の出現は広域4件に対し3町とも0件であるが、東川町は語を用いずに数値で目標を設定している。広域のKPI検証への参画を明記しているのは東川町の「一般介護予防事業評価事業」のみ。</t>
        </is>
      </c>
      <c r="H45" s="5" t="inlineStr">
        <is>
          <t>素案 資料2の共通指標について3町と合意し、3町の第10期高齢者福祉計画に掲載してもらう。KPIの分子に計上する事業を3町の事業名で特定した対応表を作成する（通いの場・フレイル・相談が特に必要）。</t>
        </is>
      </c>
      <c r="I45" s="5" t="inlineStr">
        <is>
          <t>3町 第9期高齢者福祉計画／東川町計画 第3章「一般介護予防事業評価事業」</t>
        </is>
      </c>
      <c r="J45" s="7" t="inlineStr">
        <is>
          <t>要（3町と合意）</t>
        </is>
      </c>
      <c r="K45" s="8" t="inlineStr"/>
      <c r="L45" s="9" t="inlineStr">
        <is>
          <t>反映済</t>
        </is>
      </c>
    </row>
    <row r="46">
      <c r="A46" s="5" t="inlineStr">
        <is>
          <t>C-11</t>
        </is>
      </c>
      <c r="B46" s="5" t="inlineStr">
        <is>
          <t>C</t>
        </is>
      </c>
      <c r="C46" s="5" t="inlineStr">
        <is>
          <t>高</t>
        </is>
      </c>
      <c r="D46" s="5" t="inlineStr">
        <is>
          <t>計画全体／3町計画</t>
        </is>
      </c>
      <c r="E46" s="5" t="inlineStr">
        <is>
          <t>用語とKPI実施主体の不整合</t>
        </is>
      </c>
      <c r="F46" s="5" t="inlineStr">
        <is>
          <t>東川町の計画は「地域ケアシステム」を5回用いており、国・北海道・広域連合の「地域包括ケアシステム」と用語が一致しない。またフレイルの語が一度も現れず、広域の代表KPI③との接続がない。</t>
        </is>
      </c>
      <c r="G46" s="5" t="inlineStr">
        <is>
          <t>「地域包括ケアシステム」の出現は広域60回・東神楽16回・美瑛4回・東川3回。「フレイル」は美瑛27回・東神楽2回・東川0回。</t>
        </is>
      </c>
      <c r="H46" s="5" t="inlineStr">
        <is>
          <t>3町の第10期計画の素案作成時に用語を統一する。H04（フレイル）の実施事業を東川町の事業名で特定する。美瑛町のフレイル予防教室・口腔ケア教室を3町共通の取組に広げられるか協議する。</t>
        </is>
      </c>
      <c r="I46" s="5" t="inlineStr">
        <is>
          <t>東川町 第9期高齢者福祉計画 第4章2／美瑛町 同 第4章1（1）②</t>
        </is>
      </c>
      <c r="J46" s="7" t="inlineStr">
        <is>
          <t>要（東川町と協議）</t>
        </is>
      </c>
      <c r="K46" s="8" t="inlineStr"/>
      <c r="L46" s="9" t="inlineStr">
        <is>
          <t>反映済</t>
        </is>
      </c>
    </row>
    <row r="47">
      <c r="A47" s="5" t="inlineStr">
        <is>
          <t>C-12</t>
        </is>
      </c>
      <c r="B47" s="5" t="inlineStr">
        <is>
          <t>C</t>
        </is>
      </c>
      <c r="C47" s="5" t="inlineStr">
        <is>
          <t>中</t>
        </is>
      </c>
      <c r="D47" s="5" t="inlineStr">
        <is>
          <t>第1章第5節／第2章第4節</t>
        </is>
      </c>
      <c r="E47" s="5" t="inlineStr">
        <is>
          <t>調査の回収率の記載</t>
        </is>
      </c>
      <c r="F47" s="5" t="inlineStr">
        <is>
          <t>第9期の5調査の対象数は第1章第5節に記載されており、回収率はすべて算定できる。第2章の各節には回収率が記載されていないため、記述の確からしさが読み手に伝わらない。</t>
        </is>
      </c>
      <c r="G47" s="5" t="inlineStr">
        <is>
          <t>対象数と回答数：ニーズ調査7,239→4,626（63.9％）、在宅介護実態79→37（46.8％・回答数は推定）、居所変更28→21（75.0％）、在宅生活改善15→12（80.0％）、介護人材35→27（77.1％）。</t>
        </is>
      </c>
      <c r="H47" s="5" t="inlineStr">
        <is>
          <t>第10期は各調査の対象数・回答数・回収率を第1章第5節と第2章の各節の双方に記載する。在宅介護実態調査の回答数37人は掲載値からの推定であるため原票で確認する。</t>
        </is>
      </c>
      <c r="I47" s="5" t="inlineStr">
        <is>
          <t>第9期計画 第1章第5節1／第2章第3〜5節</t>
        </is>
      </c>
      <c r="J47" s="7" t="inlineStr">
        <is>
          <t>要（在宅介護実態調査の回答数を確認）</t>
        </is>
      </c>
      <c r="K47" s="8" t="inlineStr"/>
      <c r="L47" s="8" t="inlineStr">
        <is>
          <t>反映済（照会継続）</t>
        </is>
      </c>
    </row>
    <row r="48">
      <c r="A48" s="5" t="inlineStr">
        <is>
          <t>C-13</t>
        </is>
      </c>
      <c r="B48" s="5" t="inlineStr">
        <is>
          <t>C</t>
        </is>
      </c>
      <c r="C48" s="5" t="inlineStr">
        <is>
          <t>中</t>
        </is>
      </c>
      <c r="D48" s="5" t="inlineStr">
        <is>
          <t>第6章第6節</t>
        </is>
      </c>
      <c r="E48" s="5" t="inlineStr">
        <is>
          <t>第9期の剰余と基金残高</t>
        </is>
      </c>
      <c r="F48" s="5" t="inlineStr">
        <is>
          <t>第9期は必要保険料月額が基準額を令和6年度337円/月、令和7年度48円/月下回り、2年で約42百万円（概算）の剰余が生じている。第9期計画が予定した基金取崩40百万円と同程度の規模。</t>
        </is>
      </c>
      <c r="G48" s="5" t="inlineStr">
        <is>
          <t>見える化P4の必要保険料月額はR6 6,063円・R7 6,352円で、条例の基準額6,400円をいずれも下回る。第7期は累計＋159円/月、第8期は累計＋66円/月でほぼ均衡していた。</t>
        </is>
      </c>
      <c r="H48" s="5" t="inlineStr">
        <is>
          <t>介護給付費準備基金の残高推移を受領し、第9期の剰余の帰趨を確認したうえで、第10期の取崩額を複数シナリオで比較する。保険料の説明資料に第7〜9期の必要額と基準額の対比を掲載する。</t>
        </is>
      </c>
      <c r="I48" s="5" t="inlineStr">
        <is>
          <t>見える化C1・P4（必要保険料月額）／素案 第6章第6節</t>
        </is>
      </c>
      <c r="J48" s="7" t="inlineStr">
        <is>
          <t>要（基金残高を入手）</t>
        </is>
      </c>
      <c r="K48" s="8" t="inlineStr"/>
      <c r="L48" s="8" t="inlineStr">
        <is>
          <t>反映済（照会継続）</t>
        </is>
      </c>
    </row>
    <row r="49">
      <c r="A49" s="5" t="inlineStr">
        <is>
          <t>C-14</t>
        </is>
      </c>
      <c r="B49" s="5" t="inlineStr">
        <is>
          <t>C</t>
        </is>
      </c>
      <c r="C49" s="5" t="inlineStr">
        <is>
          <t>低</t>
        </is>
      </c>
      <c r="D49" s="5" t="inlineStr">
        <is>
          <t>第6章第4節／3町計画</t>
        </is>
      </c>
      <c r="E49" s="5" t="inlineStr">
        <is>
          <t>美瑛町の特別養護老人ホームの定員</t>
        </is>
      </c>
      <c r="F49" s="5" t="inlineStr">
        <is>
          <t>美瑛町の計画の「特別養護老人ホーム 2か所 利用定員42人/月」と、広域連合第9期計画の地域密着型介護老人福祉施設（美瑛町）の定員43人が一致しない。</t>
        </is>
      </c>
      <c r="G49" s="5" t="inlineStr">
        <is>
          <t>第9期計画 第6章第4節1（1）：美瑛町2施設43人（サテライト特養 燈18＋美瑛慈光園25）、東神楽町1施設20人、計63人。見える化D25の地域密着型介護老人福祉施設の定員は平成30年度以降62人。</t>
        </is>
      </c>
      <c r="H49" s="5" t="inlineStr">
        <is>
          <t>「利用定員」が定員か月間利用者数かを確認し、第10期で表記を統一する。地域密着型特養の定員62人（見える化）と63人（第9期計画）の相違（C-1）と併せて確認する。</t>
        </is>
      </c>
      <c r="I49" s="5" t="inlineStr">
        <is>
          <t>美瑛町 第9期高齢者福祉計画 第4章2／第9期計画 第6章第4節1（1）／見える化D25</t>
        </is>
      </c>
      <c r="J49" s="7" t="inlineStr">
        <is>
          <t>要（定員を確認）</t>
        </is>
      </c>
      <c r="K49" s="8" t="inlineStr"/>
      <c r="L49" s="7" t="inlineStr">
        <is>
          <t>照会・資料待ち</t>
        </is>
      </c>
    </row>
    <row r="50">
      <c r="A50" s="5" t="inlineStr">
        <is>
          <t>A-14</t>
        </is>
      </c>
      <c r="B50" s="5" t="inlineStr">
        <is>
          <t>A</t>
        </is>
      </c>
      <c r="C50" s="5" t="inlineStr">
        <is>
          <t>最優先</t>
        </is>
      </c>
      <c r="D50" s="5" t="inlineStr">
        <is>
          <t>第2章第2節／計画全体</t>
        </is>
      </c>
      <c r="E50" s="5" t="inlineStr">
        <is>
          <t>類似保険者との比較分析</t>
        </is>
      </c>
      <c r="F50" s="5" t="inlineStr">
        <is>
          <t>仕様書４（４）は「必要に応じ全国平均、北海道平均及び類似保険者との比較分析を行う」と明示しているが、類似保険者との比較が未実施であり、受領した見える化データにも類似保険者の系列がない。</t>
        </is>
      </c>
      <c r="G50" s="5" t="inlineStr">
        <is>
          <t>受領データは大雪地区広域連合・北海道・全国の3系列のみ。計画素案にも類似保険者への言及がない。第9期計画は目標値設定の考え方で「同様の人口規模の保険者と比較して同程度」と記載しているが、比較対象の保険者名も数値も掲載していない。</t>
        </is>
      </c>
      <c r="H50" s="5" t="inlineStr">
        <is>
          <t>見える化の類似保険者比較機能で出力を取得し、第2章第2節に比較分析を新設する。比較対象の選定基準（人口規模、高齢化率、施設整備状況、財政力等）を明記する。上川管内21保険者との保険料比較（素案 表45）は保険料のみであり、給付構造の比較にはならない。なお受領した見える化の指標リスト（全906件）に「類似」の語はなく、δ3系列の「地域比較」で比較対象を選択する機能と考えられるが、選定条件は資料から確認できない。出力時に選定条件を併せて記録する必要がある。</t>
        </is>
      </c>
      <c r="I50" s="5" t="inlineStr">
        <is>
          <t>業務仕様書４（４）／第9期計画 第1章第6節1（1）①②</t>
        </is>
      </c>
      <c r="J50" s="7" t="inlineStr">
        <is>
          <t>要（類似保険者の出力を依頼）</t>
        </is>
      </c>
      <c r="K50" s="8" t="inlineStr"/>
      <c r="L50" s="7" t="inlineStr">
        <is>
          <t>照会・資料待ち</t>
        </is>
      </c>
    </row>
    <row r="51">
      <c r="A51" s="5" t="inlineStr">
        <is>
          <t>A-15</t>
        </is>
      </c>
      <c r="B51" s="5" t="inlineStr">
        <is>
          <t>A</t>
        </is>
      </c>
      <c r="C51" s="5" t="inlineStr">
        <is>
          <t>最優先</t>
        </is>
      </c>
      <c r="D51" s="5" t="inlineStr">
        <is>
          <t>第2章／第1章第7節</t>
        </is>
      </c>
      <c r="E51" s="5" t="inlineStr">
        <is>
          <t>日常生活圏域別の分析</t>
        </is>
      </c>
      <c r="F51" s="5" t="inlineStr">
        <is>
          <t>仕様書４（４）は「構成町別及び日常生活圏域等の地域特性を踏まえた分析を実施すること」と明示しているが、圏域別の分析が未実施であり、圏域別のデータも未受領である。</t>
        </is>
      </c>
      <c r="G51" s="5" t="inlineStr">
        <is>
          <t>第9期計画 第1章第7節は6圏域（東川町1・美瑛町4・東神楽町1）を設定し、圏域別の人口・高齢者人口・高齢化率・要介護要支援者数を掲載しているが、第2章の分析はすべて広域連合全体又は町別であり、圏域別の分析はない。</t>
        </is>
      </c>
      <c r="H51" s="5" t="inlineStr">
        <is>
          <t>圏域別の認定率・受給率・サービス利用状況のデータを入手し、第2章に圏域別の分析を新設する。美瑛町の朗根内地区（人口233人）のように統計単位として成立しない圏域があるため、圏域設定の見直し（C-9）と併せて整理する。</t>
        </is>
      </c>
      <c r="I51" s="5" t="inlineStr">
        <is>
          <t>業務仕様書４（４）／第9期計画 第1章第7節</t>
        </is>
      </c>
      <c r="J51" s="7" t="inlineStr">
        <is>
          <t>要（圏域別データを依頼）</t>
        </is>
      </c>
      <c r="K51" s="8" t="inlineStr"/>
      <c r="L51" s="8" t="inlineStr">
        <is>
          <t>反映済（照会継続）</t>
        </is>
      </c>
    </row>
    <row r="52">
      <c r="A52" s="5" t="inlineStr">
        <is>
          <t>B-19</t>
        </is>
      </c>
      <c r="B52" s="5" t="inlineStr">
        <is>
          <t>B</t>
        </is>
      </c>
      <c r="C52" s="5" t="inlineStr">
        <is>
          <t>高</t>
        </is>
      </c>
      <c r="D52" s="5" t="inlineStr">
        <is>
          <t>第4章第3節／資料編 資料1</t>
        </is>
      </c>
      <c r="E52" s="5" t="inlineStr">
        <is>
          <t>H09・H10の測定手段</t>
        </is>
      </c>
      <c r="F52" s="5" t="inlineStr">
        <is>
          <t>H09（退院時支援調整実施率）とH10（認知症相談から支援接続までの適時率）は3町の地域包括支援センターの業務記録をデータ源とするが、記録様式が統一されていない可能性が高く、令和9年度当初からの実測が困難である。</t>
        </is>
      </c>
      <c r="G52" s="5" t="inlineStr">
        <is>
          <t>第9期に両指標の実績はない。東川町は重層的支援推進室に地域包括支援センターを内包しており、美瑛町・東神楽町とは体制が異なる。H10の「標準日数」の定義も未確定。</t>
        </is>
      </c>
      <c r="H52" s="5" t="inlineStr">
        <is>
          <t>初年度（令和9年度）は「共通様式の整備と試行」を管理指標とし、基準値の設定と実測を令和10年度からとする段階設定にする。H10の標準日数は3町で合意のうえ定義書に固定する。なおH09の代替として見える化O5（退院・退所時連携加算算定者数［認定者1万対］）を検討したが、大雪は令和5年度3.88で全国6.65の58％にとどまる一方、実数は年0〜1人で1万対の値が大きく振れるため、単独では指標として安定しない。O1〜O13の複数の加算を合成するか業務記録と併用する。また居宅介護支援側の退院退所加算（L25）・入院時情報連携加算（L26）は大雪についてデータ登録がなく出力できない（令和8年7月29日確認）。</t>
        </is>
      </c>
      <c r="I52" s="5" t="inlineStr">
        <is>
          <t>素案 資料編 資料1（1）／3町 第9期高齢者福祉計画／見える化O4・O5</t>
        </is>
      </c>
      <c r="J52" s="7" t="inlineStr">
        <is>
          <t>要（3町の記録様式を確認）</t>
        </is>
      </c>
      <c r="K52" s="8" t="inlineStr"/>
      <c r="L52" s="8" t="inlineStr">
        <is>
          <t>反映済（照会継続）</t>
        </is>
      </c>
    </row>
    <row r="53">
      <c r="A53" s="5" t="inlineStr">
        <is>
          <t>B-20</t>
        </is>
      </c>
      <c r="B53" s="5" t="inlineStr">
        <is>
          <t>B</t>
        </is>
      </c>
      <c r="C53" s="5" t="inlineStr">
        <is>
          <t>高</t>
        </is>
      </c>
      <c r="D53" s="5" t="inlineStr">
        <is>
          <t>第4章第3節／資料編 資料1</t>
        </is>
      </c>
      <c r="E53" s="5" t="inlineStr">
        <is>
          <t>H16の指標設計</t>
        </is>
      </c>
      <c r="F53" s="5" t="inlineStr">
        <is>
          <t>H16（災害・感染症時の必須サービス継続率）は実績指標であるため、計画期間中に災害・感染症の事象がなければ測定機会自体が生じない。またデータ源とされる事業所実態調査が仕様書の対象調査に含まれていない。</t>
        </is>
      </c>
      <c r="G53" s="5" t="inlineStr">
        <is>
          <t>素案 資料編 資料1（1）の定義は「継続・代替項目÷必須項目×100」。第9期計画のBCPに関する記載は1か所のみ。</t>
        </is>
      </c>
      <c r="H53" s="5" t="inlineStr">
        <is>
          <t>体制指標（事業所のBCP策定率、訓練実施率、相互応援協定の締結数）への組替えを検討する。BCPの策定は令和6年度から義務化されており、指定権者である北海道及び広域連合が策定状況を把握できるため、調査を経ずに測定できる。</t>
        </is>
      </c>
      <c r="I53" s="5" t="inlineStr">
        <is>
          <t>素案 資料編 資料1（1）／業務仕様書４（３）</t>
        </is>
      </c>
      <c r="J53" s="7" t="inlineStr">
        <is>
          <t>要（指標の組替えを決定）</t>
        </is>
      </c>
      <c r="K53" s="8" t="inlineStr"/>
      <c r="L53" s="9" t="inlineStr">
        <is>
          <t>反映済</t>
        </is>
      </c>
    </row>
    <row r="54">
      <c r="A54" s="5" t="inlineStr">
        <is>
          <t>C-15</t>
        </is>
      </c>
      <c r="B54" s="5" t="inlineStr">
        <is>
          <t>C</t>
        </is>
      </c>
      <c r="C54" s="5" t="inlineStr">
        <is>
          <t>中</t>
        </is>
      </c>
      <c r="D54" s="5" t="inlineStr">
        <is>
          <t>資料編 資料1（2）</t>
        </is>
      </c>
      <c r="E54" s="5" t="inlineStr">
        <is>
          <t>H03の算定可否</t>
        </is>
      </c>
      <c r="F54" s="5" t="inlineStr">
        <is>
          <t>H03（75歳以上新規認定率）は補完KPIだが、見える化には新規認定者数の系列がなく、認定台帳からの抽出が必要である。抽出可否が未確認。</t>
        </is>
      </c>
      <c r="G54" s="5" t="inlineStr">
        <is>
          <t>見える化B3系列は各時点の認定者数（ストック）であり、年度内の新規認定者数（フロー）は含まない。本検証では75歳以上の認定率（ストック）が平成30年3月末35.3％から令和8年3月末33.5％へ低下していることまでは確認できたが、新規認定率は算定できない。</t>
        </is>
      </c>
      <c r="H54" s="5" t="inlineStr">
        <is>
          <t>認定台帳から年度別・年齢階級別の新規認定者数を抽出できるか確認する。抽出できない場合はH03を指標から外すか、認定者数の増減（純増）での代替を検討する。</t>
        </is>
      </c>
      <c r="I54" s="5" t="inlineStr">
        <is>
          <t>素案 資料編 資料1（2）／見える化B3-a〜e</t>
        </is>
      </c>
      <c r="J54" s="7" t="inlineStr">
        <is>
          <t>要（台帳の抽出可否を確認）</t>
        </is>
      </c>
      <c r="K54" s="8" t="inlineStr"/>
      <c r="L54" s="8" t="inlineStr">
        <is>
          <t>反映済（照会継続）</t>
        </is>
      </c>
    </row>
    <row r="55">
      <c r="A55" s="5" t="inlineStr">
        <is>
          <t>C-16</t>
        </is>
      </c>
      <c r="B55" s="5" t="inlineStr">
        <is>
          <t>C</t>
        </is>
      </c>
      <c r="C55" s="5" t="inlineStr">
        <is>
          <t>中</t>
        </is>
      </c>
      <c r="D55" s="5" t="inlineStr">
        <is>
          <t>資料編 資料1／第10期の介護人材実態調査</t>
        </is>
      </c>
      <c r="E55" s="5" t="inlineStr">
        <is>
          <t>H13・H14の設問の有無</t>
        </is>
      </c>
      <c r="F55" s="5" t="inlineStr">
        <is>
          <t>H13（職種別欠員率）は「必要常勤換算数」、H14（採用者1年定着率）は「採用後12か月時点の在職」を必要とするが、第9期の介護人材実態調査にこれらの設問は確認できない。</t>
        </is>
      </c>
      <c r="G55" s="5" t="inlineStr">
        <is>
          <t>第9期計画 第2章第5節が掲載しているのは、職員数・男女比・就業形態・開設後経過年数・年齢構成・在職年数・直前の職場・資格・採用者数と退職者数・勤務時間である。</t>
        </is>
      </c>
      <c r="H55" s="5" t="inlineStr">
        <is>
          <t>第10期の介護人材実態調査の調査票を確認し、必要な設問があるかを確認する。ない場合の代替は当初3案を挙げたが、令和8年7月29日の確認により次のとおり確定した。①見える化の指標H1（介護人材の必要数）・H2（需要見込みに対する供給見込みの割合）は、大雪についてデータ登録がなく出力できない（採用不可）。②北海道と同じ「採用率と離職率の差」を用いる。採用（離職）率＝各年の採用（離職）者数÷各年9月30日の在籍者数×100で、第9期の介護人材実態調査の採用者数・退職者数から算定できる（採用可）。③見える化の指標M2-a〜m（従事者数・サービス別・認定者1万対）を受領した（採用可）。以上により、H13は「職種別欠員率」から「職種別従事者数（認定者1万対）の推移」へ定義を改め、データ源をM2系列とすることを推奨する。必要数が得られない以上、欠員率は算定できない。H14は「採用率と離職率の差」（②）に改め、北海道の第9期評価指標⑥と接続する。M2系列では介護老人福祉施設の准看護師が平成29年度7人から令和6年度3人へ、生活相談員が5人→3人、機能訓練指導員が2人→1人へ減少していることが把握できる。仕様書は新たな調査の設計を業務範囲外としているため、既存データでの算定が前提となる。</t>
        </is>
      </c>
      <c r="I55" s="5" t="inlineStr">
        <is>
          <t>素案 資料編 資料1（1）／第9期計画 第2章第5節／業務仕様書４（３）／見える化M2-a〜m（平成29年度〜令和6年度・13サービス）</t>
        </is>
      </c>
      <c r="J55" s="7" t="inlineStr">
        <is>
          <t>要（H13・H14の定義変更を決定）</t>
        </is>
      </c>
      <c r="K55" s="8" t="inlineStr"/>
      <c r="L55" s="9" t="inlineStr">
        <is>
          <t>反映済</t>
        </is>
      </c>
    </row>
    <row r="56">
      <c r="A56" s="5" t="inlineStr">
        <is>
          <t>A-16</t>
        </is>
      </c>
      <c r="B56" s="5" t="inlineStr">
        <is>
          <t>A</t>
        </is>
      </c>
      <c r="C56" s="5" t="inlineStr">
        <is>
          <t>最優先</t>
        </is>
      </c>
      <c r="D56" s="5" t="inlineStr">
        <is>
          <t>第3章第1節／第4章第3節／資料編 資料1</t>
        </is>
      </c>
      <c r="E56" s="5" t="inlineStr">
        <is>
          <t>通いの場参加率の統計の不一致</t>
        </is>
      </c>
      <c r="F56" s="5" t="inlineStr">
        <is>
          <t>第9期計画は「国が掲げている目標値8％（令和7年度）を参考に」代表KPI④の目標を設定したが、国の8％及び北海道のKPIは介護予防・日常生活支援総合事業の実施状況に関する調査に基づく参加率であり、大雪の実績は日常生活圏域ニーズ調査における自己申告割合である。分母・分子の定義が異なる。</t>
        </is>
      </c>
      <c r="G56" s="5" t="inlineStr">
        <is>
          <t>北海道第9期計画の評価指標は「通いの場への参加率（月1回以上）3.94％（R3）→5.37％以上（R8）」、全国はR3 5.53％。いずれも総合事業調査ベース。大雪の第9期計画の実績はR4 7.3％、令和7年度 健康とくらしの調査でR7 8.8％でニーズ調査ベース。第10期基本指針の新別表も、通いの場の把握方法として総合事業調査を挙げている。</t>
        </is>
      </c>
      <c r="H56" s="5" t="inlineStr">
        <is>
          <t>第3章第4節の第9期評価から「国目標8％を達成」という記述を外し、ニーズ調査ベースの系列であることを明記する。第10期は総合事業調査ベースの参加率を別途把握し、北海道・全国との比較にはそちらを用いる。H05の合成指標36.0％もニーズ調査ベースであり他地域と比較できない点を資料編 資料1に注記する。なお総合事業調査ベースの参加率は見える化の指標F4（月1回以上の通いの場の参加率）として整備されており、再出力で取得できる。別途の調査は不要（19シート）。</t>
        </is>
      </c>
      <c r="I56" s="5" t="inlineStr">
        <is>
          <t>第9期計画 第1章第6節1（2）①／北海道第9期計画 第4章第3節3／第10期基本指針案 別表「確認すべき指標・状況」九</t>
        </is>
      </c>
      <c r="J56" s="7" t="inlineStr">
        <is>
          <t>要（採用系列と評価方法を決定）</t>
        </is>
      </c>
      <c r="K56" s="8" t="inlineStr"/>
      <c r="L56" s="9" t="inlineStr">
        <is>
          <t>反映済</t>
        </is>
      </c>
    </row>
    <row r="57">
      <c r="A57" s="5" t="inlineStr">
        <is>
          <t>A-17</t>
        </is>
      </c>
      <c r="B57" s="5" t="inlineStr">
        <is>
          <t>A</t>
        </is>
      </c>
      <c r="C57" s="5" t="inlineStr">
        <is>
          <t>最優先</t>
        </is>
      </c>
      <c r="D57" s="5" t="inlineStr">
        <is>
          <t>第2章全般</t>
        </is>
      </c>
      <c r="E57" s="5" t="inlineStr">
        <is>
          <t>基本指針の新別表への対応</t>
        </is>
      </c>
      <c r="F57" s="5" t="inlineStr">
        <is>
          <t>第10期基本指針案は「計画策定に当たって確認すべき指標・状況」11事項の別表を新設する案としているが、現時点で対応できているのは2事項（人口構造、認定者数の状況）にとどまる。</t>
        </is>
      </c>
      <c r="G57" s="5" t="inlineStr">
        <is>
          <t>11事項のうち、一 地勢と交通、三 人口動態（死亡場所別の死亡数等）、八 高齢者向け住まいの状況、十 医療介護連携の状況（加算の算定状況）、十一 認知症の人の数及び関連施策の状況が未対応。五（自市町村内の事業所によるサービス提供割合、介護SCR）と七（入所率、稼働率、職員数推移）は一部対応。</t>
        </is>
      </c>
      <c r="H57" s="5" t="inlineStr">
        <is>
          <t>受領した見える化の指標リスト（全906件）と突合し、令和8年7月29日に追加受領（K系列28件・M系列13件・W系列20件・F系列8件・O系列2件）と提供可否の確定を得た。この結果、対応状況は「対応済み2・一部対応2・重大な課題2・未対応5」から「対応済み2・一部対応4・重大な課題1・未対応4」へ改善した（検証報告書17シート）。受領により前進したのは、七（事業所数K・従事者数M）、九（交付金評価W・通いの場F）、十（加算O）である。一方、次の4系列は大雪についてデータ登録がなく提供不可であることが確定したため、代替へ組み替える。①五 自給率（δ2・δ3）→ 国保連の給付実績情報から算定する。ただしK系列により、域内事業所がゼロの11種別は自給率が構造的に0％であることが特定できた。②三 死亡場所別の死亡数（L27・L28）→ 人口動態統計の市区町村別集計、3町の集計、又はO11〜O13（看取り介護加算・ターミナルケア加算）。③十 診療報酬側の連携指標（L20〜L26）→ 上川中部圏域の医療機関への照会。④十一 認知症（J1〜J18）→ 3町への直接照会（認知症初期集中支援チームの訪問実績、認知症地域支援推進員の配置人数、認知症カフェの箇所数、認知症サポーター数）。残る一（地勢と交通）・八（高齢者向け住まい）は自治体からの資料提供、五の一部（介護SCR）・七の一部（入所率・稼働率）・二の一部（人口メッシュ）は令和8年度以降の改修待ちとなる。入所率は第10期計画の策定時期に間に合わない可能性があるため、3町の指定台帳又は施設への照会で補うことを想定しておく。</t>
        </is>
      </c>
      <c r="I57" s="5" t="inlineStr">
        <is>
          <t>第10期基本指針案 別表（第135回社会保障審議会介護保険部会 資料2-1 令和8年6月29日）／見える化 指標リスト（目的別）／K1-a〜e・K2-a〜c・K3-a〜t・M2-a〜m・W126〜W145</t>
        </is>
      </c>
      <c r="J57" s="7" t="inlineStr">
        <is>
          <t>要（代替手段の確保を依頼）</t>
        </is>
      </c>
      <c r="K57" s="8" t="inlineStr"/>
      <c r="L57" s="9" t="inlineStr">
        <is>
          <t>反映済</t>
        </is>
      </c>
    </row>
    <row r="58">
      <c r="A58" s="5" t="inlineStr">
        <is>
          <t>B-21</t>
        </is>
      </c>
      <c r="B58" s="5" t="inlineStr">
        <is>
          <t>B</t>
        </is>
      </c>
      <c r="C58" s="5" t="inlineStr">
        <is>
          <t>高</t>
        </is>
      </c>
      <c r="D58" s="5" t="inlineStr">
        <is>
          <t>第4章第3節／資料編 資料1</t>
        </is>
      </c>
      <c r="E58" s="5" t="inlineStr">
        <is>
          <t>北海道の評価指標の活用</t>
        </is>
      </c>
      <c r="F58" s="5" t="inlineStr">
        <is>
          <t>北海道の第9期評価指標のうち3項目は既存の全国調査又は既存データで算定でき、測定手段が未確定の第10期KPIの代替又は補完に使えるが、素案に言及がない。</t>
        </is>
      </c>
      <c r="G58" s="5" t="inlineStr">
        <is>
          <t>①地域包括支援センター運営状況調査の各項目における評価結果（北海道71.6％（R3）→全国平均値以上（R8）。国が全国統一して用いる59問の評価指標）、②介護従事者の採用率と離職率の差（北海道1.0％（R3）→全国平均以上（R8）。介護労働安定センター「介護労働実態調査」）、③介護給付適正化の主要3事業の実施率（全市町村100％）。</t>
        </is>
      </c>
      <c r="H58" s="5" t="inlineStr">
        <is>
          <t>①をH09・H10（業務記録の様式整備が必要）の補完指標として設定する。②をH13・H14（設問がない）の代替として設定する。第9期の介護人材実態調査の採用者数・退職者数から算定できる。③を給付適正化の管理指標とする。いずれも北海道・全国と比較可能で、第9期の代表KPIが独自定義で比較できなかった問題を解消できる。</t>
        </is>
      </c>
      <c r="I58" s="5" t="inlineStr">
        <is>
          <t>北海道第9期計画 第4章第3節1・6・8／第9期計画 第2章第5節</t>
        </is>
      </c>
      <c r="J58" s="7" t="inlineStr">
        <is>
          <t>要（採用の可否を決定）</t>
        </is>
      </c>
      <c r="K58" s="8" t="inlineStr"/>
      <c r="L58" s="9" t="inlineStr">
        <is>
          <t>反映済</t>
        </is>
      </c>
    </row>
    <row r="59">
      <c r="A59" s="5" t="inlineStr">
        <is>
          <t>B-22</t>
        </is>
      </c>
      <c r="B59" s="5" t="inlineStr">
        <is>
          <t>B</t>
        </is>
      </c>
      <c r="C59" s="5" t="inlineStr">
        <is>
          <t>高</t>
        </is>
      </c>
      <c r="D59" s="5" t="inlineStr">
        <is>
          <t>第6章第4節／第2章第7節</t>
        </is>
      </c>
      <c r="E59" s="5" t="inlineStr">
        <is>
          <t>圏域の24時間対応サービスとの比較</t>
        </is>
      </c>
      <c r="F59" s="5" t="inlineStr">
        <is>
          <t>上川中部圏域は定期巡回・随時対応型訪問介護看護と看護小規模多機能型居宅介護を第9期に見込んでいるが、大雪はいずれも実質ゼロであり、素案に圏域との比較がない。</t>
        </is>
      </c>
      <c r="G59" s="5" t="inlineStr">
        <is>
          <t>北海道第9期計画 第7章第12節4：上川中部圏域の定期巡回はR4実績59.1人/月→R8 68.0人/月→R22 84.0人/月、看多機はR4実績1.0人/月→R6 64.0人/月→R8 101.0人/月。大雪の第1号1人あたり給付月額は定期巡回15円（R7）、看多機0円、夜間対応0円。一方、大雪の要介護5の在宅・居住系割合は54.6％（R7）。</t>
        </is>
      </c>
      <c r="H59" s="5" t="inlineStr">
        <is>
          <t>第2章に圏域内の供給構成の比較を新設し、第6章第4節で24時間対応サービスの整備方針又は代替方針（訪問介護・訪問看護・小規模多機能の組合せ）を明記する。圏域の定期巡回はほぼ旭川市に集中していると考えられるため、圏域を越えた利用の可否も確認する。</t>
        </is>
      </c>
      <c r="I59" s="5" t="inlineStr">
        <is>
          <t>北海道第9期計画 第7章第12節4／見える化D13-s・D13-y・D13-t・D38</t>
        </is>
      </c>
      <c r="J59" s="7" t="inlineStr">
        <is>
          <t>要（整備方針を決定）</t>
        </is>
      </c>
      <c r="K59" s="8" t="inlineStr"/>
      <c r="L59" s="9" t="inlineStr">
        <is>
          <t>反映済</t>
        </is>
      </c>
    </row>
    <row r="60">
      <c r="A60" s="5" t="inlineStr">
        <is>
          <t>C-17</t>
        </is>
      </c>
      <c r="B60" s="5" t="inlineStr">
        <is>
          <t>C</t>
        </is>
      </c>
      <c r="C60" s="5" t="inlineStr">
        <is>
          <t>高</t>
        </is>
      </c>
      <c r="D60" s="5" t="inlineStr">
        <is>
          <t>第2章第2節</t>
        </is>
      </c>
      <c r="E60" s="5" t="inlineStr">
        <is>
          <t>上川中部圏域内の保険者比較</t>
        </is>
      </c>
      <c r="F60" s="5" t="inlineStr">
        <is>
          <t>北海道第9期計画 第7章第12節に上川中部圏域10市町村の調整済み認定率と調整済み給付月額の分布図が掲載されており、仕様書４（４）が求める類似保険者との比較分析の材料として直接使える。</t>
        </is>
      </c>
      <c r="G60" s="5" t="inlineStr">
        <is>
          <t>分布図によると、大雪は調整済み重度認定率が北海道5.7％に対し約5.6％、調整済み軽度認定率が北海道14.8％に対し約13.5％で、いずれも道平均並み。一方、調整済み給付月額は施設及び居住系が北海道10,504円に対し約12,700円（見える化D8では13,097円）、在宅が北海道8,918円に対し約8,700円（同9,164円）。旭川市は逆に在宅が高く施設・居住系が低い。</t>
        </is>
      </c>
      <c r="H60" s="5" t="inlineStr">
        <is>
          <t>第2章第2節に圏域内比較を新設する。ただし北海道計画の図は第9期策定時点の値であるため、見える化の類似保険者比較機能で最新値を再出力する（A-14と一体で対応）。大雪と旭川市の構造の違いは住民説明で問われやすいため、要因とともに記載する。</t>
        </is>
      </c>
      <c r="I60" s="5" t="inlineStr">
        <is>
          <t>北海道第9期計画 第7章第12節1・2／見える化B6・D8</t>
        </is>
      </c>
      <c r="J60" s="7" t="inlineStr">
        <is>
          <t>要（最新値の再出力を依頼）</t>
        </is>
      </c>
      <c r="K60" s="8" t="inlineStr"/>
      <c r="L60" s="9" t="inlineStr">
        <is>
          <t>反映済</t>
        </is>
      </c>
    </row>
    <row r="61">
      <c r="A61" s="5" t="inlineStr">
        <is>
          <t>C-18</t>
        </is>
      </c>
      <c r="B61" s="5" t="inlineStr">
        <is>
          <t>C</t>
        </is>
      </c>
      <c r="C61" s="5" t="inlineStr">
        <is>
          <t>中</t>
        </is>
      </c>
      <c r="D61" s="5" t="inlineStr">
        <is>
          <t>第1章第8節</t>
        </is>
      </c>
      <c r="E61" s="5" t="inlineStr">
        <is>
          <t>北海道計画との関係の明示</t>
        </is>
      </c>
      <c r="F61" s="5" t="inlineStr">
        <is>
          <t>第9期計画 第1章第8節は国・北海道・広域連合・3町の関係を図で示すのみで、北海道の基本テーマ・基本目標・評価指標との対応関係を記載していない。</t>
        </is>
      </c>
      <c r="G61" s="5" t="inlineStr">
        <is>
          <t>北海道の第9期計画は基本テーマ「道民みんなで支え合う、明るく活力に満ちた高齢社会づくり」のもとに8つの基本目標を設定し、それぞれに評価指標（KPI）を置いている。大雪の第9期計画の5基本目標との対応関係は記載されていない。</t>
        </is>
      </c>
      <c r="H61" s="5" t="inlineStr">
        <is>
          <t>第1章第8節に、北海道の8基本目標と大雪の基本目標の対応表を掲載する。北海道のKPIのうち保険者に関係するものを特定し、大雪のKPIとの接続を示す（B-21と一体）。</t>
        </is>
      </c>
      <c r="I61" s="5" t="inlineStr">
        <is>
          <t>北海道第9期計画 第4章第1〜3節／第9期計画 第1章第8節</t>
        </is>
      </c>
      <c r="J61" s="5" t="inlineStr">
        <is>
          <t>不要（記述方針）</t>
        </is>
      </c>
      <c r="K61" s="8" t="inlineStr"/>
      <c r="L61" s="9" t="inlineStr">
        <is>
          <t>反映済</t>
        </is>
      </c>
    </row>
    <row r="62">
      <c r="A62" s="5" t="inlineStr">
        <is>
          <t>A-18</t>
        </is>
      </c>
      <c r="B62" s="5" t="inlineStr">
        <is>
          <t>A</t>
        </is>
      </c>
      <c r="C62" s="5" t="inlineStr">
        <is>
          <t>最優先</t>
        </is>
      </c>
      <c r="D62" s="5" t="inlineStr">
        <is>
          <t>第5章 全体</t>
        </is>
      </c>
      <c r="E62" s="5" t="inlineStr">
        <is>
          <t>施策記述のロジックモデル化</t>
        </is>
      </c>
      <c r="F62" s="5" t="inlineStr">
        <is>
          <t>計画素案の第5章は「主な取組・管理指標・主体」の3列の表のみで、現状と課題、根拠データ、実施事業、アウトプット目標がなく、施策と成果指標のロジックが接続していない。第10期基本指針案は「ロジックモデルの活用やPDCAサイクルに沿った計画策定の推進」を記載充実事項に挙げている。</t>
        </is>
      </c>
      <c r="G62" s="5" t="inlineStr">
        <is>
          <t>北海道第9期計画 第5章は全8節を「（1）現状と課題／（2）関連データ／（3）施策の方向性／（4）主な事業＜事業名及び内容（インプット）／目標（アウトプット）＞／（5）達成目標（アウトカム）」の5層で記述している。例：第6節 介護人材の養成・確保は、事業4件、アウトプット目標6項目（初任介護支援専門員OJT研修25人/年、キャリアパス支援研修12,000人/年 ほか）、アウトカム1項目（介護支援専門員従事者数 R4 9,718人→R8 10,331人）。第9期計画も指標設定の考慮点に「アウトプットの達成→アウトカムの達成のロジックの妥当性」を挙げていたが、実装されていない。</t>
        </is>
      </c>
      <c r="H62" s="5" t="inlineStr">
        <is>
          <t>第5章の記述構成を北海道と同じ5層に改める。素案の3層構造（本文KPI12項目・補完4項目・施策管理指標）を、施策管理指標＝アウトプット、本文KPI＝アウトカムとして各節に割り付ける。（2）関連データは第2章の図表を図表番号で参照する（図表集の図表番号一覧を活用）。国の指針案の要請と北海道との整合を同時に満たせる。</t>
        </is>
      </c>
      <c r="I62" s="5" t="inlineStr">
        <is>
          <t>北海道第9期計画 第5章第3節・第6節・第8節／第10期基本指針案（第135回 資料2-1）第一 二 4／第9期計画 第1章第6節1【指標設定で考慮した点】</t>
        </is>
      </c>
      <c r="J62" s="5" t="inlineStr">
        <is>
          <t>不要（構成方針）</t>
        </is>
      </c>
      <c r="K62" s="8" t="inlineStr"/>
      <c r="L62" s="9" t="inlineStr">
        <is>
          <t>反映済</t>
        </is>
      </c>
    </row>
    <row r="63">
      <c r="A63" s="5" t="inlineStr">
        <is>
          <t>C-19</t>
        </is>
      </c>
      <c r="B63" s="5" t="inlineStr">
        <is>
          <t>C</t>
        </is>
      </c>
      <c r="C63" s="5" t="inlineStr">
        <is>
          <t>中</t>
        </is>
      </c>
      <c r="D63" s="5" t="inlineStr">
        <is>
          <t>第4章第3節／資料編 資料1</t>
        </is>
      </c>
      <c r="E63" s="5" t="inlineStr">
        <is>
          <t>北海道の指標単位の読替え</t>
        </is>
      </c>
      <c r="F63" s="5" t="inlineStr">
        <is>
          <t>北海道の評価指標・達成目標には「市町村数」を単位とするものが多く、1保険者である大雪にはそのまま適用できない。読替えの方針が素案にない。</t>
        </is>
      </c>
      <c r="G63" s="5" t="inlineStr">
        <is>
          <t>例：「介護予防に資する住民主体の通いの場がある市町村数 R4 159→R8 全179市町村」「生活支援コーディネーターの活動の進捗を定期的に確認し改善・見直しを行っている市町村数 R5 127→R8 142以上」「多様な主体による生活支援・通いの場を実施する市町村数 R4 85→R8 98以上」「専門医療機関との連携により早期診断・早期対応につなげる体制を構築している市町村数 R5 149→R8 全市町村」。</t>
        </is>
      </c>
      <c r="H63" s="5" t="inlineStr">
        <is>
          <t>市町村数を単位とする指標は、①日常生活圏域数（6圏域）に置き換える、②実数・率に置き換える、③3町のうち実施している町数に置き換える、のいずれかで読み替える。圏域数に置き換える場合は圏域設定の見直し（C-9）と連動する。3町の町数に置き換える場合は3町との合意（C-10）が前提となる。</t>
        </is>
      </c>
      <c r="I63" s="5" t="inlineStr">
        <is>
          <t>北海道第9期計画 第4章第3節・第5章各節（5）達成目標</t>
        </is>
      </c>
      <c r="J63" s="7" t="inlineStr">
        <is>
          <t>要（読替え方針を決定）</t>
        </is>
      </c>
      <c r="K63" s="8" t="inlineStr"/>
      <c r="L63" s="9" t="inlineStr">
        <is>
          <t>反映済</t>
        </is>
      </c>
    </row>
    <row r="64">
      <c r="A64" s="5" t="inlineStr">
        <is>
          <t>A-19</t>
        </is>
      </c>
      <c r="B64" s="5" t="inlineStr">
        <is>
          <t>A</t>
        </is>
      </c>
      <c r="C64" s="5" t="inlineStr">
        <is>
          <t>最優先</t>
        </is>
      </c>
      <c r="D64" s="5" t="inlineStr">
        <is>
          <t>第2章第2節／第3章第4節／第7章</t>
        </is>
      </c>
      <c r="E64" s="5" t="inlineStr">
        <is>
          <t>保険者機能強化推進交付金等の評価結果</t>
        </is>
      </c>
      <c r="F64" s="5" t="inlineStr">
        <is>
          <t>保険者機能強化推進交付金等の総合得点が全国平均を21.4％下回っているが、第9期計画にも計画素案にも交付金の評価結果への言及がない。交付金額は得点に応じて配分されるため、この差はそのまま財源の差となる。</t>
        </is>
      </c>
      <c r="G64" s="5" t="inlineStr">
        <is>
          <t>見える化W126（令和5年調査＝令和6年度分指標）：総合得点は大雪332.0点、全国平均422.4点、北海道平均413.6点。推進交付金164.7点（全国205.6点の80.1％）、支援交付金167.3点（全国216.7点の77.2％）。目標別では推進Ⅱ（公正・公平な給付体制）23.3点が全国59.8点の39.0％、支援Ⅲ（在宅医療・在宅介護連携）23.7点が全国62.1点の38.2％で最も低い。0点の項目は10項目あり、ケアプラン点検の実施割合、医療情報との突合の実施割合、入退院支援の実施状況、人生の最終段階における支援の実施状況、評価結果を関係者間で共有し自立支援等に資する取組を検討、今年度の評価得点を含む。</t>
        </is>
      </c>
      <c r="H64" s="5" t="inlineStr">
        <is>
          <t>第2章第2節に交付金評価の結果を掲載し（図表集 図26）、第3章第4節の第9期の評価に反映する。第7章（計画の推進体制）に給付適正化の節を設け、ケアプラン点検と医療情報との突合の実施を第10期のアウトプット指標に位置づける。北海道の第9期評価指標⑧「給付適正化主要3事業の実施率100％」に反する状態であり、道計画との整合上も必須である。在宅医療・介護連携については、第5章の該当節に「入退院支援・看取りの取組が国の評価で0点である」ことを現状として明記し、H09（退院時支援調整実施率）の新設をその対応として位置づける。</t>
        </is>
      </c>
      <c r="I64" s="5" t="inlineStr">
        <is>
          <t>見える化W126〜W137（令和5年調査）／北海道第9期計画 第4章第3節8</t>
        </is>
      </c>
      <c r="J64" s="7" t="inlineStr">
        <is>
          <t>要（評価調書との突合を依頼）</t>
        </is>
      </c>
      <c r="K64" s="8" t="inlineStr"/>
      <c r="L64" s="9" t="inlineStr">
        <is>
          <t>反映済</t>
        </is>
      </c>
    </row>
    <row r="65">
      <c r="A65" s="5" t="inlineStr">
        <is>
          <t>A-20</t>
        </is>
      </c>
      <c r="B65" s="5" t="inlineStr">
        <is>
          <t>A</t>
        </is>
      </c>
      <c r="C65" s="5" t="inlineStr">
        <is>
          <t>最優先</t>
        </is>
      </c>
      <c r="D65" s="5" t="inlineStr">
        <is>
          <t>第5章 全体／第7章</t>
        </is>
      </c>
      <c r="E65" s="5" t="inlineStr">
        <is>
          <t>アウトプット指標の欠落が国の評価でも確認された</t>
        </is>
      </c>
      <c r="F65" s="5" t="inlineStr">
        <is>
          <t>交付金評価の指標群別得点で、成果指標群が全国の123.5％である一方、活動指標群は推進で全国の23.2％、支援で55.6％にとどまる。成果と活動の得点に差がある状態（原因は評価調書の受領後に確認）であり、第9期計画の第5章がアウトプット指標を持たないこと（A-18）を国の評価が独立に裏付けている。</t>
        </is>
      </c>
      <c r="G65" s="5" t="inlineStr">
        <is>
          <t>見える化W128：推進交付金の取組・体制96.7点（全国122.5点の78.9％）、活動8.0点（同34.5点の23.2％）、成果60.0点（同48.6点の123.5％）。見える化W130：支援交付金の取組・体制82.3点（全国123.1点の66.9％）、活動25.0点（同45.0点の55.6％）、成果60.0点（同123.5％）。「介護保険事業計画の進捗状況（計画評価）」も8.0点で全国12.4点の64.5％。「評価結果を関係者間で共有し、自立支援等に資する取組を検討」「今年度の評価得点」はいずれも0点。</t>
        </is>
      </c>
      <c r="H65" s="5" t="inlineStr">
        <is>
          <t>A-18（第5章の5層構成化）のアウトプット指標を、交付金の活動指標群の評価項目と対応させて設計する。これにより計画の実効性と交付金得点の双方が改善する。あわせて第7章に年次の進行管理（毎年度のKPI実績の算定・委員会への報告・3町との共有）を明記する。第9期は代表KPIの検証が令和8年3月末実績の1回のみで、年次の中間評価がなかった。</t>
        </is>
      </c>
      <c r="I65" s="5" t="inlineStr">
        <is>
          <t>見える化W128・W130・W131／第10期基本指針案（第135回 資料2-1）第一 二 4</t>
        </is>
      </c>
      <c r="J65" s="5" t="inlineStr">
        <is>
          <t>不要（構成方針）</t>
        </is>
      </c>
      <c r="K65" s="8" t="inlineStr"/>
      <c r="L65" s="9" t="inlineStr">
        <is>
          <t>反映済</t>
        </is>
      </c>
    </row>
    <row r="66">
      <c r="A66" s="5" t="inlineStr">
        <is>
          <t>B-23</t>
        </is>
      </c>
      <c r="B66" s="5" t="inlineStr">
        <is>
          <t>B</t>
        </is>
      </c>
      <c r="C66" s="5" t="inlineStr">
        <is>
          <t>高</t>
        </is>
      </c>
      <c r="D66" s="5" t="inlineStr">
        <is>
          <t>第2章第2節／第6章第4節</t>
        </is>
      </c>
      <c r="E66" s="5" t="inlineStr">
        <is>
          <t>域内に事業所が存在しないサービスの明記</t>
        </is>
      </c>
      <c r="F66" s="5" t="inlineStr">
        <is>
          <t>全28サービス種別のうち11種別（39.3％）で域内の事業所数がゼロであるが、素案に記載がない。うち定期巡回・随時対応型訪問介護看護、夜間対応型訪問介護、看護小規模多機能型居宅介護の3種別は、制度創設以来13年間ゼロである。</t>
        </is>
      </c>
      <c r="G66" s="5" t="inlineStr">
        <is>
          <t>見える化K3m・K3n・K3q：平成24年度から令和6年度まで全年度で事業所数0。ほかに介護療養型医療施設（K1d）、介護医療院（K1e）、地域密着型特定施設（K2b）、訪問入浴介護（K3b）、短期入所療養介護（病院等・介護医療院）（K3k・K3t）、福祉用具貸与（K3l）、認知症対応型通所介護（K3o）がゼロ。認知症対応型通所介護は平成26年度まで2事業所あったが平成27年度に消滅した。</t>
        </is>
      </c>
      <c r="H66" s="5" t="inlineStr">
        <is>
          <t>第2章第2節に「域内に事業所が存在しないサービス」の一覧を新設する（図表集 図24-2）。福祉用具貸与は給付月額が平成30年度から36.4％増加しているが供給はすべて域外の事業所によるなど、事業所がないことと給付がないことは別である点を注記する。第6章第4節の整備方針では、24時間対応の3サービスの確保方策を明示する（A-13と一体）。</t>
        </is>
      </c>
      <c r="I66" s="5" t="inlineStr">
        <is>
          <t>見える化K1-a〜e・K2-a〜c・K3-a〜t（平成24年度〜令和6年度）</t>
        </is>
      </c>
      <c r="J66" s="5" t="inlineStr">
        <is>
          <t>不要（記述方針）</t>
        </is>
      </c>
      <c r="K66" s="8" t="inlineStr"/>
      <c r="L66" s="9" t="inlineStr">
        <is>
          <t>反映済</t>
        </is>
      </c>
    </row>
    <row r="67">
      <c r="A67" s="5" t="inlineStr">
        <is>
          <t>B-24</t>
        </is>
      </c>
      <c r="B67" s="5" t="inlineStr">
        <is>
          <t>B</t>
        </is>
      </c>
      <c r="C67" s="5" t="inlineStr">
        <is>
          <t>高</t>
        </is>
      </c>
      <c r="D67" s="5" t="inlineStr">
        <is>
          <t>第2章第2節</t>
        </is>
      </c>
      <c r="E67" s="5" t="inlineStr">
        <is>
          <t>地域密着型通所介護の給付減は休廃止ではない</t>
        </is>
      </c>
      <c r="F67" s="5" t="inlineStr">
        <is>
          <t>地域密着型通所介護の第1号1人あたり給付月額が平成30年度から令和7年度に27.0％減少しているが、その要因が素案に記載されていない。事業所数の受領により、休廃止によるものではないことが確定した。</t>
        </is>
      </c>
      <c r="G67" s="5" t="inlineStr">
        <is>
          <t>見える化K3g：地域密着型通所介護の事業所数は平成28年度の制度創設時から令和6年度まで4で不変。見える化M2m：従事者数は平成30年度21人から令和6年度25人へ増加している。一方、見える化D13の給付月額は27.0％減少している。</t>
        </is>
      </c>
      <c r="H67" s="5" t="inlineStr">
        <is>
          <t>事業所数・従事者数が減っていないのに給付が減っているため、利用者数の減少又は1人あたり利用回数の低下（稼働率の低下）による。第2章第2節にこの整理を記載する。第10期基本指針の新別表 七が求める「稼働率」の把握が必要となる典型例であり、3町の指定台帳又は事業所への照会で稼働率を確認する。</t>
        </is>
      </c>
      <c r="I67" s="5" t="inlineStr">
        <is>
          <t>見える化K3g・M2m・D13（平成28年度〜令和7年度）</t>
        </is>
      </c>
      <c r="J67" s="7" t="inlineStr">
        <is>
          <t>要（稼働率を照会）</t>
        </is>
      </c>
      <c r="K67" s="8" t="inlineStr"/>
      <c r="L67" s="9" t="inlineStr">
        <is>
          <t>反映済</t>
        </is>
      </c>
    </row>
    <row r="68">
      <c r="A68" s="5" t="inlineStr">
        <is>
          <t>B-25</t>
        </is>
      </c>
      <c r="B68" s="5" t="inlineStr">
        <is>
          <t>B</t>
        </is>
      </c>
      <c r="C68" s="5" t="inlineStr">
        <is>
          <t>高</t>
        </is>
      </c>
      <c r="D68" s="5" t="inlineStr">
        <is>
          <t>第2章第1節／第3章第4節</t>
        </is>
      </c>
      <c r="E68" s="5" t="inlineStr">
        <is>
          <t>認定率の評価は軽度と中重度で分けて記述する</t>
        </is>
      </c>
      <c r="F68" s="5" t="inlineStr">
        <is>
          <t>第9期計画の代表KPI①は粗認定率であり、素案も認定率の上昇を全体として記述しているが、性・年齢調整を行うと軽度と中重度で方向が逆であることが確定した。</t>
        </is>
      </c>
      <c r="G68" s="5" t="inlineStr">
        <is>
          <t>見える化W144：性・年齢調整済み要介護2以上の認定率は大雪9.25％、全国8.99％、北海道8.59％（令和5年調査）。見える化W145：同変化率は大雪＋1.76、全国▲0.37、北海道▲1.71で、大雪のみ上昇している。一方、見える化B3系列の粗認定率は75歳以上が平成30年3月末35.3％→令和8年3月末33.5％、85歳以上が令和2年3月末63.7％→61.6％へ低下している。</t>
        </is>
      </c>
      <c r="H68" s="5" t="inlineStr">
        <is>
          <t>第2章第1節に「軽度は改善したが中重度は悪化している」という構造を明記する。第3章第4節の第9期KPI①の評価も、粗認定率の上昇（＋1.0ポイント）と年齢層別の粗率の低下、性年齢調整済み要介護2以上の上昇を区別して記述する。この構造は、要介護4・5の在宅受給率が上昇し施設定員が縮小しているという供給側の変化と符合する（A-13）。</t>
        </is>
      </c>
      <c r="I68" s="5" t="inlineStr">
        <is>
          <t>見える化W144・W145・B3-a〜e・D2・D4</t>
        </is>
      </c>
      <c r="J68" s="5" t="inlineStr">
        <is>
          <t>不要（記述方針）</t>
        </is>
      </c>
      <c r="K68" s="8" t="inlineStr"/>
      <c r="L68" s="9" t="inlineStr">
        <is>
          <t>反映済</t>
        </is>
      </c>
    </row>
    <row r="69">
      <c r="A69" s="5" t="inlineStr">
        <is>
          <t>C-20</t>
        </is>
      </c>
      <c r="B69" s="5" t="inlineStr">
        <is>
          <t>C</t>
        </is>
      </c>
      <c r="C69" s="5" t="inlineStr">
        <is>
          <t>中</t>
        </is>
      </c>
      <c r="D69" s="5" t="inlineStr">
        <is>
          <t>第2章第2節</t>
        </is>
      </c>
      <c r="E69" s="5" t="inlineStr">
        <is>
          <t>訪問看護の拡大を第9期の成果として記載する</t>
        </is>
      </c>
      <c r="F69" s="5" t="inlineStr">
        <is>
          <t>第9期に供給基盤が明確に拡大した唯一のサービスが訪問看護であるが、素案に記載がない。</t>
        </is>
      </c>
      <c r="G69" s="5" t="inlineStr">
        <is>
          <t>見える化K3c：事業所数は平成24年度2箇所から令和6年度7箇所へ3.5倍。見える化M2j：従事者数は平成29年度15人から令和6年度37人へ2.5倍。認定者1万対では79.70（全国105.15の75.8％）から188.58（全国207.04の91.1％）へ全国水準に接近。見える化D13：給付月額は平成30年度から令和7年度に69.2％増加。事業所数・従事者数・給付がそろって増加しているのは訪問看護のみである。</t>
        </is>
      </c>
      <c r="H69" s="5" t="inlineStr">
        <is>
          <t>第2章第2節に第9期の供給基盤の変化として記載する。居宅療養管理指導も事業所数が令和3年度4→令和6年度10と急増しており（K3e）、医科・歯科・薬局の在宅対応の広がりとして併記する。ただし交付金評価では在宅医療・介護連携が全国の38.2％と最低水準であり（A-19）、事業所の増加が連携の実効に結びついているかは別に確認する。</t>
        </is>
      </c>
      <c r="I69" s="5" t="inlineStr">
        <is>
          <t>見える化K3c・K3e・M2j・D13</t>
        </is>
      </c>
      <c r="J69" s="5" t="inlineStr">
        <is>
          <t>不要（記述方針）</t>
        </is>
      </c>
      <c r="K69" s="8" t="inlineStr"/>
      <c r="L69" s="9" t="inlineStr">
        <is>
          <t>反映済</t>
        </is>
      </c>
    </row>
    <row r="70">
      <c r="A70" s="5" t="inlineStr">
        <is>
          <t>C-21</t>
        </is>
      </c>
      <c r="B70" s="5" t="inlineStr">
        <is>
          <t>C</t>
        </is>
      </c>
      <c r="C70" s="5" t="inlineStr">
        <is>
          <t>中</t>
        </is>
      </c>
      <c r="D70" s="5" t="inlineStr">
        <is>
          <t>第5章 認知症施策の節</t>
        </is>
      </c>
      <c r="E70" s="5" t="inlineStr">
        <is>
          <t>認知症の受け皿の減少と実態把握の手薄さ</t>
        </is>
      </c>
      <c r="F70" s="5" t="inlineStr">
        <is>
          <t>認知症の通所・居住の受け皿が10年間で減少しているが、素案に記載がない。また見える化の認知症関連指標（J1〜J18）は大雪についてデータ登録がなく提供できないことが確定した。</t>
        </is>
      </c>
      <c r="G70" s="5" t="inlineStr">
        <is>
          <t>見える化K3o：認知症対応型通所介護は平成26年度まで2事業所あったが平成27年度に消滅。見える化K2c：認知症対応型共同生活介護は令和4年度に6→5事業所（定員117人→99人）。見える化W135：交付金評価の支援Ⅱ（認知症総合支援）は36.3点で全国54.5点の66.6％。うち認知症地域支援推進員の業務の状況2.0点（全国5.9点の33.9％）、認知症サポーター数2.0点（同4.8点の41.7％）、認知症サポーターステップアップ講座0点。</t>
        </is>
      </c>
      <c r="H70" s="5" t="inlineStr">
        <is>
          <t>第5章の認知症施策の節に、受け皿の減少と交付金評価の状況を現状として記載する。第10期基本指針の別表十一への対応は、J系列が使えないため3町への直接照会に切り替える。照会項目は、認知症初期集中支援チームの訪問実績、認知症地域支援推進員の配置人数と業務内容、認知症カフェの箇所数と参加者数、認知症サポーター数、チームオレンジの有無とする。あわせて認知症の人の数の推計値を算定して掲載する（第9期計画は掲載していない）。</t>
        </is>
      </c>
      <c r="I70" s="5" t="inlineStr">
        <is>
          <t>見える化K2c・K3o・W135／第10期基本指針案 別表 十一</t>
        </is>
      </c>
      <c r="J70" s="7" t="inlineStr">
        <is>
          <t>要（3町への照会）</t>
        </is>
      </c>
      <c r="K70" s="8" t="inlineStr"/>
      <c r="L70" s="9" t="inlineStr">
        <is>
          <t>反映済</t>
        </is>
      </c>
    </row>
    <row r="72" ht="30" customHeight="1">
      <c r="A72" s="11" t="inlineStr">
        <is>
          <t>注1）「現行の記載」は計画素案（第9期目次準拠・令和8年7月）の記載内容。注2）「根拠・出典」の第9期計画は大雪地区広域連合『第9期介護保険事業計画』（令和6年3月）。注3）区分Aは第1回委員会前に修正、区分Bは原稿整備段階で修正、区分Cは前回精査からの継続確認事項。</t>
        </is>
      </c>
    </row>
  </sheetData>
  <autoFilter ref="A4:L70"/>
  <mergeCells count="3">
    <mergeCell ref="A2:L2"/>
    <mergeCell ref="A72:L7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s>
  <sheetData>
    <row r="1" ht="26" customHeight="1">
      <c r="A1" s="1" t="inlineStr">
        <is>
          <t>修正指示の進捗管理</t>
        </is>
      </c>
    </row>
    <row r="2" ht="18" customHeight="1">
      <c r="A2" s="2" t="inlineStr">
        <is>
          <t>修正指示一覧の「状態」欄（計画素案への反映状況）を自動集計します。状態は 反映済／反映済（照会継続）／照会・資料待ち／別成果物で対応 の4区分です。反映済率は「反映済」と「反映済（照会継続）」の合計です。</t>
        </is>
      </c>
    </row>
    <row r="4" ht="30" customHeight="1">
      <c r="A4" s="4" t="inlineStr">
        <is>
          <t>区分</t>
        </is>
      </c>
      <c r="B4" s="4" t="inlineStr">
        <is>
          <t>反映済</t>
        </is>
      </c>
      <c r="C4" s="4" t="inlineStr">
        <is>
          <t>反映済（照会継続）</t>
        </is>
      </c>
      <c r="D4" s="4" t="inlineStr">
        <is>
          <t>照会・資料待ち</t>
        </is>
      </c>
      <c r="E4" s="4" t="inlineStr">
        <is>
          <t>別成果物で対応</t>
        </is>
      </c>
      <c r="F4" s="4" t="inlineStr">
        <is>
          <t>合計</t>
        </is>
      </c>
      <c r="G4" s="4" t="inlineStr">
        <is>
          <t>反映済率</t>
        </is>
      </c>
    </row>
    <row r="5">
      <c r="A5" s="5" t="inlineStr">
        <is>
          <t>A　委員会前必須</t>
        </is>
      </c>
      <c r="B5" s="12">
        <f>COUNTIFS(修正指示一覧!$B$5:$B$70,"A",修正指示一覧!$L$5:$L$70,"反映済")</f>
        <v/>
      </c>
      <c r="C5" s="12">
        <f>COUNTIFS(修正指示一覧!$B$5:$B$70,"A",修正指示一覧!$L$5:$L$70,"反映済（照会継続）")</f>
        <v/>
      </c>
      <c r="D5" s="12">
        <f>COUNTIFS(修正指示一覧!$B$5:$B$70,"A",修正指示一覧!$L$5:$L$70,"照会・資料待ち")</f>
        <v/>
      </c>
      <c r="E5" s="12">
        <f>COUNTIFS(修正指示一覧!$B$5:$B$70,"A",修正指示一覧!$L$5:$L$70,"別成果物で対応")</f>
        <v/>
      </c>
      <c r="F5" s="12">
        <f>SUM(B5:E5)</f>
        <v/>
      </c>
      <c r="G5" s="13">
        <f>IF(F5=0,"-",(B5+C5)/F5)</f>
        <v/>
      </c>
    </row>
    <row r="6">
      <c r="A6" s="5" t="inlineStr">
        <is>
          <t>B　原稿整備</t>
        </is>
      </c>
      <c r="B6" s="12">
        <f>COUNTIFS(修正指示一覧!$B$5:$B$70,"B",修正指示一覧!$L$5:$L$70,"反映済")</f>
        <v/>
      </c>
      <c r="C6" s="12">
        <f>COUNTIFS(修正指示一覧!$B$5:$B$70,"B",修正指示一覧!$L$5:$L$70,"反映済（照会継続）")</f>
        <v/>
      </c>
      <c r="D6" s="12">
        <f>COUNTIFS(修正指示一覧!$B$5:$B$70,"B",修正指示一覧!$L$5:$L$70,"照会・資料待ち")</f>
        <v/>
      </c>
      <c r="E6" s="12">
        <f>COUNTIFS(修正指示一覧!$B$5:$B$70,"B",修正指示一覧!$L$5:$L$70,"別成果物で対応")</f>
        <v/>
      </c>
      <c r="F6" s="12">
        <f>SUM(B6:E6)</f>
        <v/>
      </c>
      <c r="G6" s="13">
        <f>IF(F6=0,"-",(B6+C6)/F6)</f>
        <v/>
      </c>
    </row>
    <row r="7">
      <c r="A7" s="5" t="inlineStr">
        <is>
          <t>C　継続確認</t>
        </is>
      </c>
      <c r="B7" s="12">
        <f>COUNTIFS(修正指示一覧!$B$5:$B$70,"C",修正指示一覧!$L$5:$L$70,"反映済")</f>
        <v/>
      </c>
      <c r="C7" s="12">
        <f>COUNTIFS(修正指示一覧!$B$5:$B$70,"C",修正指示一覧!$L$5:$L$70,"反映済（照会継続）")</f>
        <v/>
      </c>
      <c r="D7" s="12">
        <f>COUNTIFS(修正指示一覧!$B$5:$B$70,"C",修正指示一覧!$L$5:$L$70,"照会・資料待ち")</f>
        <v/>
      </c>
      <c r="E7" s="12">
        <f>COUNTIFS(修正指示一覧!$B$5:$B$70,"C",修正指示一覧!$L$5:$L$70,"別成果物で対応")</f>
        <v/>
      </c>
      <c r="F7" s="12">
        <f>SUM(B7:E7)</f>
        <v/>
      </c>
      <c r="G7" s="13">
        <f>IF(F7=0,"-",(B7+C7)/F7)</f>
        <v/>
      </c>
    </row>
    <row r="8">
      <c r="A8" s="14" t="inlineStr">
        <is>
          <t>合計</t>
        </is>
      </c>
      <c r="B8" s="15">
        <f>SUM(B5:B7)</f>
        <v/>
      </c>
      <c r="C8" s="15">
        <f>SUM(C5:C7)</f>
        <v/>
      </c>
      <c r="D8" s="15">
        <f>SUM(D5:D7)</f>
        <v/>
      </c>
      <c r="E8" s="15">
        <f>SUM(E5:E7)</f>
        <v/>
      </c>
      <c r="F8" s="15">
        <f>SUM(F5:F7)</f>
        <v/>
      </c>
      <c r="G8" s="16">
        <f>IF(F8=0,"-",(B8+C8)/F8)</f>
        <v/>
      </c>
    </row>
    <row r="10">
      <c r="A10" s="17" t="inlineStr">
        <is>
          <t>優先度別</t>
        </is>
      </c>
    </row>
    <row r="11" ht="30" customHeight="1">
      <c r="A11" s="4" t="inlineStr">
        <is>
          <t>優先度</t>
        </is>
      </c>
      <c r="B11" s="4" t="inlineStr">
        <is>
          <t>反映済</t>
        </is>
      </c>
      <c r="C11" s="4" t="inlineStr">
        <is>
          <t>反映済（照会継続）</t>
        </is>
      </c>
      <c r="D11" s="4" t="inlineStr">
        <is>
          <t>照会・資料待ち</t>
        </is>
      </c>
      <c r="E11" s="4" t="inlineStr">
        <is>
          <t>別成果物で対応</t>
        </is>
      </c>
      <c r="F11" s="4" t="inlineStr">
        <is>
          <t>合計</t>
        </is>
      </c>
      <c r="G11" s="4" t="inlineStr">
        <is>
          <t>反映済率</t>
        </is>
      </c>
    </row>
    <row r="12">
      <c r="A12" s="5" t="inlineStr">
        <is>
          <t>最優先</t>
        </is>
      </c>
      <c r="B12" s="12">
        <f>COUNTIFS(修正指示一覧!$C$5:$C$70,"最優先",修正指示一覧!$L$5:$L$70,"反映済")</f>
        <v/>
      </c>
      <c r="C12" s="12">
        <f>COUNTIFS(修正指示一覧!$C$5:$C$70,"最優先",修正指示一覧!$L$5:$L$70,"反映済（照会継続）")</f>
        <v/>
      </c>
      <c r="D12" s="12">
        <f>COUNTIFS(修正指示一覧!$C$5:$C$70,"最優先",修正指示一覧!$L$5:$L$70,"照会・資料待ち")</f>
        <v/>
      </c>
      <c r="E12" s="12">
        <f>COUNTIFS(修正指示一覧!$C$5:$C$70,"最優先",修正指示一覧!$L$5:$L$70,"別成果物で対応")</f>
        <v/>
      </c>
      <c r="F12" s="12">
        <f>SUM(B12:E12)</f>
        <v/>
      </c>
      <c r="G12" s="13">
        <f>IF(F12=0,"-",(B12+C12)/F12)</f>
        <v/>
      </c>
    </row>
    <row r="13">
      <c r="A13" s="5" t="inlineStr">
        <is>
          <t>高</t>
        </is>
      </c>
      <c r="B13" s="12">
        <f>COUNTIFS(修正指示一覧!$C$5:$C$70,"高",修正指示一覧!$L$5:$L$70,"反映済")</f>
        <v/>
      </c>
      <c r="C13" s="12">
        <f>COUNTIFS(修正指示一覧!$C$5:$C$70,"高",修正指示一覧!$L$5:$L$70,"反映済（照会継続）")</f>
        <v/>
      </c>
      <c r="D13" s="12">
        <f>COUNTIFS(修正指示一覧!$C$5:$C$70,"高",修正指示一覧!$L$5:$L$70,"照会・資料待ち")</f>
        <v/>
      </c>
      <c r="E13" s="12">
        <f>COUNTIFS(修正指示一覧!$C$5:$C$70,"高",修正指示一覧!$L$5:$L$70,"別成果物で対応")</f>
        <v/>
      </c>
      <c r="F13" s="12">
        <f>SUM(B13:E13)</f>
        <v/>
      </c>
      <c r="G13" s="13">
        <f>IF(F13=0,"-",(B13+C13)/F13)</f>
        <v/>
      </c>
    </row>
    <row r="14">
      <c r="A14" s="5" t="inlineStr">
        <is>
          <t>中</t>
        </is>
      </c>
      <c r="B14" s="12">
        <f>COUNTIFS(修正指示一覧!$C$5:$C$70,"中",修正指示一覧!$L$5:$L$70,"反映済")</f>
        <v/>
      </c>
      <c r="C14" s="12">
        <f>COUNTIFS(修正指示一覧!$C$5:$C$70,"中",修正指示一覧!$L$5:$L$70,"反映済（照会継続）")</f>
        <v/>
      </c>
      <c r="D14" s="12">
        <f>COUNTIFS(修正指示一覧!$C$5:$C$70,"中",修正指示一覧!$L$5:$L$70,"照会・資料待ち")</f>
        <v/>
      </c>
      <c r="E14" s="12">
        <f>COUNTIFS(修正指示一覧!$C$5:$C$70,"中",修正指示一覧!$L$5:$L$70,"別成果物で対応")</f>
        <v/>
      </c>
      <c r="F14" s="12">
        <f>SUM(B14:E14)</f>
        <v/>
      </c>
      <c r="G14" s="13">
        <f>IF(F14=0,"-",(B14+C14)/F14)</f>
        <v/>
      </c>
    </row>
    <row r="15">
      <c r="A15" s="5" t="inlineStr">
        <is>
          <t>低</t>
        </is>
      </c>
      <c r="B15" s="12">
        <f>COUNTIFS(修正指示一覧!$C$5:$C$70,"低",修正指示一覧!$L$5:$L$70,"反映済")</f>
        <v/>
      </c>
      <c r="C15" s="12">
        <f>COUNTIFS(修正指示一覧!$C$5:$C$70,"低",修正指示一覧!$L$5:$L$70,"反映済（照会継続）")</f>
        <v/>
      </c>
      <c r="D15" s="12">
        <f>COUNTIFS(修正指示一覧!$C$5:$C$70,"低",修正指示一覧!$L$5:$L$70,"照会・資料待ち")</f>
        <v/>
      </c>
      <c r="E15" s="12">
        <f>COUNTIFS(修正指示一覧!$C$5:$C$70,"低",修正指示一覧!$L$5:$L$70,"別成果物で対応")</f>
        <v/>
      </c>
      <c r="F15" s="12">
        <f>SUM(B15:E15)</f>
        <v/>
      </c>
      <c r="G15" s="13">
        <f>IF(F15=0,"-",(B15+C15)/F15)</f>
        <v/>
      </c>
    </row>
    <row r="17">
      <c r="A17" s="17" t="inlineStr">
        <is>
          <t>要確認事項（広域連合・3町への照会が必要な件数）</t>
        </is>
      </c>
    </row>
    <row r="18">
      <c r="A18" s="5" t="inlineStr">
        <is>
          <t>照会が必要</t>
        </is>
      </c>
      <c r="B18" s="12">
        <f>COUNTIF(修正指示一覧!$J$5:$J$70,"要*")</f>
        <v/>
      </c>
      <c r="C18" s="5" t="inlineStr">
        <is>
          <t>件（修正指示一覧の「確認要否」列が『要』の件数）</t>
        </is>
      </c>
      <c r="D18" s="18" t="n"/>
      <c r="E18" s="18" t="n"/>
      <c r="F18" s="18" t="n"/>
      <c r="G18" s="19" t="n"/>
    </row>
  </sheetData>
  <mergeCells count="4">
    <mergeCell ref="A2:G2"/>
    <mergeCell ref="C18:G18"/>
    <mergeCell ref="A1:G1"/>
    <mergeCell ref="A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40" customWidth="1" min="3" max="3"/>
    <col width="34" customWidth="1" min="4" max="4"/>
    <col width="20" customWidth="1" min="5" max="5"/>
    <col width="12" customWidth="1" min="6" max="6"/>
    <col width="10" customWidth="1" min="7" max="7"/>
  </cols>
  <sheetData>
    <row r="1" ht="26" customHeight="1">
      <c r="A1" s="1" t="inlineStr">
        <is>
          <t>計画素案の主要数値と原典との照合結果</t>
        </is>
      </c>
    </row>
    <row r="2" ht="18" customHeight="1">
      <c r="A2" s="2" t="inlineStr">
        <is>
          <t>第9期介護保険事業計画・3町高齢者福祉計画・見える化公表値との突合結果。判定が「不一致」「要確認」の項目は修正指示一覧の区分Cに対応。</t>
        </is>
      </c>
    </row>
    <row r="4" ht="30" customHeight="1">
      <c r="A4" s="4" t="inlineStr">
        <is>
          <t>No.</t>
        </is>
      </c>
      <c r="B4" s="4" t="inlineStr">
        <is>
          <t>照合項目</t>
        </is>
      </c>
      <c r="C4" s="4" t="inlineStr">
        <is>
          <t>計画素案の記載</t>
        </is>
      </c>
      <c r="D4" s="4" t="inlineStr">
        <is>
          <t>原典・検算</t>
        </is>
      </c>
      <c r="E4" s="4" t="inlineStr">
        <is>
          <t>原典の該当箇所</t>
        </is>
      </c>
      <c r="F4" s="4" t="inlineStr">
        <is>
          <t>判定</t>
        </is>
      </c>
      <c r="G4" s="4" t="inlineStr">
        <is>
          <t>対応No.</t>
        </is>
      </c>
    </row>
    <row r="5">
      <c r="A5" s="5" t="n">
        <v>1</v>
      </c>
      <c r="B5" s="5" t="inlineStr">
        <is>
          <t>第9期 標準給付費見込額</t>
        </is>
      </c>
      <c r="C5" s="5" t="inlineStr">
        <is>
          <t>9,519,211,524円</t>
        </is>
      </c>
      <c r="D5" s="5" t="inlineStr">
        <is>
          <t>9,519,211,524円</t>
        </is>
      </c>
      <c r="E5" s="5" t="inlineStr">
        <is>
          <t>第9期計画 第6章第6節</t>
        </is>
      </c>
      <c r="F5" s="9" t="inlineStr">
        <is>
          <t>一致</t>
        </is>
      </c>
      <c r="G5" s="5" t="inlineStr"/>
    </row>
    <row r="6">
      <c r="A6" s="5" t="n">
        <v>2</v>
      </c>
      <c r="B6" s="5" t="inlineStr">
        <is>
          <t>第9期 地域支援事業費</t>
        </is>
      </c>
      <c r="C6" s="5" t="inlineStr">
        <is>
          <t>593,658,000円</t>
        </is>
      </c>
      <c r="D6" s="5" t="inlineStr">
        <is>
          <t>593,658,000円</t>
        </is>
      </c>
      <c r="E6" s="5" t="inlineStr">
        <is>
          <t>第9期計画 第6章第6節</t>
        </is>
      </c>
      <c r="F6" s="9" t="inlineStr">
        <is>
          <t>一致</t>
        </is>
      </c>
      <c r="G6" s="5" t="inlineStr"/>
    </row>
    <row r="7">
      <c r="A7" s="5" t="n">
        <v>3</v>
      </c>
      <c r="B7" s="5" t="inlineStr">
        <is>
          <t>第9期 財政調整基金取崩額</t>
        </is>
      </c>
      <c r="C7" s="5" t="inlineStr">
        <is>
          <t>40,000,000円</t>
        </is>
      </c>
      <c r="D7" s="5" t="inlineStr">
        <is>
          <t>40,000,000円</t>
        </is>
      </c>
      <c r="E7" s="5" t="inlineStr">
        <is>
          <t>第9期計画 第6章第6節</t>
        </is>
      </c>
      <c r="F7" s="9" t="inlineStr">
        <is>
          <t>一致</t>
        </is>
      </c>
      <c r="G7" s="5" t="inlineStr"/>
    </row>
    <row r="8">
      <c r="A8" s="5" t="n">
        <v>4</v>
      </c>
      <c r="B8" s="5" t="inlineStr">
        <is>
          <t>第9期 保険料基準額</t>
        </is>
      </c>
      <c r="C8" s="5" t="inlineStr">
        <is>
          <t>算定上6,428円→基準額6,400円</t>
        </is>
      </c>
      <c r="D8" s="5" t="inlineStr">
        <is>
          <t>算定上6,428円→基準額6,400円（百円未満四捨五入）</t>
        </is>
      </c>
      <c r="E8" s="5" t="inlineStr">
        <is>
          <t>第9期計画 第6章第6節2</t>
        </is>
      </c>
      <c r="F8" s="9" t="inlineStr">
        <is>
          <t>一致</t>
        </is>
      </c>
      <c r="G8" s="5" t="inlineStr"/>
    </row>
    <row r="9">
      <c r="A9" s="5" t="n">
        <v>5</v>
      </c>
      <c r="B9" s="5" t="inlineStr">
        <is>
          <t>第9期 所得段階数</t>
        </is>
      </c>
      <c r="C9" s="5" t="inlineStr">
        <is>
          <t>16段階</t>
        </is>
      </c>
      <c r="D9" s="5" t="inlineStr">
        <is>
          <t>16段階</t>
        </is>
      </c>
      <c r="E9" s="5" t="inlineStr">
        <is>
          <t>第9期計画 第6章第6節3</t>
        </is>
      </c>
      <c r="F9" s="9" t="inlineStr">
        <is>
          <t>一致</t>
        </is>
      </c>
      <c r="G9" s="5" t="inlineStr"/>
    </row>
    <row r="10">
      <c r="A10" s="5" t="n">
        <v>6</v>
      </c>
      <c r="B10" s="5" t="inlineStr">
        <is>
          <t>第8期→第9期の保険料増減</t>
        </is>
      </c>
      <c r="C10" s="5" t="inlineStr">
        <is>
          <t>6,300円→6,400円（＋100円・＋1.6％）</t>
        </is>
      </c>
      <c r="D10" s="5" t="inlineStr">
        <is>
          <t>第9期計画に第8期基準額の記載なし。北海道公表資料が出典</t>
        </is>
      </c>
      <c r="E10" s="5" t="inlineStr">
        <is>
          <t>北海道『第9期介護保険料』</t>
        </is>
      </c>
      <c r="F10" s="7" t="inlineStr">
        <is>
          <t>要確認</t>
        </is>
      </c>
      <c r="G10" s="5" t="inlineStr"/>
    </row>
    <row r="11">
      <c r="A11" s="5" t="n">
        <v>7</v>
      </c>
      <c r="B11" s="5" t="inlineStr">
        <is>
          <t>上川管内の保険者数</t>
        </is>
      </c>
      <c r="C11" s="5" t="inlineStr">
        <is>
          <t>21保険者</t>
        </is>
      </c>
      <c r="D11" s="5" t="inlineStr">
        <is>
          <t>掲載21件を検算＝21</t>
        </is>
      </c>
      <c r="E11" s="5" t="inlineStr">
        <is>
          <t>素案 表45を検算</t>
        </is>
      </c>
      <c r="F11" s="9" t="inlineStr">
        <is>
          <t>一致</t>
        </is>
      </c>
      <c r="G11" s="5" t="inlineStr"/>
    </row>
    <row r="12">
      <c r="A12" s="5" t="n">
        <v>8</v>
      </c>
      <c r="B12" s="5" t="inlineStr">
        <is>
          <t>上川管内 単純平均保険料</t>
        </is>
      </c>
      <c r="C12" s="5" t="inlineStr">
        <is>
          <t>約5,830円</t>
        </is>
      </c>
      <c r="D12" s="5" t="inlineStr">
        <is>
          <t>合計122,421円÷21＝5,829.6円</t>
        </is>
      </c>
      <c r="E12" s="5" t="inlineStr">
        <is>
          <t>素案 表45を検算</t>
        </is>
      </c>
      <c r="F12" s="9" t="inlineStr">
        <is>
          <t>一致</t>
        </is>
      </c>
      <c r="G12" s="5" t="inlineStr"/>
    </row>
    <row r="13">
      <c r="A13" s="5" t="n">
        <v>9</v>
      </c>
      <c r="B13" s="5" t="inlineStr">
        <is>
          <t>上川管内 中央値</t>
        </is>
      </c>
      <c r="C13" s="5" t="inlineStr">
        <is>
          <t>6,000円</t>
        </is>
      </c>
      <c r="D13" s="5" t="inlineStr">
        <is>
          <t>11番目の値＝6,000円</t>
        </is>
      </c>
      <c r="E13" s="5" t="inlineStr">
        <is>
          <t>素案 表45を検算</t>
        </is>
      </c>
      <c r="F13" s="9" t="inlineStr">
        <is>
          <t>一致</t>
        </is>
      </c>
      <c r="G13" s="5" t="inlineStr"/>
    </row>
    <row r="14">
      <c r="A14" s="5" t="n">
        <v>10</v>
      </c>
      <c r="B14" s="5" t="inlineStr">
        <is>
          <t>大雪地区の順位</t>
        </is>
      </c>
      <c r="C14" s="5" t="inlineStr">
        <is>
          <t>高い方から5番目</t>
        </is>
      </c>
      <c r="D14" s="5" t="inlineStr">
        <is>
          <t>6,800／6,706／6,700／6,550／6,400＝5位</t>
        </is>
      </c>
      <c r="E14" s="5" t="inlineStr">
        <is>
          <t>素案 表45を検算</t>
        </is>
      </c>
      <c r="F14" s="9" t="inlineStr">
        <is>
          <t>一致</t>
        </is>
      </c>
      <c r="G14" s="5" t="inlineStr"/>
    </row>
    <row r="15">
      <c r="A15" s="5" t="n">
        <v>11</v>
      </c>
      <c r="B15" s="5" t="inlineStr">
        <is>
          <t>平均との差</t>
        </is>
      </c>
      <c r="C15" s="5" t="inlineStr">
        <is>
          <t>約570円・約9.8％</t>
        </is>
      </c>
      <c r="D15" s="5" t="inlineStr">
        <is>
          <t>6,400－5,829.6＝570.4円、570.4÷5,829.6＝9.79％</t>
        </is>
      </c>
      <c r="E15" s="5" t="inlineStr">
        <is>
          <t>素案 表45を検算</t>
        </is>
      </c>
      <c r="F15" s="9" t="inlineStr">
        <is>
          <t>一致</t>
        </is>
      </c>
      <c r="G15" s="5" t="inlineStr"/>
    </row>
    <row r="16">
      <c r="A16" s="5" t="n">
        <v>12</v>
      </c>
      <c r="B16" s="5" t="inlineStr">
        <is>
          <t>R5.10.1 総人口・高齢者人口</t>
        </is>
      </c>
      <c r="C16" s="5" t="inlineStr">
        <is>
          <t>総人口27,887人／65歳以上9,191人／高齢化率33.0％</t>
        </is>
      </c>
      <c r="D16" s="5" t="inlineStr">
        <is>
          <t>総人口27,887人／65歳以上9,191人／33.0％</t>
        </is>
      </c>
      <c r="E16" s="5" t="inlineStr">
        <is>
          <t>第9期計画 第2章第1節1</t>
        </is>
      </c>
      <c r="F16" s="9" t="inlineStr">
        <is>
          <t>一致</t>
        </is>
      </c>
      <c r="G16" s="5" t="inlineStr"/>
    </row>
    <row r="17">
      <c r="A17" s="5" t="n">
        <v>13</v>
      </c>
      <c r="B17" s="5" t="inlineStr">
        <is>
          <t>町別高齢化率（R5）</t>
        </is>
      </c>
      <c r="C17" s="5" t="inlineStr">
        <is>
          <t>東川31.4％／美瑛38.8％／東神楽28.7％</t>
        </is>
      </c>
      <c r="D17" s="5" t="inlineStr">
        <is>
          <t>東神楽28.7％が最低、美瑛38.8％が最高、東川31.4％</t>
        </is>
      </c>
      <c r="E17" s="5" t="inlineStr">
        <is>
          <t>第9期計画 第2章第1節1</t>
        </is>
      </c>
      <c r="F17" s="9" t="inlineStr">
        <is>
          <t>一致</t>
        </is>
      </c>
      <c r="G17" s="5" t="inlineStr"/>
    </row>
    <row r="18">
      <c r="A18" s="5" t="n">
        <v>14</v>
      </c>
      <c r="B18" s="5" t="inlineStr">
        <is>
          <t>R8 認定者数・認定率</t>
        </is>
      </c>
      <c r="C18" s="5" t="inlineStr">
        <is>
          <t>1,984人・21.8％</t>
        </is>
      </c>
      <c r="D18" s="5" t="inlineStr">
        <is>
          <t>1,984÷9,090＝21.83％</t>
        </is>
      </c>
      <c r="E18" s="5" t="inlineStr">
        <is>
          <t>見える化R8年3月末を検算</t>
        </is>
      </c>
      <c r="F18" s="9" t="inlineStr">
        <is>
          <t>一致</t>
        </is>
      </c>
      <c r="G18" s="5" t="inlineStr"/>
    </row>
    <row r="19">
      <c r="A19" s="5" t="n">
        <v>15</v>
      </c>
      <c r="B19" s="5" t="inlineStr">
        <is>
          <t>第9期 介護人材実態調査の回答</t>
        </is>
      </c>
      <c r="C19" s="5" t="inlineStr">
        <is>
          <t>27施設・該当職員405人</t>
        </is>
      </c>
      <c r="D19" s="5" t="inlineStr">
        <is>
          <t>回答27施設（該当者405人）。※対象は35事業所＝回収率77.1％</t>
        </is>
      </c>
      <c r="E19" s="5" t="inlineStr">
        <is>
          <t>第9期計画 第2章第5節1</t>
        </is>
      </c>
      <c r="F19" s="5" t="inlineStr">
        <is>
          <t>一致（回収率の追記要）</t>
        </is>
      </c>
      <c r="G19" s="5" t="inlineStr">
        <is>
          <t>C-5</t>
        </is>
      </c>
    </row>
    <row r="20">
      <c r="A20" s="5" t="n">
        <v>16</v>
      </c>
      <c r="B20" s="5" t="inlineStr">
        <is>
          <t>30代以下の正規職員入職割合</t>
        </is>
      </c>
      <c r="C20" s="5" t="inlineStr">
        <is>
          <t>63.5％</t>
        </is>
      </c>
      <c r="D20" s="5" t="inlineStr">
        <is>
          <t>63.5％</t>
        </is>
      </c>
      <c r="E20" s="5" t="inlineStr">
        <is>
          <t>第9期計画 第2章第6節4</t>
        </is>
      </c>
      <c r="F20" s="9" t="inlineStr">
        <is>
          <t>一致</t>
        </is>
      </c>
      <c r="G20" s="5" t="inlineStr"/>
    </row>
    <row r="21">
      <c r="A21" s="5" t="n">
        <v>17</v>
      </c>
      <c r="B21" s="5" t="inlineStr">
        <is>
          <t>第9期の代表KPI4項目</t>
        </is>
      </c>
      <c r="C21" s="5" t="inlineStr">
        <is>
          <t>認定率20.8％／重度6.7→6.4％／フレイル18.5→18.0％／通いの場7.3→10.0％</t>
        </is>
      </c>
      <c r="D21" s="5" t="inlineStr">
        <is>
          <t>同左</t>
        </is>
      </c>
      <c r="E21" s="5" t="inlineStr">
        <is>
          <t>第9期計画 第1章第6節1</t>
        </is>
      </c>
      <c r="F21" s="9" t="inlineStr">
        <is>
          <t>一致</t>
        </is>
      </c>
      <c r="G21" s="5" t="inlineStr"/>
    </row>
    <row r="22">
      <c r="A22" s="5" t="n">
        <v>18</v>
      </c>
      <c r="B22" s="5" t="inlineStr">
        <is>
          <t>第9期の施策数</t>
        </is>
      </c>
      <c r="C22" s="5" t="inlineStr">
        <is>
          <t>19施策（部分評価6・指標不足13）</t>
        </is>
      </c>
      <c r="D22" s="5" t="inlineStr">
        <is>
          <t>第4章第2節の項目数＝19、第5章本文＝18＋基本目標5。ただし第4章第3節の施策体系図は15施策</t>
        </is>
      </c>
      <c r="E22" s="5" t="inlineStr">
        <is>
          <t>第9期計画 第4章第2・3節、第5章</t>
        </is>
      </c>
      <c r="F22" s="5" t="inlineStr">
        <is>
          <t>一致（母数の注記要）</t>
        </is>
      </c>
      <c r="G22" s="5" t="inlineStr"/>
    </row>
    <row r="23">
      <c r="A23" s="5" t="n">
        <v>19</v>
      </c>
      <c r="B23" s="5" t="inlineStr">
        <is>
          <t>施設定員（特養・老健・GH）</t>
        </is>
      </c>
      <c r="C23" s="5" t="inlineStr">
        <is>
          <t>160人／240人／99人</t>
        </is>
      </c>
      <c r="D23" s="5" t="inlineStr">
        <is>
          <t>160人／240人／99人</t>
        </is>
      </c>
      <c r="E23" s="5" t="inlineStr">
        <is>
          <t>第9期計画 第6章第4節1・2</t>
        </is>
      </c>
      <c r="F23" s="9" t="inlineStr">
        <is>
          <t>一致</t>
        </is>
      </c>
      <c r="G23" s="5" t="inlineStr"/>
    </row>
    <row r="24">
      <c r="A24" s="5" t="n">
        <v>20</v>
      </c>
      <c r="B24" s="5" t="inlineStr">
        <is>
          <t>地域密着型介護老人福祉施設の定員</t>
        </is>
      </c>
      <c r="C24" s="5" t="inlineStr">
        <is>
          <t>R7公開定員62人</t>
        </is>
      </c>
      <c r="D24" s="5" t="inlineStr">
        <is>
          <t>第9期計画の掲載定員は63人（美瑛43＋東神楽20）</t>
        </is>
      </c>
      <c r="E24" s="5" t="inlineStr">
        <is>
          <t>第9期計画 第6章第4節1（1）</t>
        </is>
      </c>
      <c r="F24" s="7" t="inlineStr">
        <is>
          <t>不一致</t>
        </is>
      </c>
      <c r="G24" s="5" t="inlineStr">
        <is>
          <t>C-1</t>
        </is>
      </c>
    </row>
    <row r="25">
      <c r="A25" s="5" t="n">
        <v>21</v>
      </c>
      <c r="B25" s="5" t="inlineStr">
        <is>
          <t>特定施設入居者生活介護の定員</t>
        </is>
      </c>
      <c r="C25" s="5" t="inlineStr">
        <is>
          <t>R7公開定員156人</t>
        </is>
      </c>
      <c r="D25" s="5" t="inlineStr">
        <is>
          <t>第9期計画に整備表なし。介護付有料老人ホームは158人</t>
        </is>
      </c>
      <c r="E25" s="5" t="inlineStr">
        <is>
          <t>第9期計画 第6章第4節3①</t>
        </is>
      </c>
      <c r="F25" s="7" t="inlineStr">
        <is>
          <t>要確認</t>
        </is>
      </c>
      <c r="G25" s="5" t="inlineStr">
        <is>
          <t>C-2</t>
        </is>
      </c>
    </row>
    <row r="26">
      <c r="A26" s="5" t="n">
        <v>22</v>
      </c>
      <c r="B26" s="5" t="inlineStr">
        <is>
          <t>介護医療院</t>
        </is>
      </c>
      <c r="C26" s="5" t="inlineStr">
        <is>
          <t>定員「－」・利用者7人・算定不可</t>
        </is>
      </c>
      <c r="D26" s="5" t="inlineStr">
        <is>
          <t>「※介護医療院 該当なし」（圏域内定員0）</t>
        </is>
      </c>
      <c r="E26" s="5" t="inlineStr">
        <is>
          <t>第9期計画 第6章第4節2</t>
        </is>
      </c>
      <c r="F26" s="9" t="inlineStr">
        <is>
          <t>一致</t>
        </is>
      </c>
      <c r="G26" s="5" t="inlineStr"/>
    </row>
    <row r="27">
      <c r="A27" s="5" t="n">
        <v>23</v>
      </c>
      <c r="B27" s="5" t="inlineStr">
        <is>
          <t>表39 給付費内訳の合計</t>
        </is>
      </c>
      <c r="C27" s="5" t="inlineStr">
        <is>
          <t>R9 3,056.7／第10期計 9,267.4百万円</t>
        </is>
      </c>
      <c r="D27" s="5" t="inlineStr">
        <is>
          <t>1,537.4＋380.6＋1,138.7＝3,056.7、4,686.9＋1,164.5＋3,416.0＝9,267.4</t>
        </is>
      </c>
      <c r="E27" s="5" t="inlineStr">
        <is>
          <t>素案 表39を検算</t>
        </is>
      </c>
      <c r="F27" s="9" t="inlineStr">
        <is>
          <t>一致</t>
        </is>
      </c>
      <c r="G27" s="5" t="inlineStr">
        <is>
          <t>A-1</t>
        </is>
      </c>
    </row>
    <row r="28">
      <c r="A28" s="5" t="n">
        <v>24</v>
      </c>
      <c r="B28" s="5" t="inlineStr">
        <is>
          <t>表30 施設・居住系 R9</t>
        </is>
      </c>
      <c r="C28" s="5" t="inlineStr">
        <is>
          <t>474人／月</t>
        </is>
      </c>
      <c r="D28" s="5" t="inlineStr">
        <is>
          <t>特養146＋老健111＋医療院7＋地密特養65＋GH79＋特定施設66＝474</t>
        </is>
      </c>
      <c r="E28" s="5" t="inlineStr">
        <is>
          <t>素案 表33・34を検算</t>
        </is>
      </c>
      <c r="F28" s="9" t="inlineStr">
        <is>
          <t>一致</t>
        </is>
      </c>
      <c r="G28" s="5" t="inlineStr">
        <is>
          <t>A-2</t>
        </is>
      </c>
    </row>
    <row r="29">
      <c r="A29" s="5" t="n">
        <v>25</v>
      </c>
      <c r="B29" s="5" t="inlineStr">
        <is>
          <t>第9期 総給付費（3年計）</t>
        </is>
      </c>
      <c r="C29" s="5" t="inlineStr">
        <is>
          <t>記載なし</t>
        </is>
      </c>
      <c r="D29" s="5" t="inlineStr">
        <is>
          <t>2,924,324＋2,979,919＋3,000,991＝8,905,234千円（89.05億円）</t>
        </is>
      </c>
      <c r="E29" s="5" t="inlineStr">
        <is>
          <t>第9期計画 第6章第3節3（3）</t>
        </is>
      </c>
      <c r="F29" s="7" t="inlineStr">
        <is>
          <t>未記載</t>
        </is>
      </c>
      <c r="G29" s="5" t="inlineStr">
        <is>
          <t>C-3</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6" customWidth="1" min="1" max="1"/>
    <col width="30" customWidth="1" min="2" max="2"/>
    <col width="80" customWidth="1" min="3" max="3"/>
  </cols>
  <sheetData>
    <row r="1" ht="26" customHeight="1">
      <c r="A1" s="1" t="inlineStr">
        <is>
          <t>凡例・参照資料</t>
        </is>
      </c>
    </row>
    <row r="2" ht="18" customHeight="1">
      <c r="A2" s="2" t="inlineStr">
        <is>
          <t>区分・優先度・状態の定義と、照合に用いた原典資料</t>
        </is>
      </c>
    </row>
    <row r="4" ht="30" customHeight="1">
      <c r="A4" s="4" t="inlineStr">
        <is>
          <t>項目</t>
        </is>
      </c>
      <c r="B4" s="4" t="inlineStr">
        <is>
          <t>値</t>
        </is>
      </c>
      <c r="C4" s="4" t="inlineStr">
        <is>
          <t>定義・内容</t>
        </is>
      </c>
    </row>
    <row r="5">
      <c r="A5" s="5" t="inlineStr">
        <is>
          <t>区分</t>
        </is>
      </c>
      <c r="B5" s="5" t="inlineStr">
        <is>
          <t>A　委員会前必須</t>
        </is>
      </c>
      <c r="C5" s="5" t="inlineStr">
        <is>
          <t>第1回介護保険事業計画策定委員会に提出する前に修正が必要な事項。計画の構成・数値定義に関わる。</t>
        </is>
      </c>
    </row>
    <row r="6">
      <c r="A6" s="5" t="inlineStr"/>
      <c r="B6" s="5" t="inlineStr">
        <is>
          <t>B　原稿整備</t>
        </is>
      </c>
      <c r="C6" s="5" t="inlineStr">
        <is>
          <t>原稿整備段階（10〜11月の計画素案更新まで）に修正する事項。体裁・記載の整合に関わる。</t>
        </is>
      </c>
    </row>
    <row r="7">
      <c r="A7" s="5" t="inlineStr"/>
      <c r="B7" s="5" t="inlineStr">
        <is>
          <t>C　継続確認</t>
        </is>
      </c>
      <c r="C7" s="5" t="inlineStr">
        <is>
          <t>前回の資料精査で指摘し、第9稿で未反映のまま残る事項。原典との照合又は広域連合への確認を要する。</t>
        </is>
      </c>
    </row>
    <row r="8">
      <c r="A8" s="5" t="inlineStr">
        <is>
          <t>優先度</t>
        </is>
      </c>
      <c r="B8" s="5" t="inlineStr">
        <is>
          <t>最優先</t>
        </is>
      </c>
      <c r="C8" s="5" t="inlineStr">
        <is>
          <t>委員会での指摘リスクが高く、他の記載へ波及する事項。</t>
        </is>
      </c>
    </row>
    <row r="9">
      <c r="A9" s="5" t="inlineStr"/>
      <c r="B9" s="5" t="inlineStr">
        <is>
          <t>高</t>
        </is>
      </c>
      <c r="C9" s="5" t="inlineStr">
        <is>
          <t>委員会前又は素案更新前に確実に処理する事項。</t>
        </is>
      </c>
    </row>
    <row r="10">
      <c r="A10" s="5" t="inlineStr"/>
      <c r="B10" s="5" t="inlineStr">
        <is>
          <t>中</t>
        </is>
      </c>
      <c r="C10" s="5" t="inlineStr">
        <is>
          <t>原稿整備段階で処理する事項。</t>
        </is>
      </c>
    </row>
    <row r="11">
      <c r="A11" s="5" t="inlineStr"/>
      <c r="B11" s="5" t="inlineStr">
        <is>
          <t>低</t>
        </is>
      </c>
      <c r="C11" s="5" t="inlineStr">
        <is>
          <t>組版・校正段階で処理する事項。</t>
        </is>
      </c>
    </row>
    <row r="12">
      <c r="A12" s="5" t="inlineStr">
        <is>
          <t>状態</t>
        </is>
      </c>
      <c r="B12" s="5" t="inlineStr">
        <is>
          <t>未着手／対応中／対応済／要協議</t>
        </is>
      </c>
      <c r="C12" s="5" t="inlineStr">
        <is>
          <t>修正指示一覧の「状態」欄に記入する。進捗管理シートで自動集計される。</t>
        </is>
      </c>
    </row>
    <row r="13">
      <c r="A13" s="5" t="inlineStr">
        <is>
          <t>セル色</t>
        </is>
      </c>
      <c r="B13" s="8" t="inlineStr">
        <is>
          <t>淡黄色</t>
        </is>
      </c>
      <c r="C13" s="5" t="inlineStr">
        <is>
          <t>入力欄（対応者・状態）。</t>
        </is>
      </c>
    </row>
    <row r="14">
      <c r="A14" s="5" t="inlineStr"/>
      <c r="B14" s="9" t="inlineStr">
        <is>
          <t>淡緑色</t>
        </is>
      </c>
      <c r="C14" s="5" t="inlineStr">
        <is>
          <t>原典との照合が一致した項目。</t>
        </is>
      </c>
    </row>
    <row r="15">
      <c r="A15" s="5" t="inlineStr"/>
      <c r="B15" s="7" t="inlineStr">
        <is>
          <t>淡橙色</t>
        </is>
      </c>
      <c r="C15" s="5" t="inlineStr">
        <is>
          <t>不一致・要確認・照会が必要な項目。</t>
        </is>
      </c>
    </row>
    <row r="17">
      <c r="A17" s="17" t="inlineStr">
        <is>
          <t>参照した原典資料</t>
        </is>
      </c>
    </row>
    <row r="18" ht="30" customHeight="1">
      <c r="A18" s="4" t="inlineStr">
        <is>
          <t>No.</t>
        </is>
      </c>
      <c r="B18" s="4" t="inlineStr">
        <is>
          <t>資料名</t>
        </is>
      </c>
      <c r="C18" s="4" t="inlineStr">
        <is>
          <t>本書での用途</t>
        </is>
      </c>
    </row>
    <row r="19">
      <c r="A19" s="5" t="n">
        <v>1</v>
      </c>
      <c r="B19" s="5" t="inlineStr">
        <is>
          <t>大雪地区広域連合『第10期介護保険事業計画 素案（第9稿・第9期目次準拠）』令和8年7月</t>
        </is>
      </c>
      <c r="C19" s="5" t="inlineStr">
        <is>
          <t>修正対象。「現行の記載」の出所。</t>
        </is>
      </c>
    </row>
    <row r="20">
      <c r="A20" s="5" t="n">
        <v>2</v>
      </c>
      <c r="B20" s="5" t="inlineStr">
        <is>
          <t>『第9期計画の目次踏襲・流用／修正切分け』令和8年7月28日</t>
        </is>
      </c>
      <c r="C20" s="5" t="inlineStr">
        <is>
          <t>第9稿の構成方針。実装状況の確認に使用。</t>
        </is>
      </c>
    </row>
    <row r="21">
      <c r="A21" s="5" t="n">
        <v>3</v>
      </c>
      <c r="B21" s="5" t="inlineStr">
        <is>
          <t>『委員会確認事項メモ』令和8年7月28日</t>
        </is>
      </c>
      <c r="C21" s="5" t="inlineStr">
        <is>
          <t>本文から分離した協議事項の管理台帳。方針の確認に使用。</t>
        </is>
      </c>
    </row>
    <row r="22">
      <c r="A22" s="5" t="n">
        <v>4</v>
      </c>
      <c r="B22" s="5" t="inlineStr">
        <is>
          <t>大雪地区広域連合『第9期介護保険事業計画』令和6年3月（131頁）</t>
        </is>
      </c>
      <c r="C22" s="5" t="inlineStr">
        <is>
          <t>数値・施設定員・保険料算定・施策体系の原典。</t>
        </is>
      </c>
    </row>
    <row r="23">
      <c r="A23" s="5" t="n">
        <v>5</v>
      </c>
      <c r="B23" s="5" t="inlineStr">
        <is>
          <t>東川町高齢者福祉計画 第9期（令和6年4月）</t>
        </is>
      </c>
      <c r="C23" s="5" t="inlineStr">
        <is>
          <t>3町計画の重点領域の確認。</t>
        </is>
      </c>
    </row>
    <row r="24">
      <c r="A24" s="5" t="n">
        <v>6</v>
      </c>
      <c r="B24" s="5" t="inlineStr">
        <is>
          <t>第9期東神楽町高齢者福祉計画（令和6年3月）</t>
        </is>
      </c>
      <c r="C24" s="5" t="inlineStr">
        <is>
          <t>3町計画の重点領域・高齢化率の確認。</t>
        </is>
      </c>
    </row>
    <row r="25">
      <c r="A25" s="5" t="n">
        <v>7</v>
      </c>
      <c r="B25" s="5" t="inlineStr">
        <is>
          <t>美瑛町高齢者福祉計画（令和6〜8年度）</t>
        </is>
      </c>
      <c r="C25" s="5" t="inlineStr">
        <is>
          <t>3町計画の重点領域・基盤整備目標の確認。</t>
        </is>
      </c>
    </row>
    <row r="26">
      <c r="A26" s="5" t="n">
        <v>8</v>
      </c>
      <c r="B26" s="5" t="inlineStr">
        <is>
          <t>北海道『第9期介護保険料（第1号被保険者分）各保険者の保険料等』</t>
        </is>
      </c>
      <c r="C26" s="5" t="inlineStr">
        <is>
          <t>上川管内保険料比較（素案 表45）の出典。要照合。</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2026-10-15T02:05:18Z</dcterms:created>
  <dcterms:modified xmlns:dcterms="http://purl.org/dc/terms/" xmlns:xsi="http://www.w3.org/2001/XMLSchema-instance" xsi:type="dcterms:W3CDTF">2026-10-15T02:05:19Z</dcterms:modified>
</cp:coreProperties>
</file>