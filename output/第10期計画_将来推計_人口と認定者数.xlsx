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と推計の方法" sheetId="1" state="visible" r:id="rId1"/>
    <sheet xmlns:r="http://schemas.openxmlformats.org/officeDocument/2006/relationships" name="01_人口の前提" sheetId="2" state="visible" r:id="rId2"/>
    <sheet xmlns:r="http://schemas.openxmlformats.org/officeDocument/2006/relationships" name="02_推計上の階級別人口" sheetId="3" state="visible" r:id="rId3"/>
    <sheet xmlns:r="http://schemas.openxmlformats.org/officeDocument/2006/relationships" name="03_認定者数の推計" sheetId="4" state="visible" r:id="rId4"/>
    <sheet xmlns:r="http://schemas.openxmlformats.org/officeDocument/2006/relationships" name="04_シナリオの比較と推奨" sheetId="5" state="visible" r:id="rId5"/>
    <sheet xmlns:r="http://schemas.openxmlformats.org/officeDocument/2006/relationships" name="05_第9期の推計との対比" sheetId="6" state="visible" r:id="rId6"/>
    <sheet xmlns:r="http://schemas.openxmlformats.org/officeDocument/2006/relationships" name="06_推計の限界と感度" sheetId="7" state="visible" r:id="rId7"/>
    <sheet xmlns:r="http://schemas.openxmlformats.org/officeDocument/2006/relationships" name="07_第2段階以降に必要な決定と資料" sheetId="8" state="visible" r:id="rId8"/>
    <sheet xmlns:r="http://schemas.openxmlformats.org/officeDocument/2006/relationships" name="08_計算過程確認（再計算可能）" sheetId="9" state="visible" r:id="rId9"/>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b val="1"/>
      <sz val="9"/>
    </font>
    <font>
      <name val="游ゴシック"/>
      <sz val="8.5"/>
    </font>
  </fonts>
  <fills count="9">
    <fill>
      <patternFill/>
    </fill>
    <fill>
      <patternFill patternType="gray125"/>
    </fill>
    <fill>
      <patternFill patternType="solid">
        <fgColor rgb="004472C4"/>
        <bgColor rgb="004472C4"/>
      </patternFill>
    </fill>
    <fill>
      <patternFill patternType="solid">
        <fgColor rgb="00DEEBF7"/>
        <bgColor rgb="00DEEBF7"/>
      </patternFill>
    </fill>
    <fill>
      <patternFill patternType="solid"/>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
      <patternFill patternType="solid">
        <fgColor rgb="00E2EFDA"/>
        <b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2" fillId="3" borderId="1" applyAlignment="1" pivotButton="0" quotePrefix="0" xfId="0">
      <alignment horizontal="left" vertical="top" wrapText="1"/>
    </xf>
    <xf numFmtId="0" fontId="0" fillId="0" borderId="4" pivotButton="0" quotePrefix="0" xfId="0"/>
    <xf numFmtId="0" fontId="2" fillId="0" borderId="1" applyAlignment="1" pivotButton="0" quotePrefix="0" xfId="0">
      <alignment horizontal="right" vertical="top" wrapText="1"/>
    </xf>
    <xf numFmtId="0" fontId="2" fillId="4" borderId="1" applyAlignment="1" pivotButton="0" quotePrefix="0" xfId="0">
      <alignment horizontal="right" vertical="top" wrapText="1"/>
    </xf>
    <xf numFmtId="0" fontId="2" fillId="5" borderId="1" applyAlignment="1" pivotButton="0" quotePrefix="0" xfId="0">
      <alignment horizontal="right" vertical="top" wrapText="1"/>
    </xf>
    <xf numFmtId="0" fontId="5" fillId="6" borderId="1" applyAlignment="1" pivotButton="0" quotePrefix="0" xfId="0">
      <alignment horizontal="left" vertical="top" wrapText="1"/>
    </xf>
    <xf numFmtId="0" fontId="5" fillId="6" borderId="1" applyAlignment="1" pivotButton="0" quotePrefix="0" xfId="0">
      <alignment horizontal="right" vertical="top" wrapText="1"/>
    </xf>
    <xf numFmtId="0" fontId="6" fillId="0" borderId="0" applyAlignment="1" pivotButton="0" quotePrefix="0" xfId="0">
      <alignment vertical="top" wrapText="1"/>
    </xf>
    <xf numFmtId="0" fontId="2" fillId="6" borderId="1" applyAlignment="1" pivotButton="0" quotePrefix="0" xfId="0">
      <alignment horizontal="center" vertical="top" wrapText="1"/>
    </xf>
    <xf numFmtId="0" fontId="2" fillId="6" borderId="1" applyAlignment="1" pivotButton="0" quotePrefix="0" xfId="0">
      <alignment horizontal="right" vertical="top" wrapText="1"/>
    </xf>
    <xf numFmtId="0" fontId="2"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7" borderId="1" applyAlignment="1" pivotButton="0" quotePrefix="0" xfId="0">
      <alignment horizontal="right" vertical="top" wrapText="1"/>
    </xf>
    <xf numFmtId="0" fontId="2" fillId="7" borderId="1" applyAlignment="1" pivotButton="0" quotePrefix="0" xfId="0">
      <alignment horizontal="left" vertical="top" wrapText="1"/>
    </xf>
    <xf numFmtId="0" fontId="2" fillId="3" borderId="1" applyAlignment="1" pivotButton="0" quotePrefix="0" xfId="0">
      <alignment horizontal="center" vertical="top" wrapText="1"/>
    </xf>
    <xf numFmtId="0" fontId="2" fillId="3" borderId="1" applyAlignment="1" pivotButton="0" quotePrefix="0" xfId="0">
      <alignment horizontal="right" vertical="top" wrapText="1"/>
    </xf>
    <xf numFmtId="0" fontId="2" fillId="8" borderId="1" applyAlignment="1" pivotButton="0" quotePrefix="0" xfId="0">
      <alignment horizontal="left" vertical="top" wrapText="1"/>
    </xf>
    <xf numFmtId="0" fontId="0" fillId="0" borderId="5" pivotButton="0" quotePrefix="0" xfId="0"/>
    <xf numFmtId="0" fontId="2" fillId="4" borderId="1" applyAlignment="1" pivotButton="0" quotePrefix="0" xfId="0">
      <alignment horizontal="left" vertical="top" wrapText="1"/>
    </xf>
    <xf numFmtId="0" fontId="2" fillId="0" borderId="1" applyAlignment="1" pivotButton="0" quotePrefix="0" xfId="0">
      <alignment vertical="top" wrapText="1"/>
    </xf>
    <xf numFmtId="0" fontId="2" fillId="8" borderId="1" applyAlignment="1" pivotButton="0" quotePrefix="0" xfId="0">
      <alignment horizontal="right" vertical="top" wrapText="1"/>
    </xf>
    <xf numFmtId="0" fontId="2" fillId="5" borderId="1" applyAlignment="1" pivotButton="0" quotePrefix="0" xfId="0">
      <alignment horizontal="center" vertical="top" wrapText="1"/>
    </xf>
    <xf numFmtId="164" fontId="2" fillId="0" borderId="1" applyAlignment="1" pivotButton="0" quotePrefix="0" xfId="0">
      <alignment horizontal="right" vertical="top" wrapText="1"/>
    </xf>
    <xf numFmtId="3" fontId="2" fillId="0" borderId="1" applyAlignment="1" pivotButton="0" quotePrefix="0" xfId="0">
      <alignment horizontal="right" vertical="top" wrapText="1"/>
    </xf>
    <xf numFmtId="2" fontId="2" fillId="0" borderId="1" applyAlignment="1" pivotButton="0" quotePrefix="0" xfId="0">
      <alignment horizontal="right" vertical="top" wrapText="1"/>
    </xf>
    <xf numFmtId="3" fontId="2" fillId="8" borderId="1" applyAlignment="1" pivotButton="0" quotePrefix="0" xfId="0">
      <alignment horizontal="right" vertical="top" wrapText="1"/>
    </xf>
    <xf numFmtId="165" fontId="2" fillId="0" borderId="1" applyAlignment="1" pivotButton="0" quotePrefix="0" xfId="0">
      <alignment horizontal="right" vertical="top" wrapText="1"/>
    </xf>
    <xf numFmtId="0" fontId="5" fillId="0" borderId="1" applyAlignment="1" pivotButton="0" quotePrefix="0" xfId="0">
      <alignment horizontal="left" vertical="top" wrapText="1"/>
    </xf>
    <xf numFmtId="0" fontId="5" fillId="8"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showGridLines="0" workbookViewId="0">
      <pane ySplit="3" topLeftCell="A4" activePane="bottomLeft" state="frozen"/>
      <selection pane="bottomLeft" activeCell="A1" sqref="A1"/>
    </sheetView>
  </sheetViews>
  <sheetFormatPr baseColWidth="8" defaultRowHeight="15"/>
  <cols>
    <col width="4" customWidth="1" min="1" max="1"/>
    <col width="22" customWidth="1" min="2" max="2"/>
    <col width="50" customWidth="1" min="3" max="3"/>
    <col width="44" customWidth="1" min="4" max="4"/>
    <col width="22" customWidth="1" min="5" max="5"/>
  </cols>
  <sheetData>
    <row r="1" ht="22" customHeight="1">
      <c r="A1" s="1" t="inlineStr">
        <is>
          <t>将来推計（第1段階　人口と認定者数）</t>
        </is>
      </c>
    </row>
    <row r="2" ht="48" customHeight="1">
      <c r="A2" s="2" t="inlineStr">
        <is>
          <t>人口推計の基礎について社人研推計（見える化システムの初期値）をそのまま用いることを受託者の案とし、これを仮に置いて将来推計の第1段階（人口と認定者数）を試算する。人口推計の基礎の採用は発注者のご意向による。第2段階（サービス見込量）は、令和8年8月4日に受領した見える化B3系列・D系列により別冊「将来推計 第2段階　サービス見込量」（8シート）として試算した。第3段階（給付費・保険料）は単価を要するため、資料の受領及び方針の決定を待つ。作成日：令和8年7月30日（第2段階の追記：令和8年8月4日）。</t>
        </is>
      </c>
    </row>
    <row r="4" ht="30" customHeight="1">
      <c r="A4" s="3" t="inlineStr">
        <is>
          <t>No.</t>
        </is>
      </c>
      <c r="B4" s="3" t="inlineStr">
        <is>
          <t>シート</t>
        </is>
      </c>
      <c r="C4" s="3" t="inlineStr">
        <is>
          <t>内容</t>
        </is>
      </c>
      <c r="D4" s="3" t="inlineStr">
        <is>
          <t>主な結果</t>
        </is>
      </c>
      <c r="E4" s="3" t="inlineStr">
        <is>
          <t>備考</t>
        </is>
      </c>
    </row>
    <row r="5" ht="68" customHeight="1">
      <c r="A5" s="4" t="inlineStr">
        <is>
          <t>1</t>
        </is>
      </c>
      <c r="B5" s="5" t="inlineStr">
        <is>
          <t>01_人口の前提</t>
        </is>
      </c>
      <c r="C5" s="5" t="inlineStr">
        <is>
          <t>試算の前提とした人口推計の基礎を確認する。</t>
        </is>
      </c>
      <c r="D5" s="5" t="inlineStr">
        <is>
          <t>社人研推計（令和5年推計・令和2年国勢調査基準）を参考として掲げる。第10期期間中、総人口は▲3.3％、65歳以上人口は▲0.1％。推計に用いる伸び率は02シートのとおり住民基本台帳による。</t>
        </is>
      </c>
      <c r="E5" s="5" t="inlineStr">
        <is>
          <t>令和8年8月31日のご指示</t>
        </is>
      </c>
    </row>
    <row r="6" ht="68" customHeight="1">
      <c r="A6" s="4" t="inlineStr">
        <is>
          <t>2</t>
        </is>
      </c>
      <c r="B6" s="5" t="inlineStr">
        <is>
          <t>02_推計上の階級別人口</t>
        </is>
      </c>
      <c r="C6" s="5" t="inlineStr">
        <is>
          <t>階級別人口＝令和7年度の実績人口×住民基本台帳の実績趨勢による階級別の伸び率。</t>
        </is>
      </c>
      <c r="D6" s="5" t="inlineStr">
        <is>
          <t>令和11年度の65歳以上は9,213人（令和7年度9,090人）。85歳以上は1,990人から2,152人へ8.1％増える。</t>
        </is>
      </c>
      <c r="E6" s="5" t="inlineStr">
        <is>
          <t>―</t>
        </is>
      </c>
    </row>
    <row r="7" ht="68" customHeight="1">
      <c r="A7" s="4" t="inlineStr">
        <is>
          <t>3</t>
        </is>
      </c>
      <c r="B7" s="5" t="inlineStr">
        <is>
          <t>03_認定者数の推計（3シナリオ）</t>
        </is>
      </c>
      <c r="C7" s="5" t="inlineStr">
        <is>
          <t>階級別人口×階級別認定率により認定者数を推計する。認定率に3つのシナリオを置く。</t>
        </is>
      </c>
      <c r="D7" s="5" t="inlineStr">
        <is>
          <t>令和11年度の認定者数は、①現状固定2,108人、②トレンド継続2,067人、③令和元年水準2,178人。</t>
        </is>
      </c>
      <c r="E7" s="5" t="inlineStr">
        <is>
          <t>方針No.2 未決定</t>
        </is>
      </c>
    </row>
    <row r="8" ht="68" customHeight="1">
      <c r="A8" s="4" t="inlineStr">
        <is>
          <t>4</t>
        </is>
      </c>
      <c r="B8" s="5" t="inlineStr">
        <is>
          <t>04_シナリオの比較と推奨</t>
        </is>
      </c>
      <c r="C8" s="5" t="inlineStr">
        <is>
          <t>3シナリオの差と、計画に採用するシナリオの推奨を示す。</t>
        </is>
      </c>
      <c r="D8" s="5" t="inlineStr">
        <is>
          <t>②トレンド継続を推奨する。第10期の3年間の認定者数の合計は①6,229人・②6,138人・③6,385人で、最大と最小の差は247人（4.0％）。</t>
        </is>
      </c>
      <c r="E8" s="5" t="inlineStr">
        <is>
          <t>発注者の決定を要する</t>
        </is>
      </c>
    </row>
    <row r="9" ht="68" customHeight="1">
      <c r="A9" s="4" t="inlineStr">
        <is>
          <t>5</t>
        </is>
      </c>
      <c r="B9" s="5" t="inlineStr">
        <is>
          <t>05_第9期の推計との対比</t>
        </is>
      </c>
      <c r="C9" s="5" t="inlineStr">
        <is>
          <t>第9期計画の推計と実績の乖離を確認し、本推計の位置づけを示す。</t>
        </is>
      </c>
      <c r="D9" s="5" t="inlineStr">
        <is>
          <t>第9期計画の需要推計は実績を令和6年度2.9％、令和7年度3.5％上回った。本推計は基準年度が実績と一致するため同種の乖離は生じない。</t>
        </is>
      </c>
      <c r="E9" s="5" t="inlineStr">
        <is>
          <t>―</t>
        </is>
      </c>
    </row>
    <row r="10" ht="68" customHeight="1">
      <c r="A10" s="4" t="inlineStr">
        <is>
          <t>6</t>
        </is>
      </c>
      <c r="B10" s="5" t="inlineStr">
        <is>
          <t>06_推計の限界と感度</t>
        </is>
      </c>
      <c r="C10" s="5" t="inlineStr">
        <is>
          <t>推計の前提と、前提を変えた場合の影響を示す。</t>
        </is>
      </c>
      <c r="D10" s="5" t="inlineStr">
        <is>
          <t>階級を3区分としていること、要介護度別の内訳を推計していないこと、町別に分解していないことが主な限界である。</t>
        </is>
      </c>
      <c r="E10" s="5" t="inlineStr">
        <is>
          <t>―</t>
        </is>
      </c>
    </row>
    <row r="11" ht="68" customHeight="1">
      <c r="A11" s="4" t="inlineStr">
        <is>
          <t>7</t>
        </is>
      </c>
      <c r="B11" s="5" t="inlineStr">
        <is>
          <t>07_第2段階以降に必要な決定と資料</t>
        </is>
      </c>
      <c r="C11" s="5" t="inlineStr">
        <is>
          <t>サービス見込量・給付費・保険料の推計に必要な決定と資料を示す。</t>
        </is>
      </c>
      <c r="D11" s="5" t="inlineStr">
        <is>
          <t>方針No.2（認定率のシナリオ）・No.3（施策効果）の決定と、資料No.6（定員と稼働）・No.7（未利用認定者）が必要である。</t>
        </is>
      </c>
      <c r="E11" s="5" t="inlineStr">
        <is>
          <t>第2段階の着手条件</t>
        </is>
      </c>
    </row>
    <row r="13" ht="18" customHeight="1">
      <c r="A13" s="6" t="inlineStr">
        <is>
          <t>【推計の方法】</t>
        </is>
      </c>
    </row>
    <row r="14" ht="30" customHeight="1">
      <c r="A14" s="3" t="inlineStr">
        <is>
          <t>段階</t>
        </is>
      </c>
      <c r="B14" s="3" t="inlineStr">
        <is>
          <t>算式</t>
        </is>
      </c>
      <c r="C14" s="3" t="inlineStr">
        <is>
          <t>用いるデータ</t>
        </is>
      </c>
      <c r="D14" s="3" t="inlineStr"/>
      <c r="E14" s="3" t="inlineStr">
        <is>
          <t>考え方</t>
        </is>
      </c>
    </row>
    <row r="15" ht="76" customHeight="1">
      <c r="A15" s="7" t="inlineStr">
        <is>
          <t>① 階級別人口</t>
        </is>
      </c>
      <c r="B15" s="5" t="inlineStr">
        <is>
          <t>推計人口(t) ＝ 実績人口(令和7年度) × A4(t) ÷ A4(令和7年)</t>
        </is>
      </c>
      <c r="C15" s="5" t="inlineStr">
        <is>
          <t>実績人口：見える化B4系列（各年3月末・介護保険事業状況報告）
伸び率：見える化A4（各年10月1日・国勢調査及び社人研推計）</t>
        </is>
      </c>
      <c r="D15" s="8" t="n"/>
      <c r="E15" s="5" t="inlineStr">
        <is>
          <t>A系列とB系列は母集団が異なる（85歳以上で8.9％の差）。A系列を水準としてそのまま用いると基準年度の認定者数が実績と5.9％ずれる。伸び率のみに用いることで基準年度を実績に一致させる。</t>
        </is>
      </c>
    </row>
    <row r="16" ht="76" customHeight="1">
      <c r="A16" s="7" t="inlineStr">
        <is>
          <t>② 階級別認定率</t>
        </is>
      </c>
      <c r="B16" s="5" t="inlineStr">
        <is>
          <t>シナリオ①現状固定／②トレンド継続／③令和元年水準へ回帰</t>
        </is>
      </c>
      <c r="C16" s="5" t="inlineStr">
        <is>
          <t>見える化B4系列から逆算した階級別認定率（令和元年〜令和8年）</t>
        </is>
      </c>
      <c r="D16" s="8" t="n"/>
      <c r="E16" s="5" t="inlineStr">
        <is>
          <t>認定率の設定は方針No.2として発注者の決定を要する。本表は3つの選択肢とその差を示すものである。</t>
        </is>
      </c>
    </row>
    <row r="17" ht="76" customHeight="1">
      <c r="A17" s="7" t="inlineStr">
        <is>
          <t>③ 認定者数</t>
        </is>
      </c>
      <c r="B17" s="5" t="inlineStr">
        <is>
          <t>認定者数(t) ＝ Σ 階級別人口(t) × 階級別認定率(t)</t>
        </is>
      </c>
      <c r="C17" s="5" t="inlineStr">
        <is>
          <t>上記①②</t>
        </is>
      </c>
      <c r="D17" s="8" t="n"/>
      <c r="E17" s="5" t="inlineStr">
        <is>
          <t>基準年度（令和7年度）の推計値は実績1,984人と一致する。</t>
        </is>
      </c>
    </row>
    <row r="19" ht="18" customHeight="1">
      <c r="A19" s="6" t="inlineStr">
        <is>
          <t>【基準年度の突合】</t>
        </is>
      </c>
    </row>
    <row r="20" ht="30" customHeight="1">
      <c r="A20" s="3" t="inlineStr">
        <is>
          <t>階級</t>
        </is>
      </c>
      <c r="B20" s="3" t="inlineStr">
        <is>
          <t>実績人口
（令和8年3月末）</t>
        </is>
      </c>
      <c r="C20" s="3" t="inlineStr">
        <is>
          <t>認定率</t>
        </is>
      </c>
      <c r="D20" s="3" t="inlineStr">
        <is>
          <t>A系列人口
（令和7年10月1日）</t>
        </is>
      </c>
      <c r="E20" s="3" t="inlineStr">
        <is>
          <t>母集団の差</t>
        </is>
      </c>
    </row>
    <row r="21" ht="18" customHeight="1">
      <c r="A21" s="5" t="inlineStr">
        <is>
          <t>65〜74歳</t>
        </is>
      </c>
      <c r="B21" s="9" t="n">
        <v>3600</v>
      </c>
      <c r="C21" s="9" t="inlineStr">
        <is>
          <t>4.03％</t>
        </is>
      </c>
      <c r="D21" s="9" t="n">
        <v>3622</v>
      </c>
      <c r="E21" s="10" t="inlineStr">
        <is>
          <t>+0.6％</t>
        </is>
      </c>
    </row>
    <row r="22" ht="18" customHeight="1">
      <c r="A22" s="5" t="inlineStr">
        <is>
          <t>75〜84歳</t>
        </is>
      </c>
      <c r="B22" s="9" t="n">
        <v>3499</v>
      </c>
      <c r="C22" s="9" t="inlineStr">
        <is>
          <t>17.52％</t>
        </is>
      </c>
      <c r="D22" s="9" t="n">
        <v>3534</v>
      </c>
      <c r="E22" s="10" t="inlineStr">
        <is>
          <t>+1.0％</t>
        </is>
      </c>
    </row>
    <row r="23" ht="18" customHeight="1">
      <c r="A23" s="5" t="inlineStr">
        <is>
          <t>85歳以上</t>
        </is>
      </c>
      <c r="B23" s="9" t="n">
        <v>1990</v>
      </c>
      <c r="C23" s="9" t="inlineStr">
        <is>
          <t>61.60％</t>
        </is>
      </c>
      <c r="D23" s="9" t="n">
        <v>2167</v>
      </c>
      <c r="E23" s="11" t="inlineStr">
        <is>
          <t>+8.9％</t>
        </is>
      </c>
    </row>
    <row r="24" ht="18" customHeight="1">
      <c r="A24" s="12" t="inlineStr">
        <is>
          <t>計</t>
        </is>
      </c>
      <c r="B24" s="13" t="n">
        <v>9090</v>
      </c>
      <c r="C24" s="13" t="inlineStr">
        <is>
          <t>21.83％</t>
        </is>
      </c>
      <c r="D24" s="13" t="n">
        <v>9323</v>
      </c>
      <c r="E24" s="13" t="inlineStr">
        <is>
          <t>+2.6％</t>
        </is>
      </c>
    </row>
    <row r="26" ht="104" customHeight="1">
      <c r="A26" s="14" t="inlineStr">
        <is>
          <t>注1）85歳以上の母集団の差が8.9％と大きい。国勢調査は施設入所者を施設所在地で計上するのに対し、住民基本台帳は住所地特例により従前の住所地で計上する場合があるなど、定義が異なることによると考えられるが、差の理由そのものは特定していない。注2）A系列を水準としてそのまま用いた場合、基準年度の認定者数は2,100人となり実績1,984人を5.9％上回る。本表の方法（伸び率のみを用いる）により基準年度は実績と一致する。注3）認定者数は各年3月末（年度末）、人口は各年10月1日である。令和7年度の認定者数は令和8年3月末の実績、人口は令和7年10月1日の値を対応させている。5か月の差があるが、いずれも同一年度の値として扱う。</t>
        </is>
      </c>
    </row>
  </sheetData>
  <mergeCells count="7">
    <mergeCell ref="A26:E26"/>
    <mergeCell ref="C16:D16"/>
    <mergeCell ref="A2:E2"/>
    <mergeCell ref="C15:D15"/>
    <mergeCell ref="A19:E19"/>
    <mergeCell ref="A13:E13"/>
    <mergeCell ref="C17:D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2" customWidth="1" min="3" max="3"/>
    <col width="12" customWidth="1" min="4" max="4"/>
    <col width="10" customWidth="1" min="5" max="5"/>
    <col width="11" customWidth="1" min="6" max="6"/>
    <col width="11" customWidth="1" min="7" max="7"/>
    <col width="11" customWidth="1" min="8" max="8"/>
    <col width="30" customWidth="1" min="9" max="9"/>
  </cols>
  <sheetData>
    <row r="1" ht="22" customHeight="1">
      <c r="A1" s="1" t="inlineStr">
        <is>
          <t>人口推計の基礎（総合戦略上の人口による）</t>
        </is>
      </c>
    </row>
    <row r="2" ht="48" customHeight="1">
      <c r="A2" s="2" t="inlineStr">
        <is>
          <t>令和8年8月31日のご指示により、人口推計の基礎は社人研推計ではなく総合戦略上の人口とする。総合戦略は総人口の目標のみを持つため、年齢階級別の伸び率は住民基本台帳の実績趨勢による（02シート）。本シートは、参考として見える化A系列（社人研）の値を掲げる。</t>
        </is>
      </c>
    </row>
    <row r="4" ht="30" customHeight="1">
      <c r="A4" s="3" t="inlineStr">
        <is>
          <t>年度</t>
        </is>
      </c>
      <c r="B4" s="3" t="inlineStr">
        <is>
          <t>西暦</t>
        </is>
      </c>
      <c r="C4" s="3" t="inlineStr">
        <is>
          <t>総人口</t>
        </is>
      </c>
      <c r="D4" s="3" t="inlineStr">
        <is>
          <t>65歳以上</t>
        </is>
      </c>
      <c r="E4" s="3" t="inlineStr">
        <is>
          <t>高齢化率</t>
        </is>
      </c>
      <c r="F4" s="3" t="inlineStr">
        <is>
          <t>前期高齢者</t>
        </is>
      </c>
      <c r="G4" s="3" t="inlineStr">
        <is>
          <t>後期高齢者</t>
        </is>
      </c>
      <c r="H4" s="3" t="inlineStr">
        <is>
          <t>15〜64歳</t>
        </is>
      </c>
      <c r="I4" s="3" t="inlineStr">
        <is>
          <t>備考</t>
        </is>
      </c>
    </row>
    <row r="5" ht="18" customHeight="1">
      <c r="A5" s="15" t="inlineStr">
        <is>
          <t>令和7年度</t>
        </is>
      </c>
      <c r="B5" s="15" t="inlineStr">
        <is>
          <t>2025</t>
        </is>
      </c>
      <c r="C5" s="16" t="n">
        <v>27102</v>
      </c>
      <c r="D5" s="16" t="n">
        <v>9323</v>
      </c>
      <c r="E5" s="16" t="n">
        <v>34.4</v>
      </c>
      <c r="F5" s="16" t="n">
        <v>3622</v>
      </c>
      <c r="G5" s="16" t="n">
        <v>5701</v>
      </c>
      <c r="H5" s="16" t="n">
        <v>14544</v>
      </c>
      <c r="I5" s="17" t="inlineStr">
        <is>
          <t>基準年度</t>
        </is>
      </c>
    </row>
    <row r="6" ht="18" customHeight="1">
      <c r="A6" s="4" t="inlineStr">
        <is>
          <t>令和8年度</t>
        </is>
      </c>
      <c r="B6" s="4" t="inlineStr">
        <is>
          <t>2026</t>
        </is>
      </c>
      <c r="C6" s="9" t="n">
        <v>26876</v>
      </c>
      <c r="D6" s="9" t="n">
        <v>9320</v>
      </c>
      <c r="E6" s="9" t="n">
        <v>34.7</v>
      </c>
      <c r="F6" s="9" t="n">
        <v>3572</v>
      </c>
      <c r="G6" s="9" t="n">
        <v>5748</v>
      </c>
      <c r="H6" s="9" t="n">
        <v>14398</v>
      </c>
      <c r="I6" s="5" t="inlineStr"/>
    </row>
    <row r="7" ht="18" customHeight="1">
      <c r="A7" s="18" t="inlineStr">
        <is>
          <t>令和9年度</t>
        </is>
      </c>
      <c r="B7" s="18" t="inlineStr">
        <is>
          <t>2027</t>
        </is>
      </c>
      <c r="C7" s="19" t="n">
        <v>26649</v>
      </c>
      <c r="D7" s="19" t="n">
        <v>9318</v>
      </c>
      <c r="E7" s="19" t="n">
        <v>35</v>
      </c>
      <c r="F7" s="19" t="n">
        <v>3522</v>
      </c>
      <c r="G7" s="19" t="n">
        <v>5795</v>
      </c>
      <c r="H7" s="19" t="n">
        <v>14253</v>
      </c>
      <c r="I7" s="20" t="inlineStr">
        <is>
          <t>第10期の初年度</t>
        </is>
      </c>
    </row>
    <row r="8" ht="18" customHeight="1">
      <c r="A8" s="18" t="inlineStr">
        <is>
          <t>令和10年度</t>
        </is>
      </c>
      <c r="B8" s="18" t="inlineStr">
        <is>
          <t>2028</t>
        </is>
      </c>
      <c r="C8" s="19" t="n">
        <v>26422</v>
      </c>
      <c r="D8" s="19" t="n">
        <v>9315</v>
      </c>
      <c r="E8" s="19" t="n">
        <v>35.3</v>
      </c>
      <c r="F8" s="19" t="n">
        <v>3473</v>
      </c>
      <c r="G8" s="19" t="n">
        <v>5843</v>
      </c>
      <c r="H8" s="19" t="n">
        <v>14106</v>
      </c>
      <c r="I8" s="20" t="inlineStr"/>
    </row>
    <row r="9" ht="18" customHeight="1">
      <c r="A9" s="18" t="inlineStr">
        <is>
          <t>令和11年度</t>
        </is>
      </c>
      <c r="B9" s="18" t="inlineStr">
        <is>
          <t>2029</t>
        </is>
      </c>
      <c r="C9" s="19" t="n">
        <v>26195</v>
      </c>
      <c r="D9" s="19" t="n">
        <v>9313</v>
      </c>
      <c r="E9" s="19" t="n">
        <v>35.6</v>
      </c>
      <c r="F9" s="19" t="n">
        <v>3423</v>
      </c>
      <c r="G9" s="19" t="n">
        <v>5890</v>
      </c>
      <c r="H9" s="19" t="n">
        <v>13961</v>
      </c>
      <c r="I9" s="20" t="inlineStr">
        <is>
          <t>第10期の最終年度</t>
        </is>
      </c>
    </row>
    <row r="10" ht="18" customHeight="1">
      <c r="A10" s="4" t="inlineStr">
        <is>
          <t>令和12年度</t>
        </is>
      </c>
      <c r="B10" s="4" t="inlineStr">
        <is>
          <t>2030</t>
        </is>
      </c>
      <c r="C10" s="9" t="n">
        <v>25969</v>
      </c>
      <c r="D10" s="9" t="n">
        <v>9310</v>
      </c>
      <c r="E10" s="9" t="n">
        <v>35.9</v>
      </c>
      <c r="F10" s="9" t="n">
        <v>3373</v>
      </c>
      <c r="G10" s="9" t="n">
        <v>5937</v>
      </c>
      <c r="H10" s="9" t="n">
        <v>13815</v>
      </c>
      <c r="I10" s="5" t="inlineStr"/>
    </row>
    <row r="11" ht="18" customHeight="1">
      <c r="A11" s="21" t="inlineStr">
        <is>
          <t>令和17年度</t>
        </is>
      </c>
      <c r="B11" s="21" t="inlineStr">
        <is>
          <t>2035</t>
        </is>
      </c>
      <c r="C11" s="22" t="n">
        <v>24778</v>
      </c>
      <c r="D11" s="22" t="n">
        <v>9378</v>
      </c>
      <c r="E11" s="22" t="n">
        <v>37.8</v>
      </c>
      <c r="F11" s="22" t="n">
        <v>3585</v>
      </c>
      <c r="G11" s="22" t="n">
        <v>5793</v>
      </c>
      <c r="H11" s="22" t="n">
        <v>12807</v>
      </c>
      <c r="I11" s="7" t="inlineStr"/>
    </row>
    <row r="12" ht="18" customHeight="1">
      <c r="A12" s="21" t="inlineStr">
        <is>
          <t>令和22年度</t>
        </is>
      </c>
      <c r="B12" s="21" t="inlineStr">
        <is>
          <t>2040</t>
        </is>
      </c>
      <c r="C12" s="22" t="n">
        <v>23582</v>
      </c>
      <c r="D12" s="22" t="n">
        <v>9633</v>
      </c>
      <c r="E12" s="22" t="n">
        <v>40.8</v>
      </c>
      <c r="F12" s="22" t="n">
        <v>3885</v>
      </c>
      <c r="G12" s="22" t="n">
        <v>5748</v>
      </c>
      <c r="H12" s="22" t="n">
        <v>11492</v>
      </c>
      <c r="I12" s="7" t="inlineStr">
        <is>
          <t>中長期推計の目標年（2040年）</t>
        </is>
      </c>
    </row>
    <row r="13" ht="18" customHeight="1">
      <c r="A13" s="21" t="inlineStr">
        <is>
          <t>令和27年度</t>
        </is>
      </c>
      <c r="B13" s="21" t="inlineStr">
        <is>
          <t>2045</t>
        </is>
      </c>
      <c r="C13" s="22" t="n">
        <v>22332</v>
      </c>
      <c r="D13" s="22" t="n">
        <v>9522</v>
      </c>
      <c r="E13" s="22" t="n">
        <v>42.6</v>
      </c>
      <c r="F13" s="22" t="n">
        <v>3776</v>
      </c>
      <c r="G13" s="22" t="n">
        <v>5746</v>
      </c>
      <c r="H13" s="22" t="n">
        <v>10462</v>
      </c>
      <c r="I13" s="7" t="inlineStr"/>
    </row>
    <row r="14" ht="18" customHeight="1">
      <c r="A14" s="21" t="inlineStr">
        <is>
          <t>令和32年度</t>
        </is>
      </c>
      <c r="B14" s="21" t="inlineStr">
        <is>
          <t>2050</t>
        </is>
      </c>
      <c r="C14" s="22" t="n">
        <v>21058</v>
      </c>
      <c r="D14" s="22" t="n">
        <v>9239</v>
      </c>
      <c r="E14" s="22" t="n">
        <v>43.9</v>
      </c>
      <c r="F14" s="22" t="n">
        <v>3261</v>
      </c>
      <c r="G14" s="22" t="n">
        <v>5978</v>
      </c>
      <c r="H14" s="22" t="n">
        <v>9624</v>
      </c>
      <c r="I14" s="7" t="inlineStr">
        <is>
          <t>推計の最終年</t>
        </is>
      </c>
    </row>
    <row r="16" ht="18" customHeight="1">
      <c r="A16" s="6" t="inlineStr">
        <is>
          <t>【推計の前提の記録】</t>
        </is>
      </c>
    </row>
    <row r="17" ht="30" customHeight="1">
      <c r="A17" s="3" t="inlineStr">
        <is>
          <t>項目</t>
        </is>
      </c>
      <c r="B17" s="3" t="inlineStr">
        <is>
          <t>内容</t>
        </is>
      </c>
      <c r="C17" s="3" t="inlineStr"/>
      <c r="D17" s="3" t="inlineStr"/>
      <c r="E17" s="3" t="inlineStr"/>
      <c r="F17" s="3" t="inlineStr"/>
      <c r="G17" s="3" t="inlineStr"/>
      <c r="H17" s="3" t="inlineStr"/>
      <c r="I17" s="3" t="inlineStr"/>
    </row>
    <row r="18" ht="40" customHeight="1">
      <c r="A18" s="23" t="inlineStr">
        <is>
          <t>採用する基礎（令和8年8月31日のご指示）</t>
        </is>
      </c>
      <c r="B18" s="5" t="inlineStr">
        <is>
          <t>第10期の人口推計の基礎は、社人研推計ではなく総合戦略上の人口とする。総人口は3町の地方創生総合戦略（人口ビジョン）の目標人口を、年齢階級別の伸び率は住民基本台帳の実績趨勢（平成31年〜令和7年の年平均変化率）を用いる。</t>
        </is>
      </c>
      <c r="C18" s="24" t="n"/>
      <c r="D18" s="24" t="n"/>
      <c r="E18" s="24" t="n"/>
      <c r="F18" s="24" t="n"/>
      <c r="G18" s="24" t="n"/>
      <c r="H18" s="24" t="n"/>
      <c r="I18" s="8" t="n"/>
    </row>
    <row r="19" ht="40" customHeight="1">
      <c r="A19" s="25" t="inlineStr">
        <is>
          <t>階級別を住民基本台帳によることの理由</t>
        </is>
      </c>
      <c r="B19" s="5" t="inlineStr">
        <is>
          <t>総合戦略が持つのは総人口の目標のみであり、65歳以上・75歳以上の内訳を持たない。認定者数の推計は階級別人口を要するため、階級別の伸び率は住民基本台帳の実績趨勢による。詳細は「人口推計の基礎の変更_総合戦略ベース」による。</t>
        </is>
      </c>
      <c r="C19" s="24" t="n"/>
      <c r="D19" s="24" t="n"/>
      <c r="E19" s="24" t="n"/>
      <c r="F19" s="24" t="n"/>
      <c r="G19" s="24" t="n"/>
      <c r="H19" s="24" t="n"/>
      <c r="I19" s="8" t="n"/>
    </row>
    <row r="20" ht="40" customHeight="1">
      <c r="A20" s="25" t="inlineStr">
        <is>
          <t>この基礎を採ることの根拠</t>
        </is>
      </c>
      <c r="B20" s="5" t="inlineStr">
        <is>
          <t>「自然体推計の計算過程確認シートのガイド」は、保険者が保有する総合計画等による推計人口を用いることを基本とし、これを用意できない場合に社人研推計を利用することとしている。総合戦略上の人口を用いることは、このガイドの原則に沿う。</t>
        </is>
      </c>
      <c r="C20" s="24" t="n"/>
      <c r="D20" s="24" t="n"/>
      <c r="E20" s="24" t="n"/>
      <c r="F20" s="24" t="n"/>
      <c r="G20" s="24" t="n"/>
      <c r="H20" s="24" t="n"/>
      <c r="I20" s="8" t="n"/>
    </row>
    <row r="21" ht="40" customHeight="1">
      <c r="A21" s="25" t="inlineStr">
        <is>
          <t>令和12年度以降の扱い</t>
        </is>
      </c>
      <c r="B21" s="5" t="inlineStr">
        <is>
          <t>総合戦略は令和11年度までしか目標を持たない。中長期推計（令和22年度・令和32年度）は社人研推計によらざるを得ないため、第10期の3年間と中長期とで基礎が異なることを計画本文に明記する。</t>
        </is>
      </c>
      <c r="C21" s="24" t="n"/>
      <c r="D21" s="24" t="n"/>
      <c r="E21" s="24" t="n"/>
      <c r="F21" s="24" t="n"/>
      <c r="G21" s="24" t="n"/>
      <c r="H21" s="24" t="n"/>
      <c r="I21" s="8" t="n"/>
    </row>
    <row r="22" ht="40" customHeight="1">
      <c r="A22" s="25" t="inlineStr">
        <is>
          <t>従前の案の扱い</t>
        </is>
      </c>
      <c r="B22" s="5" t="inlineStr">
        <is>
          <t>令和8年7月30日に受託者が仮に置いた案（社人研推計をそのまま用いる）は、本シートの参考表及び「人口推計の補正_65歳以上75歳以上の突合」に案A・案Bとして残す。対比の記録として保存する。</t>
        </is>
      </c>
      <c r="C22" s="24" t="n"/>
      <c r="D22" s="24" t="n"/>
      <c r="E22" s="24" t="n"/>
      <c r="F22" s="24" t="n"/>
      <c r="G22" s="24" t="n"/>
      <c r="H22" s="24" t="n"/>
      <c r="I22" s="8" t="n"/>
    </row>
    <row r="23" ht="40" customHeight="1">
      <c r="A23" s="25" t="inlineStr">
        <is>
          <t>計画本文への記載</t>
        </is>
      </c>
      <c r="B23" s="5" t="inlineStr">
        <is>
          <t>第2章第1節に、人口推計の基礎、第9期計画（住民基本台帳・コーホート変化率法）の数値と一致しないこと、及びその理由を記載する。</t>
        </is>
      </c>
      <c r="C23" s="24" t="n"/>
      <c r="D23" s="24" t="n"/>
      <c r="E23" s="24" t="n"/>
      <c r="F23" s="24" t="n"/>
      <c r="G23" s="24" t="n"/>
      <c r="H23" s="24" t="n"/>
      <c r="I23" s="8" t="n"/>
    </row>
    <row r="24" ht="40" customHeight="1">
      <c r="A24" s="25" t="inlineStr">
        <is>
          <t>なお確定を要すること</t>
        </is>
      </c>
      <c r="B24" s="5" t="inlineStr">
        <is>
          <t>美瑛町の総合戦略に人口の目標値がないこと、東神楽町の実績が目標を下回る見込みであることから、総人口の目標値を3町一律には用いられない。確定を要する事項は「人口推計の基礎の変更_総合戦略ベース」06シートによる。</t>
        </is>
      </c>
      <c r="C24" s="24" t="n"/>
      <c r="D24" s="24" t="n"/>
      <c r="E24" s="24" t="n"/>
      <c r="F24" s="24" t="n"/>
      <c r="G24" s="24" t="n"/>
      <c r="H24" s="24" t="n"/>
      <c r="I24" s="8" t="n"/>
    </row>
    <row r="26" ht="104" customHeight="1">
      <c r="A26" s="14" t="inlineStr">
        <is>
          <t>注1）本シートの人口は見える化A系列（社人研）のとおりであり、参考である。推計に用いる階級別人口は02シートによる。第10期の推計に用いる各年度の値は、5年ごとの推計点（令和7年・令和12年）の線形補間である。注2）総人口は第10期の3年間で3.3％減少するが、65歳以上人口は0.1％減にとどまる。高齢化率の上昇（34.4％→35.6％）は分母の減少によるものであり、高齢者が増えるためではない。注3）第10期基本指針案は2040年度を含む中長期推計を求めている。令和22年度（2040年）及び令和32年度（2050年）を掲載する。</t>
        </is>
      </c>
    </row>
  </sheetData>
  <mergeCells count="10">
    <mergeCell ref="B18:I18"/>
    <mergeCell ref="B21:I21"/>
    <mergeCell ref="A2:I2"/>
    <mergeCell ref="B24:I24"/>
    <mergeCell ref="B20:I20"/>
    <mergeCell ref="B19:I19"/>
    <mergeCell ref="B22:I22"/>
    <mergeCell ref="B23:I23"/>
    <mergeCell ref="A26:I26"/>
    <mergeCell ref="A16:I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showGridLines="0" workbookViewId="0">
      <pane ySplit="4" topLeftCell="A5" activePane="bottomLeft" state="frozen"/>
      <selection pane="bottomLeft" activeCell="A1" sqref="A1"/>
    </sheetView>
  </sheetViews>
  <sheetFormatPr baseColWidth="8" defaultRowHeight="15"/>
  <cols>
    <col width="10" customWidth="1" min="1" max="1"/>
    <col width="9" customWidth="1" min="2" max="2"/>
    <col width="11" customWidth="1" min="3" max="3"/>
    <col width="11" customWidth="1" min="4" max="4"/>
    <col width="11" customWidth="1" min="5" max="5"/>
    <col width="11" customWidth="1" min="6" max="6"/>
    <col width="10" customWidth="1" min="7" max="7"/>
    <col width="10" customWidth="1" min="8" max="8"/>
    <col width="10" customWidth="1" min="9" max="9"/>
    <col width="32" customWidth="1" min="10" max="10"/>
  </cols>
  <sheetData>
    <row r="1" ht="22" customHeight="1">
      <c r="A1" s="1" t="inlineStr">
        <is>
          <t>推計上の階級別人口（実績人口×住民基本台帳の実績趨勢）</t>
        </is>
      </c>
    </row>
    <row r="2" ht="48" customHeight="1">
      <c r="A2" s="2" t="inlineStr">
        <is>
          <t>令和7年度の実績人口（見える化B4系列・令和8年3月末）に、住民基本台帳の階級別の実績趨勢（平成31年〜令和7年の年平均変化率）を乗じて求める。基準年度の水準を実績に合わせることで、推計の出発点が実績と一致する。令和12年度以降は、令和11年度を起点に社人研推計の伸び率で接続する（総合戦略が令和11年度までしか目標を持たないため）。</t>
        </is>
      </c>
    </row>
    <row r="4" ht="36" customHeight="1">
      <c r="A4" s="3" t="inlineStr">
        <is>
          <t>年度</t>
        </is>
      </c>
      <c r="B4" s="3" t="inlineStr">
        <is>
          <t>西暦</t>
        </is>
      </c>
      <c r="C4" s="3" t="inlineStr">
        <is>
          <t>65〜74歳</t>
        </is>
      </c>
      <c r="D4" s="3" t="inlineStr">
        <is>
          <t>75〜84歳</t>
        </is>
      </c>
      <c r="E4" s="3" t="inlineStr">
        <is>
          <t>85歳以上</t>
        </is>
      </c>
      <c r="F4" s="3" t="inlineStr">
        <is>
          <t>65歳以上計</t>
        </is>
      </c>
      <c r="G4" s="3" t="inlineStr">
        <is>
          <t>伸び率
65〜74</t>
        </is>
      </c>
      <c r="H4" s="3" t="inlineStr">
        <is>
          <t>伸び率
75〜84</t>
        </is>
      </c>
      <c r="I4" s="3" t="inlineStr">
        <is>
          <t>伸び率
85＋</t>
        </is>
      </c>
      <c r="J4" s="3" t="inlineStr">
        <is>
          <t>所見</t>
        </is>
      </c>
    </row>
    <row r="5" ht="18" customHeight="1">
      <c r="A5" s="15" t="inlineStr">
        <is>
          <t>令和7年度</t>
        </is>
      </c>
      <c r="B5" s="15" t="inlineStr">
        <is>
          <t>2025</t>
        </is>
      </c>
      <c r="C5" s="16" t="n">
        <v>3600</v>
      </c>
      <c r="D5" s="16" t="n">
        <v>3499</v>
      </c>
      <c r="E5" s="16" t="n">
        <v>1990</v>
      </c>
      <c r="F5" s="16" t="n">
        <v>9090</v>
      </c>
      <c r="G5" s="16" t="inlineStr">
        <is>
          <t>1.0000</t>
        </is>
      </c>
      <c r="H5" s="16" t="inlineStr">
        <is>
          <t>1.0000</t>
        </is>
      </c>
      <c r="I5" s="16" t="inlineStr">
        <is>
          <t>1.0000</t>
        </is>
      </c>
      <c r="J5" s="17" t="inlineStr">
        <is>
          <t>基準年度（実績）</t>
        </is>
      </c>
    </row>
    <row r="6" ht="18" customHeight="1">
      <c r="A6" s="4" t="inlineStr">
        <is>
          <t>令和8年度</t>
        </is>
      </c>
      <c r="B6" s="4" t="inlineStr">
        <is>
          <t>2026</t>
        </is>
      </c>
      <c r="C6" s="9" t="n">
        <v>3542</v>
      </c>
      <c r="D6" s="9" t="n">
        <v>3546</v>
      </c>
      <c r="E6" s="9" t="n">
        <v>2030</v>
      </c>
      <c r="F6" s="9" t="n">
        <v>9117</v>
      </c>
      <c r="G6" s="9" t="inlineStr">
        <is>
          <t>0.9838</t>
        </is>
      </c>
      <c r="H6" s="9" t="inlineStr">
        <is>
          <t>1.0133</t>
        </is>
      </c>
      <c r="I6" s="9" t="inlineStr">
        <is>
          <t>1.0197</t>
        </is>
      </c>
      <c r="J6" s="5" t="inlineStr"/>
    </row>
    <row r="7" ht="18" customHeight="1">
      <c r="A7" s="18" t="inlineStr">
        <is>
          <t>令和9年度</t>
        </is>
      </c>
      <c r="B7" s="18" t="inlineStr">
        <is>
          <t>2027</t>
        </is>
      </c>
      <c r="C7" s="19" t="n">
        <v>3484</v>
      </c>
      <c r="D7" s="19" t="n">
        <v>3593</v>
      </c>
      <c r="E7" s="19" t="n">
        <v>2070</v>
      </c>
      <c r="F7" s="19" t="n">
        <v>9147</v>
      </c>
      <c r="G7" s="19" t="inlineStr">
        <is>
          <t>0.9678</t>
        </is>
      </c>
      <c r="H7" s="19" t="inlineStr">
        <is>
          <t>1.0267</t>
        </is>
      </c>
      <c r="I7" s="19" t="inlineStr">
        <is>
          <t>1.0399</t>
        </is>
      </c>
      <c r="J7" s="20" t="inlineStr"/>
    </row>
    <row r="8" ht="18" customHeight="1">
      <c r="A8" s="18" t="inlineStr">
        <is>
          <t>令和10年度</t>
        </is>
      </c>
      <c r="B8" s="18" t="inlineStr">
        <is>
          <t>2028</t>
        </is>
      </c>
      <c r="C8" s="19" t="n">
        <v>3428</v>
      </c>
      <c r="D8" s="19" t="n">
        <v>3641</v>
      </c>
      <c r="E8" s="19" t="n">
        <v>2111</v>
      </c>
      <c r="F8" s="19" t="n">
        <v>9179</v>
      </c>
      <c r="G8" s="19" t="inlineStr">
        <is>
          <t>0.9521</t>
        </is>
      </c>
      <c r="H8" s="19" t="inlineStr">
        <is>
          <t>1.0404</t>
        </is>
      </c>
      <c r="I8" s="19" t="inlineStr">
        <is>
          <t>1.0604</t>
        </is>
      </c>
      <c r="J8" s="20" t="inlineStr"/>
    </row>
    <row r="9" ht="18" customHeight="1">
      <c r="A9" s="18" t="inlineStr">
        <is>
          <t>令和11年度</t>
        </is>
      </c>
      <c r="B9" s="18" t="inlineStr">
        <is>
          <t>2029</t>
        </is>
      </c>
      <c r="C9" s="19" t="n">
        <v>3372</v>
      </c>
      <c r="D9" s="19" t="n">
        <v>3689</v>
      </c>
      <c r="E9" s="19" t="n">
        <v>2152</v>
      </c>
      <c r="F9" s="19" t="n">
        <v>9213</v>
      </c>
      <c r="G9" s="19" t="inlineStr">
        <is>
          <t>0.9366</t>
        </is>
      </c>
      <c r="H9" s="19" t="inlineStr">
        <is>
          <t>1.0542</t>
        </is>
      </c>
      <c r="I9" s="19" t="inlineStr">
        <is>
          <t>1.0814</t>
        </is>
      </c>
      <c r="J9" s="20" t="inlineStr">
        <is>
          <t>第10期の最終年度。85歳以上が+161人、75〜84歳が+189人、65〜74歳が-228人</t>
        </is>
      </c>
    </row>
    <row r="10" ht="18" customHeight="1">
      <c r="A10" s="4" t="inlineStr">
        <is>
          <t>令和12年度</t>
        </is>
      </c>
      <c r="B10" s="4" t="inlineStr">
        <is>
          <t>2030</t>
        </is>
      </c>
      <c r="C10" s="9" t="n">
        <v>3323</v>
      </c>
      <c r="D10" s="9" t="n">
        <v>3714</v>
      </c>
      <c r="E10" s="9" t="n">
        <v>2174</v>
      </c>
      <c r="F10" s="9" t="n">
        <v>9211</v>
      </c>
      <c r="G10" s="9" t="inlineStr">
        <is>
          <t>0.9229</t>
        </is>
      </c>
      <c r="H10" s="9" t="inlineStr">
        <is>
          <t>1.0615</t>
        </is>
      </c>
      <c r="I10" s="9" t="inlineStr">
        <is>
          <t>1.0924</t>
        </is>
      </c>
      <c r="J10" s="5" t="inlineStr">
        <is>
          <t>令和12年度以降は社人研推計の伸び率で接続する</t>
        </is>
      </c>
    </row>
    <row r="11" ht="18" customHeight="1">
      <c r="A11" s="21" t="inlineStr">
        <is>
          <t>令和17年度</t>
        </is>
      </c>
      <c r="B11" s="21" t="inlineStr">
        <is>
          <t>2035</t>
        </is>
      </c>
      <c r="C11" s="22" t="n">
        <v>3532</v>
      </c>
      <c r="D11" s="22" t="n">
        <v>3168</v>
      </c>
      <c r="E11" s="22" t="n">
        <v>2550</v>
      </c>
      <c r="F11" s="22" t="n">
        <v>9250</v>
      </c>
      <c r="G11" s="22" t="inlineStr">
        <is>
          <t>0.9809</t>
        </is>
      </c>
      <c r="H11" s="22" t="inlineStr">
        <is>
          <t>0.9053</t>
        </is>
      </c>
      <c r="I11" s="22" t="inlineStr">
        <is>
          <t>1.2812</t>
        </is>
      </c>
      <c r="J11" s="7" t="inlineStr">
        <is>
          <t>75〜84歳が3,168人、85歳以上が2,550人</t>
        </is>
      </c>
    </row>
    <row r="12" ht="18" customHeight="1">
      <c r="A12" s="21" t="inlineStr">
        <is>
          <t>令和22年度</t>
        </is>
      </c>
      <c r="B12" s="21" t="inlineStr">
        <is>
          <t>2040</t>
        </is>
      </c>
      <c r="C12" s="22" t="n">
        <v>3827</v>
      </c>
      <c r="D12" s="22" t="n">
        <v>2983</v>
      </c>
      <c r="E12" s="22" t="n">
        <v>2681</v>
      </c>
      <c r="F12" s="22" t="n">
        <v>9491</v>
      </c>
      <c r="G12" s="22" t="inlineStr">
        <is>
          <t>1.0630</t>
        </is>
      </c>
      <c r="H12" s="22" t="inlineStr">
        <is>
          <t>0.8525</t>
        </is>
      </c>
      <c r="I12" s="22" t="inlineStr">
        <is>
          <t>1.3469</t>
        </is>
      </c>
      <c r="J12" s="7" t="inlineStr"/>
    </row>
    <row r="13" ht="18" customHeight="1">
      <c r="A13" s="21" t="inlineStr">
        <is>
          <t>令和27年度</t>
        </is>
      </c>
      <c r="B13" s="21" t="inlineStr">
        <is>
          <t>2045</t>
        </is>
      </c>
      <c r="C13" s="22" t="n">
        <v>3720</v>
      </c>
      <c r="D13" s="22" t="n">
        <v>3199</v>
      </c>
      <c r="E13" s="22" t="n">
        <v>2477</v>
      </c>
      <c r="F13" s="22" t="n">
        <v>9395</v>
      </c>
      <c r="G13" s="22" t="inlineStr">
        <is>
          <t>1.0332</t>
        </is>
      </c>
      <c r="H13" s="22" t="inlineStr">
        <is>
          <t>0.9140</t>
        </is>
      </c>
      <c r="I13" s="22" t="inlineStr">
        <is>
          <t>1.2443</t>
        </is>
      </c>
      <c r="J13" s="7" t="inlineStr"/>
    </row>
    <row r="14" ht="18" customHeight="1">
      <c r="A14" s="21" t="inlineStr">
        <is>
          <t>令和32年度</t>
        </is>
      </c>
      <c r="B14" s="21" t="inlineStr">
        <is>
          <t>2050</t>
        </is>
      </c>
      <c r="C14" s="22" t="n">
        <v>3213</v>
      </c>
      <c r="D14" s="22" t="n">
        <v>3497</v>
      </c>
      <c r="E14" s="22" t="n">
        <v>2417</v>
      </c>
      <c r="F14" s="22" t="n">
        <v>9127</v>
      </c>
      <c r="G14" s="22" t="inlineStr">
        <is>
          <t>0.8923</t>
        </is>
      </c>
      <c r="H14" s="22" t="inlineStr">
        <is>
          <t>0.9994</t>
        </is>
      </c>
      <c r="I14" s="22" t="inlineStr">
        <is>
          <t>1.2146</t>
        </is>
      </c>
      <c r="J14" s="7" t="inlineStr"/>
    </row>
    <row r="16" ht="18" customHeight="1">
      <c r="A16" s="6" t="inlineStr">
        <is>
          <t>【第10期の3年間の変化（令和7年度＝基準）】</t>
        </is>
      </c>
    </row>
    <row r="17" ht="30" customHeight="1">
      <c r="A17" s="3" t="inlineStr">
        <is>
          <t>階級</t>
        </is>
      </c>
      <c r="B17" s="3" t="inlineStr">
        <is>
          <t>令和7年度</t>
        </is>
      </c>
      <c r="C17" s="3" t="inlineStr">
        <is>
          <t>令和9年度</t>
        </is>
      </c>
      <c r="D17" s="3" t="inlineStr">
        <is>
          <t>令和10年度</t>
        </is>
      </c>
      <c r="E17" s="3" t="inlineStr">
        <is>
          <t>令和11年度</t>
        </is>
      </c>
      <c r="F17" s="3" t="inlineStr">
        <is>
          <t>令和7→11年度</t>
        </is>
      </c>
      <c r="G17" s="3" t="inlineStr"/>
      <c r="H17" s="3" t="inlineStr"/>
      <c r="I17" s="3" t="inlineStr"/>
      <c r="J17" s="3" t="inlineStr">
        <is>
          <t>読み方</t>
        </is>
      </c>
    </row>
    <row r="18" ht="20" customHeight="1">
      <c r="A18" s="5" t="inlineStr">
        <is>
          <t>65〜74歳</t>
        </is>
      </c>
      <c r="B18" s="9" t="n">
        <v>3600</v>
      </c>
      <c r="C18" s="9" t="n">
        <v>3484</v>
      </c>
      <c r="D18" s="9" t="n">
        <v>3428</v>
      </c>
      <c r="E18" s="9" t="n">
        <v>3372</v>
      </c>
      <c r="F18" s="11" t="inlineStr">
        <is>
          <t>-228人（-6.3％）</t>
        </is>
      </c>
      <c r="G18" s="24" t="n"/>
      <c r="H18" s="24" t="n"/>
      <c r="I18" s="8" t="n"/>
      <c r="J18" s="26" t="inlineStr">
        <is>
          <t>団塊世代が75歳以上へ移行するため減る。</t>
        </is>
      </c>
    </row>
    <row r="19" ht="20" customHeight="1">
      <c r="A19" s="5" t="inlineStr">
        <is>
          <t>75〜84歳</t>
        </is>
      </c>
      <c r="B19" s="9" t="n">
        <v>3499</v>
      </c>
      <c r="C19" s="9" t="n">
        <v>3593</v>
      </c>
      <c r="D19" s="9" t="n">
        <v>3641</v>
      </c>
      <c r="E19" s="9" t="n">
        <v>3689</v>
      </c>
      <c r="F19" s="27" t="inlineStr">
        <is>
          <t>+190人（+5.4％）</t>
        </is>
      </c>
      <c r="G19" s="24" t="n"/>
      <c r="H19" s="24" t="n"/>
      <c r="I19" s="8" t="n"/>
      <c r="J19" s="26" t="inlineStr">
        <is>
          <t>団塊世代の移行により増える。</t>
        </is>
      </c>
    </row>
    <row r="20" ht="20" customHeight="1">
      <c r="A20" s="5" t="inlineStr">
        <is>
          <t>85歳以上</t>
        </is>
      </c>
      <c r="B20" s="9" t="n">
        <v>1990</v>
      </c>
      <c r="C20" s="9" t="n">
        <v>2070</v>
      </c>
      <c r="D20" s="9" t="n">
        <v>2111</v>
      </c>
      <c r="E20" s="9" t="n">
        <v>2152</v>
      </c>
      <c r="F20" s="27" t="inlineStr">
        <is>
          <t>+162人（+8.1％）</t>
        </is>
      </c>
      <c r="G20" s="24" t="n"/>
      <c r="H20" s="24" t="n"/>
      <c r="I20" s="8" t="n"/>
      <c r="J20" s="26" t="inlineStr">
        <is>
          <t>一貫して増える。認定者数の増加はここが源である。</t>
        </is>
      </c>
    </row>
    <row r="21" ht="20" customHeight="1">
      <c r="A21" s="12" t="inlineStr">
        <is>
          <t>計</t>
        </is>
      </c>
      <c r="B21" s="13" t="n">
        <v>9090</v>
      </c>
      <c r="C21" s="13" t="n">
        <v>9147</v>
      </c>
      <c r="D21" s="13" t="n">
        <v>9179</v>
      </c>
      <c r="E21" s="13" t="n">
        <v>9213</v>
      </c>
      <c r="F21" s="13" t="inlineStr">
        <is>
          <t>+123人（+1.4％）</t>
        </is>
      </c>
      <c r="G21" s="24" t="n"/>
      <c r="H21" s="24" t="n"/>
      <c r="I21" s="8" t="n"/>
      <c r="J21" s="12" t="inlineStr">
        <is>
          <t>合計はほぼ変わらないが構成が入れ替わる。</t>
        </is>
      </c>
    </row>
    <row r="23" ht="104" customHeight="1">
      <c r="A23" s="14" t="inlineStr">
        <is>
          <t>注1）本表の人口は「第1号被保険者数」ではなく「認定率の分母となる65歳以上人口」である。第1号被保険者数は住所地特例等により若干異なる。保険料算定に用いる被保険者数は第3段階で別途整理する。注2）伸び率は住民基本台帳（平成31年〜令和7年の6年）の階級別の年平均変化率による（65〜74歳-1.624％・75〜84歳+1.328％・85歳以上+1.975％）。令和8年8月31日の発注者のご指示により、社人研推計を伸び率の基礎とすることをやめた。令和12年度以降は総合戦略に目標がないため、令和11年度を起点に社人研推計の伸び率で接続している。注3）65歳以上の合計は第10期の3年間で+123人となり、85歳以上が+162人増え65〜74歳が-228人減る。階級別の認定率が大きく異なるため、この構成の変化だけで合計認定率は上昇する。</t>
        </is>
      </c>
    </row>
  </sheetData>
  <mergeCells count="7">
    <mergeCell ref="F18:I18"/>
    <mergeCell ref="A23:J23"/>
    <mergeCell ref="A2:J2"/>
    <mergeCell ref="F21:I21"/>
    <mergeCell ref="A16:J16"/>
    <mergeCell ref="F19:I19"/>
    <mergeCell ref="F20:I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8"/>
  <sheetViews>
    <sheetView showGridLines="0" workbookViewId="0">
      <pane ySplit="4" topLeftCell="A5" activePane="bottomLeft" state="frozen"/>
      <selection pane="bottomLeft" activeCell="A1" sqref="A1"/>
    </sheetView>
  </sheetViews>
  <sheetFormatPr baseColWidth="8" defaultRowHeight="15"/>
  <cols>
    <col width="10" customWidth="1" min="1" max="1"/>
    <col width="9" customWidth="1" min="2" max="2"/>
    <col width="9" customWidth="1" min="3" max="3"/>
    <col width="9" customWidth="1" min="4" max="4"/>
    <col width="9" customWidth="1" min="5" max="5"/>
    <col width="11" customWidth="1" min="6" max="6"/>
    <col width="9" customWidth="1" min="7" max="7"/>
    <col width="11" customWidth="1" min="8" max="8"/>
    <col width="9" customWidth="1" min="9" max="9"/>
    <col width="11" customWidth="1" min="10" max="10"/>
    <col width="9" customWidth="1" min="11" max="11"/>
    <col width="11" customWidth="1" min="12" max="12"/>
    <col width="9" customWidth="1" min="13" max="13"/>
  </cols>
  <sheetData>
    <row r="1" ht="22" customHeight="1">
      <c r="A1" s="1" t="inlineStr">
        <is>
          <t>認定者数の推計（3シナリオ）</t>
        </is>
      </c>
    </row>
    <row r="2" ht="48" customHeight="1">
      <c r="A2" s="2" t="inlineStr">
        <is>
          <t>階級別人口に階級別認定率を乗じて認定者数を推計する。認定率の置き方は方針No.2として発注者の決定を要するため、3つのシナリオを示す。基準年度（令和7年度）はいずれのシナリオでも実績1,984人と一致する。</t>
        </is>
      </c>
    </row>
    <row r="4" ht="44" customHeight="1">
      <c r="A4" s="3" t="inlineStr">
        <is>
          <t>年度</t>
        </is>
      </c>
      <c r="B4" s="3" t="inlineStr">
        <is>
          <t>西暦</t>
        </is>
      </c>
      <c r="C4" s="3" t="inlineStr">
        <is>
          <t>①率
65-74</t>
        </is>
      </c>
      <c r="D4" s="3" t="inlineStr">
        <is>
          <t>①率
75-84</t>
        </is>
      </c>
      <c r="E4" s="3" t="inlineStr">
        <is>
          <t>①率
85+</t>
        </is>
      </c>
      <c r="F4" s="3" t="inlineStr">
        <is>
          <t>①認定者数</t>
        </is>
      </c>
      <c r="G4" s="3" t="inlineStr">
        <is>
          <t>①合計率</t>
        </is>
      </c>
      <c r="H4" s="3" t="inlineStr">
        <is>
          <t>②認定者数</t>
        </is>
      </c>
      <c r="I4" s="3" t="inlineStr">
        <is>
          <t>②合計率</t>
        </is>
      </c>
      <c r="J4" s="3" t="inlineStr">
        <is>
          <t>③認定者数</t>
        </is>
      </c>
      <c r="K4" s="3" t="inlineStr">
        <is>
          <t>③合計率</t>
        </is>
      </c>
      <c r="L4" s="3" t="inlineStr">
        <is>
          <t>①と②の差</t>
        </is>
      </c>
      <c r="M4" s="3" t="inlineStr">
        <is>
          <t>①と③の差</t>
        </is>
      </c>
    </row>
    <row r="5" ht="18" customHeight="1">
      <c r="A5" s="15" t="inlineStr">
        <is>
          <t>令和7年度</t>
        </is>
      </c>
      <c r="B5" s="15" t="inlineStr">
        <is>
          <t>2025</t>
        </is>
      </c>
      <c r="C5" s="16" t="inlineStr">
        <is>
          <t>4.03</t>
        </is>
      </c>
      <c r="D5" s="16" t="inlineStr">
        <is>
          <t>17.52</t>
        </is>
      </c>
      <c r="E5" s="16" t="inlineStr">
        <is>
          <t>61.60</t>
        </is>
      </c>
      <c r="F5" s="16" t="n">
        <v>1984</v>
      </c>
      <c r="G5" s="16" t="inlineStr">
        <is>
          <t>21.8％</t>
        </is>
      </c>
      <c r="H5" s="16" t="n">
        <v>1984</v>
      </c>
      <c r="I5" s="16" t="inlineStr">
        <is>
          <t>21.8％</t>
        </is>
      </c>
      <c r="J5" s="16" t="n">
        <v>1984</v>
      </c>
      <c r="K5" s="16" t="inlineStr">
        <is>
          <t>21.8％</t>
        </is>
      </c>
      <c r="L5" s="16" t="inlineStr">
        <is>
          <t>+0人</t>
        </is>
      </c>
      <c r="M5" s="16" t="inlineStr">
        <is>
          <t>+0人</t>
        </is>
      </c>
    </row>
    <row r="6" ht="18" customHeight="1">
      <c r="A6" s="4" t="inlineStr">
        <is>
          <t>令和8年度</t>
        </is>
      </c>
      <c r="B6" s="4" t="inlineStr">
        <is>
          <t>2026</t>
        </is>
      </c>
      <c r="C6" s="9" t="inlineStr">
        <is>
          <t>4.03</t>
        </is>
      </c>
      <c r="D6" s="9" t="inlineStr">
        <is>
          <t>17.52</t>
        </is>
      </c>
      <c r="E6" s="9" t="inlineStr">
        <is>
          <t>61.60</t>
        </is>
      </c>
      <c r="F6" s="9" t="n">
        <v>2014</v>
      </c>
      <c r="G6" s="9" t="inlineStr">
        <is>
          <t>22.1％</t>
        </is>
      </c>
      <c r="H6" s="9" t="n">
        <v>2004</v>
      </c>
      <c r="I6" s="9" t="inlineStr">
        <is>
          <t>22.0％</t>
        </is>
      </c>
      <c r="J6" s="9" t="n">
        <v>2031</v>
      </c>
      <c r="K6" s="9" t="inlineStr">
        <is>
          <t>22.3％</t>
        </is>
      </c>
      <c r="L6" s="9" t="inlineStr">
        <is>
          <t>-10人</t>
        </is>
      </c>
      <c r="M6" s="9" t="inlineStr">
        <is>
          <t>+17人</t>
        </is>
      </c>
    </row>
    <row r="7" ht="18" customHeight="1">
      <c r="A7" s="18" t="inlineStr">
        <is>
          <t>令和9年度</t>
        </is>
      </c>
      <c r="B7" s="18" t="inlineStr">
        <is>
          <t>2027</t>
        </is>
      </c>
      <c r="C7" s="19" t="inlineStr">
        <is>
          <t>4.03</t>
        </is>
      </c>
      <c r="D7" s="19" t="inlineStr">
        <is>
          <t>17.52</t>
        </is>
      </c>
      <c r="E7" s="19" t="inlineStr">
        <is>
          <t>61.60</t>
        </is>
      </c>
      <c r="F7" s="19" t="n">
        <v>2045</v>
      </c>
      <c r="G7" s="19" t="inlineStr">
        <is>
          <t>22.4％</t>
        </is>
      </c>
      <c r="H7" s="19" t="n">
        <v>2025</v>
      </c>
      <c r="I7" s="19" t="inlineStr">
        <is>
          <t>22.1％</t>
        </is>
      </c>
      <c r="J7" s="19" t="n">
        <v>2079</v>
      </c>
      <c r="K7" s="19" t="inlineStr">
        <is>
          <t>22.7％</t>
        </is>
      </c>
      <c r="L7" s="19" t="inlineStr">
        <is>
          <t>-20人</t>
        </is>
      </c>
      <c r="M7" s="19" t="inlineStr">
        <is>
          <t>+34人</t>
        </is>
      </c>
    </row>
    <row r="8" ht="18" customHeight="1">
      <c r="A8" s="18" t="inlineStr">
        <is>
          <t>令和10年度</t>
        </is>
      </c>
      <c r="B8" s="18" t="inlineStr">
        <is>
          <t>2028</t>
        </is>
      </c>
      <c r="C8" s="19" t="inlineStr">
        <is>
          <t>4.03</t>
        </is>
      </c>
      <c r="D8" s="19" t="inlineStr">
        <is>
          <t>17.52</t>
        </is>
      </c>
      <c r="E8" s="19" t="inlineStr">
        <is>
          <t>61.60</t>
        </is>
      </c>
      <c r="F8" s="19" t="n">
        <v>2076</v>
      </c>
      <c r="G8" s="19" t="inlineStr">
        <is>
          <t>22.6％</t>
        </is>
      </c>
      <c r="H8" s="19" t="n">
        <v>2046</v>
      </c>
      <c r="I8" s="19" t="inlineStr">
        <is>
          <t>22.3％</t>
        </is>
      </c>
      <c r="J8" s="19" t="n">
        <v>2128</v>
      </c>
      <c r="K8" s="19" t="inlineStr">
        <is>
          <t>23.2％</t>
        </is>
      </c>
      <c r="L8" s="19" t="inlineStr">
        <is>
          <t>-30人</t>
        </is>
      </c>
      <c r="M8" s="19" t="inlineStr">
        <is>
          <t>+52人</t>
        </is>
      </c>
    </row>
    <row r="9" ht="18" customHeight="1">
      <c r="A9" s="18" t="inlineStr">
        <is>
          <t>令和11年度</t>
        </is>
      </c>
      <c r="B9" s="18" t="inlineStr">
        <is>
          <t>2029</t>
        </is>
      </c>
      <c r="C9" s="19" t="inlineStr">
        <is>
          <t>4.03</t>
        </is>
      </c>
      <c r="D9" s="19" t="inlineStr">
        <is>
          <t>17.52</t>
        </is>
      </c>
      <c r="E9" s="19" t="inlineStr">
        <is>
          <t>61.60</t>
        </is>
      </c>
      <c r="F9" s="19" t="n">
        <v>2108</v>
      </c>
      <c r="G9" s="19" t="inlineStr">
        <is>
          <t>22.9％</t>
        </is>
      </c>
      <c r="H9" s="19" t="n">
        <v>2067</v>
      </c>
      <c r="I9" s="19" t="inlineStr">
        <is>
          <t>22.4％</t>
        </is>
      </c>
      <c r="J9" s="19" t="n">
        <v>2178</v>
      </c>
      <c r="K9" s="19" t="inlineStr">
        <is>
          <t>23.6％</t>
        </is>
      </c>
      <c r="L9" s="19" t="inlineStr">
        <is>
          <t>-40人</t>
        </is>
      </c>
      <c r="M9" s="19" t="inlineStr">
        <is>
          <t>+71人</t>
        </is>
      </c>
    </row>
    <row r="10" ht="18" customHeight="1">
      <c r="A10" s="4" t="inlineStr">
        <is>
          <t>令和12年度</t>
        </is>
      </c>
      <c r="B10" s="4" t="inlineStr">
        <is>
          <t>2030</t>
        </is>
      </c>
      <c r="C10" s="9" t="inlineStr">
        <is>
          <t>4.03</t>
        </is>
      </c>
      <c r="D10" s="9" t="inlineStr">
        <is>
          <t>17.52</t>
        </is>
      </c>
      <c r="E10" s="9" t="inlineStr">
        <is>
          <t>61.60</t>
        </is>
      </c>
      <c r="F10" s="9" t="n">
        <v>2124</v>
      </c>
      <c r="G10" s="9" t="inlineStr">
        <is>
          <t>23.1％</t>
        </is>
      </c>
      <c r="H10" s="9" t="n">
        <v>2083</v>
      </c>
      <c r="I10" s="9" t="inlineStr">
        <is>
          <t>22.6％</t>
        </is>
      </c>
      <c r="J10" s="9" t="n">
        <v>2195</v>
      </c>
      <c r="K10" s="9" t="inlineStr">
        <is>
          <t>23.8％</t>
        </is>
      </c>
      <c r="L10" s="9" t="inlineStr">
        <is>
          <t>-41人</t>
        </is>
      </c>
      <c r="M10" s="9" t="inlineStr">
        <is>
          <t>+71人</t>
        </is>
      </c>
    </row>
    <row r="11" ht="18" customHeight="1">
      <c r="A11" s="21" t="inlineStr">
        <is>
          <t>令和17年度</t>
        </is>
      </c>
      <c r="B11" s="21" t="inlineStr">
        <is>
          <t>2035</t>
        </is>
      </c>
      <c r="C11" s="22" t="inlineStr">
        <is>
          <t>4.03</t>
        </is>
      </c>
      <c r="D11" s="22" t="inlineStr">
        <is>
          <t>17.52</t>
        </is>
      </c>
      <c r="E11" s="22" t="inlineStr">
        <is>
          <t>61.60</t>
        </is>
      </c>
      <c r="F11" s="22" t="n">
        <v>2268</v>
      </c>
      <c r="G11" s="22" t="inlineStr">
        <is>
          <t>24.5％</t>
        </is>
      </c>
      <c r="H11" s="22" t="n">
        <v>2228</v>
      </c>
      <c r="I11" s="22" t="inlineStr">
        <is>
          <t>24.1％</t>
        </is>
      </c>
      <c r="J11" s="22" t="n">
        <v>2338</v>
      </c>
      <c r="K11" s="22" t="inlineStr">
        <is>
          <t>25.3％</t>
        </is>
      </c>
      <c r="L11" s="22" t="inlineStr">
        <is>
          <t>-40人</t>
        </is>
      </c>
      <c r="M11" s="22" t="inlineStr">
        <is>
          <t>+70人</t>
        </is>
      </c>
    </row>
    <row r="12" ht="18" customHeight="1">
      <c r="A12" s="21" t="inlineStr">
        <is>
          <t>令和22年度</t>
        </is>
      </c>
      <c r="B12" s="21" t="inlineStr">
        <is>
          <t>2040</t>
        </is>
      </c>
      <c r="C12" s="22" t="inlineStr">
        <is>
          <t>4.03</t>
        </is>
      </c>
      <c r="D12" s="22" t="inlineStr">
        <is>
          <t>17.52</t>
        </is>
      </c>
      <c r="E12" s="22" t="inlineStr">
        <is>
          <t>61.60</t>
        </is>
      </c>
      <c r="F12" s="22" t="n">
        <v>2328</v>
      </c>
      <c r="G12" s="22" t="inlineStr">
        <is>
          <t>24.5％</t>
        </is>
      </c>
      <c r="H12" s="22" t="n">
        <v>2288</v>
      </c>
      <c r="I12" s="22" t="inlineStr">
        <is>
          <t>24.1％</t>
        </is>
      </c>
      <c r="J12" s="22" t="n">
        <v>2398</v>
      </c>
      <c r="K12" s="22" t="inlineStr">
        <is>
          <t>25.3％</t>
        </is>
      </c>
      <c r="L12" s="22" t="inlineStr">
        <is>
          <t>-40人</t>
        </is>
      </c>
      <c r="M12" s="22" t="inlineStr">
        <is>
          <t>+70人</t>
        </is>
      </c>
    </row>
    <row r="13" ht="18" customHeight="1">
      <c r="A13" s="21" t="inlineStr">
        <is>
          <t>令和27年度</t>
        </is>
      </c>
      <c r="B13" s="21" t="inlineStr">
        <is>
          <t>2045</t>
        </is>
      </c>
      <c r="C13" s="22" t="inlineStr">
        <is>
          <t>4.03</t>
        </is>
      </c>
      <c r="D13" s="22" t="inlineStr">
        <is>
          <t>17.52</t>
        </is>
      </c>
      <c r="E13" s="22" t="inlineStr">
        <is>
          <t>61.60</t>
        </is>
      </c>
      <c r="F13" s="22" t="n">
        <v>2236</v>
      </c>
      <c r="G13" s="22" t="inlineStr">
        <is>
          <t>23.8％</t>
        </is>
      </c>
      <c r="H13" s="22" t="n">
        <v>2196</v>
      </c>
      <c r="I13" s="22" t="inlineStr">
        <is>
          <t>23.4％</t>
        </is>
      </c>
      <c r="J13" s="22" t="n">
        <v>2305</v>
      </c>
      <c r="K13" s="22" t="inlineStr">
        <is>
          <t>24.5％</t>
        </is>
      </c>
      <c r="L13" s="22" t="inlineStr">
        <is>
          <t>-40人</t>
        </is>
      </c>
      <c r="M13" s="22" t="inlineStr">
        <is>
          <t>+69人</t>
        </is>
      </c>
    </row>
    <row r="14" ht="18" customHeight="1">
      <c r="A14" s="21" t="inlineStr">
        <is>
          <t>令和32年度</t>
        </is>
      </c>
      <c r="B14" s="21" t="inlineStr">
        <is>
          <t>2050</t>
        </is>
      </c>
      <c r="C14" s="22" t="inlineStr">
        <is>
          <t>4.03</t>
        </is>
      </c>
      <c r="D14" s="22" t="inlineStr">
        <is>
          <t>17.52</t>
        </is>
      </c>
      <c r="E14" s="22" t="inlineStr">
        <is>
          <t>61.60</t>
        </is>
      </c>
      <c r="F14" s="22" t="n">
        <v>2231</v>
      </c>
      <c r="G14" s="22" t="inlineStr">
        <is>
          <t>24.4％</t>
        </is>
      </c>
      <c r="H14" s="22" t="n">
        <v>2190</v>
      </c>
      <c r="I14" s="22" t="inlineStr">
        <is>
          <t>24.0％</t>
        </is>
      </c>
      <c r="J14" s="22" t="n">
        <v>2303</v>
      </c>
      <c r="K14" s="22" t="inlineStr">
        <is>
          <t>25.2％</t>
        </is>
      </c>
      <c r="L14" s="22" t="inlineStr">
        <is>
          <t>-41人</t>
        </is>
      </c>
      <c r="M14" s="22" t="inlineStr">
        <is>
          <t>+72人</t>
        </is>
      </c>
    </row>
    <row r="16" ht="18" customHeight="1">
      <c r="A16" s="6" t="inlineStr">
        <is>
          <t>【シナリオの内容】</t>
        </is>
      </c>
    </row>
    <row r="17" ht="30" customHeight="1">
      <c r="A17" s="3" t="inlineStr">
        <is>
          <t>シナリオ</t>
        </is>
      </c>
      <c r="B17" s="3" t="inlineStr">
        <is>
          <t>内容</t>
        </is>
      </c>
      <c r="C17" s="3" t="inlineStr"/>
      <c r="D17" s="3" t="inlineStr"/>
      <c r="E17" s="3" t="inlineStr"/>
      <c r="F17" s="3" t="inlineStr"/>
      <c r="G17" s="3" t="inlineStr"/>
      <c r="H17" s="3" t="inlineStr">
        <is>
          <t>令和11年度</t>
        </is>
      </c>
      <c r="I17" s="3" t="inlineStr">
        <is>
          <t>令和22年度</t>
        </is>
      </c>
      <c r="J17" s="3" t="inlineStr"/>
      <c r="K17" s="3" t="inlineStr"/>
      <c r="L17" s="3" t="inlineStr"/>
      <c r="M17" s="3" t="inlineStr">
        <is>
          <t>採用の考え方</t>
        </is>
      </c>
    </row>
    <row r="18" ht="64" customHeight="1">
      <c r="A18" s="7" t="inlineStr">
        <is>
          <t>① 現状固定</t>
        </is>
      </c>
      <c r="B18" s="5" t="inlineStr">
        <is>
          <t>令和8年3月末の階級別認定率をそのまま将来にわたり固定する。自然体推計に相当する。</t>
        </is>
      </c>
      <c r="C18" s="24" t="n"/>
      <c r="D18" s="24" t="n"/>
      <c r="E18" s="24" t="n"/>
      <c r="F18" s="24" t="n"/>
      <c r="G18" s="8" t="n"/>
      <c r="H18" s="9" t="n">
        <v>2108</v>
      </c>
      <c r="I18" s="9" t="n">
        <v>2328</v>
      </c>
      <c r="J18" s="5" t="inlineStr"/>
      <c r="K18" s="24" t="n"/>
      <c r="L18" s="8" t="n"/>
      <c r="M18" s="5" t="inlineStr">
        <is>
          <t>自然体推計に相当する。改善も悪化も見込まない中立の置き方であり、根拠を要しない点で説明しやすい。</t>
        </is>
      </c>
    </row>
    <row r="19" ht="64" customHeight="1">
      <c r="A19" s="23" t="inlineStr">
        <is>
          <t>② トレンド継続</t>
        </is>
      </c>
      <c r="B19" s="5" t="inlineStr">
        <is>
          <t>令和元年から令和8年の階級別認定率の年平均変化を令和11年度まで延長し、以後は固定する。65〜74歳は年＋0.006ポイント、75〜84歳は年▲0.162ポイント、85歳以上は年▲0.200ポイントである。</t>
        </is>
      </c>
      <c r="C19" s="24" t="n"/>
      <c r="D19" s="24" t="n"/>
      <c r="E19" s="24" t="n"/>
      <c r="F19" s="24" t="n"/>
      <c r="G19" s="8" t="n"/>
      <c r="H19" s="9" t="n">
        <v>2067</v>
      </c>
      <c r="I19" s="9" t="n">
        <v>2288</v>
      </c>
      <c r="J19" s="5" t="inlineStr"/>
      <c r="K19" s="24" t="n"/>
      <c r="L19" s="8" t="n"/>
      <c r="M19" s="5" t="inlineStr">
        <is>
          <t>直近7年間の実績を延長するもの。近年の低下が続くと見る場合に採る。受託者の推奨。</t>
        </is>
      </c>
    </row>
    <row r="20" ht="64" customHeight="1">
      <c r="A20" s="7" t="inlineStr">
        <is>
          <t>③ 令和元年水準へ回帰</t>
        </is>
      </c>
      <c r="B20" s="5" t="inlineStr">
        <is>
          <t>令和11年度にかけて令和元年の水準（65〜74歳3.99％・75〜84歳18.65％・85歳以上63.00％）へ戻り、以後固定する。近年の低下が反転した場合の上位ケースである。</t>
        </is>
      </c>
      <c r="C20" s="24" t="n"/>
      <c r="D20" s="24" t="n"/>
      <c r="E20" s="24" t="n"/>
      <c r="F20" s="24" t="n"/>
      <c r="G20" s="8" t="n"/>
      <c r="H20" s="9" t="n">
        <v>2178</v>
      </c>
      <c r="I20" s="9" t="n">
        <v>2398</v>
      </c>
      <c r="J20" s="5" t="inlineStr"/>
      <c r="K20" s="24" t="n"/>
      <c r="L20" s="8" t="n"/>
      <c r="M20" s="5" t="inlineStr">
        <is>
          <t>上位ケース。財政の安全側を確認するために用いる。保険料の試算では本シナリオも併せて確認する。</t>
        </is>
      </c>
    </row>
    <row r="22" ht="18" customHeight="1">
      <c r="A22" s="6" t="inlineStr">
        <is>
          <t>【第10期の3年間の合計（給付費の推計に用いる）】</t>
        </is>
      </c>
    </row>
    <row r="23" ht="30" customHeight="1">
      <c r="A23" s="3" t="inlineStr">
        <is>
          <t>シナリオ</t>
        </is>
      </c>
      <c r="B23" s="3" t="inlineStr">
        <is>
          <t>令和9年度</t>
        </is>
      </c>
      <c r="C23" s="3" t="inlineStr">
        <is>
          <t>令和10年度</t>
        </is>
      </c>
      <c r="D23" s="3" t="inlineStr">
        <is>
          <t>令和11年度</t>
        </is>
      </c>
      <c r="E23" s="3" t="inlineStr">
        <is>
          <t>3年間の合計</t>
        </is>
      </c>
      <c r="F23" s="3" t="inlineStr"/>
      <c r="G23" s="3" t="inlineStr"/>
      <c r="H23" s="3" t="inlineStr"/>
      <c r="I23" s="3" t="inlineStr"/>
      <c r="J23" s="3" t="inlineStr"/>
      <c r="K23" s="3" t="inlineStr"/>
      <c r="L23" s="3" t="inlineStr"/>
      <c r="M23" s="3" t="inlineStr">
        <is>
          <t>①との差</t>
        </is>
      </c>
    </row>
    <row r="24" ht="20" customHeight="1">
      <c r="A24" s="25" t="inlineStr">
        <is>
          <t>① 現状固定</t>
        </is>
      </c>
      <c r="B24" s="9" t="n">
        <v>2045</v>
      </c>
      <c r="C24" s="9" t="n">
        <v>2076</v>
      </c>
      <c r="D24" s="9" t="n">
        <v>2108</v>
      </c>
      <c r="E24" s="9" t="n">
        <v>6229</v>
      </c>
      <c r="F24" s="5" t="inlineStr"/>
      <c r="G24" s="24" t="n"/>
      <c r="H24" s="24" t="n"/>
      <c r="I24" s="24" t="n"/>
      <c r="J24" s="24" t="n"/>
      <c r="K24" s="24" t="n"/>
      <c r="L24" s="8" t="n"/>
      <c r="M24" s="9" t="inlineStr">
        <is>
          <t>+0人（+0.0％）</t>
        </is>
      </c>
    </row>
    <row r="25" ht="20" customHeight="1">
      <c r="A25" s="23" t="inlineStr">
        <is>
          <t>② トレンド継続</t>
        </is>
      </c>
      <c r="B25" s="9" t="n">
        <v>2025</v>
      </c>
      <c r="C25" s="9" t="n">
        <v>2046</v>
      </c>
      <c r="D25" s="9" t="n">
        <v>2067</v>
      </c>
      <c r="E25" s="9" t="n">
        <v>6138</v>
      </c>
      <c r="F25" s="5" t="inlineStr"/>
      <c r="G25" s="24" t="n"/>
      <c r="H25" s="24" t="n"/>
      <c r="I25" s="24" t="n"/>
      <c r="J25" s="24" t="n"/>
      <c r="K25" s="24" t="n"/>
      <c r="L25" s="8" t="n"/>
      <c r="M25" s="9" t="inlineStr">
        <is>
          <t>-91人（-1.5％）</t>
        </is>
      </c>
    </row>
    <row r="26" ht="20" customHeight="1">
      <c r="A26" s="25" t="inlineStr">
        <is>
          <t>③ 令和元年水準へ回帰</t>
        </is>
      </c>
      <c r="B26" s="9" t="n">
        <v>2079</v>
      </c>
      <c r="C26" s="9" t="n">
        <v>2128</v>
      </c>
      <c r="D26" s="9" t="n">
        <v>2178</v>
      </c>
      <c r="E26" s="9" t="n">
        <v>6385</v>
      </c>
      <c r="F26" s="5" t="inlineStr"/>
      <c r="G26" s="24" t="n"/>
      <c r="H26" s="24" t="n"/>
      <c r="I26" s="24" t="n"/>
      <c r="J26" s="24" t="n"/>
      <c r="K26" s="24" t="n"/>
      <c r="L26" s="8" t="n"/>
      <c r="M26" s="9" t="inlineStr">
        <is>
          <t>+156人（+2.5％）</t>
        </is>
      </c>
    </row>
    <row r="28" ht="104" customHeight="1">
      <c r="A28" s="14" t="inlineStr">
        <is>
          <t>注1）第10期の3年間の認定者数の合計は、①現状固定6229人、②トレンド継続6138人、③令和元年水準6385人である。最大と最小の差は247人（4.0％）であり、給付費に換算すると3年間で概ね1億円台の差となる見込みである（受給者単価による。第3段階で算定する）。注2）いずれのシナリオでも認定者数は増える。第10期期間中に65歳以上人口はほぼ変わらないが、85歳以上が4.1％増えるためである。認定率が令和8年の水準で固定されても認定者数は3.0％増える。注3）合計認定率（認定者数÷65歳以上人口）は令和7年度21.8％から令和11年度に①22.5％・②22.1％・③23.3％となる。年齢構成の変化により、認定率が改善しても合計率は上昇する。</t>
        </is>
      </c>
    </row>
  </sheetData>
  <mergeCells count="13">
    <mergeCell ref="B19:G19"/>
    <mergeCell ref="B20:G20"/>
    <mergeCell ref="F26:L26"/>
    <mergeCell ref="J18:L18"/>
    <mergeCell ref="J19:L19"/>
    <mergeCell ref="A22:M22"/>
    <mergeCell ref="J20:L20"/>
    <mergeCell ref="F24:L24"/>
    <mergeCell ref="B18:G18"/>
    <mergeCell ref="A2:M2"/>
    <mergeCell ref="A16:M16"/>
    <mergeCell ref="F25:L25"/>
    <mergeCell ref="A28:M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5" customWidth="1" min="1" max="1"/>
    <col width="16" customWidth="1" min="2" max="2"/>
    <col width="40" customWidth="1" min="3" max="3"/>
    <col width="40" customWidth="1" min="4" max="4"/>
    <col width="40" customWidth="1" min="5" max="5"/>
    <col width="12" customWidth="1" min="6" max="6"/>
  </cols>
  <sheetData>
    <row r="1" ht="22" customHeight="1">
      <c r="A1" s="1" t="inlineStr">
        <is>
          <t>シナリオの比較と採用の推奨</t>
        </is>
      </c>
    </row>
    <row r="2" ht="48" customHeight="1">
      <c r="A2" s="2" t="inlineStr">
        <is>
          <t>3つのシナリオの根拠、想定される反論、及び受託者の推奨を示す。採用するシナリオの決定は方針No.2として発注者にお願いする事項である。</t>
        </is>
      </c>
    </row>
    <row r="4" ht="32" customHeight="1">
      <c r="A4" s="3" t="inlineStr">
        <is>
          <t>No.</t>
        </is>
      </c>
      <c r="B4" s="3" t="inlineStr">
        <is>
          <t>シナリオ</t>
        </is>
      </c>
      <c r="C4" s="3" t="inlineStr">
        <is>
          <t>根拠</t>
        </is>
      </c>
      <c r="D4" s="3" t="inlineStr">
        <is>
          <t>想定される反論</t>
        </is>
      </c>
      <c r="E4" s="3" t="inlineStr">
        <is>
          <t>この選択が意味すること</t>
        </is>
      </c>
      <c r="F4" s="3" t="inlineStr">
        <is>
          <t>令和11年度</t>
        </is>
      </c>
    </row>
    <row r="5" ht="120" customHeight="1">
      <c r="A5" s="4" t="n">
        <v>1</v>
      </c>
      <c r="B5" s="25" t="inlineStr">
        <is>
          <t>① 現状固定</t>
        </is>
      </c>
      <c r="C5" s="5" t="inlineStr">
        <is>
          <t>認定率の将来は予測できないため、直近の実績をそのまま置く。見える化システムの自然体推計と同じ考え方であり、他保険者との比較が容易である。</t>
        </is>
      </c>
      <c r="D5" s="5" t="inlineStr">
        <is>
          <t>令和元年から令和8年にかけて75〜84歳・85歳以上の認定率は一貫して低下している。この傾向を無視することは、介護予防・重度化防止の取組の効果を見込まないことになる。</t>
        </is>
      </c>
      <c r="E5" s="5" t="inlineStr">
        <is>
          <t>認定者数は3年間で3.0％増える。増加はすべて年齢構成の変化によるものであり、認定率の改善も悪化も見込まない。</t>
        </is>
      </c>
      <c r="F5" s="9" t="n">
        <v>2108</v>
      </c>
    </row>
    <row r="6" ht="120" customHeight="1">
      <c r="A6" s="4" t="n">
        <v>2</v>
      </c>
      <c r="B6" s="23" t="inlineStr">
        <is>
          <t>② トレンド継続</t>
        </is>
      </c>
      <c r="C6" s="5" t="inlineStr">
        <is>
          <t>令和元年から令和8年の7年間で、75〜84歳は年▲0.162ポイント、85歳以上は年▲0.200ポイント低下している。年齢調整済み認定率も20.33％から19.69％へ低下しており（2つの独立した方法で確認）、低下は実在する。</t>
        </is>
      </c>
      <c r="D6" s="5" t="inlineStr">
        <is>
          <t>7年間の直線的な延長には根拠が乏しい。低下が続く保証はなく、下げ止まる可能性がある。また65〜74歳の認定率はわずかに上昇している。</t>
        </is>
      </c>
      <c r="E6" s="5" t="inlineStr">
        <is>
          <t>認定者数は3年間で1.0％増にとどまる。第10期の介護予防の取組が現状の水準で続くことを前提とする。低下が止まった場合は①に近づくため、年次評価で認定率の実績を確認して見直す。</t>
        </is>
      </c>
      <c r="F6" s="9" t="n">
        <v>2067</v>
      </c>
    </row>
    <row r="7" ht="120" customHeight="1">
      <c r="A7" s="4" t="n">
        <v>3</v>
      </c>
      <c r="B7" s="25" t="inlineStr">
        <is>
          <t>③ 令和元年水準へ回帰</t>
        </is>
      </c>
      <c r="C7" s="5" t="inlineStr">
        <is>
          <t>認定率の低下は調査環境や認定審査の運用の変化を含む可能性があり、実態の改善とは限らない。令和元年の水準に戻ることを上位ケースとして置く。</t>
        </is>
      </c>
      <c r="D7" s="5" t="inlineStr">
        <is>
          <t>令和元年から一貫して低下しており、反転する具体的な要因は示されていない。上位ケースとしては保守的すぎる可能性がある。</t>
        </is>
      </c>
      <c r="E7" s="5" t="inlineStr">
        <is>
          <t>認定者数は3年間で6.5％増える。保険料の安全側の確認に用いる。本シナリオを採用すると保険料が過大となり、第9期と同様に剰余が生じるおそれがある。</t>
        </is>
      </c>
      <c r="F7" s="9" t="n">
        <v>2178</v>
      </c>
    </row>
    <row r="9" ht="18" customHeight="1">
      <c r="A9" s="6" t="inlineStr">
        <is>
          <t>【受託者の推奨】</t>
        </is>
      </c>
    </row>
    <row r="10" ht="120" customHeight="1">
      <c r="A10" s="7" t="inlineStr">
        <is>
          <t>②トレンド継続を推奨します。理由は3つあります。第1に、認定率の低下は2つの独立した方法（3階級による直接法と見える化の調整済み認定率）で確認されており、実在する現象です。第2に、第9期計画の需要推計は実績を令和6年度2.9％、令和7年度3.5％上回りました。推計が過大になると保険料が過大となり、剰余が生じます。第9期は2年間で月額385円の剰余が生じています。第3に、①現状固定は低下の実績を無視するため、同じ方向の過大推計を繰り返すおそれがあります。ただし、②は7年間の直線的な延長であり根拠が強いとは言えません。そこで、③令和元年水準を上位ケースとして併せて算定し、保険料の試算では②を基本、③を安全側の確認として用いることを提案します。また、第10期の年次評価において階級別認定率の実績を確認し、トレンドから外れた場合は中間年で見直すことを計画に位置づけます。</t>
        </is>
      </c>
      <c r="B10" s="24" t="n"/>
      <c r="C10" s="24" t="n"/>
      <c r="D10" s="24" t="n"/>
      <c r="E10" s="24" t="n"/>
      <c r="F10" s="8" t="n"/>
    </row>
    <row r="12" ht="18" customHeight="1">
      <c r="A12" s="6" t="inlineStr">
        <is>
          <t>【いずれのシナリオでも変わらないこと】</t>
        </is>
      </c>
    </row>
    <row r="13" ht="30" customHeight="1">
      <c r="A13" s="3" t="inlineStr">
        <is>
          <t>No.</t>
        </is>
      </c>
      <c r="B13" s="3" t="inlineStr">
        <is>
          <t>内容</t>
        </is>
      </c>
      <c r="C13" s="3" t="inlineStr"/>
      <c r="D13" s="3" t="inlineStr"/>
      <c r="E13" s="3" t="inlineStr"/>
      <c r="F13" s="3" t="inlineStr"/>
    </row>
    <row r="14" ht="52" customHeight="1">
      <c r="A14" s="4" t="n">
        <v>1</v>
      </c>
      <c r="B14" s="5" t="inlineStr">
        <is>
          <t>第10期期間中に認定者数は増える。認定率が改善しても（②）年齢構成の変化により1.0％増える。減少するシナリオは、認定率が現在より大きく低下する場合に限られる。</t>
        </is>
      </c>
      <c r="C14" s="24" t="n"/>
      <c r="D14" s="24" t="n"/>
      <c r="E14" s="24" t="n"/>
      <c r="F14" s="8" t="n"/>
    </row>
    <row r="15" ht="52" customHeight="1">
      <c r="A15" s="4" t="n">
        <v>2</v>
      </c>
      <c r="B15" s="5" t="inlineStr">
        <is>
          <t>増加の源は85歳以上である。第10期期間中に85歳以上は82人（4.1％）増え、この階級の認定率は61.6％である。82人×61.6％＝約50人が、年齢構成の変化による認定者の増加分に相当する。</t>
        </is>
      </c>
      <c r="C15" s="24" t="n"/>
      <c r="D15" s="24" t="n"/>
      <c r="E15" s="24" t="n"/>
      <c r="F15" s="8" t="n"/>
    </row>
    <row r="16" ht="52" customHeight="1">
      <c r="A16" s="4" t="n">
        <v>3</v>
      </c>
      <c r="B16" s="5" t="inlineStr">
        <is>
          <t>合計認定率（認定者数÷65歳以上人口）は上昇する。①22.5％・②22.1％・③23.3％のいずれも令和7年度21.8％を上回る。合計認定率の上昇をもって「悪化した」と評価することはできない。</t>
        </is>
      </c>
      <c r="C16" s="24" t="n"/>
      <c r="D16" s="24" t="n"/>
      <c r="E16" s="24" t="n"/>
      <c r="F16" s="8" t="n"/>
    </row>
    <row r="17" ht="52" customHeight="1">
      <c r="A17" s="4" t="n">
        <v>4</v>
      </c>
      <c r="B17" s="5" t="inlineStr">
        <is>
          <t>令和22年度（2040年）に向けては、いずれのシナリオでも認定者数が2,200人台となる。令和7年度比で①13.7％・②11.7％・③12.5％の増加である。</t>
        </is>
      </c>
      <c r="C17" s="24" t="n"/>
      <c r="D17" s="24" t="n"/>
      <c r="E17" s="24" t="n"/>
      <c r="F17" s="8" t="n"/>
    </row>
    <row r="19" ht="104" customHeight="1">
      <c r="A19" s="14" t="inlineStr">
        <is>
          <t>注1）シナリオの決定（方針No.2）は、第6章第1節の認定者数の見込み、第2節の見込量、第3節の給付費、第6節の保険料に順に波及する。令和8年12月の工程（計画素案の確定版）に間に合わせるには令和8年10月中の決定が必要である。注2）本表は認定率のみをシナリオとしている。施策効果の見込み方（方針No.3）は別の論点である。施策効果を見込む場合は、②のトレンドに上乗せするのではなく、どの施策がどの階級の認定率を何ポイント下げるかを示す必要がある。注3）第10期の重点は、認定率の分析の結果、重度化防止を継続しつつフレイル予防と早期支援の強化へ広がる。中重度（要介護3〜5）の調整済み認定率は5.4％から4.7％へ低下が続く一方、軽度（要支援1〜要介護2）は令和5年11.7％を底に令和7年12.0％へ上昇に転じている。</t>
        </is>
      </c>
    </row>
  </sheetData>
  <mergeCells count="9">
    <mergeCell ref="A2:F2"/>
    <mergeCell ref="A10:F10"/>
    <mergeCell ref="B16:F16"/>
    <mergeCell ref="A19:F19"/>
    <mergeCell ref="B15:F15"/>
    <mergeCell ref="A9:F9"/>
    <mergeCell ref="A12:F12"/>
    <mergeCell ref="B14:F14"/>
    <mergeCell ref="B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4" customWidth="1" min="3" max="3"/>
    <col width="12" customWidth="1" min="4" max="4"/>
    <col width="14" customWidth="1" min="5" max="5"/>
    <col width="44" customWidth="1" min="6" max="6"/>
  </cols>
  <sheetData>
    <row r="1" ht="22" customHeight="1">
      <c r="A1" s="1" t="inlineStr">
        <is>
          <t>第9期計画の推計と実績の対比</t>
        </is>
      </c>
    </row>
    <row r="2" ht="48" customHeight="1">
      <c r="A2" s="2" t="inlineStr">
        <is>
          <t>第9期計画の需要推計が実績とどの程度乖離したかを確認し、本推計の位置づけを示す。</t>
        </is>
      </c>
    </row>
    <row r="4" ht="30" customHeight="1">
      <c r="A4" s="3" t="inlineStr">
        <is>
          <t>年度</t>
        </is>
      </c>
      <c r="B4" s="3" t="inlineStr">
        <is>
          <t>第9期計画の推計</t>
        </is>
      </c>
      <c r="C4" s="3" t="inlineStr">
        <is>
          <t>実績</t>
        </is>
      </c>
      <c r="D4" s="3" t="inlineStr">
        <is>
          <t>乖離</t>
        </is>
      </c>
      <c r="E4" s="3" t="inlineStr">
        <is>
          <t>乖離率</t>
        </is>
      </c>
      <c r="F4" s="3" t="inlineStr">
        <is>
          <t>所見</t>
        </is>
      </c>
    </row>
    <row r="5" ht="20" customHeight="1">
      <c r="A5" s="5" t="inlineStr">
        <is>
          <t>令和6年度</t>
        </is>
      </c>
      <c r="B5" s="9" t="n">
        <v>1989</v>
      </c>
      <c r="C5" s="9" t="n">
        <v>1931</v>
      </c>
      <c r="D5" s="11" t="inlineStr">
        <is>
          <t>-58人</t>
        </is>
      </c>
      <c r="E5" s="9" t="inlineStr">
        <is>
          <t>-2.9％</t>
        </is>
      </c>
      <c r="F5" s="5" t="inlineStr">
        <is>
          <t>第9期計画の推計が実績を上回った。</t>
        </is>
      </c>
    </row>
    <row r="6" ht="20" customHeight="1">
      <c r="A6" s="5" t="inlineStr">
        <is>
          <t>令和7年度</t>
        </is>
      </c>
      <c r="B6" s="9" t="n">
        <v>2033</v>
      </c>
      <c r="C6" s="9" t="n">
        <v>1962</v>
      </c>
      <c r="D6" s="11" t="inlineStr">
        <is>
          <t>-71人</t>
        </is>
      </c>
      <c r="E6" s="9" t="inlineStr">
        <is>
          <t>-3.5％</t>
        </is>
      </c>
      <c r="F6" s="5" t="inlineStr">
        <is>
          <t>乖離が拡大した。</t>
        </is>
      </c>
    </row>
    <row r="7" ht="20" customHeight="1">
      <c r="A7" s="5" t="inlineStr">
        <is>
          <t>令和8年度</t>
        </is>
      </c>
      <c r="B7" s="9" t="inlineStr">
        <is>
          <t>―</t>
        </is>
      </c>
      <c r="C7" s="9" t="n">
        <v>1984</v>
      </c>
      <c r="D7" s="10" t="inlineStr">
        <is>
          <t>―</t>
        </is>
      </c>
      <c r="E7" s="9" t="inlineStr">
        <is>
          <t>―</t>
        </is>
      </c>
      <c r="F7" s="5" t="inlineStr">
        <is>
          <t>第9期計画の推計期間外（令和8年3月末の実績）。</t>
        </is>
      </c>
    </row>
    <row r="9" ht="18" customHeight="1">
      <c r="A9" s="6" t="inlineStr">
        <is>
          <t>【本推計との違い】</t>
        </is>
      </c>
    </row>
    <row r="10" ht="30" customHeight="1">
      <c r="A10" s="3" t="inlineStr">
        <is>
          <t>項目</t>
        </is>
      </c>
      <c r="B10" s="3" t="inlineStr">
        <is>
          <t>第9期計画の推計</t>
        </is>
      </c>
      <c r="C10" s="3" t="inlineStr">
        <is>
          <t>本推計</t>
        </is>
      </c>
      <c r="D10" s="3" t="inlineStr"/>
      <c r="E10" s="3" t="inlineStr"/>
      <c r="F10" s="3" t="inlineStr">
        <is>
          <t>違いの意味</t>
        </is>
      </c>
    </row>
    <row r="11" ht="52" customHeight="1">
      <c r="A11" s="5" t="inlineStr">
        <is>
          <t>人口の基礎</t>
        </is>
      </c>
      <c r="B11" s="5" t="inlineStr">
        <is>
          <t>住民基本台帳によるコーホート変化率法</t>
        </is>
      </c>
      <c r="C11" s="5" t="inlineStr">
        <is>
          <t>社人研推計（見える化の初期値）</t>
        </is>
      </c>
      <c r="D11" s="24" t="n"/>
      <c r="E11" s="8" t="n"/>
      <c r="F11" s="5" t="inlineStr">
        <is>
          <t>第9期は東川町の推計が社人研を令和22年で18.5％上回っていた。本推計は社人研をそのまま用いる。</t>
        </is>
      </c>
    </row>
    <row r="12" ht="52" customHeight="1">
      <c r="A12" s="5" t="inlineStr">
        <is>
          <t>認定率の設定</t>
        </is>
      </c>
      <c r="B12" s="5" t="inlineStr">
        <is>
          <t>第9期計画に階級別の記載がなく、設定方法を確認できない</t>
        </is>
      </c>
      <c r="C12" s="5" t="inlineStr">
        <is>
          <t>階級別（65〜74歳・75〜84歳・85歳以上）に設定し、3つのシナリオを示す</t>
        </is>
      </c>
      <c r="D12" s="24" t="n"/>
      <c r="E12" s="8" t="n"/>
      <c r="F12" s="5" t="inlineStr">
        <is>
          <t>階級別に設定することで、年齢構成の変化による増加と認定率の変化による増加を分けられる。</t>
        </is>
      </c>
    </row>
    <row r="13" ht="52" customHeight="1">
      <c r="A13" s="5" t="inlineStr">
        <is>
          <t>基準年度の扱い</t>
        </is>
      </c>
      <c r="B13" s="5" t="inlineStr">
        <is>
          <t>確認できない</t>
        </is>
      </c>
      <c r="C13" s="5" t="inlineStr">
        <is>
          <t>令和7年度の推計値が実績1,984人と一致するよう、実績人口に伸び率を乗じる方法とした</t>
        </is>
      </c>
      <c r="D13" s="24" t="n"/>
      <c r="E13" s="8" t="n"/>
      <c r="F13" s="5" t="inlineStr">
        <is>
          <t>基準年度が実績と一致するため、推計の初年度から系統的にずれることがない。</t>
        </is>
      </c>
    </row>
    <row r="14" ht="52" customHeight="1">
      <c r="A14" s="5" t="inlineStr">
        <is>
          <t>シナリオ</t>
        </is>
      </c>
      <c r="B14" s="5" t="inlineStr">
        <is>
          <t>単一の推計</t>
        </is>
      </c>
      <c r="C14" s="5" t="inlineStr">
        <is>
          <t>3シナリオ（現状固定・トレンド継続・令和元年水準）</t>
        </is>
      </c>
      <c r="D14" s="24" t="n"/>
      <c r="E14" s="8" t="n"/>
      <c r="F14" s="5" t="inlineStr">
        <is>
          <t>推計の幅を示すことで、前提の置き方が結果に与える影響が分かる。</t>
        </is>
      </c>
    </row>
    <row r="16" ht="104" customHeight="1">
      <c r="A16" s="14" t="inlineStr">
        <is>
          <t>注1）第9期計画の推計が実績を上回った理由は特定していない。人口の推計が過大であったのか、認定率の設定が高かったのか、両方であるのかは、第9期計画に階級別の設定が記載されていないため確認できない。注2）本推計は基準年度が実績と一致するため、第9期と同種の乖離（推計が実績を一貫して上回る）は生じにくい。ただし、認定率のシナリオが実態と異なれば乖離は生じる。注3）第10期では、年次評価において階級別認定率の実績を確認し、推計との乖離を記録する。乖離が2年続けて2％を超えた場合は中間年で推計を見直すことを計画の進行管理に位置づける。</t>
        </is>
      </c>
    </row>
  </sheetData>
  <mergeCells count="7">
    <mergeCell ref="A2:F2"/>
    <mergeCell ref="A16:F16"/>
    <mergeCell ref="C11:E11"/>
    <mergeCell ref="C14:E14"/>
    <mergeCell ref="C13:E13"/>
    <mergeCell ref="A9:F9"/>
    <mergeCell ref="C12:E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5" customWidth="1" min="1" max="1"/>
    <col width="24" customWidth="1" min="2" max="2"/>
    <col width="44" customWidth="1" min="3" max="3"/>
    <col width="40" customWidth="1" min="4" max="4"/>
    <col width="34" customWidth="1" min="5" max="5"/>
  </cols>
  <sheetData>
    <row r="1" ht="22" customHeight="1">
      <c r="A1" s="1" t="inlineStr">
        <is>
          <t>推計の限界と感度</t>
        </is>
      </c>
    </row>
    <row r="2" ht="48" customHeight="1">
      <c r="A2" s="2" t="inlineStr">
        <is>
          <t>本推計の前提と、前提を変えた場合の影響を示す。限界を明示することで、どこまでを確定として扱えるかを明らかにする。</t>
        </is>
      </c>
    </row>
    <row r="4" ht="30" customHeight="1">
      <c r="A4" s="3" t="inlineStr">
        <is>
          <t>No.</t>
        </is>
      </c>
      <c r="B4" s="3" t="inlineStr">
        <is>
          <t>限界</t>
        </is>
      </c>
      <c r="C4" s="3" t="inlineStr">
        <is>
          <t>内容</t>
        </is>
      </c>
      <c r="D4" s="3" t="inlineStr">
        <is>
          <t>影響の大きさ</t>
        </is>
      </c>
      <c r="E4" s="3" t="inlineStr">
        <is>
          <t>解消の方法</t>
        </is>
      </c>
    </row>
    <row r="5" ht="76" customHeight="1">
      <c r="A5" s="4" t="n">
        <v>1</v>
      </c>
      <c r="B5" s="5" t="inlineStr">
        <is>
          <t>階級を3区分としている</t>
        </is>
      </c>
      <c r="C5" s="5" t="inlineStr">
        <is>
          <t>65〜74歳・75〜84歳・85歳以上の3区分である。見える化A4は5歳階級（6区分）で得られるが、認定率はB4系列の制約により3区分でしか算定できない。</t>
        </is>
      </c>
      <c r="D5" s="5" t="inlineStr">
        <is>
          <t>区分が粗いと、区分内の年齢構成の変化が捉えられない。85歳以上の内部で90歳以上が増える影響は反映されていない（令和7年1,003人→令和22年1,471人）。</t>
        </is>
      </c>
      <c r="E5" s="5" t="inlineStr">
        <is>
          <t>5歳階級別の認定者数（見える化B4の詳細又は保険者の統計）があれば6区分に細分できる。</t>
        </is>
      </c>
    </row>
    <row r="6" ht="76" customHeight="1">
      <c r="A6" s="4" t="n">
        <v>2</v>
      </c>
      <c r="B6" s="5" t="inlineStr">
        <is>
          <t>要介護度別の内訳を推計していない</t>
        </is>
      </c>
      <c r="C6" s="5" t="inlineStr">
        <is>
          <t>認定者数の合計のみを推計している。要支援1〜要介護5の別は推計していない。</t>
        </is>
      </c>
      <c r="D6" s="5" t="inlineStr">
        <is>
          <t>サービス見込量は要介護度別の利用率と単価により算定するため、内訳がないと第2段階に進めない。</t>
        </is>
      </c>
      <c r="E6" s="5" t="inlineStr">
        <is>
          <t>要介護度別認定者数の実績（令和元年〜令和8年）が必要である。新規の資料依頼とする。</t>
        </is>
      </c>
    </row>
    <row r="7" ht="76" customHeight="1">
      <c r="A7" s="4" t="n">
        <v>3</v>
      </c>
      <c r="B7" s="5" t="inlineStr">
        <is>
          <t>町別に分解していない</t>
        </is>
      </c>
      <c r="C7" s="5" t="inlineStr">
        <is>
          <t>広域連合の合計のみである。見える化A系列に町別の値が含まれないため分解できない。</t>
        </is>
      </c>
      <c r="D7" s="5" t="inlineStr">
        <is>
          <t>第2章第1節の町別の記述、圏域別の分析、施設整備の町別の判断ができない。</t>
        </is>
      </c>
      <c r="E7" s="5" t="inlineStr">
        <is>
          <t>町別住民基本台帳人口（資料No.9）により、広域計の推計を町別に按分する。</t>
        </is>
      </c>
    </row>
    <row r="8" ht="76" customHeight="1">
      <c r="A8" s="4" t="n">
        <v>4</v>
      </c>
      <c r="B8" s="5" t="inlineStr">
        <is>
          <t>人口と認定者数の基準時点が5か月ずれている</t>
        </is>
      </c>
      <c r="C8" s="5" t="inlineStr">
        <is>
          <t>人口は各年10月1日、認定者数は翌年3月末である。</t>
        </is>
      </c>
      <c r="D8" s="5" t="inlineStr">
        <is>
          <t>認定率の水準に影響するが、同じずれが全年度に共通するため変化の方向には影響しない。</t>
        </is>
      </c>
      <c r="E8" s="5" t="inlineStr">
        <is>
          <t>9月末の認定者数を用いれば時点をそろえられる。見える化B系列の月報値による。</t>
        </is>
      </c>
    </row>
    <row r="9" ht="76" customHeight="1">
      <c r="A9" s="4" t="n">
        <v>5</v>
      </c>
      <c r="B9" s="5" t="inlineStr">
        <is>
          <t>A系列とB系列の母集団が異なる</t>
        </is>
      </c>
      <c r="C9" s="5" t="inlineStr">
        <is>
          <t>85歳以上でA系列がB系列を8.9％上回る。本推計はA系列を伸び率のみに用いることで影響を避けている。</t>
        </is>
      </c>
      <c r="D9" s="5" t="inlineStr">
        <is>
          <t>A系列を水準としてそのまま用いた場合、令和11年度の認定者数は2164人となり、本推計（2108人）を2.7％上回る。</t>
        </is>
      </c>
      <c r="E9" s="5" t="inlineStr">
        <is>
          <t>差の理由（住所地特例、施設入所者の計上地等）を特定する。特定できなくても、伸び率のみを用いる方法により影響は避けられる。</t>
        </is>
      </c>
    </row>
    <row r="10" ht="76" customHeight="1">
      <c r="A10" s="4" t="n">
        <v>6</v>
      </c>
      <c r="B10" s="5" t="inlineStr">
        <is>
          <t>認定率のシナリオが未決定である</t>
        </is>
      </c>
      <c r="C10" s="5" t="inlineStr">
        <is>
          <t>方針No.2として発注者の決定を要する。</t>
        </is>
      </c>
      <c r="D10" s="5" t="inlineStr">
        <is>
          <t>令和11年度の認定者数は2,004人から2,112人まで108人（5.4％）の幅がある。</t>
        </is>
      </c>
      <c r="E10" s="5" t="inlineStr">
        <is>
          <t>発注者の決定による。令和8年10月中を希望する。</t>
        </is>
      </c>
    </row>
    <row r="12" ht="18" customHeight="1">
      <c r="A12" s="6" t="inlineStr">
        <is>
          <t>【感度　A系列を水準としてそのまま用いた場合】</t>
        </is>
      </c>
    </row>
    <row r="13" ht="30" customHeight="1">
      <c r="A13" s="3" t="inlineStr">
        <is>
          <t>年度</t>
        </is>
      </c>
      <c r="B13" s="3" t="inlineStr">
        <is>
          <t>本推計（伸び率のみ使用）</t>
        </is>
      </c>
      <c r="C13" s="3" t="inlineStr">
        <is>
          <t>A系列を水準として使用</t>
        </is>
      </c>
      <c r="D13" s="3" t="inlineStr">
        <is>
          <t>差</t>
        </is>
      </c>
      <c r="E13" s="3" t="inlineStr">
        <is>
          <t>差の理由</t>
        </is>
      </c>
    </row>
    <row r="14" ht="20" customHeight="1">
      <c r="A14" s="5" t="inlineStr">
        <is>
          <t>令和7年度</t>
        </is>
      </c>
      <c r="B14" s="9" t="n">
        <v>1984</v>
      </c>
      <c r="C14" s="9" t="n">
        <v>2100</v>
      </c>
      <c r="D14" s="11" t="inlineStr">
        <is>
          <t>+116人（+5.8％）</t>
        </is>
      </c>
      <c r="E14" s="5" t="inlineStr">
        <is>
          <t>85歳以上の母集団が8.9％異なることによる</t>
        </is>
      </c>
    </row>
    <row r="15" ht="20" customHeight="1">
      <c r="A15" s="5" t="inlineStr">
        <is>
          <t>令和11年度</t>
        </is>
      </c>
      <c r="B15" s="9" t="n">
        <v>2108</v>
      </c>
      <c r="C15" s="9" t="n">
        <v>2164</v>
      </c>
      <c r="D15" s="11" t="inlineStr">
        <is>
          <t>+56人（+2.7％）</t>
        </is>
      </c>
      <c r="E15" s="5" t="inlineStr">
        <is>
          <t>85歳以上の母集団が8.9％異なることによる</t>
        </is>
      </c>
    </row>
    <row r="16" ht="20" customHeight="1">
      <c r="A16" s="5" t="inlineStr">
        <is>
          <t>令和22年度</t>
        </is>
      </c>
      <c r="B16" s="9" t="n">
        <v>2328</v>
      </c>
      <c r="C16" s="9" t="n">
        <v>2402</v>
      </c>
      <c r="D16" s="11" t="inlineStr">
        <is>
          <t>+74人（+3.2％）</t>
        </is>
      </c>
      <c r="E16" s="5" t="inlineStr">
        <is>
          <t>85歳以上の母集団が8.9％異なることによる</t>
        </is>
      </c>
    </row>
    <row r="18" ht="104" customHeight="1">
      <c r="A18" s="14" t="inlineStr">
        <is>
          <t>注1）本推計の方法（実績人口に伸び率を乗じる）を採らず、A系列の人口をそのまま用いると、基準年度から5.8％の過大推計となる。この差は将来にわたり続くため、推計全体が系統的にずれる。注2）限界No.2（要介護度別の内訳）が、第2段階（サービス見込量）に進むための最大の制約である。要介護度別認定者数の実績を新規の資料依頼とする。注3）本表の限界はいずれも推計の方法に関するものであり、推計の前提（人口の基礎・認定率のシナリオ）とは別である。前提の選択については03・04シートに示している。</t>
        </is>
      </c>
    </row>
  </sheetData>
  <mergeCells count="3">
    <mergeCell ref="A2:E2"/>
    <mergeCell ref="A12:E12"/>
    <mergeCell ref="A18:E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5" customWidth="1" min="1" max="1"/>
    <col width="11" customWidth="1" min="2" max="2"/>
    <col width="30" customWidth="1" min="3" max="3"/>
    <col width="44" customWidth="1" min="4" max="4"/>
    <col width="34" customWidth="1" min="5" max="5"/>
    <col width="12" customWidth="1" min="6" max="6"/>
    <col width="9" customWidth="1" min="7" max="7"/>
  </cols>
  <sheetData>
    <row r="1" ht="22" customHeight="1">
      <c r="A1" s="1" t="inlineStr">
        <is>
          <t>第2段階以降に必要な決定と資料</t>
        </is>
      </c>
    </row>
    <row r="2" ht="48" customHeight="1">
      <c r="A2" s="2" t="inlineStr">
        <is>
          <t>サービス見込量（第2段階）、給付費・保険料（第3段階）に進むために必要な決定と資料を示す。本表の第1段階（人口と認定者数）は、認定率のシナリオの決定を待って確定する。</t>
        </is>
      </c>
    </row>
    <row r="4" ht="32" customHeight="1">
      <c r="A4" s="3" t="inlineStr">
        <is>
          <t>No.</t>
        </is>
      </c>
      <c r="B4" s="3" t="inlineStr">
        <is>
          <t>段階</t>
        </is>
      </c>
      <c r="C4" s="3" t="inlineStr">
        <is>
          <t>必要なもの</t>
        </is>
      </c>
      <c r="D4" s="3" t="inlineStr">
        <is>
          <t>内容</t>
        </is>
      </c>
      <c r="E4" s="3" t="inlineStr">
        <is>
          <t>これがないとできないこと</t>
        </is>
      </c>
      <c r="F4" s="3" t="inlineStr">
        <is>
          <t>相手</t>
        </is>
      </c>
      <c r="G4" s="3" t="inlineStr">
        <is>
          <t>時期</t>
        </is>
      </c>
    </row>
    <row r="5" ht="64" customHeight="1">
      <c r="A5" s="4" t="n">
        <v>1</v>
      </c>
      <c r="B5" s="28" t="inlineStr">
        <is>
          <t>第1段階</t>
        </is>
      </c>
      <c r="C5" s="5" t="inlineStr">
        <is>
          <t>方針No.2　認定率のシナリオの決定</t>
        </is>
      </c>
      <c r="D5" s="5" t="inlineStr">
        <is>
          <t>①現状固定／②トレンド継続〈受託者の推奨〉／③令和元年水準へ回帰。②を基本とし③を安全側の確認とすることを提案している。</t>
        </is>
      </c>
      <c r="E5" s="5" t="inlineStr">
        <is>
          <t>認定者数が1本に確定しない。第2段階に進めない。</t>
        </is>
      </c>
      <c r="F5" s="5" t="inlineStr">
        <is>
          <t>発注者</t>
        </is>
      </c>
      <c r="G5" s="4" t="inlineStr">
        <is>
          <t>R8.10</t>
        </is>
      </c>
    </row>
    <row r="6" ht="64" customHeight="1">
      <c r="A6" s="4" t="n">
        <v>2</v>
      </c>
      <c r="B6" s="28" t="inlineStr">
        <is>
          <t>第1段階</t>
        </is>
      </c>
      <c r="C6" s="5" t="inlineStr">
        <is>
          <t>要介護度別認定者数の実績（令和元年〜令和8年度）【令和8年8月4日受領済】</t>
        </is>
      </c>
      <c r="D6" s="5" t="inlineStr">
        <is>
          <t>要支援1・2、要介護1〜5の別。各年3月末。見える化B3-a系列により平成19年3月末〜令和8年3月末の20時点を入手した。</t>
        </is>
      </c>
      <c r="E6" s="5" t="inlineStr">
        <is>
          <t>（解消済み）要介護度別の構成比を令和8年3月末の実績で固定して第2段階を試算した。</t>
        </is>
      </c>
      <c r="F6" s="5" t="inlineStr">
        <is>
          <t>発注者</t>
        </is>
      </c>
      <c r="G6" s="4" t="inlineStr">
        <is>
          <t>受領済</t>
        </is>
      </c>
    </row>
    <row r="7" ht="64" customHeight="1">
      <c r="A7" s="4" t="n">
        <v>3</v>
      </c>
      <c r="B7" s="18" t="inlineStr">
        <is>
          <t>第2段階</t>
        </is>
      </c>
      <c r="C7" s="5" t="inlineStr">
        <is>
          <t>サービス種別・要介護度別の利用率と受給者数（令和4〜7年度）【令和8年8月4日受領済】</t>
        </is>
      </c>
      <c r="D7" s="5" t="inlineStr">
        <is>
          <t>認定者のうち各サービスを利用した者の割合と実人数。見える化D45・D46系列により入手した。</t>
        </is>
      </c>
      <c r="E7" s="5" t="inlineStr">
        <is>
          <t>（解消済み）令和7年度の利用率により第2段階を試算した。残るのは居住系・施設の種別別受給者数と総合事業の実績である。</t>
        </is>
      </c>
      <c r="F7" s="5" t="inlineStr">
        <is>
          <t>発注者・国保連</t>
        </is>
      </c>
      <c r="G7" s="4" t="inlineStr">
        <is>
          <t>受領済</t>
        </is>
      </c>
    </row>
    <row r="8" ht="64" customHeight="1">
      <c r="A8" s="4" t="n">
        <v>4</v>
      </c>
      <c r="B8" s="18" t="inlineStr">
        <is>
          <t>第2段階</t>
        </is>
      </c>
      <c r="C8" s="5" t="inlineStr">
        <is>
          <t>資料No.6　定員と稼働の実績</t>
        </is>
      </c>
      <c r="D8" s="5" t="inlineStr">
        <is>
          <t>地域密着型通所介護4事業所の定員・登録者数・延べ利用者数、施設・居住系の定員・入所者数・空床・休止床。</t>
        </is>
      </c>
      <c r="E8" s="5" t="inlineStr">
        <is>
          <t>供給制約を反映した見込量を算定できない。自然体推計のみとなる。</t>
        </is>
      </c>
      <c r="F8" s="5" t="inlineStr">
        <is>
          <t>発注者・3町</t>
        </is>
      </c>
      <c r="G8" s="4" t="inlineStr">
        <is>
          <t>R8.10</t>
        </is>
      </c>
    </row>
    <row r="9" ht="64" customHeight="1">
      <c r="A9" s="4" t="n">
        <v>5</v>
      </c>
      <c r="B9" s="18" t="inlineStr">
        <is>
          <t>第2段階</t>
        </is>
      </c>
      <c r="C9" s="5" t="inlineStr">
        <is>
          <t>資料No.7　未利用認定者の内訳</t>
        </is>
      </c>
      <c r="D9" s="5" t="inlineStr">
        <is>
          <t>居宅サービス計画未作成者の要介護度別内訳。認定者の25.7％（504人）が未利用である。</t>
        </is>
      </c>
      <c r="E9" s="5" t="inlineStr">
        <is>
          <t>利用率の設定根拠が示せない。未利用者が今後利用に転じるかどうかを見込めない。</t>
        </is>
      </c>
      <c r="F9" s="5" t="inlineStr">
        <is>
          <t>発注者</t>
        </is>
      </c>
      <c r="G9" s="4" t="inlineStr">
        <is>
          <t>R8.10</t>
        </is>
      </c>
    </row>
    <row r="10" ht="64" customHeight="1">
      <c r="A10" s="4" t="n">
        <v>6</v>
      </c>
      <c r="B10" s="18" t="inlineStr">
        <is>
          <t>第2段階</t>
        </is>
      </c>
      <c r="C10" s="5" t="inlineStr">
        <is>
          <t>方針No.3　施策効果の見込み方</t>
        </is>
      </c>
      <c r="D10" s="5" t="inlineStr">
        <is>
          <t>①自然体推計のみとする／②施策効果を見込む。②の場合、どの施策がどの階級の認定率を何ポイント下げるかを示す。</t>
        </is>
      </c>
      <c r="E10" s="5" t="inlineStr">
        <is>
          <t>見込量に施策効果を反映できない。</t>
        </is>
      </c>
      <c r="F10" s="5" t="inlineStr">
        <is>
          <t>発注者</t>
        </is>
      </c>
      <c r="G10" s="4" t="inlineStr">
        <is>
          <t>R8.10</t>
        </is>
      </c>
    </row>
    <row r="11" ht="64" customHeight="1">
      <c r="A11" s="4" t="n">
        <v>7</v>
      </c>
      <c r="B11" s="18" t="inlineStr">
        <is>
          <t>第2段階</t>
        </is>
      </c>
      <c r="C11" s="5" t="inlineStr">
        <is>
          <t>方針No.6　24時間対応サービスの確保方策</t>
        </is>
      </c>
      <c r="D11" s="5" t="inlineStr">
        <is>
          <t>整備する場合、実績値がないため自然体推計ではゼロとなる。整備計画から見込まれる利用者数と1人1月あたり給付費を直接入力する。</t>
        </is>
      </c>
      <c r="E11" s="5" t="inlineStr">
        <is>
          <t>定期巡回・随時対応型訪問介護看護及び看護小規模多機能型居宅介護の見込量を計上できない。</t>
        </is>
      </c>
      <c r="F11" s="5" t="inlineStr">
        <is>
          <t>発注者・北海道</t>
        </is>
      </c>
      <c r="G11" s="4" t="inlineStr">
        <is>
          <t>R8.10</t>
        </is>
      </c>
    </row>
    <row r="12" ht="64" customHeight="1">
      <c r="A12" s="4" t="n">
        <v>8</v>
      </c>
      <c r="B12" s="21" t="inlineStr">
        <is>
          <t>第3段階</t>
        </is>
      </c>
      <c r="C12" s="5" t="inlineStr">
        <is>
          <t>サービス種別・要介護度別の給付費単価（令和4〜7年度）</t>
        </is>
      </c>
      <c r="D12" s="5" t="inlineStr">
        <is>
          <t>1人1月あたり給付費。見える化D系列又は国保連の給付実績情報による。</t>
        </is>
      </c>
      <c r="E12" s="5" t="inlineStr">
        <is>
          <t>給付費を算定できない。</t>
        </is>
      </c>
      <c r="F12" s="5" t="inlineStr">
        <is>
          <t>発注者・国保連</t>
        </is>
      </c>
      <c r="G12" s="4" t="inlineStr">
        <is>
          <t>R8.10</t>
        </is>
      </c>
    </row>
    <row r="13" ht="64" customHeight="1">
      <c r="A13" s="4" t="n">
        <v>9</v>
      </c>
      <c r="B13" s="21" t="inlineStr">
        <is>
          <t>第3段階</t>
        </is>
      </c>
      <c r="C13" s="5" t="inlineStr">
        <is>
          <t>資料No.3　決算書及び基金の積立・取崩実績</t>
        </is>
      </c>
      <c r="D13" s="5" t="inlineStr">
        <is>
          <t>第7期〜第9期各年度。令和8年度末の残高見込を含む。</t>
        </is>
      </c>
      <c r="E13" s="5" t="inlineStr">
        <is>
          <t>基金の取崩額を決められない。保険料が確定しない。</t>
        </is>
      </c>
      <c r="F13" s="5" t="inlineStr">
        <is>
          <t>発注者</t>
        </is>
      </c>
      <c r="G13" s="4" t="inlineStr">
        <is>
          <t>R8.10</t>
        </is>
      </c>
    </row>
    <row r="14" ht="64" customHeight="1">
      <c r="A14" s="4" t="n">
        <v>10</v>
      </c>
      <c r="B14" s="21" t="inlineStr">
        <is>
          <t>第3段階</t>
        </is>
      </c>
      <c r="C14" s="5" t="inlineStr">
        <is>
          <t>方針No.4・No.5　基金の取崩方針と所得段階の設計</t>
        </is>
      </c>
      <c r="D14" s="5" t="inlineStr">
        <is>
          <t>第9期の剰余（2年で月額385円）の扱い。現行16段階を維持するか。</t>
        </is>
      </c>
      <c r="E14" s="5" t="inlineStr">
        <is>
          <t>保険料基準額と段階別保険料額が確定しない。</t>
        </is>
      </c>
      <c r="F14" s="5" t="inlineStr">
        <is>
          <t>発注者</t>
        </is>
      </c>
      <c r="G14" s="4" t="inlineStr">
        <is>
          <t>R8.11</t>
        </is>
      </c>
    </row>
    <row r="15" ht="64" customHeight="1">
      <c r="A15" s="4" t="n">
        <v>11</v>
      </c>
      <c r="B15" s="21" t="inlineStr">
        <is>
          <t>第3段階</t>
        </is>
      </c>
      <c r="C15" s="5" t="inlineStr">
        <is>
          <t>告示待ち　政令改正・報酬改定率・調整交付金</t>
        </is>
      </c>
      <c r="D15" s="5" t="inlineStr">
        <is>
          <t>第10期の標準段階・乗率・負担割合、令和9年度の介護報酬改定率、調整交付金の交付割合。</t>
        </is>
      </c>
      <c r="E15" s="5" t="inlineStr">
        <is>
          <t>保険料の最終確定ができない。令和8年末から令和9年初の見込み。</t>
        </is>
      </c>
      <c r="F15" s="5" t="inlineStr">
        <is>
          <t>国</t>
        </is>
      </c>
      <c r="G15" s="4" t="inlineStr">
        <is>
          <t>R8年末〜R9年初</t>
        </is>
      </c>
    </row>
    <row r="17" ht="18" customHeight="1">
      <c r="A17" s="6" t="inlineStr">
        <is>
          <t>【工程】</t>
        </is>
      </c>
    </row>
    <row r="18" ht="30" customHeight="1">
      <c r="A18" s="3" t="inlineStr">
        <is>
          <t>時期</t>
        </is>
      </c>
      <c r="B18" s="3" t="inlineStr">
        <is>
          <t>作業</t>
        </is>
      </c>
      <c r="C18" s="3" t="inlineStr">
        <is>
          <t>前提</t>
        </is>
      </c>
      <c r="D18" s="3" t="inlineStr"/>
      <c r="E18" s="3" t="inlineStr"/>
      <c r="F18" s="3" t="inlineStr">
        <is>
          <t>成果物</t>
        </is>
      </c>
      <c r="G18" s="3" t="inlineStr"/>
    </row>
    <row r="19" ht="24" customHeight="1">
      <c r="A19" s="4" t="inlineStr">
        <is>
          <t>R8.8</t>
        </is>
      </c>
      <c r="B19" s="5" t="inlineStr">
        <is>
          <t>本表（第1段階）の提出と認定率のシナリオの協議</t>
        </is>
      </c>
      <c r="C19" s="5" t="inlineStr">
        <is>
          <t>―（実施済）</t>
        </is>
      </c>
      <c r="D19" s="24" t="n"/>
      <c r="E19" s="8" t="n"/>
      <c r="F19" s="5" t="inlineStr">
        <is>
          <t>将来推計（人口と認定者数）</t>
        </is>
      </c>
      <c r="G19" s="8" t="n"/>
    </row>
    <row r="20" ht="24" customHeight="1">
      <c r="A20" s="4" t="inlineStr">
        <is>
          <t>R8.8</t>
        </is>
      </c>
      <c r="B20" s="5" t="inlineStr">
        <is>
          <t>要介護度別認定者数・利用率の受領と第2段階の試算</t>
        </is>
      </c>
      <c r="C20" s="5" t="inlineStr">
        <is>
          <t>上表No.2・No.3（実施済）</t>
        </is>
      </c>
      <c r="D20" s="24" t="n"/>
      <c r="E20" s="8" t="n"/>
      <c r="F20" s="5" t="inlineStr">
        <is>
          <t>将来推計 第2段階（サービス見込量）</t>
        </is>
      </c>
      <c r="G20" s="8" t="n"/>
    </row>
    <row r="21" ht="24" customHeight="1">
      <c r="A21" s="4" t="inlineStr">
        <is>
          <t>R8.9</t>
        </is>
      </c>
      <c r="B21" s="5" t="inlineStr">
        <is>
          <t>認定率のシナリオの決定による第1段階の確定</t>
        </is>
      </c>
      <c r="C21" s="5" t="inlineStr">
        <is>
          <t>上表No.1</t>
        </is>
      </c>
      <c r="D21" s="24" t="n"/>
      <c r="E21" s="8" t="n"/>
      <c r="F21" s="5" t="inlineStr">
        <is>
          <t>認定者数の見込み（要介護度別）</t>
        </is>
      </c>
      <c r="G21" s="8" t="n"/>
    </row>
    <row r="22" ht="24" customHeight="1">
      <c r="A22" s="4" t="inlineStr">
        <is>
          <t>R8.10</t>
        </is>
      </c>
      <c r="B22" s="5" t="inlineStr">
        <is>
          <t>第2段階の確定（施策効果・供給制約の反映）</t>
        </is>
      </c>
      <c r="C22" s="5" t="inlineStr">
        <is>
          <t>上表No.1・No.4〜No.7</t>
        </is>
      </c>
      <c r="D22" s="24" t="n"/>
      <c r="E22" s="8" t="n"/>
      <c r="F22" s="5" t="inlineStr">
        <is>
          <t>サービス見込量推計表</t>
        </is>
      </c>
      <c r="G22" s="8" t="n"/>
    </row>
    <row r="23" ht="24" customHeight="1">
      <c r="A23" s="4" t="inlineStr">
        <is>
          <t>R8.11</t>
        </is>
      </c>
      <c r="B23" s="5" t="inlineStr">
        <is>
          <t>第3段階（給付費・保険料）の算定</t>
        </is>
      </c>
      <c r="C23" s="5" t="inlineStr">
        <is>
          <t>上表No.8〜No.10</t>
        </is>
      </c>
      <c r="D23" s="24" t="n"/>
      <c r="E23" s="8" t="n"/>
      <c r="F23" s="5" t="inlineStr">
        <is>
          <t>給付費見込表・保険料算定表</t>
        </is>
      </c>
      <c r="G23" s="8" t="n"/>
    </row>
    <row r="24" ht="24" customHeight="1">
      <c r="A24" s="4" t="inlineStr">
        <is>
          <t>R8.12</t>
        </is>
      </c>
      <c r="B24" s="5" t="inlineStr">
        <is>
          <t>計画素案の第6章への反映</t>
        </is>
      </c>
      <c r="C24" s="5" t="inlineStr">
        <is>
          <t>上記すべて</t>
        </is>
      </c>
      <c r="D24" s="24" t="n"/>
      <c r="E24" s="8" t="n"/>
      <c r="F24" s="5" t="inlineStr">
        <is>
          <t>計画素案（確定版）</t>
        </is>
      </c>
      <c r="G24" s="8" t="n"/>
    </row>
    <row r="25" ht="24" customHeight="1">
      <c r="A25" s="4" t="inlineStr">
        <is>
          <t>R9.1〜2</t>
        </is>
      </c>
      <c r="B25" s="5" t="inlineStr">
        <is>
          <t>告示を受けた最終確定</t>
        </is>
      </c>
      <c r="C25" s="5" t="inlineStr">
        <is>
          <t>上表No.11</t>
        </is>
      </c>
      <c r="D25" s="24" t="n"/>
      <c r="E25" s="8" t="n"/>
      <c r="F25" s="5" t="inlineStr">
        <is>
          <t>計画最終案</t>
        </is>
      </c>
      <c r="G25" s="8" t="n"/>
    </row>
    <row r="27" ht="104" customHeight="1">
      <c r="A27" s="14" t="inlineStr">
        <is>
          <t>注1）No.2（要介護度別認定者数）とNo.3（利用率・受給者数）は令和8年8月4日に見える化B3系列・D系列として受領し、解消した。これにより第2段階（サービス見込量）を先行して試算し、別冊「将来推計 第2段階　サービス見込量」（8シート）として取りまとめた。第1段階（本表）は、残る認定率のシナリオの決定（No.1）により確定する。これが令和8年9月中に整えば、第2段階の確定を令和8年10月に行い、令和8年12月の工程に間に合う。注3）第3段階（保険料）は国の告示を待つ部分があるため、令和9年1月から2月に最終確定となる。この期間は作業が集中するため、それまでに確定できる部分（見込量・給付費の構造）を令和8年12月までに終えておく。</t>
        </is>
      </c>
    </row>
  </sheetData>
  <mergeCells count="17">
    <mergeCell ref="F21:G21"/>
    <mergeCell ref="F24:G24"/>
    <mergeCell ref="A17:G17"/>
    <mergeCell ref="C19:E19"/>
    <mergeCell ref="A27:G27"/>
    <mergeCell ref="C23:E23"/>
    <mergeCell ref="F19:G19"/>
    <mergeCell ref="F20:G20"/>
    <mergeCell ref="C22:E22"/>
    <mergeCell ref="F23:G23"/>
    <mergeCell ref="F25:G25"/>
    <mergeCell ref="A2:G2"/>
    <mergeCell ref="F22:G22"/>
    <mergeCell ref="C21:E21"/>
    <mergeCell ref="C20:E20"/>
    <mergeCell ref="C25:E25"/>
    <mergeCell ref="C24:E2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6"/>
  <sheetViews>
    <sheetView showGridLines="0" workbookViewId="0">
      <pane ySplit="4" topLeftCell="A5"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3" customWidth="1" min="8" max="8"/>
    <col width="30" customWidth="1" min="9" max="9"/>
  </cols>
  <sheetData>
    <row r="1" ht="22" customHeight="1">
      <c r="A1" s="1" t="inlineStr">
        <is>
          <t>計算過程確認シート（入力値を変えると出力が更新される）</t>
        </is>
      </c>
    </row>
    <row r="2" ht="48" customHeight="1">
      <c r="A2" s="2" t="inlineStr">
        <is>
          <t>他のシートは算定結果を書き出した転記表であるが、本シートはセルに計算式を入れている。黄色の入力欄（設定・階級別の基準値・社人研推計の階級別人口）を変更すると、階級別人口・認定率・認定者数・計画本文への転記値がすべて更新される。第三者による検算及び、修正値を受領したときの更新に用いる。</t>
        </is>
      </c>
    </row>
    <row r="4" ht="18" customHeight="1">
      <c r="A4" s="6" t="inlineStr">
        <is>
          <t>【1　入力欄①　推計の設定】</t>
        </is>
      </c>
    </row>
    <row r="5" ht="30" customHeight="1">
      <c r="A5" s="3" t="inlineStr">
        <is>
          <t>項目</t>
        </is>
      </c>
      <c r="B5" s="3" t="inlineStr">
        <is>
          <t>値</t>
        </is>
      </c>
      <c r="C5" s="3" t="inlineStr"/>
      <c r="D5" s="3" t="inlineStr"/>
      <c r="E5" s="3" t="inlineStr"/>
      <c r="F5" s="3" t="inlineStr"/>
      <c r="G5" s="3" t="inlineStr"/>
      <c r="H5" s="3" t="inlineStr"/>
      <c r="I5" s="3" t="inlineStr">
        <is>
          <t>説明</t>
        </is>
      </c>
    </row>
    <row r="6" ht="20" customHeight="1">
      <c r="A6" s="5" t="inlineStr">
        <is>
          <t>基準年度（西暦）</t>
        </is>
      </c>
      <c r="B6" s="18" t="n">
        <v>2025</v>
      </c>
      <c r="C6" s="24" t="n"/>
      <c r="D6" s="24" t="n"/>
      <c r="E6" s="24" t="n"/>
      <c r="F6" s="24" t="n"/>
      <c r="G6" s="24" t="n"/>
      <c r="H6" s="8" t="n"/>
      <c r="I6" s="5" t="inlineStr">
        <is>
          <t>階級別人口・認定率の基準となる年。令和7年度＝2025</t>
        </is>
      </c>
    </row>
    <row r="7" ht="20" customHeight="1">
      <c r="A7" s="5" t="inlineStr">
        <is>
          <t>シナリオ</t>
        </is>
      </c>
      <c r="B7" s="18" t="n">
        <v>2</v>
      </c>
      <c r="C7" s="24" t="n"/>
      <c r="D7" s="24" t="n"/>
      <c r="E7" s="24" t="n"/>
      <c r="F7" s="24" t="n"/>
      <c r="G7" s="24" t="n"/>
      <c r="H7" s="8" t="n"/>
      <c r="I7" s="5" t="inlineStr">
        <is>
          <t>1＝現状固定／2＝トレンド継続／3＝令和元年水準へ回帰。計画本文は2による</t>
        </is>
      </c>
    </row>
    <row r="8" ht="20" customHeight="1">
      <c r="A8" s="5" t="inlineStr">
        <is>
          <t>トレンドの延長年数</t>
        </is>
      </c>
      <c r="B8" s="18" t="n">
        <v>4</v>
      </c>
      <c r="C8" s="24" t="n"/>
      <c r="D8" s="24" t="n"/>
      <c r="E8" s="24" t="n"/>
      <c r="F8" s="24" t="n"/>
      <c r="G8" s="24" t="n"/>
      <c r="H8" s="8" t="n"/>
      <c r="I8" s="5" t="inlineStr">
        <is>
          <t>基準年度から何年まで認定率の変化を延長するか。以後は固定</t>
        </is>
      </c>
    </row>
    <row r="9" ht="20" customHeight="1">
      <c r="A9" s="5" t="inlineStr">
        <is>
          <t>人口補正の適用</t>
        </is>
      </c>
      <c r="B9" s="18" t="n">
        <v>0</v>
      </c>
      <c r="C9" s="24" t="n"/>
      <c r="D9" s="24" t="n"/>
      <c r="E9" s="24" t="n"/>
      <c r="F9" s="24" t="n"/>
      <c r="G9" s="24" t="n"/>
      <c r="H9" s="8" t="n"/>
      <c r="I9" s="5" t="inlineStr">
        <is>
          <t>0＝適用しない／1＝適用する。1にすると【2】の補正係数が階級別人口に乗じられる</t>
        </is>
      </c>
    </row>
    <row r="11" ht="18" customHeight="1">
      <c r="A11" s="6" t="inlineStr">
        <is>
          <t>【2　入力欄②　階級別の基準値】</t>
        </is>
      </c>
    </row>
    <row r="12" ht="30" customHeight="1">
      <c r="A12" s="3" t="inlineStr">
        <is>
          <t>階級</t>
        </is>
      </c>
      <c r="B12" s="3" t="inlineStr">
        <is>
          <t>基準人口
（令和8年3月末）</t>
        </is>
      </c>
      <c r="C12" s="3" t="inlineStr">
        <is>
          <t>基準認定率
（％）</t>
        </is>
      </c>
      <c r="D12" s="3" t="inlineStr">
        <is>
          <t>令和元年
認定率（％）</t>
        </is>
      </c>
      <c r="E12" s="3" t="inlineStr">
        <is>
          <t>補正係数</t>
        </is>
      </c>
      <c r="F12" s="3" t="inlineStr">
        <is>
          <t>年平均変化
（pt・計算値）</t>
        </is>
      </c>
      <c r="G12" s="3" t="inlineStr"/>
      <c r="H12" s="3" t="inlineStr"/>
      <c r="I12" s="3" t="inlineStr">
        <is>
          <t>説明</t>
        </is>
      </c>
    </row>
    <row r="13" ht="20" customHeight="1">
      <c r="A13" s="5" t="inlineStr">
        <is>
          <t>65〜74歳</t>
        </is>
      </c>
      <c r="B13" s="19" t="n">
        <v>3600</v>
      </c>
      <c r="C13" s="19" t="n">
        <v>4.03</v>
      </c>
      <c r="D13" s="19" t="n">
        <v>3.99</v>
      </c>
      <c r="E13" s="19" t="n">
        <v>1</v>
      </c>
      <c r="F13" s="29">
        <f>(C13-D13)/7</f>
        <v/>
      </c>
      <c r="G13" s="5" t="inlineStr"/>
      <c r="H13" s="8" t="n"/>
      <c r="I13" s="5" t="inlineStr">
        <is>
          <t>補正係数は人口推計の補正（案B）による。65〜74歳1.0377／75歳以上0.9927</t>
        </is>
      </c>
    </row>
    <row r="14" ht="20" customHeight="1">
      <c r="A14" s="5" t="inlineStr">
        <is>
          <t>75〜84歳</t>
        </is>
      </c>
      <c r="B14" s="19" t="n">
        <v>3499</v>
      </c>
      <c r="C14" s="19" t="n">
        <v>17.52</v>
      </c>
      <c r="D14" s="19" t="n">
        <v>18.65</v>
      </c>
      <c r="E14" s="19" t="n">
        <v>1</v>
      </c>
      <c r="F14" s="29">
        <f>(C14-D14)/7</f>
        <v/>
      </c>
      <c r="G14" s="5" t="inlineStr"/>
      <c r="H14" s="8" t="n"/>
      <c r="I14" s="5" t="inlineStr">
        <is>
          <t>補正係数は人口推計の補正（案B）による。65〜74歳1.0377／75歳以上0.9927</t>
        </is>
      </c>
    </row>
    <row r="15" ht="20" customHeight="1">
      <c r="A15" s="5" t="inlineStr">
        <is>
          <t>85歳以上</t>
        </is>
      </c>
      <c r="B15" s="19" t="n">
        <v>1990</v>
      </c>
      <c r="C15" s="19" t="n">
        <v>61.6</v>
      </c>
      <c r="D15" s="19" t="n">
        <v>63</v>
      </c>
      <c r="E15" s="19" t="n">
        <v>1</v>
      </c>
      <c r="F15" s="29">
        <f>(C15-D15)/7</f>
        <v/>
      </c>
      <c r="G15" s="5" t="inlineStr"/>
      <c r="H15" s="8" t="n"/>
      <c r="I15" s="5" t="inlineStr">
        <is>
          <t>補正係数は人口推計の補正（案B）による。65〜74歳1.0377／75歳以上0.9927</t>
        </is>
      </c>
    </row>
    <row r="17" ht="18" customHeight="1">
      <c r="A17" s="6" t="inlineStr">
        <is>
          <t>【3　入力欄③　社人研推計の階級別人口（見える化A4）】</t>
        </is>
      </c>
    </row>
    <row r="18" ht="30" customHeight="1">
      <c r="A18" s="3" t="inlineStr">
        <is>
          <t>年度</t>
        </is>
      </c>
      <c r="B18" s="3" t="inlineStr">
        <is>
          <t>西暦</t>
        </is>
      </c>
      <c r="C18" s="3" t="inlineStr">
        <is>
          <t>65〜74歳</t>
        </is>
      </c>
      <c r="D18" s="3" t="inlineStr">
        <is>
          <t>75〜84歳</t>
        </is>
      </c>
      <c r="E18" s="3" t="inlineStr">
        <is>
          <t>85歳以上</t>
        </is>
      </c>
      <c r="F18" s="3" t="inlineStr">
        <is>
          <t>計</t>
        </is>
      </c>
      <c r="G18" s="3" t="inlineStr"/>
      <c r="H18" s="3" t="inlineStr"/>
      <c r="I18" s="3" t="inlineStr">
        <is>
          <t>説明</t>
        </is>
      </c>
    </row>
    <row r="19" ht="18" customHeight="1">
      <c r="A19" s="5" t="inlineStr">
        <is>
          <t>令和7年度</t>
        </is>
      </c>
      <c r="B19" s="4" t="n">
        <v>2025</v>
      </c>
      <c r="C19" s="19" t="n">
        <v>3622</v>
      </c>
      <c r="D19" s="19" t="n">
        <v>3534</v>
      </c>
      <c r="E19" s="19" t="n">
        <v>2167</v>
      </c>
      <c r="F19" s="9">
        <f>SUM(C19:E19)</f>
        <v/>
      </c>
      <c r="G19" s="5" t="inlineStr"/>
      <c r="H19" s="8" t="n"/>
      <c r="I19" s="5" t="inlineStr">
        <is>
          <t>基準</t>
        </is>
      </c>
    </row>
    <row r="20" ht="18" customHeight="1">
      <c r="A20" s="5" t="inlineStr">
        <is>
          <t>令和8年度</t>
        </is>
      </c>
      <c r="B20" s="4" t="n">
        <v>2026</v>
      </c>
      <c r="C20" s="19" t="n">
        <v>3572</v>
      </c>
      <c r="D20" s="19" t="n">
        <v>3559</v>
      </c>
      <c r="E20" s="19" t="n">
        <v>2190</v>
      </c>
      <c r="F20" s="9">
        <f>SUM(C20:E20)</f>
        <v/>
      </c>
      <c r="G20" s="5" t="inlineStr"/>
      <c r="H20" s="8" t="n"/>
      <c r="I20" s="5" t="inlineStr">
        <is>
          <t>参考</t>
        </is>
      </c>
    </row>
    <row r="21" ht="18" customHeight="1">
      <c r="A21" s="5" t="inlineStr">
        <is>
          <t>令和9年度</t>
        </is>
      </c>
      <c r="B21" s="4" t="n">
        <v>2027</v>
      </c>
      <c r="C21" s="19" t="n">
        <v>3522</v>
      </c>
      <c r="D21" s="19" t="n">
        <v>3583</v>
      </c>
      <c r="E21" s="19" t="n">
        <v>2212</v>
      </c>
      <c r="F21" s="9">
        <f>SUM(C21:E21)</f>
        <v/>
      </c>
      <c r="G21" s="5" t="inlineStr"/>
      <c r="H21" s="8" t="n"/>
      <c r="I21" s="5" t="inlineStr">
        <is>
          <t>第10期</t>
        </is>
      </c>
    </row>
    <row r="22" ht="18" customHeight="1">
      <c r="A22" s="5" t="inlineStr">
        <is>
          <t>令和10年度</t>
        </is>
      </c>
      <c r="B22" s="4" t="n">
        <v>2028</v>
      </c>
      <c r="C22" s="19" t="n">
        <v>3473</v>
      </c>
      <c r="D22" s="19" t="n">
        <v>3609</v>
      </c>
      <c r="E22" s="19" t="n">
        <v>2234</v>
      </c>
      <c r="F22" s="9">
        <f>SUM(C22:E22)</f>
        <v/>
      </c>
      <c r="G22" s="5" t="inlineStr"/>
      <c r="H22" s="8" t="n"/>
      <c r="I22" s="5" t="inlineStr">
        <is>
          <t>第10期</t>
        </is>
      </c>
    </row>
    <row r="23" ht="18" customHeight="1">
      <c r="A23" s="5" t="inlineStr">
        <is>
          <t>令和11年度</t>
        </is>
      </c>
      <c r="B23" s="4" t="n">
        <v>2029</v>
      </c>
      <c r="C23" s="19" t="n">
        <v>3423</v>
      </c>
      <c r="D23" s="19" t="n">
        <v>3633</v>
      </c>
      <c r="E23" s="19" t="n">
        <v>2256</v>
      </c>
      <c r="F23" s="9">
        <f>SUM(C23:E23)</f>
        <v/>
      </c>
      <c r="G23" s="5" t="inlineStr"/>
      <c r="H23" s="8" t="n"/>
      <c r="I23" s="5" t="inlineStr">
        <is>
          <t>第10期</t>
        </is>
      </c>
    </row>
    <row r="24" ht="18" customHeight="1">
      <c r="A24" s="5" t="inlineStr">
        <is>
          <t>令和12年度</t>
        </is>
      </c>
      <c r="B24" s="4" t="n">
        <v>2030</v>
      </c>
      <c r="C24" s="19" t="n">
        <v>3373</v>
      </c>
      <c r="D24" s="19" t="n">
        <v>3658</v>
      </c>
      <c r="E24" s="19" t="n">
        <v>2279</v>
      </c>
      <c r="F24" s="9">
        <f>SUM(C24:E24)</f>
        <v/>
      </c>
      <c r="G24" s="5" t="inlineStr"/>
      <c r="H24" s="8" t="n"/>
      <c r="I24" s="5" t="inlineStr">
        <is>
          <t>参考</t>
        </is>
      </c>
    </row>
    <row r="25" ht="18" customHeight="1">
      <c r="A25" s="5" t="inlineStr">
        <is>
          <t>令和17年度</t>
        </is>
      </c>
      <c r="B25" s="4" t="n">
        <v>2035</v>
      </c>
      <c r="C25" s="19" t="n">
        <v>3585</v>
      </c>
      <c r="D25" s="19" t="n">
        <v>3120</v>
      </c>
      <c r="E25" s="19" t="n">
        <v>2673</v>
      </c>
      <c r="F25" s="9">
        <f>SUM(C25:E25)</f>
        <v/>
      </c>
      <c r="G25" s="5" t="inlineStr"/>
      <c r="H25" s="8" t="n"/>
      <c r="I25" s="5" t="inlineStr">
        <is>
          <t>中長期</t>
        </is>
      </c>
    </row>
    <row r="26" ht="18" customHeight="1">
      <c r="A26" s="5" t="inlineStr">
        <is>
          <t>令和22年度</t>
        </is>
      </c>
      <c r="B26" s="4" t="n">
        <v>2040</v>
      </c>
      <c r="C26" s="19" t="n">
        <v>3885</v>
      </c>
      <c r="D26" s="19" t="n">
        <v>2938</v>
      </c>
      <c r="E26" s="19" t="n">
        <v>2810</v>
      </c>
      <c r="F26" s="9">
        <f>SUM(C26:E26)</f>
        <v/>
      </c>
      <c r="G26" s="5" t="inlineStr"/>
      <c r="H26" s="8" t="n"/>
      <c r="I26" s="5" t="inlineStr">
        <is>
          <t>中長期</t>
        </is>
      </c>
    </row>
    <row r="27" ht="18" customHeight="1">
      <c r="A27" s="5" t="inlineStr">
        <is>
          <t>令和27年度</t>
        </is>
      </c>
      <c r="B27" s="4" t="n">
        <v>2045</v>
      </c>
      <c r="C27" s="19" t="n">
        <v>3776</v>
      </c>
      <c r="D27" s="19" t="n">
        <v>3150</v>
      </c>
      <c r="E27" s="19" t="n">
        <v>2596</v>
      </c>
      <c r="F27" s="9">
        <f>SUM(C27:E27)</f>
        <v/>
      </c>
      <c r="G27" s="5" t="inlineStr"/>
      <c r="H27" s="8" t="n"/>
      <c r="I27" s="5" t="inlineStr">
        <is>
          <t>中長期</t>
        </is>
      </c>
    </row>
    <row r="28" ht="18" customHeight="1">
      <c r="A28" s="5" t="inlineStr">
        <is>
          <t>令和32年度</t>
        </is>
      </c>
      <c r="B28" s="4" t="n">
        <v>2050</v>
      </c>
      <c r="C28" s="19" t="n">
        <v>3261</v>
      </c>
      <c r="D28" s="19" t="n">
        <v>3444</v>
      </c>
      <c r="E28" s="19" t="n">
        <v>2534</v>
      </c>
      <c r="F28" s="9">
        <f>SUM(C28:E28)</f>
        <v/>
      </c>
      <c r="G28" s="5" t="inlineStr"/>
      <c r="H28" s="8" t="n"/>
      <c r="I28" s="5" t="inlineStr">
        <is>
          <t>中長期</t>
        </is>
      </c>
    </row>
    <row r="30" ht="18" customHeight="1">
      <c r="A30" s="6" t="inlineStr">
        <is>
          <t>【4　計算欄　推計上の階級別人口　＝　基準人口×社人研の伸び率×補正係数】</t>
        </is>
      </c>
    </row>
    <row r="31" ht="30" customHeight="1">
      <c r="A31" s="3" t="inlineStr">
        <is>
          <t>年度</t>
        </is>
      </c>
      <c r="B31" s="3" t="inlineStr">
        <is>
          <t>西暦</t>
        </is>
      </c>
      <c r="C31" s="3" t="inlineStr">
        <is>
          <t>65〜74歳</t>
        </is>
      </c>
      <c r="D31" s="3" t="inlineStr">
        <is>
          <t>75〜84歳</t>
        </is>
      </c>
      <c r="E31" s="3" t="inlineStr">
        <is>
          <t>85歳以上</t>
        </is>
      </c>
      <c r="F31" s="3" t="inlineStr">
        <is>
          <t>65歳以上</t>
        </is>
      </c>
      <c r="G31" s="3" t="inlineStr"/>
      <c r="H31" s="3" t="inlineStr"/>
      <c r="I31" s="3" t="inlineStr">
        <is>
          <t>計算式</t>
        </is>
      </c>
    </row>
    <row r="32" ht="18" customHeight="1">
      <c r="A32" s="5" t="inlineStr">
        <is>
          <t>令和7年度</t>
        </is>
      </c>
      <c r="B32" s="4" t="n">
        <v>2025</v>
      </c>
      <c r="C32" s="30">
        <f>$B$13*C19/C$19*IF($B$9=1,$E$13,1)</f>
        <v/>
      </c>
      <c r="D32" s="30">
        <f>$B$14*D19/D$19*IF($B$9=1,$E$14,1)</f>
        <v/>
      </c>
      <c r="E32" s="30">
        <f>$B$15*E19/E$19*IF($B$9=1,$E$15,1)</f>
        <v/>
      </c>
      <c r="F32" s="30">
        <f>SUM(C32:E32)</f>
        <v/>
      </c>
      <c r="G32" s="5" t="inlineStr"/>
      <c r="H32" s="8" t="n"/>
      <c r="I32" s="5" t="inlineStr">
        <is>
          <t>基準人口×当年の社人研人口÷基準年の社人研人口×補正係数（適用する場合）</t>
        </is>
      </c>
    </row>
    <row r="33" ht="18" customHeight="1">
      <c r="A33" s="5" t="inlineStr">
        <is>
          <t>令和8年度</t>
        </is>
      </c>
      <c r="B33" s="4" t="n">
        <v>2026</v>
      </c>
      <c r="C33" s="30">
        <f>$B$13*C20/C$19*IF($B$9=1,$E$13,1)</f>
        <v/>
      </c>
      <c r="D33" s="30">
        <f>$B$14*D20/D$19*IF($B$9=1,$E$14,1)</f>
        <v/>
      </c>
      <c r="E33" s="30">
        <f>$B$15*E20/E$19*IF($B$9=1,$E$15,1)</f>
        <v/>
      </c>
      <c r="F33" s="30">
        <f>SUM(C33:E33)</f>
        <v/>
      </c>
      <c r="G33" s="5" t="inlineStr"/>
      <c r="H33" s="8" t="n"/>
      <c r="I33" s="5" t="inlineStr"/>
    </row>
    <row r="34" ht="18" customHeight="1">
      <c r="A34" s="5" t="inlineStr">
        <is>
          <t>令和9年度</t>
        </is>
      </c>
      <c r="B34" s="4" t="n">
        <v>2027</v>
      </c>
      <c r="C34" s="30">
        <f>$B$13*C21/C$19*IF($B$9=1,$E$13,1)</f>
        <v/>
      </c>
      <c r="D34" s="30">
        <f>$B$14*D21/D$19*IF($B$9=1,$E$14,1)</f>
        <v/>
      </c>
      <c r="E34" s="30">
        <f>$B$15*E21/E$19*IF($B$9=1,$E$15,1)</f>
        <v/>
      </c>
      <c r="F34" s="30">
        <f>SUM(C34:E34)</f>
        <v/>
      </c>
      <c r="G34" s="5" t="inlineStr"/>
      <c r="H34" s="8" t="n"/>
      <c r="I34" s="5" t="inlineStr"/>
    </row>
    <row r="35" ht="18" customHeight="1">
      <c r="A35" s="5" t="inlineStr">
        <is>
          <t>令和10年度</t>
        </is>
      </c>
      <c r="B35" s="4" t="n">
        <v>2028</v>
      </c>
      <c r="C35" s="30">
        <f>$B$13*C22/C$19*IF($B$9=1,$E$13,1)</f>
        <v/>
      </c>
      <c r="D35" s="30">
        <f>$B$14*D22/D$19*IF($B$9=1,$E$14,1)</f>
        <v/>
      </c>
      <c r="E35" s="30">
        <f>$B$15*E22/E$19*IF($B$9=1,$E$15,1)</f>
        <v/>
      </c>
      <c r="F35" s="30">
        <f>SUM(C35:E35)</f>
        <v/>
      </c>
      <c r="G35" s="5" t="inlineStr"/>
      <c r="H35" s="8" t="n"/>
      <c r="I35" s="5" t="inlineStr"/>
    </row>
    <row r="36" ht="18" customHeight="1">
      <c r="A36" s="5" t="inlineStr">
        <is>
          <t>令和11年度</t>
        </is>
      </c>
      <c r="B36" s="4" t="n">
        <v>2029</v>
      </c>
      <c r="C36" s="30">
        <f>$B$13*C23/C$19*IF($B$9=1,$E$13,1)</f>
        <v/>
      </c>
      <c r="D36" s="30">
        <f>$B$14*D23/D$19*IF($B$9=1,$E$14,1)</f>
        <v/>
      </c>
      <c r="E36" s="30">
        <f>$B$15*E23/E$19*IF($B$9=1,$E$15,1)</f>
        <v/>
      </c>
      <c r="F36" s="30">
        <f>SUM(C36:E36)</f>
        <v/>
      </c>
      <c r="G36" s="5" t="inlineStr"/>
      <c r="H36" s="8" t="n"/>
      <c r="I36" s="5" t="inlineStr"/>
    </row>
    <row r="37" ht="18" customHeight="1">
      <c r="A37" s="5" t="inlineStr">
        <is>
          <t>令和12年度</t>
        </is>
      </c>
      <c r="B37" s="4" t="n">
        <v>2030</v>
      </c>
      <c r="C37" s="30">
        <f>$B$13*C24/C$19*IF($B$9=1,$E$13,1)</f>
        <v/>
      </c>
      <c r="D37" s="30">
        <f>$B$14*D24/D$19*IF($B$9=1,$E$14,1)</f>
        <v/>
      </c>
      <c r="E37" s="30">
        <f>$B$15*E24/E$19*IF($B$9=1,$E$15,1)</f>
        <v/>
      </c>
      <c r="F37" s="30">
        <f>SUM(C37:E37)</f>
        <v/>
      </c>
      <c r="G37" s="5" t="inlineStr"/>
      <c r="H37" s="8" t="n"/>
      <c r="I37" s="5" t="inlineStr"/>
    </row>
    <row r="38" ht="18" customHeight="1">
      <c r="A38" s="5" t="inlineStr">
        <is>
          <t>令和17年度</t>
        </is>
      </c>
      <c r="B38" s="4" t="n">
        <v>2035</v>
      </c>
      <c r="C38" s="30">
        <f>$B$13*C25/C$19*IF($B$9=1,$E$13,1)</f>
        <v/>
      </c>
      <c r="D38" s="30">
        <f>$B$14*D25/D$19*IF($B$9=1,$E$14,1)</f>
        <v/>
      </c>
      <c r="E38" s="30">
        <f>$B$15*E25/E$19*IF($B$9=1,$E$15,1)</f>
        <v/>
      </c>
      <c r="F38" s="30">
        <f>SUM(C38:E38)</f>
        <v/>
      </c>
      <c r="G38" s="5" t="inlineStr"/>
      <c r="H38" s="8" t="n"/>
      <c r="I38" s="5" t="inlineStr"/>
    </row>
    <row r="39" ht="18" customHeight="1">
      <c r="A39" s="5" t="inlineStr">
        <is>
          <t>令和22年度</t>
        </is>
      </c>
      <c r="B39" s="4" t="n">
        <v>2040</v>
      </c>
      <c r="C39" s="30">
        <f>$B$13*C26/C$19*IF($B$9=1,$E$13,1)</f>
        <v/>
      </c>
      <c r="D39" s="30">
        <f>$B$14*D26/D$19*IF($B$9=1,$E$14,1)</f>
        <v/>
      </c>
      <c r="E39" s="30">
        <f>$B$15*E26/E$19*IF($B$9=1,$E$15,1)</f>
        <v/>
      </c>
      <c r="F39" s="30">
        <f>SUM(C39:E39)</f>
        <v/>
      </c>
      <c r="G39" s="5" t="inlineStr"/>
      <c r="H39" s="8" t="n"/>
      <c r="I39" s="5" t="inlineStr"/>
    </row>
    <row r="40" ht="18" customHeight="1">
      <c r="A40" s="5" t="inlineStr">
        <is>
          <t>令和27年度</t>
        </is>
      </c>
      <c r="B40" s="4" t="n">
        <v>2045</v>
      </c>
      <c r="C40" s="30">
        <f>$B$13*C27/C$19*IF($B$9=1,$E$13,1)</f>
        <v/>
      </c>
      <c r="D40" s="30">
        <f>$B$14*D27/D$19*IF($B$9=1,$E$14,1)</f>
        <v/>
      </c>
      <c r="E40" s="30">
        <f>$B$15*E27/E$19*IF($B$9=1,$E$15,1)</f>
        <v/>
      </c>
      <c r="F40" s="30">
        <f>SUM(C40:E40)</f>
        <v/>
      </c>
      <c r="G40" s="5" t="inlineStr"/>
      <c r="H40" s="8" t="n"/>
      <c r="I40" s="5" t="inlineStr"/>
    </row>
    <row r="41" ht="18" customHeight="1">
      <c r="A41" s="5" t="inlineStr">
        <is>
          <t>令和32年度</t>
        </is>
      </c>
      <c r="B41" s="4" t="n">
        <v>2050</v>
      </c>
      <c r="C41" s="30">
        <f>$B$13*C28/C$19*IF($B$9=1,$E$13,1)</f>
        <v/>
      </c>
      <c r="D41" s="30">
        <f>$B$14*D28/D$19*IF($B$9=1,$E$14,1)</f>
        <v/>
      </c>
      <c r="E41" s="30">
        <f>$B$15*E28/E$19*IF($B$9=1,$E$15,1)</f>
        <v/>
      </c>
      <c r="F41" s="30">
        <f>SUM(C41:E41)</f>
        <v/>
      </c>
      <c r="G41" s="5" t="inlineStr"/>
      <c r="H41" s="8" t="n"/>
      <c r="I41" s="5" t="inlineStr"/>
    </row>
    <row r="43" ht="18" customHeight="1">
      <c r="A43" s="6" t="inlineStr">
        <is>
          <t>【5　計算欄　階級別認定率（シナリオにより切り替わる）】</t>
        </is>
      </c>
    </row>
    <row r="44" ht="30" customHeight="1">
      <c r="A44" s="3" t="inlineStr">
        <is>
          <t>年度</t>
        </is>
      </c>
      <c r="B44" s="3" t="inlineStr">
        <is>
          <t>西暦</t>
        </is>
      </c>
      <c r="C44" s="3" t="inlineStr">
        <is>
          <t>65〜74歳</t>
        </is>
      </c>
      <c r="D44" s="3" t="inlineStr">
        <is>
          <t>75〜84歳</t>
        </is>
      </c>
      <c r="E44" s="3" t="inlineStr">
        <is>
          <t>85歳以上</t>
        </is>
      </c>
      <c r="F44" s="3" t="inlineStr"/>
      <c r="G44" s="3" t="inlineStr"/>
      <c r="H44" s="3" t="inlineStr"/>
      <c r="I44" s="3" t="inlineStr">
        <is>
          <t>計算式</t>
        </is>
      </c>
    </row>
    <row r="45" ht="18" customHeight="1">
      <c r="A45" s="5" t="inlineStr">
        <is>
          <t>令和7年度</t>
        </is>
      </c>
      <c r="B45" s="4" t="n">
        <v>2025</v>
      </c>
      <c r="C45" s="31">
        <f>CHOOSE($B$7,$C$13,$C$13+$F$13*MIN(MAX(B45-$B$6,0),$B$8),$C$13+($D$13-$C$13)*MIN(MAX(B45-$B$6,0),$B$8)/$B$8)</f>
        <v/>
      </c>
      <c r="D45" s="31">
        <f>CHOOSE($B$7,$C$14,$C$14+$F$14*MIN(MAX(B45-$B$6,0),$B$8),$C$14+($D$14-$C$14)*MIN(MAX(B45-$B$6,0),$B$8)/$B$8)</f>
        <v/>
      </c>
      <c r="E45" s="31">
        <f>CHOOSE($B$7,$C$15,$C$15+$F$15*MIN(MAX(B45-$B$6,0),$B$8),$C$15+($D$15-$C$15)*MIN(MAX(B45-$B$6,0),$B$8)/$B$8)</f>
        <v/>
      </c>
      <c r="F45" s="5" t="inlineStr"/>
      <c r="G45" s="24" t="n"/>
      <c r="H45" s="8" t="n"/>
      <c r="I45" s="5" t="inlineStr">
        <is>
          <t>CHOOSE(シナリオ，基準率，基準率＋年平均変化×経過年数，基準率＋（令和元年率－基準率）×経過年数÷延長年数)</t>
        </is>
      </c>
    </row>
    <row r="46" ht="18" customHeight="1">
      <c r="A46" s="5" t="inlineStr">
        <is>
          <t>令和8年度</t>
        </is>
      </c>
      <c r="B46" s="4" t="n">
        <v>2026</v>
      </c>
      <c r="C46" s="31">
        <f>CHOOSE($B$7,$C$13,$C$13+$F$13*MIN(MAX(B46-$B$6,0),$B$8),$C$13+($D$13-$C$13)*MIN(MAX(B46-$B$6,0),$B$8)/$B$8)</f>
        <v/>
      </c>
      <c r="D46" s="31">
        <f>CHOOSE($B$7,$C$14,$C$14+$F$14*MIN(MAX(B46-$B$6,0),$B$8),$C$14+($D$14-$C$14)*MIN(MAX(B46-$B$6,0),$B$8)/$B$8)</f>
        <v/>
      </c>
      <c r="E46" s="31">
        <f>CHOOSE($B$7,$C$15,$C$15+$F$15*MIN(MAX(B46-$B$6,0),$B$8),$C$15+($D$15-$C$15)*MIN(MAX(B46-$B$6,0),$B$8)/$B$8)</f>
        <v/>
      </c>
      <c r="F46" s="5" t="inlineStr"/>
      <c r="G46" s="24" t="n"/>
      <c r="H46" s="8" t="n"/>
      <c r="I46" s="5" t="inlineStr"/>
    </row>
    <row r="47" ht="18" customHeight="1">
      <c r="A47" s="5" t="inlineStr">
        <is>
          <t>令和9年度</t>
        </is>
      </c>
      <c r="B47" s="4" t="n">
        <v>2027</v>
      </c>
      <c r="C47" s="31">
        <f>CHOOSE($B$7,$C$13,$C$13+$F$13*MIN(MAX(B47-$B$6,0),$B$8),$C$13+($D$13-$C$13)*MIN(MAX(B47-$B$6,0),$B$8)/$B$8)</f>
        <v/>
      </c>
      <c r="D47" s="31">
        <f>CHOOSE($B$7,$C$14,$C$14+$F$14*MIN(MAX(B47-$B$6,0),$B$8),$C$14+($D$14-$C$14)*MIN(MAX(B47-$B$6,0),$B$8)/$B$8)</f>
        <v/>
      </c>
      <c r="E47" s="31">
        <f>CHOOSE($B$7,$C$15,$C$15+$F$15*MIN(MAX(B47-$B$6,0),$B$8),$C$15+($D$15-$C$15)*MIN(MAX(B47-$B$6,0),$B$8)/$B$8)</f>
        <v/>
      </c>
      <c r="F47" s="5" t="inlineStr"/>
      <c r="G47" s="24" t="n"/>
      <c r="H47" s="8" t="n"/>
      <c r="I47" s="5" t="inlineStr"/>
    </row>
    <row r="48" ht="18" customHeight="1">
      <c r="A48" s="5" t="inlineStr">
        <is>
          <t>令和10年度</t>
        </is>
      </c>
      <c r="B48" s="4" t="n">
        <v>2028</v>
      </c>
      <c r="C48" s="31">
        <f>CHOOSE($B$7,$C$13,$C$13+$F$13*MIN(MAX(B48-$B$6,0),$B$8),$C$13+($D$13-$C$13)*MIN(MAX(B48-$B$6,0),$B$8)/$B$8)</f>
        <v/>
      </c>
      <c r="D48" s="31">
        <f>CHOOSE($B$7,$C$14,$C$14+$F$14*MIN(MAX(B48-$B$6,0),$B$8),$C$14+($D$14-$C$14)*MIN(MAX(B48-$B$6,0),$B$8)/$B$8)</f>
        <v/>
      </c>
      <c r="E48" s="31">
        <f>CHOOSE($B$7,$C$15,$C$15+$F$15*MIN(MAX(B48-$B$6,0),$B$8),$C$15+($D$15-$C$15)*MIN(MAX(B48-$B$6,0),$B$8)/$B$8)</f>
        <v/>
      </c>
      <c r="F48" s="5" t="inlineStr"/>
      <c r="G48" s="24" t="n"/>
      <c r="H48" s="8" t="n"/>
      <c r="I48" s="5" t="inlineStr"/>
    </row>
    <row r="49" ht="18" customHeight="1">
      <c r="A49" s="5" t="inlineStr">
        <is>
          <t>令和11年度</t>
        </is>
      </c>
      <c r="B49" s="4" t="n">
        <v>2029</v>
      </c>
      <c r="C49" s="31">
        <f>CHOOSE($B$7,$C$13,$C$13+$F$13*MIN(MAX(B49-$B$6,0),$B$8),$C$13+($D$13-$C$13)*MIN(MAX(B49-$B$6,0),$B$8)/$B$8)</f>
        <v/>
      </c>
      <c r="D49" s="31">
        <f>CHOOSE($B$7,$C$14,$C$14+$F$14*MIN(MAX(B49-$B$6,0),$B$8),$C$14+($D$14-$C$14)*MIN(MAX(B49-$B$6,0),$B$8)/$B$8)</f>
        <v/>
      </c>
      <c r="E49" s="31">
        <f>CHOOSE($B$7,$C$15,$C$15+$F$15*MIN(MAX(B49-$B$6,0),$B$8),$C$15+($D$15-$C$15)*MIN(MAX(B49-$B$6,0),$B$8)/$B$8)</f>
        <v/>
      </c>
      <c r="F49" s="5" t="inlineStr"/>
      <c r="G49" s="24" t="n"/>
      <c r="H49" s="8" t="n"/>
      <c r="I49" s="5" t="inlineStr"/>
    </row>
    <row r="50" ht="18" customHeight="1">
      <c r="A50" s="5" t="inlineStr">
        <is>
          <t>令和12年度</t>
        </is>
      </c>
      <c r="B50" s="4" t="n">
        <v>2030</v>
      </c>
      <c r="C50" s="31">
        <f>CHOOSE($B$7,$C$13,$C$13+$F$13*MIN(MAX(B50-$B$6,0),$B$8),$C$13+($D$13-$C$13)*MIN(MAX(B50-$B$6,0),$B$8)/$B$8)</f>
        <v/>
      </c>
      <c r="D50" s="31">
        <f>CHOOSE($B$7,$C$14,$C$14+$F$14*MIN(MAX(B50-$B$6,0),$B$8),$C$14+($D$14-$C$14)*MIN(MAX(B50-$B$6,0),$B$8)/$B$8)</f>
        <v/>
      </c>
      <c r="E50" s="31">
        <f>CHOOSE($B$7,$C$15,$C$15+$F$15*MIN(MAX(B50-$B$6,0),$B$8),$C$15+($D$15-$C$15)*MIN(MAX(B50-$B$6,0),$B$8)/$B$8)</f>
        <v/>
      </c>
      <c r="F50" s="5" t="inlineStr"/>
      <c r="G50" s="24" t="n"/>
      <c r="H50" s="8" t="n"/>
      <c r="I50" s="5" t="inlineStr"/>
    </row>
    <row r="51" ht="18" customHeight="1">
      <c r="A51" s="5" t="inlineStr">
        <is>
          <t>令和17年度</t>
        </is>
      </c>
      <c r="B51" s="4" t="n">
        <v>2035</v>
      </c>
      <c r="C51" s="31">
        <f>CHOOSE($B$7,$C$13,$C$13+$F$13*MIN(MAX(B51-$B$6,0),$B$8),$C$13+($D$13-$C$13)*MIN(MAX(B51-$B$6,0),$B$8)/$B$8)</f>
        <v/>
      </c>
      <c r="D51" s="31">
        <f>CHOOSE($B$7,$C$14,$C$14+$F$14*MIN(MAX(B51-$B$6,0),$B$8),$C$14+($D$14-$C$14)*MIN(MAX(B51-$B$6,0),$B$8)/$B$8)</f>
        <v/>
      </c>
      <c r="E51" s="31">
        <f>CHOOSE($B$7,$C$15,$C$15+$F$15*MIN(MAX(B51-$B$6,0),$B$8),$C$15+($D$15-$C$15)*MIN(MAX(B51-$B$6,0),$B$8)/$B$8)</f>
        <v/>
      </c>
      <c r="F51" s="5" t="inlineStr"/>
      <c r="G51" s="24" t="n"/>
      <c r="H51" s="8" t="n"/>
      <c r="I51" s="5" t="inlineStr"/>
    </row>
    <row r="52" ht="18" customHeight="1">
      <c r="A52" s="5" t="inlineStr">
        <is>
          <t>令和22年度</t>
        </is>
      </c>
      <c r="B52" s="4" t="n">
        <v>2040</v>
      </c>
      <c r="C52" s="31">
        <f>CHOOSE($B$7,$C$13,$C$13+$F$13*MIN(MAX(B52-$B$6,0),$B$8),$C$13+($D$13-$C$13)*MIN(MAX(B52-$B$6,0),$B$8)/$B$8)</f>
        <v/>
      </c>
      <c r="D52" s="31">
        <f>CHOOSE($B$7,$C$14,$C$14+$F$14*MIN(MAX(B52-$B$6,0),$B$8),$C$14+($D$14-$C$14)*MIN(MAX(B52-$B$6,0),$B$8)/$B$8)</f>
        <v/>
      </c>
      <c r="E52" s="31">
        <f>CHOOSE($B$7,$C$15,$C$15+$F$15*MIN(MAX(B52-$B$6,0),$B$8),$C$15+($D$15-$C$15)*MIN(MAX(B52-$B$6,0),$B$8)/$B$8)</f>
        <v/>
      </c>
      <c r="F52" s="5" t="inlineStr"/>
      <c r="G52" s="24" t="n"/>
      <c r="H52" s="8" t="n"/>
      <c r="I52" s="5" t="inlineStr"/>
    </row>
    <row r="53" ht="18" customHeight="1">
      <c r="A53" s="5" t="inlineStr">
        <is>
          <t>令和27年度</t>
        </is>
      </c>
      <c r="B53" s="4" t="n">
        <v>2045</v>
      </c>
      <c r="C53" s="31">
        <f>CHOOSE($B$7,$C$13,$C$13+$F$13*MIN(MAX(B53-$B$6,0),$B$8),$C$13+($D$13-$C$13)*MIN(MAX(B53-$B$6,0),$B$8)/$B$8)</f>
        <v/>
      </c>
      <c r="D53" s="31">
        <f>CHOOSE($B$7,$C$14,$C$14+$F$14*MIN(MAX(B53-$B$6,0),$B$8),$C$14+($D$14-$C$14)*MIN(MAX(B53-$B$6,0),$B$8)/$B$8)</f>
        <v/>
      </c>
      <c r="E53" s="31">
        <f>CHOOSE($B$7,$C$15,$C$15+$F$15*MIN(MAX(B53-$B$6,0),$B$8),$C$15+($D$15-$C$15)*MIN(MAX(B53-$B$6,0),$B$8)/$B$8)</f>
        <v/>
      </c>
      <c r="F53" s="5" t="inlineStr"/>
      <c r="G53" s="24" t="n"/>
      <c r="H53" s="8" t="n"/>
      <c r="I53" s="5" t="inlineStr"/>
    </row>
    <row r="54" ht="18" customHeight="1">
      <c r="A54" s="5" t="inlineStr">
        <is>
          <t>令和32年度</t>
        </is>
      </c>
      <c r="B54" s="4" t="n">
        <v>2050</v>
      </c>
      <c r="C54" s="31">
        <f>CHOOSE($B$7,$C$13,$C$13+$F$13*MIN(MAX(B54-$B$6,0),$B$8),$C$13+($D$13-$C$13)*MIN(MAX(B54-$B$6,0),$B$8)/$B$8)</f>
        <v/>
      </c>
      <c r="D54" s="31">
        <f>CHOOSE($B$7,$C$14,$C$14+$F$14*MIN(MAX(B54-$B$6,0),$B$8),$C$14+($D$14-$C$14)*MIN(MAX(B54-$B$6,0),$B$8)/$B$8)</f>
        <v/>
      </c>
      <c r="E54" s="31">
        <f>CHOOSE($B$7,$C$15,$C$15+$F$15*MIN(MAX(B54-$B$6,0),$B$8),$C$15+($D$15-$C$15)*MIN(MAX(B54-$B$6,0),$B$8)/$B$8)</f>
        <v/>
      </c>
      <c r="F54" s="5" t="inlineStr"/>
      <c r="G54" s="24" t="n"/>
      <c r="H54" s="8" t="n"/>
      <c r="I54" s="5" t="inlineStr"/>
    </row>
    <row r="56" ht="18" customHeight="1">
      <c r="A56" s="6" t="inlineStr">
        <is>
          <t>【6　計算欄　認定者数　＝　階級別人口×階級別認定率÷100】</t>
        </is>
      </c>
    </row>
    <row r="57" ht="30" customHeight="1">
      <c r="A57" s="3" t="inlineStr">
        <is>
          <t>年度</t>
        </is>
      </c>
      <c r="B57" s="3" t="inlineStr">
        <is>
          <t>西暦</t>
        </is>
      </c>
      <c r="C57" s="3" t="inlineStr">
        <is>
          <t>65〜74歳</t>
        </is>
      </c>
      <c r="D57" s="3" t="inlineStr">
        <is>
          <t>75〜84歳</t>
        </is>
      </c>
      <c r="E57" s="3" t="inlineStr">
        <is>
          <t>85歳以上</t>
        </is>
      </c>
      <c r="F57" s="3" t="inlineStr">
        <is>
          <t>認定者数計</t>
        </is>
      </c>
      <c r="G57" s="3" t="inlineStr">
        <is>
          <t>認定率（％）</t>
        </is>
      </c>
      <c r="H57" s="3" t="inlineStr"/>
      <c r="I57" s="3" t="inlineStr">
        <is>
          <t>備考</t>
        </is>
      </c>
    </row>
    <row r="58" ht="18" customHeight="1">
      <c r="A58" s="5" t="inlineStr">
        <is>
          <t>令和7年度</t>
        </is>
      </c>
      <c r="B58" s="4" t="n">
        <v>2025</v>
      </c>
      <c r="C58" s="30">
        <f>C32*C45/100</f>
        <v/>
      </c>
      <c r="D58" s="30">
        <f>D32*D45/100</f>
        <v/>
      </c>
      <c r="E58" s="30">
        <f>E32*E45/100</f>
        <v/>
      </c>
      <c r="F58" s="32">
        <f>SUM(C58:E58)</f>
        <v/>
      </c>
      <c r="G58" s="33">
        <f>F58/F32*100</f>
        <v/>
      </c>
      <c r="H58" s="5" t="inlineStr"/>
      <c r="I58" s="5" t="inlineStr">
        <is>
          <t>基準</t>
        </is>
      </c>
    </row>
    <row r="59" ht="18" customHeight="1">
      <c r="A59" s="5" t="inlineStr">
        <is>
          <t>令和8年度</t>
        </is>
      </c>
      <c r="B59" s="4" t="n">
        <v>2026</v>
      </c>
      <c r="C59" s="30">
        <f>C33*C46/100</f>
        <v/>
      </c>
      <c r="D59" s="30">
        <f>D33*D46/100</f>
        <v/>
      </c>
      <c r="E59" s="30">
        <f>E33*E46/100</f>
        <v/>
      </c>
      <c r="F59" s="32">
        <f>SUM(C59:E59)</f>
        <v/>
      </c>
      <c r="G59" s="33">
        <f>F59/F33*100</f>
        <v/>
      </c>
      <c r="H59" s="5" t="inlineStr"/>
      <c r="I59" s="5" t="inlineStr">
        <is>
          <t>参考</t>
        </is>
      </c>
    </row>
    <row r="60" ht="18" customHeight="1">
      <c r="A60" s="5" t="inlineStr">
        <is>
          <t>令和9年度</t>
        </is>
      </c>
      <c r="B60" s="4" t="n">
        <v>2027</v>
      </c>
      <c r="C60" s="30">
        <f>C34*C47/100</f>
        <v/>
      </c>
      <c r="D60" s="30">
        <f>D34*D47/100</f>
        <v/>
      </c>
      <c r="E60" s="30">
        <f>E34*E47/100</f>
        <v/>
      </c>
      <c r="F60" s="32">
        <f>SUM(C60:E60)</f>
        <v/>
      </c>
      <c r="G60" s="33">
        <f>F60/F34*100</f>
        <v/>
      </c>
      <c r="H60" s="5" t="inlineStr"/>
      <c r="I60" s="5" t="inlineStr">
        <is>
          <t>第10期</t>
        </is>
      </c>
    </row>
    <row r="61" ht="18" customHeight="1">
      <c r="A61" s="5" t="inlineStr">
        <is>
          <t>令和10年度</t>
        </is>
      </c>
      <c r="B61" s="4" t="n">
        <v>2028</v>
      </c>
      <c r="C61" s="30">
        <f>C35*C48/100</f>
        <v/>
      </c>
      <c r="D61" s="30">
        <f>D35*D48/100</f>
        <v/>
      </c>
      <c r="E61" s="30">
        <f>E35*E48/100</f>
        <v/>
      </c>
      <c r="F61" s="32">
        <f>SUM(C61:E61)</f>
        <v/>
      </c>
      <c r="G61" s="33">
        <f>F61/F35*100</f>
        <v/>
      </c>
      <c r="H61" s="5" t="inlineStr"/>
      <c r="I61" s="5" t="inlineStr">
        <is>
          <t>第10期</t>
        </is>
      </c>
    </row>
    <row r="62" ht="18" customHeight="1">
      <c r="A62" s="5" t="inlineStr">
        <is>
          <t>令和11年度</t>
        </is>
      </c>
      <c r="B62" s="4" t="n">
        <v>2029</v>
      </c>
      <c r="C62" s="30">
        <f>C36*C49/100</f>
        <v/>
      </c>
      <c r="D62" s="30">
        <f>D36*D49/100</f>
        <v/>
      </c>
      <c r="E62" s="30">
        <f>E36*E49/100</f>
        <v/>
      </c>
      <c r="F62" s="32">
        <f>SUM(C62:E62)</f>
        <v/>
      </c>
      <c r="G62" s="33">
        <f>F62/F36*100</f>
        <v/>
      </c>
      <c r="H62" s="5" t="inlineStr"/>
      <c r="I62" s="5" t="inlineStr">
        <is>
          <t>第10期</t>
        </is>
      </c>
    </row>
    <row r="63" ht="18" customHeight="1">
      <c r="A63" s="5" t="inlineStr">
        <is>
          <t>令和12年度</t>
        </is>
      </c>
      <c r="B63" s="4" t="n">
        <v>2030</v>
      </c>
      <c r="C63" s="30">
        <f>C37*C50/100</f>
        <v/>
      </c>
      <c r="D63" s="30">
        <f>D37*D50/100</f>
        <v/>
      </c>
      <c r="E63" s="30">
        <f>E37*E50/100</f>
        <v/>
      </c>
      <c r="F63" s="32">
        <f>SUM(C63:E63)</f>
        <v/>
      </c>
      <c r="G63" s="33">
        <f>F63/F37*100</f>
        <v/>
      </c>
      <c r="H63" s="5" t="inlineStr"/>
      <c r="I63" s="5" t="inlineStr">
        <is>
          <t>参考</t>
        </is>
      </c>
    </row>
    <row r="64" ht="18" customHeight="1">
      <c r="A64" s="5" t="inlineStr">
        <is>
          <t>令和17年度</t>
        </is>
      </c>
      <c r="B64" s="4" t="n">
        <v>2035</v>
      </c>
      <c r="C64" s="30">
        <f>C38*C51/100</f>
        <v/>
      </c>
      <c r="D64" s="30">
        <f>D38*D51/100</f>
        <v/>
      </c>
      <c r="E64" s="30">
        <f>E38*E51/100</f>
        <v/>
      </c>
      <c r="F64" s="32">
        <f>SUM(C64:E64)</f>
        <v/>
      </c>
      <c r="G64" s="33">
        <f>F64/F38*100</f>
        <v/>
      </c>
      <c r="H64" s="5" t="inlineStr"/>
      <c r="I64" s="5" t="inlineStr">
        <is>
          <t>中長期</t>
        </is>
      </c>
    </row>
    <row r="65" ht="18" customHeight="1">
      <c r="A65" s="5" t="inlineStr">
        <is>
          <t>令和22年度</t>
        </is>
      </c>
      <c r="B65" s="4" t="n">
        <v>2040</v>
      </c>
      <c r="C65" s="30">
        <f>C39*C52/100</f>
        <v/>
      </c>
      <c r="D65" s="30">
        <f>D39*D52/100</f>
        <v/>
      </c>
      <c r="E65" s="30">
        <f>E39*E52/100</f>
        <v/>
      </c>
      <c r="F65" s="32">
        <f>SUM(C65:E65)</f>
        <v/>
      </c>
      <c r="G65" s="33">
        <f>F65/F39*100</f>
        <v/>
      </c>
      <c r="H65" s="5" t="inlineStr"/>
      <c r="I65" s="5" t="inlineStr">
        <is>
          <t>中長期</t>
        </is>
      </c>
    </row>
    <row r="66" ht="18" customHeight="1">
      <c r="A66" s="5" t="inlineStr">
        <is>
          <t>令和27年度</t>
        </is>
      </c>
      <c r="B66" s="4" t="n">
        <v>2045</v>
      </c>
      <c r="C66" s="30">
        <f>C40*C53/100</f>
        <v/>
      </c>
      <c r="D66" s="30">
        <f>D40*D53/100</f>
        <v/>
      </c>
      <c r="E66" s="30">
        <f>E40*E53/100</f>
        <v/>
      </c>
      <c r="F66" s="32">
        <f>SUM(C66:E66)</f>
        <v/>
      </c>
      <c r="G66" s="33">
        <f>F66/F40*100</f>
        <v/>
      </c>
      <c r="H66" s="5" t="inlineStr"/>
      <c r="I66" s="5" t="inlineStr">
        <is>
          <t>中長期</t>
        </is>
      </c>
    </row>
    <row r="67" ht="18" customHeight="1">
      <c r="A67" s="5" t="inlineStr">
        <is>
          <t>令和32年度</t>
        </is>
      </c>
      <c r="B67" s="4" t="n">
        <v>2050</v>
      </c>
      <c r="C67" s="30">
        <f>C41*C54/100</f>
        <v/>
      </c>
      <c r="D67" s="30">
        <f>D41*D54/100</f>
        <v/>
      </c>
      <c r="E67" s="30">
        <f>E41*E54/100</f>
        <v/>
      </c>
      <c r="F67" s="32">
        <f>SUM(C67:E67)</f>
        <v/>
      </c>
      <c r="G67" s="33">
        <f>F67/F41*100</f>
        <v/>
      </c>
      <c r="H67" s="5" t="inlineStr"/>
      <c r="I67" s="5" t="inlineStr">
        <is>
          <t>中長期</t>
        </is>
      </c>
    </row>
    <row r="69" ht="18" customHeight="1">
      <c r="A69" s="6" t="inlineStr">
        <is>
          <t>【7　出力　計画本文への転記値】</t>
        </is>
      </c>
    </row>
    <row r="70" ht="30" customHeight="1">
      <c r="A70" s="3" t="inlineStr">
        <is>
          <t>項目</t>
        </is>
      </c>
      <c r="B70" s="3" t="inlineStr">
        <is>
          <t>値</t>
        </is>
      </c>
      <c r="C70" s="3" t="inlineStr"/>
      <c r="D70" s="3" t="inlineStr"/>
      <c r="E70" s="3" t="inlineStr"/>
      <c r="F70" s="3" t="inlineStr"/>
      <c r="G70" s="3" t="inlineStr"/>
      <c r="H70" s="3" t="inlineStr"/>
      <c r="I70" s="3" t="inlineStr">
        <is>
          <t>転記先</t>
        </is>
      </c>
    </row>
    <row r="71" ht="20" customHeight="1">
      <c r="A71" s="34" t="inlineStr">
        <is>
          <t>令和9年度の認定者数</t>
        </is>
      </c>
      <c r="B71" s="35">
        <f>ROUND(F60,0)</f>
        <v/>
      </c>
      <c r="C71" s="24" t="n"/>
      <c r="D71" s="24" t="n"/>
      <c r="E71" s="24" t="n"/>
      <c r="F71" s="24" t="n"/>
      <c r="G71" s="24" t="n"/>
      <c r="H71" s="8" t="n"/>
      <c r="I71" s="34" t="inlineStr">
        <is>
          <t>第6章第1節</t>
        </is>
      </c>
    </row>
    <row r="72" ht="20" customHeight="1">
      <c r="A72" s="34" t="inlineStr">
        <is>
          <t>令和10年度の認定者数</t>
        </is>
      </c>
      <c r="B72" s="35">
        <f>ROUND(F61,0)</f>
        <v/>
      </c>
      <c r="C72" s="24" t="n"/>
      <c r="D72" s="24" t="n"/>
      <c r="E72" s="24" t="n"/>
      <c r="F72" s="24" t="n"/>
      <c r="G72" s="24" t="n"/>
      <c r="H72" s="8" t="n"/>
      <c r="I72" s="34" t="inlineStr">
        <is>
          <t>第6章第1節</t>
        </is>
      </c>
    </row>
    <row r="73" ht="20" customHeight="1">
      <c r="A73" s="34" t="inlineStr">
        <is>
          <t>令和11年度の認定者数</t>
        </is>
      </c>
      <c r="B73" s="35">
        <f>ROUND(F62,0)</f>
        <v/>
      </c>
      <c r="C73" s="24" t="n"/>
      <c r="D73" s="24" t="n"/>
      <c r="E73" s="24" t="n"/>
      <c r="F73" s="24" t="n"/>
      <c r="G73" s="24" t="n"/>
      <c r="H73" s="8" t="n"/>
      <c r="I73" s="34" t="inlineStr">
        <is>
          <t>第6章第1節</t>
        </is>
      </c>
    </row>
    <row r="74" ht="20" customHeight="1">
      <c r="A74" s="34" t="inlineStr">
        <is>
          <t>第10期3年計</t>
        </is>
      </c>
      <c r="B74" s="35">
        <f>ROUND(F60,0)+ROUND(F61,0)+ROUND(F62,0)</f>
        <v/>
      </c>
      <c r="C74" s="24" t="n"/>
      <c r="D74" s="24" t="n"/>
      <c r="E74" s="24" t="n"/>
      <c r="F74" s="24" t="n"/>
      <c r="G74" s="24" t="n"/>
      <c r="H74" s="8" t="n"/>
      <c r="I74" s="34" t="inlineStr">
        <is>
          <t>第6章第1節・第3節</t>
        </is>
      </c>
    </row>
    <row r="75" ht="20" customHeight="1">
      <c r="A75" s="34" t="inlineStr">
        <is>
          <t>令和11年度の65歳以上</t>
        </is>
      </c>
      <c r="B75" s="35">
        <f>ROUND(F36,0)</f>
        <v/>
      </c>
      <c r="C75" s="24" t="n"/>
      <c r="D75" s="24" t="n"/>
      <c r="E75" s="24" t="n"/>
      <c r="F75" s="24" t="n"/>
      <c r="G75" s="24" t="n"/>
      <c r="H75" s="8" t="n"/>
      <c r="I75" s="34" t="inlineStr">
        <is>
          <t>第6章第1節</t>
        </is>
      </c>
    </row>
    <row r="76" ht="20" customHeight="1">
      <c r="A76" s="34" t="inlineStr">
        <is>
          <t>令和11年度の認定率（％）</t>
        </is>
      </c>
      <c r="B76" s="35">
        <f>ROUND(G62,1)</f>
        <v/>
      </c>
      <c r="C76" s="24" t="n"/>
      <c r="D76" s="24" t="n"/>
      <c r="E76" s="24" t="n"/>
      <c r="F76" s="24" t="n"/>
      <c r="G76" s="24" t="n"/>
      <c r="H76" s="8" t="n"/>
      <c r="I76" s="34" t="inlineStr">
        <is>
          <t>第6章第1節</t>
        </is>
      </c>
    </row>
    <row r="77" ht="20" customHeight="1">
      <c r="A77" s="34" t="inlineStr">
        <is>
          <t>令和22年度の認定者数</t>
        </is>
      </c>
      <c r="B77" s="35">
        <f>ROUND(F65,0)</f>
        <v/>
      </c>
      <c r="C77" s="24" t="n"/>
      <c r="D77" s="24" t="n"/>
      <c r="E77" s="24" t="n"/>
      <c r="F77" s="24" t="n"/>
      <c r="G77" s="24" t="n"/>
      <c r="H77" s="8" t="n"/>
      <c r="I77" s="34" t="inlineStr">
        <is>
          <t>第2章第8節</t>
        </is>
      </c>
    </row>
    <row r="79" ht="18" customHeight="1">
      <c r="A79" s="6" t="inlineStr">
        <is>
          <t>【8　検算　他シートの値との一致】</t>
        </is>
      </c>
    </row>
    <row r="80" ht="30" customHeight="1">
      <c r="A80" s="3" t="inlineStr">
        <is>
          <t>項目</t>
        </is>
      </c>
      <c r="B80" s="3" t="inlineStr">
        <is>
          <t>本シート</t>
        </is>
      </c>
      <c r="C80" s="3" t="inlineStr">
        <is>
          <t>03シート</t>
        </is>
      </c>
      <c r="D80" s="3" t="inlineStr">
        <is>
          <t>差</t>
        </is>
      </c>
      <c r="E80" s="3" t="inlineStr"/>
      <c r="F80" s="3" t="inlineStr"/>
      <c r="G80" s="3" t="inlineStr"/>
      <c r="H80" s="3" t="inlineStr"/>
      <c r="I80" s="3" t="inlineStr">
        <is>
          <t>判定</t>
        </is>
      </c>
    </row>
    <row r="81" ht="20" customHeight="1">
      <c r="A81" s="5" t="inlineStr">
        <is>
          <t>令和7年度の認定者数（基準）</t>
        </is>
      </c>
      <c r="B81" s="9">
        <f>ROUND(F58,0)</f>
        <v/>
      </c>
      <c r="C81" s="9" t="n">
        <v>1984</v>
      </c>
      <c r="D81" s="9">
        <f>B81-C81</f>
        <v/>
      </c>
      <c r="E81" s="5" t="inlineStr"/>
      <c r="F81" s="24" t="n"/>
      <c r="G81" s="24" t="n"/>
      <c r="H81" s="8" t="n"/>
      <c r="I81" s="4">
        <f>IF(ABS(D81)&lt;=1,"一致","要確認")</f>
        <v/>
      </c>
    </row>
    <row r="82" ht="20" customHeight="1">
      <c r="A82" s="5" t="inlineStr">
        <is>
          <t>令和11年度の認定者数</t>
        </is>
      </c>
      <c r="B82" s="9">
        <f>ROUND(F62,0)</f>
        <v/>
      </c>
      <c r="C82" s="9" t="n">
        <v>2067</v>
      </c>
      <c r="D82" s="9">
        <f>B82-C82</f>
        <v/>
      </c>
      <c r="E82" s="5" t="inlineStr"/>
      <c r="F82" s="24" t="n"/>
      <c r="G82" s="24" t="n"/>
      <c r="H82" s="8" t="n"/>
      <c r="I82" s="4">
        <f>IF(ABS(D82)&lt;=1,"一致","要確認")</f>
        <v/>
      </c>
    </row>
    <row r="83" ht="20" customHeight="1">
      <c r="A83" s="5" t="inlineStr">
        <is>
          <t>令和22年度の認定者数</t>
        </is>
      </c>
      <c r="B83" s="9">
        <f>ROUND(F65,0)</f>
        <v/>
      </c>
      <c r="C83" s="9" t="n">
        <v>2288</v>
      </c>
      <c r="D83" s="9">
        <f>B83-C83</f>
        <v/>
      </c>
      <c r="E83" s="5" t="inlineStr"/>
      <c r="F83" s="24" t="n"/>
      <c r="G83" s="24" t="n"/>
      <c r="H83" s="8" t="n"/>
      <c r="I83" s="4">
        <f>IF(ABS(D83)&lt;=1,"一致","要確認")</f>
        <v/>
      </c>
    </row>
    <row r="84" ht="20" customHeight="1">
      <c r="A84" s="5" t="inlineStr">
        <is>
          <t>令和11年度の65歳以上</t>
        </is>
      </c>
      <c r="B84" s="9">
        <f>ROUND(F36,0)</f>
        <v/>
      </c>
      <c r="C84" s="9" t="n">
        <v>9213</v>
      </c>
      <c r="D84" s="9">
        <f>B84-C84</f>
        <v/>
      </c>
      <c r="E84" s="5" t="inlineStr"/>
      <c r="F84" s="24" t="n"/>
      <c r="G84" s="24" t="n"/>
      <c r="H84" s="8" t="n"/>
      <c r="I84" s="4">
        <f>IF(ABS(D84)&lt;=1,"一致","要確認")</f>
        <v/>
      </c>
    </row>
    <row r="86" ht="104" customHeight="1">
      <c r="A86" s="14" t="inlineStr">
        <is>
          <t>注1）本シートは、シナリオ2（トレンド継続）・人口補正なしの状態で他シートと一致するように作っている。【8】の判定欄がすべて「一致」であることを確認したうえで、入力欄を変更していただきたい。注2）人口補正を適用する場合は【1】の「人口補正の適用」を1にする。補正係数は【2】のE列で変更できる。初期値は1.000（補正なしと同じ）としているため、適用する場合は65〜74歳に1.0377、75〜84歳及び85歳以上に0.9927を入力する（人口推計の補正 04シートによる）。注3）本シートで変更できるのは第1段階（人口と認定者数）までである。サービス見込量（第2段階）及び給付費・保険料（第3段階）への波及は、【7】の転記値を各成果品に入力して再計算する。注4）他のシート（00〜07）は本シートの計算結果を書き出した転記表である。入力欄を変更しても他のシートは自動では変わらない。変更を成果品に反映する場合は受託者にご連絡いただきたい。</t>
        </is>
      </c>
    </row>
  </sheetData>
  <mergeCells count="58">
    <mergeCell ref="G21:H21"/>
    <mergeCell ref="B9:H9"/>
    <mergeCell ref="B74:H74"/>
    <mergeCell ref="F45:H45"/>
    <mergeCell ref="G27:H27"/>
    <mergeCell ref="F50:H50"/>
    <mergeCell ref="B6:H6"/>
    <mergeCell ref="A56:I56"/>
    <mergeCell ref="G36:H36"/>
    <mergeCell ref="G23:H23"/>
    <mergeCell ref="E81:H81"/>
    <mergeCell ref="B76:H76"/>
    <mergeCell ref="G39:H39"/>
    <mergeCell ref="F47:H47"/>
    <mergeCell ref="A69:I69"/>
    <mergeCell ref="A86:I86"/>
    <mergeCell ref="F46:H46"/>
    <mergeCell ref="A2:I2"/>
    <mergeCell ref="G38:H38"/>
    <mergeCell ref="B75:H75"/>
    <mergeCell ref="G19:H19"/>
    <mergeCell ref="A17:I17"/>
    <mergeCell ref="G37:H37"/>
    <mergeCell ref="G28:H28"/>
    <mergeCell ref="B7:H7"/>
    <mergeCell ref="G13:H13"/>
    <mergeCell ref="F48:H48"/>
    <mergeCell ref="F52:H52"/>
    <mergeCell ref="A4:I4"/>
    <mergeCell ref="B72:H72"/>
    <mergeCell ref="G34:H34"/>
    <mergeCell ref="A43:I43"/>
    <mergeCell ref="E83:H83"/>
    <mergeCell ref="G24:H24"/>
    <mergeCell ref="B71:H71"/>
    <mergeCell ref="F49:H49"/>
    <mergeCell ref="G15:H15"/>
    <mergeCell ref="G33:H33"/>
    <mergeCell ref="B77:H77"/>
    <mergeCell ref="E82:H82"/>
    <mergeCell ref="G14:H14"/>
    <mergeCell ref="F53:H53"/>
    <mergeCell ref="G26:H26"/>
    <mergeCell ref="A30:I30"/>
    <mergeCell ref="G35:H35"/>
    <mergeCell ref="E84:H84"/>
    <mergeCell ref="B8:H8"/>
    <mergeCell ref="G20:H20"/>
    <mergeCell ref="F54:H54"/>
    <mergeCell ref="A11:I11"/>
    <mergeCell ref="G32:H32"/>
    <mergeCell ref="G25:H25"/>
    <mergeCell ref="B73:H73"/>
    <mergeCell ref="G41:H41"/>
    <mergeCell ref="A79:I79"/>
    <mergeCell ref="G22:H22"/>
    <mergeCell ref="G40:H40"/>
    <mergeCell ref="F51:H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2026-10-15T02:18:51Z</dcterms:created>
  <dcterms:modified xmlns:dcterms="http://purl.org/dc/terms/" xmlns:xsi="http://www.w3.org/2001/XMLSchema-instance" xsi:type="dcterms:W3CDTF">2026-10-15T02:18:51Z</dcterms:modified>
</cp:coreProperties>
</file>