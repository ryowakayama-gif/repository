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社人研推計（令和5年推計・令和2年国勢調査基準）による。第10期期間中、総人口は▲3.3％、65歳以上人口は▲0.1％。</t>
        </is>
      </c>
      <c r="E5" s="5" t="inlineStr">
        <is>
          <t>方針No.1 確認待ち</t>
        </is>
      </c>
    </row>
    <row r="6" ht="68" customHeight="1">
      <c r="A6" s="4" t="inlineStr">
        <is>
          <t>2</t>
        </is>
      </c>
      <c r="B6" s="5" t="inlineStr">
        <is>
          <t>02_推計上の階級別人口</t>
        </is>
      </c>
      <c r="C6" s="5" t="inlineStr">
        <is>
          <t>階級別人口＝令和7年度の実績人口×社人研推計の階級別の伸び率。</t>
        </is>
      </c>
      <c r="D6" s="5" t="inlineStr">
        <is>
          <t>令和11年度の65歳以上は9,072人（令和7年度9,090人）。85歳以上は1,990人から2,072人へ4.1％増える。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令和11年度の認定者数は、①現状固定2,044人、②トレンド継続2,004人、③令和元年水準2,112人。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②トレンド継続を推奨する。第10期の3年間の認定者数の合計は①6,087人・②5,999人・③6,240人で、最大と最小の差は241人（4.0％）。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人口推計の基礎（受託者の案：社人研推計をそのまま用いる）</t>
        </is>
      </c>
    </row>
    <row r="2" ht="48" customHeight="1">
      <c r="A2" s="2" t="inlineStr">
        <is>
          <t>令和8年7月30日、人口推計の基礎について社人研推計（見える化システムの初期値）をそのまま用いることを受託者の案とする。見える化A系列の値をそのまま前提とする。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試算の前提（受託者の案）</t>
        </is>
      </c>
      <c r="B18" s="5" t="inlineStr">
        <is>
          <t>第10期の人口推計の基礎は、国立社会保障・人口問題研究所「日本の地域別将来推計人口」（令和5年推計・令和2年国勢調査基準）をそのまま用いる。見える化システムの初期値である。</t>
        </is>
      </c>
      <c r="C18" s="24" t="n"/>
      <c r="D18" s="24" t="n"/>
      <c r="E18" s="24" t="n"/>
      <c r="F18" s="24" t="n"/>
      <c r="G18" s="24" t="n"/>
      <c r="H18" s="24" t="n"/>
      <c r="I18" s="8" t="n"/>
    </row>
    <row r="19" ht="40" customHeight="1">
      <c r="A19" s="25" t="inlineStr">
        <is>
          <t>この前提の位置付け</t>
        </is>
      </c>
      <c r="B19" s="5" t="inlineStr">
        <is>
          <t>受託者の案であり、決定した事項ではない。仕様書の定めにより、業務の各工程においてその都度発注者の意向を確認する。本シートの試算は、作業を止めないためにこの案を仮に置いたものである。</t>
        </is>
      </c>
      <c r="C19" s="24" t="n"/>
      <c r="D19" s="24" t="n"/>
      <c r="E19" s="24" t="n"/>
      <c r="F19" s="24" t="n"/>
      <c r="G19" s="24" t="n"/>
      <c r="H19" s="24" t="n"/>
      <c r="I19" s="8" t="n"/>
    </row>
    <row r="20" ht="40" customHeight="1">
      <c r="A20" s="25" t="inlineStr">
        <is>
          <t>意向を確認する時期</t>
        </is>
      </c>
      <c r="B20" s="5" t="inlineStr">
        <is>
          <t>キックオフ会議（ヒアリングシート項目6-1）。他の系列によるとの意向がある場合は、02〜06シートを再計算する。</t>
        </is>
      </c>
      <c r="C20" s="24" t="n"/>
      <c r="D20" s="24" t="n"/>
      <c r="E20" s="24" t="n"/>
      <c r="F20" s="24" t="n"/>
      <c r="G20" s="24" t="n"/>
      <c r="H20" s="24" t="n"/>
      <c r="I20" s="8" t="n"/>
    </row>
    <row r="21" ht="40" customHeight="1">
      <c r="A21" s="25" t="inlineStr">
        <is>
          <t>仮に置かなかった選択肢</t>
        </is>
      </c>
      <c r="B21" s="5" t="inlineStr">
        <is>
          <t>②3町の総合計画等による推計人口への差替え、③社人研推計を基本とし東川町のみ感度分析として別途示す。</t>
        </is>
      </c>
      <c r="C21" s="24" t="n"/>
      <c r="D21" s="24" t="n"/>
      <c r="E21" s="24" t="n"/>
      <c r="F21" s="24" t="n"/>
      <c r="G21" s="24" t="n"/>
      <c r="H21" s="24" t="n"/>
      <c r="I21" s="8" t="n"/>
    </row>
    <row r="22" ht="40" customHeight="1">
      <c r="A22" s="25" t="inlineStr">
        <is>
          <t>この前提を記録する理由</t>
        </is>
      </c>
      <c r="B22" s="5" t="inlineStr">
        <is>
          <t>「自然体推計の計算過程確認シートのガイド」は、保険者が保有する総合計画等による推計人口を用いることを基本とし、これを用意できない場合に社人研推計を利用することとしている。社人研推計を用いる場合はその理由を記録に残す必要がある。</t>
        </is>
      </c>
      <c r="C22" s="24" t="n"/>
      <c r="D22" s="24" t="n"/>
      <c r="E22" s="24" t="n"/>
      <c r="F22" s="24" t="n"/>
      <c r="G22" s="24" t="n"/>
      <c r="H22" s="24" t="n"/>
      <c r="I22" s="8" t="n"/>
    </row>
    <row r="23" ht="40" customHeight="1">
      <c r="A23" s="25" t="inlineStr">
        <is>
          <t>計画本文への記載</t>
        </is>
      </c>
      <c r="B23" s="5" t="inlineStr">
        <is>
          <t>意向の確認を経て基礎が定まった段階で、第2章第1節に、人口推計の基礎、第9期計画（住民基本台帳・コーホート変化率法）の数値と一致しないこと、及びその理由を記載する。現時点の計画素案では当該箇所に［要協議］を付している。</t>
        </is>
      </c>
      <c r="C23" s="24" t="n"/>
      <c r="D23" s="24" t="n"/>
      <c r="E23" s="24" t="n"/>
      <c r="F23" s="24" t="n"/>
      <c r="G23" s="24" t="n"/>
      <c r="H23" s="24" t="n"/>
      <c r="I23" s="8" t="n"/>
    </row>
    <row r="24" ht="40" customHeight="1">
      <c r="A24" s="25" t="inlineStr">
        <is>
          <t>なお残る作業</t>
        </is>
      </c>
      <c r="B24" s="5" t="inlineStr">
        <is>
          <t>令和6年・令和7年の町別住民基本台帳実績（資料No.9）を受領した際は、社人研推計との乖離を確認し、社人研推計との乖離を確認し、乖離が大きい場合は第2章に注記する。基礎そのものを変更するかどうかは発注者の意向による。</t>
        </is>
      </c>
      <c r="C24" s="24" t="n"/>
      <c r="D24" s="24" t="n"/>
      <c r="E24" s="24" t="n"/>
      <c r="F24" s="24" t="n"/>
      <c r="G24" s="24" t="n"/>
      <c r="H24" s="24" t="n"/>
      <c r="I24" s="8" t="n"/>
    </row>
    <row r="26" ht="104" customHeight="1">
      <c r="A26" s="14" t="inlineStr">
        <is>
          <t>注1）本シートの人口は見える化A系列のとおりであ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推計上の階級別人口（実績人口×社人研推計の伸び率）</t>
        </is>
      </c>
    </row>
    <row r="2" ht="48" customHeight="1">
      <c r="A2" s="2" t="inlineStr">
        <is>
          <t>令和7年度の実績人口（見える化B4系列・令和8年3月末）に、社人研推計の階級別の伸び率（見える化A4）を乗じて求める。基準年度の水準を実績に合わせることで、推計の出発点が実績と一致する。</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3551</v>
      </c>
      <c r="D6" s="9" t="n">
        <v>3524</v>
      </c>
      <c r="E6" s="9" t="n">
        <v>2011</v>
      </c>
      <c r="F6" s="9" t="n">
        <v>9086</v>
      </c>
      <c r="G6" s="9" t="inlineStr">
        <is>
          <t>0.9862</t>
        </is>
      </c>
      <c r="H6" s="9" t="inlineStr">
        <is>
          <t>1.0071</t>
        </is>
      </c>
      <c r="I6" s="9" t="inlineStr">
        <is>
          <t>1.0106</t>
        </is>
      </c>
      <c r="J6" s="5" t="inlineStr"/>
    </row>
    <row r="7" ht="18" customHeight="1">
      <c r="A7" s="18" t="inlineStr">
        <is>
          <t>令和9年度</t>
        </is>
      </c>
      <c r="B7" s="18" t="inlineStr">
        <is>
          <t>2027</t>
        </is>
      </c>
      <c r="C7" s="19" t="n">
        <v>3501</v>
      </c>
      <c r="D7" s="19" t="n">
        <v>3548</v>
      </c>
      <c r="E7" s="19" t="n">
        <v>2032</v>
      </c>
      <c r="F7" s="19" t="n">
        <v>9080</v>
      </c>
      <c r="G7" s="19" t="inlineStr">
        <is>
          <t>0.9724</t>
        </is>
      </c>
      <c r="H7" s="19" t="inlineStr">
        <is>
          <t>1.0139</t>
        </is>
      </c>
      <c r="I7" s="19" t="inlineStr">
        <is>
          <t>1.0208</t>
        </is>
      </c>
      <c r="J7" s="20" t="inlineStr"/>
    </row>
    <row r="8" ht="18" customHeight="1">
      <c r="A8" s="18" t="inlineStr">
        <is>
          <t>令和10年度</t>
        </is>
      </c>
      <c r="B8" s="18" t="inlineStr">
        <is>
          <t>2028</t>
        </is>
      </c>
      <c r="C8" s="19" t="n">
        <v>3452</v>
      </c>
      <c r="D8" s="19" t="n">
        <v>3574</v>
      </c>
      <c r="E8" s="19" t="n">
        <v>2052</v>
      </c>
      <c r="F8" s="19" t="n">
        <v>9078</v>
      </c>
      <c r="G8" s="19" t="inlineStr">
        <is>
          <t>0.9589</t>
        </is>
      </c>
      <c r="H8" s="19" t="inlineStr">
        <is>
          <t>1.0212</t>
        </is>
      </c>
      <c r="I8" s="19" t="inlineStr">
        <is>
          <t>1.0309</t>
        </is>
      </c>
      <c r="J8" s="20" t="inlineStr"/>
    </row>
    <row r="9" ht="18" customHeight="1">
      <c r="A9" s="18" t="inlineStr">
        <is>
          <t>令和11年度</t>
        </is>
      </c>
      <c r="B9" s="18" t="inlineStr">
        <is>
          <t>2029</t>
        </is>
      </c>
      <c r="C9" s="19" t="n">
        <v>3403</v>
      </c>
      <c r="D9" s="19" t="n">
        <v>3597</v>
      </c>
      <c r="E9" s="19" t="n">
        <v>2072</v>
      </c>
      <c r="F9" s="19" t="n">
        <v>9072</v>
      </c>
      <c r="G9" s="19" t="inlineStr">
        <is>
          <t>0.9451</t>
        </is>
      </c>
      <c r="H9" s="19" t="inlineStr">
        <is>
          <t>1.0280</t>
        </is>
      </c>
      <c r="I9" s="19" t="inlineStr">
        <is>
          <t>1.0411</t>
        </is>
      </c>
      <c r="J9" s="20" t="inlineStr">
        <is>
          <t>第10期の最終年度。85歳以上が82人増える一方、65〜74歳は197人減る</t>
        </is>
      </c>
    </row>
    <row r="10" ht="18" customHeight="1">
      <c r="A10" s="4" t="inlineStr">
        <is>
          <t>令和12年度</t>
        </is>
      </c>
      <c r="B10" s="4" t="inlineStr">
        <is>
          <t>2030</t>
        </is>
      </c>
      <c r="C10" s="9" t="n">
        <v>3353</v>
      </c>
      <c r="D10" s="9" t="n">
        <v>3622</v>
      </c>
      <c r="E10" s="9" t="n">
        <v>2093</v>
      </c>
      <c r="F10" s="9" t="n">
        <v>9068</v>
      </c>
      <c r="G10" s="9" t="inlineStr">
        <is>
          <t>0.9313</t>
        </is>
      </c>
      <c r="H10" s="9" t="inlineStr">
        <is>
          <t>1.0351</t>
        </is>
      </c>
      <c r="I10" s="9" t="inlineStr">
        <is>
          <t>1.0517</t>
        </is>
      </c>
      <c r="J10" s="5" t="inlineStr"/>
    </row>
    <row r="11" ht="18" customHeight="1">
      <c r="A11" s="21" t="inlineStr">
        <is>
          <t>令和17年度</t>
        </is>
      </c>
      <c r="B11" s="21" t="inlineStr">
        <is>
          <t>2035</t>
        </is>
      </c>
      <c r="C11" s="22" t="n">
        <v>3564</v>
      </c>
      <c r="D11" s="22" t="n">
        <v>3089</v>
      </c>
      <c r="E11" s="22" t="n">
        <v>2455</v>
      </c>
      <c r="F11" s="22" t="n">
        <v>9108</v>
      </c>
      <c r="G11" s="22" t="inlineStr">
        <is>
          <t>0.9898</t>
        </is>
      </c>
      <c r="H11" s="22" t="inlineStr">
        <is>
          <t>0.8829</t>
        </is>
      </c>
      <c r="I11" s="22" t="inlineStr">
        <is>
          <t>1.2335</t>
        </is>
      </c>
      <c r="J11" s="7" t="inlineStr">
        <is>
          <t>75〜84歳が3,089人へ減少。85歳以上は2,455人へ増加</t>
        </is>
      </c>
    </row>
    <row r="12" ht="18" customHeight="1">
      <c r="A12" s="21" t="inlineStr">
        <is>
          <t>令和22年度</t>
        </is>
      </c>
      <c r="B12" s="21" t="inlineStr">
        <is>
          <t>2040</t>
        </is>
      </c>
      <c r="C12" s="22" t="n">
        <v>3862</v>
      </c>
      <c r="D12" s="22" t="n">
        <v>2909</v>
      </c>
      <c r="E12" s="22" t="n">
        <v>2581</v>
      </c>
      <c r="F12" s="22" t="n">
        <v>9352</v>
      </c>
      <c r="G12" s="22" t="inlineStr">
        <is>
          <t>1.0726</t>
        </is>
      </c>
      <c r="H12" s="22" t="inlineStr">
        <is>
          <t>0.8314</t>
        </is>
      </c>
      <c r="I12" s="22" t="inlineStr">
        <is>
          <t>1.2967</t>
        </is>
      </c>
      <c r="J12" s="7" t="inlineStr">
        <is>
          <t>85歳以上が2,581人でピーク。65〜74歳も3,862人へ回復する</t>
        </is>
      </c>
    </row>
    <row r="13" ht="18" customHeight="1">
      <c r="A13" s="21" t="inlineStr">
        <is>
          <t>令和27年度</t>
        </is>
      </c>
      <c r="B13" s="21" t="inlineStr">
        <is>
          <t>2045</t>
        </is>
      </c>
      <c r="C13" s="22" t="n">
        <v>3754</v>
      </c>
      <c r="D13" s="22" t="n">
        <v>3119</v>
      </c>
      <c r="E13" s="22" t="n">
        <v>2384</v>
      </c>
      <c r="F13" s="22" t="n">
        <v>9257</v>
      </c>
      <c r="G13" s="22" t="inlineStr">
        <is>
          <t>1.0425</t>
        </is>
      </c>
      <c r="H13" s="22" t="inlineStr">
        <is>
          <t>0.8913</t>
        </is>
      </c>
      <c r="I13" s="22" t="inlineStr">
        <is>
          <t>1.1980</t>
        </is>
      </c>
      <c r="J13" s="7" t="inlineStr"/>
    </row>
    <row r="14" ht="18" customHeight="1">
      <c r="A14" s="21" t="inlineStr">
        <is>
          <t>令和32年度</t>
        </is>
      </c>
      <c r="B14" s="21" t="inlineStr">
        <is>
          <t>2050</t>
        </is>
      </c>
      <c r="C14" s="22" t="n">
        <v>3242</v>
      </c>
      <c r="D14" s="22" t="n">
        <v>3410</v>
      </c>
      <c r="E14" s="22" t="n">
        <v>2327</v>
      </c>
      <c r="F14" s="22" t="n">
        <v>8979</v>
      </c>
      <c r="G14" s="22" t="inlineStr">
        <is>
          <t>0.9003</t>
        </is>
      </c>
      <c r="H14" s="22" t="inlineStr">
        <is>
          <t>0.9745</t>
        </is>
      </c>
      <c r="I14" s="22" t="inlineStr">
        <is>
          <t>1.1694</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3501</v>
      </c>
      <c r="D18" s="9" t="n">
        <v>3452</v>
      </c>
      <c r="E18" s="9" t="n">
        <v>3403</v>
      </c>
      <c r="F18" s="11" t="inlineStr">
        <is>
          <t>-198人（-5.5％）</t>
        </is>
      </c>
      <c r="G18" s="24" t="n"/>
      <c r="H18" s="24" t="n"/>
      <c r="I18" s="8" t="n"/>
      <c r="J18" s="26" t="inlineStr">
        <is>
          <t>団塊世代が75歳以上へ移行するため減る。</t>
        </is>
      </c>
    </row>
    <row r="19" ht="20" customHeight="1">
      <c r="A19" s="5" t="inlineStr">
        <is>
          <t>75〜84歳</t>
        </is>
      </c>
      <c r="B19" s="9" t="n">
        <v>3499</v>
      </c>
      <c r="C19" s="9" t="n">
        <v>3548</v>
      </c>
      <c r="D19" s="9" t="n">
        <v>3574</v>
      </c>
      <c r="E19" s="9" t="n">
        <v>3597</v>
      </c>
      <c r="F19" s="27" t="inlineStr">
        <is>
          <t>+98人（+2.8％）</t>
        </is>
      </c>
      <c r="G19" s="24" t="n"/>
      <c r="H19" s="24" t="n"/>
      <c r="I19" s="8" t="n"/>
      <c r="J19" s="26" t="inlineStr">
        <is>
          <t>団塊世代の移行により増える。</t>
        </is>
      </c>
    </row>
    <row r="20" ht="20" customHeight="1">
      <c r="A20" s="5" t="inlineStr">
        <is>
          <t>85歳以上</t>
        </is>
      </c>
      <c r="B20" s="9" t="n">
        <v>1990</v>
      </c>
      <c r="C20" s="9" t="n">
        <v>2032</v>
      </c>
      <c r="D20" s="9" t="n">
        <v>2052</v>
      </c>
      <c r="E20" s="9" t="n">
        <v>2072</v>
      </c>
      <c r="F20" s="27" t="inlineStr">
        <is>
          <t>+82人（+4.1％）</t>
        </is>
      </c>
      <c r="G20" s="24" t="n"/>
      <c r="H20" s="24" t="n"/>
      <c r="I20" s="8" t="n"/>
      <c r="J20" s="26" t="inlineStr">
        <is>
          <t>一貫して増える。認定者数の増加はここが源である。</t>
        </is>
      </c>
    </row>
    <row r="21" ht="20" customHeight="1">
      <c r="A21" s="12" t="inlineStr">
        <is>
          <t>計</t>
        </is>
      </c>
      <c r="B21" s="13" t="n">
        <v>9090</v>
      </c>
      <c r="C21" s="13" t="n">
        <v>9080</v>
      </c>
      <c r="D21" s="13" t="n">
        <v>9078</v>
      </c>
      <c r="E21" s="13" t="n">
        <v>9072</v>
      </c>
      <c r="F21" s="13" t="inlineStr">
        <is>
          <t>-18人（-0.2％）</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見える化A4（国勢調査・社人研推計）による。A4の各年の値は5年ごとの推計点の線形補間であるため、伸び率も区間内では一定である。注3）65歳以上の合計は第10期の3年間でほぼ変わらないが、85歳以上が82人増え65〜74歳が197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1999</v>
      </c>
      <c r="G6" s="9" t="inlineStr">
        <is>
          <t>22.0％</t>
        </is>
      </c>
      <c r="H6" s="9" t="n">
        <v>1990</v>
      </c>
      <c r="I6" s="9" t="inlineStr">
        <is>
          <t>21.9％</t>
        </is>
      </c>
      <c r="J6" s="9" t="n">
        <v>2016</v>
      </c>
      <c r="K6" s="9" t="inlineStr">
        <is>
          <t>22.2％</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2014</v>
      </c>
      <c r="G7" s="19" t="inlineStr">
        <is>
          <t>22.2％</t>
        </is>
      </c>
      <c r="H7" s="19" t="n">
        <v>1995</v>
      </c>
      <c r="I7" s="19" t="inlineStr">
        <is>
          <t>22.0％</t>
        </is>
      </c>
      <c r="J7" s="19" t="n">
        <v>2048</v>
      </c>
      <c r="K7" s="19" t="inlineStr">
        <is>
          <t>22.5％</t>
        </is>
      </c>
      <c r="L7" s="19" t="inlineStr">
        <is>
          <t>-19人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2029</v>
      </c>
      <c r="G8" s="19" t="inlineStr">
        <is>
          <t>22.4％</t>
        </is>
      </c>
      <c r="H8" s="19" t="n">
        <v>2000</v>
      </c>
      <c r="I8" s="19" t="inlineStr">
        <is>
          <t>22.0％</t>
        </is>
      </c>
      <c r="J8" s="19" t="n">
        <v>2080</v>
      </c>
      <c r="K8" s="19" t="inlineStr">
        <is>
          <t>22.9％</t>
        </is>
      </c>
      <c r="L8" s="19" t="inlineStr">
        <is>
          <t>-29人</t>
        </is>
      </c>
      <c r="M8" s="19" t="inlineStr">
        <is>
          <t>+51人</t>
        </is>
      </c>
    </row>
    <row r="9" ht="18" customHeight="1">
      <c r="A9" s="18" t="inlineStr">
        <is>
          <t>令和11年度</t>
        </is>
      </c>
      <c r="B9" s="18" t="inlineStr">
        <is>
          <t>2029</t>
        </is>
      </c>
      <c r="C9" s="19" t="inlineStr">
        <is>
          <t>4.03</t>
        </is>
      </c>
      <c r="D9" s="19" t="inlineStr">
        <is>
          <t>17.52</t>
        </is>
      </c>
      <c r="E9" s="19" t="inlineStr">
        <is>
          <t>61.60</t>
        </is>
      </c>
      <c r="F9" s="19" t="n">
        <v>2044</v>
      </c>
      <c r="G9" s="19" t="inlineStr">
        <is>
          <t>22.5％</t>
        </is>
      </c>
      <c r="H9" s="19" t="n">
        <v>2004</v>
      </c>
      <c r="I9" s="19" t="inlineStr">
        <is>
          <t>22.1％</t>
        </is>
      </c>
      <c r="J9" s="19" t="n">
        <v>2112</v>
      </c>
      <c r="K9" s="19" t="inlineStr">
        <is>
          <t>23.3％</t>
        </is>
      </c>
      <c r="L9" s="19" t="inlineStr">
        <is>
          <t>-39人</t>
        </is>
      </c>
      <c r="M9" s="19" t="inlineStr">
        <is>
          <t>+68人</t>
        </is>
      </c>
    </row>
    <row r="10" ht="18" customHeight="1">
      <c r="A10" s="4" t="inlineStr">
        <is>
          <t>令和12年度</t>
        </is>
      </c>
      <c r="B10" s="4" t="inlineStr">
        <is>
          <t>2030</t>
        </is>
      </c>
      <c r="C10" s="9" t="inlineStr">
        <is>
          <t>4.03</t>
        </is>
      </c>
      <c r="D10" s="9" t="inlineStr">
        <is>
          <t>17.52</t>
        </is>
      </c>
      <c r="E10" s="9" t="inlineStr">
        <is>
          <t>61.60</t>
        </is>
      </c>
      <c r="F10" s="9" t="n">
        <v>2059</v>
      </c>
      <c r="G10" s="9" t="inlineStr">
        <is>
          <t>22.7％</t>
        </is>
      </c>
      <c r="H10" s="9" t="n">
        <v>2019</v>
      </c>
      <c r="I10" s="9" t="inlineStr">
        <is>
          <t>22.3％</t>
        </is>
      </c>
      <c r="J10" s="9" t="n">
        <v>2128</v>
      </c>
      <c r="K10" s="9" t="inlineStr">
        <is>
          <t>23.5％</t>
        </is>
      </c>
      <c r="L10" s="9" t="inlineStr">
        <is>
          <t>-39人</t>
        </is>
      </c>
      <c r="M10" s="9" t="inlineStr">
        <is>
          <t>+69人</t>
        </is>
      </c>
    </row>
    <row r="11" ht="18" customHeight="1">
      <c r="A11" s="21" t="inlineStr">
        <is>
          <t>令和17年度</t>
        </is>
      </c>
      <c r="B11" s="21" t="inlineStr">
        <is>
          <t>2035</t>
        </is>
      </c>
      <c r="C11" s="22" t="inlineStr">
        <is>
          <t>4.03</t>
        </is>
      </c>
      <c r="D11" s="22" t="inlineStr">
        <is>
          <t>17.52</t>
        </is>
      </c>
      <c r="E11" s="22" t="inlineStr">
        <is>
          <t>61.60</t>
        </is>
      </c>
      <c r="F11" s="22" t="n">
        <v>2197</v>
      </c>
      <c r="G11" s="22" t="inlineStr">
        <is>
          <t>24.1％</t>
        </is>
      </c>
      <c r="H11" s="22" t="n">
        <v>2158</v>
      </c>
      <c r="I11" s="22" t="inlineStr">
        <is>
          <t>23.7％</t>
        </is>
      </c>
      <c r="J11" s="22" t="n">
        <v>2265</v>
      </c>
      <c r="K11" s="22" t="inlineStr">
        <is>
          <t>24.9％</t>
        </is>
      </c>
      <c r="L11" s="22" t="inlineStr">
        <is>
          <t>-39人</t>
        </is>
      </c>
      <c r="M11" s="22" t="inlineStr">
        <is>
          <t>+68人</t>
        </is>
      </c>
    </row>
    <row r="12" ht="18" customHeight="1">
      <c r="A12" s="21" t="inlineStr">
        <is>
          <t>令和22年度</t>
        </is>
      </c>
      <c r="B12" s="21" t="inlineStr">
        <is>
          <t>2040</t>
        </is>
      </c>
      <c r="C12" s="22" t="inlineStr">
        <is>
          <t>4.03</t>
        </is>
      </c>
      <c r="D12" s="22" t="inlineStr">
        <is>
          <t>17.52</t>
        </is>
      </c>
      <c r="E12" s="22" t="inlineStr">
        <is>
          <t>61.60</t>
        </is>
      </c>
      <c r="F12" s="22" t="n">
        <v>2255</v>
      </c>
      <c r="G12" s="22" t="inlineStr">
        <is>
          <t>24.1％</t>
        </is>
      </c>
      <c r="H12" s="22" t="n">
        <v>2216</v>
      </c>
      <c r="I12" s="22" t="inlineStr">
        <is>
          <t>23.7％</t>
        </is>
      </c>
      <c r="J12" s="22" t="n">
        <v>2323</v>
      </c>
      <c r="K12" s="22" t="inlineStr">
        <is>
          <t>24.8％</t>
        </is>
      </c>
      <c r="L12" s="22" t="inlineStr">
        <is>
          <t>-39人</t>
        </is>
      </c>
      <c r="M12" s="22" t="inlineStr">
        <is>
          <t>+68人</t>
        </is>
      </c>
    </row>
    <row r="13" ht="18" customHeight="1">
      <c r="A13" s="21" t="inlineStr">
        <is>
          <t>令和27年度</t>
        </is>
      </c>
      <c r="B13" s="21" t="inlineStr">
        <is>
          <t>2045</t>
        </is>
      </c>
      <c r="C13" s="22" t="inlineStr">
        <is>
          <t>4.03</t>
        </is>
      </c>
      <c r="D13" s="22" t="inlineStr">
        <is>
          <t>17.52</t>
        </is>
      </c>
      <c r="E13" s="22" t="inlineStr">
        <is>
          <t>61.60</t>
        </is>
      </c>
      <c r="F13" s="22" t="n">
        <v>2166</v>
      </c>
      <c r="G13" s="22" t="inlineStr">
        <is>
          <t>23.4％</t>
        </is>
      </c>
      <c r="H13" s="22" t="n">
        <v>2128</v>
      </c>
      <c r="I13" s="22" t="inlineStr">
        <is>
          <t>23.0％</t>
        </is>
      </c>
      <c r="J13" s="22" t="n">
        <v>2234</v>
      </c>
      <c r="K13" s="22" t="inlineStr">
        <is>
          <t>24.1％</t>
        </is>
      </c>
      <c r="L13" s="22" t="inlineStr">
        <is>
          <t>-38人</t>
        </is>
      </c>
      <c r="M13" s="22" t="inlineStr">
        <is>
          <t>+67人</t>
        </is>
      </c>
    </row>
    <row r="14" ht="18" customHeight="1">
      <c r="A14" s="21" t="inlineStr">
        <is>
          <t>令和32年度</t>
        </is>
      </c>
      <c r="B14" s="21" t="inlineStr">
        <is>
          <t>2050</t>
        </is>
      </c>
      <c r="C14" s="22" t="inlineStr">
        <is>
          <t>4.03</t>
        </is>
      </c>
      <c r="D14" s="22" t="inlineStr">
        <is>
          <t>17.52</t>
        </is>
      </c>
      <c r="E14" s="22" t="inlineStr">
        <is>
          <t>61.60</t>
        </is>
      </c>
      <c r="F14" s="22" t="n">
        <v>2162</v>
      </c>
      <c r="G14" s="22" t="inlineStr">
        <is>
          <t>24.1％</t>
        </is>
      </c>
      <c r="H14" s="22" t="n">
        <v>2122</v>
      </c>
      <c r="I14" s="22" t="inlineStr">
        <is>
          <t>23.6％</t>
        </is>
      </c>
      <c r="J14" s="22" t="n">
        <v>2232</v>
      </c>
      <c r="K14" s="22" t="inlineStr">
        <is>
          <t>24.9％</t>
        </is>
      </c>
      <c r="L14" s="22" t="inlineStr">
        <is>
          <t>-40人</t>
        </is>
      </c>
      <c r="M14" s="22" t="inlineStr">
        <is>
          <t>+70人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2044</v>
      </c>
      <c r="I18" s="9" t="n">
        <v>2255</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2004</v>
      </c>
      <c r="I19" s="9" t="n">
        <v>2216</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2112</v>
      </c>
      <c r="I20" s="9" t="n">
        <v>2323</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2014</v>
      </c>
      <c r="C24" s="9" t="n">
        <v>2029</v>
      </c>
      <c r="D24" s="9" t="n">
        <v>2044</v>
      </c>
      <c r="E24" s="9" t="n">
        <v>6087</v>
      </c>
      <c r="F24" s="5" t="inlineStr"/>
      <c r="G24" s="24" t="n"/>
      <c r="H24" s="24" t="n"/>
      <c r="I24" s="24" t="n"/>
      <c r="J24" s="24" t="n"/>
      <c r="K24" s="24" t="n"/>
      <c r="L24" s="8" t="n"/>
      <c r="M24" s="9" t="inlineStr">
        <is>
          <t>+0人（+0.0％）</t>
        </is>
      </c>
    </row>
    <row r="25" ht="20" customHeight="1">
      <c r="A25" s="23" t="inlineStr">
        <is>
          <t>② トレンド継続</t>
        </is>
      </c>
      <c r="B25" s="9" t="n">
        <v>1995</v>
      </c>
      <c r="C25" s="9" t="n">
        <v>2000</v>
      </c>
      <c r="D25" s="9" t="n">
        <v>2004</v>
      </c>
      <c r="E25" s="9" t="n">
        <v>5999</v>
      </c>
      <c r="F25" s="5" t="inlineStr"/>
      <c r="G25" s="24" t="n"/>
      <c r="H25" s="24" t="n"/>
      <c r="I25" s="24" t="n"/>
      <c r="J25" s="24" t="n"/>
      <c r="K25" s="24" t="n"/>
      <c r="L25" s="8" t="n"/>
      <c r="M25" s="9" t="inlineStr">
        <is>
          <t>-88人（-1.4％）</t>
        </is>
      </c>
    </row>
    <row r="26" ht="20" customHeight="1">
      <c r="A26" s="25" t="inlineStr">
        <is>
          <t>③ 令和元年水準へ回帰</t>
        </is>
      </c>
      <c r="B26" s="9" t="n">
        <v>2048</v>
      </c>
      <c r="C26" s="9" t="n">
        <v>2080</v>
      </c>
      <c r="D26" s="9" t="n">
        <v>2112</v>
      </c>
      <c r="E26" s="9" t="n">
        <v>6240</v>
      </c>
      <c r="F26" s="5" t="inlineStr"/>
      <c r="G26" s="24" t="n"/>
      <c r="H26" s="24" t="n"/>
      <c r="I26" s="24" t="n"/>
      <c r="J26" s="24" t="n"/>
      <c r="K26" s="24" t="n"/>
      <c r="L26" s="8" t="n"/>
      <c r="M26" s="9" t="inlineStr">
        <is>
          <t>+153人（+2.5％）</t>
        </is>
      </c>
    </row>
    <row r="28" ht="104" customHeight="1">
      <c r="A28" s="14" t="inlineStr">
        <is>
          <t>注1）第10期の3年間の認定者数の合計は、①現状固定6087人、②トレンド継続5999人、③令和元年水準6240人である。最大と最小の差は241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2044</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2004</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2112</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から介護予防（軽度認定の抑制）へ移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A系列を水準としてそのまま用いた場合、令和11年度の認定者数は2164人となり、本推計（2044人）を5.9％上回る。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2044</v>
      </c>
      <c r="C15" s="9" t="n">
        <v>2164</v>
      </c>
      <c r="D15" s="11" t="inlineStr">
        <is>
          <t>+120人（+5.9％）</t>
        </is>
      </c>
      <c r="E15" s="5" t="inlineStr">
        <is>
          <t>85歳以上の母集団が8.9％異なることによる</t>
        </is>
      </c>
    </row>
    <row r="16" ht="20" customHeight="1">
      <c r="A16" s="5" t="inlineStr">
        <is>
          <t>令和22年度</t>
        </is>
      </c>
      <c r="B16" s="9" t="n">
        <v>2255</v>
      </c>
      <c r="C16" s="9" t="n">
        <v>2402</v>
      </c>
      <c r="D16" s="11" t="inlineStr">
        <is>
          <t>+147人（+6.5％）</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2004</v>
      </c>
      <c r="D82" s="9">
        <f>B82-C82</f>
        <v/>
      </c>
      <c r="E82" s="5" t="inlineStr"/>
      <c r="F82" s="24" t="n"/>
      <c r="G82" s="24" t="n"/>
      <c r="H82" s="8" t="n"/>
      <c r="I82" s="4">
        <f>IF(ABS(D82)&lt;=1,"一致","要確認")</f>
        <v/>
      </c>
    </row>
    <row r="83" ht="20" customHeight="1">
      <c r="A83" s="5" t="inlineStr">
        <is>
          <t>令和22年度の認定者数</t>
        </is>
      </c>
      <c r="B83" s="9">
        <f>ROUND(F65,0)</f>
        <v/>
      </c>
      <c r="C83" s="9" t="n">
        <v>2216</v>
      </c>
      <c r="D83" s="9">
        <f>B83-C83</f>
        <v/>
      </c>
      <c r="E83" s="5" t="inlineStr"/>
      <c r="F83" s="24" t="n"/>
      <c r="G83" s="24" t="n"/>
      <c r="H83" s="8" t="n"/>
      <c r="I83" s="4">
        <f>IF(ABS(D83)&lt;=1,"一致","要確認")</f>
        <v/>
      </c>
    </row>
    <row r="84" ht="20" customHeight="1">
      <c r="A84" s="5" t="inlineStr">
        <is>
          <t>令和11年度の65歳以上</t>
        </is>
      </c>
      <c r="B84" s="9">
        <f>ROUND(F36,0)</f>
        <v/>
      </c>
      <c r="C84" s="9" t="n">
        <v>9072</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2026-08-18T02:05:23Z</dcterms:created>
  <dcterms:modified xmlns:dcterms="http://purl.org/dc/terms/" xmlns:xsi="http://www.w3.org/2001/XMLSchema-instance" xsi:type="dcterms:W3CDTF">2026-08-18T02:05:23Z</dcterms:modified>
</cp:coreProperties>
</file>