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社人研推計（令和5年推計・令和2年国勢調査基準）を参考として掲げる。第10期期間中、総人口は▲3.3％、65歳以上人口は▲0.1％。推計に用いる伸び率は02シートのとおり住民基本台帳による。</t>
        </is>
      </c>
      <c r="E5" s="5" t="inlineStr">
        <is>
          <t>令和8年8月31日のご指示</t>
        </is>
      </c>
    </row>
    <row r="6" ht="68" customHeight="1">
      <c r="A6" s="4" t="inlineStr">
        <is>
          <t>2</t>
        </is>
      </c>
      <c r="B6" s="5" t="inlineStr">
        <is>
          <t>02_推計上の階級別人口</t>
        </is>
      </c>
      <c r="C6" s="5" t="inlineStr">
        <is>
          <t>階級別人口＝令和7年度の実績人口×住民基本台帳の実績趨勢による階級別の伸び率。</t>
        </is>
      </c>
      <c r="D6" s="5" t="inlineStr">
        <is>
          <t>令和11年度の65歳以上は9,213人（令和7年度9,090人）。85歳以上は1,990人から2,152人へ8.1％増える。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令和11年度の認定者数は、①現状固定2,108人、②トレンド継続2,067人、③令和元年水準2,178人。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②トレンド継続を推奨する。第10期の3年間の認定者数の合計は①6,229人・②6,138人・③6,385人で、最大と最小の差は247人（4.0％）。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人口推計の基礎（総合戦略上の人口による）</t>
        </is>
      </c>
    </row>
    <row r="2" ht="48" customHeight="1">
      <c r="A2" s="2" t="inlineStr">
        <is>
          <t>令和8年8月31日のご指示により、人口推計の基礎は社人研推計ではなく総合戦略上の人口とする。総合戦略は総人口の目標のみを持つため、年齢階級別の伸び率は住民基本台帳の実績趨勢による（02シート）。本シートは、参考として見える化A系列（社人研）の値を掲げ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採用する基礎（令和8年8月31日のご指示）</t>
        </is>
      </c>
      <c r="B18" s="5" t="inlineStr">
        <is>
          <t>第10期の人口推計の基礎は、社人研推計ではなく総合戦略上の人口とする。総人口は3町の地方創生総合戦略（人口ビジョン）の目標人口を、年齢階級別の伸び率は住民基本台帳の実績趨勢（平成31年〜令和7年の年平均変化率）を用いる。</t>
        </is>
      </c>
      <c r="C18" s="24" t="n"/>
      <c r="D18" s="24" t="n"/>
      <c r="E18" s="24" t="n"/>
      <c r="F18" s="24" t="n"/>
      <c r="G18" s="24" t="n"/>
      <c r="H18" s="24" t="n"/>
      <c r="I18" s="8" t="n"/>
    </row>
    <row r="19" ht="40" customHeight="1">
      <c r="A19" s="25" t="inlineStr">
        <is>
          <t>階級別を住民基本台帳によることの理由</t>
        </is>
      </c>
      <c r="B19" s="5" t="inlineStr">
        <is>
          <t>総合戦略が持つのは総人口の目標のみであり、65歳以上・75歳以上の内訳を持たない。認定者数の推計は階級別人口を要するため、階級別の伸び率は住民基本台帳の実績趨勢による。詳細は「人口推計の基礎の変更_総合戦略ベース」による。</t>
        </is>
      </c>
      <c r="C19" s="24" t="n"/>
      <c r="D19" s="24" t="n"/>
      <c r="E19" s="24" t="n"/>
      <c r="F19" s="24" t="n"/>
      <c r="G19" s="24" t="n"/>
      <c r="H19" s="24" t="n"/>
      <c r="I19" s="8" t="n"/>
    </row>
    <row r="20" ht="40" customHeight="1">
      <c r="A20" s="25" t="inlineStr">
        <is>
          <t>この基礎を採ることの根拠</t>
        </is>
      </c>
      <c r="B20" s="5" t="inlineStr">
        <is>
          <t>「自然体推計の計算過程確認シートのガイド」は、保険者が保有する総合計画等による推計人口を用いることを基本とし、これを用意できない場合に社人研推計を利用することとしている。総合戦略上の人口を用いることは、このガイドの原則に沿う。</t>
        </is>
      </c>
      <c r="C20" s="24" t="n"/>
      <c r="D20" s="24" t="n"/>
      <c r="E20" s="24" t="n"/>
      <c r="F20" s="24" t="n"/>
      <c r="G20" s="24" t="n"/>
      <c r="H20" s="24" t="n"/>
      <c r="I20" s="8" t="n"/>
    </row>
    <row r="21" ht="40" customHeight="1">
      <c r="A21" s="25" t="inlineStr">
        <is>
          <t>令和12年度以降の扱い</t>
        </is>
      </c>
      <c r="B21" s="5" t="inlineStr">
        <is>
          <t>総合戦略は令和11年度までしか目標を持たない。中長期推計（令和22年度・令和32年度）は社人研推計によらざるを得ないため、第10期の3年間と中長期とで基礎が異なることを計画本文に明記する。</t>
        </is>
      </c>
      <c r="C21" s="24" t="n"/>
      <c r="D21" s="24" t="n"/>
      <c r="E21" s="24" t="n"/>
      <c r="F21" s="24" t="n"/>
      <c r="G21" s="24" t="n"/>
      <c r="H21" s="24" t="n"/>
      <c r="I21" s="8" t="n"/>
    </row>
    <row r="22" ht="40" customHeight="1">
      <c r="A22" s="25" t="inlineStr">
        <is>
          <t>従前の案の扱い</t>
        </is>
      </c>
      <c r="B22" s="5" t="inlineStr">
        <is>
          <t>令和8年7月30日に受託者が仮に置いた案（社人研推計をそのまま用いる）は、本シートの参考表及び「人口推計の補正_65歳以上75歳以上の突合」に案A・案Bとして残す。対比の記録として保存する。</t>
        </is>
      </c>
      <c r="C22" s="24" t="n"/>
      <c r="D22" s="24" t="n"/>
      <c r="E22" s="24" t="n"/>
      <c r="F22" s="24" t="n"/>
      <c r="G22" s="24" t="n"/>
      <c r="H22" s="24" t="n"/>
      <c r="I22" s="8" t="n"/>
    </row>
    <row r="23" ht="40" customHeight="1">
      <c r="A23" s="25" t="inlineStr">
        <is>
          <t>計画本文への記載</t>
        </is>
      </c>
      <c r="B23" s="5" t="inlineStr">
        <is>
          <t>第2章第1節に、人口推計の基礎、第9期計画（住民基本台帳・コーホート変化率法）の数値と一致しないこと、及びその理由を記載する。</t>
        </is>
      </c>
      <c r="C23" s="24" t="n"/>
      <c r="D23" s="24" t="n"/>
      <c r="E23" s="24" t="n"/>
      <c r="F23" s="24" t="n"/>
      <c r="G23" s="24" t="n"/>
      <c r="H23" s="24" t="n"/>
      <c r="I23" s="8" t="n"/>
    </row>
    <row r="24" ht="40" customHeight="1">
      <c r="A24" s="25" t="inlineStr">
        <is>
          <t>なお確定を要すること</t>
        </is>
      </c>
      <c r="B24" s="5" t="inlineStr">
        <is>
          <t>美瑛町の総合戦略に人口の目標値がないこと、東神楽町の実績が目標を下回る見込みであることから、総人口の目標値を3町一律には用いられない。確定を要する事項は「人口推計の基礎の変更_総合戦略ベース」06シートによる。</t>
        </is>
      </c>
      <c r="C24" s="24" t="n"/>
      <c r="D24" s="24" t="n"/>
      <c r="E24" s="24" t="n"/>
      <c r="F24" s="24" t="n"/>
      <c r="G24" s="24" t="n"/>
      <c r="H24" s="24" t="n"/>
      <c r="I24" s="8" t="n"/>
    </row>
    <row r="26" ht="104" customHeight="1">
      <c r="A26" s="14" t="inlineStr">
        <is>
          <t>注1）本シートの人口は見える化A系列（社人研）のとおりであり、参考である。推計に用いる階級別人口は02シートによ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推計上の階級別人口（実績人口×住民基本台帳の実績趨勢）</t>
        </is>
      </c>
    </row>
    <row r="2" ht="48" customHeight="1">
      <c r="A2" s="2" t="inlineStr">
        <is>
          <t>令和7年度の実績人口（見える化B4系列・令和8年3月末）に、住民基本台帳の階級別の実績趨勢（平成31年〜令和7年の年平均変化率）を乗じて求める。基準年度の水準を実績に合わせることで、推計の出発点が実績と一致する。令和12年度以降は、令和11年度を起点に社人研推計の伸び率で接続する（総合戦略が令和11年度までしか目標を持たないため）。</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3542</v>
      </c>
      <c r="D6" s="9" t="n">
        <v>3546</v>
      </c>
      <c r="E6" s="9" t="n">
        <v>2030</v>
      </c>
      <c r="F6" s="9" t="n">
        <v>9117</v>
      </c>
      <c r="G6" s="9" t="inlineStr">
        <is>
          <t>0.9838</t>
        </is>
      </c>
      <c r="H6" s="9" t="inlineStr">
        <is>
          <t>1.0133</t>
        </is>
      </c>
      <c r="I6" s="9" t="inlineStr">
        <is>
          <t>1.0197</t>
        </is>
      </c>
      <c r="J6" s="5" t="inlineStr"/>
    </row>
    <row r="7" ht="18" customHeight="1">
      <c r="A7" s="18" t="inlineStr">
        <is>
          <t>令和9年度</t>
        </is>
      </c>
      <c r="B7" s="18" t="inlineStr">
        <is>
          <t>2027</t>
        </is>
      </c>
      <c r="C7" s="19" t="n">
        <v>3484</v>
      </c>
      <c r="D7" s="19" t="n">
        <v>3593</v>
      </c>
      <c r="E7" s="19" t="n">
        <v>2070</v>
      </c>
      <c r="F7" s="19" t="n">
        <v>9147</v>
      </c>
      <c r="G7" s="19" t="inlineStr">
        <is>
          <t>0.9678</t>
        </is>
      </c>
      <c r="H7" s="19" t="inlineStr">
        <is>
          <t>1.0267</t>
        </is>
      </c>
      <c r="I7" s="19" t="inlineStr">
        <is>
          <t>1.0399</t>
        </is>
      </c>
      <c r="J7" s="20" t="inlineStr"/>
    </row>
    <row r="8" ht="18" customHeight="1">
      <c r="A8" s="18" t="inlineStr">
        <is>
          <t>令和10年度</t>
        </is>
      </c>
      <c r="B8" s="18" t="inlineStr">
        <is>
          <t>2028</t>
        </is>
      </c>
      <c r="C8" s="19" t="n">
        <v>3428</v>
      </c>
      <c r="D8" s="19" t="n">
        <v>3641</v>
      </c>
      <c r="E8" s="19" t="n">
        <v>2111</v>
      </c>
      <c r="F8" s="19" t="n">
        <v>9179</v>
      </c>
      <c r="G8" s="19" t="inlineStr">
        <is>
          <t>0.9521</t>
        </is>
      </c>
      <c r="H8" s="19" t="inlineStr">
        <is>
          <t>1.0404</t>
        </is>
      </c>
      <c r="I8" s="19" t="inlineStr">
        <is>
          <t>1.0604</t>
        </is>
      </c>
      <c r="J8" s="20" t="inlineStr"/>
    </row>
    <row r="9" ht="18" customHeight="1">
      <c r="A9" s="18" t="inlineStr">
        <is>
          <t>令和11年度</t>
        </is>
      </c>
      <c r="B9" s="18" t="inlineStr">
        <is>
          <t>2029</t>
        </is>
      </c>
      <c r="C9" s="19" t="n">
        <v>3372</v>
      </c>
      <c r="D9" s="19" t="n">
        <v>3689</v>
      </c>
      <c r="E9" s="19" t="n">
        <v>2152</v>
      </c>
      <c r="F9" s="19" t="n">
        <v>9213</v>
      </c>
      <c r="G9" s="19" t="inlineStr">
        <is>
          <t>0.9366</t>
        </is>
      </c>
      <c r="H9" s="19" t="inlineStr">
        <is>
          <t>1.0542</t>
        </is>
      </c>
      <c r="I9" s="19" t="inlineStr">
        <is>
          <t>1.0814</t>
        </is>
      </c>
      <c r="J9" s="20" t="inlineStr">
        <is>
          <t>第10期の最終年度。85歳以上が+161人、75〜84歳が+189人、65〜74歳が-228人</t>
        </is>
      </c>
    </row>
    <row r="10" ht="18" customHeight="1">
      <c r="A10" s="4" t="inlineStr">
        <is>
          <t>令和12年度</t>
        </is>
      </c>
      <c r="B10" s="4" t="inlineStr">
        <is>
          <t>2030</t>
        </is>
      </c>
      <c r="C10" s="9" t="n">
        <v>3323</v>
      </c>
      <c r="D10" s="9" t="n">
        <v>3714</v>
      </c>
      <c r="E10" s="9" t="n">
        <v>2174</v>
      </c>
      <c r="F10" s="9" t="n">
        <v>9211</v>
      </c>
      <c r="G10" s="9" t="inlineStr">
        <is>
          <t>0.9229</t>
        </is>
      </c>
      <c r="H10" s="9" t="inlineStr">
        <is>
          <t>1.0615</t>
        </is>
      </c>
      <c r="I10" s="9" t="inlineStr">
        <is>
          <t>1.0924</t>
        </is>
      </c>
      <c r="J10" s="5" t="inlineStr">
        <is>
          <t>令和12年度以降は社人研推計の伸び率で接続する</t>
        </is>
      </c>
    </row>
    <row r="11" ht="18" customHeight="1">
      <c r="A11" s="21" t="inlineStr">
        <is>
          <t>令和17年度</t>
        </is>
      </c>
      <c r="B11" s="21" t="inlineStr">
        <is>
          <t>2035</t>
        </is>
      </c>
      <c r="C11" s="22" t="n">
        <v>3532</v>
      </c>
      <c r="D11" s="22" t="n">
        <v>3168</v>
      </c>
      <c r="E11" s="22" t="n">
        <v>2550</v>
      </c>
      <c r="F11" s="22" t="n">
        <v>9250</v>
      </c>
      <c r="G11" s="22" t="inlineStr">
        <is>
          <t>0.9809</t>
        </is>
      </c>
      <c r="H11" s="22" t="inlineStr">
        <is>
          <t>0.9053</t>
        </is>
      </c>
      <c r="I11" s="22" t="inlineStr">
        <is>
          <t>1.2812</t>
        </is>
      </c>
      <c r="J11" s="7" t="inlineStr">
        <is>
          <t>75〜84歳が3,168人、85歳以上が2,550人</t>
        </is>
      </c>
    </row>
    <row r="12" ht="18" customHeight="1">
      <c r="A12" s="21" t="inlineStr">
        <is>
          <t>令和22年度</t>
        </is>
      </c>
      <c r="B12" s="21" t="inlineStr">
        <is>
          <t>2040</t>
        </is>
      </c>
      <c r="C12" s="22" t="n">
        <v>3827</v>
      </c>
      <c r="D12" s="22" t="n">
        <v>2983</v>
      </c>
      <c r="E12" s="22" t="n">
        <v>2681</v>
      </c>
      <c r="F12" s="22" t="n">
        <v>9491</v>
      </c>
      <c r="G12" s="22" t="inlineStr">
        <is>
          <t>1.0630</t>
        </is>
      </c>
      <c r="H12" s="22" t="inlineStr">
        <is>
          <t>0.8525</t>
        </is>
      </c>
      <c r="I12" s="22" t="inlineStr">
        <is>
          <t>1.3469</t>
        </is>
      </c>
      <c r="J12" s="7" t="inlineStr"/>
    </row>
    <row r="13" ht="18" customHeight="1">
      <c r="A13" s="21" t="inlineStr">
        <is>
          <t>令和27年度</t>
        </is>
      </c>
      <c r="B13" s="21" t="inlineStr">
        <is>
          <t>2045</t>
        </is>
      </c>
      <c r="C13" s="22" t="n">
        <v>3720</v>
      </c>
      <c r="D13" s="22" t="n">
        <v>3199</v>
      </c>
      <c r="E13" s="22" t="n">
        <v>2477</v>
      </c>
      <c r="F13" s="22" t="n">
        <v>9395</v>
      </c>
      <c r="G13" s="22" t="inlineStr">
        <is>
          <t>1.0332</t>
        </is>
      </c>
      <c r="H13" s="22" t="inlineStr">
        <is>
          <t>0.9140</t>
        </is>
      </c>
      <c r="I13" s="22" t="inlineStr">
        <is>
          <t>1.2443</t>
        </is>
      </c>
      <c r="J13" s="7" t="inlineStr"/>
    </row>
    <row r="14" ht="18" customHeight="1">
      <c r="A14" s="21" t="inlineStr">
        <is>
          <t>令和32年度</t>
        </is>
      </c>
      <c r="B14" s="21" t="inlineStr">
        <is>
          <t>2050</t>
        </is>
      </c>
      <c r="C14" s="22" t="n">
        <v>3213</v>
      </c>
      <c r="D14" s="22" t="n">
        <v>3497</v>
      </c>
      <c r="E14" s="22" t="n">
        <v>2417</v>
      </c>
      <c r="F14" s="22" t="n">
        <v>9127</v>
      </c>
      <c r="G14" s="22" t="inlineStr">
        <is>
          <t>0.8923</t>
        </is>
      </c>
      <c r="H14" s="22" t="inlineStr">
        <is>
          <t>0.9994</t>
        </is>
      </c>
      <c r="I14" s="22" t="inlineStr">
        <is>
          <t>1.2146</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3484</v>
      </c>
      <c r="D18" s="9" t="n">
        <v>3428</v>
      </c>
      <c r="E18" s="9" t="n">
        <v>3372</v>
      </c>
      <c r="F18" s="11" t="inlineStr">
        <is>
          <t>-228人（-6.3％）</t>
        </is>
      </c>
      <c r="G18" s="24" t="n"/>
      <c r="H18" s="24" t="n"/>
      <c r="I18" s="8" t="n"/>
      <c r="J18" s="26" t="inlineStr">
        <is>
          <t>団塊世代が75歳以上へ移行するため減る。</t>
        </is>
      </c>
    </row>
    <row r="19" ht="20" customHeight="1">
      <c r="A19" s="5" t="inlineStr">
        <is>
          <t>75〜84歳</t>
        </is>
      </c>
      <c r="B19" s="9" t="n">
        <v>3499</v>
      </c>
      <c r="C19" s="9" t="n">
        <v>3593</v>
      </c>
      <c r="D19" s="9" t="n">
        <v>3641</v>
      </c>
      <c r="E19" s="9" t="n">
        <v>3689</v>
      </c>
      <c r="F19" s="27" t="inlineStr">
        <is>
          <t>+190人（+5.4％）</t>
        </is>
      </c>
      <c r="G19" s="24" t="n"/>
      <c r="H19" s="24" t="n"/>
      <c r="I19" s="8" t="n"/>
      <c r="J19" s="26" t="inlineStr">
        <is>
          <t>団塊世代の移行により増える。</t>
        </is>
      </c>
    </row>
    <row r="20" ht="20" customHeight="1">
      <c r="A20" s="5" t="inlineStr">
        <is>
          <t>85歳以上</t>
        </is>
      </c>
      <c r="B20" s="9" t="n">
        <v>1990</v>
      </c>
      <c r="C20" s="9" t="n">
        <v>2070</v>
      </c>
      <c r="D20" s="9" t="n">
        <v>2111</v>
      </c>
      <c r="E20" s="9" t="n">
        <v>2152</v>
      </c>
      <c r="F20" s="27" t="inlineStr">
        <is>
          <t>+162人（+8.1％）</t>
        </is>
      </c>
      <c r="G20" s="24" t="n"/>
      <c r="H20" s="24" t="n"/>
      <c r="I20" s="8" t="n"/>
      <c r="J20" s="26" t="inlineStr">
        <is>
          <t>一貫して増える。認定者数の増加はここが源である。</t>
        </is>
      </c>
    </row>
    <row r="21" ht="20" customHeight="1">
      <c r="A21" s="12" t="inlineStr">
        <is>
          <t>計</t>
        </is>
      </c>
      <c r="B21" s="13" t="n">
        <v>9090</v>
      </c>
      <c r="C21" s="13" t="n">
        <v>9147</v>
      </c>
      <c r="D21" s="13" t="n">
        <v>9179</v>
      </c>
      <c r="E21" s="13" t="n">
        <v>9213</v>
      </c>
      <c r="F21" s="13" t="inlineStr">
        <is>
          <t>+123人（+1.4％）</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住民基本台帳（平成31年〜令和7年の6年）の階級別の年平均変化率による（65〜74歳-1.624％・75〜84歳+1.328％・85歳以上+1.975％）。令和8年8月31日の発注者のご指示により、社人研推計を伸び率の基礎とすることをやめた。令和12年度以降は総合戦略に目標がないため、令和11年度を起点に社人研推計の伸び率で接続している。注3）65歳以上の合計は第10期の3年間で+123人となり、85歳以上が+162人増え65〜74歳が-228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2014</v>
      </c>
      <c r="G6" s="9" t="inlineStr">
        <is>
          <t>22.1％</t>
        </is>
      </c>
      <c r="H6" s="9" t="n">
        <v>2004</v>
      </c>
      <c r="I6" s="9" t="inlineStr">
        <is>
          <t>22.0％</t>
        </is>
      </c>
      <c r="J6" s="9" t="n">
        <v>2031</v>
      </c>
      <c r="K6" s="9" t="inlineStr">
        <is>
          <t>22.3％</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2045</v>
      </c>
      <c r="G7" s="19" t="inlineStr">
        <is>
          <t>22.4％</t>
        </is>
      </c>
      <c r="H7" s="19" t="n">
        <v>2025</v>
      </c>
      <c r="I7" s="19" t="inlineStr">
        <is>
          <t>22.1％</t>
        </is>
      </c>
      <c r="J7" s="19" t="n">
        <v>2079</v>
      </c>
      <c r="K7" s="19" t="inlineStr">
        <is>
          <t>22.7％</t>
        </is>
      </c>
      <c r="L7" s="19" t="inlineStr">
        <is>
          <t>-20人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2076</v>
      </c>
      <c r="G8" s="19" t="inlineStr">
        <is>
          <t>22.6％</t>
        </is>
      </c>
      <c r="H8" s="19" t="n">
        <v>2046</v>
      </c>
      <c r="I8" s="19" t="inlineStr">
        <is>
          <t>22.3％</t>
        </is>
      </c>
      <c r="J8" s="19" t="n">
        <v>2128</v>
      </c>
      <c r="K8" s="19" t="inlineStr">
        <is>
          <t>23.2％</t>
        </is>
      </c>
      <c r="L8" s="19" t="inlineStr">
        <is>
          <t>-30人</t>
        </is>
      </c>
      <c r="M8" s="19" t="inlineStr">
        <is>
          <t>+52人</t>
        </is>
      </c>
    </row>
    <row r="9" ht="18" customHeight="1">
      <c r="A9" s="18" t="inlineStr">
        <is>
          <t>令和11年度</t>
        </is>
      </c>
      <c r="B9" s="18" t="inlineStr">
        <is>
          <t>2029</t>
        </is>
      </c>
      <c r="C9" s="19" t="inlineStr">
        <is>
          <t>4.03</t>
        </is>
      </c>
      <c r="D9" s="19" t="inlineStr">
        <is>
          <t>17.52</t>
        </is>
      </c>
      <c r="E9" s="19" t="inlineStr">
        <is>
          <t>61.60</t>
        </is>
      </c>
      <c r="F9" s="19" t="n">
        <v>2108</v>
      </c>
      <c r="G9" s="19" t="inlineStr">
        <is>
          <t>22.9％</t>
        </is>
      </c>
      <c r="H9" s="19" t="n">
        <v>2067</v>
      </c>
      <c r="I9" s="19" t="inlineStr">
        <is>
          <t>22.4％</t>
        </is>
      </c>
      <c r="J9" s="19" t="n">
        <v>2178</v>
      </c>
      <c r="K9" s="19" t="inlineStr">
        <is>
          <t>23.6％</t>
        </is>
      </c>
      <c r="L9" s="19" t="inlineStr">
        <is>
          <t>-40人</t>
        </is>
      </c>
      <c r="M9" s="19" t="inlineStr">
        <is>
          <t>+71人</t>
        </is>
      </c>
    </row>
    <row r="10" ht="18" customHeight="1">
      <c r="A10" s="4" t="inlineStr">
        <is>
          <t>令和12年度</t>
        </is>
      </c>
      <c r="B10" s="4" t="inlineStr">
        <is>
          <t>2030</t>
        </is>
      </c>
      <c r="C10" s="9" t="inlineStr">
        <is>
          <t>4.03</t>
        </is>
      </c>
      <c r="D10" s="9" t="inlineStr">
        <is>
          <t>17.52</t>
        </is>
      </c>
      <c r="E10" s="9" t="inlineStr">
        <is>
          <t>61.60</t>
        </is>
      </c>
      <c r="F10" s="9" t="n">
        <v>2124</v>
      </c>
      <c r="G10" s="9" t="inlineStr">
        <is>
          <t>23.1％</t>
        </is>
      </c>
      <c r="H10" s="9" t="n">
        <v>2083</v>
      </c>
      <c r="I10" s="9" t="inlineStr">
        <is>
          <t>22.6％</t>
        </is>
      </c>
      <c r="J10" s="9" t="n">
        <v>2195</v>
      </c>
      <c r="K10" s="9" t="inlineStr">
        <is>
          <t>23.8％</t>
        </is>
      </c>
      <c r="L10" s="9" t="inlineStr">
        <is>
          <t>-41人</t>
        </is>
      </c>
      <c r="M10" s="9" t="inlineStr">
        <is>
          <t>+71人</t>
        </is>
      </c>
    </row>
    <row r="11" ht="18" customHeight="1">
      <c r="A11" s="21" t="inlineStr">
        <is>
          <t>令和17年度</t>
        </is>
      </c>
      <c r="B11" s="21" t="inlineStr">
        <is>
          <t>2035</t>
        </is>
      </c>
      <c r="C11" s="22" t="inlineStr">
        <is>
          <t>4.03</t>
        </is>
      </c>
      <c r="D11" s="22" t="inlineStr">
        <is>
          <t>17.52</t>
        </is>
      </c>
      <c r="E11" s="22" t="inlineStr">
        <is>
          <t>61.60</t>
        </is>
      </c>
      <c r="F11" s="22" t="n">
        <v>2268</v>
      </c>
      <c r="G11" s="22" t="inlineStr">
        <is>
          <t>24.5％</t>
        </is>
      </c>
      <c r="H11" s="22" t="n">
        <v>2228</v>
      </c>
      <c r="I11" s="22" t="inlineStr">
        <is>
          <t>24.1％</t>
        </is>
      </c>
      <c r="J11" s="22" t="n">
        <v>2338</v>
      </c>
      <c r="K11" s="22" t="inlineStr">
        <is>
          <t>25.3％</t>
        </is>
      </c>
      <c r="L11" s="22" t="inlineStr">
        <is>
          <t>-40人</t>
        </is>
      </c>
      <c r="M11" s="22" t="inlineStr">
        <is>
          <t>+70人</t>
        </is>
      </c>
    </row>
    <row r="12" ht="18" customHeight="1">
      <c r="A12" s="21" t="inlineStr">
        <is>
          <t>令和22年度</t>
        </is>
      </c>
      <c r="B12" s="21" t="inlineStr">
        <is>
          <t>2040</t>
        </is>
      </c>
      <c r="C12" s="22" t="inlineStr">
        <is>
          <t>4.03</t>
        </is>
      </c>
      <c r="D12" s="22" t="inlineStr">
        <is>
          <t>17.52</t>
        </is>
      </c>
      <c r="E12" s="22" t="inlineStr">
        <is>
          <t>61.60</t>
        </is>
      </c>
      <c r="F12" s="22" t="n">
        <v>2328</v>
      </c>
      <c r="G12" s="22" t="inlineStr">
        <is>
          <t>24.5％</t>
        </is>
      </c>
      <c r="H12" s="22" t="n">
        <v>2288</v>
      </c>
      <c r="I12" s="22" t="inlineStr">
        <is>
          <t>24.1％</t>
        </is>
      </c>
      <c r="J12" s="22" t="n">
        <v>2398</v>
      </c>
      <c r="K12" s="22" t="inlineStr">
        <is>
          <t>25.3％</t>
        </is>
      </c>
      <c r="L12" s="22" t="inlineStr">
        <is>
          <t>-40人</t>
        </is>
      </c>
      <c r="M12" s="22" t="inlineStr">
        <is>
          <t>+70人</t>
        </is>
      </c>
    </row>
    <row r="13" ht="18" customHeight="1">
      <c r="A13" s="21" t="inlineStr">
        <is>
          <t>令和27年度</t>
        </is>
      </c>
      <c r="B13" s="21" t="inlineStr">
        <is>
          <t>2045</t>
        </is>
      </c>
      <c r="C13" s="22" t="inlineStr">
        <is>
          <t>4.03</t>
        </is>
      </c>
      <c r="D13" s="22" t="inlineStr">
        <is>
          <t>17.52</t>
        </is>
      </c>
      <c r="E13" s="22" t="inlineStr">
        <is>
          <t>61.60</t>
        </is>
      </c>
      <c r="F13" s="22" t="n">
        <v>2236</v>
      </c>
      <c r="G13" s="22" t="inlineStr">
        <is>
          <t>23.8％</t>
        </is>
      </c>
      <c r="H13" s="22" t="n">
        <v>2196</v>
      </c>
      <c r="I13" s="22" t="inlineStr">
        <is>
          <t>23.4％</t>
        </is>
      </c>
      <c r="J13" s="22" t="n">
        <v>2305</v>
      </c>
      <c r="K13" s="22" t="inlineStr">
        <is>
          <t>24.5％</t>
        </is>
      </c>
      <c r="L13" s="22" t="inlineStr">
        <is>
          <t>-40人</t>
        </is>
      </c>
      <c r="M13" s="22" t="inlineStr">
        <is>
          <t>+69人</t>
        </is>
      </c>
    </row>
    <row r="14" ht="18" customHeight="1">
      <c r="A14" s="21" t="inlineStr">
        <is>
          <t>令和32年度</t>
        </is>
      </c>
      <c r="B14" s="21" t="inlineStr">
        <is>
          <t>2050</t>
        </is>
      </c>
      <c r="C14" s="22" t="inlineStr">
        <is>
          <t>4.03</t>
        </is>
      </c>
      <c r="D14" s="22" t="inlineStr">
        <is>
          <t>17.52</t>
        </is>
      </c>
      <c r="E14" s="22" t="inlineStr">
        <is>
          <t>61.60</t>
        </is>
      </c>
      <c r="F14" s="22" t="n">
        <v>2231</v>
      </c>
      <c r="G14" s="22" t="inlineStr">
        <is>
          <t>24.4％</t>
        </is>
      </c>
      <c r="H14" s="22" t="n">
        <v>2190</v>
      </c>
      <c r="I14" s="22" t="inlineStr">
        <is>
          <t>24.0％</t>
        </is>
      </c>
      <c r="J14" s="22" t="n">
        <v>2303</v>
      </c>
      <c r="K14" s="22" t="inlineStr">
        <is>
          <t>25.2％</t>
        </is>
      </c>
      <c r="L14" s="22" t="inlineStr">
        <is>
          <t>-41人</t>
        </is>
      </c>
      <c r="M14" s="22" t="inlineStr">
        <is>
          <t>+72人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2108</v>
      </c>
      <c r="I18" s="9" t="n">
        <v>2328</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2067</v>
      </c>
      <c r="I19" s="9" t="n">
        <v>2288</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2178</v>
      </c>
      <c r="I20" s="9" t="n">
        <v>2398</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2045</v>
      </c>
      <c r="C24" s="9" t="n">
        <v>2076</v>
      </c>
      <c r="D24" s="9" t="n">
        <v>2108</v>
      </c>
      <c r="E24" s="9" t="n">
        <v>6229</v>
      </c>
      <c r="F24" s="5" t="inlineStr"/>
      <c r="G24" s="24" t="n"/>
      <c r="H24" s="24" t="n"/>
      <c r="I24" s="24" t="n"/>
      <c r="J24" s="24" t="n"/>
      <c r="K24" s="24" t="n"/>
      <c r="L24" s="8" t="n"/>
      <c r="M24" s="9" t="inlineStr">
        <is>
          <t>+0人（+0.0％）</t>
        </is>
      </c>
    </row>
    <row r="25" ht="20" customHeight="1">
      <c r="A25" s="23" t="inlineStr">
        <is>
          <t>② トレンド継続</t>
        </is>
      </c>
      <c r="B25" s="9" t="n">
        <v>2025</v>
      </c>
      <c r="C25" s="9" t="n">
        <v>2046</v>
      </c>
      <c r="D25" s="9" t="n">
        <v>2067</v>
      </c>
      <c r="E25" s="9" t="n">
        <v>6138</v>
      </c>
      <c r="F25" s="5" t="inlineStr"/>
      <c r="G25" s="24" t="n"/>
      <c r="H25" s="24" t="n"/>
      <c r="I25" s="24" t="n"/>
      <c r="J25" s="24" t="n"/>
      <c r="K25" s="24" t="n"/>
      <c r="L25" s="8" t="n"/>
      <c r="M25" s="9" t="inlineStr">
        <is>
          <t>-91人（-1.5％）</t>
        </is>
      </c>
    </row>
    <row r="26" ht="20" customHeight="1">
      <c r="A26" s="25" t="inlineStr">
        <is>
          <t>③ 令和元年水準へ回帰</t>
        </is>
      </c>
      <c r="B26" s="9" t="n">
        <v>2079</v>
      </c>
      <c r="C26" s="9" t="n">
        <v>2128</v>
      </c>
      <c r="D26" s="9" t="n">
        <v>2178</v>
      </c>
      <c r="E26" s="9" t="n">
        <v>6385</v>
      </c>
      <c r="F26" s="5" t="inlineStr"/>
      <c r="G26" s="24" t="n"/>
      <c r="H26" s="24" t="n"/>
      <c r="I26" s="24" t="n"/>
      <c r="J26" s="24" t="n"/>
      <c r="K26" s="24" t="n"/>
      <c r="L26" s="8" t="n"/>
      <c r="M26" s="9" t="inlineStr">
        <is>
          <t>+156人（+2.5％）</t>
        </is>
      </c>
    </row>
    <row r="28" ht="104" customHeight="1">
      <c r="A28" s="14" t="inlineStr">
        <is>
          <t>注1）第10期の3年間の認定者数の合計は、①現状固定6229人、②トレンド継続6138人、③令和元年水準6385人である。最大と最小の差は247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2108</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2067</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2178</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を継続しつつフレイル予防と早期支援の強化へ広が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A系列を水準としてそのまま用いた場合、令和11年度の認定者数は2164人となり、本推計（2108人）を2.7％上回る。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2108</v>
      </c>
      <c r="C15" s="9" t="n">
        <v>2164</v>
      </c>
      <c r="D15" s="11" t="inlineStr">
        <is>
          <t>+56人（+2.7％）</t>
        </is>
      </c>
      <c r="E15" s="5" t="inlineStr">
        <is>
          <t>85歳以上の母集団が8.9％異なることによる</t>
        </is>
      </c>
    </row>
    <row r="16" ht="20" customHeight="1">
      <c r="A16" s="5" t="inlineStr">
        <is>
          <t>令和22年度</t>
        </is>
      </c>
      <c r="B16" s="9" t="n">
        <v>2328</v>
      </c>
      <c r="C16" s="9" t="n">
        <v>2402</v>
      </c>
      <c r="D16" s="11" t="inlineStr">
        <is>
          <t>+74人（+3.2％）</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2067</v>
      </c>
      <c r="D82" s="9">
        <f>B82-C82</f>
        <v/>
      </c>
      <c r="E82" s="5" t="inlineStr"/>
      <c r="F82" s="24" t="n"/>
      <c r="G82" s="24" t="n"/>
      <c r="H82" s="8" t="n"/>
      <c r="I82" s="4">
        <f>IF(ABS(D82)&lt;=1,"一致","要確認")</f>
        <v/>
      </c>
    </row>
    <row r="83" ht="20" customHeight="1">
      <c r="A83" s="5" t="inlineStr">
        <is>
          <t>令和22年度の認定者数</t>
        </is>
      </c>
      <c r="B83" s="9">
        <f>ROUND(F65,0)</f>
        <v/>
      </c>
      <c r="C83" s="9" t="n">
        <v>2288</v>
      </c>
      <c r="D83" s="9">
        <f>B83-C83</f>
        <v/>
      </c>
      <c r="E83" s="5" t="inlineStr"/>
      <c r="F83" s="24" t="n"/>
      <c r="G83" s="24" t="n"/>
      <c r="H83" s="8" t="n"/>
      <c r="I83" s="4">
        <f>IF(ABS(D83)&lt;=1,"一致","要確認")</f>
        <v/>
      </c>
    </row>
    <row r="84" ht="20" customHeight="1">
      <c r="A84" s="5" t="inlineStr">
        <is>
          <t>令和11年度の65歳以上</t>
        </is>
      </c>
      <c r="B84" s="9">
        <f>ROUND(F36,0)</f>
        <v/>
      </c>
      <c r="C84" s="9" t="n">
        <v>9213</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2026-10-05T04:42:38Z</dcterms:created>
  <dcterms:modified xmlns:dcterms="http://purl.org/dc/terms/" xmlns:xsi="http://www.w3.org/2001/XMLSchema-instance" xsi:type="dcterms:W3CDTF">2026-10-05T04:42:38Z</dcterms:modified>
</cp:coreProperties>
</file>