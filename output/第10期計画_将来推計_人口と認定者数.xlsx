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目次と推計の方法" sheetId="1" state="visible" r:id="rId1"/>
    <sheet xmlns:r="http://schemas.openxmlformats.org/officeDocument/2006/relationships" name="01_人口の前提" sheetId="2" state="visible" r:id="rId2"/>
    <sheet xmlns:r="http://schemas.openxmlformats.org/officeDocument/2006/relationships" name="02_推計上の階級別人口" sheetId="3" state="visible" r:id="rId3"/>
    <sheet xmlns:r="http://schemas.openxmlformats.org/officeDocument/2006/relationships" name="03_認定者数の推計" sheetId="4" state="visible" r:id="rId4"/>
    <sheet xmlns:r="http://schemas.openxmlformats.org/officeDocument/2006/relationships" name="04_シナリオの比較と推奨" sheetId="5" state="visible" r:id="rId5"/>
    <sheet xmlns:r="http://schemas.openxmlformats.org/officeDocument/2006/relationships" name="05_第9期の推計との対比" sheetId="6" state="visible" r:id="rId6"/>
    <sheet xmlns:r="http://schemas.openxmlformats.org/officeDocument/2006/relationships" name="06_推計の限界と感度" sheetId="7" state="visible" r:id="rId7"/>
    <sheet xmlns:r="http://schemas.openxmlformats.org/officeDocument/2006/relationships" name="07_第2段階以降に必要な決定と資料" sheetId="8" state="visible" r:id="rId8"/>
    <sheet xmlns:r="http://schemas.openxmlformats.org/officeDocument/2006/relationships" name="08_計算過程確認（再計算可能）" sheetId="9" state="visible" r:id="rId9"/>
  </sheets>
  <definedNames/>
  <calcPr calcId="124519" fullCalcOnLoad="1"/>
</workbook>
</file>

<file path=xl/styles.xml><?xml version="1.0" encoding="utf-8"?>
<styleSheet xmlns="http://schemas.openxmlformats.org/spreadsheetml/2006/main">
  <numFmts count="2">
    <numFmt numFmtId="164" formatCode="0.000"/>
    <numFmt numFmtId="165" formatCode="0.0"/>
  </numFmts>
  <fonts count="7">
    <font>
      <name val="Calibri"/>
      <family val="2"/>
      <color theme="1"/>
      <sz val="11"/>
      <scheme val="minor"/>
    </font>
    <font>
      <name val="游ゴシック"/>
      <b val="1"/>
      <color rgb="001F3864"/>
      <sz val="14"/>
    </font>
    <font>
      <name val="游ゴシック"/>
      <sz val="9"/>
    </font>
    <font>
      <name val="游ゴシック"/>
      <b val="1"/>
      <color rgb="00FFFFFF"/>
      <sz val="9"/>
    </font>
    <font>
      <name val="游ゴシック"/>
      <b val="1"/>
      <color rgb="001F3864"/>
      <sz val="10"/>
    </font>
    <font>
      <name val="游ゴシック"/>
      <b val="1"/>
      <sz val="9"/>
    </font>
    <font>
      <name val="游ゴシック"/>
      <sz val="8.5"/>
    </font>
  </fonts>
  <fills count="9">
    <fill>
      <patternFill/>
    </fill>
    <fill>
      <patternFill patternType="gray125"/>
    </fill>
    <fill>
      <patternFill patternType="solid">
        <fgColor rgb="004472C4"/>
        <bgColor rgb="004472C4"/>
      </patternFill>
    </fill>
    <fill>
      <patternFill patternType="solid">
        <fgColor rgb="00DEEBF7"/>
        <bgColor rgb="00DEEBF7"/>
      </patternFill>
    </fill>
    <fill>
      <patternFill patternType="solid"/>
    </fill>
    <fill>
      <patternFill patternType="solid">
        <fgColor rgb="00FCE4D6"/>
        <bgColor rgb="00FCE4D6"/>
      </patternFill>
    </fill>
    <fill>
      <patternFill patternType="solid">
        <fgColor rgb="00F2F2F2"/>
        <bgColor rgb="00F2F2F2"/>
      </patternFill>
    </fill>
    <fill>
      <patternFill patternType="solid">
        <fgColor rgb="00FFF2CC"/>
        <bgColor rgb="00FFF2CC"/>
      </patternFill>
    </fill>
    <fill>
      <patternFill patternType="solid">
        <fgColor rgb="00E2EFDA"/>
        <b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0" borderId="0" pivotButton="0" quotePrefix="0" xfId="0"/>
    <xf numFmtId="0" fontId="2" fillId="3" borderId="1" applyAlignment="1" pivotButton="0" quotePrefix="0" xfId="0">
      <alignment horizontal="left" vertical="top" wrapText="1"/>
    </xf>
    <xf numFmtId="0" fontId="0" fillId="0" borderId="4" pivotButton="0" quotePrefix="0" xfId="0"/>
    <xf numFmtId="0" fontId="2" fillId="0" borderId="1" applyAlignment="1" pivotButton="0" quotePrefix="0" xfId="0">
      <alignment horizontal="right" vertical="top" wrapText="1"/>
    </xf>
    <xf numFmtId="0" fontId="2" fillId="4" borderId="1" applyAlignment="1" pivotButton="0" quotePrefix="0" xfId="0">
      <alignment horizontal="right" vertical="top" wrapText="1"/>
    </xf>
    <xf numFmtId="0" fontId="2" fillId="5" borderId="1" applyAlignment="1" pivotButton="0" quotePrefix="0" xfId="0">
      <alignment horizontal="right" vertical="top" wrapText="1"/>
    </xf>
    <xf numFmtId="0" fontId="5" fillId="6" borderId="1" applyAlignment="1" pivotButton="0" quotePrefix="0" xfId="0">
      <alignment horizontal="left" vertical="top" wrapText="1"/>
    </xf>
    <xf numFmtId="0" fontId="5" fillId="6" borderId="1" applyAlignment="1" pivotButton="0" quotePrefix="0" xfId="0">
      <alignment horizontal="right" vertical="top" wrapText="1"/>
    </xf>
    <xf numFmtId="0" fontId="6" fillId="0" borderId="0" applyAlignment="1" pivotButton="0" quotePrefix="0" xfId="0">
      <alignment vertical="top" wrapText="1"/>
    </xf>
    <xf numFmtId="0" fontId="2" fillId="6" borderId="1" applyAlignment="1" pivotButton="0" quotePrefix="0" xfId="0">
      <alignment horizontal="center" vertical="top" wrapText="1"/>
    </xf>
    <xf numFmtId="0" fontId="2" fillId="6" borderId="1" applyAlignment="1" pivotButton="0" quotePrefix="0" xfId="0">
      <alignment horizontal="right"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right" vertical="top" wrapText="1"/>
    </xf>
    <xf numFmtId="0" fontId="2" fillId="7"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right" vertical="top" wrapText="1"/>
    </xf>
    <xf numFmtId="0" fontId="2" fillId="8" borderId="1" applyAlignment="1" pivotButton="0" quotePrefix="0" xfId="0">
      <alignment horizontal="left" vertical="top" wrapText="1"/>
    </xf>
    <xf numFmtId="0" fontId="0" fillId="0" borderId="5" pivotButton="0" quotePrefix="0" xfId="0"/>
    <xf numFmtId="0" fontId="2" fillId="4" borderId="1" applyAlignment="1" pivotButton="0" quotePrefix="0" xfId="0">
      <alignment horizontal="left" vertical="top" wrapText="1"/>
    </xf>
    <xf numFmtId="0" fontId="2" fillId="0" borderId="1" applyAlignment="1" pivotButton="0" quotePrefix="0" xfId="0">
      <alignment vertical="top" wrapText="1"/>
    </xf>
    <xf numFmtId="0" fontId="2" fillId="8" borderId="1" applyAlignment="1" pivotButton="0" quotePrefix="0" xfId="0">
      <alignment horizontal="right" vertical="top" wrapText="1"/>
    </xf>
    <xf numFmtId="0" fontId="2" fillId="5" borderId="1" applyAlignment="1" pivotButton="0" quotePrefix="0" xfId="0">
      <alignment horizontal="center" vertical="top" wrapText="1"/>
    </xf>
    <xf numFmtId="164" fontId="2" fillId="0" borderId="1" applyAlignment="1" pivotButton="0" quotePrefix="0" xfId="0">
      <alignment horizontal="right" vertical="top" wrapText="1"/>
    </xf>
    <xf numFmtId="3" fontId="2" fillId="0" borderId="1" applyAlignment="1" pivotButton="0" quotePrefix="0" xfId="0">
      <alignment horizontal="right" vertical="top" wrapText="1"/>
    </xf>
    <xf numFmtId="2" fontId="2" fillId="0" borderId="1" applyAlignment="1" pivotButton="0" quotePrefix="0" xfId="0">
      <alignment horizontal="right" vertical="top" wrapText="1"/>
    </xf>
    <xf numFmtId="3" fontId="2" fillId="8" borderId="1" applyAlignment="1" pivotButton="0" quotePrefix="0" xfId="0">
      <alignment horizontal="right" vertical="top" wrapText="1"/>
    </xf>
    <xf numFmtId="165" fontId="2" fillId="0" borderId="1" applyAlignment="1" pivotButton="0" quotePrefix="0" xfId="0">
      <alignment horizontal="right" vertical="top" wrapText="1"/>
    </xf>
    <xf numFmtId="0" fontId="5" fillId="0" borderId="1" applyAlignment="1" pivotButton="0" quotePrefix="0" xfId="0">
      <alignment horizontal="left" vertical="top" wrapText="1"/>
    </xf>
    <xf numFmtId="0" fontId="5" fillId="8" borderId="1" applyAlignment="1" pivotButton="0" quotePrefix="0" xfId="0">
      <alignment horizontal="righ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6"/>
  <sheetViews>
    <sheetView showGridLines="0" workbookViewId="0">
      <pane ySplit="3" topLeftCell="A4" activePane="bottomLeft" state="frozen"/>
      <selection pane="bottomLeft" activeCell="A1" sqref="A1"/>
    </sheetView>
  </sheetViews>
  <sheetFormatPr baseColWidth="8" defaultRowHeight="15"/>
  <cols>
    <col width="4" customWidth="1" min="1" max="1"/>
    <col width="22" customWidth="1" min="2" max="2"/>
    <col width="50" customWidth="1" min="3" max="3"/>
    <col width="44" customWidth="1" min="4" max="4"/>
    <col width="22" customWidth="1" min="5" max="5"/>
  </cols>
  <sheetData>
    <row r="1" ht="22" customHeight="1">
      <c r="A1" s="1" t="inlineStr">
        <is>
          <t>将来推計（第1段階　人口と認定者数）</t>
        </is>
      </c>
    </row>
    <row r="2" ht="48" customHeight="1">
      <c r="A2" s="2" t="inlineStr">
        <is>
          <t>人口推計の基礎について社人研推計（見える化システムの初期値）をそのまま用いることを受託者の案とし、これを仮に置いて将来推計の第1段階（人口と認定者数）を試算する。人口推計の基礎の採用は発注者のご意向による。第2段階（サービス見込量）は、令和8年8月4日に受領した見える化B3系列・D系列により別冊「将来推計 第2段階　サービス見込量」（8シート）として試算した。第3段階（給付費・保険料）は単価を要するため、資料の受領及び方針の決定を待つ。作成日：令和8年7月30日（第2段階の追記：令和8年8月4日）。</t>
        </is>
      </c>
    </row>
    <row r="4" ht="30" customHeight="1">
      <c r="A4" s="3" t="inlineStr">
        <is>
          <t>No.</t>
        </is>
      </c>
      <c r="B4" s="3" t="inlineStr">
        <is>
          <t>シート</t>
        </is>
      </c>
      <c r="C4" s="3" t="inlineStr">
        <is>
          <t>内容</t>
        </is>
      </c>
      <c r="D4" s="3" t="inlineStr">
        <is>
          <t>主な結果</t>
        </is>
      </c>
      <c r="E4" s="3" t="inlineStr">
        <is>
          <t>備考</t>
        </is>
      </c>
    </row>
    <row r="5" ht="68" customHeight="1">
      <c r="A5" s="4" t="inlineStr">
        <is>
          <t>1</t>
        </is>
      </c>
      <c r="B5" s="5" t="inlineStr">
        <is>
          <t>01_人口の前提</t>
        </is>
      </c>
      <c r="C5" s="5" t="inlineStr">
        <is>
          <t>試算の前提とした人口推計の基礎を確認する。</t>
        </is>
      </c>
      <c r="D5" s="5" t="inlineStr">
        <is>
          <t>社人研推計（令和5年推計・令和2年国勢調査基準）を参考として掲げる。第10期期間中、総人口は▲3.3％、65歳以上人口は▲0.1％。推計に用いる伸び率は02シートのとおり住民基本台帳による。</t>
        </is>
      </c>
      <c r="E5" s="5" t="inlineStr">
        <is>
          <t>令和8年8月31日のご指示</t>
        </is>
      </c>
    </row>
    <row r="6" ht="68" customHeight="1">
      <c r="A6" s="4" t="inlineStr">
        <is>
          <t>2</t>
        </is>
      </c>
      <c r="B6" s="5" t="inlineStr">
        <is>
          <t>02_推計上の階級別人口</t>
        </is>
      </c>
      <c r="C6" s="5" t="inlineStr">
        <is>
          <t>階級別人口＝令和7年度の実績人口×住民基本台帳の実績趨勢による階級別の伸び率。</t>
        </is>
      </c>
      <c r="D6" s="5" t="inlineStr">
        <is>
          <t>令和11年度の65歳以上は9,213人（令和7年度9,090人）。85歳以上は1,990人から2,152人へ8.1％増える。</t>
        </is>
      </c>
      <c r="E6" s="5" t="inlineStr">
        <is>
          <t>―</t>
        </is>
      </c>
    </row>
    <row r="7" ht="68" customHeight="1">
      <c r="A7" s="4" t="inlineStr">
        <is>
          <t>3</t>
        </is>
      </c>
      <c r="B7" s="5" t="inlineStr">
        <is>
          <t>03_認定者数の推計（3シナリオ）</t>
        </is>
      </c>
      <c r="C7" s="5" t="inlineStr">
        <is>
          <t>階級別人口×階級別認定率により認定者数を推計する。認定率に3つのシナリオを置く。</t>
        </is>
      </c>
      <c r="D7" s="5" t="inlineStr">
        <is>
          <t>令和11年度の認定者数は、①現状固定2,108人、②トレンド継続2,067人、③令和元年水準2,178人。</t>
        </is>
      </c>
      <c r="E7" s="5" t="inlineStr">
        <is>
          <t>方針No.2 未決定</t>
        </is>
      </c>
    </row>
    <row r="8" ht="68" customHeight="1">
      <c r="A8" s="4" t="inlineStr">
        <is>
          <t>4</t>
        </is>
      </c>
      <c r="B8" s="5" t="inlineStr">
        <is>
          <t>04_シナリオの比較と推奨</t>
        </is>
      </c>
      <c r="C8" s="5" t="inlineStr">
        <is>
          <t>3シナリオの差と、計画に採用するシナリオの推奨を示す。</t>
        </is>
      </c>
      <c r="D8" s="5" t="inlineStr">
        <is>
          <t>②トレンド継続を推奨する。第10期の3年間の認定者数の合計は①6,229人・②6,138人・③6,385人で、最大と最小の差は247人（4.0％）。</t>
        </is>
      </c>
      <c r="E8" s="5" t="inlineStr">
        <is>
          <t>発注者の決定を要する</t>
        </is>
      </c>
    </row>
    <row r="9" ht="68" customHeight="1">
      <c r="A9" s="4" t="inlineStr">
        <is>
          <t>5</t>
        </is>
      </c>
      <c r="B9" s="5" t="inlineStr">
        <is>
          <t>05_第9期の推計との対比</t>
        </is>
      </c>
      <c r="C9" s="5" t="inlineStr">
        <is>
          <t>第9期計画の推計と実績の乖離を確認し、本推計の位置づけを示す。</t>
        </is>
      </c>
      <c r="D9" s="5" t="inlineStr">
        <is>
          <t>第9期計画の需要推計は実績を令和6年度2.9％、令和7年度3.5％上回った。本推計は基準年度が実績と一致するため同種の乖離は生じない。</t>
        </is>
      </c>
      <c r="E9" s="5" t="inlineStr">
        <is>
          <t>―</t>
        </is>
      </c>
    </row>
    <row r="10" ht="68" customHeight="1">
      <c r="A10" s="4" t="inlineStr">
        <is>
          <t>6</t>
        </is>
      </c>
      <c r="B10" s="5" t="inlineStr">
        <is>
          <t>06_推計の限界と感度</t>
        </is>
      </c>
      <c r="C10" s="5" t="inlineStr">
        <is>
          <t>推計の前提と、前提を変えた場合の影響を示す。</t>
        </is>
      </c>
      <c r="D10" s="5" t="inlineStr">
        <is>
          <t>階級を3区分としていること、要介護度別の内訳を推計していないこと、町別に分解していないことが主な限界である。</t>
        </is>
      </c>
      <c r="E10" s="5" t="inlineStr">
        <is>
          <t>―</t>
        </is>
      </c>
    </row>
    <row r="11" ht="68" customHeight="1">
      <c r="A11" s="4" t="inlineStr">
        <is>
          <t>7</t>
        </is>
      </c>
      <c r="B11" s="5" t="inlineStr">
        <is>
          <t>07_第2段階以降に必要な決定と資料</t>
        </is>
      </c>
      <c r="C11" s="5" t="inlineStr">
        <is>
          <t>サービス見込量・給付費・保険料の推計に必要な決定と資料を示す。</t>
        </is>
      </c>
      <c r="D11" s="5" t="inlineStr">
        <is>
          <t>方針No.2（認定率のシナリオ）・No.3（施策効果）の決定と、資料No.6（定員と稼働）・No.7（未利用認定者）が必要である。</t>
        </is>
      </c>
      <c r="E11" s="5" t="inlineStr">
        <is>
          <t>第2段階の着手条件</t>
        </is>
      </c>
    </row>
    <row r="13" ht="18" customHeight="1">
      <c r="A13" s="6" t="inlineStr">
        <is>
          <t>【推計の方法】</t>
        </is>
      </c>
    </row>
    <row r="14" ht="30" customHeight="1">
      <c r="A14" s="3" t="inlineStr">
        <is>
          <t>段階</t>
        </is>
      </c>
      <c r="B14" s="3" t="inlineStr">
        <is>
          <t>算式</t>
        </is>
      </c>
      <c r="C14" s="3" t="inlineStr">
        <is>
          <t>用いるデータ</t>
        </is>
      </c>
      <c r="D14" s="3" t="inlineStr"/>
      <c r="E14" s="3" t="inlineStr">
        <is>
          <t>考え方</t>
        </is>
      </c>
    </row>
    <row r="15" ht="76" customHeight="1">
      <c r="A15" s="7" t="inlineStr">
        <is>
          <t>① 階級別人口</t>
        </is>
      </c>
      <c r="B15" s="5" t="inlineStr">
        <is>
          <t>推計人口(t) ＝ 実績人口(令和7年度) × A4(t) ÷ A4(令和7年)</t>
        </is>
      </c>
      <c r="C15" s="5" t="inlineStr">
        <is>
          <t>実績人口：見える化B4系列（各年3月末・介護保険事業状況報告）
伸び率：見える化A4（各年10月1日・国勢調査及び社人研推計）</t>
        </is>
      </c>
      <c r="D15" s="8" t="n"/>
      <c r="E15" s="5" t="inlineStr">
        <is>
          <t>A系列とB系列は母集団が異なる（85歳以上で8.9％の差）。A系列を水準としてそのまま用いると基準年度の認定者数が実績と5.9％ずれる。伸び率のみに用いることで基準年度を実績に一致させる。</t>
        </is>
      </c>
    </row>
    <row r="16" ht="76" customHeight="1">
      <c r="A16" s="7" t="inlineStr">
        <is>
          <t>② 階級別認定率</t>
        </is>
      </c>
      <c r="B16" s="5" t="inlineStr">
        <is>
          <t>シナリオ①現状固定／②トレンド継続／③令和元年水準へ回帰</t>
        </is>
      </c>
      <c r="C16" s="5" t="inlineStr">
        <is>
          <t>見える化B4系列から逆算した階級別認定率（令和元年〜令和8年）</t>
        </is>
      </c>
      <c r="D16" s="8" t="n"/>
      <c r="E16" s="5" t="inlineStr">
        <is>
          <t>認定率の設定は方針No.2として発注者の決定を要する。本表は3つの選択肢とその差を示すものである。</t>
        </is>
      </c>
    </row>
    <row r="17" ht="76" customHeight="1">
      <c r="A17" s="7" t="inlineStr">
        <is>
          <t>③ 認定者数</t>
        </is>
      </c>
      <c r="B17" s="5" t="inlineStr">
        <is>
          <t>認定者数(t) ＝ Σ 階級別人口(t) × 階級別認定率(t)</t>
        </is>
      </c>
      <c r="C17" s="5" t="inlineStr">
        <is>
          <t>上記①②</t>
        </is>
      </c>
      <c r="D17" s="8" t="n"/>
      <c r="E17" s="5" t="inlineStr">
        <is>
          <t>基準年度（令和7年度）の推計値は実績1,984人と一致する。</t>
        </is>
      </c>
    </row>
    <row r="19" ht="18" customHeight="1">
      <c r="A19" s="6" t="inlineStr">
        <is>
          <t>【基準年度の突合】</t>
        </is>
      </c>
    </row>
    <row r="20" ht="30" customHeight="1">
      <c r="A20" s="3" t="inlineStr">
        <is>
          <t>階級</t>
        </is>
      </c>
      <c r="B20" s="3" t="inlineStr">
        <is>
          <t>実績人口
（令和8年3月末）</t>
        </is>
      </c>
      <c r="C20" s="3" t="inlineStr">
        <is>
          <t>認定率</t>
        </is>
      </c>
      <c r="D20" s="3" t="inlineStr">
        <is>
          <t>A系列人口
（令和7年10月1日）</t>
        </is>
      </c>
      <c r="E20" s="3" t="inlineStr">
        <is>
          <t>母集団の差</t>
        </is>
      </c>
    </row>
    <row r="21" ht="18" customHeight="1">
      <c r="A21" s="5" t="inlineStr">
        <is>
          <t>65〜74歳</t>
        </is>
      </c>
      <c r="B21" s="9" t="n">
        <v>3600</v>
      </c>
      <c r="C21" s="9" t="inlineStr">
        <is>
          <t>4.03％</t>
        </is>
      </c>
      <c r="D21" s="9" t="n">
        <v>3622</v>
      </c>
      <c r="E21" s="10" t="inlineStr">
        <is>
          <t>+0.6％</t>
        </is>
      </c>
    </row>
    <row r="22" ht="18" customHeight="1">
      <c r="A22" s="5" t="inlineStr">
        <is>
          <t>75〜84歳</t>
        </is>
      </c>
      <c r="B22" s="9" t="n">
        <v>3499</v>
      </c>
      <c r="C22" s="9" t="inlineStr">
        <is>
          <t>17.52％</t>
        </is>
      </c>
      <c r="D22" s="9" t="n">
        <v>3534</v>
      </c>
      <c r="E22" s="10" t="inlineStr">
        <is>
          <t>+1.0％</t>
        </is>
      </c>
    </row>
    <row r="23" ht="18" customHeight="1">
      <c r="A23" s="5" t="inlineStr">
        <is>
          <t>85歳以上</t>
        </is>
      </c>
      <c r="B23" s="9" t="n">
        <v>1990</v>
      </c>
      <c r="C23" s="9" t="inlineStr">
        <is>
          <t>61.60％</t>
        </is>
      </c>
      <c r="D23" s="9" t="n">
        <v>2167</v>
      </c>
      <c r="E23" s="11" t="inlineStr">
        <is>
          <t>+8.9％</t>
        </is>
      </c>
    </row>
    <row r="24" ht="18" customHeight="1">
      <c r="A24" s="12" t="inlineStr">
        <is>
          <t>計</t>
        </is>
      </c>
      <c r="B24" s="13" t="n">
        <v>9090</v>
      </c>
      <c r="C24" s="13" t="inlineStr">
        <is>
          <t>21.83％</t>
        </is>
      </c>
      <c r="D24" s="13" t="n">
        <v>9323</v>
      </c>
      <c r="E24" s="13" t="inlineStr">
        <is>
          <t>+2.6％</t>
        </is>
      </c>
    </row>
    <row r="26" ht="104" customHeight="1">
      <c r="A26" s="14" t="inlineStr">
        <is>
          <t>注1）85歳以上の母集団の差が8.9％と大きい。国勢調査は施設入所者を施設所在地で計上するのに対し、住民基本台帳は住所地特例により従前の住所地で計上する場合があるなど、定義が異なることによると考えられるが、差の理由そのものは特定していない。注2）A系列を水準としてそのまま用いた場合、基準年度の認定者数は2,100人となり実績1,984人を5.9％上回る。本表の方法（伸び率のみを用いる）により基準年度は実績と一致する。注3）認定者数は各年3月末（年度末）、人口は各年10月1日である。令和7年度の認定者数は令和8年3月末の実績、人口は令和7年10月1日の値を対応させている。5か月の差があるが、いずれも同一年度の値として扱う。</t>
        </is>
      </c>
    </row>
  </sheetData>
  <mergeCells count="7">
    <mergeCell ref="A26:E26"/>
    <mergeCell ref="C16:D16"/>
    <mergeCell ref="A2:E2"/>
    <mergeCell ref="C15:D15"/>
    <mergeCell ref="A19:E19"/>
    <mergeCell ref="A13:E13"/>
    <mergeCell ref="C17:D1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6"/>
  <sheetViews>
    <sheetView showGridLines="0" workbookViewId="0">
      <pane ySplit="4" topLeftCell="A5" activePane="bottomLeft" state="frozen"/>
      <selection pane="bottomLeft" activeCell="A1" sqref="A1"/>
    </sheetView>
  </sheetViews>
  <sheetFormatPr baseColWidth="8" defaultRowHeight="15"/>
  <cols>
    <col width="9" customWidth="1" min="1" max="1"/>
    <col width="12" customWidth="1" min="2" max="2"/>
    <col width="12" customWidth="1" min="3" max="3"/>
    <col width="12" customWidth="1" min="4" max="4"/>
    <col width="10" customWidth="1" min="5" max="5"/>
    <col width="11" customWidth="1" min="6" max="6"/>
    <col width="11" customWidth="1" min="7" max="7"/>
    <col width="11" customWidth="1" min="8" max="8"/>
    <col width="30" customWidth="1" min="9" max="9"/>
  </cols>
  <sheetData>
    <row r="1" ht="22" customHeight="1">
      <c r="A1" s="1" t="inlineStr">
        <is>
          <t>人口推計の基礎（総合戦略上の人口による）</t>
        </is>
      </c>
    </row>
    <row r="2" ht="48" customHeight="1">
      <c r="A2" s="2" t="inlineStr">
        <is>
          <t>令和8年8月31日のご指示により、人口推計の基礎は社人研推計ではなく総合戦略上の人口とする。総合戦略は総人口の目標のみを持つため、年齢階級別の伸び率は住民基本台帳の実績趨勢による（02シート）。本シートは、参考として見える化A系列（社人研）の値を掲げる。</t>
        </is>
      </c>
    </row>
    <row r="4" ht="30" customHeight="1">
      <c r="A4" s="3" t="inlineStr">
        <is>
          <t>年度</t>
        </is>
      </c>
      <c r="B4" s="3" t="inlineStr">
        <is>
          <t>西暦</t>
        </is>
      </c>
      <c r="C4" s="3" t="inlineStr">
        <is>
          <t>総人口</t>
        </is>
      </c>
      <c r="D4" s="3" t="inlineStr">
        <is>
          <t>65歳以上</t>
        </is>
      </c>
      <c r="E4" s="3" t="inlineStr">
        <is>
          <t>高齢化率</t>
        </is>
      </c>
      <c r="F4" s="3" t="inlineStr">
        <is>
          <t>前期高齢者</t>
        </is>
      </c>
      <c r="G4" s="3" t="inlineStr">
        <is>
          <t>後期高齢者</t>
        </is>
      </c>
      <c r="H4" s="3" t="inlineStr">
        <is>
          <t>15〜64歳</t>
        </is>
      </c>
      <c r="I4" s="3" t="inlineStr">
        <is>
          <t>備考</t>
        </is>
      </c>
    </row>
    <row r="5" ht="18" customHeight="1">
      <c r="A5" s="15" t="inlineStr">
        <is>
          <t>令和7年度</t>
        </is>
      </c>
      <c r="B5" s="15" t="inlineStr">
        <is>
          <t>2025</t>
        </is>
      </c>
      <c r="C5" s="16" t="n">
        <v>27102</v>
      </c>
      <c r="D5" s="16" t="n">
        <v>9323</v>
      </c>
      <c r="E5" s="16" t="n">
        <v>34.4</v>
      </c>
      <c r="F5" s="16" t="n">
        <v>3622</v>
      </c>
      <c r="G5" s="16" t="n">
        <v>5701</v>
      </c>
      <c r="H5" s="16" t="n">
        <v>14544</v>
      </c>
      <c r="I5" s="17" t="inlineStr">
        <is>
          <t>基準年度</t>
        </is>
      </c>
    </row>
    <row r="6" ht="18" customHeight="1">
      <c r="A6" s="4" t="inlineStr">
        <is>
          <t>令和8年度</t>
        </is>
      </c>
      <c r="B6" s="4" t="inlineStr">
        <is>
          <t>2026</t>
        </is>
      </c>
      <c r="C6" s="9" t="n">
        <v>26876</v>
      </c>
      <c r="D6" s="9" t="n">
        <v>9320</v>
      </c>
      <c r="E6" s="9" t="n">
        <v>34.7</v>
      </c>
      <c r="F6" s="9" t="n">
        <v>3572</v>
      </c>
      <c r="G6" s="9" t="n">
        <v>5748</v>
      </c>
      <c r="H6" s="9" t="n">
        <v>14398</v>
      </c>
      <c r="I6" s="5" t="inlineStr"/>
    </row>
    <row r="7" ht="18" customHeight="1">
      <c r="A7" s="18" t="inlineStr">
        <is>
          <t>令和9年度</t>
        </is>
      </c>
      <c r="B7" s="18" t="inlineStr">
        <is>
          <t>2027</t>
        </is>
      </c>
      <c r="C7" s="19" t="n">
        <v>26649</v>
      </c>
      <c r="D7" s="19" t="n">
        <v>9318</v>
      </c>
      <c r="E7" s="19" t="n">
        <v>35</v>
      </c>
      <c r="F7" s="19" t="n">
        <v>3522</v>
      </c>
      <c r="G7" s="19" t="n">
        <v>5795</v>
      </c>
      <c r="H7" s="19" t="n">
        <v>14253</v>
      </c>
      <c r="I7" s="20" t="inlineStr">
        <is>
          <t>第10期の初年度</t>
        </is>
      </c>
    </row>
    <row r="8" ht="18" customHeight="1">
      <c r="A8" s="18" t="inlineStr">
        <is>
          <t>令和10年度</t>
        </is>
      </c>
      <c r="B8" s="18" t="inlineStr">
        <is>
          <t>2028</t>
        </is>
      </c>
      <c r="C8" s="19" t="n">
        <v>26422</v>
      </c>
      <c r="D8" s="19" t="n">
        <v>9315</v>
      </c>
      <c r="E8" s="19" t="n">
        <v>35.3</v>
      </c>
      <c r="F8" s="19" t="n">
        <v>3473</v>
      </c>
      <c r="G8" s="19" t="n">
        <v>5843</v>
      </c>
      <c r="H8" s="19" t="n">
        <v>14106</v>
      </c>
      <c r="I8" s="20" t="inlineStr"/>
    </row>
    <row r="9" ht="18" customHeight="1">
      <c r="A9" s="18" t="inlineStr">
        <is>
          <t>令和11年度</t>
        </is>
      </c>
      <c r="B9" s="18" t="inlineStr">
        <is>
          <t>2029</t>
        </is>
      </c>
      <c r="C9" s="19" t="n">
        <v>26195</v>
      </c>
      <c r="D9" s="19" t="n">
        <v>9313</v>
      </c>
      <c r="E9" s="19" t="n">
        <v>35.6</v>
      </c>
      <c r="F9" s="19" t="n">
        <v>3423</v>
      </c>
      <c r="G9" s="19" t="n">
        <v>5890</v>
      </c>
      <c r="H9" s="19" t="n">
        <v>13961</v>
      </c>
      <c r="I9" s="20" t="inlineStr">
        <is>
          <t>第10期の最終年度</t>
        </is>
      </c>
    </row>
    <row r="10" ht="18" customHeight="1">
      <c r="A10" s="4" t="inlineStr">
        <is>
          <t>令和12年度</t>
        </is>
      </c>
      <c r="B10" s="4" t="inlineStr">
        <is>
          <t>2030</t>
        </is>
      </c>
      <c r="C10" s="9" t="n">
        <v>25969</v>
      </c>
      <c r="D10" s="9" t="n">
        <v>9310</v>
      </c>
      <c r="E10" s="9" t="n">
        <v>35.9</v>
      </c>
      <c r="F10" s="9" t="n">
        <v>3373</v>
      </c>
      <c r="G10" s="9" t="n">
        <v>5937</v>
      </c>
      <c r="H10" s="9" t="n">
        <v>13815</v>
      </c>
      <c r="I10" s="5" t="inlineStr"/>
    </row>
    <row r="11" ht="18" customHeight="1">
      <c r="A11" s="21" t="inlineStr">
        <is>
          <t>令和17年度</t>
        </is>
      </c>
      <c r="B11" s="21" t="inlineStr">
        <is>
          <t>2035</t>
        </is>
      </c>
      <c r="C11" s="22" t="n">
        <v>24778</v>
      </c>
      <c r="D11" s="22" t="n">
        <v>9378</v>
      </c>
      <c r="E11" s="22" t="n">
        <v>37.8</v>
      </c>
      <c r="F11" s="22" t="n">
        <v>3585</v>
      </c>
      <c r="G11" s="22" t="n">
        <v>5793</v>
      </c>
      <c r="H11" s="22" t="n">
        <v>12807</v>
      </c>
      <c r="I11" s="7" t="inlineStr"/>
    </row>
    <row r="12" ht="18" customHeight="1">
      <c r="A12" s="21" t="inlineStr">
        <is>
          <t>令和22年度</t>
        </is>
      </c>
      <c r="B12" s="21" t="inlineStr">
        <is>
          <t>2040</t>
        </is>
      </c>
      <c r="C12" s="22" t="n">
        <v>23582</v>
      </c>
      <c r="D12" s="22" t="n">
        <v>9633</v>
      </c>
      <c r="E12" s="22" t="n">
        <v>40.8</v>
      </c>
      <c r="F12" s="22" t="n">
        <v>3885</v>
      </c>
      <c r="G12" s="22" t="n">
        <v>5748</v>
      </c>
      <c r="H12" s="22" t="n">
        <v>11492</v>
      </c>
      <c r="I12" s="7" t="inlineStr">
        <is>
          <t>中長期推計の目標年（2040年）</t>
        </is>
      </c>
    </row>
    <row r="13" ht="18" customHeight="1">
      <c r="A13" s="21" t="inlineStr">
        <is>
          <t>令和27年度</t>
        </is>
      </c>
      <c r="B13" s="21" t="inlineStr">
        <is>
          <t>2045</t>
        </is>
      </c>
      <c r="C13" s="22" t="n">
        <v>22332</v>
      </c>
      <c r="D13" s="22" t="n">
        <v>9522</v>
      </c>
      <c r="E13" s="22" t="n">
        <v>42.6</v>
      </c>
      <c r="F13" s="22" t="n">
        <v>3776</v>
      </c>
      <c r="G13" s="22" t="n">
        <v>5746</v>
      </c>
      <c r="H13" s="22" t="n">
        <v>10462</v>
      </c>
      <c r="I13" s="7" t="inlineStr"/>
    </row>
    <row r="14" ht="18" customHeight="1">
      <c r="A14" s="21" t="inlineStr">
        <is>
          <t>令和32年度</t>
        </is>
      </c>
      <c r="B14" s="21" t="inlineStr">
        <is>
          <t>2050</t>
        </is>
      </c>
      <c r="C14" s="22" t="n">
        <v>21058</v>
      </c>
      <c r="D14" s="22" t="n">
        <v>9239</v>
      </c>
      <c r="E14" s="22" t="n">
        <v>43.9</v>
      </c>
      <c r="F14" s="22" t="n">
        <v>3261</v>
      </c>
      <c r="G14" s="22" t="n">
        <v>5978</v>
      </c>
      <c r="H14" s="22" t="n">
        <v>9624</v>
      </c>
      <c r="I14" s="7" t="inlineStr">
        <is>
          <t>推計の最終年</t>
        </is>
      </c>
    </row>
    <row r="16" ht="18" customHeight="1">
      <c r="A16" s="6" t="inlineStr">
        <is>
          <t>【推計の前提の記録】</t>
        </is>
      </c>
    </row>
    <row r="17" ht="30" customHeight="1">
      <c r="A17" s="3" t="inlineStr">
        <is>
          <t>項目</t>
        </is>
      </c>
      <c r="B17" s="3" t="inlineStr">
        <is>
          <t>内容</t>
        </is>
      </c>
      <c r="C17" s="3" t="inlineStr"/>
      <c r="D17" s="3" t="inlineStr"/>
      <c r="E17" s="3" t="inlineStr"/>
      <c r="F17" s="3" t="inlineStr"/>
      <c r="G17" s="3" t="inlineStr"/>
      <c r="H17" s="3" t="inlineStr"/>
      <c r="I17" s="3" t="inlineStr"/>
    </row>
    <row r="18" ht="40" customHeight="1">
      <c r="A18" s="23" t="inlineStr">
        <is>
          <t>採用する基礎（令和8年8月31日のご指示）</t>
        </is>
      </c>
      <c r="B18" s="5" t="inlineStr">
        <is>
          <t>第10期の人口推計の基礎は、社人研推計ではなく総合戦略上の人口とする。総人口は3町の地方創生総合戦略（人口ビジョン）の目標人口を、年齢階級別の伸び率は住民基本台帳の実績趨勢（平成31年〜令和7年の年平均変化率）を用いる。</t>
        </is>
      </c>
      <c r="C18" s="24" t="n"/>
      <c r="D18" s="24" t="n"/>
      <c r="E18" s="24" t="n"/>
      <c r="F18" s="24" t="n"/>
      <c r="G18" s="24" t="n"/>
      <c r="H18" s="24" t="n"/>
      <c r="I18" s="8" t="n"/>
    </row>
    <row r="19" ht="40" customHeight="1">
      <c r="A19" s="25" t="inlineStr">
        <is>
          <t>階級別を住民基本台帳によることの理由</t>
        </is>
      </c>
      <c r="B19" s="5" t="inlineStr">
        <is>
          <t>総合戦略が持つのは総人口の目標のみであり、65歳以上・75歳以上の内訳を持たない。認定者数の推計は階級別人口を要するため、階級別の伸び率は住民基本台帳の実績趨勢による。詳細は「人口推計の基礎の変更_総合戦略ベース」による。</t>
        </is>
      </c>
      <c r="C19" s="24" t="n"/>
      <c r="D19" s="24" t="n"/>
      <c r="E19" s="24" t="n"/>
      <c r="F19" s="24" t="n"/>
      <c r="G19" s="24" t="n"/>
      <c r="H19" s="24" t="n"/>
      <c r="I19" s="8" t="n"/>
    </row>
    <row r="20" ht="40" customHeight="1">
      <c r="A20" s="25" t="inlineStr">
        <is>
          <t>この基礎を採ることの根拠</t>
        </is>
      </c>
      <c r="B20" s="5" t="inlineStr">
        <is>
          <t>「自然体推計の計算過程確認シートのガイド」は、保険者が保有する総合計画等による推計人口を用いることを基本とし、これを用意できない場合に社人研推計を利用することとしている。総合戦略上の人口を用いることは、このガイドの原則に沿う。</t>
        </is>
      </c>
      <c r="C20" s="24" t="n"/>
      <c r="D20" s="24" t="n"/>
      <c r="E20" s="24" t="n"/>
      <c r="F20" s="24" t="n"/>
      <c r="G20" s="24" t="n"/>
      <c r="H20" s="24" t="n"/>
      <c r="I20" s="8" t="n"/>
    </row>
    <row r="21" ht="40" customHeight="1">
      <c r="A21" s="25" t="inlineStr">
        <is>
          <t>令和12年度以降の扱い</t>
        </is>
      </c>
      <c r="B21" s="5" t="inlineStr">
        <is>
          <t>総合戦略は令和11年度までしか目標を持たない。中長期推計（令和22年度・令和32年度）は社人研推計によらざるを得ないため、第10期の3年間と中長期とで基礎が異なることを計画本文に明記する。</t>
        </is>
      </c>
      <c r="C21" s="24" t="n"/>
      <c r="D21" s="24" t="n"/>
      <c r="E21" s="24" t="n"/>
      <c r="F21" s="24" t="n"/>
      <c r="G21" s="24" t="n"/>
      <c r="H21" s="24" t="n"/>
      <c r="I21" s="8" t="n"/>
    </row>
    <row r="22" ht="40" customHeight="1">
      <c r="A22" s="25" t="inlineStr">
        <is>
          <t>従前の案の扱い</t>
        </is>
      </c>
      <c r="B22" s="5" t="inlineStr">
        <is>
          <t>令和8年7月30日に受託者が仮に置いた案（社人研推計をそのまま用いる）は、本シートの参考表及び「人口推計の補正_65歳以上75歳以上の突合」に案A・案Bとして残す。対比の記録として保存する。</t>
        </is>
      </c>
      <c r="C22" s="24" t="n"/>
      <c r="D22" s="24" t="n"/>
      <c r="E22" s="24" t="n"/>
      <c r="F22" s="24" t="n"/>
      <c r="G22" s="24" t="n"/>
      <c r="H22" s="24" t="n"/>
      <c r="I22" s="8" t="n"/>
    </row>
    <row r="23" ht="40" customHeight="1">
      <c r="A23" s="25" t="inlineStr">
        <is>
          <t>計画本文への記載</t>
        </is>
      </c>
      <c r="B23" s="5" t="inlineStr">
        <is>
          <t>第2章第1節に、人口推計の基礎、第9期計画（住民基本台帳・コーホート変化率法）の数値と一致しないこと、及びその理由を記載する。</t>
        </is>
      </c>
      <c r="C23" s="24" t="n"/>
      <c r="D23" s="24" t="n"/>
      <c r="E23" s="24" t="n"/>
      <c r="F23" s="24" t="n"/>
      <c r="G23" s="24" t="n"/>
      <c r="H23" s="24" t="n"/>
      <c r="I23" s="8" t="n"/>
    </row>
    <row r="24" ht="40" customHeight="1">
      <c r="A24" s="25" t="inlineStr">
        <is>
          <t>なお確定を要すること</t>
        </is>
      </c>
      <c r="B24" s="5" t="inlineStr">
        <is>
          <t>美瑛町の総合戦略に人口の目標値がないこと、東神楽町の実績が目標を下回る見込みであることから、総人口の目標値を3町一律には用いられない。確定を要する事項は「人口推計の基礎の変更_総合戦略ベース」06シートによる。</t>
        </is>
      </c>
      <c r="C24" s="24" t="n"/>
      <c r="D24" s="24" t="n"/>
      <c r="E24" s="24" t="n"/>
      <c r="F24" s="24" t="n"/>
      <c r="G24" s="24" t="n"/>
      <c r="H24" s="24" t="n"/>
      <c r="I24" s="8" t="n"/>
    </row>
    <row r="26" ht="104" customHeight="1">
      <c r="A26" s="14" t="inlineStr">
        <is>
          <t>注1）本シートの人口は見える化A系列（社人研）のとおりであり、参考である。推計に用いる階級別人口は02シートによる。第10期の推計に用いる各年度の値は、5年ごとの推計点（令和7年・令和12年）の線形補間である。注2）総人口は第10期の3年間で3.3％減少するが、65歳以上人口は0.1％減にとどまる。高齢化率の上昇（34.4％→35.6％）は分母の減少によるものであり、高齢者が増えるためではない。注3）第10期基本指針案は2040年度を含む中長期推計を求めている。令和22年度（2040年）及び令和32年度（2050年）を掲載する。</t>
        </is>
      </c>
    </row>
  </sheetData>
  <mergeCells count="10">
    <mergeCell ref="B18:I18"/>
    <mergeCell ref="B21:I21"/>
    <mergeCell ref="A2:I2"/>
    <mergeCell ref="B24:I24"/>
    <mergeCell ref="B20:I20"/>
    <mergeCell ref="B19:I19"/>
    <mergeCell ref="B22:I22"/>
    <mergeCell ref="B23:I23"/>
    <mergeCell ref="A26:I26"/>
    <mergeCell ref="A16:I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
  <sheetViews>
    <sheetView showGridLines="0" workbookViewId="0">
      <pane ySplit="4" topLeftCell="A5" activePane="bottomLeft" state="frozen"/>
      <selection pane="bottomLeft" activeCell="A1" sqref="A1"/>
    </sheetView>
  </sheetViews>
  <sheetFormatPr baseColWidth="8" defaultRowHeight="15"/>
  <cols>
    <col width="10" customWidth="1" min="1" max="1"/>
    <col width="9" customWidth="1" min="2" max="2"/>
    <col width="11" customWidth="1" min="3" max="3"/>
    <col width="11" customWidth="1" min="4" max="4"/>
    <col width="11" customWidth="1" min="5" max="5"/>
    <col width="11" customWidth="1" min="6" max="6"/>
    <col width="10" customWidth="1" min="7" max="7"/>
    <col width="10" customWidth="1" min="8" max="8"/>
    <col width="10" customWidth="1" min="9" max="9"/>
    <col width="32" customWidth="1" min="10" max="10"/>
  </cols>
  <sheetData>
    <row r="1" ht="22" customHeight="1">
      <c r="A1" s="1" t="inlineStr">
        <is>
          <t>推計上の階級別人口（実績人口×住民基本台帳の実績趨勢）</t>
        </is>
      </c>
    </row>
    <row r="2" ht="48" customHeight="1">
      <c r="A2" s="2" t="inlineStr">
        <is>
          <t>令和7年度の実績人口（見える化B4系列・令和8年3月末）に、住民基本台帳の階級別の実績趨勢（平成31年〜令和7年の年平均変化率）を乗じて求める。基準年度の水準を実績に合わせることで、推計の出発点が実績と一致する。令和12年度以降は、令和11年度を起点に社人研推計の伸び率で接続する（総合戦略が令和11年度までしか目標を持たないため）。</t>
        </is>
      </c>
    </row>
    <row r="4" ht="36" customHeight="1">
      <c r="A4" s="3" t="inlineStr">
        <is>
          <t>年度</t>
        </is>
      </c>
      <c r="B4" s="3" t="inlineStr">
        <is>
          <t>西暦</t>
        </is>
      </c>
      <c r="C4" s="3" t="inlineStr">
        <is>
          <t>65〜74歳</t>
        </is>
      </c>
      <c r="D4" s="3" t="inlineStr">
        <is>
          <t>75〜84歳</t>
        </is>
      </c>
      <c r="E4" s="3" t="inlineStr">
        <is>
          <t>85歳以上</t>
        </is>
      </c>
      <c r="F4" s="3" t="inlineStr">
        <is>
          <t>65歳以上計</t>
        </is>
      </c>
      <c r="G4" s="3" t="inlineStr">
        <is>
          <t>伸び率
65〜74</t>
        </is>
      </c>
      <c r="H4" s="3" t="inlineStr">
        <is>
          <t>伸び率
75〜84</t>
        </is>
      </c>
      <c r="I4" s="3" t="inlineStr">
        <is>
          <t>伸び率
85＋</t>
        </is>
      </c>
      <c r="J4" s="3" t="inlineStr">
        <is>
          <t>所見</t>
        </is>
      </c>
    </row>
    <row r="5" ht="18" customHeight="1">
      <c r="A5" s="15" t="inlineStr">
        <is>
          <t>令和7年度</t>
        </is>
      </c>
      <c r="B5" s="15" t="inlineStr">
        <is>
          <t>2025</t>
        </is>
      </c>
      <c r="C5" s="16" t="n">
        <v>3600</v>
      </c>
      <c r="D5" s="16" t="n">
        <v>3499</v>
      </c>
      <c r="E5" s="16" t="n">
        <v>1990</v>
      </c>
      <c r="F5" s="16" t="n">
        <v>9090</v>
      </c>
      <c r="G5" s="16" t="inlineStr">
        <is>
          <t>1.0000</t>
        </is>
      </c>
      <c r="H5" s="16" t="inlineStr">
        <is>
          <t>1.0000</t>
        </is>
      </c>
      <c r="I5" s="16" t="inlineStr">
        <is>
          <t>1.0000</t>
        </is>
      </c>
      <c r="J5" s="17" t="inlineStr">
        <is>
          <t>基準年度（実績）</t>
        </is>
      </c>
    </row>
    <row r="6" ht="18" customHeight="1">
      <c r="A6" s="4" t="inlineStr">
        <is>
          <t>令和8年度</t>
        </is>
      </c>
      <c r="B6" s="4" t="inlineStr">
        <is>
          <t>2026</t>
        </is>
      </c>
      <c r="C6" s="9" t="n">
        <v>3542</v>
      </c>
      <c r="D6" s="9" t="n">
        <v>3546</v>
      </c>
      <c r="E6" s="9" t="n">
        <v>2030</v>
      </c>
      <c r="F6" s="9" t="n">
        <v>9117</v>
      </c>
      <c r="G6" s="9" t="inlineStr">
        <is>
          <t>0.9838</t>
        </is>
      </c>
      <c r="H6" s="9" t="inlineStr">
        <is>
          <t>1.0133</t>
        </is>
      </c>
      <c r="I6" s="9" t="inlineStr">
        <is>
          <t>1.0197</t>
        </is>
      </c>
      <c r="J6" s="5" t="inlineStr"/>
    </row>
    <row r="7" ht="18" customHeight="1">
      <c r="A7" s="18" t="inlineStr">
        <is>
          <t>令和9年度</t>
        </is>
      </c>
      <c r="B7" s="18" t="inlineStr">
        <is>
          <t>2027</t>
        </is>
      </c>
      <c r="C7" s="19" t="n">
        <v>3484</v>
      </c>
      <c r="D7" s="19" t="n">
        <v>3593</v>
      </c>
      <c r="E7" s="19" t="n">
        <v>2070</v>
      </c>
      <c r="F7" s="19" t="n">
        <v>9147</v>
      </c>
      <c r="G7" s="19" t="inlineStr">
        <is>
          <t>0.9678</t>
        </is>
      </c>
      <c r="H7" s="19" t="inlineStr">
        <is>
          <t>1.0267</t>
        </is>
      </c>
      <c r="I7" s="19" t="inlineStr">
        <is>
          <t>1.0399</t>
        </is>
      </c>
      <c r="J7" s="20" t="inlineStr"/>
    </row>
    <row r="8" ht="18" customHeight="1">
      <c r="A8" s="18" t="inlineStr">
        <is>
          <t>令和10年度</t>
        </is>
      </c>
      <c r="B8" s="18" t="inlineStr">
        <is>
          <t>2028</t>
        </is>
      </c>
      <c r="C8" s="19" t="n">
        <v>3428</v>
      </c>
      <c r="D8" s="19" t="n">
        <v>3641</v>
      </c>
      <c r="E8" s="19" t="n">
        <v>2111</v>
      </c>
      <c r="F8" s="19" t="n">
        <v>9179</v>
      </c>
      <c r="G8" s="19" t="inlineStr">
        <is>
          <t>0.9521</t>
        </is>
      </c>
      <c r="H8" s="19" t="inlineStr">
        <is>
          <t>1.0404</t>
        </is>
      </c>
      <c r="I8" s="19" t="inlineStr">
        <is>
          <t>1.0604</t>
        </is>
      </c>
      <c r="J8" s="20" t="inlineStr"/>
    </row>
    <row r="9" ht="18" customHeight="1">
      <c r="A9" s="18" t="inlineStr">
        <is>
          <t>令和11年度</t>
        </is>
      </c>
      <c r="B9" s="18" t="inlineStr">
        <is>
          <t>2029</t>
        </is>
      </c>
      <c r="C9" s="19" t="n">
        <v>3372</v>
      </c>
      <c r="D9" s="19" t="n">
        <v>3689</v>
      </c>
      <c r="E9" s="19" t="n">
        <v>2152</v>
      </c>
      <c r="F9" s="19" t="n">
        <v>9213</v>
      </c>
      <c r="G9" s="19" t="inlineStr">
        <is>
          <t>0.9366</t>
        </is>
      </c>
      <c r="H9" s="19" t="inlineStr">
        <is>
          <t>1.0542</t>
        </is>
      </c>
      <c r="I9" s="19" t="inlineStr">
        <is>
          <t>1.0814</t>
        </is>
      </c>
      <c r="J9" s="20" t="inlineStr">
        <is>
          <t>第10期の最終年度。85歳以上が+161人、75〜84歳が+189人、65〜74歳が-228人</t>
        </is>
      </c>
    </row>
    <row r="10" ht="18" customHeight="1">
      <c r="A10" s="4" t="inlineStr">
        <is>
          <t>令和12年度</t>
        </is>
      </c>
      <c r="B10" s="4" t="inlineStr">
        <is>
          <t>2030</t>
        </is>
      </c>
      <c r="C10" s="9" t="n">
        <v>3323</v>
      </c>
      <c r="D10" s="9" t="n">
        <v>3714</v>
      </c>
      <c r="E10" s="9" t="n">
        <v>2174</v>
      </c>
      <c r="F10" s="9" t="n">
        <v>9211</v>
      </c>
      <c r="G10" s="9" t="inlineStr">
        <is>
          <t>0.9229</t>
        </is>
      </c>
      <c r="H10" s="9" t="inlineStr">
        <is>
          <t>1.0615</t>
        </is>
      </c>
      <c r="I10" s="9" t="inlineStr">
        <is>
          <t>1.0924</t>
        </is>
      </c>
      <c r="J10" s="5" t="inlineStr">
        <is>
          <t>令和12年度以降は社人研推計の伸び率で接続する</t>
        </is>
      </c>
    </row>
    <row r="11" ht="18" customHeight="1">
      <c r="A11" s="21" t="inlineStr">
        <is>
          <t>令和17年度</t>
        </is>
      </c>
      <c r="B11" s="21" t="inlineStr">
        <is>
          <t>2035</t>
        </is>
      </c>
      <c r="C11" s="22" t="n">
        <v>3532</v>
      </c>
      <c r="D11" s="22" t="n">
        <v>3168</v>
      </c>
      <c r="E11" s="22" t="n">
        <v>2550</v>
      </c>
      <c r="F11" s="22" t="n">
        <v>9250</v>
      </c>
      <c r="G11" s="22" t="inlineStr">
        <is>
          <t>0.9809</t>
        </is>
      </c>
      <c r="H11" s="22" t="inlineStr">
        <is>
          <t>0.9053</t>
        </is>
      </c>
      <c r="I11" s="22" t="inlineStr">
        <is>
          <t>1.2812</t>
        </is>
      </c>
      <c r="J11" s="7" t="inlineStr">
        <is>
          <t>75〜84歳が3,168人、85歳以上が2,550人</t>
        </is>
      </c>
    </row>
    <row r="12" ht="18" customHeight="1">
      <c r="A12" s="21" t="inlineStr">
        <is>
          <t>令和22年度</t>
        </is>
      </c>
      <c r="B12" s="21" t="inlineStr">
        <is>
          <t>2040</t>
        </is>
      </c>
      <c r="C12" s="22" t="n">
        <v>3827</v>
      </c>
      <c r="D12" s="22" t="n">
        <v>2983</v>
      </c>
      <c r="E12" s="22" t="n">
        <v>2681</v>
      </c>
      <c r="F12" s="22" t="n">
        <v>9491</v>
      </c>
      <c r="G12" s="22" t="inlineStr">
        <is>
          <t>1.0630</t>
        </is>
      </c>
      <c r="H12" s="22" t="inlineStr">
        <is>
          <t>0.8525</t>
        </is>
      </c>
      <c r="I12" s="22" t="inlineStr">
        <is>
          <t>1.3469</t>
        </is>
      </c>
      <c r="J12" s="7" t="inlineStr"/>
    </row>
    <row r="13" ht="18" customHeight="1">
      <c r="A13" s="21" t="inlineStr">
        <is>
          <t>令和27年度</t>
        </is>
      </c>
      <c r="B13" s="21" t="inlineStr">
        <is>
          <t>2045</t>
        </is>
      </c>
      <c r="C13" s="22" t="n">
        <v>3720</v>
      </c>
      <c r="D13" s="22" t="n">
        <v>3199</v>
      </c>
      <c r="E13" s="22" t="n">
        <v>2477</v>
      </c>
      <c r="F13" s="22" t="n">
        <v>9395</v>
      </c>
      <c r="G13" s="22" t="inlineStr">
        <is>
          <t>1.0332</t>
        </is>
      </c>
      <c r="H13" s="22" t="inlineStr">
        <is>
          <t>0.9140</t>
        </is>
      </c>
      <c r="I13" s="22" t="inlineStr">
        <is>
          <t>1.2443</t>
        </is>
      </c>
      <c r="J13" s="7" t="inlineStr"/>
    </row>
    <row r="14" ht="18" customHeight="1">
      <c r="A14" s="21" t="inlineStr">
        <is>
          <t>令和32年度</t>
        </is>
      </c>
      <c r="B14" s="21" t="inlineStr">
        <is>
          <t>2050</t>
        </is>
      </c>
      <c r="C14" s="22" t="n">
        <v>3213</v>
      </c>
      <c r="D14" s="22" t="n">
        <v>3497</v>
      </c>
      <c r="E14" s="22" t="n">
        <v>2417</v>
      </c>
      <c r="F14" s="22" t="n">
        <v>9127</v>
      </c>
      <c r="G14" s="22" t="inlineStr">
        <is>
          <t>0.8923</t>
        </is>
      </c>
      <c r="H14" s="22" t="inlineStr">
        <is>
          <t>0.9994</t>
        </is>
      </c>
      <c r="I14" s="22" t="inlineStr">
        <is>
          <t>1.2146</t>
        </is>
      </c>
      <c r="J14" s="7" t="inlineStr"/>
    </row>
    <row r="16" ht="18" customHeight="1">
      <c r="A16" s="6" t="inlineStr">
        <is>
          <t>【第10期の3年間の変化（令和7年度＝基準）】</t>
        </is>
      </c>
    </row>
    <row r="17" ht="30" customHeight="1">
      <c r="A17" s="3" t="inlineStr">
        <is>
          <t>階級</t>
        </is>
      </c>
      <c r="B17" s="3" t="inlineStr">
        <is>
          <t>令和7年度</t>
        </is>
      </c>
      <c r="C17" s="3" t="inlineStr">
        <is>
          <t>令和9年度</t>
        </is>
      </c>
      <c r="D17" s="3" t="inlineStr">
        <is>
          <t>令和10年度</t>
        </is>
      </c>
      <c r="E17" s="3" t="inlineStr">
        <is>
          <t>令和11年度</t>
        </is>
      </c>
      <c r="F17" s="3" t="inlineStr">
        <is>
          <t>令和7→11年度</t>
        </is>
      </c>
      <c r="G17" s="3" t="inlineStr"/>
      <c r="H17" s="3" t="inlineStr"/>
      <c r="I17" s="3" t="inlineStr"/>
      <c r="J17" s="3" t="inlineStr">
        <is>
          <t>読み方</t>
        </is>
      </c>
    </row>
    <row r="18" ht="20" customHeight="1">
      <c r="A18" s="5" t="inlineStr">
        <is>
          <t>65〜74歳</t>
        </is>
      </c>
      <c r="B18" s="9" t="n">
        <v>3600</v>
      </c>
      <c r="C18" s="9" t="n">
        <v>3484</v>
      </c>
      <c r="D18" s="9" t="n">
        <v>3428</v>
      </c>
      <c r="E18" s="9" t="n">
        <v>3372</v>
      </c>
      <c r="F18" s="11" t="inlineStr">
        <is>
          <t>-228人（-6.3％）</t>
        </is>
      </c>
      <c r="G18" s="24" t="n"/>
      <c r="H18" s="24" t="n"/>
      <c r="I18" s="8" t="n"/>
      <c r="J18" s="26" t="inlineStr">
        <is>
          <t>団塊世代が75歳以上へ移行するため減る。</t>
        </is>
      </c>
    </row>
    <row r="19" ht="20" customHeight="1">
      <c r="A19" s="5" t="inlineStr">
        <is>
          <t>75〜84歳</t>
        </is>
      </c>
      <c r="B19" s="9" t="n">
        <v>3499</v>
      </c>
      <c r="C19" s="9" t="n">
        <v>3593</v>
      </c>
      <c r="D19" s="9" t="n">
        <v>3641</v>
      </c>
      <c r="E19" s="9" t="n">
        <v>3689</v>
      </c>
      <c r="F19" s="27" t="inlineStr">
        <is>
          <t>+190人（+5.4％）</t>
        </is>
      </c>
      <c r="G19" s="24" t="n"/>
      <c r="H19" s="24" t="n"/>
      <c r="I19" s="8" t="n"/>
      <c r="J19" s="26" t="inlineStr">
        <is>
          <t>団塊世代の移行により増える。</t>
        </is>
      </c>
    </row>
    <row r="20" ht="20" customHeight="1">
      <c r="A20" s="5" t="inlineStr">
        <is>
          <t>85歳以上</t>
        </is>
      </c>
      <c r="B20" s="9" t="n">
        <v>1990</v>
      </c>
      <c r="C20" s="9" t="n">
        <v>2070</v>
      </c>
      <c r="D20" s="9" t="n">
        <v>2111</v>
      </c>
      <c r="E20" s="9" t="n">
        <v>2152</v>
      </c>
      <c r="F20" s="27" t="inlineStr">
        <is>
          <t>+162人（+8.1％）</t>
        </is>
      </c>
      <c r="G20" s="24" t="n"/>
      <c r="H20" s="24" t="n"/>
      <c r="I20" s="8" t="n"/>
      <c r="J20" s="26" t="inlineStr">
        <is>
          <t>一貫して増える。認定者数の増加はここが源である。</t>
        </is>
      </c>
    </row>
    <row r="21" ht="20" customHeight="1">
      <c r="A21" s="12" t="inlineStr">
        <is>
          <t>計</t>
        </is>
      </c>
      <c r="B21" s="13" t="n">
        <v>9090</v>
      </c>
      <c r="C21" s="13" t="n">
        <v>9147</v>
      </c>
      <c r="D21" s="13" t="n">
        <v>9179</v>
      </c>
      <c r="E21" s="13" t="n">
        <v>9213</v>
      </c>
      <c r="F21" s="13" t="inlineStr">
        <is>
          <t>+123人（+1.4％）</t>
        </is>
      </c>
      <c r="G21" s="24" t="n"/>
      <c r="H21" s="24" t="n"/>
      <c r="I21" s="8" t="n"/>
      <c r="J21" s="12" t="inlineStr">
        <is>
          <t>合計はほぼ変わらないが構成が入れ替わる。</t>
        </is>
      </c>
    </row>
    <row r="23" ht="104" customHeight="1">
      <c r="A23" s="14" t="inlineStr">
        <is>
          <t>注1）本表の人口は「第1号被保険者数」ではなく「認定率の分母となる65歳以上人口」である。第1号被保険者数は住所地特例等により若干異なる。保険料算定に用いる被保険者数は第3段階で別途整理する。注2）伸び率は住民基本台帳（平成31年〜令和7年の6年）の階級別の年平均変化率による（65〜74歳-1.624％・75〜84歳+1.328％・85歳以上+1.975％）。令和8年8月31日の発注者のご指示により、社人研推計を伸び率の基礎とすることをやめた。令和12年度以降は総合戦略に目標がないため、令和11年度を起点に社人研推計の伸び率で接続している。注3）65歳以上の合計は第10期の3年間で+123人となり、85歳以上が+162人増え65〜74歳が-228人減る。階級別の認定率が大きく異なるため、この構成の変化だけで合計認定率は上昇する。</t>
        </is>
      </c>
    </row>
  </sheetData>
  <mergeCells count="7">
    <mergeCell ref="F18:I18"/>
    <mergeCell ref="A23:J23"/>
    <mergeCell ref="A2:J2"/>
    <mergeCell ref="F21:I21"/>
    <mergeCell ref="A16:J16"/>
    <mergeCell ref="F19:I19"/>
    <mergeCell ref="F20:I2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28"/>
  <sheetViews>
    <sheetView showGridLines="0" workbookViewId="0">
      <pane ySplit="4" topLeftCell="A5" activePane="bottomLeft" state="frozen"/>
      <selection pane="bottomLeft" activeCell="A1" sqref="A1"/>
    </sheetView>
  </sheetViews>
  <sheetFormatPr baseColWidth="8" defaultRowHeight="15"/>
  <cols>
    <col width="10" customWidth="1" min="1" max="1"/>
    <col width="9" customWidth="1" min="2" max="2"/>
    <col width="9" customWidth="1" min="3" max="3"/>
    <col width="9" customWidth="1" min="4" max="4"/>
    <col width="9" customWidth="1" min="5" max="5"/>
    <col width="11" customWidth="1" min="6" max="6"/>
    <col width="9" customWidth="1" min="7" max="7"/>
    <col width="11" customWidth="1" min="8" max="8"/>
    <col width="9" customWidth="1" min="9" max="9"/>
    <col width="11" customWidth="1" min="10" max="10"/>
    <col width="9" customWidth="1" min="11" max="11"/>
    <col width="11" customWidth="1" min="12" max="12"/>
    <col width="9" customWidth="1" min="13" max="13"/>
  </cols>
  <sheetData>
    <row r="1" ht="22" customHeight="1">
      <c r="A1" s="1" t="inlineStr">
        <is>
          <t>認定者数の推計（3シナリオ）</t>
        </is>
      </c>
    </row>
    <row r="2" ht="48" customHeight="1">
      <c r="A2" s="2" t="inlineStr">
        <is>
          <t>階級別人口に階級別認定率を乗じて認定者数を推計する。認定率の置き方は方針No.2として発注者の決定を要するため、3つのシナリオを示す。基準年度（令和7年度）はいずれのシナリオでも実績1,984人と一致する。</t>
        </is>
      </c>
    </row>
    <row r="4" ht="44" customHeight="1">
      <c r="A4" s="3" t="inlineStr">
        <is>
          <t>年度</t>
        </is>
      </c>
      <c r="B4" s="3" t="inlineStr">
        <is>
          <t>西暦</t>
        </is>
      </c>
      <c r="C4" s="3" t="inlineStr">
        <is>
          <t>①率
65-74</t>
        </is>
      </c>
      <c r="D4" s="3" t="inlineStr">
        <is>
          <t>①率
75-84</t>
        </is>
      </c>
      <c r="E4" s="3" t="inlineStr">
        <is>
          <t>①率
85+</t>
        </is>
      </c>
      <c r="F4" s="3" t="inlineStr">
        <is>
          <t>①認定者数</t>
        </is>
      </c>
      <c r="G4" s="3" t="inlineStr">
        <is>
          <t>①合計率</t>
        </is>
      </c>
      <c r="H4" s="3" t="inlineStr">
        <is>
          <t>②認定者数</t>
        </is>
      </c>
      <c r="I4" s="3" t="inlineStr">
        <is>
          <t>②合計率</t>
        </is>
      </c>
      <c r="J4" s="3" t="inlineStr">
        <is>
          <t>③認定者数</t>
        </is>
      </c>
      <c r="K4" s="3" t="inlineStr">
        <is>
          <t>③合計率</t>
        </is>
      </c>
      <c r="L4" s="3" t="inlineStr">
        <is>
          <t>①と②の差</t>
        </is>
      </c>
      <c r="M4" s="3" t="inlineStr">
        <is>
          <t>①と③の差</t>
        </is>
      </c>
    </row>
    <row r="5" ht="18" customHeight="1">
      <c r="A5" s="15" t="inlineStr">
        <is>
          <t>令和7年度</t>
        </is>
      </c>
      <c r="B5" s="15" t="inlineStr">
        <is>
          <t>2025</t>
        </is>
      </c>
      <c r="C5" s="16" t="inlineStr">
        <is>
          <t>4.03</t>
        </is>
      </c>
      <c r="D5" s="16" t="inlineStr">
        <is>
          <t>17.52</t>
        </is>
      </c>
      <c r="E5" s="16" t="inlineStr">
        <is>
          <t>61.60</t>
        </is>
      </c>
      <c r="F5" s="16" t="n">
        <v>1984</v>
      </c>
      <c r="G5" s="16" t="inlineStr">
        <is>
          <t>21.8％</t>
        </is>
      </c>
      <c r="H5" s="16" t="n">
        <v>1984</v>
      </c>
      <c r="I5" s="16" t="inlineStr">
        <is>
          <t>21.8％</t>
        </is>
      </c>
      <c r="J5" s="16" t="n">
        <v>1984</v>
      </c>
      <c r="K5" s="16" t="inlineStr">
        <is>
          <t>21.8％</t>
        </is>
      </c>
      <c r="L5" s="16" t="inlineStr">
        <is>
          <t>+0人</t>
        </is>
      </c>
      <c r="M5" s="16" t="inlineStr">
        <is>
          <t>+0人</t>
        </is>
      </c>
    </row>
    <row r="6" ht="18" customHeight="1">
      <c r="A6" s="4" t="inlineStr">
        <is>
          <t>令和8年度</t>
        </is>
      </c>
      <c r="B6" s="4" t="inlineStr">
        <is>
          <t>2026</t>
        </is>
      </c>
      <c r="C6" s="9" t="inlineStr">
        <is>
          <t>4.03</t>
        </is>
      </c>
      <c r="D6" s="9" t="inlineStr">
        <is>
          <t>17.52</t>
        </is>
      </c>
      <c r="E6" s="9" t="inlineStr">
        <is>
          <t>61.60</t>
        </is>
      </c>
      <c r="F6" s="9" t="n">
        <v>2014</v>
      </c>
      <c r="G6" s="9" t="inlineStr">
        <is>
          <t>22.1％</t>
        </is>
      </c>
      <c r="H6" s="9" t="n">
        <v>2004</v>
      </c>
      <c r="I6" s="9" t="inlineStr">
        <is>
          <t>22.0％</t>
        </is>
      </c>
      <c r="J6" s="9" t="n">
        <v>2031</v>
      </c>
      <c r="K6" s="9" t="inlineStr">
        <is>
          <t>22.3％</t>
        </is>
      </c>
      <c r="L6" s="9" t="inlineStr">
        <is>
          <t>-10人</t>
        </is>
      </c>
      <c r="M6" s="9" t="inlineStr">
        <is>
          <t>+17人</t>
        </is>
      </c>
    </row>
    <row r="7" ht="18" customHeight="1">
      <c r="A7" s="18" t="inlineStr">
        <is>
          <t>令和9年度</t>
        </is>
      </c>
      <c r="B7" s="18" t="inlineStr">
        <is>
          <t>2027</t>
        </is>
      </c>
      <c r="C7" s="19" t="inlineStr">
        <is>
          <t>4.03</t>
        </is>
      </c>
      <c r="D7" s="19" t="inlineStr">
        <is>
          <t>17.52</t>
        </is>
      </c>
      <c r="E7" s="19" t="inlineStr">
        <is>
          <t>61.60</t>
        </is>
      </c>
      <c r="F7" s="19" t="n">
        <v>2045</v>
      </c>
      <c r="G7" s="19" t="inlineStr">
        <is>
          <t>22.4％</t>
        </is>
      </c>
      <c r="H7" s="19" t="n">
        <v>2025</v>
      </c>
      <c r="I7" s="19" t="inlineStr">
        <is>
          <t>22.1％</t>
        </is>
      </c>
      <c r="J7" s="19" t="n">
        <v>2079</v>
      </c>
      <c r="K7" s="19" t="inlineStr">
        <is>
          <t>22.7％</t>
        </is>
      </c>
      <c r="L7" s="19" t="inlineStr">
        <is>
          <t>-20人</t>
        </is>
      </c>
      <c r="M7" s="19" t="inlineStr">
        <is>
          <t>+34人</t>
        </is>
      </c>
    </row>
    <row r="8" ht="18" customHeight="1">
      <c r="A8" s="18" t="inlineStr">
        <is>
          <t>令和10年度</t>
        </is>
      </c>
      <c r="B8" s="18" t="inlineStr">
        <is>
          <t>2028</t>
        </is>
      </c>
      <c r="C8" s="19" t="inlineStr">
        <is>
          <t>4.03</t>
        </is>
      </c>
      <c r="D8" s="19" t="inlineStr">
        <is>
          <t>17.52</t>
        </is>
      </c>
      <c r="E8" s="19" t="inlineStr">
        <is>
          <t>61.60</t>
        </is>
      </c>
      <c r="F8" s="19" t="n">
        <v>2076</v>
      </c>
      <c r="G8" s="19" t="inlineStr">
        <is>
          <t>22.6％</t>
        </is>
      </c>
      <c r="H8" s="19" t="n">
        <v>2046</v>
      </c>
      <c r="I8" s="19" t="inlineStr">
        <is>
          <t>22.3％</t>
        </is>
      </c>
      <c r="J8" s="19" t="n">
        <v>2128</v>
      </c>
      <c r="K8" s="19" t="inlineStr">
        <is>
          <t>23.2％</t>
        </is>
      </c>
      <c r="L8" s="19" t="inlineStr">
        <is>
          <t>-30人</t>
        </is>
      </c>
      <c r="M8" s="19" t="inlineStr">
        <is>
          <t>+52人</t>
        </is>
      </c>
    </row>
    <row r="9" ht="18" customHeight="1">
      <c r="A9" s="18" t="inlineStr">
        <is>
          <t>令和11年度</t>
        </is>
      </c>
      <c r="B9" s="18" t="inlineStr">
        <is>
          <t>2029</t>
        </is>
      </c>
      <c r="C9" s="19" t="inlineStr">
        <is>
          <t>4.03</t>
        </is>
      </c>
      <c r="D9" s="19" t="inlineStr">
        <is>
          <t>17.52</t>
        </is>
      </c>
      <c r="E9" s="19" t="inlineStr">
        <is>
          <t>61.60</t>
        </is>
      </c>
      <c r="F9" s="19" t="n">
        <v>2108</v>
      </c>
      <c r="G9" s="19" t="inlineStr">
        <is>
          <t>22.9％</t>
        </is>
      </c>
      <c r="H9" s="19" t="n">
        <v>2067</v>
      </c>
      <c r="I9" s="19" t="inlineStr">
        <is>
          <t>22.4％</t>
        </is>
      </c>
      <c r="J9" s="19" t="n">
        <v>2178</v>
      </c>
      <c r="K9" s="19" t="inlineStr">
        <is>
          <t>23.6％</t>
        </is>
      </c>
      <c r="L9" s="19" t="inlineStr">
        <is>
          <t>-40人</t>
        </is>
      </c>
      <c r="M9" s="19" t="inlineStr">
        <is>
          <t>+71人</t>
        </is>
      </c>
    </row>
    <row r="10" ht="18" customHeight="1">
      <c r="A10" s="4" t="inlineStr">
        <is>
          <t>令和12年度</t>
        </is>
      </c>
      <c r="B10" s="4" t="inlineStr">
        <is>
          <t>2030</t>
        </is>
      </c>
      <c r="C10" s="9" t="inlineStr">
        <is>
          <t>4.03</t>
        </is>
      </c>
      <c r="D10" s="9" t="inlineStr">
        <is>
          <t>17.52</t>
        </is>
      </c>
      <c r="E10" s="9" t="inlineStr">
        <is>
          <t>61.60</t>
        </is>
      </c>
      <c r="F10" s="9" t="n">
        <v>2124</v>
      </c>
      <c r="G10" s="9" t="inlineStr">
        <is>
          <t>23.1％</t>
        </is>
      </c>
      <c r="H10" s="9" t="n">
        <v>2083</v>
      </c>
      <c r="I10" s="9" t="inlineStr">
        <is>
          <t>22.6％</t>
        </is>
      </c>
      <c r="J10" s="9" t="n">
        <v>2195</v>
      </c>
      <c r="K10" s="9" t="inlineStr">
        <is>
          <t>23.8％</t>
        </is>
      </c>
      <c r="L10" s="9" t="inlineStr">
        <is>
          <t>-41人</t>
        </is>
      </c>
      <c r="M10" s="9" t="inlineStr">
        <is>
          <t>+71人</t>
        </is>
      </c>
    </row>
    <row r="11" ht="18" customHeight="1">
      <c r="A11" s="21" t="inlineStr">
        <is>
          <t>令和17年度</t>
        </is>
      </c>
      <c r="B11" s="21" t="inlineStr">
        <is>
          <t>2035</t>
        </is>
      </c>
      <c r="C11" s="22" t="inlineStr">
        <is>
          <t>4.03</t>
        </is>
      </c>
      <c r="D11" s="22" t="inlineStr">
        <is>
          <t>17.52</t>
        </is>
      </c>
      <c r="E11" s="22" t="inlineStr">
        <is>
          <t>61.60</t>
        </is>
      </c>
      <c r="F11" s="22" t="n">
        <v>2268</v>
      </c>
      <c r="G11" s="22" t="inlineStr">
        <is>
          <t>24.5％</t>
        </is>
      </c>
      <c r="H11" s="22" t="n">
        <v>2228</v>
      </c>
      <c r="I11" s="22" t="inlineStr">
        <is>
          <t>24.1％</t>
        </is>
      </c>
      <c r="J11" s="22" t="n">
        <v>2338</v>
      </c>
      <c r="K11" s="22" t="inlineStr">
        <is>
          <t>25.3％</t>
        </is>
      </c>
      <c r="L11" s="22" t="inlineStr">
        <is>
          <t>-40人</t>
        </is>
      </c>
      <c r="M11" s="22" t="inlineStr">
        <is>
          <t>+70人</t>
        </is>
      </c>
    </row>
    <row r="12" ht="18" customHeight="1">
      <c r="A12" s="21" t="inlineStr">
        <is>
          <t>令和22年度</t>
        </is>
      </c>
      <c r="B12" s="21" t="inlineStr">
        <is>
          <t>2040</t>
        </is>
      </c>
      <c r="C12" s="22" t="inlineStr">
        <is>
          <t>4.03</t>
        </is>
      </c>
      <c r="D12" s="22" t="inlineStr">
        <is>
          <t>17.52</t>
        </is>
      </c>
      <c r="E12" s="22" t="inlineStr">
        <is>
          <t>61.60</t>
        </is>
      </c>
      <c r="F12" s="22" t="n">
        <v>2328</v>
      </c>
      <c r="G12" s="22" t="inlineStr">
        <is>
          <t>24.5％</t>
        </is>
      </c>
      <c r="H12" s="22" t="n">
        <v>2288</v>
      </c>
      <c r="I12" s="22" t="inlineStr">
        <is>
          <t>24.1％</t>
        </is>
      </c>
      <c r="J12" s="22" t="n">
        <v>2398</v>
      </c>
      <c r="K12" s="22" t="inlineStr">
        <is>
          <t>25.3％</t>
        </is>
      </c>
      <c r="L12" s="22" t="inlineStr">
        <is>
          <t>-40人</t>
        </is>
      </c>
      <c r="M12" s="22" t="inlineStr">
        <is>
          <t>+70人</t>
        </is>
      </c>
    </row>
    <row r="13" ht="18" customHeight="1">
      <c r="A13" s="21" t="inlineStr">
        <is>
          <t>令和27年度</t>
        </is>
      </c>
      <c r="B13" s="21" t="inlineStr">
        <is>
          <t>2045</t>
        </is>
      </c>
      <c r="C13" s="22" t="inlineStr">
        <is>
          <t>4.03</t>
        </is>
      </c>
      <c r="D13" s="22" t="inlineStr">
        <is>
          <t>17.52</t>
        </is>
      </c>
      <c r="E13" s="22" t="inlineStr">
        <is>
          <t>61.60</t>
        </is>
      </c>
      <c r="F13" s="22" t="n">
        <v>2236</v>
      </c>
      <c r="G13" s="22" t="inlineStr">
        <is>
          <t>23.8％</t>
        </is>
      </c>
      <c r="H13" s="22" t="n">
        <v>2196</v>
      </c>
      <c r="I13" s="22" t="inlineStr">
        <is>
          <t>23.4％</t>
        </is>
      </c>
      <c r="J13" s="22" t="n">
        <v>2305</v>
      </c>
      <c r="K13" s="22" t="inlineStr">
        <is>
          <t>24.5％</t>
        </is>
      </c>
      <c r="L13" s="22" t="inlineStr">
        <is>
          <t>-40人</t>
        </is>
      </c>
      <c r="M13" s="22" t="inlineStr">
        <is>
          <t>+69人</t>
        </is>
      </c>
    </row>
    <row r="14" ht="18" customHeight="1">
      <c r="A14" s="21" t="inlineStr">
        <is>
          <t>令和32年度</t>
        </is>
      </c>
      <c r="B14" s="21" t="inlineStr">
        <is>
          <t>2050</t>
        </is>
      </c>
      <c r="C14" s="22" t="inlineStr">
        <is>
          <t>4.03</t>
        </is>
      </c>
      <c r="D14" s="22" t="inlineStr">
        <is>
          <t>17.52</t>
        </is>
      </c>
      <c r="E14" s="22" t="inlineStr">
        <is>
          <t>61.60</t>
        </is>
      </c>
      <c r="F14" s="22" t="n">
        <v>2231</v>
      </c>
      <c r="G14" s="22" t="inlineStr">
        <is>
          <t>24.4％</t>
        </is>
      </c>
      <c r="H14" s="22" t="n">
        <v>2190</v>
      </c>
      <c r="I14" s="22" t="inlineStr">
        <is>
          <t>24.0％</t>
        </is>
      </c>
      <c r="J14" s="22" t="n">
        <v>2303</v>
      </c>
      <c r="K14" s="22" t="inlineStr">
        <is>
          <t>25.2％</t>
        </is>
      </c>
      <c r="L14" s="22" t="inlineStr">
        <is>
          <t>-41人</t>
        </is>
      </c>
      <c r="M14" s="22" t="inlineStr">
        <is>
          <t>+72人</t>
        </is>
      </c>
    </row>
    <row r="16" ht="18" customHeight="1">
      <c r="A16" s="6" t="inlineStr">
        <is>
          <t>【シナリオの内容】</t>
        </is>
      </c>
    </row>
    <row r="17" ht="30" customHeight="1">
      <c r="A17" s="3" t="inlineStr">
        <is>
          <t>シナリオ</t>
        </is>
      </c>
      <c r="B17" s="3" t="inlineStr">
        <is>
          <t>内容</t>
        </is>
      </c>
      <c r="C17" s="3" t="inlineStr"/>
      <c r="D17" s="3" t="inlineStr"/>
      <c r="E17" s="3" t="inlineStr"/>
      <c r="F17" s="3" t="inlineStr"/>
      <c r="G17" s="3" t="inlineStr"/>
      <c r="H17" s="3" t="inlineStr">
        <is>
          <t>令和11年度</t>
        </is>
      </c>
      <c r="I17" s="3" t="inlineStr">
        <is>
          <t>令和22年度</t>
        </is>
      </c>
      <c r="J17" s="3" t="inlineStr"/>
      <c r="K17" s="3" t="inlineStr"/>
      <c r="L17" s="3" t="inlineStr"/>
      <c r="M17" s="3" t="inlineStr">
        <is>
          <t>採用の考え方</t>
        </is>
      </c>
    </row>
    <row r="18" ht="64" customHeight="1">
      <c r="A18" s="7" t="inlineStr">
        <is>
          <t>① 現状固定</t>
        </is>
      </c>
      <c r="B18" s="5" t="inlineStr">
        <is>
          <t>令和8年3月末の階級別認定率をそのまま将来にわたり固定する。自然体推計に相当する。</t>
        </is>
      </c>
      <c r="C18" s="24" t="n"/>
      <c r="D18" s="24" t="n"/>
      <c r="E18" s="24" t="n"/>
      <c r="F18" s="24" t="n"/>
      <c r="G18" s="8" t="n"/>
      <c r="H18" s="9" t="n">
        <v>2108</v>
      </c>
      <c r="I18" s="9" t="n">
        <v>2328</v>
      </c>
      <c r="J18" s="5" t="inlineStr"/>
      <c r="K18" s="24" t="n"/>
      <c r="L18" s="8" t="n"/>
      <c r="M18" s="5" t="inlineStr">
        <is>
          <t>自然体推計に相当する。改善も悪化も見込まない中立の置き方であり、根拠を要しない点で説明しやすい。</t>
        </is>
      </c>
    </row>
    <row r="19" ht="64" customHeight="1">
      <c r="A19" s="23" t="inlineStr">
        <is>
          <t>② トレンド継続</t>
        </is>
      </c>
      <c r="B19" s="5" t="inlineStr">
        <is>
          <t>令和元年から令和8年の階級別認定率の年平均変化を令和11年度まで延長し、以後は固定する。65〜74歳は年＋0.006ポイント、75〜84歳は年▲0.162ポイント、85歳以上は年▲0.200ポイントである。</t>
        </is>
      </c>
      <c r="C19" s="24" t="n"/>
      <c r="D19" s="24" t="n"/>
      <c r="E19" s="24" t="n"/>
      <c r="F19" s="24" t="n"/>
      <c r="G19" s="8" t="n"/>
      <c r="H19" s="9" t="n">
        <v>2067</v>
      </c>
      <c r="I19" s="9" t="n">
        <v>2288</v>
      </c>
      <c r="J19" s="5" t="inlineStr"/>
      <c r="K19" s="24" t="n"/>
      <c r="L19" s="8" t="n"/>
      <c r="M19" s="5" t="inlineStr">
        <is>
          <t>直近7年間の実績を延長するもの。近年の低下が続くと見る場合に採る。受託者の推奨。</t>
        </is>
      </c>
    </row>
    <row r="20" ht="64" customHeight="1">
      <c r="A20" s="7" t="inlineStr">
        <is>
          <t>③ 令和元年水準へ回帰</t>
        </is>
      </c>
      <c r="B20" s="5" t="inlineStr">
        <is>
          <t>令和11年度にかけて令和元年の水準（65〜74歳3.99％・75〜84歳18.65％・85歳以上63.00％）へ戻り、以後固定する。近年の低下が反転した場合の上位ケースである。</t>
        </is>
      </c>
      <c r="C20" s="24" t="n"/>
      <c r="D20" s="24" t="n"/>
      <c r="E20" s="24" t="n"/>
      <c r="F20" s="24" t="n"/>
      <c r="G20" s="8" t="n"/>
      <c r="H20" s="9" t="n">
        <v>2178</v>
      </c>
      <c r="I20" s="9" t="n">
        <v>2398</v>
      </c>
      <c r="J20" s="5" t="inlineStr"/>
      <c r="K20" s="24" t="n"/>
      <c r="L20" s="8" t="n"/>
      <c r="M20" s="5" t="inlineStr">
        <is>
          <t>上位ケース。財政の安全側を確認するために用いる。保険料の試算では本シナリオも併せて確認する。</t>
        </is>
      </c>
    </row>
    <row r="22" ht="18" customHeight="1">
      <c r="A22" s="6" t="inlineStr">
        <is>
          <t>【第10期の3年間の合計（給付費の推計に用いる）】</t>
        </is>
      </c>
    </row>
    <row r="23" ht="30" customHeight="1">
      <c r="A23" s="3" t="inlineStr">
        <is>
          <t>シナリオ</t>
        </is>
      </c>
      <c r="B23" s="3" t="inlineStr">
        <is>
          <t>令和9年度</t>
        </is>
      </c>
      <c r="C23" s="3" t="inlineStr">
        <is>
          <t>令和10年度</t>
        </is>
      </c>
      <c r="D23" s="3" t="inlineStr">
        <is>
          <t>令和11年度</t>
        </is>
      </c>
      <c r="E23" s="3" t="inlineStr">
        <is>
          <t>3年間の合計</t>
        </is>
      </c>
      <c r="F23" s="3" t="inlineStr"/>
      <c r="G23" s="3" t="inlineStr"/>
      <c r="H23" s="3" t="inlineStr"/>
      <c r="I23" s="3" t="inlineStr"/>
      <c r="J23" s="3" t="inlineStr"/>
      <c r="K23" s="3" t="inlineStr"/>
      <c r="L23" s="3" t="inlineStr"/>
      <c r="M23" s="3" t="inlineStr">
        <is>
          <t>①との差</t>
        </is>
      </c>
    </row>
    <row r="24" ht="20" customHeight="1">
      <c r="A24" s="25" t="inlineStr">
        <is>
          <t>① 現状固定</t>
        </is>
      </c>
      <c r="B24" s="9" t="n">
        <v>2045</v>
      </c>
      <c r="C24" s="9" t="n">
        <v>2076</v>
      </c>
      <c r="D24" s="9" t="n">
        <v>2108</v>
      </c>
      <c r="E24" s="9" t="n">
        <v>6229</v>
      </c>
      <c r="F24" s="5" t="inlineStr"/>
      <c r="G24" s="24" t="n"/>
      <c r="H24" s="24" t="n"/>
      <c r="I24" s="24" t="n"/>
      <c r="J24" s="24" t="n"/>
      <c r="K24" s="24" t="n"/>
      <c r="L24" s="8" t="n"/>
      <c r="M24" s="9" t="inlineStr">
        <is>
          <t>+0人（+0.0％）</t>
        </is>
      </c>
    </row>
    <row r="25" ht="20" customHeight="1">
      <c r="A25" s="23" t="inlineStr">
        <is>
          <t>② トレンド継続</t>
        </is>
      </c>
      <c r="B25" s="9" t="n">
        <v>2025</v>
      </c>
      <c r="C25" s="9" t="n">
        <v>2046</v>
      </c>
      <c r="D25" s="9" t="n">
        <v>2067</v>
      </c>
      <c r="E25" s="9" t="n">
        <v>6138</v>
      </c>
      <c r="F25" s="5" t="inlineStr"/>
      <c r="G25" s="24" t="n"/>
      <c r="H25" s="24" t="n"/>
      <c r="I25" s="24" t="n"/>
      <c r="J25" s="24" t="n"/>
      <c r="K25" s="24" t="n"/>
      <c r="L25" s="8" t="n"/>
      <c r="M25" s="9" t="inlineStr">
        <is>
          <t>-91人（-1.5％）</t>
        </is>
      </c>
    </row>
    <row r="26" ht="20" customHeight="1">
      <c r="A26" s="25" t="inlineStr">
        <is>
          <t>③ 令和元年水準へ回帰</t>
        </is>
      </c>
      <c r="B26" s="9" t="n">
        <v>2079</v>
      </c>
      <c r="C26" s="9" t="n">
        <v>2128</v>
      </c>
      <c r="D26" s="9" t="n">
        <v>2178</v>
      </c>
      <c r="E26" s="9" t="n">
        <v>6385</v>
      </c>
      <c r="F26" s="5" t="inlineStr"/>
      <c r="G26" s="24" t="n"/>
      <c r="H26" s="24" t="n"/>
      <c r="I26" s="24" t="n"/>
      <c r="J26" s="24" t="n"/>
      <c r="K26" s="24" t="n"/>
      <c r="L26" s="8" t="n"/>
      <c r="M26" s="9" t="inlineStr">
        <is>
          <t>+156人（+2.5％）</t>
        </is>
      </c>
    </row>
    <row r="28" ht="104" customHeight="1">
      <c r="A28" s="14" t="inlineStr">
        <is>
          <t>注1）第10期の3年間の認定者数の合計は、①現状固定6229人、②トレンド継続6138人、③令和元年水準6385人である。最大と最小の差は247人（4.0％）であり、給付費に換算すると3年間で概ね1億円台の差となる見込みである（受給者単価による。第3段階で算定する）。注2）いずれのシナリオでも認定者数は増える。第10期期間中に65歳以上人口はほぼ変わらないが、85歳以上が4.1％増えるためである。認定率が令和8年の水準で固定されても認定者数は3.0％増える。注3）合計認定率（認定者数÷65歳以上人口）は令和7年度21.8％から令和11年度に①22.5％・②22.1％・③23.3％となる。年齢構成の変化により、認定率が改善しても合計率は上昇する。</t>
        </is>
      </c>
    </row>
  </sheetData>
  <mergeCells count="13">
    <mergeCell ref="B19:G19"/>
    <mergeCell ref="B20:G20"/>
    <mergeCell ref="F26:L26"/>
    <mergeCell ref="J18:L18"/>
    <mergeCell ref="J19:L19"/>
    <mergeCell ref="A22:M22"/>
    <mergeCell ref="J20:L20"/>
    <mergeCell ref="F24:L24"/>
    <mergeCell ref="B18:G18"/>
    <mergeCell ref="A2:M2"/>
    <mergeCell ref="A16:M16"/>
    <mergeCell ref="F25:L25"/>
    <mergeCell ref="A28:M2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9"/>
  <sheetViews>
    <sheetView showGridLines="0" workbookViewId="0">
      <pane ySplit="4" topLeftCell="A5" activePane="bottomLeft" state="frozen"/>
      <selection pane="bottomLeft" activeCell="A1" sqref="A1"/>
    </sheetView>
  </sheetViews>
  <sheetFormatPr baseColWidth="8" defaultRowHeight="15"/>
  <cols>
    <col width="5" customWidth="1" min="1" max="1"/>
    <col width="16" customWidth="1" min="2" max="2"/>
    <col width="40" customWidth="1" min="3" max="3"/>
    <col width="40" customWidth="1" min="4" max="4"/>
    <col width="40" customWidth="1" min="5" max="5"/>
    <col width="12" customWidth="1" min="6" max="6"/>
  </cols>
  <sheetData>
    <row r="1" ht="22" customHeight="1">
      <c r="A1" s="1" t="inlineStr">
        <is>
          <t>シナリオの比較と採用の推奨</t>
        </is>
      </c>
    </row>
    <row r="2" ht="48" customHeight="1">
      <c r="A2" s="2" t="inlineStr">
        <is>
          <t>3つのシナリオの根拠、想定される反論、及び受託者の推奨を示す。採用するシナリオの決定は方針No.2として発注者にお願いする事項である。</t>
        </is>
      </c>
    </row>
    <row r="4" ht="32" customHeight="1">
      <c r="A4" s="3" t="inlineStr">
        <is>
          <t>No.</t>
        </is>
      </c>
      <c r="B4" s="3" t="inlineStr">
        <is>
          <t>シナリオ</t>
        </is>
      </c>
      <c r="C4" s="3" t="inlineStr">
        <is>
          <t>根拠</t>
        </is>
      </c>
      <c r="D4" s="3" t="inlineStr">
        <is>
          <t>想定される反論</t>
        </is>
      </c>
      <c r="E4" s="3" t="inlineStr">
        <is>
          <t>この選択が意味すること</t>
        </is>
      </c>
      <c r="F4" s="3" t="inlineStr">
        <is>
          <t>令和11年度</t>
        </is>
      </c>
    </row>
    <row r="5" ht="120" customHeight="1">
      <c r="A5" s="4" t="n">
        <v>1</v>
      </c>
      <c r="B5" s="25" t="inlineStr">
        <is>
          <t>① 現状固定</t>
        </is>
      </c>
      <c r="C5" s="5" t="inlineStr">
        <is>
          <t>認定率の将来は予測できないため、直近の実績をそのまま置く。見える化システムの自然体推計と同じ考え方であり、他保険者との比較が容易である。</t>
        </is>
      </c>
      <c r="D5" s="5" t="inlineStr">
        <is>
          <t>令和元年から令和8年にかけて75〜84歳・85歳以上の認定率は一貫して低下している。この傾向を無視することは、介護予防・重度化防止の取組の効果を見込まないことになる。</t>
        </is>
      </c>
      <c r="E5" s="5" t="inlineStr">
        <is>
          <t>認定者数は3年間で3.0％増える。増加はすべて年齢構成の変化によるものであり、認定率の改善も悪化も見込まない。</t>
        </is>
      </c>
      <c r="F5" s="9" t="n">
        <v>2108</v>
      </c>
    </row>
    <row r="6" ht="120" customHeight="1">
      <c r="A6" s="4" t="n">
        <v>2</v>
      </c>
      <c r="B6" s="23" t="inlineStr">
        <is>
          <t>② トレンド継続</t>
        </is>
      </c>
      <c r="C6" s="5" t="inlineStr">
        <is>
          <t>令和元年から令和8年の7年間で、75〜84歳は年▲0.162ポイント、85歳以上は年▲0.200ポイント低下している。年齢調整済み認定率も20.33％から19.69％へ低下しており（2つの独立した方法で確認）、低下は実在する。</t>
        </is>
      </c>
      <c r="D6" s="5" t="inlineStr">
        <is>
          <t>7年間の直線的な延長には根拠が乏しい。低下が続く保証はなく、下げ止まる可能性がある。また65〜74歳の認定率はわずかに上昇している。</t>
        </is>
      </c>
      <c r="E6" s="5" t="inlineStr">
        <is>
          <t>認定者数は3年間で1.0％増にとどまる。第10期の介護予防の取組が現状の水準で続くことを前提とする。低下が止まった場合は①に近づくため、年次評価で認定率の実績を確認して見直す。</t>
        </is>
      </c>
      <c r="F6" s="9" t="n">
        <v>2067</v>
      </c>
    </row>
    <row r="7" ht="120" customHeight="1">
      <c r="A7" s="4" t="n">
        <v>3</v>
      </c>
      <c r="B7" s="25" t="inlineStr">
        <is>
          <t>③ 令和元年水準へ回帰</t>
        </is>
      </c>
      <c r="C7" s="5" t="inlineStr">
        <is>
          <t>認定率の低下は調査環境や認定審査の運用の変化を含む可能性があり、実態の改善とは限らない。令和元年の水準に戻ることを上位ケースとして置く。</t>
        </is>
      </c>
      <c r="D7" s="5" t="inlineStr">
        <is>
          <t>令和元年から一貫して低下しており、反転する具体的な要因は示されていない。上位ケースとしては保守的すぎる可能性がある。</t>
        </is>
      </c>
      <c r="E7" s="5" t="inlineStr">
        <is>
          <t>認定者数は3年間で6.5％増える。保険料の安全側の確認に用いる。本シナリオを採用すると保険料が過大となり、第9期と同様に剰余が生じるおそれがある。</t>
        </is>
      </c>
      <c r="F7" s="9" t="n">
        <v>2178</v>
      </c>
    </row>
    <row r="9" ht="18" customHeight="1">
      <c r="A9" s="6" t="inlineStr">
        <is>
          <t>【受託者の推奨】</t>
        </is>
      </c>
    </row>
    <row r="10" ht="120" customHeight="1">
      <c r="A10" s="7" t="inlineStr">
        <is>
          <t>②トレンド継続を推奨します。理由は3つあります。第1に、認定率の低下は2つの独立した方法（3階級による直接法と見える化の調整済み認定率）で確認されており、実在する現象です。第2に、第9期計画の需要推計は実績を令和6年度2.9％、令和7年度3.5％上回りました。推計が過大になると保険料が過大となり、剰余が生じます。第9期は2年間で月額385円の剰余が生じています。第3に、①現状固定は低下の実績を無視するため、同じ方向の過大推計を繰り返すおそれがあります。ただし、②は7年間の直線的な延長であり根拠が強いとは言えません。そこで、③令和元年水準を上位ケースとして併せて算定し、保険料の試算では②を基本、③を安全側の確認として用いることを提案します。また、第10期の年次評価において階級別認定率の実績を確認し、トレンドから外れた場合は中間年で見直すことを計画に位置づけます。</t>
        </is>
      </c>
      <c r="B10" s="24" t="n"/>
      <c r="C10" s="24" t="n"/>
      <c r="D10" s="24" t="n"/>
      <c r="E10" s="24" t="n"/>
      <c r="F10" s="8" t="n"/>
    </row>
    <row r="12" ht="18" customHeight="1">
      <c r="A12" s="6" t="inlineStr">
        <is>
          <t>【いずれのシナリオでも変わらないこと】</t>
        </is>
      </c>
    </row>
    <row r="13" ht="30" customHeight="1">
      <c r="A13" s="3" t="inlineStr">
        <is>
          <t>No.</t>
        </is>
      </c>
      <c r="B13" s="3" t="inlineStr">
        <is>
          <t>内容</t>
        </is>
      </c>
      <c r="C13" s="3" t="inlineStr"/>
      <c r="D13" s="3" t="inlineStr"/>
      <c r="E13" s="3" t="inlineStr"/>
      <c r="F13" s="3" t="inlineStr"/>
    </row>
    <row r="14" ht="52" customHeight="1">
      <c r="A14" s="4" t="n">
        <v>1</v>
      </c>
      <c r="B14" s="5" t="inlineStr">
        <is>
          <t>第10期期間中に認定者数は増える。認定率が改善しても（②）年齢構成の変化により1.0％増える。減少するシナリオは、認定率が現在より大きく低下する場合に限られる。</t>
        </is>
      </c>
      <c r="C14" s="24" t="n"/>
      <c r="D14" s="24" t="n"/>
      <c r="E14" s="24" t="n"/>
      <c r="F14" s="8" t="n"/>
    </row>
    <row r="15" ht="52" customHeight="1">
      <c r="A15" s="4" t="n">
        <v>2</v>
      </c>
      <c r="B15" s="5" t="inlineStr">
        <is>
          <t>増加の源は85歳以上である。第10期期間中に85歳以上は82人（4.1％）増え、この階級の認定率は61.6％である。82人×61.6％＝約50人が、年齢構成の変化による認定者の増加分に相当する。</t>
        </is>
      </c>
      <c r="C15" s="24" t="n"/>
      <c r="D15" s="24" t="n"/>
      <c r="E15" s="24" t="n"/>
      <c r="F15" s="8" t="n"/>
    </row>
    <row r="16" ht="52" customHeight="1">
      <c r="A16" s="4" t="n">
        <v>3</v>
      </c>
      <c r="B16" s="5" t="inlineStr">
        <is>
          <t>合計認定率（認定者数÷65歳以上人口）は上昇する。①22.5％・②22.1％・③23.3％のいずれも令和7年度21.8％を上回る。合計認定率の上昇をもって「悪化した」と評価することはできない。</t>
        </is>
      </c>
      <c r="C16" s="24" t="n"/>
      <c r="D16" s="24" t="n"/>
      <c r="E16" s="24" t="n"/>
      <c r="F16" s="8" t="n"/>
    </row>
    <row r="17" ht="52" customHeight="1">
      <c r="A17" s="4" t="n">
        <v>4</v>
      </c>
      <c r="B17" s="5" t="inlineStr">
        <is>
          <t>令和22年度（2040年）に向けては、いずれのシナリオでも認定者数が2,200人台となる。令和7年度比で①13.7％・②11.7％・③12.5％の増加である。</t>
        </is>
      </c>
      <c r="C17" s="24" t="n"/>
      <c r="D17" s="24" t="n"/>
      <c r="E17" s="24" t="n"/>
      <c r="F17" s="8" t="n"/>
    </row>
    <row r="19" ht="104" customHeight="1">
      <c r="A19" s="14" t="inlineStr">
        <is>
          <t>注1）シナリオの決定（方針No.2）は、第6章第1節の認定者数の見込み、第2節の見込量、第3節の給付費、第6節の保険料に順に波及する。令和8年12月の工程（計画素案の確定版）に間に合わせるには令和8年10月中の決定が必要である。注2）本表は認定率のみをシナリオとしている。施策効果の見込み方（方針No.3）は別の論点である。施策効果を見込む場合は、②のトレンドに上乗せするのではなく、どの施策がどの階級の認定率を何ポイント下げるかを示す必要がある。注3）第10期の重点は、認定率の分析の結果、重度化防止を継続しつつフレイル予防と早期支援の強化へ広がる。中重度（要介護3〜5）の調整済み認定率は5.4％から4.7％へ低下が続く一方、軽度（要支援1〜要介護2）は令和5年11.7％を底に令和7年12.0％へ上昇に転じている。</t>
        </is>
      </c>
    </row>
  </sheetData>
  <mergeCells count="9">
    <mergeCell ref="A2:F2"/>
    <mergeCell ref="A10:F10"/>
    <mergeCell ref="B16:F16"/>
    <mergeCell ref="A19:F19"/>
    <mergeCell ref="B15:F15"/>
    <mergeCell ref="A9:F9"/>
    <mergeCell ref="A12:F12"/>
    <mergeCell ref="B14:F14"/>
    <mergeCell ref="B17:F1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4" topLeftCell="A5" activePane="bottomLeft" state="frozen"/>
      <selection pane="bottomLeft" activeCell="A1" sqref="A1"/>
    </sheetView>
  </sheetViews>
  <sheetFormatPr baseColWidth="8" defaultRowHeight="15"/>
  <cols>
    <col width="12" customWidth="1" min="1" max="1"/>
    <col width="14" customWidth="1" min="2" max="2"/>
    <col width="14" customWidth="1" min="3" max="3"/>
    <col width="12" customWidth="1" min="4" max="4"/>
    <col width="14" customWidth="1" min="5" max="5"/>
    <col width="44" customWidth="1" min="6" max="6"/>
  </cols>
  <sheetData>
    <row r="1" ht="22" customHeight="1">
      <c r="A1" s="1" t="inlineStr">
        <is>
          <t>第9期計画の推計と実績の対比</t>
        </is>
      </c>
    </row>
    <row r="2" ht="48" customHeight="1">
      <c r="A2" s="2" t="inlineStr">
        <is>
          <t>第9期計画の需要推計が実績とどの程度乖離したかを確認し、本推計の位置づけを示す。</t>
        </is>
      </c>
    </row>
    <row r="4" ht="30" customHeight="1">
      <c r="A4" s="3" t="inlineStr">
        <is>
          <t>年度</t>
        </is>
      </c>
      <c r="B4" s="3" t="inlineStr">
        <is>
          <t>第9期計画の推計</t>
        </is>
      </c>
      <c r="C4" s="3" t="inlineStr">
        <is>
          <t>実績</t>
        </is>
      </c>
      <c r="D4" s="3" t="inlineStr">
        <is>
          <t>乖離</t>
        </is>
      </c>
      <c r="E4" s="3" t="inlineStr">
        <is>
          <t>乖離率</t>
        </is>
      </c>
      <c r="F4" s="3" t="inlineStr">
        <is>
          <t>所見</t>
        </is>
      </c>
    </row>
    <row r="5" ht="20" customHeight="1">
      <c r="A5" s="5" t="inlineStr">
        <is>
          <t>令和6年度</t>
        </is>
      </c>
      <c r="B5" s="9" t="n">
        <v>1989</v>
      </c>
      <c r="C5" s="9" t="n">
        <v>1931</v>
      </c>
      <c r="D5" s="11" t="inlineStr">
        <is>
          <t>-58人</t>
        </is>
      </c>
      <c r="E5" s="9" t="inlineStr">
        <is>
          <t>-2.9％</t>
        </is>
      </c>
      <c r="F5" s="5" t="inlineStr">
        <is>
          <t>第9期計画の推計が実績を上回った。</t>
        </is>
      </c>
    </row>
    <row r="6" ht="20" customHeight="1">
      <c r="A6" s="5" t="inlineStr">
        <is>
          <t>令和7年度</t>
        </is>
      </c>
      <c r="B6" s="9" t="n">
        <v>2033</v>
      </c>
      <c r="C6" s="9" t="n">
        <v>1962</v>
      </c>
      <c r="D6" s="11" t="inlineStr">
        <is>
          <t>-71人</t>
        </is>
      </c>
      <c r="E6" s="9" t="inlineStr">
        <is>
          <t>-3.5％</t>
        </is>
      </c>
      <c r="F6" s="5" t="inlineStr">
        <is>
          <t>乖離が拡大した。</t>
        </is>
      </c>
    </row>
    <row r="7" ht="20" customHeight="1">
      <c r="A7" s="5" t="inlineStr">
        <is>
          <t>令和8年度</t>
        </is>
      </c>
      <c r="B7" s="9" t="inlineStr">
        <is>
          <t>―</t>
        </is>
      </c>
      <c r="C7" s="9" t="n">
        <v>1984</v>
      </c>
      <c r="D7" s="10" t="inlineStr">
        <is>
          <t>―</t>
        </is>
      </c>
      <c r="E7" s="9" t="inlineStr">
        <is>
          <t>―</t>
        </is>
      </c>
      <c r="F7" s="5" t="inlineStr">
        <is>
          <t>第9期計画の推計期間外（令和8年3月末の実績）。</t>
        </is>
      </c>
    </row>
    <row r="9" ht="18" customHeight="1">
      <c r="A9" s="6" t="inlineStr">
        <is>
          <t>【本推計との違い】</t>
        </is>
      </c>
    </row>
    <row r="10" ht="30" customHeight="1">
      <c r="A10" s="3" t="inlineStr">
        <is>
          <t>項目</t>
        </is>
      </c>
      <c r="B10" s="3" t="inlineStr">
        <is>
          <t>第9期計画の推計</t>
        </is>
      </c>
      <c r="C10" s="3" t="inlineStr">
        <is>
          <t>本推計</t>
        </is>
      </c>
      <c r="D10" s="3" t="inlineStr"/>
      <c r="E10" s="3" t="inlineStr"/>
      <c r="F10" s="3" t="inlineStr">
        <is>
          <t>違いの意味</t>
        </is>
      </c>
    </row>
    <row r="11" ht="52" customHeight="1">
      <c r="A11" s="5" t="inlineStr">
        <is>
          <t>人口の基礎</t>
        </is>
      </c>
      <c r="B11" s="5" t="inlineStr">
        <is>
          <t>住民基本台帳によるコーホート変化率法</t>
        </is>
      </c>
      <c r="C11" s="5" t="inlineStr">
        <is>
          <t>社人研推計（見える化の初期値）</t>
        </is>
      </c>
      <c r="D11" s="24" t="n"/>
      <c r="E11" s="8" t="n"/>
      <c r="F11" s="5" t="inlineStr">
        <is>
          <t>第9期は東川町の推計が社人研を令和22年で18.5％上回っていた。本推計は社人研をそのまま用いる。</t>
        </is>
      </c>
    </row>
    <row r="12" ht="52" customHeight="1">
      <c r="A12" s="5" t="inlineStr">
        <is>
          <t>認定率の設定</t>
        </is>
      </c>
      <c r="B12" s="5" t="inlineStr">
        <is>
          <t>第9期計画に階級別の記載がなく、設定方法を確認できない</t>
        </is>
      </c>
      <c r="C12" s="5" t="inlineStr">
        <is>
          <t>階級別（65〜74歳・75〜84歳・85歳以上）に設定し、3つのシナリオを示す</t>
        </is>
      </c>
      <c r="D12" s="24" t="n"/>
      <c r="E12" s="8" t="n"/>
      <c r="F12" s="5" t="inlineStr">
        <is>
          <t>階級別に設定することで、年齢構成の変化による増加と認定率の変化による増加を分けられる。</t>
        </is>
      </c>
    </row>
    <row r="13" ht="52" customHeight="1">
      <c r="A13" s="5" t="inlineStr">
        <is>
          <t>基準年度の扱い</t>
        </is>
      </c>
      <c r="B13" s="5" t="inlineStr">
        <is>
          <t>確認できない</t>
        </is>
      </c>
      <c r="C13" s="5" t="inlineStr">
        <is>
          <t>令和7年度の推計値が実績1,984人と一致するよう、実績人口に伸び率を乗じる方法とした</t>
        </is>
      </c>
      <c r="D13" s="24" t="n"/>
      <c r="E13" s="8" t="n"/>
      <c r="F13" s="5" t="inlineStr">
        <is>
          <t>基準年度が実績と一致するため、推計の初年度から系統的にずれることがない。</t>
        </is>
      </c>
    </row>
    <row r="14" ht="52" customHeight="1">
      <c r="A14" s="5" t="inlineStr">
        <is>
          <t>シナリオ</t>
        </is>
      </c>
      <c r="B14" s="5" t="inlineStr">
        <is>
          <t>単一の推計</t>
        </is>
      </c>
      <c r="C14" s="5" t="inlineStr">
        <is>
          <t>3シナリオ（現状固定・トレンド継続・令和元年水準）</t>
        </is>
      </c>
      <c r="D14" s="24" t="n"/>
      <c r="E14" s="8" t="n"/>
      <c r="F14" s="5" t="inlineStr">
        <is>
          <t>推計の幅を示すことで、前提の置き方が結果に与える影響が分かる。</t>
        </is>
      </c>
    </row>
    <row r="16" ht="104" customHeight="1">
      <c r="A16" s="14" t="inlineStr">
        <is>
          <t>注1）第9期計画の推計が実績を上回った理由は特定していない。人口の推計が過大であったのか、認定率の設定が高かったのか、両方であるのかは、第9期計画に階級別の設定が記載されていないため確認できない。注2）本推計は基準年度が実績と一致するため、第9期と同種の乖離（推計が実績を一貫して上回る）は生じにくい。ただし、認定率のシナリオが実態と異なれば乖離は生じる。注3）第10期では、年次評価において階級別認定率の実績を確認し、推計との乖離を記録する。乖離が2年続けて2％を超えた場合は中間年で推計を見直すことを計画の進行管理に位置づける。</t>
        </is>
      </c>
    </row>
  </sheetData>
  <mergeCells count="7">
    <mergeCell ref="A2:F2"/>
    <mergeCell ref="A16:F16"/>
    <mergeCell ref="C11:E11"/>
    <mergeCell ref="C14:E14"/>
    <mergeCell ref="C13:E13"/>
    <mergeCell ref="A9:F9"/>
    <mergeCell ref="C12:E1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8"/>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44" customWidth="1" min="3" max="3"/>
    <col width="40" customWidth="1" min="4" max="4"/>
    <col width="34" customWidth="1" min="5" max="5"/>
  </cols>
  <sheetData>
    <row r="1" ht="22" customHeight="1">
      <c r="A1" s="1" t="inlineStr">
        <is>
          <t>推計の限界と感度</t>
        </is>
      </c>
    </row>
    <row r="2" ht="48" customHeight="1">
      <c r="A2" s="2" t="inlineStr">
        <is>
          <t>本推計の前提と、前提を変えた場合の影響を示す。限界を明示することで、どこまでを確定として扱えるかを明らかにする。</t>
        </is>
      </c>
    </row>
    <row r="4" ht="30" customHeight="1">
      <c r="A4" s="3" t="inlineStr">
        <is>
          <t>No.</t>
        </is>
      </c>
      <c r="B4" s="3" t="inlineStr">
        <is>
          <t>限界</t>
        </is>
      </c>
      <c r="C4" s="3" t="inlineStr">
        <is>
          <t>内容</t>
        </is>
      </c>
      <c r="D4" s="3" t="inlineStr">
        <is>
          <t>影響の大きさ</t>
        </is>
      </c>
      <c r="E4" s="3" t="inlineStr">
        <is>
          <t>解消の方法</t>
        </is>
      </c>
    </row>
    <row r="5" ht="76" customHeight="1">
      <c r="A5" s="4" t="n">
        <v>1</v>
      </c>
      <c r="B5" s="5" t="inlineStr">
        <is>
          <t>階級を3区分としている</t>
        </is>
      </c>
      <c r="C5" s="5" t="inlineStr">
        <is>
          <t>65〜74歳・75〜84歳・85歳以上の3区分である。見える化A4は5歳階級（6区分）で得られるが、認定率はB4系列の制約により3区分でしか算定できない。</t>
        </is>
      </c>
      <c r="D5" s="5" t="inlineStr">
        <is>
          <t>区分が粗いと、区分内の年齢構成の変化が捉えられない。85歳以上の内部で90歳以上が増える影響は反映されていない（令和7年1,003人→令和22年1,471人）。</t>
        </is>
      </c>
      <c r="E5" s="5" t="inlineStr">
        <is>
          <t>5歳階級別の認定者数（見える化B4の詳細又は保険者の統計）があれば6区分に細分できる。</t>
        </is>
      </c>
    </row>
    <row r="6" ht="76" customHeight="1">
      <c r="A6" s="4" t="n">
        <v>2</v>
      </c>
      <c r="B6" s="5" t="inlineStr">
        <is>
          <t>要介護度別の内訳を推計していない</t>
        </is>
      </c>
      <c r="C6" s="5" t="inlineStr">
        <is>
          <t>認定者数の合計のみを推計している。要支援1〜要介護5の別は推計していない。</t>
        </is>
      </c>
      <c r="D6" s="5" t="inlineStr">
        <is>
          <t>サービス見込量は要介護度別の利用率と単価により算定するため、内訳がないと第2段階に進めない。</t>
        </is>
      </c>
      <c r="E6" s="5" t="inlineStr">
        <is>
          <t>要介護度別認定者数の実績（令和元年〜令和8年）が必要である。新規の資料依頼とする。</t>
        </is>
      </c>
    </row>
    <row r="7" ht="76" customHeight="1">
      <c r="A7" s="4" t="n">
        <v>3</v>
      </c>
      <c r="B7" s="5" t="inlineStr">
        <is>
          <t>町別に分解していない</t>
        </is>
      </c>
      <c r="C7" s="5" t="inlineStr">
        <is>
          <t>広域連合の合計のみである。見える化A系列に町別の値が含まれないため分解できない。</t>
        </is>
      </c>
      <c r="D7" s="5" t="inlineStr">
        <is>
          <t>第2章第1節の町別の記述、圏域別の分析、施設整備の町別の判断ができない。</t>
        </is>
      </c>
      <c r="E7" s="5" t="inlineStr">
        <is>
          <t>町別住民基本台帳人口（資料No.9）により、広域計の推計を町別に按分する。</t>
        </is>
      </c>
    </row>
    <row r="8" ht="76" customHeight="1">
      <c r="A8" s="4" t="n">
        <v>4</v>
      </c>
      <c r="B8" s="5" t="inlineStr">
        <is>
          <t>人口と認定者数の基準時点が5か月ずれている</t>
        </is>
      </c>
      <c r="C8" s="5" t="inlineStr">
        <is>
          <t>人口は各年10月1日、認定者数は翌年3月末である。</t>
        </is>
      </c>
      <c r="D8" s="5" t="inlineStr">
        <is>
          <t>認定率の水準に影響するが、同じずれが全年度に共通するため変化の方向には影響しない。</t>
        </is>
      </c>
      <c r="E8" s="5" t="inlineStr">
        <is>
          <t>9月末の認定者数を用いれば時点をそろえられる。見える化B系列の月報値による。</t>
        </is>
      </c>
    </row>
    <row r="9" ht="76" customHeight="1">
      <c r="A9" s="4" t="n">
        <v>5</v>
      </c>
      <c r="B9" s="5" t="inlineStr">
        <is>
          <t>A系列とB系列の母集団が異なる</t>
        </is>
      </c>
      <c r="C9" s="5" t="inlineStr">
        <is>
          <t>85歳以上でA系列がB系列を8.9％上回る。本推計はA系列を伸び率のみに用いることで影響を避けている。</t>
        </is>
      </c>
      <c r="D9" s="5" t="inlineStr">
        <is>
          <t>A系列を水準としてそのまま用いた場合、令和11年度の認定者数は2164人となり、本推計（2108人）を2.7％上回る。</t>
        </is>
      </c>
      <c r="E9" s="5" t="inlineStr">
        <is>
          <t>差の理由（住所地特例、施設入所者の計上地等）を特定する。特定できなくても、伸び率のみを用いる方法により影響は避けられる。</t>
        </is>
      </c>
    </row>
    <row r="10" ht="76" customHeight="1">
      <c r="A10" s="4" t="n">
        <v>6</v>
      </c>
      <c r="B10" s="5" t="inlineStr">
        <is>
          <t>認定率のシナリオが未決定である</t>
        </is>
      </c>
      <c r="C10" s="5" t="inlineStr">
        <is>
          <t>方針No.2として発注者の決定を要する。</t>
        </is>
      </c>
      <c r="D10" s="5" t="inlineStr">
        <is>
          <t>令和11年度の認定者数は2,004人から2,112人まで108人（5.4％）の幅がある。</t>
        </is>
      </c>
      <c r="E10" s="5" t="inlineStr">
        <is>
          <t>発注者の決定による。令和8年10月中を希望する。</t>
        </is>
      </c>
    </row>
    <row r="12" ht="18" customHeight="1">
      <c r="A12" s="6" t="inlineStr">
        <is>
          <t>【感度　A系列を水準としてそのまま用いた場合】</t>
        </is>
      </c>
    </row>
    <row r="13" ht="30" customHeight="1">
      <c r="A13" s="3" t="inlineStr">
        <is>
          <t>年度</t>
        </is>
      </c>
      <c r="B13" s="3" t="inlineStr">
        <is>
          <t>本推計（伸び率のみ使用）</t>
        </is>
      </c>
      <c r="C13" s="3" t="inlineStr">
        <is>
          <t>A系列を水準として使用</t>
        </is>
      </c>
      <c r="D13" s="3" t="inlineStr">
        <is>
          <t>差</t>
        </is>
      </c>
      <c r="E13" s="3" t="inlineStr">
        <is>
          <t>差の理由</t>
        </is>
      </c>
    </row>
    <row r="14" ht="20" customHeight="1">
      <c r="A14" s="5" t="inlineStr">
        <is>
          <t>令和7年度</t>
        </is>
      </c>
      <c r="B14" s="9" t="n">
        <v>1984</v>
      </c>
      <c r="C14" s="9" t="n">
        <v>2100</v>
      </c>
      <c r="D14" s="11" t="inlineStr">
        <is>
          <t>+116人（+5.8％）</t>
        </is>
      </c>
      <c r="E14" s="5" t="inlineStr">
        <is>
          <t>85歳以上の母集団が8.9％異なることによる</t>
        </is>
      </c>
    </row>
    <row r="15" ht="20" customHeight="1">
      <c r="A15" s="5" t="inlineStr">
        <is>
          <t>令和11年度</t>
        </is>
      </c>
      <c r="B15" s="9" t="n">
        <v>2108</v>
      </c>
      <c r="C15" s="9" t="n">
        <v>2164</v>
      </c>
      <c r="D15" s="11" t="inlineStr">
        <is>
          <t>+56人（+2.7％）</t>
        </is>
      </c>
      <c r="E15" s="5" t="inlineStr">
        <is>
          <t>85歳以上の母集団が8.9％異なることによる</t>
        </is>
      </c>
    </row>
    <row r="16" ht="20" customHeight="1">
      <c r="A16" s="5" t="inlineStr">
        <is>
          <t>令和22年度</t>
        </is>
      </c>
      <c r="B16" s="9" t="n">
        <v>2328</v>
      </c>
      <c r="C16" s="9" t="n">
        <v>2402</v>
      </c>
      <c r="D16" s="11" t="inlineStr">
        <is>
          <t>+74人（+3.2％）</t>
        </is>
      </c>
      <c r="E16" s="5" t="inlineStr">
        <is>
          <t>85歳以上の母集団が8.9％異なることによる</t>
        </is>
      </c>
    </row>
    <row r="18" ht="104" customHeight="1">
      <c r="A18" s="14" t="inlineStr">
        <is>
          <t>注1）本推計の方法（実績人口に伸び率を乗じる）を採らず、A系列の人口をそのまま用いると、基準年度から5.8％の過大推計となる。この差は将来にわたり続くため、推計全体が系統的にずれる。注2）限界No.2（要介護度別の内訳）が、第2段階（サービス見込量）に進むための最大の制約である。要介護度別認定者数の実績を新規の資料依頼とする。注3）本表の限界はいずれも推計の方法に関するものであり、推計の前提（人口の基礎・認定率のシナリオ）とは別である。前提の選択については03・04シートに示している。</t>
        </is>
      </c>
    </row>
  </sheetData>
  <mergeCells count="3">
    <mergeCell ref="A2:E2"/>
    <mergeCell ref="A12:E12"/>
    <mergeCell ref="A18:E1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7"/>
  <sheetViews>
    <sheetView showGridLines="0" workbookViewId="0">
      <pane ySplit="4" topLeftCell="A5" activePane="bottomLeft" state="frozen"/>
      <selection pane="bottomLeft" activeCell="A1" sqref="A1"/>
    </sheetView>
  </sheetViews>
  <sheetFormatPr baseColWidth="8" defaultRowHeight="15"/>
  <cols>
    <col width="5" customWidth="1" min="1" max="1"/>
    <col width="11" customWidth="1" min="2" max="2"/>
    <col width="30" customWidth="1" min="3" max="3"/>
    <col width="44" customWidth="1" min="4" max="4"/>
    <col width="34" customWidth="1" min="5" max="5"/>
    <col width="12" customWidth="1" min="6" max="6"/>
    <col width="9" customWidth="1" min="7" max="7"/>
  </cols>
  <sheetData>
    <row r="1" ht="22" customHeight="1">
      <c r="A1" s="1" t="inlineStr">
        <is>
          <t>第2段階以降に必要な決定と資料</t>
        </is>
      </c>
    </row>
    <row r="2" ht="48" customHeight="1">
      <c r="A2" s="2" t="inlineStr">
        <is>
          <t>サービス見込量（第2段階）、給付費・保険料（第3段階）に進むために必要な決定と資料を示す。本表の第1段階（人口と認定者数）は、認定率のシナリオの決定を待って確定する。</t>
        </is>
      </c>
    </row>
    <row r="4" ht="32" customHeight="1">
      <c r="A4" s="3" t="inlineStr">
        <is>
          <t>No.</t>
        </is>
      </c>
      <c r="B4" s="3" t="inlineStr">
        <is>
          <t>段階</t>
        </is>
      </c>
      <c r="C4" s="3" t="inlineStr">
        <is>
          <t>必要なもの</t>
        </is>
      </c>
      <c r="D4" s="3" t="inlineStr">
        <is>
          <t>内容</t>
        </is>
      </c>
      <c r="E4" s="3" t="inlineStr">
        <is>
          <t>これがないとできないこと</t>
        </is>
      </c>
      <c r="F4" s="3" t="inlineStr">
        <is>
          <t>相手</t>
        </is>
      </c>
      <c r="G4" s="3" t="inlineStr">
        <is>
          <t>時期</t>
        </is>
      </c>
    </row>
    <row r="5" ht="64" customHeight="1">
      <c r="A5" s="4" t="n">
        <v>1</v>
      </c>
      <c r="B5" s="28" t="inlineStr">
        <is>
          <t>第1段階</t>
        </is>
      </c>
      <c r="C5" s="5" t="inlineStr">
        <is>
          <t>方針No.2　認定率のシナリオの決定</t>
        </is>
      </c>
      <c r="D5" s="5" t="inlineStr">
        <is>
          <t>①現状固定／②トレンド継続〈受託者の推奨〉／③令和元年水準へ回帰。②を基本とし③を安全側の確認とすることを提案している。</t>
        </is>
      </c>
      <c r="E5" s="5" t="inlineStr">
        <is>
          <t>認定者数が1本に確定しない。第2段階に進めない。</t>
        </is>
      </c>
      <c r="F5" s="5" t="inlineStr">
        <is>
          <t>発注者</t>
        </is>
      </c>
      <c r="G5" s="4" t="inlineStr">
        <is>
          <t>R8.10</t>
        </is>
      </c>
    </row>
    <row r="6" ht="64" customHeight="1">
      <c r="A6" s="4" t="n">
        <v>2</v>
      </c>
      <c r="B6" s="28" t="inlineStr">
        <is>
          <t>第1段階</t>
        </is>
      </c>
      <c r="C6" s="5" t="inlineStr">
        <is>
          <t>要介護度別認定者数の実績（令和元年〜令和8年度）【令和8年8月4日受領済】</t>
        </is>
      </c>
      <c r="D6" s="5" t="inlineStr">
        <is>
          <t>要支援1・2、要介護1〜5の別。各年3月末。見える化B3-a系列により平成19年3月末〜令和8年3月末の20時点を入手した。</t>
        </is>
      </c>
      <c r="E6" s="5" t="inlineStr">
        <is>
          <t>（解消済み）要介護度別の構成比を令和8年3月末の実績で固定して第2段階を試算した。</t>
        </is>
      </c>
      <c r="F6" s="5" t="inlineStr">
        <is>
          <t>発注者</t>
        </is>
      </c>
      <c r="G6" s="4" t="inlineStr">
        <is>
          <t>受領済</t>
        </is>
      </c>
    </row>
    <row r="7" ht="64" customHeight="1">
      <c r="A7" s="4" t="n">
        <v>3</v>
      </c>
      <c r="B7" s="18" t="inlineStr">
        <is>
          <t>第2段階</t>
        </is>
      </c>
      <c r="C7" s="5" t="inlineStr">
        <is>
          <t>サービス種別・要介護度別の利用率と受給者数（令和4〜7年度）【令和8年8月4日受領済】</t>
        </is>
      </c>
      <c r="D7" s="5" t="inlineStr">
        <is>
          <t>認定者のうち各サービスを利用した者の割合と実人数。見える化D45・D46系列により入手した。</t>
        </is>
      </c>
      <c r="E7" s="5" t="inlineStr">
        <is>
          <t>（解消済み）令和7年度の利用率により第2段階を試算した。残るのは居住系・施設の種別別受給者数と総合事業の実績である。</t>
        </is>
      </c>
      <c r="F7" s="5" t="inlineStr">
        <is>
          <t>発注者・国保連</t>
        </is>
      </c>
      <c r="G7" s="4" t="inlineStr">
        <is>
          <t>受領済</t>
        </is>
      </c>
    </row>
    <row r="8" ht="64" customHeight="1">
      <c r="A8" s="4" t="n">
        <v>4</v>
      </c>
      <c r="B8" s="18" t="inlineStr">
        <is>
          <t>第2段階</t>
        </is>
      </c>
      <c r="C8" s="5" t="inlineStr">
        <is>
          <t>資料No.6　定員と稼働の実績</t>
        </is>
      </c>
      <c r="D8" s="5" t="inlineStr">
        <is>
          <t>地域密着型通所介護4事業所の定員・登録者数・延べ利用者数、施設・居住系の定員・入所者数・空床・休止床。</t>
        </is>
      </c>
      <c r="E8" s="5" t="inlineStr">
        <is>
          <t>供給制約を反映した見込量を算定できない。自然体推計のみとなる。</t>
        </is>
      </c>
      <c r="F8" s="5" t="inlineStr">
        <is>
          <t>発注者・3町</t>
        </is>
      </c>
      <c r="G8" s="4" t="inlineStr">
        <is>
          <t>R8.10</t>
        </is>
      </c>
    </row>
    <row r="9" ht="64" customHeight="1">
      <c r="A9" s="4" t="n">
        <v>5</v>
      </c>
      <c r="B9" s="18" t="inlineStr">
        <is>
          <t>第2段階</t>
        </is>
      </c>
      <c r="C9" s="5" t="inlineStr">
        <is>
          <t>資料No.7　未利用認定者の内訳</t>
        </is>
      </c>
      <c r="D9" s="5" t="inlineStr">
        <is>
          <t>居宅サービス計画未作成者の要介護度別内訳。認定者の25.7％（504人）が未利用である。</t>
        </is>
      </c>
      <c r="E9" s="5" t="inlineStr">
        <is>
          <t>利用率の設定根拠が示せない。未利用者が今後利用に転じるかどうかを見込めない。</t>
        </is>
      </c>
      <c r="F9" s="5" t="inlineStr">
        <is>
          <t>発注者</t>
        </is>
      </c>
      <c r="G9" s="4" t="inlineStr">
        <is>
          <t>R8.10</t>
        </is>
      </c>
    </row>
    <row r="10" ht="64" customHeight="1">
      <c r="A10" s="4" t="n">
        <v>6</v>
      </c>
      <c r="B10" s="18" t="inlineStr">
        <is>
          <t>第2段階</t>
        </is>
      </c>
      <c r="C10" s="5" t="inlineStr">
        <is>
          <t>方針No.3　施策効果の見込み方</t>
        </is>
      </c>
      <c r="D10" s="5" t="inlineStr">
        <is>
          <t>①自然体推計のみとする／②施策効果を見込む。②の場合、どの施策がどの階級の認定率を何ポイント下げるかを示す。</t>
        </is>
      </c>
      <c r="E10" s="5" t="inlineStr">
        <is>
          <t>見込量に施策効果を反映できない。</t>
        </is>
      </c>
      <c r="F10" s="5" t="inlineStr">
        <is>
          <t>発注者</t>
        </is>
      </c>
      <c r="G10" s="4" t="inlineStr">
        <is>
          <t>R8.10</t>
        </is>
      </c>
    </row>
    <row r="11" ht="64" customHeight="1">
      <c r="A11" s="4" t="n">
        <v>7</v>
      </c>
      <c r="B11" s="18" t="inlineStr">
        <is>
          <t>第2段階</t>
        </is>
      </c>
      <c r="C11" s="5" t="inlineStr">
        <is>
          <t>方針No.6　24時間対応サービスの確保方策</t>
        </is>
      </c>
      <c r="D11" s="5" t="inlineStr">
        <is>
          <t>整備する場合、実績値がないため自然体推計ではゼロとなる。整備計画から見込まれる利用者数と1人1月あたり給付費を直接入力する。</t>
        </is>
      </c>
      <c r="E11" s="5" t="inlineStr">
        <is>
          <t>定期巡回・随時対応型訪問介護看護及び看護小規模多機能型居宅介護の見込量を計上できない。</t>
        </is>
      </c>
      <c r="F11" s="5" t="inlineStr">
        <is>
          <t>発注者・北海道</t>
        </is>
      </c>
      <c r="G11" s="4" t="inlineStr">
        <is>
          <t>R8.10</t>
        </is>
      </c>
    </row>
    <row r="12" ht="64" customHeight="1">
      <c r="A12" s="4" t="n">
        <v>8</v>
      </c>
      <c r="B12" s="21" t="inlineStr">
        <is>
          <t>第3段階</t>
        </is>
      </c>
      <c r="C12" s="5" t="inlineStr">
        <is>
          <t>サービス種別・要介護度別の給付費単価（令和4〜7年度）</t>
        </is>
      </c>
      <c r="D12" s="5" t="inlineStr">
        <is>
          <t>1人1月あたり給付費。見える化D系列又は国保連の給付実績情報による。</t>
        </is>
      </c>
      <c r="E12" s="5" t="inlineStr">
        <is>
          <t>給付費を算定できない。</t>
        </is>
      </c>
      <c r="F12" s="5" t="inlineStr">
        <is>
          <t>発注者・国保連</t>
        </is>
      </c>
      <c r="G12" s="4" t="inlineStr">
        <is>
          <t>R8.10</t>
        </is>
      </c>
    </row>
    <row r="13" ht="64" customHeight="1">
      <c r="A13" s="4" t="n">
        <v>9</v>
      </c>
      <c r="B13" s="21" t="inlineStr">
        <is>
          <t>第3段階</t>
        </is>
      </c>
      <c r="C13" s="5" t="inlineStr">
        <is>
          <t>資料No.3　決算書及び基金の積立・取崩実績</t>
        </is>
      </c>
      <c r="D13" s="5" t="inlineStr">
        <is>
          <t>第7期〜第9期各年度。令和8年度末の残高見込を含む。</t>
        </is>
      </c>
      <c r="E13" s="5" t="inlineStr">
        <is>
          <t>基金の取崩額を決められない。保険料が確定しない。</t>
        </is>
      </c>
      <c r="F13" s="5" t="inlineStr">
        <is>
          <t>発注者</t>
        </is>
      </c>
      <c r="G13" s="4" t="inlineStr">
        <is>
          <t>R8.10</t>
        </is>
      </c>
    </row>
    <row r="14" ht="64" customHeight="1">
      <c r="A14" s="4" t="n">
        <v>10</v>
      </c>
      <c r="B14" s="21" t="inlineStr">
        <is>
          <t>第3段階</t>
        </is>
      </c>
      <c r="C14" s="5" t="inlineStr">
        <is>
          <t>方針No.4・No.5　基金の取崩方針と所得段階の設計</t>
        </is>
      </c>
      <c r="D14" s="5" t="inlineStr">
        <is>
          <t>第9期の剰余（2年で月額385円）の扱い。現行16段階を維持するか。</t>
        </is>
      </c>
      <c r="E14" s="5" t="inlineStr">
        <is>
          <t>保険料基準額と段階別保険料額が確定しない。</t>
        </is>
      </c>
      <c r="F14" s="5" t="inlineStr">
        <is>
          <t>発注者</t>
        </is>
      </c>
      <c r="G14" s="4" t="inlineStr">
        <is>
          <t>R8.11</t>
        </is>
      </c>
    </row>
    <row r="15" ht="64" customHeight="1">
      <c r="A15" s="4" t="n">
        <v>11</v>
      </c>
      <c r="B15" s="21" t="inlineStr">
        <is>
          <t>第3段階</t>
        </is>
      </c>
      <c r="C15" s="5" t="inlineStr">
        <is>
          <t>告示待ち　政令改正・報酬改定率・調整交付金</t>
        </is>
      </c>
      <c r="D15" s="5" t="inlineStr">
        <is>
          <t>第10期の標準段階・乗率・負担割合、令和9年度の介護報酬改定率、調整交付金の交付割合。</t>
        </is>
      </c>
      <c r="E15" s="5" t="inlineStr">
        <is>
          <t>保険料の最終確定ができない。令和8年末から令和9年初の見込み。</t>
        </is>
      </c>
      <c r="F15" s="5" t="inlineStr">
        <is>
          <t>国</t>
        </is>
      </c>
      <c r="G15" s="4" t="inlineStr">
        <is>
          <t>R8年末〜R9年初</t>
        </is>
      </c>
    </row>
    <row r="17" ht="18" customHeight="1">
      <c r="A17" s="6" t="inlineStr">
        <is>
          <t>【工程】</t>
        </is>
      </c>
    </row>
    <row r="18" ht="30" customHeight="1">
      <c r="A18" s="3" t="inlineStr">
        <is>
          <t>時期</t>
        </is>
      </c>
      <c r="B18" s="3" t="inlineStr">
        <is>
          <t>作業</t>
        </is>
      </c>
      <c r="C18" s="3" t="inlineStr">
        <is>
          <t>前提</t>
        </is>
      </c>
      <c r="D18" s="3" t="inlineStr"/>
      <c r="E18" s="3" t="inlineStr"/>
      <c r="F18" s="3" t="inlineStr">
        <is>
          <t>成果物</t>
        </is>
      </c>
      <c r="G18" s="3" t="inlineStr"/>
    </row>
    <row r="19" ht="24" customHeight="1">
      <c r="A19" s="4" t="inlineStr">
        <is>
          <t>R8.8</t>
        </is>
      </c>
      <c r="B19" s="5" t="inlineStr">
        <is>
          <t>本表（第1段階）の提出と認定率のシナリオの協議</t>
        </is>
      </c>
      <c r="C19" s="5" t="inlineStr">
        <is>
          <t>―（実施済）</t>
        </is>
      </c>
      <c r="D19" s="24" t="n"/>
      <c r="E19" s="8" t="n"/>
      <c r="F19" s="5" t="inlineStr">
        <is>
          <t>将来推計（人口と認定者数）</t>
        </is>
      </c>
      <c r="G19" s="8" t="n"/>
    </row>
    <row r="20" ht="24" customHeight="1">
      <c r="A20" s="4" t="inlineStr">
        <is>
          <t>R8.8</t>
        </is>
      </c>
      <c r="B20" s="5" t="inlineStr">
        <is>
          <t>要介護度別認定者数・利用率の受領と第2段階の試算</t>
        </is>
      </c>
      <c r="C20" s="5" t="inlineStr">
        <is>
          <t>上表No.2・No.3（実施済）</t>
        </is>
      </c>
      <c r="D20" s="24" t="n"/>
      <c r="E20" s="8" t="n"/>
      <c r="F20" s="5" t="inlineStr">
        <is>
          <t>将来推計 第2段階（サービス見込量）</t>
        </is>
      </c>
      <c r="G20" s="8" t="n"/>
    </row>
    <row r="21" ht="24" customHeight="1">
      <c r="A21" s="4" t="inlineStr">
        <is>
          <t>R8.9</t>
        </is>
      </c>
      <c r="B21" s="5" t="inlineStr">
        <is>
          <t>認定率のシナリオの決定による第1段階の確定</t>
        </is>
      </c>
      <c r="C21" s="5" t="inlineStr">
        <is>
          <t>上表No.1</t>
        </is>
      </c>
      <c r="D21" s="24" t="n"/>
      <c r="E21" s="8" t="n"/>
      <c r="F21" s="5" t="inlineStr">
        <is>
          <t>認定者数の見込み（要介護度別）</t>
        </is>
      </c>
      <c r="G21" s="8" t="n"/>
    </row>
    <row r="22" ht="24" customHeight="1">
      <c r="A22" s="4" t="inlineStr">
        <is>
          <t>R8.10</t>
        </is>
      </c>
      <c r="B22" s="5" t="inlineStr">
        <is>
          <t>第2段階の確定（施策効果・供給制約の反映）</t>
        </is>
      </c>
      <c r="C22" s="5" t="inlineStr">
        <is>
          <t>上表No.1・No.4〜No.7</t>
        </is>
      </c>
      <c r="D22" s="24" t="n"/>
      <c r="E22" s="8" t="n"/>
      <c r="F22" s="5" t="inlineStr">
        <is>
          <t>サービス見込量推計表</t>
        </is>
      </c>
      <c r="G22" s="8" t="n"/>
    </row>
    <row r="23" ht="24" customHeight="1">
      <c r="A23" s="4" t="inlineStr">
        <is>
          <t>R8.11</t>
        </is>
      </c>
      <c r="B23" s="5" t="inlineStr">
        <is>
          <t>第3段階（給付費・保険料）の算定</t>
        </is>
      </c>
      <c r="C23" s="5" t="inlineStr">
        <is>
          <t>上表No.8〜No.10</t>
        </is>
      </c>
      <c r="D23" s="24" t="n"/>
      <c r="E23" s="8" t="n"/>
      <c r="F23" s="5" t="inlineStr">
        <is>
          <t>給付費見込表・保険料算定表</t>
        </is>
      </c>
      <c r="G23" s="8" t="n"/>
    </row>
    <row r="24" ht="24" customHeight="1">
      <c r="A24" s="4" t="inlineStr">
        <is>
          <t>R8.12</t>
        </is>
      </c>
      <c r="B24" s="5" t="inlineStr">
        <is>
          <t>計画素案の第6章への反映</t>
        </is>
      </c>
      <c r="C24" s="5" t="inlineStr">
        <is>
          <t>上記すべて</t>
        </is>
      </c>
      <c r="D24" s="24" t="n"/>
      <c r="E24" s="8" t="n"/>
      <c r="F24" s="5" t="inlineStr">
        <is>
          <t>計画素案（確定版）</t>
        </is>
      </c>
      <c r="G24" s="8" t="n"/>
    </row>
    <row r="25" ht="24" customHeight="1">
      <c r="A25" s="4" t="inlineStr">
        <is>
          <t>R9.1〜2</t>
        </is>
      </c>
      <c r="B25" s="5" t="inlineStr">
        <is>
          <t>告示を受けた最終確定</t>
        </is>
      </c>
      <c r="C25" s="5" t="inlineStr">
        <is>
          <t>上表No.11</t>
        </is>
      </c>
      <c r="D25" s="24" t="n"/>
      <c r="E25" s="8" t="n"/>
      <c r="F25" s="5" t="inlineStr">
        <is>
          <t>計画最終案</t>
        </is>
      </c>
      <c r="G25" s="8" t="n"/>
    </row>
    <row r="27" ht="104" customHeight="1">
      <c r="A27" s="14" t="inlineStr">
        <is>
          <t>注1）No.2（要介護度別認定者数）とNo.3（利用率・受給者数）は令和8年8月4日に見える化B3系列・D系列として受領し、解消した。これにより第2段階（サービス見込量）を先行して試算し、別冊「将来推計 第2段階　サービス見込量」（8シート）として取りまとめた。第1段階（本表）は、残る認定率のシナリオの決定（No.1）により確定する。これが令和8年9月中に整えば、第2段階の確定を令和8年10月に行い、令和8年12月の工程に間に合う。注3）第3段階（保険料）は国の告示を待つ部分があるため、令和9年1月から2月に最終確定となる。この期間は作業が集中するため、それまでに確定できる部分（見込量・給付費の構造）を令和8年12月までに終えておく。</t>
        </is>
      </c>
    </row>
  </sheetData>
  <mergeCells count="17">
    <mergeCell ref="F21:G21"/>
    <mergeCell ref="F24:G24"/>
    <mergeCell ref="A17:G17"/>
    <mergeCell ref="C19:E19"/>
    <mergeCell ref="A27:G27"/>
    <mergeCell ref="C23:E23"/>
    <mergeCell ref="F19:G19"/>
    <mergeCell ref="F20:G20"/>
    <mergeCell ref="C22:E22"/>
    <mergeCell ref="F23:G23"/>
    <mergeCell ref="F25:G25"/>
    <mergeCell ref="A2:G2"/>
    <mergeCell ref="F22:G22"/>
    <mergeCell ref="C21:E21"/>
    <mergeCell ref="C20:E20"/>
    <mergeCell ref="C25:E25"/>
    <mergeCell ref="C24:E24"/>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86"/>
  <sheetViews>
    <sheetView showGridLines="0" workbookViewId="0">
      <pane ySplit="4" topLeftCell="A5" activePane="bottomLeft" state="frozen"/>
      <selection pane="bottomLeft"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3" customWidth="1" min="8" max="8"/>
    <col width="30" customWidth="1" min="9" max="9"/>
  </cols>
  <sheetData>
    <row r="1" ht="22" customHeight="1">
      <c r="A1" s="1" t="inlineStr">
        <is>
          <t>計算過程確認シート（入力値を変えると出力が更新される）</t>
        </is>
      </c>
    </row>
    <row r="2" ht="48" customHeight="1">
      <c r="A2" s="2" t="inlineStr">
        <is>
          <t>他のシートは算定結果を書き出した転記表であるが、本シートはセルに計算式を入れている。黄色の入力欄（設定・階級別の基準値・社人研推計の階級別人口）を変更すると、階級別人口・認定率・認定者数・計画本文への転記値がすべて更新される。第三者による検算及び、修正値を受領したときの更新に用いる。</t>
        </is>
      </c>
    </row>
    <row r="4" ht="18" customHeight="1">
      <c r="A4" s="6" t="inlineStr">
        <is>
          <t>【1　入力欄①　推計の設定】</t>
        </is>
      </c>
    </row>
    <row r="5" ht="30" customHeight="1">
      <c r="A5" s="3" t="inlineStr">
        <is>
          <t>項目</t>
        </is>
      </c>
      <c r="B5" s="3" t="inlineStr">
        <is>
          <t>値</t>
        </is>
      </c>
      <c r="C5" s="3" t="inlineStr"/>
      <c r="D5" s="3" t="inlineStr"/>
      <c r="E5" s="3" t="inlineStr"/>
      <c r="F5" s="3" t="inlineStr"/>
      <c r="G5" s="3" t="inlineStr"/>
      <c r="H5" s="3" t="inlineStr"/>
      <c r="I5" s="3" t="inlineStr">
        <is>
          <t>説明</t>
        </is>
      </c>
    </row>
    <row r="6" ht="20" customHeight="1">
      <c r="A6" s="5" t="inlineStr">
        <is>
          <t>基準年度（西暦）</t>
        </is>
      </c>
      <c r="B6" s="18" t="n">
        <v>2025</v>
      </c>
      <c r="C6" s="24" t="n"/>
      <c r="D6" s="24" t="n"/>
      <c r="E6" s="24" t="n"/>
      <c r="F6" s="24" t="n"/>
      <c r="G6" s="24" t="n"/>
      <c r="H6" s="8" t="n"/>
      <c r="I6" s="5" t="inlineStr">
        <is>
          <t>階級別人口・認定率の基準となる年。令和7年度＝2025</t>
        </is>
      </c>
    </row>
    <row r="7" ht="20" customHeight="1">
      <c r="A7" s="5" t="inlineStr">
        <is>
          <t>シナリオ</t>
        </is>
      </c>
      <c r="B7" s="18" t="n">
        <v>2</v>
      </c>
      <c r="C7" s="24" t="n"/>
      <c r="D7" s="24" t="n"/>
      <c r="E7" s="24" t="n"/>
      <c r="F7" s="24" t="n"/>
      <c r="G7" s="24" t="n"/>
      <c r="H7" s="8" t="n"/>
      <c r="I7" s="5" t="inlineStr">
        <is>
          <t>1＝現状固定／2＝トレンド継続／3＝令和元年水準へ回帰。計画本文は2による</t>
        </is>
      </c>
    </row>
    <row r="8" ht="20" customHeight="1">
      <c r="A8" s="5" t="inlineStr">
        <is>
          <t>トレンドの延長年数</t>
        </is>
      </c>
      <c r="B8" s="18" t="n">
        <v>4</v>
      </c>
      <c r="C8" s="24" t="n"/>
      <c r="D8" s="24" t="n"/>
      <c r="E8" s="24" t="n"/>
      <c r="F8" s="24" t="n"/>
      <c r="G8" s="24" t="n"/>
      <c r="H8" s="8" t="n"/>
      <c r="I8" s="5" t="inlineStr">
        <is>
          <t>基準年度から何年まで認定率の変化を延長するか。以後は固定</t>
        </is>
      </c>
    </row>
    <row r="9" ht="20" customHeight="1">
      <c r="A9" s="5" t="inlineStr">
        <is>
          <t>人口補正の適用</t>
        </is>
      </c>
      <c r="B9" s="18" t="n">
        <v>0</v>
      </c>
      <c r="C9" s="24" t="n"/>
      <c r="D9" s="24" t="n"/>
      <c r="E9" s="24" t="n"/>
      <c r="F9" s="24" t="n"/>
      <c r="G9" s="24" t="n"/>
      <c r="H9" s="8" t="n"/>
      <c r="I9" s="5" t="inlineStr">
        <is>
          <t>0＝適用しない／1＝適用する。1にすると【2】の補正係数が階級別人口に乗じられる</t>
        </is>
      </c>
    </row>
    <row r="11" ht="18" customHeight="1">
      <c r="A11" s="6" t="inlineStr">
        <is>
          <t>【2　入力欄②　階級別の基準値】</t>
        </is>
      </c>
    </row>
    <row r="12" ht="30" customHeight="1">
      <c r="A12" s="3" t="inlineStr">
        <is>
          <t>階級</t>
        </is>
      </c>
      <c r="B12" s="3" t="inlineStr">
        <is>
          <t>基準人口
（令和8年3月末）</t>
        </is>
      </c>
      <c r="C12" s="3" t="inlineStr">
        <is>
          <t>基準認定率
（％）</t>
        </is>
      </c>
      <c r="D12" s="3" t="inlineStr">
        <is>
          <t>令和元年
認定率（％）</t>
        </is>
      </c>
      <c r="E12" s="3" t="inlineStr">
        <is>
          <t>補正係数</t>
        </is>
      </c>
      <c r="F12" s="3" t="inlineStr">
        <is>
          <t>年平均変化
（pt・計算値）</t>
        </is>
      </c>
      <c r="G12" s="3" t="inlineStr"/>
      <c r="H12" s="3" t="inlineStr"/>
      <c r="I12" s="3" t="inlineStr">
        <is>
          <t>説明</t>
        </is>
      </c>
    </row>
    <row r="13" ht="20" customHeight="1">
      <c r="A13" s="5" t="inlineStr">
        <is>
          <t>65〜74歳</t>
        </is>
      </c>
      <c r="B13" s="19" t="n">
        <v>3600</v>
      </c>
      <c r="C13" s="19" t="n">
        <v>4.03</v>
      </c>
      <c r="D13" s="19" t="n">
        <v>3.99</v>
      </c>
      <c r="E13" s="19" t="n">
        <v>1</v>
      </c>
      <c r="F13" s="29">
        <f>(C13-D13)/7</f>
        <v/>
      </c>
      <c r="G13" s="5" t="inlineStr"/>
      <c r="H13" s="8" t="n"/>
      <c r="I13" s="5" t="inlineStr">
        <is>
          <t>補正係数は人口推計の補正（案B）による。65〜74歳1.0377／75歳以上0.9927</t>
        </is>
      </c>
    </row>
    <row r="14" ht="20" customHeight="1">
      <c r="A14" s="5" t="inlineStr">
        <is>
          <t>75〜84歳</t>
        </is>
      </c>
      <c r="B14" s="19" t="n">
        <v>3499</v>
      </c>
      <c r="C14" s="19" t="n">
        <v>17.52</v>
      </c>
      <c r="D14" s="19" t="n">
        <v>18.65</v>
      </c>
      <c r="E14" s="19" t="n">
        <v>1</v>
      </c>
      <c r="F14" s="29">
        <f>(C14-D14)/7</f>
        <v/>
      </c>
      <c r="G14" s="5" t="inlineStr"/>
      <c r="H14" s="8" t="n"/>
      <c r="I14" s="5" t="inlineStr">
        <is>
          <t>補正係数は人口推計の補正（案B）による。65〜74歳1.0377／75歳以上0.9927</t>
        </is>
      </c>
    </row>
    <row r="15" ht="20" customHeight="1">
      <c r="A15" s="5" t="inlineStr">
        <is>
          <t>85歳以上</t>
        </is>
      </c>
      <c r="B15" s="19" t="n">
        <v>1990</v>
      </c>
      <c r="C15" s="19" t="n">
        <v>61.6</v>
      </c>
      <c r="D15" s="19" t="n">
        <v>63</v>
      </c>
      <c r="E15" s="19" t="n">
        <v>1</v>
      </c>
      <c r="F15" s="29">
        <f>(C15-D15)/7</f>
        <v/>
      </c>
      <c r="G15" s="5" t="inlineStr"/>
      <c r="H15" s="8" t="n"/>
      <c r="I15" s="5" t="inlineStr">
        <is>
          <t>補正係数は人口推計の補正（案B）による。65〜74歳1.0377／75歳以上0.9927</t>
        </is>
      </c>
    </row>
    <row r="17" ht="18" customHeight="1">
      <c r="A17" s="6" t="inlineStr">
        <is>
          <t>【3　入力欄③　社人研推計の階級別人口（見える化A4）】</t>
        </is>
      </c>
    </row>
    <row r="18" ht="30" customHeight="1">
      <c r="A18" s="3" t="inlineStr">
        <is>
          <t>年度</t>
        </is>
      </c>
      <c r="B18" s="3" t="inlineStr">
        <is>
          <t>西暦</t>
        </is>
      </c>
      <c r="C18" s="3" t="inlineStr">
        <is>
          <t>65〜74歳</t>
        </is>
      </c>
      <c r="D18" s="3" t="inlineStr">
        <is>
          <t>75〜84歳</t>
        </is>
      </c>
      <c r="E18" s="3" t="inlineStr">
        <is>
          <t>85歳以上</t>
        </is>
      </c>
      <c r="F18" s="3" t="inlineStr">
        <is>
          <t>計</t>
        </is>
      </c>
      <c r="G18" s="3" t="inlineStr"/>
      <c r="H18" s="3" t="inlineStr"/>
      <c r="I18" s="3" t="inlineStr">
        <is>
          <t>説明</t>
        </is>
      </c>
    </row>
    <row r="19" ht="18" customHeight="1">
      <c r="A19" s="5" t="inlineStr">
        <is>
          <t>令和7年度</t>
        </is>
      </c>
      <c r="B19" s="4" t="n">
        <v>2025</v>
      </c>
      <c r="C19" s="19" t="n">
        <v>3622</v>
      </c>
      <c r="D19" s="19" t="n">
        <v>3534</v>
      </c>
      <c r="E19" s="19" t="n">
        <v>2167</v>
      </c>
      <c r="F19" s="9">
        <f>SUM(C19:E19)</f>
        <v/>
      </c>
      <c r="G19" s="5" t="inlineStr"/>
      <c r="H19" s="8" t="n"/>
      <c r="I19" s="5" t="inlineStr">
        <is>
          <t>基準</t>
        </is>
      </c>
    </row>
    <row r="20" ht="18" customHeight="1">
      <c r="A20" s="5" t="inlineStr">
        <is>
          <t>令和8年度</t>
        </is>
      </c>
      <c r="B20" s="4" t="n">
        <v>2026</v>
      </c>
      <c r="C20" s="19" t="n">
        <v>3572</v>
      </c>
      <c r="D20" s="19" t="n">
        <v>3559</v>
      </c>
      <c r="E20" s="19" t="n">
        <v>2190</v>
      </c>
      <c r="F20" s="9">
        <f>SUM(C20:E20)</f>
        <v/>
      </c>
      <c r="G20" s="5" t="inlineStr"/>
      <c r="H20" s="8" t="n"/>
      <c r="I20" s="5" t="inlineStr">
        <is>
          <t>参考</t>
        </is>
      </c>
    </row>
    <row r="21" ht="18" customHeight="1">
      <c r="A21" s="5" t="inlineStr">
        <is>
          <t>令和9年度</t>
        </is>
      </c>
      <c r="B21" s="4" t="n">
        <v>2027</v>
      </c>
      <c r="C21" s="19" t="n">
        <v>3522</v>
      </c>
      <c r="D21" s="19" t="n">
        <v>3583</v>
      </c>
      <c r="E21" s="19" t="n">
        <v>2212</v>
      </c>
      <c r="F21" s="9">
        <f>SUM(C21:E21)</f>
        <v/>
      </c>
      <c r="G21" s="5" t="inlineStr"/>
      <c r="H21" s="8" t="n"/>
      <c r="I21" s="5" t="inlineStr">
        <is>
          <t>第10期</t>
        </is>
      </c>
    </row>
    <row r="22" ht="18" customHeight="1">
      <c r="A22" s="5" t="inlineStr">
        <is>
          <t>令和10年度</t>
        </is>
      </c>
      <c r="B22" s="4" t="n">
        <v>2028</v>
      </c>
      <c r="C22" s="19" t="n">
        <v>3473</v>
      </c>
      <c r="D22" s="19" t="n">
        <v>3609</v>
      </c>
      <c r="E22" s="19" t="n">
        <v>2234</v>
      </c>
      <c r="F22" s="9">
        <f>SUM(C22:E22)</f>
        <v/>
      </c>
      <c r="G22" s="5" t="inlineStr"/>
      <c r="H22" s="8" t="n"/>
      <c r="I22" s="5" t="inlineStr">
        <is>
          <t>第10期</t>
        </is>
      </c>
    </row>
    <row r="23" ht="18" customHeight="1">
      <c r="A23" s="5" t="inlineStr">
        <is>
          <t>令和11年度</t>
        </is>
      </c>
      <c r="B23" s="4" t="n">
        <v>2029</v>
      </c>
      <c r="C23" s="19" t="n">
        <v>3423</v>
      </c>
      <c r="D23" s="19" t="n">
        <v>3633</v>
      </c>
      <c r="E23" s="19" t="n">
        <v>2256</v>
      </c>
      <c r="F23" s="9">
        <f>SUM(C23:E23)</f>
        <v/>
      </c>
      <c r="G23" s="5" t="inlineStr"/>
      <c r="H23" s="8" t="n"/>
      <c r="I23" s="5" t="inlineStr">
        <is>
          <t>第10期</t>
        </is>
      </c>
    </row>
    <row r="24" ht="18" customHeight="1">
      <c r="A24" s="5" t="inlineStr">
        <is>
          <t>令和12年度</t>
        </is>
      </c>
      <c r="B24" s="4" t="n">
        <v>2030</v>
      </c>
      <c r="C24" s="19" t="n">
        <v>3373</v>
      </c>
      <c r="D24" s="19" t="n">
        <v>3658</v>
      </c>
      <c r="E24" s="19" t="n">
        <v>2279</v>
      </c>
      <c r="F24" s="9">
        <f>SUM(C24:E24)</f>
        <v/>
      </c>
      <c r="G24" s="5" t="inlineStr"/>
      <c r="H24" s="8" t="n"/>
      <c r="I24" s="5" t="inlineStr">
        <is>
          <t>参考</t>
        </is>
      </c>
    </row>
    <row r="25" ht="18" customHeight="1">
      <c r="A25" s="5" t="inlineStr">
        <is>
          <t>令和17年度</t>
        </is>
      </c>
      <c r="B25" s="4" t="n">
        <v>2035</v>
      </c>
      <c r="C25" s="19" t="n">
        <v>3585</v>
      </c>
      <c r="D25" s="19" t="n">
        <v>3120</v>
      </c>
      <c r="E25" s="19" t="n">
        <v>2673</v>
      </c>
      <c r="F25" s="9">
        <f>SUM(C25:E25)</f>
        <v/>
      </c>
      <c r="G25" s="5" t="inlineStr"/>
      <c r="H25" s="8" t="n"/>
      <c r="I25" s="5" t="inlineStr">
        <is>
          <t>中長期</t>
        </is>
      </c>
    </row>
    <row r="26" ht="18" customHeight="1">
      <c r="A26" s="5" t="inlineStr">
        <is>
          <t>令和22年度</t>
        </is>
      </c>
      <c r="B26" s="4" t="n">
        <v>2040</v>
      </c>
      <c r="C26" s="19" t="n">
        <v>3885</v>
      </c>
      <c r="D26" s="19" t="n">
        <v>2938</v>
      </c>
      <c r="E26" s="19" t="n">
        <v>2810</v>
      </c>
      <c r="F26" s="9">
        <f>SUM(C26:E26)</f>
        <v/>
      </c>
      <c r="G26" s="5" t="inlineStr"/>
      <c r="H26" s="8" t="n"/>
      <c r="I26" s="5" t="inlineStr">
        <is>
          <t>中長期</t>
        </is>
      </c>
    </row>
    <row r="27" ht="18" customHeight="1">
      <c r="A27" s="5" t="inlineStr">
        <is>
          <t>令和27年度</t>
        </is>
      </c>
      <c r="B27" s="4" t="n">
        <v>2045</v>
      </c>
      <c r="C27" s="19" t="n">
        <v>3776</v>
      </c>
      <c r="D27" s="19" t="n">
        <v>3150</v>
      </c>
      <c r="E27" s="19" t="n">
        <v>2596</v>
      </c>
      <c r="F27" s="9">
        <f>SUM(C27:E27)</f>
        <v/>
      </c>
      <c r="G27" s="5" t="inlineStr"/>
      <c r="H27" s="8" t="n"/>
      <c r="I27" s="5" t="inlineStr">
        <is>
          <t>中長期</t>
        </is>
      </c>
    </row>
    <row r="28" ht="18" customHeight="1">
      <c r="A28" s="5" t="inlineStr">
        <is>
          <t>令和32年度</t>
        </is>
      </c>
      <c r="B28" s="4" t="n">
        <v>2050</v>
      </c>
      <c r="C28" s="19" t="n">
        <v>3261</v>
      </c>
      <c r="D28" s="19" t="n">
        <v>3444</v>
      </c>
      <c r="E28" s="19" t="n">
        <v>2534</v>
      </c>
      <c r="F28" s="9">
        <f>SUM(C28:E28)</f>
        <v/>
      </c>
      <c r="G28" s="5" t="inlineStr"/>
      <c r="H28" s="8" t="n"/>
      <c r="I28" s="5" t="inlineStr">
        <is>
          <t>中長期</t>
        </is>
      </c>
    </row>
    <row r="30" ht="18" customHeight="1">
      <c r="A30" s="6" t="inlineStr">
        <is>
          <t>【4　計算欄　推計上の階級別人口　＝　基準人口×社人研の伸び率×補正係数】</t>
        </is>
      </c>
    </row>
    <row r="31" ht="30" customHeight="1">
      <c r="A31" s="3" t="inlineStr">
        <is>
          <t>年度</t>
        </is>
      </c>
      <c r="B31" s="3" t="inlineStr">
        <is>
          <t>西暦</t>
        </is>
      </c>
      <c r="C31" s="3" t="inlineStr">
        <is>
          <t>65〜74歳</t>
        </is>
      </c>
      <c r="D31" s="3" t="inlineStr">
        <is>
          <t>75〜84歳</t>
        </is>
      </c>
      <c r="E31" s="3" t="inlineStr">
        <is>
          <t>85歳以上</t>
        </is>
      </c>
      <c r="F31" s="3" t="inlineStr">
        <is>
          <t>65歳以上</t>
        </is>
      </c>
      <c r="G31" s="3" t="inlineStr"/>
      <c r="H31" s="3" t="inlineStr"/>
      <c r="I31" s="3" t="inlineStr">
        <is>
          <t>計算式</t>
        </is>
      </c>
    </row>
    <row r="32" ht="18" customHeight="1">
      <c r="A32" s="5" t="inlineStr">
        <is>
          <t>令和7年度</t>
        </is>
      </c>
      <c r="B32" s="4" t="n">
        <v>2025</v>
      </c>
      <c r="C32" s="30">
        <f>$B$13*C19/C$19*IF($B$9=1,$E$13,1)</f>
        <v/>
      </c>
      <c r="D32" s="30">
        <f>$B$14*D19/D$19*IF($B$9=1,$E$14,1)</f>
        <v/>
      </c>
      <c r="E32" s="30">
        <f>$B$15*E19/E$19*IF($B$9=1,$E$15,1)</f>
        <v/>
      </c>
      <c r="F32" s="30">
        <f>SUM(C32:E32)</f>
        <v/>
      </c>
      <c r="G32" s="5" t="inlineStr"/>
      <c r="H32" s="8" t="n"/>
      <c r="I32" s="5" t="inlineStr">
        <is>
          <t>基準人口×当年の社人研人口÷基準年の社人研人口×補正係数（適用する場合）</t>
        </is>
      </c>
    </row>
    <row r="33" ht="18" customHeight="1">
      <c r="A33" s="5" t="inlineStr">
        <is>
          <t>令和8年度</t>
        </is>
      </c>
      <c r="B33" s="4" t="n">
        <v>2026</v>
      </c>
      <c r="C33" s="30">
        <f>$B$13*C20/C$19*IF($B$9=1,$E$13,1)</f>
        <v/>
      </c>
      <c r="D33" s="30">
        <f>$B$14*D20/D$19*IF($B$9=1,$E$14,1)</f>
        <v/>
      </c>
      <c r="E33" s="30">
        <f>$B$15*E20/E$19*IF($B$9=1,$E$15,1)</f>
        <v/>
      </c>
      <c r="F33" s="30">
        <f>SUM(C33:E33)</f>
        <v/>
      </c>
      <c r="G33" s="5" t="inlineStr"/>
      <c r="H33" s="8" t="n"/>
      <c r="I33" s="5" t="inlineStr"/>
    </row>
    <row r="34" ht="18" customHeight="1">
      <c r="A34" s="5" t="inlineStr">
        <is>
          <t>令和9年度</t>
        </is>
      </c>
      <c r="B34" s="4" t="n">
        <v>2027</v>
      </c>
      <c r="C34" s="30">
        <f>$B$13*C21/C$19*IF($B$9=1,$E$13,1)</f>
        <v/>
      </c>
      <c r="D34" s="30">
        <f>$B$14*D21/D$19*IF($B$9=1,$E$14,1)</f>
        <v/>
      </c>
      <c r="E34" s="30">
        <f>$B$15*E21/E$19*IF($B$9=1,$E$15,1)</f>
        <v/>
      </c>
      <c r="F34" s="30">
        <f>SUM(C34:E34)</f>
        <v/>
      </c>
      <c r="G34" s="5" t="inlineStr"/>
      <c r="H34" s="8" t="n"/>
      <c r="I34" s="5" t="inlineStr"/>
    </row>
    <row r="35" ht="18" customHeight="1">
      <c r="A35" s="5" t="inlineStr">
        <is>
          <t>令和10年度</t>
        </is>
      </c>
      <c r="B35" s="4" t="n">
        <v>2028</v>
      </c>
      <c r="C35" s="30">
        <f>$B$13*C22/C$19*IF($B$9=1,$E$13,1)</f>
        <v/>
      </c>
      <c r="D35" s="30">
        <f>$B$14*D22/D$19*IF($B$9=1,$E$14,1)</f>
        <v/>
      </c>
      <c r="E35" s="30">
        <f>$B$15*E22/E$19*IF($B$9=1,$E$15,1)</f>
        <v/>
      </c>
      <c r="F35" s="30">
        <f>SUM(C35:E35)</f>
        <v/>
      </c>
      <c r="G35" s="5" t="inlineStr"/>
      <c r="H35" s="8" t="n"/>
      <c r="I35" s="5" t="inlineStr"/>
    </row>
    <row r="36" ht="18" customHeight="1">
      <c r="A36" s="5" t="inlineStr">
        <is>
          <t>令和11年度</t>
        </is>
      </c>
      <c r="B36" s="4" t="n">
        <v>2029</v>
      </c>
      <c r="C36" s="30">
        <f>$B$13*C23/C$19*IF($B$9=1,$E$13,1)</f>
        <v/>
      </c>
      <c r="D36" s="30">
        <f>$B$14*D23/D$19*IF($B$9=1,$E$14,1)</f>
        <v/>
      </c>
      <c r="E36" s="30">
        <f>$B$15*E23/E$19*IF($B$9=1,$E$15,1)</f>
        <v/>
      </c>
      <c r="F36" s="30">
        <f>SUM(C36:E36)</f>
        <v/>
      </c>
      <c r="G36" s="5" t="inlineStr"/>
      <c r="H36" s="8" t="n"/>
      <c r="I36" s="5" t="inlineStr"/>
    </row>
    <row r="37" ht="18" customHeight="1">
      <c r="A37" s="5" t="inlineStr">
        <is>
          <t>令和12年度</t>
        </is>
      </c>
      <c r="B37" s="4" t="n">
        <v>2030</v>
      </c>
      <c r="C37" s="30">
        <f>$B$13*C24/C$19*IF($B$9=1,$E$13,1)</f>
        <v/>
      </c>
      <c r="D37" s="30">
        <f>$B$14*D24/D$19*IF($B$9=1,$E$14,1)</f>
        <v/>
      </c>
      <c r="E37" s="30">
        <f>$B$15*E24/E$19*IF($B$9=1,$E$15,1)</f>
        <v/>
      </c>
      <c r="F37" s="30">
        <f>SUM(C37:E37)</f>
        <v/>
      </c>
      <c r="G37" s="5" t="inlineStr"/>
      <c r="H37" s="8" t="n"/>
      <c r="I37" s="5" t="inlineStr"/>
    </row>
    <row r="38" ht="18" customHeight="1">
      <c r="A38" s="5" t="inlineStr">
        <is>
          <t>令和17年度</t>
        </is>
      </c>
      <c r="B38" s="4" t="n">
        <v>2035</v>
      </c>
      <c r="C38" s="30">
        <f>$B$13*C25/C$19*IF($B$9=1,$E$13,1)</f>
        <v/>
      </c>
      <c r="D38" s="30">
        <f>$B$14*D25/D$19*IF($B$9=1,$E$14,1)</f>
        <v/>
      </c>
      <c r="E38" s="30">
        <f>$B$15*E25/E$19*IF($B$9=1,$E$15,1)</f>
        <v/>
      </c>
      <c r="F38" s="30">
        <f>SUM(C38:E38)</f>
        <v/>
      </c>
      <c r="G38" s="5" t="inlineStr"/>
      <c r="H38" s="8" t="n"/>
      <c r="I38" s="5" t="inlineStr"/>
    </row>
    <row r="39" ht="18" customHeight="1">
      <c r="A39" s="5" t="inlineStr">
        <is>
          <t>令和22年度</t>
        </is>
      </c>
      <c r="B39" s="4" t="n">
        <v>2040</v>
      </c>
      <c r="C39" s="30">
        <f>$B$13*C26/C$19*IF($B$9=1,$E$13,1)</f>
        <v/>
      </c>
      <c r="D39" s="30">
        <f>$B$14*D26/D$19*IF($B$9=1,$E$14,1)</f>
        <v/>
      </c>
      <c r="E39" s="30">
        <f>$B$15*E26/E$19*IF($B$9=1,$E$15,1)</f>
        <v/>
      </c>
      <c r="F39" s="30">
        <f>SUM(C39:E39)</f>
        <v/>
      </c>
      <c r="G39" s="5" t="inlineStr"/>
      <c r="H39" s="8" t="n"/>
      <c r="I39" s="5" t="inlineStr"/>
    </row>
    <row r="40" ht="18" customHeight="1">
      <c r="A40" s="5" t="inlineStr">
        <is>
          <t>令和27年度</t>
        </is>
      </c>
      <c r="B40" s="4" t="n">
        <v>2045</v>
      </c>
      <c r="C40" s="30">
        <f>$B$13*C27/C$19*IF($B$9=1,$E$13,1)</f>
        <v/>
      </c>
      <c r="D40" s="30">
        <f>$B$14*D27/D$19*IF($B$9=1,$E$14,1)</f>
        <v/>
      </c>
      <c r="E40" s="30">
        <f>$B$15*E27/E$19*IF($B$9=1,$E$15,1)</f>
        <v/>
      </c>
      <c r="F40" s="30">
        <f>SUM(C40:E40)</f>
        <v/>
      </c>
      <c r="G40" s="5" t="inlineStr"/>
      <c r="H40" s="8" t="n"/>
      <c r="I40" s="5" t="inlineStr"/>
    </row>
    <row r="41" ht="18" customHeight="1">
      <c r="A41" s="5" t="inlineStr">
        <is>
          <t>令和32年度</t>
        </is>
      </c>
      <c r="B41" s="4" t="n">
        <v>2050</v>
      </c>
      <c r="C41" s="30">
        <f>$B$13*C28/C$19*IF($B$9=1,$E$13,1)</f>
        <v/>
      </c>
      <c r="D41" s="30">
        <f>$B$14*D28/D$19*IF($B$9=1,$E$14,1)</f>
        <v/>
      </c>
      <c r="E41" s="30">
        <f>$B$15*E28/E$19*IF($B$9=1,$E$15,1)</f>
        <v/>
      </c>
      <c r="F41" s="30">
        <f>SUM(C41:E41)</f>
        <v/>
      </c>
      <c r="G41" s="5" t="inlineStr"/>
      <c r="H41" s="8" t="n"/>
      <c r="I41" s="5" t="inlineStr"/>
    </row>
    <row r="43" ht="18" customHeight="1">
      <c r="A43" s="6" t="inlineStr">
        <is>
          <t>【5　計算欄　階級別認定率（シナリオにより切り替わる）】</t>
        </is>
      </c>
    </row>
    <row r="44" ht="30" customHeight="1">
      <c r="A44" s="3" t="inlineStr">
        <is>
          <t>年度</t>
        </is>
      </c>
      <c r="B44" s="3" t="inlineStr">
        <is>
          <t>西暦</t>
        </is>
      </c>
      <c r="C44" s="3" t="inlineStr">
        <is>
          <t>65〜74歳</t>
        </is>
      </c>
      <c r="D44" s="3" t="inlineStr">
        <is>
          <t>75〜84歳</t>
        </is>
      </c>
      <c r="E44" s="3" t="inlineStr">
        <is>
          <t>85歳以上</t>
        </is>
      </c>
      <c r="F44" s="3" t="inlineStr"/>
      <c r="G44" s="3" t="inlineStr"/>
      <c r="H44" s="3" t="inlineStr"/>
      <c r="I44" s="3" t="inlineStr">
        <is>
          <t>計算式</t>
        </is>
      </c>
    </row>
    <row r="45" ht="18" customHeight="1">
      <c r="A45" s="5" t="inlineStr">
        <is>
          <t>令和7年度</t>
        </is>
      </c>
      <c r="B45" s="4" t="n">
        <v>2025</v>
      </c>
      <c r="C45" s="31">
        <f>CHOOSE($B$7,$C$13,$C$13+$F$13*MIN(MAX(B45-$B$6,0),$B$8),$C$13+($D$13-$C$13)*MIN(MAX(B45-$B$6,0),$B$8)/$B$8)</f>
        <v/>
      </c>
      <c r="D45" s="31">
        <f>CHOOSE($B$7,$C$14,$C$14+$F$14*MIN(MAX(B45-$B$6,0),$B$8),$C$14+($D$14-$C$14)*MIN(MAX(B45-$B$6,0),$B$8)/$B$8)</f>
        <v/>
      </c>
      <c r="E45" s="31">
        <f>CHOOSE($B$7,$C$15,$C$15+$F$15*MIN(MAX(B45-$B$6,0),$B$8),$C$15+($D$15-$C$15)*MIN(MAX(B45-$B$6,0),$B$8)/$B$8)</f>
        <v/>
      </c>
      <c r="F45" s="5" t="inlineStr"/>
      <c r="G45" s="24" t="n"/>
      <c r="H45" s="8" t="n"/>
      <c r="I45" s="5" t="inlineStr">
        <is>
          <t>CHOOSE(シナリオ，基準率，基準率＋年平均変化×経過年数，基準率＋（令和元年率－基準率）×経過年数÷延長年数)</t>
        </is>
      </c>
    </row>
    <row r="46" ht="18" customHeight="1">
      <c r="A46" s="5" t="inlineStr">
        <is>
          <t>令和8年度</t>
        </is>
      </c>
      <c r="B46" s="4" t="n">
        <v>2026</v>
      </c>
      <c r="C46" s="31">
        <f>CHOOSE($B$7,$C$13,$C$13+$F$13*MIN(MAX(B46-$B$6,0),$B$8),$C$13+($D$13-$C$13)*MIN(MAX(B46-$B$6,0),$B$8)/$B$8)</f>
        <v/>
      </c>
      <c r="D46" s="31">
        <f>CHOOSE($B$7,$C$14,$C$14+$F$14*MIN(MAX(B46-$B$6,0),$B$8),$C$14+($D$14-$C$14)*MIN(MAX(B46-$B$6,0),$B$8)/$B$8)</f>
        <v/>
      </c>
      <c r="E46" s="31">
        <f>CHOOSE($B$7,$C$15,$C$15+$F$15*MIN(MAX(B46-$B$6,0),$B$8),$C$15+($D$15-$C$15)*MIN(MAX(B46-$B$6,0),$B$8)/$B$8)</f>
        <v/>
      </c>
      <c r="F46" s="5" t="inlineStr"/>
      <c r="G46" s="24" t="n"/>
      <c r="H46" s="8" t="n"/>
      <c r="I46" s="5" t="inlineStr"/>
    </row>
    <row r="47" ht="18" customHeight="1">
      <c r="A47" s="5" t="inlineStr">
        <is>
          <t>令和9年度</t>
        </is>
      </c>
      <c r="B47" s="4" t="n">
        <v>2027</v>
      </c>
      <c r="C47" s="31">
        <f>CHOOSE($B$7,$C$13,$C$13+$F$13*MIN(MAX(B47-$B$6,0),$B$8),$C$13+($D$13-$C$13)*MIN(MAX(B47-$B$6,0),$B$8)/$B$8)</f>
        <v/>
      </c>
      <c r="D47" s="31">
        <f>CHOOSE($B$7,$C$14,$C$14+$F$14*MIN(MAX(B47-$B$6,0),$B$8),$C$14+($D$14-$C$14)*MIN(MAX(B47-$B$6,0),$B$8)/$B$8)</f>
        <v/>
      </c>
      <c r="E47" s="31">
        <f>CHOOSE($B$7,$C$15,$C$15+$F$15*MIN(MAX(B47-$B$6,0),$B$8),$C$15+($D$15-$C$15)*MIN(MAX(B47-$B$6,0),$B$8)/$B$8)</f>
        <v/>
      </c>
      <c r="F47" s="5" t="inlineStr"/>
      <c r="G47" s="24" t="n"/>
      <c r="H47" s="8" t="n"/>
      <c r="I47" s="5" t="inlineStr"/>
    </row>
    <row r="48" ht="18" customHeight="1">
      <c r="A48" s="5" t="inlineStr">
        <is>
          <t>令和10年度</t>
        </is>
      </c>
      <c r="B48" s="4" t="n">
        <v>2028</v>
      </c>
      <c r="C48" s="31">
        <f>CHOOSE($B$7,$C$13,$C$13+$F$13*MIN(MAX(B48-$B$6,0),$B$8),$C$13+($D$13-$C$13)*MIN(MAX(B48-$B$6,0),$B$8)/$B$8)</f>
        <v/>
      </c>
      <c r="D48" s="31">
        <f>CHOOSE($B$7,$C$14,$C$14+$F$14*MIN(MAX(B48-$B$6,0),$B$8),$C$14+($D$14-$C$14)*MIN(MAX(B48-$B$6,0),$B$8)/$B$8)</f>
        <v/>
      </c>
      <c r="E48" s="31">
        <f>CHOOSE($B$7,$C$15,$C$15+$F$15*MIN(MAX(B48-$B$6,0),$B$8),$C$15+($D$15-$C$15)*MIN(MAX(B48-$B$6,0),$B$8)/$B$8)</f>
        <v/>
      </c>
      <c r="F48" s="5" t="inlineStr"/>
      <c r="G48" s="24" t="n"/>
      <c r="H48" s="8" t="n"/>
      <c r="I48" s="5" t="inlineStr"/>
    </row>
    <row r="49" ht="18" customHeight="1">
      <c r="A49" s="5" t="inlineStr">
        <is>
          <t>令和11年度</t>
        </is>
      </c>
      <c r="B49" s="4" t="n">
        <v>2029</v>
      </c>
      <c r="C49" s="31">
        <f>CHOOSE($B$7,$C$13,$C$13+$F$13*MIN(MAX(B49-$B$6,0),$B$8),$C$13+($D$13-$C$13)*MIN(MAX(B49-$B$6,0),$B$8)/$B$8)</f>
        <v/>
      </c>
      <c r="D49" s="31">
        <f>CHOOSE($B$7,$C$14,$C$14+$F$14*MIN(MAX(B49-$B$6,0),$B$8),$C$14+($D$14-$C$14)*MIN(MAX(B49-$B$6,0),$B$8)/$B$8)</f>
        <v/>
      </c>
      <c r="E49" s="31">
        <f>CHOOSE($B$7,$C$15,$C$15+$F$15*MIN(MAX(B49-$B$6,0),$B$8),$C$15+($D$15-$C$15)*MIN(MAX(B49-$B$6,0),$B$8)/$B$8)</f>
        <v/>
      </c>
      <c r="F49" s="5" t="inlineStr"/>
      <c r="G49" s="24" t="n"/>
      <c r="H49" s="8" t="n"/>
      <c r="I49" s="5" t="inlineStr"/>
    </row>
    <row r="50" ht="18" customHeight="1">
      <c r="A50" s="5" t="inlineStr">
        <is>
          <t>令和12年度</t>
        </is>
      </c>
      <c r="B50" s="4" t="n">
        <v>2030</v>
      </c>
      <c r="C50" s="31">
        <f>CHOOSE($B$7,$C$13,$C$13+$F$13*MIN(MAX(B50-$B$6,0),$B$8),$C$13+($D$13-$C$13)*MIN(MAX(B50-$B$6,0),$B$8)/$B$8)</f>
        <v/>
      </c>
      <c r="D50" s="31">
        <f>CHOOSE($B$7,$C$14,$C$14+$F$14*MIN(MAX(B50-$B$6,0),$B$8),$C$14+($D$14-$C$14)*MIN(MAX(B50-$B$6,0),$B$8)/$B$8)</f>
        <v/>
      </c>
      <c r="E50" s="31">
        <f>CHOOSE($B$7,$C$15,$C$15+$F$15*MIN(MAX(B50-$B$6,0),$B$8),$C$15+($D$15-$C$15)*MIN(MAX(B50-$B$6,0),$B$8)/$B$8)</f>
        <v/>
      </c>
      <c r="F50" s="5" t="inlineStr"/>
      <c r="G50" s="24" t="n"/>
      <c r="H50" s="8" t="n"/>
      <c r="I50" s="5" t="inlineStr"/>
    </row>
    <row r="51" ht="18" customHeight="1">
      <c r="A51" s="5" t="inlineStr">
        <is>
          <t>令和17年度</t>
        </is>
      </c>
      <c r="B51" s="4" t="n">
        <v>2035</v>
      </c>
      <c r="C51" s="31">
        <f>CHOOSE($B$7,$C$13,$C$13+$F$13*MIN(MAX(B51-$B$6,0),$B$8),$C$13+($D$13-$C$13)*MIN(MAX(B51-$B$6,0),$B$8)/$B$8)</f>
        <v/>
      </c>
      <c r="D51" s="31">
        <f>CHOOSE($B$7,$C$14,$C$14+$F$14*MIN(MAX(B51-$B$6,0),$B$8),$C$14+($D$14-$C$14)*MIN(MAX(B51-$B$6,0),$B$8)/$B$8)</f>
        <v/>
      </c>
      <c r="E51" s="31">
        <f>CHOOSE($B$7,$C$15,$C$15+$F$15*MIN(MAX(B51-$B$6,0),$B$8),$C$15+($D$15-$C$15)*MIN(MAX(B51-$B$6,0),$B$8)/$B$8)</f>
        <v/>
      </c>
      <c r="F51" s="5" t="inlineStr"/>
      <c r="G51" s="24" t="n"/>
      <c r="H51" s="8" t="n"/>
      <c r="I51" s="5" t="inlineStr"/>
    </row>
    <row r="52" ht="18" customHeight="1">
      <c r="A52" s="5" t="inlineStr">
        <is>
          <t>令和22年度</t>
        </is>
      </c>
      <c r="B52" s="4" t="n">
        <v>2040</v>
      </c>
      <c r="C52" s="31">
        <f>CHOOSE($B$7,$C$13,$C$13+$F$13*MIN(MAX(B52-$B$6,0),$B$8),$C$13+($D$13-$C$13)*MIN(MAX(B52-$B$6,0),$B$8)/$B$8)</f>
        <v/>
      </c>
      <c r="D52" s="31">
        <f>CHOOSE($B$7,$C$14,$C$14+$F$14*MIN(MAX(B52-$B$6,0),$B$8),$C$14+($D$14-$C$14)*MIN(MAX(B52-$B$6,0),$B$8)/$B$8)</f>
        <v/>
      </c>
      <c r="E52" s="31">
        <f>CHOOSE($B$7,$C$15,$C$15+$F$15*MIN(MAX(B52-$B$6,0),$B$8),$C$15+($D$15-$C$15)*MIN(MAX(B52-$B$6,0),$B$8)/$B$8)</f>
        <v/>
      </c>
      <c r="F52" s="5" t="inlineStr"/>
      <c r="G52" s="24" t="n"/>
      <c r="H52" s="8" t="n"/>
      <c r="I52" s="5" t="inlineStr"/>
    </row>
    <row r="53" ht="18" customHeight="1">
      <c r="A53" s="5" t="inlineStr">
        <is>
          <t>令和27年度</t>
        </is>
      </c>
      <c r="B53" s="4" t="n">
        <v>2045</v>
      </c>
      <c r="C53" s="31">
        <f>CHOOSE($B$7,$C$13,$C$13+$F$13*MIN(MAX(B53-$B$6,0),$B$8),$C$13+($D$13-$C$13)*MIN(MAX(B53-$B$6,0),$B$8)/$B$8)</f>
        <v/>
      </c>
      <c r="D53" s="31">
        <f>CHOOSE($B$7,$C$14,$C$14+$F$14*MIN(MAX(B53-$B$6,0),$B$8),$C$14+($D$14-$C$14)*MIN(MAX(B53-$B$6,0),$B$8)/$B$8)</f>
        <v/>
      </c>
      <c r="E53" s="31">
        <f>CHOOSE($B$7,$C$15,$C$15+$F$15*MIN(MAX(B53-$B$6,0),$B$8),$C$15+($D$15-$C$15)*MIN(MAX(B53-$B$6,0),$B$8)/$B$8)</f>
        <v/>
      </c>
      <c r="F53" s="5" t="inlineStr"/>
      <c r="G53" s="24" t="n"/>
      <c r="H53" s="8" t="n"/>
      <c r="I53" s="5" t="inlineStr"/>
    </row>
    <row r="54" ht="18" customHeight="1">
      <c r="A54" s="5" t="inlineStr">
        <is>
          <t>令和32年度</t>
        </is>
      </c>
      <c r="B54" s="4" t="n">
        <v>2050</v>
      </c>
      <c r="C54" s="31">
        <f>CHOOSE($B$7,$C$13,$C$13+$F$13*MIN(MAX(B54-$B$6,0),$B$8),$C$13+($D$13-$C$13)*MIN(MAX(B54-$B$6,0),$B$8)/$B$8)</f>
        <v/>
      </c>
      <c r="D54" s="31">
        <f>CHOOSE($B$7,$C$14,$C$14+$F$14*MIN(MAX(B54-$B$6,0),$B$8),$C$14+($D$14-$C$14)*MIN(MAX(B54-$B$6,0),$B$8)/$B$8)</f>
        <v/>
      </c>
      <c r="E54" s="31">
        <f>CHOOSE($B$7,$C$15,$C$15+$F$15*MIN(MAX(B54-$B$6,0),$B$8),$C$15+($D$15-$C$15)*MIN(MAX(B54-$B$6,0),$B$8)/$B$8)</f>
        <v/>
      </c>
      <c r="F54" s="5" t="inlineStr"/>
      <c r="G54" s="24" t="n"/>
      <c r="H54" s="8" t="n"/>
      <c r="I54" s="5" t="inlineStr"/>
    </row>
    <row r="56" ht="18" customHeight="1">
      <c r="A56" s="6" t="inlineStr">
        <is>
          <t>【6　計算欄　認定者数　＝　階級別人口×階級別認定率÷100】</t>
        </is>
      </c>
    </row>
    <row r="57" ht="30" customHeight="1">
      <c r="A57" s="3" t="inlineStr">
        <is>
          <t>年度</t>
        </is>
      </c>
      <c r="B57" s="3" t="inlineStr">
        <is>
          <t>西暦</t>
        </is>
      </c>
      <c r="C57" s="3" t="inlineStr">
        <is>
          <t>65〜74歳</t>
        </is>
      </c>
      <c r="D57" s="3" t="inlineStr">
        <is>
          <t>75〜84歳</t>
        </is>
      </c>
      <c r="E57" s="3" t="inlineStr">
        <is>
          <t>85歳以上</t>
        </is>
      </c>
      <c r="F57" s="3" t="inlineStr">
        <is>
          <t>認定者数計</t>
        </is>
      </c>
      <c r="G57" s="3" t="inlineStr">
        <is>
          <t>認定率（％）</t>
        </is>
      </c>
      <c r="H57" s="3" t="inlineStr"/>
      <c r="I57" s="3" t="inlineStr">
        <is>
          <t>備考</t>
        </is>
      </c>
    </row>
    <row r="58" ht="18" customHeight="1">
      <c r="A58" s="5" t="inlineStr">
        <is>
          <t>令和7年度</t>
        </is>
      </c>
      <c r="B58" s="4" t="n">
        <v>2025</v>
      </c>
      <c r="C58" s="30">
        <f>C32*C45/100</f>
        <v/>
      </c>
      <c r="D58" s="30">
        <f>D32*D45/100</f>
        <v/>
      </c>
      <c r="E58" s="30">
        <f>E32*E45/100</f>
        <v/>
      </c>
      <c r="F58" s="32">
        <f>SUM(C58:E58)</f>
        <v/>
      </c>
      <c r="G58" s="33">
        <f>F58/F32*100</f>
        <v/>
      </c>
      <c r="H58" s="5" t="inlineStr"/>
      <c r="I58" s="5" t="inlineStr">
        <is>
          <t>基準</t>
        </is>
      </c>
    </row>
    <row r="59" ht="18" customHeight="1">
      <c r="A59" s="5" t="inlineStr">
        <is>
          <t>令和8年度</t>
        </is>
      </c>
      <c r="B59" s="4" t="n">
        <v>2026</v>
      </c>
      <c r="C59" s="30">
        <f>C33*C46/100</f>
        <v/>
      </c>
      <c r="D59" s="30">
        <f>D33*D46/100</f>
        <v/>
      </c>
      <c r="E59" s="30">
        <f>E33*E46/100</f>
        <v/>
      </c>
      <c r="F59" s="32">
        <f>SUM(C59:E59)</f>
        <v/>
      </c>
      <c r="G59" s="33">
        <f>F59/F33*100</f>
        <v/>
      </c>
      <c r="H59" s="5" t="inlineStr"/>
      <c r="I59" s="5" t="inlineStr">
        <is>
          <t>参考</t>
        </is>
      </c>
    </row>
    <row r="60" ht="18" customHeight="1">
      <c r="A60" s="5" t="inlineStr">
        <is>
          <t>令和9年度</t>
        </is>
      </c>
      <c r="B60" s="4" t="n">
        <v>2027</v>
      </c>
      <c r="C60" s="30">
        <f>C34*C47/100</f>
        <v/>
      </c>
      <c r="D60" s="30">
        <f>D34*D47/100</f>
        <v/>
      </c>
      <c r="E60" s="30">
        <f>E34*E47/100</f>
        <v/>
      </c>
      <c r="F60" s="32">
        <f>SUM(C60:E60)</f>
        <v/>
      </c>
      <c r="G60" s="33">
        <f>F60/F34*100</f>
        <v/>
      </c>
      <c r="H60" s="5" t="inlineStr"/>
      <c r="I60" s="5" t="inlineStr">
        <is>
          <t>第10期</t>
        </is>
      </c>
    </row>
    <row r="61" ht="18" customHeight="1">
      <c r="A61" s="5" t="inlineStr">
        <is>
          <t>令和10年度</t>
        </is>
      </c>
      <c r="B61" s="4" t="n">
        <v>2028</v>
      </c>
      <c r="C61" s="30">
        <f>C35*C48/100</f>
        <v/>
      </c>
      <c r="D61" s="30">
        <f>D35*D48/100</f>
        <v/>
      </c>
      <c r="E61" s="30">
        <f>E35*E48/100</f>
        <v/>
      </c>
      <c r="F61" s="32">
        <f>SUM(C61:E61)</f>
        <v/>
      </c>
      <c r="G61" s="33">
        <f>F61/F35*100</f>
        <v/>
      </c>
      <c r="H61" s="5" t="inlineStr"/>
      <c r="I61" s="5" t="inlineStr">
        <is>
          <t>第10期</t>
        </is>
      </c>
    </row>
    <row r="62" ht="18" customHeight="1">
      <c r="A62" s="5" t="inlineStr">
        <is>
          <t>令和11年度</t>
        </is>
      </c>
      <c r="B62" s="4" t="n">
        <v>2029</v>
      </c>
      <c r="C62" s="30">
        <f>C36*C49/100</f>
        <v/>
      </c>
      <c r="D62" s="30">
        <f>D36*D49/100</f>
        <v/>
      </c>
      <c r="E62" s="30">
        <f>E36*E49/100</f>
        <v/>
      </c>
      <c r="F62" s="32">
        <f>SUM(C62:E62)</f>
        <v/>
      </c>
      <c r="G62" s="33">
        <f>F62/F36*100</f>
        <v/>
      </c>
      <c r="H62" s="5" t="inlineStr"/>
      <c r="I62" s="5" t="inlineStr">
        <is>
          <t>第10期</t>
        </is>
      </c>
    </row>
    <row r="63" ht="18" customHeight="1">
      <c r="A63" s="5" t="inlineStr">
        <is>
          <t>令和12年度</t>
        </is>
      </c>
      <c r="B63" s="4" t="n">
        <v>2030</v>
      </c>
      <c r="C63" s="30">
        <f>C37*C50/100</f>
        <v/>
      </c>
      <c r="D63" s="30">
        <f>D37*D50/100</f>
        <v/>
      </c>
      <c r="E63" s="30">
        <f>E37*E50/100</f>
        <v/>
      </c>
      <c r="F63" s="32">
        <f>SUM(C63:E63)</f>
        <v/>
      </c>
      <c r="G63" s="33">
        <f>F63/F37*100</f>
        <v/>
      </c>
      <c r="H63" s="5" t="inlineStr"/>
      <c r="I63" s="5" t="inlineStr">
        <is>
          <t>参考</t>
        </is>
      </c>
    </row>
    <row r="64" ht="18" customHeight="1">
      <c r="A64" s="5" t="inlineStr">
        <is>
          <t>令和17年度</t>
        </is>
      </c>
      <c r="B64" s="4" t="n">
        <v>2035</v>
      </c>
      <c r="C64" s="30">
        <f>C38*C51/100</f>
        <v/>
      </c>
      <c r="D64" s="30">
        <f>D38*D51/100</f>
        <v/>
      </c>
      <c r="E64" s="30">
        <f>E38*E51/100</f>
        <v/>
      </c>
      <c r="F64" s="32">
        <f>SUM(C64:E64)</f>
        <v/>
      </c>
      <c r="G64" s="33">
        <f>F64/F38*100</f>
        <v/>
      </c>
      <c r="H64" s="5" t="inlineStr"/>
      <c r="I64" s="5" t="inlineStr">
        <is>
          <t>中長期</t>
        </is>
      </c>
    </row>
    <row r="65" ht="18" customHeight="1">
      <c r="A65" s="5" t="inlineStr">
        <is>
          <t>令和22年度</t>
        </is>
      </c>
      <c r="B65" s="4" t="n">
        <v>2040</v>
      </c>
      <c r="C65" s="30">
        <f>C39*C52/100</f>
        <v/>
      </c>
      <c r="D65" s="30">
        <f>D39*D52/100</f>
        <v/>
      </c>
      <c r="E65" s="30">
        <f>E39*E52/100</f>
        <v/>
      </c>
      <c r="F65" s="32">
        <f>SUM(C65:E65)</f>
        <v/>
      </c>
      <c r="G65" s="33">
        <f>F65/F39*100</f>
        <v/>
      </c>
      <c r="H65" s="5" t="inlineStr"/>
      <c r="I65" s="5" t="inlineStr">
        <is>
          <t>中長期</t>
        </is>
      </c>
    </row>
    <row r="66" ht="18" customHeight="1">
      <c r="A66" s="5" t="inlineStr">
        <is>
          <t>令和27年度</t>
        </is>
      </c>
      <c r="B66" s="4" t="n">
        <v>2045</v>
      </c>
      <c r="C66" s="30">
        <f>C40*C53/100</f>
        <v/>
      </c>
      <c r="D66" s="30">
        <f>D40*D53/100</f>
        <v/>
      </c>
      <c r="E66" s="30">
        <f>E40*E53/100</f>
        <v/>
      </c>
      <c r="F66" s="32">
        <f>SUM(C66:E66)</f>
        <v/>
      </c>
      <c r="G66" s="33">
        <f>F66/F40*100</f>
        <v/>
      </c>
      <c r="H66" s="5" t="inlineStr"/>
      <c r="I66" s="5" t="inlineStr">
        <is>
          <t>中長期</t>
        </is>
      </c>
    </row>
    <row r="67" ht="18" customHeight="1">
      <c r="A67" s="5" t="inlineStr">
        <is>
          <t>令和32年度</t>
        </is>
      </c>
      <c r="B67" s="4" t="n">
        <v>2050</v>
      </c>
      <c r="C67" s="30">
        <f>C41*C54/100</f>
        <v/>
      </c>
      <c r="D67" s="30">
        <f>D41*D54/100</f>
        <v/>
      </c>
      <c r="E67" s="30">
        <f>E41*E54/100</f>
        <v/>
      </c>
      <c r="F67" s="32">
        <f>SUM(C67:E67)</f>
        <v/>
      </c>
      <c r="G67" s="33">
        <f>F67/F41*100</f>
        <v/>
      </c>
      <c r="H67" s="5" t="inlineStr"/>
      <c r="I67" s="5" t="inlineStr">
        <is>
          <t>中長期</t>
        </is>
      </c>
    </row>
    <row r="69" ht="18" customHeight="1">
      <c r="A69" s="6" t="inlineStr">
        <is>
          <t>【7　出力　計画本文への転記値】</t>
        </is>
      </c>
    </row>
    <row r="70" ht="30" customHeight="1">
      <c r="A70" s="3" t="inlineStr">
        <is>
          <t>項目</t>
        </is>
      </c>
      <c r="B70" s="3" t="inlineStr">
        <is>
          <t>値</t>
        </is>
      </c>
      <c r="C70" s="3" t="inlineStr"/>
      <c r="D70" s="3" t="inlineStr"/>
      <c r="E70" s="3" t="inlineStr"/>
      <c r="F70" s="3" t="inlineStr"/>
      <c r="G70" s="3" t="inlineStr"/>
      <c r="H70" s="3" t="inlineStr"/>
      <c r="I70" s="3" t="inlineStr">
        <is>
          <t>転記先</t>
        </is>
      </c>
    </row>
    <row r="71" ht="20" customHeight="1">
      <c r="A71" s="34" t="inlineStr">
        <is>
          <t>令和9年度の認定者数</t>
        </is>
      </c>
      <c r="B71" s="35">
        <f>ROUND(F60,0)</f>
        <v/>
      </c>
      <c r="C71" s="24" t="n"/>
      <c r="D71" s="24" t="n"/>
      <c r="E71" s="24" t="n"/>
      <c r="F71" s="24" t="n"/>
      <c r="G71" s="24" t="n"/>
      <c r="H71" s="8" t="n"/>
      <c r="I71" s="34" t="inlineStr">
        <is>
          <t>第6章第1節</t>
        </is>
      </c>
    </row>
    <row r="72" ht="20" customHeight="1">
      <c r="A72" s="34" t="inlineStr">
        <is>
          <t>令和10年度の認定者数</t>
        </is>
      </c>
      <c r="B72" s="35">
        <f>ROUND(F61,0)</f>
        <v/>
      </c>
      <c r="C72" s="24" t="n"/>
      <c r="D72" s="24" t="n"/>
      <c r="E72" s="24" t="n"/>
      <c r="F72" s="24" t="n"/>
      <c r="G72" s="24" t="n"/>
      <c r="H72" s="8" t="n"/>
      <c r="I72" s="34" t="inlineStr">
        <is>
          <t>第6章第1節</t>
        </is>
      </c>
    </row>
    <row r="73" ht="20" customHeight="1">
      <c r="A73" s="34" t="inlineStr">
        <is>
          <t>令和11年度の認定者数</t>
        </is>
      </c>
      <c r="B73" s="35">
        <f>ROUND(F62,0)</f>
        <v/>
      </c>
      <c r="C73" s="24" t="n"/>
      <c r="D73" s="24" t="n"/>
      <c r="E73" s="24" t="n"/>
      <c r="F73" s="24" t="n"/>
      <c r="G73" s="24" t="n"/>
      <c r="H73" s="8" t="n"/>
      <c r="I73" s="34" t="inlineStr">
        <is>
          <t>第6章第1節</t>
        </is>
      </c>
    </row>
    <row r="74" ht="20" customHeight="1">
      <c r="A74" s="34" t="inlineStr">
        <is>
          <t>第10期3年計</t>
        </is>
      </c>
      <c r="B74" s="35">
        <f>ROUND(F60,0)+ROUND(F61,0)+ROUND(F62,0)</f>
        <v/>
      </c>
      <c r="C74" s="24" t="n"/>
      <c r="D74" s="24" t="n"/>
      <c r="E74" s="24" t="n"/>
      <c r="F74" s="24" t="n"/>
      <c r="G74" s="24" t="n"/>
      <c r="H74" s="8" t="n"/>
      <c r="I74" s="34" t="inlineStr">
        <is>
          <t>第6章第1節・第3節</t>
        </is>
      </c>
    </row>
    <row r="75" ht="20" customHeight="1">
      <c r="A75" s="34" t="inlineStr">
        <is>
          <t>令和11年度の65歳以上</t>
        </is>
      </c>
      <c r="B75" s="35">
        <f>ROUND(F36,0)</f>
        <v/>
      </c>
      <c r="C75" s="24" t="n"/>
      <c r="D75" s="24" t="n"/>
      <c r="E75" s="24" t="n"/>
      <c r="F75" s="24" t="n"/>
      <c r="G75" s="24" t="n"/>
      <c r="H75" s="8" t="n"/>
      <c r="I75" s="34" t="inlineStr">
        <is>
          <t>第6章第1節</t>
        </is>
      </c>
    </row>
    <row r="76" ht="20" customHeight="1">
      <c r="A76" s="34" t="inlineStr">
        <is>
          <t>令和11年度の認定率（％）</t>
        </is>
      </c>
      <c r="B76" s="35">
        <f>ROUND(G62,1)</f>
        <v/>
      </c>
      <c r="C76" s="24" t="n"/>
      <c r="D76" s="24" t="n"/>
      <c r="E76" s="24" t="n"/>
      <c r="F76" s="24" t="n"/>
      <c r="G76" s="24" t="n"/>
      <c r="H76" s="8" t="n"/>
      <c r="I76" s="34" t="inlineStr">
        <is>
          <t>第6章第1節</t>
        </is>
      </c>
    </row>
    <row r="77" ht="20" customHeight="1">
      <c r="A77" s="34" t="inlineStr">
        <is>
          <t>令和22年度の認定者数</t>
        </is>
      </c>
      <c r="B77" s="35">
        <f>ROUND(F65,0)</f>
        <v/>
      </c>
      <c r="C77" s="24" t="n"/>
      <c r="D77" s="24" t="n"/>
      <c r="E77" s="24" t="n"/>
      <c r="F77" s="24" t="n"/>
      <c r="G77" s="24" t="n"/>
      <c r="H77" s="8" t="n"/>
      <c r="I77" s="34" t="inlineStr">
        <is>
          <t>第2章第8節</t>
        </is>
      </c>
    </row>
    <row r="79" ht="18" customHeight="1">
      <c r="A79" s="6" t="inlineStr">
        <is>
          <t>【8　検算　他シートの値との一致】</t>
        </is>
      </c>
    </row>
    <row r="80" ht="30" customHeight="1">
      <c r="A80" s="3" t="inlineStr">
        <is>
          <t>項目</t>
        </is>
      </c>
      <c r="B80" s="3" t="inlineStr">
        <is>
          <t>本シート</t>
        </is>
      </c>
      <c r="C80" s="3" t="inlineStr">
        <is>
          <t>03シート</t>
        </is>
      </c>
      <c r="D80" s="3" t="inlineStr">
        <is>
          <t>差</t>
        </is>
      </c>
      <c r="E80" s="3" t="inlineStr"/>
      <c r="F80" s="3" t="inlineStr"/>
      <c r="G80" s="3" t="inlineStr"/>
      <c r="H80" s="3" t="inlineStr"/>
      <c r="I80" s="3" t="inlineStr">
        <is>
          <t>判定</t>
        </is>
      </c>
    </row>
    <row r="81" ht="20" customHeight="1">
      <c r="A81" s="5" t="inlineStr">
        <is>
          <t>令和7年度の認定者数（基準）</t>
        </is>
      </c>
      <c r="B81" s="9">
        <f>ROUND(F58,0)</f>
        <v/>
      </c>
      <c r="C81" s="9" t="n">
        <v>1984</v>
      </c>
      <c r="D81" s="9">
        <f>B81-C81</f>
        <v/>
      </c>
      <c r="E81" s="5" t="inlineStr"/>
      <c r="F81" s="24" t="n"/>
      <c r="G81" s="24" t="n"/>
      <c r="H81" s="8" t="n"/>
      <c r="I81" s="4">
        <f>IF(ABS(D81)&lt;=1,"一致","要確認")</f>
        <v/>
      </c>
    </row>
    <row r="82" ht="20" customHeight="1">
      <c r="A82" s="5" t="inlineStr">
        <is>
          <t>令和11年度の認定者数</t>
        </is>
      </c>
      <c r="B82" s="9">
        <f>ROUND(F62,0)</f>
        <v/>
      </c>
      <c r="C82" s="9" t="n">
        <v>2067</v>
      </c>
      <c r="D82" s="9">
        <f>B82-C82</f>
        <v/>
      </c>
      <c r="E82" s="5" t="inlineStr"/>
      <c r="F82" s="24" t="n"/>
      <c r="G82" s="24" t="n"/>
      <c r="H82" s="8" t="n"/>
      <c r="I82" s="4">
        <f>IF(ABS(D82)&lt;=1,"一致","要確認")</f>
        <v/>
      </c>
    </row>
    <row r="83" ht="20" customHeight="1">
      <c r="A83" s="5" t="inlineStr">
        <is>
          <t>令和22年度の認定者数</t>
        </is>
      </c>
      <c r="B83" s="9">
        <f>ROUND(F65,0)</f>
        <v/>
      </c>
      <c r="C83" s="9" t="n">
        <v>2288</v>
      </c>
      <c r="D83" s="9">
        <f>B83-C83</f>
        <v/>
      </c>
      <c r="E83" s="5" t="inlineStr"/>
      <c r="F83" s="24" t="n"/>
      <c r="G83" s="24" t="n"/>
      <c r="H83" s="8" t="n"/>
      <c r="I83" s="4">
        <f>IF(ABS(D83)&lt;=1,"一致","要確認")</f>
        <v/>
      </c>
    </row>
    <row r="84" ht="20" customHeight="1">
      <c r="A84" s="5" t="inlineStr">
        <is>
          <t>令和11年度の65歳以上</t>
        </is>
      </c>
      <c r="B84" s="9">
        <f>ROUND(F36,0)</f>
        <v/>
      </c>
      <c r="C84" s="9" t="n">
        <v>9213</v>
      </c>
      <c r="D84" s="9">
        <f>B84-C84</f>
        <v/>
      </c>
      <c r="E84" s="5" t="inlineStr"/>
      <c r="F84" s="24" t="n"/>
      <c r="G84" s="24" t="n"/>
      <c r="H84" s="8" t="n"/>
      <c r="I84" s="4">
        <f>IF(ABS(D84)&lt;=1,"一致","要確認")</f>
        <v/>
      </c>
    </row>
    <row r="86" ht="104" customHeight="1">
      <c r="A86" s="14" t="inlineStr">
        <is>
          <t>注1）本シートは、シナリオ2（トレンド継続）・人口補正なしの状態で他シートと一致するように作っている。【8】の判定欄がすべて「一致」であることを確認したうえで、入力欄を変更していただきたい。注2）人口補正を適用する場合は【1】の「人口補正の適用」を1にする。補正係数は【2】のE列で変更できる。初期値は1.000（補正なしと同じ）としているため、適用する場合は65〜74歳に1.0377、75〜84歳及び85歳以上に0.9927を入力する（人口推計の補正 04シートによる）。注3）本シートで変更できるのは第1段階（人口と認定者数）までである。サービス見込量（第2段階）及び給付費・保険料（第3段階）への波及は、【7】の転記値を各成果品に入力して再計算する。注4）他のシート（00〜07）は本シートの計算結果を書き出した転記表である。入力欄を変更しても他のシートは自動では変わらない。変更を成果品に反映する場合は受託者にご連絡いただきたい。</t>
        </is>
      </c>
    </row>
  </sheetData>
  <mergeCells count="58">
    <mergeCell ref="G21:H21"/>
    <mergeCell ref="B9:H9"/>
    <mergeCell ref="B74:H74"/>
    <mergeCell ref="F45:H45"/>
    <mergeCell ref="G27:H27"/>
    <mergeCell ref="F50:H50"/>
    <mergeCell ref="B6:H6"/>
    <mergeCell ref="A56:I56"/>
    <mergeCell ref="G36:H36"/>
    <mergeCell ref="G23:H23"/>
    <mergeCell ref="E81:H81"/>
    <mergeCell ref="B76:H76"/>
    <mergeCell ref="G39:H39"/>
    <mergeCell ref="F47:H47"/>
    <mergeCell ref="A69:I69"/>
    <mergeCell ref="A86:I86"/>
    <mergeCell ref="F46:H46"/>
    <mergeCell ref="A2:I2"/>
    <mergeCell ref="G38:H38"/>
    <mergeCell ref="B75:H75"/>
    <mergeCell ref="G19:H19"/>
    <mergeCell ref="A17:I17"/>
    <mergeCell ref="G37:H37"/>
    <mergeCell ref="G28:H28"/>
    <mergeCell ref="B7:H7"/>
    <mergeCell ref="G13:H13"/>
    <mergeCell ref="F48:H48"/>
    <mergeCell ref="F52:H52"/>
    <mergeCell ref="A4:I4"/>
    <mergeCell ref="B72:H72"/>
    <mergeCell ref="G34:H34"/>
    <mergeCell ref="A43:I43"/>
    <mergeCell ref="E83:H83"/>
    <mergeCell ref="G24:H24"/>
    <mergeCell ref="B71:H71"/>
    <mergeCell ref="F49:H49"/>
    <mergeCell ref="G15:H15"/>
    <mergeCell ref="G33:H33"/>
    <mergeCell ref="B77:H77"/>
    <mergeCell ref="E82:H82"/>
    <mergeCell ref="G14:H14"/>
    <mergeCell ref="F53:H53"/>
    <mergeCell ref="G26:H26"/>
    <mergeCell ref="A30:I30"/>
    <mergeCell ref="G35:H35"/>
    <mergeCell ref="E84:H84"/>
    <mergeCell ref="B8:H8"/>
    <mergeCell ref="G20:H20"/>
    <mergeCell ref="F54:H54"/>
    <mergeCell ref="A11:I11"/>
    <mergeCell ref="G32:H32"/>
    <mergeCell ref="G25:H25"/>
    <mergeCell ref="B73:H73"/>
    <mergeCell ref="G41:H41"/>
    <mergeCell ref="A79:I79"/>
    <mergeCell ref="G22:H22"/>
    <mergeCell ref="G40:H40"/>
    <mergeCell ref="F51:H5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2026-09-10T00:57:50Z</dcterms:created>
  <dcterms:modified xmlns:dcterms="http://purl.org/dc/terms/" xmlns:xsi="http://www.w3.org/2001/XMLSchema-instance" xsi:type="dcterms:W3CDTF">2026-09-10T00:57:50Z</dcterms:modified>
</cp:coreProperties>
</file>