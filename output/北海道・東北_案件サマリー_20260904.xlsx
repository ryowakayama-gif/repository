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今期_案件残明細" sheetId="2" state="visible" r:id="rId4"/>
    <sheet name="来期_案件明細" sheetId="3" state="visible" r:id="rId5"/>
    <sheet name="前提・注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<sst xmlns="http://schemas.openxmlformats.org/spreadsheetml/2006/main" count="190" uniqueCount="116">
  <si>
    <t xml:space="preserve">北海道・東北　案件サマリー（今期案件残／来期計画）</t>
  </si>
  <si>
    <r>
      <rPr>
        <sz val="9"/>
        <color rgb="FF595959"/>
        <rFont val="WenQuanYi Zen Hei"/>
        <family val="2"/>
      </rPr>
      <t xml:space="preserve">出所：営業会議ブック シート「</t>
    </r>
    <r>
      <rPr>
        <sz val="9"/>
        <color rgb="FF595959"/>
        <rFont val="游ゴシック"/>
        <family val="0"/>
        <charset val="1"/>
      </rPr>
      <t xml:space="preserve">20260904</t>
    </r>
    <r>
      <rPr>
        <sz val="9"/>
        <color rgb="FF595959"/>
        <rFont val="WenQuanYi Zen Hei"/>
        <family val="2"/>
      </rPr>
      <t xml:space="preserve">㉜」（第</t>
    </r>
    <r>
      <rPr>
        <sz val="9"/>
        <color rgb="FF595959"/>
        <rFont val="游ゴシック"/>
        <family val="0"/>
        <charset val="1"/>
      </rPr>
      <t xml:space="preserve">32</t>
    </r>
    <r>
      <rPr>
        <sz val="9"/>
        <color rgb="FF595959"/>
        <rFont val="WenQuanYi Zen Hei"/>
        <family val="2"/>
      </rPr>
      <t xml:space="preserve">回・</t>
    </r>
    <r>
      <rPr>
        <sz val="9"/>
        <color rgb="FF595959"/>
        <rFont val="游ゴシック"/>
        <family val="0"/>
        <charset val="1"/>
      </rPr>
      <t xml:space="preserve">2026/9/4 </t>
    </r>
    <r>
      <rPr>
        <sz val="9"/>
        <color rgb="FF595959"/>
        <rFont val="WenQuanYi Zen Hei"/>
        <family val="2"/>
      </rPr>
      <t xml:space="preserve">時点）　単位：件数＝件、金額＝千円</t>
    </r>
  </si>
  <si>
    <t xml:space="preserve">① 今年度（今期）の案件残</t>
  </si>
  <si>
    <r>
      <rPr>
        <sz val="9"/>
        <color rgb="FF595959"/>
        <rFont val="WenQuanYi Zen Hei"/>
        <family val="2"/>
      </rPr>
      <t xml:space="preserve">金額＝件数</t>
    </r>
    <r>
      <rPr>
        <sz val="9"/>
        <color rgb="FF595959"/>
        <rFont val="游ゴシック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単価</t>
    </r>
    <r>
      <rPr>
        <sz val="9"/>
        <color rgb="FF595959"/>
        <rFont val="游ゴシック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掛率（原本の算定式と同一）</t>
    </r>
  </si>
  <si>
    <t xml:space="preserve">エリア</t>
  </si>
  <si>
    <t xml:space="preserve">案件残
件数</t>
  </si>
  <si>
    <t xml:space="preserve">案件残
金額</t>
  </si>
  <si>
    <t xml:space="preserve">補正対象
件数</t>
  </si>
  <si>
    <t xml:space="preserve">補正対象
金額</t>
  </si>
  <si>
    <t xml:space="preserve">合計
件数</t>
  </si>
  <si>
    <t xml:space="preserve">合計
金額</t>
  </si>
  <si>
    <r>
      <rPr>
        <b val="true"/>
        <sz val="10"/>
        <color rgb="FFFFFFFF"/>
        <rFont val="WenQuanYi Zen Hei"/>
        <family val="2"/>
      </rPr>
      <t xml:space="preserve">全社比
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金額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</si>
  <si>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北海道</t>
  </si>
  <si>
    <t xml:space="preserve">東北</t>
  </si>
  <si>
    <r>
      <rPr>
        <b val="true"/>
        <sz val="10"/>
        <color rgb="FF000000"/>
        <rFont val="游ゴシック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エリア計</t>
    </r>
  </si>
  <si>
    <t xml:space="preserve">（参考）全社</t>
  </si>
  <si>
    <t xml:space="preserve">② 来期の案件計画</t>
  </si>
  <si>
    <t xml:space="preserve">原本の来期テーマ別計画（件数・金額とも原本の入力値）</t>
  </si>
  <si>
    <t xml:space="preserve">件数</t>
  </si>
  <si>
    <t xml:space="preserve">金額</t>
  </si>
  <si>
    <r>
      <rPr>
        <b val="true"/>
        <sz val="10"/>
        <color rgb="FFFFFFFF"/>
        <rFont val="WenQuanYi Zen Hei"/>
        <family val="2"/>
      </rPr>
      <t xml:space="preserve">平均単価
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千円</t>
    </r>
    <r>
      <rPr>
        <b val="true"/>
        <sz val="10"/>
        <color rgb="FFFFFFFF"/>
        <rFont val="游ゴシック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件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</si>
  <si>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全社比
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件数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</si>
  <si>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要員数
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名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</si>
  <si>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名あたり
売上</t>
    </r>
  </si>
  <si>
    <t xml:space="preserve">③（参考）今期の確保済実績とエリア別見積状況</t>
  </si>
  <si>
    <t xml:space="preserve">随契
金額</t>
  </si>
  <si>
    <t xml:space="preserve">落札
金額</t>
  </si>
  <si>
    <t xml:space="preserve">確保済
計</t>
  </si>
  <si>
    <t xml:space="preserve">見積提示
今期分</t>
  </si>
  <si>
    <t xml:space="preserve">見積提示
来期分</t>
  </si>
  <si>
    <t xml:space="preserve">指名停止
影響件数</t>
  </si>
  <si>
    <t xml:space="preserve">指名停止
影響額</t>
  </si>
  <si>
    <t xml:space="preserve">関東</t>
  </si>
  <si>
    <t xml:space="preserve">西日本</t>
  </si>
  <si>
    <t xml:space="preserve">全社計</t>
  </si>
  <si>
    <r>
      <rPr>
        <sz val="9"/>
        <color rgb="FF595959"/>
        <rFont val="WenQuanYi Zen Hei"/>
        <family val="2"/>
      </rPr>
      <t xml:space="preserve">※ 随契・落札はエリア別の金額のみ原本に記載（件数のエリア別内訳は原本に無し）。全社は随契</t>
    </r>
    <r>
      <rPr>
        <sz val="9"/>
        <color rgb="FF595959"/>
        <rFont val="游ゴシック"/>
        <family val="0"/>
        <charset val="1"/>
      </rPr>
      <t xml:space="preserve">353</t>
    </r>
    <r>
      <rPr>
        <sz val="9"/>
        <color rgb="FF595959"/>
        <rFont val="WenQuanYi Zen Hei"/>
        <family val="2"/>
      </rPr>
      <t xml:space="preserve">件、落札</t>
    </r>
    <r>
      <rPr>
        <sz val="9"/>
        <color rgb="FF595959"/>
        <rFont val="游ゴシック"/>
        <family val="0"/>
        <charset val="1"/>
      </rPr>
      <t xml:space="preserve">161</t>
    </r>
    <r>
      <rPr>
        <sz val="9"/>
        <color rgb="FF595959"/>
        <rFont val="WenQuanYi Zen Hei"/>
        <family val="2"/>
      </rPr>
      <t xml:space="preserve">件。</t>
    </r>
  </si>
  <si>
    <r>
      <rPr>
        <sz val="9"/>
        <color rgb="FF595959"/>
        <rFont val="WenQuanYi Zen Hei"/>
        <family val="2"/>
      </rPr>
      <t xml:space="preserve">※ 指名停止の影響は【指名停止の影響】表の件数に各テーマの単価</t>
    </r>
    <r>
      <rPr>
        <sz val="9"/>
        <color rgb="FF595959"/>
        <rFont val="游ゴシック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掛率を乗じた参考値。北海道は影響無し。</t>
    </r>
  </si>
  <si>
    <r>
      <rPr>
        <sz val="9"/>
        <color rgb="FF595959"/>
        <rFont val="WenQuanYi Zen Hei"/>
        <family val="2"/>
      </rPr>
      <t xml:space="preserve">※ 東北の当期実損は原本コメントで「</t>
    </r>
    <r>
      <rPr>
        <sz val="9"/>
        <color rgb="FF595959"/>
        <rFont val="游ゴシック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件：△</t>
    </r>
    <r>
      <rPr>
        <sz val="9"/>
        <color rgb="FF595959"/>
        <rFont val="游ゴシック"/>
        <family val="0"/>
        <charset val="1"/>
      </rPr>
      <t xml:space="preserve">8,000</t>
    </r>
    <r>
      <rPr>
        <sz val="9"/>
        <color rgb="FF595959"/>
        <rFont val="WenQuanYi Zen Hei"/>
        <family val="2"/>
      </rPr>
      <t xml:space="preserve">千円（うち</t>
    </r>
    <r>
      <rPr>
        <sz val="9"/>
        <color rgb="FF595959"/>
        <rFont val="游ゴシック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件公会計・須賀川市</t>
    </r>
    <r>
      <rPr>
        <sz val="9"/>
        <color rgb="FF595959"/>
        <rFont val="游ゴシック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関連組合）」と記載。上表はテーマ別集計値。</t>
    </r>
  </si>
  <si>
    <r>
      <rPr>
        <sz val="9"/>
        <color rgb="FF595959"/>
        <rFont val="WenQuanYi Zen Hei"/>
        <family val="2"/>
      </rPr>
      <t xml:space="preserve">※ 全社の見積提示済は今期分</t>
    </r>
    <r>
      <rPr>
        <sz val="9"/>
        <color rgb="FF595959"/>
        <rFont val="游ゴシック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件・来期分</t>
    </r>
    <r>
      <rPr>
        <sz val="9"/>
        <color rgb="FF595959"/>
        <rFont val="游ゴシック"/>
        <family val="0"/>
        <charset val="1"/>
      </rPr>
      <t xml:space="preserve">134</t>
    </r>
    <r>
      <rPr>
        <sz val="9"/>
        <color rgb="FF595959"/>
        <rFont val="WenQuanYi Zen Hei"/>
        <family val="2"/>
      </rPr>
      <t xml:space="preserve">件、指名停止の影響額は</t>
    </r>
    <r>
      <rPr>
        <sz val="9"/>
        <color rgb="FF595959"/>
        <rFont val="游ゴシック"/>
        <family val="0"/>
        <charset val="1"/>
      </rPr>
      <t xml:space="preserve">118,200</t>
    </r>
    <r>
      <rPr>
        <sz val="9"/>
        <color rgb="FF595959"/>
        <rFont val="WenQuanYi Zen Hei"/>
        <family val="2"/>
      </rPr>
      <t xml:space="preserve">千円で、いずれも原本の集計と一致。</t>
    </r>
  </si>
  <si>
    <t xml:space="preserve">① 今年度（今期）案件　テーマ別明細</t>
  </si>
  <si>
    <r>
      <rPr>
        <sz val="9"/>
        <color rgb="FF595959"/>
        <rFont val="WenQuanYi Zen Hei"/>
        <family val="2"/>
      </rPr>
      <t xml:space="preserve">出所：営業会議ブック「</t>
    </r>
    <r>
      <rPr>
        <sz val="9"/>
        <color rgb="FF595959"/>
        <rFont val="游ゴシック"/>
        <family val="0"/>
        <charset val="1"/>
      </rPr>
      <t xml:space="preserve">20260904</t>
    </r>
    <r>
      <rPr>
        <sz val="9"/>
        <color rgb="FF595959"/>
        <rFont val="WenQuanYi Zen Hei"/>
        <family val="2"/>
      </rPr>
      <t xml:space="preserve">㉜」【現在の案件残】</t>
    </r>
    <r>
      <rPr>
        <sz val="9"/>
        <color rgb="FF595959"/>
        <rFont val="游ゴシック"/>
        <family val="0"/>
        <charset val="1"/>
      </rPr>
      <t xml:space="preserve">D32:K38 </t>
    </r>
    <r>
      <rPr>
        <sz val="9"/>
        <color rgb="FF595959"/>
        <rFont val="WenQuanYi Zen Hei"/>
        <family val="2"/>
      </rPr>
      <t xml:space="preserve">／【補正対象】</t>
    </r>
    <r>
      <rPr>
        <sz val="9"/>
        <color rgb="FF595959"/>
        <rFont val="游ゴシック"/>
        <family val="0"/>
        <charset val="1"/>
      </rPr>
      <t xml:space="preserve">D42:K48 </t>
    </r>
    <r>
      <rPr>
        <sz val="9"/>
        <color rgb="FF595959"/>
        <rFont val="WenQuanYi Zen Hei"/>
        <family val="2"/>
      </rPr>
      <t xml:space="preserve">／【指名停止の影響】</t>
    </r>
    <r>
      <rPr>
        <sz val="9"/>
        <color rgb="FF595959"/>
        <rFont val="游ゴシック"/>
        <family val="0"/>
        <charset val="1"/>
      </rPr>
      <t xml:space="preserve">C20:K26</t>
    </r>
  </si>
  <si>
    <t xml:space="preserve">単位：金額＝千円　／　青字＝原本からの転記値、黒字＝本表の計算式</t>
  </si>
  <si>
    <t xml:space="preserve">【現在の案件残】</t>
  </si>
  <si>
    <t xml:space="preserve">今期中に決着する未確定案件</t>
  </si>
  <si>
    <t xml:space="preserve">テーマ</t>
  </si>
  <si>
    <r>
      <rPr>
        <b val="true"/>
        <sz val="10"/>
        <color rgb="FFFFFFFF"/>
        <rFont val="WenQuanYi Zen Hei"/>
        <family val="2"/>
      </rPr>
      <t xml:space="preserve">単価
</t>
    </r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千円</t>
    </r>
    <r>
      <rPr>
        <b val="true"/>
        <sz val="10"/>
        <color rgb="FFFFFFFF"/>
        <rFont val="游ゴシック"/>
        <family val="0"/>
        <charset val="1"/>
      </rPr>
      <t xml:space="preserve">)</t>
    </r>
  </si>
  <si>
    <t xml:space="preserve">掛率</t>
  </si>
  <si>
    <t xml:space="preserve">北海道
件数</t>
  </si>
  <si>
    <t xml:space="preserve">北海道
金額</t>
  </si>
  <si>
    <t xml:space="preserve">東北
件数</t>
  </si>
  <si>
    <t xml:space="preserve">東北
金額</t>
  </si>
  <si>
    <r>
      <rPr>
        <b val="true"/>
        <sz val="10"/>
        <color rgb="FFFFFFFF"/>
        <rFont val="游ゴシック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エリア
件数</t>
    </r>
  </si>
  <si>
    <r>
      <rPr>
        <b val="true"/>
        <sz val="10"/>
        <color rgb="FFFFFFFF"/>
        <rFont val="游ゴシック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エリア
金額</t>
    </r>
  </si>
  <si>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参考</t>
    </r>
    <r>
      <rPr>
        <b val="true"/>
        <sz val="10"/>
        <color rgb="FFFFFFFF"/>
        <rFont val="游ゴシック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関東件数</t>
    </r>
  </si>
  <si>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参考</t>
    </r>
    <r>
      <rPr>
        <b val="true"/>
        <sz val="10"/>
        <color rgb="FFFFFFFF"/>
        <rFont val="游ゴシック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関東金額</t>
    </r>
  </si>
  <si>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参考</t>
    </r>
    <r>
      <rPr>
        <b val="true"/>
        <sz val="10"/>
        <color rgb="FFFFFFFF"/>
        <rFont val="游ゴシック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西日本件数</t>
    </r>
  </si>
  <si>
    <r>
      <rPr>
        <b val="true"/>
        <sz val="10"/>
        <color rgb="FFFFFFFF"/>
        <rFont val="游ゴシック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参考</t>
    </r>
    <r>
      <rPr>
        <b val="true"/>
        <sz val="10"/>
        <color rgb="FFFFFFFF"/>
        <rFont val="游ゴシック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西日本金額</t>
    </r>
  </si>
  <si>
    <t xml:space="preserve">全社
件数</t>
  </si>
  <si>
    <t xml:space="preserve">全社
金額</t>
  </si>
  <si>
    <t xml:space="preserve">公会計</t>
  </si>
  <si>
    <t xml:space="preserve">会計支援</t>
  </si>
  <si>
    <t xml:space="preserve">経営戦略</t>
  </si>
  <si>
    <t xml:space="preserve">経営改善</t>
  </si>
  <si>
    <r>
      <rPr>
        <sz val="10"/>
        <color rgb="FF000000"/>
        <rFont val="WenQuanYi Zen Hei"/>
        <family val="2"/>
      </rPr>
      <t xml:space="preserve">公共施設</t>
    </r>
    <r>
      <rPr>
        <sz val="10"/>
        <color rgb="FF000000"/>
        <rFont val="游ゴシック"/>
        <family val="0"/>
        <charset val="1"/>
      </rPr>
      <t xml:space="preserve">M</t>
    </r>
  </si>
  <si>
    <t xml:space="preserve">福祉計画</t>
  </si>
  <si>
    <t xml:space="preserve">その他</t>
  </si>
  <si>
    <t xml:space="preserve">計</t>
  </si>
  <si>
    <t xml:space="preserve">原本の全社計</t>
  </si>
  <si>
    <r>
      <rPr>
        <b val="true"/>
        <sz val="10"/>
        <color rgb="FF000000"/>
        <rFont val="WenQuanYi Zen Hei"/>
        <family val="2"/>
      </rPr>
      <t xml:space="preserve">差異（</t>
    </r>
    <r>
      <rPr>
        <b val="true"/>
        <sz val="10"/>
        <color rgb="FF000000"/>
        <rFont val="游ゴシック"/>
        <family val="0"/>
        <charset val="1"/>
      </rPr>
      <t xml:space="preserve">0</t>
    </r>
    <r>
      <rPr>
        <b val="true"/>
        <sz val="10"/>
        <color rgb="FF000000"/>
        <rFont val="WenQuanYi Zen Hei"/>
        <family val="2"/>
      </rPr>
      <t xml:space="preserve">であること）</t>
    </r>
  </si>
  <si>
    <t xml:space="preserve">【補正対象】</t>
  </si>
  <si>
    <t xml:space="preserve">補正予算での発注が見込まれる案件（原本上は別枠管理）</t>
  </si>
  <si>
    <t xml:space="preserve">【指名停止の影響】</t>
  </si>
  <si>
    <t xml:space="preserve">指名停止により影響が及びうる案件（参考・案件残とは別集計）</t>
  </si>
  <si>
    <r>
      <rPr>
        <sz val="9"/>
        <color rgb="FF595959"/>
        <rFont val="WenQuanYi Zen Hei"/>
        <family val="2"/>
      </rPr>
      <t xml:space="preserve">※ 単価／掛率が空欄の行は原本に設定が無いもの（会計支援は全ブロック、その他は案件残・補正対象ブロック）。件数のみ計上し金額は</t>
    </r>
    <r>
      <rPr>
        <sz val="9"/>
        <color rgb="FF595959"/>
        <rFont val="游ゴシック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</si>
  <si>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WenQuanYi Zen Hei"/>
        <family val="2"/>
      </rPr>
      <t xml:space="preserve">※ 金額は原本と同じ </t>
    </r>
    <r>
      <rPr>
        <sz val="9"/>
        <color rgb="FF595959"/>
        <rFont val="游ゴシック"/>
        <family val="0"/>
        <charset val="1"/>
      </rPr>
      <t xml:space="preserve">ROUND(</t>
    </r>
    <r>
      <rPr>
        <sz val="9"/>
        <color rgb="FF595959"/>
        <rFont val="WenQuanYi Zen Hei"/>
        <family val="2"/>
      </rPr>
      <t xml:space="preserve">件数</t>
    </r>
    <r>
      <rPr>
        <sz val="9"/>
        <color rgb="FF595959"/>
        <rFont val="游ゴシック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単価</t>
    </r>
    <r>
      <rPr>
        <sz val="9"/>
        <color rgb="FF595959"/>
        <rFont val="游ゴシック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掛率</t>
    </r>
    <r>
      <rPr>
        <sz val="9"/>
        <color rgb="FF595959"/>
        <rFont val="游ゴシック"/>
        <family val="0"/>
        <charset val="1"/>
      </rPr>
      <t xml:space="preserve">, 0)</t>
    </r>
    <r>
      <rPr>
        <sz val="9"/>
        <color rgb="FF595959"/>
        <rFont val="WenQuanYi Zen Hei"/>
        <family val="2"/>
      </rPr>
      <t xml:space="preserve">。原本はエリア別金額を持たず全社計のみを算定しているため、</t>
    </r>
  </si>
  <si>
    <r>
      <rPr>
        <sz val="9"/>
        <color rgb="FF595959"/>
        <rFont val="WenQuanYi Zen Hei"/>
        <family val="2"/>
      </rPr>
      <t xml:space="preserve">　 本表では同じ単価・掛率をエリア別件数に適用して展開した。各ブロックの「差異」行が</t>
    </r>
    <r>
      <rPr>
        <sz val="9"/>
        <color rgb="FF595959"/>
        <rFont val="游ゴシック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であることで原本との整合を確認できる。</t>
    </r>
  </si>
  <si>
    <t xml:space="preserve">※ 掛率は原本で設定された受注確度。したがって金額は「確度加味後の見込」であり、満額ベースではない。</t>
  </si>
  <si>
    <r>
      <rPr>
        <sz val="9"/>
        <color rgb="FF595959"/>
        <rFont val="WenQuanYi Zen Hei"/>
        <family val="2"/>
      </rPr>
      <t xml:space="preserve">※ 先週（</t>
    </r>
    <r>
      <rPr>
        <sz val="9"/>
        <color rgb="FF595959"/>
        <rFont val="游ゴシック"/>
        <family val="0"/>
        <charset val="1"/>
      </rPr>
      <t xml:space="preserve">20260828</t>
    </r>
    <r>
      <rPr>
        <sz val="9"/>
        <color rgb="FF595959"/>
        <rFont val="WenQuanYi Zen Hei"/>
        <family val="2"/>
      </rPr>
      <t xml:space="preserve">㉛）比：北海道・東北とも案件残・補正対象に増減なし。全社の減（</t>
    </r>
    <r>
      <rPr>
        <sz val="9"/>
        <color rgb="FF595959"/>
        <rFont val="游ゴシック"/>
        <family val="0"/>
        <charset val="1"/>
      </rPr>
      <t xml:space="preserve">35→31</t>
    </r>
    <r>
      <rPr>
        <sz val="9"/>
        <color rgb="FF595959"/>
        <rFont val="WenQuanYi Zen Hei"/>
        <family val="2"/>
      </rPr>
      <t xml:space="preserve">件）は関東によるもの。</t>
    </r>
  </si>
  <si>
    <t xml:space="preserve">※ 指名停止の影響は案件残・補正対象とは別集計であり、①②の合計には含めていない。</t>
  </si>
  <si>
    <t xml:space="preserve">② 来期案件計画　テーマ別明細</t>
  </si>
  <si>
    <r>
      <rPr>
        <sz val="9"/>
        <color rgb="FF595959"/>
        <rFont val="WenQuanYi Zen Hei"/>
        <family val="2"/>
      </rPr>
      <t xml:space="preserve">出所：営業会議ブック「</t>
    </r>
    <r>
      <rPr>
        <sz val="9"/>
        <color rgb="FF595959"/>
        <rFont val="游ゴシック"/>
        <family val="0"/>
        <charset val="1"/>
      </rPr>
      <t xml:space="preserve">20260904</t>
    </r>
    <r>
      <rPr>
        <sz val="9"/>
        <color rgb="FF595959"/>
        <rFont val="WenQuanYi Zen Hei"/>
        <family val="2"/>
      </rPr>
      <t xml:space="preserve">㉜」</t>
    </r>
    <r>
      <rPr>
        <sz val="9"/>
        <color rgb="FF595959"/>
        <rFont val="游ゴシック"/>
        <family val="0"/>
        <charset val="1"/>
      </rPr>
      <t xml:space="preserve">F123:P132</t>
    </r>
    <r>
      <rPr>
        <sz val="9"/>
        <color rgb="FF595959"/>
        <rFont val="WenQuanYi Zen Hei"/>
        <family val="2"/>
      </rPr>
      <t xml:space="preserve">（来期テーマ別 件数・金額）</t>
    </r>
  </si>
  <si>
    <t xml:space="preserve">公営企業</t>
  </si>
  <si>
    <t xml:space="preserve">公共施設マネジメント</t>
  </si>
  <si>
    <t xml:space="preserve">総合計画</t>
  </si>
  <si>
    <t xml:space="preserve">社会生活計画</t>
  </si>
  <si>
    <t xml:space="preserve">その他計画</t>
  </si>
  <si>
    <t xml:space="preserve">合計</t>
  </si>
  <si>
    <r>
      <rPr>
        <b val="true"/>
        <sz val="10"/>
        <color rgb="FF000000"/>
        <rFont val="WenQuanYi Zen Hei"/>
        <family val="2"/>
      </rPr>
      <t xml:space="preserve">平均単価</t>
    </r>
    <r>
      <rPr>
        <b val="true"/>
        <sz val="10"/>
        <color rgb="FF000000"/>
        <rFont val="游ゴシック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千円</t>
    </r>
    <r>
      <rPr>
        <b val="true"/>
        <sz val="10"/>
        <color rgb="FF000000"/>
        <rFont val="游ゴシック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件</t>
    </r>
    <r>
      <rPr>
        <b val="true"/>
        <sz val="10"/>
        <color rgb="FF000000"/>
        <rFont val="游ゴシック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</si>
  <si>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※ 件数・金額とも原本の入力値をそのまま採用（原本合計：北海道 </t>
    </r>
    <r>
      <rPr>
        <sz val="9"/>
        <color rgb="FF595959"/>
        <rFont val="游ゴシック"/>
        <family val="0"/>
        <charset val="1"/>
      </rPr>
      <t xml:space="preserve">280</t>
    </r>
    <r>
      <rPr>
        <sz val="9"/>
        <color rgb="FF595959"/>
        <rFont val="WenQuanYi Zen Hei"/>
        <family val="2"/>
      </rPr>
      <t xml:space="preserve">件</t>
    </r>
    <r>
      <rPr>
        <sz val="9"/>
        <color rgb="FF595959"/>
        <rFont val="游ゴシック"/>
        <family val="0"/>
        <charset val="1"/>
      </rPr>
      <t xml:space="preserve">/270,000</t>
    </r>
    <r>
      <rPr>
        <sz val="9"/>
        <color rgb="FF595959"/>
        <rFont val="WenQuanYi Zen Hei"/>
        <family val="2"/>
      </rPr>
      <t xml:space="preserve">千円、東北 </t>
    </r>
    <r>
      <rPr>
        <sz val="9"/>
        <color rgb="FF595959"/>
        <rFont val="游ゴシック"/>
        <family val="0"/>
        <charset val="1"/>
      </rPr>
      <t xml:space="preserve">172</t>
    </r>
    <r>
      <rPr>
        <sz val="9"/>
        <color rgb="FF595959"/>
        <rFont val="WenQuanYi Zen Hei"/>
        <family val="2"/>
      </rPr>
      <t xml:space="preserve">件</t>
    </r>
    <r>
      <rPr>
        <sz val="9"/>
        <color rgb="FF595959"/>
        <rFont val="游ゴシック"/>
        <family val="0"/>
        <charset val="1"/>
      </rPr>
      <t xml:space="preserve">/190,000</t>
    </r>
    <r>
      <rPr>
        <sz val="9"/>
        <color rgb="FF595959"/>
        <rFont val="WenQuanYi Zen Hei"/>
        <family val="2"/>
      </rPr>
      <t xml:space="preserve">千円）。</t>
    </r>
  </si>
  <si>
    <r>
      <rPr>
        <sz val="9"/>
        <color rgb="FF595959"/>
        <rFont val="WenQuanYi Zen Hei"/>
        <family val="2"/>
      </rPr>
      <t xml:space="preserve">※ 全社の来期計画は </t>
    </r>
    <r>
      <rPr>
        <sz val="9"/>
        <color rgb="FF595959"/>
        <rFont val="游ゴシック"/>
        <family val="0"/>
        <charset val="1"/>
      </rPr>
      <t xml:space="preserve">712</t>
    </r>
    <r>
      <rPr>
        <sz val="9"/>
        <color rgb="FF595959"/>
        <rFont val="WenQuanYi Zen Hei"/>
        <family val="2"/>
      </rPr>
      <t xml:space="preserve">件／</t>
    </r>
    <r>
      <rPr>
        <sz val="9"/>
        <color rgb="FF595959"/>
        <rFont val="游ゴシック"/>
        <family val="0"/>
        <charset val="1"/>
      </rPr>
      <t xml:space="preserve">850,000</t>
    </r>
    <r>
      <rPr>
        <sz val="9"/>
        <color rgb="FF595959"/>
        <rFont val="WenQuanYi Zen Hei"/>
        <family val="2"/>
      </rPr>
      <t xml:space="preserve">千円。今期見込売上 </t>
    </r>
    <r>
      <rPr>
        <sz val="9"/>
        <color rgb="FF595959"/>
        <rFont val="游ゴシック"/>
        <family val="0"/>
        <charset val="1"/>
      </rPr>
      <t xml:space="preserve">700,000</t>
    </r>
    <r>
      <rPr>
        <sz val="9"/>
        <color rgb="FF595959"/>
        <rFont val="WenQuanYi Zen Hei"/>
        <family val="2"/>
      </rPr>
      <t xml:space="preserve">千円に対し </t>
    </r>
    <r>
      <rPr>
        <sz val="9"/>
        <color rgb="FF595959"/>
        <rFont val="游ゴシック"/>
        <family val="0"/>
        <charset val="1"/>
      </rPr>
      <t xml:space="preserve">+150,000</t>
    </r>
    <r>
      <rPr>
        <sz val="9"/>
        <color rgb="FF595959"/>
        <rFont val="WenQuanYi Zen Hei"/>
        <family val="2"/>
      </rPr>
      <t xml:space="preserve">千円（</t>
    </r>
    <r>
      <rPr>
        <sz val="9"/>
        <color rgb="FF595959"/>
        <rFont val="游ゴシック"/>
        <family val="0"/>
        <charset val="1"/>
      </rPr>
      <t xml:space="preserve">+21.4%</t>
    </r>
    <r>
      <rPr>
        <sz val="9"/>
        <color rgb="FF595959"/>
        <rFont val="WenQuanYi Zen Hei"/>
        <family val="2"/>
      </rPr>
      <t xml:space="preserve">）の計画。</t>
    </r>
  </si>
  <si>
    <r>
      <rPr>
        <sz val="9"/>
        <color rgb="FF595959"/>
        <rFont val="WenQuanYi Zen Hei"/>
        <family val="2"/>
      </rPr>
      <t xml:space="preserve">※ 来期要員計画は北海道</t>
    </r>
    <r>
      <rPr>
        <sz val="9"/>
        <color rgb="FF595959"/>
        <rFont val="游ゴシック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名・東北</t>
    </r>
    <r>
      <rPr>
        <sz val="9"/>
        <color rgb="FF595959"/>
        <rFont val="游ゴシック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名（原本 </t>
    </r>
    <r>
      <rPr>
        <sz val="9"/>
        <color rgb="FF595959"/>
        <rFont val="游ゴシック"/>
        <family val="0"/>
        <charset val="1"/>
      </rPr>
      <t xml:space="preserve">G133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游ゴシック"/>
        <family val="0"/>
        <charset val="1"/>
      </rPr>
      <t xml:space="preserve">I133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游ゴシック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名あたり売上は北海道</t>
    </r>
    <r>
      <rPr>
        <sz val="9"/>
        <color rgb="FF595959"/>
        <rFont val="游ゴシック"/>
        <family val="0"/>
        <charset val="1"/>
      </rPr>
      <t xml:space="preserve">22,500</t>
    </r>
    <r>
      <rPr>
        <sz val="9"/>
        <color rgb="FF595959"/>
        <rFont val="WenQuanYi Zen Hei"/>
        <family val="2"/>
      </rPr>
      <t xml:space="preserve">千円・東北</t>
    </r>
    <r>
      <rPr>
        <sz val="9"/>
        <color rgb="FF595959"/>
        <rFont val="游ゴシック"/>
        <family val="0"/>
        <charset val="1"/>
      </rPr>
      <t xml:space="preserve">31,667</t>
    </r>
    <r>
      <rPr>
        <sz val="9"/>
        <color rgb="FF595959"/>
        <rFont val="WenQuanYi Zen Hei"/>
        <family val="2"/>
      </rPr>
      <t xml:space="preserve">千円。</t>
    </r>
  </si>
  <si>
    <t xml:space="preserve">前提・出所・注記</t>
  </si>
  <si>
    <t xml:space="preserve">元データ</t>
  </si>
  <si>
    <t xml:space="preserve">営業会議ブック（週次営業会議シート）</t>
  </si>
  <si>
    <t xml:space="preserve">基準シート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</si>
  <si>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游ゴシック"/>
        <family val="0"/>
        <charset val="1"/>
      </rPr>
      <t xml:space="preserve">20260904</t>
    </r>
    <r>
      <rPr>
        <sz val="10"/>
        <color rgb="FF000000"/>
        <rFont val="WenQuanYi Zen Hei"/>
        <family val="2"/>
      </rPr>
      <t xml:space="preserve">㉜」＝第</t>
    </r>
    <r>
      <rPr>
        <sz val="10"/>
        <color rgb="FF000000"/>
        <rFont val="游ゴシック"/>
        <family val="0"/>
        <charset val="1"/>
      </rPr>
      <t xml:space="preserve">32</t>
    </r>
    <r>
      <rPr>
        <sz val="10"/>
        <color rgb="FF000000"/>
        <rFont val="WenQuanYi Zen Hei"/>
        <family val="2"/>
      </rPr>
      <t xml:space="preserve">回・</t>
    </r>
    <r>
      <rPr>
        <sz val="10"/>
        <color rgb="FF000000"/>
        <rFont val="游ゴシック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游ゴシック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游ゴシック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日時点（ブック内で最新の回）</t>
    </r>
  </si>
  <si>
    <t xml:space="preserve">比較シート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</si>
  <si>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游ゴシック"/>
        <family val="0"/>
        <charset val="1"/>
      </rPr>
      <t xml:space="preserve">20260828</t>
    </r>
    <r>
      <rPr>
        <sz val="10"/>
        <color rgb="FF000000"/>
        <rFont val="WenQuanYi Zen Hei"/>
        <family val="2"/>
      </rPr>
      <t xml:space="preserve">㉛」＝第</t>
    </r>
    <r>
      <rPr>
        <sz val="10"/>
        <color rgb="FF000000"/>
        <rFont val="游ゴシック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回・</t>
    </r>
    <r>
      <rPr>
        <sz val="10"/>
        <color rgb="FF000000"/>
        <rFont val="游ゴシック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游ゴシック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月</t>
    </r>
    <r>
      <rPr>
        <sz val="10"/>
        <color rgb="FF000000"/>
        <rFont val="游ゴシック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日時点（先週比の算定に使用）</t>
    </r>
  </si>
  <si>
    <t xml:space="preserve">単位</t>
  </si>
  <si>
    <t xml:space="preserve">件数＝件、金額＝千円</t>
  </si>
  <si>
    <t xml:space="preserve">今期案件残の定義</t>
  </si>
  <si>
    <t xml:space="preserve">【現在の案件残】＝入札・提案の結果が未確定で今期中に決着する案件。【補正対象】＝補正予算での発注が見込まれる案件で、原本上は別枠管理。</t>
  </si>
  <si>
    <t xml:space="preserve">金額の算定</t>
  </si>
  <si>
    <r>
      <rPr>
        <sz val="10"/>
        <color rgb="FF000000"/>
        <rFont val="WenQuanYi Zen Hei"/>
        <family val="2"/>
      </rPr>
      <t xml:space="preserve">原本はエリア別の金額を持たず全社計のみを </t>
    </r>
    <r>
      <rPr>
        <sz val="10"/>
        <color rgb="FF000000"/>
        <rFont val="游ゴシック"/>
        <family val="0"/>
        <charset val="1"/>
      </rPr>
      <t xml:space="preserve">ROUND(</t>
    </r>
    <r>
      <rPr>
        <sz val="10"/>
        <color rgb="FF000000"/>
        <rFont val="WenQuanYi Zen Hei"/>
        <family val="2"/>
      </rPr>
      <t xml:space="preserve">件数</t>
    </r>
    <r>
      <rPr>
        <sz val="10"/>
        <color rgb="FF000000"/>
        <rFont val="游ゴシック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単価</t>
    </r>
    <r>
      <rPr>
        <sz val="10"/>
        <color rgb="FF000000"/>
        <rFont val="游ゴシック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掛率</t>
    </r>
    <r>
      <rPr>
        <sz val="10"/>
        <color rgb="FF000000"/>
        <rFont val="游ゴシック"/>
        <family val="0"/>
        <charset val="1"/>
      </rPr>
      <t xml:space="preserve">,0) </t>
    </r>
    <r>
      <rPr>
        <sz val="10"/>
        <color rgb="FF000000"/>
        <rFont val="WenQuanYi Zen Hei"/>
        <family val="2"/>
      </rPr>
      <t xml:space="preserve">で算定している。本サマリーは同じ単価・掛率をエリア別件数に適用して展開した。</t>
    </r>
    <r>
      <rPr>
        <sz val="10"/>
        <color rgb="FF000000"/>
        <rFont val="游ゴシック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エリア合計は原本の全社計（案件残</t>
    </r>
    <r>
      <rPr>
        <sz val="10"/>
        <color rgb="FF000000"/>
        <rFont val="游ゴシック"/>
        <family val="0"/>
        <charset val="1"/>
      </rPr>
      <t xml:space="preserve">32,800</t>
    </r>
    <r>
      <rPr>
        <sz val="10"/>
        <color rgb="FF000000"/>
        <rFont val="WenQuanYi Zen Hei"/>
        <family val="2"/>
      </rPr>
      <t xml:space="preserve">千円／補正対象</t>
    </r>
    <r>
      <rPr>
        <sz val="10"/>
        <color rgb="FF000000"/>
        <rFont val="游ゴシック"/>
        <family val="0"/>
        <charset val="1"/>
      </rPr>
      <t xml:space="preserve">28,500</t>
    </r>
    <r>
      <rPr>
        <sz val="10"/>
        <color rgb="FF000000"/>
        <rFont val="WenQuanYi Zen Hei"/>
        <family val="2"/>
      </rPr>
      <t xml:space="preserve">千円）と一致することを確認済み。</t>
    </r>
  </si>
  <si>
    <t xml:space="preserve">掛率の意味</t>
  </si>
  <si>
    <r>
      <rPr>
        <sz val="10"/>
        <color rgb="FF000000"/>
        <rFont val="WenQuanYi Zen Hei"/>
        <family val="2"/>
      </rPr>
      <t xml:space="preserve">原本で設定された受注確度。公会計</t>
    </r>
    <r>
      <rPr>
        <sz val="10"/>
        <color rgb="FF000000"/>
        <rFont val="游ゴシック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／経営戦略</t>
    </r>
    <r>
      <rPr>
        <sz val="10"/>
        <color rgb="FF000000"/>
        <rFont val="游ゴシック"/>
        <family val="0"/>
        <charset val="1"/>
      </rPr>
      <t xml:space="preserve">0.8</t>
    </r>
    <r>
      <rPr>
        <sz val="10"/>
        <color rgb="FF000000"/>
        <rFont val="WenQuanYi Zen Hei"/>
        <family val="2"/>
      </rPr>
      <t xml:space="preserve">／経営改善</t>
    </r>
    <r>
      <rPr>
        <sz val="10"/>
        <color rgb="FF000000"/>
        <rFont val="游ゴシック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／公共施設</t>
    </r>
    <r>
      <rPr>
        <sz val="10"/>
        <color rgb="FF000000"/>
        <rFont val="游ゴシック"/>
        <family val="0"/>
        <charset val="1"/>
      </rPr>
      <t xml:space="preserve">M0.5</t>
    </r>
    <r>
      <rPr>
        <sz val="10"/>
        <color rgb="FF000000"/>
        <rFont val="WenQuanYi Zen Hei"/>
        <family val="2"/>
      </rPr>
      <t xml:space="preserve">／福祉計画</t>
    </r>
    <r>
      <rPr>
        <sz val="10"/>
        <color rgb="FF000000"/>
        <rFont val="游ゴシック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。したがって案件残金額は「確度加味後の見込売上」であり、満額ベースではない。</t>
    </r>
  </si>
  <si>
    <t xml:space="preserve">来期計画</t>
  </si>
  <si>
    <r>
      <rPr>
        <sz val="10"/>
        <color rgb="FF000000"/>
        <rFont val="WenQuanYi Zen Hei"/>
        <family val="2"/>
      </rPr>
      <t xml:space="preserve">原本 </t>
    </r>
    <r>
      <rPr>
        <sz val="10"/>
        <color rgb="FF000000"/>
        <rFont val="游ゴシック"/>
        <family val="0"/>
        <charset val="1"/>
      </rPr>
      <t xml:space="preserve">F123:P132 </t>
    </r>
    <r>
      <rPr>
        <sz val="10"/>
        <color rgb="FF000000"/>
        <rFont val="WenQuanYi Zen Hei"/>
        <family val="2"/>
      </rPr>
      <t xml:space="preserve">のテーマ別 件数・金額をそのまま採用。原本上は「※イメージ」と付記された計画値。</t>
    </r>
  </si>
  <si>
    <t xml:space="preserve">今期確保済実績</t>
  </si>
  <si>
    <r>
      <rPr>
        <sz val="10"/>
        <color rgb="FF000000"/>
        <rFont val="WenQuanYi Zen Hei"/>
        <family val="2"/>
      </rPr>
      <t xml:space="preserve">随契は原本 </t>
    </r>
    <r>
      <rPr>
        <sz val="10"/>
        <color rgb="FF000000"/>
        <rFont val="游ゴシック"/>
        <family val="0"/>
        <charset val="1"/>
      </rPr>
      <t xml:space="preserve">G7:J7</t>
    </r>
    <r>
      <rPr>
        <sz val="10"/>
        <color rgb="FF000000"/>
        <rFont val="WenQuanYi Zen Hei"/>
        <family val="2"/>
      </rPr>
      <t xml:space="preserve">、落札は </t>
    </r>
    <r>
      <rPr>
        <sz val="10"/>
        <color rgb="FF000000"/>
        <rFont val="游ゴシック"/>
        <family val="0"/>
        <charset val="1"/>
      </rPr>
      <t xml:space="preserve">G9:J9</t>
    </r>
    <r>
      <rPr>
        <sz val="10"/>
        <color rgb="FF000000"/>
        <rFont val="WenQuanYi Zen Hei"/>
        <family val="2"/>
      </rPr>
      <t xml:space="preserve">（いずれもエリア別金額）。件数のエリア別内訳は原本に無し。</t>
    </r>
  </si>
  <si>
    <t xml:space="preserve">見積提示済件数</t>
  </si>
  <si>
    <r>
      <rPr>
        <sz val="10"/>
        <color rgb="FF000000"/>
        <rFont val="WenQuanYi Zen Hei"/>
        <family val="2"/>
      </rPr>
      <t xml:space="preserve">エリア別明細ブロック（北海道 </t>
    </r>
    <r>
      <rPr>
        <sz val="10"/>
        <color rgb="FF000000"/>
        <rFont val="游ゴシック"/>
        <family val="0"/>
        <charset val="1"/>
      </rPr>
      <t xml:space="preserve">H172:I172</t>
    </r>
    <r>
      <rPr>
        <sz val="10"/>
        <color rgb="FF000000"/>
        <rFont val="WenQuanYi Zen Hei"/>
        <family val="2"/>
      </rPr>
      <t xml:space="preserve">／東北 </t>
    </r>
    <r>
      <rPr>
        <sz val="10"/>
        <color rgb="FF000000"/>
        <rFont val="游ゴシック"/>
        <family val="0"/>
        <charset val="1"/>
      </rPr>
      <t xml:space="preserve">H186:I186</t>
    </r>
    <r>
      <rPr>
        <sz val="10"/>
        <color rgb="FF000000"/>
        <rFont val="WenQuanYi Zen Hei"/>
        <family val="2"/>
      </rPr>
      <t xml:space="preserve">）の合計行。今期分・来期分の区分は原本どおり。</t>
    </r>
  </si>
  <si>
    <t xml:space="preserve">指名停止の影響</t>
  </si>
  <si>
    <r>
      <rPr>
        <sz val="10"/>
        <color rgb="FF000000"/>
        <rFont val="WenQuanYi Zen Hei"/>
        <family val="2"/>
      </rPr>
      <t xml:space="preserve">【指名停止の影響】</t>
    </r>
    <r>
      <rPr>
        <sz val="10"/>
        <color rgb="FF000000"/>
        <rFont val="游ゴシック"/>
        <family val="0"/>
        <charset val="1"/>
      </rPr>
      <t xml:space="preserve">C20:K26 </t>
    </r>
    <r>
      <rPr>
        <sz val="10"/>
        <color rgb="FF000000"/>
        <rFont val="WenQuanYi Zen Hei"/>
        <family val="2"/>
      </rPr>
      <t xml:space="preserve">のエリア別件数に各テーマの単価</t>
    </r>
    <r>
      <rPr>
        <sz val="10"/>
        <color rgb="FF000000"/>
        <rFont val="游ゴシック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掛率を適用した参考値。北海道は原本コメントで「無し」。東北の当期実損は原本コメントで「</t>
    </r>
    <r>
      <rPr>
        <sz val="10"/>
        <color rgb="FF000000"/>
        <rFont val="游ゴシック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件：△</t>
    </r>
    <r>
      <rPr>
        <sz val="10"/>
        <color rgb="FF000000"/>
        <rFont val="游ゴシック"/>
        <family val="0"/>
        <charset val="1"/>
      </rPr>
      <t xml:space="preserve">8,000</t>
    </r>
    <r>
      <rPr>
        <sz val="10"/>
        <color rgb="FF000000"/>
        <rFont val="WenQuanYi Zen Hei"/>
        <family val="2"/>
      </rPr>
      <t xml:space="preserve">千円」と記載されており、本表の</t>
    </r>
    <r>
      <rPr>
        <sz val="10"/>
        <color rgb="FF000000"/>
        <rFont val="游ゴシック"/>
        <family val="0"/>
        <charset val="1"/>
      </rPr>
      <t xml:space="preserve">14</t>
    </r>
    <r>
      <rPr>
        <sz val="10"/>
        <color rgb="FF000000"/>
        <rFont val="WenQuanYi Zen Hei"/>
        <family val="2"/>
      </rPr>
      <t xml:space="preserve">件／</t>
    </r>
    <r>
      <rPr>
        <sz val="10"/>
        <color rgb="FF000000"/>
        <rFont val="游ゴシック"/>
        <family val="0"/>
        <charset val="1"/>
      </rPr>
      <t xml:space="preserve">14,100</t>
    </r>
    <r>
      <rPr>
        <sz val="10"/>
        <color rgb="FF000000"/>
        <rFont val="WenQuanYi Zen Hei"/>
        <family val="2"/>
      </rPr>
      <t xml:space="preserve">千円は影響が及びうる案件の総量を指す。</t>
    </r>
  </si>
  <si>
    <t xml:space="preserve">留意点</t>
  </si>
  <si>
    <r>
      <rPr>
        <sz val="10"/>
        <color rgb="FF000000"/>
        <rFont val="WenQuanYi Zen Hei"/>
        <family val="2"/>
      </rPr>
      <t xml:space="preserve">原本は週次で上書き更新されるため、本サマリーは</t>
    </r>
    <r>
      <rPr>
        <sz val="10"/>
        <color rgb="FF000000"/>
        <rFont val="游ゴシック"/>
        <family val="0"/>
        <charset val="1"/>
      </rPr>
      <t xml:space="preserve">2026/9/4</t>
    </r>
    <r>
      <rPr>
        <sz val="10"/>
        <color rgb="FF000000"/>
        <rFont val="WenQuanYi Zen Hei"/>
        <family val="2"/>
      </rPr>
      <t xml:space="preserve">時点のスナップショット。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</si>
</sst>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游ゴシック"/>
      <family val="0"/>
      <charset val="1"/>
    </font>
    <font>
      <b val="true"/>
      <sz val="12"/>
      <color rgb="FF1F3864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游ゴシック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游ゴシック"/>
      <family val="0"/>
      <charset val="1"/>
    </font>
    <font>
      <b val="true"/>
      <sz val="10"/>
      <color rgb="FF000000"/>
      <name val="游ゴシック"/>
      <family val="0"/>
      <charset val="1"/>
    </font>
    <font>
      <sz val="10"/>
      <color rgb="FF000000"/>
      <name val="WenQuanYi Zen Hei"/>
      <family val="2"/>
    </font>
    <font>
      <sz val="10"/>
      <color rgb="FF0000FF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F7FAFC"/>
      </patternFill>
    </fill>
    <fill>
      <patternFill patternType="solid">
        <fgColor rgb="FFFFF2CC"/>
        <bgColor rgb="FFF7FAFC"/>
      </patternFill>
    </fill>
    <fill>
      <patternFill patternType="solid">
        <fgColor rgb="FFF7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9" min="3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E5" s="2" t="s">
        <v>3</v>
      </c>
    </row>
    <row r="6" customFormat="false" ht="30" hidden="false" customHeight="true" outlineLevel="0" collapsed="false"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5" t="s">
        <v>9</v>
      </c>
      <c r="H6" s="5" t="s">
        <v>10</v>
      </c>
      <c r="I6" s="4" t="s">
        <v>11</v>
      </c>
    </row>
    <row r="7" customFormat="false" ht="15" hidden="false" customHeight="false" outlineLevel="0" collapsed="false">
      <c r="B7" s="6" t="s">
        <v>12</v>
      </c>
      <c r="C7" s="7" t="n">
        <f aca="false">今期_案件残明細!$E$15</f>
        <v>4</v>
      </c>
      <c r="D7" s="7" t="n">
        <f aca="false">今期_案件残明細!$F$15</f>
        <v>4000</v>
      </c>
      <c r="E7" s="7" t="n">
        <f aca="false">今期_案件残明細!$E$28</f>
        <v>1</v>
      </c>
      <c r="F7" s="7" t="n">
        <f aca="false">今期_案件残明細!$F$28</f>
        <v>1000</v>
      </c>
      <c r="G7" s="8" t="n">
        <f aca="false">C7+E7</f>
        <v>5</v>
      </c>
      <c r="H7" s="8" t="n">
        <f aca="false">D7+F7</f>
        <v>5000</v>
      </c>
      <c r="I7" s="9" t="n">
        <f aca="false">IFERROR(H7/$H$10,0)</f>
        <v>0.0815660685154976</v>
      </c>
    </row>
    <row r="8" customFormat="false" ht="15" hidden="false" customHeight="false" outlineLevel="0" collapsed="false">
      <c r="B8" s="6" t="s">
        <v>13</v>
      </c>
      <c r="C8" s="7" t="n">
        <f aca="false">今期_案件残明細!$G$15</f>
        <v>9</v>
      </c>
      <c r="D8" s="7" t="n">
        <f aca="false">今期_案件残明細!$H$15</f>
        <v>7800</v>
      </c>
      <c r="E8" s="7" t="n">
        <f aca="false">今期_案件残明細!$G$28</f>
        <v>5</v>
      </c>
      <c r="F8" s="7" t="n">
        <f aca="false">今期_案件残明細!$H$28</f>
        <v>4100</v>
      </c>
      <c r="G8" s="8" t="n">
        <f aca="false">C8+E8</f>
        <v>14</v>
      </c>
      <c r="H8" s="8" t="n">
        <f aca="false">D8+F8</f>
        <v>11900</v>
      </c>
      <c r="I8" s="9" t="n">
        <f aca="false">IFERROR(H8/$H$10,0)</f>
        <v>0.194127243066884</v>
      </c>
    </row>
    <row r="9" customFormat="false" ht="15" hidden="false" customHeight="false" outlineLevel="0" collapsed="false">
      <c r="B9" s="10" t="s">
        <v>14</v>
      </c>
      <c r="C9" s="11" t="n">
        <f aca="false">SUM(C7:C8)</f>
        <v>13</v>
      </c>
      <c r="D9" s="11" t="n">
        <f aca="false">SUM(D7:D8)</f>
        <v>11800</v>
      </c>
      <c r="E9" s="11" t="n">
        <f aca="false">SUM(E7:E8)</f>
        <v>6</v>
      </c>
      <c r="F9" s="11" t="n">
        <f aca="false">SUM(F7:F8)</f>
        <v>5100</v>
      </c>
      <c r="G9" s="11" t="n">
        <f aca="false">SUM(G7:G8)</f>
        <v>19</v>
      </c>
      <c r="H9" s="11" t="n">
        <f aca="false">SUM(H7:H8)</f>
        <v>16900</v>
      </c>
      <c r="I9" s="12" t="n">
        <f aca="false">IFERROR(H9/$H$10,0)</f>
        <v>0.275693311582382</v>
      </c>
    </row>
    <row r="10" customFormat="false" ht="15" hidden="false" customHeight="false" outlineLevel="0" collapsed="false">
      <c r="B10" s="13" t="s">
        <v>15</v>
      </c>
      <c r="C10" s="7" t="n">
        <f aca="false">今期_案件残明細!$O$15</f>
        <v>31</v>
      </c>
      <c r="D10" s="7" t="n">
        <f aca="false">今期_案件残明細!$P$15</f>
        <v>32800</v>
      </c>
      <c r="E10" s="7" t="n">
        <f aca="false">今期_案件残明細!$O$28</f>
        <v>18</v>
      </c>
      <c r="F10" s="7" t="n">
        <f aca="false">今期_案件残明細!$P$28</f>
        <v>28500</v>
      </c>
      <c r="G10" s="14" t="n">
        <f aca="false">C10+E10</f>
        <v>49</v>
      </c>
      <c r="H10" s="14" t="n">
        <f aca="false">D10+F10</f>
        <v>61300</v>
      </c>
      <c r="I10" s="9" t="n">
        <v>1</v>
      </c>
    </row>
    <row r="13" customFormat="false" ht="15" hidden="false" customHeight="false" outlineLevel="0" collapsed="false">
      <c r="B13" s="3" t="s">
        <v>16</v>
      </c>
      <c r="E13" s="2" t="s">
        <v>17</v>
      </c>
    </row>
    <row r="14" customFormat="false" ht="30" hidden="false" customHeight="true" outlineLevel="0" collapsed="false">
      <c r="B14" s="4" t="s">
        <v>4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11</v>
      </c>
      <c r="H14" s="4" t="s">
        <v>22</v>
      </c>
      <c r="I14" s="15" t="s">
        <v>23</v>
      </c>
    </row>
    <row r="15" customFormat="false" ht="15" hidden="false" customHeight="false" outlineLevel="0" collapsed="false">
      <c r="B15" s="6" t="s">
        <v>12</v>
      </c>
      <c r="C15" s="8" t="n">
        <f aca="false">来期_案件明細!$C$15</f>
        <v>280</v>
      </c>
      <c r="D15" s="8" t="n">
        <f aca="false">来期_案件明細!$D$15</f>
        <v>270000</v>
      </c>
      <c r="E15" s="7" t="n">
        <f aca="false">IFERROR(D15/C15,0)</f>
        <v>964.285714285714</v>
      </c>
      <c r="F15" s="9" t="n">
        <f aca="false">IFERROR(C15/$C$18,0)</f>
        <v>0.393258426966292</v>
      </c>
      <c r="G15" s="9" t="n">
        <f aca="false">IFERROR(D15/$D$18,0)</f>
        <v>0.317647058823529</v>
      </c>
      <c r="H15" s="16" t="n">
        <v>12</v>
      </c>
      <c r="I15" s="7" t="n">
        <f aca="false">IFERROR(D15/H15,0)</f>
        <v>22500</v>
      </c>
    </row>
    <row r="16" customFormat="false" ht="15" hidden="false" customHeight="false" outlineLevel="0" collapsed="false">
      <c r="B16" s="6" t="s">
        <v>13</v>
      </c>
      <c r="C16" s="8" t="n">
        <f aca="false">来期_案件明細!$E$15</f>
        <v>172</v>
      </c>
      <c r="D16" s="8" t="n">
        <f aca="false">来期_案件明細!$F$15</f>
        <v>190000</v>
      </c>
      <c r="E16" s="7" t="n">
        <f aca="false">IFERROR(D16/C16,0)</f>
        <v>1104.6511627907</v>
      </c>
      <c r="F16" s="9" t="n">
        <f aca="false">IFERROR(C16/$C$18,0)</f>
        <v>0.241573033707865</v>
      </c>
      <c r="G16" s="9" t="n">
        <f aca="false">IFERROR(D16/$D$18,0)</f>
        <v>0.223529411764706</v>
      </c>
      <c r="H16" s="16" t="n">
        <v>6</v>
      </c>
      <c r="I16" s="7" t="n">
        <f aca="false">IFERROR(D16/H16,0)</f>
        <v>31666.6666666667</v>
      </c>
    </row>
    <row r="17" customFormat="false" ht="15" hidden="false" customHeight="false" outlineLevel="0" collapsed="false">
      <c r="B17" s="10" t="s">
        <v>14</v>
      </c>
      <c r="C17" s="11" t="n">
        <f aca="false">SUM(C15:C16)</f>
        <v>452</v>
      </c>
      <c r="D17" s="11" t="n">
        <f aca="false">SUM(D15:D16)</f>
        <v>460000</v>
      </c>
      <c r="E17" s="11" t="n">
        <f aca="false">IFERROR(D17/C17,0)</f>
        <v>1017.69911504425</v>
      </c>
      <c r="F17" s="12" t="n">
        <f aca="false">IFERROR(C17/$C$18,0)</f>
        <v>0.634831460674157</v>
      </c>
      <c r="G17" s="12" t="n">
        <f aca="false">IFERROR(D17/$D$18,0)</f>
        <v>0.541176470588235</v>
      </c>
      <c r="H17" s="11" t="n">
        <f aca="false">SUM(H15:H16)</f>
        <v>18</v>
      </c>
      <c r="I17" s="11" t="n">
        <f aca="false">IFERROR(D17/H17,0)</f>
        <v>25555.5555555556</v>
      </c>
    </row>
    <row r="18" customFormat="false" ht="15" hidden="false" customHeight="false" outlineLevel="0" collapsed="false">
      <c r="B18" s="13" t="s">
        <v>15</v>
      </c>
      <c r="C18" s="7" t="n">
        <f aca="false">来期_案件明細!$I$15</f>
        <v>712</v>
      </c>
      <c r="D18" s="7" t="n">
        <f aca="false">来期_案件明細!$J$15</f>
        <v>850000</v>
      </c>
      <c r="E18" s="7" t="n">
        <f aca="false">IFERROR(D18/C18,0)</f>
        <v>1193.8202247191</v>
      </c>
      <c r="F18" s="9" t="n">
        <v>1</v>
      </c>
      <c r="G18" s="9" t="n">
        <v>1</v>
      </c>
      <c r="H18" s="17"/>
      <c r="I18" s="17"/>
    </row>
    <row r="21" customFormat="false" ht="15" hidden="false" customHeight="false" outlineLevel="0" collapsed="false">
      <c r="B21" s="3" t="s">
        <v>24</v>
      </c>
    </row>
    <row r="22" customFormat="false" ht="30" hidden="false" customHeight="true" outlineLevel="0" collapsed="false">
      <c r="B22" s="4" t="s">
        <v>4</v>
      </c>
      <c r="C22" s="4" t="s">
        <v>25</v>
      </c>
      <c r="D22" s="4" t="s">
        <v>26</v>
      </c>
      <c r="E22" s="4" t="s">
        <v>27</v>
      </c>
      <c r="F22" s="4" t="s">
        <v>28</v>
      </c>
      <c r="G22" s="4" t="s">
        <v>29</v>
      </c>
      <c r="H22" s="4" t="s">
        <v>30</v>
      </c>
      <c r="I22" s="4" t="s">
        <v>31</v>
      </c>
    </row>
    <row r="23" customFormat="false" ht="15" hidden="false" customHeight="false" outlineLevel="0" collapsed="false">
      <c r="B23" s="18" t="s">
        <v>12</v>
      </c>
      <c r="C23" s="19" t="n">
        <v>168748</v>
      </c>
      <c r="D23" s="19" t="n">
        <v>37614</v>
      </c>
      <c r="E23" s="8" t="n">
        <f aca="false">C23+D23</f>
        <v>206362</v>
      </c>
      <c r="F23" s="19" t="n">
        <v>1</v>
      </c>
      <c r="G23" s="19" t="n">
        <v>44</v>
      </c>
      <c r="H23" s="20" t="n">
        <f aca="false">今期_案件残明細!$E$41</f>
        <v>0</v>
      </c>
      <c r="I23" s="20" t="n">
        <f aca="false">今期_案件残明細!$F$41</f>
        <v>0</v>
      </c>
    </row>
    <row r="24" customFormat="false" ht="15" hidden="false" customHeight="false" outlineLevel="0" collapsed="false">
      <c r="B24" s="18" t="s">
        <v>13</v>
      </c>
      <c r="C24" s="19" t="n">
        <v>110969</v>
      </c>
      <c r="D24" s="19" t="n">
        <v>42890</v>
      </c>
      <c r="E24" s="8" t="n">
        <f aca="false">C24+D24</f>
        <v>153859</v>
      </c>
      <c r="F24" s="19" t="n">
        <v>2</v>
      </c>
      <c r="G24" s="19" t="n">
        <v>57</v>
      </c>
      <c r="H24" s="20" t="n">
        <f aca="false">今期_案件残明細!$G$41</f>
        <v>14</v>
      </c>
      <c r="I24" s="20" t="n">
        <f aca="false">今期_案件残明細!$H$41</f>
        <v>14100</v>
      </c>
    </row>
    <row r="25" customFormat="false" ht="15" hidden="false" customHeight="false" outlineLevel="0" collapsed="false">
      <c r="B25" s="13" t="s">
        <v>32</v>
      </c>
      <c r="C25" s="16" t="n">
        <v>97200</v>
      </c>
      <c r="D25" s="16" t="n">
        <v>99921</v>
      </c>
      <c r="E25" s="14" t="n">
        <f aca="false">C25+D25</f>
        <v>197121</v>
      </c>
      <c r="F25" s="16" t="n">
        <v>2</v>
      </c>
      <c r="G25" s="16" t="n">
        <v>29</v>
      </c>
      <c r="H25" s="7" t="n">
        <f aca="false">今期_案件残明細!$K$41</f>
        <v>33</v>
      </c>
      <c r="I25" s="7" t="n">
        <f aca="false">今期_案件残明細!$L$41</f>
        <v>53500</v>
      </c>
    </row>
    <row r="26" customFormat="false" ht="15" hidden="false" customHeight="false" outlineLevel="0" collapsed="false">
      <c r="B26" s="13" t="s">
        <v>33</v>
      </c>
      <c r="C26" s="16" t="n">
        <v>0</v>
      </c>
      <c r="D26" s="16" t="n">
        <v>52072</v>
      </c>
      <c r="E26" s="14" t="n">
        <f aca="false">C26+D26</f>
        <v>52072</v>
      </c>
      <c r="F26" s="16" t="n">
        <v>0</v>
      </c>
      <c r="G26" s="16" t="n">
        <v>4</v>
      </c>
      <c r="H26" s="7" t="n">
        <f aca="false">今期_案件残明細!$M$41</f>
        <v>34</v>
      </c>
      <c r="I26" s="7" t="n">
        <f aca="false">今期_案件残明細!$N$41</f>
        <v>50600</v>
      </c>
    </row>
    <row r="27" customFormat="false" ht="15" hidden="false" customHeight="false" outlineLevel="0" collapsed="false">
      <c r="B27" s="21" t="s">
        <v>34</v>
      </c>
      <c r="C27" s="11" t="n">
        <f aca="false">SUM(C23:C26)</f>
        <v>376917</v>
      </c>
      <c r="D27" s="11" t="n">
        <f aca="false">SUM(D23:D26)</f>
        <v>232497</v>
      </c>
      <c r="E27" s="11" t="n">
        <f aca="false">SUM(E23:E26)</f>
        <v>609414</v>
      </c>
      <c r="F27" s="11" t="n">
        <f aca="false">SUM(F23:F26)</f>
        <v>5</v>
      </c>
      <c r="G27" s="11" t="n">
        <f aca="false">SUM(G23:G26)</f>
        <v>134</v>
      </c>
      <c r="H27" s="11" t="n">
        <f aca="false">SUM(H23:H26)</f>
        <v>81</v>
      </c>
      <c r="I27" s="11" t="n">
        <f aca="false">SUM(I23:I26)</f>
        <v>118200</v>
      </c>
    </row>
    <row r="29" customFormat="false" ht="15" hidden="false" customHeight="false" outlineLevel="0" collapsed="false">
      <c r="B29" s="2" t="s">
        <v>35</v>
      </c>
    </row>
    <row r="30" customFormat="false" ht="15" hidden="false" customHeight="false" outlineLevel="0" collapsed="false">
      <c r="B30" s="2" t="s">
        <v>36</v>
      </c>
    </row>
    <row r="31" customFormat="false" ht="15" hidden="false" customHeight="false" outlineLevel="0" collapsed="false">
      <c r="B31" s="2" t="s">
        <v>37</v>
      </c>
    </row>
    <row r="32" customFormat="false" ht="15" hidden="false" customHeight="false" outlineLevel="0" collapsed="false">
      <c r="B32" s="2" t="s">
        <v>38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P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16" min="3" style="0" width="10.5"/>
  </cols>
  <sheetData>
    <row r="2" customFormat="false" ht="17.35" hidden="false" customHeight="false" outlineLevel="0" collapsed="false">
      <c r="B2" s="1" t="s">
        <v>39</v>
      </c>
    </row>
    <row r="3" customFormat="false" ht="15" hidden="false" customHeight="false" outlineLevel="0" collapsed="false">
      <c r="B3" s="2" t="s">
        <v>40</v>
      </c>
    </row>
    <row r="4" customFormat="false" ht="15" hidden="false" customHeight="false" outlineLevel="0" collapsed="false">
      <c r="B4" s="2" t="s">
        <v>41</v>
      </c>
    </row>
    <row r="6" customFormat="false" ht="15" hidden="false" customHeight="false" outlineLevel="0" collapsed="false">
      <c r="B6" s="3" t="s">
        <v>42</v>
      </c>
      <c r="E6" s="2" t="s">
        <v>43</v>
      </c>
    </row>
    <row r="7" customFormat="false" ht="30" hidden="false" customHeight="true" outlineLevel="0" collapsed="false">
      <c r="B7" s="4" t="s">
        <v>44</v>
      </c>
      <c r="C7" s="4" t="s">
        <v>45</v>
      </c>
      <c r="D7" s="4" t="s">
        <v>46</v>
      </c>
      <c r="E7" s="5" t="s">
        <v>47</v>
      </c>
      <c r="F7" s="5" t="s">
        <v>48</v>
      </c>
      <c r="G7" s="5" t="s">
        <v>49</v>
      </c>
      <c r="H7" s="5" t="s">
        <v>50</v>
      </c>
      <c r="I7" s="15" t="s">
        <v>51</v>
      </c>
      <c r="J7" s="15" t="s">
        <v>52</v>
      </c>
      <c r="K7" s="15" t="s">
        <v>53</v>
      </c>
      <c r="L7" s="15" t="s">
        <v>54</v>
      </c>
      <c r="M7" s="15" t="s">
        <v>55</v>
      </c>
      <c r="N7" s="15" t="s">
        <v>56</v>
      </c>
      <c r="O7" s="4" t="s">
        <v>57</v>
      </c>
      <c r="P7" s="4" t="s">
        <v>58</v>
      </c>
    </row>
    <row r="8" customFormat="false" ht="15" hidden="false" customHeight="false" outlineLevel="0" collapsed="false">
      <c r="B8" s="13" t="s">
        <v>59</v>
      </c>
      <c r="C8" s="16" t="n">
        <v>1000</v>
      </c>
      <c r="D8" s="22" t="n">
        <v>0.7</v>
      </c>
      <c r="E8" s="16" t="n">
        <v>0</v>
      </c>
      <c r="F8" s="7" t="n">
        <f aca="false">ROUND(E8*$C8*$D8,0)</f>
        <v>0</v>
      </c>
      <c r="G8" s="16" t="n">
        <v>4</v>
      </c>
      <c r="H8" s="7" t="n">
        <f aca="false">ROUND(G8*$C8*$D8,0)</f>
        <v>2800</v>
      </c>
      <c r="I8" s="7" t="n">
        <f aca="false">E8+G8</f>
        <v>4</v>
      </c>
      <c r="J8" s="7" t="n">
        <f aca="false">F8+H8</f>
        <v>2800</v>
      </c>
      <c r="K8" s="16" t="n">
        <v>5</v>
      </c>
      <c r="L8" s="7" t="n">
        <f aca="false">ROUND(K8*$C8*$D8,0)</f>
        <v>3500</v>
      </c>
      <c r="M8" s="16" t="n">
        <v>3</v>
      </c>
      <c r="N8" s="7" t="n">
        <f aca="false">ROUND(M8*$C8*$D8,0)</f>
        <v>2100</v>
      </c>
      <c r="O8" s="7" t="n">
        <f aca="false">E8+G8+K8+M8</f>
        <v>12</v>
      </c>
      <c r="P8" s="7" t="n">
        <f aca="false">F8+H8+L8+N8</f>
        <v>8400</v>
      </c>
    </row>
    <row r="9" customFormat="false" ht="15" hidden="false" customHeight="false" outlineLevel="0" collapsed="false">
      <c r="B9" s="23" t="s">
        <v>60</v>
      </c>
      <c r="C9" s="24"/>
      <c r="D9" s="25"/>
      <c r="E9" s="24" t="n">
        <v>0</v>
      </c>
      <c r="F9" s="26" t="n">
        <f aca="false">ROUND(E9*$C9*$D9,0)</f>
        <v>0</v>
      </c>
      <c r="G9" s="24" t="n">
        <v>0</v>
      </c>
      <c r="H9" s="26" t="n">
        <f aca="false">ROUND(G9*$C9*$D9,0)</f>
        <v>0</v>
      </c>
      <c r="I9" s="26" t="n">
        <f aca="false">E9+G9</f>
        <v>0</v>
      </c>
      <c r="J9" s="26" t="n">
        <f aca="false">F9+H9</f>
        <v>0</v>
      </c>
      <c r="K9" s="24" t="n">
        <v>0</v>
      </c>
      <c r="L9" s="26" t="n">
        <f aca="false">ROUND(K9*$C9*$D9,0)</f>
        <v>0</v>
      </c>
      <c r="M9" s="24" t="n">
        <v>0</v>
      </c>
      <c r="N9" s="26" t="n">
        <f aca="false">ROUND(M9*$C9*$D9,0)</f>
        <v>0</v>
      </c>
      <c r="O9" s="26" t="n">
        <f aca="false">E9+G9+K9+M9</f>
        <v>0</v>
      </c>
      <c r="P9" s="26" t="n">
        <f aca="false">F9+H9+L9+N9</f>
        <v>0</v>
      </c>
    </row>
    <row r="10" customFormat="false" ht="15" hidden="false" customHeight="false" outlineLevel="0" collapsed="false">
      <c r="B10" s="13" t="s">
        <v>61</v>
      </c>
      <c r="C10" s="16" t="n">
        <v>3000</v>
      </c>
      <c r="D10" s="22" t="n">
        <v>0.8</v>
      </c>
      <c r="E10" s="16" t="n">
        <v>0</v>
      </c>
      <c r="F10" s="7" t="n">
        <f aca="false">ROUND(E10*$C10*$D10,0)</f>
        <v>0</v>
      </c>
      <c r="G10" s="16" t="n">
        <v>0</v>
      </c>
      <c r="H10" s="7" t="n">
        <f aca="false">ROUND(G10*$C10*$D10,0)</f>
        <v>0</v>
      </c>
      <c r="I10" s="7" t="n">
        <f aca="false">E10+G10</f>
        <v>0</v>
      </c>
      <c r="J10" s="7" t="n">
        <f aca="false">F10+H10</f>
        <v>0</v>
      </c>
      <c r="K10" s="16" t="n">
        <v>0</v>
      </c>
      <c r="L10" s="7" t="n">
        <f aca="false">ROUND(K10*$C10*$D10,0)</f>
        <v>0</v>
      </c>
      <c r="M10" s="16" t="n">
        <v>0</v>
      </c>
      <c r="N10" s="7" t="n">
        <f aca="false">ROUND(M10*$C10*$D10,0)</f>
        <v>0</v>
      </c>
      <c r="O10" s="7" t="n">
        <f aca="false">E10+G10+K10+M10</f>
        <v>0</v>
      </c>
      <c r="P10" s="7" t="n">
        <f aca="false">F10+H10+L10+N10</f>
        <v>0</v>
      </c>
    </row>
    <row r="11" customFormat="false" ht="15" hidden="false" customHeight="false" outlineLevel="0" collapsed="false">
      <c r="B11" s="23" t="s">
        <v>62</v>
      </c>
      <c r="C11" s="24" t="n">
        <v>4000</v>
      </c>
      <c r="D11" s="25" t="n">
        <v>0.7</v>
      </c>
      <c r="E11" s="24" t="n">
        <v>0</v>
      </c>
      <c r="F11" s="26" t="n">
        <f aca="false">ROUND(E11*$C11*$D11,0)</f>
        <v>0</v>
      </c>
      <c r="G11" s="24" t="n">
        <v>0</v>
      </c>
      <c r="H11" s="26" t="n">
        <f aca="false">ROUND(G11*$C11*$D11,0)</f>
        <v>0</v>
      </c>
      <c r="I11" s="26" t="n">
        <f aca="false">E11+G11</f>
        <v>0</v>
      </c>
      <c r="J11" s="26" t="n">
        <f aca="false">F11+H11</f>
        <v>0</v>
      </c>
      <c r="K11" s="24" t="n">
        <v>2</v>
      </c>
      <c r="L11" s="26" t="n">
        <f aca="false">ROUND(K11*$C11*$D11,0)</f>
        <v>5600</v>
      </c>
      <c r="M11" s="24" t="n">
        <v>1</v>
      </c>
      <c r="N11" s="26" t="n">
        <f aca="false">ROUND(M11*$C11*$D11,0)</f>
        <v>2800</v>
      </c>
      <c r="O11" s="26" t="n">
        <f aca="false">E11+G11+K11+M11</f>
        <v>3</v>
      </c>
      <c r="P11" s="26" t="n">
        <f aca="false">F11+H11+L11+N11</f>
        <v>8400</v>
      </c>
    </row>
    <row r="12" customFormat="false" ht="15" hidden="false" customHeight="false" outlineLevel="0" collapsed="false">
      <c r="B12" s="13" t="s">
        <v>63</v>
      </c>
      <c r="C12" s="16" t="n">
        <v>2000</v>
      </c>
      <c r="D12" s="22" t="n">
        <v>0.5</v>
      </c>
      <c r="E12" s="16" t="n">
        <v>3</v>
      </c>
      <c r="F12" s="7" t="n">
        <f aca="false">ROUND(E12*$C12*$D12,0)</f>
        <v>3000</v>
      </c>
      <c r="G12" s="16" t="n">
        <v>3</v>
      </c>
      <c r="H12" s="7" t="n">
        <f aca="false">ROUND(G12*$C12*$D12,0)</f>
        <v>3000</v>
      </c>
      <c r="I12" s="7" t="n">
        <f aca="false">E12+G12</f>
        <v>6</v>
      </c>
      <c r="J12" s="7" t="n">
        <f aca="false">F12+H12</f>
        <v>6000</v>
      </c>
      <c r="K12" s="16" t="n">
        <v>1</v>
      </c>
      <c r="L12" s="7" t="n">
        <f aca="false">ROUND(K12*$C12*$D12,0)</f>
        <v>1000</v>
      </c>
      <c r="M12" s="16" t="n">
        <v>2</v>
      </c>
      <c r="N12" s="7" t="n">
        <f aca="false">ROUND(M12*$C12*$D12,0)</f>
        <v>2000</v>
      </c>
      <c r="O12" s="7" t="n">
        <f aca="false">E12+G12+K12+M12</f>
        <v>9</v>
      </c>
      <c r="P12" s="7" t="n">
        <f aca="false">F12+H12+L12+N12</f>
        <v>9000</v>
      </c>
    </row>
    <row r="13" customFormat="false" ht="15" hidden="false" customHeight="false" outlineLevel="0" collapsed="false">
      <c r="B13" s="23" t="s">
        <v>64</v>
      </c>
      <c r="C13" s="24" t="n">
        <v>2000</v>
      </c>
      <c r="D13" s="25" t="n">
        <v>0.5</v>
      </c>
      <c r="E13" s="24" t="n">
        <v>1</v>
      </c>
      <c r="F13" s="26" t="n">
        <f aca="false">ROUND(E13*$C13*$D13,0)</f>
        <v>1000</v>
      </c>
      <c r="G13" s="24" t="n">
        <v>2</v>
      </c>
      <c r="H13" s="26" t="n">
        <f aca="false">ROUND(G13*$C13*$D13,0)</f>
        <v>2000</v>
      </c>
      <c r="I13" s="26" t="n">
        <f aca="false">E13+G13</f>
        <v>3</v>
      </c>
      <c r="J13" s="26" t="n">
        <f aca="false">F13+H13</f>
        <v>3000</v>
      </c>
      <c r="K13" s="24" t="n">
        <v>1</v>
      </c>
      <c r="L13" s="26" t="n">
        <f aca="false">ROUND(K13*$C13*$D13,0)</f>
        <v>1000</v>
      </c>
      <c r="M13" s="24" t="n">
        <v>3</v>
      </c>
      <c r="N13" s="26" t="n">
        <f aca="false">ROUND(M13*$C13*$D13,0)</f>
        <v>3000</v>
      </c>
      <c r="O13" s="26" t="n">
        <f aca="false">E13+G13+K13+M13</f>
        <v>7</v>
      </c>
      <c r="P13" s="26" t="n">
        <f aca="false">F13+H13+L13+N13</f>
        <v>7000</v>
      </c>
    </row>
    <row r="14" customFormat="false" ht="15" hidden="false" customHeight="false" outlineLevel="0" collapsed="false">
      <c r="B14" s="13" t="s">
        <v>65</v>
      </c>
      <c r="C14" s="16"/>
      <c r="D14" s="22"/>
      <c r="E14" s="16" t="n">
        <v>0</v>
      </c>
      <c r="F14" s="7" t="n">
        <f aca="false">ROUND(E14*$C14*$D14,0)</f>
        <v>0</v>
      </c>
      <c r="G14" s="16" t="n">
        <v>0</v>
      </c>
      <c r="H14" s="7" t="n">
        <f aca="false">ROUND(G14*$C14*$D14,0)</f>
        <v>0</v>
      </c>
      <c r="I14" s="7" t="n">
        <f aca="false">E14+G14</f>
        <v>0</v>
      </c>
      <c r="J14" s="7" t="n">
        <f aca="false">F14+H14</f>
        <v>0</v>
      </c>
      <c r="K14" s="16" t="n">
        <v>0</v>
      </c>
      <c r="L14" s="7" t="n">
        <f aca="false">ROUND(K14*$C14*$D14,0)</f>
        <v>0</v>
      </c>
      <c r="M14" s="16" t="n">
        <v>0</v>
      </c>
      <c r="N14" s="7" t="n">
        <f aca="false">ROUND(M14*$C14*$D14,0)</f>
        <v>0</v>
      </c>
      <c r="O14" s="7" t="n">
        <f aca="false">E14+G14+K14+M14</f>
        <v>0</v>
      </c>
      <c r="P14" s="7" t="n">
        <f aca="false">F14+H14+L14+N14</f>
        <v>0</v>
      </c>
    </row>
    <row r="15" customFormat="false" ht="15" hidden="false" customHeight="false" outlineLevel="0" collapsed="false">
      <c r="B15" s="21" t="s">
        <v>66</v>
      </c>
      <c r="C15" s="27"/>
      <c r="D15" s="27"/>
      <c r="E15" s="11" t="n">
        <f aca="false">SUM(E8:E14)</f>
        <v>4</v>
      </c>
      <c r="F15" s="11" t="n">
        <f aca="false">SUM(F8:F14)</f>
        <v>4000</v>
      </c>
      <c r="G15" s="11" t="n">
        <f aca="false">SUM(G8:G14)</f>
        <v>9</v>
      </c>
      <c r="H15" s="11" t="n">
        <f aca="false">SUM(H8:H14)</f>
        <v>7800</v>
      </c>
      <c r="I15" s="11" t="n">
        <f aca="false">SUM(I8:I14)</f>
        <v>13</v>
      </c>
      <c r="J15" s="11" t="n">
        <f aca="false">SUM(J8:J14)</f>
        <v>11800</v>
      </c>
      <c r="K15" s="11" t="n">
        <f aca="false">SUM(K8:K14)</f>
        <v>9</v>
      </c>
      <c r="L15" s="11" t="n">
        <f aca="false">SUM(L8:L14)</f>
        <v>11100</v>
      </c>
      <c r="M15" s="11" t="n">
        <f aca="false">SUM(M8:M14)</f>
        <v>9</v>
      </c>
      <c r="N15" s="11" t="n">
        <f aca="false">SUM(N8:N14)</f>
        <v>9900</v>
      </c>
      <c r="O15" s="11" t="n">
        <f aca="false">SUM(O8:O14)</f>
        <v>31</v>
      </c>
      <c r="P15" s="11" t="n">
        <f aca="false">SUM(P8:P14)</f>
        <v>32800</v>
      </c>
    </row>
    <row r="16" customFormat="false" ht="15" hidden="false" customHeight="false" outlineLevel="0" collapsed="false">
      <c r="B16" s="13" t="s">
        <v>67</v>
      </c>
      <c r="O16" s="16" t="n">
        <v>31</v>
      </c>
      <c r="P16" s="16" t="n">
        <v>32800</v>
      </c>
    </row>
    <row r="17" customFormat="false" ht="15" hidden="false" customHeight="false" outlineLevel="0" collapsed="false">
      <c r="B17" s="6" t="s">
        <v>68</v>
      </c>
      <c r="O17" s="14" t="n">
        <f aca="false">O15-O16</f>
        <v>0</v>
      </c>
      <c r="P17" s="14" t="n">
        <f aca="false">P15-P16</f>
        <v>0</v>
      </c>
    </row>
    <row r="19" customFormat="false" ht="15" hidden="false" customHeight="false" outlineLevel="0" collapsed="false">
      <c r="B19" s="3" t="s">
        <v>69</v>
      </c>
      <c r="E19" s="2" t="s">
        <v>70</v>
      </c>
    </row>
    <row r="20" customFormat="false" ht="30" hidden="false" customHeight="true" outlineLevel="0" collapsed="false">
      <c r="B20" s="4" t="s">
        <v>44</v>
      </c>
      <c r="C20" s="4" t="s">
        <v>45</v>
      </c>
      <c r="D20" s="4" t="s">
        <v>46</v>
      </c>
      <c r="E20" s="5" t="s">
        <v>47</v>
      </c>
      <c r="F20" s="5" t="s">
        <v>48</v>
      </c>
      <c r="G20" s="5" t="s">
        <v>49</v>
      </c>
      <c r="H20" s="5" t="s">
        <v>50</v>
      </c>
      <c r="I20" s="15" t="s">
        <v>51</v>
      </c>
      <c r="J20" s="15" t="s">
        <v>52</v>
      </c>
      <c r="K20" s="15" t="s">
        <v>53</v>
      </c>
      <c r="L20" s="15" t="s">
        <v>54</v>
      </c>
      <c r="M20" s="15" t="s">
        <v>55</v>
      </c>
      <c r="N20" s="15" t="s">
        <v>56</v>
      </c>
      <c r="O20" s="4" t="s">
        <v>57</v>
      </c>
      <c r="P20" s="4" t="s">
        <v>58</v>
      </c>
    </row>
    <row r="21" customFormat="false" ht="15" hidden="false" customHeight="false" outlineLevel="0" collapsed="false">
      <c r="B21" s="13" t="s">
        <v>59</v>
      </c>
      <c r="C21" s="16" t="n">
        <v>1000</v>
      </c>
      <c r="D21" s="22" t="n">
        <v>0.7</v>
      </c>
      <c r="E21" s="16" t="n">
        <v>0</v>
      </c>
      <c r="F21" s="7" t="n">
        <f aca="false">ROUND(E21*$C21*$D21,0)</f>
        <v>0</v>
      </c>
      <c r="G21" s="16" t="n">
        <v>3</v>
      </c>
      <c r="H21" s="7" t="n">
        <f aca="false">ROUND(G21*$C21*$D21,0)</f>
        <v>2100</v>
      </c>
      <c r="I21" s="7" t="n">
        <f aca="false">E21+G21</f>
        <v>3</v>
      </c>
      <c r="J21" s="7" t="n">
        <f aca="false">F21+H21</f>
        <v>2100</v>
      </c>
      <c r="K21" s="16" t="n">
        <v>0</v>
      </c>
      <c r="L21" s="7" t="n">
        <f aca="false">ROUND(K21*$C21*$D21,0)</f>
        <v>0</v>
      </c>
      <c r="M21" s="16" t="n">
        <v>0</v>
      </c>
      <c r="N21" s="7" t="n">
        <f aca="false">ROUND(M21*$C21*$D21,0)</f>
        <v>0</v>
      </c>
      <c r="O21" s="7" t="n">
        <f aca="false">E21+G21+K21+M21</f>
        <v>3</v>
      </c>
      <c r="P21" s="7" t="n">
        <f aca="false">F21+H21+L21+N21</f>
        <v>2100</v>
      </c>
    </row>
    <row r="22" customFormat="false" ht="15" hidden="false" customHeight="false" outlineLevel="0" collapsed="false">
      <c r="B22" s="23" t="s">
        <v>60</v>
      </c>
      <c r="C22" s="24"/>
      <c r="D22" s="25"/>
      <c r="E22" s="24" t="n">
        <v>0</v>
      </c>
      <c r="F22" s="26" t="n">
        <f aca="false">ROUND(E22*$C22*$D22,0)</f>
        <v>0</v>
      </c>
      <c r="G22" s="24" t="n">
        <v>0</v>
      </c>
      <c r="H22" s="26" t="n">
        <f aca="false">ROUND(G22*$C22*$D22,0)</f>
        <v>0</v>
      </c>
      <c r="I22" s="26" t="n">
        <f aca="false">E22+G22</f>
        <v>0</v>
      </c>
      <c r="J22" s="26" t="n">
        <f aca="false">F22+H22</f>
        <v>0</v>
      </c>
      <c r="K22" s="24" t="n">
        <v>0</v>
      </c>
      <c r="L22" s="26" t="n">
        <f aca="false">ROUND(K22*$C22*$D22,0)</f>
        <v>0</v>
      </c>
      <c r="M22" s="24" t="n">
        <v>0</v>
      </c>
      <c r="N22" s="26" t="n">
        <f aca="false">ROUND(M22*$C22*$D22,0)</f>
        <v>0</v>
      </c>
      <c r="O22" s="26" t="n">
        <f aca="false">E22+G22+K22+M22</f>
        <v>0</v>
      </c>
      <c r="P22" s="26" t="n">
        <f aca="false">F22+H22+L22+N22</f>
        <v>0</v>
      </c>
    </row>
    <row r="23" customFormat="false" ht="15" hidden="false" customHeight="false" outlineLevel="0" collapsed="false">
      <c r="B23" s="13" t="s">
        <v>61</v>
      </c>
      <c r="C23" s="16" t="n">
        <v>3000</v>
      </c>
      <c r="D23" s="22" t="n">
        <v>0.8</v>
      </c>
      <c r="E23" s="16" t="n">
        <v>0</v>
      </c>
      <c r="F23" s="7" t="n">
        <f aca="false">ROUND(E23*$C23*$D23,0)</f>
        <v>0</v>
      </c>
      <c r="G23" s="16" t="n">
        <v>0</v>
      </c>
      <c r="H23" s="7" t="n">
        <f aca="false">ROUND(G23*$C23*$D23,0)</f>
        <v>0</v>
      </c>
      <c r="I23" s="7" t="n">
        <f aca="false">E23+G23</f>
        <v>0</v>
      </c>
      <c r="J23" s="7" t="n">
        <f aca="false">F23+H23</f>
        <v>0</v>
      </c>
      <c r="K23" s="16" t="n">
        <v>4</v>
      </c>
      <c r="L23" s="7" t="n">
        <f aca="false">ROUND(K23*$C23*$D23,0)</f>
        <v>9600</v>
      </c>
      <c r="M23" s="16" t="n">
        <v>1</v>
      </c>
      <c r="N23" s="7" t="n">
        <f aca="false">ROUND(M23*$C23*$D23,0)</f>
        <v>2400</v>
      </c>
      <c r="O23" s="7" t="n">
        <f aca="false">E23+G23+K23+M23</f>
        <v>5</v>
      </c>
      <c r="P23" s="7" t="n">
        <f aca="false">F23+H23+L23+N23</f>
        <v>12000</v>
      </c>
    </row>
    <row r="24" customFormat="false" ht="15" hidden="false" customHeight="false" outlineLevel="0" collapsed="false">
      <c r="B24" s="23" t="s">
        <v>62</v>
      </c>
      <c r="C24" s="24" t="n">
        <v>4000</v>
      </c>
      <c r="D24" s="25" t="n">
        <v>0.7</v>
      </c>
      <c r="E24" s="24" t="n">
        <v>0</v>
      </c>
      <c r="F24" s="26" t="n">
        <f aca="false">ROUND(E24*$C24*$D24,0)</f>
        <v>0</v>
      </c>
      <c r="G24" s="24" t="n">
        <v>0</v>
      </c>
      <c r="H24" s="26" t="n">
        <f aca="false">ROUND(G24*$C24*$D24,0)</f>
        <v>0</v>
      </c>
      <c r="I24" s="26" t="n">
        <f aca="false">E24+G24</f>
        <v>0</v>
      </c>
      <c r="J24" s="26" t="n">
        <f aca="false">F24+H24</f>
        <v>0</v>
      </c>
      <c r="K24" s="24" t="n">
        <v>3</v>
      </c>
      <c r="L24" s="26" t="n">
        <f aca="false">ROUND(K24*$C24*$D24,0)</f>
        <v>8400</v>
      </c>
      <c r="M24" s="24" t="n">
        <v>0</v>
      </c>
      <c r="N24" s="26" t="n">
        <f aca="false">ROUND(M24*$C24*$D24,0)</f>
        <v>0</v>
      </c>
      <c r="O24" s="26" t="n">
        <f aca="false">E24+G24+K24+M24</f>
        <v>3</v>
      </c>
      <c r="P24" s="26" t="n">
        <f aca="false">F24+H24+L24+N24</f>
        <v>8400</v>
      </c>
    </row>
    <row r="25" customFormat="false" ht="15" hidden="false" customHeight="false" outlineLevel="0" collapsed="false">
      <c r="B25" s="13" t="s">
        <v>63</v>
      </c>
      <c r="C25" s="16" t="n">
        <v>2000</v>
      </c>
      <c r="D25" s="22" t="n">
        <v>0.5</v>
      </c>
      <c r="E25" s="16" t="n">
        <v>0</v>
      </c>
      <c r="F25" s="7" t="n">
        <f aca="false">ROUND(E25*$C25*$D25,0)</f>
        <v>0</v>
      </c>
      <c r="G25" s="16" t="n">
        <v>2</v>
      </c>
      <c r="H25" s="7" t="n">
        <f aca="false">ROUND(G25*$C25*$D25,0)</f>
        <v>2000</v>
      </c>
      <c r="I25" s="7" t="n">
        <f aca="false">E25+G25</f>
        <v>2</v>
      </c>
      <c r="J25" s="7" t="n">
        <f aca="false">F25+H25</f>
        <v>2000</v>
      </c>
      <c r="K25" s="16" t="n">
        <v>2</v>
      </c>
      <c r="L25" s="7" t="n">
        <f aca="false">ROUND(K25*$C25*$D25,0)</f>
        <v>2000</v>
      </c>
      <c r="M25" s="16" t="n">
        <v>0</v>
      </c>
      <c r="N25" s="7" t="n">
        <f aca="false">ROUND(M25*$C25*$D25,0)</f>
        <v>0</v>
      </c>
      <c r="O25" s="7" t="n">
        <f aca="false">E25+G25+K25+M25</f>
        <v>4</v>
      </c>
      <c r="P25" s="7" t="n">
        <f aca="false">F25+H25+L25+N25</f>
        <v>4000</v>
      </c>
    </row>
    <row r="26" customFormat="false" ht="15" hidden="false" customHeight="false" outlineLevel="0" collapsed="false">
      <c r="B26" s="23" t="s">
        <v>64</v>
      </c>
      <c r="C26" s="24" t="n">
        <v>2000</v>
      </c>
      <c r="D26" s="25" t="n">
        <v>0.5</v>
      </c>
      <c r="E26" s="24" t="n">
        <v>1</v>
      </c>
      <c r="F26" s="26" t="n">
        <f aca="false">ROUND(E26*$C26*$D26,0)</f>
        <v>1000</v>
      </c>
      <c r="G26" s="24" t="n">
        <v>0</v>
      </c>
      <c r="H26" s="26" t="n">
        <f aca="false">ROUND(G26*$C26*$D26,0)</f>
        <v>0</v>
      </c>
      <c r="I26" s="26" t="n">
        <f aca="false">E26+G26</f>
        <v>1</v>
      </c>
      <c r="J26" s="26" t="n">
        <f aca="false">F26+H26</f>
        <v>1000</v>
      </c>
      <c r="K26" s="24" t="n">
        <v>0</v>
      </c>
      <c r="L26" s="26" t="n">
        <f aca="false">ROUND(K26*$C26*$D26,0)</f>
        <v>0</v>
      </c>
      <c r="M26" s="24" t="n">
        <v>1</v>
      </c>
      <c r="N26" s="26" t="n">
        <f aca="false">ROUND(M26*$C26*$D26,0)</f>
        <v>1000</v>
      </c>
      <c r="O26" s="26" t="n">
        <f aca="false">E26+G26+K26+M26</f>
        <v>2</v>
      </c>
      <c r="P26" s="26" t="n">
        <f aca="false">F26+H26+L26+N26</f>
        <v>2000</v>
      </c>
    </row>
    <row r="27" customFormat="false" ht="15" hidden="false" customHeight="false" outlineLevel="0" collapsed="false">
      <c r="B27" s="13" t="s">
        <v>65</v>
      </c>
      <c r="C27" s="16"/>
      <c r="D27" s="22"/>
      <c r="E27" s="16" t="n">
        <v>0</v>
      </c>
      <c r="F27" s="7" t="n">
        <f aca="false">ROUND(E27*$C27*$D27,0)</f>
        <v>0</v>
      </c>
      <c r="G27" s="16" t="n">
        <v>0</v>
      </c>
      <c r="H27" s="7" t="n">
        <f aca="false">ROUND(G27*$C27*$D27,0)</f>
        <v>0</v>
      </c>
      <c r="I27" s="7" t="n">
        <f aca="false">E27+G27</f>
        <v>0</v>
      </c>
      <c r="J27" s="7" t="n">
        <f aca="false">F27+H27</f>
        <v>0</v>
      </c>
      <c r="K27" s="16" t="n">
        <v>1</v>
      </c>
      <c r="L27" s="7" t="n">
        <f aca="false">ROUND(K27*$C27*$D27,0)</f>
        <v>0</v>
      </c>
      <c r="M27" s="16" t="n">
        <v>0</v>
      </c>
      <c r="N27" s="7" t="n">
        <f aca="false">ROUND(M27*$C27*$D27,0)</f>
        <v>0</v>
      </c>
      <c r="O27" s="7" t="n">
        <f aca="false">E27+G27+K27+M27</f>
        <v>1</v>
      </c>
      <c r="P27" s="7" t="n">
        <f aca="false">F27+H27+L27+N27</f>
        <v>0</v>
      </c>
    </row>
    <row r="28" customFormat="false" ht="15" hidden="false" customHeight="false" outlineLevel="0" collapsed="false">
      <c r="B28" s="21" t="s">
        <v>66</v>
      </c>
      <c r="C28" s="27"/>
      <c r="D28" s="27"/>
      <c r="E28" s="11" t="n">
        <f aca="false">SUM(E21:E27)</f>
        <v>1</v>
      </c>
      <c r="F28" s="11" t="n">
        <f aca="false">SUM(F21:F27)</f>
        <v>1000</v>
      </c>
      <c r="G28" s="11" t="n">
        <f aca="false">SUM(G21:G27)</f>
        <v>5</v>
      </c>
      <c r="H28" s="11" t="n">
        <f aca="false">SUM(H21:H27)</f>
        <v>4100</v>
      </c>
      <c r="I28" s="11" t="n">
        <f aca="false">SUM(I21:I27)</f>
        <v>6</v>
      </c>
      <c r="J28" s="11" t="n">
        <f aca="false">SUM(J21:J27)</f>
        <v>5100</v>
      </c>
      <c r="K28" s="11" t="n">
        <f aca="false">SUM(K21:K27)</f>
        <v>10</v>
      </c>
      <c r="L28" s="11" t="n">
        <f aca="false">SUM(L21:L27)</f>
        <v>20000</v>
      </c>
      <c r="M28" s="11" t="n">
        <f aca="false">SUM(M21:M27)</f>
        <v>2</v>
      </c>
      <c r="N28" s="11" t="n">
        <f aca="false">SUM(N21:N27)</f>
        <v>3400</v>
      </c>
      <c r="O28" s="11" t="n">
        <f aca="false">SUM(O21:O27)</f>
        <v>18</v>
      </c>
      <c r="P28" s="11" t="n">
        <f aca="false">SUM(P21:P27)</f>
        <v>28500</v>
      </c>
    </row>
    <row r="29" customFormat="false" ht="15" hidden="false" customHeight="false" outlineLevel="0" collapsed="false">
      <c r="B29" s="13" t="s">
        <v>67</v>
      </c>
      <c r="O29" s="16" t="n">
        <v>18</v>
      </c>
      <c r="P29" s="16" t="n">
        <v>28500</v>
      </c>
    </row>
    <row r="30" customFormat="false" ht="15" hidden="false" customHeight="false" outlineLevel="0" collapsed="false">
      <c r="B30" s="6" t="s">
        <v>68</v>
      </c>
      <c r="O30" s="14" t="n">
        <f aca="false">O28-O29</f>
        <v>0</v>
      </c>
      <c r="P30" s="14" t="n">
        <f aca="false">P28-P29</f>
        <v>0</v>
      </c>
    </row>
    <row r="32" customFormat="false" ht="15" hidden="false" customHeight="false" outlineLevel="0" collapsed="false">
      <c r="B32" s="3" t="s">
        <v>71</v>
      </c>
      <c r="E32" s="2" t="s">
        <v>72</v>
      </c>
    </row>
    <row r="33" customFormat="false" ht="30" hidden="false" customHeight="true" outlineLevel="0" collapsed="false">
      <c r="B33" s="4" t="s">
        <v>44</v>
      </c>
      <c r="C33" s="4" t="s">
        <v>45</v>
      </c>
      <c r="D33" s="4" t="s">
        <v>46</v>
      </c>
      <c r="E33" s="5" t="s">
        <v>47</v>
      </c>
      <c r="F33" s="5" t="s">
        <v>48</v>
      </c>
      <c r="G33" s="5" t="s">
        <v>49</v>
      </c>
      <c r="H33" s="5" t="s">
        <v>50</v>
      </c>
      <c r="I33" s="15" t="s">
        <v>51</v>
      </c>
      <c r="J33" s="15" t="s">
        <v>52</v>
      </c>
      <c r="K33" s="15" t="s">
        <v>53</v>
      </c>
      <c r="L33" s="15" t="s">
        <v>54</v>
      </c>
      <c r="M33" s="15" t="s">
        <v>55</v>
      </c>
      <c r="N33" s="15" t="s">
        <v>56</v>
      </c>
      <c r="O33" s="4" t="s">
        <v>57</v>
      </c>
      <c r="P33" s="4" t="s">
        <v>58</v>
      </c>
    </row>
    <row r="34" customFormat="false" ht="15" hidden="false" customHeight="false" outlineLevel="0" collapsed="false">
      <c r="B34" s="13" t="s">
        <v>59</v>
      </c>
      <c r="C34" s="16" t="n">
        <v>1000</v>
      </c>
      <c r="D34" s="22" t="n">
        <v>0.7</v>
      </c>
      <c r="E34" s="16" t="n">
        <v>0</v>
      </c>
      <c r="F34" s="7" t="n">
        <f aca="false">ROUND(E34*$C34*$D34,0)</f>
        <v>0</v>
      </c>
      <c r="G34" s="16" t="n">
        <v>3</v>
      </c>
      <c r="H34" s="7" t="n">
        <f aca="false">ROUND(G34*$C34*$D34,0)</f>
        <v>2100</v>
      </c>
      <c r="I34" s="7" t="n">
        <f aca="false">E34+G34</f>
        <v>3</v>
      </c>
      <c r="J34" s="7" t="n">
        <f aca="false">F34+H34</f>
        <v>2100</v>
      </c>
      <c r="K34" s="16" t="n">
        <v>5</v>
      </c>
      <c r="L34" s="7" t="n">
        <f aca="false">ROUND(K34*$C34*$D34,0)</f>
        <v>3500</v>
      </c>
      <c r="M34" s="16" t="n">
        <v>6</v>
      </c>
      <c r="N34" s="7" t="n">
        <f aca="false">ROUND(M34*$C34*$D34,0)</f>
        <v>4200</v>
      </c>
      <c r="O34" s="7" t="n">
        <f aca="false">E34+G34+K34+M34</f>
        <v>14</v>
      </c>
      <c r="P34" s="7" t="n">
        <f aca="false">F34+H34+L34+N34</f>
        <v>9800</v>
      </c>
    </row>
    <row r="35" customFormat="false" ht="15" hidden="false" customHeight="false" outlineLevel="0" collapsed="false">
      <c r="B35" s="23" t="s">
        <v>60</v>
      </c>
      <c r="C35" s="24"/>
      <c r="D35" s="25"/>
      <c r="E35" s="24" t="n">
        <v>0</v>
      </c>
      <c r="F35" s="26" t="n">
        <f aca="false">ROUND(E35*$C35*$D35,0)</f>
        <v>0</v>
      </c>
      <c r="G35" s="24" t="n">
        <v>0</v>
      </c>
      <c r="H35" s="26" t="n">
        <f aca="false">ROUND(G35*$C35*$D35,0)</f>
        <v>0</v>
      </c>
      <c r="I35" s="26" t="n">
        <f aca="false">E35+G35</f>
        <v>0</v>
      </c>
      <c r="J35" s="26" t="n">
        <f aca="false">F35+H35</f>
        <v>0</v>
      </c>
      <c r="K35" s="24" t="n">
        <v>0</v>
      </c>
      <c r="L35" s="26" t="n">
        <f aca="false">ROUND(K35*$C35*$D35,0)</f>
        <v>0</v>
      </c>
      <c r="M35" s="24" t="n">
        <v>0</v>
      </c>
      <c r="N35" s="26" t="n">
        <f aca="false">ROUND(M35*$C35*$D35,0)</f>
        <v>0</v>
      </c>
      <c r="O35" s="26" t="n">
        <f aca="false">E35+G35+K35+M35</f>
        <v>0</v>
      </c>
      <c r="P35" s="26" t="n">
        <f aca="false">F35+H35+L35+N35</f>
        <v>0</v>
      </c>
    </row>
    <row r="36" customFormat="false" ht="15" hidden="false" customHeight="false" outlineLevel="0" collapsed="false">
      <c r="B36" s="13" t="s">
        <v>61</v>
      </c>
      <c r="C36" s="16" t="n">
        <v>3000</v>
      </c>
      <c r="D36" s="22" t="n">
        <v>0.8</v>
      </c>
      <c r="E36" s="16" t="n">
        <v>0</v>
      </c>
      <c r="F36" s="7" t="n">
        <f aca="false">ROUND(E36*$C36*$D36,0)</f>
        <v>0</v>
      </c>
      <c r="G36" s="16" t="n">
        <v>0</v>
      </c>
      <c r="H36" s="7" t="n">
        <f aca="false">ROUND(G36*$C36*$D36,0)</f>
        <v>0</v>
      </c>
      <c r="I36" s="7" t="n">
        <f aca="false">E36+G36</f>
        <v>0</v>
      </c>
      <c r="J36" s="7" t="n">
        <f aca="false">F36+H36</f>
        <v>0</v>
      </c>
      <c r="K36" s="16" t="n">
        <v>8</v>
      </c>
      <c r="L36" s="7" t="n">
        <f aca="false">ROUND(K36*$C36*$D36,0)</f>
        <v>19200</v>
      </c>
      <c r="M36" s="16" t="n">
        <v>8</v>
      </c>
      <c r="N36" s="7" t="n">
        <f aca="false">ROUND(M36*$C36*$D36,0)</f>
        <v>19200</v>
      </c>
      <c r="O36" s="7" t="n">
        <f aca="false">E36+G36+K36+M36</f>
        <v>16</v>
      </c>
      <c r="P36" s="7" t="n">
        <f aca="false">F36+H36+L36+N36</f>
        <v>38400</v>
      </c>
    </row>
    <row r="37" customFormat="false" ht="15" hidden="false" customHeight="false" outlineLevel="0" collapsed="false">
      <c r="B37" s="23" t="s">
        <v>62</v>
      </c>
      <c r="C37" s="24" t="n">
        <v>4000</v>
      </c>
      <c r="D37" s="25" t="n">
        <v>0.7</v>
      </c>
      <c r="E37" s="24" t="n">
        <v>0</v>
      </c>
      <c r="F37" s="26" t="n">
        <f aca="false">ROUND(E37*$C37*$D37,0)</f>
        <v>0</v>
      </c>
      <c r="G37" s="24" t="n">
        <v>0</v>
      </c>
      <c r="H37" s="26" t="n">
        <f aca="false">ROUND(G37*$C37*$D37,0)</f>
        <v>0</v>
      </c>
      <c r="I37" s="26" t="n">
        <f aca="false">E37+G37</f>
        <v>0</v>
      </c>
      <c r="J37" s="26" t="n">
        <f aca="false">F37+H37</f>
        <v>0</v>
      </c>
      <c r="K37" s="24" t="n">
        <v>6</v>
      </c>
      <c r="L37" s="26" t="n">
        <f aca="false">ROUND(K37*$C37*$D37,0)</f>
        <v>16800</v>
      </c>
      <c r="M37" s="24" t="n">
        <v>4</v>
      </c>
      <c r="N37" s="26" t="n">
        <f aca="false">ROUND(M37*$C37*$D37,0)</f>
        <v>11200</v>
      </c>
      <c r="O37" s="26" t="n">
        <f aca="false">E37+G37+K37+M37</f>
        <v>10</v>
      </c>
      <c r="P37" s="26" t="n">
        <f aca="false">F37+H37+L37+N37</f>
        <v>28000</v>
      </c>
    </row>
    <row r="38" customFormat="false" ht="15" hidden="false" customHeight="false" outlineLevel="0" collapsed="false">
      <c r="B38" s="13" t="s">
        <v>63</v>
      </c>
      <c r="C38" s="16" t="n">
        <v>2000</v>
      </c>
      <c r="D38" s="22" t="n">
        <v>0.5</v>
      </c>
      <c r="E38" s="16" t="n">
        <v>0</v>
      </c>
      <c r="F38" s="7" t="n">
        <f aca="false">ROUND(E38*$C38*$D38,0)</f>
        <v>0</v>
      </c>
      <c r="G38" s="16" t="n">
        <v>2</v>
      </c>
      <c r="H38" s="7" t="n">
        <f aca="false">ROUND(G38*$C38*$D38,0)</f>
        <v>2000</v>
      </c>
      <c r="I38" s="7" t="n">
        <f aca="false">E38+G38</f>
        <v>2</v>
      </c>
      <c r="J38" s="7" t="n">
        <f aca="false">F38+H38</f>
        <v>2000</v>
      </c>
      <c r="K38" s="16" t="n">
        <v>5</v>
      </c>
      <c r="L38" s="7" t="n">
        <f aca="false">ROUND(K38*$C38*$D38,0)</f>
        <v>5000</v>
      </c>
      <c r="M38" s="16" t="n">
        <v>4</v>
      </c>
      <c r="N38" s="7" t="n">
        <f aca="false">ROUND(M38*$C38*$D38,0)</f>
        <v>4000</v>
      </c>
      <c r="O38" s="7" t="n">
        <f aca="false">E38+G38+K38+M38</f>
        <v>11</v>
      </c>
      <c r="P38" s="7" t="n">
        <f aca="false">F38+H38+L38+N38</f>
        <v>11000</v>
      </c>
    </row>
    <row r="39" customFormat="false" ht="15" hidden="false" customHeight="false" outlineLevel="0" collapsed="false">
      <c r="B39" s="23" t="s">
        <v>64</v>
      </c>
      <c r="C39" s="24" t="n">
        <v>2000</v>
      </c>
      <c r="D39" s="25" t="n">
        <v>0.5</v>
      </c>
      <c r="E39" s="24" t="n">
        <v>0</v>
      </c>
      <c r="F39" s="26" t="n">
        <f aca="false">ROUND(E39*$C39*$D39,0)</f>
        <v>0</v>
      </c>
      <c r="G39" s="24" t="n">
        <v>7</v>
      </c>
      <c r="H39" s="26" t="n">
        <f aca="false">ROUND(G39*$C39*$D39,0)</f>
        <v>7000</v>
      </c>
      <c r="I39" s="26" t="n">
        <f aca="false">E39+G39</f>
        <v>7</v>
      </c>
      <c r="J39" s="26" t="n">
        <f aca="false">F39+H39</f>
        <v>7000</v>
      </c>
      <c r="K39" s="24" t="n">
        <v>9</v>
      </c>
      <c r="L39" s="26" t="n">
        <f aca="false">ROUND(K39*$C39*$D39,0)</f>
        <v>9000</v>
      </c>
      <c r="M39" s="24" t="n">
        <v>12</v>
      </c>
      <c r="N39" s="26" t="n">
        <f aca="false">ROUND(M39*$C39*$D39,0)</f>
        <v>12000</v>
      </c>
      <c r="O39" s="26" t="n">
        <f aca="false">E39+G39+K39+M39</f>
        <v>28</v>
      </c>
      <c r="P39" s="26" t="n">
        <f aca="false">F39+H39+L39+N39</f>
        <v>28000</v>
      </c>
    </row>
    <row r="40" customFormat="false" ht="15" hidden="false" customHeight="false" outlineLevel="0" collapsed="false">
      <c r="B40" s="13" t="s">
        <v>65</v>
      </c>
      <c r="C40" s="16" t="n">
        <v>3000</v>
      </c>
      <c r="D40" s="22" t="n">
        <v>0.5</v>
      </c>
      <c r="E40" s="16" t="n">
        <v>0</v>
      </c>
      <c r="F40" s="7" t="n">
        <f aca="false">ROUND(E40*$C40*$D40,0)</f>
        <v>0</v>
      </c>
      <c r="G40" s="16" t="n">
        <v>2</v>
      </c>
      <c r="H40" s="7" t="n">
        <f aca="false">ROUND(G40*$C40*$D40,0)</f>
        <v>3000</v>
      </c>
      <c r="I40" s="7" t="n">
        <f aca="false">E40+G40</f>
        <v>2</v>
      </c>
      <c r="J40" s="7" t="n">
        <f aca="false">F40+H40</f>
        <v>3000</v>
      </c>
      <c r="K40" s="16" t="n">
        <v>0</v>
      </c>
      <c r="L40" s="7" t="n">
        <f aca="false">ROUND(K40*$C40*$D40,0)</f>
        <v>0</v>
      </c>
      <c r="M40" s="16" t="n">
        <v>0</v>
      </c>
      <c r="N40" s="7" t="n">
        <f aca="false">ROUND(M40*$C40*$D40,0)</f>
        <v>0</v>
      </c>
      <c r="O40" s="7" t="n">
        <f aca="false">E40+G40+K40+M40</f>
        <v>2</v>
      </c>
      <c r="P40" s="7" t="n">
        <f aca="false">F40+H40+L40+N40</f>
        <v>3000</v>
      </c>
    </row>
    <row r="41" customFormat="false" ht="15" hidden="false" customHeight="false" outlineLevel="0" collapsed="false">
      <c r="B41" s="21" t="s">
        <v>66</v>
      </c>
      <c r="C41" s="27"/>
      <c r="D41" s="27"/>
      <c r="E41" s="11" t="n">
        <f aca="false">SUM(E34:E40)</f>
        <v>0</v>
      </c>
      <c r="F41" s="11" t="n">
        <f aca="false">SUM(F34:F40)</f>
        <v>0</v>
      </c>
      <c r="G41" s="11" t="n">
        <f aca="false">SUM(G34:G40)</f>
        <v>14</v>
      </c>
      <c r="H41" s="11" t="n">
        <f aca="false">SUM(H34:H40)</f>
        <v>14100</v>
      </c>
      <c r="I41" s="11" t="n">
        <f aca="false">SUM(I34:I40)</f>
        <v>14</v>
      </c>
      <c r="J41" s="11" t="n">
        <f aca="false">SUM(J34:J40)</f>
        <v>14100</v>
      </c>
      <c r="K41" s="11" t="n">
        <f aca="false">SUM(K34:K40)</f>
        <v>33</v>
      </c>
      <c r="L41" s="11" t="n">
        <f aca="false">SUM(L34:L40)</f>
        <v>53500</v>
      </c>
      <c r="M41" s="11" t="n">
        <f aca="false">SUM(M34:M40)</f>
        <v>34</v>
      </c>
      <c r="N41" s="11" t="n">
        <f aca="false">SUM(N34:N40)</f>
        <v>50600</v>
      </c>
      <c r="O41" s="11" t="n">
        <f aca="false">SUM(O34:O40)</f>
        <v>81</v>
      </c>
      <c r="P41" s="11" t="n">
        <f aca="false">SUM(P34:P40)</f>
        <v>118200</v>
      </c>
    </row>
    <row r="42" customFormat="false" ht="15" hidden="false" customHeight="false" outlineLevel="0" collapsed="false">
      <c r="B42" s="13" t="s">
        <v>67</v>
      </c>
      <c r="O42" s="16" t="n">
        <v>81</v>
      </c>
      <c r="P42" s="16" t="n">
        <v>118200</v>
      </c>
    </row>
    <row r="43" customFormat="false" ht="15" hidden="false" customHeight="false" outlineLevel="0" collapsed="false">
      <c r="B43" s="6" t="s">
        <v>68</v>
      </c>
      <c r="O43" s="14" t="n">
        <f aca="false">O41-O42</f>
        <v>0</v>
      </c>
      <c r="P43" s="14" t="n">
        <f aca="false">P41-P42</f>
        <v>0</v>
      </c>
    </row>
    <row r="45" customFormat="false" ht="15" hidden="false" customHeight="false" outlineLevel="0" collapsed="false">
      <c r="B45" s="2" t="s">
        <v>73</v>
      </c>
    </row>
    <row r="46" customFormat="false" ht="15" hidden="false" customHeight="false" outlineLevel="0" collapsed="false">
      <c r="B46" s="2" t="s">
        <v>74</v>
      </c>
    </row>
    <row r="47" customFormat="false" ht="15" hidden="false" customHeight="false" outlineLevel="0" collapsed="false">
      <c r="B47" s="2" t="s">
        <v>75</v>
      </c>
    </row>
    <row r="48" customFormat="false" ht="15" hidden="false" customHeight="false" outlineLevel="0" collapsed="false">
      <c r="B48" s="2" t="s">
        <v>76</v>
      </c>
    </row>
    <row r="49" customFormat="false" ht="15" hidden="false" customHeight="false" outlineLevel="0" collapsed="false">
      <c r="B49" s="2" t="s">
        <v>77</v>
      </c>
    </row>
    <row r="50" customFormat="false" ht="15" hidden="false" customHeight="false" outlineLevel="0" collapsed="false">
      <c r="B50" s="2" t="s">
        <v>78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11" min="3" style="0" width="13"/>
  </cols>
  <sheetData>
    <row r="2" customFormat="false" ht="17.35" hidden="false" customHeight="false" outlineLevel="0" collapsed="false">
      <c r="B2" s="1" t="s">
        <v>79</v>
      </c>
    </row>
    <row r="3" customFormat="false" ht="15" hidden="false" customHeight="false" outlineLevel="0" collapsed="false">
      <c r="B3" s="2" t="s">
        <v>80</v>
      </c>
    </row>
    <row r="4" customFormat="false" ht="15" hidden="false" customHeight="false" outlineLevel="0" collapsed="false">
      <c r="B4" s="2" t="s">
        <v>41</v>
      </c>
    </row>
    <row r="5" customFormat="false" ht="30" hidden="false" customHeight="true" outlineLevel="0" collapsed="false">
      <c r="B5" s="4" t="s">
        <v>44</v>
      </c>
      <c r="C5" s="5" t="s">
        <v>47</v>
      </c>
      <c r="D5" s="5" t="s">
        <v>48</v>
      </c>
      <c r="E5" s="5" t="s">
        <v>49</v>
      </c>
      <c r="F5" s="5" t="s">
        <v>50</v>
      </c>
      <c r="G5" s="15" t="s">
        <v>51</v>
      </c>
      <c r="H5" s="15" t="s">
        <v>52</v>
      </c>
      <c r="I5" s="4" t="s">
        <v>57</v>
      </c>
      <c r="J5" s="4" t="s">
        <v>58</v>
      </c>
      <c r="K5" s="4" t="s">
        <v>11</v>
      </c>
    </row>
    <row r="6" customFormat="false" ht="15" hidden="false" customHeight="false" outlineLevel="0" collapsed="false">
      <c r="B6" s="13" t="s">
        <v>59</v>
      </c>
      <c r="C6" s="16" t="n">
        <v>182</v>
      </c>
      <c r="D6" s="16" t="n">
        <v>121100</v>
      </c>
      <c r="E6" s="16" t="n">
        <v>102</v>
      </c>
      <c r="F6" s="16" t="n">
        <v>70000</v>
      </c>
      <c r="G6" s="7" t="n">
        <f aca="false">C6+E6</f>
        <v>284</v>
      </c>
      <c r="H6" s="7" t="n">
        <f aca="false">D6+F6</f>
        <v>191100</v>
      </c>
      <c r="I6" s="16" t="n">
        <v>416</v>
      </c>
      <c r="J6" s="16" t="n">
        <v>269600</v>
      </c>
      <c r="K6" s="9" t="n">
        <f aca="false">IFERROR(H6/J6,0)</f>
        <v>0.708827893175074</v>
      </c>
    </row>
    <row r="7" customFormat="false" ht="15" hidden="false" customHeight="false" outlineLevel="0" collapsed="false">
      <c r="B7" s="23" t="s">
        <v>60</v>
      </c>
      <c r="C7" s="24" t="n">
        <v>35</v>
      </c>
      <c r="D7" s="24" t="n">
        <v>25400</v>
      </c>
      <c r="E7" s="24" t="n">
        <v>18</v>
      </c>
      <c r="F7" s="24" t="n">
        <v>11000</v>
      </c>
      <c r="G7" s="26" t="n">
        <f aca="false">C7+E7</f>
        <v>53</v>
      </c>
      <c r="H7" s="26" t="n">
        <f aca="false">D7+F7</f>
        <v>36400</v>
      </c>
      <c r="I7" s="24" t="n">
        <v>70</v>
      </c>
      <c r="J7" s="24" t="n">
        <v>56000</v>
      </c>
      <c r="K7" s="28" t="n">
        <f aca="false">IFERROR(H7/J7,0)</f>
        <v>0.65</v>
      </c>
    </row>
    <row r="8" customFormat="false" ht="15" hidden="false" customHeight="false" outlineLevel="0" collapsed="false">
      <c r="B8" s="13" t="s">
        <v>81</v>
      </c>
      <c r="C8" s="16" t="n">
        <v>14</v>
      </c>
      <c r="D8" s="16" t="n">
        <v>33500</v>
      </c>
      <c r="E8" s="16" t="n">
        <v>16</v>
      </c>
      <c r="F8" s="16" t="n">
        <v>37500</v>
      </c>
      <c r="G8" s="7" t="n">
        <f aca="false">C8+E8</f>
        <v>30</v>
      </c>
      <c r="H8" s="7" t="n">
        <f aca="false">D8+F8</f>
        <v>71000</v>
      </c>
      <c r="I8" s="16" t="n">
        <v>66</v>
      </c>
      <c r="J8" s="16" t="n">
        <v>188200</v>
      </c>
      <c r="K8" s="9" t="n">
        <f aca="false">IFERROR(H8/J8,0)</f>
        <v>0.377258235919235</v>
      </c>
    </row>
    <row r="9" customFormat="false" ht="15" hidden="false" customHeight="false" outlineLevel="0" collapsed="false">
      <c r="B9" s="23" t="s">
        <v>82</v>
      </c>
      <c r="C9" s="24" t="n">
        <v>14</v>
      </c>
      <c r="D9" s="24" t="n">
        <v>26400</v>
      </c>
      <c r="E9" s="24" t="n">
        <v>12</v>
      </c>
      <c r="F9" s="24" t="n">
        <v>21000</v>
      </c>
      <c r="G9" s="26" t="n">
        <f aca="false">C9+E9</f>
        <v>26</v>
      </c>
      <c r="H9" s="26" t="n">
        <f aca="false">D9+F9</f>
        <v>47400</v>
      </c>
      <c r="I9" s="24" t="n">
        <v>54</v>
      </c>
      <c r="J9" s="24" t="n">
        <v>110100</v>
      </c>
      <c r="K9" s="28" t="n">
        <f aca="false">IFERROR(H9/J9,0)</f>
        <v>0.430517711171662</v>
      </c>
    </row>
    <row r="10" customFormat="false" ht="15" hidden="false" customHeight="false" outlineLevel="0" collapsed="false">
      <c r="B10" s="13" t="s">
        <v>83</v>
      </c>
      <c r="C10" s="16" t="n">
        <v>5</v>
      </c>
      <c r="D10" s="16" t="n">
        <v>10500</v>
      </c>
      <c r="E10" s="16" t="n">
        <v>0</v>
      </c>
      <c r="F10" s="16" t="n">
        <v>0</v>
      </c>
      <c r="G10" s="7" t="n">
        <f aca="false">C10+E10</f>
        <v>5</v>
      </c>
      <c r="H10" s="7" t="n">
        <f aca="false">D10+F10</f>
        <v>10500</v>
      </c>
      <c r="I10" s="16" t="n">
        <v>11</v>
      </c>
      <c r="J10" s="16" t="n">
        <v>19500</v>
      </c>
      <c r="K10" s="9" t="n">
        <f aca="false">IFERROR(H10/J10,0)</f>
        <v>0.538461538461538</v>
      </c>
    </row>
    <row r="11" customFormat="false" ht="15" hidden="false" customHeight="false" outlineLevel="0" collapsed="false">
      <c r="B11" s="23" t="s">
        <v>64</v>
      </c>
      <c r="C11" s="24" t="n">
        <v>6</v>
      </c>
      <c r="D11" s="24" t="n">
        <v>12000</v>
      </c>
      <c r="E11" s="24" t="n">
        <v>8</v>
      </c>
      <c r="F11" s="24" t="n">
        <v>18500</v>
      </c>
      <c r="G11" s="26" t="n">
        <f aca="false">C11+E11</f>
        <v>14</v>
      </c>
      <c r="H11" s="26" t="n">
        <f aca="false">D11+F11</f>
        <v>30500</v>
      </c>
      <c r="I11" s="24" t="n">
        <v>34</v>
      </c>
      <c r="J11" s="24" t="n">
        <v>79900</v>
      </c>
      <c r="K11" s="28" t="n">
        <f aca="false">IFERROR(H11/J11,0)</f>
        <v>0.381727158948686</v>
      </c>
    </row>
    <row r="12" customFormat="false" ht="15" hidden="false" customHeight="false" outlineLevel="0" collapsed="false">
      <c r="B12" s="13" t="s">
        <v>84</v>
      </c>
      <c r="C12" s="16" t="n">
        <v>7</v>
      </c>
      <c r="D12" s="16" t="n">
        <v>15000</v>
      </c>
      <c r="E12" s="16" t="n">
        <v>6</v>
      </c>
      <c r="F12" s="16" t="n">
        <v>13000</v>
      </c>
      <c r="G12" s="7" t="n">
        <f aca="false">C12+E12</f>
        <v>13</v>
      </c>
      <c r="H12" s="7" t="n">
        <f aca="false">D12+F12</f>
        <v>28000</v>
      </c>
      <c r="I12" s="16" t="n">
        <v>26</v>
      </c>
      <c r="J12" s="16" t="n">
        <v>61600</v>
      </c>
      <c r="K12" s="9" t="n">
        <f aca="false">IFERROR(H12/J12,0)</f>
        <v>0.454545454545455</v>
      </c>
    </row>
    <row r="13" customFormat="false" ht="15" hidden="false" customHeight="false" outlineLevel="0" collapsed="false">
      <c r="B13" s="23" t="s">
        <v>85</v>
      </c>
      <c r="C13" s="24" t="n">
        <v>15</v>
      </c>
      <c r="D13" s="24" t="n">
        <v>25500</v>
      </c>
      <c r="E13" s="24" t="n">
        <v>10</v>
      </c>
      <c r="F13" s="24" t="n">
        <v>19000</v>
      </c>
      <c r="G13" s="26" t="n">
        <f aca="false">C13+E13</f>
        <v>25</v>
      </c>
      <c r="H13" s="26" t="n">
        <f aca="false">D13+F13</f>
        <v>44500</v>
      </c>
      <c r="I13" s="24" t="n">
        <v>33</v>
      </c>
      <c r="J13" s="24" t="n">
        <v>64500</v>
      </c>
      <c r="K13" s="28" t="n">
        <f aca="false">IFERROR(H13/J13,0)</f>
        <v>0.689922480620155</v>
      </c>
    </row>
    <row r="14" customFormat="false" ht="15" hidden="false" customHeight="false" outlineLevel="0" collapsed="false">
      <c r="B14" s="13" t="s">
        <v>65</v>
      </c>
      <c r="C14" s="16" t="n">
        <v>2</v>
      </c>
      <c r="D14" s="16" t="n">
        <v>600</v>
      </c>
      <c r="E14" s="16" t="n">
        <v>0</v>
      </c>
      <c r="F14" s="16" t="n">
        <v>0</v>
      </c>
      <c r="G14" s="7" t="n">
        <f aca="false">C14+E14</f>
        <v>2</v>
      </c>
      <c r="H14" s="7" t="n">
        <f aca="false">D14+F14</f>
        <v>600</v>
      </c>
      <c r="I14" s="16" t="n">
        <v>2</v>
      </c>
      <c r="J14" s="16" t="n">
        <v>600</v>
      </c>
      <c r="K14" s="9" t="n">
        <f aca="false">IFERROR(H14/J14,0)</f>
        <v>1</v>
      </c>
    </row>
    <row r="15" customFormat="false" ht="15" hidden="false" customHeight="false" outlineLevel="0" collapsed="false">
      <c r="B15" s="21" t="s">
        <v>86</v>
      </c>
      <c r="C15" s="11" t="n">
        <f aca="false">SUM(C6:C14)</f>
        <v>280</v>
      </c>
      <c r="D15" s="11" t="n">
        <f aca="false">SUM(D6:D14)</f>
        <v>270000</v>
      </c>
      <c r="E15" s="11" t="n">
        <f aca="false">SUM(E6:E14)</f>
        <v>172</v>
      </c>
      <c r="F15" s="11" t="n">
        <f aca="false">SUM(F6:F14)</f>
        <v>190000</v>
      </c>
      <c r="G15" s="11" t="n">
        <f aca="false">SUM(G6:G14)</f>
        <v>452</v>
      </c>
      <c r="H15" s="11" t="n">
        <f aca="false">SUM(H6:H14)</f>
        <v>460000</v>
      </c>
      <c r="I15" s="11" t="n">
        <f aca="false">SUM(I6:I14)</f>
        <v>712</v>
      </c>
      <c r="J15" s="11" t="n">
        <f aca="false">SUM(J6:J14)</f>
        <v>850000</v>
      </c>
      <c r="K15" s="12" t="n">
        <f aca="false">IFERROR(H15/J15,0)</f>
        <v>0.541176470588235</v>
      </c>
    </row>
    <row r="16" customFormat="false" ht="15" hidden="false" customHeight="false" outlineLevel="0" collapsed="false">
      <c r="B16" s="6" t="s">
        <v>87</v>
      </c>
      <c r="C16" s="17"/>
      <c r="D16" s="14" t="n">
        <f aca="false">IFERROR(D15/C15,0)</f>
        <v>964.285714285714</v>
      </c>
      <c r="E16" s="17"/>
      <c r="F16" s="14" t="n">
        <f aca="false">IFERROR(F15/E15,0)</f>
        <v>1104.6511627907</v>
      </c>
      <c r="G16" s="17"/>
      <c r="H16" s="14" t="n">
        <f aca="false">IFERROR(H15/G15,0)</f>
        <v>1017.69911504425</v>
      </c>
      <c r="I16" s="17"/>
      <c r="J16" s="14" t="n">
        <f aca="false">IFERROR(J15/I15,0)</f>
        <v>1193.8202247191</v>
      </c>
      <c r="K16" s="17"/>
    </row>
    <row r="18" customFormat="false" ht="15" hidden="false" customHeight="false" outlineLevel="0" collapsed="false">
      <c r="B18" s="2" t="s">
        <v>88</v>
      </c>
    </row>
    <row r="19" customFormat="false" ht="15" hidden="false" customHeight="false" outlineLevel="0" collapsed="false">
      <c r="B19" s="2" t="s">
        <v>89</v>
      </c>
    </row>
    <row r="20" customFormat="false" ht="15" hidden="false" customHeight="false" outlineLevel="0" collapsed="false">
      <c r="B20" s="2" t="s">
        <v>90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6"/>
  </cols>
  <sheetData>
    <row r="2" customFormat="false" ht="17.35" hidden="false" customHeight="false" outlineLevel="0" collapsed="false">
      <c r="B2" s="1" t="s">
        <v>91</v>
      </c>
    </row>
    <row r="4" customFormat="false" ht="15" hidden="false" customHeight="true" outlineLevel="0" collapsed="false">
      <c r="B4" s="18" t="s">
        <v>92</v>
      </c>
      <c r="C4" s="29" t="s">
        <v>93</v>
      </c>
    </row>
    <row r="5" customFormat="false" ht="15" hidden="false" customHeight="true" outlineLevel="0" collapsed="false">
      <c r="B5" s="18" t="s">
        <v>94</v>
      </c>
      <c r="C5" s="29" t="s">
        <v>95</v>
      </c>
    </row>
    <row r="6" customFormat="false" ht="15" hidden="false" customHeight="true" outlineLevel="0" collapsed="false">
      <c r="B6" s="18" t="s">
        <v>96</v>
      </c>
      <c r="C6" s="29" t="s">
        <v>97</v>
      </c>
    </row>
    <row r="7" customFormat="false" ht="15" hidden="false" customHeight="true" outlineLevel="0" collapsed="false">
      <c r="B7" s="18" t="s">
        <v>98</v>
      </c>
      <c r="C7" s="29" t="s">
        <v>99</v>
      </c>
    </row>
    <row r="8" customFormat="false" ht="30" hidden="false" customHeight="true" outlineLevel="0" collapsed="false">
      <c r="B8" s="18" t="s">
        <v>100</v>
      </c>
      <c r="C8" s="29" t="s">
        <v>101</v>
      </c>
    </row>
    <row r="9" customFormat="false" ht="45" hidden="false" customHeight="true" outlineLevel="0" collapsed="false">
      <c r="B9" s="18" t="s">
        <v>102</v>
      </c>
      <c r="C9" s="29" t="s">
        <v>103</v>
      </c>
    </row>
    <row r="10" customFormat="false" ht="30" hidden="false" customHeight="true" outlineLevel="0" collapsed="false">
      <c r="B10" s="18" t="s">
        <v>104</v>
      </c>
      <c r="C10" s="29" t="s">
        <v>105</v>
      </c>
    </row>
    <row r="11" customFormat="false" ht="15" hidden="false" customHeight="true" outlineLevel="0" collapsed="false">
      <c r="B11" s="18" t="s">
        <v>106</v>
      </c>
      <c r="C11" s="29" t="s">
        <v>107</v>
      </c>
    </row>
    <row r="12" customFormat="false" ht="15" hidden="false" customHeight="true" outlineLevel="0" collapsed="false">
      <c r="B12" s="18" t="s">
        <v>108</v>
      </c>
      <c r="C12" s="29" t="s">
        <v>109</v>
      </c>
    </row>
    <row r="13" customFormat="false" ht="30" hidden="false" customHeight="true" outlineLevel="0" collapsed="false">
      <c r="B13" s="18" t="s">
        <v>110</v>
      </c>
      <c r="C13" s="29" t="s">
        <v>111</v>
      </c>
    </row>
    <row r="14" customFormat="false" ht="45" hidden="false" customHeight="true" outlineLevel="0" collapsed="false">
      <c r="B14" s="18" t="s">
        <v>112</v>
      </c>
      <c r="C14" s="29" t="s">
        <v>113</v>
      </c>
    </row>
    <row r="15" customFormat="false" ht="15" hidden="false" customHeight="true" outlineLevel="0" collapsed="false">
      <c r="B15" s="18" t="s">
        <v>114</v>
      </c>
      <c r="C15" s="29" t="s">
        <v>115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2026-09-03T23:59:58Z</dcterms:created>
  <dc:creator>openpyxl</dc:creator>
  <dc:description/>
  <dc:language>en-US</dc:language>
  <cp:lastModifiedBy/>
  <dcterms:modified xsi:type="dcterms:W3CDTF">2026-09-03T23:59:58Z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