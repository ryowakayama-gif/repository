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3"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9" t="inlineStr">
        <is>
          <t>村確認待ち</t>
        </is>
      </c>
      <c r="E16" s="6" t="inlineStr">
        <is>
          <t>本村の過疎区分が確定するまで算定方法は確定しない</t>
        </is>
      </c>
    </row>
    <row r="18">
      <c r="A18" s="10"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1"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10"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10"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10"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10"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1"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2" t="inlineStr">
        <is>
          <t>（例）001</t>
        </is>
      </c>
      <c r="B6" s="13" t="inlineStr">
        <is>
          <t>65歳</t>
        </is>
      </c>
      <c r="C6" s="13" t="inlineStr">
        <is>
          <t>令和10年度</t>
        </is>
      </c>
      <c r="D6" s="13" t="inlineStr">
        <is>
          <t>65</t>
        </is>
      </c>
      <c r="E6" s="13" t="inlineStr">
        <is>
          <t>区分4</t>
        </is>
      </c>
      <c r="F6" s="14" t="inlineStr">
        <is>
          <t>生活介護、居宅介護</t>
        </is>
      </c>
      <c r="G6" s="13" t="inlineStr">
        <is>
          <t>あり</t>
        </is>
      </c>
      <c r="H6" s="13" t="inlineStr">
        <is>
          <t>一部</t>
        </is>
      </c>
      <c r="I6" s="13" t="inlineStr">
        <is>
          <t>生活介護は継続</t>
        </is>
      </c>
      <c r="J6" s="15" t="inlineStr">
        <is>
          <t>-10人日</t>
        </is>
      </c>
      <c r="K6" s="14" t="inlineStr">
        <is>
          <t>例示。実データではありません</t>
        </is>
      </c>
    </row>
    <row r="7">
      <c r="A7" s="16" t="n"/>
      <c r="B7" s="16" t="n"/>
      <c r="C7" s="16" t="n"/>
      <c r="D7" s="16" t="n"/>
      <c r="E7" s="16" t="n"/>
      <c r="F7" s="17" t="n"/>
      <c r="G7" s="16" t="n"/>
      <c r="H7" s="16" t="n"/>
      <c r="I7" s="16" t="n"/>
      <c r="J7" s="18" t="n"/>
      <c r="K7" s="17" t="n"/>
    </row>
    <row r="8">
      <c r="A8" s="16" t="n"/>
      <c r="B8" s="16" t="n"/>
      <c r="C8" s="16" t="n"/>
      <c r="D8" s="16" t="n"/>
      <c r="E8" s="16" t="n"/>
      <c r="F8" s="17" t="n"/>
      <c r="G8" s="16" t="n"/>
      <c r="H8" s="16" t="n"/>
      <c r="I8" s="16" t="n"/>
      <c r="J8" s="18" t="n"/>
      <c r="K8" s="17" t="n"/>
    </row>
    <row r="9">
      <c r="A9" s="16" t="n"/>
      <c r="B9" s="16" t="n"/>
      <c r="C9" s="16" t="n"/>
      <c r="D9" s="16" t="n"/>
      <c r="E9" s="16" t="n"/>
      <c r="F9" s="17" t="n"/>
      <c r="G9" s="16" t="n"/>
      <c r="H9" s="16" t="n"/>
      <c r="I9" s="16" t="n"/>
      <c r="J9" s="18" t="n"/>
      <c r="K9" s="17" t="n"/>
    </row>
    <row r="10">
      <c r="A10" s="16" t="n"/>
      <c r="B10" s="16" t="n"/>
      <c r="C10" s="16" t="n"/>
      <c r="D10" s="16" t="n"/>
      <c r="E10" s="16" t="n"/>
      <c r="F10" s="17" t="n"/>
      <c r="G10" s="16" t="n"/>
      <c r="H10" s="16" t="n"/>
      <c r="I10" s="16" t="n"/>
      <c r="J10" s="18" t="n"/>
      <c r="K10" s="17" t="n"/>
    </row>
    <row r="11">
      <c r="A11" s="16" t="n"/>
      <c r="B11" s="16" t="n"/>
      <c r="C11" s="16" t="n"/>
      <c r="D11" s="16" t="n"/>
      <c r="E11" s="16" t="n"/>
      <c r="F11" s="17" t="n"/>
      <c r="G11" s="16" t="n"/>
      <c r="H11" s="16" t="n"/>
      <c r="I11" s="16" t="n"/>
      <c r="J11" s="18" t="n"/>
      <c r="K11" s="17" t="n"/>
    </row>
    <row r="12">
      <c r="A12" s="16" t="n"/>
      <c r="B12" s="16" t="n"/>
      <c r="C12" s="16" t="n"/>
      <c r="D12" s="16" t="n"/>
      <c r="E12" s="16" t="n"/>
      <c r="F12" s="17" t="n"/>
      <c r="G12" s="16" t="n"/>
      <c r="H12" s="16" t="n"/>
      <c r="I12" s="16" t="n"/>
      <c r="J12" s="18" t="n"/>
      <c r="K12" s="17" t="n"/>
    </row>
    <row r="13">
      <c r="A13" s="16" t="n"/>
      <c r="B13" s="16" t="n"/>
      <c r="C13" s="16" t="n"/>
      <c r="D13" s="16" t="n"/>
      <c r="E13" s="16" t="n"/>
      <c r="F13" s="17" t="n"/>
      <c r="G13" s="16" t="n"/>
      <c r="H13" s="16" t="n"/>
      <c r="I13" s="16" t="n"/>
      <c r="J13" s="18" t="n"/>
      <c r="K13" s="17" t="n"/>
    </row>
    <row r="14">
      <c r="A14" s="16" t="n"/>
      <c r="B14" s="16" t="n"/>
      <c r="C14" s="16" t="n"/>
      <c r="D14" s="16" t="n"/>
      <c r="E14" s="16" t="n"/>
      <c r="F14" s="17" t="n"/>
      <c r="G14" s="16" t="n"/>
      <c r="H14" s="16" t="n"/>
      <c r="I14" s="16" t="n"/>
      <c r="J14" s="18" t="n"/>
      <c r="K14" s="17" t="n"/>
    </row>
    <row r="15">
      <c r="A15" s="16" t="n"/>
      <c r="B15" s="16" t="n"/>
      <c r="C15" s="16" t="n"/>
      <c r="D15" s="16" t="n"/>
      <c r="E15" s="16" t="n"/>
      <c r="F15" s="17" t="n"/>
      <c r="G15" s="16" t="n"/>
      <c r="H15" s="16" t="n"/>
      <c r="I15" s="16" t="n"/>
      <c r="J15" s="18" t="n"/>
      <c r="K15" s="17" t="n"/>
    </row>
    <row r="16">
      <c r="A16" s="16" t="n"/>
      <c r="B16" s="16" t="n"/>
      <c r="C16" s="16" t="n"/>
      <c r="D16" s="16" t="n"/>
      <c r="E16" s="16" t="n"/>
      <c r="F16" s="17" t="n"/>
      <c r="G16" s="16" t="n"/>
      <c r="H16" s="16" t="n"/>
      <c r="I16" s="16" t="n"/>
      <c r="J16" s="18" t="n"/>
      <c r="K16" s="17" t="n"/>
    </row>
    <row r="17">
      <c r="A17" s="16" t="n"/>
      <c r="B17" s="16" t="n"/>
      <c r="C17" s="16" t="n"/>
      <c r="D17" s="16" t="n"/>
      <c r="E17" s="16" t="n"/>
      <c r="F17" s="17" t="n"/>
      <c r="G17" s="16" t="n"/>
      <c r="H17" s="16" t="n"/>
      <c r="I17" s="16" t="n"/>
      <c r="J17" s="18" t="n"/>
      <c r="K17" s="17" t="n"/>
    </row>
    <row r="18">
      <c r="A18" s="16" t="n"/>
      <c r="B18" s="16" t="n"/>
      <c r="C18" s="16" t="n"/>
      <c r="D18" s="16" t="n"/>
      <c r="E18" s="16" t="n"/>
      <c r="F18" s="17" t="n"/>
      <c r="G18" s="16" t="n"/>
      <c r="H18" s="16" t="n"/>
      <c r="I18" s="16" t="n"/>
      <c r="J18" s="18" t="n"/>
      <c r="K18" s="17" t="n"/>
    </row>
    <row r="19">
      <c r="A19" s="16" t="n"/>
      <c r="B19" s="16" t="n"/>
      <c r="C19" s="16" t="n"/>
      <c r="D19" s="16" t="n"/>
      <c r="E19" s="16" t="n"/>
      <c r="F19" s="17" t="n"/>
      <c r="G19" s="16" t="n"/>
      <c r="H19" s="16" t="n"/>
      <c r="I19" s="16" t="n"/>
      <c r="J19" s="18" t="n"/>
      <c r="K19" s="17" t="n"/>
    </row>
    <row r="20">
      <c r="A20" s="16" t="n"/>
      <c r="B20" s="16" t="n"/>
      <c r="C20" s="16" t="n"/>
      <c r="D20" s="16" t="n"/>
      <c r="E20" s="16" t="n"/>
      <c r="F20" s="17" t="n"/>
      <c r="G20" s="16" t="n"/>
      <c r="H20" s="16" t="n"/>
      <c r="I20" s="16" t="n"/>
      <c r="J20" s="18" t="n"/>
      <c r="K20" s="17" t="n"/>
    </row>
    <row r="21">
      <c r="A21" s="16" t="n"/>
      <c r="B21" s="16" t="n"/>
      <c r="C21" s="16" t="n"/>
      <c r="D21" s="16" t="n"/>
      <c r="E21" s="16" t="n"/>
      <c r="F21" s="17" t="n"/>
      <c r="G21" s="16" t="n"/>
      <c r="H21" s="16" t="n"/>
      <c r="I21" s="16" t="n"/>
      <c r="J21" s="18" t="n"/>
      <c r="K21" s="17" t="n"/>
    </row>
    <row r="22">
      <c r="A22" s="16" t="n"/>
      <c r="B22" s="16" t="n"/>
      <c r="C22" s="16" t="n"/>
      <c r="D22" s="16" t="n"/>
      <c r="E22" s="16" t="n"/>
      <c r="F22" s="17" t="n"/>
      <c r="G22" s="16" t="n"/>
      <c r="H22" s="16" t="n"/>
      <c r="I22" s="16" t="n"/>
      <c r="J22" s="18" t="n"/>
      <c r="K22" s="17" t="n"/>
    </row>
    <row r="23">
      <c r="A23" s="16" t="n"/>
      <c r="B23" s="16" t="n"/>
      <c r="C23" s="16" t="n"/>
      <c r="D23" s="16" t="n"/>
      <c r="E23" s="16" t="n"/>
      <c r="F23" s="17" t="n"/>
      <c r="G23" s="16" t="n"/>
      <c r="H23" s="16" t="n"/>
      <c r="I23" s="16" t="n"/>
      <c r="J23" s="18" t="n"/>
      <c r="K23" s="17" t="n"/>
    </row>
    <row r="24">
      <c r="A24" s="16" t="n"/>
      <c r="B24" s="16" t="n"/>
      <c r="C24" s="16" t="n"/>
      <c r="D24" s="16" t="n"/>
      <c r="E24" s="16" t="n"/>
      <c r="F24" s="17" t="n"/>
      <c r="G24" s="16" t="n"/>
      <c r="H24" s="16" t="n"/>
      <c r="I24" s="16" t="n"/>
      <c r="J24" s="18" t="n"/>
      <c r="K24" s="17" t="n"/>
    </row>
    <row r="25">
      <c r="A25" s="16" t="n"/>
      <c r="B25" s="16" t="n"/>
      <c r="C25" s="16" t="n"/>
      <c r="D25" s="16" t="n"/>
      <c r="E25" s="16" t="n"/>
      <c r="F25" s="17" t="n"/>
      <c r="G25" s="16" t="n"/>
      <c r="H25" s="16" t="n"/>
      <c r="I25" s="16" t="n"/>
      <c r="J25" s="18" t="n"/>
      <c r="K25" s="17" t="n"/>
    </row>
    <row r="26">
      <c r="A26" s="16" t="n"/>
      <c r="B26" s="16" t="n"/>
      <c r="C26" s="16" t="n"/>
      <c r="D26" s="16" t="n"/>
      <c r="E26" s="16" t="n"/>
      <c r="F26" s="17" t="n"/>
      <c r="G26" s="16" t="n"/>
      <c r="H26" s="16" t="n"/>
      <c r="I26" s="16" t="n"/>
      <c r="J26" s="18" t="n"/>
      <c r="K26" s="17" t="n"/>
    </row>
    <row r="27">
      <c r="A27" s="16" t="n"/>
      <c r="B27" s="16" t="n"/>
      <c r="C27" s="16" t="n"/>
      <c r="D27" s="16" t="n"/>
      <c r="E27" s="16" t="n"/>
      <c r="F27" s="17" t="n"/>
      <c r="G27" s="16" t="n"/>
      <c r="H27" s="16" t="n"/>
      <c r="I27" s="16" t="n"/>
      <c r="J27" s="18" t="n"/>
      <c r="K27" s="17" t="n"/>
    </row>
    <row r="28">
      <c r="A28" s="16" t="n"/>
      <c r="B28" s="16" t="n"/>
      <c r="C28" s="16" t="n"/>
      <c r="D28" s="16" t="n"/>
      <c r="E28" s="16" t="n"/>
      <c r="F28" s="17" t="n"/>
      <c r="G28" s="16" t="n"/>
      <c r="H28" s="16" t="n"/>
      <c r="I28" s="16" t="n"/>
      <c r="J28" s="18" t="n"/>
      <c r="K28" s="17" t="n"/>
    </row>
    <row r="29">
      <c r="A29" s="16" t="n"/>
      <c r="B29" s="16" t="n"/>
      <c r="C29" s="16" t="n"/>
      <c r="D29" s="16" t="n"/>
      <c r="E29" s="16" t="n"/>
      <c r="F29" s="17" t="n"/>
      <c r="G29" s="16" t="n"/>
      <c r="H29" s="16" t="n"/>
      <c r="I29" s="16" t="n"/>
      <c r="J29" s="18" t="n"/>
      <c r="K29" s="17" t="n"/>
    </row>
    <row r="30">
      <c r="A30" s="16" t="n"/>
      <c r="B30" s="16" t="n"/>
      <c r="C30" s="16" t="n"/>
      <c r="D30" s="16" t="n"/>
      <c r="E30" s="16" t="n"/>
      <c r="F30" s="17" t="n"/>
      <c r="G30" s="16" t="n"/>
      <c r="H30" s="16" t="n"/>
      <c r="I30" s="16" t="n"/>
      <c r="J30" s="18" t="n"/>
      <c r="K30" s="17" t="n"/>
    </row>
    <row r="32">
      <c r="A32" s="10"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1"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10"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9" t="n">
        <v>4</v>
      </c>
      <c r="D8" s="20">
        <f>C15</f>
        <v/>
      </c>
      <c r="E8" s="20">
        <f>D15</f>
        <v/>
      </c>
      <c r="F8" s="20">
        <f>E15</f>
        <v/>
      </c>
      <c r="G8" s="4" t="inlineStr">
        <is>
          <t>前年度の利用者数を繰り越す</t>
        </is>
      </c>
    </row>
    <row r="9">
      <c r="A9" s="4" t="inlineStr">
        <is>
          <t>＋　特別支援学校卒業・18歳到達</t>
        </is>
      </c>
      <c r="B9" s="8" t="inlineStr">
        <is>
          <t>人／月</t>
        </is>
      </c>
      <c r="C9" s="21" t="n"/>
      <c r="D9" s="19" t="n"/>
      <c r="E9" s="19" t="n"/>
      <c r="F9" s="19" t="n"/>
      <c r="G9" s="4" t="inlineStr">
        <is>
          <t>02_年齢到達者一覧から転記する</t>
        </is>
      </c>
    </row>
    <row r="10">
      <c r="A10" s="4" t="inlineStr">
        <is>
          <t>＋　施設・病院からの地域移行</t>
        </is>
      </c>
      <c r="B10" s="8" t="inlineStr">
        <is>
          <t>人／月</t>
        </is>
      </c>
      <c r="C10" s="21" t="n"/>
      <c r="D10" s="19" t="n"/>
      <c r="E10" s="19" t="n"/>
      <c r="F10" s="19" t="n"/>
      <c r="G10" s="4" t="inlineStr">
        <is>
          <t>移行予定者を個別に確認する</t>
        </is>
      </c>
    </row>
    <row r="11">
      <c r="A11" s="4" t="inlineStr">
        <is>
          <t>＋　新規支給決定（相談・転入等）</t>
        </is>
      </c>
      <c r="B11" s="8" t="inlineStr">
        <is>
          <t>人／月</t>
        </is>
      </c>
      <c r="C11" s="21" t="n"/>
      <c r="D11" s="19" t="n"/>
      <c r="E11" s="19" t="n"/>
      <c r="F11" s="19" t="n"/>
      <c r="G11" s="4" t="inlineStr">
        <is>
          <t>相談支援事業所からの利用開始相談を含む</t>
        </is>
      </c>
    </row>
    <row r="12">
      <c r="A12" s="4" t="inlineStr">
        <is>
          <t>－　65歳到達・介護保険移行</t>
        </is>
      </c>
      <c r="B12" s="8" t="inlineStr">
        <is>
          <t>人／月</t>
        </is>
      </c>
      <c r="C12" s="22" t="n"/>
      <c r="D12" s="23" t="n"/>
      <c r="E12" s="23" t="n"/>
      <c r="F12" s="23" t="n"/>
      <c r="G12" s="4" t="inlineStr">
        <is>
          <t>06_65歳移行判定の結果を反映する。一律に減算しない</t>
        </is>
      </c>
    </row>
    <row r="13">
      <c r="A13" s="4" t="inlineStr">
        <is>
          <t>－　一般就労・サービス終了</t>
        </is>
      </c>
      <c r="B13" s="8" t="inlineStr">
        <is>
          <t>人／月</t>
        </is>
      </c>
      <c r="C13" s="22" t="n"/>
      <c r="D13" s="23" t="n"/>
      <c r="E13" s="23" t="n"/>
      <c r="F13" s="23" t="n"/>
      <c r="G13" s="4" t="inlineStr">
        <is>
          <t>就労移行支援からの一般就労等</t>
        </is>
      </c>
    </row>
    <row r="14">
      <c r="A14" s="4" t="inlineStr">
        <is>
          <t>－　死亡・転出・長期入院</t>
        </is>
      </c>
      <c r="B14" s="8" t="inlineStr">
        <is>
          <t>人／月</t>
        </is>
      </c>
      <c r="C14" s="22" t="n"/>
      <c r="D14" s="23" t="n"/>
      <c r="E14" s="23" t="n"/>
      <c r="F14" s="23" t="n"/>
      <c r="G14" s="4" t="inlineStr">
        <is>
          <t>高齢化が進む本村では主要な減少要因</t>
        </is>
      </c>
    </row>
    <row r="15">
      <c r="A15" s="24" t="inlineStr">
        <is>
          <t>＝　利用者数</t>
        </is>
      </c>
      <c r="B15" s="25" t="inlineStr">
        <is>
          <t>人／月</t>
        </is>
      </c>
      <c r="C15" s="26">
        <f>C8</f>
        <v/>
      </c>
      <c r="D15" s="26">
        <f>D8+SUM(D9:D11)-SUM(D12:D14)</f>
        <v/>
      </c>
      <c r="E15" s="26">
        <f>E8+SUM(E9:E11)-SUM(E12:E14)</f>
        <v/>
      </c>
      <c r="F15" s="26">
        <f>F8+SUM(F9:F11)-SUM(F12:F14)</f>
        <v/>
      </c>
      <c r="G15" s="4" t="inlineStr">
        <is>
          <t>継続＋流入－流出</t>
        </is>
      </c>
    </row>
    <row r="16">
      <c r="A16" s="4" t="inlineStr">
        <is>
          <t xml:space="preserve">　　1人当たり月利用量</t>
        </is>
      </c>
      <c r="B16" s="8" t="inlineStr">
        <is>
          <t>時間／月</t>
        </is>
      </c>
      <c r="C16" s="27" t="n">
        <v>10</v>
      </c>
      <c r="D16" s="27" t="n">
        <v>10</v>
      </c>
      <c r="E16" s="27" t="n">
        <v>10</v>
      </c>
      <c r="F16" s="27" t="n">
        <v>10</v>
      </c>
      <c r="G16" s="4" t="inlineStr">
        <is>
          <t>利用者ごとの月間予定量の平均</t>
        </is>
      </c>
    </row>
    <row r="17">
      <c r="A17" s="24" t="inlineStr">
        <is>
          <t>＝　月間サービス量</t>
        </is>
      </c>
      <c r="B17" s="25" t="inlineStr">
        <is>
          <t>時間／月</t>
        </is>
      </c>
      <c r="C17" s="28">
        <f>ROUND(C15*C16,1)</f>
        <v/>
      </c>
      <c r="D17" s="28">
        <f>ROUND(D15*D16,1)</f>
        <v/>
      </c>
      <c r="E17" s="28">
        <f>ROUND(E15*E16,1)</f>
        <v/>
      </c>
      <c r="F17" s="28">
        <f>ROUND(F15*F16,1)</f>
        <v/>
      </c>
      <c r="G17" s="4" t="inlineStr">
        <is>
          <t>利用者数×1人当たり月利用量</t>
        </is>
      </c>
    </row>
    <row r="19">
      <c r="A19" s="10"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9" t="n">
        <v>6</v>
      </c>
      <c r="D22" s="20">
        <f>C29</f>
        <v/>
      </c>
      <c r="E22" s="20">
        <f>D29</f>
        <v/>
      </c>
      <c r="F22" s="20">
        <f>E29</f>
        <v/>
      </c>
      <c r="G22" s="4" t="inlineStr">
        <is>
          <t>前年度の利用者数を繰り越す</t>
        </is>
      </c>
    </row>
    <row r="23">
      <c r="A23" s="4" t="inlineStr">
        <is>
          <t>＋　特別支援学校卒業・18歳到達</t>
        </is>
      </c>
      <c r="B23" s="8" t="inlineStr">
        <is>
          <t>人／月</t>
        </is>
      </c>
      <c r="C23" s="21" t="n"/>
      <c r="D23" s="19" t="n"/>
      <c r="E23" s="19" t="n"/>
      <c r="F23" s="19" t="n"/>
      <c r="G23" s="4" t="inlineStr">
        <is>
          <t>02_年齢到達者一覧から転記する</t>
        </is>
      </c>
    </row>
    <row r="24">
      <c r="A24" s="4" t="inlineStr">
        <is>
          <t>＋　施設・病院からの地域移行</t>
        </is>
      </c>
      <c r="B24" s="8" t="inlineStr">
        <is>
          <t>人／月</t>
        </is>
      </c>
      <c r="C24" s="21" t="n"/>
      <c r="D24" s="19" t="n"/>
      <c r="E24" s="19" t="n"/>
      <c r="F24" s="19" t="n"/>
      <c r="G24" s="4" t="inlineStr">
        <is>
          <t>移行予定者を個別に確認する</t>
        </is>
      </c>
    </row>
    <row r="25">
      <c r="A25" s="4" t="inlineStr">
        <is>
          <t>＋　新規支給決定（相談・転入等）</t>
        </is>
      </c>
      <c r="B25" s="8" t="inlineStr">
        <is>
          <t>人／月</t>
        </is>
      </c>
      <c r="C25" s="21" t="n"/>
      <c r="D25" s="19" t="n"/>
      <c r="E25" s="19" t="n"/>
      <c r="F25" s="19" t="n"/>
      <c r="G25" s="4" t="inlineStr">
        <is>
          <t>相談支援事業所からの利用開始相談を含む</t>
        </is>
      </c>
    </row>
    <row r="26">
      <c r="A26" s="4" t="inlineStr">
        <is>
          <t>－　65歳到達・介護保険移行</t>
        </is>
      </c>
      <c r="B26" s="8" t="inlineStr">
        <is>
          <t>人／月</t>
        </is>
      </c>
      <c r="C26" s="22" t="n"/>
      <c r="D26" s="23" t="n"/>
      <c r="E26" s="23" t="n"/>
      <c r="F26" s="23" t="n"/>
      <c r="G26" s="4" t="inlineStr">
        <is>
          <t>06_65歳移行判定の結果を反映する。一律に減算しない</t>
        </is>
      </c>
    </row>
    <row r="27">
      <c r="A27" s="4" t="inlineStr">
        <is>
          <t>－　一般就労・サービス終了</t>
        </is>
      </c>
      <c r="B27" s="8" t="inlineStr">
        <is>
          <t>人／月</t>
        </is>
      </c>
      <c r="C27" s="22" t="n"/>
      <c r="D27" s="23" t="n"/>
      <c r="E27" s="23" t="n"/>
      <c r="F27" s="23" t="n"/>
      <c r="G27" s="4" t="inlineStr">
        <is>
          <t>就労移行支援からの一般就労等</t>
        </is>
      </c>
    </row>
    <row r="28">
      <c r="A28" s="4" t="inlineStr">
        <is>
          <t>－　死亡・転出・長期入院</t>
        </is>
      </c>
      <c r="B28" s="8" t="inlineStr">
        <is>
          <t>人／月</t>
        </is>
      </c>
      <c r="C28" s="22" t="n"/>
      <c r="D28" s="23" t="n"/>
      <c r="E28" s="23" t="n"/>
      <c r="F28" s="23" t="n"/>
      <c r="G28" s="4" t="inlineStr">
        <is>
          <t>高齢化が進む本村では主要な減少要因</t>
        </is>
      </c>
    </row>
    <row r="29">
      <c r="A29" s="24" t="inlineStr">
        <is>
          <t>＝　利用者数</t>
        </is>
      </c>
      <c r="B29" s="25" t="inlineStr">
        <is>
          <t>人／月</t>
        </is>
      </c>
      <c r="C29" s="26">
        <f>C22</f>
        <v/>
      </c>
      <c r="D29" s="26">
        <f>D22+SUM(D23:D25)-SUM(D26:D28)</f>
        <v/>
      </c>
      <c r="E29" s="26">
        <f>E22+SUM(E23:E25)-SUM(E26:E28)</f>
        <v/>
      </c>
      <c r="F29" s="26">
        <f>F22+SUM(F23:F25)-SUM(F26:F28)</f>
        <v/>
      </c>
      <c r="G29" s="4" t="inlineStr">
        <is>
          <t>継続＋流入－流出</t>
        </is>
      </c>
    </row>
    <row r="30">
      <c r="A30" s="4" t="inlineStr">
        <is>
          <t xml:space="preserve">　　1人当たり月利用量</t>
        </is>
      </c>
      <c r="B30" s="8" t="inlineStr">
        <is>
          <t>人日／月</t>
        </is>
      </c>
      <c r="C30" s="27" t="n">
        <v>19.7</v>
      </c>
      <c r="D30" s="27" t="n">
        <v>19.7</v>
      </c>
      <c r="E30" s="27" t="n">
        <v>19.7</v>
      </c>
      <c r="F30" s="27" t="n">
        <v>19.7</v>
      </c>
      <c r="G30" s="4" t="inlineStr">
        <is>
          <t>利用者ごとの月間予定量の平均</t>
        </is>
      </c>
    </row>
    <row r="31">
      <c r="A31" s="24" t="inlineStr">
        <is>
          <t>＝　月間サービス量</t>
        </is>
      </c>
      <c r="B31" s="25" t="inlineStr">
        <is>
          <t>人日／月</t>
        </is>
      </c>
      <c r="C31" s="28">
        <f>ROUND(C29*C30,1)</f>
        <v/>
      </c>
      <c r="D31" s="28">
        <f>ROUND(D29*D30,1)</f>
        <v/>
      </c>
      <c r="E31" s="28">
        <f>ROUND(E29*E30,1)</f>
        <v/>
      </c>
      <c r="F31" s="28">
        <f>ROUND(F29*F30,1)</f>
        <v/>
      </c>
      <c r="G31" s="4" t="inlineStr">
        <is>
          <t>利用者数×1人当たり月利用量</t>
        </is>
      </c>
    </row>
    <row r="33">
      <c r="A33" s="10"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9" t="n">
        <v>0</v>
      </c>
      <c r="D36" s="20">
        <f>C43</f>
        <v/>
      </c>
      <c r="E36" s="20">
        <f>D43</f>
        <v/>
      </c>
      <c r="F36" s="20">
        <f>E43</f>
        <v/>
      </c>
      <c r="G36" s="4" t="inlineStr">
        <is>
          <t>前年度の利用者数を繰り越す</t>
        </is>
      </c>
    </row>
    <row r="37">
      <c r="A37" s="4" t="inlineStr">
        <is>
          <t>＋　特別支援学校卒業・18歳到達</t>
        </is>
      </c>
      <c r="B37" s="8" t="inlineStr">
        <is>
          <t>人／月</t>
        </is>
      </c>
      <c r="C37" s="21" t="n"/>
      <c r="D37" s="19" t="n"/>
      <c r="E37" s="19" t="n"/>
      <c r="F37" s="19" t="n"/>
      <c r="G37" s="4" t="inlineStr">
        <is>
          <t>02_年齢到達者一覧から転記する</t>
        </is>
      </c>
    </row>
    <row r="38">
      <c r="A38" s="4" t="inlineStr">
        <is>
          <t>＋　施設・病院からの地域移行</t>
        </is>
      </c>
      <c r="B38" s="8" t="inlineStr">
        <is>
          <t>人／月</t>
        </is>
      </c>
      <c r="C38" s="21" t="n"/>
      <c r="D38" s="19" t="n"/>
      <c r="E38" s="19" t="n"/>
      <c r="F38" s="19" t="n"/>
      <c r="G38" s="4" t="inlineStr">
        <is>
          <t>移行予定者を個別に確認する</t>
        </is>
      </c>
    </row>
    <row r="39">
      <c r="A39" s="4" t="inlineStr">
        <is>
          <t>＋　新規支給決定（相談・転入等）</t>
        </is>
      </c>
      <c r="B39" s="8" t="inlineStr">
        <is>
          <t>人／月</t>
        </is>
      </c>
      <c r="C39" s="21" t="n"/>
      <c r="D39" s="19" t="n"/>
      <c r="E39" s="19" t="n"/>
      <c r="F39" s="19" t="n"/>
      <c r="G39" s="4" t="inlineStr">
        <is>
          <t>相談支援事業所からの利用開始相談を含む</t>
        </is>
      </c>
    </row>
    <row r="40">
      <c r="A40" s="4" t="inlineStr">
        <is>
          <t>－　65歳到達・介護保険移行</t>
        </is>
      </c>
      <c r="B40" s="8" t="inlineStr">
        <is>
          <t>人／月</t>
        </is>
      </c>
      <c r="C40" s="22" t="n"/>
      <c r="D40" s="23" t="n"/>
      <c r="E40" s="23" t="n"/>
      <c r="F40" s="23" t="n"/>
      <c r="G40" s="4" t="inlineStr">
        <is>
          <t>06_65歳移行判定の結果を反映する。一律に減算しない</t>
        </is>
      </c>
    </row>
    <row r="41">
      <c r="A41" s="4" t="inlineStr">
        <is>
          <t>－　一般就労・サービス終了</t>
        </is>
      </c>
      <c r="B41" s="8" t="inlineStr">
        <is>
          <t>人／月</t>
        </is>
      </c>
      <c r="C41" s="22" t="n"/>
      <c r="D41" s="23" t="n"/>
      <c r="E41" s="23" t="n"/>
      <c r="F41" s="23" t="n"/>
      <c r="G41" s="4" t="inlineStr">
        <is>
          <t>就労移行支援からの一般就労等</t>
        </is>
      </c>
    </row>
    <row r="42">
      <c r="A42" s="4" t="inlineStr">
        <is>
          <t>－　死亡・転出・長期入院</t>
        </is>
      </c>
      <c r="B42" s="8" t="inlineStr">
        <is>
          <t>人／月</t>
        </is>
      </c>
      <c r="C42" s="22" t="n"/>
      <c r="D42" s="23" t="n"/>
      <c r="E42" s="23" t="n"/>
      <c r="F42" s="23" t="n"/>
      <c r="G42" s="4" t="inlineStr">
        <is>
          <t>高齢化が進む本村では主要な減少要因</t>
        </is>
      </c>
    </row>
    <row r="43">
      <c r="A43" s="24" t="inlineStr">
        <is>
          <t>＝　利用者数</t>
        </is>
      </c>
      <c r="B43" s="25" t="inlineStr">
        <is>
          <t>人／月</t>
        </is>
      </c>
      <c r="C43" s="26">
        <f>C36</f>
        <v/>
      </c>
      <c r="D43" s="26">
        <f>D36+SUM(D37:D39)-SUM(D40:D42)</f>
        <v/>
      </c>
      <c r="E43" s="26">
        <f>E36+SUM(E37:E39)-SUM(E40:E42)</f>
        <v/>
      </c>
      <c r="F43" s="26">
        <f>F36+SUM(F37:F39)-SUM(F40:F42)</f>
        <v/>
      </c>
      <c r="G43" s="4" t="inlineStr">
        <is>
          <t>継続＋流入－流出</t>
        </is>
      </c>
    </row>
    <row r="44">
      <c r="A44" s="4" t="inlineStr">
        <is>
          <t xml:space="preserve">　　1人当たり月利用量</t>
        </is>
      </c>
      <c r="B44" s="8" t="inlineStr">
        <is>
          <t>人日／月</t>
        </is>
      </c>
      <c r="C44" s="27" t="n"/>
      <c r="D44" s="27" t="n"/>
      <c r="E44" s="27" t="n"/>
      <c r="F44" s="27" t="n"/>
      <c r="G44" s="4" t="inlineStr">
        <is>
          <t>利用者ごとの月間予定量の平均</t>
        </is>
      </c>
    </row>
    <row r="45">
      <c r="A45" s="24" t="inlineStr">
        <is>
          <t>＝　月間サービス量</t>
        </is>
      </c>
      <c r="B45" s="25" t="inlineStr">
        <is>
          <t>人日／月</t>
        </is>
      </c>
      <c r="C45" s="28">
        <f>ROUND(C43*C44,1)</f>
        <v/>
      </c>
      <c r="D45" s="28">
        <f>ROUND(D43*D44,1)</f>
        <v/>
      </c>
      <c r="E45" s="28">
        <f>ROUND(E43*E44,1)</f>
        <v/>
      </c>
      <c r="F45" s="28">
        <f>ROUND(F43*F44,1)</f>
        <v/>
      </c>
      <c r="G45" s="4" t="inlineStr">
        <is>
          <t>利用者数×1人当たり月利用量</t>
        </is>
      </c>
    </row>
    <row r="47">
      <c r="A47" s="10"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9" t="n">
        <v>1</v>
      </c>
      <c r="D50" s="20">
        <f>C57</f>
        <v/>
      </c>
      <c r="E50" s="20">
        <f>D57</f>
        <v/>
      </c>
      <c r="F50" s="20">
        <f>E57</f>
        <v/>
      </c>
      <c r="G50" s="4" t="inlineStr">
        <is>
          <t>前年度の利用者数を繰り越す</t>
        </is>
      </c>
    </row>
    <row r="51">
      <c r="A51" s="4" t="inlineStr">
        <is>
          <t>＋　特別支援学校卒業・18歳到達</t>
        </is>
      </c>
      <c r="B51" s="8" t="inlineStr">
        <is>
          <t>人／月</t>
        </is>
      </c>
      <c r="C51" s="21" t="n"/>
      <c r="D51" s="19" t="n"/>
      <c r="E51" s="19" t="n"/>
      <c r="F51" s="19" t="n"/>
      <c r="G51" s="4" t="inlineStr">
        <is>
          <t>02_年齢到達者一覧から転記する</t>
        </is>
      </c>
    </row>
    <row r="52">
      <c r="A52" s="4" t="inlineStr">
        <is>
          <t>＋　施設・病院からの地域移行</t>
        </is>
      </c>
      <c r="B52" s="8" t="inlineStr">
        <is>
          <t>人／月</t>
        </is>
      </c>
      <c r="C52" s="21" t="n"/>
      <c r="D52" s="19" t="n"/>
      <c r="E52" s="19" t="n"/>
      <c r="F52" s="19" t="n"/>
      <c r="G52" s="4" t="inlineStr">
        <is>
          <t>移行予定者を個別に確認する</t>
        </is>
      </c>
    </row>
    <row r="53">
      <c r="A53" s="4" t="inlineStr">
        <is>
          <t>＋　新規支給決定（相談・転入等）</t>
        </is>
      </c>
      <c r="B53" s="8" t="inlineStr">
        <is>
          <t>人／月</t>
        </is>
      </c>
      <c r="C53" s="21" t="n"/>
      <c r="D53" s="19" t="n"/>
      <c r="E53" s="19" t="n"/>
      <c r="F53" s="19" t="n"/>
      <c r="G53" s="4" t="inlineStr">
        <is>
          <t>相談支援事業所からの利用開始相談を含む</t>
        </is>
      </c>
    </row>
    <row r="54">
      <c r="A54" s="4" t="inlineStr">
        <is>
          <t>－　65歳到達・介護保険移行</t>
        </is>
      </c>
      <c r="B54" s="8" t="inlineStr">
        <is>
          <t>人／月</t>
        </is>
      </c>
      <c r="C54" s="22" t="n"/>
      <c r="D54" s="23" t="n"/>
      <c r="E54" s="23" t="n"/>
      <c r="F54" s="23" t="n"/>
      <c r="G54" s="4" t="inlineStr">
        <is>
          <t>06_65歳移行判定の結果を反映する。一律に減算しない</t>
        </is>
      </c>
    </row>
    <row r="55">
      <c r="A55" s="4" t="inlineStr">
        <is>
          <t>－　一般就労・サービス終了</t>
        </is>
      </c>
      <c r="B55" s="8" t="inlineStr">
        <is>
          <t>人／月</t>
        </is>
      </c>
      <c r="C55" s="22" t="n"/>
      <c r="D55" s="23" t="n"/>
      <c r="E55" s="23" t="n"/>
      <c r="F55" s="23" t="n"/>
      <c r="G55" s="4" t="inlineStr">
        <is>
          <t>就労移行支援からの一般就労等</t>
        </is>
      </c>
    </row>
    <row r="56">
      <c r="A56" s="4" t="inlineStr">
        <is>
          <t>－　死亡・転出・長期入院</t>
        </is>
      </c>
      <c r="B56" s="8" t="inlineStr">
        <is>
          <t>人／月</t>
        </is>
      </c>
      <c r="C56" s="22" t="n"/>
      <c r="D56" s="23" t="n"/>
      <c r="E56" s="23" t="n"/>
      <c r="F56" s="23" t="n"/>
      <c r="G56" s="4" t="inlineStr">
        <is>
          <t>高齢化が進む本村では主要な減少要因</t>
        </is>
      </c>
    </row>
    <row r="57">
      <c r="A57" s="24" t="inlineStr">
        <is>
          <t>＝　利用者数</t>
        </is>
      </c>
      <c r="B57" s="25" t="inlineStr">
        <is>
          <t>人／月</t>
        </is>
      </c>
      <c r="C57" s="26">
        <f>C50</f>
        <v/>
      </c>
      <c r="D57" s="26">
        <f>D50+SUM(D51:D53)-SUM(D54:D56)</f>
        <v/>
      </c>
      <c r="E57" s="26">
        <f>E50+SUM(E51:E53)-SUM(E54:E56)</f>
        <v/>
      </c>
      <c r="F57" s="26">
        <f>F50+SUM(F51:F53)-SUM(F54:F56)</f>
        <v/>
      </c>
      <c r="G57" s="4" t="inlineStr">
        <is>
          <t>継続＋流入－流出</t>
        </is>
      </c>
    </row>
    <row r="58">
      <c r="A58" s="4" t="inlineStr">
        <is>
          <t xml:space="preserve">　　1人当たり月利用量</t>
        </is>
      </c>
      <c r="B58" s="8" t="inlineStr">
        <is>
          <t>人日／月</t>
        </is>
      </c>
      <c r="C58" s="27" t="n">
        <v>12</v>
      </c>
      <c r="D58" s="27" t="n">
        <v>12</v>
      </c>
      <c r="E58" s="27" t="n">
        <v>12</v>
      </c>
      <c r="F58" s="27" t="n">
        <v>12</v>
      </c>
      <c r="G58" s="4" t="inlineStr">
        <is>
          <t>利用者ごとの月間予定量の平均</t>
        </is>
      </c>
    </row>
    <row r="59">
      <c r="A59" s="24" t="inlineStr">
        <is>
          <t>＝　月間サービス量</t>
        </is>
      </c>
      <c r="B59" s="25" t="inlineStr">
        <is>
          <t>人日／月</t>
        </is>
      </c>
      <c r="C59" s="28">
        <f>ROUND(C57*C58,1)</f>
        <v/>
      </c>
      <c r="D59" s="28">
        <f>ROUND(D57*D58,1)</f>
        <v/>
      </c>
      <c r="E59" s="28">
        <f>ROUND(E57*E58,1)</f>
        <v/>
      </c>
      <c r="F59" s="28">
        <f>ROUND(F57*F58,1)</f>
        <v/>
      </c>
      <c r="G59" s="4" t="inlineStr">
        <is>
          <t>利用者数×1人当たり月利用量</t>
        </is>
      </c>
    </row>
    <row r="61">
      <c r="A61" s="10"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9" t="n">
        <v>0</v>
      </c>
      <c r="D64" s="20">
        <f>C71</f>
        <v/>
      </c>
      <c r="E64" s="20">
        <f>D71</f>
        <v/>
      </c>
      <c r="F64" s="20">
        <f>E71</f>
        <v/>
      </c>
      <c r="G64" s="4" t="inlineStr">
        <is>
          <t>前年度の利用者数を繰り越す</t>
        </is>
      </c>
    </row>
    <row r="65">
      <c r="A65" s="4" t="inlineStr">
        <is>
          <t>＋　特別支援学校卒業・18歳到達</t>
        </is>
      </c>
      <c r="B65" s="8" t="inlineStr">
        <is>
          <t>人／月</t>
        </is>
      </c>
      <c r="C65" s="21" t="n"/>
      <c r="D65" s="19" t="n"/>
      <c r="E65" s="19" t="n"/>
      <c r="F65" s="19" t="n"/>
      <c r="G65" s="4" t="inlineStr">
        <is>
          <t>02_年齢到達者一覧から転記する</t>
        </is>
      </c>
    </row>
    <row r="66">
      <c r="A66" s="4" t="inlineStr">
        <is>
          <t>＋　施設・病院からの地域移行</t>
        </is>
      </c>
      <c r="B66" s="8" t="inlineStr">
        <is>
          <t>人／月</t>
        </is>
      </c>
      <c r="C66" s="21" t="n"/>
      <c r="D66" s="19" t="n"/>
      <c r="E66" s="19" t="n"/>
      <c r="F66" s="19" t="n"/>
      <c r="G66" s="4" t="inlineStr">
        <is>
          <t>移行予定者を個別に確認する</t>
        </is>
      </c>
    </row>
    <row r="67">
      <c r="A67" s="4" t="inlineStr">
        <is>
          <t>＋　新規支給決定（相談・転入等）</t>
        </is>
      </c>
      <c r="B67" s="8" t="inlineStr">
        <is>
          <t>人／月</t>
        </is>
      </c>
      <c r="C67" s="21" t="n"/>
      <c r="D67" s="19" t="n"/>
      <c r="E67" s="19" t="n"/>
      <c r="F67" s="19" t="n"/>
      <c r="G67" s="4" t="inlineStr">
        <is>
          <t>相談支援事業所からの利用開始相談を含む</t>
        </is>
      </c>
    </row>
    <row r="68">
      <c r="A68" s="4" t="inlineStr">
        <is>
          <t>－　65歳到達・介護保険移行</t>
        </is>
      </c>
      <c r="B68" s="8" t="inlineStr">
        <is>
          <t>人／月</t>
        </is>
      </c>
      <c r="C68" s="22" t="n"/>
      <c r="D68" s="23" t="n"/>
      <c r="E68" s="23" t="n"/>
      <c r="F68" s="23" t="n"/>
      <c r="G68" s="4" t="inlineStr">
        <is>
          <t>06_65歳移行判定の結果を反映する。一律に減算しない</t>
        </is>
      </c>
    </row>
    <row r="69">
      <c r="A69" s="4" t="inlineStr">
        <is>
          <t>－　一般就労・サービス終了</t>
        </is>
      </c>
      <c r="B69" s="8" t="inlineStr">
        <is>
          <t>人／月</t>
        </is>
      </c>
      <c r="C69" s="22" t="n"/>
      <c r="D69" s="23" t="n"/>
      <c r="E69" s="23" t="n"/>
      <c r="F69" s="23" t="n"/>
      <c r="G69" s="4" t="inlineStr">
        <is>
          <t>就労移行支援からの一般就労等</t>
        </is>
      </c>
    </row>
    <row r="70">
      <c r="A70" s="4" t="inlineStr">
        <is>
          <t>－　死亡・転出・長期入院</t>
        </is>
      </c>
      <c r="B70" s="8" t="inlineStr">
        <is>
          <t>人／月</t>
        </is>
      </c>
      <c r="C70" s="22" t="n"/>
      <c r="D70" s="23" t="n"/>
      <c r="E70" s="23" t="n"/>
      <c r="F70" s="23" t="n"/>
      <c r="G70" s="4" t="inlineStr">
        <is>
          <t>高齢化が進む本村では主要な減少要因</t>
        </is>
      </c>
    </row>
    <row r="71">
      <c r="A71" s="24" t="inlineStr">
        <is>
          <t>＝　利用者数</t>
        </is>
      </c>
      <c r="B71" s="25" t="inlineStr">
        <is>
          <t>人／月</t>
        </is>
      </c>
      <c r="C71" s="26">
        <f>C64</f>
        <v/>
      </c>
      <c r="D71" s="26">
        <f>D64+SUM(D65:D67)-SUM(D68:D70)</f>
        <v/>
      </c>
      <c r="E71" s="26">
        <f>E64+SUM(E65:E67)-SUM(E68:E70)</f>
        <v/>
      </c>
      <c r="F71" s="26">
        <f>F64+SUM(F65:F67)-SUM(F68:F70)</f>
        <v/>
      </c>
      <c r="G71" s="4" t="inlineStr">
        <is>
          <t>継続＋流入－流出</t>
        </is>
      </c>
    </row>
    <row r="72">
      <c r="A72" s="4" t="inlineStr">
        <is>
          <t xml:space="preserve">　　1人当たり月利用量</t>
        </is>
      </c>
      <c r="B72" s="8" t="inlineStr">
        <is>
          <t>―</t>
        </is>
      </c>
      <c r="C72" s="27" t="n"/>
      <c r="D72" s="27" t="n"/>
      <c r="E72" s="27" t="n"/>
      <c r="F72" s="27" t="n"/>
      <c r="G72" s="4" t="inlineStr">
        <is>
          <t>利用者ごとの月間予定量の平均</t>
        </is>
      </c>
    </row>
    <row r="73">
      <c r="A73" s="24" t="inlineStr">
        <is>
          <t>＝　月間サービス量</t>
        </is>
      </c>
      <c r="B73" s="25" t="inlineStr">
        <is>
          <t>―</t>
        </is>
      </c>
      <c r="C73" s="28">
        <f>ROUND(C71*C72,1)</f>
        <v/>
      </c>
      <c r="D73" s="28">
        <f>ROUND(D71*D72,1)</f>
        <v/>
      </c>
      <c r="E73" s="28">
        <f>ROUND(E71*E72,1)</f>
        <v/>
      </c>
      <c r="F73" s="28">
        <f>ROUND(F71*F72,1)</f>
        <v/>
      </c>
      <c r="G73" s="4" t="inlineStr">
        <is>
          <t>利用者数×1人当たり月利用量</t>
        </is>
      </c>
    </row>
    <row r="75">
      <c r="A75" s="10"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9" t="n">
        <v>1</v>
      </c>
      <c r="D78" s="20">
        <f>C85</f>
        <v/>
      </c>
      <c r="E78" s="20">
        <f>D85</f>
        <v/>
      </c>
      <c r="F78" s="20">
        <f>E85</f>
        <v/>
      </c>
      <c r="G78" s="4" t="inlineStr">
        <is>
          <t>前年度の利用者数を繰り越す</t>
        </is>
      </c>
    </row>
    <row r="79">
      <c r="A79" s="4" t="inlineStr">
        <is>
          <t>＋　特別支援学校卒業・18歳到達</t>
        </is>
      </c>
      <c r="B79" s="8" t="inlineStr">
        <is>
          <t>人／月</t>
        </is>
      </c>
      <c r="C79" s="21" t="n"/>
      <c r="D79" s="19" t="n"/>
      <c r="E79" s="19" t="n"/>
      <c r="F79" s="19" t="n"/>
      <c r="G79" s="4" t="inlineStr">
        <is>
          <t>02_年齢到達者一覧から転記する</t>
        </is>
      </c>
    </row>
    <row r="80">
      <c r="A80" s="4" t="inlineStr">
        <is>
          <t>＋　施設・病院からの地域移行</t>
        </is>
      </c>
      <c r="B80" s="8" t="inlineStr">
        <is>
          <t>人／月</t>
        </is>
      </c>
      <c r="C80" s="21" t="n"/>
      <c r="D80" s="19" t="n"/>
      <c r="E80" s="19" t="n"/>
      <c r="F80" s="19" t="n"/>
      <c r="G80" s="4" t="inlineStr">
        <is>
          <t>移行予定者を個別に確認する</t>
        </is>
      </c>
    </row>
    <row r="81">
      <c r="A81" s="4" t="inlineStr">
        <is>
          <t>＋　新規支給決定（相談・転入等）</t>
        </is>
      </c>
      <c r="B81" s="8" t="inlineStr">
        <is>
          <t>人／月</t>
        </is>
      </c>
      <c r="C81" s="21" t="n"/>
      <c r="D81" s="19" t="n"/>
      <c r="E81" s="19" t="n"/>
      <c r="F81" s="19" t="n"/>
      <c r="G81" s="4" t="inlineStr">
        <is>
          <t>相談支援事業所からの利用開始相談を含む</t>
        </is>
      </c>
    </row>
    <row r="82">
      <c r="A82" s="4" t="inlineStr">
        <is>
          <t>－　65歳到達・介護保険移行</t>
        </is>
      </c>
      <c r="B82" s="8" t="inlineStr">
        <is>
          <t>人／月</t>
        </is>
      </c>
      <c r="C82" s="22" t="n"/>
      <c r="D82" s="23" t="n"/>
      <c r="E82" s="23" t="n"/>
      <c r="F82" s="23" t="n"/>
      <c r="G82" s="4" t="inlineStr">
        <is>
          <t>06_65歳移行判定の結果を反映する。一律に減算しない</t>
        </is>
      </c>
    </row>
    <row r="83">
      <c r="A83" s="4" t="inlineStr">
        <is>
          <t>－　一般就労・サービス終了</t>
        </is>
      </c>
      <c r="B83" s="8" t="inlineStr">
        <is>
          <t>人／月</t>
        </is>
      </c>
      <c r="C83" s="22" t="n"/>
      <c r="D83" s="23" t="n"/>
      <c r="E83" s="23" t="n"/>
      <c r="F83" s="23" t="n"/>
      <c r="G83" s="4" t="inlineStr">
        <is>
          <t>就労移行支援からの一般就労等</t>
        </is>
      </c>
    </row>
    <row r="84">
      <c r="A84" s="4" t="inlineStr">
        <is>
          <t>－　死亡・転出・長期入院</t>
        </is>
      </c>
      <c r="B84" s="8" t="inlineStr">
        <is>
          <t>人／月</t>
        </is>
      </c>
      <c r="C84" s="22" t="n"/>
      <c r="D84" s="23" t="n"/>
      <c r="E84" s="23" t="n"/>
      <c r="F84" s="23" t="n"/>
      <c r="G84" s="4" t="inlineStr">
        <is>
          <t>高齢化が進む本村では主要な減少要因</t>
        </is>
      </c>
    </row>
    <row r="85">
      <c r="A85" s="24" t="inlineStr">
        <is>
          <t>＝　利用者数</t>
        </is>
      </c>
      <c r="B85" s="25" t="inlineStr">
        <is>
          <t>人／月</t>
        </is>
      </c>
      <c r="C85" s="26">
        <f>C78</f>
        <v/>
      </c>
      <c r="D85" s="26">
        <f>D78+SUM(D79:D81)-SUM(D82:D84)</f>
        <v/>
      </c>
      <c r="E85" s="26">
        <f>E78+SUM(E79:E81)-SUM(E82:E84)</f>
        <v/>
      </c>
      <c r="F85" s="26">
        <f>F78+SUM(F79:F81)-SUM(F82:F84)</f>
        <v/>
      </c>
      <c r="G85" s="4" t="inlineStr">
        <is>
          <t>継続＋流入－流出</t>
        </is>
      </c>
    </row>
    <row r="86">
      <c r="A86" s="4" t="inlineStr">
        <is>
          <t xml:space="preserve">　　1人当たり月利用量</t>
        </is>
      </c>
      <c r="B86" s="8" t="inlineStr">
        <is>
          <t>人日／月</t>
        </is>
      </c>
      <c r="C86" s="27" t="n">
        <v>10</v>
      </c>
      <c r="D86" s="27" t="n">
        <v>10</v>
      </c>
      <c r="E86" s="27" t="n">
        <v>10</v>
      </c>
      <c r="F86" s="27" t="n">
        <v>10</v>
      </c>
      <c r="G86" s="4" t="inlineStr">
        <is>
          <t>利用者ごとの月間予定量の平均</t>
        </is>
      </c>
    </row>
    <row r="87">
      <c r="A87" s="24" t="inlineStr">
        <is>
          <t>＝　月間サービス量</t>
        </is>
      </c>
      <c r="B87" s="25" t="inlineStr">
        <is>
          <t>人日／月</t>
        </is>
      </c>
      <c r="C87" s="28">
        <f>ROUND(C85*C86,1)</f>
        <v/>
      </c>
      <c r="D87" s="28">
        <f>ROUND(D85*D86,1)</f>
        <v/>
      </c>
      <c r="E87" s="28">
        <f>ROUND(E85*E86,1)</f>
        <v/>
      </c>
      <c r="F87" s="28">
        <f>ROUND(F85*F86,1)</f>
        <v/>
      </c>
      <c r="G87" s="4" t="inlineStr">
        <is>
          <t>利用者数×1人当たり月利用量</t>
        </is>
      </c>
    </row>
    <row r="89">
      <c r="A89" s="10"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9" t="n">
        <v>1</v>
      </c>
      <c r="D92" s="20">
        <f>C99</f>
        <v/>
      </c>
      <c r="E92" s="20">
        <f>D99</f>
        <v/>
      </c>
      <c r="F92" s="20">
        <f>E99</f>
        <v/>
      </c>
      <c r="G92" s="4" t="inlineStr">
        <is>
          <t>前年度の利用者数を繰り越す</t>
        </is>
      </c>
    </row>
    <row r="93">
      <c r="A93" s="4" t="inlineStr">
        <is>
          <t>＋　特別支援学校卒業・18歳到達</t>
        </is>
      </c>
      <c r="B93" s="8" t="inlineStr">
        <is>
          <t>人／月</t>
        </is>
      </c>
      <c r="C93" s="21" t="n"/>
      <c r="D93" s="19" t="n"/>
      <c r="E93" s="19" t="n"/>
      <c r="F93" s="19" t="n"/>
      <c r="G93" s="4" t="inlineStr">
        <is>
          <t>02_年齢到達者一覧から転記する</t>
        </is>
      </c>
    </row>
    <row r="94">
      <c r="A94" s="4" t="inlineStr">
        <is>
          <t>＋　施設・病院からの地域移行</t>
        </is>
      </c>
      <c r="B94" s="8" t="inlineStr">
        <is>
          <t>人／月</t>
        </is>
      </c>
      <c r="C94" s="21" t="n"/>
      <c r="D94" s="19" t="n"/>
      <c r="E94" s="19" t="n"/>
      <c r="F94" s="19" t="n"/>
      <c r="G94" s="4" t="inlineStr">
        <is>
          <t>移行予定者を個別に確認する</t>
        </is>
      </c>
    </row>
    <row r="95">
      <c r="A95" s="4" t="inlineStr">
        <is>
          <t>＋　新規支給決定（相談・転入等）</t>
        </is>
      </c>
      <c r="B95" s="8" t="inlineStr">
        <is>
          <t>人／月</t>
        </is>
      </c>
      <c r="C95" s="21" t="n"/>
      <c r="D95" s="19" t="n"/>
      <c r="E95" s="19" t="n"/>
      <c r="F95" s="19" t="n"/>
      <c r="G95" s="4" t="inlineStr">
        <is>
          <t>相談支援事業所からの利用開始相談を含む</t>
        </is>
      </c>
    </row>
    <row r="96">
      <c r="A96" s="4" t="inlineStr">
        <is>
          <t>－　65歳到達・介護保険移行</t>
        </is>
      </c>
      <c r="B96" s="8" t="inlineStr">
        <is>
          <t>人／月</t>
        </is>
      </c>
      <c r="C96" s="22" t="n"/>
      <c r="D96" s="23" t="n"/>
      <c r="E96" s="23" t="n"/>
      <c r="F96" s="23" t="n"/>
      <c r="G96" s="4" t="inlineStr">
        <is>
          <t>06_65歳移行判定の結果を反映する。一律に減算しない</t>
        </is>
      </c>
    </row>
    <row r="97">
      <c r="A97" s="4" t="inlineStr">
        <is>
          <t>－　一般就労・サービス終了</t>
        </is>
      </c>
      <c r="B97" s="8" t="inlineStr">
        <is>
          <t>人／月</t>
        </is>
      </c>
      <c r="C97" s="22" t="n"/>
      <c r="D97" s="23" t="n"/>
      <c r="E97" s="23" t="n"/>
      <c r="F97" s="23" t="n"/>
      <c r="G97" s="4" t="inlineStr">
        <is>
          <t>就労移行支援からの一般就労等</t>
        </is>
      </c>
    </row>
    <row r="98">
      <c r="A98" s="4" t="inlineStr">
        <is>
          <t>－　死亡・転出・長期入院</t>
        </is>
      </c>
      <c r="B98" s="8" t="inlineStr">
        <is>
          <t>人／月</t>
        </is>
      </c>
      <c r="C98" s="22" t="n"/>
      <c r="D98" s="23" t="n"/>
      <c r="E98" s="23" t="n"/>
      <c r="F98" s="23" t="n"/>
      <c r="G98" s="4" t="inlineStr">
        <is>
          <t>高齢化が進む本村では主要な減少要因</t>
        </is>
      </c>
    </row>
    <row r="99">
      <c r="A99" s="24" t="inlineStr">
        <is>
          <t>＝　利用者数</t>
        </is>
      </c>
      <c r="B99" s="25" t="inlineStr">
        <is>
          <t>人／月</t>
        </is>
      </c>
      <c r="C99" s="26">
        <f>C92</f>
        <v/>
      </c>
      <c r="D99" s="26">
        <f>D92+SUM(D93:D95)-SUM(D96:D98)</f>
        <v/>
      </c>
      <c r="E99" s="26">
        <f>E92+SUM(E93:E95)-SUM(E96:E98)</f>
        <v/>
      </c>
      <c r="F99" s="26">
        <f>F92+SUM(F93:F95)-SUM(F96:F98)</f>
        <v/>
      </c>
      <c r="G99" s="4" t="inlineStr">
        <is>
          <t>継続＋流入－流出</t>
        </is>
      </c>
    </row>
    <row r="100">
      <c r="A100" s="4" t="inlineStr">
        <is>
          <t xml:space="preserve">　　1人当たり月利用量</t>
        </is>
      </c>
      <c r="B100" s="8" t="inlineStr">
        <is>
          <t>人日／月</t>
        </is>
      </c>
      <c r="C100" s="27" t="n">
        <v>19</v>
      </c>
      <c r="D100" s="27" t="n">
        <v>19</v>
      </c>
      <c r="E100" s="27" t="n">
        <v>19</v>
      </c>
      <c r="F100" s="27" t="n">
        <v>19</v>
      </c>
      <c r="G100" s="4" t="inlineStr">
        <is>
          <t>利用者ごとの月間予定量の平均</t>
        </is>
      </c>
    </row>
    <row r="101">
      <c r="A101" s="24" t="inlineStr">
        <is>
          <t>＝　月間サービス量</t>
        </is>
      </c>
      <c r="B101" s="25" t="inlineStr">
        <is>
          <t>人日／月</t>
        </is>
      </c>
      <c r="C101" s="28">
        <f>ROUND(C99*C100,1)</f>
        <v/>
      </c>
      <c r="D101" s="28">
        <f>ROUND(D99*D100,1)</f>
        <v/>
      </c>
      <c r="E101" s="28">
        <f>ROUND(E99*E100,1)</f>
        <v/>
      </c>
      <c r="F101" s="28">
        <f>ROUND(F99*F100,1)</f>
        <v/>
      </c>
      <c r="G101" s="4" t="inlineStr">
        <is>
          <t>利用者数×1人当たり月利用量</t>
        </is>
      </c>
    </row>
    <row r="103">
      <c r="A103" s="10"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9" t="n">
        <v>11</v>
      </c>
      <c r="D106" s="20">
        <f>C113</f>
        <v/>
      </c>
      <c r="E106" s="20">
        <f>D113</f>
        <v/>
      </c>
      <c r="F106" s="20">
        <f>E113</f>
        <v/>
      </c>
      <c r="G106" s="4" t="inlineStr">
        <is>
          <t>前年度の利用者数を繰り越す</t>
        </is>
      </c>
    </row>
    <row r="107">
      <c r="A107" s="4" t="inlineStr">
        <is>
          <t>＋　特別支援学校卒業・18歳到達</t>
        </is>
      </c>
      <c r="B107" s="8" t="inlineStr">
        <is>
          <t>人／月</t>
        </is>
      </c>
      <c r="C107" s="21" t="n"/>
      <c r="D107" s="19" t="n"/>
      <c r="E107" s="19" t="n"/>
      <c r="F107" s="19" t="n"/>
      <c r="G107" s="4" t="inlineStr">
        <is>
          <t>02_年齢到達者一覧から転記する</t>
        </is>
      </c>
    </row>
    <row r="108">
      <c r="A108" s="4" t="inlineStr">
        <is>
          <t>＋　施設・病院からの地域移行</t>
        </is>
      </c>
      <c r="B108" s="8" t="inlineStr">
        <is>
          <t>人／月</t>
        </is>
      </c>
      <c r="C108" s="21" t="n"/>
      <c r="D108" s="19" t="n"/>
      <c r="E108" s="19" t="n"/>
      <c r="F108" s="19" t="n"/>
      <c r="G108" s="4" t="inlineStr">
        <is>
          <t>移行予定者を個別に確認する</t>
        </is>
      </c>
    </row>
    <row r="109">
      <c r="A109" s="4" t="inlineStr">
        <is>
          <t>＋　新規支給決定（相談・転入等）</t>
        </is>
      </c>
      <c r="B109" s="8" t="inlineStr">
        <is>
          <t>人／月</t>
        </is>
      </c>
      <c r="C109" s="21" t="n"/>
      <c r="D109" s="19" t="n"/>
      <c r="E109" s="19" t="n"/>
      <c r="F109" s="19" t="n"/>
      <c r="G109" s="4" t="inlineStr">
        <is>
          <t>相談支援事業所からの利用開始相談を含む</t>
        </is>
      </c>
    </row>
    <row r="110">
      <c r="A110" s="4" t="inlineStr">
        <is>
          <t>－　65歳到達・介護保険移行</t>
        </is>
      </c>
      <c r="B110" s="8" t="inlineStr">
        <is>
          <t>人／月</t>
        </is>
      </c>
      <c r="C110" s="22" t="n"/>
      <c r="D110" s="23" t="n"/>
      <c r="E110" s="23" t="n"/>
      <c r="F110" s="23" t="n"/>
      <c r="G110" s="4" t="inlineStr">
        <is>
          <t>06_65歳移行判定の結果を反映する。一律に減算しない</t>
        </is>
      </c>
    </row>
    <row r="111">
      <c r="A111" s="4" t="inlineStr">
        <is>
          <t>－　一般就労・サービス終了</t>
        </is>
      </c>
      <c r="B111" s="8" t="inlineStr">
        <is>
          <t>人／月</t>
        </is>
      </c>
      <c r="C111" s="22" t="n"/>
      <c r="D111" s="23" t="n"/>
      <c r="E111" s="23" t="n"/>
      <c r="F111" s="23" t="n"/>
      <c r="G111" s="4" t="inlineStr">
        <is>
          <t>就労移行支援からの一般就労等</t>
        </is>
      </c>
    </row>
    <row r="112">
      <c r="A112" s="4" t="inlineStr">
        <is>
          <t>－　死亡・転出・長期入院</t>
        </is>
      </c>
      <c r="B112" s="8" t="inlineStr">
        <is>
          <t>人／月</t>
        </is>
      </c>
      <c r="C112" s="22" t="n"/>
      <c r="D112" s="23" t="n"/>
      <c r="E112" s="23" t="n"/>
      <c r="F112" s="23" t="n"/>
      <c r="G112" s="4" t="inlineStr">
        <is>
          <t>高齢化が進む本村では主要な減少要因</t>
        </is>
      </c>
    </row>
    <row r="113">
      <c r="A113" s="24" t="inlineStr">
        <is>
          <t>＝　利用者数</t>
        </is>
      </c>
      <c r="B113" s="25" t="inlineStr">
        <is>
          <t>人／月</t>
        </is>
      </c>
      <c r="C113" s="26">
        <f>C106</f>
        <v/>
      </c>
      <c r="D113" s="26">
        <f>D106+SUM(D107:D109)-SUM(D110:D112)</f>
        <v/>
      </c>
      <c r="E113" s="26">
        <f>E106+SUM(E107:E109)-SUM(E110:E112)</f>
        <v/>
      </c>
      <c r="F113" s="26">
        <f>F106+SUM(F107:F109)-SUM(F110:F112)</f>
        <v/>
      </c>
      <c r="G113" s="4" t="inlineStr">
        <is>
          <t>継続＋流入－流出</t>
        </is>
      </c>
    </row>
    <row r="114">
      <c r="A114" s="4" t="inlineStr">
        <is>
          <t xml:space="preserve">　　1人当たり月利用量</t>
        </is>
      </c>
      <c r="B114" s="8" t="inlineStr">
        <is>
          <t>人日／月</t>
        </is>
      </c>
      <c r="C114" s="27" t="n">
        <v>18.2</v>
      </c>
      <c r="D114" s="27" t="n">
        <v>18.2</v>
      </c>
      <c r="E114" s="27" t="n">
        <v>18.2</v>
      </c>
      <c r="F114" s="27" t="n">
        <v>18.2</v>
      </c>
      <c r="G114" s="4" t="inlineStr">
        <is>
          <t>利用者ごとの月間予定量の平均</t>
        </is>
      </c>
    </row>
    <row r="115">
      <c r="A115" s="24" t="inlineStr">
        <is>
          <t>＝　月間サービス量</t>
        </is>
      </c>
      <c r="B115" s="25" t="inlineStr">
        <is>
          <t>人日／月</t>
        </is>
      </c>
      <c r="C115" s="28">
        <f>ROUND(C113*C114,1)</f>
        <v/>
      </c>
      <c r="D115" s="28">
        <f>ROUND(D113*D114,1)</f>
        <v/>
      </c>
      <c r="E115" s="28">
        <f>ROUND(E113*E114,1)</f>
        <v/>
      </c>
      <c r="F115" s="28">
        <f>ROUND(F113*F114,1)</f>
        <v/>
      </c>
      <c r="G115" s="4" t="inlineStr">
        <is>
          <t>利用者数×1人当たり月利用量</t>
        </is>
      </c>
    </row>
    <row r="117">
      <c r="A117" s="10"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9" t="n">
        <v>1</v>
      </c>
      <c r="D120" s="20">
        <f>C127</f>
        <v/>
      </c>
      <c r="E120" s="20">
        <f>D127</f>
        <v/>
      </c>
      <c r="F120" s="20">
        <f>E127</f>
        <v/>
      </c>
      <c r="G120" s="4" t="inlineStr">
        <is>
          <t>前年度の利用者数を繰り越す</t>
        </is>
      </c>
    </row>
    <row r="121">
      <c r="A121" s="4" t="inlineStr">
        <is>
          <t>＋　特別支援学校卒業・18歳到達</t>
        </is>
      </c>
      <c r="B121" s="8" t="inlineStr">
        <is>
          <t>人／月</t>
        </is>
      </c>
      <c r="C121" s="21" t="n"/>
      <c r="D121" s="19" t="n"/>
      <c r="E121" s="19" t="n"/>
      <c r="F121" s="19" t="n"/>
      <c r="G121" s="4" t="inlineStr">
        <is>
          <t>02_年齢到達者一覧から転記する</t>
        </is>
      </c>
    </row>
    <row r="122">
      <c r="A122" s="4" t="inlineStr">
        <is>
          <t>＋　施設・病院からの地域移行</t>
        </is>
      </c>
      <c r="B122" s="8" t="inlineStr">
        <is>
          <t>人／月</t>
        </is>
      </c>
      <c r="C122" s="21" t="n"/>
      <c r="D122" s="19" t="n"/>
      <c r="E122" s="19" t="n"/>
      <c r="F122" s="19" t="n"/>
      <c r="G122" s="4" t="inlineStr">
        <is>
          <t>移行予定者を個別に確認する</t>
        </is>
      </c>
    </row>
    <row r="123">
      <c r="A123" s="4" t="inlineStr">
        <is>
          <t>＋　新規支給決定（相談・転入等）</t>
        </is>
      </c>
      <c r="B123" s="8" t="inlineStr">
        <is>
          <t>人／月</t>
        </is>
      </c>
      <c r="C123" s="21" t="n"/>
      <c r="D123" s="19" t="n"/>
      <c r="E123" s="19" t="n"/>
      <c r="F123" s="19" t="n"/>
      <c r="G123" s="4" t="inlineStr">
        <is>
          <t>相談支援事業所からの利用開始相談を含む</t>
        </is>
      </c>
    </row>
    <row r="124">
      <c r="A124" s="4" t="inlineStr">
        <is>
          <t>－　65歳到達・介護保険移行</t>
        </is>
      </c>
      <c r="B124" s="8" t="inlineStr">
        <is>
          <t>人／月</t>
        </is>
      </c>
      <c r="C124" s="22" t="n"/>
      <c r="D124" s="23" t="n"/>
      <c r="E124" s="23" t="n"/>
      <c r="F124" s="23" t="n"/>
      <c r="G124" s="4" t="inlineStr">
        <is>
          <t>06_65歳移行判定の結果を反映する。一律に減算しない</t>
        </is>
      </c>
    </row>
    <row r="125">
      <c r="A125" s="4" t="inlineStr">
        <is>
          <t>－　一般就労・サービス終了</t>
        </is>
      </c>
      <c r="B125" s="8" t="inlineStr">
        <is>
          <t>人／月</t>
        </is>
      </c>
      <c r="C125" s="22" t="n"/>
      <c r="D125" s="23" t="n"/>
      <c r="E125" s="23" t="n"/>
      <c r="F125" s="23" t="n"/>
      <c r="G125" s="4" t="inlineStr">
        <is>
          <t>就労移行支援からの一般就労等</t>
        </is>
      </c>
    </row>
    <row r="126">
      <c r="A126" s="4" t="inlineStr">
        <is>
          <t>－　死亡・転出・長期入院</t>
        </is>
      </c>
      <c r="B126" s="8" t="inlineStr">
        <is>
          <t>人／月</t>
        </is>
      </c>
      <c r="C126" s="22" t="n"/>
      <c r="D126" s="23" t="n"/>
      <c r="E126" s="23" t="n"/>
      <c r="F126" s="23" t="n"/>
      <c r="G126" s="4" t="inlineStr">
        <is>
          <t>高齢化が進む本村では主要な減少要因</t>
        </is>
      </c>
    </row>
    <row r="127">
      <c r="A127" s="24" t="inlineStr">
        <is>
          <t>＝　利用者数</t>
        </is>
      </c>
      <c r="B127" s="25" t="inlineStr">
        <is>
          <t>人／月</t>
        </is>
      </c>
      <c r="C127" s="26">
        <f>C120</f>
        <v/>
      </c>
      <c r="D127" s="26">
        <f>D120+SUM(D121:D123)-SUM(D124:D126)</f>
        <v/>
      </c>
      <c r="E127" s="26">
        <f>E120+SUM(E121:E123)-SUM(E124:E126)</f>
        <v/>
      </c>
      <c r="F127" s="26">
        <f>F120+SUM(F121:F123)-SUM(F124:F126)</f>
        <v/>
      </c>
      <c r="G127" s="4" t="inlineStr">
        <is>
          <t>継続＋流入－流出</t>
        </is>
      </c>
    </row>
    <row r="128">
      <c r="A128" s="4" t="inlineStr">
        <is>
          <t xml:space="preserve">　　1人当たり月利用量</t>
        </is>
      </c>
      <c r="B128" s="8" t="inlineStr">
        <is>
          <t>―</t>
        </is>
      </c>
      <c r="C128" s="27" t="n"/>
      <c r="D128" s="27" t="n"/>
      <c r="E128" s="27" t="n"/>
      <c r="F128" s="27" t="n"/>
      <c r="G128" s="4" t="inlineStr">
        <is>
          <t>利用者ごとの月間予定量の平均</t>
        </is>
      </c>
    </row>
    <row r="129">
      <c r="A129" s="24" t="inlineStr">
        <is>
          <t>＝　月間サービス量</t>
        </is>
      </c>
      <c r="B129" s="25" t="inlineStr">
        <is>
          <t>―</t>
        </is>
      </c>
      <c r="C129" s="28">
        <f>ROUND(C127*C128,1)</f>
        <v/>
      </c>
      <c r="D129" s="28">
        <f>ROUND(D127*D128,1)</f>
        <v/>
      </c>
      <c r="E129" s="28">
        <f>ROUND(E127*E128,1)</f>
        <v/>
      </c>
      <c r="F129" s="28">
        <f>ROUND(F127*F128,1)</f>
        <v/>
      </c>
      <c r="G129" s="4" t="inlineStr">
        <is>
          <t>利用者数×1人当たり月利用量</t>
        </is>
      </c>
    </row>
    <row r="131">
      <c r="A131" s="10"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9" t="n">
        <v>8</v>
      </c>
      <c r="D134" s="20">
        <f>C141</f>
        <v/>
      </c>
      <c r="E134" s="20">
        <f>D141</f>
        <v/>
      </c>
      <c r="F134" s="20">
        <f>E141</f>
        <v/>
      </c>
      <c r="G134" s="4" t="inlineStr">
        <is>
          <t>前年度の利用者数を繰り越す</t>
        </is>
      </c>
    </row>
    <row r="135">
      <c r="A135" s="4" t="inlineStr">
        <is>
          <t>＋　特別支援学校卒業・18歳到達</t>
        </is>
      </c>
      <c r="B135" s="8" t="inlineStr">
        <is>
          <t>人／月</t>
        </is>
      </c>
      <c r="C135" s="21" t="n"/>
      <c r="D135" s="19" t="n"/>
      <c r="E135" s="19" t="n"/>
      <c r="F135" s="19" t="n"/>
      <c r="G135" s="4" t="inlineStr">
        <is>
          <t>02_年齢到達者一覧から転記する</t>
        </is>
      </c>
    </row>
    <row r="136">
      <c r="A136" s="4" t="inlineStr">
        <is>
          <t>＋　施設・病院からの地域移行</t>
        </is>
      </c>
      <c r="B136" s="8" t="inlineStr">
        <is>
          <t>人／月</t>
        </is>
      </c>
      <c r="C136" s="21" t="n"/>
      <c r="D136" s="19" t="n"/>
      <c r="E136" s="19" t="n"/>
      <c r="F136" s="19" t="n"/>
      <c r="G136" s="4" t="inlineStr">
        <is>
          <t>移行予定者を個別に確認する</t>
        </is>
      </c>
    </row>
    <row r="137">
      <c r="A137" s="4" t="inlineStr">
        <is>
          <t>＋　新規支給決定（相談・転入等）</t>
        </is>
      </c>
      <c r="B137" s="8" t="inlineStr">
        <is>
          <t>人／月</t>
        </is>
      </c>
      <c r="C137" s="21" t="n"/>
      <c r="D137" s="19" t="n"/>
      <c r="E137" s="19" t="n"/>
      <c r="F137" s="19" t="n"/>
      <c r="G137" s="4" t="inlineStr">
        <is>
          <t>相談支援事業所からの利用開始相談を含む</t>
        </is>
      </c>
    </row>
    <row r="138">
      <c r="A138" s="4" t="inlineStr">
        <is>
          <t>－　65歳到達・介護保険移行</t>
        </is>
      </c>
      <c r="B138" s="8" t="inlineStr">
        <is>
          <t>人／月</t>
        </is>
      </c>
      <c r="C138" s="22" t="n"/>
      <c r="D138" s="23" t="n"/>
      <c r="E138" s="23" t="n"/>
      <c r="F138" s="23" t="n"/>
      <c r="G138" s="4" t="inlineStr">
        <is>
          <t>06_65歳移行判定の結果を反映する。一律に減算しない</t>
        </is>
      </c>
    </row>
    <row r="139">
      <c r="A139" s="4" t="inlineStr">
        <is>
          <t>－　一般就労・サービス終了</t>
        </is>
      </c>
      <c r="B139" s="8" t="inlineStr">
        <is>
          <t>人／月</t>
        </is>
      </c>
      <c r="C139" s="22" t="n"/>
      <c r="D139" s="23" t="n"/>
      <c r="E139" s="23" t="n"/>
      <c r="F139" s="23" t="n"/>
      <c r="G139" s="4" t="inlineStr">
        <is>
          <t>就労移行支援からの一般就労等</t>
        </is>
      </c>
    </row>
    <row r="140">
      <c r="A140" s="4" t="inlineStr">
        <is>
          <t>－　死亡・転出・長期入院</t>
        </is>
      </c>
      <c r="B140" s="8" t="inlineStr">
        <is>
          <t>人／月</t>
        </is>
      </c>
      <c r="C140" s="22" t="n"/>
      <c r="D140" s="23" t="n"/>
      <c r="E140" s="23" t="n"/>
      <c r="F140" s="23" t="n"/>
      <c r="G140" s="4" t="inlineStr">
        <is>
          <t>高齢化が進む本村では主要な減少要因</t>
        </is>
      </c>
    </row>
    <row r="141">
      <c r="A141" s="24" t="inlineStr">
        <is>
          <t>＝　利用者数</t>
        </is>
      </c>
      <c r="B141" s="25" t="inlineStr">
        <is>
          <t>人／月</t>
        </is>
      </c>
      <c r="C141" s="26">
        <f>C134</f>
        <v/>
      </c>
      <c r="D141" s="26">
        <f>D134+SUM(D135:D137)-SUM(D138:D140)</f>
        <v/>
      </c>
      <c r="E141" s="26">
        <f>E134+SUM(E135:E137)-SUM(E138:E140)</f>
        <v/>
      </c>
      <c r="F141" s="26">
        <f>F134+SUM(F135:F137)-SUM(F138:F140)</f>
        <v/>
      </c>
      <c r="G141" s="4" t="inlineStr">
        <is>
          <t>継続＋流入－流出</t>
        </is>
      </c>
    </row>
    <row r="142">
      <c r="A142" s="4" t="inlineStr">
        <is>
          <t xml:space="preserve">　　1人当たり月利用量</t>
        </is>
      </c>
      <c r="B142" s="8" t="inlineStr">
        <is>
          <t>―</t>
        </is>
      </c>
      <c r="C142" s="27" t="n"/>
      <c r="D142" s="27" t="n"/>
      <c r="E142" s="27" t="n"/>
      <c r="F142" s="27" t="n"/>
      <c r="G142" s="4" t="inlineStr">
        <is>
          <t>利用者ごとの月間予定量の平均</t>
        </is>
      </c>
    </row>
    <row r="143">
      <c r="A143" s="24" t="inlineStr">
        <is>
          <t>＝　月間サービス量</t>
        </is>
      </c>
      <c r="B143" s="25" t="inlineStr">
        <is>
          <t>―</t>
        </is>
      </c>
      <c r="C143" s="28">
        <f>ROUND(C141*C142,1)</f>
        <v/>
      </c>
      <c r="D143" s="28">
        <f>ROUND(D141*D142,1)</f>
        <v/>
      </c>
      <c r="E143" s="28">
        <f>ROUND(E141*E142,1)</f>
        <v/>
      </c>
      <c r="F143" s="28">
        <f>ROUND(F141*F142,1)</f>
        <v/>
      </c>
      <c r="G143" s="4" t="inlineStr">
        <is>
          <t>利用者数×1人当たり月利用量</t>
        </is>
      </c>
    </row>
    <row r="145">
      <c r="A145" s="10"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9" t="n">
        <v>4</v>
      </c>
      <c r="D148" s="20">
        <f>C155</f>
        <v/>
      </c>
      <c r="E148" s="20">
        <f>D155</f>
        <v/>
      </c>
      <c r="F148" s="20">
        <f>E155</f>
        <v/>
      </c>
      <c r="G148" s="4" t="inlineStr">
        <is>
          <t>前年度の利用者数を繰り越す</t>
        </is>
      </c>
    </row>
    <row r="149">
      <c r="A149" s="4" t="inlineStr">
        <is>
          <t>＋　特別支援学校卒業・18歳到達</t>
        </is>
      </c>
      <c r="B149" s="8" t="inlineStr">
        <is>
          <t>人／月</t>
        </is>
      </c>
      <c r="C149" s="21" t="n"/>
      <c r="D149" s="19" t="n"/>
      <c r="E149" s="19" t="n"/>
      <c r="F149" s="19" t="n"/>
      <c r="G149" s="4" t="inlineStr">
        <is>
          <t>02_年齢到達者一覧から転記する</t>
        </is>
      </c>
    </row>
    <row r="150">
      <c r="A150" s="4" t="inlineStr">
        <is>
          <t>＋　施設・病院からの地域移行</t>
        </is>
      </c>
      <c r="B150" s="8" t="inlineStr">
        <is>
          <t>人／月</t>
        </is>
      </c>
      <c r="C150" s="21" t="n"/>
      <c r="D150" s="19" t="n"/>
      <c r="E150" s="19" t="n"/>
      <c r="F150" s="19" t="n"/>
      <c r="G150" s="4" t="inlineStr">
        <is>
          <t>移行予定者を個別に確認する</t>
        </is>
      </c>
    </row>
    <row r="151">
      <c r="A151" s="4" t="inlineStr">
        <is>
          <t>＋　新規支給決定（相談・転入等）</t>
        </is>
      </c>
      <c r="B151" s="8" t="inlineStr">
        <is>
          <t>人／月</t>
        </is>
      </c>
      <c r="C151" s="21" t="n"/>
      <c r="D151" s="19" t="n"/>
      <c r="E151" s="19" t="n"/>
      <c r="F151" s="19" t="n"/>
      <c r="G151" s="4" t="inlineStr">
        <is>
          <t>相談支援事業所からの利用開始相談を含む</t>
        </is>
      </c>
    </row>
    <row r="152">
      <c r="A152" s="4" t="inlineStr">
        <is>
          <t>－　65歳到達・介護保険移行</t>
        </is>
      </c>
      <c r="B152" s="8" t="inlineStr">
        <is>
          <t>人／月</t>
        </is>
      </c>
      <c r="C152" s="22" t="n"/>
      <c r="D152" s="23" t="n"/>
      <c r="E152" s="23" t="n"/>
      <c r="F152" s="23" t="n"/>
      <c r="G152" s="4" t="inlineStr">
        <is>
          <t>06_65歳移行判定の結果を反映する。一律に減算しない</t>
        </is>
      </c>
    </row>
    <row r="153">
      <c r="A153" s="4" t="inlineStr">
        <is>
          <t>－　一般就労・サービス終了</t>
        </is>
      </c>
      <c r="B153" s="8" t="inlineStr">
        <is>
          <t>人／月</t>
        </is>
      </c>
      <c r="C153" s="22" t="n"/>
      <c r="D153" s="23" t="n"/>
      <c r="E153" s="23" t="n"/>
      <c r="F153" s="23" t="n"/>
      <c r="G153" s="4" t="inlineStr">
        <is>
          <t>就労移行支援からの一般就労等</t>
        </is>
      </c>
    </row>
    <row r="154">
      <c r="A154" s="4" t="inlineStr">
        <is>
          <t>－　死亡・転出・長期入院</t>
        </is>
      </c>
      <c r="B154" s="8" t="inlineStr">
        <is>
          <t>人／月</t>
        </is>
      </c>
      <c r="C154" s="22" t="n"/>
      <c r="D154" s="23" t="n"/>
      <c r="E154" s="23" t="n"/>
      <c r="F154" s="23" t="n"/>
      <c r="G154" s="4" t="inlineStr">
        <is>
          <t>高齢化が進む本村では主要な減少要因</t>
        </is>
      </c>
    </row>
    <row r="155">
      <c r="A155" s="24" t="inlineStr">
        <is>
          <t>＝　利用者数</t>
        </is>
      </c>
      <c r="B155" s="25" t="inlineStr">
        <is>
          <t>人／月</t>
        </is>
      </c>
      <c r="C155" s="26">
        <f>C148</f>
        <v/>
      </c>
      <c r="D155" s="26">
        <f>D148+SUM(D149:D151)-SUM(D152:D154)</f>
        <v/>
      </c>
      <c r="E155" s="26">
        <f>E148+SUM(E149:E151)-SUM(E152:E154)</f>
        <v/>
      </c>
      <c r="F155" s="26">
        <f>F148+SUM(F149:F151)-SUM(F152:F154)</f>
        <v/>
      </c>
      <c r="G155" s="4" t="inlineStr">
        <is>
          <t>継続＋流入－流出</t>
        </is>
      </c>
    </row>
    <row r="156">
      <c r="A156" s="4" t="inlineStr">
        <is>
          <t xml:space="preserve">　　1人当たり月利用量</t>
        </is>
      </c>
      <c r="B156" s="8" t="inlineStr">
        <is>
          <t>―</t>
        </is>
      </c>
      <c r="C156" s="27" t="n"/>
      <c r="D156" s="27" t="n"/>
      <c r="E156" s="27" t="n"/>
      <c r="F156" s="27" t="n"/>
      <c r="G156" s="4" t="inlineStr">
        <is>
          <t>利用者ごとの月間予定量の平均</t>
        </is>
      </c>
    </row>
    <row r="157">
      <c r="A157" s="24" t="inlineStr">
        <is>
          <t>＝　月間サービス量</t>
        </is>
      </c>
      <c r="B157" s="25" t="inlineStr">
        <is>
          <t>―</t>
        </is>
      </c>
      <c r="C157" s="28">
        <f>ROUND(C155*C156,1)</f>
        <v/>
      </c>
      <c r="D157" s="28">
        <f>ROUND(D155*D156,1)</f>
        <v/>
      </c>
      <c r="E157" s="28">
        <f>ROUND(E155*E156,1)</f>
        <v/>
      </c>
      <c r="F157" s="28">
        <f>ROUND(F155*F156,1)</f>
        <v/>
      </c>
      <c r="G157" s="4" t="inlineStr">
        <is>
          <t>利用者数×1人当たり月利用量</t>
        </is>
      </c>
    </row>
    <row r="159">
      <c r="A159" s="10"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9" t="n">
        <v>22</v>
      </c>
      <c r="D162" s="20">
        <f>C169</f>
        <v/>
      </c>
      <c r="E162" s="20">
        <f>D169</f>
        <v/>
      </c>
      <c r="F162" s="20">
        <f>E169</f>
        <v/>
      </c>
      <c r="G162" s="4" t="inlineStr">
        <is>
          <t>前年度の利用者数を繰り越す</t>
        </is>
      </c>
    </row>
    <row r="163">
      <c r="A163" s="4" t="inlineStr">
        <is>
          <t>＋　特別支援学校卒業・18歳到達</t>
        </is>
      </c>
      <c r="B163" s="8" t="inlineStr">
        <is>
          <t>人／月</t>
        </is>
      </c>
      <c r="C163" s="21" t="n"/>
      <c r="D163" s="19" t="n"/>
      <c r="E163" s="19" t="n"/>
      <c r="F163" s="19" t="n"/>
      <c r="G163" s="4" t="inlineStr">
        <is>
          <t>02_年齢到達者一覧から転記する</t>
        </is>
      </c>
    </row>
    <row r="164">
      <c r="A164" s="4" t="inlineStr">
        <is>
          <t>＋　施設・病院からの地域移行</t>
        </is>
      </c>
      <c r="B164" s="8" t="inlineStr">
        <is>
          <t>人／月</t>
        </is>
      </c>
      <c r="C164" s="21" t="n"/>
      <c r="D164" s="19" t="n"/>
      <c r="E164" s="19" t="n"/>
      <c r="F164" s="19" t="n"/>
      <c r="G164" s="4" t="inlineStr">
        <is>
          <t>移行予定者を個別に確認する</t>
        </is>
      </c>
    </row>
    <row r="165">
      <c r="A165" s="4" t="inlineStr">
        <is>
          <t>＋　新規支給決定（相談・転入等）</t>
        </is>
      </c>
      <c r="B165" s="8" t="inlineStr">
        <is>
          <t>人／月</t>
        </is>
      </c>
      <c r="C165" s="21" t="n"/>
      <c r="D165" s="19" t="n"/>
      <c r="E165" s="19" t="n"/>
      <c r="F165" s="19" t="n"/>
      <c r="G165" s="4" t="inlineStr">
        <is>
          <t>相談支援事業所からの利用開始相談を含む</t>
        </is>
      </c>
    </row>
    <row r="166">
      <c r="A166" s="4" t="inlineStr">
        <is>
          <t>－　65歳到達・介護保険移行</t>
        </is>
      </c>
      <c r="B166" s="8" t="inlineStr">
        <is>
          <t>人／月</t>
        </is>
      </c>
      <c r="C166" s="22" t="n"/>
      <c r="D166" s="23" t="n"/>
      <c r="E166" s="23" t="n"/>
      <c r="F166" s="23" t="n"/>
      <c r="G166" s="4" t="inlineStr">
        <is>
          <t>06_65歳移行判定の結果を反映する。一律に減算しない</t>
        </is>
      </c>
    </row>
    <row r="167">
      <c r="A167" s="4" t="inlineStr">
        <is>
          <t>－　一般就労・サービス終了</t>
        </is>
      </c>
      <c r="B167" s="8" t="inlineStr">
        <is>
          <t>人／月</t>
        </is>
      </c>
      <c r="C167" s="22" t="n"/>
      <c r="D167" s="23" t="n"/>
      <c r="E167" s="23" t="n"/>
      <c r="F167" s="23" t="n"/>
      <c r="G167" s="4" t="inlineStr">
        <is>
          <t>就労移行支援からの一般就労等</t>
        </is>
      </c>
    </row>
    <row r="168">
      <c r="A168" s="4" t="inlineStr">
        <is>
          <t>－　死亡・転出・長期入院</t>
        </is>
      </c>
      <c r="B168" s="8" t="inlineStr">
        <is>
          <t>人／月</t>
        </is>
      </c>
      <c r="C168" s="22" t="n"/>
      <c r="D168" s="23" t="n"/>
      <c r="E168" s="23" t="n"/>
      <c r="F168" s="23" t="n"/>
      <c r="G168" s="4" t="inlineStr">
        <is>
          <t>高齢化が進む本村では主要な減少要因</t>
        </is>
      </c>
    </row>
    <row r="169">
      <c r="A169" s="24" t="inlineStr">
        <is>
          <t>＝　利用者数</t>
        </is>
      </c>
      <c r="B169" s="25" t="inlineStr">
        <is>
          <t>人／月</t>
        </is>
      </c>
      <c r="C169" s="26">
        <f>C162</f>
        <v/>
      </c>
      <c r="D169" s="26">
        <f>D162+SUM(D163:D165)-SUM(D166:D168)</f>
        <v/>
      </c>
      <c r="E169" s="26">
        <f>E162+SUM(E163:E165)-SUM(E166:E168)</f>
        <v/>
      </c>
      <c r="F169" s="26">
        <f>F162+SUM(F163:F165)-SUM(F166:F168)</f>
        <v/>
      </c>
      <c r="G169" s="4" t="inlineStr">
        <is>
          <t>継続＋流入－流出</t>
        </is>
      </c>
    </row>
    <row r="170">
      <c r="A170" s="4" t="inlineStr">
        <is>
          <t xml:space="preserve">　　1人当たり月利用量</t>
        </is>
      </c>
      <c r="B170" s="8" t="inlineStr">
        <is>
          <t>―</t>
        </is>
      </c>
      <c r="C170" s="27" t="n"/>
      <c r="D170" s="27" t="n"/>
      <c r="E170" s="27" t="n"/>
      <c r="F170" s="27" t="n"/>
      <c r="G170" s="4" t="inlineStr">
        <is>
          <t>利用者ごとの月間予定量の平均</t>
        </is>
      </c>
    </row>
    <row r="171">
      <c r="A171" s="24" t="inlineStr">
        <is>
          <t>＝　月間サービス量</t>
        </is>
      </c>
      <c r="B171" s="25" t="inlineStr">
        <is>
          <t>―</t>
        </is>
      </c>
      <c r="C171" s="28">
        <f>ROUND(C169*C170,1)</f>
        <v/>
      </c>
      <c r="D171" s="28">
        <f>ROUND(D169*D170,1)</f>
        <v/>
      </c>
      <c r="E171" s="28">
        <f>ROUND(E169*E170,1)</f>
        <v/>
      </c>
      <c r="F171" s="28">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1"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9"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9" t="n">
        <v>0</v>
      </c>
      <c r="D8" s="20">
        <f>C14</f>
        <v/>
      </c>
      <c r="E8" s="20">
        <f>D14</f>
        <v/>
      </c>
      <c r="F8" s="20">
        <f>E14</f>
        <v/>
      </c>
      <c r="G8" s="4" t="inlineStr">
        <is>
          <t>前年度の利用者数を繰り越す</t>
        </is>
      </c>
    </row>
    <row r="9">
      <c r="A9" s="4" t="inlineStr">
        <is>
          <t>＋　新規支給決定（診断・転入等）</t>
        </is>
      </c>
      <c r="B9" s="8" t="inlineStr">
        <is>
          <t>人／月</t>
        </is>
      </c>
      <c r="C9" s="21" t="n"/>
      <c r="D9" s="19" t="n"/>
      <c r="E9" s="19" t="n"/>
      <c r="F9" s="19" t="n"/>
      <c r="G9" s="4" t="inlineStr">
        <is>
          <t>新規の発達相談・診断からの流入</t>
        </is>
      </c>
    </row>
    <row r="10">
      <c r="A10" s="4" t="inlineStr">
        <is>
          <t>＋　就学・進級による流入</t>
        </is>
      </c>
      <c r="B10" s="8" t="inlineStr">
        <is>
          <t>人／月</t>
        </is>
      </c>
      <c r="C10" s="21" t="n"/>
      <c r="D10" s="19" t="n"/>
      <c r="E10" s="19" t="n"/>
      <c r="F10" s="19" t="n"/>
      <c r="G10" s="4" t="inlineStr">
        <is>
          <t>児童発達支援から放課後等デイサービスへの移行等</t>
        </is>
      </c>
    </row>
    <row r="11">
      <c r="A11" s="4" t="inlineStr">
        <is>
          <t>－　就学による他サービスへの移行</t>
        </is>
      </c>
      <c r="B11" s="8" t="inlineStr">
        <is>
          <t>人／月</t>
        </is>
      </c>
      <c r="C11" s="22" t="n"/>
      <c r="D11" s="23" t="n"/>
      <c r="E11" s="23" t="n"/>
      <c r="F11" s="23" t="n"/>
      <c r="G11" s="4" t="inlineStr">
        <is>
          <t>児童発達支援からの流出</t>
        </is>
      </c>
    </row>
    <row r="12">
      <c r="A12" s="4" t="inlineStr">
        <is>
          <t>－　18歳到達・高校卒業による移行</t>
        </is>
      </c>
      <c r="B12" s="8" t="inlineStr">
        <is>
          <t>人／月</t>
        </is>
      </c>
      <c r="C12" s="22" t="n"/>
      <c r="D12" s="23" t="n"/>
      <c r="E12" s="23" t="n"/>
      <c r="F12" s="23" t="n"/>
      <c r="G12" s="4" t="inlineStr">
        <is>
          <t>成人の障害福祉サービスへ。03の流入と一致させる</t>
        </is>
      </c>
    </row>
    <row r="13">
      <c r="A13" s="4" t="inlineStr">
        <is>
          <t>－　転出・利用終了</t>
        </is>
      </c>
      <c r="B13" s="8" t="inlineStr">
        <is>
          <t>人／月</t>
        </is>
      </c>
      <c r="C13" s="22" t="n"/>
      <c r="D13" s="23" t="n"/>
      <c r="E13" s="23" t="n"/>
      <c r="F13" s="23" t="n"/>
      <c r="G13" s="4" t="inlineStr"/>
    </row>
    <row r="14">
      <c r="A14" s="24" t="inlineStr">
        <is>
          <t>＝　利用者数</t>
        </is>
      </c>
      <c r="B14" s="25" t="inlineStr">
        <is>
          <t>人／月</t>
        </is>
      </c>
      <c r="C14" s="26">
        <f>C8</f>
        <v/>
      </c>
      <c r="D14" s="26">
        <f>D8+SUM(D9:D10)-SUM(D11:D13)</f>
        <v/>
      </c>
      <c r="E14" s="26">
        <f>E8+SUM(E9:E10)-SUM(E11:E13)</f>
        <v/>
      </c>
      <c r="F14" s="26">
        <f>F8+SUM(F9:F10)-SUM(F11:F13)</f>
        <v/>
      </c>
      <c r="G14" s="4" t="inlineStr">
        <is>
          <t>継続＋流入－流出</t>
        </is>
      </c>
    </row>
    <row r="15">
      <c r="A15" s="4" t="inlineStr">
        <is>
          <t xml:space="preserve">　　1人当たり月利用量</t>
        </is>
      </c>
      <c r="B15" s="8" t="inlineStr">
        <is>
          <t>人日／月</t>
        </is>
      </c>
      <c r="C15" s="27" t="n"/>
      <c r="D15" s="27" t="n"/>
      <c r="E15" s="27" t="n"/>
      <c r="F15" s="27" t="n"/>
      <c r="G15" s="4" t="inlineStr">
        <is>
          <t>利用者ごとの月間予定量の平均</t>
        </is>
      </c>
    </row>
    <row r="16">
      <c r="A16" s="24" t="inlineStr">
        <is>
          <t>＝　月間サービス量</t>
        </is>
      </c>
      <c r="B16" s="25" t="inlineStr">
        <is>
          <t>人日／月</t>
        </is>
      </c>
      <c r="C16" s="28">
        <f>ROUND(C14*C15,1)</f>
        <v/>
      </c>
      <c r="D16" s="28">
        <f>ROUND(D14*D15,1)</f>
        <v/>
      </c>
      <c r="E16" s="28">
        <f>ROUND(E14*E15,1)</f>
        <v/>
      </c>
      <c r="F16" s="28">
        <f>ROUND(F14*F15,1)</f>
        <v/>
      </c>
      <c r="G16" s="4" t="inlineStr">
        <is>
          <t>利用者数×1人当たり月利用量</t>
        </is>
      </c>
    </row>
    <row r="18">
      <c r="A18" s="29"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9" t="n">
        <v>1</v>
      </c>
      <c r="D21" s="20">
        <f>C27</f>
        <v/>
      </c>
      <c r="E21" s="20">
        <f>D27</f>
        <v/>
      </c>
      <c r="F21" s="20">
        <f>E27</f>
        <v/>
      </c>
      <c r="G21" s="4" t="inlineStr">
        <is>
          <t>前年度の利用者数を繰り越す</t>
        </is>
      </c>
    </row>
    <row r="22">
      <c r="A22" s="4" t="inlineStr">
        <is>
          <t>＋　新規支給決定（診断・転入等）</t>
        </is>
      </c>
      <c r="B22" s="8" t="inlineStr">
        <is>
          <t>人／月</t>
        </is>
      </c>
      <c r="C22" s="21" t="n"/>
      <c r="D22" s="19" t="n"/>
      <c r="E22" s="19" t="n"/>
      <c r="F22" s="19" t="n"/>
      <c r="G22" s="4" t="inlineStr">
        <is>
          <t>新規の発達相談・診断からの流入</t>
        </is>
      </c>
    </row>
    <row r="23">
      <c r="A23" s="4" t="inlineStr">
        <is>
          <t>＋　就学・進級による流入</t>
        </is>
      </c>
      <c r="B23" s="8" t="inlineStr">
        <is>
          <t>人／月</t>
        </is>
      </c>
      <c r="C23" s="21" t="n"/>
      <c r="D23" s="19" t="n"/>
      <c r="E23" s="19" t="n"/>
      <c r="F23" s="19" t="n"/>
      <c r="G23" s="4" t="inlineStr">
        <is>
          <t>児童発達支援から放課後等デイサービスへの移行等</t>
        </is>
      </c>
    </row>
    <row r="24">
      <c r="A24" s="4" t="inlineStr">
        <is>
          <t>－　就学による他サービスへの移行</t>
        </is>
      </c>
      <c r="B24" s="8" t="inlineStr">
        <is>
          <t>人／月</t>
        </is>
      </c>
      <c r="C24" s="22" t="n"/>
      <c r="D24" s="23" t="n"/>
      <c r="E24" s="23" t="n"/>
      <c r="F24" s="23" t="n"/>
      <c r="G24" s="4" t="inlineStr">
        <is>
          <t>児童発達支援からの流出</t>
        </is>
      </c>
    </row>
    <row r="25">
      <c r="A25" s="4" t="inlineStr">
        <is>
          <t>－　18歳到達・高校卒業による移行</t>
        </is>
      </c>
      <c r="B25" s="8" t="inlineStr">
        <is>
          <t>人／月</t>
        </is>
      </c>
      <c r="C25" s="22" t="n"/>
      <c r="D25" s="23" t="n"/>
      <c r="E25" s="23" t="n"/>
      <c r="F25" s="23" t="n"/>
      <c r="G25" s="4" t="inlineStr">
        <is>
          <t>成人の障害福祉サービスへ。03の流入と一致させる</t>
        </is>
      </c>
    </row>
    <row r="26">
      <c r="A26" s="4" t="inlineStr">
        <is>
          <t>－　転出・利用終了</t>
        </is>
      </c>
      <c r="B26" s="8" t="inlineStr">
        <is>
          <t>人／月</t>
        </is>
      </c>
      <c r="C26" s="22" t="n"/>
      <c r="D26" s="23" t="n"/>
      <c r="E26" s="23" t="n"/>
      <c r="F26" s="23" t="n"/>
      <c r="G26" s="4" t="inlineStr"/>
    </row>
    <row r="27">
      <c r="A27" s="24" t="inlineStr">
        <is>
          <t>＝　利用者数</t>
        </is>
      </c>
      <c r="B27" s="25" t="inlineStr">
        <is>
          <t>人／月</t>
        </is>
      </c>
      <c r="C27" s="26">
        <f>C21</f>
        <v/>
      </c>
      <c r="D27" s="26">
        <f>D21+SUM(D22:D23)-SUM(D24:D26)</f>
        <v/>
      </c>
      <c r="E27" s="26">
        <f>E21+SUM(E22:E23)-SUM(E24:E26)</f>
        <v/>
      </c>
      <c r="F27" s="26">
        <f>F21+SUM(F22:F23)-SUM(F24:F26)</f>
        <v/>
      </c>
      <c r="G27" s="4" t="inlineStr">
        <is>
          <t>継続＋流入－流出</t>
        </is>
      </c>
    </row>
    <row r="28">
      <c r="A28" s="4" t="inlineStr">
        <is>
          <t xml:space="preserve">　　1人当たり月利用量</t>
        </is>
      </c>
      <c r="B28" s="8" t="inlineStr">
        <is>
          <t>人日／月</t>
        </is>
      </c>
      <c r="C28" s="27" t="n">
        <v>2</v>
      </c>
      <c r="D28" s="27" t="n">
        <v>2</v>
      </c>
      <c r="E28" s="27" t="n">
        <v>2</v>
      </c>
      <c r="F28" s="27" t="n">
        <v>2</v>
      </c>
      <c r="G28" s="4" t="inlineStr">
        <is>
          <t>利用者ごとの月間予定量の平均</t>
        </is>
      </c>
    </row>
    <row r="29">
      <c r="A29" s="24" t="inlineStr">
        <is>
          <t>＝　月間サービス量</t>
        </is>
      </c>
      <c r="B29" s="25" t="inlineStr">
        <is>
          <t>人日／月</t>
        </is>
      </c>
      <c r="C29" s="28">
        <f>ROUND(C27*C28,1)</f>
        <v/>
      </c>
      <c r="D29" s="28">
        <f>ROUND(D27*D28,1)</f>
        <v/>
      </c>
      <c r="E29" s="28">
        <f>ROUND(E27*E28,1)</f>
        <v/>
      </c>
      <c r="F29" s="28">
        <f>ROUND(F27*F28,1)</f>
        <v/>
      </c>
      <c r="G29" s="4" t="inlineStr">
        <is>
          <t>利用者数×1人当たり月利用量</t>
        </is>
      </c>
    </row>
    <row r="31">
      <c r="A31" s="29"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9" t="n">
        <v>0</v>
      </c>
      <c r="D34" s="20">
        <f>C40</f>
        <v/>
      </c>
      <c r="E34" s="20">
        <f>D40</f>
        <v/>
      </c>
      <c r="F34" s="20">
        <f>E40</f>
        <v/>
      </c>
      <c r="G34" s="4" t="inlineStr">
        <is>
          <t>前年度の利用者数を繰り越す</t>
        </is>
      </c>
    </row>
    <row r="35">
      <c r="A35" s="4" t="inlineStr">
        <is>
          <t>＋　新規支給決定（診断・転入等）</t>
        </is>
      </c>
      <c r="B35" s="8" t="inlineStr">
        <is>
          <t>人／月</t>
        </is>
      </c>
      <c r="C35" s="21" t="n"/>
      <c r="D35" s="19" t="n"/>
      <c r="E35" s="19" t="n"/>
      <c r="F35" s="19" t="n"/>
      <c r="G35" s="4" t="inlineStr">
        <is>
          <t>新規の発達相談・診断からの流入</t>
        </is>
      </c>
    </row>
    <row r="36">
      <c r="A36" s="4" t="inlineStr">
        <is>
          <t>＋　就学・進級による流入</t>
        </is>
      </c>
      <c r="B36" s="8" t="inlineStr">
        <is>
          <t>人／月</t>
        </is>
      </c>
      <c r="C36" s="21" t="n"/>
      <c r="D36" s="19" t="n"/>
      <c r="E36" s="19" t="n"/>
      <c r="F36" s="19" t="n"/>
      <c r="G36" s="4" t="inlineStr">
        <is>
          <t>児童発達支援から放課後等デイサービスへの移行等</t>
        </is>
      </c>
    </row>
    <row r="37">
      <c r="A37" s="4" t="inlineStr">
        <is>
          <t>－　就学による他サービスへの移行</t>
        </is>
      </c>
      <c r="B37" s="8" t="inlineStr">
        <is>
          <t>人／月</t>
        </is>
      </c>
      <c r="C37" s="22" t="n"/>
      <c r="D37" s="23" t="n"/>
      <c r="E37" s="23" t="n"/>
      <c r="F37" s="23" t="n"/>
      <c r="G37" s="4" t="inlineStr">
        <is>
          <t>児童発達支援からの流出</t>
        </is>
      </c>
    </row>
    <row r="38">
      <c r="A38" s="4" t="inlineStr">
        <is>
          <t>－　18歳到達・高校卒業による移行</t>
        </is>
      </c>
      <c r="B38" s="8" t="inlineStr">
        <is>
          <t>人／月</t>
        </is>
      </c>
      <c r="C38" s="22" t="n"/>
      <c r="D38" s="23" t="n"/>
      <c r="E38" s="23" t="n"/>
      <c r="F38" s="23" t="n"/>
      <c r="G38" s="4" t="inlineStr">
        <is>
          <t>成人の障害福祉サービスへ。03の流入と一致させる</t>
        </is>
      </c>
    </row>
    <row r="39">
      <c r="A39" s="4" t="inlineStr">
        <is>
          <t>－　転出・利用終了</t>
        </is>
      </c>
      <c r="B39" s="8" t="inlineStr">
        <is>
          <t>人／月</t>
        </is>
      </c>
      <c r="C39" s="22" t="n"/>
      <c r="D39" s="23" t="n"/>
      <c r="E39" s="23" t="n"/>
      <c r="F39" s="23" t="n"/>
      <c r="G39" s="4" t="inlineStr"/>
    </row>
    <row r="40">
      <c r="A40" s="24" t="inlineStr">
        <is>
          <t>＝　利用者数</t>
        </is>
      </c>
      <c r="B40" s="25" t="inlineStr">
        <is>
          <t>人／月</t>
        </is>
      </c>
      <c r="C40" s="26">
        <f>C34</f>
        <v/>
      </c>
      <c r="D40" s="26">
        <f>D34+SUM(D35:D36)-SUM(D37:D39)</f>
        <v/>
      </c>
      <c r="E40" s="26">
        <f>E34+SUM(E35:E36)-SUM(E37:E39)</f>
        <v/>
      </c>
      <c r="F40" s="26">
        <f>F34+SUM(F35:F36)-SUM(F37:F39)</f>
        <v/>
      </c>
      <c r="G40" s="4" t="inlineStr">
        <is>
          <t>継続＋流入－流出</t>
        </is>
      </c>
    </row>
    <row r="41">
      <c r="A41" s="4" t="inlineStr">
        <is>
          <t xml:space="preserve">　　1人当たり月利用量</t>
        </is>
      </c>
      <c r="B41" s="8" t="inlineStr">
        <is>
          <t>―</t>
        </is>
      </c>
      <c r="C41" s="27" t="n"/>
      <c r="D41" s="27" t="n"/>
      <c r="E41" s="27" t="n"/>
      <c r="F41" s="27" t="n"/>
      <c r="G41" s="4" t="inlineStr">
        <is>
          <t>利用者ごとの月間予定量の平均</t>
        </is>
      </c>
    </row>
    <row r="42">
      <c r="A42" s="24" t="inlineStr">
        <is>
          <t>＝　月間サービス量</t>
        </is>
      </c>
      <c r="B42" s="25" t="inlineStr">
        <is>
          <t>―</t>
        </is>
      </c>
      <c r="C42" s="28">
        <f>ROUND(C40*C41,1)</f>
        <v/>
      </c>
      <c r="D42" s="28">
        <f>ROUND(D40*D41,1)</f>
        <v/>
      </c>
      <c r="E42" s="28">
        <f>ROUND(E40*E41,1)</f>
        <v/>
      </c>
      <c r="F42" s="28">
        <f>ROUND(F40*F41,1)</f>
        <v/>
      </c>
      <c r="G42" s="4" t="inlineStr">
        <is>
          <t>利用者数×1人当たり月利用量</t>
        </is>
      </c>
    </row>
    <row r="44">
      <c r="A44" s="29"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9" t="n">
        <v>0</v>
      </c>
      <c r="D47" s="20">
        <f>C53</f>
        <v/>
      </c>
      <c r="E47" s="20">
        <f>D53</f>
        <v/>
      </c>
      <c r="F47" s="20">
        <f>E53</f>
        <v/>
      </c>
      <c r="G47" s="4" t="inlineStr">
        <is>
          <t>前年度の利用者数を繰り越す</t>
        </is>
      </c>
    </row>
    <row r="48">
      <c r="A48" s="4" t="inlineStr">
        <is>
          <t>＋　新規支給決定（診断・転入等）</t>
        </is>
      </c>
      <c r="B48" s="8" t="inlineStr">
        <is>
          <t>人／月</t>
        </is>
      </c>
      <c r="C48" s="21" t="n"/>
      <c r="D48" s="19" t="n"/>
      <c r="E48" s="19" t="n"/>
      <c r="F48" s="19" t="n"/>
      <c r="G48" s="4" t="inlineStr">
        <is>
          <t>新規の発達相談・診断からの流入</t>
        </is>
      </c>
    </row>
    <row r="49">
      <c r="A49" s="4" t="inlineStr">
        <is>
          <t>＋　就学・進級による流入</t>
        </is>
      </c>
      <c r="B49" s="8" t="inlineStr">
        <is>
          <t>人／月</t>
        </is>
      </c>
      <c r="C49" s="21" t="n"/>
      <c r="D49" s="19" t="n"/>
      <c r="E49" s="19" t="n"/>
      <c r="F49" s="19" t="n"/>
      <c r="G49" s="4" t="inlineStr">
        <is>
          <t>児童発達支援から放課後等デイサービスへの移行等</t>
        </is>
      </c>
    </row>
    <row r="50">
      <c r="A50" s="4" t="inlineStr">
        <is>
          <t>－　就学による他サービスへの移行</t>
        </is>
      </c>
      <c r="B50" s="8" t="inlineStr">
        <is>
          <t>人／月</t>
        </is>
      </c>
      <c r="C50" s="22" t="n"/>
      <c r="D50" s="23" t="n"/>
      <c r="E50" s="23" t="n"/>
      <c r="F50" s="23" t="n"/>
      <c r="G50" s="4" t="inlineStr">
        <is>
          <t>児童発達支援からの流出</t>
        </is>
      </c>
    </row>
    <row r="51">
      <c r="A51" s="4" t="inlineStr">
        <is>
          <t>－　18歳到達・高校卒業による移行</t>
        </is>
      </c>
      <c r="B51" s="8" t="inlineStr">
        <is>
          <t>人／月</t>
        </is>
      </c>
      <c r="C51" s="22" t="n"/>
      <c r="D51" s="23" t="n"/>
      <c r="E51" s="23" t="n"/>
      <c r="F51" s="23" t="n"/>
      <c r="G51" s="4" t="inlineStr">
        <is>
          <t>成人の障害福祉サービスへ。03の流入と一致させる</t>
        </is>
      </c>
    </row>
    <row r="52">
      <c r="A52" s="4" t="inlineStr">
        <is>
          <t>－　転出・利用終了</t>
        </is>
      </c>
      <c r="B52" s="8" t="inlineStr">
        <is>
          <t>人／月</t>
        </is>
      </c>
      <c r="C52" s="22" t="n"/>
      <c r="D52" s="23" t="n"/>
      <c r="E52" s="23" t="n"/>
      <c r="F52" s="23" t="n"/>
      <c r="G52" s="4" t="inlineStr"/>
    </row>
    <row r="53">
      <c r="A53" s="24" t="inlineStr">
        <is>
          <t>＝　利用者数</t>
        </is>
      </c>
      <c r="B53" s="25" t="inlineStr">
        <is>
          <t>人／月</t>
        </is>
      </c>
      <c r="C53" s="26">
        <f>C47</f>
        <v/>
      </c>
      <c r="D53" s="26">
        <f>D47+SUM(D48:D49)-SUM(D50:D52)</f>
        <v/>
      </c>
      <c r="E53" s="26">
        <f>E47+SUM(E48:E49)-SUM(E50:E52)</f>
        <v/>
      </c>
      <c r="F53" s="26">
        <f>F47+SUM(F48:F49)-SUM(F50:F52)</f>
        <v/>
      </c>
      <c r="G53" s="4" t="inlineStr">
        <is>
          <t>継続＋流入－流出</t>
        </is>
      </c>
    </row>
    <row r="54">
      <c r="A54" s="4" t="inlineStr">
        <is>
          <t xml:space="preserve">　　1人当たり月利用量</t>
        </is>
      </c>
      <c r="B54" s="8" t="inlineStr">
        <is>
          <t>―</t>
        </is>
      </c>
      <c r="C54" s="27" t="n"/>
      <c r="D54" s="27" t="n"/>
      <c r="E54" s="27" t="n"/>
      <c r="F54" s="27" t="n"/>
      <c r="G54" s="4" t="inlineStr">
        <is>
          <t>利用者ごとの月間予定量の平均</t>
        </is>
      </c>
    </row>
    <row r="55">
      <c r="A55" s="24" t="inlineStr">
        <is>
          <t>＝　月間サービス量</t>
        </is>
      </c>
      <c r="B55" s="25" t="inlineStr">
        <is>
          <t>―</t>
        </is>
      </c>
      <c r="C55" s="28">
        <f>ROUND(C53*C54,1)</f>
        <v/>
      </c>
      <c r="D55" s="28">
        <f>ROUND(D53*D54,1)</f>
        <v/>
      </c>
      <c r="E55" s="28">
        <f>ROUND(E53*E54,1)</f>
        <v/>
      </c>
      <c r="F55" s="28">
        <f>ROUND(F53*F54,1)</f>
        <v/>
      </c>
      <c r="G55" s="4" t="inlineStr">
        <is>
          <t>利用者数×1人当たり月利用量</t>
        </is>
      </c>
    </row>
    <row r="57">
      <c r="A57" s="29"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9" t="n">
        <v>0</v>
      </c>
      <c r="D60" s="20">
        <f>C66</f>
        <v/>
      </c>
      <c r="E60" s="20">
        <f>D66</f>
        <v/>
      </c>
      <c r="F60" s="20">
        <f>E66</f>
        <v/>
      </c>
      <c r="G60" s="4" t="inlineStr">
        <is>
          <t>前年度の利用者数を繰り越す</t>
        </is>
      </c>
    </row>
    <row r="61">
      <c r="A61" s="4" t="inlineStr">
        <is>
          <t>＋　新規支給決定（診断・転入等）</t>
        </is>
      </c>
      <c r="B61" s="8" t="inlineStr">
        <is>
          <t>人／月</t>
        </is>
      </c>
      <c r="C61" s="21" t="n"/>
      <c r="D61" s="19" t="n"/>
      <c r="E61" s="19" t="n"/>
      <c r="F61" s="19" t="n"/>
      <c r="G61" s="4" t="inlineStr">
        <is>
          <t>新規の発達相談・診断からの流入</t>
        </is>
      </c>
    </row>
    <row r="62">
      <c r="A62" s="4" t="inlineStr">
        <is>
          <t>＋　就学・進級による流入</t>
        </is>
      </c>
      <c r="B62" s="8" t="inlineStr">
        <is>
          <t>人／月</t>
        </is>
      </c>
      <c r="C62" s="21" t="n"/>
      <c r="D62" s="19" t="n"/>
      <c r="E62" s="19" t="n"/>
      <c r="F62" s="19" t="n"/>
      <c r="G62" s="4" t="inlineStr">
        <is>
          <t>児童発達支援から放課後等デイサービスへの移行等</t>
        </is>
      </c>
    </row>
    <row r="63">
      <c r="A63" s="4" t="inlineStr">
        <is>
          <t>－　就学による他サービスへの移行</t>
        </is>
      </c>
      <c r="B63" s="8" t="inlineStr">
        <is>
          <t>人／月</t>
        </is>
      </c>
      <c r="C63" s="22" t="n"/>
      <c r="D63" s="23" t="n"/>
      <c r="E63" s="23" t="n"/>
      <c r="F63" s="23" t="n"/>
      <c r="G63" s="4" t="inlineStr">
        <is>
          <t>児童発達支援からの流出</t>
        </is>
      </c>
    </row>
    <row r="64">
      <c r="A64" s="4" t="inlineStr">
        <is>
          <t>－　18歳到達・高校卒業による移行</t>
        </is>
      </c>
      <c r="B64" s="8" t="inlineStr">
        <is>
          <t>人／月</t>
        </is>
      </c>
      <c r="C64" s="22" t="n"/>
      <c r="D64" s="23" t="n"/>
      <c r="E64" s="23" t="n"/>
      <c r="F64" s="23" t="n"/>
      <c r="G64" s="4" t="inlineStr">
        <is>
          <t>成人の障害福祉サービスへ。03の流入と一致させる</t>
        </is>
      </c>
    </row>
    <row r="65">
      <c r="A65" s="4" t="inlineStr">
        <is>
          <t>－　転出・利用終了</t>
        </is>
      </c>
      <c r="B65" s="8" t="inlineStr">
        <is>
          <t>人／月</t>
        </is>
      </c>
      <c r="C65" s="22" t="n"/>
      <c r="D65" s="23" t="n"/>
      <c r="E65" s="23" t="n"/>
      <c r="F65" s="23" t="n"/>
      <c r="G65" s="4" t="inlineStr"/>
    </row>
    <row r="66">
      <c r="A66" s="24" t="inlineStr">
        <is>
          <t>＝　利用者数</t>
        </is>
      </c>
      <c r="B66" s="25" t="inlineStr">
        <is>
          <t>人／月</t>
        </is>
      </c>
      <c r="C66" s="26">
        <f>C60</f>
        <v/>
      </c>
      <c r="D66" s="26">
        <f>D60+SUM(D61:D62)-SUM(D63:D65)</f>
        <v/>
      </c>
      <c r="E66" s="26">
        <f>E60+SUM(E61:E62)-SUM(E63:E65)</f>
        <v/>
      </c>
      <c r="F66" s="26">
        <f>F60+SUM(F61:F62)-SUM(F63:F65)</f>
        <v/>
      </c>
      <c r="G66" s="4" t="inlineStr">
        <is>
          <t>継続＋流入－流出</t>
        </is>
      </c>
    </row>
    <row r="67">
      <c r="A67" s="4" t="inlineStr">
        <is>
          <t xml:space="preserve">　　1人当たり月利用量</t>
        </is>
      </c>
      <c r="B67" s="8" t="inlineStr">
        <is>
          <t>―</t>
        </is>
      </c>
      <c r="C67" s="27" t="n"/>
      <c r="D67" s="27" t="n"/>
      <c r="E67" s="27" t="n"/>
      <c r="F67" s="27" t="n"/>
      <c r="G67" s="4" t="inlineStr">
        <is>
          <t>利用者ごとの月間予定量の平均</t>
        </is>
      </c>
    </row>
    <row r="68">
      <c r="A68" s="24" t="inlineStr">
        <is>
          <t>＝　月間サービス量</t>
        </is>
      </c>
      <c r="B68" s="25" t="inlineStr">
        <is>
          <t>―</t>
        </is>
      </c>
      <c r="C68" s="28">
        <f>ROUND(C66*C67,1)</f>
        <v/>
      </c>
      <c r="D68" s="28">
        <f>ROUND(D66*D67,1)</f>
        <v/>
      </c>
      <c r="E68" s="28">
        <f>ROUND(E66*E67,1)</f>
        <v/>
      </c>
      <c r="F68" s="28">
        <f>ROUND(F66*F67,1)</f>
        <v/>
      </c>
      <c r="G68" s="4" t="inlineStr">
        <is>
          <t>利用者数×1人当たり月利用量</t>
        </is>
      </c>
    </row>
    <row r="70">
      <c r="A70" s="29"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9" t="n">
        <v>2</v>
      </c>
      <c r="D73" s="20">
        <f>C79</f>
        <v/>
      </c>
      <c r="E73" s="20">
        <f>D79</f>
        <v/>
      </c>
      <c r="F73" s="20">
        <f>E79</f>
        <v/>
      </c>
      <c r="G73" s="4" t="inlineStr">
        <is>
          <t>前年度の利用者数を繰り越す</t>
        </is>
      </c>
    </row>
    <row r="74">
      <c r="A74" s="4" t="inlineStr">
        <is>
          <t>＋　新規支給決定（診断・転入等）</t>
        </is>
      </c>
      <c r="B74" s="8" t="inlineStr">
        <is>
          <t>人／月</t>
        </is>
      </c>
      <c r="C74" s="21" t="n"/>
      <c r="D74" s="19" t="n"/>
      <c r="E74" s="19" t="n"/>
      <c r="F74" s="19" t="n"/>
      <c r="G74" s="4" t="inlineStr">
        <is>
          <t>新規の発達相談・診断からの流入</t>
        </is>
      </c>
    </row>
    <row r="75">
      <c r="A75" s="4" t="inlineStr">
        <is>
          <t>＋　就学・進級による流入</t>
        </is>
      </c>
      <c r="B75" s="8" t="inlineStr">
        <is>
          <t>人／月</t>
        </is>
      </c>
      <c r="C75" s="21" t="n"/>
      <c r="D75" s="19" t="n"/>
      <c r="E75" s="19" t="n"/>
      <c r="F75" s="19" t="n"/>
      <c r="G75" s="4" t="inlineStr">
        <is>
          <t>児童発達支援から放課後等デイサービスへの移行等</t>
        </is>
      </c>
    </row>
    <row r="76">
      <c r="A76" s="4" t="inlineStr">
        <is>
          <t>－　就学による他サービスへの移行</t>
        </is>
      </c>
      <c r="B76" s="8" t="inlineStr">
        <is>
          <t>人／月</t>
        </is>
      </c>
      <c r="C76" s="22" t="n"/>
      <c r="D76" s="23" t="n"/>
      <c r="E76" s="23" t="n"/>
      <c r="F76" s="23" t="n"/>
      <c r="G76" s="4" t="inlineStr">
        <is>
          <t>児童発達支援からの流出</t>
        </is>
      </c>
    </row>
    <row r="77">
      <c r="A77" s="4" t="inlineStr">
        <is>
          <t>－　18歳到達・高校卒業による移行</t>
        </is>
      </c>
      <c r="B77" s="8" t="inlineStr">
        <is>
          <t>人／月</t>
        </is>
      </c>
      <c r="C77" s="22" t="n"/>
      <c r="D77" s="23" t="n"/>
      <c r="E77" s="23" t="n"/>
      <c r="F77" s="23" t="n"/>
      <c r="G77" s="4" t="inlineStr">
        <is>
          <t>成人の障害福祉サービスへ。03の流入と一致させる</t>
        </is>
      </c>
    </row>
    <row r="78">
      <c r="A78" s="4" t="inlineStr">
        <is>
          <t>－　転出・利用終了</t>
        </is>
      </c>
      <c r="B78" s="8" t="inlineStr">
        <is>
          <t>人／月</t>
        </is>
      </c>
      <c r="C78" s="22" t="n"/>
      <c r="D78" s="23" t="n"/>
      <c r="E78" s="23" t="n"/>
      <c r="F78" s="23" t="n"/>
      <c r="G78" s="4" t="inlineStr"/>
    </row>
    <row r="79">
      <c r="A79" s="24" t="inlineStr">
        <is>
          <t>＝　利用者数</t>
        </is>
      </c>
      <c r="B79" s="25" t="inlineStr">
        <is>
          <t>人／月</t>
        </is>
      </c>
      <c r="C79" s="26">
        <f>C73</f>
        <v/>
      </c>
      <c r="D79" s="26">
        <f>D73+SUM(D74:D75)-SUM(D76:D78)</f>
        <v/>
      </c>
      <c r="E79" s="26">
        <f>E73+SUM(E74:E75)-SUM(E76:E78)</f>
        <v/>
      </c>
      <c r="F79" s="26">
        <f>F73+SUM(F74:F75)-SUM(F76:F78)</f>
        <v/>
      </c>
      <c r="G79" s="4" t="inlineStr">
        <is>
          <t>継続＋流入－流出</t>
        </is>
      </c>
    </row>
    <row r="80">
      <c r="A80" s="4" t="inlineStr">
        <is>
          <t xml:space="preserve">　　1人当たり月利用量</t>
        </is>
      </c>
      <c r="B80" s="8" t="inlineStr">
        <is>
          <t>―</t>
        </is>
      </c>
      <c r="C80" s="27" t="n"/>
      <c r="D80" s="27" t="n"/>
      <c r="E80" s="27" t="n"/>
      <c r="F80" s="27" t="n"/>
      <c r="G80" s="4" t="inlineStr">
        <is>
          <t>利用者ごとの月間予定量の平均</t>
        </is>
      </c>
    </row>
    <row r="81">
      <c r="A81" s="24" t="inlineStr">
        <is>
          <t>＝　月間サービス量</t>
        </is>
      </c>
      <c r="B81" s="25" t="inlineStr">
        <is>
          <t>―</t>
        </is>
      </c>
      <c r="C81" s="28">
        <f>ROUND(C79*C80,1)</f>
        <v/>
      </c>
      <c r="D81" s="28">
        <f>ROUND(D79*D80,1)</f>
        <v/>
      </c>
      <c r="E81" s="28">
        <f>ROUND(E79*E80,1)</f>
        <v/>
      </c>
      <c r="F81" s="28">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1"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1" t="n">
        <v>0</v>
      </c>
      <c r="C6" s="19" t="n"/>
      <c r="D6" s="19" t="n"/>
      <c r="E6" s="19" t="n"/>
      <c r="F6" s="16" t="n"/>
      <c r="G6" s="4" t="inlineStr">
        <is>
          <t>重度の肢体不自由者等。対象者の有無を個別に確認</t>
        </is>
      </c>
    </row>
    <row r="7" ht="26" customHeight="1">
      <c r="A7" s="6" t="inlineStr">
        <is>
          <t>同行援護</t>
        </is>
      </c>
      <c r="B7" s="30" t="n">
        <v>0</v>
      </c>
      <c r="C7" s="19" t="n"/>
      <c r="D7" s="19" t="n"/>
      <c r="E7" s="19" t="n"/>
      <c r="F7" s="16" t="n"/>
      <c r="G7" s="6" t="inlineStr">
        <is>
          <t>視覚障がい者の外出支援。介護保険に相当サービスなし</t>
        </is>
      </c>
    </row>
    <row r="8" ht="26" customHeight="1">
      <c r="A8" s="4" t="inlineStr">
        <is>
          <t>行動援護</t>
        </is>
      </c>
      <c r="B8" s="21" t="n">
        <v>0</v>
      </c>
      <c r="C8" s="19" t="n"/>
      <c r="D8" s="19" t="n"/>
      <c r="E8" s="19" t="n"/>
      <c r="F8" s="16" t="n"/>
      <c r="G8" s="4" t="inlineStr">
        <is>
          <t>強度行動障害等。介護保険に相当サービスなし</t>
        </is>
      </c>
    </row>
    <row r="9" ht="26" customHeight="1">
      <c r="A9" s="6" t="inlineStr">
        <is>
          <t>重度障がい者等包括支援</t>
        </is>
      </c>
      <c r="B9" s="30" t="n">
        <v>0</v>
      </c>
      <c r="C9" s="19" t="n"/>
      <c r="D9" s="19" t="n"/>
      <c r="E9" s="19" t="n"/>
      <c r="F9" s="16" t="n"/>
      <c r="G9" s="6" t="inlineStr">
        <is>
          <t>最重度者向け。圏域の供給を確認</t>
        </is>
      </c>
    </row>
    <row r="10" ht="26" customHeight="1">
      <c r="A10" s="4" t="inlineStr">
        <is>
          <t>療養介護</t>
        </is>
      </c>
      <c r="B10" s="21" t="n">
        <v>0</v>
      </c>
      <c r="C10" s="19" t="n"/>
      <c r="D10" s="19" t="n"/>
      <c r="E10" s="19" t="n"/>
      <c r="F10" s="16" t="n"/>
      <c r="G10" s="4" t="inlineStr">
        <is>
          <t>医療機関での長期療養。対象者の有無を確認</t>
        </is>
      </c>
    </row>
    <row r="11" ht="26" customHeight="1">
      <c r="A11" s="6" t="inlineStr">
        <is>
          <t>自立訓練（機能訓練）</t>
        </is>
      </c>
      <c r="B11" s="30" t="n">
        <v>0</v>
      </c>
      <c r="C11" s="19" t="n"/>
      <c r="D11" s="19" t="n"/>
      <c r="E11" s="19" t="n"/>
      <c r="F11" s="16" t="n"/>
      <c r="G11" s="6" t="inlineStr">
        <is>
          <t>リハビリ需要は介護保険側に流れている可能性</t>
        </is>
      </c>
    </row>
    <row r="12" ht="26" customHeight="1">
      <c r="A12" s="4" t="inlineStr">
        <is>
          <t>自立生活援助</t>
        </is>
      </c>
      <c r="B12" s="21" t="n">
        <v>0</v>
      </c>
      <c r="C12" s="19" t="n"/>
      <c r="D12" s="19" t="n"/>
      <c r="E12" s="19" t="n"/>
      <c r="F12" s="16" t="n"/>
      <c r="G12" s="4" t="inlineStr">
        <is>
          <t>一人暮らしへの移行支援。地域移行と連動</t>
        </is>
      </c>
    </row>
    <row r="13" ht="26" customHeight="1">
      <c r="A13" s="6" t="inlineStr">
        <is>
          <t>地域移行支援</t>
        </is>
      </c>
      <c r="B13" s="30" t="n">
        <v>0</v>
      </c>
      <c r="C13" s="19" t="n"/>
      <c r="D13" s="19" t="n"/>
      <c r="E13" s="19" t="n"/>
      <c r="F13" s="16" t="n"/>
      <c r="G13" s="6" t="inlineStr">
        <is>
          <t>施設・精神科病院からの地域移行。成果目標（１）（２）と連動</t>
        </is>
      </c>
    </row>
    <row r="14" ht="26" customHeight="1">
      <c r="A14" s="4" t="inlineStr">
        <is>
          <t>地域定着支援</t>
        </is>
      </c>
      <c r="B14" s="21" t="n">
        <v>0</v>
      </c>
      <c r="C14" s="19" t="n"/>
      <c r="D14" s="19" t="n"/>
      <c r="E14" s="19" t="n"/>
      <c r="F14" s="16"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1"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10"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1"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1"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1" t="inlineStr">
        <is>
          <t>相当あり</t>
        </is>
      </c>
      <c r="C9" s="4" t="inlineStr">
        <is>
          <t>短期入所生活介護</t>
        </is>
      </c>
      <c r="D9" s="4" t="inlineStr">
        <is>
          <t>個別に確認する</t>
        </is>
      </c>
      <c r="E9" s="4" t="inlineStr"/>
    </row>
    <row r="10" ht="30" customHeight="1">
      <c r="A10" s="6" t="inlineStr">
        <is>
          <t>自立訓練（機能訓練）</t>
        </is>
      </c>
      <c r="B10" s="31" t="inlineStr">
        <is>
          <t>相当あり</t>
        </is>
      </c>
      <c r="C10" s="6" t="inlineStr">
        <is>
          <t>通所リハビリテーション等</t>
        </is>
      </c>
      <c r="D10" s="6" t="inlineStr">
        <is>
          <t>個別に確認する</t>
        </is>
      </c>
      <c r="E10" s="6" t="inlineStr"/>
    </row>
    <row r="11" ht="30" customHeight="1">
      <c r="A11" s="4" t="inlineStr">
        <is>
          <t>共同生活援助</t>
        </is>
      </c>
      <c r="B11" s="32" t="inlineStr">
        <is>
          <t>相当なし</t>
        </is>
      </c>
      <c r="C11" s="4" t="inlineStr">
        <is>
          <t>―</t>
        </is>
      </c>
      <c r="D11" s="4" t="inlineStr">
        <is>
          <t>障害福祉サービスとして継続する</t>
        </is>
      </c>
      <c r="E11" s="4" t="inlineStr"/>
    </row>
    <row r="12" ht="30" customHeight="1">
      <c r="A12" s="6" t="inlineStr">
        <is>
          <t>施設入所支援</t>
        </is>
      </c>
      <c r="B12" s="32" t="inlineStr">
        <is>
          <t>相当なし</t>
        </is>
      </c>
      <c r="C12" s="6" t="inlineStr">
        <is>
          <t>―</t>
        </is>
      </c>
      <c r="D12" s="6" t="inlineStr">
        <is>
          <t>障害福祉サービスとして継続する</t>
        </is>
      </c>
      <c r="E12" s="6" t="inlineStr"/>
    </row>
    <row r="13" ht="30" customHeight="1">
      <c r="A13" s="4" t="inlineStr">
        <is>
          <t>就労移行支援</t>
        </is>
      </c>
      <c r="B13" s="32" t="inlineStr">
        <is>
          <t>相当なし</t>
        </is>
      </c>
      <c r="C13" s="4" t="inlineStr">
        <is>
          <t>―</t>
        </is>
      </c>
      <c r="D13" s="4" t="inlineStr">
        <is>
          <t>障害福祉サービスとして継続する</t>
        </is>
      </c>
      <c r="E13" s="4" t="inlineStr"/>
    </row>
    <row r="14" ht="30" customHeight="1">
      <c r="A14" s="6" t="inlineStr">
        <is>
          <t>就労継続支援A型・B型</t>
        </is>
      </c>
      <c r="B14" s="32" t="inlineStr">
        <is>
          <t>相当なし</t>
        </is>
      </c>
      <c r="C14" s="6" t="inlineStr">
        <is>
          <t>―</t>
        </is>
      </c>
      <c r="D14" s="6" t="inlineStr">
        <is>
          <t>障害福祉サービスとして継続する</t>
        </is>
      </c>
      <c r="E14" s="6" t="inlineStr"/>
    </row>
    <row r="15" ht="30" customHeight="1">
      <c r="A15" s="4" t="inlineStr">
        <is>
          <t>就労定着支援・就労選択支援</t>
        </is>
      </c>
      <c r="B15" s="32" t="inlineStr">
        <is>
          <t>相当なし</t>
        </is>
      </c>
      <c r="C15" s="4" t="inlineStr">
        <is>
          <t>―</t>
        </is>
      </c>
      <c r="D15" s="4" t="inlineStr">
        <is>
          <t>障害福祉サービスとして継続する</t>
        </is>
      </c>
      <c r="E15" s="4" t="inlineStr"/>
    </row>
    <row r="16" ht="30" customHeight="1">
      <c r="A16" s="6" t="inlineStr">
        <is>
          <t>同行援護・行動援護</t>
        </is>
      </c>
      <c r="B16" s="32"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1"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10"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6" t="n"/>
      <c r="B22" s="16" t="n"/>
      <c r="C22" s="17" t="n"/>
      <c r="D22" s="17" t="n"/>
      <c r="E22" s="18" t="n"/>
    </row>
    <row r="23">
      <c r="A23" s="16" t="n"/>
      <c r="B23" s="16" t="n"/>
      <c r="C23" s="17" t="n"/>
      <c r="D23" s="17" t="n"/>
      <c r="E23" s="18" t="n"/>
    </row>
    <row r="24">
      <c r="A24" s="16" t="n"/>
      <c r="B24" s="16" t="n"/>
      <c r="C24" s="17" t="n"/>
      <c r="D24" s="17" t="n"/>
      <c r="E24" s="18" t="n"/>
    </row>
    <row r="25">
      <c r="A25" s="16" t="n"/>
      <c r="B25" s="16" t="n"/>
      <c r="C25" s="17" t="n"/>
      <c r="D25" s="17" t="n"/>
      <c r="E25" s="18" t="n"/>
    </row>
    <row r="26">
      <c r="A26" s="16" t="n"/>
      <c r="B26" s="16" t="n"/>
      <c r="C26" s="17" t="n"/>
      <c r="D26" s="17" t="n"/>
      <c r="E26" s="18" t="n"/>
    </row>
    <row r="27">
      <c r="A27" s="16" t="n"/>
      <c r="B27" s="16" t="n"/>
      <c r="C27" s="17" t="n"/>
      <c r="D27" s="17" t="n"/>
      <c r="E27" s="18" t="n"/>
    </row>
    <row r="28">
      <c r="A28" s="16" t="n"/>
      <c r="B28" s="16" t="n"/>
      <c r="C28" s="17" t="n"/>
      <c r="D28" s="17" t="n"/>
      <c r="E28" s="18" t="n"/>
    </row>
    <row r="29">
      <c r="A29" s="16" t="n"/>
      <c r="B29" s="16" t="n"/>
      <c r="C29" s="17" t="n"/>
      <c r="D29" s="17" t="n"/>
      <c r="E29" s="18" t="n"/>
    </row>
    <row r="30">
      <c r="A30" s="16" t="n"/>
      <c r="B30" s="16" t="n"/>
      <c r="C30" s="17" t="n"/>
      <c r="D30" s="17" t="n"/>
      <c r="E30" s="18" t="n"/>
    </row>
    <row r="31">
      <c r="A31" s="16" t="n"/>
      <c r="B31" s="16" t="n"/>
      <c r="C31" s="17" t="n"/>
      <c r="D31" s="17" t="n"/>
      <c r="E31" s="18" t="n"/>
    </row>
    <row r="32">
      <c r="A32" s="16" t="n"/>
      <c r="B32" s="16" t="n"/>
      <c r="C32" s="17" t="n"/>
      <c r="D32" s="17" t="n"/>
      <c r="E32" s="18" t="n"/>
    </row>
    <row r="33">
      <c r="A33" s="16" t="n"/>
      <c r="B33" s="16" t="n"/>
      <c r="C33" s="17" t="n"/>
      <c r="D33" s="17" t="n"/>
      <c r="E33" s="18" t="n"/>
    </row>
    <row r="35">
      <c r="A35" s="10"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3" t="n"/>
      <c r="D37" s="33" t="n"/>
      <c r="E37" s="34"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3" t="n"/>
      <c r="D38" s="33" t="n"/>
      <c r="E38" s="34"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3" t="n"/>
      <c r="D39" s="33" t="n"/>
      <c r="E39" s="34"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3" t="n"/>
      <c r="D40" s="33" t="n"/>
      <c r="E40" s="34" t="n"/>
    </row>
    <row r="41" ht="40" customHeight="1">
      <c r="A41" s="4" t="inlineStr">
        <is>
          <t>本人の意向</t>
        </is>
      </c>
      <c r="B41" s="4" t="inlineStr">
        <is>
          <t>本人・家族の意向を聴取したうえで支給決定を行う</t>
        </is>
      </c>
      <c r="C41" s="33" t="n"/>
      <c r="D41" s="33" t="n"/>
      <c r="E41" s="34"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1"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7" t="n"/>
      <c r="D6" s="27" t="n"/>
      <c r="E6" s="27"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7" t="n"/>
      <c r="D7" s="27" t="n"/>
      <c r="E7" s="27"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7" t="n"/>
      <c r="D8" s="27" t="n"/>
      <c r="E8" s="27"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7" t="n"/>
      <c r="D9" s="27" t="n"/>
      <c r="E9" s="27"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7" t="n"/>
      <c r="D10" s="27" t="n"/>
      <c r="E10" s="27"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7" t="n"/>
      <c r="D11" s="27" t="n"/>
      <c r="E11" s="27"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1"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9" t="n"/>
      <c r="D6" s="19" t="n"/>
      <c r="E6" s="16" t="n"/>
      <c r="F6" s="16" t="n"/>
      <c r="G6" s="4" t="inlineStr">
        <is>
          <t>特別支援学校卒業者の受入枠。送迎範囲に北塩原村が含まれるか</t>
        </is>
      </c>
    </row>
    <row r="7" ht="28" customHeight="1">
      <c r="A7" s="6" t="inlineStr">
        <is>
          <t>就労継続支援B型</t>
        </is>
      </c>
      <c r="B7" s="6" t="inlineStr">
        <is>
          <t>喜多方市・会津若松市等</t>
        </is>
      </c>
      <c r="C7" s="19" t="n"/>
      <c r="D7" s="19" t="n"/>
      <c r="E7" s="16" t="n"/>
      <c r="F7" s="16" t="n"/>
      <c r="G7" s="6" t="inlineStr">
        <is>
          <t>給付費が令和2年度比2.08倍。定員に対する余力を確認</t>
        </is>
      </c>
    </row>
    <row r="8" ht="28" customHeight="1">
      <c r="A8" s="4" t="inlineStr">
        <is>
          <t>就労選択支援</t>
        </is>
      </c>
      <c r="B8" s="4" t="inlineStr">
        <is>
          <t>圏域（協議会設置圏域ごとに設置）</t>
        </is>
      </c>
      <c r="C8" s="19" t="n"/>
      <c r="D8" s="19" t="n"/>
      <c r="E8" s="16" t="n"/>
      <c r="F8" s="16" t="n"/>
      <c r="G8" s="4" t="inlineStr">
        <is>
          <t>圏域内に事業所があるか。ない場合の確保方策</t>
        </is>
      </c>
    </row>
    <row r="9" ht="28" customHeight="1">
      <c r="A9" s="6" t="inlineStr">
        <is>
          <t>共同生活援助</t>
        </is>
      </c>
      <c r="B9" s="6" t="inlineStr">
        <is>
          <t>圏域</t>
        </is>
      </c>
      <c r="C9" s="19" t="n"/>
      <c r="D9" s="19" t="n"/>
      <c r="E9" s="16" t="n"/>
      <c r="F9" s="16" t="n"/>
      <c r="G9" s="6" t="inlineStr">
        <is>
          <t>空室の有無。親亡き後の受入余力</t>
        </is>
      </c>
    </row>
    <row r="10" ht="28" customHeight="1">
      <c r="A10" s="4" t="inlineStr">
        <is>
          <t>短期入所</t>
        </is>
      </c>
      <c r="B10" s="4" t="inlineStr">
        <is>
          <t>圏域</t>
        </is>
      </c>
      <c r="C10" s="19" t="n"/>
      <c r="D10" s="19" t="n"/>
      <c r="E10" s="16" t="n"/>
      <c r="F10" s="16" t="n"/>
      <c r="G10" s="4" t="inlineStr">
        <is>
          <t>緊急時の受入可否。地域生活支援拠点と連動</t>
        </is>
      </c>
    </row>
    <row r="11" ht="28" customHeight="1">
      <c r="A11" s="6" t="inlineStr">
        <is>
          <t>居宅介護</t>
        </is>
      </c>
      <c r="B11" s="6" t="inlineStr">
        <is>
          <t>圏域</t>
        </is>
      </c>
      <c r="C11" s="19" t="n"/>
      <c r="D11" s="19" t="n"/>
      <c r="E11" s="16" t="n"/>
      <c r="F11" s="16" t="n"/>
      <c r="G11" s="6" t="inlineStr">
        <is>
          <t>訪問可能地区。冬季の提供体制</t>
        </is>
      </c>
    </row>
    <row r="12" ht="28" customHeight="1">
      <c r="A12" s="4" t="inlineStr">
        <is>
          <t>計画相談支援</t>
        </is>
      </c>
      <c r="B12" s="4" t="inlineStr">
        <is>
          <t>猪苗代町・喜多方市等</t>
        </is>
      </c>
      <c r="C12" s="19" t="n"/>
      <c r="D12" s="19" t="n"/>
      <c r="E12" s="16" t="n"/>
      <c r="F12" s="16" t="n"/>
      <c r="G12" s="4" t="inlineStr">
        <is>
          <t>相談支援専門員の担当可能件数。セルフプラン解消の可否</t>
        </is>
      </c>
    </row>
    <row r="13" ht="28" customHeight="1">
      <c r="A13" s="6" t="inlineStr">
        <is>
          <t>児童発達支援</t>
        </is>
      </c>
      <c r="B13" s="6" t="inlineStr">
        <is>
          <t>圏域（村内0か所）</t>
        </is>
      </c>
      <c r="C13" s="19" t="n"/>
      <c r="D13" s="19" t="n"/>
      <c r="E13" s="16" t="n"/>
      <c r="F13" s="16" t="n"/>
      <c r="G13" s="6" t="inlineStr">
        <is>
          <t>通所距離と保護者の送迎負担</t>
        </is>
      </c>
    </row>
    <row r="14" ht="28" customHeight="1">
      <c r="A14" s="4" t="inlineStr">
        <is>
          <t>放課後等デイサービス</t>
        </is>
      </c>
      <c r="B14" s="4" t="inlineStr">
        <is>
          <t>圏域</t>
        </is>
      </c>
      <c r="C14" s="19" t="n"/>
      <c r="D14" s="19" t="n"/>
      <c r="E14" s="16" t="n"/>
      <c r="F14" s="16" t="n"/>
      <c r="G14" s="4" t="inlineStr">
        <is>
          <t>長期休暇中の受入。送迎</t>
        </is>
      </c>
    </row>
    <row r="15" ht="28" customHeight="1">
      <c r="A15" s="6" t="inlineStr">
        <is>
          <t>保育所等訪問支援</t>
        </is>
      </c>
      <c r="B15" s="6" t="inlineStr">
        <is>
          <t>圏域</t>
        </is>
      </c>
      <c r="C15" s="19" t="n"/>
      <c r="D15" s="19" t="n"/>
      <c r="E15" s="16" t="n"/>
      <c r="F15" s="16" t="n"/>
      <c r="G15" s="6" t="inlineStr">
        <is>
          <t>訪問可能範囲</t>
        </is>
      </c>
    </row>
    <row r="16" ht="28" customHeight="1">
      <c r="A16" s="4" t="inlineStr">
        <is>
          <t>介護保険 通所介護・訪問介護</t>
        </is>
      </c>
      <c r="B16" s="4" t="inlineStr">
        <is>
          <t>圏域</t>
        </is>
      </c>
      <c r="C16" s="19" t="n"/>
      <c r="D16" s="19" t="n"/>
      <c r="E16" s="16" t="n"/>
      <c r="F16" s="16"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1"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1" t="n">
        <v>2</v>
      </c>
      <c r="D6" s="21" t="n">
        <v>2</v>
      </c>
      <c r="E6" s="19" t="n"/>
      <c r="F6" s="4" t="inlineStr"/>
      <c r="G6" s="4" t="inlineStr">
        <is>
          <t>村住民課・地域生活支援センターいなわしろ</t>
        </is>
      </c>
    </row>
    <row r="7" ht="28" customHeight="1">
      <c r="A7" s="6" t="inlineStr">
        <is>
          <t>成年後見制度利用支援事業</t>
        </is>
      </c>
      <c r="B7" s="9" t="inlineStr">
        <is>
          <t>人</t>
        </is>
      </c>
      <c r="C7" s="30" t="n">
        <v>1</v>
      </c>
      <c r="D7" s="30" t="n">
        <v>5</v>
      </c>
      <c r="E7" s="19" t="n"/>
      <c r="F7" s="6" t="inlineStr"/>
      <c r="G7" s="6" t="inlineStr">
        <is>
          <t>見込5人に対し実績1人。乖離の要因を確認</t>
        </is>
      </c>
    </row>
    <row r="8" ht="28" customHeight="1">
      <c r="A8" s="4" t="inlineStr">
        <is>
          <t>意思疎通支援事業</t>
        </is>
      </c>
      <c r="B8" s="8" t="inlineStr">
        <is>
          <t>人</t>
        </is>
      </c>
      <c r="C8" s="21" t="n">
        <v>0</v>
      </c>
      <c r="D8" s="21" t="n">
        <v>0</v>
      </c>
      <c r="E8" s="19" t="n"/>
      <c r="F8" s="4" t="inlineStr"/>
      <c r="G8" s="4" t="inlineStr">
        <is>
          <t>手話通訳者派遣の需要の有無</t>
        </is>
      </c>
    </row>
    <row r="9" ht="28" customHeight="1">
      <c r="A9" s="6" t="inlineStr">
        <is>
          <t>日常生活用具給付等事業</t>
        </is>
      </c>
      <c r="B9" s="9" t="inlineStr">
        <is>
          <t>件</t>
        </is>
      </c>
      <c r="C9" s="30" t="n">
        <v>69</v>
      </c>
      <c r="D9" s="30" t="n">
        <v>72</v>
      </c>
      <c r="E9" s="19" t="n"/>
      <c r="F9" s="6" t="inlineStr"/>
      <c r="G9" s="6" t="inlineStr">
        <is>
          <t>排泄管理支援用具が大半。増加傾向</t>
        </is>
      </c>
    </row>
    <row r="10" ht="28" customHeight="1">
      <c r="A10" s="4" t="inlineStr">
        <is>
          <t>移動支援事業</t>
        </is>
      </c>
      <c r="B10" s="8" t="inlineStr">
        <is>
          <t>人</t>
        </is>
      </c>
      <c r="C10" s="21" t="n">
        <v>0</v>
      </c>
      <c r="D10" s="21" t="n">
        <v>0</v>
      </c>
      <c r="E10" s="19" t="n"/>
      <c r="F10" s="4" t="inlineStr"/>
      <c r="G10" s="4" t="inlineStr">
        <is>
          <t>制度未周知／家族送迎等での代替／ニーズ不在のいずれかを確認。実績ゼロで据え置かない</t>
        </is>
      </c>
    </row>
    <row r="11" ht="28" customHeight="1">
      <c r="A11" s="6" t="inlineStr">
        <is>
          <t>日中一時支援事業</t>
        </is>
      </c>
      <c r="B11" s="9" t="inlineStr">
        <is>
          <t>人</t>
        </is>
      </c>
      <c r="C11" s="30" t="n">
        <v>2</v>
      </c>
      <c r="D11" s="30" t="n">
        <v>2</v>
      </c>
      <c r="E11" s="19" t="n"/>
      <c r="F11" s="6" t="inlineStr"/>
      <c r="G11" s="6" t="inlineStr">
        <is>
          <t>家族レスパイト。障がい児と接続。増加傾向</t>
        </is>
      </c>
    </row>
    <row r="12" ht="28" customHeight="1">
      <c r="A12" s="4" t="inlineStr">
        <is>
          <t>地域活動支援センター機能強化事業</t>
        </is>
      </c>
      <c r="B12" s="8" t="inlineStr">
        <is>
          <t>人</t>
        </is>
      </c>
      <c r="C12" s="21" t="n">
        <v>3</v>
      </c>
      <c r="D12" s="21" t="n">
        <v>2</v>
      </c>
      <c r="E12" s="19" t="n"/>
      <c r="F12" s="4" t="inlineStr"/>
      <c r="G12" s="4" t="inlineStr">
        <is>
          <t>実績が見込量を上回っている。次期見込量に実績を反映する</t>
        </is>
      </c>
    </row>
    <row r="13" ht="28" customHeight="1">
      <c r="A13" s="6" t="inlineStr">
        <is>
          <t>訪問入浴サービス事業</t>
        </is>
      </c>
      <c r="B13" s="9" t="inlineStr">
        <is>
          <t>人</t>
        </is>
      </c>
      <c r="C13" s="30" t="n">
        <v>0</v>
      </c>
      <c r="D13" s="30" t="n">
        <v>0</v>
      </c>
      <c r="E13" s="19" t="n"/>
      <c r="F13" s="6" t="inlineStr"/>
      <c r="G13" s="6" t="inlineStr">
        <is>
          <t>重度者の在宅生活支援</t>
        </is>
      </c>
    </row>
    <row r="14" ht="28" customHeight="1">
      <c r="A14" s="4" t="inlineStr">
        <is>
          <t>理解促進研修・啓発事業</t>
        </is>
      </c>
      <c r="B14" s="8" t="inlineStr">
        <is>
          <t>件</t>
        </is>
      </c>
      <c r="C14" s="21" t="n">
        <v>0</v>
      </c>
      <c r="D14" s="21" t="n">
        <v>0</v>
      </c>
      <c r="E14" s="19" t="n"/>
      <c r="F14" s="4" t="inlineStr"/>
      <c r="G14" s="4" t="inlineStr">
        <is>
          <t>実施方法と財源を確認</t>
        </is>
      </c>
    </row>
    <row r="15" ht="28" customHeight="1">
      <c r="A15" s="6" t="inlineStr">
        <is>
          <t>自発的活動支援事業</t>
        </is>
      </c>
      <c r="B15" s="9" t="inlineStr">
        <is>
          <t>件</t>
        </is>
      </c>
      <c r="C15" s="30" t="n">
        <v>0</v>
      </c>
      <c r="D15" s="30" t="n">
        <v>0</v>
      </c>
      <c r="E15" s="19"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1"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9"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9"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9"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9"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9"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1"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28" customWidth="1" min="1" max="1"/>
    <col width="20" customWidth="1" min="2" max="2"/>
    <col width="20" customWidth="1" min="3" max="3"/>
    <col width="52" customWidth="1" min="4" max="4"/>
  </cols>
  <sheetData>
    <row r="1" ht="30" customHeight="1">
      <c r="A1" s="11" t="inlineStr">
        <is>
          <t>基本指針 別表第五（地域差是正）の適用判定</t>
        </is>
      </c>
    </row>
    <row r="2" ht="30" customHeight="1">
      <c r="A2" s="2" t="inlineStr">
        <is>
          <t>第8期で新設。要件に該当する市町村は、全国の伸び率を用いた算定方法を基本とすることになる。本村が該当するかを確定するまで、見込量の算定方法は確定しない。</t>
        </is>
      </c>
    </row>
    <row r="5">
      <c r="A5" s="10"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10" t="inlineStr">
        <is>
          <t>■ 判定</t>
        </is>
      </c>
    </row>
    <row r="12" ht="30" customHeight="1">
      <c r="A12" s="3" t="inlineStr">
        <is>
          <t>判定項目</t>
        </is>
      </c>
      <c r="B12" s="3" t="inlineStr">
        <is>
          <t>入力</t>
        </is>
      </c>
      <c r="C12" s="3" t="inlineStr">
        <is>
          <t>判定</t>
        </is>
      </c>
      <c r="D12" s="3" t="inlineStr">
        <is>
          <t>根拠・備考</t>
        </is>
      </c>
    </row>
    <row r="13">
      <c r="A13" s="4" t="inlineStr">
        <is>
          <t>⑴ 本村の過疎区分</t>
        </is>
      </c>
      <c r="B13" s="16" t="inlineStr">
        <is>
          <t>全部過疎（見込）</t>
        </is>
      </c>
      <c r="C13" s="8">
        <f>IF(B13="全部過疎（見込）","要件⑴を満たさない→別表第五 適用外","要確認")</f>
        <v/>
      </c>
      <c r="D13" s="4" t="inlineStr">
        <is>
          <t>総務省が公表する過疎地域市町村一覧で確認する。北塩原村は過疎地域であり、市町村合併を経ていないため全部過疎と考えられる。</t>
        </is>
      </c>
    </row>
    <row r="14">
      <c r="A14" s="6" t="inlineStr">
        <is>
          <t>⑵ サービス利用者割合</t>
        </is>
      </c>
      <c r="B14" s="16" t="inlineStr">
        <is>
          <t>村資料・国公表データ待ち</t>
        </is>
      </c>
      <c r="C14" s="9" t="inlineStr">
        <is>
          <t>―</t>
        </is>
      </c>
      <c r="D14" s="6" t="inlineStr">
        <is>
          <t>18歳以上人口（障害児通所支援は18歳未満人口）に占める利用者割合が、全部過疎でない市町村の上位25%以内かどうか。⑴を満たさない場合は判定不要。</t>
        </is>
      </c>
    </row>
    <row r="15">
      <c r="A15" s="4" t="inlineStr">
        <is>
          <t>結論</t>
        </is>
      </c>
      <c r="B15" s="8" t="n"/>
      <c r="C15" s="25">
        <f>IF(C13="要件⑴を満たさない→別表第五 適用外","個別積上げ方式を採用可（第三の二の2(一)本文による）","要判定")</f>
        <v/>
      </c>
      <c r="D15" s="4" t="inlineStr">
        <is>
          <t>⑴かつ⑵の連言であるため、⑴を満たさなければ別表第五 二の項の算定方法は適用されない。</t>
        </is>
      </c>
    </row>
    <row r="17" ht="34" customHeight="1">
      <c r="A17" s="2" t="inlineStr">
        <is>
          <t>※ 仮に本村が全部過疎に該当しない場合でも、第三の二の2(一)⑵により、地域の具体的なニーズ調査を踏まえて別の算定方法を採ることができる。その場合は、個別積上げ方式を採る必要性及び根拠を計画本文に明記することが要件となる。</t>
        </is>
      </c>
    </row>
    <row r="18" ht="34"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t>
        </is>
      </c>
    </row>
  </sheetData>
  <mergeCells count="10">
    <mergeCell ref="A1:D1"/>
    <mergeCell ref="A5:D5"/>
    <mergeCell ref="A9:D9"/>
    <mergeCell ref="A17:D17"/>
    <mergeCell ref="A8:D8"/>
    <mergeCell ref="A18:D18"/>
    <mergeCell ref="A6:D6"/>
    <mergeCell ref="A7:D7"/>
    <mergeCell ref="A2:D2"/>
    <mergeCell ref="A11:D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2026-08-05T03:12:45Z</dcterms:created>
  <dcterms:modified xmlns:dcterms="http://purl.org/dc/terms/" xmlns:xsi="http://www.w3.org/2001/XMLSchema-instance" xsi:type="dcterms:W3CDTF">2026-08-05T03:12:45Z</dcterms:modified>
</cp:coreProperties>
</file>