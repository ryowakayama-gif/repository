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概要" sheetId="1" state="visible" r:id="rId1"/>
    <sheet xmlns:r="http://schemas.openxmlformats.org/officeDocument/2006/relationships" name="01_推計方式" sheetId="2" state="visible" r:id="rId2"/>
    <sheet xmlns:r="http://schemas.openxmlformats.org/officeDocument/2006/relationships" name="02_年齢到達者一覧" sheetId="3" state="visible" r:id="rId3"/>
    <sheet xmlns:r="http://schemas.openxmlformats.org/officeDocument/2006/relationships" name="03_積上げ_障害福祉サービス" sheetId="4" state="visible" r:id="rId4"/>
    <sheet xmlns:r="http://schemas.openxmlformats.org/officeDocument/2006/relationships" name="04_積上げ_障害児通所支援" sheetId="5" state="visible" r:id="rId5"/>
    <sheet xmlns:r="http://schemas.openxmlformats.org/officeDocument/2006/relationships" name="05_実績ゼロサービス" sheetId="6" state="visible" r:id="rId6"/>
    <sheet xmlns:r="http://schemas.openxmlformats.org/officeDocument/2006/relationships" name="06_65歳移行判定" sheetId="7" state="visible" r:id="rId7"/>
    <sheet xmlns:r="http://schemas.openxmlformats.org/officeDocument/2006/relationships" name="07_潜在需要" sheetId="8" state="visible" r:id="rId8"/>
    <sheet xmlns:r="http://schemas.openxmlformats.org/officeDocument/2006/relationships" name="08_供給制約" sheetId="9" state="visible" r:id="rId9"/>
    <sheet xmlns:r="http://schemas.openxmlformats.org/officeDocument/2006/relationships" name="09_地域生活支援事業" sheetId="10" state="visible" r:id="rId10"/>
    <sheet xmlns:r="http://schemas.openxmlformats.org/officeDocument/2006/relationships" name="10_村確認事項" sheetId="11" state="visible" r:id="rId11"/>
    <sheet xmlns:r="http://schemas.openxmlformats.org/officeDocument/2006/relationships" name="11_告示別表第一根拠" sheetId="12" state="visible" r:id="rId12"/>
    <sheet xmlns:r="http://schemas.openxmlformats.org/officeDocument/2006/relationships" name="12_別表第五判定" sheetId="13" state="visible" r:id="rId13"/>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8">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
      <name val="游ゴシック"/>
      <b val="1"/>
      <color rgb="00FFFFFF"/>
      <sz val="11"/>
    </font>
    <font>
      <name val="游ゴシック"/>
      <i val="1"/>
      <sz val="10"/>
    </font>
    <font>
      <name val="游ゴシック"/>
      <b val="1"/>
      <sz val="10"/>
    </font>
  </fonts>
  <fills count="12">
    <fill>
      <patternFill/>
    </fill>
    <fill>
      <patternFill patternType="gray125"/>
    </fill>
    <fill>
      <patternFill patternType="solid">
        <fgColor rgb="00FF7F0E"/>
      </patternFill>
    </fill>
    <fill>
      <patternFill patternType="solid">
        <fgColor rgb="002E75B6"/>
      </patternFill>
    </fill>
    <fill>
      <patternFill patternType="solid">
        <fgColor rgb="002CA02C"/>
      </patternFill>
    </fill>
    <fill>
      <patternFill patternType="solid">
        <fgColor rgb="00F7FAFC"/>
      </patternFill>
    </fill>
    <fill>
      <patternFill patternType="solid">
        <fgColor rgb="00C00000"/>
      </patternFill>
    </fill>
    <fill>
      <patternFill patternType="solid">
        <fgColor rgb="001F3864"/>
      </patternFill>
    </fill>
    <fill>
      <patternFill patternType="solid">
        <fgColor rgb="00FFF3F3"/>
      </patternFill>
    </fill>
    <fill>
      <patternFill patternType="solid">
        <fgColor rgb="00FFF2CC"/>
      </patternFill>
    </fill>
    <fill>
      <patternFill patternType="solid">
        <fgColor rgb="00E2EFDA"/>
      </patternFill>
    </fill>
    <fill>
      <patternFill patternType="solid">
        <fgColor rgb="00ED7D31"/>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0" fontId="3" fillId="4" borderId="1" applyAlignment="1" pivotButton="0" quotePrefix="0" xfId="0">
      <alignment horizontal="center" vertical="center"/>
    </xf>
    <xf numFmtId="0" fontId="4" fillId="5" borderId="1" applyAlignment="1" pivotButton="0" quotePrefix="0" xfId="0">
      <alignment horizontal="left" vertical="center" wrapText="1" indent="1"/>
    </xf>
    <xf numFmtId="0" fontId="3" fillId="6" borderId="1" applyAlignment="1" pivotButton="0" quotePrefix="0" xfId="0">
      <alignment horizontal="center" vertical="center"/>
    </xf>
    <xf numFmtId="0" fontId="4" fillId="0" borderId="1" applyAlignment="1" pivotButton="0" quotePrefix="0" xfId="0">
      <alignment horizontal="center" vertical="center"/>
    </xf>
    <xf numFmtId="0" fontId="5" fillId="3" borderId="0" applyAlignment="1" pivotButton="0" quotePrefix="0" xfId="0">
      <alignment horizontal="left" vertical="center" indent="1"/>
    </xf>
    <xf numFmtId="0" fontId="1" fillId="7" borderId="0" applyAlignment="1" pivotButton="0" quotePrefix="0" xfId="0">
      <alignment horizontal="left" vertical="center" indent="1"/>
    </xf>
    <xf numFmtId="0" fontId="6" fillId="8" borderId="1" applyAlignment="1" pivotButton="0" quotePrefix="0" xfId="0">
      <alignment horizontal="center" vertical="center"/>
    </xf>
    <xf numFmtId="0" fontId="4" fillId="8" borderId="1" applyAlignment="1" pivotButton="0" quotePrefix="0" xfId="0">
      <alignment horizontal="center" vertical="center"/>
    </xf>
    <xf numFmtId="0" fontId="4" fillId="8" borderId="1" applyAlignment="1" pivotButton="0" quotePrefix="0" xfId="0">
      <alignment horizontal="left" vertical="center" wrapText="1" indent="1"/>
    </xf>
    <xf numFmtId="0" fontId="4" fillId="8" borderId="1" applyAlignment="1" pivotButton="0" quotePrefix="0" xfId="0">
      <alignment horizontal="right" vertical="center"/>
    </xf>
    <xf numFmtId="0" fontId="4" fillId="9" borderId="1" applyAlignment="1" pivotButton="0" quotePrefix="0" xfId="0">
      <alignment horizontal="center" vertical="center"/>
    </xf>
    <xf numFmtId="0" fontId="4" fillId="9" borderId="1" applyAlignment="1" pivotButton="0" quotePrefix="0" xfId="0">
      <alignment horizontal="left" vertical="center" wrapText="1" indent="1"/>
    </xf>
    <xf numFmtId="0" fontId="4" fillId="9" borderId="1" applyAlignment="1" pivotButton="0" quotePrefix="0" xfId="0">
      <alignment horizontal="right" vertical="center"/>
    </xf>
    <xf numFmtId="3" fontId="4" fillId="9" borderId="1" applyAlignment="1" pivotButton="0" quotePrefix="0" xfId="0">
      <alignment horizontal="right" vertical="center"/>
    </xf>
    <xf numFmtId="3" fontId="4" fillId="10" borderId="1" applyAlignment="1" pivotButton="0" quotePrefix="0" xfId="0">
      <alignment horizontal="right" vertical="center"/>
    </xf>
    <xf numFmtId="3" fontId="4" fillId="0" borderId="1" applyAlignment="1" pivotButton="0" quotePrefix="0" xfId="0">
      <alignment horizontal="right" vertical="center"/>
    </xf>
    <xf numFmtId="164" fontId="4" fillId="0" borderId="1" applyAlignment="1" pivotButton="0" quotePrefix="0" xfId="0">
      <alignment horizontal="right" vertical="center"/>
    </xf>
    <xf numFmtId="164" fontId="4" fillId="9" borderId="1" applyAlignment="1" pivotButton="0" quotePrefix="0" xfId="0">
      <alignment horizontal="right" vertical="center"/>
    </xf>
    <xf numFmtId="0" fontId="7" fillId="0" borderId="1" applyAlignment="1" pivotButton="0" quotePrefix="0" xfId="0">
      <alignment horizontal="left" vertical="center" wrapText="1" indent="1"/>
    </xf>
    <xf numFmtId="0" fontId="7" fillId="0" borderId="1" applyAlignment="1" pivotButton="0" quotePrefix="0" xfId="0">
      <alignment horizontal="center" vertical="center"/>
    </xf>
    <xf numFmtId="3" fontId="7" fillId="10" borderId="1" applyAlignment="1" pivotButton="0" quotePrefix="0" xfId="0">
      <alignment horizontal="right" vertical="center"/>
    </xf>
    <xf numFmtId="165" fontId="4" fillId="9" borderId="1" applyAlignment="1" pivotButton="0" quotePrefix="0" xfId="0">
      <alignment horizontal="right" vertical="center"/>
    </xf>
    <xf numFmtId="165" fontId="7" fillId="10" borderId="1" applyAlignment="1" pivotButton="0" quotePrefix="0" xfId="0">
      <alignment horizontal="right" vertical="center"/>
    </xf>
    <xf numFmtId="0" fontId="5" fillId="2" borderId="0" applyAlignment="1" pivotButton="0" quotePrefix="0" xfId="0">
      <alignment horizontal="left" vertical="center" indent="1"/>
    </xf>
    <xf numFmtId="3" fontId="4" fillId="5" borderId="1" applyAlignment="1" pivotButton="0" quotePrefix="0" xfId="0">
      <alignment horizontal="right" vertical="center"/>
    </xf>
    <xf numFmtId="0" fontId="3" fillId="11" borderId="1" applyAlignment="1" pivotButton="0" quotePrefix="0" xfId="0">
      <alignment horizontal="center" vertical="center"/>
    </xf>
    <xf numFmtId="0" fontId="3" fillId="4" borderId="1" applyAlignment="1" pivotButton="0" quotePrefix="0" xfId="0">
      <alignment horizontal="center" vertical="center"/>
    </xf>
    <xf numFmtId="0" fontId="0" fillId="0" borderId="4" pivotButton="0" quotePrefix="0" xfId="0"/>
    <xf numFmtId="0" fontId="0" fillId="0" borderId="5" pivotButton="0" quotePrefix="0" xfId="0"/>
    <xf numFmtId="0" fontId="4" fillId="5" borderId="1" applyAlignment="1" pivotButton="0" quotePrefix="0" xfId="0">
      <alignment horizontal="center" vertical="center"/>
    </xf>
    <xf numFmtId="0" fontId="3" fillId="6" borderId="1" applyAlignment="1" pivotButton="0" quotePrefix="0" xfId="0">
      <alignment horizontal="center" vertical="center"/>
    </xf>
    <xf numFmtId="0" fontId="4"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showGridLines="0" workbookViewId="0">
      <selection activeCell="A1" sqref="A1"/>
    </sheetView>
  </sheetViews>
  <sheetFormatPr baseColWidth="8" defaultRowHeight="15"/>
  <cols>
    <col width="34" customWidth="1" min="1" max="1"/>
    <col width="18" customWidth="1" min="2" max="2"/>
    <col width="22" customWidth="1" min="3" max="3"/>
    <col width="14" customWidth="1" min="4" max="4"/>
    <col width="44" customWidth="1" min="5" max="5"/>
  </cols>
  <sheetData>
    <row r="1" ht="32" customHeight="1">
      <c r="A1" s="1" t="inlineStr">
        <is>
          <t>北塩原村 サービス見込量 管理ブック（個別積上げ方式）</t>
        </is>
      </c>
    </row>
    <row r="2" ht="28" customHeight="1">
      <c r="A2" s="2" t="inlineStr">
        <is>
          <t>第8期北塩原村障がい福祉計画・第4期北塩原村障がい児福祉計画（令和9〜11年度）／業務仕様書4-Ⅱ(3)②〜④「障がい福祉サービス・障がい児通所支援等・地域生活支援事業の見込量の推計」に対応。</t>
        </is>
      </c>
    </row>
    <row r="4" ht="30" customHeight="1">
      <c r="A4" s="3" t="inlineStr">
        <is>
          <t>シート</t>
        </is>
      </c>
      <c r="B4" s="3" t="inlineStr">
        <is>
          <t>役割</t>
        </is>
      </c>
      <c r="C4" s="3" t="inlineStr">
        <is>
          <t>推計方式上の位置</t>
        </is>
      </c>
      <c r="D4" s="3" t="inlineStr">
        <is>
          <t>状態</t>
        </is>
      </c>
      <c r="E4" s="3" t="inlineStr">
        <is>
          <t>備考</t>
        </is>
      </c>
    </row>
    <row r="5" ht="30" customHeight="1">
      <c r="A5" s="4" t="inlineStr">
        <is>
          <t>01_推計方式</t>
        </is>
      </c>
      <c r="B5" s="4" t="inlineStr">
        <is>
          <t>算式と3層構造の定義</t>
        </is>
      </c>
      <c r="C5" s="4" t="inlineStr">
        <is>
          <t>全体の前提</t>
        </is>
      </c>
      <c r="D5" s="5" t="inlineStr">
        <is>
          <t>確定</t>
        </is>
      </c>
      <c r="E5" s="4" t="inlineStr">
        <is>
          <t>計画本文・協議会資料にそのまま転記できる形で記載</t>
        </is>
      </c>
    </row>
    <row r="6" ht="30" customHeight="1">
      <c r="A6" s="6" t="inlineStr">
        <is>
          <t>02_年齢到達者一覧</t>
        </is>
      </c>
      <c r="B6" s="6" t="inlineStr">
        <is>
          <t>18歳・40歳・65歳到達予定者の匿名台帳</t>
        </is>
      </c>
      <c r="C6" s="6" t="inlineStr">
        <is>
          <t>第1層の入口</t>
        </is>
      </c>
      <c r="D6" s="7" t="inlineStr">
        <is>
          <t>村資料待ち</t>
        </is>
      </c>
      <c r="E6" s="6" t="inlineStr">
        <is>
          <t>支給決定者台帳から作成する。本ブックの起点</t>
        </is>
      </c>
    </row>
    <row r="7" ht="30" customHeight="1">
      <c r="A7" s="4" t="inlineStr">
        <is>
          <t>03_積上げ_障害福祉サービス</t>
        </is>
      </c>
      <c r="B7" s="4" t="inlineStr">
        <is>
          <t>サービス別の増減要因の積上げ</t>
        </is>
      </c>
      <c r="C7" s="4" t="inlineStr">
        <is>
          <t>第1層＋第2層</t>
        </is>
      </c>
      <c r="D7" s="7" t="inlineStr">
        <is>
          <t>村資料待ち</t>
        </is>
      </c>
      <c r="E7" s="4" t="inlineStr">
        <is>
          <t>12サービス。基準値は現行計画の令和8年度見込量</t>
        </is>
      </c>
    </row>
    <row r="8" ht="30" customHeight="1">
      <c r="A8" s="6" t="inlineStr">
        <is>
          <t>04_積上げ_障害児通所支援</t>
        </is>
      </c>
      <c r="B8" s="6" t="inlineStr">
        <is>
          <t>同上（障がい児）</t>
        </is>
      </c>
      <c r="C8" s="6" t="inlineStr">
        <is>
          <t>第1層＋第2層</t>
        </is>
      </c>
      <c r="D8" s="7" t="inlineStr">
        <is>
          <t>村資料待ち</t>
        </is>
      </c>
      <c r="E8" s="6" t="inlineStr">
        <is>
          <t>6サービス。就学・18歳移行を明示的に扱う</t>
        </is>
      </c>
    </row>
    <row r="9" ht="30" customHeight="1">
      <c r="A9" s="4" t="inlineStr">
        <is>
          <t>05_実績ゼロサービス</t>
        </is>
      </c>
      <c r="B9" s="4" t="inlineStr">
        <is>
          <t>実績ゼロのサービスの確認欄</t>
        </is>
      </c>
      <c r="C9" s="4" t="inlineStr">
        <is>
          <t>第3層</t>
        </is>
      </c>
      <c r="D9" s="7" t="inlineStr">
        <is>
          <t>村資料待ち</t>
        </is>
      </c>
      <c r="E9" s="4" t="inlineStr">
        <is>
          <t>実績ゼロをニーズゼロと判断しないための確認</t>
        </is>
      </c>
    </row>
    <row r="10" ht="30" customHeight="1">
      <c r="A10" s="6" t="inlineStr">
        <is>
          <t>06_65歳移行判定</t>
        </is>
      </c>
      <c r="B10" s="6" t="inlineStr">
        <is>
          <t>介護保険との相当関係と個別判定</t>
        </is>
      </c>
      <c r="C10" s="6" t="inlineStr">
        <is>
          <t>第1層の判定</t>
        </is>
      </c>
      <c r="D10" s="7" t="inlineStr">
        <is>
          <t>村資料待ち</t>
        </is>
      </c>
      <c r="E10" s="6" t="inlineStr">
        <is>
          <t>一律移行ではなく個別判断。制度整理は確定</t>
        </is>
      </c>
    </row>
    <row r="11" ht="30" customHeight="1">
      <c r="A11" s="4" t="inlineStr">
        <is>
          <t>07_潜在需要</t>
        </is>
      </c>
      <c r="B11" s="4" t="inlineStr">
        <is>
          <t>アンケート・相談実績による補正</t>
        </is>
      </c>
      <c r="C11" s="4" t="inlineStr">
        <is>
          <t>第3層</t>
        </is>
      </c>
      <c r="D11" s="8" t="inlineStr">
        <is>
          <t>集計後</t>
        </is>
      </c>
      <c r="E11" s="4" t="inlineStr">
        <is>
          <t>伸び率を用いるのはこの層に限定する</t>
        </is>
      </c>
    </row>
    <row r="12" ht="30" customHeight="1">
      <c r="A12" s="6" t="inlineStr">
        <is>
          <t>08_供給制約</t>
        </is>
      </c>
      <c r="B12" s="6" t="inlineStr">
        <is>
          <t>圏域事業所の定員・空き・送迎</t>
        </is>
      </c>
      <c r="C12" s="6" t="inlineStr">
        <is>
          <t>利用可能量の上限</t>
        </is>
      </c>
      <c r="D12" s="7" t="inlineStr">
        <is>
          <t>村資料待ち</t>
        </is>
      </c>
      <c r="E12" s="6" t="inlineStr">
        <is>
          <t>利用希望量と実際に利用可能な量を分離する</t>
        </is>
      </c>
    </row>
    <row r="13" ht="30" customHeight="1">
      <c r="A13" s="4" t="inlineStr">
        <is>
          <t>09_地域生活支援事業</t>
        </is>
      </c>
      <c r="B13" s="4" t="inlineStr">
        <is>
          <t>村事業の見込量</t>
        </is>
      </c>
      <c r="C13" s="4" t="inlineStr">
        <is>
          <t>第1層＋第3層</t>
        </is>
      </c>
      <c r="D13" s="7" t="inlineStr">
        <is>
          <t>村資料待ち</t>
        </is>
      </c>
      <c r="E13" s="4" t="inlineStr">
        <is>
          <t>移動支援0人の再検証を含む</t>
        </is>
      </c>
    </row>
    <row r="14" ht="30" customHeight="1">
      <c r="A14" s="6" t="inlineStr">
        <is>
          <t>10_村確認事項</t>
        </is>
      </c>
      <c r="B14" s="6" t="inlineStr">
        <is>
          <t>本方式に必要な村資料</t>
        </is>
      </c>
      <c r="C14" s="6" t="inlineStr">
        <is>
          <t>―</t>
        </is>
      </c>
      <c r="D14" s="7" t="inlineStr">
        <is>
          <t>村資料待ち</t>
        </is>
      </c>
      <c r="E14" s="6" t="inlineStr">
        <is>
          <t>年齢別・サービス別の匿名利用者一覧が最優先</t>
        </is>
      </c>
    </row>
    <row r="15" ht="30" customHeight="1">
      <c r="A15" s="4" t="inlineStr">
        <is>
          <t>11_告示別表第一根拠</t>
        </is>
      </c>
      <c r="B15" s="4" t="inlineStr">
        <is>
          <t>サービス別に告示が勘案を求める要素</t>
        </is>
      </c>
      <c r="C15" s="4" t="inlineStr">
        <is>
          <t>全体の前提</t>
        </is>
      </c>
      <c r="D15" s="5" t="inlineStr">
        <is>
          <t>確定</t>
        </is>
      </c>
      <c r="E15" s="4" t="inlineStr">
        <is>
          <t>令和8年3月31日告示第4号 別表第一と本ブックの積上げ項目の対照表</t>
        </is>
      </c>
    </row>
    <row r="16" ht="30" customHeight="1">
      <c r="A16" s="6" t="inlineStr">
        <is>
          <t>12_別表第五判定</t>
        </is>
      </c>
      <c r="B16" s="6" t="inlineStr">
        <is>
          <t>地域差是正規定の適用判定</t>
        </is>
      </c>
      <c r="C16" s="6" t="inlineStr">
        <is>
          <t>算定方法の前提</t>
        </is>
      </c>
      <c r="D16" s="5" t="inlineStr">
        <is>
          <t>確定</t>
        </is>
      </c>
      <c r="E16" s="6" t="inlineStr">
        <is>
          <t>全域が過疎（過疎法第2条）のため適用対象外。個別積上げ方式を採用できる</t>
        </is>
      </c>
    </row>
    <row r="18">
      <c r="A18" s="9" t="inlineStr">
        <is>
          <t>作業の順序</t>
        </is>
      </c>
    </row>
    <row r="19" ht="22" customHeight="1">
      <c r="A19" s="2" t="inlineStr">
        <is>
          <t>1. 村から年齢別・サービス別の匿名利用者一覧を受領し、02_年齢到達者一覧を作成します。</t>
        </is>
      </c>
    </row>
    <row r="20" ht="22" customHeight="1">
      <c r="A20" s="2" t="inlineStr">
        <is>
          <t>2. 令和9〜11年度に18歳・40歳・65歳へ到達する方を抽出し、到達年度と現在の利用サービスを記入します。</t>
        </is>
      </c>
    </row>
    <row r="21" ht="22" customHeight="1">
      <c r="A21" s="2" t="inlineStr">
        <is>
          <t>3. 65歳到達者は06_65歳移行判定で個別に移行可否を判定します。一律に減算してはいけません。</t>
        </is>
      </c>
    </row>
    <row r="22" ht="22" customHeight="1">
      <c r="A22" s="2" t="inlineStr">
        <is>
          <t>4. 判定結果を03・04の該当する増減行に転記します。継続利用者と利用者数は数式のため触りません。</t>
        </is>
      </c>
    </row>
    <row r="23" ht="22" customHeight="1">
      <c r="A23" s="2" t="inlineStr">
        <is>
          <t>5. 圏域事業所へ利用可能性を照会し、08_供給制約に記入します。利用希望量が供給を超える場合は差を明示します。</t>
        </is>
      </c>
    </row>
    <row r="24" ht="22" customHeight="1">
      <c r="A24" s="2" t="inlineStr">
        <is>
          <t>6. ここまでで得られた値を基本ケースとし、未特定需要（07）のみを低位・中位・高位で補正します。</t>
        </is>
      </c>
    </row>
    <row r="25" ht="22" customHeight="1">
      <c r="A25" s="2" t="inlineStr">
        <is>
          <t>7. 確定した利用者数・月間サービス量を計画書 第5章の見込量表と、財源構成案ブックの08へ転記します。</t>
        </is>
      </c>
    </row>
  </sheetData>
  <mergeCells count="10">
    <mergeCell ref="A21:E21"/>
    <mergeCell ref="A20:E20"/>
    <mergeCell ref="A24:E24"/>
    <mergeCell ref="A2:E2"/>
    <mergeCell ref="A25:E25"/>
    <mergeCell ref="A19:E19"/>
    <mergeCell ref="A1:E1"/>
    <mergeCell ref="A23:E23"/>
    <mergeCell ref="A22:E22"/>
    <mergeCell ref="A18:E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
  <sheetViews>
    <sheetView showGridLines="0" workbookViewId="0">
      <pane ySplit="4" topLeftCell="A5" activePane="bottomLeft" state="frozen"/>
      <selection pane="bottomLeft" activeCell="A1" sqref="A1"/>
    </sheetView>
  </sheetViews>
  <sheetFormatPr baseColWidth="8" defaultRowHeight="15"/>
  <cols>
    <col width="26" customWidth="1" min="1" max="1"/>
    <col width="62" customWidth="1" min="2" max="2"/>
    <col width="52" customWidth="1" min="3" max="3"/>
  </cols>
  <sheetData>
    <row r="1" ht="30" customHeight="1">
      <c r="A1" s="10" t="inlineStr">
        <is>
          <t>見込量の推計方式</t>
        </is>
      </c>
    </row>
    <row r="2" ht="30" customHeight="1">
      <c r="A2" s="2" t="inlineStr">
        <is>
          <t>国は全国一律の算定式を定めておらず、地域の実情に即した見込量設定を求めています。福島県計画は各市町村の見込量を積み上げる構造のため、県値を人口比で按分する方法は適合しません。本村は利用者1人の増減がサービスによって10〜25%を占めるため、個別積上げを基本とします。</t>
        </is>
      </c>
    </row>
    <row r="5">
      <c r="A5" s="9" t="inlineStr">
        <is>
          <t>1. 算式</t>
        </is>
      </c>
    </row>
    <row r="6" ht="30" customHeight="1">
      <c r="A6" s="3" t="inlineStr">
        <is>
          <t>区分</t>
        </is>
      </c>
      <c r="B6" s="3" t="inlineStr">
        <is>
          <t>算式</t>
        </is>
      </c>
      <c r="C6" s="3" t="inlineStr">
        <is>
          <t>備考</t>
        </is>
      </c>
    </row>
    <row r="7" ht="76" customHeight="1">
      <c r="A7" s="4" t="inlineStr">
        <is>
          <t>利用者数</t>
        </is>
      </c>
      <c r="B7" s="4" t="inlineStr">
        <is>
          <t>必要な利用者数 ＝ 令和８年度末に支援を必要とする方 ＋ 学校卒業・18歳到達による移行 ＋ 障害児入所施設からの移行（18歳から22歳まで） ＋ 施設・病院からの地域生活への移行 ＋ 新たな支給決定の見込み ＋ 転入 － 65歳到達による介護保険への移行 － 40歳から64歳までの特定疾病による介護保険への移行 － 一般就労への移行 － サービスの利用の終了・転出</t>
        </is>
      </c>
      <c r="C7" s="4" t="inlineStr">
        <is>
          <t>計画本文の表5-3と同じ。各項を1人単位で加減算する。03・04の各サービスブロックがこの構造。起点は実利用者ではなく期首の必要者数であり、令和8年度に既に足りていない分を含める</t>
        </is>
      </c>
    </row>
    <row r="8" ht="76" customHeight="1">
      <c r="A8" s="6" t="inlineStr">
        <is>
          <t>サービス量</t>
        </is>
      </c>
      <c r="B8" s="6" t="inlineStr">
        <is>
          <t>月間サービス量 ＝ 利用者ごとの月間予定利用量の合計 ＋ 未特定の潜在需要分 － 供給制約により利用困難な量</t>
        </is>
      </c>
      <c r="C8" s="6" t="inlineStr">
        <is>
          <t>潜在需要（07）と実際の利用見込量は分けて記載する</t>
        </is>
      </c>
    </row>
    <row r="10">
      <c r="A10" s="9" t="inlineStr">
        <is>
          <t>2. 推計対象の3層</t>
        </is>
      </c>
    </row>
    <row r="11" ht="30" customHeight="1">
      <c r="A11" s="3" t="inlineStr">
        <is>
          <t>層</t>
        </is>
      </c>
      <c r="B11" s="3" t="inlineStr">
        <is>
          <t>対象</t>
        </is>
      </c>
      <c r="C11" s="3" t="inlineStr">
        <is>
          <t>扱い</t>
        </is>
      </c>
    </row>
    <row r="12" ht="66" customHeight="1">
      <c r="A12" s="4" t="inlineStr">
        <is>
          <t>第1層
確定・高確度案件</t>
        </is>
      </c>
      <c r="B12" s="4" t="inlineStr">
        <is>
          <t>特別支援学校高等部の卒業予定者／障害児通所支援利用者の就学予定／令和9〜11年度の65歳到達者／施設退所・病院退院予定者／一般就労予定者／転出予定者／事業所から利用開始相談を受けている方</t>
        </is>
      </c>
      <c r="C12" s="4" t="inlineStr">
        <is>
          <t>1人単位で加減算する。02_年齢到達者一覧と06_65歳移行判定で個別に確定させる</t>
        </is>
      </c>
    </row>
    <row r="13" ht="66" customHeight="1">
      <c r="A13" s="6" t="inlineStr">
        <is>
          <t>第2層
既存利用者の利用量変化</t>
        </is>
      </c>
      <c r="B13" s="6" t="inlineStr">
        <is>
          <t>障害支援区分の変更／利用日数の増減／家族介護力の低下／親亡き後への対応／送迎条件の変化／事業所の変更</t>
        </is>
      </c>
      <c r="C13" s="6" t="inlineStr">
        <is>
          <t>利用者ごとの月利用日数・時間を調整する。03・04の「1人当たり月利用量」行</t>
        </is>
      </c>
    </row>
    <row r="14" ht="66" customHeight="1">
      <c r="A14" s="4" t="inlineStr">
        <is>
          <t>第3層
未特定の潜在需要</t>
        </is>
      </c>
      <c r="B14" s="4" t="inlineStr">
        <is>
          <t>アンケートの利用希望／相談支援事業所への相談件数／未利用者のニーズ／新規診断・手帳取得の傾向／圏域のサービス整備予定</t>
        </is>
      </c>
      <c r="C14" s="4" t="inlineStr">
        <is>
          <t>過去実績の伸び率を用いるのはこの層に限定する。07_潜在需要で管理する</t>
        </is>
      </c>
    </row>
    <row r="16">
      <c r="A16" s="9" t="inlineStr">
        <is>
          <t>3. 年齢到達の扱い</t>
        </is>
      </c>
    </row>
    <row r="17" ht="30" customHeight="1">
      <c r="A17" s="3" t="inlineStr">
        <is>
          <t>年齢</t>
        </is>
      </c>
      <c r="B17" s="3" t="inlineStr">
        <is>
          <t>制度上の内容</t>
        </is>
      </c>
      <c r="C17" s="3" t="inlineStr">
        <is>
          <t>推計上の扱い</t>
        </is>
      </c>
    </row>
    <row r="18" ht="76" customHeight="1">
      <c r="A18" s="4" t="inlineStr">
        <is>
          <t>6歳（就学）</t>
        </is>
      </c>
      <c r="B18" s="4" t="inlineStr">
        <is>
          <t>児童発達支援から放課後等デイサービスへ移行する。</t>
        </is>
      </c>
      <c r="C18" s="4" t="inlineStr">
        <is>
          <t>04で児童発達支援の流出と放課後等デイサービスの流入を同一人数で対応させる。令和6・7年度の給付実績にこの動きが現れている可能性がある（受給者単位の確認が必要）</t>
        </is>
      </c>
    </row>
    <row r="19" ht="76" customHeight="1">
      <c r="A19" s="6" t="inlineStr">
        <is>
          <t>18歳到達・高校卒業</t>
        </is>
      </c>
      <c r="B19" s="6" t="inlineStr">
        <is>
          <t>障害児通所支援が終了し、成人の障害福祉サービスへ移行する。障害児相談支援は計画相談支援へ切り替わる。介護給付の利用には障害支援区分の認定が必要。</t>
        </is>
      </c>
      <c r="C19" s="6" t="inlineStr">
        <is>
          <t>卒業年度により扱いが異なる。令和8年度卒業なら令和9年度の流入に計上する。令和6〜7年度卒業なら既に移行済みのため令和8年度の基準人数に含める</t>
        </is>
      </c>
    </row>
    <row r="20" ht="76" customHeight="1">
      <c r="A20" s="4" t="inlineStr">
        <is>
          <t>18〜22歳（入所児）</t>
        </is>
      </c>
      <c r="B20" s="4" t="inlineStr">
        <is>
          <t>障害児入所施設からの移行。令和6年4月施行の改正児童福祉法により、移行調整の責任主体は都道府県。22歳満了時までの入所継続が可能。福島県は令和5年度に移行調整の協議の場を設置している。</t>
        </is>
      </c>
      <c r="C20" s="4" t="inlineStr">
        <is>
          <t>村単独で推計せず、県・入所施設・相談支援事業所・成人サービス事業所と移行年度と移行先を確認したうえで計上する</t>
        </is>
      </c>
    </row>
    <row r="21" ht="76" customHeight="1">
      <c r="A21" s="6" t="inlineStr">
        <is>
          <t>20歳到達</t>
        </is>
      </c>
      <c r="B21" s="6" t="inlineStr">
        <is>
          <t>特別児童扶養手当から障害基礎年金へ切り替わる。放課後等デイサービスの特例利用の上限。</t>
        </is>
      </c>
      <c r="C21" s="6" t="inlineStr">
        <is>
          <t>サービス見込量への直接の影響は小さい。手当・年金の切替として整理する</t>
        </is>
      </c>
    </row>
    <row r="22" ht="76" customHeight="1">
      <c r="A22" s="4" t="inlineStr">
        <is>
          <t>40歳到達</t>
        </is>
      </c>
      <c r="B22" s="4" t="inlineStr">
        <is>
          <t>介護保険第2号被保険者となる。ただし介護保険給付を受けるには、16の特定疾病に起因する要介護・要支援状態であることが必要。</t>
        </is>
      </c>
      <c r="C22" s="4" t="inlineStr">
        <is>
          <t>40歳到達人数を一律に減算しない。特定疾病に該当し、実際に介護保険の認定申請・移行予定がある方のみを個別に反映する</t>
        </is>
      </c>
    </row>
    <row r="23" ht="76" customHeight="1">
      <c r="A23" s="6" t="inlineStr">
        <is>
          <t>65歳到達</t>
        </is>
      </c>
      <c r="B23" s="6" t="inlineStr">
        <is>
          <t>介護保険優先原則（障害者総合支援法第7条）が適用される。ただし平成19年通知（平成27年改正）により一律適用ではなく市町村が個別に判断する。最高裁も、近隣に利用可能な事業所がない等の事情があれば介護保険の認定を経ずに給付決定し得ることを認めている。</t>
        </is>
      </c>
      <c r="C23" s="6" t="inlineStr">
        <is>
          <t>一律に減算しない。06_65歳移行判定でサービスを「相当あり」「相当なし」「一部あり」に分け、到達者ごとに移行予定・障害福祉継続・月量への影響を判定して反映する</t>
        </is>
      </c>
    </row>
    <row r="25">
      <c r="A25" s="9" t="inlineStr">
        <is>
          <t>4. 県内他団体の推計方法との関係</t>
        </is>
      </c>
    </row>
    <row r="26" ht="30" customHeight="1">
      <c r="A26" s="3" t="inlineStr">
        <is>
          <t>類型</t>
        </is>
      </c>
      <c r="B26" s="3" t="inlineStr">
        <is>
          <t>県内で確認された方法</t>
        </is>
      </c>
      <c r="C26" s="3" t="inlineStr">
        <is>
          <t>本村への適合性</t>
        </is>
      </c>
    </row>
    <row r="27" ht="44" customHeight="1">
      <c r="A27" s="4" t="inlineStr">
        <is>
          <t>①実績傾向型</t>
        </is>
      </c>
      <c r="B27" s="4" t="inlineStr">
        <is>
          <t>過去の利用実績・増減傾向を延長する（川俣町の手帳所持者数推計等）</t>
        </is>
      </c>
      <c r="C27" s="4" t="inlineStr">
        <is>
          <t>低い。1人の増減が10〜25%を占める本村では傾向線が意味を持たない</t>
        </is>
      </c>
    </row>
    <row r="28" ht="44" customHeight="1">
      <c r="A28" s="6" t="inlineStr">
        <is>
          <t>②実績＋ニーズ型</t>
        </is>
      </c>
      <c r="B28" s="6" t="inlineStr">
        <is>
          <t>実績に加え、アンケート・利用者ニーズを考慮する（湯川村が算式ではなく方針として明記）</t>
        </is>
      </c>
      <c r="C28" s="6" t="inlineStr">
        <is>
          <t>中程度。県内で最も一般的だが、増減の理由が1人単位で説明できない</t>
        </is>
      </c>
    </row>
    <row r="29" ht="44" customHeight="1">
      <c r="A29" s="4" t="inlineStr">
        <is>
          <t>③個別積上げ型</t>
        </is>
      </c>
      <c r="B29" s="4" t="inlineStr">
        <is>
          <t>現利用者・新規利用予定者・進学・卒業・移行予定を積み上げる</t>
        </is>
      </c>
      <c r="C29" s="4" t="inlineStr">
        <is>
          <t>高い。本ブックが採用する方式。県内で算式まで明示している団体は限定的</t>
        </is>
      </c>
    </row>
    <row r="30" ht="44" customHeight="1">
      <c r="A30" s="2" t="inlineStr">
        <is>
          <t>県内計画に共通する弱点として、算式が明記されていない、1人単位の増減理由が分からない、児童発達支援→放課後等デイサービス→成人サービスの連動が見えない、65歳到達による介護保険移行が見込量表から判別できない、利用希望量と圏域の供給可能量が分離されていない、の5点があります。県内他団体と同じ方法に合わせるだけでは本村の課題は解消しません。</t>
        </is>
      </c>
    </row>
  </sheetData>
  <mergeCells count="7">
    <mergeCell ref="A10:C10"/>
    <mergeCell ref="A25:C25"/>
    <mergeCell ref="A1:C1"/>
    <mergeCell ref="A5:C5"/>
    <mergeCell ref="A2:C2"/>
    <mergeCell ref="A30:C30"/>
    <mergeCell ref="A16:C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8"/>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26" customWidth="1" min="6" max="6"/>
    <col width="14" customWidth="1" min="7" max="7"/>
    <col width="14" customWidth="1" min="8" max="8"/>
    <col width="16" customWidth="1" min="9" max="9"/>
    <col width="16" customWidth="1" min="10" max="10"/>
    <col width="30" customWidth="1" min="11" max="11"/>
  </cols>
  <sheetData>
    <row r="1" ht="30" customHeight="1">
      <c r="A1" s="10" t="inlineStr">
        <is>
          <t>年齢到達者一覧（匿名台帳）</t>
        </is>
      </c>
    </row>
    <row r="2" ht="30" customHeight="1">
      <c r="A2" s="2" t="inlineStr">
        <is>
          <t>村の支給決定者台帳から作成します。氏名は不要で、利用者番号等の匿名の識別子で管理してください。本ブックの起点となるシートです。個人が特定されるため、公表用の報告書には掲載しません。</t>
        </is>
      </c>
    </row>
    <row r="5" ht="30" customHeight="1">
      <c r="A5" s="3" t="inlineStr">
        <is>
          <t>利用者
番号</t>
        </is>
      </c>
      <c r="B5" s="3" t="inlineStr">
        <is>
          <t>到達区分</t>
        </is>
      </c>
      <c r="C5" s="3" t="inlineStr">
        <is>
          <t>到達
年度</t>
        </is>
      </c>
      <c r="D5" s="3" t="inlineStr">
        <is>
          <t>到達時
年齢</t>
        </is>
      </c>
      <c r="E5" s="3" t="inlineStr">
        <is>
          <t>障害
支援区分</t>
        </is>
      </c>
      <c r="F5" s="3" t="inlineStr">
        <is>
          <t>現在利用しているサービス</t>
        </is>
      </c>
      <c r="G5" s="3" t="inlineStr">
        <is>
          <t>介護保険
相当の有無</t>
        </is>
      </c>
      <c r="H5" s="3" t="inlineStr">
        <is>
          <t>移行
予定</t>
        </is>
      </c>
      <c r="I5" s="3" t="inlineStr">
        <is>
          <t>障害福祉
継続</t>
        </is>
      </c>
      <c r="J5" s="3" t="inlineStr">
        <is>
          <t>月量への
影響</t>
        </is>
      </c>
      <c r="K5" s="3" t="inlineStr">
        <is>
          <t>確認状況・備考</t>
        </is>
      </c>
    </row>
    <row r="6">
      <c r="A6" s="11" t="inlineStr">
        <is>
          <t>（例）001</t>
        </is>
      </c>
      <c r="B6" s="12" t="inlineStr">
        <is>
          <t>65歳</t>
        </is>
      </c>
      <c r="C6" s="12" t="inlineStr">
        <is>
          <t>令和10年度</t>
        </is>
      </c>
      <c r="D6" s="12" t="inlineStr">
        <is>
          <t>65</t>
        </is>
      </c>
      <c r="E6" s="12" t="inlineStr">
        <is>
          <t>区分4</t>
        </is>
      </c>
      <c r="F6" s="13" t="inlineStr">
        <is>
          <t>生活介護、居宅介護</t>
        </is>
      </c>
      <c r="G6" s="12" t="inlineStr">
        <is>
          <t>あり</t>
        </is>
      </c>
      <c r="H6" s="12" t="inlineStr">
        <is>
          <t>一部</t>
        </is>
      </c>
      <c r="I6" s="12" t="inlineStr">
        <is>
          <t>生活介護は継続</t>
        </is>
      </c>
      <c r="J6" s="14" t="inlineStr">
        <is>
          <t>-10人日</t>
        </is>
      </c>
      <c r="K6" s="13" t="inlineStr">
        <is>
          <t>例示。実データではありません</t>
        </is>
      </c>
    </row>
    <row r="7">
      <c r="A7" s="15" t="n"/>
      <c r="B7" s="15" t="n"/>
      <c r="C7" s="15" t="n"/>
      <c r="D7" s="15" t="n"/>
      <c r="E7" s="15" t="n"/>
      <c r="F7" s="16" t="n"/>
      <c r="G7" s="15" t="n"/>
      <c r="H7" s="15" t="n"/>
      <c r="I7" s="15" t="n"/>
      <c r="J7" s="17" t="n"/>
      <c r="K7" s="16" t="n"/>
    </row>
    <row r="8">
      <c r="A8" s="15" t="n"/>
      <c r="B8" s="15" t="n"/>
      <c r="C8" s="15" t="n"/>
      <c r="D8" s="15" t="n"/>
      <c r="E8" s="15" t="n"/>
      <c r="F8" s="16" t="n"/>
      <c r="G8" s="15" t="n"/>
      <c r="H8" s="15" t="n"/>
      <c r="I8" s="15" t="n"/>
      <c r="J8" s="17" t="n"/>
      <c r="K8" s="16" t="n"/>
    </row>
    <row r="9">
      <c r="A9" s="15" t="n"/>
      <c r="B9" s="15" t="n"/>
      <c r="C9" s="15" t="n"/>
      <c r="D9" s="15" t="n"/>
      <c r="E9" s="15" t="n"/>
      <c r="F9" s="16" t="n"/>
      <c r="G9" s="15" t="n"/>
      <c r="H9" s="15" t="n"/>
      <c r="I9" s="15" t="n"/>
      <c r="J9" s="17" t="n"/>
      <c r="K9" s="16" t="n"/>
    </row>
    <row r="10">
      <c r="A10" s="15" t="n"/>
      <c r="B10" s="15" t="n"/>
      <c r="C10" s="15" t="n"/>
      <c r="D10" s="15" t="n"/>
      <c r="E10" s="15" t="n"/>
      <c r="F10" s="16" t="n"/>
      <c r="G10" s="15" t="n"/>
      <c r="H10" s="15" t="n"/>
      <c r="I10" s="15" t="n"/>
      <c r="J10" s="17" t="n"/>
      <c r="K10" s="16" t="n"/>
    </row>
    <row r="11">
      <c r="A11" s="15" t="n"/>
      <c r="B11" s="15" t="n"/>
      <c r="C11" s="15" t="n"/>
      <c r="D11" s="15" t="n"/>
      <c r="E11" s="15" t="n"/>
      <c r="F11" s="16" t="n"/>
      <c r="G11" s="15" t="n"/>
      <c r="H11" s="15" t="n"/>
      <c r="I11" s="15" t="n"/>
      <c r="J11" s="17" t="n"/>
      <c r="K11" s="16" t="n"/>
    </row>
    <row r="12">
      <c r="A12" s="15" t="n"/>
      <c r="B12" s="15" t="n"/>
      <c r="C12" s="15" t="n"/>
      <c r="D12" s="15" t="n"/>
      <c r="E12" s="15" t="n"/>
      <c r="F12" s="16" t="n"/>
      <c r="G12" s="15" t="n"/>
      <c r="H12" s="15" t="n"/>
      <c r="I12" s="15" t="n"/>
      <c r="J12" s="17" t="n"/>
      <c r="K12" s="16" t="n"/>
    </row>
    <row r="13">
      <c r="A13" s="15" t="n"/>
      <c r="B13" s="15" t="n"/>
      <c r="C13" s="15" t="n"/>
      <c r="D13" s="15" t="n"/>
      <c r="E13" s="15" t="n"/>
      <c r="F13" s="16" t="n"/>
      <c r="G13" s="15" t="n"/>
      <c r="H13" s="15" t="n"/>
      <c r="I13" s="15" t="n"/>
      <c r="J13" s="17" t="n"/>
      <c r="K13" s="16" t="n"/>
    </row>
    <row r="14">
      <c r="A14" s="15" t="n"/>
      <c r="B14" s="15" t="n"/>
      <c r="C14" s="15" t="n"/>
      <c r="D14" s="15" t="n"/>
      <c r="E14" s="15" t="n"/>
      <c r="F14" s="16" t="n"/>
      <c r="G14" s="15" t="n"/>
      <c r="H14" s="15" t="n"/>
      <c r="I14" s="15" t="n"/>
      <c r="J14" s="17" t="n"/>
      <c r="K14" s="16" t="n"/>
    </row>
    <row r="15">
      <c r="A15" s="15" t="n"/>
      <c r="B15" s="15" t="n"/>
      <c r="C15" s="15" t="n"/>
      <c r="D15" s="15" t="n"/>
      <c r="E15" s="15" t="n"/>
      <c r="F15" s="16" t="n"/>
      <c r="G15" s="15" t="n"/>
      <c r="H15" s="15" t="n"/>
      <c r="I15" s="15" t="n"/>
      <c r="J15" s="17" t="n"/>
      <c r="K15" s="16" t="n"/>
    </row>
    <row r="16">
      <c r="A16" s="15" t="n"/>
      <c r="B16" s="15" t="n"/>
      <c r="C16" s="15" t="n"/>
      <c r="D16" s="15" t="n"/>
      <c r="E16" s="15" t="n"/>
      <c r="F16" s="16" t="n"/>
      <c r="G16" s="15" t="n"/>
      <c r="H16" s="15" t="n"/>
      <c r="I16" s="15" t="n"/>
      <c r="J16" s="17" t="n"/>
      <c r="K16" s="16" t="n"/>
    </row>
    <row r="17">
      <c r="A17" s="15" t="n"/>
      <c r="B17" s="15" t="n"/>
      <c r="C17" s="15" t="n"/>
      <c r="D17" s="15" t="n"/>
      <c r="E17" s="15" t="n"/>
      <c r="F17" s="16" t="n"/>
      <c r="G17" s="15" t="n"/>
      <c r="H17" s="15" t="n"/>
      <c r="I17" s="15" t="n"/>
      <c r="J17" s="17" t="n"/>
      <c r="K17" s="16" t="n"/>
    </row>
    <row r="18">
      <c r="A18" s="15" t="n"/>
      <c r="B18" s="15" t="n"/>
      <c r="C18" s="15" t="n"/>
      <c r="D18" s="15" t="n"/>
      <c r="E18" s="15" t="n"/>
      <c r="F18" s="16" t="n"/>
      <c r="G18" s="15" t="n"/>
      <c r="H18" s="15" t="n"/>
      <c r="I18" s="15" t="n"/>
      <c r="J18" s="17" t="n"/>
      <c r="K18" s="16" t="n"/>
    </row>
    <row r="19">
      <c r="A19" s="15" t="n"/>
      <c r="B19" s="15" t="n"/>
      <c r="C19" s="15" t="n"/>
      <c r="D19" s="15" t="n"/>
      <c r="E19" s="15" t="n"/>
      <c r="F19" s="16" t="n"/>
      <c r="G19" s="15" t="n"/>
      <c r="H19" s="15" t="n"/>
      <c r="I19" s="15" t="n"/>
      <c r="J19" s="17" t="n"/>
      <c r="K19" s="16" t="n"/>
    </row>
    <row r="20">
      <c r="A20" s="15" t="n"/>
      <c r="B20" s="15" t="n"/>
      <c r="C20" s="15" t="n"/>
      <c r="D20" s="15" t="n"/>
      <c r="E20" s="15" t="n"/>
      <c r="F20" s="16" t="n"/>
      <c r="G20" s="15" t="n"/>
      <c r="H20" s="15" t="n"/>
      <c r="I20" s="15" t="n"/>
      <c r="J20" s="17" t="n"/>
      <c r="K20" s="16" t="n"/>
    </row>
    <row r="21">
      <c r="A21" s="15" t="n"/>
      <c r="B21" s="15" t="n"/>
      <c r="C21" s="15" t="n"/>
      <c r="D21" s="15" t="n"/>
      <c r="E21" s="15" t="n"/>
      <c r="F21" s="16" t="n"/>
      <c r="G21" s="15" t="n"/>
      <c r="H21" s="15" t="n"/>
      <c r="I21" s="15" t="n"/>
      <c r="J21" s="17" t="n"/>
      <c r="K21" s="16" t="n"/>
    </row>
    <row r="22">
      <c r="A22" s="15" t="n"/>
      <c r="B22" s="15" t="n"/>
      <c r="C22" s="15" t="n"/>
      <c r="D22" s="15" t="n"/>
      <c r="E22" s="15" t="n"/>
      <c r="F22" s="16" t="n"/>
      <c r="G22" s="15" t="n"/>
      <c r="H22" s="15" t="n"/>
      <c r="I22" s="15" t="n"/>
      <c r="J22" s="17" t="n"/>
      <c r="K22" s="16" t="n"/>
    </row>
    <row r="23">
      <c r="A23" s="15" t="n"/>
      <c r="B23" s="15" t="n"/>
      <c r="C23" s="15" t="n"/>
      <c r="D23" s="15" t="n"/>
      <c r="E23" s="15" t="n"/>
      <c r="F23" s="16" t="n"/>
      <c r="G23" s="15" t="n"/>
      <c r="H23" s="15" t="n"/>
      <c r="I23" s="15" t="n"/>
      <c r="J23" s="17" t="n"/>
      <c r="K23" s="16" t="n"/>
    </row>
    <row r="24">
      <c r="A24" s="15" t="n"/>
      <c r="B24" s="15" t="n"/>
      <c r="C24" s="15" t="n"/>
      <c r="D24" s="15" t="n"/>
      <c r="E24" s="15" t="n"/>
      <c r="F24" s="16" t="n"/>
      <c r="G24" s="15" t="n"/>
      <c r="H24" s="15" t="n"/>
      <c r="I24" s="15" t="n"/>
      <c r="J24" s="17" t="n"/>
      <c r="K24" s="16" t="n"/>
    </row>
    <row r="25">
      <c r="A25" s="15" t="n"/>
      <c r="B25" s="15" t="n"/>
      <c r="C25" s="15" t="n"/>
      <c r="D25" s="15" t="n"/>
      <c r="E25" s="15" t="n"/>
      <c r="F25" s="16" t="n"/>
      <c r="G25" s="15" t="n"/>
      <c r="H25" s="15" t="n"/>
      <c r="I25" s="15" t="n"/>
      <c r="J25" s="17" t="n"/>
      <c r="K25" s="16" t="n"/>
    </row>
    <row r="26">
      <c r="A26" s="15" t="n"/>
      <c r="B26" s="15" t="n"/>
      <c r="C26" s="15" t="n"/>
      <c r="D26" s="15" t="n"/>
      <c r="E26" s="15" t="n"/>
      <c r="F26" s="16" t="n"/>
      <c r="G26" s="15" t="n"/>
      <c r="H26" s="15" t="n"/>
      <c r="I26" s="15" t="n"/>
      <c r="J26" s="17" t="n"/>
      <c r="K26" s="16" t="n"/>
    </row>
    <row r="27">
      <c r="A27" s="15" t="n"/>
      <c r="B27" s="15" t="n"/>
      <c r="C27" s="15" t="n"/>
      <c r="D27" s="15" t="n"/>
      <c r="E27" s="15" t="n"/>
      <c r="F27" s="16" t="n"/>
      <c r="G27" s="15" t="n"/>
      <c r="H27" s="15" t="n"/>
      <c r="I27" s="15" t="n"/>
      <c r="J27" s="17" t="n"/>
      <c r="K27" s="16" t="n"/>
    </row>
    <row r="28">
      <c r="A28" s="15" t="n"/>
      <c r="B28" s="15" t="n"/>
      <c r="C28" s="15" t="n"/>
      <c r="D28" s="15" t="n"/>
      <c r="E28" s="15" t="n"/>
      <c r="F28" s="16" t="n"/>
      <c r="G28" s="15" t="n"/>
      <c r="H28" s="15" t="n"/>
      <c r="I28" s="15" t="n"/>
      <c r="J28" s="17" t="n"/>
      <c r="K28" s="16" t="n"/>
    </row>
    <row r="29">
      <c r="A29" s="15" t="n"/>
      <c r="B29" s="15" t="n"/>
      <c r="C29" s="15" t="n"/>
      <c r="D29" s="15" t="n"/>
      <c r="E29" s="15" t="n"/>
      <c r="F29" s="16" t="n"/>
      <c r="G29" s="15" t="n"/>
      <c r="H29" s="15" t="n"/>
      <c r="I29" s="15" t="n"/>
      <c r="J29" s="17" t="n"/>
      <c r="K29" s="16" t="n"/>
    </row>
    <row r="30">
      <c r="A30" s="15" t="n"/>
      <c r="B30" s="15" t="n"/>
      <c r="C30" s="15" t="n"/>
      <c r="D30" s="15" t="n"/>
      <c r="E30" s="15" t="n"/>
      <c r="F30" s="16" t="n"/>
      <c r="G30" s="15" t="n"/>
      <c r="H30" s="15" t="n"/>
      <c r="I30" s="15" t="n"/>
      <c r="J30" s="17" t="n"/>
      <c r="K30" s="16" t="n"/>
    </row>
    <row r="32">
      <c r="A32" s="9" t="inlineStr">
        <is>
          <t>記入のしかた</t>
        </is>
      </c>
    </row>
    <row r="33" ht="22" customHeight="1">
      <c r="A33" s="2" t="inlineStr">
        <is>
          <t>・到達区分：18歳／40歳／65歳のいずれか。就学（6歳）や20歳も必要に応じて追加してください。</t>
        </is>
      </c>
    </row>
    <row r="34" ht="22" customHeight="1">
      <c r="A34" s="2" t="inlineStr">
        <is>
          <t>・到達年度：令和9〜11年度に到達する方が対象です。令和8年度に到達済みの方は基準人数に含まれるため、03・04の令和8年度基準へ反映します。</t>
        </is>
      </c>
    </row>
    <row r="35" ht="22" customHeight="1">
      <c r="A35" s="2" t="inlineStr">
        <is>
          <t>・介護保険相当の有無：06_65歳移行判定の区分表に従って「あり」「なし」「一部」を記入します。</t>
        </is>
      </c>
    </row>
    <row r="36" ht="22" customHeight="1">
      <c r="A36" s="2" t="inlineStr">
        <is>
          <t>・移行予定：「する」「しない」「一部」「未定」。40歳到達者は、特定疾病に該当し要介護認定を受ける見込みがある場合のみ「する」とし、それ以外は「しない」とします。</t>
        </is>
      </c>
    </row>
    <row r="37" ht="22" customHeight="1">
      <c r="A37" s="2" t="inlineStr">
        <is>
          <t>・月量への影響：人日／月または時間／月で、増減を符号付きで記入します。03・04の該当行に転記します。</t>
        </is>
      </c>
    </row>
    <row r="38" ht="22" customHeight="1">
      <c r="A38" s="2" t="inlineStr">
        <is>
          <t>・18歳到達者は、卒業年度と卒業後の進路（生活介護、就労継続支援B型、就労移行支援等）、成人サービスの利用開始日、月利用日数、計画相談への切替状況まで確認してください。</t>
        </is>
      </c>
    </row>
  </sheetData>
  <mergeCells count="9">
    <mergeCell ref="A34:K34"/>
    <mergeCell ref="A35:K35"/>
    <mergeCell ref="A38:K38"/>
    <mergeCell ref="A2:K2"/>
    <mergeCell ref="A33:K33"/>
    <mergeCell ref="A32:K32"/>
    <mergeCell ref="A36:K36"/>
    <mergeCell ref="A1:K1"/>
    <mergeCell ref="A37:K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7"/>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4" customWidth="1" min="3" max="3"/>
    <col width="14" customWidth="1" min="4" max="4"/>
    <col width="14" customWidth="1" min="5" max="5"/>
    <col width="14" customWidth="1" min="6" max="6"/>
    <col width="46" customWidth="1" min="7" max="7"/>
  </cols>
  <sheetData>
    <row r="1" ht="30" customHeight="1">
      <c r="A1" s="10" t="inlineStr">
        <is>
          <t>障害福祉サービスの個別積上げ</t>
        </is>
      </c>
    </row>
    <row r="2" ht="30" customHeight="1">
      <c r="A2" s="2" t="inlineStr">
        <is>
          <t>サービスごとに、継続・流入・流出を1人単位で積み上げます。65歳到達・40歳到達による減算は、06_65歳移行判定で個別に判定した結果のみを反映し、到達人数を一律に減算してはいけません。</t>
        </is>
      </c>
    </row>
    <row r="5">
      <c r="A5" s="9" t="inlineStr">
        <is>
          <t>1　居宅介護</t>
        </is>
      </c>
    </row>
    <row r="6" ht="20" customHeight="1">
      <c r="A6" s="2" t="inlineStr">
        <is>
          <t>※ 令和7年度は請求44件（月平均3.7件相当）。訪問可能地区・冬季の提供体制が制約</t>
        </is>
      </c>
    </row>
    <row r="7" ht="30" customHeight="1">
      <c r="A7" s="3" t="inlineStr">
        <is>
          <t>増減要因</t>
        </is>
      </c>
      <c r="B7" s="3" t="inlineStr">
        <is>
          <t>単位</t>
        </is>
      </c>
      <c r="C7" s="3" t="inlineStr">
        <is>
          <t>令和8年度
（基準）</t>
        </is>
      </c>
      <c r="D7" s="3" t="inlineStr">
        <is>
          <t>令和9年度</t>
        </is>
      </c>
      <c r="E7" s="3" t="inlineStr">
        <is>
          <t>令和10年度</t>
        </is>
      </c>
      <c r="F7" s="3" t="inlineStr">
        <is>
          <t>令和11年度</t>
        </is>
      </c>
      <c r="G7" s="3" t="inlineStr">
        <is>
          <t>備考</t>
        </is>
      </c>
    </row>
    <row r="8">
      <c r="A8" s="4" t="inlineStr">
        <is>
          <t>継続利用者</t>
        </is>
      </c>
      <c r="B8" s="8" t="inlineStr">
        <is>
          <t>人／月</t>
        </is>
      </c>
      <c r="C8" s="18" t="n">
        <v>4</v>
      </c>
      <c r="D8" s="19">
        <f>C15</f>
        <v/>
      </c>
      <c r="E8" s="19">
        <f>D15</f>
        <v/>
      </c>
      <c r="F8" s="19">
        <f>E15</f>
        <v/>
      </c>
      <c r="G8" s="4" t="inlineStr">
        <is>
          <t>前年度の利用者数を繰り越す</t>
        </is>
      </c>
    </row>
    <row r="9">
      <c r="A9" s="4" t="inlineStr">
        <is>
          <t>＋　特別支援学校卒業・18歳到達</t>
        </is>
      </c>
      <c r="B9" s="8" t="inlineStr">
        <is>
          <t>人／月</t>
        </is>
      </c>
      <c r="C9" s="20" t="n"/>
      <c r="D9" s="18" t="n"/>
      <c r="E9" s="18" t="n"/>
      <c r="F9" s="18" t="n"/>
      <c r="G9" s="4" t="inlineStr">
        <is>
          <t>02_年齢到達者一覧から転記する</t>
        </is>
      </c>
    </row>
    <row r="10">
      <c r="A10" s="4" t="inlineStr">
        <is>
          <t>＋　施設・病院からの地域移行</t>
        </is>
      </c>
      <c r="B10" s="8" t="inlineStr">
        <is>
          <t>人／月</t>
        </is>
      </c>
      <c r="C10" s="20" t="n"/>
      <c r="D10" s="18" t="n"/>
      <c r="E10" s="18" t="n"/>
      <c r="F10" s="18" t="n"/>
      <c r="G10" s="4" t="inlineStr">
        <is>
          <t>移行予定者を個別に確認する</t>
        </is>
      </c>
    </row>
    <row r="11">
      <c r="A11" s="4" t="inlineStr">
        <is>
          <t>＋　新規支給決定（相談・転入等）</t>
        </is>
      </c>
      <c r="B11" s="8" t="inlineStr">
        <is>
          <t>人／月</t>
        </is>
      </c>
      <c r="C11" s="20" t="n"/>
      <c r="D11" s="18" t="n"/>
      <c r="E11" s="18" t="n"/>
      <c r="F11" s="18" t="n"/>
      <c r="G11" s="4" t="inlineStr">
        <is>
          <t>相談支援事業所からの利用開始相談を含む</t>
        </is>
      </c>
    </row>
    <row r="12">
      <c r="A12" s="4" t="inlineStr">
        <is>
          <t>－　65歳到達・介護保険移行</t>
        </is>
      </c>
      <c r="B12" s="8" t="inlineStr">
        <is>
          <t>人／月</t>
        </is>
      </c>
      <c r="C12" s="21" t="n"/>
      <c r="D12" s="22" t="n"/>
      <c r="E12" s="22" t="n"/>
      <c r="F12" s="22" t="n"/>
      <c r="G12" s="4" t="inlineStr">
        <is>
          <t>06_65歳移行判定の結果を反映する。一律に減算しない</t>
        </is>
      </c>
    </row>
    <row r="13">
      <c r="A13" s="4" t="inlineStr">
        <is>
          <t>－　一般就労・サービス終了</t>
        </is>
      </c>
      <c r="B13" s="8" t="inlineStr">
        <is>
          <t>人／月</t>
        </is>
      </c>
      <c r="C13" s="21" t="n"/>
      <c r="D13" s="22" t="n"/>
      <c r="E13" s="22" t="n"/>
      <c r="F13" s="22" t="n"/>
      <c r="G13" s="4" t="inlineStr">
        <is>
          <t>就労移行支援からの一般就労等</t>
        </is>
      </c>
    </row>
    <row r="14">
      <c r="A14" s="4" t="inlineStr">
        <is>
          <t>－　死亡・転出・長期入院</t>
        </is>
      </c>
      <c r="B14" s="8" t="inlineStr">
        <is>
          <t>人／月</t>
        </is>
      </c>
      <c r="C14" s="21" t="n"/>
      <c r="D14" s="22" t="n"/>
      <c r="E14" s="22" t="n"/>
      <c r="F14" s="22" t="n"/>
      <c r="G14" s="4" t="inlineStr">
        <is>
          <t>高齢化が進む本村では主要な減少要因</t>
        </is>
      </c>
    </row>
    <row r="15">
      <c r="A15" s="23" t="inlineStr">
        <is>
          <t>＝　利用者数</t>
        </is>
      </c>
      <c r="B15" s="24" t="inlineStr">
        <is>
          <t>人／月</t>
        </is>
      </c>
      <c r="C15" s="25">
        <f>C8</f>
        <v/>
      </c>
      <c r="D15" s="25">
        <f>D8+SUM(D9:D11)-SUM(D12:D14)</f>
        <v/>
      </c>
      <c r="E15" s="25">
        <f>E8+SUM(E9:E11)-SUM(E12:E14)</f>
        <v/>
      </c>
      <c r="F15" s="25">
        <f>F8+SUM(F9:F11)-SUM(F12:F14)</f>
        <v/>
      </c>
      <c r="G15" s="4" t="inlineStr">
        <is>
          <t>継続＋流入－流出</t>
        </is>
      </c>
    </row>
    <row r="16">
      <c r="A16" s="4" t="inlineStr">
        <is>
          <t xml:space="preserve">　　1人当たり月利用量</t>
        </is>
      </c>
      <c r="B16" s="8" t="inlineStr">
        <is>
          <t>時間／月</t>
        </is>
      </c>
      <c r="C16" s="26" t="n">
        <v>10</v>
      </c>
      <c r="D16" s="26" t="n">
        <v>10</v>
      </c>
      <c r="E16" s="26" t="n">
        <v>10</v>
      </c>
      <c r="F16" s="26" t="n">
        <v>10</v>
      </c>
      <c r="G16" s="4" t="inlineStr">
        <is>
          <t>利用者ごとの月間予定量の平均</t>
        </is>
      </c>
    </row>
    <row r="17">
      <c r="A17" s="23" t="inlineStr">
        <is>
          <t>＝　月間サービス量</t>
        </is>
      </c>
      <c r="B17" s="24" t="inlineStr">
        <is>
          <t>時間／月</t>
        </is>
      </c>
      <c r="C17" s="27">
        <f>ROUND(C15*C16,1)</f>
        <v/>
      </c>
      <c r="D17" s="27">
        <f>ROUND(D15*D16,1)</f>
        <v/>
      </c>
      <c r="E17" s="27">
        <f>ROUND(E15*E16,1)</f>
        <v/>
      </c>
      <c r="F17" s="27">
        <f>ROUND(F15*F16,1)</f>
        <v/>
      </c>
      <c r="G17" s="4" t="inlineStr">
        <is>
          <t>利用者数×1人当たり月利用量</t>
        </is>
      </c>
    </row>
    <row r="19">
      <c r="A19" s="9" t="inlineStr">
        <is>
          <t>2　生活介護</t>
        </is>
      </c>
    </row>
    <row r="20" ht="20" customHeight="1">
      <c r="A20" s="2" t="inlineStr">
        <is>
          <t>※ 令和7年度は請求79件（月平均6.6件相当）。特別支援学校卒業者の主な移行先</t>
        </is>
      </c>
    </row>
    <row r="21" ht="30" customHeight="1">
      <c r="A21" s="3" t="inlineStr">
        <is>
          <t>増減要因</t>
        </is>
      </c>
      <c r="B21" s="3" t="inlineStr">
        <is>
          <t>単位</t>
        </is>
      </c>
      <c r="C21" s="3" t="inlineStr">
        <is>
          <t>令和8年度
（基準）</t>
        </is>
      </c>
      <c r="D21" s="3" t="inlineStr">
        <is>
          <t>令和9年度</t>
        </is>
      </c>
      <c r="E21" s="3" t="inlineStr">
        <is>
          <t>令和10年度</t>
        </is>
      </c>
      <c r="F21" s="3" t="inlineStr">
        <is>
          <t>令和11年度</t>
        </is>
      </c>
      <c r="G21" s="3" t="inlineStr">
        <is>
          <t>備考</t>
        </is>
      </c>
    </row>
    <row r="22">
      <c r="A22" s="4" t="inlineStr">
        <is>
          <t>継続利用者</t>
        </is>
      </c>
      <c r="B22" s="8" t="inlineStr">
        <is>
          <t>人／月</t>
        </is>
      </c>
      <c r="C22" s="18" t="n">
        <v>6</v>
      </c>
      <c r="D22" s="19">
        <f>C29</f>
        <v/>
      </c>
      <c r="E22" s="19">
        <f>D29</f>
        <v/>
      </c>
      <c r="F22" s="19">
        <f>E29</f>
        <v/>
      </c>
      <c r="G22" s="4" t="inlineStr">
        <is>
          <t>前年度の利用者数を繰り越す</t>
        </is>
      </c>
    </row>
    <row r="23">
      <c r="A23" s="4" t="inlineStr">
        <is>
          <t>＋　特別支援学校卒業・18歳到達</t>
        </is>
      </c>
      <c r="B23" s="8" t="inlineStr">
        <is>
          <t>人／月</t>
        </is>
      </c>
      <c r="C23" s="20" t="n"/>
      <c r="D23" s="18" t="n"/>
      <c r="E23" s="18" t="n"/>
      <c r="F23" s="18" t="n"/>
      <c r="G23" s="4" t="inlineStr">
        <is>
          <t>02_年齢到達者一覧から転記する</t>
        </is>
      </c>
    </row>
    <row r="24">
      <c r="A24" s="4" t="inlineStr">
        <is>
          <t>＋　施設・病院からの地域移行</t>
        </is>
      </c>
      <c r="B24" s="8" t="inlineStr">
        <is>
          <t>人／月</t>
        </is>
      </c>
      <c r="C24" s="20" t="n"/>
      <c r="D24" s="18" t="n"/>
      <c r="E24" s="18" t="n"/>
      <c r="F24" s="18" t="n"/>
      <c r="G24" s="4" t="inlineStr">
        <is>
          <t>移行予定者を個別に確認する</t>
        </is>
      </c>
    </row>
    <row r="25">
      <c r="A25" s="4" t="inlineStr">
        <is>
          <t>＋　新規支給決定（相談・転入等）</t>
        </is>
      </c>
      <c r="B25" s="8" t="inlineStr">
        <is>
          <t>人／月</t>
        </is>
      </c>
      <c r="C25" s="20" t="n"/>
      <c r="D25" s="18" t="n"/>
      <c r="E25" s="18" t="n"/>
      <c r="F25" s="18" t="n"/>
      <c r="G25" s="4" t="inlineStr">
        <is>
          <t>相談支援事業所からの利用開始相談を含む</t>
        </is>
      </c>
    </row>
    <row r="26">
      <c r="A26" s="4" t="inlineStr">
        <is>
          <t>－　65歳到達・介護保険移行</t>
        </is>
      </c>
      <c r="B26" s="8" t="inlineStr">
        <is>
          <t>人／月</t>
        </is>
      </c>
      <c r="C26" s="21" t="n"/>
      <c r="D26" s="22" t="n"/>
      <c r="E26" s="22" t="n"/>
      <c r="F26" s="22" t="n"/>
      <c r="G26" s="4" t="inlineStr">
        <is>
          <t>06_65歳移行判定の結果を反映する。一律に減算しない</t>
        </is>
      </c>
    </row>
    <row r="27">
      <c r="A27" s="4" t="inlineStr">
        <is>
          <t>－　一般就労・サービス終了</t>
        </is>
      </c>
      <c r="B27" s="8" t="inlineStr">
        <is>
          <t>人／月</t>
        </is>
      </c>
      <c r="C27" s="21" t="n"/>
      <c r="D27" s="22" t="n"/>
      <c r="E27" s="22" t="n"/>
      <c r="F27" s="22" t="n"/>
      <c r="G27" s="4" t="inlineStr">
        <is>
          <t>就労移行支援からの一般就労等</t>
        </is>
      </c>
    </row>
    <row r="28">
      <c r="A28" s="4" t="inlineStr">
        <is>
          <t>－　死亡・転出・長期入院</t>
        </is>
      </c>
      <c r="B28" s="8" t="inlineStr">
        <is>
          <t>人／月</t>
        </is>
      </c>
      <c r="C28" s="21" t="n"/>
      <c r="D28" s="22" t="n"/>
      <c r="E28" s="22" t="n"/>
      <c r="F28" s="22" t="n"/>
      <c r="G28" s="4" t="inlineStr">
        <is>
          <t>高齢化が進む本村では主要な減少要因</t>
        </is>
      </c>
    </row>
    <row r="29">
      <c r="A29" s="23" t="inlineStr">
        <is>
          <t>＝　利用者数</t>
        </is>
      </c>
      <c r="B29" s="24" t="inlineStr">
        <is>
          <t>人／月</t>
        </is>
      </c>
      <c r="C29" s="25">
        <f>C22</f>
        <v/>
      </c>
      <c r="D29" s="25">
        <f>D22+SUM(D23:D25)-SUM(D26:D28)</f>
        <v/>
      </c>
      <c r="E29" s="25">
        <f>E22+SUM(E23:E25)-SUM(E26:E28)</f>
        <v/>
      </c>
      <c r="F29" s="25">
        <f>F22+SUM(F23:F25)-SUM(F26:F28)</f>
        <v/>
      </c>
      <c r="G29" s="4" t="inlineStr">
        <is>
          <t>継続＋流入－流出</t>
        </is>
      </c>
    </row>
    <row r="30">
      <c r="A30" s="4" t="inlineStr">
        <is>
          <t xml:space="preserve">　　1人当たり月利用量</t>
        </is>
      </c>
      <c r="B30" s="8" t="inlineStr">
        <is>
          <t>人日／月</t>
        </is>
      </c>
      <c r="C30" s="26" t="n">
        <v>19.7</v>
      </c>
      <c r="D30" s="26" t="n">
        <v>19.7</v>
      </c>
      <c r="E30" s="26" t="n">
        <v>19.7</v>
      </c>
      <c r="F30" s="26" t="n">
        <v>19.7</v>
      </c>
      <c r="G30" s="4" t="inlineStr">
        <is>
          <t>利用者ごとの月間予定量の平均</t>
        </is>
      </c>
    </row>
    <row r="31">
      <c r="A31" s="23" t="inlineStr">
        <is>
          <t>＝　月間サービス量</t>
        </is>
      </c>
      <c r="B31" s="24" t="inlineStr">
        <is>
          <t>人日／月</t>
        </is>
      </c>
      <c r="C31" s="27">
        <f>ROUND(C29*C30,1)</f>
        <v/>
      </c>
      <c r="D31" s="27">
        <f>ROUND(D29*D30,1)</f>
        <v/>
      </c>
      <c r="E31" s="27">
        <f>ROUND(E29*E30,1)</f>
        <v/>
      </c>
      <c r="F31" s="27">
        <f>ROUND(F29*F30,1)</f>
        <v/>
      </c>
      <c r="G31" s="4" t="inlineStr">
        <is>
          <t>利用者数×1人当たり月利用量</t>
        </is>
      </c>
    </row>
    <row r="33">
      <c r="A33" s="9" t="inlineStr">
        <is>
          <t>3　短期入所（福祉型）</t>
        </is>
      </c>
    </row>
    <row r="34" ht="20" customHeight="1">
      <c r="A34" s="2" t="inlineStr">
        <is>
          <t>※ 現行計画は非計上だが令和6年度2件・令和7年度3件の実績あり。令和9年度からの計上を検討</t>
        </is>
      </c>
    </row>
    <row r="35" ht="30" customHeight="1">
      <c r="A35" s="3" t="inlineStr">
        <is>
          <t>増減要因</t>
        </is>
      </c>
      <c r="B35" s="3" t="inlineStr">
        <is>
          <t>単位</t>
        </is>
      </c>
      <c r="C35" s="3" t="inlineStr">
        <is>
          <t>令和8年度
（基準）</t>
        </is>
      </c>
      <c r="D35" s="3" t="inlineStr">
        <is>
          <t>令和9年度</t>
        </is>
      </c>
      <c r="E35" s="3" t="inlineStr">
        <is>
          <t>令和10年度</t>
        </is>
      </c>
      <c r="F35" s="3" t="inlineStr">
        <is>
          <t>令和11年度</t>
        </is>
      </c>
      <c r="G35" s="3" t="inlineStr">
        <is>
          <t>備考</t>
        </is>
      </c>
    </row>
    <row r="36">
      <c r="A36" s="4" t="inlineStr">
        <is>
          <t>継続利用者</t>
        </is>
      </c>
      <c r="B36" s="8" t="inlineStr">
        <is>
          <t>人／月</t>
        </is>
      </c>
      <c r="C36" s="18" t="n">
        <v>0</v>
      </c>
      <c r="D36" s="19">
        <f>C43</f>
        <v/>
      </c>
      <c r="E36" s="19">
        <f>D43</f>
        <v/>
      </c>
      <c r="F36" s="19">
        <f>E43</f>
        <v/>
      </c>
      <c r="G36" s="4" t="inlineStr">
        <is>
          <t>前年度の利用者数を繰り越す</t>
        </is>
      </c>
    </row>
    <row r="37">
      <c r="A37" s="4" t="inlineStr">
        <is>
          <t>＋　特別支援学校卒業・18歳到達</t>
        </is>
      </c>
      <c r="B37" s="8" t="inlineStr">
        <is>
          <t>人／月</t>
        </is>
      </c>
      <c r="C37" s="20" t="n"/>
      <c r="D37" s="18" t="n"/>
      <c r="E37" s="18" t="n"/>
      <c r="F37" s="18" t="n"/>
      <c r="G37" s="4" t="inlineStr">
        <is>
          <t>02_年齢到達者一覧から転記する</t>
        </is>
      </c>
    </row>
    <row r="38">
      <c r="A38" s="4" t="inlineStr">
        <is>
          <t>＋　施設・病院からの地域移行</t>
        </is>
      </c>
      <c r="B38" s="8" t="inlineStr">
        <is>
          <t>人／月</t>
        </is>
      </c>
      <c r="C38" s="20" t="n"/>
      <c r="D38" s="18" t="n"/>
      <c r="E38" s="18" t="n"/>
      <c r="F38" s="18" t="n"/>
      <c r="G38" s="4" t="inlineStr">
        <is>
          <t>移行予定者を個別に確認する</t>
        </is>
      </c>
    </row>
    <row r="39">
      <c r="A39" s="4" t="inlineStr">
        <is>
          <t>＋　新規支給決定（相談・転入等）</t>
        </is>
      </c>
      <c r="B39" s="8" t="inlineStr">
        <is>
          <t>人／月</t>
        </is>
      </c>
      <c r="C39" s="20" t="n"/>
      <c r="D39" s="18" t="n"/>
      <c r="E39" s="18" t="n"/>
      <c r="F39" s="18" t="n"/>
      <c r="G39" s="4" t="inlineStr">
        <is>
          <t>相談支援事業所からの利用開始相談を含む</t>
        </is>
      </c>
    </row>
    <row r="40">
      <c r="A40" s="4" t="inlineStr">
        <is>
          <t>－　65歳到達・介護保険移行</t>
        </is>
      </c>
      <c r="B40" s="8" t="inlineStr">
        <is>
          <t>人／月</t>
        </is>
      </c>
      <c r="C40" s="21" t="n"/>
      <c r="D40" s="22" t="n"/>
      <c r="E40" s="22" t="n"/>
      <c r="F40" s="22" t="n"/>
      <c r="G40" s="4" t="inlineStr">
        <is>
          <t>06_65歳移行判定の結果を反映する。一律に減算しない</t>
        </is>
      </c>
    </row>
    <row r="41">
      <c r="A41" s="4" t="inlineStr">
        <is>
          <t>－　一般就労・サービス終了</t>
        </is>
      </c>
      <c r="B41" s="8" t="inlineStr">
        <is>
          <t>人／月</t>
        </is>
      </c>
      <c r="C41" s="21" t="n"/>
      <c r="D41" s="22" t="n"/>
      <c r="E41" s="22" t="n"/>
      <c r="F41" s="22" t="n"/>
      <c r="G41" s="4" t="inlineStr">
        <is>
          <t>就労移行支援からの一般就労等</t>
        </is>
      </c>
    </row>
    <row r="42">
      <c r="A42" s="4" t="inlineStr">
        <is>
          <t>－　死亡・転出・長期入院</t>
        </is>
      </c>
      <c r="B42" s="8" t="inlineStr">
        <is>
          <t>人／月</t>
        </is>
      </c>
      <c r="C42" s="21" t="n"/>
      <c r="D42" s="22" t="n"/>
      <c r="E42" s="22" t="n"/>
      <c r="F42" s="22" t="n"/>
      <c r="G42" s="4" t="inlineStr">
        <is>
          <t>高齢化が進む本村では主要な減少要因</t>
        </is>
      </c>
    </row>
    <row r="43">
      <c r="A43" s="23" t="inlineStr">
        <is>
          <t>＝　利用者数</t>
        </is>
      </c>
      <c r="B43" s="24" t="inlineStr">
        <is>
          <t>人／月</t>
        </is>
      </c>
      <c r="C43" s="25">
        <f>C36</f>
        <v/>
      </c>
      <c r="D43" s="25">
        <f>D36+SUM(D37:D39)-SUM(D40:D42)</f>
        <v/>
      </c>
      <c r="E43" s="25">
        <f>E36+SUM(E37:E39)-SUM(E40:E42)</f>
        <v/>
      </c>
      <c r="F43" s="25">
        <f>F36+SUM(F37:F39)-SUM(F40:F42)</f>
        <v/>
      </c>
      <c r="G43" s="4" t="inlineStr">
        <is>
          <t>継続＋流入－流出</t>
        </is>
      </c>
    </row>
    <row r="44">
      <c r="A44" s="4" t="inlineStr">
        <is>
          <t xml:space="preserve">　　1人当たり月利用量</t>
        </is>
      </c>
      <c r="B44" s="8" t="inlineStr">
        <is>
          <t>人日／月</t>
        </is>
      </c>
      <c r="C44" s="26" t="n"/>
      <c r="D44" s="26" t="n"/>
      <c r="E44" s="26" t="n"/>
      <c r="F44" s="26" t="n"/>
      <c r="G44" s="4" t="inlineStr">
        <is>
          <t>利用者ごとの月間予定量の平均</t>
        </is>
      </c>
    </row>
    <row r="45">
      <c r="A45" s="23" t="inlineStr">
        <is>
          <t>＝　月間サービス量</t>
        </is>
      </c>
      <c r="B45" s="24" t="inlineStr">
        <is>
          <t>人日／月</t>
        </is>
      </c>
      <c r="C45" s="27">
        <f>ROUND(C43*C44,1)</f>
        <v/>
      </c>
      <c r="D45" s="27">
        <f>ROUND(D43*D44,1)</f>
        <v/>
      </c>
      <c r="E45" s="27">
        <f>ROUND(E43*E44,1)</f>
        <v/>
      </c>
      <c r="F45" s="27">
        <f>ROUND(F43*F44,1)</f>
        <v/>
      </c>
      <c r="G45" s="4" t="inlineStr">
        <is>
          <t>利用者数×1人当たり月利用量</t>
        </is>
      </c>
    </row>
    <row r="47">
      <c r="A47" s="9" t="inlineStr">
        <is>
          <t>4　自立訓練（生活訓練）</t>
        </is>
      </c>
    </row>
    <row r="48" ht="20" customHeight="1">
      <c r="A48" s="2" t="inlineStr">
        <is>
          <t>※ 令和7年度は請求2件。利用の増減が大きい</t>
        </is>
      </c>
    </row>
    <row r="49" ht="30" customHeight="1">
      <c r="A49" s="3" t="inlineStr">
        <is>
          <t>増減要因</t>
        </is>
      </c>
      <c r="B49" s="3" t="inlineStr">
        <is>
          <t>単位</t>
        </is>
      </c>
      <c r="C49" s="3" t="inlineStr">
        <is>
          <t>令和8年度
（基準）</t>
        </is>
      </c>
      <c r="D49" s="3" t="inlineStr">
        <is>
          <t>令和9年度</t>
        </is>
      </c>
      <c r="E49" s="3" t="inlineStr">
        <is>
          <t>令和10年度</t>
        </is>
      </c>
      <c r="F49" s="3" t="inlineStr">
        <is>
          <t>令和11年度</t>
        </is>
      </c>
      <c r="G49" s="3" t="inlineStr">
        <is>
          <t>備考</t>
        </is>
      </c>
    </row>
    <row r="50">
      <c r="A50" s="4" t="inlineStr">
        <is>
          <t>継続利用者</t>
        </is>
      </c>
      <c r="B50" s="8" t="inlineStr">
        <is>
          <t>人／月</t>
        </is>
      </c>
      <c r="C50" s="18" t="n">
        <v>1</v>
      </c>
      <c r="D50" s="19">
        <f>C57</f>
        <v/>
      </c>
      <c r="E50" s="19">
        <f>D57</f>
        <v/>
      </c>
      <c r="F50" s="19">
        <f>E57</f>
        <v/>
      </c>
      <c r="G50" s="4" t="inlineStr">
        <is>
          <t>前年度の利用者数を繰り越す</t>
        </is>
      </c>
    </row>
    <row r="51">
      <c r="A51" s="4" t="inlineStr">
        <is>
          <t>＋　特別支援学校卒業・18歳到達</t>
        </is>
      </c>
      <c r="B51" s="8" t="inlineStr">
        <is>
          <t>人／月</t>
        </is>
      </c>
      <c r="C51" s="20" t="n"/>
      <c r="D51" s="18" t="n"/>
      <c r="E51" s="18" t="n"/>
      <c r="F51" s="18" t="n"/>
      <c r="G51" s="4" t="inlineStr">
        <is>
          <t>02_年齢到達者一覧から転記する</t>
        </is>
      </c>
    </row>
    <row r="52">
      <c r="A52" s="4" t="inlineStr">
        <is>
          <t>＋　施設・病院からの地域移行</t>
        </is>
      </c>
      <c r="B52" s="8" t="inlineStr">
        <is>
          <t>人／月</t>
        </is>
      </c>
      <c r="C52" s="20" t="n"/>
      <c r="D52" s="18" t="n"/>
      <c r="E52" s="18" t="n"/>
      <c r="F52" s="18" t="n"/>
      <c r="G52" s="4" t="inlineStr">
        <is>
          <t>移行予定者を個別に確認する</t>
        </is>
      </c>
    </row>
    <row r="53">
      <c r="A53" s="4" t="inlineStr">
        <is>
          <t>＋　新規支給決定（相談・転入等）</t>
        </is>
      </c>
      <c r="B53" s="8" t="inlineStr">
        <is>
          <t>人／月</t>
        </is>
      </c>
      <c r="C53" s="20" t="n"/>
      <c r="D53" s="18" t="n"/>
      <c r="E53" s="18" t="n"/>
      <c r="F53" s="18" t="n"/>
      <c r="G53" s="4" t="inlineStr">
        <is>
          <t>相談支援事業所からの利用開始相談を含む</t>
        </is>
      </c>
    </row>
    <row r="54">
      <c r="A54" s="4" t="inlineStr">
        <is>
          <t>－　65歳到達・介護保険移行</t>
        </is>
      </c>
      <c r="B54" s="8" t="inlineStr">
        <is>
          <t>人／月</t>
        </is>
      </c>
      <c r="C54" s="21" t="n"/>
      <c r="D54" s="22" t="n"/>
      <c r="E54" s="22" t="n"/>
      <c r="F54" s="22" t="n"/>
      <c r="G54" s="4" t="inlineStr">
        <is>
          <t>06_65歳移行判定の結果を反映する。一律に減算しない</t>
        </is>
      </c>
    </row>
    <row r="55">
      <c r="A55" s="4" t="inlineStr">
        <is>
          <t>－　一般就労・サービス終了</t>
        </is>
      </c>
      <c r="B55" s="8" t="inlineStr">
        <is>
          <t>人／月</t>
        </is>
      </c>
      <c r="C55" s="21" t="n"/>
      <c r="D55" s="22" t="n"/>
      <c r="E55" s="22" t="n"/>
      <c r="F55" s="22" t="n"/>
      <c r="G55" s="4" t="inlineStr">
        <is>
          <t>就労移行支援からの一般就労等</t>
        </is>
      </c>
    </row>
    <row r="56">
      <c r="A56" s="4" t="inlineStr">
        <is>
          <t>－　死亡・転出・長期入院</t>
        </is>
      </c>
      <c r="B56" s="8" t="inlineStr">
        <is>
          <t>人／月</t>
        </is>
      </c>
      <c r="C56" s="21" t="n"/>
      <c r="D56" s="22" t="n"/>
      <c r="E56" s="22" t="n"/>
      <c r="F56" s="22" t="n"/>
      <c r="G56" s="4" t="inlineStr">
        <is>
          <t>高齢化が進む本村では主要な減少要因</t>
        </is>
      </c>
    </row>
    <row r="57">
      <c r="A57" s="23" t="inlineStr">
        <is>
          <t>＝　利用者数</t>
        </is>
      </c>
      <c r="B57" s="24" t="inlineStr">
        <is>
          <t>人／月</t>
        </is>
      </c>
      <c r="C57" s="25">
        <f>C50</f>
        <v/>
      </c>
      <c r="D57" s="25">
        <f>D50+SUM(D51:D53)-SUM(D54:D56)</f>
        <v/>
      </c>
      <c r="E57" s="25">
        <f>E50+SUM(E51:E53)-SUM(E54:E56)</f>
        <v/>
      </c>
      <c r="F57" s="25">
        <f>F50+SUM(F51:F53)-SUM(F54:F56)</f>
        <v/>
      </c>
      <c r="G57" s="4" t="inlineStr">
        <is>
          <t>継続＋流入－流出</t>
        </is>
      </c>
    </row>
    <row r="58">
      <c r="A58" s="4" t="inlineStr">
        <is>
          <t xml:space="preserve">　　1人当たり月利用量</t>
        </is>
      </c>
      <c r="B58" s="8" t="inlineStr">
        <is>
          <t>人日／月</t>
        </is>
      </c>
      <c r="C58" s="26" t="n">
        <v>12</v>
      </c>
      <c r="D58" s="26" t="n">
        <v>12</v>
      </c>
      <c r="E58" s="26" t="n">
        <v>12</v>
      </c>
      <c r="F58" s="26" t="n">
        <v>12</v>
      </c>
      <c r="G58" s="4" t="inlineStr">
        <is>
          <t>利用者ごとの月間予定量の平均</t>
        </is>
      </c>
    </row>
    <row r="59">
      <c r="A59" s="23" t="inlineStr">
        <is>
          <t>＝　月間サービス量</t>
        </is>
      </c>
      <c r="B59" s="24" t="inlineStr">
        <is>
          <t>人日／月</t>
        </is>
      </c>
      <c r="C59" s="27">
        <f>ROUND(C57*C58,1)</f>
        <v/>
      </c>
      <c r="D59" s="27">
        <f>ROUND(D57*D58,1)</f>
        <v/>
      </c>
      <c r="E59" s="27">
        <f>ROUND(E57*E58,1)</f>
        <v/>
      </c>
      <c r="F59" s="27">
        <f>ROUND(F57*F58,1)</f>
        <v/>
      </c>
      <c r="G59" s="4" t="inlineStr">
        <is>
          <t>利用者数×1人当たり月利用量</t>
        </is>
      </c>
    </row>
    <row r="61">
      <c r="A61" s="9" t="inlineStr">
        <is>
          <t>5　就労選択支援</t>
        </is>
      </c>
    </row>
    <row r="62" ht="20" customHeight="1">
      <c r="A62" s="2" t="inlineStr">
        <is>
          <t>※ 令和7年10月開始。就労継続支援A型・B型利用者のうち希望者を想定</t>
        </is>
      </c>
    </row>
    <row r="63" ht="30" customHeight="1">
      <c r="A63" s="3" t="inlineStr">
        <is>
          <t>増減要因</t>
        </is>
      </c>
      <c r="B63" s="3" t="inlineStr">
        <is>
          <t>単位</t>
        </is>
      </c>
      <c r="C63" s="3" t="inlineStr">
        <is>
          <t>令和8年度
（基準）</t>
        </is>
      </c>
      <c r="D63" s="3" t="inlineStr">
        <is>
          <t>令和9年度</t>
        </is>
      </c>
      <c r="E63" s="3" t="inlineStr">
        <is>
          <t>令和10年度</t>
        </is>
      </c>
      <c r="F63" s="3" t="inlineStr">
        <is>
          <t>令和11年度</t>
        </is>
      </c>
      <c r="G63" s="3" t="inlineStr">
        <is>
          <t>備考</t>
        </is>
      </c>
    </row>
    <row r="64">
      <c r="A64" s="4" t="inlineStr">
        <is>
          <t>継続利用者</t>
        </is>
      </c>
      <c r="B64" s="8" t="inlineStr">
        <is>
          <t>人／月</t>
        </is>
      </c>
      <c r="C64" s="18" t="n">
        <v>0</v>
      </c>
      <c r="D64" s="19">
        <f>C71</f>
        <v/>
      </c>
      <c r="E64" s="19">
        <f>D71</f>
        <v/>
      </c>
      <c r="F64" s="19">
        <f>E71</f>
        <v/>
      </c>
      <c r="G64" s="4" t="inlineStr">
        <is>
          <t>前年度の利用者数を繰り越す</t>
        </is>
      </c>
    </row>
    <row r="65">
      <c r="A65" s="4" t="inlineStr">
        <is>
          <t>＋　特別支援学校卒業・18歳到達</t>
        </is>
      </c>
      <c r="B65" s="8" t="inlineStr">
        <is>
          <t>人／月</t>
        </is>
      </c>
      <c r="C65" s="20" t="n"/>
      <c r="D65" s="18" t="n"/>
      <c r="E65" s="18" t="n"/>
      <c r="F65" s="18" t="n"/>
      <c r="G65" s="4" t="inlineStr">
        <is>
          <t>02_年齢到達者一覧から転記する</t>
        </is>
      </c>
    </row>
    <row r="66">
      <c r="A66" s="4" t="inlineStr">
        <is>
          <t>＋　施設・病院からの地域移行</t>
        </is>
      </c>
      <c r="B66" s="8" t="inlineStr">
        <is>
          <t>人／月</t>
        </is>
      </c>
      <c r="C66" s="20" t="n"/>
      <c r="D66" s="18" t="n"/>
      <c r="E66" s="18" t="n"/>
      <c r="F66" s="18" t="n"/>
      <c r="G66" s="4" t="inlineStr">
        <is>
          <t>移行予定者を個別に確認する</t>
        </is>
      </c>
    </row>
    <row r="67">
      <c r="A67" s="4" t="inlineStr">
        <is>
          <t>＋　新規支給決定（相談・転入等）</t>
        </is>
      </c>
      <c r="B67" s="8" t="inlineStr">
        <is>
          <t>人／月</t>
        </is>
      </c>
      <c r="C67" s="20" t="n"/>
      <c r="D67" s="18" t="n"/>
      <c r="E67" s="18" t="n"/>
      <c r="F67" s="18" t="n"/>
      <c r="G67" s="4" t="inlineStr">
        <is>
          <t>相談支援事業所からの利用開始相談を含む</t>
        </is>
      </c>
    </row>
    <row r="68">
      <c r="A68" s="4" t="inlineStr">
        <is>
          <t>－　65歳到達・介護保険移行</t>
        </is>
      </c>
      <c r="B68" s="8" t="inlineStr">
        <is>
          <t>人／月</t>
        </is>
      </c>
      <c r="C68" s="21" t="n"/>
      <c r="D68" s="22" t="n"/>
      <c r="E68" s="22" t="n"/>
      <c r="F68" s="22" t="n"/>
      <c r="G68" s="4" t="inlineStr">
        <is>
          <t>06_65歳移行判定の結果を反映する。一律に減算しない</t>
        </is>
      </c>
    </row>
    <row r="69">
      <c r="A69" s="4" t="inlineStr">
        <is>
          <t>－　一般就労・サービス終了</t>
        </is>
      </c>
      <c r="B69" s="8" t="inlineStr">
        <is>
          <t>人／月</t>
        </is>
      </c>
      <c r="C69" s="21" t="n"/>
      <c r="D69" s="22" t="n"/>
      <c r="E69" s="22" t="n"/>
      <c r="F69" s="22" t="n"/>
      <c r="G69" s="4" t="inlineStr">
        <is>
          <t>就労移行支援からの一般就労等</t>
        </is>
      </c>
    </row>
    <row r="70">
      <c r="A70" s="4" t="inlineStr">
        <is>
          <t>－　死亡・転出・長期入院</t>
        </is>
      </c>
      <c r="B70" s="8" t="inlineStr">
        <is>
          <t>人／月</t>
        </is>
      </c>
      <c r="C70" s="21" t="n"/>
      <c r="D70" s="22" t="n"/>
      <c r="E70" s="22" t="n"/>
      <c r="F70" s="22" t="n"/>
      <c r="G70" s="4" t="inlineStr">
        <is>
          <t>高齢化が進む本村では主要な減少要因</t>
        </is>
      </c>
    </row>
    <row r="71">
      <c r="A71" s="23" t="inlineStr">
        <is>
          <t>＝　利用者数</t>
        </is>
      </c>
      <c r="B71" s="24" t="inlineStr">
        <is>
          <t>人／月</t>
        </is>
      </c>
      <c r="C71" s="25">
        <f>C64</f>
        <v/>
      </c>
      <c r="D71" s="25">
        <f>D64+SUM(D65:D67)-SUM(D68:D70)</f>
        <v/>
      </c>
      <c r="E71" s="25">
        <f>E64+SUM(E65:E67)-SUM(E68:E70)</f>
        <v/>
      </c>
      <c r="F71" s="25">
        <f>F64+SUM(F65:F67)-SUM(F68:F70)</f>
        <v/>
      </c>
      <c r="G71" s="4" t="inlineStr">
        <is>
          <t>継続＋流入－流出</t>
        </is>
      </c>
    </row>
    <row r="72">
      <c r="A72" s="4" t="inlineStr">
        <is>
          <t xml:space="preserve">　　1人当たり月利用量</t>
        </is>
      </c>
      <c r="B72" s="8" t="inlineStr">
        <is>
          <t>―</t>
        </is>
      </c>
      <c r="C72" s="26" t="n"/>
      <c r="D72" s="26" t="n"/>
      <c r="E72" s="26" t="n"/>
      <c r="F72" s="26" t="n"/>
      <c r="G72" s="4" t="inlineStr">
        <is>
          <t>利用者ごとの月間予定量の平均</t>
        </is>
      </c>
    </row>
    <row r="73">
      <c r="A73" s="23" t="inlineStr">
        <is>
          <t>＝　月間サービス量</t>
        </is>
      </c>
      <c r="B73" s="24" t="inlineStr">
        <is>
          <t>―</t>
        </is>
      </c>
      <c r="C73" s="27">
        <f>ROUND(C71*C72,1)</f>
        <v/>
      </c>
      <c r="D73" s="27">
        <f>ROUND(D71*D72,1)</f>
        <v/>
      </c>
      <c r="E73" s="27">
        <f>ROUND(E71*E72,1)</f>
        <v/>
      </c>
      <c r="F73" s="27">
        <f>ROUND(F71*F72,1)</f>
        <v/>
      </c>
      <c r="G73" s="4" t="inlineStr">
        <is>
          <t>利用者数×1人当たり月利用量</t>
        </is>
      </c>
    </row>
    <row r="75">
      <c r="A75" s="9" t="inlineStr">
        <is>
          <t>6　就労移行支援</t>
        </is>
      </c>
    </row>
    <row r="76" ht="20" customHeight="1">
      <c r="A76" s="2" t="inlineStr">
        <is>
          <t>※ 令和4・5年度に実績。一般就労移行の成果目標と連動</t>
        </is>
      </c>
    </row>
    <row r="77" ht="30" customHeight="1">
      <c r="A77" s="3" t="inlineStr">
        <is>
          <t>増減要因</t>
        </is>
      </c>
      <c r="B77" s="3" t="inlineStr">
        <is>
          <t>単位</t>
        </is>
      </c>
      <c r="C77" s="3" t="inlineStr">
        <is>
          <t>令和8年度
（基準）</t>
        </is>
      </c>
      <c r="D77" s="3" t="inlineStr">
        <is>
          <t>令和9年度</t>
        </is>
      </c>
      <c r="E77" s="3" t="inlineStr">
        <is>
          <t>令和10年度</t>
        </is>
      </c>
      <c r="F77" s="3" t="inlineStr">
        <is>
          <t>令和11年度</t>
        </is>
      </c>
      <c r="G77" s="3" t="inlineStr">
        <is>
          <t>備考</t>
        </is>
      </c>
    </row>
    <row r="78">
      <c r="A78" s="4" t="inlineStr">
        <is>
          <t>継続利用者</t>
        </is>
      </c>
      <c r="B78" s="8" t="inlineStr">
        <is>
          <t>人／月</t>
        </is>
      </c>
      <c r="C78" s="18" t="n">
        <v>1</v>
      </c>
      <c r="D78" s="19">
        <f>C85</f>
        <v/>
      </c>
      <c r="E78" s="19">
        <f>D85</f>
        <v/>
      </c>
      <c r="F78" s="19">
        <f>E85</f>
        <v/>
      </c>
      <c r="G78" s="4" t="inlineStr">
        <is>
          <t>前年度の利用者数を繰り越す</t>
        </is>
      </c>
    </row>
    <row r="79">
      <c r="A79" s="4" t="inlineStr">
        <is>
          <t>＋　特別支援学校卒業・18歳到達</t>
        </is>
      </c>
      <c r="B79" s="8" t="inlineStr">
        <is>
          <t>人／月</t>
        </is>
      </c>
      <c r="C79" s="20" t="n"/>
      <c r="D79" s="18" t="n"/>
      <c r="E79" s="18" t="n"/>
      <c r="F79" s="18" t="n"/>
      <c r="G79" s="4" t="inlineStr">
        <is>
          <t>02_年齢到達者一覧から転記する</t>
        </is>
      </c>
    </row>
    <row r="80">
      <c r="A80" s="4" t="inlineStr">
        <is>
          <t>＋　施設・病院からの地域移行</t>
        </is>
      </c>
      <c r="B80" s="8" t="inlineStr">
        <is>
          <t>人／月</t>
        </is>
      </c>
      <c r="C80" s="20" t="n"/>
      <c r="D80" s="18" t="n"/>
      <c r="E80" s="18" t="n"/>
      <c r="F80" s="18" t="n"/>
      <c r="G80" s="4" t="inlineStr">
        <is>
          <t>移行予定者を個別に確認する</t>
        </is>
      </c>
    </row>
    <row r="81">
      <c r="A81" s="4" t="inlineStr">
        <is>
          <t>＋　新規支給決定（相談・転入等）</t>
        </is>
      </c>
      <c r="B81" s="8" t="inlineStr">
        <is>
          <t>人／月</t>
        </is>
      </c>
      <c r="C81" s="20" t="n"/>
      <c r="D81" s="18" t="n"/>
      <c r="E81" s="18" t="n"/>
      <c r="F81" s="18" t="n"/>
      <c r="G81" s="4" t="inlineStr">
        <is>
          <t>相談支援事業所からの利用開始相談を含む</t>
        </is>
      </c>
    </row>
    <row r="82">
      <c r="A82" s="4" t="inlineStr">
        <is>
          <t>－　65歳到達・介護保険移行</t>
        </is>
      </c>
      <c r="B82" s="8" t="inlineStr">
        <is>
          <t>人／月</t>
        </is>
      </c>
      <c r="C82" s="21" t="n"/>
      <c r="D82" s="22" t="n"/>
      <c r="E82" s="22" t="n"/>
      <c r="F82" s="22" t="n"/>
      <c r="G82" s="4" t="inlineStr">
        <is>
          <t>06_65歳移行判定の結果を反映する。一律に減算しない</t>
        </is>
      </c>
    </row>
    <row r="83">
      <c r="A83" s="4" t="inlineStr">
        <is>
          <t>－　一般就労・サービス終了</t>
        </is>
      </c>
      <c r="B83" s="8" t="inlineStr">
        <is>
          <t>人／月</t>
        </is>
      </c>
      <c r="C83" s="21" t="n"/>
      <c r="D83" s="22" t="n"/>
      <c r="E83" s="22" t="n"/>
      <c r="F83" s="22" t="n"/>
      <c r="G83" s="4" t="inlineStr">
        <is>
          <t>就労移行支援からの一般就労等</t>
        </is>
      </c>
    </row>
    <row r="84">
      <c r="A84" s="4" t="inlineStr">
        <is>
          <t>－　死亡・転出・長期入院</t>
        </is>
      </c>
      <c r="B84" s="8" t="inlineStr">
        <is>
          <t>人／月</t>
        </is>
      </c>
      <c r="C84" s="21" t="n"/>
      <c r="D84" s="22" t="n"/>
      <c r="E84" s="22" t="n"/>
      <c r="F84" s="22" t="n"/>
      <c r="G84" s="4" t="inlineStr">
        <is>
          <t>高齢化が進む本村では主要な減少要因</t>
        </is>
      </c>
    </row>
    <row r="85">
      <c r="A85" s="23" t="inlineStr">
        <is>
          <t>＝　利用者数</t>
        </is>
      </c>
      <c r="B85" s="24" t="inlineStr">
        <is>
          <t>人／月</t>
        </is>
      </c>
      <c r="C85" s="25">
        <f>C78</f>
        <v/>
      </c>
      <c r="D85" s="25">
        <f>D78+SUM(D79:D81)-SUM(D82:D84)</f>
        <v/>
      </c>
      <c r="E85" s="25">
        <f>E78+SUM(E79:E81)-SUM(E82:E84)</f>
        <v/>
      </c>
      <c r="F85" s="25">
        <f>F78+SUM(F79:F81)-SUM(F82:F84)</f>
        <v/>
      </c>
      <c r="G85" s="4" t="inlineStr">
        <is>
          <t>継続＋流入－流出</t>
        </is>
      </c>
    </row>
    <row r="86">
      <c r="A86" s="4" t="inlineStr">
        <is>
          <t xml:space="preserve">　　1人当たり月利用量</t>
        </is>
      </c>
      <c r="B86" s="8" t="inlineStr">
        <is>
          <t>人日／月</t>
        </is>
      </c>
      <c r="C86" s="26" t="n">
        <v>10</v>
      </c>
      <c r="D86" s="26" t="n">
        <v>10</v>
      </c>
      <c r="E86" s="26" t="n">
        <v>10</v>
      </c>
      <c r="F86" s="26" t="n">
        <v>10</v>
      </c>
      <c r="G86" s="4" t="inlineStr">
        <is>
          <t>利用者ごとの月間予定量の平均</t>
        </is>
      </c>
    </row>
    <row r="87">
      <c r="A87" s="23" t="inlineStr">
        <is>
          <t>＝　月間サービス量</t>
        </is>
      </c>
      <c r="B87" s="24" t="inlineStr">
        <is>
          <t>人日／月</t>
        </is>
      </c>
      <c r="C87" s="27">
        <f>ROUND(C85*C86,1)</f>
        <v/>
      </c>
      <c r="D87" s="27">
        <f>ROUND(D85*D86,1)</f>
        <v/>
      </c>
      <c r="E87" s="27">
        <f>ROUND(E85*E86,1)</f>
        <v/>
      </c>
      <c r="F87" s="27">
        <f>ROUND(F85*F86,1)</f>
        <v/>
      </c>
      <c r="G87" s="4" t="inlineStr">
        <is>
          <t>利用者数×1人当たり月利用量</t>
        </is>
      </c>
    </row>
    <row r="89">
      <c r="A89" s="9" t="inlineStr">
        <is>
          <t>7　就労継続支援A型</t>
        </is>
      </c>
    </row>
    <row r="90" ht="20" customHeight="1">
      <c r="A90" s="2" t="inlineStr">
        <is>
          <t>※ 現利用者への継続提供</t>
        </is>
      </c>
    </row>
    <row r="91" ht="30" customHeight="1">
      <c r="A91" s="3" t="inlineStr">
        <is>
          <t>増減要因</t>
        </is>
      </c>
      <c r="B91" s="3" t="inlineStr">
        <is>
          <t>単位</t>
        </is>
      </c>
      <c r="C91" s="3" t="inlineStr">
        <is>
          <t>令和8年度
（基準）</t>
        </is>
      </c>
      <c r="D91" s="3" t="inlineStr">
        <is>
          <t>令和9年度</t>
        </is>
      </c>
      <c r="E91" s="3" t="inlineStr">
        <is>
          <t>令和10年度</t>
        </is>
      </c>
      <c r="F91" s="3" t="inlineStr">
        <is>
          <t>令和11年度</t>
        </is>
      </c>
      <c r="G91" s="3" t="inlineStr">
        <is>
          <t>備考</t>
        </is>
      </c>
    </row>
    <row r="92">
      <c r="A92" s="4" t="inlineStr">
        <is>
          <t>継続利用者</t>
        </is>
      </c>
      <c r="B92" s="8" t="inlineStr">
        <is>
          <t>人／月</t>
        </is>
      </c>
      <c r="C92" s="18" t="n">
        <v>1</v>
      </c>
      <c r="D92" s="19">
        <f>C99</f>
        <v/>
      </c>
      <c r="E92" s="19">
        <f>D99</f>
        <v/>
      </c>
      <c r="F92" s="19">
        <f>E99</f>
        <v/>
      </c>
      <c r="G92" s="4" t="inlineStr">
        <is>
          <t>前年度の利用者数を繰り越す</t>
        </is>
      </c>
    </row>
    <row r="93">
      <c r="A93" s="4" t="inlineStr">
        <is>
          <t>＋　特別支援学校卒業・18歳到達</t>
        </is>
      </c>
      <c r="B93" s="8" t="inlineStr">
        <is>
          <t>人／月</t>
        </is>
      </c>
      <c r="C93" s="20" t="n"/>
      <c r="D93" s="18" t="n"/>
      <c r="E93" s="18" t="n"/>
      <c r="F93" s="18" t="n"/>
      <c r="G93" s="4" t="inlineStr">
        <is>
          <t>02_年齢到達者一覧から転記する</t>
        </is>
      </c>
    </row>
    <row r="94">
      <c r="A94" s="4" t="inlineStr">
        <is>
          <t>＋　施設・病院からの地域移行</t>
        </is>
      </c>
      <c r="B94" s="8" t="inlineStr">
        <is>
          <t>人／月</t>
        </is>
      </c>
      <c r="C94" s="20" t="n"/>
      <c r="D94" s="18" t="n"/>
      <c r="E94" s="18" t="n"/>
      <c r="F94" s="18" t="n"/>
      <c r="G94" s="4" t="inlineStr">
        <is>
          <t>移行予定者を個別に確認する</t>
        </is>
      </c>
    </row>
    <row r="95">
      <c r="A95" s="4" t="inlineStr">
        <is>
          <t>＋　新規支給決定（相談・転入等）</t>
        </is>
      </c>
      <c r="B95" s="8" t="inlineStr">
        <is>
          <t>人／月</t>
        </is>
      </c>
      <c r="C95" s="20" t="n"/>
      <c r="D95" s="18" t="n"/>
      <c r="E95" s="18" t="n"/>
      <c r="F95" s="18" t="n"/>
      <c r="G95" s="4" t="inlineStr">
        <is>
          <t>相談支援事業所からの利用開始相談を含む</t>
        </is>
      </c>
    </row>
    <row r="96">
      <c r="A96" s="4" t="inlineStr">
        <is>
          <t>－　65歳到達・介護保険移行</t>
        </is>
      </c>
      <c r="B96" s="8" t="inlineStr">
        <is>
          <t>人／月</t>
        </is>
      </c>
      <c r="C96" s="21" t="n"/>
      <c r="D96" s="22" t="n"/>
      <c r="E96" s="22" t="n"/>
      <c r="F96" s="22" t="n"/>
      <c r="G96" s="4" t="inlineStr">
        <is>
          <t>06_65歳移行判定の結果を反映する。一律に減算しない</t>
        </is>
      </c>
    </row>
    <row r="97">
      <c r="A97" s="4" t="inlineStr">
        <is>
          <t>－　一般就労・サービス終了</t>
        </is>
      </c>
      <c r="B97" s="8" t="inlineStr">
        <is>
          <t>人／月</t>
        </is>
      </c>
      <c r="C97" s="21" t="n"/>
      <c r="D97" s="22" t="n"/>
      <c r="E97" s="22" t="n"/>
      <c r="F97" s="22" t="n"/>
      <c r="G97" s="4" t="inlineStr">
        <is>
          <t>就労移行支援からの一般就労等</t>
        </is>
      </c>
    </row>
    <row r="98">
      <c r="A98" s="4" t="inlineStr">
        <is>
          <t>－　死亡・転出・長期入院</t>
        </is>
      </c>
      <c r="B98" s="8" t="inlineStr">
        <is>
          <t>人／月</t>
        </is>
      </c>
      <c r="C98" s="21" t="n"/>
      <c r="D98" s="22" t="n"/>
      <c r="E98" s="22" t="n"/>
      <c r="F98" s="22" t="n"/>
      <c r="G98" s="4" t="inlineStr">
        <is>
          <t>高齢化が進む本村では主要な減少要因</t>
        </is>
      </c>
    </row>
    <row r="99">
      <c r="A99" s="23" t="inlineStr">
        <is>
          <t>＝　利用者数</t>
        </is>
      </c>
      <c r="B99" s="24" t="inlineStr">
        <is>
          <t>人／月</t>
        </is>
      </c>
      <c r="C99" s="25">
        <f>C92</f>
        <v/>
      </c>
      <c r="D99" s="25">
        <f>D92+SUM(D93:D95)-SUM(D96:D98)</f>
        <v/>
      </c>
      <c r="E99" s="25">
        <f>E92+SUM(E93:E95)-SUM(E96:E98)</f>
        <v/>
      </c>
      <c r="F99" s="25">
        <f>F92+SUM(F93:F95)-SUM(F96:F98)</f>
        <v/>
      </c>
      <c r="G99" s="4" t="inlineStr">
        <is>
          <t>継続＋流入－流出</t>
        </is>
      </c>
    </row>
    <row r="100">
      <c r="A100" s="4" t="inlineStr">
        <is>
          <t xml:space="preserve">　　1人当たり月利用量</t>
        </is>
      </c>
      <c r="B100" s="8" t="inlineStr">
        <is>
          <t>人日／月</t>
        </is>
      </c>
      <c r="C100" s="26" t="n">
        <v>19</v>
      </c>
      <c r="D100" s="26" t="n">
        <v>19</v>
      </c>
      <c r="E100" s="26" t="n">
        <v>19</v>
      </c>
      <c r="F100" s="26" t="n">
        <v>19</v>
      </c>
      <c r="G100" s="4" t="inlineStr">
        <is>
          <t>利用者ごとの月間予定量の平均</t>
        </is>
      </c>
    </row>
    <row r="101">
      <c r="A101" s="23" t="inlineStr">
        <is>
          <t>＝　月間サービス量</t>
        </is>
      </c>
      <c r="B101" s="24" t="inlineStr">
        <is>
          <t>人日／月</t>
        </is>
      </c>
      <c r="C101" s="27">
        <f>ROUND(C99*C100,1)</f>
        <v/>
      </c>
      <c r="D101" s="27">
        <f>ROUND(D99*D100,1)</f>
        <v/>
      </c>
      <c r="E101" s="27">
        <f>ROUND(E99*E100,1)</f>
        <v/>
      </c>
      <c r="F101" s="27">
        <f>ROUND(F99*F100,1)</f>
        <v/>
      </c>
      <c r="G101" s="4" t="inlineStr">
        <is>
          <t>利用者数×1人当たり月利用量</t>
        </is>
      </c>
    </row>
    <row r="103">
      <c r="A103" s="9" t="inlineStr">
        <is>
          <t>8　就労継続支援B型</t>
        </is>
      </c>
    </row>
    <row r="104" ht="20" customHeight="1">
      <c r="A104" s="2" t="inlineStr">
        <is>
          <t>※ 令和7年度は請求143件（月平均11.9件相当）。給付費は令和2年度比2.08倍</t>
        </is>
      </c>
    </row>
    <row r="105" ht="30" customHeight="1">
      <c r="A105" s="3" t="inlineStr">
        <is>
          <t>増減要因</t>
        </is>
      </c>
      <c r="B105" s="3" t="inlineStr">
        <is>
          <t>単位</t>
        </is>
      </c>
      <c r="C105" s="3" t="inlineStr">
        <is>
          <t>令和8年度
（基準）</t>
        </is>
      </c>
      <c r="D105" s="3" t="inlineStr">
        <is>
          <t>令和9年度</t>
        </is>
      </c>
      <c r="E105" s="3" t="inlineStr">
        <is>
          <t>令和10年度</t>
        </is>
      </c>
      <c r="F105" s="3" t="inlineStr">
        <is>
          <t>令和11年度</t>
        </is>
      </c>
      <c r="G105" s="3" t="inlineStr">
        <is>
          <t>備考</t>
        </is>
      </c>
    </row>
    <row r="106">
      <c r="A106" s="4" t="inlineStr">
        <is>
          <t>継続利用者</t>
        </is>
      </c>
      <c r="B106" s="8" t="inlineStr">
        <is>
          <t>人／月</t>
        </is>
      </c>
      <c r="C106" s="18" t="n">
        <v>11</v>
      </c>
      <c r="D106" s="19">
        <f>C113</f>
        <v/>
      </c>
      <c r="E106" s="19">
        <f>D113</f>
        <v/>
      </c>
      <c r="F106" s="19">
        <f>E113</f>
        <v/>
      </c>
      <c r="G106" s="4" t="inlineStr">
        <is>
          <t>前年度の利用者数を繰り越す</t>
        </is>
      </c>
    </row>
    <row r="107">
      <c r="A107" s="4" t="inlineStr">
        <is>
          <t>＋　特別支援学校卒業・18歳到達</t>
        </is>
      </c>
      <c r="B107" s="8" t="inlineStr">
        <is>
          <t>人／月</t>
        </is>
      </c>
      <c r="C107" s="20" t="n"/>
      <c r="D107" s="18" t="n"/>
      <c r="E107" s="18" t="n"/>
      <c r="F107" s="18" t="n"/>
      <c r="G107" s="4" t="inlineStr">
        <is>
          <t>02_年齢到達者一覧から転記する</t>
        </is>
      </c>
    </row>
    <row r="108">
      <c r="A108" s="4" t="inlineStr">
        <is>
          <t>＋　施設・病院からの地域移行</t>
        </is>
      </c>
      <c r="B108" s="8" t="inlineStr">
        <is>
          <t>人／月</t>
        </is>
      </c>
      <c r="C108" s="20" t="n"/>
      <c r="D108" s="18" t="n"/>
      <c r="E108" s="18" t="n"/>
      <c r="F108" s="18" t="n"/>
      <c r="G108" s="4" t="inlineStr">
        <is>
          <t>移行予定者を個別に確認する</t>
        </is>
      </c>
    </row>
    <row r="109">
      <c r="A109" s="4" t="inlineStr">
        <is>
          <t>＋　新規支給決定（相談・転入等）</t>
        </is>
      </c>
      <c r="B109" s="8" t="inlineStr">
        <is>
          <t>人／月</t>
        </is>
      </c>
      <c r="C109" s="20" t="n"/>
      <c r="D109" s="18" t="n"/>
      <c r="E109" s="18" t="n"/>
      <c r="F109" s="18" t="n"/>
      <c r="G109" s="4" t="inlineStr">
        <is>
          <t>相談支援事業所からの利用開始相談を含む</t>
        </is>
      </c>
    </row>
    <row r="110">
      <c r="A110" s="4" t="inlineStr">
        <is>
          <t>－　65歳到達・介護保険移行</t>
        </is>
      </c>
      <c r="B110" s="8" t="inlineStr">
        <is>
          <t>人／月</t>
        </is>
      </c>
      <c r="C110" s="21" t="n"/>
      <c r="D110" s="22" t="n"/>
      <c r="E110" s="22" t="n"/>
      <c r="F110" s="22" t="n"/>
      <c r="G110" s="4" t="inlineStr">
        <is>
          <t>06_65歳移行判定の結果を反映する。一律に減算しない</t>
        </is>
      </c>
    </row>
    <row r="111">
      <c r="A111" s="4" t="inlineStr">
        <is>
          <t>－　一般就労・サービス終了</t>
        </is>
      </c>
      <c r="B111" s="8" t="inlineStr">
        <is>
          <t>人／月</t>
        </is>
      </c>
      <c r="C111" s="21" t="n"/>
      <c r="D111" s="22" t="n"/>
      <c r="E111" s="22" t="n"/>
      <c r="F111" s="22" t="n"/>
      <c r="G111" s="4" t="inlineStr">
        <is>
          <t>就労移行支援からの一般就労等</t>
        </is>
      </c>
    </row>
    <row r="112">
      <c r="A112" s="4" t="inlineStr">
        <is>
          <t>－　死亡・転出・長期入院</t>
        </is>
      </c>
      <c r="B112" s="8" t="inlineStr">
        <is>
          <t>人／月</t>
        </is>
      </c>
      <c r="C112" s="21" t="n"/>
      <c r="D112" s="22" t="n"/>
      <c r="E112" s="22" t="n"/>
      <c r="F112" s="22" t="n"/>
      <c r="G112" s="4" t="inlineStr">
        <is>
          <t>高齢化が進む本村では主要な減少要因</t>
        </is>
      </c>
    </row>
    <row r="113">
      <c r="A113" s="23" t="inlineStr">
        <is>
          <t>＝　利用者数</t>
        </is>
      </c>
      <c r="B113" s="24" t="inlineStr">
        <is>
          <t>人／月</t>
        </is>
      </c>
      <c r="C113" s="25">
        <f>C106</f>
        <v/>
      </c>
      <c r="D113" s="25">
        <f>D106+SUM(D107:D109)-SUM(D110:D112)</f>
        <v/>
      </c>
      <c r="E113" s="25">
        <f>E106+SUM(E107:E109)-SUM(E110:E112)</f>
        <v/>
      </c>
      <c r="F113" s="25">
        <f>F106+SUM(F107:F109)-SUM(F110:F112)</f>
        <v/>
      </c>
      <c r="G113" s="4" t="inlineStr">
        <is>
          <t>継続＋流入－流出</t>
        </is>
      </c>
    </row>
    <row r="114">
      <c r="A114" s="4" t="inlineStr">
        <is>
          <t xml:space="preserve">　　1人当たり月利用量</t>
        </is>
      </c>
      <c r="B114" s="8" t="inlineStr">
        <is>
          <t>人日／月</t>
        </is>
      </c>
      <c r="C114" s="26" t="n">
        <v>18.2</v>
      </c>
      <c r="D114" s="26" t="n">
        <v>18.2</v>
      </c>
      <c r="E114" s="26" t="n">
        <v>18.2</v>
      </c>
      <c r="F114" s="26" t="n">
        <v>18.2</v>
      </c>
      <c r="G114" s="4" t="inlineStr">
        <is>
          <t>利用者ごとの月間予定量の平均</t>
        </is>
      </c>
    </row>
    <row r="115">
      <c r="A115" s="23" t="inlineStr">
        <is>
          <t>＝　月間サービス量</t>
        </is>
      </c>
      <c r="B115" s="24" t="inlineStr">
        <is>
          <t>人日／月</t>
        </is>
      </c>
      <c r="C115" s="27">
        <f>ROUND(C113*C114,1)</f>
        <v/>
      </c>
      <c r="D115" s="27">
        <f>ROUND(D113*D114,1)</f>
        <v/>
      </c>
      <c r="E115" s="27">
        <f>ROUND(E113*E114,1)</f>
        <v/>
      </c>
      <c r="F115" s="27">
        <f>ROUND(F113*F114,1)</f>
        <v/>
      </c>
      <c r="G115" s="4" t="inlineStr">
        <is>
          <t>利用者数×1人当たり月利用量</t>
        </is>
      </c>
    </row>
    <row r="117">
      <c r="A117" s="9" t="inlineStr">
        <is>
          <t>9　就労定着支援</t>
        </is>
      </c>
    </row>
    <row r="118" ht="20" customHeight="1">
      <c r="A118" s="2" t="inlineStr">
        <is>
          <t>※ 令和2・3年度に実績。一般就労移行者数と連動</t>
        </is>
      </c>
    </row>
    <row r="119" ht="30" customHeight="1">
      <c r="A119" s="3" t="inlineStr">
        <is>
          <t>増減要因</t>
        </is>
      </c>
      <c r="B119" s="3" t="inlineStr">
        <is>
          <t>単位</t>
        </is>
      </c>
      <c r="C119" s="3" t="inlineStr">
        <is>
          <t>令和8年度
（基準）</t>
        </is>
      </c>
      <c r="D119" s="3" t="inlineStr">
        <is>
          <t>令和9年度</t>
        </is>
      </c>
      <c r="E119" s="3" t="inlineStr">
        <is>
          <t>令和10年度</t>
        </is>
      </c>
      <c r="F119" s="3" t="inlineStr">
        <is>
          <t>令和11年度</t>
        </is>
      </c>
      <c r="G119" s="3" t="inlineStr">
        <is>
          <t>備考</t>
        </is>
      </c>
    </row>
    <row r="120">
      <c r="A120" s="4" t="inlineStr">
        <is>
          <t>継続利用者</t>
        </is>
      </c>
      <c r="B120" s="8" t="inlineStr">
        <is>
          <t>人／月</t>
        </is>
      </c>
      <c r="C120" s="18" t="n">
        <v>1</v>
      </c>
      <c r="D120" s="19">
        <f>C127</f>
        <v/>
      </c>
      <c r="E120" s="19">
        <f>D127</f>
        <v/>
      </c>
      <c r="F120" s="19">
        <f>E127</f>
        <v/>
      </c>
      <c r="G120" s="4" t="inlineStr">
        <is>
          <t>前年度の利用者数を繰り越す</t>
        </is>
      </c>
    </row>
    <row r="121">
      <c r="A121" s="4" t="inlineStr">
        <is>
          <t>＋　特別支援学校卒業・18歳到達</t>
        </is>
      </c>
      <c r="B121" s="8" t="inlineStr">
        <is>
          <t>人／月</t>
        </is>
      </c>
      <c r="C121" s="20" t="n"/>
      <c r="D121" s="18" t="n"/>
      <c r="E121" s="18" t="n"/>
      <c r="F121" s="18" t="n"/>
      <c r="G121" s="4" t="inlineStr">
        <is>
          <t>02_年齢到達者一覧から転記する</t>
        </is>
      </c>
    </row>
    <row r="122">
      <c r="A122" s="4" t="inlineStr">
        <is>
          <t>＋　施設・病院からの地域移行</t>
        </is>
      </c>
      <c r="B122" s="8" t="inlineStr">
        <is>
          <t>人／月</t>
        </is>
      </c>
      <c r="C122" s="20" t="n"/>
      <c r="D122" s="18" t="n"/>
      <c r="E122" s="18" t="n"/>
      <c r="F122" s="18" t="n"/>
      <c r="G122" s="4" t="inlineStr">
        <is>
          <t>移行予定者を個別に確認する</t>
        </is>
      </c>
    </row>
    <row r="123">
      <c r="A123" s="4" t="inlineStr">
        <is>
          <t>＋　新規支給決定（相談・転入等）</t>
        </is>
      </c>
      <c r="B123" s="8" t="inlineStr">
        <is>
          <t>人／月</t>
        </is>
      </c>
      <c r="C123" s="20" t="n"/>
      <c r="D123" s="18" t="n"/>
      <c r="E123" s="18" t="n"/>
      <c r="F123" s="18" t="n"/>
      <c r="G123" s="4" t="inlineStr">
        <is>
          <t>相談支援事業所からの利用開始相談を含む</t>
        </is>
      </c>
    </row>
    <row r="124">
      <c r="A124" s="4" t="inlineStr">
        <is>
          <t>－　65歳到達・介護保険移行</t>
        </is>
      </c>
      <c r="B124" s="8" t="inlineStr">
        <is>
          <t>人／月</t>
        </is>
      </c>
      <c r="C124" s="21" t="n"/>
      <c r="D124" s="22" t="n"/>
      <c r="E124" s="22" t="n"/>
      <c r="F124" s="22" t="n"/>
      <c r="G124" s="4" t="inlineStr">
        <is>
          <t>06_65歳移行判定の結果を反映する。一律に減算しない</t>
        </is>
      </c>
    </row>
    <row r="125">
      <c r="A125" s="4" t="inlineStr">
        <is>
          <t>－　一般就労・サービス終了</t>
        </is>
      </c>
      <c r="B125" s="8" t="inlineStr">
        <is>
          <t>人／月</t>
        </is>
      </c>
      <c r="C125" s="21" t="n"/>
      <c r="D125" s="22" t="n"/>
      <c r="E125" s="22" t="n"/>
      <c r="F125" s="22" t="n"/>
      <c r="G125" s="4" t="inlineStr">
        <is>
          <t>就労移行支援からの一般就労等</t>
        </is>
      </c>
    </row>
    <row r="126">
      <c r="A126" s="4" t="inlineStr">
        <is>
          <t>－　死亡・転出・長期入院</t>
        </is>
      </c>
      <c r="B126" s="8" t="inlineStr">
        <is>
          <t>人／月</t>
        </is>
      </c>
      <c r="C126" s="21" t="n"/>
      <c r="D126" s="22" t="n"/>
      <c r="E126" s="22" t="n"/>
      <c r="F126" s="22" t="n"/>
      <c r="G126" s="4" t="inlineStr">
        <is>
          <t>高齢化が進む本村では主要な減少要因</t>
        </is>
      </c>
    </row>
    <row r="127">
      <c r="A127" s="23" t="inlineStr">
        <is>
          <t>＝　利用者数</t>
        </is>
      </c>
      <c r="B127" s="24" t="inlineStr">
        <is>
          <t>人／月</t>
        </is>
      </c>
      <c r="C127" s="25">
        <f>C120</f>
        <v/>
      </c>
      <c r="D127" s="25">
        <f>D120+SUM(D121:D123)-SUM(D124:D126)</f>
        <v/>
      </c>
      <c r="E127" s="25">
        <f>E120+SUM(E121:E123)-SUM(E124:E126)</f>
        <v/>
      </c>
      <c r="F127" s="25">
        <f>F120+SUM(F121:F123)-SUM(F124:F126)</f>
        <v/>
      </c>
      <c r="G127" s="4" t="inlineStr">
        <is>
          <t>継続＋流入－流出</t>
        </is>
      </c>
    </row>
    <row r="128">
      <c r="A128" s="4" t="inlineStr">
        <is>
          <t xml:space="preserve">　　1人当たり月利用量</t>
        </is>
      </c>
      <c r="B128" s="8" t="inlineStr">
        <is>
          <t>―</t>
        </is>
      </c>
      <c r="C128" s="26" t="n"/>
      <c r="D128" s="26" t="n"/>
      <c r="E128" s="26" t="n"/>
      <c r="F128" s="26" t="n"/>
      <c r="G128" s="4" t="inlineStr">
        <is>
          <t>利用者ごとの月間予定量の平均</t>
        </is>
      </c>
    </row>
    <row r="129">
      <c r="A129" s="23" t="inlineStr">
        <is>
          <t>＝　月間サービス量</t>
        </is>
      </c>
      <c r="B129" s="24" t="inlineStr">
        <is>
          <t>―</t>
        </is>
      </c>
      <c r="C129" s="27">
        <f>ROUND(C127*C128,1)</f>
        <v/>
      </c>
      <c r="D129" s="27">
        <f>ROUND(D127*D128,1)</f>
        <v/>
      </c>
      <c r="E129" s="27">
        <f>ROUND(E127*E128,1)</f>
        <v/>
      </c>
      <c r="F129" s="27">
        <f>ROUND(F127*F128,1)</f>
        <v/>
      </c>
      <c r="G129" s="4" t="inlineStr">
        <is>
          <t>利用者数×1人当たり月利用量</t>
        </is>
      </c>
    </row>
    <row r="131">
      <c r="A131" s="9" t="inlineStr">
        <is>
          <t>10　共同生活援助</t>
        </is>
      </c>
    </row>
    <row r="132" ht="20" customHeight="1">
      <c r="A132" s="2" t="inlineStr">
        <is>
          <t>※ 令和7年度は請求105件（月平均8.8件相当）。介護保険に相当サービスなし</t>
        </is>
      </c>
    </row>
    <row r="133" ht="30" customHeight="1">
      <c r="A133" s="3" t="inlineStr">
        <is>
          <t>増減要因</t>
        </is>
      </c>
      <c r="B133" s="3" t="inlineStr">
        <is>
          <t>単位</t>
        </is>
      </c>
      <c r="C133" s="3" t="inlineStr">
        <is>
          <t>令和8年度
（基準）</t>
        </is>
      </c>
      <c r="D133" s="3" t="inlineStr">
        <is>
          <t>令和9年度</t>
        </is>
      </c>
      <c r="E133" s="3" t="inlineStr">
        <is>
          <t>令和10年度</t>
        </is>
      </c>
      <c r="F133" s="3" t="inlineStr">
        <is>
          <t>令和11年度</t>
        </is>
      </c>
      <c r="G133" s="3" t="inlineStr">
        <is>
          <t>備考</t>
        </is>
      </c>
    </row>
    <row r="134">
      <c r="A134" s="4" t="inlineStr">
        <is>
          <t>継続利用者</t>
        </is>
      </c>
      <c r="B134" s="8" t="inlineStr">
        <is>
          <t>人／月</t>
        </is>
      </c>
      <c r="C134" s="18" t="n">
        <v>8</v>
      </c>
      <c r="D134" s="19">
        <f>C141</f>
        <v/>
      </c>
      <c r="E134" s="19">
        <f>D141</f>
        <v/>
      </c>
      <c r="F134" s="19">
        <f>E141</f>
        <v/>
      </c>
      <c r="G134" s="4" t="inlineStr">
        <is>
          <t>前年度の利用者数を繰り越す</t>
        </is>
      </c>
    </row>
    <row r="135">
      <c r="A135" s="4" t="inlineStr">
        <is>
          <t>＋　特別支援学校卒業・18歳到達</t>
        </is>
      </c>
      <c r="B135" s="8" t="inlineStr">
        <is>
          <t>人／月</t>
        </is>
      </c>
      <c r="C135" s="20" t="n"/>
      <c r="D135" s="18" t="n"/>
      <c r="E135" s="18" t="n"/>
      <c r="F135" s="18" t="n"/>
      <c r="G135" s="4" t="inlineStr">
        <is>
          <t>02_年齢到達者一覧から転記する</t>
        </is>
      </c>
    </row>
    <row r="136">
      <c r="A136" s="4" t="inlineStr">
        <is>
          <t>＋　施設・病院からの地域移行</t>
        </is>
      </c>
      <c r="B136" s="8" t="inlineStr">
        <is>
          <t>人／月</t>
        </is>
      </c>
      <c r="C136" s="20" t="n"/>
      <c r="D136" s="18" t="n"/>
      <c r="E136" s="18" t="n"/>
      <c r="F136" s="18" t="n"/>
      <c r="G136" s="4" t="inlineStr">
        <is>
          <t>移行予定者を個別に確認する</t>
        </is>
      </c>
    </row>
    <row r="137">
      <c r="A137" s="4" t="inlineStr">
        <is>
          <t>＋　新規支給決定（相談・転入等）</t>
        </is>
      </c>
      <c r="B137" s="8" t="inlineStr">
        <is>
          <t>人／月</t>
        </is>
      </c>
      <c r="C137" s="20" t="n"/>
      <c r="D137" s="18" t="n"/>
      <c r="E137" s="18" t="n"/>
      <c r="F137" s="18" t="n"/>
      <c r="G137" s="4" t="inlineStr">
        <is>
          <t>相談支援事業所からの利用開始相談を含む</t>
        </is>
      </c>
    </row>
    <row r="138">
      <c r="A138" s="4" t="inlineStr">
        <is>
          <t>－　65歳到達・介護保険移行</t>
        </is>
      </c>
      <c r="B138" s="8" t="inlineStr">
        <is>
          <t>人／月</t>
        </is>
      </c>
      <c r="C138" s="21" t="n"/>
      <c r="D138" s="22" t="n"/>
      <c r="E138" s="22" t="n"/>
      <c r="F138" s="22" t="n"/>
      <c r="G138" s="4" t="inlineStr">
        <is>
          <t>06_65歳移行判定の結果を反映する。一律に減算しない</t>
        </is>
      </c>
    </row>
    <row r="139">
      <c r="A139" s="4" t="inlineStr">
        <is>
          <t>－　一般就労・サービス終了</t>
        </is>
      </c>
      <c r="B139" s="8" t="inlineStr">
        <is>
          <t>人／月</t>
        </is>
      </c>
      <c r="C139" s="21" t="n"/>
      <c r="D139" s="22" t="n"/>
      <c r="E139" s="22" t="n"/>
      <c r="F139" s="22" t="n"/>
      <c r="G139" s="4" t="inlineStr">
        <is>
          <t>就労移行支援からの一般就労等</t>
        </is>
      </c>
    </row>
    <row r="140">
      <c r="A140" s="4" t="inlineStr">
        <is>
          <t>－　死亡・転出・長期入院</t>
        </is>
      </c>
      <c r="B140" s="8" t="inlineStr">
        <is>
          <t>人／月</t>
        </is>
      </c>
      <c r="C140" s="21" t="n"/>
      <c r="D140" s="22" t="n"/>
      <c r="E140" s="22" t="n"/>
      <c r="F140" s="22" t="n"/>
      <c r="G140" s="4" t="inlineStr">
        <is>
          <t>高齢化が進む本村では主要な減少要因</t>
        </is>
      </c>
    </row>
    <row r="141">
      <c r="A141" s="23" t="inlineStr">
        <is>
          <t>＝　利用者数</t>
        </is>
      </c>
      <c r="B141" s="24" t="inlineStr">
        <is>
          <t>人／月</t>
        </is>
      </c>
      <c r="C141" s="25">
        <f>C134</f>
        <v/>
      </c>
      <c r="D141" s="25">
        <f>D134+SUM(D135:D137)-SUM(D138:D140)</f>
        <v/>
      </c>
      <c r="E141" s="25">
        <f>E134+SUM(E135:E137)-SUM(E138:E140)</f>
        <v/>
      </c>
      <c r="F141" s="25">
        <f>F134+SUM(F135:F137)-SUM(F138:F140)</f>
        <v/>
      </c>
      <c r="G141" s="4" t="inlineStr">
        <is>
          <t>継続＋流入－流出</t>
        </is>
      </c>
    </row>
    <row r="142">
      <c r="A142" s="4" t="inlineStr">
        <is>
          <t xml:space="preserve">　　1人当たり月利用量</t>
        </is>
      </c>
      <c r="B142" s="8" t="inlineStr">
        <is>
          <t>―</t>
        </is>
      </c>
      <c r="C142" s="26" t="n"/>
      <c r="D142" s="26" t="n"/>
      <c r="E142" s="26" t="n"/>
      <c r="F142" s="26" t="n"/>
      <c r="G142" s="4" t="inlineStr">
        <is>
          <t>利用者ごとの月間予定量の平均</t>
        </is>
      </c>
    </row>
    <row r="143">
      <c r="A143" s="23" t="inlineStr">
        <is>
          <t>＝　月間サービス量</t>
        </is>
      </c>
      <c r="B143" s="24" t="inlineStr">
        <is>
          <t>―</t>
        </is>
      </c>
      <c r="C143" s="27">
        <f>ROUND(C141*C142,1)</f>
        <v/>
      </c>
      <c r="D143" s="27">
        <f>ROUND(D141*D142,1)</f>
        <v/>
      </c>
      <c r="E143" s="27">
        <f>ROUND(E141*E142,1)</f>
        <v/>
      </c>
      <c r="F143" s="27">
        <f>ROUND(F141*F142,1)</f>
        <v/>
      </c>
      <c r="G143" s="4" t="inlineStr">
        <is>
          <t>利用者数×1人当たり月利用量</t>
        </is>
      </c>
    </row>
    <row r="145">
      <c r="A145" s="9" t="inlineStr">
        <is>
          <t>11　施設入所支援</t>
        </is>
      </c>
    </row>
    <row r="146" ht="20" customHeight="1">
      <c r="A146" s="2" t="inlineStr">
        <is>
          <t>※ 令和7年度は請求48件（月平均4.0件相当）。成果目標（１）と整合させる</t>
        </is>
      </c>
    </row>
    <row r="147" ht="30" customHeight="1">
      <c r="A147" s="3" t="inlineStr">
        <is>
          <t>増減要因</t>
        </is>
      </c>
      <c r="B147" s="3" t="inlineStr">
        <is>
          <t>単位</t>
        </is>
      </c>
      <c r="C147" s="3" t="inlineStr">
        <is>
          <t>令和8年度
（基準）</t>
        </is>
      </c>
      <c r="D147" s="3" t="inlineStr">
        <is>
          <t>令和9年度</t>
        </is>
      </c>
      <c r="E147" s="3" t="inlineStr">
        <is>
          <t>令和10年度</t>
        </is>
      </c>
      <c r="F147" s="3" t="inlineStr">
        <is>
          <t>令和11年度</t>
        </is>
      </c>
      <c r="G147" s="3" t="inlineStr">
        <is>
          <t>備考</t>
        </is>
      </c>
    </row>
    <row r="148">
      <c r="A148" s="4" t="inlineStr">
        <is>
          <t>継続利用者</t>
        </is>
      </c>
      <c r="B148" s="8" t="inlineStr">
        <is>
          <t>人／月</t>
        </is>
      </c>
      <c r="C148" s="18" t="n">
        <v>4</v>
      </c>
      <c r="D148" s="19">
        <f>C155</f>
        <v/>
      </c>
      <c r="E148" s="19">
        <f>D155</f>
        <v/>
      </c>
      <c r="F148" s="19">
        <f>E155</f>
        <v/>
      </c>
      <c r="G148" s="4" t="inlineStr">
        <is>
          <t>前年度の利用者数を繰り越す</t>
        </is>
      </c>
    </row>
    <row r="149">
      <c r="A149" s="4" t="inlineStr">
        <is>
          <t>＋　特別支援学校卒業・18歳到達</t>
        </is>
      </c>
      <c r="B149" s="8" t="inlineStr">
        <is>
          <t>人／月</t>
        </is>
      </c>
      <c r="C149" s="20" t="n"/>
      <c r="D149" s="18" t="n"/>
      <c r="E149" s="18" t="n"/>
      <c r="F149" s="18" t="n"/>
      <c r="G149" s="4" t="inlineStr">
        <is>
          <t>02_年齢到達者一覧から転記する</t>
        </is>
      </c>
    </row>
    <row r="150">
      <c r="A150" s="4" t="inlineStr">
        <is>
          <t>＋　施設・病院からの地域移行</t>
        </is>
      </c>
      <c r="B150" s="8" t="inlineStr">
        <is>
          <t>人／月</t>
        </is>
      </c>
      <c r="C150" s="20" t="n"/>
      <c r="D150" s="18" t="n"/>
      <c r="E150" s="18" t="n"/>
      <c r="F150" s="18" t="n"/>
      <c r="G150" s="4" t="inlineStr">
        <is>
          <t>移行予定者を個別に確認する</t>
        </is>
      </c>
    </row>
    <row r="151">
      <c r="A151" s="4" t="inlineStr">
        <is>
          <t>＋　新規支給決定（相談・転入等）</t>
        </is>
      </c>
      <c r="B151" s="8" t="inlineStr">
        <is>
          <t>人／月</t>
        </is>
      </c>
      <c r="C151" s="20" t="n"/>
      <c r="D151" s="18" t="n"/>
      <c r="E151" s="18" t="n"/>
      <c r="F151" s="18" t="n"/>
      <c r="G151" s="4" t="inlineStr">
        <is>
          <t>相談支援事業所からの利用開始相談を含む</t>
        </is>
      </c>
    </row>
    <row r="152">
      <c r="A152" s="4" t="inlineStr">
        <is>
          <t>－　65歳到達・介護保険移行</t>
        </is>
      </c>
      <c r="B152" s="8" t="inlineStr">
        <is>
          <t>人／月</t>
        </is>
      </c>
      <c r="C152" s="21" t="n"/>
      <c r="D152" s="22" t="n"/>
      <c r="E152" s="22" t="n"/>
      <c r="F152" s="22" t="n"/>
      <c r="G152" s="4" t="inlineStr">
        <is>
          <t>06_65歳移行判定の結果を反映する。一律に減算しない</t>
        </is>
      </c>
    </row>
    <row r="153">
      <c r="A153" s="4" t="inlineStr">
        <is>
          <t>－　一般就労・サービス終了</t>
        </is>
      </c>
      <c r="B153" s="8" t="inlineStr">
        <is>
          <t>人／月</t>
        </is>
      </c>
      <c r="C153" s="21" t="n"/>
      <c r="D153" s="22" t="n"/>
      <c r="E153" s="22" t="n"/>
      <c r="F153" s="22" t="n"/>
      <c r="G153" s="4" t="inlineStr">
        <is>
          <t>就労移行支援からの一般就労等</t>
        </is>
      </c>
    </row>
    <row r="154">
      <c r="A154" s="4" t="inlineStr">
        <is>
          <t>－　死亡・転出・長期入院</t>
        </is>
      </c>
      <c r="B154" s="8" t="inlineStr">
        <is>
          <t>人／月</t>
        </is>
      </c>
      <c r="C154" s="21" t="n"/>
      <c r="D154" s="22" t="n"/>
      <c r="E154" s="22" t="n"/>
      <c r="F154" s="22" t="n"/>
      <c r="G154" s="4" t="inlineStr">
        <is>
          <t>高齢化が進む本村では主要な減少要因</t>
        </is>
      </c>
    </row>
    <row r="155">
      <c r="A155" s="23" t="inlineStr">
        <is>
          <t>＝　利用者数</t>
        </is>
      </c>
      <c r="B155" s="24" t="inlineStr">
        <is>
          <t>人／月</t>
        </is>
      </c>
      <c r="C155" s="25">
        <f>C148</f>
        <v/>
      </c>
      <c r="D155" s="25">
        <f>D148+SUM(D149:D151)-SUM(D152:D154)</f>
        <v/>
      </c>
      <c r="E155" s="25">
        <f>E148+SUM(E149:E151)-SUM(E152:E154)</f>
        <v/>
      </c>
      <c r="F155" s="25">
        <f>F148+SUM(F149:F151)-SUM(F152:F154)</f>
        <v/>
      </c>
      <c r="G155" s="4" t="inlineStr">
        <is>
          <t>継続＋流入－流出</t>
        </is>
      </c>
    </row>
    <row r="156">
      <c r="A156" s="4" t="inlineStr">
        <is>
          <t xml:space="preserve">　　1人当たり月利用量</t>
        </is>
      </c>
      <c r="B156" s="8" t="inlineStr">
        <is>
          <t>―</t>
        </is>
      </c>
      <c r="C156" s="26" t="n"/>
      <c r="D156" s="26" t="n"/>
      <c r="E156" s="26" t="n"/>
      <c r="F156" s="26" t="n"/>
      <c r="G156" s="4" t="inlineStr">
        <is>
          <t>利用者ごとの月間予定量の平均</t>
        </is>
      </c>
    </row>
    <row r="157">
      <c r="A157" s="23" t="inlineStr">
        <is>
          <t>＝　月間サービス量</t>
        </is>
      </c>
      <c r="B157" s="24" t="inlineStr">
        <is>
          <t>―</t>
        </is>
      </c>
      <c r="C157" s="27">
        <f>ROUND(C155*C156,1)</f>
        <v/>
      </c>
      <c r="D157" s="27">
        <f>ROUND(D155*D156,1)</f>
        <v/>
      </c>
      <c r="E157" s="27">
        <f>ROUND(E155*E156,1)</f>
        <v/>
      </c>
      <c r="F157" s="27">
        <f>ROUND(F155*F156,1)</f>
        <v/>
      </c>
      <c r="G157" s="4" t="inlineStr">
        <is>
          <t>利用者数×1人当たり月利用量</t>
        </is>
      </c>
    </row>
    <row r="159">
      <c r="A159" s="9" t="inlineStr">
        <is>
          <t>12　計画相談支援</t>
        </is>
      </c>
    </row>
    <row r="160" ht="20" customHeight="1">
      <c r="A160" s="2" t="inlineStr">
        <is>
          <t>※ 令和7年度は請求76件。請求は計画作成・モニタリング時のみのため実利用者数とは一致しない</t>
        </is>
      </c>
    </row>
    <row r="161" ht="30" customHeight="1">
      <c r="A161" s="3" t="inlineStr">
        <is>
          <t>増減要因</t>
        </is>
      </c>
      <c r="B161" s="3" t="inlineStr">
        <is>
          <t>単位</t>
        </is>
      </c>
      <c r="C161" s="3" t="inlineStr">
        <is>
          <t>令和8年度
（基準）</t>
        </is>
      </c>
      <c r="D161" s="3" t="inlineStr">
        <is>
          <t>令和9年度</t>
        </is>
      </c>
      <c r="E161" s="3" t="inlineStr">
        <is>
          <t>令和10年度</t>
        </is>
      </c>
      <c r="F161" s="3" t="inlineStr">
        <is>
          <t>令和11年度</t>
        </is>
      </c>
      <c r="G161" s="3" t="inlineStr">
        <is>
          <t>備考</t>
        </is>
      </c>
    </row>
    <row r="162">
      <c r="A162" s="4" t="inlineStr">
        <is>
          <t>継続利用者</t>
        </is>
      </c>
      <c r="B162" s="8" t="inlineStr">
        <is>
          <t>人／月</t>
        </is>
      </c>
      <c r="C162" s="18" t="n">
        <v>22</v>
      </c>
      <c r="D162" s="19">
        <f>C169</f>
        <v/>
      </c>
      <c r="E162" s="19">
        <f>D169</f>
        <v/>
      </c>
      <c r="F162" s="19">
        <f>E169</f>
        <v/>
      </c>
      <c r="G162" s="4" t="inlineStr">
        <is>
          <t>前年度の利用者数を繰り越す</t>
        </is>
      </c>
    </row>
    <row r="163">
      <c r="A163" s="4" t="inlineStr">
        <is>
          <t>＋　特別支援学校卒業・18歳到達</t>
        </is>
      </c>
      <c r="B163" s="8" t="inlineStr">
        <is>
          <t>人／月</t>
        </is>
      </c>
      <c r="C163" s="20" t="n"/>
      <c r="D163" s="18" t="n"/>
      <c r="E163" s="18" t="n"/>
      <c r="F163" s="18" t="n"/>
      <c r="G163" s="4" t="inlineStr">
        <is>
          <t>02_年齢到達者一覧から転記する</t>
        </is>
      </c>
    </row>
    <row r="164">
      <c r="A164" s="4" t="inlineStr">
        <is>
          <t>＋　施設・病院からの地域移行</t>
        </is>
      </c>
      <c r="B164" s="8" t="inlineStr">
        <is>
          <t>人／月</t>
        </is>
      </c>
      <c r="C164" s="20" t="n"/>
      <c r="D164" s="18" t="n"/>
      <c r="E164" s="18" t="n"/>
      <c r="F164" s="18" t="n"/>
      <c r="G164" s="4" t="inlineStr">
        <is>
          <t>移行予定者を個別に確認する</t>
        </is>
      </c>
    </row>
    <row r="165">
      <c r="A165" s="4" t="inlineStr">
        <is>
          <t>＋　新規支給決定（相談・転入等）</t>
        </is>
      </c>
      <c r="B165" s="8" t="inlineStr">
        <is>
          <t>人／月</t>
        </is>
      </c>
      <c r="C165" s="20" t="n"/>
      <c r="D165" s="18" t="n"/>
      <c r="E165" s="18" t="n"/>
      <c r="F165" s="18" t="n"/>
      <c r="G165" s="4" t="inlineStr">
        <is>
          <t>相談支援事業所からの利用開始相談を含む</t>
        </is>
      </c>
    </row>
    <row r="166">
      <c r="A166" s="4" t="inlineStr">
        <is>
          <t>－　65歳到達・介護保険移行</t>
        </is>
      </c>
      <c r="B166" s="8" t="inlineStr">
        <is>
          <t>人／月</t>
        </is>
      </c>
      <c r="C166" s="21" t="n"/>
      <c r="D166" s="22" t="n"/>
      <c r="E166" s="22" t="n"/>
      <c r="F166" s="22" t="n"/>
      <c r="G166" s="4" t="inlineStr">
        <is>
          <t>06_65歳移行判定の結果を反映する。一律に減算しない</t>
        </is>
      </c>
    </row>
    <row r="167">
      <c r="A167" s="4" t="inlineStr">
        <is>
          <t>－　一般就労・サービス終了</t>
        </is>
      </c>
      <c r="B167" s="8" t="inlineStr">
        <is>
          <t>人／月</t>
        </is>
      </c>
      <c r="C167" s="21" t="n"/>
      <c r="D167" s="22" t="n"/>
      <c r="E167" s="22" t="n"/>
      <c r="F167" s="22" t="n"/>
      <c r="G167" s="4" t="inlineStr">
        <is>
          <t>就労移行支援からの一般就労等</t>
        </is>
      </c>
    </row>
    <row r="168">
      <c r="A168" s="4" t="inlineStr">
        <is>
          <t>－　死亡・転出・長期入院</t>
        </is>
      </c>
      <c r="B168" s="8" t="inlineStr">
        <is>
          <t>人／月</t>
        </is>
      </c>
      <c r="C168" s="21" t="n"/>
      <c r="D168" s="22" t="n"/>
      <c r="E168" s="22" t="n"/>
      <c r="F168" s="22" t="n"/>
      <c r="G168" s="4" t="inlineStr">
        <is>
          <t>高齢化が進む本村では主要な減少要因</t>
        </is>
      </c>
    </row>
    <row r="169">
      <c r="A169" s="23" t="inlineStr">
        <is>
          <t>＝　利用者数</t>
        </is>
      </c>
      <c r="B169" s="24" t="inlineStr">
        <is>
          <t>人／月</t>
        </is>
      </c>
      <c r="C169" s="25">
        <f>C162</f>
        <v/>
      </c>
      <c r="D169" s="25">
        <f>D162+SUM(D163:D165)-SUM(D166:D168)</f>
        <v/>
      </c>
      <c r="E169" s="25">
        <f>E162+SUM(E163:E165)-SUM(E166:E168)</f>
        <v/>
      </c>
      <c r="F169" s="25">
        <f>F162+SUM(F163:F165)-SUM(F166:F168)</f>
        <v/>
      </c>
      <c r="G169" s="4" t="inlineStr">
        <is>
          <t>継続＋流入－流出</t>
        </is>
      </c>
    </row>
    <row r="170">
      <c r="A170" s="4" t="inlineStr">
        <is>
          <t xml:space="preserve">　　1人当たり月利用量</t>
        </is>
      </c>
      <c r="B170" s="8" t="inlineStr">
        <is>
          <t>―</t>
        </is>
      </c>
      <c r="C170" s="26" t="n"/>
      <c r="D170" s="26" t="n"/>
      <c r="E170" s="26" t="n"/>
      <c r="F170" s="26" t="n"/>
      <c r="G170" s="4" t="inlineStr">
        <is>
          <t>利用者ごとの月間予定量の平均</t>
        </is>
      </c>
    </row>
    <row r="171">
      <c r="A171" s="23" t="inlineStr">
        <is>
          <t>＝　月間サービス量</t>
        </is>
      </c>
      <c r="B171" s="24" t="inlineStr">
        <is>
          <t>―</t>
        </is>
      </c>
      <c r="C171" s="27">
        <f>ROUND(C169*C170,1)</f>
        <v/>
      </c>
      <c r="D171" s="27">
        <f>ROUND(D169*D170,1)</f>
        <v/>
      </c>
      <c r="E171" s="27">
        <f>ROUND(E169*E170,1)</f>
        <v/>
      </c>
      <c r="F171" s="27">
        <f>ROUND(F169*F170,1)</f>
        <v/>
      </c>
      <c r="G171" s="4" t="inlineStr">
        <is>
          <t>利用者数×1人当たり月利用量</t>
        </is>
      </c>
    </row>
    <row r="173">
      <c r="A173" s="9" t="inlineStr">
        <is>
          <t>13　短期入所（医療型）</t>
        </is>
      </c>
    </row>
    <row r="174" ht="20" customHeight="1">
      <c r="A174" s="2" t="inlineStr">
        <is>
          <t>※ 実績なし。医療的ケア者の利用が生じた場合に備える。圏域の供給を県に確認</t>
        </is>
      </c>
    </row>
    <row r="175" ht="30" customHeight="1">
      <c r="A175" s="3" t="inlineStr">
        <is>
          <t>増減要因</t>
        </is>
      </c>
      <c r="B175" s="3" t="inlineStr">
        <is>
          <t>単位</t>
        </is>
      </c>
      <c r="C175" s="3" t="inlineStr">
        <is>
          <t>令和8年度
（基準）</t>
        </is>
      </c>
      <c r="D175" s="3" t="inlineStr">
        <is>
          <t>令和9年度</t>
        </is>
      </c>
      <c r="E175" s="3" t="inlineStr">
        <is>
          <t>令和10年度</t>
        </is>
      </c>
      <c r="F175" s="3" t="inlineStr">
        <is>
          <t>令和11年度</t>
        </is>
      </c>
      <c r="G175" s="3" t="inlineStr">
        <is>
          <t>備考</t>
        </is>
      </c>
    </row>
    <row r="176">
      <c r="A176" s="4" t="inlineStr">
        <is>
          <t>継続利用者</t>
        </is>
      </c>
      <c r="B176" s="8" t="inlineStr">
        <is>
          <t>人／月</t>
        </is>
      </c>
      <c r="C176" s="18" t="n">
        <v>0</v>
      </c>
      <c r="D176" s="19">
        <f>C183</f>
        <v/>
      </c>
      <c r="E176" s="19">
        <f>D183</f>
        <v/>
      </c>
      <c r="F176" s="19">
        <f>E183</f>
        <v/>
      </c>
      <c r="G176" s="4" t="inlineStr">
        <is>
          <t>前年度の利用者数を繰り越す</t>
        </is>
      </c>
    </row>
    <row r="177">
      <c r="A177" s="4" t="inlineStr">
        <is>
          <t>＋　特別支援学校卒業・18歳到達</t>
        </is>
      </c>
      <c r="B177" s="8" t="inlineStr">
        <is>
          <t>人／月</t>
        </is>
      </c>
      <c r="C177" s="20" t="n"/>
      <c r="D177" s="18" t="n"/>
      <c r="E177" s="18" t="n"/>
      <c r="F177" s="18" t="n"/>
      <c r="G177" s="4" t="inlineStr">
        <is>
          <t>02_年齢到達者一覧から転記する</t>
        </is>
      </c>
    </row>
    <row r="178">
      <c r="A178" s="4" t="inlineStr">
        <is>
          <t>＋　施設・病院からの地域移行</t>
        </is>
      </c>
      <c r="B178" s="8" t="inlineStr">
        <is>
          <t>人／月</t>
        </is>
      </c>
      <c r="C178" s="20" t="n"/>
      <c r="D178" s="18" t="n"/>
      <c r="E178" s="18" t="n"/>
      <c r="F178" s="18" t="n"/>
      <c r="G178" s="4" t="inlineStr">
        <is>
          <t>移行予定者を個別に確認する</t>
        </is>
      </c>
    </row>
    <row r="179">
      <c r="A179" s="4" t="inlineStr">
        <is>
          <t>＋　新規支給決定（相談・転入等）</t>
        </is>
      </c>
      <c r="B179" s="8" t="inlineStr">
        <is>
          <t>人／月</t>
        </is>
      </c>
      <c r="C179" s="20" t="n"/>
      <c r="D179" s="18" t="n"/>
      <c r="E179" s="18" t="n"/>
      <c r="F179" s="18" t="n"/>
      <c r="G179" s="4" t="inlineStr">
        <is>
          <t>相談支援事業所からの利用開始相談を含む</t>
        </is>
      </c>
    </row>
    <row r="180">
      <c r="A180" s="4" t="inlineStr">
        <is>
          <t>－　65歳到達・介護保険移行</t>
        </is>
      </c>
      <c r="B180" s="8" t="inlineStr">
        <is>
          <t>人／月</t>
        </is>
      </c>
      <c r="C180" s="21" t="n"/>
      <c r="D180" s="22" t="n"/>
      <c r="E180" s="22" t="n"/>
      <c r="F180" s="22" t="n"/>
      <c r="G180" s="4" t="inlineStr">
        <is>
          <t>06_65歳移行判定の結果を反映する。一律に減算しない</t>
        </is>
      </c>
    </row>
    <row r="181">
      <c r="A181" s="4" t="inlineStr">
        <is>
          <t>－　一般就労・サービス終了</t>
        </is>
      </c>
      <c r="B181" s="8" t="inlineStr">
        <is>
          <t>人／月</t>
        </is>
      </c>
      <c r="C181" s="21" t="n"/>
      <c r="D181" s="22" t="n"/>
      <c r="E181" s="22" t="n"/>
      <c r="F181" s="22" t="n"/>
      <c r="G181" s="4" t="inlineStr">
        <is>
          <t>就労移行支援からの一般就労等</t>
        </is>
      </c>
    </row>
    <row r="182">
      <c r="A182" s="4" t="inlineStr">
        <is>
          <t>－　死亡・転出・長期入院</t>
        </is>
      </c>
      <c r="B182" s="8" t="inlineStr">
        <is>
          <t>人／月</t>
        </is>
      </c>
      <c r="C182" s="21" t="n"/>
      <c r="D182" s="22" t="n"/>
      <c r="E182" s="22" t="n"/>
      <c r="F182" s="22" t="n"/>
      <c r="G182" s="4" t="inlineStr">
        <is>
          <t>高齢化が進む本村では主要な減少要因</t>
        </is>
      </c>
    </row>
    <row r="183">
      <c r="A183" s="23" t="inlineStr">
        <is>
          <t>＝　利用者数</t>
        </is>
      </c>
      <c r="B183" s="24" t="inlineStr">
        <is>
          <t>人／月</t>
        </is>
      </c>
      <c r="C183" s="25">
        <f>C176</f>
        <v/>
      </c>
      <c r="D183" s="25">
        <f>D176+SUM(D177:D179)-SUM(D180:D182)</f>
        <v/>
      </c>
      <c r="E183" s="25">
        <f>E176+SUM(E177:E179)-SUM(E180:E182)</f>
        <v/>
      </c>
      <c r="F183" s="25">
        <f>F176+SUM(F177:F179)-SUM(F180:F182)</f>
        <v/>
      </c>
      <c r="G183" s="4" t="inlineStr">
        <is>
          <t>継続＋流入－流出</t>
        </is>
      </c>
    </row>
    <row r="184">
      <c r="A184" s="4" t="inlineStr">
        <is>
          <t xml:space="preserve">　　1人当たり月利用量</t>
        </is>
      </c>
      <c r="B184" s="8" t="inlineStr">
        <is>
          <t>―</t>
        </is>
      </c>
      <c r="C184" s="26" t="n"/>
      <c r="D184" s="26" t="n"/>
      <c r="E184" s="26" t="n"/>
      <c r="F184" s="26" t="n"/>
      <c r="G184" s="4" t="inlineStr">
        <is>
          <t>利用者ごとの月間予定量の平均</t>
        </is>
      </c>
    </row>
    <row r="185">
      <c r="A185" s="23" t="inlineStr">
        <is>
          <t>＝　月間サービス量</t>
        </is>
      </c>
      <c r="B185" s="24" t="inlineStr">
        <is>
          <t>―</t>
        </is>
      </c>
      <c r="C185" s="27">
        <f>ROUND(C183*C184,1)</f>
        <v/>
      </c>
      <c r="D185" s="27">
        <f>ROUND(D183*D184,1)</f>
        <v/>
      </c>
      <c r="E185" s="27">
        <f>ROUND(E183*E184,1)</f>
        <v/>
      </c>
      <c r="F185" s="27">
        <f>ROUND(F183*F184,1)</f>
        <v/>
      </c>
      <c r="G185" s="4" t="inlineStr">
        <is>
          <t>利用者数×1人当たり月利用量</t>
        </is>
      </c>
    </row>
    <row r="187" ht="40" customHeight="1">
      <c r="A187" s="2" t="inlineStr">
        <is>
          <t>黄色は入力欄、緑は数式です。継続利用者は前年度の利用者数を自動で繰り越します。流出行はマイナスの人数ではなく、減少する人数を正の数で入力してください（表示は自動でマイナスになります）。令和8年度の基準人数は、村の支給決定者台帳による実利用者数に置き換えてください。現在入っているのは現行計画（第7期）の令和8年度見込量です。</t>
        </is>
      </c>
    </row>
  </sheetData>
  <mergeCells count="29">
    <mergeCell ref="A159:G159"/>
    <mergeCell ref="A131:G131"/>
    <mergeCell ref="A62:G62"/>
    <mergeCell ref="A20:G20"/>
    <mergeCell ref="A19:G19"/>
    <mergeCell ref="A117:G117"/>
    <mergeCell ref="A173:G173"/>
    <mergeCell ref="A34:G34"/>
    <mergeCell ref="A48:G48"/>
    <mergeCell ref="A103:G103"/>
    <mergeCell ref="A61:G61"/>
    <mergeCell ref="A1:G1"/>
    <mergeCell ref="A132:G132"/>
    <mergeCell ref="A146:G146"/>
    <mergeCell ref="A6:G6"/>
    <mergeCell ref="A187:G187"/>
    <mergeCell ref="A90:G90"/>
    <mergeCell ref="A174:G174"/>
    <mergeCell ref="A160:G160"/>
    <mergeCell ref="A75:G75"/>
    <mergeCell ref="A89:G89"/>
    <mergeCell ref="A118:G118"/>
    <mergeCell ref="A145:G145"/>
    <mergeCell ref="A2:G2"/>
    <mergeCell ref="A104:G104"/>
    <mergeCell ref="A76:G76"/>
    <mergeCell ref="A33:G33"/>
    <mergeCell ref="A47:G47"/>
    <mergeCell ref="A5:G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0"/>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4" customWidth="1" min="3" max="3"/>
    <col width="14" customWidth="1" min="4" max="4"/>
    <col width="14" customWidth="1" min="5" max="5"/>
    <col width="14" customWidth="1" min="6" max="6"/>
    <col width="46" customWidth="1" min="7" max="7"/>
  </cols>
  <sheetData>
    <row r="1" ht="30" customHeight="1">
      <c r="A1" s="10" t="inlineStr">
        <is>
          <t>障がい児通所支援等の個別積上げ</t>
        </is>
      </c>
    </row>
    <row r="2" ht="30" customHeight="1">
      <c r="A2" s="2" t="inlineStr">
        <is>
          <t>就学（児童発達支援→放課後等デイサービス）と18歳到達（成人サービスへ）を明示的に扱います。「－ 18歳到達・高校卒業による移行」の人数は、03の「＋ 特別支援学校卒業・18歳到達」と一致させてください。</t>
        </is>
      </c>
    </row>
    <row r="5">
      <c r="A5" s="28" t="inlineStr">
        <is>
          <t>1　児童発達支援</t>
        </is>
      </c>
    </row>
    <row r="6" ht="20" customHeight="1">
      <c r="A6" s="2" t="inlineStr">
        <is>
          <t>※ 令和7年度は請求1件。令和5年度23件から急減。就学に伴う移行の可能性（要確認）</t>
        </is>
      </c>
    </row>
    <row r="7" ht="30" customHeight="1">
      <c r="A7" s="3" t="inlineStr">
        <is>
          <t>増減要因</t>
        </is>
      </c>
      <c r="B7" s="3" t="inlineStr">
        <is>
          <t>単位</t>
        </is>
      </c>
      <c r="C7" s="3" t="inlineStr">
        <is>
          <t>令和8年度
（基準）</t>
        </is>
      </c>
      <c r="D7" s="3" t="inlineStr">
        <is>
          <t>令和9年度</t>
        </is>
      </c>
      <c r="E7" s="3" t="inlineStr">
        <is>
          <t>令和10年度</t>
        </is>
      </c>
      <c r="F7" s="3" t="inlineStr">
        <is>
          <t>令和11年度</t>
        </is>
      </c>
      <c r="G7" s="3" t="inlineStr">
        <is>
          <t>備考</t>
        </is>
      </c>
    </row>
    <row r="8">
      <c r="A8" s="4" t="inlineStr">
        <is>
          <t>継続利用者</t>
        </is>
      </c>
      <c r="B8" s="8" t="inlineStr">
        <is>
          <t>人／月</t>
        </is>
      </c>
      <c r="C8" s="18" t="n">
        <v>0</v>
      </c>
      <c r="D8" s="19">
        <f>C14</f>
        <v/>
      </c>
      <c r="E8" s="19">
        <f>D14</f>
        <v/>
      </c>
      <c r="F8" s="19">
        <f>E14</f>
        <v/>
      </c>
      <c r="G8" s="4" t="inlineStr">
        <is>
          <t>前年度の利用者数を繰り越す</t>
        </is>
      </c>
    </row>
    <row r="9">
      <c r="A9" s="4" t="inlineStr">
        <is>
          <t>＋　新規支給決定（診断・転入等）</t>
        </is>
      </c>
      <c r="B9" s="8" t="inlineStr">
        <is>
          <t>人／月</t>
        </is>
      </c>
      <c r="C9" s="20" t="n"/>
      <c r="D9" s="18" t="n"/>
      <c r="E9" s="18" t="n"/>
      <c r="F9" s="18" t="n"/>
      <c r="G9" s="4" t="inlineStr">
        <is>
          <t>新規の発達相談・診断からの流入</t>
        </is>
      </c>
    </row>
    <row r="10">
      <c r="A10" s="4" t="inlineStr">
        <is>
          <t>＋　就学・進級による流入</t>
        </is>
      </c>
      <c r="B10" s="8" t="inlineStr">
        <is>
          <t>人／月</t>
        </is>
      </c>
      <c r="C10" s="20" t="n"/>
      <c r="D10" s="18" t="n"/>
      <c r="E10" s="18" t="n"/>
      <c r="F10" s="18" t="n"/>
      <c r="G10" s="4" t="inlineStr">
        <is>
          <t>児童発達支援から放課後等デイサービスへの移行等</t>
        </is>
      </c>
    </row>
    <row r="11">
      <c r="A11" s="4" t="inlineStr">
        <is>
          <t>－　就学による他サービスへの移行</t>
        </is>
      </c>
      <c r="B11" s="8" t="inlineStr">
        <is>
          <t>人／月</t>
        </is>
      </c>
      <c r="C11" s="21" t="n"/>
      <c r="D11" s="22" t="n"/>
      <c r="E11" s="22" t="n"/>
      <c r="F11" s="22" t="n"/>
      <c r="G11" s="4" t="inlineStr">
        <is>
          <t>児童発達支援からの流出</t>
        </is>
      </c>
    </row>
    <row r="12">
      <c r="A12" s="4" t="inlineStr">
        <is>
          <t>－　18歳到達・高校卒業による移行</t>
        </is>
      </c>
      <c r="B12" s="8" t="inlineStr">
        <is>
          <t>人／月</t>
        </is>
      </c>
      <c r="C12" s="21" t="n"/>
      <c r="D12" s="22" t="n"/>
      <c r="E12" s="22" t="n"/>
      <c r="F12" s="22" t="n"/>
      <c r="G12" s="4" t="inlineStr">
        <is>
          <t>成人の障害福祉サービスへ。03の流入と一致させる</t>
        </is>
      </c>
    </row>
    <row r="13">
      <c r="A13" s="4" t="inlineStr">
        <is>
          <t>－　転出・利用終了</t>
        </is>
      </c>
      <c r="B13" s="8" t="inlineStr">
        <is>
          <t>人／月</t>
        </is>
      </c>
      <c r="C13" s="21" t="n"/>
      <c r="D13" s="22" t="n"/>
      <c r="E13" s="22" t="n"/>
      <c r="F13" s="22" t="n"/>
      <c r="G13" s="4" t="inlineStr"/>
    </row>
    <row r="14">
      <c r="A14" s="23" t="inlineStr">
        <is>
          <t>＝　利用者数</t>
        </is>
      </c>
      <c r="B14" s="24" t="inlineStr">
        <is>
          <t>人／月</t>
        </is>
      </c>
      <c r="C14" s="25">
        <f>C8</f>
        <v/>
      </c>
      <c r="D14" s="25">
        <f>D8+SUM(D9:D10)-SUM(D11:D13)</f>
        <v/>
      </c>
      <c r="E14" s="25">
        <f>E8+SUM(E9:E10)-SUM(E11:E13)</f>
        <v/>
      </c>
      <c r="F14" s="25">
        <f>F8+SUM(F9:F10)-SUM(F11:F13)</f>
        <v/>
      </c>
      <c r="G14" s="4" t="inlineStr">
        <is>
          <t>継続＋流入－流出</t>
        </is>
      </c>
    </row>
    <row r="15">
      <c r="A15" s="4" t="inlineStr">
        <is>
          <t xml:space="preserve">　　1人当たり月利用量</t>
        </is>
      </c>
      <c r="B15" s="8" t="inlineStr">
        <is>
          <t>人日／月</t>
        </is>
      </c>
      <c r="C15" s="26" t="n"/>
      <c r="D15" s="26" t="n"/>
      <c r="E15" s="26" t="n"/>
      <c r="F15" s="26" t="n"/>
      <c r="G15" s="4" t="inlineStr">
        <is>
          <t>利用者ごとの月間予定量の平均</t>
        </is>
      </c>
    </row>
    <row r="16">
      <c r="A16" s="23" t="inlineStr">
        <is>
          <t>＝　月間サービス量</t>
        </is>
      </c>
      <c r="B16" s="24" t="inlineStr">
        <is>
          <t>人日／月</t>
        </is>
      </c>
      <c r="C16" s="27">
        <f>ROUND(C14*C15,1)</f>
        <v/>
      </c>
      <c r="D16" s="27">
        <f>ROUND(D14*D15,1)</f>
        <v/>
      </c>
      <c r="E16" s="27">
        <f>ROUND(E14*E15,1)</f>
        <v/>
      </c>
      <c r="F16" s="27">
        <f>ROUND(F14*F15,1)</f>
        <v/>
      </c>
      <c r="G16" s="4" t="inlineStr">
        <is>
          <t>利用者数×1人当たり月利用量</t>
        </is>
      </c>
    </row>
    <row r="18">
      <c r="A18" s="28" t="inlineStr">
        <is>
          <t>2　放課後等デイサービス</t>
        </is>
      </c>
    </row>
    <row r="19" ht="20" customHeight="1">
      <c r="A19" s="2" t="inlineStr">
        <is>
          <t>※ 令和7年度は請求27件。令和6年度12件から急増。就学に伴う流入の可能性（要確認）</t>
        </is>
      </c>
    </row>
    <row r="20" ht="30" customHeight="1">
      <c r="A20" s="3" t="inlineStr">
        <is>
          <t>増減要因</t>
        </is>
      </c>
      <c r="B20" s="3" t="inlineStr">
        <is>
          <t>単位</t>
        </is>
      </c>
      <c r="C20" s="3" t="inlineStr">
        <is>
          <t>令和8年度
（基準）</t>
        </is>
      </c>
      <c r="D20" s="3" t="inlineStr">
        <is>
          <t>令和9年度</t>
        </is>
      </c>
      <c r="E20" s="3" t="inlineStr">
        <is>
          <t>令和10年度</t>
        </is>
      </c>
      <c r="F20" s="3" t="inlineStr">
        <is>
          <t>令和11年度</t>
        </is>
      </c>
      <c r="G20" s="3" t="inlineStr">
        <is>
          <t>備考</t>
        </is>
      </c>
    </row>
    <row r="21">
      <c r="A21" s="4" t="inlineStr">
        <is>
          <t>継続利用者</t>
        </is>
      </c>
      <c r="B21" s="8" t="inlineStr">
        <is>
          <t>人／月</t>
        </is>
      </c>
      <c r="C21" s="18" t="n">
        <v>1</v>
      </c>
      <c r="D21" s="19">
        <f>C27</f>
        <v/>
      </c>
      <c r="E21" s="19">
        <f>D27</f>
        <v/>
      </c>
      <c r="F21" s="19">
        <f>E27</f>
        <v/>
      </c>
      <c r="G21" s="4" t="inlineStr">
        <is>
          <t>前年度の利用者数を繰り越す</t>
        </is>
      </c>
    </row>
    <row r="22">
      <c r="A22" s="4" t="inlineStr">
        <is>
          <t>＋　新規支給決定（診断・転入等）</t>
        </is>
      </c>
      <c r="B22" s="8" t="inlineStr">
        <is>
          <t>人／月</t>
        </is>
      </c>
      <c r="C22" s="20" t="n"/>
      <c r="D22" s="18" t="n"/>
      <c r="E22" s="18" t="n"/>
      <c r="F22" s="18" t="n"/>
      <c r="G22" s="4" t="inlineStr">
        <is>
          <t>新規の発達相談・診断からの流入</t>
        </is>
      </c>
    </row>
    <row r="23">
      <c r="A23" s="4" t="inlineStr">
        <is>
          <t>＋　就学・進級による流入</t>
        </is>
      </c>
      <c r="B23" s="8" t="inlineStr">
        <is>
          <t>人／月</t>
        </is>
      </c>
      <c r="C23" s="20" t="n"/>
      <c r="D23" s="18" t="n"/>
      <c r="E23" s="18" t="n"/>
      <c r="F23" s="18" t="n"/>
      <c r="G23" s="4" t="inlineStr">
        <is>
          <t>児童発達支援から放課後等デイサービスへの移行等</t>
        </is>
      </c>
    </row>
    <row r="24">
      <c r="A24" s="4" t="inlineStr">
        <is>
          <t>－　就学による他サービスへの移行</t>
        </is>
      </c>
      <c r="B24" s="8" t="inlineStr">
        <is>
          <t>人／月</t>
        </is>
      </c>
      <c r="C24" s="21" t="n"/>
      <c r="D24" s="22" t="n"/>
      <c r="E24" s="22" t="n"/>
      <c r="F24" s="22" t="n"/>
      <c r="G24" s="4" t="inlineStr">
        <is>
          <t>児童発達支援からの流出</t>
        </is>
      </c>
    </row>
    <row r="25">
      <c r="A25" s="4" t="inlineStr">
        <is>
          <t>－　18歳到達・高校卒業による移行</t>
        </is>
      </c>
      <c r="B25" s="8" t="inlineStr">
        <is>
          <t>人／月</t>
        </is>
      </c>
      <c r="C25" s="21" t="n"/>
      <c r="D25" s="22" t="n"/>
      <c r="E25" s="22" t="n"/>
      <c r="F25" s="22" t="n"/>
      <c r="G25" s="4" t="inlineStr">
        <is>
          <t>成人の障害福祉サービスへ。03の流入と一致させる</t>
        </is>
      </c>
    </row>
    <row r="26">
      <c r="A26" s="4" t="inlineStr">
        <is>
          <t>－　転出・利用終了</t>
        </is>
      </c>
      <c r="B26" s="8" t="inlineStr">
        <is>
          <t>人／月</t>
        </is>
      </c>
      <c r="C26" s="21" t="n"/>
      <c r="D26" s="22" t="n"/>
      <c r="E26" s="22" t="n"/>
      <c r="F26" s="22" t="n"/>
      <c r="G26" s="4" t="inlineStr"/>
    </row>
    <row r="27">
      <c r="A27" s="23" t="inlineStr">
        <is>
          <t>＝　利用者数</t>
        </is>
      </c>
      <c r="B27" s="24" t="inlineStr">
        <is>
          <t>人／月</t>
        </is>
      </c>
      <c r="C27" s="25">
        <f>C21</f>
        <v/>
      </c>
      <c r="D27" s="25">
        <f>D21+SUM(D22:D23)-SUM(D24:D26)</f>
        <v/>
      </c>
      <c r="E27" s="25">
        <f>E21+SUM(E22:E23)-SUM(E24:E26)</f>
        <v/>
      </c>
      <c r="F27" s="25">
        <f>F21+SUM(F22:F23)-SUM(F24:F26)</f>
        <v/>
      </c>
      <c r="G27" s="4" t="inlineStr">
        <is>
          <t>継続＋流入－流出</t>
        </is>
      </c>
    </row>
    <row r="28">
      <c r="A28" s="4" t="inlineStr">
        <is>
          <t xml:space="preserve">　　1人当たり月利用量</t>
        </is>
      </c>
      <c r="B28" s="8" t="inlineStr">
        <is>
          <t>人日／月</t>
        </is>
      </c>
      <c r="C28" s="26" t="n">
        <v>2</v>
      </c>
      <c r="D28" s="26" t="n">
        <v>2</v>
      </c>
      <c r="E28" s="26" t="n">
        <v>2</v>
      </c>
      <c r="F28" s="26" t="n">
        <v>2</v>
      </c>
      <c r="G28" s="4" t="inlineStr">
        <is>
          <t>利用者ごとの月間予定量の平均</t>
        </is>
      </c>
    </row>
    <row r="29">
      <c r="A29" s="23" t="inlineStr">
        <is>
          <t>＝　月間サービス量</t>
        </is>
      </c>
      <c r="B29" s="24" t="inlineStr">
        <is>
          <t>人日／月</t>
        </is>
      </c>
      <c r="C29" s="27">
        <f>ROUND(C27*C28,1)</f>
        <v/>
      </c>
      <c r="D29" s="27">
        <f>ROUND(D27*D28,1)</f>
        <v/>
      </c>
      <c r="E29" s="27">
        <f>ROUND(E27*E28,1)</f>
        <v/>
      </c>
      <c r="F29" s="27">
        <f>ROUND(F27*F28,1)</f>
        <v/>
      </c>
      <c r="G29" s="4" t="inlineStr">
        <is>
          <t>利用者数×1人当たり月利用量</t>
        </is>
      </c>
    </row>
    <row r="31">
      <c r="A31" s="28" t="inlineStr">
        <is>
          <t>3　保育所等訪問支援</t>
        </is>
      </c>
    </row>
    <row r="32" ht="20" customHeight="1">
      <c r="A32" s="2" t="inlineStr">
        <is>
          <t>※ 令和7年度に初めて実績（3件）</t>
        </is>
      </c>
    </row>
    <row r="33" ht="30" customHeight="1">
      <c r="A33" s="3" t="inlineStr">
        <is>
          <t>増減要因</t>
        </is>
      </c>
      <c r="B33" s="3" t="inlineStr">
        <is>
          <t>単位</t>
        </is>
      </c>
      <c r="C33" s="3" t="inlineStr">
        <is>
          <t>令和8年度
（基準）</t>
        </is>
      </c>
      <c r="D33" s="3" t="inlineStr">
        <is>
          <t>令和9年度</t>
        </is>
      </c>
      <c r="E33" s="3" t="inlineStr">
        <is>
          <t>令和10年度</t>
        </is>
      </c>
      <c r="F33" s="3" t="inlineStr">
        <is>
          <t>令和11年度</t>
        </is>
      </c>
      <c r="G33" s="3" t="inlineStr">
        <is>
          <t>備考</t>
        </is>
      </c>
    </row>
    <row r="34">
      <c r="A34" s="4" t="inlineStr">
        <is>
          <t>継続利用者</t>
        </is>
      </c>
      <c r="B34" s="8" t="inlineStr">
        <is>
          <t>人／月</t>
        </is>
      </c>
      <c r="C34" s="18" t="n">
        <v>0</v>
      </c>
      <c r="D34" s="19">
        <f>C40</f>
        <v/>
      </c>
      <c r="E34" s="19">
        <f>D40</f>
        <v/>
      </c>
      <c r="F34" s="19">
        <f>E40</f>
        <v/>
      </c>
      <c r="G34" s="4" t="inlineStr">
        <is>
          <t>前年度の利用者数を繰り越す</t>
        </is>
      </c>
    </row>
    <row r="35">
      <c r="A35" s="4" t="inlineStr">
        <is>
          <t>＋　新規支給決定（診断・転入等）</t>
        </is>
      </c>
      <c r="B35" s="8" t="inlineStr">
        <is>
          <t>人／月</t>
        </is>
      </c>
      <c r="C35" s="20" t="n"/>
      <c r="D35" s="18" t="n"/>
      <c r="E35" s="18" t="n"/>
      <c r="F35" s="18" t="n"/>
      <c r="G35" s="4" t="inlineStr">
        <is>
          <t>新規の発達相談・診断からの流入</t>
        </is>
      </c>
    </row>
    <row r="36">
      <c r="A36" s="4" t="inlineStr">
        <is>
          <t>＋　就学・進級による流入</t>
        </is>
      </c>
      <c r="B36" s="8" t="inlineStr">
        <is>
          <t>人／月</t>
        </is>
      </c>
      <c r="C36" s="20" t="n"/>
      <c r="D36" s="18" t="n"/>
      <c r="E36" s="18" t="n"/>
      <c r="F36" s="18" t="n"/>
      <c r="G36" s="4" t="inlineStr">
        <is>
          <t>児童発達支援から放課後等デイサービスへの移行等</t>
        </is>
      </c>
    </row>
    <row r="37">
      <c r="A37" s="4" t="inlineStr">
        <is>
          <t>－　就学による他サービスへの移行</t>
        </is>
      </c>
      <c r="B37" s="8" t="inlineStr">
        <is>
          <t>人／月</t>
        </is>
      </c>
      <c r="C37" s="21" t="n"/>
      <c r="D37" s="22" t="n"/>
      <c r="E37" s="22" t="n"/>
      <c r="F37" s="22" t="n"/>
      <c r="G37" s="4" t="inlineStr">
        <is>
          <t>児童発達支援からの流出</t>
        </is>
      </c>
    </row>
    <row r="38">
      <c r="A38" s="4" t="inlineStr">
        <is>
          <t>－　18歳到達・高校卒業による移行</t>
        </is>
      </c>
      <c r="B38" s="8" t="inlineStr">
        <is>
          <t>人／月</t>
        </is>
      </c>
      <c r="C38" s="21" t="n"/>
      <c r="D38" s="22" t="n"/>
      <c r="E38" s="22" t="n"/>
      <c r="F38" s="22" t="n"/>
      <c r="G38" s="4" t="inlineStr">
        <is>
          <t>成人の障害福祉サービスへ。03の流入と一致させる</t>
        </is>
      </c>
    </row>
    <row r="39">
      <c r="A39" s="4" t="inlineStr">
        <is>
          <t>－　転出・利用終了</t>
        </is>
      </c>
      <c r="B39" s="8" t="inlineStr">
        <is>
          <t>人／月</t>
        </is>
      </c>
      <c r="C39" s="21" t="n"/>
      <c r="D39" s="22" t="n"/>
      <c r="E39" s="22" t="n"/>
      <c r="F39" s="22" t="n"/>
      <c r="G39" s="4" t="inlineStr"/>
    </row>
    <row r="40">
      <c r="A40" s="23" t="inlineStr">
        <is>
          <t>＝　利用者数</t>
        </is>
      </c>
      <c r="B40" s="24" t="inlineStr">
        <is>
          <t>人／月</t>
        </is>
      </c>
      <c r="C40" s="25">
        <f>C34</f>
        <v/>
      </c>
      <c r="D40" s="25">
        <f>D34+SUM(D35:D36)-SUM(D37:D39)</f>
        <v/>
      </c>
      <c r="E40" s="25">
        <f>E34+SUM(E35:E36)-SUM(E37:E39)</f>
        <v/>
      </c>
      <c r="F40" s="25">
        <f>F34+SUM(F35:F36)-SUM(F37:F39)</f>
        <v/>
      </c>
      <c r="G40" s="4" t="inlineStr">
        <is>
          <t>継続＋流入－流出</t>
        </is>
      </c>
    </row>
    <row r="41">
      <c r="A41" s="4" t="inlineStr">
        <is>
          <t xml:space="preserve">　　1人当たり月利用量</t>
        </is>
      </c>
      <c r="B41" s="8" t="inlineStr">
        <is>
          <t>―</t>
        </is>
      </c>
      <c r="C41" s="26" t="n"/>
      <c r="D41" s="26" t="n"/>
      <c r="E41" s="26" t="n"/>
      <c r="F41" s="26" t="n"/>
      <c r="G41" s="4" t="inlineStr">
        <is>
          <t>利用者ごとの月間予定量の平均</t>
        </is>
      </c>
    </row>
    <row r="42">
      <c r="A42" s="23" t="inlineStr">
        <is>
          <t>＝　月間サービス量</t>
        </is>
      </c>
      <c r="B42" s="24" t="inlineStr">
        <is>
          <t>―</t>
        </is>
      </c>
      <c r="C42" s="27">
        <f>ROUND(C40*C41,1)</f>
        <v/>
      </c>
      <c r="D42" s="27">
        <f>ROUND(D40*D41,1)</f>
        <v/>
      </c>
      <c r="E42" s="27">
        <f>ROUND(E40*E41,1)</f>
        <v/>
      </c>
      <c r="F42" s="27">
        <f>ROUND(F40*F41,1)</f>
        <v/>
      </c>
      <c r="G42" s="4" t="inlineStr">
        <is>
          <t>利用者数×1人当たり月利用量</t>
        </is>
      </c>
    </row>
    <row r="44">
      <c r="A44" s="28" t="inlineStr">
        <is>
          <t>4　居宅訪問型児童発達支援</t>
        </is>
      </c>
    </row>
    <row r="45" ht="20" customHeight="1">
      <c r="A45" s="2" t="inlineStr">
        <is>
          <t>※ 実績なし</t>
        </is>
      </c>
    </row>
    <row r="46" ht="30" customHeight="1">
      <c r="A46" s="3" t="inlineStr">
        <is>
          <t>増減要因</t>
        </is>
      </c>
      <c r="B46" s="3" t="inlineStr">
        <is>
          <t>単位</t>
        </is>
      </c>
      <c r="C46" s="3" t="inlineStr">
        <is>
          <t>令和8年度
（基準）</t>
        </is>
      </c>
      <c r="D46" s="3" t="inlineStr">
        <is>
          <t>令和9年度</t>
        </is>
      </c>
      <c r="E46" s="3" t="inlineStr">
        <is>
          <t>令和10年度</t>
        </is>
      </c>
      <c r="F46" s="3" t="inlineStr">
        <is>
          <t>令和11年度</t>
        </is>
      </c>
      <c r="G46" s="3" t="inlineStr">
        <is>
          <t>備考</t>
        </is>
      </c>
    </row>
    <row r="47">
      <c r="A47" s="4" t="inlineStr">
        <is>
          <t>継続利用者</t>
        </is>
      </c>
      <c r="B47" s="8" t="inlineStr">
        <is>
          <t>人／月</t>
        </is>
      </c>
      <c r="C47" s="18" t="n">
        <v>0</v>
      </c>
      <c r="D47" s="19">
        <f>C53</f>
        <v/>
      </c>
      <c r="E47" s="19">
        <f>D53</f>
        <v/>
      </c>
      <c r="F47" s="19">
        <f>E53</f>
        <v/>
      </c>
      <c r="G47" s="4" t="inlineStr">
        <is>
          <t>前年度の利用者数を繰り越す</t>
        </is>
      </c>
    </row>
    <row r="48">
      <c r="A48" s="4" t="inlineStr">
        <is>
          <t>＋　新規支給決定（診断・転入等）</t>
        </is>
      </c>
      <c r="B48" s="8" t="inlineStr">
        <is>
          <t>人／月</t>
        </is>
      </c>
      <c r="C48" s="20" t="n"/>
      <c r="D48" s="18" t="n"/>
      <c r="E48" s="18" t="n"/>
      <c r="F48" s="18" t="n"/>
      <c r="G48" s="4" t="inlineStr">
        <is>
          <t>新規の発達相談・診断からの流入</t>
        </is>
      </c>
    </row>
    <row r="49">
      <c r="A49" s="4" t="inlineStr">
        <is>
          <t>＋　就学・進級による流入</t>
        </is>
      </c>
      <c r="B49" s="8" t="inlineStr">
        <is>
          <t>人／月</t>
        </is>
      </c>
      <c r="C49" s="20" t="n"/>
      <c r="D49" s="18" t="n"/>
      <c r="E49" s="18" t="n"/>
      <c r="F49" s="18" t="n"/>
      <c r="G49" s="4" t="inlineStr">
        <is>
          <t>児童発達支援から放課後等デイサービスへの移行等</t>
        </is>
      </c>
    </row>
    <row r="50">
      <c r="A50" s="4" t="inlineStr">
        <is>
          <t>－　就学による他サービスへの移行</t>
        </is>
      </c>
      <c r="B50" s="8" t="inlineStr">
        <is>
          <t>人／月</t>
        </is>
      </c>
      <c r="C50" s="21" t="n"/>
      <c r="D50" s="22" t="n"/>
      <c r="E50" s="22" t="n"/>
      <c r="F50" s="22" t="n"/>
      <c r="G50" s="4" t="inlineStr">
        <is>
          <t>児童発達支援からの流出</t>
        </is>
      </c>
    </row>
    <row r="51">
      <c r="A51" s="4" t="inlineStr">
        <is>
          <t>－　18歳到達・高校卒業による移行</t>
        </is>
      </c>
      <c r="B51" s="8" t="inlineStr">
        <is>
          <t>人／月</t>
        </is>
      </c>
      <c r="C51" s="21" t="n"/>
      <c r="D51" s="22" t="n"/>
      <c r="E51" s="22" t="n"/>
      <c r="F51" s="22" t="n"/>
      <c r="G51" s="4" t="inlineStr">
        <is>
          <t>成人の障害福祉サービスへ。03の流入と一致させる</t>
        </is>
      </c>
    </row>
    <row r="52">
      <c r="A52" s="4" t="inlineStr">
        <is>
          <t>－　転出・利用終了</t>
        </is>
      </c>
      <c r="B52" s="8" t="inlineStr">
        <is>
          <t>人／月</t>
        </is>
      </c>
      <c r="C52" s="21" t="n"/>
      <c r="D52" s="22" t="n"/>
      <c r="E52" s="22" t="n"/>
      <c r="F52" s="22" t="n"/>
      <c r="G52" s="4" t="inlineStr"/>
    </row>
    <row r="53">
      <c r="A53" s="23" t="inlineStr">
        <is>
          <t>＝　利用者数</t>
        </is>
      </c>
      <c r="B53" s="24" t="inlineStr">
        <is>
          <t>人／月</t>
        </is>
      </c>
      <c r="C53" s="25">
        <f>C47</f>
        <v/>
      </c>
      <c r="D53" s="25">
        <f>D47+SUM(D48:D49)-SUM(D50:D52)</f>
        <v/>
      </c>
      <c r="E53" s="25">
        <f>E47+SUM(E48:E49)-SUM(E50:E52)</f>
        <v/>
      </c>
      <c r="F53" s="25">
        <f>F47+SUM(F48:F49)-SUM(F50:F52)</f>
        <v/>
      </c>
      <c r="G53" s="4" t="inlineStr">
        <is>
          <t>継続＋流入－流出</t>
        </is>
      </c>
    </row>
    <row r="54">
      <c r="A54" s="4" t="inlineStr">
        <is>
          <t xml:space="preserve">　　1人当たり月利用量</t>
        </is>
      </c>
      <c r="B54" s="8" t="inlineStr">
        <is>
          <t>―</t>
        </is>
      </c>
      <c r="C54" s="26" t="n"/>
      <c r="D54" s="26" t="n"/>
      <c r="E54" s="26" t="n"/>
      <c r="F54" s="26" t="n"/>
      <c r="G54" s="4" t="inlineStr">
        <is>
          <t>利用者ごとの月間予定量の平均</t>
        </is>
      </c>
    </row>
    <row r="55">
      <c r="A55" s="23" t="inlineStr">
        <is>
          <t>＝　月間サービス量</t>
        </is>
      </c>
      <c r="B55" s="24" t="inlineStr">
        <is>
          <t>―</t>
        </is>
      </c>
      <c r="C55" s="27">
        <f>ROUND(C53*C54,1)</f>
        <v/>
      </c>
      <c r="D55" s="27">
        <f>ROUND(D53*D54,1)</f>
        <v/>
      </c>
      <c r="E55" s="27">
        <f>ROUND(E53*E54,1)</f>
        <v/>
      </c>
      <c r="F55" s="27">
        <f>ROUND(F53*F54,1)</f>
        <v/>
      </c>
      <c r="G55" s="4" t="inlineStr">
        <is>
          <t>利用者数×1人当たり月利用量</t>
        </is>
      </c>
    </row>
    <row r="57">
      <c r="A57" s="28" t="inlineStr">
        <is>
          <t>5　障がい児相談支援</t>
        </is>
      </c>
    </row>
    <row r="58" ht="20" customHeight="1">
      <c r="A58" s="2" t="inlineStr">
        <is>
          <t>※ 令和7年度は請求8件</t>
        </is>
      </c>
    </row>
    <row r="59" ht="30" customHeight="1">
      <c r="A59" s="3" t="inlineStr">
        <is>
          <t>増減要因</t>
        </is>
      </c>
      <c r="B59" s="3" t="inlineStr">
        <is>
          <t>単位</t>
        </is>
      </c>
      <c r="C59" s="3" t="inlineStr">
        <is>
          <t>令和8年度
（基準）</t>
        </is>
      </c>
      <c r="D59" s="3" t="inlineStr">
        <is>
          <t>令和9年度</t>
        </is>
      </c>
      <c r="E59" s="3" t="inlineStr">
        <is>
          <t>令和10年度</t>
        </is>
      </c>
      <c r="F59" s="3" t="inlineStr">
        <is>
          <t>令和11年度</t>
        </is>
      </c>
      <c r="G59" s="3" t="inlineStr">
        <is>
          <t>備考</t>
        </is>
      </c>
    </row>
    <row r="60">
      <c r="A60" s="4" t="inlineStr">
        <is>
          <t>継続利用者</t>
        </is>
      </c>
      <c r="B60" s="8" t="inlineStr">
        <is>
          <t>人／月</t>
        </is>
      </c>
      <c r="C60" s="18" t="n">
        <v>2</v>
      </c>
      <c r="D60" s="19">
        <f>C66</f>
        <v/>
      </c>
      <c r="E60" s="19">
        <f>D66</f>
        <v/>
      </c>
      <c r="F60" s="19">
        <f>E66</f>
        <v/>
      </c>
      <c r="G60" s="4" t="inlineStr">
        <is>
          <t>前年度の利用者数を繰り越す</t>
        </is>
      </c>
    </row>
    <row r="61">
      <c r="A61" s="4" t="inlineStr">
        <is>
          <t>＋　新規支給決定（診断・転入等）</t>
        </is>
      </c>
      <c r="B61" s="8" t="inlineStr">
        <is>
          <t>人／月</t>
        </is>
      </c>
      <c r="C61" s="20" t="n"/>
      <c r="D61" s="18" t="n"/>
      <c r="E61" s="18" t="n"/>
      <c r="F61" s="18" t="n"/>
      <c r="G61" s="4" t="inlineStr">
        <is>
          <t>新規の発達相談・診断からの流入</t>
        </is>
      </c>
    </row>
    <row r="62">
      <c r="A62" s="4" t="inlineStr">
        <is>
          <t>＋　就学・進級による流入</t>
        </is>
      </c>
      <c r="B62" s="8" t="inlineStr">
        <is>
          <t>人／月</t>
        </is>
      </c>
      <c r="C62" s="20" t="n"/>
      <c r="D62" s="18" t="n"/>
      <c r="E62" s="18" t="n"/>
      <c r="F62" s="18" t="n"/>
      <c r="G62" s="4" t="inlineStr">
        <is>
          <t>児童発達支援から放課後等デイサービスへの移行等</t>
        </is>
      </c>
    </row>
    <row r="63">
      <c r="A63" s="4" t="inlineStr">
        <is>
          <t>－　就学による他サービスへの移行</t>
        </is>
      </c>
      <c r="B63" s="8" t="inlineStr">
        <is>
          <t>人／月</t>
        </is>
      </c>
      <c r="C63" s="21" t="n"/>
      <c r="D63" s="22" t="n"/>
      <c r="E63" s="22" t="n"/>
      <c r="F63" s="22" t="n"/>
      <c r="G63" s="4" t="inlineStr">
        <is>
          <t>児童発達支援からの流出</t>
        </is>
      </c>
    </row>
    <row r="64">
      <c r="A64" s="4" t="inlineStr">
        <is>
          <t>－　18歳到達・高校卒業による移行</t>
        </is>
      </c>
      <c r="B64" s="8" t="inlineStr">
        <is>
          <t>人／月</t>
        </is>
      </c>
      <c r="C64" s="21" t="n"/>
      <c r="D64" s="22" t="n"/>
      <c r="E64" s="22" t="n"/>
      <c r="F64" s="22" t="n"/>
      <c r="G64" s="4" t="inlineStr">
        <is>
          <t>成人の障害福祉サービスへ。03の流入と一致させる</t>
        </is>
      </c>
    </row>
    <row r="65">
      <c r="A65" s="4" t="inlineStr">
        <is>
          <t>－　転出・利用終了</t>
        </is>
      </c>
      <c r="B65" s="8" t="inlineStr">
        <is>
          <t>人／月</t>
        </is>
      </c>
      <c r="C65" s="21" t="n"/>
      <c r="D65" s="22" t="n"/>
      <c r="E65" s="22" t="n"/>
      <c r="F65" s="22" t="n"/>
      <c r="G65" s="4" t="inlineStr"/>
    </row>
    <row r="66">
      <c r="A66" s="23" t="inlineStr">
        <is>
          <t>＝　利用者数</t>
        </is>
      </c>
      <c r="B66" s="24" t="inlineStr">
        <is>
          <t>人／月</t>
        </is>
      </c>
      <c r="C66" s="25">
        <f>C60</f>
        <v/>
      </c>
      <c r="D66" s="25">
        <f>D60+SUM(D61:D62)-SUM(D63:D65)</f>
        <v/>
      </c>
      <c r="E66" s="25">
        <f>E60+SUM(E61:E62)-SUM(E63:E65)</f>
        <v/>
      </c>
      <c r="F66" s="25">
        <f>F60+SUM(F61:F62)-SUM(F63:F65)</f>
        <v/>
      </c>
      <c r="G66" s="4" t="inlineStr">
        <is>
          <t>継続＋流入－流出</t>
        </is>
      </c>
    </row>
    <row r="67">
      <c r="A67" s="4" t="inlineStr">
        <is>
          <t xml:space="preserve">　　1人当たり月利用量</t>
        </is>
      </c>
      <c r="B67" s="8" t="inlineStr">
        <is>
          <t>―</t>
        </is>
      </c>
      <c r="C67" s="26" t="n"/>
      <c r="D67" s="26" t="n"/>
      <c r="E67" s="26" t="n"/>
      <c r="F67" s="26" t="n"/>
      <c r="G67" s="4" t="inlineStr">
        <is>
          <t>利用者ごとの月間予定量の平均</t>
        </is>
      </c>
    </row>
    <row r="68">
      <c r="A68" s="23" t="inlineStr">
        <is>
          <t>＝　月間サービス量</t>
        </is>
      </c>
      <c r="B68" s="24" t="inlineStr">
        <is>
          <t>―</t>
        </is>
      </c>
      <c r="C68" s="27">
        <f>ROUND(C66*C67,1)</f>
        <v/>
      </c>
      <c r="D68" s="27">
        <f>ROUND(D66*D67,1)</f>
        <v/>
      </c>
      <c r="E68" s="27">
        <f>ROUND(E66*E67,1)</f>
        <v/>
      </c>
      <c r="F68" s="27">
        <f>ROUND(F66*F67,1)</f>
        <v/>
      </c>
      <c r="G68" s="4" t="inlineStr">
        <is>
          <t>利用者数×1人当たり月利用量</t>
        </is>
      </c>
    </row>
    <row r="70" ht="40" customHeight="1">
      <c r="A70" s="2" t="inlineStr">
        <is>
          <t>黄色は入力欄、緑は数式です。継続利用者は前年度の利用者数を自動で繰り越します。流出行はマイナスの人数ではなく、減少する人数を正の数で入力してください（表示は自動でマイナスになります）。令和8年度の基準人数は、村の支給決定者台帳による実利用者数に置き換えてください。現在入っているのは現行計画（第7期）の令和8年度見込量です。</t>
        </is>
      </c>
    </row>
  </sheetData>
  <mergeCells count="13">
    <mergeCell ref="A32:G32"/>
    <mergeCell ref="A44:G44"/>
    <mergeCell ref="A58:G58"/>
    <mergeCell ref="A1:G1"/>
    <mergeCell ref="A18:G18"/>
    <mergeCell ref="A45:G45"/>
    <mergeCell ref="A31:G31"/>
    <mergeCell ref="A70:G70"/>
    <mergeCell ref="A6:G6"/>
    <mergeCell ref="A2:G2"/>
    <mergeCell ref="A57:G57"/>
    <mergeCell ref="A19:G19"/>
    <mergeCell ref="A5:G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20" customWidth="1" min="6" max="6"/>
    <col width="44" customWidth="1" min="7" max="7"/>
  </cols>
  <sheetData>
    <row r="1" ht="30" customHeight="1">
      <c r="A1" s="10" t="inlineStr">
        <is>
          <t>実績ゼロのサービスの確認</t>
        </is>
      </c>
    </row>
    <row r="2" ht="30" customHeight="1">
      <c r="A2" s="2" t="inlineStr">
        <is>
          <t>実績ゼロをニーズゼロと判断しないための確認欄です。制度が未周知である、相談につながっていない、村内・圏域に供給がない、移動手段がない、家族が代替している、のいずれに該当するかを確認してください。</t>
        </is>
      </c>
    </row>
    <row r="5" ht="30" customHeight="1">
      <c r="A5" s="3" t="inlineStr">
        <is>
          <t>サービス</t>
        </is>
      </c>
      <c r="B5" s="3" t="inlineStr">
        <is>
          <t>令和8年度
見込</t>
        </is>
      </c>
      <c r="C5" s="3" t="inlineStr">
        <is>
          <t>令和9年度</t>
        </is>
      </c>
      <c r="D5" s="3" t="inlineStr">
        <is>
          <t>令和10年度</t>
        </is>
      </c>
      <c r="E5" s="3" t="inlineStr">
        <is>
          <t>令和11年度</t>
        </is>
      </c>
      <c r="F5" s="3" t="inlineStr">
        <is>
          <t>実績ゼロの理由</t>
        </is>
      </c>
      <c r="G5" s="3" t="inlineStr">
        <is>
          <t>確認の観点</t>
        </is>
      </c>
    </row>
    <row r="6" ht="26" customHeight="1">
      <c r="A6" s="4" t="inlineStr">
        <is>
          <t>重度訪問介護</t>
        </is>
      </c>
      <c r="B6" s="20" t="n">
        <v>0</v>
      </c>
      <c r="C6" s="18" t="n"/>
      <c r="D6" s="18" t="n"/>
      <c r="E6" s="18" t="n"/>
      <c r="F6" s="15" t="n"/>
      <c r="G6" s="4" t="inlineStr">
        <is>
          <t>重度の肢体不自由者等。対象者の有無を個別に確認</t>
        </is>
      </c>
    </row>
    <row r="7" ht="26" customHeight="1">
      <c r="A7" s="6" t="inlineStr">
        <is>
          <t>同行援護</t>
        </is>
      </c>
      <c r="B7" s="29" t="n">
        <v>0</v>
      </c>
      <c r="C7" s="18" t="n"/>
      <c r="D7" s="18" t="n"/>
      <c r="E7" s="18" t="n"/>
      <c r="F7" s="15" t="n"/>
      <c r="G7" s="6" t="inlineStr">
        <is>
          <t>視覚障がい者の外出支援。介護保険に相当サービスなし</t>
        </is>
      </c>
    </row>
    <row r="8" ht="26" customHeight="1">
      <c r="A8" s="4" t="inlineStr">
        <is>
          <t>行動援護</t>
        </is>
      </c>
      <c r="B8" s="20" t="n">
        <v>0</v>
      </c>
      <c r="C8" s="18" t="n"/>
      <c r="D8" s="18" t="n"/>
      <c r="E8" s="18" t="n"/>
      <c r="F8" s="15" t="n"/>
      <c r="G8" s="4" t="inlineStr">
        <is>
          <t>強度行動障害等。介護保険に相当サービスなし</t>
        </is>
      </c>
    </row>
    <row r="9" ht="26" customHeight="1">
      <c r="A9" s="6" t="inlineStr">
        <is>
          <t>重度障がい者等包括支援</t>
        </is>
      </c>
      <c r="B9" s="29" t="n">
        <v>0</v>
      </c>
      <c r="C9" s="18" t="n"/>
      <c r="D9" s="18" t="n"/>
      <c r="E9" s="18" t="n"/>
      <c r="F9" s="15" t="n"/>
      <c r="G9" s="6" t="inlineStr">
        <is>
          <t>最重度者向け。圏域の供給を確認</t>
        </is>
      </c>
    </row>
    <row r="10" ht="26" customHeight="1">
      <c r="A10" s="4" t="inlineStr">
        <is>
          <t>療養介護</t>
        </is>
      </c>
      <c r="B10" s="20" t="n">
        <v>0</v>
      </c>
      <c r="C10" s="18" t="n"/>
      <c r="D10" s="18" t="n"/>
      <c r="E10" s="18" t="n"/>
      <c r="F10" s="15" t="n"/>
      <c r="G10" s="4" t="inlineStr">
        <is>
          <t>医療機関での長期療養。対象者の有無を確認</t>
        </is>
      </c>
    </row>
    <row r="11" ht="26" customHeight="1">
      <c r="A11" s="6" t="inlineStr">
        <is>
          <t>自立訓練（機能訓練）</t>
        </is>
      </c>
      <c r="B11" s="29" t="n">
        <v>0</v>
      </c>
      <c r="C11" s="18" t="n"/>
      <c r="D11" s="18" t="n"/>
      <c r="E11" s="18" t="n"/>
      <c r="F11" s="15" t="n"/>
      <c r="G11" s="6" t="inlineStr">
        <is>
          <t>リハビリ需要は介護保険側に流れている可能性</t>
        </is>
      </c>
    </row>
    <row r="12" ht="26" customHeight="1">
      <c r="A12" s="4" t="inlineStr">
        <is>
          <t>自立生活援助</t>
        </is>
      </c>
      <c r="B12" s="20" t="n">
        <v>0</v>
      </c>
      <c r="C12" s="18" t="n"/>
      <c r="D12" s="18" t="n"/>
      <c r="E12" s="18" t="n"/>
      <c r="F12" s="15" t="n"/>
      <c r="G12" s="4" t="inlineStr">
        <is>
          <t>一人暮らしへの移行支援。地域移行と連動</t>
        </is>
      </c>
    </row>
    <row r="13" ht="26" customHeight="1">
      <c r="A13" s="6" t="inlineStr">
        <is>
          <t>地域移行支援</t>
        </is>
      </c>
      <c r="B13" s="29" t="n">
        <v>0</v>
      </c>
      <c r="C13" s="18" t="n"/>
      <c r="D13" s="18" t="n"/>
      <c r="E13" s="18" t="n"/>
      <c r="F13" s="15" t="n"/>
      <c r="G13" s="6" t="inlineStr">
        <is>
          <t>施設・精神科病院からの地域移行。成果目標（１）（２）と連動</t>
        </is>
      </c>
    </row>
    <row r="14" ht="26" customHeight="1">
      <c r="A14" s="4" t="inlineStr">
        <is>
          <t>地域定着支援</t>
        </is>
      </c>
      <c r="B14" s="20" t="n">
        <v>0</v>
      </c>
      <c r="C14" s="18" t="n"/>
      <c r="D14" s="18" t="n"/>
      <c r="E14" s="18" t="n"/>
      <c r="F14" s="15" t="n"/>
      <c r="G14" s="4" t="inlineStr">
        <is>
          <t>単身生活者の緊急時対応。地域生活支援拠点と連動</t>
        </is>
      </c>
    </row>
    <row r="16" ht="40" customHeight="1">
      <c r="A16" s="2" t="inlineStr">
        <is>
          <t>「実績ゼロの理由」欄には次のいずれかを記入します：制度未周知／相談未接続／供給なし／移動手段なし／家族が代替／ニーズ不在。同行援護・行動援護・重度訪問介護の移動支援部分は介護保険に相当サービスがないため、65歳以上の方でも障害福祉サービスとして利用できます。高齢の視覚障がい者・強度行動障害のある方の有無を確認してください。</t>
        </is>
      </c>
    </row>
  </sheetData>
  <mergeCells count="3">
    <mergeCell ref="A16:G16"/>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1"/>
  <sheetViews>
    <sheetView showGridLines="0" workbookViewId="0">
      <pane ySplit="4" topLeftCell="A5" activePane="bottomLeft" state="frozen"/>
      <selection pane="bottomLeft" activeCell="A1" sqref="A1"/>
    </sheetView>
  </sheetViews>
  <sheetFormatPr baseColWidth="8" defaultRowHeight="15"/>
  <cols>
    <col width="26" customWidth="1" min="1" max="1"/>
    <col width="14" customWidth="1" min="2" max="2"/>
    <col width="26" customWidth="1" min="3" max="3"/>
    <col width="52" customWidth="1" min="4" max="4"/>
    <col width="20" customWidth="1" min="5" max="5"/>
  </cols>
  <sheetData>
    <row r="1" ht="30" customHeight="1">
      <c r="A1" s="10" t="inlineStr">
        <is>
          <t>65歳到達に伴う介護保険への移行判定</t>
        </is>
      </c>
    </row>
    <row r="2" ht="30" customHeight="1">
      <c r="A2" s="2" t="inlineStr">
        <is>
          <t>介護保険優先原則は一律適用ではありません。平成19年通知（平成27年改正）により、市町村は本人の意向を聴取し、介護保険サービスで必要な支援が受けられるかを個別に確認したうえで支給決定を行うこととされています。到達人数に移行率を掛ける機械的な推計は行いません。</t>
        </is>
      </c>
    </row>
    <row r="5">
      <c r="A5" s="9" t="inlineStr">
        <is>
          <t>1. サービス区分（制度整理・確定）</t>
        </is>
      </c>
    </row>
    <row r="6" ht="30" customHeight="1">
      <c r="A6" s="3" t="inlineStr">
        <is>
          <t>障害福祉サービス</t>
        </is>
      </c>
      <c r="B6" s="3" t="inlineStr">
        <is>
          <t>区分</t>
        </is>
      </c>
      <c r="C6" s="3" t="inlineStr">
        <is>
          <t>介護保険の相当サービス</t>
        </is>
      </c>
      <c r="D6" s="3" t="inlineStr">
        <is>
          <t>推計上の扱い</t>
        </is>
      </c>
      <c r="E6" s="3" t="inlineStr"/>
    </row>
    <row r="7" ht="30" customHeight="1">
      <c r="A7" s="4" t="inlineStr">
        <is>
          <t>居宅介護</t>
        </is>
      </c>
      <c r="B7" s="30" t="inlineStr">
        <is>
          <t>相当あり</t>
        </is>
      </c>
      <c r="C7" s="4" t="inlineStr">
        <is>
          <t>訪問介護</t>
        </is>
      </c>
      <c r="D7" s="4" t="inlineStr">
        <is>
          <t>個別に移行可能性を確認する。共生型指定事業所の有無が鍵</t>
        </is>
      </c>
      <c r="E7" s="4" t="inlineStr"/>
    </row>
    <row r="8" ht="30" customHeight="1">
      <c r="A8" s="6" t="inlineStr">
        <is>
          <t>生活介護</t>
        </is>
      </c>
      <c r="B8" s="30" t="inlineStr">
        <is>
          <t>相当あり</t>
        </is>
      </c>
      <c r="C8" s="6" t="inlineStr">
        <is>
          <t>通所介護</t>
        </is>
      </c>
      <c r="D8" s="6" t="inlineStr">
        <is>
          <t>個別に確認する。支援内容が介護保険で代替できるかを判断する</t>
        </is>
      </c>
      <c r="E8" s="6" t="inlineStr"/>
    </row>
    <row r="9" ht="30" customHeight="1">
      <c r="A9" s="4" t="inlineStr">
        <is>
          <t>短期入所</t>
        </is>
      </c>
      <c r="B9" s="30" t="inlineStr">
        <is>
          <t>相当あり</t>
        </is>
      </c>
      <c r="C9" s="4" t="inlineStr">
        <is>
          <t>短期入所生活介護</t>
        </is>
      </c>
      <c r="D9" s="4" t="inlineStr">
        <is>
          <t>個別に確認する</t>
        </is>
      </c>
      <c r="E9" s="4" t="inlineStr"/>
    </row>
    <row r="10" ht="30" customHeight="1">
      <c r="A10" s="6" t="inlineStr">
        <is>
          <t>自立訓練（機能訓練）</t>
        </is>
      </c>
      <c r="B10" s="30" t="inlineStr">
        <is>
          <t>相当あり</t>
        </is>
      </c>
      <c r="C10" s="6" t="inlineStr">
        <is>
          <t>通所リハビリテーション等</t>
        </is>
      </c>
      <c r="D10" s="6" t="inlineStr">
        <is>
          <t>個別に確認する</t>
        </is>
      </c>
      <c r="E10" s="6" t="inlineStr"/>
    </row>
    <row r="11" ht="30" customHeight="1">
      <c r="A11" s="4" t="inlineStr">
        <is>
          <t>共同生活援助</t>
        </is>
      </c>
      <c r="B11" s="31" t="inlineStr">
        <is>
          <t>相当なし</t>
        </is>
      </c>
      <c r="C11" s="4" t="inlineStr">
        <is>
          <t>―</t>
        </is>
      </c>
      <c r="D11" s="4" t="inlineStr">
        <is>
          <t>障害福祉サービスとして継続する</t>
        </is>
      </c>
      <c r="E11" s="4" t="inlineStr"/>
    </row>
    <row r="12" ht="30" customHeight="1">
      <c r="A12" s="6" t="inlineStr">
        <is>
          <t>施設入所支援</t>
        </is>
      </c>
      <c r="B12" s="31" t="inlineStr">
        <is>
          <t>相当なし</t>
        </is>
      </c>
      <c r="C12" s="6" t="inlineStr">
        <is>
          <t>―</t>
        </is>
      </c>
      <c r="D12" s="6" t="inlineStr">
        <is>
          <t>障害福祉サービスとして継続する</t>
        </is>
      </c>
      <c r="E12" s="6" t="inlineStr"/>
    </row>
    <row r="13" ht="30" customHeight="1">
      <c r="A13" s="4" t="inlineStr">
        <is>
          <t>就労移行支援</t>
        </is>
      </c>
      <c r="B13" s="31" t="inlineStr">
        <is>
          <t>相当なし</t>
        </is>
      </c>
      <c r="C13" s="4" t="inlineStr">
        <is>
          <t>―</t>
        </is>
      </c>
      <c r="D13" s="4" t="inlineStr">
        <is>
          <t>障害福祉サービスとして継続する</t>
        </is>
      </c>
      <c r="E13" s="4" t="inlineStr"/>
    </row>
    <row r="14" ht="30" customHeight="1">
      <c r="A14" s="6" t="inlineStr">
        <is>
          <t>就労継続支援A型・B型</t>
        </is>
      </c>
      <c r="B14" s="31" t="inlineStr">
        <is>
          <t>相当なし</t>
        </is>
      </c>
      <c r="C14" s="6" t="inlineStr">
        <is>
          <t>―</t>
        </is>
      </c>
      <c r="D14" s="6" t="inlineStr">
        <is>
          <t>障害福祉サービスとして継続する</t>
        </is>
      </c>
      <c r="E14" s="6" t="inlineStr"/>
    </row>
    <row r="15" ht="30" customHeight="1">
      <c r="A15" s="4" t="inlineStr">
        <is>
          <t>就労定着支援・就労選択支援</t>
        </is>
      </c>
      <c r="B15" s="31" t="inlineStr">
        <is>
          <t>相当なし</t>
        </is>
      </c>
      <c r="C15" s="4" t="inlineStr">
        <is>
          <t>―</t>
        </is>
      </c>
      <c r="D15" s="4" t="inlineStr">
        <is>
          <t>障害福祉サービスとして継続する</t>
        </is>
      </c>
      <c r="E15" s="4" t="inlineStr"/>
    </row>
    <row r="16" ht="30" customHeight="1">
      <c r="A16" s="6" t="inlineStr">
        <is>
          <t>同行援護・行動援護</t>
        </is>
      </c>
      <c r="B16" s="31" t="inlineStr">
        <is>
          <t>相当なし</t>
        </is>
      </c>
      <c r="C16" s="6" t="inlineStr">
        <is>
          <t>―</t>
        </is>
      </c>
      <c r="D16" s="6" t="inlineStr">
        <is>
          <t>障害福祉サービスとして継続する</t>
        </is>
      </c>
      <c r="E16" s="6" t="inlineStr"/>
    </row>
    <row r="17" ht="30" customHeight="1">
      <c r="A17" s="4" t="inlineStr">
        <is>
          <t>重度訪問介護</t>
        </is>
      </c>
      <c r="B17" s="8" t="inlineStr">
        <is>
          <t>一部あり</t>
        </is>
      </c>
      <c r="C17" s="4" t="inlineStr">
        <is>
          <t>訪問介護（移動支援部分は相当なし）</t>
        </is>
      </c>
      <c r="D17" s="4" t="inlineStr">
        <is>
          <t>介護保険を利用しつつ不足分を障害福祉で上乗せする場合がある</t>
        </is>
      </c>
      <c r="E17" s="4" t="inlineStr"/>
    </row>
    <row r="18" ht="30" customHeight="1">
      <c r="A18" s="6" t="inlineStr">
        <is>
          <t>計画相談支援</t>
        </is>
      </c>
      <c r="B18" s="30" t="inlineStr">
        <is>
          <t>相当あり</t>
        </is>
      </c>
      <c r="C18" s="6" t="inlineStr">
        <is>
          <t>居宅介護支援（ケアマネジメント）</t>
        </is>
      </c>
      <c r="D18" s="6" t="inlineStr">
        <is>
          <t>介護保険へ移行した場合はケアマネジャーへ引継ぐ。併給の可否を確認する</t>
        </is>
      </c>
      <c r="E18" s="6" t="inlineStr"/>
    </row>
    <row r="20">
      <c r="A20" s="9" t="inlineStr">
        <is>
          <t>2. 到達者別の判定（入力）</t>
        </is>
      </c>
    </row>
    <row r="21" ht="30" customHeight="1">
      <c r="A21" s="3" t="inlineStr">
        <is>
          <t>利用者番号</t>
        </is>
      </c>
      <c r="B21" s="3" t="inlineStr">
        <is>
          <t>到達年度</t>
        </is>
      </c>
      <c r="C21" s="3" t="inlineStr">
        <is>
          <t>現在のサービス・月量</t>
        </is>
      </c>
      <c r="D21" s="3" t="inlineStr">
        <is>
          <t>判定と根拠</t>
        </is>
      </c>
      <c r="E21" s="3" t="inlineStr">
        <is>
          <t>月量への影響</t>
        </is>
      </c>
    </row>
    <row r="22">
      <c r="A22" s="15" t="n"/>
      <c r="B22" s="15" t="n"/>
      <c r="C22" s="16" t="n"/>
      <c r="D22" s="16" t="n"/>
      <c r="E22" s="17" t="n"/>
    </row>
    <row r="23">
      <c r="A23" s="15" t="n"/>
      <c r="B23" s="15" t="n"/>
      <c r="C23" s="16" t="n"/>
      <c r="D23" s="16" t="n"/>
      <c r="E23" s="17" t="n"/>
    </row>
    <row r="24">
      <c r="A24" s="15" t="n"/>
      <c r="B24" s="15" t="n"/>
      <c r="C24" s="16" t="n"/>
      <c r="D24" s="16" t="n"/>
      <c r="E24" s="17" t="n"/>
    </row>
    <row r="25">
      <c r="A25" s="15" t="n"/>
      <c r="B25" s="15" t="n"/>
      <c r="C25" s="16" t="n"/>
      <c r="D25" s="16" t="n"/>
      <c r="E25" s="17" t="n"/>
    </row>
    <row r="26">
      <c r="A26" s="15" t="n"/>
      <c r="B26" s="15" t="n"/>
      <c r="C26" s="16" t="n"/>
      <c r="D26" s="16" t="n"/>
      <c r="E26" s="17" t="n"/>
    </row>
    <row r="27">
      <c r="A27" s="15" t="n"/>
      <c r="B27" s="15" t="n"/>
      <c r="C27" s="16" t="n"/>
      <c r="D27" s="16" t="n"/>
      <c r="E27" s="17" t="n"/>
    </row>
    <row r="28">
      <c r="A28" s="15" t="n"/>
      <c r="B28" s="15" t="n"/>
      <c r="C28" s="16" t="n"/>
      <c r="D28" s="16" t="n"/>
      <c r="E28" s="17" t="n"/>
    </row>
    <row r="29">
      <c r="A29" s="15" t="n"/>
      <c r="B29" s="15" t="n"/>
      <c r="C29" s="16" t="n"/>
      <c r="D29" s="16" t="n"/>
      <c r="E29" s="17" t="n"/>
    </row>
    <row r="30">
      <c r="A30" s="15" t="n"/>
      <c r="B30" s="15" t="n"/>
      <c r="C30" s="16" t="n"/>
      <c r="D30" s="16" t="n"/>
      <c r="E30" s="17" t="n"/>
    </row>
    <row r="31">
      <c r="A31" s="15" t="n"/>
      <c r="B31" s="15" t="n"/>
      <c r="C31" s="16" t="n"/>
      <c r="D31" s="16" t="n"/>
      <c r="E31" s="17" t="n"/>
    </row>
    <row r="32">
      <c r="A32" s="15" t="n"/>
      <c r="B32" s="15" t="n"/>
      <c r="C32" s="16" t="n"/>
      <c r="D32" s="16" t="n"/>
      <c r="E32" s="17" t="n"/>
    </row>
    <row r="33">
      <c r="A33" s="15" t="n"/>
      <c r="B33" s="15" t="n"/>
      <c r="C33" s="16" t="n"/>
      <c r="D33" s="16" t="n"/>
      <c r="E33" s="17" t="n"/>
    </row>
    <row r="35">
      <c r="A35" s="9" t="inlineStr">
        <is>
          <t>3. 判定にあたって確認する事項</t>
        </is>
      </c>
    </row>
    <row r="36" ht="30" customHeight="1">
      <c r="A36" s="3" t="inlineStr">
        <is>
          <t>確認事項</t>
        </is>
      </c>
      <c r="B36" s="3" t="inlineStr">
        <is>
          <t>内容</t>
        </is>
      </c>
      <c r="C36" s="3" t="inlineStr"/>
      <c r="D36" s="3" t="inlineStr"/>
      <c r="E36" s="3" t="inlineStr"/>
    </row>
    <row r="37" ht="40" customHeight="1">
      <c r="A37" s="4" t="inlineStr">
        <is>
          <t>介護保険で必要な支援が受けられるか</t>
        </is>
      </c>
      <c r="B37" s="4" t="inlineStr">
        <is>
          <t>支援内容・時間・専門性が介護保険サービスで代替できるか。代替できない場合は障害福祉を継続する</t>
        </is>
      </c>
      <c r="C37" s="32" t="n"/>
      <c r="D37" s="32" t="n"/>
      <c r="E37" s="33" t="n"/>
    </row>
    <row r="38" ht="40" customHeight="1">
      <c r="A38" s="6" t="inlineStr">
        <is>
          <t>圏域に利用可能な事業所があるか</t>
        </is>
      </c>
      <c r="B38" s="6" t="inlineStr">
        <is>
          <t>村内に事業所がないため、圏域の介護保険事業所が受け入れ可能かを確認する。共生型サービスの指定を受けている事業所があれば、同一事業所での継続利用が可能</t>
        </is>
      </c>
      <c r="C38" s="32" t="n"/>
      <c r="D38" s="32" t="n"/>
      <c r="E38" s="33" t="n"/>
    </row>
    <row r="39" ht="40" customHeight="1">
      <c r="A39" s="4" t="inlineStr">
        <is>
          <t>新高額障害福祉サービス等給付費の要件を満たすか</t>
        </is>
      </c>
      <c r="B39" s="4" t="inlineStr">
        <is>
          <t>①65歳に達する日前5年間の支給決定 ②65歳に達する日の前日の属する年度の市町村民税非課税または生活保護 ③65歳に達する日の前日に障害支援区分2以上 ④65歳まで介護保険サービス未利用。該当すれば介護保険移行後の利用者負担が償還される</t>
        </is>
      </c>
      <c r="C39" s="32" t="n"/>
      <c r="D39" s="32" t="n"/>
      <c r="E39" s="33" t="n"/>
    </row>
    <row r="40" ht="40" customHeight="1">
      <c r="A40" s="6" t="inlineStr">
        <is>
          <t>介護保険では不足する部分があるか</t>
        </is>
      </c>
      <c r="B40" s="6" t="inlineStr">
        <is>
          <t>介護保険の支給限度基準額では必要量に満たない場合、不足分を障害福祉サービスで上乗せできる。この場合は障害福祉の見込量から全額を減らさない</t>
        </is>
      </c>
      <c r="C40" s="32" t="n"/>
      <c r="D40" s="32" t="n"/>
      <c r="E40" s="33" t="n"/>
    </row>
    <row r="41" ht="40" customHeight="1">
      <c r="A41" s="4" t="inlineStr">
        <is>
          <t>本人の意向</t>
        </is>
      </c>
      <c r="B41" s="4" t="inlineStr">
        <is>
          <t>本人・家族の意向を聴取したうえで支給決定を行う</t>
        </is>
      </c>
      <c r="C41" s="32" t="n"/>
      <c r="D41" s="32" t="n"/>
      <c r="E41" s="33" t="n"/>
    </row>
  </sheetData>
  <mergeCells count="10">
    <mergeCell ref="B40:E40"/>
    <mergeCell ref="A35:E35"/>
    <mergeCell ref="B41:E41"/>
    <mergeCell ref="A20:E20"/>
    <mergeCell ref="A2:E2"/>
    <mergeCell ref="B38:E38"/>
    <mergeCell ref="B39:E39"/>
    <mergeCell ref="A1:E1"/>
    <mergeCell ref="A5:E5"/>
    <mergeCell ref="B37:E3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3"/>
  <sheetViews>
    <sheetView showGridLines="0" workbookViewId="0">
      <pane ySplit="4" topLeftCell="A5" activePane="bottomLeft" state="frozen"/>
      <selection pane="bottomLeft" activeCell="A1" sqref="A1"/>
    </sheetView>
  </sheetViews>
  <sheetFormatPr baseColWidth="8" defaultRowHeight="15"/>
  <cols>
    <col width="26" customWidth="1" min="1" max="1"/>
    <col width="16" customWidth="1" min="2" max="2"/>
    <col width="16" customWidth="1" min="3" max="3"/>
    <col width="16" customWidth="1" min="4" max="4"/>
    <col width="16" customWidth="1" min="5" max="5"/>
    <col width="20" customWidth="1" min="6" max="6"/>
    <col width="40" customWidth="1" min="7" max="7"/>
  </cols>
  <sheetData>
    <row r="1" ht="30" customHeight="1">
      <c r="A1" s="10" t="inlineStr">
        <is>
          <t>未特定の潜在需要（第3層）</t>
        </is>
      </c>
    </row>
    <row r="2" ht="30" customHeight="1">
      <c r="A2" s="2" t="inlineStr">
        <is>
          <t>第1層・第2層で個別に把握できない需要をここで補正します。過去実績の伸び率を用いるのは、この層に限定してください。アンケート集計後に実数を入力します。</t>
        </is>
      </c>
    </row>
    <row r="5" ht="30" customHeight="1">
      <c r="A5" s="3" t="inlineStr">
        <is>
          <t>需要の源泉</t>
        </is>
      </c>
      <c r="B5" s="3" t="inlineStr">
        <is>
          <t>対応するサービス</t>
        </is>
      </c>
      <c r="C5" s="3" t="inlineStr">
        <is>
          <t>低位</t>
        </is>
      </c>
      <c r="D5" s="3" t="inlineStr">
        <is>
          <t>中位</t>
        </is>
      </c>
      <c r="E5" s="3" t="inlineStr">
        <is>
          <t>高位</t>
        </is>
      </c>
      <c r="F5" s="3" t="inlineStr">
        <is>
          <t>根拠となる資料</t>
        </is>
      </c>
      <c r="G5" s="3" t="inlineStr">
        <is>
          <t>備考</t>
        </is>
      </c>
    </row>
    <row r="6" ht="30" customHeight="1">
      <c r="A6" s="4" t="inlineStr">
        <is>
          <t>アンケートの利用希望</t>
        </is>
      </c>
      <c r="B6" s="4" t="inlineStr">
        <is>
          <t>全サービス</t>
        </is>
      </c>
      <c r="C6" s="26" t="n"/>
      <c r="D6" s="26" t="n"/>
      <c r="E6" s="26" t="n"/>
      <c r="F6" s="4" t="inlineStr">
        <is>
          <t>アンケート問29-2・問33</t>
        </is>
      </c>
      <c r="G6" s="4" t="inlineStr">
        <is>
          <t>利用希望をそのまま見込量に置かない。実績・支給決定・供給体制で補正する</t>
        </is>
      </c>
    </row>
    <row r="7" ht="30" customHeight="1">
      <c r="A7" s="6" t="inlineStr">
        <is>
          <t>相談支援事業所への相談件数</t>
        </is>
      </c>
      <c r="B7" s="6" t="inlineStr">
        <is>
          <t>計画相談支援、各サービス</t>
        </is>
      </c>
      <c r="C7" s="26" t="n"/>
      <c r="D7" s="26" t="n"/>
      <c r="E7" s="26" t="n"/>
      <c r="F7" s="6" t="inlineStr">
        <is>
          <t>相談実績（村資料待ち）</t>
        </is>
      </c>
      <c r="G7" s="6" t="inlineStr">
        <is>
          <t>相談から支給決定に至る割合を確認する</t>
        </is>
      </c>
    </row>
    <row r="8" ht="30" customHeight="1">
      <c r="A8" s="4" t="inlineStr">
        <is>
          <t>未利用者のニーズ</t>
        </is>
      </c>
      <c r="B8" s="4" t="inlineStr">
        <is>
          <t>移動支援、日中一時支援等</t>
        </is>
      </c>
      <c r="C8" s="26" t="n"/>
      <c r="D8" s="26" t="n"/>
      <c r="E8" s="26" t="n"/>
      <c r="F8" s="4" t="inlineStr">
        <is>
          <t>アンケート自由記述</t>
        </is>
      </c>
      <c r="G8" s="4" t="inlineStr">
        <is>
          <t>実績ゼロのサービス（05）と対応させる</t>
        </is>
      </c>
    </row>
    <row r="9" ht="30" customHeight="1">
      <c r="A9" s="6" t="inlineStr">
        <is>
          <t>新規診断・手帳取得の傾向</t>
        </is>
      </c>
      <c r="B9" s="6" t="inlineStr">
        <is>
          <t>障害児通所支援、精神関係</t>
        </is>
      </c>
      <c r="C9" s="26" t="n"/>
      <c r="D9" s="26" t="n"/>
      <c r="E9" s="26" t="n"/>
      <c r="F9" s="6" t="inlineStr">
        <is>
          <t>手帳交付実績（村資料待ち）</t>
        </is>
      </c>
      <c r="G9" s="6" t="inlineStr">
        <is>
          <t>精神障害者保健福祉手帳は増加傾向にある</t>
        </is>
      </c>
    </row>
    <row r="10" ht="30" customHeight="1">
      <c r="A10" s="4" t="inlineStr">
        <is>
          <t>圏域のサービス整備予定</t>
        </is>
      </c>
      <c r="B10" s="4" t="inlineStr">
        <is>
          <t>全サービス</t>
        </is>
      </c>
      <c r="C10" s="26" t="n"/>
      <c r="D10" s="26" t="n"/>
      <c r="E10" s="26" t="n"/>
      <c r="F10" s="4" t="inlineStr">
        <is>
          <t>圏域4町村の協議</t>
        </is>
      </c>
      <c r="G10" s="4" t="inlineStr">
        <is>
          <t>新設事業所があれば利用可能量が増える</t>
        </is>
      </c>
    </row>
    <row r="11" ht="30" customHeight="1">
      <c r="A11" s="6" t="inlineStr">
        <is>
          <t>親亡き後・家族介護力の低下</t>
        </is>
      </c>
      <c r="B11" s="6" t="inlineStr">
        <is>
          <t>短期入所、共同生活援助、施設入所支援</t>
        </is>
      </c>
      <c r="C11" s="26" t="n"/>
      <c r="D11" s="26" t="n"/>
      <c r="E11" s="26" t="n"/>
      <c r="F11" s="6" t="inlineStr">
        <is>
          <t>アンケート問8〜問11</t>
        </is>
      </c>
      <c r="G11" s="6" t="inlineStr">
        <is>
          <t>第2層の利用量変化としても現れる</t>
        </is>
      </c>
    </row>
    <row r="13" ht="40" customHeight="1">
      <c r="A13" s="2" t="inlineStr">
        <is>
          <t>低位・中位・高位のシナリオはこの層にのみ適用します。第1層（個別に把握できる案件）と第2層（既存利用者の利用量変化）は、シナリオではなく確定値として扱ってください。計画書には基本ケース（第1層＋第2層＋潜在需要の中位）を記載し、低位・高位は幅として注記します。</t>
        </is>
      </c>
    </row>
  </sheetData>
  <mergeCells count="3">
    <mergeCell ref="A13:G1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cols>
    <col width="26" customWidth="1" min="1" max="1"/>
    <col width="22" customWidth="1" min="2" max="2"/>
    <col width="14" customWidth="1" min="3" max="3"/>
    <col width="14" customWidth="1" min="4" max="4"/>
    <col width="14" customWidth="1" min="5" max="5"/>
    <col width="16" customWidth="1" min="6" max="6"/>
    <col width="40" customWidth="1" min="7" max="7"/>
  </cols>
  <sheetData>
    <row r="1" ht="30" customHeight="1">
      <c r="A1" s="10" t="inlineStr">
        <is>
          <t>供給制約（利用希望量と利用可能量の分離）</t>
        </is>
      </c>
    </row>
    <row r="2" ht="30" customHeight="1">
      <c r="A2" s="2" t="inlineStr">
        <is>
          <t>本村には障害福祉サービス事業所がなく、圏域事業所の受入可能性が見込量の上限を決めます。利用希望量が供給可能量を超える場合は、差を明示したうえで確保方策に記載してください。</t>
        </is>
      </c>
    </row>
    <row r="5" ht="30" customHeight="1">
      <c r="A5" s="3" t="inlineStr">
        <is>
          <t>サービス</t>
        </is>
      </c>
      <c r="B5" s="3" t="inlineStr">
        <is>
          <t>利用している事業所の所在</t>
        </is>
      </c>
      <c r="C5" s="3" t="inlineStr">
        <is>
          <t>定員</t>
        </is>
      </c>
      <c r="D5" s="3" t="inlineStr">
        <is>
          <t>空き</t>
        </is>
      </c>
      <c r="E5" s="3" t="inlineStr">
        <is>
          <t>送迎の
可否</t>
        </is>
      </c>
      <c r="F5" s="3" t="inlineStr">
        <is>
          <t>受入可否</t>
        </is>
      </c>
      <c r="G5" s="3" t="inlineStr">
        <is>
          <t>確認事項</t>
        </is>
      </c>
    </row>
    <row r="6" ht="28" customHeight="1">
      <c r="A6" s="4" t="inlineStr">
        <is>
          <t>生活介護</t>
        </is>
      </c>
      <c r="B6" s="4" t="inlineStr">
        <is>
          <t>圏域（喜多方市・会津若松市等）</t>
        </is>
      </c>
      <c r="C6" s="18" t="n"/>
      <c r="D6" s="18" t="n"/>
      <c r="E6" s="15" t="n"/>
      <c r="F6" s="15" t="n"/>
      <c r="G6" s="4" t="inlineStr">
        <is>
          <t>特別支援学校卒業者の受入枠。送迎範囲に北塩原村が含まれるか</t>
        </is>
      </c>
    </row>
    <row r="7" ht="28" customHeight="1">
      <c r="A7" s="6" t="inlineStr">
        <is>
          <t>就労継続支援B型</t>
        </is>
      </c>
      <c r="B7" s="6" t="inlineStr">
        <is>
          <t>喜多方市・会津若松市等</t>
        </is>
      </c>
      <c r="C7" s="18" t="n"/>
      <c r="D7" s="18" t="n"/>
      <c r="E7" s="15" t="n"/>
      <c r="F7" s="15" t="n"/>
      <c r="G7" s="6" t="inlineStr">
        <is>
          <t>給付費が令和2年度比2.08倍。定員に対する余力を確認</t>
        </is>
      </c>
    </row>
    <row r="8" ht="28" customHeight="1">
      <c r="A8" s="4" t="inlineStr">
        <is>
          <t>就労選択支援</t>
        </is>
      </c>
      <c r="B8" s="4" t="inlineStr">
        <is>
          <t>圏域（協議会設置圏域ごとに設置）</t>
        </is>
      </c>
      <c r="C8" s="18" t="n"/>
      <c r="D8" s="18" t="n"/>
      <c r="E8" s="15" t="n"/>
      <c r="F8" s="15" t="n"/>
      <c r="G8" s="4" t="inlineStr">
        <is>
          <t>圏域内に事業所があるか。ない場合の確保方策</t>
        </is>
      </c>
    </row>
    <row r="9" ht="28" customHeight="1">
      <c r="A9" s="6" t="inlineStr">
        <is>
          <t>共同生活援助</t>
        </is>
      </c>
      <c r="B9" s="6" t="inlineStr">
        <is>
          <t>圏域</t>
        </is>
      </c>
      <c r="C9" s="18" t="n"/>
      <c r="D9" s="18" t="n"/>
      <c r="E9" s="15" t="n"/>
      <c r="F9" s="15" t="n"/>
      <c r="G9" s="6" t="inlineStr">
        <is>
          <t>空室の有無。親亡き後の受入余力</t>
        </is>
      </c>
    </row>
    <row r="10" ht="28" customHeight="1">
      <c r="A10" s="4" t="inlineStr">
        <is>
          <t>短期入所</t>
        </is>
      </c>
      <c r="B10" s="4" t="inlineStr">
        <is>
          <t>圏域</t>
        </is>
      </c>
      <c r="C10" s="18" t="n"/>
      <c r="D10" s="18" t="n"/>
      <c r="E10" s="15" t="n"/>
      <c r="F10" s="15" t="n"/>
      <c r="G10" s="4" t="inlineStr">
        <is>
          <t>緊急時の受入可否。地域生活支援拠点と連動</t>
        </is>
      </c>
    </row>
    <row r="11" ht="28" customHeight="1">
      <c r="A11" s="6" t="inlineStr">
        <is>
          <t>居宅介護</t>
        </is>
      </c>
      <c r="B11" s="6" t="inlineStr">
        <is>
          <t>圏域</t>
        </is>
      </c>
      <c r="C11" s="18" t="n"/>
      <c r="D11" s="18" t="n"/>
      <c r="E11" s="15" t="n"/>
      <c r="F11" s="15" t="n"/>
      <c r="G11" s="6" t="inlineStr">
        <is>
          <t>訪問可能地区。冬季の提供体制</t>
        </is>
      </c>
    </row>
    <row r="12" ht="28" customHeight="1">
      <c r="A12" s="4" t="inlineStr">
        <is>
          <t>計画相談支援</t>
        </is>
      </c>
      <c r="B12" s="4" t="inlineStr">
        <is>
          <t>猪苗代町・喜多方市等</t>
        </is>
      </c>
      <c r="C12" s="18" t="n"/>
      <c r="D12" s="18" t="n"/>
      <c r="E12" s="15" t="n"/>
      <c r="F12" s="15" t="n"/>
      <c r="G12" s="4" t="inlineStr">
        <is>
          <t>相談支援専門員の担当可能件数。セルフプラン解消の可否</t>
        </is>
      </c>
    </row>
    <row r="13" ht="28" customHeight="1">
      <c r="A13" s="6" t="inlineStr">
        <is>
          <t>児童発達支援</t>
        </is>
      </c>
      <c r="B13" s="6" t="inlineStr">
        <is>
          <t>圏域（村内0か所）</t>
        </is>
      </c>
      <c r="C13" s="18" t="n"/>
      <c r="D13" s="18" t="n"/>
      <c r="E13" s="15" t="n"/>
      <c r="F13" s="15" t="n"/>
      <c r="G13" s="6" t="inlineStr">
        <is>
          <t>通所距離と保護者の送迎負担</t>
        </is>
      </c>
    </row>
    <row r="14" ht="28" customHeight="1">
      <c r="A14" s="4" t="inlineStr">
        <is>
          <t>放課後等デイサービス</t>
        </is>
      </c>
      <c r="B14" s="4" t="inlineStr">
        <is>
          <t>圏域</t>
        </is>
      </c>
      <c r="C14" s="18" t="n"/>
      <c r="D14" s="18" t="n"/>
      <c r="E14" s="15" t="n"/>
      <c r="F14" s="15" t="n"/>
      <c r="G14" s="4" t="inlineStr">
        <is>
          <t>長期休暇中の受入。送迎</t>
        </is>
      </c>
    </row>
    <row r="15" ht="28" customHeight="1">
      <c r="A15" s="6" t="inlineStr">
        <is>
          <t>保育所等訪問支援</t>
        </is>
      </c>
      <c r="B15" s="6" t="inlineStr">
        <is>
          <t>圏域</t>
        </is>
      </c>
      <c r="C15" s="18" t="n"/>
      <c r="D15" s="18" t="n"/>
      <c r="E15" s="15" t="n"/>
      <c r="F15" s="15" t="n"/>
      <c r="G15" s="6" t="inlineStr">
        <is>
          <t>訪問可能範囲</t>
        </is>
      </c>
    </row>
    <row r="16" ht="28" customHeight="1">
      <c r="A16" s="4" t="inlineStr">
        <is>
          <t>介護保険 通所介護・訪問介護</t>
        </is>
      </c>
      <c r="B16" s="4" t="inlineStr">
        <is>
          <t>圏域</t>
        </is>
      </c>
      <c r="C16" s="18" t="n"/>
      <c r="D16" s="18" t="n"/>
      <c r="E16" s="15" t="n"/>
      <c r="F16" s="15" t="n"/>
      <c r="G16" s="4" t="inlineStr">
        <is>
          <t>65歳移行後の受け皿。共生型サービスの指定を受けているか</t>
        </is>
      </c>
    </row>
    <row r="18" ht="40" customHeight="1">
      <c r="A18" s="2" t="inlineStr">
        <is>
          <t>人口減少地域では需要が減るとは限りません。利用者総数は少なくても1人当たりの支援量が大きく、事業所撤退の影響が大きく、村外・圏域外利用への依存度が高く、送迎・人材・移動時間が供給制約になります。「利用人数の推計」と「実際に利用可能な供給量」を分けて管理してください。</t>
        </is>
      </c>
    </row>
  </sheetData>
  <mergeCells count="3">
    <mergeCell ref="A2:G2"/>
    <mergeCell ref="A1:G1"/>
    <mergeCell ref="A18:G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5"/>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4" customWidth="1" min="3" max="3"/>
    <col width="14" customWidth="1" min="4" max="4"/>
    <col width="14" customWidth="1" min="5" max="5"/>
    <col width="14" customWidth="1" min="6" max="6"/>
    <col width="44" customWidth="1" min="7" max="7"/>
  </cols>
  <sheetData>
    <row r="1" ht="30" customHeight="1">
      <c r="A1" s="10" t="inlineStr">
        <is>
          <t>地域生活支援事業の見込量</t>
        </is>
      </c>
    </row>
    <row r="2" ht="30" customHeight="1">
      <c r="A2" s="2" t="inlineStr">
        <is>
          <t>村が実施する事業です。移動支援事業は令和3〜8年度の全期間で見込量0人・実績0人であり、地区分散・冬季移動という本村の地域特性と整合しません。地域活動支援センター機能強化事業は実績3人が見込量2人を上回っています。</t>
        </is>
      </c>
    </row>
    <row r="5" ht="30" customHeight="1">
      <c r="A5" s="3" t="inlineStr">
        <is>
          <t>事業</t>
        </is>
      </c>
      <c r="B5" s="3" t="inlineStr">
        <is>
          <t>単位</t>
        </is>
      </c>
      <c r="C5" s="3" t="inlineStr">
        <is>
          <t>令和5年度
実績</t>
        </is>
      </c>
      <c r="D5" s="3" t="inlineStr">
        <is>
          <t>令和8年度
見込（現行）</t>
        </is>
      </c>
      <c r="E5" s="3" t="inlineStr">
        <is>
          <t>令和9〜11年度
実施目標</t>
        </is>
      </c>
      <c r="F5" s="3" t="inlineStr"/>
      <c r="G5" s="3" t="inlineStr">
        <is>
          <t>確認事項</t>
        </is>
      </c>
    </row>
    <row r="6" ht="28" customHeight="1">
      <c r="A6" s="4" t="inlineStr">
        <is>
          <t>障がい者相談支援事業</t>
        </is>
      </c>
      <c r="B6" s="8" t="inlineStr">
        <is>
          <t>か所</t>
        </is>
      </c>
      <c r="C6" s="20" t="n">
        <v>2</v>
      </c>
      <c r="D6" s="20" t="n">
        <v>2</v>
      </c>
      <c r="E6" s="18" t="n"/>
      <c r="F6" s="4" t="inlineStr"/>
      <c r="G6" s="4" t="inlineStr">
        <is>
          <t>村住民課・地域生活支援センターいなわしろ</t>
        </is>
      </c>
    </row>
    <row r="7" ht="28" customHeight="1">
      <c r="A7" s="6" t="inlineStr">
        <is>
          <t>成年後見制度利用支援事業</t>
        </is>
      </c>
      <c r="B7" s="34" t="inlineStr">
        <is>
          <t>人</t>
        </is>
      </c>
      <c r="C7" s="29" t="n">
        <v>1</v>
      </c>
      <c r="D7" s="29" t="n">
        <v>5</v>
      </c>
      <c r="E7" s="18" t="n"/>
      <c r="F7" s="6" t="inlineStr"/>
      <c r="G7" s="6" t="inlineStr">
        <is>
          <t>見込5人に対し実績1人。乖離の要因を確認</t>
        </is>
      </c>
    </row>
    <row r="8" ht="28" customHeight="1">
      <c r="A8" s="4" t="inlineStr">
        <is>
          <t>意思疎通支援事業</t>
        </is>
      </c>
      <c r="B8" s="8" t="inlineStr">
        <is>
          <t>人</t>
        </is>
      </c>
      <c r="C8" s="20" t="n">
        <v>0</v>
      </c>
      <c r="D8" s="20" t="n">
        <v>0</v>
      </c>
      <c r="E8" s="18" t="n"/>
      <c r="F8" s="4" t="inlineStr"/>
      <c r="G8" s="4" t="inlineStr">
        <is>
          <t>手話通訳者派遣の需要の有無</t>
        </is>
      </c>
    </row>
    <row r="9" ht="28" customHeight="1">
      <c r="A9" s="6" t="inlineStr">
        <is>
          <t>日常生活用具給付等事業</t>
        </is>
      </c>
      <c r="B9" s="34" t="inlineStr">
        <is>
          <t>件</t>
        </is>
      </c>
      <c r="C9" s="29" t="n">
        <v>69</v>
      </c>
      <c r="D9" s="29" t="n">
        <v>72</v>
      </c>
      <c r="E9" s="18" t="n"/>
      <c r="F9" s="6" t="inlineStr"/>
      <c r="G9" s="6" t="inlineStr">
        <is>
          <t>排泄管理支援用具が大半。増加傾向</t>
        </is>
      </c>
    </row>
    <row r="10" ht="28" customHeight="1">
      <c r="A10" s="4" t="inlineStr">
        <is>
          <t>移動支援事業</t>
        </is>
      </c>
      <c r="B10" s="8" t="inlineStr">
        <is>
          <t>人</t>
        </is>
      </c>
      <c r="C10" s="20" t="n">
        <v>0</v>
      </c>
      <c r="D10" s="20" t="n">
        <v>0</v>
      </c>
      <c r="E10" s="18" t="n"/>
      <c r="F10" s="4" t="inlineStr"/>
      <c r="G10" s="4" t="inlineStr">
        <is>
          <t>制度未周知／家族送迎等での代替／ニーズ不在のいずれかを確認。実績ゼロで据え置かない</t>
        </is>
      </c>
    </row>
    <row r="11" ht="28" customHeight="1">
      <c r="A11" s="6" t="inlineStr">
        <is>
          <t>日中一時支援事業</t>
        </is>
      </c>
      <c r="B11" s="34" t="inlineStr">
        <is>
          <t>人</t>
        </is>
      </c>
      <c r="C11" s="29" t="n">
        <v>2</v>
      </c>
      <c r="D11" s="29" t="n">
        <v>2</v>
      </c>
      <c r="E11" s="18" t="n"/>
      <c r="F11" s="6" t="inlineStr"/>
      <c r="G11" s="6" t="inlineStr">
        <is>
          <t>家族レスパイト。障がい児と接続。増加傾向</t>
        </is>
      </c>
    </row>
    <row r="12" ht="28" customHeight="1">
      <c r="A12" s="4" t="inlineStr">
        <is>
          <t>地域活動支援センター機能強化事業</t>
        </is>
      </c>
      <c r="B12" s="8" t="inlineStr">
        <is>
          <t>人</t>
        </is>
      </c>
      <c r="C12" s="20" t="n">
        <v>3</v>
      </c>
      <c r="D12" s="20" t="n">
        <v>2</v>
      </c>
      <c r="E12" s="18" t="n"/>
      <c r="F12" s="4" t="inlineStr"/>
      <c r="G12" s="4" t="inlineStr">
        <is>
          <t>実績が見込量を上回っている。次期見込量に実績を反映する</t>
        </is>
      </c>
    </row>
    <row r="13" ht="28" customHeight="1">
      <c r="A13" s="6" t="inlineStr">
        <is>
          <t>訪問入浴サービス事業</t>
        </is>
      </c>
      <c r="B13" s="34" t="inlineStr">
        <is>
          <t>人</t>
        </is>
      </c>
      <c r="C13" s="29" t="n">
        <v>0</v>
      </c>
      <c r="D13" s="29" t="n">
        <v>0</v>
      </c>
      <c r="E13" s="18" t="n"/>
      <c r="F13" s="6" t="inlineStr"/>
      <c r="G13" s="6" t="inlineStr">
        <is>
          <t>重度者の在宅生活支援</t>
        </is>
      </c>
    </row>
    <row r="14" ht="28" customHeight="1">
      <c r="A14" s="4" t="inlineStr">
        <is>
          <t>理解促進研修・啓発事業</t>
        </is>
      </c>
      <c r="B14" s="8" t="inlineStr">
        <is>
          <t>件</t>
        </is>
      </c>
      <c r="C14" s="20" t="n">
        <v>0</v>
      </c>
      <c r="D14" s="20" t="n">
        <v>0</v>
      </c>
      <c r="E14" s="18" t="n"/>
      <c r="F14" s="4" t="inlineStr"/>
      <c r="G14" s="4" t="inlineStr">
        <is>
          <t>実施方法と財源を確認</t>
        </is>
      </c>
    </row>
    <row r="15" ht="28" customHeight="1">
      <c r="A15" s="6" t="inlineStr">
        <is>
          <t>自発的活動支援事業</t>
        </is>
      </c>
      <c r="B15" s="34" t="inlineStr">
        <is>
          <t>件</t>
        </is>
      </c>
      <c r="C15" s="29" t="n">
        <v>0</v>
      </c>
      <c r="D15" s="29" t="n">
        <v>0</v>
      </c>
      <c r="E15" s="18" t="n"/>
      <c r="F15" s="6" t="inlineStr"/>
      <c r="G15" s="6" t="inlineStr">
        <is>
          <t>障がい者団体・家族会の活動支援</t>
        </is>
      </c>
    </row>
  </sheetData>
  <mergeCells count="2">
    <mergeCell ref="A2:G2"/>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6"/>
  <sheetViews>
    <sheetView showGridLines="0" workbookViewId="0">
      <pane ySplit="4" topLeftCell="A5" activePane="bottomLeft" state="frozen"/>
      <selection pane="bottomLeft" activeCell="A1" sqref="A1"/>
    </sheetView>
  </sheetViews>
  <sheetFormatPr baseColWidth="8" defaultRowHeight="15"/>
  <cols>
    <col width="30" customWidth="1" min="1" max="1"/>
    <col width="52" customWidth="1" min="2" max="2"/>
    <col width="24" customWidth="1" min="3" max="3"/>
    <col width="12" customWidth="1" min="4" max="4"/>
    <col width="16" customWidth="1" min="5" max="5"/>
  </cols>
  <sheetData>
    <row r="1" ht="30" customHeight="1">
      <c r="A1" s="10" t="inlineStr">
        <is>
          <t>村への確認・依頼事項（見込量推計関係）</t>
        </is>
      </c>
    </row>
    <row r="2" ht="30" customHeight="1">
      <c r="A2" s="2" t="inlineStr">
        <is>
          <t>個別積上げ方式に切り替えるために必要な資料です。1番が揃わないと本ブックは動きません。</t>
        </is>
      </c>
    </row>
    <row r="5" ht="30" customHeight="1">
      <c r="A5" s="3" t="inlineStr">
        <is>
          <t>確認事項</t>
        </is>
      </c>
      <c r="B5" s="3" t="inlineStr">
        <is>
          <t>確認したい内容</t>
        </is>
      </c>
      <c r="C5" s="3" t="inlineStr">
        <is>
          <t>反映先</t>
        </is>
      </c>
      <c r="D5" s="3" t="inlineStr">
        <is>
          <t>優先度</t>
        </is>
      </c>
      <c r="E5" s="3" t="inlineStr">
        <is>
          <t>状態</t>
        </is>
      </c>
    </row>
    <row r="6" ht="42" customHeight="1">
      <c r="A6" s="4" t="inlineStr">
        <is>
          <t>年齢別・サービス別の匿名利用者一覧</t>
        </is>
      </c>
      <c r="B6" s="4" t="inlineStr">
        <is>
          <t>利用者番号、生年月（年度でも可）、障害支援区分、利用中のサービス、月利用日数・時間。氏名は不要。</t>
        </is>
      </c>
      <c r="C6" s="4" t="inlineStr">
        <is>
          <t>02_年齢到達者一覧／03・04</t>
        </is>
      </c>
      <c r="D6" s="35" t="inlineStr">
        <is>
          <t>最優先</t>
        </is>
      </c>
      <c r="E6" s="7" t="inlineStr">
        <is>
          <t>村資料待ち</t>
        </is>
      </c>
    </row>
    <row r="7" ht="42" customHeight="1">
      <c r="A7" s="6" t="inlineStr">
        <is>
          <t>令和9〜11年度の65歳到達者</t>
        </is>
      </c>
      <c r="B7" s="6" t="inlineStr">
        <is>
          <t>到達年度と現在利用しているサービス、月量。</t>
        </is>
      </c>
      <c r="C7" s="6" t="inlineStr">
        <is>
          <t>02／06_65歳移行判定</t>
        </is>
      </c>
      <c r="D7" s="34" t="inlineStr">
        <is>
          <t>高</t>
        </is>
      </c>
      <c r="E7" s="7" t="inlineStr">
        <is>
          <t>村資料待ち</t>
        </is>
      </c>
    </row>
    <row r="8" ht="42" customHeight="1">
      <c r="A8" s="4" t="inlineStr">
        <is>
          <t>新高額障害福祉サービス等給付費の要件該当見込み</t>
        </is>
      </c>
      <c r="B8" s="4" t="inlineStr">
        <is>
          <t>65歳到達予定者について、5年要件・市町村民税非課税・障害支援区分2以上の該当見込み。</t>
        </is>
      </c>
      <c r="C8" s="4" t="inlineStr">
        <is>
          <t>06_65歳移行判定</t>
        </is>
      </c>
      <c r="D8" s="8" t="inlineStr">
        <is>
          <t>中</t>
        </is>
      </c>
      <c r="E8" s="7" t="inlineStr">
        <is>
          <t>村資料待ち</t>
        </is>
      </c>
    </row>
    <row r="9" ht="42" customHeight="1">
      <c r="A9" s="6" t="inlineStr">
        <is>
          <t>特別支援学校・特別支援学級の在籍者</t>
        </is>
      </c>
      <c r="B9" s="6" t="inlineStr">
        <is>
          <t>学年、卒業予定年度、卒業後の進路の見通し。令和6〜7年度に卒業済みの方の現在の利用状況も含む。</t>
        </is>
      </c>
      <c r="C9" s="6" t="inlineStr">
        <is>
          <t>02／03_生活介護・就労系</t>
        </is>
      </c>
      <c r="D9" s="34" t="inlineStr">
        <is>
          <t>高</t>
        </is>
      </c>
      <c r="E9" s="7" t="inlineStr">
        <is>
          <t>村資料待ち</t>
        </is>
      </c>
    </row>
    <row r="10" ht="42" customHeight="1">
      <c r="A10" s="4" t="inlineStr">
        <is>
          <t>障害児通所支援の利用児童の学年</t>
        </is>
      </c>
      <c r="B10" s="4" t="inlineStr">
        <is>
          <t>児童発達支援・放課後等デイサービスの利用児童の学年と、就学予定年度。</t>
        </is>
      </c>
      <c r="C10" s="4" t="inlineStr">
        <is>
          <t>04_積上げ_障害児通所支援</t>
        </is>
      </c>
      <c r="D10" s="8" t="inlineStr">
        <is>
          <t>高</t>
        </is>
      </c>
      <c r="E10" s="7" t="inlineStr">
        <is>
          <t>村資料待ち</t>
        </is>
      </c>
    </row>
    <row r="11" ht="42" customHeight="1">
      <c r="A11" s="6" t="inlineStr">
        <is>
          <t>令和6・7年度の障害児給付費の変動理由</t>
        </is>
      </c>
      <c r="B11" s="6" t="inlineStr">
        <is>
          <t>児童発達支援が23件から1件へ減り、放課後等デイサービスが12件から27件へ増えた理由。受給者番号ベースで同一児童の就学移行かどうかを確認する。</t>
        </is>
      </c>
      <c r="C11" s="6" t="inlineStr">
        <is>
          <t>04／計画本文の記述</t>
        </is>
      </c>
      <c r="D11" s="34" t="inlineStr">
        <is>
          <t>高</t>
        </is>
      </c>
      <c r="E11" s="7" t="inlineStr">
        <is>
          <t>村資料待ち</t>
        </is>
      </c>
    </row>
    <row r="12" ht="42" customHeight="1">
      <c r="A12" s="4" t="inlineStr">
        <is>
          <t>障害児入所施設の利用者の有無</t>
        </is>
      </c>
      <c r="B12" s="4" t="inlineStr">
        <is>
          <t>18歳以上の在籍を含む。県の移行調整の協議の場での取扱い。</t>
        </is>
      </c>
      <c r="C12" s="4" t="inlineStr">
        <is>
          <t>02／03_施設入所支援</t>
        </is>
      </c>
      <c r="D12" s="8" t="inlineStr">
        <is>
          <t>中</t>
        </is>
      </c>
      <c r="E12" s="7" t="inlineStr">
        <is>
          <t>村資料待ち</t>
        </is>
      </c>
    </row>
    <row r="13" ht="42" customHeight="1">
      <c r="A13" s="6" t="inlineStr">
        <is>
          <t>40歳以上65歳未満の特定疾病該当者</t>
        </is>
      </c>
      <c r="B13" s="6" t="inlineStr">
        <is>
          <t>16の特定疾病に該当し、要介護認定を受けているまたは申請予定の方の有無。</t>
        </is>
      </c>
      <c r="C13" s="6" t="inlineStr">
        <is>
          <t>02／03</t>
        </is>
      </c>
      <c r="D13" s="34" t="inlineStr">
        <is>
          <t>中</t>
        </is>
      </c>
      <c r="E13" s="7" t="inlineStr">
        <is>
          <t>村資料待ち</t>
        </is>
      </c>
    </row>
    <row r="14" ht="42" customHeight="1">
      <c r="A14" s="4" t="inlineStr">
        <is>
          <t>圏域事業所の受入可能性</t>
        </is>
      </c>
      <c r="B14" s="4" t="inlineStr">
        <is>
          <t>定員、空き、送迎範囲、受入可否。介護保険事業所の共生型サービス指定の有無を含む。</t>
        </is>
      </c>
      <c r="C14" s="4" t="inlineStr">
        <is>
          <t>08_供給制約</t>
        </is>
      </c>
      <c r="D14" s="8" t="inlineStr">
        <is>
          <t>高</t>
        </is>
      </c>
      <c r="E14" s="7" t="inlineStr">
        <is>
          <t>村資料待ち</t>
        </is>
      </c>
    </row>
    <row r="15" ht="42" customHeight="1">
      <c r="A15" s="6" t="inlineStr">
        <is>
          <t>過去3年間の65歳到達による移行実績</t>
        </is>
      </c>
      <c r="B15" s="6" t="inlineStr">
        <is>
          <t>人数、移行先、障害福祉を継続した方の人数と理由。</t>
        </is>
      </c>
      <c r="C15" s="6" t="inlineStr">
        <is>
          <t>06_65歳移行判定</t>
        </is>
      </c>
      <c r="D15" s="34" t="inlineStr">
        <is>
          <t>中</t>
        </is>
      </c>
      <c r="E15" s="7" t="inlineStr">
        <is>
          <t>村資料待ち</t>
        </is>
      </c>
    </row>
    <row r="16" ht="42" customHeight="1">
      <c r="A16" s="4" t="inlineStr">
        <is>
          <t>支給決定者数（サービス別・実人数）</t>
        </is>
      </c>
      <c r="B16" s="4" t="inlineStr">
        <is>
          <t>請求件数ではなく実人数。計画相談支援は請求が計画作成・モニタリング時のみのため特に必要。</t>
        </is>
      </c>
      <c r="C16" s="4" t="inlineStr">
        <is>
          <t>03・04の令和8年度基準</t>
        </is>
      </c>
      <c r="D16" s="35" t="inlineStr">
        <is>
          <t>最優先</t>
        </is>
      </c>
      <c r="E16" s="7" t="inlineStr">
        <is>
          <t>村資料待ち</t>
        </is>
      </c>
    </row>
  </sheetData>
  <mergeCells count="2">
    <mergeCell ref="A2:E2"/>
    <mergeCell ref="A1:E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36"/>
  <sheetViews>
    <sheetView showGridLines="0" workbookViewId="0">
      <pane ySplit="4" topLeftCell="A5" activePane="bottomLeft" state="frozen"/>
      <selection pane="bottomLeft" activeCell="A1" sqref="A1"/>
    </sheetView>
  </sheetViews>
  <sheetFormatPr baseColWidth="8" defaultRowHeight="15"/>
  <cols>
    <col width="26" customWidth="1" min="1" max="1"/>
    <col width="62" customWidth="1" min="2" max="2"/>
    <col width="30" customWidth="1" min="3" max="3"/>
  </cols>
  <sheetData>
    <row r="1" ht="30" customHeight="1">
      <c r="A1" s="10" t="inlineStr">
        <is>
          <t>基本指針 別表第一が勘案を求める要素（サービス別）</t>
        </is>
      </c>
    </row>
    <row r="2" ht="30" customHeight="1">
      <c r="A2" s="2" t="inlineStr">
        <is>
          <t>令和8年3月31日 こども家庭庁・厚生労働省告示第4号による改正後の別表第一による。本ブックの積上げ項目が告示の要求を満たしているかの対照表。「努める」とあるものは努力義務、それ以外は算定に当たって勘案すべき要素。</t>
        </is>
      </c>
    </row>
    <row r="5" ht="30" customHeight="1">
      <c r="A5" s="3" t="inlineStr">
        <is>
          <t>サービス</t>
        </is>
      </c>
      <c r="B5" s="3" t="inlineStr">
        <is>
          <t>別表第一が勘案を求める要素</t>
        </is>
      </c>
      <c r="C5" s="3" t="inlineStr">
        <is>
          <t>本ブックでの反映先</t>
        </is>
      </c>
    </row>
    <row r="6" ht="42" customHeight="1">
      <c r="A6" s="4" t="inlineStr">
        <is>
          <t>居宅介護</t>
        </is>
      </c>
      <c r="B6" s="4" t="inlineStr">
        <is>
          <t>現に利用している者の数／ニーズ／施設入所者の地域生活への移行者数／入院中の精神障がい者のうち移行後に利用が見込まれる者の数／平均的な一人当たり利用量</t>
        </is>
      </c>
      <c r="C6" s="4" t="inlineStr">
        <is>
          <t>03の継続・新規・地域移行行、1人当たり月利用量</t>
        </is>
      </c>
    </row>
    <row r="7" ht="42" customHeight="1">
      <c r="A7" s="6" t="inlineStr">
        <is>
          <t>重度訪問介護</t>
        </is>
      </c>
      <c r="B7" s="6" t="inlineStr">
        <is>
          <t>同上</t>
        </is>
      </c>
      <c r="C7" s="6" t="inlineStr">
        <is>
          <t>03</t>
        </is>
      </c>
    </row>
    <row r="8" ht="42" customHeight="1">
      <c r="A8" s="4" t="inlineStr">
        <is>
          <t>同行援護</t>
        </is>
      </c>
      <c r="B8" s="4" t="inlineStr">
        <is>
          <t>現に利用している者の数／ニーズ／平均的な一人当たり利用量（地域移行・精神科病院からの流入は勘案要素に含まれない）</t>
        </is>
      </c>
      <c r="C8" s="4" t="inlineStr">
        <is>
          <t>03</t>
        </is>
      </c>
    </row>
    <row r="9" ht="42" customHeight="1">
      <c r="A9" s="6" t="inlineStr">
        <is>
          <t>行動援護</t>
        </is>
      </c>
      <c r="B9" s="6" t="inlineStr">
        <is>
          <t>居宅介護と同じ</t>
        </is>
      </c>
      <c r="C9" s="6" t="inlineStr">
        <is>
          <t>03</t>
        </is>
      </c>
    </row>
    <row r="10" ht="42" customHeight="1">
      <c r="A10" s="4" t="inlineStr">
        <is>
          <t>重度障害者等包括支援</t>
        </is>
      </c>
      <c r="B10" s="4" t="inlineStr">
        <is>
          <t>居宅介護と同じ</t>
        </is>
      </c>
      <c r="C10" s="4" t="inlineStr">
        <is>
          <t>03</t>
        </is>
      </c>
    </row>
    <row r="11" ht="42" customHeight="1">
      <c r="A11" s="6" t="inlineStr">
        <is>
          <t>生活介護</t>
        </is>
      </c>
      <c r="B11" s="6" t="inlineStr">
        <is>
          <t>居宅介護と同じ。加えて強度行動障害の状態にある者・高次脳機能障害を有する者・医療的ケアを必要とする者について個別に利用者数の見込みを設定するよう努める</t>
        </is>
      </c>
      <c r="C11" s="6" t="inlineStr">
        <is>
          <t>03。重度者は内数として別掲（村資料受領後）</t>
        </is>
      </c>
    </row>
    <row r="12" ht="42" customHeight="1">
      <c r="A12" s="4" t="inlineStr">
        <is>
          <t>自立訓練（機能訓練）</t>
        </is>
      </c>
      <c r="B12" s="4" t="inlineStr">
        <is>
          <t>現に利用している者の数／ニーズ／施設入所者の地域移行者数／平均的な一人当たり利用量</t>
        </is>
      </c>
      <c r="C12" s="4" t="inlineStr">
        <is>
          <t>05_実績ゼロサービス</t>
        </is>
      </c>
    </row>
    <row r="13" ht="42" customHeight="1">
      <c r="A13" s="6" t="inlineStr">
        <is>
          <t>自立訓練（生活訓練）</t>
        </is>
      </c>
      <c r="B13" s="6" t="inlineStr">
        <is>
          <t>居宅介護と同じ</t>
        </is>
      </c>
      <c r="C13" s="6" t="inlineStr">
        <is>
          <t>05_実績ゼロサービス</t>
        </is>
      </c>
    </row>
    <row r="14" ht="42" customHeight="1">
      <c r="A14" s="4" t="inlineStr">
        <is>
          <t>就労選択支援</t>
        </is>
      </c>
      <c r="B14" s="4" t="inlineStr">
        <is>
          <t>ニーズ／特別支援学校卒業者数／就労移行支援・A型・B型を新たに利用する者の数／現に利用している者の数</t>
        </is>
      </c>
      <c r="C14" s="4" t="inlineStr">
        <is>
          <t>02_年齢到達者一覧（18歳）／03</t>
        </is>
      </c>
    </row>
    <row r="15" ht="42" customHeight="1">
      <c r="A15" s="6" t="inlineStr">
        <is>
          <t>就労移行支援</t>
        </is>
      </c>
      <c r="B15" s="6" t="inlineStr">
        <is>
          <t>居宅介護と同じ。加えて一般就労への移行者数／特別支援学校卒業者／復職を希望する休職者等</t>
        </is>
      </c>
      <c r="C15" s="6" t="inlineStr">
        <is>
          <t>02（18歳）／03</t>
        </is>
      </c>
    </row>
    <row r="16" ht="42" customHeight="1">
      <c r="A16" s="4" t="inlineStr">
        <is>
          <t>就労継続支援A型</t>
        </is>
      </c>
      <c r="B16" s="4" t="inlineStr">
        <is>
          <t>居宅介護と同じ。加えて一般就労への移行者数／地域の雇用情勢</t>
        </is>
      </c>
      <c r="C16" s="4" t="inlineStr">
        <is>
          <t>03</t>
        </is>
      </c>
    </row>
    <row r="17" ht="42" customHeight="1">
      <c r="A17" s="6" t="inlineStr">
        <is>
          <t>就労継続支援B型</t>
        </is>
      </c>
      <c r="B17" s="6" t="inlineStr">
        <is>
          <t>居宅介護と同じ。加えて一般就労への移行者数。区域内のB型事業所の平均工賃月額について区域ごとの目標水準を設定することが望ましい</t>
        </is>
      </c>
      <c r="C17" s="6" t="inlineStr">
        <is>
          <t>03。工賃目標は圏域協議事項</t>
        </is>
      </c>
    </row>
    <row r="18" ht="42" customHeight="1">
      <c r="A18" s="4" t="inlineStr">
        <is>
          <t>就労定着支援</t>
        </is>
      </c>
      <c r="B18" s="4" t="inlineStr">
        <is>
          <t>現に利用している者の数／ニーズ／一般就労への移行者数</t>
        </is>
      </c>
      <c r="C18" s="4" t="inlineStr">
        <is>
          <t>03</t>
        </is>
      </c>
    </row>
    <row r="19" ht="42" customHeight="1">
      <c r="A19" s="6" t="inlineStr">
        <is>
          <t>療養介護</t>
        </is>
      </c>
      <c r="B19" s="6" t="inlineStr">
        <is>
          <t>現に利用している者の数／ニーズ</t>
        </is>
      </c>
      <c r="C19" s="6" t="inlineStr">
        <is>
          <t>05_実績ゼロサービス</t>
        </is>
      </c>
    </row>
    <row r="20" ht="42" customHeight="1">
      <c r="A20" s="4" t="inlineStr">
        <is>
          <t>短期入所（福祉型・医療型）</t>
        </is>
      </c>
      <c r="B20" s="4" t="inlineStr">
        <is>
          <t>居宅介護と同じ。加えて重度障がい者について個別に利用者数の見込みを設定するよう努める</t>
        </is>
      </c>
      <c r="C20" s="4" t="inlineStr">
        <is>
          <t>03。重度者は内数として別掲</t>
        </is>
      </c>
    </row>
    <row r="21" ht="42" customHeight="1">
      <c r="A21" s="6" t="inlineStr">
        <is>
          <t>自立生活援助</t>
        </is>
      </c>
      <c r="B21" s="6" t="inlineStr">
        <is>
          <t>現に利用している者の数／同居している家族による支援を受けられない障がい者の数／施設入所者の地域移行者数／入院中の精神障がい者のうち移行後の利用見込</t>
        </is>
      </c>
      <c r="C21" s="6" t="inlineStr">
        <is>
          <t>05_実績ゼロサービス</t>
        </is>
      </c>
    </row>
    <row r="22" ht="42" customHeight="1">
      <c r="A22" s="4" t="inlineStr">
        <is>
          <t>共同生活援助</t>
        </is>
      </c>
      <c r="B22" s="4" t="inlineStr">
        <is>
          <t>居宅介護と同じ。加えて一人暮らしや家庭からGHに入所する者の数／GHから退所する者の数／重度障がい者の個別見込み</t>
        </is>
      </c>
      <c r="C22" s="4" t="inlineStr">
        <is>
          <t>03。退所者は流出行</t>
        </is>
      </c>
    </row>
    <row r="23" ht="42" customHeight="1">
      <c r="A23" s="6" t="inlineStr">
        <is>
          <t>施設入所支援</t>
        </is>
      </c>
      <c r="B23" s="6" t="inlineStr">
        <is>
          <t>令和7年度末時点の施設入所者数を基礎とし、地域生活への移行者数を控除の上、GH等での対応が困難な者の利用といった真に必要と判断される数を加えた数。5%以上削減と未達分の上乗せ。居室の個室化等の取組状況の把握</t>
        </is>
      </c>
      <c r="C23" s="6" t="inlineStr">
        <is>
          <t>03。基準はR7年度末</t>
        </is>
      </c>
    </row>
    <row r="24" ht="42" customHeight="1">
      <c r="A24" s="4" t="inlineStr">
        <is>
          <t>計画相談支援</t>
        </is>
      </c>
      <c r="B24" s="4" t="inlineStr">
        <is>
          <t>現に利用している者の数／ニーズ／入院中の精神障がい者のうち移行後の利用見込</t>
        </is>
      </c>
      <c r="C24" s="4" t="inlineStr">
        <is>
          <t>03。請求件数ではなく実人数</t>
        </is>
      </c>
    </row>
    <row r="25" ht="42" customHeight="1">
      <c r="A25" s="6" t="inlineStr">
        <is>
          <t>地域移行支援</t>
        </is>
      </c>
      <c r="B25" s="6" t="inlineStr">
        <is>
          <t>現に利用している者の数／ニーズ／施設入所者の地域移行者数／入院中の精神障がい者のうち移行後の利用見込。入所又は入院前の居住地を有する市町村が対象者数の見込みを設定する</t>
        </is>
      </c>
      <c r="C25" s="6" t="inlineStr">
        <is>
          <t>05_実績ゼロサービス。帰属ルールに注意</t>
        </is>
      </c>
    </row>
    <row r="26" ht="42" customHeight="1">
      <c r="A26" s="4" t="inlineStr">
        <is>
          <t>地域定着支援</t>
        </is>
      </c>
      <c r="B26" s="4" t="inlineStr">
        <is>
          <t>現に利用している者の数／単身世帯である障がい者の数／同居している家族による支援を受けられない障がい者の数／施設入所者の地域移行者数</t>
        </is>
      </c>
      <c r="C26" s="4" t="inlineStr">
        <is>
          <t>05_実績ゼロサービス</t>
        </is>
      </c>
    </row>
    <row r="27" ht="42" customHeight="1">
      <c r="A27" s="6" t="inlineStr">
        <is>
          <t>児童発達支援</t>
        </is>
      </c>
      <c r="B27" s="6" t="inlineStr">
        <is>
          <t>地域における児童の数の推移／現に利用している障がい児の数／ニーズ／重症心身障がい児等のニーズ／医療的ケア児等のニーズ／保育所・認定こども園・幼稚園での受入状況／入所施設から退所した後に利用が見込まれる障がい児の数／平均的な一人当たり利用量</t>
        </is>
      </c>
      <c r="C27" s="6" t="inlineStr">
        <is>
          <t>04。就学による流出は02（6歳）</t>
        </is>
      </c>
    </row>
    <row r="28" ht="42" customHeight="1">
      <c r="A28" s="4" t="inlineStr">
        <is>
          <t>放課後等デイサービス</t>
        </is>
      </c>
      <c r="B28" s="4" t="inlineStr">
        <is>
          <t>同上（受入状況は放課後児童健全育成事業・小中学校・特別支援学校）</t>
        </is>
      </c>
      <c r="C28" s="4" t="inlineStr">
        <is>
          <t>04。就学による流入は02（6歳）</t>
        </is>
      </c>
    </row>
    <row r="29" ht="42" customHeight="1">
      <c r="A29" s="6" t="inlineStr">
        <is>
          <t>保育所等訪問支援</t>
        </is>
      </c>
      <c r="B29" s="6" t="inlineStr">
        <is>
          <t>同上（受入状況は保育所・認定こども園・幼稚園・小学校・特別支援学校）</t>
        </is>
      </c>
      <c r="C29" s="6" t="inlineStr">
        <is>
          <t>05_実績ゼロサービス</t>
        </is>
      </c>
    </row>
    <row r="30" ht="42" customHeight="1">
      <c r="A30" s="4" t="inlineStr">
        <is>
          <t>居宅訪問型児童発達支援</t>
        </is>
      </c>
      <c r="B30" s="4" t="inlineStr">
        <is>
          <t>地域における児童の数の推移／現に利用している障がい児の数／ニーズ／重症心身障がい児等のニーズ／医療的ケア児等のニーズ／平均的な一人当たり利用量</t>
        </is>
      </c>
      <c r="C30" s="4" t="inlineStr">
        <is>
          <t>05_実績ゼロサービス</t>
        </is>
      </c>
    </row>
    <row r="31" ht="42" customHeight="1">
      <c r="A31" s="6" t="inlineStr">
        <is>
          <t>障害児入所支援（福祉型・医療型）</t>
        </is>
      </c>
      <c r="B31" s="6" t="inlineStr">
        <is>
          <t>地域における児童の数の推移／現に利用している障がい児の数／ニーズ／重症心身障がい児等のニーズ／医療的ケア児等のニーズ</t>
        </is>
      </c>
      <c r="C31" s="6" t="inlineStr">
        <is>
          <t>10_村確認事項（県所管）</t>
        </is>
      </c>
    </row>
    <row r="32" ht="42" customHeight="1">
      <c r="A32" s="4" t="inlineStr">
        <is>
          <t>障害児相談支援</t>
        </is>
      </c>
      <c r="B32" s="4" t="inlineStr">
        <is>
          <t>同上</t>
        </is>
      </c>
      <c r="C32" s="4" t="inlineStr">
        <is>
          <t>04</t>
        </is>
      </c>
    </row>
    <row r="33" ht="42" customHeight="1">
      <c r="A33" s="6" t="inlineStr">
        <is>
          <t>医療的ケア児等コーディネーター（市町村）</t>
        </is>
      </c>
      <c r="B33" s="6" t="inlineStr">
        <is>
          <t>地域における医療的ケア児等のニーズ等を勘案して必要となる配置人数の見込みを設定する</t>
        </is>
      </c>
      <c r="C33" s="6" t="inlineStr">
        <is>
          <t>計画本文 第4章(4)</t>
        </is>
      </c>
    </row>
    <row r="35" ht="30" customHeight="1">
      <c r="A35" s="2" t="inlineStr">
        <is>
          <t>※ 別表第一の標準文言は「…等を勘案して、利用者数及び量の見込みを設定する」であり、利用者数と量（＝利用者数×平均的な一人当たり利用量）を分けて設定することを求めている。本ブック03・04の構成はこれに対応している。</t>
        </is>
      </c>
    </row>
    <row r="36" ht="30" customHeight="1">
      <c r="A36" s="2" t="inlineStr">
        <is>
          <t>※ 重度障がい者（強度行動障害の状態にある者・高次脳機能障害を有する者・医療的ケアを必要とする者等）の個別見込みを求めているのは、生活介護・短期入所・共同生活援助の3サービスに限られる（いずれも努力義務）。</t>
        </is>
      </c>
    </row>
  </sheetData>
  <mergeCells count="4">
    <mergeCell ref="A1:C1"/>
    <mergeCell ref="A36:C36"/>
    <mergeCell ref="A2:C2"/>
    <mergeCell ref="A35:C3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9"/>
  <sheetViews>
    <sheetView showGridLines="0" workbookViewId="0">
      <pane ySplit="4" topLeftCell="A5" activePane="bottomLeft" state="frozen"/>
      <selection pane="bottomLeft" activeCell="A1" sqref="A1"/>
    </sheetView>
  </sheetViews>
  <sheetFormatPr baseColWidth="8" defaultRowHeight="15"/>
  <cols>
    <col width="28" customWidth="1" min="1" max="1"/>
    <col width="24" customWidth="1" min="2" max="2"/>
    <col width="34" customWidth="1" min="3" max="3"/>
    <col width="52" customWidth="1" min="4" max="4"/>
  </cols>
  <sheetData>
    <row r="1" ht="30" customHeight="1">
      <c r="A1" s="10" t="inlineStr">
        <is>
          <t>基本指針 別表第五（地域差是正）の適用判定</t>
        </is>
      </c>
    </row>
    <row r="2" ht="30" customHeight="1">
      <c r="A2" s="2" t="inlineStr">
        <is>
          <t>第8期で新設。要件に該当する市町村は、全国の伸び率を用いた算定方法を基本とすることになる。本村は過疎法第2条により全域が過疎地域に該当するため（福島県「県内の過疎・中山間地域の指定状況」令和7年4月1日現在）、同表一の項⑴を満たさず適用対象外。個別積上げ方式を原則どおり採用できる。</t>
        </is>
      </c>
    </row>
    <row r="5">
      <c r="A5" s="9" t="inlineStr">
        <is>
          <t>■ 条文（第三の二の2(一)ただし書及び別表第五）</t>
        </is>
      </c>
    </row>
    <row r="6" ht="34" customHeight="1">
      <c r="A6" s="2" t="inlineStr">
        <is>
          <t>別表第五 一の項　⑴ 全部過疎市町村ではないこと　かつ　⑵ 当該サービスの、人口に占めるサービス利用者割合が、⑴を満たす市町村の上位25%の範囲内であること</t>
        </is>
      </c>
    </row>
    <row r="7" ht="34" customHeight="1">
      <c r="A7" s="2" t="inlineStr">
        <is>
          <t>別表第五 二の項　当該市町村の当該サービスの利用者数の伸び率が全国の伸び率を上回る場合は、令和9〜11年度の見込みを、令和8年度の見込みと全国の伸び率を用いて定める</t>
        </is>
      </c>
    </row>
    <row r="8" ht="34" customHeight="1">
      <c r="A8" s="2" t="inlineStr">
        <is>
          <t>備考　全部過疎市町村＝過疎地域の持続的発展の支援に関する特別措置法（令和3年法律第19号）の過疎地域のうち過疎区分が全部過疎である市町村／人口＝特定障害福祉サービスは18歳以上人口、特定障害児通所支援は18歳未満人口／伸び率＝令和5年度から令和7年度までの幾何平均／この方法は全国の伸び率が正の値であるときに限る</t>
        </is>
      </c>
    </row>
    <row r="9" ht="34" customHeight="1">
      <c r="A9" s="2" t="inlineStr">
        <is>
          <t>第三の二の2(一)　⑵ 地域の具体的なニーズ調査を踏まえ、市町村障害福祉計画等において、⑴と異なる算定方法をその必要性及び根拠を添えて示す場合には、当該算定方法</t>
        </is>
      </c>
    </row>
    <row r="11">
      <c r="A11" s="9" t="inlineStr">
        <is>
          <t>■ 判定</t>
        </is>
      </c>
    </row>
    <row r="12" ht="30" customHeight="1">
      <c r="A12" s="3" t="inlineStr">
        <is>
          <t>判定項目</t>
        </is>
      </c>
      <c r="B12" s="3" t="inlineStr">
        <is>
          <t>入力</t>
        </is>
      </c>
      <c r="C12" s="3" t="inlineStr">
        <is>
          <t>判定</t>
        </is>
      </c>
      <c r="D12" s="3" t="inlineStr">
        <is>
          <t>根拠・備考</t>
        </is>
      </c>
    </row>
    <row r="13" ht="46" customHeight="1">
      <c r="A13" s="4" t="inlineStr">
        <is>
          <t>⑴ 本村の過疎区分</t>
        </is>
      </c>
      <c r="B13" s="36" t="inlineStr">
        <is>
          <t>全部過疎（確定）</t>
        </is>
      </c>
      <c r="C13" s="8">
        <f>IF(B13="全部過疎（確定）","要件⑴を満たさない→別表第五 適用外","要確認")</f>
        <v/>
      </c>
      <c r="D13" s="4" t="inlineStr">
        <is>
          <t>福島県「県内の過疎・中山間地域の指定状況」（令和7年4月1日現在）において、北塩原村は過疎法第2条により全域が過疎地域に該当する市町村（◎）と表示されている。旧北山村・旧大塩村・旧檜原村の3区域とも過疎地域・振興山村地域・特定農山村地域に該当。</t>
        </is>
      </c>
    </row>
    <row r="14" ht="46" customHeight="1">
      <c r="A14" s="6" t="inlineStr">
        <is>
          <t>⑵ サービス利用者割合</t>
        </is>
      </c>
      <c r="B14" s="34" t="inlineStr">
        <is>
          <t>判定不要</t>
        </is>
      </c>
      <c r="C14" s="34" t="inlineStr">
        <is>
          <t>―</t>
        </is>
      </c>
      <c r="D14" s="6" t="inlineStr">
        <is>
          <t>18歳以上人口（障害児通所支援は18歳未満人口）に占める利用者割合が、全部過疎でない市町村の上位25%以内かどうか。⑴を満たさないため判定不要。</t>
        </is>
      </c>
    </row>
    <row r="15" ht="46" customHeight="1">
      <c r="A15" s="4" t="inlineStr">
        <is>
          <t>結論</t>
        </is>
      </c>
      <c r="B15" s="8" t="n"/>
      <c r="C15" s="24">
        <f>IF(C13="要件⑴を満たさない→別表第五 適用外","個別積上げ方式を採用可（第三の二の2(一)本文による）","要判定")</f>
        <v/>
      </c>
      <c r="D15" s="4" t="inlineStr">
        <is>
          <t>⑴かつ⑵の連言であるため、⑴を満たさない本村には別表第五 二の項の算定方法は適用されない。第三の二の2(一)本文の一般則により、実績分析・意向・心身の状況を勘案して設定する。</t>
        </is>
      </c>
    </row>
    <row r="17" ht="34" customHeight="1">
      <c r="A17" s="2" t="inlineStr">
        <is>
          <t>※ あわせて本村は福島県過疎・中山間地域振興条例の中山間地域（全域）にも該当する。基本指針 第一の一の3は「中山間・人口減少地域においては、共生型サービスや基準該当障害福祉サービス、多機能型、従たる事業所等の現行制度の活用等も図りつつ、サービス提供体制を維持・確保していくことが重要」としており、見直し事項⑩「人口減少地域におけるサービスの維持・確保」に正面から該当する。</t>
        </is>
      </c>
    </row>
    <row r="18" ht="46" customHeight="1">
      <c r="A18" s="2" t="inlineStr">
        <is>
          <t>※ 別表第五が対象とするのは「特定障害福祉サービス」及び「特定障害児通所支援」であり、全サービスではない。該当サービスの範囲は障害者総合支援法第88条第10項及び児童福祉法第21条の5の15第2項の定義による。「障害福祉計画策定に係る実態調査及びPDCAサイクルに関するマニュアル」（令和8年8月）P.22 は、対象を 生活介護、就労継続支援A型、就労継続支援B型、児童発達支援、放課後等デイサービス、共同生活援助 の6サービスと明示している。本村はこの6サービスすべてに実績がある。</t>
        </is>
      </c>
    </row>
    <row r="19" ht="60" customHeight="1">
      <c r="A19" s="2" t="inlineStr">
        <is>
          <t>※ 上記マニュアル P.22 手順Ⅰは「要件1と要件2の両方に該当しない場合は、18ページの内容を参考として、サービスに必要な見込量を算出してください」としており、全部過疎市町村である本村が地域差是正の算定方法の対象外であることを確認できる。同 P.21 は、実績値が小さい場合は「実績値の変化により推計値の値が変化しやすい」、実績値が極端に増減している場合は「幾何平均による算出では2年後・3年後の推計値が過大（過少）に推計されてしまう可能性がある」と留意点を示しており、利用者が各サービス数人規模の本村で個別積上げ方式を採る根拠になる。原典は source/実態調査PDCAマニュアル/、確認結果は docs/北塩原村_実態調査PDCAマニュアル_確認結果.md。</t>
        </is>
      </c>
    </row>
  </sheetData>
  <mergeCells count="11">
    <mergeCell ref="A1:D1"/>
    <mergeCell ref="A5:D5"/>
    <mergeCell ref="A9:D9"/>
    <mergeCell ref="A17:D17"/>
    <mergeCell ref="A8:D8"/>
    <mergeCell ref="A18:D18"/>
    <mergeCell ref="A6:D6"/>
    <mergeCell ref="A7:D7"/>
    <mergeCell ref="A2:D2"/>
    <mergeCell ref="A11:D11"/>
    <mergeCell ref="A19:D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2026-10-15T12:17:01Z</dcterms:created>
  <dcterms:modified xmlns:dcterms="http://purl.org/dc/terms/" xmlns:xsi="http://www.w3.org/2001/XMLSchema-instance" xsi:type="dcterms:W3CDTF">2026-10-15T12:17:01Z</dcterms:modified>
</cp:coreProperties>
</file>