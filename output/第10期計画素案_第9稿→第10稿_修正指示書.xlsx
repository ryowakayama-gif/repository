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'修正指示一覧'!$A$4:$L$22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18件の修正指示。区分・優先度・該当箇所・現行記載・修正案・根拠を記載し、対応者と状態を記入して進捗管理します。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4"/>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修正指示一覧（全18件）</t>
        </is>
      </c>
    </row>
    <row r="2" ht="18" customHeight="1">
      <c r="A2" s="2" t="inlineStr">
        <is>
          <t>区分A：委員会前必須（6件）／区分B：原稿整備（7件）／区分C：継続確認（5件）　※対応者・状態・完了日は淡黄色欄に記入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中</t>
        </is>
      </c>
      <c r="D13" s="5" t="inlineStr">
        <is>
          <t>第6章第2節／第3節</t>
        </is>
      </c>
      <c r="E13" s="5" t="inlineStr">
        <is>
          <t>表35「介護予防給付サービス」／表36</t>
        </is>
      </c>
      <c r="F13" s="5" t="inlineStr">
        <is>
          <t>介護予防給付の利用者数が全項目「―」である一方、給付費は383.0百万円が計上されており、金額はあるが人数がない状態になっている。</t>
        </is>
      </c>
      <c r="G13" s="5" t="inlineStr">
        <is>
          <t>表35は16項目すべて「―」（理由は表35の注に記載済み）。表36には介護予防サービス給付費 第10期計383.0百万円。</t>
        </is>
      </c>
      <c r="H13" s="5" t="inlineStr">
        <is>
          <t>第6章第2節「2 介護予防給付サービス」の冒頭に注記を追加する。注案：「介護予防給付費は第3節に自然体推計値（第10期計383.0百万円）を計上しているが、利用者数の介護給付との内訳は見える化の最終推計出力で分割するため、本表では未記載としている。」</t>
        </is>
      </c>
      <c r="I13" s="5" t="inlineStr">
        <is>
          <t>素案第9稿 表35注記／表36</t>
        </is>
      </c>
      <c r="J13" s="5" t="inlineStr">
        <is>
          <t>不要</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最優先</t>
        </is>
      </c>
      <c r="D18" s="5" t="inlineStr">
        <is>
          <t>第6章第4節</t>
        </is>
      </c>
      <c r="E18" s="5" t="inlineStr">
        <is>
          <t>表40「施設・居住系サービスの整備見込み」／表41「定員と自然体推計基準利用者の照合」</t>
        </is>
      </c>
      <c r="F18" s="5" t="inlineStr">
        <is>
          <t>地域密着型介護老人福祉施設のR7公開定員62人が、第9期計画の掲載定員63人と一致しない。定員超過（104.8％）を重点論点に据えるため、1人の差が論拠の精度に直結する。</t>
        </is>
      </c>
      <c r="G18" s="5" t="inlineStr">
        <is>
          <t>表40・表41ともに「R7公開定員 62人」、表41の単純比率104.8％。</t>
        </is>
      </c>
      <c r="H18" s="5" t="inlineStr">
        <is>
          <t>表41に「第9期計画掲載定員63人」の列を追加し、63人の場合の比率103.2％を併記する。あわせて見える化公表定員・指定台帳・計画掲載値のいずれを正とするかを確定する。</t>
        </is>
      </c>
      <c r="I18" s="5" t="inlineStr">
        <is>
          <t>第9期計画 第6章第4節：広域連合63人（美瑛43＝サテライト特養 燈18＋美瑛慈光園25、東神楽20＝アゼリアハイツ）</t>
        </is>
      </c>
      <c r="J18" s="7" t="inlineStr">
        <is>
          <t>要（定員の正本を確定）</t>
        </is>
      </c>
      <c r="K18" s="8" t="inlineStr"/>
      <c r="L18" s="8" t="inlineStr">
        <is>
          <t>未着手</t>
        </is>
      </c>
    </row>
    <row r="19">
      <c r="A19" s="5" t="inlineStr">
        <is>
          <t>C-2</t>
        </is>
      </c>
      <c r="B19" s="5" t="inlineStr">
        <is>
          <t>C</t>
        </is>
      </c>
      <c r="C19" s="5" t="inlineStr">
        <is>
          <t>高</t>
        </is>
      </c>
      <c r="D19" s="5" t="inlineStr">
        <is>
          <t>第6章第4節</t>
        </is>
      </c>
      <c r="E19" s="5" t="inlineStr">
        <is>
          <t>表40／表41 特定施設入居者生活介護</t>
        </is>
      </c>
      <c r="F19" s="5" t="inlineStr">
        <is>
          <t>R7公開定員156人の出所が第9期計画で確認できない。第9期計画に特定施設入居者生活介護の整備目標表は存在しない。</t>
        </is>
      </c>
      <c r="G19" s="5" t="inlineStr">
        <is>
          <t>表40・表41ともに「R7公開定員 156人」、表41の単純比率42.3％。</t>
        </is>
      </c>
      <c r="H19" s="5" t="inlineStr">
        <is>
          <t>定員156人の出所（見える化公表値か指定台帳か）と定義を確認し、表41の注に明記する。第9期計画の関連数値（介護付有料老人ホーム158人）との関係も併せて整理する。</t>
        </is>
      </c>
      <c r="I19" s="5" t="inlineStr">
        <is>
          <t>第9期計画 第6章第4節3：介護付有料老人ホーム158人（東川58＋東神楽100）。特定施設の整備表は不掲載。</t>
        </is>
      </c>
      <c r="J19" s="7" t="inlineStr">
        <is>
          <t>要（出所・定義を確認）</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4" ht="30" customHeight="1">
      <c r="A24"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22"/>
  <mergeCells count="3">
    <mergeCell ref="A24:L24"/>
    <mergeCell ref="A2:L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COUNTIFS(修正指示一覧!$B$5:$B$22,"A",修正指示一覧!$L$5:$L$22,"未着手")</f>
        <v/>
      </c>
      <c r="C5" s="10">
        <f>COUNTIFS(修正指示一覧!$B$5:$B$22,"A",修正指示一覧!$L$5:$L$22,"対応中")</f>
        <v/>
      </c>
      <c r="D5" s="10">
        <f>COUNTIFS(修正指示一覧!$B$5:$B$22,"A",修正指示一覧!$L$5:$L$22,"対応済")</f>
        <v/>
      </c>
      <c r="E5" s="10">
        <f>COUNTIFS(修正指示一覧!$B$5:$B$22,"A",修正指示一覧!$L$5:$L$22,"要協議")</f>
        <v/>
      </c>
      <c r="F5" s="10">
        <f>SUM(B5:E5)</f>
        <v/>
      </c>
      <c r="G5" s="11">
        <f>IF(F5=0,"-",D5/F5)</f>
        <v/>
      </c>
    </row>
    <row r="6">
      <c r="A6" s="5" t="inlineStr">
        <is>
          <t>B　原稿整備</t>
        </is>
      </c>
      <c r="B6" s="10">
        <f>COUNTIFS(修正指示一覧!$B$5:$B$22,"B",修正指示一覧!$L$5:$L$22,"未着手")</f>
        <v/>
      </c>
      <c r="C6" s="10">
        <f>COUNTIFS(修正指示一覧!$B$5:$B$22,"B",修正指示一覧!$L$5:$L$22,"対応中")</f>
        <v/>
      </c>
      <c r="D6" s="10">
        <f>COUNTIFS(修正指示一覧!$B$5:$B$22,"B",修正指示一覧!$L$5:$L$22,"対応済")</f>
        <v/>
      </c>
      <c r="E6" s="10">
        <f>COUNTIFS(修正指示一覧!$B$5:$B$22,"B",修正指示一覧!$L$5:$L$22,"要協議")</f>
        <v/>
      </c>
      <c r="F6" s="10">
        <f>SUM(B6:E6)</f>
        <v/>
      </c>
      <c r="G6" s="11">
        <f>IF(F6=0,"-",D6/F6)</f>
        <v/>
      </c>
    </row>
    <row r="7">
      <c r="A7" s="5" t="inlineStr">
        <is>
          <t>C　継続確認</t>
        </is>
      </c>
      <c r="B7" s="10">
        <f>COUNTIFS(修正指示一覧!$B$5:$B$22,"C",修正指示一覧!$L$5:$L$22,"未着手")</f>
        <v/>
      </c>
      <c r="C7" s="10">
        <f>COUNTIFS(修正指示一覧!$B$5:$B$22,"C",修正指示一覧!$L$5:$L$22,"対応中")</f>
        <v/>
      </c>
      <c r="D7" s="10">
        <f>COUNTIFS(修正指示一覧!$B$5:$B$22,"C",修正指示一覧!$L$5:$L$22,"対応済")</f>
        <v/>
      </c>
      <c r="E7" s="10">
        <f>COUNTIFS(修正指示一覧!$B$5:$B$22,"C",修正指示一覧!$L$5:$L$22,"要協議")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COUNTIFS(修正指示一覧!$C$5:$C$22,"最優先",修正指示一覧!$L$5:$L$22,"未着手")</f>
        <v/>
      </c>
      <c r="C12" s="10">
        <f>COUNTIFS(修正指示一覧!$C$5:$C$22,"最優先",修正指示一覧!$L$5:$L$22,"対応中")</f>
        <v/>
      </c>
      <c r="D12" s="10">
        <f>COUNTIFS(修正指示一覧!$C$5:$C$22,"最優先",修正指示一覧!$L$5:$L$22,"対応済")</f>
        <v/>
      </c>
      <c r="E12" s="10">
        <f>COUNTIFS(修正指示一覧!$C$5:$C$22,"最優先",修正指示一覧!$L$5:$L$22,"要協議")</f>
        <v/>
      </c>
      <c r="F12" s="10">
        <f>SUM(B12:E12)</f>
        <v/>
      </c>
      <c r="G12" s="11">
        <f>IF(F12=0,"-",D12/F12)</f>
        <v/>
      </c>
    </row>
    <row r="13">
      <c r="A13" s="5" t="inlineStr">
        <is>
          <t>高</t>
        </is>
      </c>
      <c r="B13" s="10">
        <f>COUNTIFS(修正指示一覧!$C$5:$C$22,"高",修正指示一覧!$L$5:$L$22,"未着手")</f>
        <v/>
      </c>
      <c r="C13" s="10">
        <f>COUNTIFS(修正指示一覧!$C$5:$C$22,"高",修正指示一覧!$L$5:$L$22,"対応中")</f>
        <v/>
      </c>
      <c r="D13" s="10">
        <f>COUNTIFS(修正指示一覧!$C$5:$C$22,"高",修正指示一覧!$L$5:$L$22,"対応済")</f>
        <v/>
      </c>
      <c r="E13" s="10">
        <f>COUNTIFS(修正指示一覧!$C$5:$C$22,"高",修正指示一覧!$L$5:$L$22,"要協議")</f>
        <v/>
      </c>
      <c r="F13" s="10">
        <f>SUM(B13:E13)</f>
        <v/>
      </c>
      <c r="G13" s="11">
        <f>IF(F13=0,"-",D13/F13)</f>
        <v/>
      </c>
    </row>
    <row r="14">
      <c r="A14" s="5" t="inlineStr">
        <is>
          <t>中</t>
        </is>
      </c>
      <c r="B14" s="10">
        <f>COUNTIFS(修正指示一覧!$C$5:$C$22,"中",修正指示一覧!$L$5:$L$22,"未着手")</f>
        <v/>
      </c>
      <c r="C14" s="10">
        <f>COUNTIFS(修正指示一覧!$C$5:$C$22,"中",修正指示一覧!$L$5:$L$22,"対応中")</f>
        <v/>
      </c>
      <c r="D14" s="10">
        <f>COUNTIFS(修正指示一覧!$C$5:$C$22,"中",修正指示一覧!$L$5:$L$22,"対応済")</f>
        <v/>
      </c>
      <c r="E14" s="10">
        <f>COUNTIFS(修正指示一覧!$C$5:$C$22,"中",修正指示一覧!$L$5:$L$22,"要協議")</f>
        <v/>
      </c>
      <c r="F14" s="10">
        <f>SUM(B14:E14)</f>
        <v/>
      </c>
      <c r="G14" s="11">
        <f>IF(F14=0,"-",D14/F14)</f>
        <v/>
      </c>
    </row>
    <row r="15">
      <c r="A15" s="5" t="inlineStr">
        <is>
          <t>低</t>
        </is>
      </c>
      <c r="B15" s="10">
        <f>COUNTIFS(修正指示一覧!$C$5:$C$22,"低",修正指示一覧!$L$5:$L$22,"未着手")</f>
        <v/>
      </c>
      <c r="C15" s="10">
        <f>COUNTIFS(修正指示一覧!$C$5:$C$22,"低",修正指示一覧!$L$5:$L$22,"対応中")</f>
        <v/>
      </c>
      <c r="D15" s="10">
        <f>COUNTIFS(修正指示一覧!$C$5:$C$22,"低",修正指示一覧!$L$5:$L$22,"対応済")</f>
        <v/>
      </c>
      <c r="E15" s="10">
        <f>COUNTIFS(修正指示一覧!$C$5:$C$22,"低",修正指示一覧!$L$5:$L$22,"要協議")</f>
        <v/>
      </c>
      <c r="F15" s="10">
        <f>SUM(B15:E15)</f>
        <v/>
      </c>
      <c r="G15" s="11">
        <f>IF(F15=0,"-",D15/F15)</f>
        <v/>
      </c>
    </row>
    <row r="17">
      <c r="A17" s="15" t="inlineStr">
        <is>
          <t>要確認事項（広域連合・3町への照会が必要な件数）</t>
        </is>
      </c>
    </row>
    <row r="18">
      <c r="A18" s="5" t="inlineStr">
        <is>
          <t>照会が必要</t>
        </is>
      </c>
      <c r="B18" s="10">
        <f>COUNTIF(修正指示一覧!$J$5:$J$22,"要*")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2026-07-28T05:53:14Z</dcterms:created>
  <dcterms:modified xmlns:dcterms="http://purl.org/dc/terms/" xmlns:xsi="http://www.w3.org/2001/XMLSchema-instance" xsi:type="dcterms:W3CDTF">2026-07-28T05:53:14Z</dcterms:modified>
</cp:coreProperties>
</file>