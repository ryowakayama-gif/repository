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7" borderId="1" applyAlignment="1" pivotButton="0" quotePrefix="0" xfId="0">
      <alignment vertical="top" wrapText="1"/>
    </xf>
    <xf numFmtId="0" fontId="6" fillId="7" borderId="1" applyAlignment="1" pivotButton="0" quotePrefix="0" xfId="0">
      <alignment horizontal="center"/>
    </xf>
    <xf numFmtId="164" fontId="6" fillId="7"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66件の修正指示。区分・優先度・該当箇所・現行記載・修正案・根拠を記載し、対応者と状態を記入して進捗管理します。</t>
        </is>
      </c>
    </row>
    <row r="8">
      <c r="A8" s="5" t="n">
        <v>2</v>
      </c>
      <c r="B8" s="5" t="inlineStr">
        <is>
          <t>進捗管理</t>
        </is>
      </c>
      <c r="C8" s="5" t="inlineStr">
        <is>
          <t>区分別・優先度別・状態別の件数を自動集計します（修正指示一覧の状態欄を更新すると連動）。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修正指示一覧（全66件）</t>
        </is>
      </c>
    </row>
    <row r="2" ht="18" customHeight="1">
      <c r="A2" s="2" t="inlineStr">
        <is>
          <t>区分A：委員会前必須（18件）／区分B：原稿整備（22件）／区分C：継続確認（19件）　※対応者・状態は淡黄色欄に記入</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8" t="inlineStr">
        <is>
          <t>未着手</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8" t="inlineStr">
        <is>
          <t>未着手</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8" t="inlineStr">
        <is>
          <t>未着手</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8" t="inlineStr">
        <is>
          <t>未着手</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8" t="inlineStr">
        <is>
          <t>未着手</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8" t="inlineStr">
        <is>
          <t>未着手</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8" t="inlineStr">
        <is>
          <t>未着手</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8" t="inlineStr">
        <is>
          <t>未着手</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8" t="inlineStr">
        <is>
          <t>未着手</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8" t="inlineStr">
        <is>
          <t>未着手</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8" t="inlineStr">
        <is>
          <t>未着手</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8" t="inlineStr">
        <is>
          <t>未着手</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8" t="inlineStr">
        <is>
          <t>未着手</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未着手</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未着手</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8" t="inlineStr">
        <is>
          <t>未着手</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8" t="inlineStr">
        <is>
          <t>未着手</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未着手</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未着手</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8" t="inlineStr">
        <is>
          <t>未着手</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未着手</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8" t="inlineStr">
        <is>
          <t>未着手</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8" t="inlineStr">
        <is>
          <t>未着手</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8" t="inlineStr">
        <is>
          <t>未着手</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8" t="inlineStr">
        <is>
          <t>未着手</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8" t="inlineStr">
        <is>
          <t>未着手</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8" t="inlineStr">
        <is>
          <t>未着手</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8" t="inlineStr">
        <is>
          <t>未着手</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8" t="inlineStr">
        <is>
          <t>未着手</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8" t="inlineStr">
        <is>
          <t>未着手</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8" t="inlineStr">
        <is>
          <t>未着手</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8" t="inlineStr">
        <is>
          <t>未着手</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未着手</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8" t="inlineStr">
        <is>
          <t>未着手</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8" t="inlineStr">
        <is>
          <t>未着手</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8" t="inlineStr">
        <is>
          <t>未着手</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8" t="inlineStr">
        <is>
          <t>未着手</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8" t="inlineStr">
        <is>
          <t>未着手</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8" t="inlineStr">
        <is>
          <t>未着手</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8" t="inlineStr">
        <is>
          <t>未着手</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8" t="inlineStr">
        <is>
          <t>未着手</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8" t="inlineStr">
        <is>
          <t>未着手</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未着手</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未着手</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8" t="inlineStr">
        <is>
          <t>未着手</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8" t="inlineStr">
        <is>
          <t>未着手</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未着手</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未着手</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8" t="inlineStr">
        <is>
          <t>未着手</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未着手</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8" t="inlineStr">
        <is>
          <t>未着手</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8" t="inlineStr">
        <is>
          <t>未着手</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8" t="inlineStr">
        <is>
          <t>未着手</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8" t="inlineStr">
        <is>
          <t>未着手</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8" t="inlineStr">
        <is>
          <t>未着手</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8" t="inlineStr">
        <is>
          <t>未着手</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8" t="inlineStr">
        <is>
          <t>未着手</t>
        </is>
      </c>
    </row>
    <row r="62">
      <c r="A62" s="5" t="inlineStr">
        <is>
          <t>A-18</t>
        </is>
      </c>
      <c r="B62" s="5" t="inlineStr">
        <is>
          <t>A</t>
        </is>
      </c>
      <c r="C62" s="5" t="inlineStr">
        <is>
          <t>最優先</t>
        </is>
      </c>
      <c r="D62" s="5" t="inlineStr">
        <is>
          <t>第5章 全体</t>
        </is>
      </c>
      <c r="E62" s="5" t="inlineStr">
        <is>
          <t>施策記述のロジックモデル化</t>
        </is>
      </c>
      <c r="F62" s="5" t="inlineStr">
        <is>
          <t>素案第9稿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8" t="inlineStr">
        <is>
          <t>未着手</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8" t="inlineStr">
        <is>
          <t>未着手</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素案第9稿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8" t="inlineStr">
        <is>
          <t>未着手</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結果は出ているが、その結果を生んだ活動を国の様式で記録・報告できていない」状態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8" t="inlineStr">
        <is>
          <t>未着手</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8" t="inlineStr">
        <is>
          <t>未着手</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8" t="inlineStr">
        <is>
          <t>未着手</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整合する（A-13）。</t>
        </is>
      </c>
      <c r="I68" s="5" t="inlineStr">
        <is>
          <t>見える化W144・W145・B3-a〜e・D2・D4</t>
        </is>
      </c>
      <c r="J68" s="5" t="inlineStr">
        <is>
          <t>不要（記述方針）</t>
        </is>
      </c>
      <c r="K68" s="8" t="inlineStr"/>
      <c r="L68" s="8" t="inlineStr">
        <is>
          <t>未着手</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8" t="inlineStr">
        <is>
          <t>未着手</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8" t="inlineStr">
        <is>
          <t>未着手</t>
        </is>
      </c>
    </row>
    <row r="72" ht="30" customHeight="1">
      <c r="A72" s="9"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修正指示一覧の「状態」欄を更新すると自動集計されます（状態は 未着手／対応中／対応済／要協議 から選択）</t>
        </is>
      </c>
    </row>
    <row r="4" ht="30" customHeight="1">
      <c r="A4" s="4" t="inlineStr">
        <is>
          <t>区分</t>
        </is>
      </c>
      <c r="B4" s="4" t="inlineStr">
        <is>
          <t>未着手</t>
        </is>
      </c>
      <c r="C4" s="4" t="inlineStr">
        <is>
          <t>対応中</t>
        </is>
      </c>
      <c r="D4" s="4" t="inlineStr">
        <is>
          <t>対応済</t>
        </is>
      </c>
      <c r="E4" s="4" t="inlineStr">
        <is>
          <t>要協議</t>
        </is>
      </c>
      <c r="F4" s="4" t="inlineStr">
        <is>
          <t>合計</t>
        </is>
      </c>
      <c r="G4" s="4" t="inlineStr">
        <is>
          <t>対応済率</t>
        </is>
      </c>
    </row>
    <row r="5">
      <c r="A5" s="5" t="inlineStr">
        <is>
          <t>A　委員会前必須</t>
        </is>
      </c>
      <c r="B5" s="10">
        <f>COUNTIFS(修正指示一覧!$B$5:$B$70,"A",修正指示一覧!$L$5:$L$70,"未着手")</f>
        <v/>
      </c>
      <c r="C5" s="10">
        <f>COUNTIFS(修正指示一覧!$B$5:$B$70,"A",修正指示一覧!$L$5:$L$70,"対応中")</f>
        <v/>
      </c>
      <c r="D5" s="10">
        <f>COUNTIFS(修正指示一覧!$B$5:$B$70,"A",修正指示一覧!$L$5:$L$70,"対応済")</f>
        <v/>
      </c>
      <c r="E5" s="10">
        <f>COUNTIFS(修正指示一覧!$B$5:$B$70,"A",修正指示一覧!$L$5:$L$70,"要協議")</f>
        <v/>
      </c>
      <c r="F5" s="10">
        <f>SUM(B5:E5)</f>
        <v/>
      </c>
      <c r="G5" s="11">
        <f>IF(F5=0,"-",D5/F5)</f>
        <v/>
      </c>
    </row>
    <row r="6">
      <c r="A6" s="5" t="inlineStr">
        <is>
          <t>B　原稿整備</t>
        </is>
      </c>
      <c r="B6" s="10">
        <f>COUNTIFS(修正指示一覧!$B$5:$B$70,"B",修正指示一覧!$L$5:$L$70,"未着手")</f>
        <v/>
      </c>
      <c r="C6" s="10">
        <f>COUNTIFS(修正指示一覧!$B$5:$B$70,"B",修正指示一覧!$L$5:$L$70,"対応中")</f>
        <v/>
      </c>
      <c r="D6" s="10">
        <f>COUNTIFS(修正指示一覧!$B$5:$B$70,"B",修正指示一覧!$L$5:$L$70,"対応済")</f>
        <v/>
      </c>
      <c r="E6" s="10">
        <f>COUNTIFS(修正指示一覧!$B$5:$B$70,"B",修正指示一覧!$L$5:$L$70,"要協議")</f>
        <v/>
      </c>
      <c r="F6" s="10">
        <f>SUM(B6:E6)</f>
        <v/>
      </c>
      <c r="G6" s="11">
        <f>IF(F6=0,"-",D6/F6)</f>
        <v/>
      </c>
    </row>
    <row r="7">
      <c r="A7" s="5" t="inlineStr">
        <is>
          <t>C　継続確認</t>
        </is>
      </c>
      <c r="B7" s="10">
        <f>COUNTIFS(修正指示一覧!$B$5:$B$70,"C",修正指示一覧!$L$5:$L$70,"未着手")</f>
        <v/>
      </c>
      <c r="C7" s="10">
        <f>COUNTIFS(修正指示一覧!$B$5:$B$70,"C",修正指示一覧!$L$5:$L$70,"対応中")</f>
        <v/>
      </c>
      <c r="D7" s="10">
        <f>COUNTIFS(修正指示一覧!$B$5:$B$70,"C",修正指示一覧!$L$5:$L$70,"対応済")</f>
        <v/>
      </c>
      <c r="E7" s="10">
        <f>COUNTIFS(修正指示一覧!$B$5:$B$70,"C",修正指示一覧!$L$5:$L$70,"要協議")</f>
        <v/>
      </c>
      <c r="F7" s="10">
        <f>SUM(B7:E7)</f>
        <v/>
      </c>
      <c r="G7" s="11">
        <f>IF(F7=0,"-",D7/F7)</f>
        <v/>
      </c>
    </row>
    <row r="8">
      <c r="A8" s="12" t="inlineStr">
        <is>
          <t>合計</t>
        </is>
      </c>
      <c r="B8" s="13">
        <f>SUM(B5:B7)</f>
        <v/>
      </c>
      <c r="C8" s="13">
        <f>SUM(C5:C7)</f>
        <v/>
      </c>
      <c r="D8" s="13">
        <f>SUM(D5:D7)</f>
        <v/>
      </c>
      <c r="E8" s="13">
        <f>SUM(E5:E7)</f>
        <v/>
      </c>
      <c r="F8" s="13">
        <f>SUM(F5:F7)</f>
        <v/>
      </c>
      <c r="G8" s="14">
        <f>IF(F8=0,"-",D8/F8)</f>
        <v/>
      </c>
    </row>
    <row r="10">
      <c r="A10" s="15" t="inlineStr">
        <is>
          <t>優先度別</t>
        </is>
      </c>
    </row>
    <row r="11" ht="30" customHeight="1">
      <c r="A11" s="4" t="inlineStr">
        <is>
          <t>優先度</t>
        </is>
      </c>
      <c r="B11" s="4" t="inlineStr">
        <is>
          <t>未着手</t>
        </is>
      </c>
      <c r="C11" s="4" t="inlineStr">
        <is>
          <t>対応中</t>
        </is>
      </c>
      <c r="D11" s="4" t="inlineStr">
        <is>
          <t>対応済</t>
        </is>
      </c>
      <c r="E11" s="4" t="inlineStr">
        <is>
          <t>要協議</t>
        </is>
      </c>
      <c r="F11" s="4" t="inlineStr">
        <is>
          <t>合計</t>
        </is>
      </c>
      <c r="G11" s="4" t="inlineStr">
        <is>
          <t>対応済率</t>
        </is>
      </c>
    </row>
    <row r="12">
      <c r="A12" s="5" t="inlineStr">
        <is>
          <t>最優先</t>
        </is>
      </c>
      <c r="B12" s="10">
        <f>COUNTIFS(修正指示一覧!$C$5:$C$70,"最優先",修正指示一覧!$L$5:$L$70,"未着手")</f>
        <v/>
      </c>
      <c r="C12" s="10">
        <f>COUNTIFS(修正指示一覧!$C$5:$C$70,"最優先",修正指示一覧!$L$5:$L$70,"対応中")</f>
        <v/>
      </c>
      <c r="D12" s="10">
        <f>COUNTIFS(修正指示一覧!$C$5:$C$70,"最優先",修正指示一覧!$L$5:$L$70,"対応済")</f>
        <v/>
      </c>
      <c r="E12" s="10">
        <f>COUNTIFS(修正指示一覧!$C$5:$C$70,"最優先",修正指示一覧!$L$5:$L$70,"要協議")</f>
        <v/>
      </c>
      <c r="F12" s="10">
        <f>SUM(B12:E12)</f>
        <v/>
      </c>
      <c r="G12" s="11">
        <f>IF(F12=0,"-",D12/F12)</f>
        <v/>
      </c>
    </row>
    <row r="13">
      <c r="A13" s="5" t="inlineStr">
        <is>
          <t>高</t>
        </is>
      </c>
      <c r="B13" s="10">
        <f>COUNTIFS(修正指示一覧!$C$5:$C$70,"高",修正指示一覧!$L$5:$L$70,"未着手")</f>
        <v/>
      </c>
      <c r="C13" s="10">
        <f>COUNTIFS(修正指示一覧!$C$5:$C$70,"高",修正指示一覧!$L$5:$L$70,"対応中")</f>
        <v/>
      </c>
      <c r="D13" s="10">
        <f>COUNTIFS(修正指示一覧!$C$5:$C$70,"高",修正指示一覧!$L$5:$L$70,"対応済")</f>
        <v/>
      </c>
      <c r="E13" s="10">
        <f>COUNTIFS(修正指示一覧!$C$5:$C$70,"高",修正指示一覧!$L$5:$L$70,"要協議")</f>
        <v/>
      </c>
      <c r="F13" s="10">
        <f>SUM(B13:E13)</f>
        <v/>
      </c>
      <c r="G13" s="11">
        <f>IF(F13=0,"-",D13/F13)</f>
        <v/>
      </c>
    </row>
    <row r="14">
      <c r="A14" s="5" t="inlineStr">
        <is>
          <t>中</t>
        </is>
      </c>
      <c r="B14" s="10">
        <f>COUNTIFS(修正指示一覧!$C$5:$C$70,"中",修正指示一覧!$L$5:$L$70,"未着手")</f>
        <v/>
      </c>
      <c r="C14" s="10">
        <f>COUNTIFS(修正指示一覧!$C$5:$C$70,"中",修正指示一覧!$L$5:$L$70,"対応中")</f>
        <v/>
      </c>
      <c r="D14" s="10">
        <f>COUNTIFS(修正指示一覧!$C$5:$C$70,"中",修正指示一覧!$L$5:$L$70,"対応済")</f>
        <v/>
      </c>
      <c r="E14" s="10">
        <f>COUNTIFS(修正指示一覧!$C$5:$C$70,"中",修正指示一覧!$L$5:$L$70,"要協議")</f>
        <v/>
      </c>
      <c r="F14" s="10">
        <f>SUM(B14:E14)</f>
        <v/>
      </c>
      <c r="G14" s="11">
        <f>IF(F14=0,"-",D14/F14)</f>
        <v/>
      </c>
    </row>
    <row r="15">
      <c r="A15" s="5" t="inlineStr">
        <is>
          <t>低</t>
        </is>
      </c>
      <c r="B15" s="10">
        <f>COUNTIFS(修正指示一覧!$C$5:$C$70,"低",修正指示一覧!$L$5:$L$70,"未着手")</f>
        <v/>
      </c>
      <c r="C15" s="10">
        <f>COUNTIFS(修正指示一覧!$C$5:$C$70,"低",修正指示一覧!$L$5:$L$70,"対応中")</f>
        <v/>
      </c>
      <c r="D15" s="10">
        <f>COUNTIFS(修正指示一覧!$C$5:$C$70,"低",修正指示一覧!$L$5:$L$70,"対応済")</f>
        <v/>
      </c>
      <c r="E15" s="10">
        <f>COUNTIFS(修正指示一覧!$C$5:$C$70,"低",修正指示一覧!$L$5:$L$70,"要協議")</f>
        <v/>
      </c>
      <c r="F15" s="10">
        <f>SUM(B15:E15)</f>
        <v/>
      </c>
      <c r="G15" s="11">
        <f>IF(F15=0,"-",D15/F15)</f>
        <v/>
      </c>
    </row>
    <row r="17">
      <c r="A17" s="15" t="inlineStr">
        <is>
          <t>要確認事項（広域連合・3町への照会が必要な件数）</t>
        </is>
      </c>
    </row>
    <row r="18">
      <c r="A18" s="5" t="inlineStr">
        <is>
          <t>照会が必要</t>
        </is>
      </c>
      <c r="B18" s="10">
        <f>COUNTIF(修正指示一覧!$J$5:$J$70,"要*")</f>
        <v/>
      </c>
      <c r="C18" s="5" t="inlineStr">
        <is>
          <t>件（修正指示一覧の「確認要否」列が『要』の件数）</t>
        </is>
      </c>
      <c r="D18" s="16" t="n"/>
      <c r="E18" s="16" t="n"/>
      <c r="F18" s="16" t="n"/>
      <c r="G18" s="17"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18"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18"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18"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18" t="inlineStr">
        <is>
          <t>一致</t>
        </is>
      </c>
      <c r="G8" s="5" t="inlineStr"/>
    </row>
    <row r="9">
      <c r="A9" s="5" t="n">
        <v>5</v>
      </c>
      <c r="B9" s="5" t="inlineStr">
        <is>
          <t>第9期 所得段階数</t>
        </is>
      </c>
      <c r="C9" s="5" t="inlineStr">
        <is>
          <t>16段階</t>
        </is>
      </c>
      <c r="D9" s="5" t="inlineStr">
        <is>
          <t>16段階</t>
        </is>
      </c>
      <c r="E9" s="5" t="inlineStr">
        <is>
          <t>第9期計画 第6章第6節3</t>
        </is>
      </c>
      <c r="F9" s="18"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18"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18"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18"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18"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18"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18"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18"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18"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18"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18"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18"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18"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18"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18"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18" t="inlineStr">
        <is>
          <t>淡緑色</t>
        </is>
      </c>
      <c r="C14" s="5" t="inlineStr">
        <is>
          <t>原典との照合が一致した項目。</t>
        </is>
      </c>
    </row>
    <row r="15">
      <c r="A15" s="5" t="inlineStr"/>
      <c r="B15" s="7" t="inlineStr">
        <is>
          <t>淡橙色</t>
        </is>
      </c>
      <c r="C15" s="5" t="inlineStr">
        <is>
          <t>不一致・要確認・照会が必要な項目。</t>
        </is>
      </c>
    </row>
    <row r="17">
      <c r="A17" s="15"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2026-07-29T00:48:56Z</dcterms:created>
  <dcterms:modified xmlns:dcterms="http://purl.org/dc/terms/" xmlns:xsi="http://www.w3.org/2001/XMLSchema-instance" xsi:type="dcterms:W3CDTF">2026-07-29T00:48:56Z</dcterms:modified>
</cp:coreProperties>
</file>