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'修正指示一覧'!$A$4:$L$63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59件の修正指示。区分・優先度・該当箇所・現行記載・修正案・根拠を記載し、対応者と状態を記入して進捗管理します。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5"/>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修正指示一覧（全59件）</t>
        </is>
      </c>
    </row>
    <row r="2" ht="18" customHeight="1">
      <c r="A2" s="2" t="inlineStr">
        <is>
          <t>区分A：委員会前必須（18件）／区分B：原稿整備（22件）／区分C：継続確認（19件）　※対応者・状態は淡黄色欄に記入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未着手</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未着手</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8" t="inlineStr">
        <is>
          <t>未着手</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未着手</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t>
        </is>
      </c>
      <c r="G26" s="5" t="inlineStr">
        <is>
          <t>素案・KPI定義書・委員会資料・3町役割分担表のすべてが「調整済み認定率18.4％（令和7年度）」を基準値としている。</t>
        </is>
      </c>
      <c r="H26" s="5" t="inlineStr">
        <is>
          <t>北海道・全国との比較を行う運用であれば【他地域と比較】系列16.7％を採用する。18.4％を用いる場合は比較対象を圏域内の時系列と3町別に限定し、その旨をKPI定義書に明記する。あわせて基準時点を「令和7年度」から「令和7年3月末時点（令和6年度末）」に修正する。</t>
        </is>
      </c>
      <c r="I26" s="5" t="inlineStr">
        <is>
          <t>見える化B5-a：【注目する地域のみ】合計調整済み認定率18.4％（令和6年3月末・令和7年3月末時点）／【他地域と比較】合計調整済み認定率16.7％（令和7年3月末時点）</t>
        </is>
      </c>
      <c r="J26" s="7" t="inlineStr">
        <is>
          <t>要（採用系列を決定）</t>
        </is>
      </c>
      <c r="K26" s="8" t="inlineStr"/>
      <c r="L26" s="8" t="inlineStr">
        <is>
          <t>未着手</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8" t="inlineStr">
        <is>
          <t>未着手</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8" t="inlineStr">
        <is>
          <t>未着手</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8" t="inlineStr">
        <is>
          <t>未着手</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8" t="inlineStr">
        <is>
          <t>未着手</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8" t="inlineStr">
        <is>
          <t>未着手</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8" t="inlineStr">
        <is>
          <t>未着手</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8" t="inlineStr">
        <is>
          <t>未着手</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8" t="inlineStr">
        <is>
          <t>未着手</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8" t="inlineStr">
        <is>
          <t>未着手</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8" t="inlineStr">
        <is>
          <t>未着手</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t>
        </is>
      </c>
      <c r="I37" s="5" t="inlineStr">
        <is>
          <t>見える化D38・D25・D26（平成27年度〜令和7年度）</t>
        </is>
      </c>
      <c r="J37" s="7" t="inlineStr">
        <is>
          <t>要（定員減少の経緯を照会）</t>
        </is>
      </c>
      <c r="K37" s="8" t="inlineStr"/>
      <c r="L37" s="8" t="inlineStr">
        <is>
          <t>未着手</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8" t="inlineStr">
        <is>
          <t>未着手</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8" t="inlineStr">
        <is>
          <t>未着手</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8" t="inlineStr">
        <is>
          <t>未着手</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8" t="inlineStr">
        <is>
          <t>未着手</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8" t="inlineStr">
        <is>
          <t>未着手</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8" t="inlineStr">
        <is>
          <t>未着手</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8" t="inlineStr">
        <is>
          <t>未着手</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8" t="inlineStr">
        <is>
          <t>未着手</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8" t="inlineStr">
        <is>
          <t>未着手</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未着手</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未着手</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8" t="inlineStr">
        <is>
          <t>未着手</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8" t="inlineStr">
        <is>
          <t>未着手</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未着手</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t>
        </is>
      </c>
      <c r="I52" s="5" t="inlineStr">
        <is>
          <t>素案 資料編 資料1（1）／3町 第9期高齢者福祉計画</t>
        </is>
      </c>
      <c r="J52" s="7" t="inlineStr">
        <is>
          <t>要（3町の記録様式を確認）</t>
        </is>
      </c>
      <c r="K52" s="8" t="inlineStr"/>
      <c r="L52" s="8" t="inlineStr">
        <is>
          <t>未着手</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8" t="inlineStr">
        <is>
          <t>未着手</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未着手</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3案ある。①見える化の指標H1（介護人材の必要数）・H2（需要見込みに対する供給見込みの割合）を用いる。北海道が「令和8年までに約114千人」としている推計と同じ方法で、再出力により取得できる。②北海道と同じ「採用率と離職率の差」を用いる。採用（離職）率＝各年の採用（離職）者数÷各年9月30日の在籍者数×100で、第9期の介護人材実態調査の採用者数・退職者数から算定できる。③見える化の指標M2-a〜m（従事者数・サービス別・認定者1万対）で従事者数の推移を代替とする。仕様書は新たな調査の設計を業務範囲外としているため、既存データでの算定が前提となる。</t>
        </is>
      </c>
      <c r="I55" s="5" t="inlineStr">
        <is>
          <t>素案 資料編 資料1（1）／第9期計画 第2章第5節／業務仕様書４（３）</t>
        </is>
      </c>
      <c r="J55" s="7" t="inlineStr">
        <is>
          <t>要（調査票を確認）</t>
        </is>
      </c>
      <c r="K55" s="8" t="inlineStr"/>
      <c r="L55" s="8" t="inlineStr">
        <is>
          <t>未着手</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8" t="inlineStr">
        <is>
          <t>未着手</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た結果、未受領のδ・F・H・J・K・L・M・N・O・W系列に11事項の大半が含まれていることを確認した。再出力により三・七・九・十・十一の5事項が対応可能となる。指標IDは19シートに整理した（自給率δ2・δ3、通いの場F1〜F6、介護人材の必要数H1・H2、事業所数K1〜K3、在宅死亡者数L27、医療介護連携の加算L20〜L26・O1〜O13、従事者数M2、包括センターF15〜F25、総合事業F28〜F40、認知症J1〜J18、交付金評価W系列、レーダーチャートδ1）。残る一（地勢と交通）・八（高齢者向け住まい）は自治体からの資料提供、五の一部（介護SCR）・七の一部（入所率・稼働率）・二の一部（人口メッシュ）は令和8年度以降の改修待ちとなる。</t>
        </is>
      </c>
      <c r="I57" s="5" t="inlineStr">
        <is>
          <t>第10期基本指針案 別表（第135回社会保障審議会介護保険部会 資料2-1 令和8年6月29日）／見える化 指標リスト（目的別）</t>
        </is>
      </c>
      <c r="J57" s="7" t="inlineStr">
        <is>
          <t>要（見える化の再出力を依頼）</t>
        </is>
      </c>
      <c r="K57" s="8" t="inlineStr"/>
      <c r="L57" s="8" t="inlineStr">
        <is>
          <t>未着手</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8" t="inlineStr">
        <is>
          <t>未着手</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8" t="inlineStr">
        <is>
          <t>未着手</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8" t="inlineStr">
        <is>
          <t>未着手</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8" t="inlineStr">
        <is>
          <t>未着手</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8" t="inlineStr">
        <is>
          <t>未着手</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8" t="inlineStr">
        <is>
          <t>未着手</t>
        </is>
      </c>
    </row>
    <row r="65" ht="30" customHeight="1">
      <c r="A65"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63"/>
  <mergeCells count="3">
    <mergeCell ref="A2:L2"/>
    <mergeCell ref="A1:L1"/>
    <mergeCell ref="A65:L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COUNTIFS(修正指示一覧!$B$5:$B$63,"A",修正指示一覧!$L$5:$L$63,"未着手")</f>
        <v/>
      </c>
      <c r="C5" s="10">
        <f>COUNTIFS(修正指示一覧!$B$5:$B$63,"A",修正指示一覧!$L$5:$L$63,"対応中")</f>
        <v/>
      </c>
      <c r="D5" s="10">
        <f>COUNTIFS(修正指示一覧!$B$5:$B$63,"A",修正指示一覧!$L$5:$L$63,"対応済")</f>
        <v/>
      </c>
      <c r="E5" s="10">
        <f>COUNTIFS(修正指示一覧!$B$5:$B$63,"A",修正指示一覧!$L$5:$L$63,"要協議")</f>
        <v/>
      </c>
      <c r="F5" s="10">
        <f>SUM(B5:E5)</f>
        <v/>
      </c>
      <c r="G5" s="11">
        <f>IF(F5=0,"-",D5/F5)</f>
        <v/>
      </c>
    </row>
    <row r="6">
      <c r="A6" s="5" t="inlineStr">
        <is>
          <t>B　原稿整備</t>
        </is>
      </c>
      <c r="B6" s="10">
        <f>COUNTIFS(修正指示一覧!$B$5:$B$63,"B",修正指示一覧!$L$5:$L$63,"未着手")</f>
        <v/>
      </c>
      <c r="C6" s="10">
        <f>COUNTIFS(修正指示一覧!$B$5:$B$63,"B",修正指示一覧!$L$5:$L$63,"対応中")</f>
        <v/>
      </c>
      <c r="D6" s="10">
        <f>COUNTIFS(修正指示一覧!$B$5:$B$63,"B",修正指示一覧!$L$5:$L$63,"対応済")</f>
        <v/>
      </c>
      <c r="E6" s="10">
        <f>COUNTIFS(修正指示一覧!$B$5:$B$63,"B",修正指示一覧!$L$5:$L$63,"要協議")</f>
        <v/>
      </c>
      <c r="F6" s="10">
        <f>SUM(B6:E6)</f>
        <v/>
      </c>
      <c r="G6" s="11">
        <f>IF(F6=0,"-",D6/F6)</f>
        <v/>
      </c>
    </row>
    <row r="7">
      <c r="A7" s="5" t="inlineStr">
        <is>
          <t>C　継続確認</t>
        </is>
      </c>
      <c r="B7" s="10">
        <f>COUNTIFS(修正指示一覧!$B$5:$B$63,"C",修正指示一覧!$L$5:$L$63,"未着手")</f>
        <v/>
      </c>
      <c r="C7" s="10">
        <f>COUNTIFS(修正指示一覧!$B$5:$B$63,"C",修正指示一覧!$L$5:$L$63,"対応中")</f>
        <v/>
      </c>
      <c r="D7" s="10">
        <f>COUNTIFS(修正指示一覧!$B$5:$B$63,"C",修正指示一覧!$L$5:$L$63,"対応済")</f>
        <v/>
      </c>
      <c r="E7" s="10">
        <f>COUNTIFS(修正指示一覧!$B$5:$B$63,"C",修正指示一覧!$L$5:$L$63,"要協議")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COUNTIFS(修正指示一覧!$C$5:$C$63,"最優先",修正指示一覧!$L$5:$L$63,"未着手")</f>
        <v/>
      </c>
      <c r="C12" s="10">
        <f>COUNTIFS(修正指示一覧!$C$5:$C$63,"最優先",修正指示一覧!$L$5:$L$63,"対応中")</f>
        <v/>
      </c>
      <c r="D12" s="10">
        <f>COUNTIFS(修正指示一覧!$C$5:$C$63,"最優先",修正指示一覧!$L$5:$L$63,"対応済")</f>
        <v/>
      </c>
      <c r="E12" s="10">
        <f>COUNTIFS(修正指示一覧!$C$5:$C$63,"最優先",修正指示一覧!$L$5:$L$63,"要協議")</f>
        <v/>
      </c>
      <c r="F12" s="10">
        <f>SUM(B12:E12)</f>
        <v/>
      </c>
      <c r="G12" s="11">
        <f>IF(F12=0,"-",D12/F12)</f>
        <v/>
      </c>
    </row>
    <row r="13">
      <c r="A13" s="5" t="inlineStr">
        <is>
          <t>高</t>
        </is>
      </c>
      <c r="B13" s="10">
        <f>COUNTIFS(修正指示一覧!$C$5:$C$63,"高",修正指示一覧!$L$5:$L$63,"未着手")</f>
        <v/>
      </c>
      <c r="C13" s="10">
        <f>COUNTIFS(修正指示一覧!$C$5:$C$63,"高",修正指示一覧!$L$5:$L$63,"対応中")</f>
        <v/>
      </c>
      <c r="D13" s="10">
        <f>COUNTIFS(修正指示一覧!$C$5:$C$63,"高",修正指示一覧!$L$5:$L$63,"対応済")</f>
        <v/>
      </c>
      <c r="E13" s="10">
        <f>COUNTIFS(修正指示一覧!$C$5:$C$63,"高",修正指示一覧!$L$5:$L$63,"要協議")</f>
        <v/>
      </c>
      <c r="F13" s="10">
        <f>SUM(B13:E13)</f>
        <v/>
      </c>
      <c r="G13" s="11">
        <f>IF(F13=0,"-",D13/F13)</f>
        <v/>
      </c>
    </row>
    <row r="14">
      <c r="A14" s="5" t="inlineStr">
        <is>
          <t>中</t>
        </is>
      </c>
      <c r="B14" s="10">
        <f>COUNTIFS(修正指示一覧!$C$5:$C$63,"中",修正指示一覧!$L$5:$L$63,"未着手")</f>
        <v/>
      </c>
      <c r="C14" s="10">
        <f>COUNTIFS(修正指示一覧!$C$5:$C$63,"中",修正指示一覧!$L$5:$L$63,"対応中")</f>
        <v/>
      </c>
      <c r="D14" s="10">
        <f>COUNTIFS(修正指示一覧!$C$5:$C$63,"中",修正指示一覧!$L$5:$L$63,"対応済")</f>
        <v/>
      </c>
      <c r="E14" s="10">
        <f>COUNTIFS(修正指示一覧!$C$5:$C$63,"中",修正指示一覧!$L$5:$L$63,"要協議")</f>
        <v/>
      </c>
      <c r="F14" s="10">
        <f>SUM(B14:E14)</f>
        <v/>
      </c>
      <c r="G14" s="11">
        <f>IF(F14=0,"-",D14/F14)</f>
        <v/>
      </c>
    </row>
    <row r="15">
      <c r="A15" s="5" t="inlineStr">
        <is>
          <t>低</t>
        </is>
      </c>
      <c r="B15" s="10">
        <f>COUNTIFS(修正指示一覧!$C$5:$C$63,"低",修正指示一覧!$L$5:$L$63,"未着手")</f>
        <v/>
      </c>
      <c r="C15" s="10">
        <f>COUNTIFS(修正指示一覧!$C$5:$C$63,"低",修正指示一覧!$L$5:$L$63,"対応中")</f>
        <v/>
      </c>
      <c r="D15" s="10">
        <f>COUNTIFS(修正指示一覧!$C$5:$C$63,"低",修正指示一覧!$L$5:$L$63,"対応済")</f>
        <v/>
      </c>
      <c r="E15" s="10">
        <f>COUNTIFS(修正指示一覧!$C$5:$C$63,"低",修正指示一覧!$L$5:$L$63,"要協議")</f>
        <v/>
      </c>
      <c r="F15" s="10">
        <f>SUM(B15:E15)</f>
        <v/>
      </c>
      <c r="G15" s="11">
        <f>IF(F15=0,"-",D15/F15)</f>
        <v/>
      </c>
    </row>
    <row r="17">
      <c r="A17" s="15" t="inlineStr">
        <is>
          <t>要確認事項（広域連合・3町への照会が必要な件数）</t>
        </is>
      </c>
    </row>
    <row r="18">
      <c r="A18" s="5" t="inlineStr">
        <is>
          <t>照会が必要</t>
        </is>
      </c>
      <c r="B18" s="10">
        <f>COUNTIF(修正指示一覧!$J$5:$J$63,"要*")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2026-07-28T23:13:22Z</dcterms:created>
  <dcterms:modified xmlns:dcterms="http://purl.org/dc/terms/" xmlns:xsi="http://www.w3.org/2001/XMLSchema-instance" xsi:type="dcterms:W3CDTF">2026-07-28T23:13:22Z</dcterms:modified>
</cp:coreProperties>
</file>