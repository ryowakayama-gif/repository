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'修正指示一覧'!$A$4:$L$55</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F2F2F2"/>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7" borderId="1" applyAlignment="1" pivotButton="0" quotePrefix="0" xfId="0">
      <alignment vertical="top" wrapText="1"/>
    </xf>
    <xf numFmtId="0" fontId="6" fillId="7" borderId="1" applyAlignment="1" pivotButton="0" quotePrefix="0" xfId="0">
      <alignment horizontal="center"/>
    </xf>
    <xf numFmtId="164" fontId="6" fillId="7"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xf numFmtId="0" fontId="4"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第9稿→第10稿 修正指示書</t>
        </is>
      </c>
    </row>
    <row r="2" ht="18" customHeight="1">
      <c r="A2" s="2" t="inlineStr">
        <is>
          <t>令和8（2026）年7月28日作成／第1回介護保険事業計画策定委員会前の修正管理用</t>
        </is>
      </c>
    </row>
    <row r="4" ht="48" customHeight="1">
      <c r="A4" s="3" t="inlineStr">
        <is>
          <t>本書は、素案第9稿（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51件の修正指示。区分・優先度・該当箇所・現行記載・修正案・根拠を記載し、対応者と状態を記入して進捗管理します。</t>
        </is>
      </c>
    </row>
    <row r="8">
      <c r="A8" s="5" t="n">
        <v>2</v>
      </c>
      <c r="B8" s="5" t="inlineStr">
        <is>
          <t>進捗管理</t>
        </is>
      </c>
      <c r="C8" s="5" t="inlineStr">
        <is>
          <t>区分別・優先度別・状態別の件数を自動集計します（修正指示一覧の状態欄を更新すると連動）。</t>
        </is>
      </c>
    </row>
    <row r="9">
      <c r="A9" s="5" t="n">
        <v>3</v>
      </c>
      <c r="B9" s="5" t="inlineStr">
        <is>
          <t>数値照合結果</t>
        </is>
      </c>
      <c r="C9" s="5" t="inlineStr">
        <is>
          <t>素案第9稿の主要数値と第9期計画等の原典との照合結果。一致・不一致・要確認の別と原典ページを記載します。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7"/>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第9稿→第10稿 修正指示一覧（全51件）</t>
        </is>
      </c>
    </row>
    <row r="2" ht="18" customHeight="1">
      <c r="A2" s="2" t="inlineStr">
        <is>
          <t>区分A：委員会前必須（15件）／区分B：原稿整備（20件）／区分C：継続確認（16件）　※対応者・状態は淡黄色欄に記入</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8" t="inlineStr">
        <is>
          <t>未着手</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8" t="inlineStr">
        <is>
          <t>未着手</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8" t="inlineStr">
        <is>
          <t>未着手</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不要（方針決定済み）</t>
        </is>
      </c>
      <c r="K8" s="8" t="inlineStr"/>
      <c r="L8" s="8" t="inlineStr">
        <is>
          <t>未着手</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8" t="inlineStr">
        <is>
          <t>未着手</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8" t="inlineStr">
        <is>
          <t>未着手</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8" t="inlineStr">
        <is>
          <t>未着手</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素案第9稿 第3章第4節の見出し構成</t>
        </is>
      </c>
      <c r="J12" s="5" t="inlineStr">
        <is>
          <t>不要</t>
        </is>
      </c>
      <c r="K12" s="8" t="inlineStr"/>
      <c r="L12" s="8" t="inlineStr">
        <is>
          <t>未着手</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8" t="inlineStr">
        <is>
          <t>未着手</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8" t="inlineStr">
        <is>
          <t>未着手</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素案第9稿 第1章第9節・資料編</t>
        </is>
      </c>
      <c r="J15" s="5" t="inlineStr">
        <is>
          <t>不要</t>
        </is>
      </c>
      <c r="K15" s="8" t="inlineStr"/>
      <c r="L15" s="8" t="inlineStr">
        <is>
          <t>未着手</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8" t="inlineStr">
        <is>
          <t>未着手</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8" t="inlineStr">
        <is>
          <t>未着手</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未着手</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未着手</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8" t="inlineStr">
        <is>
          <t>未着手</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8" t="inlineStr">
        <is>
          <t>未着手</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未着手</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未着手</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8" t="inlineStr">
        <is>
          <t>未着手</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未着手</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t>
        </is>
      </c>
      <c r="G26" s="5" t="inlineStr">
        <is>
          <t>素案・KPI定義書・委員会資料・3町役割分担表のすべてが「調整済み認定率18.4％（令和7年度）」を基準値としている。</t>
        </is>
      </c>
      <c r="H26" s="5" t="inlineStr">
        <is>
          <t>北海道・全国との比較を行う運用であれば【他地域と比較】系列16.7％を採用する。18.4％を用いる場合は比較対象を圏域内の時系列と3町別に限定し、その旨をKPI定義書に明記する。あわせて基準時点を「令和7年度」から「令和7年3月末時点（令和6年度末）」に修正する。</t>
        </is>
      </c>
      <c r="I26" s="5" t="inlineStr">
        <is>
          <t>見える化B5-a：【注目する地域のみ】合計調整済み認定率18.4％（令和6年3月末・令和7年3月末時点）／【他地域と比較】合計調整済み認定率16.7％（令和7年3月末時点）</t>
        </is>
      </c>
      <c r="J26" s="7" t="inlineStr">
        <is>
          <t>要（採用系列を決定）</t>
        </is>
      </c>
      <c r="K26" s="8" t="inlineStr"/>
      <c r="L26" s="8" t="inlineStr">
        <is>
          <t>未着手</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8" t="inlineStr">
        <is>
          <t>未着手</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8" t="inlineStr">
        <is>
          <t>未着手</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8" t="inlineStr">
        <is>
          <t>未着手</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8" t="inlineStr">
        <is>
          <t>未着手</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8" t="inlineStr">
        <is>
          <t>未着手</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8" t="inlineStr">
        <is>
          <t>未着手</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8" t="inlineStr">
        <is>
          <t>未着手</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8" t="inlineStr">
        <is>
          <t>未着手</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8" t="inlineStr">
        <is>
          <t>未着手</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8" t="inlineStr">
        <is>
          <t>未着手</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t>
        </is>
      </c>
      <c r="I37" s="5" t="inlineStr">
        <is>
          <t>見える化D38・D25・D26（平成27年度〜令和7年度）</t>
        </is>
      </c>
      <c r="J37" s="7" t="inlineStr">
        <is>
          <t>要（定員減少の経緯を照会）</t>
        </is>
      </c>
      <c r="K37" s="8" t="inlineStr"/>
      <c r="L37" s="8" t="inlineStr">
        <is>
          <t>未着手</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8" t="inlineStr">
        <is>
          <t>未着手</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8" t="inlineStr">
        <is>
          <t>未着手</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8" t="inlineStr">
        <is>
          <t>未着手</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8" t="inlineStr">
        <is>
          <t>未着手</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出現回数は第9期計画14回（本文109,819字）、素案第9稿3回（同28,832字）。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8" t="inlineStr">
        <is>
          <t>未着手</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8" t="inlineStr">
        <is>
          <t>未着手</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8" t="inlineStr">
        <is>
          <t>未着手</t>
        </is>
      </c>
    </row>
    <row r="45">
      <c r="A45" s="5" t="inlineStr">
        <is>
          <t>C-10</t>
        </is>
      </c>
      <c r="B45" s="5" t="inlineStr">
        <is>
          <t>C</t>
        </is>
      </c>
      <c r="C45" s="5" t="inlineStr">
        <is>
          <t>高</t>
        </is>
      </c>
      <c r="D45" s="5" t="inlineStr">
        <is>
          <t>第4章・第5章／資料編 資料2</t>
        </is>
      </c>
      <c r="E45" s="5" t="inlineStr">
        <is>
          <t>3町計画に数値目標がない</t>
        </is>
      </c>
      <c r="F45" s="5" t="inlineStr">
        <is>
          <t>3町の高齢者福祉計画に数値目標が1件も設定されていない。広域がKPIを設定しても、達成手段を担う町の計画に目標がないため、PDCAが町段階で機能しない。</t>
        </is>
      </c>
      <c r="G45" s="5" t="inlineStr">
        <is>
          <t>空白除去後の全文検索で「数値目標」の出現は広域4件に対し3町とも0件。「目標値」は東川町2件のみで、いずれも広域の目標値への言及。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8" t="inlineStr">
        <is>
          <t>未着手</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8" t="inlineStr">
        <is>
          <t>未着手</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未着手</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未着手</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8" t="inlineStr">
        <is>
          <t>未着手</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素案第9稿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t>
        </is>
      </c>
      <c r="I50" s="5" t="inlineStr">
        <is>
          <t>業務仕様書４（４）／第9期計画 第1章第6節1（1）①②</t>
        </is>
      </c>
      <c r="J50" s="7" t="inlineStr">
        <is>
          <t>要（類似保険者の出力を依頼）</t>
        </is>
      </c>
      <c r="K50" s="8" t="inlineStr"/>
      <c r="L50" s="8" t="inlineStr">
        <is>
          <t>未着手</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未着手</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t>
        </is>
      </c>
      <c r="I52" s="5" t="inlineStr">
        <is>
          <t>素案 資料編 資料1（1）／3町 第9期高齢者福祉計画</t>
        </is>
      </c>
      <c r="J52" s="7" t="inlineStr">
        <is>
          <t>要（3町の記録様式を確認）</t>
        </is>
      </c>
      <c r="K52" s="8" t="inlineStr"/>
      <c r="L52" s="8" t="inlineStr">
        <is>
          <t>未着手</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8" t="inlineStr">
        <is>
          <t>未着手</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未着手</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は、H13は求人継続期間又は採用退職の差分、H14は年間離職率（退職者数÷期首在職者数）での代替を検討する。仕様書は新たな調査の設計を業務範囲外としているため、既存の設問での算定可否が前提となる。</t>
        </is>
      </c>
      <c r="I55" s="5" t="inlineStr">
        <is>
          <t>素案 資料編 資料1（1）／第9期計画 第2章第5節／業務仕様書４（３）</t>
        </is>
      </c>
      <c r="J55" s="7" t="inlineStr">
        <is>
          <t>要（調査票を確認）</t>
        </is>
      </c>
      <c r="K55" s="8" t="inlineStr"/>
      <c r="L55" s="8" t="inlineStr">
        <is>
          <t>未着手</t>
        </is>
      </c>
    </row>
    <row r="57" ht="30" customHeight="1">
      <c r="A57" s="9" t="inlineStr">
        <is>
          <t>注1）「現行の記載」は素案第9稿（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55"/>
  <mergeCells count="3">
    <mergeCell ref="A57:L57"/>
    <mergeCell ref="A2:L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修正指示一覧の「状態」欄を更新すると自動集計されます（状態は 未着手／対応中／対応済／要協議 から選択）</t>
        </is>
      </c>
    </row>
    <row r="4" ht="30" customHeight="1">
      <c r="A4" s="4" t="inlineStr">
        <is>
          <t>区分</t>
        </is>
      </c>
      <c r="B4" s="4" t="inlineStr">
        <is>
          <t>未着手</t>
        </is>
      </c>
      <c r="C4" s="4" t="inlineStr">
        <is>
          <t>対応中</t>
        </is>
      </c>
      <c r="D4" s="4" t="inlineStr">
        <is>
          <t>対応済</t>
        </is>
      </c>
      <c r="E4" s="4" t="inlineStr">
        <is>
          <t>要協議</t>
        </is>
      </c>
      <c r="F4" s="4" t="inlineStr">
        <is>
          <t>合計</t>
        </is>
      </c>
      <c r="G4" s="4" t="inlineStr">
        <is>
          <t>対応済率</t>
        </is>
      </c>
    </row>
    <row r="5">
      <c r="A5" s="5" t="inlineStr">
        <is>
          <t>A　委員会前必須</t>
        </is>
      </c>
      <c r="B5" s="10">
        <f>COUNTIFS(修正指示一覧!$B$5:$B$55,"A",修正指示一覧!$L$5:$L$55,"未着手")</f>
        <v/>
      </c>
      <c r="C5" s="10">
        <f>COUNTIFS(修正指示一覧!$B$5:$B$55,"A",修正指示一覧!$L$5:$L$55,"対応中")</f>
        <v/>
      </c>
      <c r="D5" s="10">
        <f>COUNTIFS(修正指示一覧!$B$5:$B$55,"A",修正指示一覧!$L$5:$L$55,"対応済")</f>
        <v/>
      </c>
      <c r="E5" s="10">
        <f>COUNTIFS(修正指示一覧!$B$5:$B$55,"A",修正指示一覧!$L$5:$L$55,"要協議")</f>
        <v/>
      </c>
      <c r="F5" s="10">
        <f>SUM(B5:E5)</f>
        <v/>
      </c>
      <c r="G5" s="11">
        <f>IF(F5=0,"-",D5/F5)</f>
        <v/>
      </c>
    </row>
    <row r="6">
      <c r="A6" s="5" t="inlineStr">
        <is>
          <t>B　原稿整備</t>
        </is>
      </c>
      <c r="B6" s="10">
        <f>COUNTIFS(修正指示一覧!$B$5:$B$55,"B",修正指示一覧!$L$5:$L$55,"未着手")</f>
        <v/>
      </c>
      <c r="C6" s="10">
        <f>COUNTIFS(修正指示一覧!$B$5:$B$55,"B",修正指示一覧!$L$5:$L$55,"対応中")</f>
        <v/>
      </c>
      <c r="D6" s="10">
        <f>COUNTIFS(修正指示一覧!$B$5:$B$55,"B",修正指示一覧!$L$5:$L$55,"対応済")</f>
        <v/>
      </c>
      <c r="E6" s="10">
        <f>COUNTIFS(修正指示一覧!$B$5:$B$55,"B",修正指示一覧!$L$5:$L$55,"要協議")</f>
        <v/>
      </c>
      <c r="F6" s="10">
        <f>SUM(B6:E6)</f>
        <v/>
      </c>
      <c r="G6" s="11">
        <f>IF(F6=0,"-",D6/F6)</f>
        <v/>
      </c>
    </row>
    <row r="7">
      <c r="A7" s="5" t="inlineStr">
        <is>
          <t>C　継続確認</t>
        </is>
      </c>
      <c r="B7" s="10">
        <f>COUNTIFS(修正指示一覧!$B$5:$B$55,"C",修正指示一覧!$L$5:$L$55,"未着手")</f>
        <v/>
      </c>
      <c r="C7" s="10">
        <f>COUNTIFS(修正指示一覧!$B$5:$B$55,"C",修正指示一覧!$L$5:$L$55,"対応中")</f>
        <v/>
      </c>
      <c r="D7" s="10">
        <f>COUNTIFS(修正指示一覧!$B$5:$B$55,"C",修正指示一覧!$L$5:$L$55,"対応済")</f>
        <v/>
      </c>
      <c r="E7" s="10">
        <f>COUNTIFS(修正指示一覧!$B$5:$B$55,"C",修正指示一覧!$L$5:$L$55,"要協議")</f>
        <v/>
      </c>
      <c r="F7" s="10">
        <f>SUM(B7:E7)</f>
        <v/>
      </c>
      <c r="G7" s="11">
        <f>IF(F7=0,"-",D7/F7)</f>
        <v/>
      </c>
    </row>
    <row r="8">
      <c r="A8" s="12" t="inlineStr">
        <is>
          <t>合計</t>
        </is>
      </c>
      <c r="B8" s="13">
        <f>SUM(B5:B7)</f>
        <v/>
      </c>
      <c r="C8" s="13">
        <f>SUM(C5:C7)</f>
        <v/>
      </c>
      <c r="D8" s="13">
        <f>SUM(D5:D7)</f>
        <v/>
      </c>
      <c r="E8" s="13">
        <f>SUM(E5:E7)</f>
        <v/>
      </c>
      <c r="F8" s="13">
        <f>SUM(F5:F7)</f>
        <v/>
      </c>
      <c r="G8" s="14">
        <f>IF(F8=0,"-",D8/F8)</f>
        <v/>
      </c>
    </row>
    <row r="10">
      <c r="A10" s="15" t="inlineStr">
        <is>
          <t>優先度別</t>
        </is>
      </c>
    </row>
    <row r="11" ht="30" customHeight="1">
      <c r="A11" s="4" t="inlineStr">
        <is>
          <t>優先度</t>
        </is>
      </c>
      <c r="B11" s="4" t="inlineStr">
        <is>
          <t>未着手</t>
        </is>
      </c>
      <c r="C11" s="4" t="inlineStr">
        <is>
          <t>対応中</t>
        </is>
      </c>
      <c r="D11" s="4" t="inlineStr">
        <is>
          <t>対応済</t>
        </is>
      </c>
      <c r="E11" s="4" t="inlineStr">
        <is>
          <t>要協議</t>
        </is>
      </c>
      <c r="F11" s="4" t="inlineStr">
        <is>
          <t>合計</t>
        </is>
      </c>
      <c r="G11" s="4" t="inlineStr">
        <is>
          <t>対応済率</t>
        </is>
      </c>
    </row>
    <row r="12">
      <c r="A12" s="5" t="inlineStr">
        <is>
          <t>最優先</t>
        </is>
      </c>
      <c r="B12" s="10">
        <f>COUNTIFS(修正指示一覧!$C$5:$C$55,"最優先",修正指示一覧!$L$5:$L$55,"未着手")</f>
        <v/>
      </c>
      <c r="C12" s="10">
        <f>COUNTIFS(修正指示一覧!$C$5:$C$55,"最優先",修正指示一覧!$L$5:$L$55,"対応中")</f>
        <v/>
      </c>
      <c r="D12" s="10">
        <f>COUNTIFS(修正指示一覧!$C$5:$C$55,"最優先",修正指示一覧!$L$5:$L$55,"対応済")</f>
        <v/>
      </c>
      <c r="E12" s="10">
        <f>COUNTIFS(修正指示一覧!$C$5:$C$55,"最優先",修正指示一覧!$L$5:$L$55,"要協議")</f>
        <v/>
      </c>
      <c r="F12" s="10">
        <f>SUM(B12:E12)</f>
        <v/>
      </c>
      <c r="G12" s="11">
        <f>IF(F12=0,"-",D12/F12)</f>
        <v/>
      </c>
    </row>
    <row r="13">
      <c r="A13" s="5" t="inlineStr">
        <is>
          <t>高</t>
        </is>
      </c>
      <c r="B13" s="10">
        <f>COUNTIFS(修正指示一覧!$C$5:$C$55,"高",修正指示一覧!$L$5:$L$55,"未着手")</f>
        <v/>
      </c>
      <c r="C13" s="10">
        <f>COUNTIFS(修正指示一覧!$C$5:$C$55,"高",修正指示一覧!$L$5:$L$55,"対応中")</f>
        <v/>
      </c>
      <c r="D13" s="10">
        <f>COUNTIFS(修正指示一覧!$C$5:$C$55,"高",修正指示一覧!$L$5:$L$55,"対応済")</f>
        <v/>
      </c>
      <c r="E13" s="10">
        <f>COUNTIFS(修正指示一覧!$C$5:$C$55,"高",修正指示一覧!$L$5:$L$55,"要協議")</f>
        <v/>
      </c>
      <c r="F13" s="10">
        <f>SUM(B13:E13)</f>
        <v/>
      </c>
      <c r="G13" s="11">
        <f>IF(F13=0,"-",D13/F13)</f>
        <v/>
      </c>
    </row>
    <row r="14">
      <c r="A14" s="5" t="inlineStr">
        <is>
          <t>中</t>
        </is>
      </c>
      <c r="B14" s="10">
        <f>COUNTIFS(修正指示一覧!$C$5:$C$55,"中",修正指示一覧!$L$5:$L$55,"未着手")</f>
        <v/>
      </c>
      <c r="C14" s="10">
        <f>COUNTIFS(修正指示一覧!$C$5:$C$55,"中",修正指示一覧!$L$5:$L$55,"対応中")</f>
        <v/>
      </c>
      <c r="D14" s="10">
        <f>COUNTIFS(修正指示一覧!$C$5:$C$55,"中",修正指示一覧!$L$5:$L$55,"対応済")</f>
        <v/>
      </c>
      <c r="E14" s="10">
        <f>COUNTIFS(修正指示一覧!$C$5:$C$55,"中",修正指示一覧!$L$5:$L$55,"要協議")</f>
        <v/>
      </c>
      <c r="F14" s="10">
        <f>SUM(B14:E14)</f>
        <v/>
      </c>
      <c r="G14" s="11">
        <f>IF(F14=0,"-",D14/F14)</f>
        <v/>
      </c>
    </row>
    <row r="15">
      <c r="A15" s="5" t="inlineStr">
        <is>
          <t>低</t>
        </is>
      </c>
      <c r="B15" s="10">
        <f>COUNTIFS(修正指示一覧!$C$5:$C$55,"低",修正指示一覧!$L$5:$L$55,"未着手")</f>
        <v/>
      </c>
      <c r="C15" s="10">
        <f>COUNTIFS(修正指示一覧!$C$5:$C$55,"低",修正指示一覧!$L$5:$L$55,"対応中")</f>
        <v/>
      </c>
      <c r="D15" s="10">
        <f>COUNTIFS(修正指示一覧!$C$5:$C$55,"低",修正指示一覧!$L$5:$L$55,"対応済")</f>
        <v/>
      </c>
      <c r="E15" s="10">
        <f>COUNTIFS(修正指示一覧!$C$5:$C$55,"低",修正指示一覧!$L$5:$L$55,"要協議")</f>
        <v/>
      </c>
      <c r="F15" s="10">
        <f>SUM(B15:E15)</f>
        <v/>
      </c>
      <c r="G15" s="11">
        <f>IF(F15=0,"-",D15/F15)</f>
        <v/>
      </c>
    </row>
    <row r="17">
      <c r="A17" s="15" t="inlineStr">
        <is>
          <t>要確認事項（広域連合・3町への照会が必要な件数）</t>
        </is>
      </c>
    </row>
    <row r="18">
      <c r="A18" s="5" t="inlineStr">
        <is>
          <t>照会が必要</t>
        </is>
      </c>
      <c r="B18" s="10">
        <f>COUNTIF(修正指示一覧!$J$5:$J$55,"要*")</f>
        <v/>
      </c>
      <c r="C18" s="5" t="inlineStr">
        <is>
          <t>件（修正指示一覧の「確認要否」列が『要』の件数）</t>
        </is>
      </c>
      <c r="D18" s="16" t="n"/>
      <c r="E18" s="16" t="n"/>
      <c r="F18" s="16" t="n"/>
      <c r="G18" s="17"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素案第9稿の主要数値と原典との照合結果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素案第9稿の記載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18"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18"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18"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18" t="inlineStr">
        <is>
          <t>一致</t>
        </is>
      </c>
      <c r="G8" s="5" t="inlineStr"/>
    </row>
    <row r="9">
      <c r="A9" s="5" t="n">
        <v>5</v>
      </c>
      <c r="B9" s="5" t="inlineStr">
        <is>
          <t>第9期 所得段階数</t>
        </is>
      </c>
      <c r="C9" s="5" t="inlineStr">
        <is>
          <t>16段階</t>
        </is>
      </c>
      <c r="D9" s="5" t="inlineStr">
        <is>
          <t>16段階</t>
        </is>
      </c>
      <c r="E9" s="5" t="inlineStr">
        <is>
          <t>第9期計画 第6章第6節3</t>
        </is>
      </c>
      <c r="F9" s="18"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18"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18"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18"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18"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18"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18"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18"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18"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18"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18"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18"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18"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18"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18"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18" t="inlineStr">
        <is>
          <t>淡緑色</t>
        </is>
      </c>
      <c r="C14" s="5" t="inlineStr">
        <is>
          <t>原典との照合が一致した項目。</t>
        </is>
      </c>
    </row>
    <row r="15">
      <c r="A15" s="5" t="inlineStr"/>
      <c r="B15" s="7" t="inlineStr">
        <is>
          <t>淡橙色</t>
        </is>
      </c>
      <c r="C15" s="5" t="inlineStr">
        <is>
          <t>不一致・要確認・照会が必要な項目。</t>
        </is>
      </c>
    </row>
    <row r="17">
      <c r="A17" s="15"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2026-07-28T15:20:17Z</dcterms:created>
  <dcterms:modified xmlns:dcterms="http://purl.org/dc/terms/" xmlns:xsi="http://www.w3.org/2001/XMLSchema-instance" xsi:type="dcterms:W3CDTF">2026-07-28T15:20:17Z</dcterms:modified>
</cp:coreProperties>
</file>