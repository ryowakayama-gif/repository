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57件の修正指示。区分・優先度・該当箇所・現行記載・修正案・根拠を記載し、対応者と状態を記入して進捗管理します。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3"/>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修正指示一覧（全57件）</t>
        </is>
      </c>
    </row>
    <row r="2" ht="18" customHeight="1">
      <c r="A2" s="2" t="inlineStr">
        <is>
          <t>区分A：委員会前必須（17件）／区分B：原稿整備（22件）／区分C：継続確認（18件）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t>
        </is>
      </c>
      <c r="I52" s="5" t="inlineStr">
        <is>
          <t>素案 資料編 資料1（1）／3町 第9期高齢者福祉計画</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は、H13は求人継続期間又は採用退職の差分、H14は年間離職率（退職者数÷期首在職者数）での代替を検討する。仕様書は新たな調査の設計を業務範囲外としているため、既存の設問での算定可否が前提となる。</t>
        </is>
      </c>
      <c r="I55" s="5" t="inlineStr">
        <is>
          <t>素案 資料編 資料1（1）／第9期計画 第2章第5節／業務仕様書４（３）</t>
        </is>
      </c>
      <c r="J55" s="7" t="inlineStr">
        <is>
          <t>要（調査票を確認）</t>
        </is>
      </c>
      <c r="K55" s="8" t="inlineStr"/>
      <c r="L55" s="8" t="inlineStr">
        <is>
          <t>未着手</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t>
        </is>
      </c>
      <c r="I56" s="5" t="inlineStr">
        <is>
          <t>第9期計画 第1章第6節1（2）①／北海道第9期計画 第4章第3節3／第10期基本指針案 別表「確認すべき指標・状況」九</t>
        </is>
      </c>
      <c r="J56" s="7" t="inlineStr">
        <is>
          <t>要（採用系列と評価方法を決定）</t>
        </is>
      </c>
      <c r="K56" s="8" t="inlineStr"/>
      <c r="L56" s="8" t="inlineStr">
        <is>
          <t>未着手</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見える化システムの再出力（人口メッシュ、介護サービス自給率、介護SCR、入所率・稼働率・職員数推移、医療介護連携のレーダーチャート）を依頼し、第2章の構成を11事項に対応させる。特に入所率と自給率は、未利用認定者504人（A-12）と重度在宅化（A-13）の要因分析に直結する。</t>
        </is>
      </c>
      <c r="I57" s="5" t="inlineStr">
        <is>
          <t>第10期基本指針案 別表（第135回社会保障審議会介護保険部会 資料2-1 令和8年6月29日）</t>
        </is>
      </c>
      <c r="J57" s="7" t="inlineStr">
        <is>
          <t>要（見える化の再出力を依頼）</t>
        </is>
      </c>
      <c r="K57" s="8" t="inlineStr"/>
      <c r="L57" s="8" t="inlineStr">
        <is>
          <t>未着手</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8" t="inlineStr">
        <is>
          <t>未着手</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8" t="inlineStr">
        <is>
          <t>未着手</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8" t="inlineStr">
        <is>
          <t>未着手</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8" t="inlineStr">
        <is>
          <t>未着手</t>
        </is>
      </c>
    </row>
    <row r="63" ht="30" customHeight="1">
      <c r="A63"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61"/>
  <mergeCells count="3">
    <mergeCell ref="A63:L63"/>
    <mergeCell ref="A2:L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COUNTIFS(修正指示一覧!$B$5:$B$61,"A",修正指示一覧!$L$5:$L$61,"未着手")</f>
        <v/>
      </c>
      <c r="C5" s="10">
        <f>COUNTIFS(修正指示一覧!$B$5:$B$61,"A",修正指示一覧!$L$5:$L$61,"対応中")</f>
        <v/>
      </c>
      <c r="D5" s="10">
        <f>COUNTIFS(修正指示一覧!$B$5:$B$61,"A",修正指示一覧!$L$5:$L$61,"対応済")</f>
        <v/>
      </c>
      <c r="E5" s="10">
        <f>COUNTIFS(修正指示一覧!$B$5:$B$61,"A",修正指示一覧!$L$5:$L$61,"要協議")</f>
        <v/>
      </c>
      <c r="F5" s="10">
        <f>SUM(B5:E5)</f>
        <v/>
      </c>
      <c r="G5" s="11">
        <f>IF(F5=0,"-",D5/F5)</f>
        <v/>
      </c>
    </row>
    <row r="6">
      <c r="A6" s="5" t="inlineStr">
        <is>
          <t>B　原稿整備</t>
        </is>
      </c>
      <c r="B6" s="10">
        <f>COUNTIFS(修正指示一覧!$B$5:$B$61,"B",修正指示一覧!$L$5:$L$61,"未着手")</f>
        <v/>
      </c>
      <c r="C6" s="10">
        <f>COUNTIFS(修正指示一覧!$B$5:$B$61,"B",修正指示一覧!$L$5:$L$61,"対応中")</f>
        <v/>
      </c>
      <c r="D6" s="10">
        <f>COUNTIFS(修正指示一覧!$B$5:$B$61,"B",修正指示一覧!$L$5:$L$61,"対応済")</f>
        <v/>
      </c>
      <c r="E6" s="10">
        <f>COUNTIFS(修正指示一覧!$B$5:$B$61,"B",修正指示一覧!$L$5:$L$61,"要協議")</f>
        <v/>
      </c>
      <c r="F6" s="10">
        <f>SUM(B6:E6)</f>
        <v/>
      </c>
      <c r="G6" s="11">
        <f>IF(F6=0,"-",D6/F6)</f>
        <v/>
      </c>
    </row>
    <row r="7">
      <c r="A7" s="5" t="inlineStr">
        <is>
          <t>C　継続確認</t>
        </is>
      </c>
      <c r="B7" s="10">
        <f>COUNTIFS(修正指示一覧!$B$5:$B$61,"C",修正指示一覧!$L$5:$L$61,"未着手")</f>
        <v/>
      </c>
      <c r="C7" s="10">
        <f>COUNTIFS(修正指示一覧!$B$5:$B$61,"C",修正指示一覧!$L$5:$L$61,"対応中")</f>
        <v/>
      </c>
      <c r="D7" s="10">
        <f>COUNTIFS(修正指示一覧!$B$5:$B$61,"C",修正指示一覧!$L$5:$L$61,"対応済")</f>
        <v/>
      </c>
      <c r="E7" s="10">
        <f>COUNTIFS(修正指示一覧!$B$5:$B$61,"C",修正指示一覧!$L$5:$L$61,"要協議")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COUNTIFS(修正指示一覧!$C$5:$C$61,"最優先",修正指示一覧!$L$5:$L$61,"未着手")</f>
        <v/>
      </c>
      <c r="C12" s="10">
        <f>COUNTIFS(修正指示一覧!$C$5:$C$61,"最優先",修正指示一覧!$L$5:$L$61,"対応中")</f>
        <v/>
      </c>
      <c r="D12" s="10">
        <f>COUNTIFS(修正指示一覧!$C$5:$C$61,"最優先",修正指示一覧!$L$5:$L$61,"対応済")</f>
        <v/>
      </c>
      <c r="E12" s="10">
        <f>COUNTIFS(修正指示一覧!$C$5:$C$61,"最優先",修正指示一覧!$L$5:$L$61,"要協議")</f>
        <v/>
      </c>
      <c r="F12" s="10">
        <f>SUM(B12:E12)</f>
        <v/>
      </c>
      <c r="G12" s="11">
        <f>IF(F12=0,"-",D12/F12)</f>
        <v/>
      </c>
    </row>
    <row r="13">
      <c r="A13" s="5" t="inlineStr">
        <is>
          <t>高</t>
        </is>
      </c>
      <c r="B13" s="10">
        <f>COUNTIFS(修正指示一覧!$C$5:$C$61,"高",修正指示一覧!$L$5:$L$61,"未着手")</f>
        <v/>
      </c>
      <c r="C13" s="10">
        <f>COUNTIFS(修正指示一覧!$C$5:$C$61,"高",修正指示一覧!$L$5:$L$61,"対応中")</f>
        <v/>
      </c>
      <c r="D13" s="10">
        <f>COUNTIFS(修正指示一覧!$C$5:$C$61,"高",修正指示一覧!$L$5:$L$61,"対応済")</f>
        <v/>
      </c>
      <c r="E13" s="10">
        <f>COUNTIFS(修正指示一覧!$C$5:$C$61,"高",修正指示一覧!$L$5:$L$61,"要協議")</f>
        <v/>
      </c>
      <c r="F13" s="10">
        <f>SUM(B13:E13)</f>
        <v/>
      </c>
      <c r="G13" s="11">
        <f>IF(F13=0,"-",D13/F13)</f>
        <v/>
      </c>
    </row>
    <row r="14">
      <c r="A14" s="5" t="inlineStr">
        <is>
          <t>中</t>
        </is>
      </c>
      <c r="B14" s="10">
        <f>COUNTIFS(修正指示一覧!$C$5:$C$61,"中",修正指示一覧!$L$5:$L$61,"未着手")</f>
        <v/>
      </c>
      <c r="C14" s="10">
        <f>COUNTIFS(修正指示一覧!$C$5:$C$61,"中",修正指示一覧!$L$5:$L$61,"対応中")</f>
        <v/>
      </c>
      <c r="D14" s="10">
        <f>COUNTIFS(修正指示一覧!$C$5:$C$61,"中",修正指示一覧!$L$5:$L$61,"対応済")</f>
        <v/>
      </c>
      <c r="E14" s="10">
        <f>COUNTIFS(修正指示一覧!$C$5:$C$61,"中",修正指示一覧!$L$5:$L$61,"要協議")</f>
        <v/>
      </c>
      <c r="F14" s="10">
        <f>SUM(B14:E14)</f>
        <v/>
      </c>
      <c r="G14" s="11">
        <f>IF(F14=0,"-",D14/F14)</f>
        <v/>
      </c>
    </row>
    <row r="15">
      <c r="A15" s="5" t="inlineStr">
        <is>
          <t>低</t>
        </is>
      </c>
      <c r="B15" s="10">
        <f>COUNTIFS(修正指示一覧!$C$5:$C$61,"低",修正指示一覧!$L$5:$L$61,"未着手")</f>
        <v/>
      </c>
      <c r="C15" s="10">
        <f>COUNTIFS(修正指示一覧!$C$5:$C$61,"低",修正指示一覧!$L$5:$L$61,"対応中")</f>
        <v/>
      </c>
      <c r="D15" s="10">
        <f>COUNTIFS(修正指示一覧!$C$5:$C$61,"低",修正指示一覧!$L$5:$L$61,"対応済")</f>
        <v/>
      </c>
      <c r="E15" s="10">
        <f>COUNTIFS(修正指示一覧!$C$5:$C$61,"低",修正指示一覧!$L$5:$L$61,"要協議")</f>
        <v/>
      </c>
      <c r="F15" s="10">
        <f>SUM(B15:E15)</f>
        <v/>
      </c>
      <c r="G15" s="11">
        <f>IF(F15=0,"-",D15/F15)</f>
        <v/>
      </c>
    </row>
    <row r="17">
      <c r="A17" s="15" t="inlineStr">
        <is>
          <t>要確認事項（広域連合・3町への照会が必要な件数）</t>
        </is>
      </c>
    </row>
    <row r="18">
      <c r="A18" s="5" t="inlineStr">
        <is>
          <t>照会が必要</t>
        </is>
      </c>
      <c r="B18" s="10">
        <f>COUNTIF(修正指示一覧!$J$5:$J$61,"要*")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2026-07-28T15:32:35Z</dcterms:created>
  <dcterms:modified xmlns:dcterms="http://purl.org/dc/terms/" xmlns:xsi="http://www.w3.org/2001/XMLSchema-instance" xsi:type="dcterms:W3CDTF">2026-07-28T15:32:35Z</dcterms:modified>
</cp:coreProperties>
</file>