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修正指示一覧" sheetId="2" state="visible" r:id="rId2"/>
    <sheet xmlns:r="http://schemas.openxmlformats.org/officeDocument/2006/relationships" name="進捗管理" sheetId="3" state="visible" r:id="rId3"/>
    <sheet xmlns:r="http://schemas.openxmlformats.org/officeDocument/2006/relationships" name="数値照合結果" sheetId="4" state="visible" r:id="rId4"/>
    <sheet xmlns:r="http://schemas.openxmlformats.org/officeDocument/2006/relationships" name="凡例・参照資料" sheetId="5" state="visible" r:id="rId5"/>
  </sheets>
  <definedNames>
    <definedName name="_xlnm._FilterDatabase" localSheetId="1" hidden="1">'修正指示一覧'!$A$4:$L$31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rlito"/>
      <b val="1"/>
      <color rgb="00FFFFFF"/>
      <sz val="16"/>
    </font>
    <font>
      <name val="Carlito"/>
      <sz val="10"/>
    </font>
    <font>
      <name val="Carlito"/>
      <b val="1"/>
      <color rgb="00FFFFFF"/>
      <sz val="10"/>
    </font>
    <font>
      <name val="Carlito"/>
      <sz val="9"/>
    </font>
    <font>
      <name val="Carlito"/>
      <i val="1"/>
      <sz val="9"/>
    </font>
    <font>
      <name val="Carlito"/>
      <b val="1"/>
      <sz val="9"/>
    </font>
    <font>
      <name val="Carlito"/>
      <b val="1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5B9BD5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6" fillId="7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/>
    </xf>
    <xf numFmtId="164" fontId="6" fillId="7" borderId="1" applyAlignment="1" pivotButton="0" quotePrefix="0" xfId="0">
      <alignment horizontal="center"/>
    </xf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96" customWidth="1" min="3" max="3"/>
  </cols>
  <sheetData>
    <row r="1" ht="26" customHeight="1">
      <c r="A1" s="1" t="inlineStr">
        <is>
          <t>大雪地区広域連合　第10期介護保険事業計画素案　第9稿→第10稿 修正指示書</t>
        </is>
      </c>
    </row>
    <row r="2" ht="18" customHeight="1">
      <c r="A2" s="2" t="inlineStr">
        <is>
          <t>令和8（2026）年7月28日作成／第1回介護保険事業計画策定委員会前の修正管理用</t>
        </is>
      </c>
    </row>
    <row r="4" ht="48" customHeight="1">
      <c r="A4" s="3" t="inlineStr">
        <is>
          <t>本書は、素案第9稿（第9期目次準拠）を第9期介護保険事業計画・3町高齢者福祉計画の原典及び「第9期計画の目次踏襲・流用／修正切分け」「委員会確認事項メモ」の方針に突合した結果に基づく修正指示書です。区分Aは第1回委員会前の必須修正、区分Bは原稿整備段階の修正、区分Cは前回精査からの継続確認事項です。</t>
        </is>
      </c>
    </row>
    <row r="6" ht="30" customHeight="1">
      <c r="A6" s="4" t="inlineStr">
        <is>
          <t>No.</t>
        </is>
      </c>
      <c r="B6" s="4" t="inlineStr">
        <is>
          <t>シート</t>
        </is>
      </c>
      <c r="C6" s="4" t="inlineStr">
        <is>
          <t>用途</t>
        </is>
      </c>
    </row>
    <row r="7">
      <c r="A7" s="5" t="n">
        <v>1</v>
      </c>
      <c r="B7" s="5" t="inlineStr">
        <is>
          <t>修正指示一覧</t>
        </is>
      </c>
      <c r="C7" s="5" t="inlineStr">
        <is>
          <t>27件の修正指示。区分・優先度・該当箇所・現行記載・修正案・根拠を記載し、対応者と状態を記入して進捗管理します。</t>
        </is>
      </c>
    </row>
    <row r="8">
      <c r="A8" s="5" t="n">
        <v>2</v>
      </c>
      <c r="B8" s="5" t="inlineStr">
        <is>
          <t>進捗管理</t>
        </is>
      </c>
      <c r="C8" s="5" t="inlineStr">
        <is>
          <t>区分別・優先度別・状態別の件数を自動集計します（修正指示一覧の状態欄を更新すると連動）。</t>
        </is>
      </c>
    </row>
    <row r="9">
      <c r="A9" s="5" t="n">
        <v>3</v>
      </c>
      <c r="B9" s="5" t="inlineStr">
        <is>
          <t>数値照合結果</t>
        </is>
      </c>
      <c r="C9" s="5" t="inlineStr">
        <is>
          <t>素案第9稿の主要数値と第9期計画等の原典との照合結果。一致・不一致・要確認の別と原典ページを記載します。</t>
        </is>
      </c>
    </row>
    <row r="10">
      <c r="A10" s="5" t="n">
        <v>4</v>
      </c>
      <c r="B10" s="5" t="inlineStr">
        <is>
          <t>凡例・参照資料</t>
        </is>
      </c>
      <c r="C10" s="5" t="inlineStr">
        <is>
          <t>区分・優先度・状態の定義、セル色の凡例、参照した原典資料の一覧。</t>
        </is>
      </c>
    </row>
    <row r="12">
      <c r="A12" s="6" t="inlineStr">
        <is>
          <t>入力欄は淡黄色、確認済み又は一致は淡緑色、要協議・不一致事項は淡橙色で表示します。</t>
        </is>
      </c>
    </row>
  </sheetData>
  <mergeCells count="4">
    <mergeCell ref="A1:C1"/>
    <mergeCell ref="A4:C4"/>
    <mergeCell ref="A2:C2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  <col width="20" customWidth="1" min="4" max="4"/>
    <col width="24" customWidth="1" min="5" max="5"/>
    <col width="40" customWidth="1" min="6" max="6"/>
    <col width="40" customWidth="1" min="7" max="7"/>
    <col width="46" customWidth="1" min="8" max="8"/>
    <col width="34" customWidth="1" min="9" max="9"/>
    <col width="14" customWidth="1" min="10" max="10"/>
    <col width="12" customWidth="1" min="11" max="11"/>
    <col width="12" customWidth="1" min="12" max="12"/>
  </cols>
  <sheetData>
    <row r="1" ht="26" customHeight="1">
      <c r="A1" s="1" t="inlineStr">
        <is>
          <t>第9稿→第10稿 修正指示一覧（全27件）</t>
        </is>
      </c>
    </row>
    <row r="2" ht="18" customHeight="1">
      <c r="A2" s="2" t="inlineStr">
        <is>
          <t>区分A：委員会前必須（10件）／区分B：原稿整備（9件）／区分C：継続確認（8件）　※対応者・状態は淡黄色欄に記入</t>
        </is>
      </c>
    </row>
    <row r="4" ht="30" customHeight="1">
      <c r="A4" s="4" t="inlineStr">
        <is>
          <t>No.</t>
        </is>
      </c>
      <c r="B4" s="4" t="inlineStr">
        <is>
          <t>区分</t>
        </is>
      </c>
      <c r="C4" s="4" t="inlineStr">
        <is>
          <t>優先度</t>
        </is>
      </c>
      <c r="D4" s="4" t="inlineStr">
        <is>
          <t>該当箇所</t>
        </is>
      </c>
      <c r="E4" s="4" t="inlineStr">
        <is>
          <t>該当表・見出し</t>
        </is>
      </c>
      <c r="F4" s="4" t="inlineStr">
        <is>
          <t>指摘内容</t>
        </is>
      </c>
      <c r="G4" s="4" t="inlineStr">
        <is>
          <t>現行の記載</t>
        </is>
      </c>
      <c r="H4" s="4" t="inlineStr">
        <is>
          <t>修正案</t>
        </is>
      </c>
      <c r="I4" s="4" t="inlineStr">
        <is>
          <t>根拠・出典</t>
        </is>
      </c>
      <c r="J4" s="4" t="inlineStr">
        <is>
          <t>確認要否</t>
        </is>
      </c>
      <c r="K4" s="4" t="inlineStr">
        <is>
          <t>対応者</t>
        </is>
      </c>
      <c r="L4" s="4" t="inlineStr">
        <is>
          <t>状態</t>
        </is>
      </c>
    </row>
    <row r="5">
      <c r="A5" s="5" t="inlineStr">
        <is>
          <t>A-1</t>
        </is>
      </c>
      <c r="B5" s="5" t="inlineStr">
        <is>
          <t>A</t>
        </is>
      </c>
      <c r="C5" s="5" t="inlineStr">
        <is>
          <t>最優先</t>
        </is>
      </c>
      <c r="D5" s="5" t="inlineStr">
        <is>
          <t>第6章第3節</t>
        </is>
      </c>
      <c r="E5" s="5" t="inlineStr">
        <is>
          <t>表36「介護サービス給付費・介護予防サービス給付費」／表39「自然体推計による給付費の概算」</t>
        </is>
      </c>
      <c r="F5" s="5" t="inlineStr">
        <is>
          <t>同一の総額9,267.4百万円を2通りの区分で内訳表示しているが、区分定義の注記がないため「施設サービス」が表ごとに2,691.5と3,416.0（1.27倍）と食い違って見える。</t>
        </is>
      </c>
      <c r="G5" s="5" t="inlineStr">
        <is>
          <t>表36（5区分）：居宅3,292.5／地域密着型2,523.5／施設2,691.5／予防383.0／居宅介護支援377.0。表39（3区分）：居宅4,686.9／居住系1,164.5／施設3,416.0。</t>
        </is>
      </c>
      <c r="H5" s="5" t="inlineStr">
        <is>
          <t>両表に区分定義の注を追加する。注案：「表36はサービス類型別、表39は見える化の3区分（居宅・居住系・施設）による内訳である。表39の『施設』には地域密着型介護老人福祉施設（第10期計724.5百万円）を、『居住系』には認知症対応型共同生活介護（同1,164.5百万円）を含み、特定施設入居者生活介護は『居宅』に計上している。」</t>
        </is>
      </c>
      <c r="I5" s="5" t="inlineStr">
        <is>
          <t>突合検算：634.4＋724.5＋1,164.6＝2,523.5（表36の地域密着型サービス給付費と一致）</t>
        </is>
      </c>
      <c r="J5" s="7" t="inlineStr">
        <is>
          <t>要（原票で区分定義を確認）</t>
        </is>
      </c>
      <c r="K5" s="8" t="inlineStr"/>
      <c r="L5" s="8" t="inlineStr">
        <is>
          <t>未着手</t>
        </is>
      </c>
    </row>
    <row r="6">
      <c r="A6" s="5" t="inlineStr">
        <is>
          <t>A-2</t>
        </is>
      </c>
      <c r="B6" s="5" t="inlineStr">
        <is>
          <t>A</t>
        </is>
      </c>
      <c r="C6" s="5" t="inlineStr">
        <is>
          <t>最優先</t>
        </is>
      </c>
      <c r="D6" s="5" t="inlineStr">
        <is>
          <t>第6章第2節</t>
        </is>
      </c>
      <c r="E6" s="5" t="inlineStr">
        <is>
          <t>表30「サービス種類別・中長期見込量（記載様式）」</t>
        </is>
      </c>
      <c r="F6" s="5" t="inlineStr">
        <is>
          <t>R8列とR9以降列で出典が異なるため、481→474が7人の減少に見える。加えて表30の注記（「R8サービス別利用者は自然体推計確認シートの月平均基準値」）は表32〜35に対応するもので、表30の実数値と食い違っている。</t>
        </is>
      </c>
      <c r="G6" s="5" t="inlineStr">
        <is>
          <t>R8実績：居宅1,020人／月、施設・居住系481人／月（＝見える化R8年1月の在宅1,020・施設336・居住系145）。R9：施設・居住系474人（自然体推計値）。</t>
        </is>
      </c>
      <c r="H6" s="5" t="inlineStr">
        <is>
          <t>R8列を自然体推計基準値に統一し（施設・居住系474人相当）、見える化実績は別欄に併記する。統一しない場合は表30に個別注「R8列は見える化R8年1月の受給者実績、R9以降は自然体推計値であり、基準・出典が異なるため増減として読まない」を付す。</t>
        </is>
      </c>
      <c r="I6" s="5" t="inlineStr">
        <is>
          <t>素案第2章第1節（見える化R8年1月値）／表30注記</t>
        </is>
      </c>
      <c r="J6" s="5" t="inlineStr">
        <is>
          <t>不要（編集判断）</t>
        </is>
      </c>
      <c r="K6" s="8" t="inlineStr"/>
      <c r="L6" s="8" t="inlineStr">
        <is>
          <t>未着手</t>
        </is>
      </c>
    </row>
    <row r="7">
      <c r="A7" s="5" t="inlineStr">
        <is>
          <t>A-3</t>
        </is>
      </c>
      <c r="B7" s="5" t="inlineStr">
        <is>
          <t>A</t>
        </is>
      </c>
      <c r="C7" s="5" t="inlineStr">
        <is>
          <t>最優先</t>
        </is>
      </c>
      <c r="D7" s="5" t="inlineStr">
        <is>
          <t>第4章第2節</t>
        </is>
      </c>
      <c r="E7" s="5" t="inlineStr">
        <is>
          <t>表18「2040年を見据えた基本戦略と5つの基本目標」</t>
        </is>
      </c>
      <c r="F7" s="5" t="inlineStr">
        <is>
          <t>第4章第2節は第10期の基本目標名案のみを掲げ、第5章の見出しは第9期の基本目標名を用いているため、同一計画内で基本目標名が二重になっている。第4章と第5章が別体系に見える。</t>
        </is>
      </c>
      <c r="G7" s="5" t="inlineStr">
        <is>
          <t>表18：基本目標1「地域包括ケア・相談・医療介護連携」〜基本目標5「保険運営・レジリエンス・PDCA」。第5章見出し：基本目標1「地域包括ケアシステムの深化・推進」〜基本目標5「災害や感染症対策に係る体制整備」。</t>
        </is>
      </c>
      <c r="H7" s="5" t="inlineStr">
        <is>
          <t>表18を「第9期の基本目標／第10期の基本目標（案）／主な変更点・変更理由」の3列による新旧対照表に改める。あわせて「第5章の見出しは委員会決定まで第9期名称を維持する」旨を注記する。</t>
        </is>
      </c>
      <c r="I7" s="5" t="inlineStr">
        <is>
          <t>切分けメモ 5.「第9期の基本目標名と順序を正本とする」／確認事項メモ No.6</t>
        </is>
      </c>
      <c r="J7" s="7" t="inlineStr">
        <is>
          <t>要（委員会で名称を決定）</t>
        </is>
      </c>
      <c r="K7" s="8" t="inlineStr"/>
      <c r="L7" s="8" t="inlineStr">
        <is>
          <t>未着手</t>
        </is>
      </c>
    </row>
    <row r="8">
      <c r="A8" s="5" t="inlineStr">
        <is>
          <t>A-4</t>
        </is>
      </c>
      <c r="B8" s="5" t="inlineStr">
        <is>
          <t>A</t>
        </is>
      </c>
      <c r="C8" s="5" t="inlineStr">
        <is>
          <t>最優先</t>
        </is>
      </c>
      <c r="D8" s="5" t="inlineStr">
        <is>
          <t>第4章第3節</t>
        </is>
      </c>
      <c r="E8" s="5" t="inlineStr">
        <is>
          <t>表19「施策の体系と成果指標」</t>
        </is>
      </c>
      <c r="F8" s="5" t="inlineStr">
        <is>
          <t>本文にKPI16項目を全て掲載しており、「計画本文12項目＋補完4項目」の二層構造と矛盾する。切分けメモの「直ちに修正できる部分」5（KPI詳細を資料編へ移す）が未完了。</t>
        </is>
      </c>
      <c r="G8" s="5" t="inlineStr">
        <is>
          <t>表19にH01〜H16の16項目を掲載。R11目標はH01のみ「適正水準（参考基準18.4％）」、他は「―」。（資料編 資料1では正しく12項目＋4項目に分離済み）</t>
        </is>
      </c>
      <c r="H8" s="5" t="inlineStr">
        <is>
          <t>表19を本文KPI12項目（H01・H02・H04・H05・H06・H07・H09・H10・H12・H13・H15・H16）に限定する。補完4項目（H03・H08・H11・H14）は資料編 資料1（2）に集約し、本文には「補完4項目は資料編に掲載」と1行を残す。</t>
        </is>
      </c>
      <c r="I8" s="5" t="inlineStr">
        <is>
          <t>切分けメモ 4.／第4章「第8稿第4節 成果KPI」区分C／確認事項メモ No.7</t>
        </is>
      </c>
      <c r="J8" s="5" t="inlineStr">
        <is>
          <t>不要（方針決定済み）</t>
        </is>
      </c>
      <c r="K8" s="8" t="inlineStr"/>
      <c r="L8" s="8" t="inlineStr">
        <is>
          <t>未着手</t>
        </is>
      </c>
    </row>
    <row r="9">
      <c r="A9" s="5" t="inlineStr">
        <is>
          <t>A-5</t>
        </is>
      </c>
      <c r="B9" s="5" t="inlineStr">
        <is>
          <t>A</t>
        </is>
      </c>
      <c r="C9" s="5" t="inlineStr">
        <is>
          <t>高</t>
        </is>
      </c>
      <c r="D9" s="5" t="inlineStr">
        <is>
          <t>第5章 基本目標1／基本目標2</t>
        </is>
      </c>
      <c r="E9" s="5" t="inlineStr">
        <is>
          <t>表21「地域ケア会議」／表22「地域ケア会議・包括的支援」</t>
        </is>
      </c>
      <c r="F9" s="5" t="inlineStr">
        <is>
          <t>同一施策が2箇所に重複掲載されている。主な取組・管理指標・主体まで完全に同一の行。</t>
        </is>
      </c>
      <c r="G9" s="5" t="inlineStr">
        <is>
          <t>表21・表22ともに、取組「個別課題から地域課題・資源開発・施策化へ接続」、管理指標「地域課題化率、施策反映件数」、主体「3町」。</t>
        </is>
      </c>
      <c r="H9" s="5" t="inlineStr">
        <is>
          <t>第9期体系では地域ケア会議は基本目標2に属するため、表22に一本化し表21から削除する。基本目標1では、地域ケア会議で抽出された地域課題の施策反映を医療介護連携・権利擁護の後段で参照する形とする。</t>
        </is>
      </c>
      <c r="I9" s="5" t="inlineStr">
        <is>
          <t>第9期計画 第5章 基本目標2「5 地域ケア会議の推進」</t>
        </is>
      </c>
      <c r="J9" s="5" t="inlineStr">
        <is>
          <t>不要（編集判断）</t>
        </is>
      </c>
      <c r="K9" s="8" t="inlineStr"/>
      <c r="L9" s="8" t="inlineStr">
        <is>
          <t>未着手</t>
        </is>
      </c>
    </row>
    <row r="10">
      <c r="A10" s="5" t="inlineStr">
        <is>
          <t>A-6</t>
        </is>
      </c>
      <c r="B10" s="5" t="inlineStr">
        <is>
          <t>A</t>
        </is>
      </c>
      <c r="C10" s="5" t="inlineStr">
        <is>
          <t>高</t>
        </is>
      </c>
      <c r="D10" s="5" t="inlineStr">
        <is>
          <t>第5章 基本目標1／基本目標2</t>
        </is>
      </c>
      <c r="E10" s="5" t="inlineStr">
        <is>
          <t>表21「包括相談」／表22「地域共生・包括相談」</t>
        </is>
      </c>
      <c r="F10" s="5" t="inlineStr">
        <is>
          <t>相談支援施策が2箇所に実質重複して掲載されている。</t>
        </is>
      </c>
      <c r="G10" s="5" t="inlineStr">
        <is>
          <t>表21「包括相談」：取組「初動基準、複合課題の連携、相談終結・引継ぎの標準化」／指標「標準日数内初動率、終結・引継ぎ率」。表22「地域共生・包括相談」：取組「複合課題の連携、相談支援、参加支援」／指標「初動率、支援接続率」。</t>
        </is>
      </c>
      <c r="H10" s="5" t="inlineStr">
        <is>
          <t>相談支援の実施主体・成果指標は基本目標1「包括相談」に集約する。基本目標2は「地域共生社会に向けた参加支援・重層的支援体制の整備」に限定し、指標は参加支援・多機関協働に絞る。</t>
        </is>
      </c>
      <c r="I10" s="5" t="inlineStr">
        <is>
          <t>第9期計画 第5章 基本目標2「6 包括的な支援体制の整備」との対応</t>
        </is>
      </c>
      <c r="J10" s="5" t="inlineStr">
        <is>
          <t>不要（編集判断）</t>
        </is>
      </c>
      <c r="K10" s="8" t="inlineStr"/>
      <c r="L10" s="8" t="inlineStr">
        <is>
          <t>未着手</t>
        </is>
      </c>
    </row>
    <row r="11">
      <c r="A11" s="5" t="inlineStr">
        <is>
          <t>B-1</t>
        </is>
      </c>
      <c r="B11" s="5" t="inlineStr">
        <is>
          <t>B</t>
        </is>
      </c>
      <c r="C11" s="5" t="inlineStr">
        <is>
          <t>高</t>
        </is>
      </c>
      <c r="D11" s="5" t="inlineStr">
        <is>
          <t>第5章 基本目標4</t>
        </is>
      </c>
      <c r="E11" s="5" t="inlineStr">
        <is>
          <t>【介護給付適正化計画（第10期計画期間）】</t>
        </is>
      </c>
      <c r="F11" s="5" t="inlineStr">
        <is>
          <t>給付適正化計画は介護保険事業計画とは別の期数を持つが、期数が記載されていない。</t>
        </is>
      </c>
      <c r="G11" s="5" t="inlineStr">
        <is>
          <t>「【介護給付適正化計画（第10期計画期間）】」</t>
        </is>
      </c>
      <c r="H11" s="5" t="inlineStr">
        <is>
          <t>「【第7期介護給付適正化計画（令和9〜11年度）】」に改める。期数は北海道・国の給付適正化計画の期別に照らして確定する。</t>
        </is>
      </c>
      <c r="I11" s="5" t="inlineStr">
        <is>
          <t>第9期計画 第5章 基本目標4「3 介護給付費の適正化【主要3事業】（第6期給付適正化計画）」</t>
        </is>
      </c>
      <c r="J11" s="7" t="inlineStr">
        <is>
          <t>要（広域連合に期数を確認）</t>
        </is>
      </c>
      <c r="K11" s="8" t="inlineStr"/>
      <c r="L11" s="8" t="inlineStr">
        <is>
          <t>未着手</t>
        </is>
      </c>
    </row>
    <row r="12">
      <c r="A12" s="5" t="inlineStr">
        <is>
          <t>B-2</t>
        </is>
      </c>
      <c r="B12" s="5" t="inlineStr">
        <is>
          <t>B</t>
        </is>
      </c>
      <c r="C12" s="5" t="inlineStr">
        <is>
          <t>中</t>
        </is>
      </c>
      <c r="D12" s="5" t="inlineStr">
        <is>
          <t>第3章第4節</t>
        </is>
      </c>
      <c r="E12" s="5" t="inlineStr">
        <is>
          <t>「2 前期計画から引き継ぐ主要課題」の直前</t>
        </is>
      </c>
      <c r="F12" s="5" t="inlineStr">
        <is>
          <t>項番号「1」が欠落している。「2」「3」「4」のみが存在する。</t>
        </is>
      </c>
      <c r="G12" s="5" t="inlineStr">
        <is>
          <t>第4節の本文・表13（19施策の構造評価）に見出しが付されておらず、次の見出しが「2 前期計画から引き継ぐ主要課題」となっている。</t>
        </is>
      </c>
      <c r="H12" s="5" t="inlineStr">
        <is>
          <t>表13の前に見出し「1 施策別の構造評価」を追加する。</t>
        </is>
      </c>
      <c r="I12" s="5" t="inlineStr">
        <is>
          <t>素案第9稿 第3章第4節の見出し構成</t>
        </is>
      </c>
      <c r="J12" s="5" t="inlineStr">
        <is>
          <t>不要</t>
        </is>
      </c>
      <c r="K12" s="8" t="inlineStr"/>
      <c r="L12" s="8" t="inlineStr">
        <is>
          <t>未着手</t>
        </is>
      </c>
    </row>
    <row r="13">
      <c r="A13" s="5" t="inlineStr">
        <is>
          <t>B-3</t>
        </is>
      </c>
      <c r="B13" s="5" t="inlineStr">
        <is>
          <t>B</t>
        </is>
      </c>
      <c r="C13" s="5" t="inlineStr">
        <is>
          <t>最優先</t>
        </is>
      </c>
      <c r="D13" s="5" t="inlineStr">
        <is>
          <t>第6章第2節</t>
        </is>
      </c>
      <c r="E13" s="5" t="inlineStr">
        <is>
          <t>表35「介護予防給付サービス」</t>
        </is>
      </c>
      <c r="F13" s="5" t="inlineStr">
        <is>
          <t>利用者数が全項目「―」だが、受領した推計ワークシートに介護予防の内訳（人数・回数・給付費）が揃っており表を確定できる。「現行出力で内訳が確定できない」という注記は事実と異なる。</t>
        </is>
      </c>
      <c r="G13" s="5" t="inlineStr">
        <is>
          <t>表35は16項目すべて「―」。注記は「見える化の最終推計出力で分割する」。</t>
        </is>
      </c>
      <c r="H13" s="5" t="inlineStr">
        <is>
          <t>ワークシート『介護サービス給付費(推計値)(2)』の値で表35を確定する。R9／R10／R11／R17／R22の順に、訪問看護25/25/26/27/27、訪問リハ23/23/24/25/25、居宅療養管理指導16/16/16/17/17、通所リハ79/79/80/83/83、短期入所生活介護1/1/1/1/1、福祉用具貸与236/239/239/251/250、特定福祉用具購入7/7/7/8/8、住宅改修4/4/4/4/4、特定施設14/14/14/15/15、小規模多機能13/13/13/14/14。訪問入浴・短期入所療養介護3種・認知症対応型通所・認知症GHは全期間0。あわせて注記を削除する。</t>
        </is>
      </c>
      <c r="I13" s="5" t="inlineStr">
        <is>
          <t>自然体推計の計算過程確認シート『介護サービス給付費(推計値)(2)』（介護予防給付費の合計127.1百万円は素案表36と一致）</t>
        </is>
      </c>
      <c r="J13" s="5" t="inlineStr">
        <is>
          <t>不要（数値確定済み）</t>
        </is>
      </c>
      <c r="K13" s="8" t="inlineStr"/>
      <c r="L13" s="8" t="inlineStr">
        <is>
          <t>未着手</t>
        </is>
      </c>
    </row>
    <row r="14">
      <c r="A14" s="5" t="inlineStr">
        <is>
          <t>B-4</t>
        </is>
      </c>
      <c r="B14" s="5" t="inlineStr">
        <is>
          <t>B</t>
        </is>
      </c>
      <c r="C14" s="5" t="inlineStr">
        <is>
          <t>中</t>
        </is>
      </c>
      <c r="D14" s="5" t="inlineStr">
        <is>
          <t>計画全体</t>
        </is>
      </c>
      <c r="E14" s="5" t="inlineStr">
        <is>
          <t>章別・節別のページ配分</t>
        </is>
      </c>
      <c r="F14" s="5" t="inlineStr">
        <is>
          <t>第2章第2〜6節が方針記述1〜2段落のみで、資料受領後の増補量が確保されていない。成果品仕様（本文約100頁）に対する分量設計が未定。</t>
        </is>
      </c>
      <c r="G14" s="5" t="inlineStr">
        <is>
          <t>第9期計画では第2章第3節にニーズ調査結果8頁、第4節に在宅介護実態14頁の実データを掲載していたが、第9稿の同節はいずれも1〜2段落。</t>
        </is>
      </c>
      <c r="H14" s="5" t="inlineStr">
        <is>
          <t>章別・節別のページ配分表を作成し、資料受領後の増補量を事前に確保する。11月の計画素案更新前までに確定する。</t>
        </is>
      </c>
      <c r="I14" s="5" t="inlineStr">
        <is>
          <t>第9期計画 第2章／業務仕様（本文約100頁・200部）</t>
        </is>
      </c>
      <c r="J14" s="7" t="inlineStr">
        <is>
          <t>要（広域連合と分量方針を協議）</t>
        </is>
      </c>
      <c r="K14" s="8" t="inlineStr"/>
      <c r="L14" s="8" t="inlineStr">
        <is>
          <t>未着手</t>
        </is>
      </c>
    </row>
    <row r="15">
      <c r="A15" s="5" t="inlineStr">
        <is>
          <t>B-5</t>
        </is>
      </c>
      <c r="B15" s="5" t="inlineStr">
        <is>
          <t>B</t>
        </is>
      </c>
      <c r="C15" s="5" t="inlineStr">
        <is>
          <t>低</t>
        </is>
      </c>
      <c r="D15" s="5" t="inlineStr">
        <is>
          <t>第1章第9節／資料編</t>
        </is>
      </c>
      <c r="E15" s="5" t="inlineStr">
        <is>
          <t>本文中の出典URL</t>
        </is>
      </c>
      <c r="F15" s="5" t="inlineStr">
        <is>
          <t>厚生労働省の資料URLが本文中に直書きされている。印刷物としては脚注または資料編への集約が通例。</t>
        </is>
      </c>
      <c r="G15" s="5" t="inlineStr">
        <is>
          <t>第1章第9節に基本指針案・介護保険最新情報Vol.1525のURL、資料編末尾に7件のURLを本文段落として記載。</t>
        </is>
      </c>
      <c r="H15" s="5" t="inlineStr">
        <is>
          <t>本文中のURLは脚注又は資料編「資料5 主な参照資料」へ集約し、本文には資料名と公表日のみを記載する。</t>
        </is>
      </c>
      <c r="I15" s="5" t="inlineStr">
        <is>
          <t>素案第9稿 第1章第9節・資料編</t>
        </is>
      </c>
      <c r="J15" s="5" t="inlineStr">
        <is>
          <t>不要</t>
        </is>
      </c>
      <c r="K15" s="8" t="inlineStr"/>
      <c r="L15" s="8" t="inlineStr">
        <is>
          <t>未着手</t>
        </is>
      </c>
    </row>
    <row r="16">
      <c r="A16" s="5" t="inlineStr">
        <is>
          <t>B-6</t>
        </is>
      </c>
      <c r="B16" s="5" t="inlineStr">
        <is>
          <t>B</t>
        </is>
      </c>
      <c r="C16" s="5" t="inlineStr">
        <is>
          <t>低</t>
        </is>
      </c>
      <c r="D16" s="5" t="inlineStr">
        <is>
          <t>資料編 末尾</t>
        </is>
      </c>
      <c r="E16" s="5" t="inlineStr">
        <is>
          <t>「第7稿追加参照データ」</t>
        </is>
      </c>
      <c r="F16" s="5" t="inlineStr">
        <is>
          <t>版ラベル（作業用表示）が資料編に残存している。第8稿にあった作業用表示121件は第9稿でほぼ分離済みだが、この1件が残る。</t>
        </is>
      </c>
      <c r="G16" s="5" t="inlineStr">
        <is>
          <t>「第7稿追加参照データ」という見出しの下に見える化D25〜D48の取得データを記載。</t>
        </is>
      </c>
      <c r="H16" s="5" t="inlineStr">
        <is>
          <t>版ラベルを削除し、直前の「令和8年7月22日反映データ」に統合する。</t>
        </is>
      </c>
      <c r="I16" s="5" t="inlineStr">
        <is>
          <t>確認事項メモ 1.「版ごとの更新履歴は計画本文から分離する」</t>
        </is>
      </c>
      <c r="J16" s="5" t="inlineStr">
        <is>
          <t>不要</t>
        </is>
      </c>
      <c r="K16" s="8" t="inlineStr"/>
      <c r="L16" s="8" t="inlineStr">
        <is>
          <t>未着手</t>
        </is>
      </c>
    </row>
    <row r="17">
      <c r="A17" s="5" t="inlineStr">
        <is>
          <t>B-7</t>
        </is>
      </c>
      <c r="B17" s="5" t="inlineStr">
        <is>
          <t>B</t>
        </is>
      </c>
      <c r="C17" s="5" t="inlineStr">
        <is>
          <t>低</t>
        </is>
      </c>
      <c r="D17" s="5" t="inlineStr">
        <is>
          <t>目次</t>
        </is>
      </c>
      <c r="E17" s="5" t="inlineStr">
        <is>
          <t>目次全体</t>
        </is>
      </c>
      <c r="F17" s="5" t="inlineStr">
        <is>
          <t>目次が手打ちで、ページ番号が「最終組版時に更新」となっている。第9稿で見出しスタイル（見出し1／2／3）が適用されたため、自動目次への置換が可能になっている。</t>
        </is>
      </c>
      <c r="G17" s="5" t="inlineStr">
        <is>
          <t>目次は本文スタイル（Normal）で手入力。末尾に「※ページ番号は最終組版時に更新します。」</t>
        </is>
      </c>
      <c r="H17" s="5" t="inlineStr">
        <is>
          <t>Word自動目次（TOCフィールド）へ置換する。ページ番号は組版時にフィールド更新で反映させる。</t>
        </is>
      </c>
      <c r="I17" s="5" t="inlineStr">
        <is>
          <t>切分けメモ 3.「見出しスタイルを設定し目次更新を可能にする」（第9稿で対応済み）</t>
        </is>
      </c>
      <c r="J17" s="5" t="inlineStr">
        <is>
          <t>不要</t>
        </is>
      </c>
      <c r="K17" s="8" t="inlineStr"/>
      <c r="L17" s="8" t="inlineStr">
        <is>
          <t>未着手</t>
        </is>
      </c>
    </row>
    <row r="18">
      <c r="A18" s="5" t="inlineStr">
        <is>
          <t>C-1</t>
        </is>
      </c>
      <c r="B18" s="5" t="inlineStr">
        <is>
          <t>C</t>
        </is>
      </c>
      <c r="C18" s="5" t="inlineStr">
        <is>
          <t>高</t>
        </is>
      </c>
      <c r="D18" s="5" t="inlineStr">
        <is>
          <t>第6章第4節</t>
        </is>
      </c>
      <c r="E18" s="5" t="inlineStr">
        <is>
          <t>表40「施設・居住系サービスの整備見込み」／表41「定員と自然体推計基準利用者の照合」</t>
        </is>
      </c>
      <c r="F18" s="5" t="inlineStr">
        <is>
          <t>【一部解決】見える化D25では地域密着型介護老人福祉施設の定員は平成30年度から令和6年度まで一貫して62人であり、素案の62人は公表値どおりで正しい。ただし第9期計画の掲載定員63人との1人差は残る。</t>
        </is>
      </c>
      <c r="G18" s="5" t="inlineStr">
        <is>
          <t>表40・表41ともに「R7公開定員 62人」、表41の単純比率104.8％。</t>
        </is>
      </c>
      <c r="H18" s="5" t="inlineStr">
        <is>
          <t>表41に「第9期計画掲載定員63人」の列を追加し、1人差の理由（休止床、指定台帳と公表値の差等）を注記する。基準年度は令和6年度に修正する（B-8参照）。</t>
        </is>
      </c>
      <c r="I18" s="5" t="inlineStr">
        <is>
          <t>見える化D25_定員（施設サービス別）：H30〜R6年度62人／第9期計画 第6章第4節：63人（美瑛43＝サテライト特養 燈18＋美瑛慈光園25、東神楽20＝アゼリアハイツ）</t>
        </is>
      </c>
      <c r="J18" s="7" t="inlineStr">
        <is>
          <t>要（1人差の理由を確認）</t>
        </is>
      </c>
      <c r="K18" s="8" t="inlineStr"/>
      <c r="L18" s="8" t="inlineStr">
        <is>
          <t>未着手</t>
        </is>
      </c>
    </row>
    <row r="19">
      <c r="A19" s="5" t="inlineStr">
        <is>
          <t>C-2</t>
        </is>
      </c>
      <c r="B19" s="5" t="inlineStr">
        <is>
          <t>C</t>
        </is>
      </c>
      <c r="C19" s="5" t="inlineStr">
        <is>
          <t>低</t>
        </is>
      </c>
      <c r="D19" s="5" t="inlineStr">
        <is>
          <t>第6章第4節</t>
        </is>
      </c>
      <c r="E19" s="5" t="inlineStr">
        <is>
          <t>表40／表41 特定施設入居者生活介護</t>
        </is>
      </c>
      <c r="F19" s="5" t="inlineStr">
        <is>
          <t>【解決】156人の出所が見える化D26で確認できた。定員は平成27年度から令和6年度まで156人（令和4年度のみ158人）。</t>
        </is>
      </c>
      <c r="G19" s="5" t="inlineStr">
        <is>
          <t>表40・表41ともに「R7公開定員 156人」、表41の単純比率42.3％。</t>
        </is>
      </c>
      <c r="H19" s="5" t="inlineStr">
        <is>
          <t>出所を「見える化D26_定員（居住系サービス別）令和6年度値」として表41の注に明記する。基準年度は令和6年度に修正する（B-8参照）。</t>
        </is>
      </c>
      <c r="I19" s="5" t="inlineStr">
        <is>
          <t>見える化D26_定員（居住系サービス別）：特定施設入居者生活介護 H27〜R6年度156人（R4年度のみ158人）</t>
        </is>
      </c>
      <c r="J19" s="5" t="inlineStr">
        <is>
          <t>不要（確認済み）</t>
        </is>
      </c>
      <c r="K19" s="8" t="inlineStr"/>
      <c r="L19" s="8" t="inlineStr">
        <is>
          <t>未着手</t>
        </is>
      </c>
    </row>
    <row r="20">
      <c r="A20" s="5" t="inlineStr">
        <is>
          <t>C-3</t>
        </is>
      </c>
      <c r="B20" s="5" t="inlineStr">
        <is>
          <t>C</t>
        </is>
      </c>
      <c r="C20" s="5" t="inlineStr">
        <is>
          <t>高</t>
        </is>
      </c>
      <c r="D20" s="5" t="inlineStr">
        <is>
          <t>第6章第3節</t>
        </is>
      </c>
      <c r="E20" s="5" t="inlineStr">
        <is>
          <t>表36／表38</t>
        </is>
      </c>
      <c r="F20" s="5" t="inlineStr">
        <is>
          <t>第9期計画の給付費との前期比較が記載されておらず、第10期の水準が高いのか低いのか判断できない。「総給付費」の語が第9期計画では2階層で使われているため、誤読の恐れがある。</t>
        </is>
      </c>
      <c r="G20" s="5" t="inlineStr">
        <is>
          <t>表36「自然体給付費合計（参考）」第10期計9,267.4百万円。前期比の記載なし。</t>
        </is>
      </c>
      <c r="H20" s="5" t="inlineStr">
        <is>
          <t>「第9期89.05億円→第10期92.67億円（＋4.1％）」と前期比を併記する。第9期の総給付費は標準給付費見込額（95.19億円）や地域支援事業費を含む合計（101.13億円）とは異なる階層の数値であることを注記する。</t>
        </is>
      </c>
      <c r="I20" s="5" t="inlineStr">
        <is>
          <t>第9期計画 第6章第3節（3）：総給付費 R6 2,924,324千円＋R7 2,979,919千円＋R8 3,000,991千円＝8,905,234千円</t>
        </is>
      </c>
      <c r="J20" s="5" t="inlineStr">
        <is>
          <t>不要（数値確定済み）</t>
        </is>
      </c>
      <c r="K20" s="8" t="inlineStr"/>
      <c r="L20" s="8" t="inlineStr">
        <is>
          <t>未着手</t>
        </is>
      </c>
    </row>
    <row r="21">
      <c r="A21" s="5" t="inlineStr">
        <is>
          <t>C-4</t>
        </is>
      </c>
      <c r="B21" s="5" t="inlineStr">
        <is>
          <t>C</t>
        </is>
      </c>
      <c r="C21" s="5" t="inlineStr">
        <is>
          <t>高</t>
        </is>
      </c>
      <c r="D21" s="5" t="inlineStr">
        <is>
          <t>第3章第1節／資料編 資料1</t>
        </is>
      </c>
      <c r="E21" s="5" t="inlineStr">
        <is>
          <t>表9「第9期の4指標」／H05の定義</t>
        </is>
      </c>
      <c r="F21" s="5" t="inlineStr">
        <is>
          <t>第9期の「通いの場参加率（月1回以上）」と第10期H05「月1回以上の社会参加率（会・グループ・地域活動等）」は分子の範囲が異なるため、基準値7.3％をH05に流用できない可能性がある。第9期評価との連続性が切れる。</t>
        </is>
      </c>
      <c r="G21" s="5" t="inlineStr">
        <is>
          <t>表9：通いの場参加率 基準値R4 7.3％／目標R6 8.0％→R8 10.0％／第10期での扱い「実人数・継続・地区別カバー」。資料編 資料1：H05は「本人単位で月1回以上参加する割合」。</t>
        </is>
      </c>
      <c r="H21" s="5" t="inlineStr">
        <is>
          <t>ニーズ調査の設問一致を確認したうえで、通いの場参加率を施策管理指標として存置し、H05とは別管理とする。第9期4指標と第10期16KPIの新旧対照表を資料編に追加する。</t>
        </is>
      </c>
      <c r="I21" s="5" t="inlineStr">
        <is>
          <t>第9期計画 第1章第6節（2）アウトプット指標①／KPI定義書 H05の定義</t>
        </is>
      </c>
      <c r="J21" s="7" t="inlineStr">
        <is>
          <t>要（ニーズ調査の設問を確認）</t>
        </is>
      </c>
      <c r="K21" s="8" t="inlineStr"/>
      <c r="L21" s="8" t="inlineStr">
        <is>
          <t>未着手</t>
        </is>
      </c>
    </row>
    <row r="22">
      <c r="A22" s="5" t="inlineStr">
        <is>
          <t>C-5</t>
        </is>
      </c>
      <c r="B22" s="5" t="inlineStr">
        <is>
          <t>C</t>
        </is>
      </c>
      <c r="C22" s="5" t="inlineStr">
        <is>
          <t>中</t>
        </is>
      </c>
      <c r="D22" s="5" t="inlineStr">
        <is>
          <t>第2章第5節</t>
        </is>
      </c>
      <c r="E22" s="5" t="inlineStr">
        <is>
          <t>介護事業所の現状（第9期の介護人材実態調査）</t>
        </is>
      </c>
      <c r="F22" s="5" t="inlineStr">
        <is>
          <t>回答施設数のみ記載され回収率がないため、第10期事業所実態調査の目標回収率の根拠として使えない。</t>
        </is>
      </c>
      <c r="G22" s="5" t="inlineStr">
        <is>
          <t>「第9期の介護人材実態調査は27施設、該当職員405人を把握し、30代以下の正規職員入職割合が63.5％であること…を示しました。」</t>
        </is>
      </c>
      <c r="H22" s="5" t="inlineStr">
        <is>
          <t>「対象35事業所のうち27施設が回答（回収率77.1％）」と対象数・回収率を追記する。第10期事業所実態調査の目標回収率設定の根拠として用いる。</t>
        </is>
      </c>
      <c r="I22" s="5" t="inlineStr">
        <is>
          <t>第9期計画 第1章第5節1（対象35事業所）／第2章第5節1（4）回答者27施設・該当者405人</t>
        </is>
      </c>
      <c r="J22" s="5" t="inlineStr">
        <is>
          <t>不要（数値確定済み）</t>
        </is>
      </c>
      <c r="K22" s="8" t="inlineStr"/>
      <c r="L22" s="8" t="inlineStr">
        <is>
          <t>未着手</t>
        </is>
      </c>
    </row>
    <row r="23">
      <c r="A23" s="5" t="inlineStr">
        <is>
          <t>A-7</t>
        </is>
      </c>
      <c r="B23" s="5" t="inlineStr">
        <is>
          <t>A</t>
        </is>
      </c>
      <c r="C23" s="5" t="inlineStr">
        <is>
          <t>最優先</t>
        </is>
      </c>
      <c r="D23" s="5" t="inlineStr">
        <is>
          <t>計画全体／工程表／KPI定義書</t>
        </is>
      </c>
      <c r="E23" s="5" t="inlineStr">
        <is>
          <t>事業所実態調査の位置付け</t>
        </is>
      </c>
      <c r="F23" s="5" t="inlineStr">
        <is>
          <t>仕様書は「新たなアンケート調査の企画、設計、配布、回収、入力及び督促は行わない」と明記し、委託費内訳書にも調査実施の費目がない。事業所実態調査の新規実施は業務範囲外である。</t>
        </is>
      </c>
      <c r="G23" s="5" t="inlineStr">
        <is>
          <t>提案資料・素案は事業所実態調査をこれから実施する前提（工程表No.10 R8年8月17日〜10月9日、資料依頼No.10、KPI H12・H13・H14・H16のデータ源、第1回委員会資料の協議事項④）。</t>
        </is>
      </c>
      <c r="H23" s="5" t="inlineStr">
        <is>
          <t>委員会前に業務範囲を整理し、3案から方針を決定する。A案：既受領の介護人材実態調査の再分析で代替（H13・H14は取得可、H12・H16は代替指標が必要）。B案：発注者が調査を実施し受託者は設計支援・集計のみ担う（仕様変更又は別途協議）。C案：供給制約の検証を給付実績・指定台帳・ヒアリング等に置換（H12は代理指標へ変更）。</t>
        </is>
      </c>
      <c r="I23" s="5" t="inlineStr">
        <is>
          <t>仕様書４（３）／起工伺 委託費内訳書1号・2号（調査実施の費目なし）</t>
        </is>
      </c>
      <c r="J23" s="7" t="inlineStr">
        <is>
          <t>要（業務範囲を決定）</t>
        </is>
      </c>
      <c r="K23" s="8" t="inlineStr"/>
      <c r="L23" s="8" t="inlineStr">
        <is>
          <t>未着手</t>
        </is>
      </c>
    </row>
    <row r="24">
      <c r="A24" s="5" t="inlineStr">
        <is>
          <t>A-8</t>
        </is>
      </c>
      <c r="B24" s="5" t="inlineStr">
        <is>
          <t>A</t>
        </is>
      </c>
      <c r="C24" s="5" t="inlineStr">
        <is>
          <t>最優先</t>
        </is>
      </c>
      <c r="D24" s="5" t="inlineStr">
        <is>
          <t>第2章第3節／KPI定義書／工程表</t>
        </is>
      </c>
      <c r="E24" s="5" t="inlineStr">
        <is>
          <t>対象調査の名称と基準値の接続</t>
        </is>
      </c>
      <c r="F24" s="5" t="inlineStr">
        <is>
          <t>仕様書の対象調査は「健康とくらしの調査（JAGES調査）」だが、素案・KPI定義書は一貫して「介護予防・日常生活圏域ニーズ調査」と表記している。設問体系が異なるため第9期値と接続できない可能性がある。</t>
        </is>
      </c>
      <c r="G24" s="5" t="inlineStr">
        <is>
          <t>素案 第2章第3節、KPI定義書 H04・H05のデータ源はいずれも「介護予防・日常生活圏域ニーズ調査」。</t>
        </is>
      </c>
      <c r="H24" s="5" t="inlineStr">
        <is>
          <t>調査名称を「健康とくらしの調査（JAGES調査）」に統一する。あわせてJAGESの設問と第9期ニーズ調査の設問を対照し、H04（フレイル 第9期18.5％）・H05（社会参加 第9期の通いの場7.3％）の基準値を接続できるかを確認する。接続できない場合は第10期の初年度値を新たな基準値とし、第9期との断絶を注記する。</t>
        </is>
      </c>
      <c r="I24" s="5" t="inlineStr">
        <is>
          <t>仕様書４（３）④／第9期計画 第2章第3節（令和4年11月実施のニーズ調査）</t>
        </is>
      </c>
      <c r="J24" s="7" t="inlineStr">
        <is>
          <t>要（設問の対照を確認）</t>
        </is>
      </c>
      <c r="K24" s="8" t="inlineStr"/>
      <c r="L24" s="8" t="inlineStr">
        <is>
          <t>未着手</t>
        </is>
      </c>
    </row>
    <row r="25">
      <c r="A25" s="5" t="inlineStr">
        <is>
          <t>A-9</t>
        </is>
      </c>
      <c r="B25" s="5" t="inlineStr">
        <is>
          <t>A</t>
        </is>
      </c>
      <c r="C25" s="5" t="inlineStr">
        <is>
          <t>最優先</t>
        </is>
      </c>
      <c r="D25" s="5" t="inlineStr">
        <is>
          <t>資料編 資料1／KPI定義書</t>
        </is>
      </c>
      <c r="E25" s="5" t="inlineStr">
        <is>
          <t>H07・H08のデータ源</t>
        </is>
      </c>
      <c r="F25" s="5" t="inlineStr">
        <is>
          <t>H07（主介護者の高負担割合）・H08（介護離職懸念）のデータ源である在宅介護実態調査が、仕様書の対象調査に含まれていない。</t>
        </is>
      </c>
      <c r="G25" s="5" t="inlineStr">
        <is>
          <t>KPI定義書 H07・H08のデータ源は「在宅介護実態調査」。仕様書の対象は在宅生活改善・居所変更・介護人材・JAGESの4調査。</t>
        </is>
      </c>
      <c r="H25" s="5" t="inlineStr">
        <is>
          <t>在宅介護実態調査の実施予定を確認する。実施されない場合は、H07・H08を在宅生活改善調査又はJAGES調査の設問から再設計するか、補完分析から外して施策管理指標へ移す。</t>
        </is>
      </c>
      <c r="I25" s="5" t="inlineStr">
        <is>
          <t>仕様書４（３）／KPI定義書 運用定義シート H07・H08</t>
        </is>
      </c>
      <c r="J25" s="7" t="inlineStr">
        <is>
          <t>要（実施予定を確認）</t>
        </is>
      </c>
      <c r="K25" s="8" t="inlineStr"/>
      <c r="L25" s="8" t="inlineStr">
        <is>
          <t>未着手</t>
        </is>
      </c>
    </row>
    <row r="26">
      <c r="A26" s="5" t="inlineStr">
        <is>
          <t>A-10</t>
        </is>
      </c>
      <c r="B26" s="5" t="inlineStr">
        <is>
          <t>A</t>
        </is>
      </c>
      <c r="C26" s="5" t="inlineStr">
        <is>
          <t>最優先</t>
        </is>
      </c>
      <c r="D26" s="5" t="inlineStr">
        <is>
          <t>第3章第1節／第4章第3節／KPI定義書</t>
        </is>
      </c>
      <c r="E26" s="5" t="inlineStr">
        <is>
          <t>H01 年齢調整済要介護認定率の基準値</t>
        </is>
      </c>
      <c r="F26" s="5" t="inlineStr">
        <is>
          <t>見える化には調整済み認定率が2系列あり、18.4％は【注目する地域のみ】の値で他地域と比較できない。他地域と比較可能な【他地域と比較】系列は16.7％であり、KPIの運用定義（北海道・全国と比較）と整合しない。</t>
        </is>
      </c>
      <c r="G26" s="5" t="inlineStr">
        <is>
          <t>素案・KPI定義書・委員会資料・3町役割分担表のすべてが「調整済み認定率18.4％（令和7年度）」を基準値としている。</t>
        </is>
      </c>
      <c r="H26" s="5" t="inlineStr">
        <is>
          <t>北海道・全国との比較を行う運用であれば【他地域と比較】系列16.7％を採用する。18.4％を用いる場合は比較対象を圏域内の時系列と3町別に限定し、その旨をKPI定義書に明記する。あわせて基準時点を「令和7年度」から「令和7年3月末時点（令和6年度末）」に修正する。</t>
        </is>
      </c>
      <c r="I26" s="5" t="inlineStr">
        <is>
          <t>見える化B5-a：【注目する地域のみ】合計調整済み認定率18.4％（令和6年3月末・令和7年3月末時点）／【他地域と比較】合計調整済み認定率16.7％（令和7年3月末時点）</t>
        </is>
      </c>
      <c r="J26" s="7" t="inlineStr">
        <is>
          <t>要（採用系列を決定）</t>
        </is>
      </c>
      <c r="K26" s="8" t="inlineStr"/>
      <c r="L26" s="8" t="inlineStr">
        <is>
          <t>未着手</t>
        </is>
      </c>
    </row>
    <row r="27">
      <c r="A27" s="5" t="inlineStr">
        <is>
          <t>B-8</t>
        </is>
      </c>
      <c r="B27" s="5" t="inlineStr">
        <is>
          <t>B</t>
        </is>
      </c>
      <c r="C27" s="5" t="inlineStr">
        <is>
          <t>高</t>
        </is>
      </c>
      <c r="D27" s="5" t="inlineStr">
        <is>
          <t>第6章第4節</t>
        </is>
      </c>
      <c r="E27" s="5" t="inlineStr">
        <is>
          <t>表40／表41 定員の基準年度</t>
        </is>
      </c>
      <c r="F27" s="5" t="inlineStr">
        <is>
          <t>定員を「R7公開定員」としているが、見える化D25・D26の定員データは令和6年度が最新であり、令和7年度の値は存在しない。</t>
        </is>
      </c>
      <c r="G27" s="5" t="inlineStr">
        <is>
          <t>表40「R7公開定員」、表41「R7公開定員」（介護老人福祉施設160・老健240・GH99・特定施設156・地域密着型特養62）。</t>
        </is>
      </c>
      <c r="H27" s="5" t="inlineStr">
        <is>
          <t>「令和6年度公表定員」に修正する。掲載値自体はすべて見える化D25・D26の令和6年度値と一致しており、数値の変更は不要。</t>
        </is>
      </c>
      <c r="I27" s="5" t="inlineStr">
        <is>
          <t>見える化D25・D26（列は平成27年度〜令和6年度）</t>
        </is>
      </c>
      <c r="J27" s="5" t="inlineStr">
        <is>
          <t>不要（確認済み）</t>
        </is>
      </c>
      <c r="K27" s="8" t="inlineStr"/>
      <c r="L27" s="8" t="inlineStr">
        <is>
          <t>未着手</t>
        </is>
      </c>
    </row>
    <row r="28">
      <c r="A28" s="5" t="inlineStr">
        <is>
          <t>B-9</t>
        </is>
      </c>
      <c r="B28" s="5" t="inlineStr">
        <is>
          <t>B</t>
        </is>
      </c>
      <c r="C28" s="5" t="inlineStr">
        <is>
          <t>中</t>
        </is>
      </c>
      <c r="D28" s="5" t="inlineStr">
        <is>
          <t>工程表 全体工程／成果物・レビュー管理</t>
        </is>
      </c>
      <c r="E28" s="5" t="inlineStr">
        <is>
          <t>発注者の段階承認と工程のずれ</t>
        </is>
      </c>
      <c r="F28" s="5" t="inlineStr">
        <is>
          <t>仕様書は「各工程終了後、発注者が指定する期日までに成果物を提出し、発注者の確認を受けた上で次工程へ進む」と定めるが、工程表・成果物レビュー管理表にこのゲートが明示されていない。また仕様書は9月に人口推計・現状分析を求めるが工程表は10月開始。</t>
        </is>
      </c>
      <c r="G28" s="5" t="inlineStr">
        <is>
          <t>工程表は開始日・終了日・進捗のみ。No.15「人口・世帯の将来推計」は2026年10月1日開始。</t>
        </is>
      </c>
      <c r="H28" s="5" t="inlineStr">
        <is>
          <t>各作業群の末尾に「発注者確認」の行を追加し、確認完了日を次工程の開始条件として明示する。あわせて人口推計・現状分析の開始を9月に前倒しできるか協議する。</t>
        </is>
      </c>
      <c r="I28" s="5" t="inlineStr">
        <is>
          <t>仕様書５ 業務スケジュール（予定）／仕様書４（10）</t>
        </is>
      </c>
      <c r="J28" s="7" t="inlineStr">
        <is>
          <t>要（工程の前倒し可否を協議）</t>
        </is>
      </c>
      <c r="K28" s="8" t="inlineStr"/>
      <c r="L28" s="8" t="inlineStr">
        <is>
          <t>未着手</t>
        </is>
      </c>
    </row>
    <row r="29">
      <c r="A29" s="5" t="inlineStr">
        <is>
          <t>C-6</t>
        </is>
      </c>
      <c r="B29" s="5" t="inlineStr">
        <is>
          <t>C</t>
        </is>
      </c>
      <c r="C29" s="5" t="inlineStr">
        <is>
          <t>高</t>
        </is>
      </c>
      <c r="D29" s="5" t="inlineStr">
        <is>
          <t>図表集 03／第2章第1節</t>
        </is>
      </c>
      <c r="E29" s="5" t="inlineStr">
        <is>
          <t>高齢夫婦世帯数</t>
        </is>
      </c>
      <c r="F29" s="5" t="inlineStr">
        <is>
          <t>見える化A8の高齢夫婦世帯数が第9期計画の掲載値と一致しない。平成22年は一致するが、平成27年で82世帯、令和2年で177世帯の差がある。</t>
        </is>
      </c>
      <c r="G29" s="5" t="inlineStr">
        <is>
          <t>第9期計画：H22 1,461／H27 1,697／R2 1,950世帯（令和2年の構成割合34.7％）。見える化A8：H22 1,461／H27 1,615／R2 1,773世帯（同31.5％相当）。</t>
        </is>
      </c>
      <c r="H29" s="5" t="inlineStr">
        <is>
          <t>「高齢者夫婦世帯」と「高齢夫婦世帯」の定義差（夫婦のみ世帯か夫婦＋他を含むか）を確認し、第10期で採用する定義と数値を確定する。一般世帯数・高齢者を含む世帯数・高齢独居世帯数の3系列は完全に一致している。</t>
        </is>
      </c>
      <c r="I29" s="5" t="inlineStr">
        <is>
          <t>見える化A8_高齢夫婦世帯数／第9期計画 第2章第1節2</t>
        </is>
      </c>
      <c r="J29" s="7" t="inlineStr">
        <is>
          <t>要（定義を確認）</t>
        </is>
      </c>
      <c r="K29" s="8" t="inlineStr"/>
      <c r="L29" s="8" t="inlineStr">
        <is>
          <t>未着手</t>
        </is>
      </c>
    </row>
    <row r="30">
      <c r="A30" s="5" t="inlineStr">
        <is>
          <t>C-7</t>
        </is>
      </c>
      <c r="B30" s="5" t="inlineStr">
        <is>
          <t>C</t>
        </is>
      </c>
      <c r="C30" s="5" t="inlineStr">
        <is>
          <t>最優先</t>
        </is>
      </c>
      <c r="D30" s="5" t="inlineStr">
        <is>
          <t>第2章第1節／第6章第1節／図表集</t>
        </is>
      </c>
      <c r="E30" s="5" t="inlineStr">
        <is>
          <t>人口統計の基準の統一</t>
        </is>
      </c>
      <c r="F30" s="5" t="inlineStr">
        <is>
          <t>第9期計画の人口・高齢化率は住民基本台帳（各年10月1日）、素案第6章の推計と見える化A1〜A4は国勢調査＋社人研推計で、基準が二本立てになっている。令和5年で総人口が382人、高齢化率が1.1ポイント異なる。</t>
        </is>
      </c>
      <c r="G30" s="5" t="inlineStr">
        <is>
          <t>第9期計画（住基）：R5 総人口27,887人・65歳以上9,191人・高齢化率33.0％。見える化（国勢調査・社人研）：同27,505人・9,369人・34.1％。素案 表27のR8基準値26,876人は見える化A1の2026年値と一致。</t>
        </is>
      </c>
      <c r="H30" s="5" t="inlineStr">
        <is>
          <t>第10期は国勢調査・社人研ベースへの統一を推奨する（第6章の推計と現状分析の基準が揃うため）。その場合は第9期計画の図表と数値が変わるため、第2章に基準変更の注記を入れる。</t>
        </is>
      </c>
      <c r="I30" s="5" t="inlineStr">
        <is>
          <t>見える化A1・A2（出典：総務省国勢調査／社人研 日本の地域別将来推計人口）／第9期計画 第2章第1節1（住民基本台帳）</t>
        </is>
      </c>
      <c r="J30" s="7" t="inlineStr">
        <is>
          <t>要（採用基準を決定）</t>
        </is>
      </c>
      <c r="K30" s="8" t="inlineStr"/>
      <c r="L30" s="8" t="inlineStr">
        <is>
          <t>未着手</t>
        </is>
      </c>
    </row>
    <row r="31">
      <c r="A31" s="5" t="inlineStr">
        <is>
          <t>C-8</t>
        </is>
      </c>
      <c r="B31" s="5" t="inlineStr">
        <is>
          <t>C</t>
        </is>
      </c>
      <c r="C31" s="5" t="inlineStr">
        <is>
          <t>高</t>
        </is>
      </c>
      <c r="D31" s="5" t="inlineStr">
        <is>
          <t>図表集 02・03・06／第2章</t>
        </is>
      </c>
      <c r="E31" s="5" t="inlineStr">
        <is>
          <t>町別データの入手</t>
        </is>
      </c>
      <c r="F31" s="5" t="inlineStr">
        <is>
          <t>受領した見える化データは大雪地区広域連合・北海道・全国の3系列のみで、東川町・美瑛町・東神楽町の内訳がない。町別の図表（高齢化率の推移、高齢者世帯、町別出現率）を更新できない。</t>
        </is>
      </c>
      <c r="G31" s="5" t="inlineStr">
        <is>
          <t>A1〜A8、B・C・D系列とも町別の行がない。第9期計画は町別の高齢化率・出現率・世帯を掲載している。</t>
        </is>
      </c>
      <c r="H31" s="5" t="inlineStr">
        <is>
          <t>見える化を保険者内の市町村単位で再出力いただくか、住民基本台帳・介護保険事業状況報告から町別値を別途ご提供いただく。3町の地域差は第10期の主要論点であるため優先度は高い。</t>
        </is>
      </c>
      <c r="I31" s="5" t="inlineStr">
        <is>
          <t>受領データ一式（町別系列なし）／第9期計画 第2章第1節1・2・3</t>
        </is>
      </c>
      <c r="J31" s="7" t="inlineStr">
        <is>
          <t>要（町別データを依頼）</t>
        </is>
      </c>
      <c r="K31" s="8" t="inlineStr"/>
      <c r="L31" s="8" t="inlineStr">
        <is>
          <t>未着手</t>
        </is>
      </c>
    </row>
    <row r="33" ht="30" customHeight="1">
      <c r="A33" s="9" t="inlineStr">
        <is>
          <t>注1）「現行の記載」は素案第9稿（第9期目次準拠・令和8年7月）の記載内容。注2）「根拠・出典」の第9期計画は大雪地区広域連合『第9期介護保険事業計画』（令和6年3月）。注3）区分Aは第1回委員会前に修正、区分Bは原稿整備段階で修正、区分Cは前回精査からの継続確認事項。</t>
        </is>
      </c>
    </row>
  </sheetData>
  <autoFilter ref="A4:L31"/>
  <mergeCells count="3">
    <mergeCell ref="A33:L33"/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修正指示の進捗管理</t>
        </is>
      </c>
    </row>
    <row r="2" ht="18" customHeight="1">
      <c r="A2" s="2" t="inlineStr">
        <is>
          <t>修正指示一覧の「状態」欄を更新すると自動集計されます（状態は 未着手／対応中／対応済／要協議 から選択）</t>
        </is>
      </c>
    </row>
    <row r="4" ht="30" customHeight="1">
      <c r="A4" s="4" t="inlineStr">
        <is>
          <t>区分</t>
        </is>
      </c>
      <c r="B4" s="4" t="inlineStr">
        <is>
          <t>未着手</t>
        </is>
      </c>
      <c r="C4" s="4" t="inlineStr">
        <is>
          <t>対応中</t>
        </is>
      </c>
      <c r="D4" s="4" t="inlineStr">
        <is>
          <t>対応済</t>
        </is>
      </c>
      <c r="E4" s="4" t="inlineStr">
        <is>
          <t>要協議</t>
        </is>
      </c>
      <c r="F4" s="4" t="inlineStr">
        <is>
          <t>合計</t>
        </is>
      </c>
      <c r="G4" s="4" t="inlineStr">
        <is>
          <t>対応済率</t>
        </is>
      </c>
    </row>
    <row r="5">
      <c r="A5" s="5" t="inlineStr">
        <is>
          <t>A　委員会前必須</t>
        </is>
      </c>
      <c r="B5" s="10">
        <f>COUNTIFS(修正指示一覧!$B$5:$B$31,"A",修正指示一覧!$L$5:$L$31,"未着手")</f>
        <v/>
      </c>
      <c r="C5" s="10">
        <f>COUNTIFS(修正指示一覧!$B$5:$B$31,"A",修正指示一覧!$L$5:$L$31,"対応中")</f>
        <v/>
      </c>
      <c r="D5" s="10">
        <f>COUNTIFS(修正指示一覧!$B$5:$B$31,"A",修正指示一覧!$L$5:$L$31,"対応済")</f>
        <v/>
      </c>
      <c r="E5" s="10">
        <f>COUNTIFS(修正指示一覧!$B$5:$B$31,"A",修正指示一覧!$L$5:$L$31,"要協議")</f>
        <v/>
      </c>
      <c r="F5" s="10">
        <f>SUM(B5:E5)</f>
        <v/>
      </c>
      <c r="G5" s="11">
        <f>IF(F5=0,"-",D5/F5)</f>
        <v/>
      </c>
    </row>
    <row r="6">
      <c r="A6" s="5" t="inlineStr">
        <is>
          <t>B　原稿整備</t>
        </is>
      </c>
      <c r="B6" s="10">
        <f>COUNTIFS(修正指示一覧!$B$5:$B$31,"B",修正指示一覧!$L$5:$L$31,"未着手")</f>
        <v/>
      </c>
      <c r="C6" s="10">
        <f>COUNTIFS(修正指示一覧!$B$5:$B$31,"B",修正指示一覧!$L$5:$L$31,"対応中")</f>
        <v/>
      </c>
      <c r="D6" s="10">
        <f>COUNTIFS(修正指示一覧!$B$5:$B$31,"B",修正指示一覧!$L$5:$L$31,"対応済")</f>
        <v/>
      </c>
      <c r="E6" s="10">
        <f>COUNTIFS(修正指示一覧!$B$5:$B$31,"B",修正指示一覧!$L$5:$L$31,"要協議")</f>
        <v/>
      </c>
      <c r="F6" s="10">
        <f>SUM(B6:E6)</f>
        <v/>
      </c>
      <c r="G6" s="11">
        <f>IF(F6=0,"-",D6/F6)</f>
        <v/>
      </c>
    </row>
    <row r="7">
      <c r="A7" s="5" t="inlineStr">
        <is>
          <t>C　継続確認</t>
        </is>
      </c>
      <c r="B7" s="10">
        <f>COUNTIFS(修正指示一覧!$B$5:$B$31,"C",修正指示一覧!$L$5:$L$31,"未着手")</f>
        <v/>
      </c>
      <c r="C7" s="10">
        <f>COUNTIFS(修正指示一覧!$B$5:$B$31,"C",修正指示一覧!$L$5:$L$31,"対応中")</f>
        <v/>
      </c>
      <c r="D7" s="10">
        <f>COUNTIFS(修正指示一覧!$B$5:$B$31,"C",修正指示一覧!$L$5:$L$31,"対応済")</f>
        <v/>
      </c>
      <c r="E7" s="10">
        <f>COUNTIFS(修正指示一覧!$B$5:$B$31,"C",修正指示一覧!$L$5:$L$31,"要協議")</f>
        <v/>
      </c>
      <c r="F7" s="10">
        <f>SUM(B7:E7)</f>
        <v/>
      </c>
      <c r="G7" s="11">
        <f>IF(F7=0,"-",D7/F7)</f>
        <v/>
      </c>
    </row>
    <row r="8">
      <c r="A8" s="12" t="inlineStr">
        <is>
          <t>合計</t>
        </is>
      </c>
      <c r="B8" s="13">
        <f>SUM(B5:B7)</f>
        <v/>
      </c>
      <c r="C8" s="13">
        <f>SUM(C5:C7)</f>
        <v/>
      </c>
      <c r="D8" s="13">
        <f>SUM(D5:D7)</f>
        <v/>
      </c>
      <c r="E8" s="13">
        <f>SUM(E5:E7)</f>
        <v/>
      </c>
      <c r="F8" s="13">
        <f>SUM(F5:F7)</f>
        <v/>
      </c>
      <c r="G8" s="14">
        <f>IF(F8=0,"-",D8/F8)</f>
        <v/>
      </c>
    </row>
    <row r="10">
      <c r="A10" s="15" t="inlineStr">
        <is>
          <t>優先度別</t>
        </is>
      </c>
    </row>
    <row r="11" ht="30" customHeight="1">
      <c r="A11" s="4" t="inlineStr">
        <is>
          <t>優先度</t>
        </is>
      </c>
      <c r="B11" s="4" t="inlineStr">
        <is>
          <t>未着手</t>
        </is>
      </c>
      <c r="C11" s="4" t="inlineStr">
        <is>
          <t>対応中</t>
        </is>
      </c>
      <c r="D11" s="4" t="inlineStr">
        <is>
          <t>対応済</t>
        </is>
      </c>
      <c r="E11" s="4" t="inlineStr">
        <is>
          <t>要協議</t>
        </is>
      </c>
      <c r="F11" s="4" t="inlineStr">
        <is>
          <t>合計</t>
        </is>
      </c>
      <c r="G11" s="4" t="inlineStr">
        <is>
          <t>対応済率</t>
        </is>
      </c>
    </row>
    <row r="12">
      <c r="A12" s="5" t="inlineStr">
        <is>
          <t>最優先</t>
        </is>
      </c>
      <c r="B12" s="10">
        <f>COUNTIFS(修正指示一覧!$C$5:$C$31,"最優先",修正指示一覧!$L$5:$L$31,"未着手")</f>
        <v/>
      </c>
      <c r="C12" s="10">
        <f>COUNTIFS(修正指示一覧!$C$5:$C$31,"最優先",修正指示一覧!$L$5:$L$31,"対応中")</f>
        <v/>
      </c>
      <c r="D12" s="10">
        <f>COUNTIFS(修正指示一覧!$C$5:$C$31,"最優先",修正指示一覧!$L$5:$L$31,"対応済")</f>
        <v/>
      </c>
      <c r="E12" s="10">
        <f>COUNTIFS(修正指示一覧!$C$5:$C$31,"最優先",修正指示一覧!$L$5:$L$31,"要協議")</f>
        <v/>
      </c>
      <c r="F12" s="10">
        <f>SUM(B12:E12)</f>
        <v/>
      </c>
      <c r="G12" s="11">
        <f>IF(F12=0,"-",D12/F12)</f>
        <v/>
      </c>
    </row>
    <row r="13">
      <c r="A13" s="5" t="inlineStr">
        <is>
          <t>高</t>
        </is>
      </c>
      <c r="B13" s="10">
        <f>COUNTIFS(修正指示一覧!$C$5:$C$31,"高",修正指示一覧!$L$5:$L$31,"未着手")</f>
        <v/>
      </c>
      <c r="C13" s="10">
        <f>COUNTIFS(修正指示一覧!$C$5:$C$31,"高",修正指示一覧!$L$5:$L$31,"対応中")</f>
        <v/>
      </c>
      <c r="D13" s="10">
        <f>COUNTIFS(修正指示一覧!$C$5:$C$31,"高",修正指示一覧!$L$5:$L$31,"対応済")</f>
        <v/>
      </c>
      <c r="E13" s="10">
        <f>COUNTIFS(修正指示一覧!$C$5:$C$31,"高",修正指示一覧!$L$5:$L$31,"要協議")</f>
        <v/>
      </c>
      <c r="F13" s="10">
        <f>SUM(B13:E13)</f>
        <v/>
      </c>
      <c r="G13" s="11">
        <f>IF(F13=0,"-",D13/F13)</f>
        <v/>
      </c>
    </row>
    <row r="14">
      <c r="A14" s="5" t="inlineStr">
        <is>
          <t>中</t>
        </is>
      </c>
      <c r="B14" s="10">
        <f>COUNTIFS(修正指示一覧!$C$5:$C$31,"中",修正指示一覧!$L$5:$L$31,"未着手")</f>
        <v/>
      </c>
      <c r="C14" s="10">
        <f>COUNTIFS(修正指示一覧!$C$5:$C$31,"中",修正指示一覧!$L$5:$L$31,"対応中")</f>
        <v/>
      </c>
      <c r="D14" s="10">
        <f>COUNTIFS(修正指示一覧!$C$5:$C$31,"中",修正指示一覧!$L$5:$L$31,"対応済")</f>
        <v/>
      </c>
      <c r="E14" s="10">
        <f>COUNTIFS(修正指示一覧!$C$5:$C$31,"中",修正指示一覧!$L$5:$L$31,"要協議")</f>
        <v/>
      </c>
      <c r="F14" s="10">
        <f>SUM(B14:E14)</f>
        <v/>
      </c>
      <c r="G14" s="11">
        <f>IF(F14=0,"-",D14/F14)</f>
        <v/>
      </c>
    </row>
    <row r="15">
      <c r="A15" s="5" t="inlineStr">
        <is>
          <t>低</t>
        </is>
      </c>
      <c r="B15" s="10">
        <f>COUNTIFS(修正指示一覧!$C$5:$C$31,"低",修正指示一覧!$L$5:$L$31,"未着手")</f>
        <v/>
      </c>
      <c r="C15" s="10">
        <f>COUNTIFS(修正指示一覧!$C$5:$C$31,"低",修正指示一覧!$L$5:$L$31,"対応中")</f>
        <v/>
      </c>
      <c r="D15" s="10">
        <f>COUNTIFS(修正指示一覧!$C$5:$C$31,"低",修正指示一覧!$L$5:$L$31,"対応済")</f>
        <v/>
      </c>
      <c r="E15" s="10">
        <f>COUNTIFS(修正指示一覧!$C$5:$C$31,"低",修正指示一覧!$L$5:$L$31,"要協議")</f>
        <v/>
      </c>
      <c r="F15" s="10">
        <f>SUM(B15:E15)</f>
        <v/>
      </c>
      <c r="G15" s="11">
        <f>IF(F15=0,"-",D15/F15)</f>
        <v/>
      </c>
    </row>
    <row r="17">
      <c r="A17" s="15" t="inlineStr">
        <is>
          <t>要確認事項（広域連合・3町への照会が必要な件数）</t>
        </is>
      </c>
    </row>
    <row r="18">
      <c r="A18" s="5" t="inlineStr">
        <is>
          <t>照会が必要</t>
        </is>
      </c>
      <c r="B18" s="10">
        <f>COUNTIF(修正指示一覧!$J$5:$J$31,"要*")</f>
        <v/>
      </c>
      <c r="C18" s="5" t="inlineStr">
        <is>
          <t>件（修正指示一覧の「確認要否」列が『要』の件数）</t>
        </is>
      </c>
      <c r="D18" s="16" t="n"/>
      <c r="E18" s="16" t="n"/>
      <c r="F18" s="16" t="n"/>
      <c r="G18" s="17" t="n"/>
    </row>
  </sheetData>
  <mergeCells count="4">
    <mergeCell ref="A2:G2"/>
    <mergeCell ref="C18:G18"/>
    <mergeCell ref="A1:G1"/>
    <mergeCell ref="A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0" customWidth="1" min="3" max="3"/>
    <col width="34" customWidth="1" min="4" max="4"/>
    <col width="20" customWidth="1" min="5" max="5"/>
    <col width="12" customWidth="1" min="6" max="6"/>
    <col width="10" customWidth="1" min="7" max="7"/>
  </cols>
  <sheetData>
    <row r="1" ht="26" customHeight="1">
      <c r="A1" s="1" t="inlineStr">
        <is>
          <t>素案第9稿の主要数値と原典との照合結果</t>
        </is>
      </c>
    </row>
    <row r="2" ht="18" customHeight="1">
      <c r="A2" s="2" t="inlineStr">
        <is>
          <t>第9期介護保険事業計画・3町高齢者福祉計画・見える化公表値との突合結果。判定が「不一致」「要確認」の項目は修正指示一覧の区分Cに対応。</t>
        </is>
      </c>
    </row>
    <row r="4" ht="30" customHeight="1">
      <c r="A4" s="4" t="inlineStr">
        <is>
          <t>No.</t>
        </is>
      </c>
      <c r="B4" s="4" t="inlineStr">
        <is>
          <t>照合項目</t>
        </is>
      </c>
      <c r="C4" s="4" t="inlineStr">
        <is>
          <t>素案第9稿の記載</t>
        </is>
      </c>
      <c r="D4" s="4" t="inlineStr">
        <is>
          <t>原典・検算</t>
        </is>
      </c>
      <c r="E4" s="4" t="inlineStr">
        <is>
          <t>原典の該当箇所</t>
        </is>
      </c>
      <c r="F4" s="4" t="inlineStr">
        <is>
          <t>判定</t>
        </is>
      </c>
      <c r="G4" s="4" t="inlineStr">
        <is>
          <t>対応No.</t>
        </is>
      </c>
    </row>
    <row r="5">
      <c r="A5" s="5" t="n">
        <v>1</v>
      </c>
      <c r="B5" s="5" t="inlineStr">
        <is>
          <t>第9期 標準給付費見込額</t>
        </is>
      </c>
      <c r="C5" s="5" t="inlineStr">
        <is>
          <t>9,519,211,524円</t>
        </is>
      </c>
      <c r="D5" s="5" t="inlineStr">
        <is>
          <t>9,519,211,524円</t>
        </is>
      </c>
      <c r="E5" s="5" t="inlineStr">
        <is>
          <t>第9期計画 第6章第6節</t>
        </is>
      </c>
      <c r="F5" s="18" t="inlineStr">
        <is>
          <t>一致</t>
        </is>
      </c>
      <c r="G5" s="5" t="inlineStr"/>
    </row>
    <row r="6">
      <c r="A6" s="5" t="n">
        <v>2</v>
      </c>
      <c r="B6" s="5" t="inlineStr">
        <is>
          <t>第9期 地域支援事業費</t>
        </is>
      </c>
      <c r="C6" s="5" t="inlineStr">
        <is>
          <t>593,658,000円</t>
        </is>
      </c>
      <c r="D6" s="5" t="inlineStr">
        <is>
          <t>593,658,000円</t>
        </is>
      </c>
      <c r="E6" s="5" t="inlineStr">
        <is>
          <t>第9期計画 第6章第6節</t>
        </is>
      </c>
      <c r="F6" s="18" t="inlineStr">
        <is>
          <t>一致</t>
        </is>
      </c>
      <c r="G6" s="5" t="inlineStr"/>
    </row>
    <row r="7">
      <c r="A7" s="5" t="n">
        <v>3</v>
      </c>
      <c r="B7" s="5" t="inlineStr">
        <is>
          <t>第9期 財政調整基金取崩額</t>
        </is>
      </c>
      <c r="C7" s="5" t="inlineStr">
        <is>
          <t>40,000,000円</t>
        </is>
      </c>
      <c r="D7" s="5" t="inlineStr">
        <is>
          <t>40,000,000円</t>
        </is>
      </c>
      <c r="E7" s="5" t="inlineStr">
        <is>
          <t>第9期計画 第6章第6節</t>
        </is>
      </c>
      <c r="F7" s="18" t="inlineStr">
        <is>
          <t>一致</t>
        </is>
      </c>
      <c r="G7" s="5" t="inlineStr"/>
    </row>
    <row r="8">
      <c r="A8" s="5" t="n">
        <v>4</v>
      </c>
      <c r="B8" s="5" t="inlineStr">
        <is>
          <t>第9期 保険料基準額</t>
        </is>
      </c>
      <c r="C8" s="5" t="inlineStr">
        <is>
          <t>算定上6,428円→基準額6,400円</t>
        </is>
      </c>
      <c r="D8" s="5" t="inlineStr">
        <is>
          <t>算定上6,428円→基準額6,400円（百円未満四捨五入）</t>
        </is>
      </c>
      <c r="E8" s="5" t="inlineStr">
        <is>
          <t>第9期計画 第6章第6節2</t>
        </is>
      </c>
      <c r="F8" s="18" t="inlineStr">
        <is>
          <t>一致</t>
        </is>
      </c>
      <c r="G8" s="5" t="inlineStr"/>
    </row>
    <row r="9">
      <c r="A9" s="5" t="n">
        <v>5</v>
      </c>
      <c r="B9" s="5" t="inlineStr">
        <is>
          <t>第9期 所得段階数</t>
        </is>
      </c>
      <c r="C9" s="5" t="inlineStr">
        <is>
          <t>16段階</t>
        </is>
      </c>
      <c r="D9" s="5" t="inlineStr">
        <is>
          <t>16段階</t>
        </is>
      </c>
      <c r="E9" s="5" t="inlineStr">
        <is>
          <t>第9期計画 第6章第6節3</t>
        </is>
      </c>
      <c r="F9" s="18" t="inlineStr">
        <is>
          <t>一致</t>
        </is>
      </c>
      <c r="G9" s="5" t="inlineStr"/>
    </row>
    <row r="10">
      <c r="A10" s="5" t="n">
        <v>6</v>
      </c>
      <c r="B10" s="5" t="inlineStr">
        <is>
          <t>第8期→第9期の保険料増減</t>
        </is>
      </c>
      <c r="C10" s="5" t="inlineStr">
        <is>
          <t>6,300円→6,400円（＋100円・＋1.6％）</t>
        </is>
      </c>
      <c r="D10" s="5" t="inlineStr">
        <is>
          <t>第9期計画に第8期基準額の記載なし。北海道公表資料が出典</t>
        </is>
      </c>
      <c r="E10" s="5" t="inlineStr">
        <is>
          <t>北海道『第9期介護保険料』</t>
        </is>
      </c>
      <c r="F10" s="7" t="inlineStr">
        <is>
          <t>要確認</t>
        </is>
      </c>
      <c r="G10" s="5" t="inlineStr"/>
    </row>
    <row r="11">
      <c r="A11" s="5" t="n">
        <v>7</v>
      </c>
      <c r="B11" s="5" t="inlineStr">
        <is>
          <t>上川管内の保険者数</t>
        </is>
      </c>
      <c r="C11" s="5" t="inlineStr">
        <is>
          <t>21保険者</t>
        </is>
      </c>
      <c r="D11" s="5" t="inlineStr">
        <is>
          <t>掲載21件を検算＝21</t>
        </is>
      </c>
      <c r="E11" s="5" t="inlineStr">
        <is>
          <t>素案 表45を検算</t>
        </is>
      </c>
      <c r="F11" s="18" t="inlineStr">
        <is>
          <t>一致</t>
        </is>
      </c>
      <c r="G11" s="5" t="inlineStr"/>
    </row>
    <row r="12">
      <c r="A12" s="5" t="n">
        <v>8</v>
      </c>
      <c r="B12" s="5" t="inlineStr">
        <is>
          <t>上川管内 単純平均保険料</t>
        </is>
      </c>
      <c r="C12" s="5" t="inlineStr">
        <is>
          <t>約5,830円</t>
        </is>
      </c>
      <c r="D12" s="5" t="inlineStr">
        <is>
          <t>合計122,421円÷21＝5,829.6円</t>
        </is>
      </c>
      <c r="E12" s="5" t="inlineStr">
        <is>
          <t>素案 表45を検算</t>
        </is>
      </c>
      <c r="F12" s="18" t="inlineStr">
        <is>
          <t>一致</t>
        </is>
      </c>
      <c r="G12" s="5" t="inlineStr"/>
    </row>
    <row r="13">
      <c r="A13" s="5" t="n">
        <v>9</v>
      </c>
      <c r="B13" s="5" t="inlineStr">
        <is>
          <t>上川管内 中央値</t>
        </is>
      </c>
      <c r="C13" s="5" t="inlineStr">
        <is>
          <t>6,000円</t>
        </is>
      </c>
      <c r="D13" s="5" t="inlineStr">
        <is>
          <t>11番目の値＝6,000円</t>
        </is>
      </c>
      <c r="E13" s="5" t="inlineStr">
        <is>
          <t>素案 表45を検算</t>
        </is>
      </c>
      <c r="F13" s="18" t="inlineStr">
        <is>
          <t>一致</t>
        </is>
      </c>
      <c r="G13" s="5" t="inlineStr"/>
    </row>
    <row r="14">
      <c r="A14" s="5" t="n">
        <v>10</v>
      </c>
      <c r="B14" s="5" t="inlineStr">
        <is>
          <t>大雪地区の順位</t>
        </is>
      </c>
      <c r="C14" s="5" t="inlineStr">
        <is>
          <t>高い方から5番目</t>
        </is>
      </c>
      <c r="D14" s="5" t="inlineStr">
        <is>
          <t>6,800／6,706／6,700／6,550／6,400＝5位</t>
        </is>
      </c>
      <c r="E14" s="5" t="inlineStr">
        <is>
          <t>素案 表45を検算</t>
        </is>
      </c>
      <c r="F14" s="18" t="inlineStr">
        <is>
          <t>一致</t>
        </is>
      </c>
      <c r="G14" s="5" t="inlineStr"/>
    </row>
    <row r="15">
      <c r="A15" s="5" t="n">
        <v>11</v>
      </c>
      <c r="B15" s="5" t="inlineStr">
        <is>
          <t>平均との差</t>
        </is>
      </c>
      <c r="C15" s="5" t="inlineStr">
        <is>
          <t>約570円・約9.8％</t>
        </is>
      </c>
      <c r="D15" s="5" t="inlineStr">
        <is>
          <t>6,400－5,829.6＝570.4円、570.4÷5,829.6＝9.79％</t>
        </is>
      </c>
      <c r="E15" s="5" t="inlineStr">
        <is>
          <t>素案 表45を検算</t>
        </is>
      </c>
      <c r="F15" s="18" t="inlineStr">
        <is>
          <t>一致</t>
        </is>
      </c>
      <c r="G15" s="5" t="inlineStr"/>
    </row>
    <row r="16">
      <c r="A16" s="5" t="n">
        <v>12</v>
      </c>
      <c r="B16" s="5" t="inlineStr">
        <is>
          <t>R5.10.1 総人口・高齢者人口</t>
        </is>
      </c>
      <c r="C16" s="5" t="inlineStr">
        <is>
          <t>総人口27,887人／65歳以上9,191人／高齢化率33.0％</t>
        </is>
      </c>
      <c r="D16" s="5" t="inlineStr">
        <is>
          <t>総人口27,887人／65歳以上9,191人／33.0％</t>
        </is>
      </c>
      <c r="E16" s="5" t="inlineStr">
        <is>
          <t>第9期計画 第2章第1節1</t>
        </is>
      </c>
      <c r="F16" s="18" t="inlineStr">
        <is>
          <t>一致</t>
        </is>
      </c>
      <c r="G16" s="5" t="inlineStr"/>
    </row>
    <row r="17">
      <c r="A17" s="5" t="n">
        <v>13</v>
      </c>
      <c r="B17" s="5" t="inlineStr">
        <is>
          <t>町別高齢化率（R5）</t>
        </is>
      </c>
      <c r="C17" s="5" t="inlineStr">
        <is>
          <t>東川31.4％／美瑛38.8％／東神楽28.7％</t>
        </is>
      </c>
      <c r="D17" s="5" t="inlineStr">
        <is>
          <t>東神楽28.7％が最低、美瑛38.8％が最高、東川31.4％</t>
        </is>
      </c>
      <c r="E17" s="5" t="inlineStr">
        <is>
          <t>第9期計画 第2章第1節1</t>
        </is>
      </c>
      <c r="F17" s="18" t="inlineStr">
        <is>
          <t>一致</t>
        </is>
      </c>
      <c r="G17" s="5" t="inlineStr"/>
    </row>
    <row r="18">
      <c r="A18" s="5" t="n">
        <v>14</v>
      </c>
      <c r="B18" s="5" t="inlineStr">
        <is>
          <t>R8 認定者数・認定率</t>
        </is>
      </c>
      <c r="C18" s="5" t="inlineStr">
        <is>
          <t>1,984人・21.8％</t>
        </is>
      </c>
      <c r="D18" s="5" t="inlineStr">
        <is>
          <t>1,984÷9,090＝21.83％</t>
        </is>
      </c>
      <c r="E18" s="5" t="inlineStr">
        <is>
          <t>見える化R8年3月末を検算</t>
        </is>
      </c>
      <c r="F18" s="18" t="inlineStr">
        <is>
          <t>一致</t>
        </is>
      </c>
      <c r="G18" s="5" t="inlineStr"/>
    </row>
    <row r="19">
      <c r="A19" s="5" t="n">
        <v>15</v>
      </c>
      <c r="B19" s="5" t="inlineStr">
        <is>
          <t>第9期 介護人材実態調査の回答</t>
        </is>
      </c>
      <c r="C19" s="5" t="inlineStr">
        <is>
          <t>27施設・該当職員405人</t>
        </is>
      </c>
      <c r="D19" s="5" t="inlineStr">
        <is>
          <t>回答27施設（該当者405人）。※対象は35事業所＝回収率77.1％</t>
        </is>
      </c>
      <c r="E19" s="5" t="inlineStr">
        <is>
          <t>第9期計画 第2章第5節1</t>
        </is>
      </c>
      <c r="F19" s="5" t="inlineStr">
        <is>
          <t>一致（回収率の追記要）</t>
        </is>
      </c>
      <c r="G19" s="5" t="inlineStr">
        <is>
          <t>C-5</t>
        </is>
      </c>
    </row>
    <row r="20">
      <c r="A20" s="5" t="n">
        <v>16</v>
      </c>
      <c r="B20" s="5" t="inlineStr">
        <is>
          <t>30代以下の正規職員入職割合</t>
        </is>
      </c>
      <c r="C20" s="5" t="inlineStr">
        <is>
          <t>63.5％</t>
        </is>
      </c>
      <c r="D20" s="5" t="inlineStr">
        <is>
          <t>63.5％</t>
        </is>
      </c>
      <c r="E20" s="5" t="inlineStr">
        <is>
          <t>第9期計画 第2章第6節4</t>
        </is>
      </c>
      <c r="F20" s="18" t="inlineStr">
        <is>
          <t>一致</t>
        </is>
      </c>
      <c r="G20" s="5" t="inlineStr"/>
    </row>
    <row r="21">
      <c r="A21" s="5" t="n">
        <v>17</v>
      </c>
      <c r="B21" s="5" t="inlineStr">
        <is>
          <t>第9期の代表KPI4項目</t>
        </is>
      </c>
      <c r="C21" s="5" t="inlineStr">
        <is>
          <t>認定率20.8％／重度6.7→6.4％／フレイル18.5→18.0％／通いの場7.3→10.0％</t>
        </is>
      </c>
      <c r="D21" s="5" t="inlineStr">
        <is>
          <t>同左</t>
        </is>
      </c>
      <c r="E21" s="5" t="inlineStr">
        <is>
          <t>第9期計画 第1章第6節1</t>
        </is>
      </c>
      <c r="F21" s="18" t="inlineStr">
        <is>
          <t>一致</t>
        </is>
      </c>
      <c r="G21" s="5" t="inlineStr"/>
    </row>
    <row r="22">
      <c r="A22" s="5" t="n">
        <v>18</v>
      </c>
      <c r="B22" s="5" t="inlineStr">
        <is>
          <t>第9期の施策数</t>
        </is>
      </c>
      <c r="C22" s="5" t="inlineStr">
        <is>
          <t>19施策（部分評価6・指標不足13）</t>
        </is>
      </c>
      <c r="D22" s="5" t="inlineStr">
        <is>
          <t>第4章第2節の項目数＝19、第5章本文＝18＋基本目標5。ただし第4章第3節の施策体系図は15施策</t>
        </is>
      </c>
      <c r="E22" s="5" t="inlineStr">
        <is>
          <t>第9期計画 第4章第2・3節、第5章</t>
        </is>
      </c>
      <c r="F22" s="5" t="inlineStr">
        <is>
          <t>一致（母数の注記要）</t>
        </is>
      </c>
      <c r="G22" s="5" t="inlineStr"/>
    </row>
    <row r="23">
      <c r="A23" s="5" t="n">
        <v>19</v>
      </c>
      <c r="B23" s="5" t="inlineStr">
        <is>
          <t>施設定員（特養・老健・GH）</t>
        </is>
      </c>
      <c r="C23" s="5" t="inlineStr">
        <is>
          <t>160人／240人／99人</t>
        </is>
      </c>
      <c r="D23" s="5" t="inlineStr">
        <is>
          <t>160人／240人／99人</t>
        </is>
      </c>
      <c r="E23" s="5" t="inlineStr">
        <is>
          <t>第9期計画 第6章第4節1・2</t>
        </is>
      </c>
      <c r="F23" s="18" t="inlineStr">
        <is>
          <t>一致</t>
        </is>
      </c>
      <c r="G23" s="5" t="inlineStr"/>
    </row>
    <row r="24">
      <c r="A24" s="5" t="n">
        <v>20</v>
      </c>
      <c r="B24" s="5" t="inlineStr">
        <is>
          <t>地域密着型介護老人福祉施設の定員</t>
        </is>
      </c>
      <c r="C24" s="5" t="inlineStr">
        <is>
          <t>R7公開定員62人</t>
        </is>
      </c>
      <c r="D24" s="5" t="inlineStr">
        <is>
          <t>第9期計画の掲載定員は63人（美瑛43＋東神楽20）</t>
        </is>
      </c>
      <c r="E24" s="5" t="inlineStr">
        <is>
          <t>第9期計画 第6章第4節1（1）</t>
        </is>
      </c>
      <c r="F24" s="7" t="inlineStr">
        <is>
          <t>不一致</t>
        </is>
      </c>
      <c r="G24" s="5" t="inlineStr">
        <is>
          <t>C-1</t>
        </is>
      </c>
    </row>
    <row r="25">
      <c r="A25" s="5" t="n">
        <v>21</v>
      </c>
      <c r="B25" s="5" t="inlineStr">
        <is>
          <t>特定施設入居者生活介護の定員</t>
        </is>
      </c>
      <c r="C25" s="5" t="inlineStr">
        <is>
          <t>R7公開定員156人</t>
        </is>
      </c>
      <c r="D25" s="5" t="inlineStr">
        <is>
          <t>第9期計画に整備表なし。介護付有料老人ホームは158人</t>
        </is>
      </c>
      <c r="E25" s="5" t="inlineStr">
        <is>
          <t>第9期計画 第6章第4節3①</t>
        </is>
      </c>
      <c r="F25" s="7" t="inlineStr">
        <is>
          <t>要確認</t>
        </is>
      </c>
      <c r="G25" s="5" t="inlineStr">
        <is>
          <t>C-2</t>
        </is>
      </c>
    </row>
    <row r="26">
      <c r="A26" s="5" t="n">
        <v>22</v>
      </c>
      <c r="B26" s="5" t="inlineStr">
        <is>
          <t>介護医療院</t>
        </is>
      </c>
      <c r="C26" s="5" t="inlineStr">
        <is>
          <t>定員「－」・利用者7人・算定不可</t>
        </is>
      </c>
      <c r="D26" s="5" t="inlineStr">
        <is>
          <t>「※介護医療院 該当なし」（圏域内定員0）</t>
        </is>
      </c>
      <c r="E26" s="5" t="inlineStr">
        <is>
          <t>第9期計画 第6章第4節2</t>
        </is>
      </c>
      <c r="F26" s="18" t="inlineStr">
        <is>
          <t>一致</t>
        </is>
      </c>
      <c r="G26" s="5" t="inlineStr"/>
    </row>
    <row r="27">
      <c r="A27" s="5" t="n">
        <v>23</v>
      </c>
      <c r="B27" s="5" t="inlineStr">
        <is>
          <t>表39 給付費内訳の合計</t>
        </is>
      </c>
      <c r="C27" s="5" t="inlineStr">
        <is>
          <t>R9 3,056.7／第10期計 9,267.4百万円</t>
        </is>
      </c>
      <c r="D27" s="5" t="inlineStr">
        <is>
          <t>1,537.4＋380.6＋1,138.7＝3,056.7、4,686.9＋1,164.5＋3,416.0＝9,267.4</t>
        </is>
      </c>
      <c r="E27" s="5" t="inlineStr">
        <is>
          <t>素案 表39を検算</t>
        </is>
      </c>
      <c r="F27" s="18" t="inlineStr">
        <is>
          <t>一致</t>
        </is>
      </c>
      <c r="G27" s="5" t="inlineStr">
        <is>
          <t>A-1</t>
        </is>
      </c>
    </row>
    <row r="28">
      <c r="A28" s="5" t="n">
        <v>24</v>
      </c>
      <c r="B28" s="5" t="inlineStr">
        <is>
          <t>表30 施設・居住系 R9</t>
        </is>
      </c>
      <c r="C28" s="5" t="inlineStr">
        <is>
          <t>474人／月</t>
        </is>
      </c>
      <c r="D28" s="5" t="inlineStr">
        <is>
          <t>特養146＋老健111＋医療院7＋地密特養65＋GH79＋特定施設66＝474</t>
        </is>
      </c>
      <c r="E28" s="5" t="inlineStr">
        <is>
          <t>素案 表33・34を検算</t>
        </is>
      </c>
      <c r="F28" s="18" t="inlineStr">
        <is>
          <t>一致</t>
        </is>
      </c>
      <c r="G28" s="5" t="inlineStr">
        <is>
          <t>A-2</t>
        </is>
      </c>
    </row>
    <row r="29">
      <c r="A29" s="5" t="n">
        <v>25</v>
      </c>
      <c r="B29" s="5" t="inlineStr">
        <is>
          <t>第9期 総給付費（3年計）</t>
        </is>
      </c>
      <c r="C29" s="5" t="inlineStr">
        <is>
          <t>記載なし</t>
        </is>
      </c>
      <c r="D29" s="5" t="inlineStr">
        <is>
          <t>2,924,324＋2,979,919＋3,000,991＝8,905,234千円（89.05億円）</t>
        </is>
      </c>
      <c r="E29" s="5" t="inlineStr">
        <is>
          <t>第9期計画 第6章第3節3（3）</t>
        </is>
      </c>
      <c r="F29" s="7" t="inlineStr">
        <is>
          <t>未記載</t>
        </is>
      </c>
      <c r="G29" s="5" t="inlineStr">
        <is>
          <t>C-3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80" customWidth="1" min="3" max="3"/>
  </cols>
  <sheetData>
    <row r="1" ht="26" customHeight="1">
      <c r="A1" s="1" t="inlineStr">
        <is>
          <t>凡例・参照資料</t>
        </is>
      </c>
    </row>
    <row r="2" ht="18" customHeight="1">
      <c r="A2" s="2" t="inlineStr">
        <is>
          <t>区分・優先度・状態の定義と、照合に用いた原典資料</t>
        </is>
      </c>
    </row>
    <row r="4" ht="30" customHeight="1">
      <c r="A4" s="4" t="inlineStr">
        <is>
          <t>項目</t>
        </is>
      </c>
      <c r="B4" s="4" t="inlineStr">
        <is>
          <t>値</t>
        </is>
      </c>
      <c r="C4" s="4" t="inlineStr">
        <is>
          <t>定義・内容</t>
        </is>
      </c>
    </row>
    <row r="5">
      <c r="A5" s="5" t="inlineStr">
        <is>
          <t>区分</t>
        </is>
      </c>
      <c r="B5" s="5" t="inlineStr">
        <is>
          <t>A　委員会前必須</t>
        </is>
      </c>
      <c r="C5" s="5" t="inlineStr">
        <is>
          <t>第1回介護保険事業計画策定委員会に提出する前に修正が必要な事項。計画の構成・数値定義に関わる。</t>
        </is>
      </c>
    </row>
    <row r="6">
      <c r="A6" s="5" t="inlineStr"/>
      <c r="B6" s="5" t="inlineStr">
        <is>
          <t>B　原稿整備</t>
        </is>
      </c>
      <c r="C6" s="5" t="inlineStr">
        <is>
          <t>原稿整備段階（10〜11月の計画素案更新まで）に修正する事項。体裁・記載の整合に関わる。</t>
        </is>
      </c>
    </row>
    <row r="7">
      <c r="A7" s="5" t="inlineStr"/>
      <c r="B7" s="5" t="inlineStr">
        <is>
          <t>C　継続確認</t>
        </is>
      </c>
      <c r="C7" s="5" t="inlineStr">
        <is>
          <t>前回の資料精査で指摘し、第9稿で未反映のまま残る事項。原典との照合又は広域連合への確認を要する。</t>
        </is>
      </c>
    </row>
    <row r="8">
      <c r="A8" s="5" t="inlineStr">
        <is>
          <t>優先度</t>
        </is>
      </c>
      <c r="B8" s="5" t="inlineStr">
        <is>
          <t>最優先</t>
        </is>
      </c>
      <c r="C8" s="5" t="inlineStr">
        <is>
          <t>委員会での指摘リスクが高く、他の記載へ波及する事項。</t>
        </is>
      </c>
    </row>
    <row r="9">
      <c r="A9" s="5" t="inlineStr"/>
      <c r="B9" s="5" t="inlineStr">
        <is>
          <t>高</t>
        </is>
      </c>
      <c r="C9" s="5" t="inlineStr">
        <is>
          <t>委員会前又は素案更新前に確実に処理する事項。</t>
        </is>
      </c>
    </row>
    <row r="10">
      <c r="A10" s="5" t="inlineStr"/>
      <c r="B10" s="5" t="inlineStr">
        <is>
          <t>中</t>
        </is>
      </c>
      <c r="C10" s="5" t="inlineStr">
        <is>
          <t>原稿整備段階で処理する事項。</t>
        </is>
      </c>
    </row>
    <row r="11">
      <c r="A11" s="5" t="inlineStr"/>
      <c r="B11" s="5" t="inlineStr">
        <is>
          <t>低</t>
        </is>
      </c>
      <c r="C11" s="5" t="inlineStr">
        <is>
          <t>組版・校正段階で処理する事項。</t>
        </is>
      </c>
    </row>
    <row r="12">
      <c r="A12" s="5" t="inlineStr">
        <is>
          <t>状態</t>
        </is>
      </c>
      <c r="B12" s="5" t="inlineStr">
        <is>
          <t>未着手／対応中／対応済／要協議</t>
        </is>
      </c>
      <c r="C12" s="5" t="inlineStr">
        <is>
          <t>修正指示一覧の「状態」欄に記入する。進捗管理シートで自動集計される。</t>
        </is>
      </c>
    </row>
    <row r="13">
      <c r="A13" s="5" t="inlineStr">
        <is>
          <t>セル色</t>
        </is>
      </c>
      <c r="B13" s="8" t="inlineStr">
        <is>
          <t>淡黄色</t>
        </is>
      </c>
      <c r="C13" s="5" t="inlineStr">
        <is>
          <t>入力欄（対応者・状態）。</t>
        </is>
      </c>
    </row>
    <row r="14">
      <c r="A14" s="5" t="inlineStr"/>
      <c r="B14" s="18" t="inlineStr">
        <is>
          <t>淡緑色</t>
        </is>
      </c>
      <c r="C14" s="5" t="inlineStr">
        <is>
          <t>原典との照合が一致した項目。</t>
        </is>
      </c>
    </row>
    <row r="15">
      <c r="A15" s="5" t="inlineStr"/>
      <c r="B15" s="7" t="inlineStr">
        <is>
          <t>淡橙色</t>
        </is>
      </c>
      <c r="C15" s="5" t="inlineStr">
        <is>
          <t>不一致・要確認・照会が必要な項目。</t>
        </is>
      </c>
    </row>
    <row r="17">
      <c r="A17" s="15" t="inlineStr">
        <is>
          <t>参照した原典資料</t>
        </is>
      </c>
    </row>
    <row r="18" ht="30" customHeight="1">
      <c r="A18" s="4" t="inlineStr">
        <is>
          <t>No.</t>
        </is>
      </c>
      <c r="B18" s="4" t="inlineStr">
        <is>
          <t>資料名</t>
        </is>
      </c>
      <c r="C18" s="4" t="inlineStr">
        <is>
          <t>本書での用途</t>
        </is>
      </c>
    </row>
    <row r="19">
      <c r="A19" s="5" t="n">
        <v>1</v>
      </c>
      <c r="B19" s="5" t="inlineStr">
        <is>
          <t>大雪地区広域連合『第10期介護保険事業計画 素案（第9稿・第9期目次準拠）』令和8年7月</t>
        </is>
      </c>
      <c r="C19" s="5" t="inlineStr">
        <is>
          <t>修正対象。「現行の記載」の出所。</t>
        </is>
      </c>
    </row>
    <row r="20">
      <c r="A20" s="5" t="n">
        <v>2</v>
      </c>
      <c r="B20" s="5" t="inlineStr">
        <is>
          <t>『第9期計画の目次踏襲・流用／修正切分け』令和8年7月28日</t>
        </is>
      </c>
      <c r="C20" s="5" t="inlineStr">
        <is>
          <t>第9稿の構成方針。実装状況の確認に使用。</t>
        </is>
      </c>
    </row>
    <row r="21">
      <c r="A21" s="5" t="n">
        <v>3</v>
      </c>
      <c r="B21" s="5" t="inlineStr">
        <is>
          <t>『委員会確認事項メモ』令和8年7月28日</t>
        </is>
      </c>
      <c r="C21" s="5" t="inlineStr">
        <is>
          <t>本文から分離した協議事項の管理台帳。方針の確認に使用。</t>
        </is>
      </c>
    </row>
    <row r="22">
      <c r="A22" s="5" t="n">
        <v>4</v>
      </c>
      <c r="B22" s="5" t="inlineStr">
        <is>
          <t>大雪地区広域連合『第9期介護保険事業計画』令和6年3月（131頁）</t>
        </is>
      </c>
      <c r="C22" s="5" t="inlineStr">
        <is>
          <t>数値・施設定員・保険料算定・施策体系の原典。</t>
        </is>
      </c>
    </row>
    <row r="23">
      <c r="A23" s="5" t="n">
        <v>5</v>
      </c>
      <c r="B23" s="5" t="inlineStr">
        <is>
          <t>東川町高齢者福祉計画 第9期（令和6年4月）</t>
        </is>
      </c>
      <c r="C23" s="5" t="inlineStr">
        <is>
          <t>3町計画の重点領域の確認。</t>
        </is>
      </c>
    </row>
    <row r="24">
      <c r="A24" s="5" t="n">
        <v>6</v>
      </c>
      <c r="B24" s="5" t="inlineStr">
        <is>
          <t>第9期東神楽町高齢者福祉計画（令和6年3月）</t>
        </is>
      </c>
      <c r="C24" s="5" t="inlineStr">
        <is>
          <t>3町計画の重点領域・高齢化率の確認。</t>
        </is>
      </c>
    </row>
    <row r="25">
      <c r="A25" s="5" t="n">
        <v>7</v>
      </c>
      <c r="B25" s="5" t="inlineStr">
        <is>
          <t>美瑛町高齢者福祉計画（令和6〜8年度）</t>
        </is>
      </c>
      <c r="C25" s="5" t="inlineStr">
        <is>
          <t>3町計画の重点領域・基盤整備目標の確認。</t>
        </is>
      </c>
    </row>
    <row r="26">
      <c r="A26" s="5" t="n">
        <v>8</v>
      </c>
      <c r="B26" s="5" t="inlineStr">
        <is>
          <t>北海道『第9期介護保険料（第1号被保険者分）各保険者の保険料等』</t>
        </is>
      </c>
      <c r="C26" s="5" t="inlineStr">
        <is>
          <t>上川管内保険料比較（素案 表45）の出典。要照合。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2026-07-28T08:01:36Z</dcterms:created>
  <dcterms:modified xmlns:dcterms="http://purl.org/dc/terms/" xmlns:xsi="http://www.w3.org/2001/XMLSchema-instance" xsi:type="dcterms:W3CDTF">2026-07-28T08:01:36Z</dcterms:modified>
</cp:coreProperties>
</file>