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'01_WBS'!$A$1:$N$78</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77件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令和8年11月18日（水）の策定委員会（第2回）までの着手順と、その順番にした理由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受領済8件・一部受領7件・県照会中1件・未受領53件。令和8年8月の調査票朱書きで実データ9件が判明。令和8年10月に外部レビューを踏まえて6件を追加（Ｍ-19・Ｍ-18・Ｍ-13・Ｍ-14・Ｍ-20・Ｍ-21）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2" t="inlineStr">
        <is>
          <t>完了</t>
        </is>
      </c>
      <c r="J23" s="11" t="n">
        <v>100</v>
      </c>
      <c r="K23" s="11" t="n">
        <v>3</v>
      </c>
      <c r="L23" s="4" t="inlineStr">
        <is>
          <t>令和8年10月14日に受領した集計表の改訂版で配布数が確定した（障がい者172・障がい児6）。内訳は身体118名・精神1名・療育8名・入所等12名（障がい者）、身体2名・精神1名・療育1名・入所等2名（障がい児）</t>
        </is>
      </c>
      <c r="M23" s="4" t="inlineStr">
        <is>
          <t>内訳の合計139名が配布数172と合わない（差33名）。精神1名は村の精神手帳所持者38人と比べても少ない（Ｍ-128）。仕様書の約190人との差も併せて確かめる</t>
        </is>
      </c>
      <c r="N23" s="4"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2" t="inlineStr">
        <is>
          <t>完了</t>
        </is>
      </c>
      <c r="J25" s="11" t="n">
        <v>100</v>
      </c>
      <c r="K25" s="11" t="n">
        <v>2</v>
      </c>
      <c r="L25" s="4" t="inlineStr">
        <is>
          <t>14pt程度・ルビ付与・白黒印刷・専門用語への短い解説（7月7日打合せで決定）。村からレスパイトケア・就労継続支援A型B型の用語説明の文言を受領。令和8年8月31日から9月25日までの実施をもって確定</t>
        </is>
      </c>
      <c r="M25" s="4" t="inlineStr">
        <is>
          <t>―</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2" t="inlineStr">
        <is>
          <t>完了</t>
        </is>
      </c>
      <c r="J26" s="11" t="n">
        <v>100</v>
      </c>
      <c r="K26" s="11" t="n">
        <v>3</v>
      </c>
      <c r="L26" s="4" t="inlineStr">
        <is>
          <t>Googleフォーム自動作成コード（1本統合分岐版）。集計表の改訂版で調査方法が「郵送配布・郵送回収及びWEB回答」と記入され、ウェブ回答が実施されたことが確定した</t>
        </is>
      </c>
      <c r="M26" s="4" t="inlineStr">
        <is>
          <t>―</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2" t="inlineStr">
        <is>
          <t>完了</t>
        </is>
      </c>
      <c r="J27" s="11" t="n">
        <v>100</v>
      </c>
      <c r="K27" s="11" t="n">
        <v>3</v>
      </c>
      <c r="L27" s="4" t="inlineStr">
        <is>
          <t>令和8年8月31日の発送をもって完了。配布数は障がい者172・障がい児6</t>
        </is>
      </c>
      <c r="M27" s="4" t="inlineStr">
        <is>
          <t>仕様書は約24頁の1種類だが実際は2種類であった。頁数・種類数・部数・単価の取扱いは契約の変更管理で詰める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5-12</t>
        </is>
      </c>
      <c r="C33" s="4" t="inlineStr">
        <is>
          <t>集計表の改訂版の確認</t>
        </is>
      </c>
      <c r="D33" s="4" t="inlineStr">
        <is>
          <t>報告書用集計表の改訂版について、当方が洗い出した不整合11件がどうなったかを新旧の現物で確かめ、正本の割合が改訂版の集計から出ることを照合する</t>
        </is>
      </c>
      <c r="E33" s="4" t="inlineStr">
        <is>
          <t>仕様書4-Ⅱ(1)②</t>
        </is>
      </c>
      <c r="F33" s="11" t="inlineStr">
        <is>
          <t>受託者</t>
        </is>
      </c>
      <c r="G33" s="11" t="inlineStr">
        <is>
          <t>2026-10</t>
        </is>
      </c>
      <c r="H33" s="11" t="inlineStr">
        <is>
          <t>2026-10</t>
        </is>
      </c>
      <c r="I33" s="12" t="inlineStr">
        <is>
          <t>完了</t>
        </is>
      </c>
      <c r="J33" s="11" t="n">
        <v>100</v>
      </c>
      <c r="K33" s="11" t="n">
        <v>3</v>
      </c>
      <c r="L33"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3" s="4" t="inlineStr">
        <is>
          <t>Ａ-3（基数1〜2の区分の割合表示）とＣ-2（医療的ケアの書き方）は報告書の側の修正（Ｓ-37）。調査対象の内訳139名と配布数172の食い違い（Ｍ-128）</t>
        </is>
      </c>
      <c r="N33" s="4" t="inlineStr">
        <is>
          <t>―</t>
        </is>
      </c>
    </row>
    <row r="34">
      <c r="A34" s="4" t="inlineStr">
        <is>
          <t>P5 集計・分析</t>
        </is>
      </c>
      <c r="B34" s="11" t="inlineStr">
        <is>
          <t>5-2</t>
        </is>
      </c>
      <c r="C34" s="4" t="inlineStr">
        <is>
          <t>集計・分析の設計</t>
        </is>
      </c>
      <c r="D34" s="4" t="inlineStr">
        <is>
          <t>基本集計及び年齢・障がい種別等によるクロス集計。少数母数の取扱い</t>
        </is>
      </c>
      <c r="E34" s="4" t="inlineStr">
        <is>
          <t>仕様書4-Ⅰ(6)</t>
        </is>
      </c>
      <c r="F34" s="11" t="inlineStr">
        <is>
          <t>受託者</t>
        </is>
      </c>
      <c r="G34" s="11" t="inlineStr">
        <is>
          <t>2026-08</t>
        </is>
      </c>
      <c r="H34" s="11" t="inlineStr">
        <is>
          <t>2026-10</t>
        </is>
      </c>
      <c r="I34" s="14" t="inlineStr">
        <is>
          <t>進行中</t>
        </is>
      </c>
      <c r="J34" s="11" t="n">
        <v>80</v>
      </c>
      <c r="K34" s="11" t="n">
        <v>3</v>
      </c>
      <c r="L34"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4" s="4" t="inlineStr">
        <is>
          <t>分母の定義を改めるか脚注で明示するかを決める（点検結果A-1）。基数5未満の区分の扱いも表と図で揃える（同A-3）</t>
        </is>
      </c>
      <c r="N34" s="15" t="inlineStr">
        <is>
          <t>小規模公表基準・前回調査の調査結果報告書（精度：要介護認定の有無・要介護度（匿名利用者一覧への列追加））</t>
        </is>
      </c>
    </row>
    <row r="35">
      <c r="A35" s="4" t="inlineStr">
        <is>
          <t>P5 集計・分析</t>
        </is>
      </c>
      <c r="B35" s="11" t="inlineStr">
        <is>
          <t>5-3</t>
        </is>
      </c>
      <c r="C35" s="4" t="inlineStr">
        <is>
          <t>自由回答の取りまとめ</t>
        </is>
      </c>
      <c r="D35" s="4" t="inlineStr">
        <is>
          <t>自由記述の分類・要約。村の修正指示により問11-2・問37-2の自由記述欄が新設される</t>
        </is>
      </c>
      <c r="E35" s="4" t="inlineStr">
        <is>
          <t>仕様書4-Ⅰ(6)</t>
        </is>
      </c>
      <c r="F35" s="11" t="inlineStr">
        <is>
          <t>受託者</t>
        </is>
      </c>
      <c r="G35" s="11" t="inlineStr">
        <is>
          <t>2026-10</t>
        </is>
      </c>
      <c r="H35" s="11" t="inlineStr">
        <is>
          <t>2026-11</t>
        </is>
      </c>
      <c r="I35" s="14" t="inlineStr">
        <is>
          <t>進行中</t>
        </is>
      </c>
      <c r="J35" s="11" t="n">
        <v>60</v>
      </c>
      <c r="K35" s="11" t="n">
        <v>2</v>
      </c>
      <c r="L35" s="4" t="inlineStr">
        <is>
          <t>自由記述一覧シートに整理済み。報告書 表3-2（障がい者15行）に主な意見を分野別に掲載</t>
        </is>
      </c>
      <c r="M35" s="4" t="inlineStr">
        <is>
          <t>個人が特定されない範囲での要約の最終確認</t>
        </is>
      </c>
      <c r="N35" s="4" t="inlineStr">
        <is>
          <t>―</t>
        </is>
      </c>
    </row>
    <row r="36">
      <c r="A36" s="4" t="inlineStr">
        <is>
          <t>P5 集計・分析</t>
        </is>
      </c>
      <c r="B36" s="11" t="inlineStr">
        <is>
          <t>5-4</t>
        </is>
      </c>
      <c r="C36" s="4" t="inlineStr">
        <is>
          <t>成果目標との紐付け</t>
        </is>
      </c>
      <c r="D36" s="4" t="inlineStr">
        <is>
          <t>現行計画は成果目標の設定根拠に調査結果報告書の頁番号を引用している。第8期でも同じ構造とするため、集計段階で設問と成果目標を紐付ける</t>
        </is>
      </c>
      <c r="E36" s="4" t="inlineStr">
        <is>
          <t>仕様書4-Ⅱ(3)⑤</t>
        </is>
      </c>
      <c r="F36" s="11" t="inlineStr">
        <is>
          <t>受託者</t>
        </is>
      </c>
      <c r="G36" s="11" t="inlineStr">
        <is>
          <t>2026-10</t>
        </is>
      </c>
      <c r="H36" s="11" t="inlineStr">
        <is>
          <t>2026-11</t>
        </is>
      </c>
      <c r="I36" s="14" t="inlineStr">
        <is>
          <t>進行中</t>
        </is>
      </c>
      <c r="J36" s="11" t="n">
        <v>50</v>
      </c>
      <c r="K36" s="11" t="n">
        <v>2</v>
      </c>
      <c r="L36"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6" s="4" t="inlineStr">
        <is>
          <t>アンケートで測る3指標の扱いを村と確定する（R-26）</t>
        </is>
      </c>
      <c r="N36" s="4" t="inlineStr">
        <is>
          <t>―</t>
        </is>
      </c>
    </row>
    <row r="37">
      <c r="A37" s="4" t="inlineStr">
        <is>
          <t>P5 集計・分析</t>
        </is>
      </c>
      <c r="B37" s="11" t="inlineStr">
        <is>
          <t>5-5</t>
        </is>
      </c>
      <c r="C37" s="4" t="inlineStr">
        <is>
          <t>調査結果報告書の作成</t>
        </is>
      </c>
      <c r="D37" s="4" t="inlineStr">
        <is>
          <t>設問ごとにグラフを作成し、分析結果を報告書として取りまとめる</t>
        </is>
      </c>
      <c r="E37" s="4" t="inlineStr">
        <is>
          <t>仕様書4-Ⅰ(7)・成果品②</t>
        </is>
      </c>
      <c r="F37" s="11" t="inlineStr">
        <is>
          <t>受託者</t>
        </is>
      </c>
      <c r="G37" s="11" t="inlineStr">
        <is>
          <t>2026-11</t>
        </is>
      </c>
      <c r="H37" s="11" t="inlineStr">
        <is>
          <t>2026-12</t>
        </is>
      </c>
      <c r="I37" s="14" t="inlineStr">
        <is>
          <t>進行中</t>
        </is>
      </c>
      <c r="J37" s="11" t="n">
        <v>75</v>
      </c>
      <c r="K37" s="11" t="n">
        <v>4</v>
      </c>
      <c r="L37"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7" s="4" t="inlineStr">
        <is>
          <t>残るのはＡ-3（基数1〜2の区分の割合表示）とＣ-2（医療的ケアの3項目が1人の回答であることの書き方）。いずれも報告書の側の修正（Ｓ-37）</t>
        </is>
      </c>
      <c r="N37" s="4" t="inlineStr">
        <is>
          <t>前回調査の調査結果報告書</t>
        </is>
      </c>
    </row>
    <row r="38">
      <c r="A38" s="4" t="inlineStr">
        <is>
          <t>P5 集計・分析</t>
        </is>
      </c>
      <c r="B38" s="11" t="inlineStr">
        <is>
          <t>5-6</t>
        </is>
      </c>
      <c r="C38" s="4" t="inlineStr">
        <is>
          <t>集計・報告書の点検</t>
        </is>
      </c>
      <c r="D38" s="4" t="inlineStr">
        <is>
          <t>個票から単純集計を再計算し、報告書本文の数値まで1件ずつ突き合わせる</t>
        </is>
      </c>
      <c r="E38" s="4" t="inlineStr">
        <is>
          <t>仕様書4-Ⅰ(6)(7)</t>
        </is>
      </c>
      <c r="F38" s="11" t="inlineStr">
        <is>
          <t>受託者</t>
        </is>
      </c>
      <c r="G38" s="11" t="inlineStr">
        <is>
          <t>2026-10</t>
        </is>
      </c>
      <c r="H38" s="11" t="inlineStr">
        <is>
          <t>2026-10</t>
        </is>
      </c>
      <c r="I38" s="12" t="inlineStr">
        <is>
          <t>完了</t>
        </is>
      </c>
      <c r="J38" s="11" t="n">
        <v>100</v>
      </c>
      <c r="K38" s="11" t="n">
        <v>3</v>
      </c>
      <c r="L38"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8" s="4" t="inlineStr">
        <is>
          <t>―</t>
        </is>
      </c>
      <c r="N38" s="4" t="inlineStr">
        <is>
          <t>―（精度：小規模公表基準）</t>
        </is>
      </c>
    </row>
    <row r="39">
      <c r="A39" s="4" t="inlineStr">
        <is>
          <t>P5 集計・分析</t>
        </is>
      </c>
      <c r="B39" s="11" t="inlineStr">
        <is>
          <t>5-7</t>
        </is>
      </c>
      <c r="C39" s="4" t="inlineStr">
        <is>
          <t>目標・KPIの前回比較可能性の整理</t>
        </is>
      </c>
      <c r="D39" s="4" t="inlineStr">
        <is>
          <t>第4次計画の施策目標・成果目標・見込量・活動指標・地域生活支援事業・アンケート設問の前回対応を全数洗い出す</t>
        </is>
      </c>
      <c r="E39" s="4" t="inlineStr">
        <is>
          <t>仕様書4-Ⅱ(2)・4-Ⅱ(4)</t>
        </is>
      </c>
      <c r="F39" s="11" t="inlineStr">
        <is>
          <t>受託者</t>
        </is>
      </c>
      <c r="G39" s="11" t="inlineStr">
        <is>
          <t>2026-10</t>
        </is>
      </c>
      <c r="H39" s="11" t="inlineStr">
        <is>
          <t>2026-10</t>
        </is>
      </c>
      <c r="I39" s="12" t="inlineStr">
        <is>
          <t>完了</t>
        </is>
      </c>
      <c r="J39" s="11" t="n">
        <v>100</v>
      </c>
      <c r="K39" s="11" t="n">
        <v>3</v>
      </c>
      <c r="L39"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9" s="4" t="inlineStr">
        <is>
          <t>―</t>
        </is>
      </c>
      <c r="N39" s="4" t="inlineStr">
        <is>
          <t>―</t>
        </is>
      </c>
    </row>
    <row r="40">
      <c r="A40" s="4" t="inlineStr">
        <is>
          <t>P5 集計・分析</t>
        </is>
      </c>
      <c r="B40" s="11" t="inlineStr">
        <is>
          <t>5-8</t>
        </is>
      </c>
      <c r="C40" s="4" t="inlineStr">
        <is>
          <t>アンケート分析報告書のレビュー</t>
        </is>
      </c>
      <c r="D40" s="4" t="inlineStr">
        <is>
          <t>村から受領した分析報告書（6章・表26・図61）と図表データ集を、国の指針・前回計画課題・経年比較・今期施策・見込量算定・数値整合・クロス分析の7つの観点から確認する</t>
        </is>
      </c>
      <c r="E40" s="4" t="inlineStr">
        <is>
          <t>仕様書4-Ⅱ(1)②</t>
        </is>
      </c>
      <c r="F40" s="11" t="inlineStr">
        <is>
          <t>受託者</t>
        </is>
      </c>
      <c r="G40" s="11" t="inlineStr">
        <is>
          <t>2026-10</t>
        </is>
      </c>
      <c r="H40" s="11" t="inlineStr">
        <is>
          <t>2026-11</t>
        </is>
      </c>
      <c r="I40" s="14" t="inlineStr">
        <is>
          <t>進行中</t>
        </is>
      </c>
      <c r="J40" s="11" t="n">
        <v>85</v>
      </c>
      <c r="K40" s="11" t="n">
        <v>3</v>
      </c>
      <c r="L40"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0"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0" s="4" t="inlineStr">
        <is>
          <t>―</t>
        </is>
      </c>
    </row>
    <row r="41">
      <c r="A41" s="4" t="inlineStr">
        <is>
          <t>P5 集計・分析</t>
        </is>
      </c>
      <c r="B41" s="11" t="inlineStr">
        <is>
          <t>5-9</t>
        </is>
      </c>
      <c r="C41" s="4" t="inlineStr">
        <is>
          <t>アンケート報告書の構成案の作成</t>
        </is>
      </c>
      <c r="D41" s="4" t="inlineStr">
        <is>
          <t>前回報告書・前回計画本編を確認の上、報告書として整理する内容を検討し、章立てと各章の中身を提案する</t>
        </is>
      </c>
      <c r="E41" s="4" t="inlineStr">
        <is>
          <t>仕様書4-Ⅱ(1)②</t>
        </is>
      </c>
      <c r="F41" s="11" t="inlineStr">
        <is>
          <t>受託者</t>
        </is>
      </c>
      <c r="G41" s="11" t="inlineStr">
        <is>
          <t>2026-10</t>
        </is>
      </c>
      <c r="H41" s="11" t="inlineStr">
        <is>
          <t>2026-11</t>
        </is>
      </c>
      <c r="I41" s="14" t="inlineStr">
        <is>
          <t>進行中</t>
        </is>
      </c>
      <c r="J41" s="11" t="n">
        <v>60</v>
      </c>
      <c r="K41" s="11" t="n">
        <v>3</v>
      </c>
      <c r="L41"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1" s="4" t="inlineStr">
        <is>
          <t>村・報告書作成者との構成の合意。経年比較は分母が小さいため行わない方針を村側で確認済み</t>
        </is>
      </c>
      <c r="N41" s="4" t="inlineStr">
        <is>
          <t>―</t>
        </is>
      </c>
    </row>
    <row r="42">
      <c r="A42" s="4" t="inlineStr">
        <is>
          <t>P6 現行計画の評価</t>
        </is>
      </c>
      <c r="B42" s="11" t="inlineStr">
        <is>
          <t>6-1</t>
        </is>
      </c>
      <c r="C42" s="4" t="inlineStr">
        <is>
          <t>サービス利用実績の評価</t>
        </is>
      </c>
      <c r="D42" s="4" t="inlineStr">
        <is>
          <t>令和3〜5年度の見込量と実績を全数突合し、乖離の類型を判定</t>
        </is>
      </c>
      <c r="E42" s="4" t="inlineStr">
        <is>
          <t>仕様書4-Ⅱ(2)</t>
        </is>
      </c>
      <c r="F42" s="11" t="inlineStr">
        <is>
          <t>受託者</t>
        </is>
      </c>
      <c r="G42" s="11" t="inlineStr">
        <is>
          <t>2026-08</t>
        </is>
      </c>
      <c r="H42" s="11" t="inlineStr">
        <is>
          <t>2026-08</t>
        </is>
      </c>
      <c r="I42" s="12" t="inlineStr">
        <is>
          <t>完了</t>
        </is>
      </c>
      <c r="J42" s="11" t="n">
        <v>100</v>
      </c>
      <c r="K42" s="11" t="n">
        <v>4</v>
      </c>
      <c r="L42" s="4" t="inlineStr">
        <is>
          <t>北塩原村_現行計画評価.xlsx（7シート）。サービス25区分・地域生活支援事業16事業。計上漏れ・過大計上を特定</t>
        </is>
      </c>
      <c r="M42" s="4" t="inlineStr">
        <is>
          <t>―</t>
        </is>
      </c>
      <c r="N42" s="4" t="inlineStr">
        <is>
          <t>自立支援協議会の資料13点（令和8年5月25日）（精度：令和6・7年度実績、令和8年度見込・令和6・7年度の障害児給付費の変動理由）</t>
        </is>
      </c>
    </row>
    <row r="43">
      <c r="A43" s="4" t="inlineStr">
        <is>
          <t>P6 現行計画の評価</t>
        </is>
      </c>
      <c r="B43" s="11" t="inlineStr">
        <is>
          <t>6-2</t>
        </is>
      </c>
      <c r="C43" s="4" t="inlineStr">
        <is>
          <t>成果目標の達成状況の評価</t>
        </is>
      </c>
      <c r="D43" s="4" t="inlineStr">
        <is>
          <t>第7期の成果目標7区分の現状値・目標値・設定根拠と評価の見通し</t>
        </is>
      </c>
      <c r="E43" s="4" t="inlineStr">
        <is>
          <t>仕様書4-Ⅱ(2)</t>
        </is>
      </c>
      <c r="F43" s="11" t="inlineStr">
        <is>
          <t>受託者</t>
        </is>
      </c>
      <c r="G43" s="11" t="inlineStr">
        <is>
          <t>2026-08</t>
        </is>
      </c>
      <c r="H43" s="11" t="inlineStr">
        <is>
          <t>2026-10</t>
        </is>
      </c>
      <c r="I43" s="13" t="inlineStr">
        <is>
          <t>データ待ち</t>
        </is>
      </c>
      <c r="J43" s="11" t="n">
        <v>60</v>
      </c>
      <c r="K43" s="11" t="n">
        <v>4</v>
      </c>
      <c r="L43" s="4" t="inlineStr">
        <is>
          <t>現行計画評価 02_成果目標の評価。令和8年8月の村の朱書きにより基幹相談支援センター未設置・セルフプラン率0％・医療的ケア児1人を確定</t>
        </is>
      </c>
      <c r="M43" s="4" t="inlineStr">
        <is>
          <t>令和6・7年度の実績と令和8年度見込（村へ依頼中）</t>
        </is>
      </c>
      <c r="N43"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4">
      <c r="A44" s="4" t="inlineStr">
        <is>
          <t>P6 現行計画の評価</t>
        </is>
      </c>
      <c r="B44" s="11" t="inlineStr">
        <is>
          <t>6-3</t>
        </is>
      </c>
      <c r="C44" s="4" t="inlineStr">
        <is>
          <t>活動指標の達成状況の評価</t>
        </is>
      </c>
      <c r="D44" s="4" t="inlineStr">
        <is>
          <t>第7期の活動指標の実績。第8期は83項目のうち本村分65項目</t>
        </is>
      </c>
      <c r="E44" s="4" t="inlineStr">
        <is>
          <t>仕様書4-Ⅱ(2)</t>
        </is>
      </c>
      <c r="F44" s="11" t="inlineStr">
        <is>
          <t>受託者</t>
        </is>
      </c>
      <c r="G44" s="11" t="inlineStr">
        <is>
          <t>2026-09</t>
        </is>
      </c>
      <c r="H44" s="11" t="inlineStr">
        <is>
          <t>2026-11</t>
        </is>
      </c>
      <c r="I44" s="13" t="inlineStr">
        <is>
          <t>データ待ち</t>
        </is>
      </c>
      <c r="J44" s="11" t="n">
        <v>30</v>
      </c>
      <c r="K44" s="11" t="n">
        <v>3</v>
      </c>
      <c r="L44" s="4" t="inlineStr">
        <is>
          <t>北塩原村_活動指標.xlsx（4シート）で第8期の設定は完了</t>
        </is>
      </c>
      <c r="M44" s="4" t="inlineStr">
        <is>
          <t>令和6年度の活動指標実績（村へ依頼中）</t>
        </is>
      </c>
      <c r="N44" s="4" t="inlineStr">
        <is>
          <t>自立支援協議会の資料13点（令和8年5月25日）</t>
        </is>
      </c>
    </row>
    <row r="45">
      <c r="A45" s="4" t="inlineStr">
        <is>
          <t>P6 現行計画の評価</t>
        </is>
      </c>
      <c r="B45" s="11" t="inlineStr">
        <is>
          <t>6-4</t>
        </is>
      </c>
      <c r="C45" s="4" t="inlineStr">
        <is>
          <t>第4次障がい者計画の施策目標値の測定</t>
        </is>
      </c>
      <c r="D45" s="4" t="inlineStr">
        <is>
          <t>8指標の測定手段を確認し、アンケートで測るもの・行政データで測るものを区分</t>
        </is>
      </c>
      <c r="E45" s="4" t="inlineStr">
        <is>
          <t>仕様書4-Ⅱ(2)・4-Ⅱ(5)②</t>
        </is>
      </c>
      <c r="F45" s="11" t="inlineStr">
        <is>
          <t>受託者</t>
        </is>
      </c>
      <c r="G45" s="11" t="inlineStr">
        <is>
          <t>2026-08</t>
        </is>
      </c>
      <c r="H45" s="11" t="inlineStr">
        <is>
          <t>2026-08</t>
        </is>
      </c>
      <c r="I45" s="12" t="inlineStr">
        <is>
          <t>完了</t>
        </is>
      </c>
      <c r="J45" s="11" t="n">
        <v>100</v>
      </c>
      <c r="K45" s="11" t="n">
        <v>2</v>
      </c>
      <c r="L45" s="4" t="inlineStr">
        <is>
          <t>現行計画評価 の施策指標8件。測定可能6・測定不能1・要確認1。外出目的の設問が調査票に無く1指標が測定できないことを特定</t>
        </is>
      </c>
      <c r="M45" s="4" t="inlineStr">
        <is>
          <t>―</t>
        </is>
      </c>
      <c r="N45" s="4" t="inlineStr">
        <is>
          <t>―（精度：物品調達の実績（Ｍ-34））</t>
        </is>
      </c>
    </row>
    <row r="46">
      <c r="A46" s="4" t="inlineStr">
        <is>
          <t>P7 推計・見込量</t>
        </is>
      </c>
      <c r="B46" s="11" t="inlineStr">
        <is>
          <t>7-1</t>
        </is>
      </c>
      <c r="C46" s="4" t="inlineStr">
        <is>
          <t>推計方法の確定</t>
        </is>
      </c>
      <c r="D46" s="4" t="inlineStr">
        <is>
          <t>個別積上げ方式（実績・意向・心身の状況を利用者単位で積み上げる方法）。別表第五の適用判定を含む</t>
        </is>
      </c>
      <c r="E46" s="4" t="inlineStr">
        <is>
          <t>仕様書4-Ⅱ(3)</t>
        </is>
      </c>
      <c r="F46" s="11" t="inlineStr">
        <is>
          <t>受託者</t>
        </is>
      </c>
      <c r="G46" s="11" t="inlineStr">
        <is>
          <t>2026-08</t>
        </is>
      </c>
      <c r="H46" s="11" t="inlineStr">
        <is>
          <t>2026-08</t>
        </is>
      </c>
      <c r="I46" s="12" t="inlineStr">
        <is>
          <t>完了</t>
        </is>
      </c>
      <c r="J46" s="11" t="n">
        <v>100</v>
      </c>
      <c r="K46" s="11" t="n">
        <v>5</v>
      </c>
      <c r="L46" s="4" t="inlineStr">
        <is>
          <t>北塩原村_サービス見込量.xlsx（13シート）。11_告示別表第一根拠・12_別表第五判定。全域過疎により別表第五は適用対象外と確定し、個別積上げ方式を採用</t>
        </is>
      </c>
      <c r="M46" s="4" t="inlineStr">
        <is>
          <t>―</t>
        </is>
      </c>
      <c r="N46" s="4" t="inlineStr">
        <is>
          <t>本村の過疎区分（全部過疎／一部過疎／みなし過疎）・障害支援区分別人数の基準日とサービス利用状況・実態調査及びPDCAサイクルに関するマニュアル（令和8年8月）</t>
        </is>
      </c>
    </row>
    <row r="47">
      <c r="A47" s="4" t="inlineStr">
        <is>
          <t>P7 推計・見込量</t>
        </is>
      </c>
      <c r="B47" s="11" t="inlineStr">
        <is>
          <t>7-2</t>
        </is>
      </c>
      <c r="C47" s="4" t="inlineStr">
        <is>
          <t>障がい福祉サービスの見込量の推計</t>
        </is>
      </c>
      <c r="D47" s="4" t="inlineStr">
        <is>
          <t>介護給付・訓練等給付の利用者数と量。年齢到達に伴う移行を含む</t>
        </is>
      </c>
      <c r="E47" s="4" t="inlineStr">
        <is>
          <t>仕様書4-Ⅱ(3)②</t>
        </is>
      </c>
      <c r="F47" s="11" t="inlineStr">
        <is>
          <t>受託者</t>
        </is>
      </c>
      <c r="G47" s="11" t="inlineStr">
        <is>
          <t>2026-08</t>
        </is>
      </c>
      <c r="H47" s="11" t="inlineStr">
        <is>
          <t>2026-12</t>
        </is>
      </c>
      <c r="I47" s="14" t="inlineStr">
        <is>
          <t>進行中</t>
        </is>
      </c>
      <c r="J47" s="11" t="n">
        <v>75</v>
      </c>
      <c r="K47" s="11" t="n">
        <v>5</v>
      </c>
      <c r="L47"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7" s="4" t="inlineStr">
        <is>
          <t>年齢別・サービス別の匿名利用者一覧、サービス別の支給決定者数（村へ依頼中）。揃えば第2次算定で個別積上げに進む</t>
        </is>
      </c>
      <c r="N47"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8">
      <c r="A48" s="4" t="inlineStr">
        <is>
          <t>P7 推計・見込量</t>
        </is>
      </c>
      <c r="B48" s="11" t="inlineStr">
        <is>
          <t>7-3</t>
        </is>
      </c>
      <c r="C48" s="4" t="inlineStr">
        <is>
          <t>障がい児通所支援等の見込量の推計</t>
        </is>
      </c>
      <c r="D48" s="4" t="inlineStr">
        <is>
          <t>児童発達支援・放課後等デイサービス等の利用者数と量</t>
        </is>
      </c>
      <c r="E48" s="4" t="inlineStr">
        <is>
          <t>仕様書4-Ⅱ(3)③</t>
        </is>
      </c>
      <c r="F48" s="11" t="inlineStr">
        <is>
          <t>受託者</t>
        </is>
      </c>
      <c r="G48" s="11" t="inlineStr">
        <is>
          <t>2026-08</t>
        </is>
      </c>
      <c r="H48" s="11" t="inlineStr">
        <is>
          <t>2026-12</t>
        </is>
      </c>
      <c r="I48" s="14" t="inlineStr">
        <is>
          <t>進行中</t>
        </is>
      </c>
      <c r="J48" s="11" t="n">
        <v>70</v>
      </c>
      <c r="K48" s="11" t="n">
        <v>3</v>
      </c>
      <c r="L48"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8" s="4" t="inlineStr">
        <is>
          <t>児童発達支援の急減の理由（村確認事項Ｍ-1・最優先）。令和5年度の水準に戻れば年約321万円の増になる</t>
        </is>
      </c>
      <c r="N48"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9">
      <c r="A49" s="4" t="inlineStr">
        <is>
          <t>P7 推計・見込量</t>
        </is>
      </c>
      <c r="B49" s="11" t="inlineStr">
        <is>
          <t>7-4</t>
        </is>
      </c>
      <c r="C49" s="4" t="inlineStr">
        <is>
          <t>地域生活支援事業の見込量の推計</t>
        </is>
      </c>
      <c r="D49" s="4" t="inlineStr">
        <is>
          <t>必須15事業・任意3事業の事業ごとの実施に関する考え方と量の見込み</t>
        </is>
      </c>
      <c r="E49" s="4" t="inlineStr">
        <is>
          <t>仕様書4-Ⅱ(3)④</t>
        </is>
      </c>
      <c r="F49" s="11" t="inlineStr">
        <is>
          <t>受託者</t>
        </is>
      </c>
      <c r="G49" s="11" t="inlineStr">
        <is>
          <t>2026-08</t>
        </is>
      </c>
      <c r="H49" s="11" t="inlineStr">
        <is>
          <t>2026-09</t>
        </is>
      </c>
      <c r="I49" s="14" t="inlineStr">
        <is>
          <t>進行中</t>
        </is>
      </c>
      <c r="J49" s="11" t="n">
        <v>70</v>
      </c>
      <c r="K49" s="11" t="n">
        <v>3</v>
      </c>
      <c r="L49" s="4" t="inlineStr">
        <is>
          <t>北塩原村_地域生活支援事業.xlsx（4シート）。告示第三の二の3の4事項に対応</t>
        </is>
      </c>
      <c r="M49" s="4" t="inlineStr">
        <is>
          <t>移動支援0人・福祉ホームの実績と見込の逆転など、確認事項7件が未解消</t>
        </is>
      </c>
      <c r="N49"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0">
      <c r="A50" s="4" t="inlineStr">
        <is>
          <t>P7 推計・見込量</t>
        </is>
      </c>
      <c r="B50" s="11" t="inlineStr">
        <is>
          <t>7-5</t>
        </is>
      </c>
      <c r="C50" s="4" t="inlineStr">
        <is>
          <t>成果目標の設定</t>
        </is>
      </c>
      <c r="D50" s="4" t="inlineStr">
        <is>
          <t>第8期の成果目標8区分（人材確保・定着が新設）</t>
        </is>
      </c>
      <c r="E50" s="4" t="inlineStr">
        <is>
          <t>仕様書4-Ⅱ(3)⑤</t>
        </is>
      </c>
      <c r="F50" s="11" t="inlineStr">
        <is>
          <t>受託者</t>
        </is>
      </c>
      <c r="G50" s="11" t="inlineStr">
        <is>
          <t>2026-08</t>
        </is>
      </c>
      <c r="H50" s="11" t="inlineStr">
        <is>
          <t>2026-12</t>
        </is>
      </c>
      <c r="I50" s="13" t="inlineStr">
        <is>
          <t>データ待ち</t>
        </is>
      </c>
      <c r="J50" s="11" t="n">
        <v>55</v>
      </c>
      <c r="K50" s="11" t="n">
        <v>4</v>
      </c>
      <c r="L50" s="4" t="inlineStr">
        <is>
          <t>骨子案修正版 第4章。国基準数値を告示本文と照合済み。村の朱書きにより（３）（４）（６）を具体化</t>
        </is>
      </c>
      <c r="M50" s="4" t="inlineStr">
        <is>
          <t>令和7年度末の施設入所者数、令和6年度の一般就労移行実績、1年以上長期入院者の実数</t>
        </is>
      </c>
      <c r="N50"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1">
      <c r="A51" s="4" t="inlineStr">
        <is>
          <t>P7 推計・見込量</t>
        </is>
      </c>
      <c r="B51" s="11" t="inlineStr">
        <is>
          <t>7-6</t>
        </is>
      </c>
      <c r="C51" s="4" t="inlineStr">
        <is>
          <t>活動指標の設定</t>
        </is>
      </c>
      <c r="D51" s="4" t="inlineStr">
        <is>
          <t>別表第一の83項目から本村で設定する65項目を選定。告示第三の四㈡により見込量以外の活動指標は任意</t>
        </is>
      </c>
      <c r="E51" s="4" t="inlineStr">
        <is>
          <t>仕様書4-Ⅱ(3)⑤</t>
        </is>
      </c>
      <c r="F51" s="11" t="inlineStr">
        <is>
          <t>受託者</t>
        </is>
      </c>
      <c r="G51" s="11" t="inlineStr">
        <is>
          <t>2026-08</t>
        </is>
      </c>
      <c r="H51" s="11" t="inlineStr">
        <is>
          <t>2026-09</t>
        </is>
      </c>
      <c r="I51" s="14" t="inlineStr">
        <is>
          <t>進行中</t>
        </is>
      </c>
      <c r="J51" s="11" t="n">
        <v>80</v>
      </c>
      <c r="K51" s="11" t="n">
        <v>3</v>
      </c>
      <c r="L51" s="4" t="inlineStr">
        <is>
          <t>北塩原村_活動指標.xlsx。設定51・検討7・設定しない7・都道府県指標18</t>
        </is>
      </c>
      <c r="M51" s="4" t="inlineStr">
        <is>
          <t>令和6年度実績の受領後に現状値を入れる</t>
        </is>
      </c>
      <c r="N51" s="4" t="inlineStr">
        <is>
          <t>セルフプラン率・基幹相談支援センター・就労選択支援事業所の状況</t>
        </is>
      </c>
    </row>
    <row r="52">
      <c r="A52" s="4" t="inlineStr">
        <is>
          <t>P7 推計・見込量</t>
        </is>
      </c>
      <c r="B52" s="11" t="inlineStr">
        <is>
          <t>7-7</t>
        </is>
      </c>
      <c r="C52" s="4" t="inlineStr">
        <is>
          <t>給付費・財源構成の推計</t>
        </is>
      </c>
      <c r="D52" s="4" t="inlineStr">
        <is>
          <t>サービス別の給付費と、国1/2・県1/4・村1/4の法定負担による財源構成</t>
        </is>
      </c>
      <c r="E52" s="4" t="inlineStr">
        <is>
          <t>仕様書4-Ⅱ(3)</t>
        </is>
      </c>
      <c r="F52" s="11" t="inlineStr">
        <is>
          <t>受託者</t>
        </is>
      </c>
      <c r="G52" s="11" t="inlineStr">
        <is>
          <t>2026-08</t>
        </is>
      </c>
      <c r="H52" s="11" t="inlineStr">
        <is>
          <t>2026-12</t>
        </is>
      </c>
      <c r="I52" s="14" t="inlineStr">
        <is>
          <t>進行中</t>
        </is>
      </c>
      <c r="J52" s="11" t="n">
        <v>70</v>
      </c>
      <c r="K52" s="11" t="n">
        <v>4</v>
      </c>
      <c r="L52" s="4" t="inlineStr">
        <is>
          <t>第1次概算で3か年給付費172,859,691円を算定。給付費は年間請求件数×1件あたり給付費で算定し、人／月×12では算定しない（短期入所で4倍、計画相談支援で3.5倍の過大計上になるため）</t>
        </is>
      </c>
      <c r="M52" s="4" t="inlineStr">
        <is>
          <t>報酬改定率の告示（単価を令和7年度で固定しており低く出る側に偏っている）。障がい福祉関係の歳入歳出決算（村へ依頼中）</t>
        </is>
      </c>
      <c r="N52"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3">
      <c r="A53" s="4" t="inlineStr">
        <is>
          <t>P7 推計・見込量</t>
        </is>
      </c>
      <c r="B53" s="11" t="inlineStr">
        <is>
          <t>7-8</t>
        </is>
      </c>
      <c r="C53" s="4" t="inlineStr">
        <is>
          <t>見込量算定のMECEチェック</t>
        </is>
      </c>
      <c r="D53" s="4" t="inlineStr">
        <is>
          <t>国の基本指針・通達と突き合わせ、見込量の算定を網羅性（漏れ）と相互排他性（重複）の2方向から点検する</t>
        </is>
      </c>
      <c r="E53" s="4" t="inlineStr">
        <is>
          <t>仕様書4-Ⅱ(3)②〜④</t>
        </is>
      </c>
      <c r="F53" s="11" t="inlineStr">
        <is>
          <t>受託者</t>
        </is>
      </c>
      <c r="G53" s="11" t="inlineStr">
        <is>
          <t>2026-10</t>
        </is>
      </c>
      <c r="H53" s="11" t="inlineStr">
        <is>
          <t>2026-12</t>
        </is>
      </c>
      <c r="I53" s="14" t="inlineStr">
        <is>
          <t>進行中</t>
        </is>
      </c>
      <c r="J53" s="11" t="n">
        <v>55</v>
      </c>
      <c r="K53" s="11" t="n">
        <v>3</v>
      </c>
      <c r="L53"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3" s="4" t="inlineStr">
        <is>
          <t>E-1（継続入所者）・E-2（保育所等の受入体制）は村の回答待ち。E-3（アンケートの反映）は第2次算定で行う</t>
        </is>
      </c>
      <c r="N53" s="4" t="inlineStr">
        <is>
          <t>―</t>
        </is>
      </c>
    </row>
    <row r="54">
      <c r="A54" s="4" t="inlineStr">
        <is>
          <t>P7 推計・見込量</t>
        </is>
      </c>
      <c r="B54" s="11" t="inlineStr">
        <is>
          <t>7-9</t>
        </is>
      </c>
      <c r="C54" s="4" t="inlineStr">
        <is>
          <t>介護保険事業計画との整合・切り分け</t>
        </is>
      </c>
      <c r="D54" s="4" t="inlineStr">
        <is>
          <t>同一自治体で並行して作業している第10期高齢者福祉計画・介護保険事業計画と、受給者証の区分に応じたサービス利用に照らして見込量を突き合わせる</t>
        </is>
      </c>
      <c r="E54" s="4" t="inlineStr">
        <is>
          <t>障害者総合支援法第7条（介護保険優先原則）</t>
        </is>
      </c>
      <c r="F54" s="11" t="inlineStr">
        <is>
          <t>受託者</t>
        </is>
      </c>
      <c r="G54" s="11" t="inlineStr">
        <is>
          <t>2026-10</t>
        </is>
      </c>
      <c r="H54" s="11" t="inlineStr">
        <is>
          <t>2026-12</t>
        </is>
      </c>
      <c r="I54" s="14" t="inlineStr">
        <is>
          <t>進行中</t>
        </is>
      </c>
      <c r="J54" s="11" t="n">
        <v>60</v>
      </c>
      <c r="K54" s="11" t="n">
        <v>1</v>
      </c>
      <c r="L54"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4" s="4" t="inlineStr">
        <is>
          <t>村照会Ｍ-13〜Ｍ-17（施設入所支援4人の支給決定の内容、第2号被保険者との重なり、65歳到達者の一覧）と、介護保険側への申し送り2件</t>
        </is>
      </c>
      <c r="N54"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5">
      <c r="A55" s="4" t="inlineStr">
        <is>
          <t>P8 施策検討・計画案</t>
        </is>
      </c>
      <c r="B55" s="11" t="inlineStr">
        <is>
          <t>8-1</t>
        </is>
      </c>
      <c r="C55" s="4" t="inlineStr">
        <is>
          <t>障がい者福祉施策の検討</t>
        </is>
      </c>
      <c r="D55" s="4" t="inlineStr">
        <is>
          <t>現行計画の成果と課題を踏まえ、次期計画に盛り込む施策を検討</t>
        </is>
      </c>
      <c r="E55" s="4" t="inlineStr">
        <is>
          <t>仕様書4-Ⅱ(4)</t>
        </is>
      </c>
      <c r="F55" s="11" t="inlineStr">
        <is>
          <t>受託者</t>
        </is>
      </c>
      <c r="G55" s="11" t="inlineStr">
        <is>
          <t>2026-08</t>
        </is>
      </c>
      <c r="H55" s="11" t="inlineStr">
        <is>
          <t>2026-12</t>
        </is>
      </c>
      <c r="I55" s="14" t="inlineStr">
        <is>
          <t>進行中</t>
        </is>
      </c>
      <c r="J55" s="11" t="n">
        <v>60</v>
      </c>
      <c r="K55" s="11" t="n">
        <v>4</v>
      </c>
      <c r="L55" s="4" t="inlineStr">
        <is>
          <t>骨子案修正版 第3章（基本理念・基本目標及び施策体系）。第8期で加わる視点と施策体系の対応表を新設</t>
        </is>
      </c>
      <c r="M55" s="4" t="inlineStr">
        <is>
          <t>現行計画の評価の確定</t>
        </is>
      </c>
      <c r="N55"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6">
      <c r="A56" s="4" t="inlineStr">
        <is>
          <t>P8 施策検討・計画案</t>
        </is>
      </c>
      <c r="B56" s="11" t="inlineStr">
        <is>
          <t>8-10</t>
        </is>
      </c>
      <c r="C56" s="4" t="inlineStr">
        <is>
          <t>告示が「ものとする」とした要件の反映</t>
        </is>
      </c>
      <c r="D56" s="4" t="inlineStr">
        <is>
          <t>見込量算定MECEチェックで特定した2要件（継続入所者の控除・保育所等における障害児の受入れ体制）を計画素案に書き、村への照会事項として確定させる</t>
        </is>
      </c>
      <c r="E56" s="4" t="inlineStr">
        <is>
          <t>告示 第三の二の2㈠</t>
        </is>
      </c>
      <c r="F56" s="11" t="inlineStr">
        <is>
          <t>受託者</t>
        </is>
      </c>
      <c r="G56" s="11" t="inlineStr">
        <is>
          <t>2026-10</t>
        </is>
      </c>
      <c r="H56" s="11" t="inlineStr">
        <is>
          <t>2026-11</t>
        </is>
      </c>
      <c r="I56" s="14" t="inlineStr">
        <is>
          <t>進行中</t>
        </is>
      </c>
      <c r="J56" s="11" t="n">
        <v>50</v>
      </c>
      <c r="K56" s="11" t="n">
        <v>1</v>
      </c>
      <c r="L56"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6" s="4" t="inlineStr">
        <is>
          <t>村照会Ｍ-10・Ｍ-11の回答。回答後に見込量の控除・考え方を確定する</t>
        </is>
      </c>
      <c r="N56" s="15" t="inlineStr">
        <is>
          <t>移行管理台帳（Ｍ-18）</t>
        </is>
      </c>
    </row>
    <row r="57">
      <c r="A57" s="4" t="inlineStr">
        <is>
          <t>P8 施策検討・計画案</t>
        </is>
      </c>
      <c r="B57" s="11" t="inlineStr">
        <is>
          <t>8-11</t>
        </is>
      </c>
      <c r="C57" s="4" t="inlineStr">
        <is>
          <t>計画の体系と工程の引き直し</t>
        </is>
      </c>
      <c r="D57" s="4" t="inlineStr">
        <is>
          <t>村の方針資料（7章）と当方の正本（8章）の食い違いを整理し、策定委員会の開催が11月にずれ込んだことによる納期への影響を示して工程を引き直す</t>
        </is>
      </c>
      <c r="E57" s="4" t="inlineStr">
        <is>
          <t>仕様書4-Ⅱ(5)・仕様書5</t>
        </is>
      </c>
      <c r="F57" s="11" t="inlineStr">
        <is>
          <t>受託者</t>
        </is>
      </c>
      <c r="G57" s="11" t="inlineStr">
        <is>
          <t>2026-10</t>
        </is>
      </c>
      <c r="H57" s="11" t="inlineStr">
        <is>
          <t>2026-10</t>
        </is>
      </c>
      <c r="I57" s="12" t="inlineStr">
        <is>
          <t>完了</t>
        </is>
      </c>
      <c r="J57" s="11" t="n">
        <v>100</v>
      </c>
      <c r="K57" s="11" t="n">
        <v>5</v>
      </c>
      <c r="L57"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7" s="4" t="inlineStr">
        <is>
          <t>案Ａの3点（パブリックコメントの1月下旬開始・庁議2月19日・議会全員協議会を決定の後に置くこと）は村の了解を要する（Ｍ-125）</t>
        </is>
      </c>
      <c r="N57" s="4" t="inlineStr">
        <is>
          <t>―</t>
        </is>
      </c>
    </row>
    <row r="58">
      <c r="A58" s="4" t="inlineStr">
        <is>
          <t>P8 施策検討・計画案</t>
        </is>
      </c>
      <c r="B58" s="11" t="inlineStr">
        <is>
          <t>8-12</t>
        </is>
      </c>
      <c r="C58" s="4" t="inlineStr">
        <is>
          <t>策定委員会資料の修正箇所の提示</t>
        </is>
      </c>
      <c r="D58" s="4" t="inlineStr">
        <is>
          <t>村から受領した策定委員会資料（149段落・24表）を当方の現物に当て、修正箇所を指示書として示す</t>
        </is>
      </c>
      <c r="E58" s="4" t="inlineStr">
        <is>
          <t>仕様書4-Ⅱ(7)</t>
        </is>
      </c>
      <c r="F58" s="11" t="inlineStr">
        <is>
          <t>受託者</t>
        </is>
      </c>
      <c r="G58" s="11" t="inlineStr">
        <is>
          <t>2026-10</t>
        </is>
      </c>
      <c r="H58" s="11" t="inlineStr">
        <is>
          <t>2026-11</t>
        </is>
      </c>
      <c r="I58" s="14" t="inlineStr">
        <is>
          <t>進行中</t>
        </is>
      </c>
      <c r="J58" s="11" t="n">
        <v>70</v>
      </c>
      <c r="K58" s="11" t="n">
        <v>4</v>
      </c>
      <c r="L58"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58" s="4" t="inlineStr">
        <is>
          <t>確定4件の差し替えは村の作業。保留4件は村の回答（Ｍ-123・Ｍ-124・Ｍ-125・Ｓ-26）</t>
        </is>
      </c>
      <c r="N58" s="4" t="inlineStr">
        <is>
          <t>―</t>
        </is>
      </c>
    </row>
    <row r="59">
      <c r="A59" s="4" t="inlineStr">
        <is>
          <t>P8 施策検討・計画案</t>
        </is>
      </c>
      <c r="B59" s="11" t="inlineStr">
        <is>
          <t>8-13</t>
        </is>
      </c>
      <c r="C59" s="4" t="inlineStr">
        <is>
          <t>障がい児の論点の点検（法改正）</t>
        </is>
      </c>
      <c r="D59" s="4" t="inlineStr">
        <is>
          <t>こども家庭審議会障害児支援部会の令和8年度の審議事項について、国の審議会資料の現物と正本を突き合わせて論点の漏れを洗い出す</t>
        </is>
      </c>
      <c r="E59" s="4" t="inlineStr">
        <is>
          <t>仕様書4-Ⅱ(5)</t>
        </is>
      </c>
      <c r="F59" s="11" t="inlineStr">
        <is>
          <t>受託者</t>
        </is>
      </c>
      <c r="G59" s="11" t="inlineStr">
        <is>
          <t>2026-10</t>
        </is>
      </c>
      <c r="H59" s="11" t="inlineStr">
        <is>
          <t>2026-11</t>
        </is>
      </c>
      <c r="I59" s="14" t="inlineStr">
        <is>
          <t>進行中</t>
        </is>
      </c>
      <c r="J59" s="11" t="n">
        <v>75</v>
      </c>
      <c r="K59" s="11" t="n">
        <v>4</v>
      </c>
      <c r="L59"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59" s="4" t="inlineStr">
        <is>
          <t>基本指針の追加告示（令和8年10月予定）との最終照合（Ｓ-35）。県の地域協議会と村の協議の場の役割の分け方（Ｍ-126）。障がい児支援の人材と事業所の継続（Ｍ-127）</t>
        </is>
      </c>
      <c r="N59" s="4" t="inlineStr">
        <is>
          <t>―</t>
        </is>
      </c>
    </row>
    <row r="60">
      <c r="A60" s="4" t="inlineStr">
        <is>
          <t>P8 施策検討・計画案</t>
        </is>
      </c>
      <c r="B60" s="11" t="inlineStr">
        <is>
          <t>8-2</t>
        </is>
      </c>
      <c r="C60" s="4" t="inlineStr">
        <is>
          <t>計画案の作成</t>
        </is>
      </c>
      <c r="D60"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0" s="4" t="inlineStr">
        <is>
          <t>仕様書4-Ⅱ(5)</t>
        </is>
      </c>
      <c r="F60" s="11" t="inlineStr">
        <is>
          <t>受託者</t>
        </is>
      </c>
      <c r="G60" s="11" t="inlineStr">
        <is>
          <t>2026-07</t>
        </is>
      </c>
      <c r="H60" s="11" t="inlineStr">
        <is>
          <t>2027-01</t>
        </is>
      </c>
      <c r="I60" s="14" t="inlineStr">
        <is>
          <t>進行中</t>
        </is>
      </c>
      <c r="J60" s="11" t="n">
        <v>85</v>
      </c>
      <c r="K60" s="11" t="n">
        <v>5</v>
      </c>
      <c r="L60"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0" s="4" t="inlineStr">
        <is>
          <t>村の実績データ（匿名利用者一覧・支給決定者数）による第2次算定。県の基盤整備量の算定値。アンケート3指標の扱いの村決定</t>
        </is>
      </c>
      <c r="N60" s="15" t="inlineStr">
        <is>
          <t>9月30日時点の人口・手帳所持者数（Ｍ-28）・PDCAの評価体制・スケジュール・公表方法</t>
        </is>
      </c>
    </row>
    <row r="61">
      <c r="A61" s="4" t="inlineStr">
        <is>
          <t>P8 施策検討・計画案</t>
        </is>
      </c>
      <c r="B61" s="11" t="inlineStr">
        <is>
          <t>8-3</t>
        </is>
      </c>
      <c r="C61" s="4" t="inlineStr">
        <is>
          <t>確保のための方策の記載</t>
        </is>
      </c>
      <c r="D61" s="4" t="inlineStr">
        <is>
          <t>小規模町村・中山間地域向けの確保方策。介護保険事業所への指定働きかけ、共生型サービス、基準該当、多機能型・従たる事業所、短期入所</t>
        </is>
      </c>
      <c r="E61" s="4" t="inlineStr">
        <is>
          <t>仕様書4-Ⅱ(5)</t>
        </is>
      </c>
      <c r="F61" s="11" t="inlineStr">
        <is>
          <t>受託者</t>
        </is>
      </c>
      <c r="G61" s="11" t="inlineStr">
        <is>
          <t>2026-08</t>
        </is>
      </c>
      <c r="H61" s="11" t="inlineStr">
        <is>
          <t>2026-08</t>
        </is>
      </c>
      <c r="I61" s="12" t="inlineStr">
        <is>
          <t>完了</t>
        </is>
      </c>
      <c r="J61" s="11" t="n">
        <v>100</v>
      </c>
      <c r="K61" s="11" t="n">
        <v>3</v>
      </c>
      <c r="L61" s="4" t="inlineStr">
        <is>
          <t>骨子案修正版 第5章8。告示が名指しする5つの具体策を反映し、圏域の事業所数を原典から表として生成する方式に変更</t>
        </is>
      </c>
      <c r="M61" s="4" t="inlineStr">
        <is>
          <t>―</t>
        </is>
      </c>
      <c r="N61"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2">
      <c r="A62" s="4" t="inlineStr">
        <is>
          <t>P8 施策検討・計画案</t>
        </is>
      </c>
      <c r="B62" s="11" t="inlineStr">
        <is>
          <t>8-4</t>
        </is>
      </c>
      <c r="C62" s="4" t="inlineStr">
        <is>
          <t>分量配分の設計</t>
        </is>
      </c>
      <c r="D62" s="4" t="inlineStr">
        <is>
          <t>成果品①は約60頁。章別の目標頁数を先に決め、原稿段階で収める</t>
        </is>
      </c>
      <c r="E62" s="4" t="inlineStr">
        <is>
          <t>仕様書5 成果品①</t>
        </is>
      </c>
      <c r="F62" s="11" t="inlineStr">
        <is>
          <t>受託者</t>
        </is>
      </c>
      <c r="G62" s="11" t="inlineStr">
        <is>
          <t>2026-08</t>
        </is>
      </c>
      <c r="H62" s="11" t="inlineStr">
        <is>
          <t>2026-08</t>
        </is>
      </c>
      <c r="I62" s="12" t="inlineStr">
        <is>
          <t>完了</t>
        </is>
      </c>
      <c r="J62" s="11" t="n">
        <v>100</v>
      </c>
      <c r="K62" s="11" t="n">
        <v>2</v>
      </c>
      <c r="L62" s="4" t="inlineStr">
        <is>
          <t>計画書_分量配分計画（docs）。現行計画の本文57頁の章別配分を基準に60頁へ配分。削減順序と削ってはならないものを明記。令和8年9月に現行計画の頁数を訂正（63頁は製本総頁で本文は57頁）</t>
        </is>
      </c>
      <c r="M62" s="4" t="inlineStr">
        <is>
          <t>―</t>
        </is>
      </c>
      <c r="N62" s="4" t="inlineStr">
        <is>
          <t>―</t>
        </is>
      </c>
    </row>
    <row r="63">
      <c r="A63" s="4" t="inlineStr">
        <is>
          <t>P8 施策検討・計画案</t>
        </is>
      </c>
      <c r="B63" s="11" t="inlineStr">
        <is>
          <t>8-5</t>
        </is>
      </c>
      <c r="C63" s="4" t="inlineStr">
        <is>
          <t>目次の整理とページ番号の付与</t>
        </is>
      </c>
      <c r="D63" s="4" t="inlineStr">
        <is>
          <t>計画素案の目次を本文から作り直し、全見出しにブックマークを付けて目次からリンクで飛べるようにする。章頭で改ページし、本文を1ページから始める</t>
        </is>
      </c>
      <c r="E63" s="4" t="inlineStr">
        <is>
          <t>仕様書5 成果品①</t>
        </is>
      </c>
      <c r="F63" s="11" t="inlineStr">
        <is>
          <t>受託者</t>
        </is>
      </c>
      <c r="G63" s="11" t="inlineStr">
        <is>
          <t>2026-09</t>
        </is>
      </c>
      <c r="H63" s="11" t="inlineStr">
        <is>
          <t>2026-09</t>
        </is>
      </c>
      <c r="I63" s="12" t="inlineStr">
        <is>
          <t>完了</t>
        </is>
      </c>
      <c r="J63" s="11" t="n">
        <v>100</v>
      </c>
      <c r="K63" s="11" t="n">
        <v>3</v>
      </c>
      <c r="L63" s="4" t="inlineStr">
        <is>
          <t>build_kitashiobara_mokuji.py。目次55項目・ブックマーク93件・リンク切れ0件。原本の目次は7月版のままで本文94見出しに対し57項目、うち3件がリンク切れ、ページ番号は全項目1だった</t>
        </is>
      </c>
      <c r="M63" s="4" t="inlineStr">
        <is>
          <t>―</t>
        </is>
      </c>
      <c r="N63" s="4" t="inlineStr">
        <is>
          <t>―</t>
        </is>
      </c>
    </row>
    <row r="64">
      <c r="A64" s="4" t="inlineStr">
        <is>
          <t>P8 施策検討・計画案</t>
        </is>
      </c>
      <c r="B64" s="11" t="inlineStr">
        <is>
          <t>8-6</t>
        </is>
      </c>
      <c r="C64" s="4" t="inlineStr">
        <is>
          <t>前回計画との対比と不足分の洗い出し</t>
        </is>
      </c>
      <c r="D64" s="4" t="inlineStr">
        <is>
          <t>現行計画の目次31節を1件ずつ追跡し、引き継いだもの・移したもの・落ちたものを確定させる</t>
        </is>
      </c>
      <c r="E64" s="4" t="inlineStr">
        <is>
          <t>仕様書4-Ⅱ(2)・4-Ⅱ(5)</t>
        </is>
      </c>
      <c r="F64" s="11" t="inlineStr">
        <is>
          <t>受託者</t>
        </is>
      </c>
      <c r="G64" s="11" t="inlineStr">
        <is>
          <t>2026-09</t>
        </is>
      </c>
      <c r="H64" s="11" t="inlineStr">
        <is>
          <t>2026-09</t>
        </is>
      </c>
      <c r="I64" s="12" t="inlineStr">
        <is>
          <t>完了</t>
        </is>
      </c>
      <c r="J64" s="11" t="n">
        <v>100</v>
      </c>
      <c r="K64" s="11" t="n">
        <v>3</v>
      </c>
      <c r="L64"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4" s="4" t="inlineStr">
        <is>
          <t>―</t>
        </is>
      </c>
      <c r="N64" s="4" t="inlineStr">
        <is>
          <t>現行計画本編（第4次障がい者計画・第7期・第3期）</t>
        </is>
      </c>
    </row>
    <row r="65">
      <c r="A65" s="4" t="inlineStr">
        <is>
          <t>P8 施策検討・計画案</t>
        </is>
      </c>
      <c r="B65" s="11" t="inlineStr">
        <is>
          <t>8-7</t>
        </is>
      </c>
      <c r="C65" s="4" t="inlineStr">
        <is>
          <t>概要版の作成（3本）</t>
        </is>
      </c>
      <c r="D65" s="4" t="inlineStr">
        <is>
          <t>住民向けの概要版を計画書とは別ファイルで作成する。前回の概要版の構成を踏襲し、改定対象外の障がい者計画は継承する内容として整理する</t>
        </is>
      </c>
      <c r="E65" s="4" t="inlineStr">
        <is>
          <t>仕様書外（村の指示）</t>
        </is>
      </c>
      <c r="F65" s="11" t="inlineStr">
        <is>
          <t>受託者</t>
        </is>
      </c>
      <c r="G65" s="11" t="inlineStr">
        <is>
          <t>2026-09</t>
        </is>
      </c>
      <c r="H65" s="11" t="inlineStr">
        <is>
          <t>2026-10</t>
        </is>
      </c>
      <c r="I65" s="14" t="inlineStr">
        <is>
          <t>進行中</t>
        </is>
      </c>
      <c r="J65" s="11" t="n">
        <v>95</v>
      </c>
      <c r="K65" s="11" t="n">
        <v>2</v>
      </c>
      <c r="L65"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5"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5" s="15" t="inlineStr">
        <is>
          <t>計画値の基礎とする系列（Ｍ-19）</t>
        </is>
      </c>
    </row>
    <row r="66">
      <c r="A66" s="4" t="inlineStr">
        <is>
          <t>P8 施策検討・計画案</t>
        </is>
      </c>
      <c r="B66" s="11" t="inlineStr">
        <is>
          <t>8-8</t>
        </is>
      </c>
      <c r="C66" s="4" t="inlineStr">
        <is>
          <t>表題の素案への変更</t>
        </is>
      </c>
      <c r="D66" s="4" t="inlineStr">
        <is>
          <t>計画書の表題を「骨子案」から「素案」に改め、作成年月・編集所管課を更新する</t>
        </is>
      </c>
      <c r="E66" s="4" t="inlineStr">
        <is>
          <t>仕様書5 成果品①</t>
        </is>
      </c>
      <c r="F66" s="11" t="inlineStr">
        <is>
          <t>受託者</t>
        </is>
      </c>
      <c r="G66" s="11" t="inlineStr">
        <is>
          <t>2026-09</t>
        </is>
      </c>
      <c r="H66" s="11" t="inlineStr">
        <is>
          <t>2026-09</t>
        </is>
      </c>
      <c r="I66" s="12" t="inlineStr">
        <is>
          <t>完了</t>
        </is>
      </c>
      <c r="J66" s="11" t="n">
        <v>100</v>
      </c>
      <c r="K66" s="11" t="n">
        <v>1</v>
      </c>
      <c r="L66" s="4" t="inlineStr">
        <is>
          <t>表紙・前書き・奥付の7か所を差し替え、作成年月を令和8年9月、編集を北塩原村保健福祉課福祉係に更新。ファイル名も北塩原村_計画素案.docx に統一</t>
        </is>
      </c>
      <c r="M66" s="4" t="inlineStr">
        <is>
          <t>―</t>
        </is>
      </c>
      <c r="N66" s="4" t="inlineStr">
        <is>
          <t>―</t>
        </is>
      </c>
    </row>
    <row r="67">
      <c r="A67" s="4" t="inlineStr">
        <is>
          <t>P8 施策検討・計画案</t>
        </is>
      </c>
      <c r="B67" s="11" t="inlineStr">
        <is>
          <t>8-9</t>
        </is>
      </c>
      <c r="C67" s="4" t="inlineStr">
        <is>
          <t>レビューで洗い出した不足項目の反映</t>
        </is>
      </c>
      <c r="D67" s="4" t="inlineStr">
        <is>
          <t>別表第二 六の項（人材確保等）の新設、基盤整備量、医療的ケア児等への対応、就労関係機関との連携など14件を計画素案に反映する</t>
        </is>
      </c>
      <c r="E67" s="4" t="inlineStr">
        <is>
          <t>仕様書4-Ⅱ(5)</t>
        </is>
      </c>
      <c r="F67" s="11" t="inlineStr">
        <is>
          <t>受託者</t>
        </is>
      </c>
      <c r="G67" s="11" t="inlineStr">
        <is>
          <t>2026-09</t>
        </is>
      </c>
      <c r="H67" s="11" t="inlineStr">
        <is>
          <t>2026-11</t>
        </is>
      </c>
      <c r="I67" s="14" t="inlineStr">
        <is>
          <t>進行中</t>
        </is>
      </c>
      <c r="J67" s="11" t="n">
        <v>80</v>
      </c>
      <c r="K67" s="11" t="n">
        <v>4</v>
      </c>
      <c r="L67"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7"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7" s="15" t="inlineStr">
        <is>
          <t>事業所の経営基盤（Ｍ-25）</t>
        </is>
      </c>
    </row>
    <row r="68">
      <c r="A68" s="4" t="inlineStr">
        <is>
          <t>P9 意見聴取</t>
        </is>
      </c>
      <c r="B68" s="11" t="inlineStr">
        <is>
          <t>9-1</t>
        </is>
      </c>
      <c r="C68" s="4" t="inlineStr">
        <is>
          <t>自立支援協議会の資料作成</t>
        </is>
      </c>
      <c r="D68" s="4" t="inlineStr">
        <is>
          <t>委託者が協議会に報告・説明し、受託者は会議資料の作成、会議への出席、会議記録（要旨）の作成等の運営支援を行う。開催は1回程度</t>
        </is>
      </c>
      <c r="E68" s="4" t="inlineStr">
        <is>
          <t>仕様書4-Ⅱ(7)</t>
        </is>
      </c>
      <c r="F68" s="11" t="inlineStr">
        <is>
          <t>受託者</t>
        </is>
      </c>
      <c r="G68" s="11" t="inlineStr">
        <is>
          <t>2026-08</t>
        </is>
      </c>
      <c r="H68" s="11" t="inlineStr">
        <is>
          <t>2026-12</t>
        </is>
      </c>
      <c r="I68" s="14" t="inlineStr">
        <is>
          <t>進行中</t>
        </is>
      </c>
      <c r="J68" s="11" t="n">
        <v>80</v>
      </c>
      <c r="K68" s="11" t="n">
        <v>3</v>
      </c>
      <c r="L68"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68" s="4" t="inlineStr">
        <is>
          <t>策定委員会（第2回）の開催日（Ｍ-40・Ｍ-125）。委員名簿が未受領。確定4件の差し替えは村の作業</t>
        </is>
      </c>
      <c r="N68" s="4" t="inlineStr">
        <is>
          <t>―（精度：自立支援協議会の委員名簿）</t>
        </is>
      </c>
    </row>
    <row r="69">
      <c r="A69" s="4" t="inlineStr">
        <is>
          <t>P9 意見聴取</t>
        </is>
      </c>
      <c r="B69" s="11" t="inlineStr">
        <is>
          <t>9-2</t>
        </is>
      </c>
      <c r="C69" s="4" t="inlineStr">
        <is>
          <t>策定委員会・協議会の開催</t>
        </is>
      </c>
      <c r="D69" s="4" t="inlineStr">
        <is>
          <t>調査結果・素案・計画案の報告と審議</t>
        </is>
      </c>
      <c r="E69" s="4" t="inlineStr">
        <is>
          <t>仕様書4-Ⅱ(7)</t>
        </is>
      </c>
      <c r="F69" s="11" t="inlineStr">
        <is>
          <t>北塩原村・受託者</t>
        </is>
      </c>
      <c r="G69" s="11" t="inlineStr">
        <is>
          <t>2026-11</t>
        </is>
      </c>
      <c r="H69" s="11" t="inlineStr">
        <is>
          <t>2027-01</t>
        </is>
      </c>
      <c r="I69" s="16" t="inlineStr">
        <is>
          <t>要対応</t>
        </is>
      </c>
      <c r="J69" s="11" t="n">
        <v>0</v>
      </c>
      <c r="K69" s="11" t="n">
        <v>2</v>
      </c>
      <c r="L69" s="4" t="inlineStr">
        <is>
          <t>工程は案Ａ（令和8年10月14日採用）。策定委員会（第2回）は令和8年11月18日、4町村広域の障がい者自立支援協議会は12月16日、自立支援協議会（計画案の審議）は令和9年1月15日。日付は kitashiobara_koutei.py に一本化している</t>
        </is>
      </c>
      <c r="M69" s="4" t="inlineStr">
        <is>
          <t>策定委員会の開催日の確定（Ｍ-40）。4町村広域の協議会の開催時期（Ｍ-125）</t>
        </is>
      </c>
      <c r="N69" s="4" t="inlineStr">
        <is>
          <t>―</t>
        </is>
      </c>
    </row>
    <row r="70">
      <c r="A70" s="4" t="inlineStr">
        <is>
          <t>P9 意見聴取</t>
        </is>
      </c>
      <c r="B70" s="11" t="inlineStr">
        <is>
          <t>9-3</t>
        </is>
      </c>
      <c r="C70" s="4" t="inlineStr">
        <is>
          <t>庁議の開催</t>
        </is>
      </c>
      <c r="D70" s="4" t="inlineStr">
        <is>
          <t>庁内各課との調整。関連計画との整合と依頼事項</t>
        </is>
      </c>
      <c r="E70" s="4" t="inlineStr">
        <is>
          <t>―</t>
        </is>
      </c>
      <c r="F70" s="11" t="inlineStr">
        <is>
          <t>北塩原村・受託者</t>
        </is>
      </c>
      <c r="G70" s="11" t="inlineStr">
        <is>
          <t>2026-11</t>
        </is>
      </c>
      <c r="H70" s="11" t="inlineStr">
        <is>
          <t>2027-02</t>
        </is>
      </c>
      <c r="I70" s="17" t="inlineStr">
        <is>
          <t>未着手</t>
        </is>
      </c>
      <c r="J70" s="11" t="n">
        <v>0</v>
      </c>
      <c r="K70" s="11" t="n">
        <v>1</v>
      </c>
      <c r="L70" s="4" t="inlineStr">
        <is>
          <t>庁議資料2点は作成済み。工程は案Ａにより令和9年2月19日（計画の決定）</t>
        </is>
      </c>
      <c r="M70" s="4" t="inlineStr">
        <is>
          <t>庁議を2月19日に置けるか（Ｍ-125）。ここで本文が確定し、目次と頁数の確定（2月25日）に進む</t>
        </is>
      </c>
      <c r="N70" s="4" t="inlineStr">
        <is>
          <t>―</t>
        </is>
      </c>
    </row>
    <row r="71">
      <c r="A71" s="4" t="inlineStr">
        <is>
          <t>P9 意見聴取</t>
        </is>
      </c>
      <c r="B71" s="11" t="inlineStr">
        <is>
          <t>9-4</t>
        </is>
      </c>
      <c r="C71" s="4" t="inlineStr">
        <is>
          <t>パブリックコメントの実施</t>
        </is>
      </c>
      <c r="D71" s="4" t="inlineStr">
        <is>
          <t>計画案について意見を募集し、得られた意見を反映</t>
        </is>
      </c>
      <c r="E71" s="4" t="inlineStr">
        <is>
          <t>仕様書4-Ⅱ(6)</t>
        </is>
      </c>
      <c r="F71" s="11" t="inlineStr">
        <is>
          <t>北塩原村・受託者</t>
        </is>
      </c>
      <c r="G71" s="11" t="inlineStr">
        <is>
          <t>2027-01</t>
        </is>
      </c>
      <c r="H71" s="11" t="inlineStr">
        <is>
          <t>2027-02</t>
        </is>
      </c>
      <c r="I71" s="17" t="inlineStr">
        <is>
          <t>未着手</t>
        </is>
      </c>
      <c r="J71" s="11" t="n">
        <v>0</v>
      </c>
      <c r="K71" s="11" t="n">
        <v>2</v>
      </c>
      <c r="L71" s="4" t="inlineStr">
        <is>
          <t>工程は案Ａにより令和9年1月26日から2月9日まで（15日間）。正本 第1章5（4）の日付もこの日程に書き換えた（ＴＫ-4）。概要版3本とパブリックコメント一式は作成済み</t>
        </is>
      </c>
      <c r="M71" s="4" t="inlineStr">
        <is>
          <t>1月下旬に開始できるか（Ｍ-125）。15日間とすることの村の実施要領上の根拠。前回（令和6年2月）は意見0件であったため周知の方法も見直す</t>
        </is>
      </c>
      <c r="N71" s="4" t="inlineStr">
        <is>
          <t>―</t>
        </is>
      </c>
    </row>
    <row r="72">
      <c r="A72" s="4" t="inlineStr">
        <is>
          <t>P9 意見聴取</t>
        </is>
      </c>
      <c r="B72" s="11" t="inlineStr">
        <is>
          <t>9-5</t>
        </is>
      </c>
      <c r="C72" s="4" t="inlineStr">
        <is>
          <t>意見への対応</t>
        </is>
      </c>
      <c r="D72" s="4" t="inlineStr">
        <is>
          <t>意見の整理、対応案の作成、計画への反映</t>
        </is>
      </c>
      <c r="E72" s="4" t="inlineStr">
        <is>
          <t>仕様書4-Ⅱ(6)</t>
        </is>
      </c>
      <c r="F72" s="11" t="inlineStr">
        <is>
          <t>受託者</t>
        </is>
      </c>
      <c r="G72" s="11" t="inlineStr">
        <is>
          <t>2027-02</t>
        </is>
      </c>
      <c r="H72" s="11" t="inlineStr">
        <is>
          <t>2027-02</t>
        </is>
      </c>
      <c r="I72" s="17" t="inlineStr">
        <is>
          <t>未着手</t>
        </is>
      </c>
      <c r="J72" s="11" t="n">
        <v>0</v>
      </c>
      <c r="K72" s="11" t="n">
        <v>2</v>
      </c>
      <c r="L72" s="4" t="inlineStr">
        <is>
          <t>工程は案Ａにより令和9年2月10日から16日まで（結果の整理と計画案の修正）</t>
        </is>
      </c>
      <c r="M72" s="4" t="inlineStr">
        <is>
          <t>パブリックコメントの実施。ここが後ろへ動くと最初に削られるのは校正の期間である</t>
        </is>
      </c>
      <c r="N72" s="4" t="inlineStr">
        <is>
          <t>―</t>
        </is>
      </c>
    </row>
    <row r="73">
      <c r="A73" s="4" t="inlineStr">
        <is>
          <t>P10 完成・納品</t>
        </is>
      </c>
      <c r="B73" s="11" t="inlineStr">
        <is>
          <t>10-1</t>
        </is>
      </c>
      <c r="C73" s="4" t="inlineStr">
        <is>
          <t>計画書の原稿確定</t>
        </is>
      </c>
      <c r="D73" s="4" t="inlineStr">
        <is>
          <t>協議会・パブリックコメントを経て得られた意見を反映の上、最終的に取りまとめる</t>
        </is>
      </c>
      <c r="E73" s="4" t="inlineStr">
        <is>
          <t>仕様書4-Ⅱ(6)</t>
        </is>
      </c>
      <c r="F73" s="11" t="inlineStr">
        <is>
          <t>受託者</t>
        </is>
      </c>
      <c r="G73" s="11" t="inlineStr">
        <is>
          <t>2027-02</t>
        </is>
      </c>
      <c r="H73" s="11" t="inlineStr">
        <is>
          <t>2027-02</t>
        </is>
      </c>
      <c r="I73" s="17" t="inlineStr">
        <is>
          <t>未着手</t>
        </is>
      </c>
      <c r="J73" s="11" t="n">
        <v>0</v>
      </c>
      <c r="K73" s="11" t="n">
        <v>3</v>
      </c>
      <c r="L73" s="4" t="inlineStr">
        <is>
          <t>―</t>
        </is>
      </c>
      <c r="M73" s="4" t="inlineStr">
        <is>
          <t>意見への対応</t>
        </is>
      </c>
      <c r="N73" s="15" t="inlineStr">
        <is>
          <t>自立支援協議会の委員名簿</t>
        </is>
      </c>
    </row>
    <row r="74">
      <c r="A74" s="4" t="inlineStr">
        <is>
          <t>P10 完成・納品</t>
        </is>
      </c>
      <c r="B74" s="11" t="inlineStr">
        <is>
          <t>10-2</t>
        </is>
      </c>
      <c r="C74" s="4" t="inlineStr">
        <is>
          <t>レイアウト・組版</t>
        </is>
      </c>
      <c r="D74" s="4" t="inlineStr">
        <is>
          <t>A4判・両面・約60頁・モノクロ</t>
        </is>
      </c>
      <c r="E74" s="4" t="inlineStr">
        <is>
          <t>仕様書5 成果品①</t>
        </is>
      </c>
      <c r="F74" s="11" t="inlineStr">
        <is>
          <t>受託者</t>
        </is>
      </c>
      <c r="G74" s="11" t="inlineStr">
        <is>
          <t>2027-02</t>
        </is>
      </c>
      <c r="H74" s="11" t="inlineStr">
        <is>
          <t>2027-03</t>
        </is>
      </c>
      <c r="I74" s="17" t="inlineStr">
        <is>
          <t>未着手</t>
        </is>
      </c>
      <c r="J74" s="11" t="n">
        <v>0</v>
      </c>
      <c r="K74" s="11" t="n">
        <v>3</v>
      </c>
      <c r="L74" s="4" t="inlineStr">
        <is>
          <t>分量配分計画を作成済み。実際の組版で1頁あたりの文字数を実測し補正する</t>
        </is>
      </c>
      <c r="M74" s="4" t="inlineStr">
        <is>
          <t>原稿の確定</t>
        </is>
      </c>
      <c r="N74" s="4" t="inlineStr">
        <is>
          <t>―</t>
        </is>
      </c>
    </row>
    <row r="75">
      <c r="A75" s="4" t="inlineStr">
        <is>
          <t>P10 完成・納品</t>
        </is>
      </c>
      <c r="B75" s="11" t="inlineStr">
        <is>
          <t>10-3</t>
        </is>
      </c>
      <c r="C75" s="4" t="inlineStr">
        <is>
          <t>校正</t>
        </is>
      </c>
      <c r="D75" s="4" t="inlineStr">
        <is>
          <t>村の確認を経て校了</t>
        </is>
      </c>
      <c r="E75" s="4" t="inlineStr">
        <is>
          <t>仕様書5 成果品①</t>
        </is>
      </c>
      <c r="F75" s="11" t="inlineStr">
        <is>
          <t>受託者・北塩原村</t>
        </is>
      </c>
      <c r="G75" s="11" t="inlineStr">
        <is>
          <t>2027-03</t>
        </is>
      </c>
      <c r="H75" s="11" t="inlineStr">
        <is>
          <t>2027-03</t>
        </is>
      </c>
      <c r="I75" s="17" t="inlineStr">
        <is>
          <t>未着手</t>
        </is>
      </c>
      <c r="J75" s="11" t="n">
        <v>0</v>
      </c>
      <c r="K75" s="11" t="n">
        <v>2</v>
      </c>
      <c r="L75" s="4" t="inlineStr">
        <is>
          <t>―</t>
        </is>
      </c>
      <c r="M75" s="4" t="inlineStr">
        <is>
          <t>組版</t>
        </is>
      </c>
      <c r="N75" s="4" t="inlineStr">
        <is>
          <t>―</t>
        </is>
      </c>
    </row>
    <row r="76">
      <c r="A76" s="4" t="inlineStr">
        <is>
          <t>P10 完成・納品</t>
        </is>
      </c>
      <c r="B76" s="11" t="inlineStr">
        <is>
          <t>10-4</t>
        </is>
      </c>
      <c r="C76" s="4" t="inlineStr">
        <is>
          <t>印刷・製本</t>
        </is>
      </c>
      <c r="D76" s="4" t="inlineStr">
        <is>
          <t>計画書はコピー・くるみ製本30部、調査報告書はコピー・ホチキス製本10部</t>
        </is>
      </c>
      <c r="E76" s="4" t="inlineStr">
        <is>
          <t>仕様書5 成果品①②</t>
        </is>
      </c>
      <c r="F76" s="11" t="inlineStr">
        <is>
          <t>受託者</t>
        </is>
      </c>
      <c r="G76" s="11" t="inlineStr">
        <is>
          <t>2027-03</t>
        </is>
      </c>
      <c r="H76" s="11" t="inlineStr">
        <is>
          <t>2027-03</t>
        </is>
      </c>
      <c r="I76" s="17" t="inlineStr">
        <is>
          <t>未着手</t>
        </is>
      </c>
      <c r="J76" s="11" t="n">
        <v>0</v>
      </c>
      <c r="K76" s="11" t="n">
        <v>2</v>
      </c>
      <c r="L76" s="4" t="inlineStr">
        <is>
          <t>―</t>
        </is>
      </c>
      <c r="M76" s="4" t="inlineStr">
        <is>
          <t>校了。印刷業者の手配</t>
        </is>
      </c>
      <c r="N76" s="4" t="inlineStr">
        <is>
          <t>―</t>
        </is>
      </c>
    </row>
    <row r="77">
      <c r="A77" s="4" t="inlineStr">
        <is>
          <t>P10 完成・納品</t>
        </is>
      </c>
      <c r="B77" s="11" t="inlineStr">
        <is>
          <t>10-5</t>
        </is>
      </c>
      <c r="C77" s="4" t="inlineStr">
        <is>
          <t>電子媒体の作成</t>
        </is>
      </c>
      <c r="D77" s="4" t="inlineStr">
        <is>
          <t>計画書と調査報告書の電子データ一式</t>
        </is>
      </c>
      <c r="E77" s="4" t="inlineStr">
        <is>
          <t>仕様書5 成果品③</t>
        </is>
      </c>
      <c r="F77" s="11" t="inlineStr">
        <is>
          <t>受託者</t>
        </is>
      </c>
      <c r="G77" s="11" t="inlineStr">
        <is>
          <t>2027-03</t>
        </is>
      </c>
      <c r="H77" s="11" t="inlineStr">
        <is>
          <t>2027-03</t>
        </is>
      </c>
      <c r="I77" s="17" t="inlineStr">
        <is>
          <t>未着手</t>
        </is>
      </c>
      <c r="J77" s="11" t="n">
        <v>0</v>
      </c>
      <c r="K77" s="11" t="n">
        <v>1</v>
      </c>
      <c r="L77" s="4" t="inlineStr">
        <is>
          <t>―</t>
        </is>
      </c>
      <c r="M77" s="4" t="inlineStr">
        <is>
          <t>編集可能形式とPDFの別を村に確認する</t>
        </is>
      </c>
      <c r="N77" s="4" t="inlineStr">
        <is>
          <t>―</t>
        </is>
      </c>
    </row>
    <row r="78">
      <c r="A78" s="4" t="inlineStr">
        <is>
          <t>P10 完成・納品</t>
        </is>
      </c>
      <c r="B78" s="11" t="inlineStr">
        <is>
          <t>10-6</t>
        </is>
      </c>
      <c r="C78" s="4" t="inlineStr">
        <is>
          <t>納品・検収</t>
        </is>
      </c>
      <c r="D78" s="4" t="inlineStr">
        <is>
          <t>令和9年3月31日まで</t>
        </is>
      </c>
      <c r="E78" s="4" t="inlineStr">
        <is>
          <t>仕様書3（業務期間）</t>
        </is>
      </c>
      <c r="F78" s="11" t="inlineStr">
        <is>
          <t>受託者・北塩原村</t>
        </is>
      </c>
      <c r="G78" s="11" t="inlineStr">
        <is>
          <t>2027-03</t>
        </is>
      </c>
      <c r="H78" s="11" t="inlineStr">
        <is>
          <t>2027-03</t>
        </is>
      </c>
      <c r="I78" s="17" t="inlineStr">
        <is>
          <t>未着手</t>
        </is>
      </c>
      <c r="J78" s="11" t="n">
        <v>0</v>
      </c>
      <c r="K78" s="11" t="n">
        <v>1</v>
      </c>
      <c r="L78" s="4" t="inlineStr">
        <is>
          <t>―</t>
        </is>
      </c>
      <c r="M78" s="4" t="inlineStr">
        <is>
          <t>全成果品の完成</t>
        </is>
      </c>
      <c r="N78" s="4" t="inlineStr">
        <is>
          <t>―</t>
        </is>
      </c>
    </row>
  </sheetData>
  <autoFilter ref="A1:N7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COUNTIF('01_WBS'!$A$2:$A$78,$A2)</f>
        <v/>
      </c>
      <c r="C2" s="11">
        <f>COUNTIFS('01_WBS'!$A$2:$A$78,$A2,'01_WBS'!$I$2:$I$78,"完了")</f>
        <v/>
      </c>
      <c r="D2" s="11">
        <f>COUNTIFS('01_WBS'!$A$2:$A$78,$A2,'01_WBS'!$I$2:$I$78,"進行中")</f>
        <v/>
      </c>
      <c r="E2" s="11">
        <f>COUNTIFS('01_WBS'!$A$2:$A$78,$A2,'01_WBS'!$I$2:$I$78,"要対応")</f>
        <v/>
      </c>
      <c r="F2" s="11">
        <f>COUNTIFS('01_WBS'!$A$2:$A$78,$A2,'01_WBS'!$I$2:$I$78,"データ待ち")</f>
        <v/>
      </c>
      <c r="G2" s="11">
        <f>COUNTIFS('01_WBS'!$A$2:$A$78,$A2,'01_WBS'!$I$2:$I$78,"未着手")</f>
        <v/>
      </c>
      <c r="H2" s="18">
        <f>IF(SUMPRODUCT(('01_WBS'!$A$2:$A$78=$A2)*'01_WBS'!$K$2:$K$78)=0,0,SUMPRODUCT(('01_WBS'!$A$2:$A$78=$A2)*'01_WBS'!$J$2:$J$78*'01_WBS'!$K$2:$K$78)/SUMPRODUCT(('01_WBS'!$A$2:$A$78=$A2)*'01_WBS'!$K$2:$K$78)/100)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COUNTIF('01_WBS'!$A$2:$A$78,$A3)</f>
        <v/>
      </c>
      <c r="C3" s="11">
        <f>COUNTIFS('01_WBS'!$A$2:$A$78,$A3,'01_WBS'!$I$2:$I$78,"完了")</f>
        <v/>
      </c>
      <c r="D3" s="11">
        <f>COUNTIFS('01_WBS'!$A$2:$A$78,$A3,'01_WBS'!$I$2:$I$78,"進行中")</f>
        <v/>
      </c>
      <c r="E3" s="11">
        <f>COUNTIFS('01_WBS'!$A$2:$A$78,$A3,'01_WBS'!$I$2:$I$78,"要対応")</f>
        <v/>
      </c>
      <c r="F3" s="11">
        <f>COUNTIFS('01_WBS'!$A$2:$A$78,$A3,'01_WBS'!$I$2:$I$78,"データ待ち")</f>
        <v/>
      </c>
      <c r="G3" s="11">
        <f>COUNTIFS('01_WBS'!$A$2:$A$78,$A3,'01_WBS'!$I$2:$I$78,"未着手")</f>
        <v/>
      </c>
      <c r="H3" s="18">
        <f>IF(SUMPRODUCT(('01_WBS'!$A$2:$A$78=$A3)*'01_WBS'!$K$2:$K$78)=0,0,SUMPRODUCT(('01_WBS'!$A$2:$A$78=$A3)*'01_WBS'!$J$2:$J$78*'01_WBS'!$K$2:$K$78)/SUMPRODUCT(('01_WBS'!$A$2:$A$78=$A3)*'01_WBS'!$K$2:$K$78)/100)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COUNTIF('01_WBS'!$A$2:$A$78,$A4)</f>
        <v/>
      </c>
      <c r="C4" s="11">
        <f>COUNTIFS('01_WBS'!$A$2:$A$78,$A4,'01_WBS'!$I$2:$I$78,"完了")</f>
        <v/>
      </c>
      <c r="D4" s="11">
        <f>COUNTIFS('01_WBS'!$A$2:$A$78,$A4,'01_WBS'!$I$2:$I$78,"進行中")</f>
        <v/>
      </c>
      <c r="E4" s="11">
        <f>COUNTIFS('01_WBS'!$A$2:$A$78,$A4,'01_WBS'!$I$2:$I$78,"要対応")</f>
        <v/>
      </c>
      <c r="F4" s="11">
        <f>COUNTIFS('01_WBS'!$A$2:$A$78,$A4,'01_WBS'!$I$2:$I$78,"データ待ち")</f>
        <v/>
      </c>
      <c r="G4" s="11">
        <f>COUNTIFS('01_WBS'!$A$2:$A$78,$A4,'01_WBS'!$I$2:$I$78,"未着手")</f>
        <v/>
      </c>
      <c r="H4" s="18">
        <f>IF(SUMPRODUCT(('01_WBS'!$A$2:$A$78=$A4)*'01_WBS'!$K$2:$K$78)=0,0,SUMPRODUCT(('01_WBS'!$A$2:$A$78=$A4)*'01_WBS'!$J$2:$J$78*'01_WBS'!$K$2:$K$78)/SUMPRODUCT(('01_WBS'!$A$2:$A$78=$A4)*'01_WBS'!$K$2:$K$78)/100)</f>
        <v/>
      </c>
      <c r="I4" s="11" t="inlineStr">
        <is>
          <t>2026-07</t>
        </is>
      </c>
      <c r="J4" s="11" t="inlineStr">
        <is>
          <t>2026-10</t>
        </is>
      </c>
      <c r="K4" s="4" t="inlineStr">
        <is>
          <t>年齢階級別の手帳所持者数・人口（未受領）</t>
        </is>
      </c>
    </row>
    <row r="5">
      <c r="A5" s="4" t="inlineStr">
        <is>
          <t>P4 ニーズ調査</t>
        </is>
      </c>
      <c r="B5" s="11">
        <f>COUNTIF('01_WBS'!$A$2:$A$78,$A5)</f>
        <v/>
      </c>
      <c r="C5" s="11">
        <f>COUNTIFS('01_WBS'!$A$2:$A$78,$A5,'01_WBS'!$I$2:$I$78,"完了")</f>
        <v/>
      </c>
      <c r="D5" s="11">
        <f>COUNTIFS('01_WBS'!$A$2:$A$78,$A5,'01_WBS'!$I$2:$I$78,"進行中")</f>
        <v/>
      </c>
      <c r="E5" s="11">
        <f>COUNTIFS('01_WBS'!$A$2:$A$78,$A5,'01_WBS'!$I$2:$I$78,"要対応")</f>
        <v/>
      </c>
      <c r="F5" s="11">
        <f>COUNTIFS('01_WBS'!$A$2:$A$78,$A5,'01_WBS'!$I$2:$I$78,"データ待ち")</f>
        <v/>
      </c>
      <c r="G5" s="11">
        <f>COUNTIFS('01_WBS'!$A$2:$A$78,$A5,'01_WBS'!$I$2:$I$78,"未着手")</f>
        <v/>
      </c>
      <c r="H5" s="18">
        <f>IF(SUMPRODUCT(('01_WBS'!$A$2:$A$78=$A5)*'01_WBS'!$K$2:$K$78)=0,0,SUMPRODUCT(('01_WBS'!$A$2:$A$78=$A5)*'01_WBS'!$J$2:$J$78*'01_WBS'!$K$2:$K$78)/SUMPRODUCT(('01_WBS'!$A$2:$A$78=$A5)*'01_WBS'!$K$2:$K$78)/100)</f>
        <v/>
      </c>
      <c r="I5" s="11" t="inlineStr">
        <is>
          <t>2026-07</t>
        </is>
      </c>
      <c r="J5" s="11" t="inlineStr">
        <is>
          <t>2026-09</t>
        </is>
      </c>
      <c r="K5" s="4" t="inlineStr">
        <is>
          <t>印刷仕様・宛名ラベル・対象者数の3点。本業務の最大の律速</t>
        </is>
      </c>
    </row>
    <row r="6">
      <c r="A6" s="4" t="inlineStr">
        <is>
          <t>P5 集計・分析</t>
        </is>
      </c>
      <c r="B6" s="11">
        <f>COUNTIF('01_WBS'!$A$2:$A$78,$A6)</f>
        <v/>
      </c>
      <c r="C6" s="11">
        <f>COUNTIFS('01_WBS'!$A$2:$A$78,$A6,'01_WBS'!$I$2:$I$78,"完了")</f>
        <v/>
      </c>
      <c r="D6" s="11">
        <f>COUNTIFS('01_WBS'!$A$2:$A$78,$A6,'01_WBS'!$I$2:$I$78,"進行中")</f>
        <v/>
      </c>
      <c r="E6" s="11">
        <f>COUNTIFS('01_WBS'!$A$2:$A$78,$A6,'01_WBS'!$I$2:$I$78,"要対応")</f>
        <v/>
      </c>
      <c r="F6" s="11">
        <f>COUNTIFS('01_WBS'!$A$2:$A$78,$A6,'01_WBS'!$I$2:$I$78,"データ待ち")</f>
        <v/>
      </c>
      <c r="G6" s="11">
        <f>COUNTIFS('01_WBS'!$A$2:$A$78,$A6,'01_WBS'!$I$2:$I$78,"未着手")</f>
        <v/>
      </c>
      <c r="H6" s="18">
        <f>IF(SUMPRODUCT(('01_WBS'!$A$2:$A$78=$A6)*'01_WBS'!$K$2:$K$78)=0,0,SUMPRODUCT(('01_WBS'!$A$2:$A$78=$A6)*'01_WBS'!$J$2:$J$78*'01_WBS'!$K$2:$K$78)/SUMPRODUCT(('01_WBS'!$A$2:$A$78=$A6)*'01_WBS'!$K$2:$K$78)/100)</f>
        <v/>
      </c>
      <c r="I6" s="11" t="inlineStr">
        <is>
          <t>2026-09</t>
        </is>
      </c>
      <c r="J6" s="11" t="inlineStr">
        <is>
          <t>2026-12</t>
        </is>
      </c>
      <c r="K6" s="4" t="inlineStr">
        <is>
          <t>アンケートの回収</t>
        </is>
      </c>
    </row>
    <row r="7">
      <c r="A7" s="4" t="inlineStr">
        <is>
          <t>P6 現行計画の評価</t>
        </is>
      </c>
      <c r="B7" s="11">
        <f>COUNTIF('01_WBS'!$A$2:$A$78,$A7)</f>
        <v/>
      </c>
      <c r="C7" s="11">
        <f>COUNTIFS('01_WBS'!$A$2:$A$78,$A7,'01_WBS'!$I$2:$I$78,"完了")</f>
        <v/>
      </c>
      <c r="D7" s="11">
        <f>COUNTIFS('01_WBS'!$A$2:$A$78,$A7,'01_WBS'!$I$2:$I$78,"進行中")</f>
        <v/>
      </c>
      <c r="E7" s="11">
        <f>COUNTIFS('01_WBS'!$A$2:$A$78,$A7,'01_WBS'!$I$2:$I$78,"要対応")</f>
        <v/>
      </c>
      <c r="F7" s="11">
        <f>COUNTIFS('01_WBS'!$A$2:$A$78,$A7,'01_WBS'!$I$2:$I$78,"データ待ち")</f>
        <v/>
      </c>
      <c r="G7" s="11">
        <f>COUNTIFS('01_WBS'!$A$2:$A$78,$A7,'01_WBS'!$I$2:$I$78,"未着手")</f>
        <v/>
      </c>
      <c r="H7" s="18">
        <f>IF(SUMPRODUCT(('01_WBS'!$A$2:$A$78=$A7)*'01_WBS'!$K$2:$K$78)=0,0,SUMPRODUCT(('01_WBS'!$A$2:$A$78=$A7)*'01_WBS'!$J$2:$J$78*'01_WBS'!$K$2:$K$78)/SUMPRODUCT(('01_WBS'!$A$2:$A$78=$A7)*'01_WBS'!$K$2:$K$78)/100)</f>
        <v/>
      </c>
      <c r="I7" s="11" t="inlineStr">
        <is>
          <t>2026-08</t>
        </is>
      </c>
      <c r="J7" s="11" t="inlineStr">
        <is>
          <t>2026-11</t>
        </is>
      </c>
      <c r="K7" s="4" t="inlineStr">
        <is>
          <t>令和6・7年度の実績と令和8年度見込</t>
        </is>
      </c>
    </row>
    <row r="8">
      <c r="A8" s="4" t="inlineStr">
        <is>
          <t>P7 推計・見込量</t>
        </is>
      </c>
      <c r="B8" s="11">
        <f>COUNTIF('01_WBS'!$A$2:$A$78,$A8)</f>
        <v/>
      </c>
      <c r="C8" s="11">
        <f>COUNTIFS('01_WBS'!$A$2:$A$78,$A8,'01_WBS'!$I$2:$I$78,"完了")</f>
        <v/>
      </c>
      <c r="D8" s="11">
        <f>COUNTIFS('01_WBS'!$A$2:$A$78,$A8,'01_WBS'!$I$2:$I$78,"進行中")</f>
        <v/>
      </c>
      <c r="E8" s="11">
        <f>COUNTIFS('01_WBS'!$A$2:$A$78,$A8,'01_WBS'!$I$2:$I$78,"要対応")</f>
        <v/>
      </c>
      <c r="F8" s="11">
        <f>COUNTIFS('01_WBS'!$A$2:$A$78,$A8,'01_WBS'!$I$2:$I$78,"データ待ち")</f>
        <v/>
      </c>
      <c r="G8" s="11">
        <f>COUNTIFS('01_WBS'!$A$2:$A$78,$A8,'01_WBS'!$I$2:$I$78,"未着手")</f>
        <v/>
      </c>
      <c r="H8" s="18">
        <f>IF(SUMPRODUCT(('01_WBS'!$A$2:$A$78=$A8)*'01_WBS'!$K$2:$K$78)=0,0,SUMPRODUCT(('01_WBS'!$A$2:$A$78=$A8)*'01_WBS'!$J$2:$J$78*'01_WBS'!$K$2:$K$78)/SUMPRODUCT(('01_WBS'!$A$2:$A$78=$A8)*'01_WBS'!$K$2:$K$78)/100)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COUNTIF('01_WBS'!$A$2:$A$78,$A9)</f>
        <v/>
      </c>
      <c r="C9" s="11">
        <f>COUNTIFS('01_WBS'!$A$2:$A$78,$A9,'01_WBS'!$I$2:$I$78,"完了")</f>
        <v/>
      </c>
      <c r="D9" s="11">
        <f>COUNTIFS('01_WBS'!$A$2:$A$78,$A9,'01_WBS'!$I$2:$I$78,"進行中")</f>
        <v/>
      </c>
      <c r="E9" s="11">
        <f>COUNTIFS('01_WBS'!$A$2:$A$78,$A9,'01_WBS'!$I$2:$I$78,"要対応")</f>
        <v/>
      </c>
      <c r="F9" s="11">
        <f>COUNTIFS('01_WBS'!$A$2:$A$78,$A9,'01_WBS'!$I$2:$I$78,"データ待ち")</f>
        <v/>
      </c>
      <c r="G9" s="11">
        <f>COUNTIFS('01_WBS'!$A$2:$A$78,$A9,'01_WBS'!$I$2:$I$78,"未着手")</f>
        <v/>
      </c>
      <c r="H9" s="18">
        <f>IF(SUMPRODUCT(('01_WBS'!$A$2:$A$78=$A9)*'01_WBS'!$K$2:$K$78)=0,0,SUMPRODUCT(('01_WBS'!$A$2:$A$78=$A9)*'01_WBS'!$J$2:$J$78*'01_WBS'!$K$2:$K$78)/SUMPRODUCT(('01_WBS'!$A$2:$A$78=$A9)*'01_WBS'!$K$2:$K$78)/100)</f>
        <v/>
      </c>
      <c r="I9" s="11" t="inlineStr">
        <is>
          <t>2026-07</t>
        </is>
      </c>
      <c r="J9" s="11" t="inlineStr">
        <is>
          <t>2027-01</t>
        </is>
      </c>
      <c r="K9" s="4" t="inlineStr">
        <is>
          <t>P5・P7の完了</t>
        </is>
      </c>
    </row>
    <row r="10">
      <c r="A10" s="4" t="inlineStr">
        <is>
          <t>P9 意見聴取</t>
        </is>
      </c>
      <c r="B10" s="11">
        <f>COUNTIF('01_WBS'!$A$2:$A$78,$A10)</f>
        <v/>
      </c>
      <c r="C10" s="11">
        <f>COUNTIFS('01_WBS'!$A$2:$A$78,$A10,'01_WBS'!$I$2:$I$78,"完了")</f>
        <v/>
      </c>
      <c r="D10" s="11">
        <f>COUNTIFS('01_WBS'!$A$2:$A$78,$A10,'01_WBS'!$I$2:$I$78,"進行中")</f>
        <v/>
      </c>
      <c r="E10" s="11">
        <f>COUNTIFS('01_WBS'!$A$2:$A$78,$A10,'01_WBS'!$I$2:$I$78,"要対応")</f>
        <v/>
      </c>
      <c r="F10" s="11">
        <f>COUNTIFS('01_WBS'!$A$2:$A$78,$A10,'01_WBS'!$I$2:$I$78,"データ待ち")</f>
        <v/>
      </c>
      <c r="G10" s="11">
        <f>COUNTIFS('01_WBS'!$A$2:$A$78,$A10,'01_WBS'!$I$2:$I$78,"未着手")</f>
        <v/>
      </c>
      <c r="H10" s="18">
        <f>IF(SUMPRODUCT(('01_WBS'!$A$2:$A$78=$A10)*'01_WBS'!$K$2:$K$78)=0,0,SUMPRODUCT(('01_WBS'!$A$2:$A$78=$A10)*'01_WBS'!$J$2:$J$78*'01_WBS'!$K$2:$K$78)/SUMPRODUCT(('01_WBS'!$A$2:$A$78=$A10)*'01_WBS'!$K$2:$K$78)/100)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COUNTIF('01_WBS'!$A$2:$A$78,$A11)</f>
        <v/>
      </c>
      <c r="C11" s="11">
        <f>COUNTIFS('01_WBS'!$A$2:$A$78,$A11,'01_WBS'!$I$2:$I$78,"完了")</f>
        <v/>
      </c>
      <c r="D11" s="11">
        <f>COUNTIFS('01_WBS'!$A$2:$A$78,$A11,'01_WBS'!$I$2:$I$78,"進行中")</f>
        <v/>
      </c>
      <c r="E11" s="11">
        <f>COUNTIFS('01_WBS'!$A$2:$A$78,$A11,'01_WBS'!$I$2:$I$78,"要対応")</f>
        <v/>
      </c>
      <c r="F11" s="11">
        <f>COUNTIFS('01_WBS'!$A$2:$A$78,$A11,'01_WBS'!$I$2:$I$78,"データ待ち")</f>
        <v/>
      </c>
      <c r="G11" s="11">
        <f>COUNTIFS('01_WBS'!$A$2:$A$78,$A11,'01_WBS'!$I$2:$I$78,"未着手")</f>
        <v/>
      </c>
      <c r="H11" s="18">
        <f>IF(SUMPRODUCT(('01_WBS'!$A$2:$A$78=$A11)*'01_WBS'!$K$2:$K$78)=0,0,SUMPRODUCT(('01_WBS'!$A$2:$A$78=$A11)*'01_WBS'!$J$2:$J$78*'01_WBS'!$K$2:$K$78)/SUMPRODUCT(('01_WBS'!$A$2:$A$78=$A11)*'01_WBS'!$K$2:$K$78)/100)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IF(SUMPRODUCT('01_WBS'!$K$2:$K$78)=0,0,SUMPRODUCT('01_WBS'!$J$2:$J$78*'01_WBS'!$K$2:$K$78)/SUMPRODUCT('01_WBS'!$K$2:$K$78)/100)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4"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4"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3" t="inlineStr">
        <is>
          <t>一部受領</t>
        </is>
      </c>
      <c r="H50" s="11" t="inlineStr">
        <is>
          <t>2026-08-05</t>
        </is>
      </c>
      <c r="I50" s="11" t="n"/>
      <c r="J50" s="14"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4"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4"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4"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4"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4"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4"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4"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4"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4"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4"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4"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4"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4"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4"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4"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4"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4"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4"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4"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4"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4"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4"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4"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4"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を含む14件）の回答を取る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他メンバーへの確認19件のうち節1〜4の13件を取る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2" t="n">
        <v>6</v>
      </c>
      <c r="B7" s="11" t="inlineStr">
        <is>
          <t>手持ち</t>
        </is>
      </c>
      <c r="C7" s="4" t="inlineStr">
        <is>
          <t>策定委員会資料の確定4件を村に差し替えていただく</t>
        </is>
      </c>
      <c r="D7" s="4" t="inlineStr">
        <is>
          <t>村の文書であるため当方は作り直していない。差し替える文そのものを載せた指示書を渡してある（工程の表・表の下の注記・見込量の起点・新たに加える施策の所在）。11月18日の委員会に出す資料であり、庁内の確認を要するため早いほうがよい。資料そのものを当方で作り直す形がご希望であれば、村の加筆の入った現物をいただければ反映する</t>
        </is>
      </c>
      <c r="E7" s="11" t="inlineStr">
        <is>
          <t>村の作業（当方は0.5時間で支援）</t>
        </is>
      </c>
      <c r="F7" s="4" t="inlineStr">
        <is>
          <t>北塩原村_策定委員会資料_修正指示.docx の反映</t>
        </is>
      </c>
      <c r="G7" s="4" t="inlineStr">
        <is>
          <t>村の判断</t>
        </is>
      </c>
      <c r="H7" s="4" t="inlineStr">
        <is>
          <t>WBS 8-12／Ｓ-26は決着済み</t>
        </is>
      </c>
    </row>
    <row r="8">
      <c r="A8" s="22" t="n">
        <v>7</v>
      </c>
      <c r="B8" s="11" t="inlineStr">
        <is>
          <t>手持ち</t>
        </is>
      </c>
      <c r="C8" s="4" t="inlineStr">
        <is>
          <t>正本の目次と図表目次を作り直す準備をする</t>
        </is>
      </c>
      <c r="D8"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8" s="11" t="inlineStr">
        <is>
          <t>0.5時間（依頼文）</t>
        </is>
      </c>
      <c r="F8" s="4" t="inlineStr">
        <is>
          <t>目次の更新の依頼</t>
        </is>
      </c>
      <c r="G8" s="4" t="inlineStr">
        <is>
          <t>他メンバー又は村の作業</t>
        </is>
      </c>
      <c r="H8" s="4" t="inlineStr">
        <is>
          <t>Ｓ-33／WBS 10-1</t>
        </is>
      </c>
    </row>
    <row r="9">
      <c r="A9" s="24" t="n">
        <v>8</v>
      </c>
      <c r="B9" s="11" t="inlineStr">
        <is>
          <t>回答後</t>
        </is>
      </c>
      <c r="C9" s="4" t="inlineStr">
        <is>
          <t>見込量を第2次算定で組み直す（1人単位の積上げ）</t>
        </is>
      </c>
      <c r="D9"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9" s="11" t="inlineStr">
        <is>
          <t>8時間</t>
        </is>
      </c>
      <c r="F9" s="4" t="inlineStr">
        <is>
          <t>見込量の第2次算定、給付費・財源構成の確定</t>
        </is>
      </c>
      <c r="G9" s="4" t="inlineStr">
        <is>
          <t>村の回答（Ｍ-19・Ｍ-18。第2便 10月31日）</t>
        </is>
      </c>
      <c r="H9" s="4" t="inlineStr">
        <is>
          <t>WBS 7-2・7-3・7-4・7-7／北塩原村_第2次算定_個別台帳.xlsx</t>
        </is>
      </c>
    </row>
    <row r="10">
      <c r="A10" s="24" t="n">
        <v>9</v>
      </c>
      <c r="B10" s="11" t="inlineStr">
        <is>
          <t>回答後</t>
        </is>
      </c>
      <c r="C10" s="4" t="inlineStr">
        <is>
          <t>手帳所持者数の推計を確定する</t>
        </is>
      </c>
      <c r="D10"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0" s="11" t="inlineStr">
        <is>
          <t>2時間</t>
        </is>
      </c>
      <c r="F10" s="4" t="inlineStr">
        <is>
          <t>手帳所持者数の確定、第2章の本文と図の確定</t>
        </is>
      </c>
      <c r="G10" s="4" t="inlineStr">
        <is>
          <t>村の回答（Ｍ-124・Ｍ-123。第1便 10月24日）</t>
        </is>
      </c>
      <c r="H10" s="4" t="inlineStr">
        <is>
          <t>WBS 3-6・7-1／R-31・R-40・R-41</t>
        </is>
      </c>
    </row>
    <row r="11">
      <c r="A11" s="24" t="n">
        <v>10</v>
      </c>
      <c r="B11" s="11" t="inlineStr">
        <is>
          <t>回答後</t>
        </is>
      </c>
      <c r="C11" s="4" t="inlineStr">
        <is>
          <t>前回計画の評価の中間評価を確定する</t>
        </is>
      </c>
      <c r="D11" s="4" t="inlineStr">
        <is>
          <t>第4次障がい者計画の8指標のうち5指標が現在値を確認中である（Ｍ-41からＭ-44・Ｍ-95）。確定すれば前回計画の評価（本体・概要版）と正本 第3章3 が固まる</t>
        </is>
      </c>
      <c r="E11" s="11" t="inlineStr">
        <is>
          <t>2時間</t>
        </is>
      </c>
      <c r="F11" s="4" t="inlineStr">
        <is>
          <t>中間評価の確定、前回計画の評価（本体・概要版）の確定</t>
        </is>
      </c>
      <c r="G11" s="4" t="inlineStr">
        <is>
          <t>村の回答（Ｍ-41〜Ｍ-44・Ｍ-95。第1便 10月24日）</t>
        </is>
      </c>
      <c r="H11" s="4" t="inlineStr">
        <is>
          <t>WBS 6-2・6-3／前回計画の評価 概要版</t>
        </is>
      </c>
    </row>
    <row r="12">
      <c r="A12" s="24" t="n">
        <v>11</v>
      </c>
      <c r="B12" s="11" t="inlineStr">
        <is>
          <t>回答後</t>
        </is>
      </c>
      <c r="C12" s="4" t="inlineStr">
        <is>
          <t>医療的ケア児等の体制を確定する</t>
        </is>
      </c>
      <c r="D12"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2" s="11" t="inlineStr">
        <is>
          <t>2時間</t>
        </is>
      </c>
      <c r="F12" s="4" t="inlineStr">
        <is>
          <t>第4章2（4）の成果目標と活動指標の確定</t>
        </is>
      </c>
      <c r="G12" s="4" t="inlineStr">
        <is>
          <t>村の回答（Ｍ-126。第3便 11月14日。県への取次ぎを含む）</t>
        </is>
      </c>
      <c r="H12" s="4" t="inlineStr">
        <is>
          <t>WBS 8-13／ＳＪ-1</t>
        </is>
      </c>
    </row>
    <row r="13">
      <c r="A13" s="24" t="n">
        <v>12</v>
      </c>
      <c r="B13" s="11" t="inlineStr">
        <is>
          <t>節目ごと</t>
        </is>
      </c>
      <c r="C13" s="4" t="inlineStr">
        <is>
          <t>基本指針の追加告示との最終照合</t>
        </is>
      </c>
      <c r="D13"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3" s="11" t="inlineStr">
        <is>
          <t>3時間</t>
        </is>
      </c>
      <c r="F13" s="4" t="inlineStr">
        <is>
          <t>法定記載事項チェックの更新、正本の条項の確定</t>
        </is>
      </c>
      <c r="G13" s="4" t="inlineStr">
        <is>
          <t>告示の公表（Ｓ-35で入手を依頼）</t>
        </is>
      </c>
      <c r="H13" s="4" t="inlineStr">
        <is>
          <t>WBS 8-13・8-10／Ｓ-35</t>
        </is>
      </c>
    </row>
    <row r="14">
      <c r="A14" s="24" t="n">
        <v>13</v>
      </c>
      <c r="B14" s="11" t="inlineStr">
        <is>
          <t>節目ごと</t>
        </is>
      </c>
      <c r="C14" s="4" t="inlineStr">
        <is>
          <t>成果物の再現性点検を回す（素案を直したあと必ず）</t>
        </is>
      </c>
      <c r="D14"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4" s="11" t="inlineStr">
        <is>
          <t>0.2時間</t>
        </is>
      </c>
      <c r="F14" s="4" t="inlineStr">
        <is>
          <t>check_reproducibility.py --regenerate</t>
        </is>
      </c>
      <c r="G14" s="4" t="inlineStr">
        <is>
          <t>なし（当方で完結）</t>
        </is>
      </c>
      <c r="H14" s="4" t="inlineStr">
        <is>
          <t>WBS 1-7</t>
        </is>
      </c>
    </row>
    <row r="15">
      <c r="A15" s="24" t="n">
        <v>14</v>
      </c>
      <c r="B15" s="11" t="inlineStr">
        <is>
          <t>委員会の後</t>
        </is>
      </c>
      <c r="C15" s="4" t="inlineStr">
        <is>
          <t>パブリックコメント一式を仕上げる</t>
        </is>
      </c>
      <c r="D15"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5" s="11" t="inlineStr">
        <is>
          <t>3時間</t>
        </is>
      </c>
      <c r="F15" s="4" t="inlineStr">
        <is>
          <t>パブリックコメント一式</t>
        </is>
      </c>
      <c r="G15" s="4" t="inlineStr">
        <is>
          <t>工程の確定（Ｍ-125）、素案の確定</t>
        </is>
      </c>
      <c r="H15" s="4" t="inlineStr">
        <is>
          <t>WBS 9-4／Ｍ-125</t>
        </is>
      </c>
    </row>
    <row r="16">
      <c r="A16" s="24" t="n">
        <v>15</v>
      </c>
      <c r="B16" s="11" t="inlineStr">
        <is>
          <t>委員会の後</t>
        </is>
      </c>
      <c r="C16" s="4" t="inlineStr">
        <is>
          <t>印刷・製本の所要日数を業者に確かめる</t>
        </is>
      </c>
      <c r="D16"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6" s="11" t="inlineStr">
        <is>
          <t>1時間</t>
        </is>
      </c>
      <c r="F16" s="4" t="inlineStr">
        <is>
          <t>工程の確定、部数・仕様の確定</t>
        </is>
      </c>
      <c r="G16" s="4" t="inlineStr">
        <is>
          <t>村の回答（Ｍ-112。第3便 11月14日）</t>
        </is>
      </c>
      <c r="H16" s="4" t="inlineStr">
        <is>
          <t>WBS 10-4／Ｍ-112</t>
        </is>
      </c>
    </row>
    <row r="18" ht="90" customHeight="1">
      <c r="A18" s="4" t="inlineStr">
        <is>
          <t>※ 令和8年11月18日（水）の策定委員会（第2回）までの着手順（令和8年10月15日に並べ直した）。全15件のうち3件は済である。起点は策定委員会（第2回）令和8年11月18日で、そこから納品（令和9年3月31日）までの工程は案Ａで固めてある（kitashiobara_koutei.py）。最も動かしにくいのは入稿 令和9年3月17日で、これが動けば納期を超える。優先の付け方は①村・他メンバーの回答がないと先へ進めないもの（1・2。期限は10月24日と10月16日）②11月18日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2026-10-15T01:42:30Z</dcterms:created>
  <dcterms:modified xmlns:dcterms="http://purl.org/dc/terms/" xmlns:xsi="http://www.w3.org/2001/XMLSchema-instance" xsi:type="dcterms:W3CDTF">2026-10-15T01:42:30Z</dcterms:modified>
</cp:coreProperties>
</file>