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着手順" sheetId="10" state="visible" r:id="rId10"/>
  </sheets>
  <definedNames>
    <definedName name="_xlnm._FilterDatabase" localSheetId="1" hidden="1">'01_WBS'!$A$1:$N$80</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2">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CE4E4"/>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2CA02C"/>
      </patternFill>
    </fill>
    <fill>
      <patternFill patternType="solid">
        <fgColor rgb="00808080"/>
      </patternFill>
    </fill>
  </fills>
  <borders count="1">
    <border>
      <left/>
      <right/>
      <top/>
      <bottom/>
      <diagonal/>
    </border>
  </borders>
  <cellStyleXfs count="1">
    <xf numFmtId="0" fontId="0" fillId="0" borderId="0"/>
  </cellStyleXfs>
  <cellXfs count="25">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5"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xf numFmtId="0" fontId="5" fillId="11"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基準日：令和8年10月15日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79件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14件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8件</t>
        </is>
      </c>
      <c r="D12" s="4" t="inlineStr">
        <is>
          <t>意見聴取の場ごとに、資料が間に合うか</t>
        </is>
      </c>
    </row>
    <row r="13">
      <c r="A13" s="4" t="inlineStr">
        <is>
          <t>07_課題・リスク</t>
        </is>
      </c>
      <c r="B13" s="4" t="inlineStr">
        <is>
          <t>課題とリスク（区分・影響度・対応・状態）</t>
        </is>
      </c>
      <c r="C13" s="5" t="inlineStr">
        <is>
          <t>39件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令和8年11月の策定委員会（第2回）までの着手順と、その順番にした理由</t>
        </is>
      </c>
      <c r="C15" s="5" t="inlineStr">
        <is>
          <t>16件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一方、村からの資料は69件のうち受領済8件・一部受領7件・県照会中1件・未受領53件で、現行計画の評価・見込量・成果目標のいずれも確定できない。どの依頼がどの作業を止めているかは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Ｍ-19・Ｍ-18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村資料53件が未受領（依頼69件中）</t>
        </is>
      </c>
      <c r="C46" s="4" t="inlineStr">
        <is>
          <t>現行計画の評価、成果目標の現状値、見込量、給付費のいずれも確定できない</t>
        </is>
      </c>
      <c r="D46" s="4" t="inlineStr">
        <is>
          <t>計画値の基礎とする系列（Ｍ-19）を単独で先に照会する。1件の回答で 7-2・7-3・7-7・8-7・5-10 の5作業が動く。次に移行管理台帳（Ｍ-18）で第2次算定の個別積上げに入る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Ｓ-1）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Ｍ-40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村資料の受領（最優先14件。Ｍ-19 計画値の系列 → Ｍ-18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1-10</t>
        </is>
      </c>
      <c r="C3" s="4" t="inlineStr">
        <is>
          <t>県保健医療計画との整合の確認</t>
        </is>
      </c>
      <c r="D3" s="4" t="inlineStr">
        <is>
          <t>第8次福島県医療計画（令和6年3月。章ごとのPDF12点・383頁）を国の基本指針と正本に当て、調和が落ちていた箇所を反映する</t>
        </is>
      </c>
      <c r="E3" s="4" t="inlineStr">
        <is>
          <t>基本指針 第三の一の7・第二の二</t>
        </is>
      </c>
      <c r="F3" s="11" t="inlineStr">
        <is>
          <t>受託者</t>
        </is>
      </c>
      <c r="G3" s="11" t="inlineStr">
        <is>
          <t>2026-10</t>
        </is>
      </c>
      <c r="H3" s="11" t="inlineStr">
        <is>
          <t>2026-11</t>
        </is>
      </c>
      <c r="I3" s="13" t="inlineStr">
        <is>
          <t>進行中</t>
        </is>
      </c>
      <c r="J3" s="11" t="n">
        <v>80</v>
      </c>
      <c r="K3" s="11" t="n">
        <v>3</v>
      </c>
      <c r="L3" s="4" t="inlineStr">
        <is>
          <t>北塩原村_県保健医療計画との整合.xlsx（7シート）。令和8年10月15日に受領し source/県保健医療計画 に収めた。正本に「保健医療計画」「医療圏」「へき地」がいずれも0回で、基本指針 第三の一の7が名指しで調和を求める相手が落ちていた。計画期間が令和6〜11年度で終期が本計画と同じであり、3年ごとの見直しに当たるのが令和8年度（本計画の策定と同じ年度）。精神疾患対策の目標を県の第7期障がい福祉計画と突き合わせていたが、県医療計画は同じ指標に別の値（平均生活日数334日以上・令和11年）を置いていた。医療的ケア児等コーディネーターの配置は県内全59市町村が令和11年の目標で本村を含む。村内に市町村立のへき地診療所2カ所（南東北裏磐梯診療所・南東北桧原診療所）があることを特定。医療圏（会津・南会津17市町村）と障がい保健福祉圏域（会津13市町村）の単位の違いを整理。救急搬送困難件数が会津0.1％・南会津0.0％で、課題が受入れではなく搬送時間の側にあることを特定。正本に8件反映（ＫＩ-1〜ＫＩ-9。ＫＩ-4は確認の結果不要）。表7-5を新設し表96点。原典で照合した語72件</t>
        </is>
      </c>
      <c r="M3" s="4" t="inlineStr">
        <is>
          <t>第3章（医療圏と基準病床数）・第10章の受領と村内の医療資源（Ｍ-129）。県障がい福祉計画との指標の食い違いの決着（Ｓ-38）</t>
        </is>
      </c>
      <c r="N3" s="4" t="inlineStr">
        <is>
          <t>―</t>
        </is>
      </c>
    </row>
    <row r="4">
      <c r="A4" s="4" t="inlineStr">
        <is>
          <t>P1 準備・現状把握</t>
        </is>
      </c>
      <c r="B4" s="11" t="inlineStr">
        <is>
          <t>1-11</t>
        </is>
      </c>
      <c r="C4" s="4" t="inlineStr">
        <is>
          <t>確認事項の4区分への再整理</t>
        </is>
      </c>
      <c r="D4" s="4" t="inlineStr">
        <is>
          <t>確認事項112件を、他団体の案件で用いた4区分の方法に当てて割り付け直し、相手にお尋ねする件数を絞る</t>
        </is>
      </c>
      <c r="E4" s="4" t="inlineStr">
        <is>
          <t>仕様書4-Ⅱ(1)</t>
        </is>
      </c>
      <c r="F4" s="11" t="inlineStr">
        <is>
          <t>受託者</t>
        </is>
      </c>
      <c r="G4" s="11" t="inlineStr">
        <is>
          <t>2026-10</t>
        </is>
      </c>
      <c r="H4" s="11" t="inlineStr">
        <is>
          <t>2026-10</t>
        </is>
      </c>
      <c r="I4" s="12" t="inlineStr">
        <is>
          <t>完了</t>
        </is>
      </c>
      <c r="J4" s="11" t="n">
        <v>100</v>
      </c>
      <c r="K4" s="11" t="n">
        <v>3</v>
      </c>
      <c r="L4" s="4" t="inlineStr">
        <is>
          <t>北塩原村_確認事項の区分.xlsx（5シート）。区分はＡ解決済み22件・Ｂ当方で確認6件・Ｃ公表資料で先行27件・Ｄ相手の回答が必要57件。「当方で解消すべき計算上・資料解釈上の疑問を相手の確認責任に転嫁しない」を区分の基準にした。ご回答をお願いする件数は112件から84件に減った（28件減）。うち18件はほかの照会に1件としてまとめたもので、高齢者世帯等除雪サービス事業に関する6件を実施要綱のご提供と利用実績の1件にまとめたのが最大のもの。照会文（6通・1通）はこの区分を読み込んでＣ・Ｄだけを載せ、Ａ・Ｂは「当方で確認する分（ご回答不要）」として末尾に掲げる。Ｓ-11 が節5から参照されているのに照会の単一出所から漏れていたことも、この整理で見つけて直した</t>
        </is>
      </c>
      <c r="M4" s="4" t="inlineStr">
        <is>
          <t>なし（当方で完結）</t>
        </is>
      </c>
      <c r="N4" s="4" t="inlineStr">
        <is>
          <t>―</t>
        </is>
      </c>
    </row>
    <row r="5">
      <c r="A5" s="4" t="inlineStr">
        <is>
          <t>P1 準備・現状把握</t>
        </is>
      </c>
      <c r="B5" s="11" t="inlineStr">
        <is>
          <t>1-2</t>
        </is>
      </c>
      <c r="C5" s="4" t="inlineStr">
        <is>
          <t>現行計画本編の確認</t>
        </is>
      </c>
      <c r="D5" s="4" t="inlineStr">
        <is>
          <t>第4次障がい者計画・第7期障がい福祉計画・第3期障がい児福祉計画（63頁）の構成・成果目標7区分・見込量・施策目標値の把握</t>
        </is>
      </c>
      <c r="E5" s="4" t="inlineStr">
        <is>
          <t>仕様書4-Ⅱ(2)</t>
        </is>
      </c>
      <c r="F5" s="11" t="inlineStr">
        <is>
          <t>受託者</t>
        </is>
      </c>
      <c r="G5" s="11" t="inlineStr">
        <is>
          <t>2026-08</t>
        </is>
      </c>
      <c r="H5" s="11" t="inlineStr">
        <is>
          <t>2026-08</t>
        </is>
      </c>
      <c r="I5" s="12" t="inlineStr">
        <is>
          <t>完了</t>
        </is>
      </c>
      <c r="J5" s="11" t="n">
        <v>100</v>
      </c>
      <c r="K5" s="11" t="n">
        <v>3</v>
      </c>
      <c r="L5" s="4" t="inlineStr">
        <is>
          <t>受領による確認と訂正（docs/北塩原村_現行計画本編_受領による確認と訂正.md）。推定していた9件を実測値に置換し、誤りを4件訂正</t>
        </is>
      </c>
      <c r="M5" s="4" t="inlineStr">
        <is>
          <t>―</t>
        </is>
      </c>
      <c r="N5" s="4" t="inlineStr">
        <is>
          <t>現行計画本編（第4次障がい者計画・第7期・第3期）</t>
        </is>
      </c>
    </row>
    <row r="6">
      <c r="A6" s="4" t="inlineStr">
        <is>
          <t>P1 準備・現状把握</t>
        </is>
      </c>
      <c r="B6" s="11" t="inlineStr">
        <is>
          <t>1-3</t>
        </is>
      </c>
      <c r="C6" s="4" t="inlineStr">
        <is>
          <t>改定対象の切り分け</t>
        </is>
      </c>
      <c r="D6" s="4" t="inlineStr">
        <is>
          <t>第4次障がい者計画（令和6〜11年度）は継続中で改定対象外。基本理念・基本目標を継承する整合記述にとどめる範囲を確定</t>
        </is>
      </c>
      <c r="E6" s="4" t="inlineStr">
        <is>
          <t>仕様書1・2</t>
        </is>
      </c>
      <c r="F6" s="11" t="inlineStr">
        <is>
          <t>受託者</t>
        </is>
      </c>
      <c r="G6" s="11" t="inlineStr">
        <is>
          <t>2026-08</t>
        </is>
      </c>
      <c r="H6" s="11" t="inlineStr">
        <is>
          <t>2026-08</t>
        </is>
      </c>
      <c r="I6" s="12" t="inlineStr">
        <is>
          <t>完了</t>
        </is>
      </c>
      <c r="J6" s="11" t="n">
        <v>100</v>
      </c>
      <c r="K6" s="11" t="n">
        <v>2</v>
      </c>
      <c r="L6" s="4" t="inlineStr">
        <is>
          <t>骨子案修正版 第3章を「参考」から本計画の内容へ再構成。仕様書4-Ⅱ(5)①②の記載事項を措置</t>
        </is>
      </c>
      <c r="M6" s="4" t="inlineStr">
        <is>
          <t>―</t>
        </is>
      </c>
      <c r="N6" s="4" t="inlineStr">
        <is>
          <t>―</t>
        </is>
      </c>
    </row>
    <row r="7">
      <c r="A7" s="4" t="inlineStr">
        <is>
          <t>P1 準備・現状把握</t>
        </is>
      </c>
      <c r="B7" s="11" t="inlineStr">
        <is>
          <t>1-4</t>
        </is>
      </c>
      <c r="C7" s="4" t="inlineStr">
        <is>
          <t>村への資料依頼の一本化</t>
        </is>
      </c>
      <c r="D7" s="4" t="inlineStr">
        <is>
          <t>各推計ブックに分散していた村確認事項を横断で一本化し、優先度・希望期限を付す</t>
        </is>
      </c>
      <c r="E7" s="4" t="inlineStr">
        <is>
          <t>―</t>
        </is>
      </c>
      <c r="F7" s="11" t="inlineStr">
        <is>
          <t>受託者</t>
        </is>
      </c>
      <c r="G7" s="11" t="inlineStr">
        <is>
          <t>2026-08</t>
        </is>
      </c>
      <c r="H7" s="11" t="inlineStr">
        <is>
          <t>2026-08</t>
        </is>
      </c>
      <c r="I7" s="12" t="inlineStr">
        <is>
          <t>完了</t>
        </is>
      </c>
      <c r="J7" s="11" t="n">
        <v>100</v>
      </c>
      <c r="K7" s="11" t="n">
        <v>2</v>
      </c>
      <c r="L7" s="4" t="inlineStr">
        <is>
          <t>05_村資料・依頼の詳細（69件）に一本化し、WBS番号と結び付けた。最優先16件・高32件</t>
        </is>
      </c>
      <c r="M7" s="4" t="inlineStr">
        <is>
          <t>―</t>
        </is>
      </c>
      <c r="N7" s="4" t="inlineStr">
        <is>
          <t>―</t>
        </is>
      </c>
    </row>
    <row r="8">
      <c r="A8" s="4" t="inlineStr">
        <is>
          <t>P1 準備・現状把握</t>
        </is>
      </c>
      <c r="B8" s="11" t="inlineStr">
        <is>
          <t>1-5</t>
        </is>
      </c>
      <c r="C8" s="4" t="inlineStr">
        <is>
          <t>村資料の受領</t>
        </is>
      </c>
      <c r="D8" s="4" t="inlineStr">
        <is>
          <t>依頼69件の受領。実績データ・匿名利用者一覧・年齢階級別人口ほか</t>
        </is>
      </c>
      <c r="E8" s="4" t="inlineStr">
        <is>
          <t>―</t>
        </is>
      </c>
      <c r="F8" s="11" t="inlineStr">
        <is>
          <t>北塩原村</t>
        </is>
      </c>
      <c r="G8" s="11" t="inlineStr">
        <is>
          <t>2026-08</t>
        </is>
      </c>
      <c r="H8" s="11" t="inlineStr">
        <is>
          <t>2026-10</t>
        </is>
      </c>
      <c r="I8" s="14" t="inlineStr">
        <is>
          <t>データ待ち</t>
        </is>
      </c>
      <c r="J8" s="11" t="n">
        <v>25</v>
      </c>
      <c r="K8" s="11" t="n">
        <v>5</v>
      </c>
      <c r="L8" s="4" t="inlineStr">
        <is>
          <t>受領済8件・一部受領7件・県照会中1件・未受領53件。令和8年8月の調査票朱書きで実データ9件が判明。令和8年10月に外部レビューを踏まえて6件を追加（Ｍ-19・Ｍ-18・Ｍ-13・Ｍ-14・Ｍ-20・Ｍ-21）</t>
        </is>
      </c>
      <c r="M8" s="4" t="inlineStr">
        <is>
          <t>村の回答。P3・P6・P7のほぼ全てがこれに依存する</t>
        </is>
      </c>
      <c r="N8" s="4" t="inlineStr">
        <is>
          <t>―</t>
        </is>
      </c>
    </row>
    <row r="9">
      <c r="A9" s="4" t="inlineStr">
        <is>
          <t>P1 準備・現状把握</t>
        </is>
      </c>
      <c r="B9" s="11" t="inlineStr">
        <is>
          <t>1-6</t>
        </is>
      </c>
      <c r="C9" s="4" t="inlineStr">
        <is>
          <t>打合せ等業務</t>
        </is>
      </c>
      <c r="D9" s="4" t="inlineStr">
        <is>
          <t>電話・面談（オンライン・対面）による協議。議事録の作成</t>
        </is>
      </c>
      <c r="E9" s="4" t="inlineStr">
        <is>
          <t>仕様書4-Ⅲ</t>
        </is>
      </c>
      <c r="F9" s="11" t="inlineStr">
        <is>
          <t>受託者</t>
        </is>
      </c>
      <c r="G9" s="11" t="inlineStr">
        <is>
          <t>2026-06</t>
        </is>
      </c>
      <c r="H9" s="11" t="inlineStr">
        <is>
          <t>2027-03</t>
        </is>
      </c>
      <c r="I9" s="13" t="inlineStr">
        <is>
          <t>進行中</t>
        </is>
      </c>
      <c r="J9" s="11" t="n">
        <v>40</v>
      </c>
      <c r="K9" s="11" t="n">
        <v>2</v>
      </c>
      <c r="L9"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9" s="4" t="inlineStr">
        <is>
          <t>次回打合せの設定。発送前の確認事項を議題とする</t>
        </is>
      </c>
      <c r="N9" s="4" t="inlineStr">
        <is>
          <t>―</t>
        </is>
      </c>
    </row>
    <row r="10">
      <c r="A10" s="4" t="inlineStr">
        <is>
          <t>P1 準備・現状把握</t>
        </is>
      </c>
      <c r="B10" s="11" t="inlineStr">
        <is>
          <t>1-7</t>
        </is>
      </c>
      <c r="C10" s="4" t="inlineStr">
        <is>
          <t>成果物の再現性確保</t>
        </is>
      </c>
      <c r="D10" s="4" t="inlineStr">
        <is>
          <t>成果物を作り直せる状態（生成器・原本・必要なライブラリ）がすべてリポジトリに残っていることを機械で点検する仕組みの整備</t>
        </is>
      </c>
      <c r="E10" s="4" t="inlineStr">
        <is>
          <t>仕様書4-Ⅳ（成果品の納入）</t>
        </is>
      </c>
      <c r="F10" s="11" t="inlineStr">
        <is>
          <t>受託者</t>
        </is>
      </c>
      <c r="G10" s="11" t="inlineStr">
        <is>
          <t>2026-10</t>
        </is>
      </c>
      <c r="H10" s="11" t="inlineStr">
        <is>
          <t>2027-03</t>
        </is>
      </c>
      <c r="I10" s="13" t="inlineStr">
        <is>
          <t>進行中</t>
        </is>
      </c>
      <c r="J10" s="11" t="n">
        <v>90</v>
      </c>
      <c r="K10" s="11" t="n">
        <v>2</v>
      </c>
      <c r="L10"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10" s="4" t="inlineStr">
        <is>
          <t>―（納品まで節目ごとに再実行する）</t>
        </is>
      </c>
      <c r="N10" s="4" t="inlineStr">
        <is>
          <t>―</t>
        </is>
      </c>
    </row>
    <row r="11">
      <c r="A11" s="4" t="inlineStr">
        <is>
          <t>P1 準備・現状把握</t>
        </is>
      </c>
      <c r="B11" s="11" t="inlineStr">
        <is>
          <t>1-8</t>
        </is>
      </c>
      <c r="C11" s="4" t="inlineStr">
        <is>
          <t>福島県の障がい計画との整合の確認</t>
        </is>
      </c>
      <c r="D11" s="4" t="inlineStr">
        <is>
          <t>県の障がい者計画・障がい福祉計画・障がい児福祉計画を確認し、計画期間・区域の設定・成果目標・圏域計画との整合を計画素案に反映する</t>
        </is>
      </c>
      <c r="E11" s="4" t="inlineStr">
        <is>
          <t>基本指針 第三の一の5・7</t>
        </is>
      </c>
      <c r="F11" s="11" t="inlineStr">
        <is>
          <t>受託者</t>
        </is>
      </c>
      <c r="G11" s="11" t="inlineStr">
        <is>
          <t>2026-10</t>
        </is>
      </c>
      <c r="H11" s="11" t="inlineStr">
        <is>
          <t>2027-01</t>
        </is>
      </c>
      <c r="I11" s="13" t="inlineStr">
        <is>
          <t>進行中</t>
        </is>
      </c>
      <c r="J11" s="11" t="n">
        <v>90</v>
      </c>
      <c r="K11" s="11" t="n">
        <v>2</v>
      </c>
      <c r="L11"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11" s="4" t="inlineStr">
        <is>
          <t>県障がい者計画（第5次）の計画期間（Q-7）と第8期県計画の策定時期・基盤整備量の算定値（Q-5）の確認</t>
        </is>
      </c>
      <c r="N11" s="4" t="inlineStr">
        <is>
          <t>―（精度：福島県の長期入院患者に係る基盤整備量（利用者数））</t>
        </is>
      </c>
    </row>
    <row r="12">
      <c r="A12" s="4" t="inlineStr">
        <is>
          <t>P1 準備・現状把握</t>
        </is>
      </c>
      <c r="B12" s="11" t="inlineStr">
        <is>
          <t>1-9</t>
        </is>
      </c>
      <c r="C12" s="4" t="inlineStr">
        <is>
          <t>他メンバーの計画素案の網羅性点検</t>
        </is>
      </c>
      <c r="D12" s="4" t="inlineStr">
        <is>
          <t>他メンバーが作成した計画素案と策定ワークシートを、別表第二の記載事項・成果目標8区分・県計画・介護保険事業計画・村の公表実績と突き合わせる</t>
        </is>
      </c>
      <c r="E12" s="4" t="inlineStr">
        <is>
          <t>―</t>
        </is>
      </c>
      <c r="F12" s="11" t="inlineStr">
        <is>
          <t>受託者</t>
        </is>
      </c>
      <c r="G12" s="11" t="inlineStr">
        <is>
          <t>2026-10</t>
        </is>
      </c>
      <c r="H12" s="11" t="inlineStr">
        <is>
          <t>2026-11</t>
        </is>
      </c>
      <c r="I12" s="13" t="inlineStr">
        <is>
          <t>進行中</t>
        </is>
      </c>
      <c r="J12" s="11" t="n">
        <v>80</v>
      </c>
      <c r="K12" s="11" t="n">
        <v>2</v>
      </c>
      <c r="L12"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2" s="4" t="inlineStr">
        <is>
          <t>確認Ｓ-1（仮置きの前提の共有）とＳ-2〜Ｓ-4（村の実数）。どちらの素案を正本にするかの村・社内の判断</t>
        </is>
      </c>
      <c r="N12" s="4" t="inlineStr">
        <is>
          <t>―</t>
        </is>
      </c>
    </row>
    <row r="13">
      <c r="A13" s="4" t="inlineStr">
        <is>
          <t>P2 基礎調査</t>
        </is>
      </c>
      <c r="B13" s="11" t="inlineStr">
        <is>
          <t>2-1</t>
        </is>
      </c>
      <c r="C13" s="4" t="inlineStr">
        <is>
          <t>国の基本指針の確認と原典照合</t>
        </is>
      </c>
      <c r="D13" s="4" t="inlineStr">
        <is>
          <t>令和8年3月31日告示（こども家庭庁・厚生労働省告示第4号）の本文・新旧対照表により、成果目標8区分の国基準数値と別表第一〜第五を条項単位で照合</t>
        </is>
      </c>
      <c r="E13" s="4" t="inlineStr">
        <is>
          <t>仕様書4-Ⅱ(1)</t>
        </is>
      </c>
      <c r="F13" s="11" t="inlineStr">
        <is>
          <t>受託者</t>
        </is>
      </c>
      <c r="G13" s="11" t="inlineStr">
        <is>
          <t>2026-08</t>
        </is>
      </c>
      <c r="H13" s="11" t="inlineStr">
        <is>
          <t>2026-08</t>
        </is>
      </c>
      <c r="I13" s="12" t="inlineStr">
        <is>
          <t>完了</t>
        </is>
      </c>
      <c r="J13" s="11" t="n">
        <v>100</v>
      </c>
      <c r="K13" s="11" t="n">
        <v>5</v>
      </c>
      <c r="L13" s="4" t="inlineStr">
        <is>
          <t>国基準数値 原典照合結果（docs/北塩原村_国基準数値_原典照合結果.md）。骨子案の≪国の基本指針≫欄8か所を告示本文で全面差替</t>
        </is>
      </c>
      <c r="M13" s="4" t="inlineStr">
        <is>
          <t>―</t>
        </is>
      </c>
      <c r="N13" s="4" t="inlineStr">
        <is>
          <t>―</t>
        </is>
      </c>
    </row>
    <row r="14">
      <c r="A14" s="4" t="inlineStr">
        <is>
          <t>P2 基礎調査</t>
        </is>
      </c>
      <c r="B14" s="11" t="inlineStr">
        <is>
          <t>2-2</t>
        </is>
      </c>
      <c r="C14" s="4" t="inlineStr">
        <is>
          <t>法制度の改正動向の整理</t>
        </is>
      </c>
      <c r="D14" s="4" t="inlineStr">
        <is>
          <t>障害者総合支援法・児童福祉法の改正動向、就労選択支援の創設、令和8年度報酬改定（処遇改善加算拡充・B型基本報酬区分見直し）</t>
        </is>
      </c>
      <c r="E14" s="4" t="inlineStr">
        <is>
          <t>仕様書4-Ⅱ(1)</t>
        </is>
      </c>
      <c r="F14" s="11" t="inlineStr">
        <is>
          <t>受託者</t>
        </is>
      </c>
      <c r="G14" s="11" t="inlineStr">
        <is>
          <t>2026-08</t>
        </is>
      </c>
      <c r="H14" s="11" t="inlineStr">
        <is>
          <t>2026-08</t>
        </is>
      </c>
      <c r="I14" s="12" t="inlineStr">
        <is>
          <t>完了</t>
        </is>
      </c>
      <c r="J14" s="11" t="n">
        <v>100</v>
      </c>
      <c r="K14" s="11" t="n">
        <v>3</v>
      </c>
      <c r="L14" s="4" t="inlineStr">
        <is>
          <t>骨子案修正版 第1章4（基本指針の見直し16項目）。報酬改定資料3点を source/報酬改定 に保存</t>
        </is>
      </c>
      <c r="M14" s="4" t="inlineStr">
        <is>
          <t>―</t>
        </is>
      </c>
      <c r="N14" s="4" t="inlineStr">
        <is>
          <t>―</t>
        </is>
      </c>
    </row>
    <row r="15">
      <c r="A15" s="4" t="inlineStr">
        <is>
          <t>P2 基礎調査</t>
        </is>
      </c>
      <c r="B15" s="11" t="inlineStr">
        <is>
          <t>2-3</t>
        </is>
      </c>
      <c r="C15" s="4" t="inlineStr">
        <is>
          <t>福島県計画等の関連資料の収集</t>
        </is>
      </c>
      <c r="D15" s="4" t="inlineStr">
        <is>
          <t>福島県障がい福祉計画（第7期）本編、県の精神医療指標、県内の過疎・中山間地域の指定状況</t>
        </is>
      </c>
      <c r="E15" s="4" t="inlineStr">
        <is>
          <t>仕様書4-Ⅱ(1)</t>
        </is>
      </c>
      <c r="F15" s="11" t="inlineStr">
        <is>
          <t>受託者</t>
        </is>
      </c>
      <c r="G15" s="11" t="inlineStr">
        <is>
          <t>2026-08</t>
        </is>
      </c>
      <c r="H15" s="11" t="inlineStr">
        <is>
          <t>2026-08</t>
        </is>
      </c>
      <c r="I15" s="12" t="inlineStr">
        <is>
          <t>完了</t>
        </is>
      </c>
      <c r="J15" s="11" t="n">
        <v>100</v>
      </c>
      <c r="K15" s="11" t="n">
        <v>3</v>
      </c>
      <c r="L15" s="4" t="inlineStr">
        <is>
          <t>福島県_精神医療指標抽出.xlsx（7シート）。本村は過疎法第2条により全域が過疎地域と確定し、別表第五の適用対象外を判定</t>
        </is>
      </c>
      <c r="M15" s="4" t="inlineStr">
        <is>
          <t>―</t>
        </is>
      </c>
      <c r="N15" s="4" t="inlineStr">
        <is>
          <t>―</t>
        </is>
      </c>
    </row>
    <row r="16">
      <c r="A16" s="4" t="inlineStr">
        <is>
          <t>P2 基礎調査</t>
        </is>
      </c>
      <c r="B16" s="11" t="inlineStr">
        <is>
          <t>2-4</t>
        </is>
      </c>
      <c r="C16" s="4" t="inlineStr">
        <is>
          <t>村の関連計画との整合</t>
        </is>
      </c>
      <c r="D16" s="4" t="inlineStr">
        <is>
          <t>第5次総合振興計画、第3次健康21、地域福祉計画、こども・子育て計画、第9期高齢者福祉計画・介護保険事業計画</t>
        </is>
      </c>
      <c r="E16" s="4" t="inlineStr">
        <is>
          <t>仕様書4-Ⅱ(5)</t>
        </is>
      </c>
      <c r="F16" s="11" t="inlineStr">
        <is>
          <t>受託者</t>
        </is>
      </c>
      <c r="G16" s="11" t="inlineStr">
        <is>
          <t>2026-08</t>
        </is>
      </c>
      <c r="H16" s="11" t="inlineStr">
        <is>
          <t>2026-10</t>
        </is>
      </c>
      <c r="I16" s="13" t="inlineStr">
        <is>
          <t>進行中</t>
        </is>
      </c>
      <c r="J16" s="11" t="n">
        <v>60</v>
      </c>
      <c r="K16" s="11" t="n">
        <v>2</v>
      </c>
      <c r="L16" s="4" t="inlineStr">
        <is>
          <t>骨子案修正版 第7章（他計画との連携）。こども家庭センターとの相談導線を追記</t>
        </is>
      </c>
      <c r="M16" s="4" t="inlineStr">
        <is>
          <t>第5次総合振興計画たたき台ほか3計画が未受領</t>
        </is>
      </c>
      <c r="N16" s="15" t="inlineStr">
        <is>
          <t>こども・子育て計画の人口推計の元データ（Ｍ-29）・第5次総合振興計画たたき台、健康21現行計画、高齢者福祉・介護保険事業計画（精度：介護保険の第2号被保険者との重なり（Ｍ-14）・社会福祉法改正への対応（Ｍ-35）・障がい者活躍推進計画と物品調達方針（Ｍ-67・Ｍ-68））</t>
        </is>
      </c>
    </row>
    <row r="17">
      <c r="A17" s="4" t="inlineStr">
        <is>
          <t>P2 基礎調査</t>
        </is>
      </c>
      <c r="B17" s="11" t="inlineStr">
        <is>
          <t>2-5</t>
        </is>
      </c>
      <c r="C17" s="4" t="inlineStr">
        <is>
          <t>実態調査及びPDCAサイクルに関するマニュアルの確認</t>
        </is>
      </c>
      <c r="D17" s="4" t="inlineStr">
        <is>
          <t>令和8年8月に国が改定したマニュアル（全81頁）を読み、調査票の標準項目・見込量の推計方法・PDCAサイクルの要求水準を成果物と突合</t>
        </is>
      </c>
      <c r="E17" s="4" t="inlineStr">
        <is>
          <t>仕様書4-Ⅱ(1)</t>
        </is>
      </c>
      <c r="F17" s="11" t="inlineStr">
        <is>
          <t>受託者</t>
        </is>
      </c>
      <c r="G17" s="11" t="inlineStr">
        <is>
          <t>2026-08</t>
        </is>
      </c>
      <c r="H17" s="11" t="inlineStr">
        <is>
          <t>2026-08</t>
        </is>
      </c>
      <c r="I17" s="12" t="inlineStr">
        <is>
          <t>完了</t>
        </is>
      </c>
      <c r="J17" s="11" t="n">
        <v>100</v>
      </c>
      <c r="K17" s="11" t="n">
        <v>4</v>
      </c>
      <c r="L17"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7" s="4" t="inlineStr">
        <is>
          <t>―</t>
        </is>
      </c>
      <c r="N17" s="4" t="inlineStr">
        <is>
          <t>実態調査及びPDCAサイクルに関するマニュアル（令和8年8月）（精度：PDCAの評価体制・スケジュール・公表方法）</t>
        </is>
      </c>
    </row>
    <row r="18">
      <c r="A18" s="4" t="inlineStr">
        <is>
          <t>P2 基礎調査</t>
        </is>
      </c>
      <c r="B18" s="11" t="inlineStr">
        <is>
          <t>2-6</t>
        </is>
      </c>
      <c r="C18" s="4" t="inlineStr">
        <is>
          <t>告示後の基本指針改正2件の確認と網羅性のレビュー</t>
        </is>
      </c>
      <c r="D18"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8" s="4" t="inlineStr">
        <is>
          <t>仕様書4-Ⅱ(1)・4-Ⅱ(5)</t>
        </is>
      </c>
      <c r="F18" s="11" t="inlineStr">
        <is>
          <t>受託者</t>
        </is>
      </c>
      <c r="G18" s="11" t="inlineStr">
        <is>
          <t>2026-09</t>
        </is>
      </c>
      <c r="H18" s="11" t="inlineStr">
        <is>
          <t>2026-09</t>
        </is>
      </c>
      <c r="I18" s="12" t="inlineStr">
        <is>
          <t>完了</t>
        </is>
      </c>
      <c r="J18" s="11" t="n">
        <v>100</v>
      </c>
      <c r="K18" s="11" t="n">
        <v>4</v>
      </c>
      <c r="L18" s="4" t="inlineStr">
        <is>
          <t>北塩原村_骨子案レビュー_基本指針網羅性.xlsx（7シート）。別表第二 六の項（人材確保・生産性向上・経営基盤）の新設と、医療的ケア者（成人）の新設を確認。不足14件・村県への確認事項8件を整理</t>
        </is>
      </c>
      <c r="M18" s="4" t="inlineStr">
        <is>
          <t>―</t>
        </is>
      </c>
      <c r="N18" s="4" t="inlineStr">
        <is>
          <t>―</t>
        </is>
      </c>
    </row>
    <row r="19">
      <c r="A19" s="4" t="inlineStr">
        <is>
          <t>P3 統計分析</t>
        </is>
      </c>
      <c r="B19" s="11" t="inlineStr">
        <is>
          <t>3-1</t>
        </is>
      </c>
      <c r="C19" s="4" t="inlineStr">
        <is>
          <t>人口・世帯の分析</t>
        </is>
      </c>
      <c r="D19" s="4" t="inlineStr">
        <is>
          <t>住民基本台帳による人口の推移と、村公式推計による令和11年までの見通し</t>
        </is>
      </c>
      <c r="E19" s="4" t="inlineStr">
        <is>
          <t>仕様書4-Ⅱ(3)①</t>
        </is>
      </c>
      <c r="F19" s="11" t="inlineStr">
        <is>
          <t>受託者</t>
        </is>
      </c>
      <c r="G19" s="11" t="inlineStr">
        <is>
          <t>2026-07</t>
        </is>
      </c>
      <c r="H19" s="11" t="inlineStr">
        <is>
          <t>2026-08</t>
        </is>
      </c>
      <c r="I19" s="12" t="inlineStr">
        <is>
          <t>完了</t>
        </is>
      </c>
      <c r="J19" s="11" t="n">
        <v>100</v>
      </c>
      <c r="K19" s="11" t="n">
        <v>3</v>
      </c>
      <c r="L19" s="4" t="inlineStr">
        <is>
          <t>北塩原村_将来推計.xlsx。令和6年実績2,394人と令和11年公式推計の線形補間</t>
        </is>
      </c>
      <c r="M19" s="4" t="inlineStr">
        <is>
          <t>―</t>
        </is>
      </c>
      <c r="N19" s="4" t="inlineStr">
        <is>
          <t>―（精度：年齢階級別の手帳所持者数・人口・9月30日時点の人口・手帳所持者数（Ｍ-28））</t>
        </is>
      </c>
    </row>
    <row r="20">
      <c r="A20" s="4" t="inlineStr">
        <is>
          <t>P3 統計分析</t>
        </is>
      </c>
      <c r="B20" s="11" t="inlineStr">
        <is>
          <t>3-2</t>
        </is>
      </c>
      <c r="C20" s="4" t="inlineStr">
        <is>
          <t>障がい者手帳所持者数の将来推計</t>
        </is>
      </c>
      <c r="D20" s="4" t="inlineStr">
        <is>
          <t>身体・療育・精神の3区分について3手法で推計し、予測区間と分母感度を検証</t>
        </is>
      </c>
      <c r="E20" s="4" t="inlineStr">
        <is>
          <t>仕様書4-Ⅱ(3)①・4-Ⅱ(5)③</t>
        </is>
      </c>
      <c r="F20" s="11" t="inlineStr">
        <is>
          <t>受託者</t>
        </is>
      </c>
      <c r="G20" s="11" t="inlineStr">
        <is>
          <t>2026-08</t>
        </is>
      </c>
      <c r="H20" s="11" t="inlineStr">
        <is>
          <t>2026-08</t>
        </is>
      </c>
      <c r="I20" s="12" t="inlineStr">
        <is>
          <t>完了</t>
        </is>
      </c>
      <c r="J20" s="11" t="n">
        <v>100</v>
      </c>
      <c r="K20" s="11" t="n">
        <v>5</v>
      </c>
      <c r="L20" s="4" t="inlineStr">
        <is>
          <t>北塩原村_将来推計.xlsx（9シート）。骨子案修正版 第2章6として新設。県との比較シートで採用しなかった代替推計の理由も記録</t>
        </is>
      </c>
      <c r="M20" s="4" t="inlineStr">
        <is>
          <t>年齢階級別の手帳所持者数（未受領）により精度が上がる</t>
        </is>
      </c>
      <c r="N20" s="4" t="inlineStr">
        <is>
          <t>―（精度：年齢階級別の手帳所持者数・人口・指定難病による対象者（Ｍ-32）・9月30日時点の人口・手帳所持者数（Ｍ-28）・こども・子育て計画の人口推計の元データ（Ｍ-29））</t>
        </is>
      </c>
    </row>
    <row r="21">
      <c r="A21" s="4" t="inlineStr">
        <is>
          <t>P3 統計分析</t>
        </is>
      </c>
      <c r="B21" s="11" t="inlineStr">
        <is>
          <t>3-3</t>
        </is>
      </c>
      <c r="C21" s="4" t="inlineStr">
        <is>
          <t>給付実績の整理</t>
        </is>
      </c>
      <c r="D21" s="4" t="inlineStr">
        <is>
          <t>令和2〜7年度の介護給付費・障害児給付費をサービス別に整理</t>
        </is>
      </c>
      <c r="E21" s="4" t="inlineStr">
        <is>
          <t>仕様書4-Ⅱ(2)</t>
        </is>
      </c>
      <c r="F21" s="11" t="inlineStr">
        <is>
          <t>受託者</t>
        </is>
      </c>
      <c r="G21" s="11" t="inlineStr">
        <is>
          <t>2026-08</t>
        </is>
      </c>
      <c r="H21" s="11" t="inlineStr">
        <is>
          <t>2026-08</t>
        </is>
      </c>
      <c r="I21" s="12" t="inlineStr">
        <is>
          <t>完了</t>
        </is>
      </c>
      <c r="J21" s="11" t="n">
        <v>100</v>
      </c>
      <c r="K21" s="11" t="n">
        <v>3</v>
      </c>
      <c r="L21" s="4" t="inlineStr">
        <is>
          <t>北塩原村_障がいサービス給付実績_整理版（6シート）。サービス別内訳と年度合計が原票と一致することを検算済み</t>
        </is>
      </c>
      <c r="M21" s="4" t="inlineStr">
        <is>
          <t>―</t>
        </is>
      </c>
      <c r="N21" s="4" t="inlineStr">
        <is>
          <t>障害支援区分別人数の基準日とサービス利用状況</t>
        </is>
      </c>
    </row>
    <row r="22">
      <c r="A22" s="4" t="inlineStr">
        <is>
          <t>P3 統計分析</t>
        </is>
      </c>
      <c r="B22" s="11" t="inlineStr">
        <is>
          <t>3-4</t>
        </is>
      </c>
      <c r="C22" s="4" t="inlineStr">
        <is>
          <t>圏域のサービス資源の把握</t>
        </is>
      </c>
      <c r="D22" s="4" t="inlineStr">
        <is>
          <t>ReMHRAD 障害福祉資源18サービスにより、会津北部4町村と近隣市の事業所数を確認</t>
        </is>
      </c>
      <c r="E22" s="4" t="inlineStr">
        <is>
          <t>仕様書4-Ⅱ(3)</t>
        </is>
      </c>
      <c r="F22" s="11" t="inlineStr">
        <is>
          <t>受託者</t>
        </is>
      </c>
      <c r="G22" s="11" t="inlineStr">
        <is>
          <t>2026-08</t>
        </is>
      </c>
      <c r="H22" s="11" t="inlineStr">
        <is>
          <t>2026-08</t>
        </is>
      </c>
      <c r="I22" s="12" t="inlineStr">
        <is>
          <t>完了</t>
        </is>
      </c>
      <c r="J22" s="11" t="n">
        <v>100</v>
      </c>
      <c r="K22" s="11" t="n">
        <v>3</v>
      </c>
      <c r="L22" s="4" t="inlineStr">
        <is>
          <t>北塩原村_圏域サービス資源.xlsx（5シート）。村内に居宅介護1・重度訪問介護1・生活介護1を確認し、「本村には事業所がない」という記述を訂正</t>
        </is>
      </c>
      <c r="M22" s="4" t="inlineStr">
        <is>
          <t>―</t>
        </is>
      </c>
      <c r="N22" s="4" t="inlineStr">
        <is>
          <t>―（精度：村外の利用事業所の一覧（Ｍ-24）・村内3事業所の詳細・圏域事業所の制度活用状況・圏域事業所の受入可能性）</t>
        </is>
      </c>
    </row>
    <row r="23">
      <c r="A23" s="4" t="inlineStr">
        <is>
          <t>P3 統計分析</t>
        </is>
      </c>
      <c r="B23" s="11" t="inlineStr">
        <is>
          <t>3-5</t>
        </is>
      </c>
      <c r="C23" s="4" t="inlineStr">
        <is>
          <t>精神障がい者の地域移行に係る分析</t>
        </is>
      </c>
      <c r="D23" s="4" t="inlineStr">
        <is>
          <t>630調査・NDB精神医療指標・ReMHRAD により、県の平均生活日数・再入院率と村の在院者状況を把握</t>
        </is>
      </c>
      <c r="E23" s="4" t="inlineStr">
        <is>
          <t>仕様書4-Ⅱ(3)⑤</t>
        </is>
      </c>
      <c r="F23" s="11" t="inlineStr">
        <is>
          <t>受託者</t>
        </is>
      </c>
      <c r="G23" s="11" t="inlineStr">
        <is>
          <t>2026-08</t>
        </is>
      </c>
      <c r="H23" s="11" t="inlineStr">
        <is>
          <t>2026-09</t>
        </is>
      </c>
      <c r="I23" s="13" t="inlineStr">
        <is>
          <t>進行中</t>
        </is>
      </c>
      <c r="J23" s="11" t="n">
        <v>70</v>
      </c>
      <c r="K23" s="11" t="n">
        <v>4</v>
      </c>
      <c r="L23" s="4" t="inlineStr">
        <is>
          <t>福島県_精神医療指標抽出.xlsx。別表第四のCを令和5年度630調査の2,591人で確定</t>
        </is>
      </c>
      <c r="M23" s="4" t="inlineStr">
        <is>
          <t>令和7年度末時点の1年以上長期入院者の実数と年齢区分（村・会津保健所へ照会中）</t>
        </is>
      </c>
      <c r="N23" s="4" t="inlineStr">
        <is>
          <t>―（精度：令和7年度末時点の1年以上長期入院者の実数）</t>
        </is>
      </c>
    </row>
    <row r="24">
      <c r="A24" s="4" t="inlineStr">
        <is>
          <t>P3 統計分析</t>
        </is>
      </c>
      <c r="B24" s="11" t="inlineStr">
        <is>
          <t>3-6</t>
        </is>
      </c>
      <c r="C24" s="4" t="inlineStr">
        <is>
          <t>年齢階級別の分析</t>
        </is>
      </c>
      <c r="D24" s="4" t="inlineStr">
        <is>
          <t>身体は0〜17／18〜39／40〜64／65〜74／75歳以上、療育・精神は18歳未満／18〜64／65歳以上</t>
        </is>
      </c>
      <c r="E24" s="4" t="inlineStr">
        <is>
          <t>仕様書4-Ⅱ(3)①</t>
        </is>
      </c>
      <c r="F24" s="11" t="inlineStr">
        <is>
          <t>受託者</t>
        </is>
      </c>
      <c r="G24" s="11" t="inlineStr">
        <is>
          <t>2026-09</t>
        </is>
      </c>
      <c r="H24" s="11" t="inlineStr">
        <is>
          <t>2026-10</t>
        </is>
      </c>
      <c r="I24" s="14" t="inlineStr">
        <is>
          <t>データ待ち</t>
        </is>
      </c>
      <c r="J24" s="11" t="n">
        <v>0</v>
      </c>
      <c r="K24" s="11" t="n">
        <v>3</v>
      </c>
      <c r="L24" s="4" t="inlineStr">
        <is>
          <t>推計の枠は作成済み（将来推計 05）</t>
        </is>
      </c>
      <c r="M24" s="4" t="inlineStr">
        <is>
          <t>年齢階級別の手帳所持者数・人口（村へ依頼中）</t>
        </is>
      </c>
      <c r="N24" s="15" t="inlineStr">
        <is>
          <t>年齢別・サービス別の匿名利用者一覧・年齢階級別の手帳所持者数・人口（精度：特別支援学校・特別支援学級の在籍者）</t>
        </is>
      </c>
    </row>
    <row r="25">
      <c r="A25" s="4" t="inlineStr">
        <is>
          <t>P4 ニーズ調査</t>
        </is>
      </c>
      <c r="B25" s="11" t="inlineStr">
        <is>
          <t>4-1</t>
        </is>
      </c>
      <c r="C25" s="4" t="inlineStr">
        <is>
          <t>調査対象の抽出</t>
        </is>
      </c>
      <c r="D25" s="4" t="inlineStr">
        <is>
          <t>身体約130人・精神約40人・療育約20人（計約190人）。抽出は委託者が行い、受託者にラベルシールとして提供</t>
        </is>
      </c>
      <c r="E25" s="4" t="inlineStr">
        <is>
          <t>仕様書4-Ⅰ(1)</t>
        </is>
      </c>
      <c r="F25" s="11" t="inlineStr">
        <is>
          <t>北塩原村</t>
        </is>
      </c>
      <c r="G25" s="11" t="inlineStr">
        <is>
          <t>2026-07</t>
        </is>
      </c>
      <c r="H25" s="11" t="inlineStr">
        <is>
          <t>2026-08</t>
        </is>
      </c>
      <c r="I25" s="12" t="inlineStr">
        <is>
          <t>完了</t>
        </is>
      </c>
      <c r="J25" s="11" t="n">
        <v>100</v>
      </c>
      <c r="K25" s="11" t="n">
        <v>3</v>
      </c>
      <c r="L25" s="4" t="inlineStr">
        <is>
          <t>令和8年10月14日に受領した集計表の改訂版で配布数が確定した（障がい者172・障がい児6）。内訳は身体118名・精神1名・療育8名・入所等12名（障がい者）、身体2名・精神1名・療育1名・入所等2名（障がい児）</t>
        </is>
      </c>
      <c r="M25" s="4" t="inlineStr">
        <is>
          <t>内訳の合計139名が配布数172と合わない（差33名）。精神1名は村の精神手帳所持者38人と比べても少ない（Ｍ-128）。仕様書の約190人との差も併せて確かめる</t>
        </is>
      </c>
      <c r="N25" s="4" t="inlineStr">
        <is>
          <t>発送対象者数（重複除外後）・宛名ラベルシール</t>
        </is>
      </c>
    </row>
    <row r="26">
      <c r="A26" s="4" t="inlineStr">
        <is>
          <t>P4 ニーズ調査</t>
        </is>
      </c>
      <c r="B26" s="11" t="inlineStr">
        <is>
          <t>4-2</t>
        </is>
      </c>
      <c r="C26" s="4" t="inlineStr">
        <is>
          <t>調査票の設計</t>
        </is>
      </c>
      <c r="D26" s="4" t="inlineStr">
        <is>
          <t>厚生労働省の調査項目及び村の過去調査を踏まえて設計し、委託者との協議の上決定</t>
        </is>
      </c>
      <c r="E26" s="4" t="inlineStr">
        <is>
          <t>仕様書4-Ⅰ(2)</t>
        </is>
      </c>
      <c r="F26" s="11" t="inlineStr">
        <is>
          <t>受託者</t>
        </is>
      </c>
      <c r="G26" s="11" t="inlineStr">
        <is>
          <t>2026-07</t>
        </is>
      </c>
      <c r="H26" s="11" t="inlineStr">
        <is>
          <t>2026-08</t>
        </is>
      </c>
      <c r="I26" s="12" t="inlineStr">
        <is>
          <t>完了</t>
        </is>
      </c>
      <c r="J26" s="11" t="n">
        <v>100</v>
      </c>
      <c r="K26" s="11" t="n">
        <v>4</v>
      </c>
      <c r="L26" s="4" t="inlineStr">
        <is>
          <t>令和8年8月25日版で確定（障がい者版45問・障がい児版44問）。村の朱書き修正指示40か所は反映済み。原典は source/アンケート/</t>
        </is>
      </c>
      <c r="M26" s="4" t="inlineStr">
        <is>
          <t>―</t>
        </is>
      </c>
      <c r="N26" s="4" t="inlineStr">
        <is>
          <t>アンケート調査票への村の修正指示</t>
        </is>
      </c>
    </row>
    <row r="27">
      <c r="A27" s="4" t="inlineStr">
        <is>
          <t>P4 ニーズ調査</t>
        </is>
      </c>
      <c r="B27" s="11" t="inlineStr">
        <is>
          <t>4-3</t>
        </is>
      </c>
      <c r="C27" s="4" t="inlineStr">
        <is>
          <t>障がい特性に応じた配慮</t>
        </is>
      </c>
      <c r="D27" s="4" t="inlineStr">
        <is>
          <t>文字の大きさ・フォント・表現の工夫、ルビ等</t>
        </is>
      </c>
      <c r="E27" s="4" t="inlineStr">
        <is>
          <t>仕様書4-Ⅰ(2)</t>
        </is>
      </c>
      <c r="F27" s="11" t="inlineStr">
        <is>
          <t>受託者</t>
        </is>
      </c>
      <c r="G27" s="11" t="inlineStr">
        <is>
          <t>2026-07</t>
        </is>
      </c>
      <c r="H27" s="11" t="inlineStr">
        <is>
          <t>2026-08</t>
        </is>
      </c>
      <c r="I27" s="12" t="inlineStr">
        <is>
          <t>完了</t>
        </is>
      </c>
      <c r="J27" s="11" t="n">
        <v>100</v>
      </c>
      <c r="K27" s="11" t="n">
        <v>2</v>
      </c>
      <c r="L27" s="4" t="inlineStr">
        <is>
          <t>14pt程度・ルビ付与・白黒印刷・専門用語への短い解説（7月7日打合せで決定）。村からレスパイトケア・就労継続支援A型B型の用語説明の文言を受領。令和8年8月31日から9月25日までの実施をもって確定</t>
        </is>
      </c>
      <c r="M27" s="4" t="inlineStr">
        <is>
          <t>―</t>
        </is>
      </c>
      <c r="N27" s="4" t="inlineStr">
        <is>
          <t>―</t>
        </is>
      </c>
    </row>
    <row r="28">
      <c r="A28" s="4" t="inlineStr">
        <is>
          <t>P4 ニーズ調査</t>
        </is>
      </c>
      <c r="B28" s="11" t="inlineStr">
        <is>
          <t>4-4</t>
        </is>
      </c>
      <c r="C28" s="4" t="inlineStr">
        <is>
          <t>ウェブ回答用フォームの作成</t>
        </is>
      </c>
      <c r="D28" s="4" t="inlineStr">
        <is>
          <t>二次元コードを調査票又は依頼状に印字。紙・ウェブの重複回答を管理番号で管理</t>
        </is>
      </c>
      <c r="E28" s="4" t="inlineStr">
        <is>
          <t>仕様書4-Ⅰ(2)</t>
        </is>
      </c>
      <c r="F28" s="11" t="inlineStr">
        <is>
          <t>受託者</t>
        </is>
      </c>
      <c r="G28" s="11" t="inlineStr">
        <is>
          <t>2026-07</t>
        </is>
      </c>
      <c r="H28" s="11" t="inlineStr">
        <is>
          <t>2026-08</t>
        </is>
      </c>
      <c r="I28" s="12" t="inlineStr">
        <is>
          <t>完了</t>
        </is>
      </c>
      <c r="J28" s="11" t="n">
        <v>100</v>
      </c>
      <c r="K28" s="11" t="n">
        <v>3</v>
      </c>
      <c r="L28" s="4" t="inlineStr">
        <is>
          <t>Googleフォーム自動作成コード（1本統合分岐版）。集計表の改訂版で調査方法が「郵送配布・郵送回収及びWEB回答」と記入され、ウェブ回答が実施されたことが確定した</t>
        </is>
      </c>
      <c r="M28" s="4" t="inlineStr">
        <is>
          <t>―</t>
        </is>
      </c>
      <c r="N28" s="4" t="inlineStr">
        <is>
          <t>―</t>
        </is>
      </c>
    </row>
    <row r="29">
      <c r="A29" s="4" t="inlineStr">
        <is>
          <t>P4 ニーズ調査</t>
        </is>
      </c>
      <c r="B29" s="11" t="inlineStr">
        <is>
          <t>4-5</t>
        </is>
      </c>
      <c r="C29" s="4" t="inlineStr">
        <is>
          <t>調査票・封筒の印刷</t>
        </is>
      </c>
      <c r="D29" s="4" t="inlineStr">
        <is>
          <t>調査票及び封筒（配布用・回収用）を各々必要部数印刷。仕様はA4判・約24ページ・黒1色</t>
        </is>
      </c>
      <c r="E29" s="4" t="inlineStr">
        <is>
          <t>仕様書4-Ⅰ(3)</t>
        </is>
      </c>
      <c r="F29" s="11" t="inlineStr">
        <is>
          <t>受託者</t>
        </is>
      </c>
      <c r="G29" s="11" t="inlineStr">
        <is>
          <t>2026-08</t>
        </is>
      </c>
      <c r="H29" s="11" t="inlineStr">
        <is>
          <t>2026-08</t>
        </is>
      </c>
      <c r="I29" s="12" t="inlineStr">
        <is>
          <t>完了</t>
        </is>
      </c>
      <c r="J29" s="11" t="n">
        <v>100</v>
      </c>
      <c r="K29" s="11" t="n">
        <v>3</v>
      </c>
      <c r="L29" s="4" t="inlineStr">
        <is>
          <t>令和8年8月31日の発送をもって完了。配布数は障がい者172・障がい児6</t>
        </is>
      </c>
      <c r="M29" s="4" t="inlineStr">
        <is>
          <t>仕様書は約24頁の1種類だが実際は2種類であった。頁数・種類数・部数・単価の取扱いは契約の変更管理で詰める</t>
        </is>
      </c>
      <c r="N29" s="4" t="inlineStr">
        <is>
          <t>―</t>
        </is>
      </c>
    </row>
    <row r="30">
      <c r="A30" s="4" t="inlineStr">
        <is>
          <t>P4 ニーズ調査</t>
        </is>
      </c>
      <c r="B30" s="11" t="inlineStr">
        <is>
          <t>4-6</t>
        </is>
      </c>
      <c r="C30" s="4" t="inlineStr">
        <is>
          <t>発送・回収管理</t>
        </is>
      </c>
      <c r="D30" s="4" t="inlineStr">
        <is>
          <t>宛名ラベルを配布用封筒に貼付し、調査票・返信用封筒を封入・封緘の上発送。発送及び回収に係る費用は受託者の負担</t>
        </is>
      </c>
      <c r="E30" s="4" t="inlineStr">
        <is>
          <t>仕様書4-Ⅰ(4)</t>
        </is>
      </c>
      <c r="F30" s="11" t="inlineStr">
        <is>
          <t>受託者・北塩原村</t>
        </is>
      </c>
      <c r="G30" s="11" t="inlineStr">
        <is>
          <t>2026-08</t>
        </is>
      </c>
      <c r="H30" s="11" t="inlineStr">
        <is>
          <t>2026-09</t>
        </is>
      </c>
      <c r="I30" s="12" t="inlineStr">
        <is>
          <t>完了</t>
        </is>
      </c>
      <c r="J30" s="11" t="n">
        <v>100</v>
      </c>
      <c r="K30" s="11" t="n">
        <v>3</v>
      </c>
      <c r="L30" s="4" t="inlineStr">
        <is>
          <t>令和8年8月〜9月に発送・回収を実施。有効回答は障がい者38件・障がい児3件</t>
        </is>
      </c>
      <c r="M30" s="4" t="inlineStr">
        <is>
          <t>配布数が未確認のため有効回答率を算出できない（点検結果D-1）。郵送費の精算方法の書面確認も未了</t>
        </is>
      </c>
      <c r="N30" s="4" t="inlineStr">
        <is>
          <t>―（精度：発送対象者数（重複除外後）・宛名ラベルシール）</t>
        </is>
      </c>
    </row>
    <row r="31">
      <c r="A31" s="4" t="inlineStr">
        <is>
          <t>P4 ニーズ調査</t>
        </is>
      </c>
      <c r="B31" s="11" t="inlineStr">
        <is>
          <t>4-7</t>
        </is>
      </c>
      <c r="C31" s="4" t="inlineStr">
        <is>
          <t>国のマニュアルとの差の代替設計</t>
        </is>
      </c>
      <c r="D31" s="4" t="inlineStr">
        <is>
          <t>確定版に無い国の標準項目4件について、確定版の設問の組み合わせと行政データとの突合で代替できるかを判定し、実施するクロス集計を設計</t>
        </is>
      </c>
      <c r="E31" s="4" t="inlineStr">
        <is>
          <t>仕様書4-Ⅰ(6)</t>
        </is>
      </c>
      <c r="F31" s="11" t="inlineStr">
        <is>
          <t>受託者</t>
        </is>
      </c>
      <c r="G31" s="11" t="inlineStr">
        <is>
          <t>2026-08</t>
        </is>
      </c>
      <c r="H31" s="11" t="inlineStr">
        <is>
          <t>2026-08</t>
        </is>
      </c>
      <c r="I31" s="12" t="inlineStr">
        <is>
          <t>完了</t>
        </is>
      </c>
      <c r="J31" s="11" t="n">
        <v>100</v>
      </c>
      <c r="K31" s="11" t="n">
        <v>4</v>
      </c>
      <c r="L31" s="4" t="inlineStr">
        <is>
          <t>北塩原村_クロス集計設計.xlsx（7シート・クロス集計25件・行政データ突合6件）。介護保険・強度行動障害・障害支援区分の3件は行政データで代替可</t>
        </is>
      </c>
      <c r="M31" s="4" t="inlineStr">
        <is>
          <t>外出の目的（第4次障がい者計画の指標）は代替できず、村との再協議が必要</t>
        </is>
      </c>
      <c r="N31" s="4" t="inlineStr">
        <is>
          <t>アンケート調査票への村の修正指示</t>
        </is>
      </c>
    </row>
    <row r="32">
      <c r="A32" s="4" t="inlineStr">
        <is>
          <t>P5 集計・分析</t>
        </is>
      </c>
      <c r="B32" s="11" t="inlineStr">
        <is>
          <t>5-1</t>
        </is>
      </c>
      <c r="C32" s="4" t="inlineStr">
        <is>
          <t>データ入力</t>
        </is>
      </c>
      <c r="D32" s="4" t="inlineStr">
        <is>
          <t>厚生労働省が提示する集計ファイル様式を基本として入力</t>
        </is>
      </c>
      <c r="E32" s="4" t="inlineStr">
        <is>
          <t>仕様書4-Ⅰ(5)</t>
        </is>
      </c>
      <c r="F32" s="11" t="inlineStr">
        <is>
          <t>受託者</t>
        </is>
      </c>
      <c r="G32" s="11" t="inlineStr">
        <is>
          <t>2026-09</t>
        </is>
      </c>
      <c r="H32" s="11" t="inlineStr">
        <is>
          <t>2026-10</t>
        </is>
      </c>
      <c r="I32" s="12" t="inlineStr">
        <is>
          <t>完了</t>
        </is>
      </c>
      <c r="J32" s="11" t="n">
        <v>100</v>
      </c>
      <c r="K32" s="11" t="n">
        <v>3</v>
      </c>
      <c r="L32" s="4" t="inlineStr">
        <is>
          <t>令和8年10月2日に集計が完成（集計_障がい者版・集計_障がい児版）。障がい者38件・障がい児3件。個票から単純集計を再計算して全件一致を確認</t>
        </is>
      </c>
      <c r="M32" s="4" t="inlineStr">
        <is>
          <t>―</t>
        </is>
      </c>
      <c r="N32" s="4" t="inlineStr">
        <is>
          <t>―</t>
        </is>
      </c>
    </row>
    <row r="33">
      <c r="A33" s="4" t="inlineStr">
        <is>
          <t>P5 集計・分析</t>
        </is>
      </c>
      <c r="B33" s="11" t="inlineStr">
        <is>
          <t>5-10</t>
        </is>
      </c>
      <c r="C33" s="4" t="inlineStr">
        <is>
          <t>外部レビューと村資料の反映</t>
        </is>
      </c>
      <c r="D33" s="4" t="inlineStr">
        <is>
          <t>外部レビューの指摘（小規模自治体の見込量算定の方法、受給者証と障害支援区分の区別、必要量と供給可能量の分離ほか）と、村の自立支援協議会資料を素案に反映する</t>
        </is>
      </c>
      <c r="E33" s="4" t="inlineStr">
        <is>
          <t>基本指針 別表第二 三の項</t>
        </is>
      </c>
      <c r="F33" s="11" t="inlineStr">
        <is>
          <t>受託者</t>
        </is>
      </c>
      <c r="G33" s="11" t="inlineStr">
        <is>
          <t>2026-10</t>
        </is>
      </c>
      <c r="H33" s="11" t="inlineStr">
        <is>
          <t>2026-12</t>
        </is>
      </c>
      <c r="I33" s="13" t="inlineStr">
        <is>
          <t>進行中</t>
        </is>
      </c>
      <c r="J33" s="11" t="n">
        <v>70</v>
      </c>
      <c r="K33" s="11" t="n">
        <v>1</v>
      </c>
      <c r="L33"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3" s="4" t="inlineStr">
        <is>
          <t>Ｍ-19（計画値の系列）の回答。回答後に第5章3〜7の見込量を村の公表実績に差し替える。未読の村資料4点の読み込み</t>
        </is>
      </c>
      <c r="N33" s="15" t="inlineStr">
        <is>
          <t>計画値の基礎とする系列（Ｍ-19）・移行管理台帳（Ｍ-18）・自立支援協議会の資料13点（令和8年5月25日）</t>
        </is>
      </c>
    </row>
    <row r="34">
      <c r="A34" s="4" t="inlineStr">
        <is>
          <t>P5 集計・分析</t>
        </is>
      </c>
      <c r="B34" s="11" t="inlineStr">
        <is>
          <t>5-11</t>
        </is>
      </c>
      <c r="C34" s="4" t="inlineStr">
        <is>
          <t>第2回外部レビューの反映</t>
        </is>
      </c>
      <c r="D34" s="4" t="inlineStr">
        <is>
          <t>第154〜159回の整理と照合した27論点の指摘を、データ待ちでないものから計画素案に反映する</t>
        </is>
      </c>
      <c r="E34" s="4" t="inlineStr">
        <is>
          <t>基本指針 別表第一・別表第二</t>
        </is>
      </c>
      <c r="F34" s="11" t="inlineStr">
        <is>
          <t>受託者</t>
        </is>
      </c>
      <c r="G34" s="11" t="inlineStr">
        <is>
          <t>2026-10</t>
        </is>
      </c>
      <c r="H34" s="11" t="inlineStr">
        <is>
          <t>2026-12</t>
        </is>
      </c>
      <c r="I34" s="13" t="inlineStr">
        <is>
          <t>進行中</t>
        </is>
      </c>
      <c r="J34" s="11" t="n">
        <v>65</v>
      </c>
      <c r="K34" s="11" t="n">
        <v>2</v>
      </c>
      <c r="L34"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4" s="4" t="inlineStr">
        <is>
          <t>村照会Ｍ-22〜Ｍ-27。原典未確認5件（特定地域サービス・成年後見の民法等改正ほか）は厚生労働省サイトへの直接取得が組織ポリシーにより403で拒否されたため、計画本文に法律番号を書かず確認事項として残している</t>
        </is>
      </c>
      <c r="N34" s="4" t="inlineStr">
        <is>
          <t>―</t>
        </is>
      </c>
    </row>
    <row r="35">
      <c r="A35" s="4" t="inlineStr">
        <is>
          <t>P5 集計・分析</t>
        </is>
      </c>
      <c r="B35" s="11" t="inlineStr">
        <is>
          <t>5-12</t>
        </is>
      </c>
      <c r="C35" s="4" t="inlineStr">
        <is>
          <t>集計表の改訂版の確認</t>
        </is>
      </c>
      <c r="D35" s="4" t="inlineStr">
        <is>
          <t>報告書用集計表の改訂版について、当方が洗い出した不整合11件がどうなったかを新旧の現物で確かめ、正本の割合が改訂版の集計から出ることを照合する</t>
        </is>
      </c>
      <c r="E35" s="4" t="inlineStr">
        <is>
          <t>仕様書4-Ⅱ(1)②</t>
        </is>
      </c>
      <c r="F35" s="11" t="inlineStr">
        <is>
          <t>受託者</t>
        </is>
      </c>
      <c r="G35" s="11" t="inlineStr">
        <is>
          <t>2026-10</t>
        </is>
      </c>
      <c r="H35" s="11" t="inlineStr">
        <is>
          <t>2026-10</t>
        </is>
      </c>
      <c r="I35" s="12" t="inlineStr">
        <is>
          <t>完了</t>
        </is>
      </c>
      <c r="J35" s="11" t="n">
        <v>100</v>
      </c>
      <c r="K35" s="11" t="n">
        <v>3</v>
      </c>
      <c r="L35" s="4" t="inlineStr">
        <is>
          <t>北塩原村_アンケート集計表の改訂版の確認.xlsx（6シート）。割合の基数が有効回答数から回答者数（無回答を含む）へ統一され、当方の指摘Ａ-1・Ａ-2・Ｃ-1・Ｄ-1 が解消した。正本 第2章7 の割合39点すべてが改訂版の集計から出ることを生成のたびに確かめる形にした。課題が8件であることが確定し、表2-8 に8区分目を足した（ＡＫ-1）</t>
        </is>
      </c>
      <c r="M35" s="4" t="inlineStr">
        <is>
          <t>Ａ-3（基数1〜2の区分の割合表示）とＣ-2（医療的ケアの書き方）は報告書の側の修正（Ｓ-37）。調査対象の内訳139名と配布数172の食い違い（Ｍ-128）</t>
        </is>
      </c>
      <c r="N35" s="4" t="inlineStr">
        <is>
          <t>―</t>
        </is>
      </c>
    </row>
    <row r="36">
      <c r="A36" s="4" t="inlineStr">
        <is>
          <t>P5 集計・分析</t>
        </is>
      </c>
      <c r="B36" s="11" t="inlineStr">
        <is>
          <t>5-2</t>
        </is>
      </c>
      <c r="C36" s="4" t="inlineStr">
        <is>
          <t>集計・分析の設計</t>
        </is>
      </c>
      <c r="D36" s="4" t="inlineStr">
        <is>
          <t>基本集計及び年齢・障がい種別等によるクロス集計。少数母数の取扱い</t>
        </is>
      </c>
      <c r="E36" s="4" t="inlineStr">
        <is>
          <t>仕様書4-Ⅰ(6)</t>
        </is>
      </c>
      <c r="F36" s="11" t="inlineStr">
        <is>
          <t>受託者</t>
        </is>
      </c>
      <c r="G36" s="11" t="inlineStr">
        <is>
          <t>2026-08</t>
        </is>
      </c>
      <c r="H36" s="11" t="inlineStr">
        <is>
          <t>2026-10</t>
        </is>
      </c>
      <c r="I36" s="13" t="inlineStr">
        <is>
          <t>進行中</t>
        </is>
      </c>
      <c r="J36" s="11" t="n">
        <v>80</v>
      </c>
      <c r="K36" s="11" t="n">
        <v>3</v>
      </c>
      <c r="L36"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6" s="4" t="inlineStr">
        <is>
          <t>分母の定義を改めるか脚注で明示するかを決める（点検結果A-1）。基数5未満の区分の扱いも表と図で揃える（同A-3）</t>
        </is>
      </c>
      <c r="N36" s="15" t="inlineStr">
        <is>
          <t>小規模公表基準・前回調査の調査結果報告書（精度：要介護認定の有無・要介護度（匿名利用者一覧への列追加））</t>
        </is>
      </c>
    </row>
    <row r="37">
      <c r="A37" s="4" t="inlineStr">
        <is>
          <t>P5 集計・分析</t>
        </is>
      </c>
      <c r="B37" s="11" t="inlineStr">
        <is>
          <t>5-3</t>
        </is>
      </c>
      <c r="C37" s="4" t="inlineStr">
        <is>
          <t>自由回答の取りまとめ</t>
        </is>
      </c>
      <c r="D37" s="4" t="inlineStr">
        <is>
          <t>自由記述の分類・要約。村の修正指示により問11-2・問37-2の自由記述欄が新設される</t>
        </is>
      </c>
      <c r="E37" s="4" t="inlineStr">
        <is>
          <t>仕様書4-Ⅰ(6)</t>
        </is>
      </c>
      <c r="F37" s="11" t="inlineStr">
        <is>
          <t>受託者</t>
        </is>
      </c>
      <c r="G37" s="11" t="inlineStr">
        <is>
          <t>2026-10</t>
        </is>
      </c>
      <c r="H37" s="11" t="inlineStr">
        <is>
          <t>2026-11</t>
        </is>
      </c>
      <c r="I37" s="13" t="inlineStr">
        <is>
          <t>進行中</t>
        </is>
      </c>
      <c r="J37" s="11" t="n">
        <v>60</v>
      </c>
      <c r="K37" s="11" t="n">
        <v>2</v>
      </c>
      <c r="L37" s="4" t="inlineStr">
        <is>
          <t>自由記述一覧シートに整理済み。報告書 表3-2（障がい者15行）に主な意見を分野別に掲載</t>
        </is>
      </c>
      <c r="M37" s="4" t="inlineStr">
        <is>
          <t>個人が特定されない範囲での要約の最終確認</t>
        </is>
      </c>
      <c r="N37" s="4" t="inlineStr">
        <is>
          <t>―</t>
        </is>
      </c>
    </row>
    <row r="38">
      <c r="A38" s="4" t="inlineStr">
        <is>
          <t>P5 集計・分析</t>
        </is>
      </c>
      <c r="B38" s="11" t="inlineStr">
        <is>
          <t>5-4</t>
        </is>
      </c>
      <c r="C38" s="4" t="inlineStr">
        <is>
          <t>成果目標との紐付け</t>
        </is>
      </c>
      <c r="D38" s="4" t="inlineStr">
        <is>
          <t>現行計画は成果目標の設定根拠に調査結果報告書の頁番号を引用している。第8期でも同じ構造とするため、集計段階で設問と成果目標を紐付ける</t>
        </is>
      </c>
      <c r="E38" s="4" t="inlineStr">
        <is>
          <t>仕様書4-Ⅱ(3)⑤</t>
        </is>
      </c>
      <c r="F38" s="11" t="inlineStr">
        <is>
          <t>受託者</t>
        </is>
      </c>
      <c r="G38" s="11" t="inlineStr">
        <is>
          <t>2026-10</t>
        </is>
      </c>
      <c r="H38" s="11" t="inlineStr">
        <is>
          <t>2026-11</t>
        </is>
      </c>
      <c r="I38" s="13" t="inlineStr">
        <is>
          <t>進行中</t>
        </is>
      </c>
      <c r="J38" s="11" t="n">
        <v>50</v>
      </c>
      <c r="K38" s="11" t="n">
        <v>2</v>
      </c>
      <c r="L38"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8" s="4" t="inlineStr">
        <is>
          <t>アンケートで測る3指標の扱いを村と確定する（R-26）</t>
        </is>
      </c>
      <c r="N38" s="4" t="inlineStr">
        <is>
          <t>―</t>
        </is>
      </c>
    </row>
    <row r="39">
      <c r="A39" s="4" t="inlineStr">
        <is>
          <t>P5 集計・分析</t>
        </is>
      </c>
      <c r="B39" s="11" t="inlineStr">
        <is>
          <t>5-5</t>
        </is>
      </c>
      <c r="C39" s="4" t="inlineStr">
        <is>
          <t>調査結果報告書の作成</t>
        </is>
      </c>
      <c r="D39" s="4" t="inlineStr">
        <is>
          <t>設問ごとにグラフを作成し、分析結果を報告書として取りまとめる</t>
        </is>
      </c>
      <c r="E39" s="4" t="inlineStr">
        <is>
          <t>仕様書4-Ⅰ(7)・成果品②</t>
        </is>
      </c>
      <c r="F39" s="11" t="inlineStr">
        <is>
          <t>受託者</t>
        </is>
      </c>
      <c r="G39" s="11" t="inlineStr">
        <is>
          <t>2026-11</t>
        </is>
      </c>
      <c r="H39" s="11" t="inlineStr">
        <is>
          <t>2026-12</t>
        </is>
      </c>
      <c r="I39" s="13" t="inlineStr">
        <is>
          <t>進行中</t>
        </is>
      </c>
      <c r="J39" s="11" t="n">
        <v>75</v>
      </c>
      <c r="K39" s="11" t="n">
        <v>4</v>
      </c>
      <c r="L39"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令和8年10月14日に集計表の改訂版を受領し、4件（Ａ-1・Ａ-2・Ｃ-1・Ｄ-1）が解消したことを新旧の現物で確認（北塩原村_アンケート集計表の改訂版の確認.xlsx）。割合の基数が有効回答数から回答者数（無回答を含む）へ統一され、図表は図61点・表23点から図100点・表25点に増えた</t>
        </is>
      </c>
      <c r="M39" s="4" t="inlineStr">
        <is>
          <t>残るのはＡ-3（基数1〜2の区分の割合表示）とＣ-2（医療的ケアの3項目が1人の回答であることの書き方）。いずれも報告書の側の修正（Ｓ-37）</t>
        </is>
      </c>
      <c r="N39" s="4" t="inlineStr">
        <is>
          <t>前回調査の調査結果報告書</t>
        </is>
      </c>
    </row>
    <row r="40">
      <c r="A40" s="4" t="inlineStr">
        <is>
          <t>P5 集計・分析</t>
        </is>
      </c>
      <c r="B40" s="11" t="inlineStr">
        <is>
          <t>5-6</t>
        </is>
      </c>
      <c r="C40" s="4" t="inlineStr">
        <is>
          <t>集計・報告書の点検</t>
        </is>
      </c>
      <c r="D40" s="4" t="inlineStr">
        <is>
          <t>個票から単純集計を再計算し、報告書本文の数値まで1件ずつ突き合わせる</t>
        </is>
      </c>
      <c r="E40" s="4" t="inlineStr">
        <is>
          <t>仕様書4-Ⅰ(6)(7)</t>
        </is>
      </c>
      <c r="F40" s="11" t="inlineStr">
        <is>
          <t>受託者</t>
        </is>
      </c>
      <c r="G40" s="11" t="inlineStr">
        <is>
          <t>2026-10</t>
        </is>
      </c>
      <c r="H40" s="11" t="inlineStr">
        <is>
          <t>2026-10</t>
        </is>
      </c>
      <c r="I40" s="12" t="inlineStr">
        <is>
          <t>完了</t>
        </is>
      </c>
      <c r="J40" s="11" t="n">
        <v>100</v>
      </c>
      <c r="K40" s="11" t="n">
        <v>3</v>
      </c>
      <c r="L40"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40" s="4" t="inlineStr">
        <is>
          <t>―</t>
        </is>
      </c>
      <c r="N40" s="4" t="inlineStr">
        <is>
          <t>―（精度：小規模公表基準）</t>
        </is>
      </c>
    </row>
    <row r="41">
      <c r="A41" s="4" t="inlineStr">
        <is>
          <t>P5 集計・分析</t>
        </is>
      </c>
      <c r="B41" s="11" t="inlineStr">
        <is>
          <t>5-7</t>
        </is>
      </c>
      <c r="C41" s="4" t="inlineStr">
        <is>
          <t>目標・KPIの前回比較可能性の整理</t>
        </is>
      </c>
      <c r="D41" s="4" t="inlineStr">
        <is>
          <t>第4次計画の施策目標・成果目標・見込量・活動指標・地域生活支援事業・アンケート設問の前回対応を全数洗い出す</t>
        </is>
      </c>
      <c r="E41" s="4" t="inlineStr">
        <is>
          <t>仕様書4-Ⅱ(2)・4-Ⅱ(4)</t>
        </is>
      </c>
      <c r="F41" s="11" t="inlineStr">
        <is>
          <t>受託者</t>
        </is>
      </c>
      <c r="G41" s="11" t="inlineStr">
        <is>
          <t>2026-10</t>
        </is>
      </c>
      <c r="H41" s="11" t="inlineStr">
        <is>
          <t>2026-10</t>
        </is>
      </c>
      <c r="I41" s="12" t="inlineStr">
        <is>
          <t>完了</t>
        </is>
      </c>
      <c r="J41" s="11" t="n">
        <v>100</v>
      </c>
      <c r="K41" s="11" t="n">
        <v>3</v>
      </c>
      <c r="L41"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41" s="4" t="inlineStr">
        <is>
          <t>―</t>
        </is>
      </c>
      <c r="N41" s="4" t="inlineStr">
        <is>
          <t>―</t>
        </is>
      </c>
    </row>
    <row r="42">
      <c r="A42" s="4" t="inlineStr">
        <is>
          <t>P5 集計・分析</t>
        </is>
      </c>
      <c r="B42" s="11" t="inlineStr">
        <is>
          <t>5-8</t>
        </is>
      </c>
      <c r="C42" s="4" t="inlineStr">
        <is>
          <t>アンケート分析報告書のレビュー</t>
        </is>
      </c>
      <c r="D42" s="4" t="inlineStr">
        <is>
          <t>村から受領した分析報告書（6章・表26・図61）と図表データ集を、国の指針・前回計画課題・経年比較・今期施策・見込量算定・数値整合・クロス分析の7つの観点から確認する</t>
        </is>
      </c>
      <c r="E42" s="4" t="inlineStr">
        <is>
          <t>仕様書4-Ⅱ(1)②</t>
        </is>
      </c>
      <c r="F42" s="11" t="inlineStr">
        <is>
          <t>受託者</t>
        </is>
      </c>
      <c r="G42" s="11" t="inlineStr">
        <is>
          <t>2026-10</t>
        </is>
      </c>
      <c r="H42" s="11" t="inlineStr">
        <is>
          <t>2026-11</t>
        </is>
      </c>
      <c r="I42" s="13" t="inlineStr">
        <is>
          <t>進行中</t>
        </is>
      </c>
      <c r="J42" s="11" t="n">
        <v>85</v>
      </c>
      <c r="K42" s="11" t="n">
        <v>3</v>
      </c>
      <c r="L42"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42" s="4" t="inlineStr">
        <is>
          <t>受領したdocxがZIP末尾を欠いており再送が必要（R-15）。自由記述の公表範囲は村と協議（Ｍ-14）。令和8年10月14日に集計表の改訂版で課題が8件と確定し、当方の正本 表2-8 に8区分目（専門的な支援を要する方への対応）を足した（ＡＫ-1。Ｓ-26の決着）</t>
        </is>
      </c>
      <c r="N42" s="4" t="inlineStr">
        <is>
          <t>―</t>
        </is>
      </c>
    </row>
    <row r="43">
      <c r="A43" s="4" t="inlineStr">
        <is>
          <t>P5 集計・分析</t>
        </is>
      </c>
      <c r="B43" s="11" t="inlineStr">
        <is>
          <t>5-9</t>
        </is>
      </c>
      <c r="C43" s="4" t="inlineStr">
        <is>
          <t>アンケート報告書の構成案の作成</t>
        </is>
      </c>
      <c r="D43" s="4" t="inlineStr">
        <is>
          <t>前回報告書・前回計画本編を確認の上、報告書として整理する内容を検討し、章立てと各章の中身を提案する</t>
        </is>
      </c>
      <c r="E43" s="4" t="inlineStr">
        <is>
          <t>仕様書4-Ⅱ(1)②</t>
        </is>
      </c>
      <c r="F43" s="11" t="inlineStr">
        <is>
          <t>受託者</t>
        </is>
      </c>
      <c r="G43" s="11" t="inlineStr">
        <is>
          <t>2026-10</t>
        </is>
      </c>
      <c r="H43" s="11" t="inlineStr">
        <is>
          <t>2026-11</t>
        </is>
      </c>
      <c r="I43" s="13" t="inlineStr">
        <is>
          <t>進行中</t>
        </is>
      </c>
      <c r="J43" s="11" t="n">
        <v>60</v>
      </c>
      <c r="K43" s="11" t="n">
        <v>3</v>
      </c>
      <c r="L43"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3" s="4" t="inlineStr">
        <is>
          <t>村・報告書作成者との構成の合意。経年比較は分母が小さいため行わない方針を村側で確認済み</t>
        </is>
      </c>
      <c r="N43" s="4" t="inlineStr">
        <is>
          <t>―</t>
        </is>
      </c>
    </row>
    <row r="44">
      <c r="A44" s="4" t="inlineStr">
        <is>
          <t>P6 現行計画の評価</t>
        </is>
      </c>
      <c r="B44" s="11" t="inlineStr">
        <is>
          <t>6-1</t>
        </is>
      </c>
      <c r="C44" s="4" t="inlineStr">
        <is>
          <t>サービス利用実績の評価</t>
        </is>
      </c>
      <c r="D44" s="4" t="inlineStr">
        <is>
          <t>令和3〜5年度の見込量と実績を全数突合し、乖離の類型を判定</t>
        </is>
      </c>
      <c r="E44" s="4" t="inlineStr">
        <is>
          <t>仕様書4-Ⅱ(2)</t>
        </is>
      </c>
      <c r="F44" s="11" t="inlineStr">
        <is>
          <t>受託者</t>
        </is>
      </c>
      <c r="G44" s="11" t="inlineStr">
        <is>
          <t>2026-08</t>
        </is>
      </c>
      <c r="H44" s="11" t="inlineStr">
        <is>
          <t>2026-08</t>
        </is>
      </c>
      <c r="I44" s="12" t="inlineStr">
        <is>
          <t>完了</t>
        </is>
      </c>
      <c r="J44" s="11" t="n">
        <v>100</v>
      </c>
      <c r="K44" s="11" t="n">
        <v>4</v>
      </c>
      <c r="L44" s="4" t="inlineStr">
        <is>
          <t>北塩原村_現行計画評価.xlsx（7シート）。サービス25区分・地域生活支援事業16事業。計上漏れ・過大計上を特定</t>
        </is>
      </c>
      <c r="M44" s="4" t="inlineStr">
        <is>
          <t>―</t>
        </is>
      </c>
      <c r="N44" s="4" t="inlineStr">
        <is>
          <t>自立支援協議会の資料13点（令和8年5月25日）（精度：令和6・7年度実績、令和8年度見込・令和6・7年度の障害児給付費の変動理由）</t>
        </is>
      </c>
    </row>
    <row r="45">
      <c r="A45" s="4" t="inlineStr">
        <is>
          <t>P6 現行計画の評価</t>
        </is>
      </c>
      <c r="B45" s="11" t="inlineStr">
        <is>
          <t>6-2</t>
        </is>
      </c>
      <c r="C45" s="4" t="inlineStr">
        <is>
          <t>成果目標の達成状況の評価</t>
        </is>
      </c>
      <c r="D45" s="4" t="inlineStr">
        <is>
          <t>第7期の成果目標7区分の現状値・目標値・設定根拠と評価の見通し</t>
        </is>
      </c>
      <c r="E45" s="4" t="inlineStr">
        <is>
          <t>仕様書4-Ⅱ(2)</t>
        </is>
      </c>
      <c r="F45" s="11" t="inlineStr">
        <is>
          <t>受託者</t>
        </is>
      </c>
      <c r="G45" s="11" t="inlineStr">
        <is>
          <t>2026-08</t>
        </is>
      </c>
      <c r="H45" s="11" t="inlineStr">
        <is>
          <t>2026-10</t>
        </is>
      </c>
      <c r="I45" s="14" t="inlineStr">
        <is>
          <t>データ待ち</t>
        </is>
      </c>
      <c r="J45" s="11" t="n">
        <v>60</v>
      </c>
      <c r="K45" s="11" t="n">
        <v>4</v>
      </c>
      <c r="L45" s="4" t="inlineStr">
        <is>
          <t>現行計画評価 02_成果目標の評価。令和8年8月の村の朱書きにより基幹相談支援センター未設置・セルフプラン率0％・医療的ケア児1人を確定</t>
        </is>
      </c>
      <c r="M45" s="4" t="inlineStr">
        <is>
          <t>令和6・7年度の実績と令和8年度見込（村へ依頼中）</t>
        </is>
      </c>
      <c r="N45"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6">
      <c r="A46" s="4" t="inlineStr">
        <is>
          <t>P6 現行計画の評価</t>
        </is>
      </c>
      <c r="B46" s="11" t="inlineStr">
        <is>
          <t>6-3</t>
        </is>
      </c>
      <c r="C46" s="4" t="inlineStr">
        <is>
          <t>活動指標の達成状況の評価</t>
        </is>
      </c>
      <c r="D46" s="4" t="inlineStr">
        <is>
          <t>第7期の活動指標の実績。第8期は83項目のうち本村分65項目</t>
        </is>
      </c>
      <c r="E46" s="4" t="inlineStr">
        <is>
          <t>仕様書4-Ⅱ(2)</t>
        </is>
      </c>
      <c r="F46" s="11" t="inlineStr">
        <is>
          <t>受託者</t>
        </is>
      </c>
      <c r="G46" s="11" t="inlineStr">
        <is>
          <t>2026-09</t>
        </is>
      </c>
      <c r="H46" s="11" t="inlineStr">
        <is>
          <t>2026-11</t>
        </is>
      </c>
      <c r="I46" s="14" t="inlineStr">
        <is>
          <t>データ待ち</t>
        </is>
      </c>
      <c r="J46" s="11" t="n">
        <v>30</v>
      </c>
      <c r="K46" s="11" t="n">
        <v>3</v>
      </c>
      <c r="L46" s="4" t="inlineStr">
        <is>
          <t>北塩原村_活動指標.xlsx（4シート）で第8期の設定は完了</t>
        </is>
      </c>
      <c r="M46" s="4" t="inlineStr">
        <is>
          <t>令和6年度の活動指標実績（村へ依頼中）</t>
        </is>
      </c>
      <c r="N46" s="4" t="inlineStr">
        <is>
          <t>自立支援協議会の資料13点（令和8年5月25日）</t>
        </is>
      </c>
    </row>
    <row r="47">
      <c r="A47" s="4" t="inlineStr">
        <is>
          <t>P6 現行計画の評価</t>
        </is>
      </c>
      <c r="B47" s="11" t="inlineStr">
        <is>
          <t>6-4</t>
        </is>
      </c>
      <c r="C47" s="4" t="inlineStr">
        <is>
          <t>第4次障がい者計画の施策目標値の測定</t>
        </is>
      </c>
      <c r="D47" s="4" t="inlineStr">
        <is>
          <t>8指標の測定手段を確認し、アンケートで測るもの・行政データで測るものを区分</t>
        </is>
      </c>
      <c r="E47" s="4" t="inlineStr">
        <is>
          <t>仕様書4-Ⅱ(2)・4-Ⅱ(5)②</t>
        </is>
      </c>
      <c r="F47" s="11" t="inlineStr">
        <is>
          <t>受託者</t>
        </is>
      </c>
      <c r="G47" s="11" t="inlineStr">
        <is>
          <t>2026-08</t>
        </is>
      </c>
      <c r="H47" s="11" t="inlineStr">
        <is>
          <t>2026-08</t>
        </is>
      </c>
      <c r="I47" s="12" t="inlineStr">
        <is>
          <t>完了</t>
        </is>
      </c>
      <c r="J47" s="11" t="n">
        <v>100</v>
      </c>
      <c r="K47" s="11" t="n">
        <v>2</v>
      </c>
      <c r="L47" s="4" t="inlineStr">
        <is>
          <t>現行計画評価 の施策指標8件。測定可能6・測定不能1・要確認1。外出目的の設問が調査票に無く1指標が測定できないことを特定</t>
        </is>
      </c>
      <c r="M47" s="4" t="inlineStr">
        <is>
          <t>―</t>
        </is>
      </c>
      <c r="N47" s="4" t="inlineStr">
        <is>
          <t>―（精度：物品調達の実績（Ｍ-34））</t>
        </is>
      </c>
    </row>
    <row r="48">
      <c r="A48" s="4" t="inlineStr">
        <is>
          <t>P7 推計・見込量</t>
        </is>
      </c>
      <c r="B48" s="11" t="inlineStr">
        <is>
          <t>7-1</t>
        </is>
      </c>
      <c r="C48" s="4" t="inlineStr">
        <is>
          <t>推計方法の確定</t>
        </is>
      </c>
      <c r="D48" s="4" t="inlineStr">
        <is>
          <t>個別積上げ方式（実績・意向・心身の状況を利用者単位で積み上げる方法）。別表第五の適用判定を含む</t>
        </is>
      </c>
      <c r="E48" s="4" t="inlineStr">
        <is>
          <t>仕様書4-Ⅱ(3)</t>
        </is>
      </c>
      <c r="F48" s="11" t="inlineStr">
        <is>
          <t>受託者</t>
        </is>
      </c>
      <c r="G48" s="11" t="inlineStr">
        <is>
          <t>2026-08</t>
        </is>
      </c>
      <c r="H48" s="11" t="inlineStr">
        <is>
          <t>2026-08</t>
        </is>
      </c>
      <c r="I48" s="12" t="inlineStr">
        <is>
          <t>完了</t>
        </is>
      </c>
      <c r="J48" s="11" t="n">
        <v>100</v>
      </c>
      <c r="K48" s="11" t="n">
        <v>5</v>
      </c>
      <c r="L48" s="4" t="inlineStr">
        <is>
          <t>北塩原村_サービス見込量.xlsx（13シート）。11_告示別表第一根拠・12_別表第五判定。全域過疎により別表第五は適用対象外と確定し、個別積上げ方式を採用</t>
        </is>
      </c>
      <c r="M48" s="4" t="inlineStr">
        <is>
          <t>―</t>
        </is>
      </c>
      <c r="N48" s="4" t="inlineStr">
        <is>
          <t>本村の過疎区分（全部過疎／一部過疎／みなし過疎）・障害支援区分別人数の基準日とサービス利用状況・実態調査及びPDCAサイクルに関するマニュアル（令和8年8月）</t>
        </is>
      </c>
    </row>
    <row r="49">
      <c r="A49" s="4" t="inlineStr">
        <is>
          <t>P7 推計・見込量</t>
        </is>
      </c>
      <c r="B49" s="11" t="inlineStr">
        <is>
          <t>7-2</t>
        </is>
      </c>
      <c r="C49" s="4" t="inlineStr">
        <is>
          <t>障がい福祉サービスの見込量の推計</t>
        </is>
      </c>
      <c r="D49" s="4" t="inlineStr">
        <is>
          <t>介護給付・訓練等給付の利用者数と量。年齢到達に伴う移行を含む</t>
        </is>
      </c>
      <c r="E49" s="4" t="inlineStr">
        <is>
          <t>仕様書4-Ⅱ(3)②</t>
        </is>
      </c>
      <c r="F49" s="11" t="inlineStr">
        <is>
          <t>受託者</t>
        </is>
      </c>
      <c r="G49" s="11" t="inlineStr">
        <is>
          <t>2026-08</t>
        </is>
      </c>
      <c r="H49" s="11" t="inlineStr">
        <is>
          <t>2026-12</t>
        </is>
      </c>
      <c r="I49" s="13" t="inlineStr">
        <is>
          <t>進行中</t>
        </is>
      </c>
      <c r="J49" s="11" t="n">
        <v>75</v>
      </c>
      <c r="K49" s="11" t="n">
        <v>5</v>
      </c>
      <c r="L49"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9" s="4" t="inlineStr">
        <is>
          <t>年齢別・サービス別の匿名利用者一覧、サービス別の支給決定者数（村へ依頼中）。揃えば第2次算定で個別積上げに進む</t>
        </is>
      </c>
      <c r="N49" s="15" t="inlineStr">
        <is>
          <t>計画値の基礎とする系列（Ｍ-19）・移行管理台帳（Ｍ-18）・グループホーム・福祉ホームの設置の予定（Ｍ-37）・重度障がい者の人数（Ｍ-22）・村外の利用事業所の一覧（Ｍ-24）・村内3事業所の詳細・年齢別・サービス別の匿名利用者一覧・サービス別の支給決定者数（実人数）・相談支援の体制（Ｍ-20）・指定難病による対象者（Ｍ-32）・地域生活支援事業・社協で担える範囲（Ｍ-31）・成人の医療的ケア者・重症心身障害者（Ｍ-26）・卒業予定者の一覧（Ｍ-21）・圏域事業所の制度活用状況・令和6・7年度実績、令和8年度見込・令和9〜11年度の65歳到達者・圏域事業所の受入可能性（精度：退院者1人の生活の見通し（Ｍ-27）・高齢者サービスの手引きと高齢者福祉施策の対象要件（Ｍ-50）・冬季の除雪の供給の制約とつなぐ運用（Ｍ-57・Ｍ-58）・40歳以上65歳未満の特定疾病該当者）</t>
        </is>
      </c>
    </row>
    <row r="50">
      <c r="A50" s="4" t="inlineStr">
        <is>
          <t>P7 推計・見込量</t>
        </is>
      </c>
      <c r="B50" s="11" t="inlineStr">
        <is>
          <t>7-3</t>
        </is>
      </c>
      <c r="C50" s="4" t="inlineStr">
        <is>
          <t>障がい児通所支援等の見込量の推計</t>
        </is>
      </c>
      <c r="D50" s="4" t="inlineStr">
        <is>
          <t>児童発達支援・放課後等デイサービス等の利用者数と量</t>
        </is>
      </c>
      <c r="E50" s="4" t="inlineStr">
        <is>
          <t>仕様書4-Ⅱ(3)③</t>
        </is>
      </c>
      <c r="F50" s="11" t="inlineStr">
        <is>
          <t>受託者</t>
        </is>
      </c>
      <c r="G50" s="11" t="inlineStr">
        <is>
          <t>2026-08</t>
        </is>
      </c>
      <c r="H50" s="11" t="inlineStr">
        <is>
          <t>2026-12</t>
        </is>
      </c>
      <c r="I50" s="13" t="inlineStr">
        <is>
          <t>進行中</t>
        </is>
      </c>
      <c r="J50" s="11" t="n">
        <v>70</v>
      </c>
      <c r="K50" s="11" t="n">
        <v>3</v>
      </c>
      <c r="L50"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50" s="4" t="inlineStr">
        <is>
          <t>児童発達支援の急減の理由（村確認事項Ｍ-1・最優先）。令和5年度の水準に戻れば年約321万円の増になる</t>
        </is>
      </c>
      <c r="N50" s="15" t="inlineStr">
        <is>
          <t>計画値の基礎とする系列（Ｍ-19）・移行管理台帳（Ｍ-18）・重度障がい者の人数（Ｍ-22）・村外の利用事業所の一覧（Ｍ-24）・年齢別・サービス別の匿名利用者一覧・サービス別の支給決定者数（実人数）・卒業予定者の一覧（Ｍ-21）・特別支援学校・特別支援学級の在籍者・令和6・7年度の障害児給付費の変動理由・圏域事業所の受入可能性・障がい児の入所・申請の状況</t>
        </is>
      </c>
    </row>
    <row r="51">
      <c r="A51" s="4" t="inlineStr">
        <is>
          <t>P7 推計・見込量</t>
        </is>
      </c>
      <c r="B51" s="11" t="inlineStr">
        <is>
          <t>7-4</t>
        </is>
      </c>
      <c r="C51" s="4" t="inlineStr">
        <is>
          <t>地域生活支援事業の見込量の推計</t>
        </is>
      </c>
      <c r="D51" s="4" t="inlineStr">
        <is>
          <t>必須15事業・任意3事業の事業ごとの実施に関する考え方と量の見込み</t>
        </is>
      </c>
      <c r="E51" s="4" t="inlineStr">
        <is>
          <t>仕様書4-Ⅱ(3)④</t>
        </is>
      </c>
      <c r="F51" s="11" t="inlineStr">
        <is>
          <t>受託者</t>
        </is>
      </c>
      <c r="G51" s="11" t="inlineStr">
        <is>
          <t>2026-08</t>
        </is>
      </c>
      <c r="H51" s="11" t="inlineStr">
        <is>
          <t>2026-09</t>
        </is>
      </c>
      <c r="I51" s="13" t="inlineStr">
        <is>
          <t>進行中</t>
        </is>
      </c>
      <c r="J51" s="11" t="n">
        <v>70</v>
      </c>
      <c r="K51" s="11" t="n">
        <v>3</v>
      </c>
      <c r="L51" s="4" t="inlineStr">
        <is>
          <t>北塩原村_地域生活支援事業.xlsx（4シート）。告示第三の二の3の4事項に対応</t>
        </is>
      </c>
      <c r="M51" s="4" t="inlineStr">
        <is>
          <t>移動支援0人・福祉ホームの実績と見込の逆転など、確認事項7件が未解消</t>
        </is>
      </c>
      <c r="N51" s="15" t="inlineStr">
        <is>
          <t>グループホーム・福祉ホームの設置の予定（Ｍ-37）・排泄管理支援用具の増減の理由（Ｍ-38）・地域生活支援事業・社協で担える範囲（Ｍ-31）・手話施策の実績（Ｍ-59・Ｍ-60）（精度：成年後見の類型別内訳（Ｍ-39）・権利擁護・成年後見の件数（Ｍ-51）・職場適応訓練等の実績（Ｍ-30）・情報保障の配布実績と差別に関する相談（Ｍ-61〜Ｍ-63）・就労の受け皿（職親委託等）の実績（Ｍ-53））</t>
        </is>
      </c>
    </row>
    <row r="52">
      <c r="A52" s="4" t="inlineStr">
        <is>
          <t>P7 推計・見込量</t>
        </is>
      </c>
      <c r="B52" s="11" t="inlineStr">
        <is>
          <t>7-5</t>
        </is>
      </c>
      <c r="C52" s="4" t="inlineStr">
        <is>
          <t>成果目標の設定</t>
        </is>
      </c>
      <c r="D52" s="4" t="inlineStr">
        <is>
          <t>第8期の成果目標8区分（人材確保・定着が新設）</t>
        </is>
      </c>
      <c r="E52" s="4" t="inlineStr">
        <is>
          <t>仕様書4-Ⅱ(3)⑤</t>
        </is>
      </c>
      <c r="F52" s="11" t="inlineStr">
        <is>
          <t>受託者</t>
        </is>
      </c>
      <c r="G52" s="11" t="inlineStr">
        <is>
          <t>2026-08</t>
        </is>
      </c>
      <c r="H52" s="11" t="inlineStr">
        <is>
          <t>2026-12</t>
        </is>
      </c>
      <c r="I52" s="14" t="inlineStr">
        <is>
          <t>データ待ち</t>
        </is>
      </c>
      <c r="J52" s="11" t="n">
        <v>55</v>
      </c>
      <c r="K52" s="11" t="n">
        <v>4</v>
      </c>
      <c r="L52" s="4" t="inlineStr">
        <is>
          <t>骨子案修正版 第4章。国基準数値を告示本文と照合済み。村の朱書きにより（３）（４）（６）を具体化</t>
        </is>
      </c>
      <c r="M52" s="4" t="inlineStr">
        <is>
          <t>令和7年度末の施設入所者数、令和6年度の一般就労移行実績、1年以上長期入院者の実数</t>
        </is>
      </c>
      <c r="N52" s="15" t="inlineStr">
        <is>
          <t>施設入所者4人の6項目の確認状況（Ｍ-23）・本村の過疎区分（全部過疎／一部過疎／みなし過疎）・令和7年度末時点の1年以上長期入院者の実数・成人の医療的ケア者・重症心身障害者（Ｍ-26）・退院者1人の生活の見通し（Ｍ-27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Ｍ-13）・地域生活支援拠点等の5機能の実績（Ｍ-54））</t>
        </is>
      </c>
    </row>
    <row r="53">
      <c r="A53" s="4" t="inlineStr">
        <is>
          <t>P7 推計・見込量</t>
        </is>
      </c>
      <c r="B53" s="11" t="inlineStr">
        <is>
          <t>7-6</t>
        </is>
      </c>
      <c r="C53" s="4" t="inlineStr">
        <is>
          <t>活動指標の設定</t>
        </is>
      </c>
      <c r="D53" s="4" t="inlineStr">
        <is>
          <t>別表第一の83項目から本村で設定する65項目を選定。告示第三の四㈡により見込量以外の活動指標は任意</t>
        </is>
      </c>
      <c r="E53" s="4" t="inlineStr">
        <is>
          <t>仕様書4-Ⅱ(3)⑤</t>
        </is>
      </c>
      <c r="F53" s="11" t="inlineStr">
        <is>
          <t>受託者</t>
        </is>
      </c>
      <c r="G53" s="11" t="inlineStr">
        <is>
          <t>2026-08</t>
        </is>
      </c>
      <c r="H53" s="11" t="inlineStr">
        <is>
          <t>2026-09</t>
        </is>
      </c>
      <c r="I53" s="13" t="inlineStr">
        <is>
          <t>進行中</t>
        </is>
      </c>
      <c r="J53" s="11" t="n">
        <v>80</v>
      </c>
      <c r="K53" s="11" t="n">
        <v>3</v>
      </c>
      <c r="L53" s="4" t="inlineStr">
        <is>
          <t>北塩原村_活動指標.xlsx。設定51・検討7・設定しない7・都道府県指標18</t>
        </is>
      </c>
      <c r="M53" s="4" t="inlineStr">
        <is>
          <t>令和6年度実績の受領後に現状値を入れる</t>
        </is>
      </c>
      <c r="N53" s="4" t="inlineStr">
        <is>
          <t>セルフプラン率・基幹相談支援センター・就労選択支援事業所の状況</t>
        </is>
      </c>
    </row>
    <row r="54">
      <c r="A54" s="4" t="inlineStr">
        <is>
          <t>P7 推計・見込量</t>
        </is>
      </c>
      <c r="B54" s="11" t="inlineStr">
        <is>
          <t>7-7</t>
        </is>
      </c>
      <c r="C54" s="4" t="inlineStr">
        <is>
          <t>給付費・財源構成の推計</t>
        </is>
      </c>
      <c r="D54" s="4" t="inlineStr">
        <is>
          <t>サービス別の給付費と、国1/2・県1/4・村1/4の法定負担による財源構成</t>
        </is>
      </c>
      <c r="E54" s="4" t="inlineStr">
        <is>
          <t>仕様書4-Ⅱ(3)</t>
        </is>
      </c>
      <c r="F54" s="11" t="inlineStr">
        <is>
          <t>受託者</t>
        </is>
      </c>
      <c r="G54" s="11" t="inlineStr">
        <is>
          <t>2026-08</t>
        </is>
      </c>
      <c r="H54" s="11" t="inlineStr">
        <is>
          <t>2026-12</t>
        </is>
      </c>
      <c r="I54" s="13" t="inlineStr">
        <is>
          <t>進行中</t>
        </is>
      </c>
      <c r="J54" s="11" t="n">
        <v>70</v>
      </c>
      <c r="K54" s="11" t="n">
        <v>4</v>
      </c>
      <c r="L54" s="4" t="inlineStr">
        <is>
          <t>第1次概算で3か年給付費172,859,691円を算定。給付費は年間請求件数×1件あたり給付費で算定し、人／月×12では算定しない（短期入所で4倍、計画相談支援で3.5倍の過大計上になるため）</t>
        </is>
      </c>
      <c r="M54" s="4" t="inlineStr">
        <is>
          <t>報酬改定率の告示（単価を令和7年度で固定しており低く出る側に偏っている）。障がい福祉関係の歳入歳出決算（村へ依頼中）</t>
        </is>
      </c>
      <c r="N54" s="15" t="inlineStr">
        <is>
          <t>計画値の基礎とする系列（Ｍ-19）・令和6・7年度実績、令和8年度見込・障がい福祉関係の歳入歳出決算（精度：排泄管理支援用具の増減の理由（Ｍ-38）・地域生活支援事業・社協で担える範囲（Ｍ-31）・人工透析通院交通費助成と除雪の障がい者世帯の利用実績（Ｍ-64・Ｍ-65））</t>
        </is>
      </c>
    </row>
    <row r="55">
      <c r="A55" s="4" t="inlineStr">
        <is>
          <t>P7 推計・見込量</t>
        </is>
      </c>
      <c r="B55" s="11" t="inlineStr">
        <is>
          <t>7-8</t>
        </is>
      </c>
      <c r="C55" s="4" t="inlineStr">
        <is>
          <t>見込量算定のMECEチェック</t>
        </is>
      </c>
      <c r="D55" s="4" t="inlineStr">
        <is>
          <t>国の基本指針・通達と突き合わせ、見込量の算定を網羅性（漏れ）と相互排他性（重複）の2方向から点検する</t>
        </is>
      </c>
      <c r="E55" s="4" t="inlineStr">
        <is>
          <t>仕様書4-Ⅱ(3)②〜④</t>
        </is>
      </c>
      <c r="F55" s="11" t="inlineStr">
        <is>
          <t>受託者</t>
        </is>
      </c>
      <c r="G55" s="11" t="inlineStr">
        <is>
          <t>2026-10</t>
        </is>
      </c>
      <c r="H55" s="11" t="inlineStr">
        <is>
          <t>2026-12</t>
        </is>
      </c>
      <c r="I55" s="13" t="inlineStr">
        <is>
          <t>進行中</t>
        </is>
      </c>
      <c r="J55" s="11" t="n">
        <v>55</v>
      </c>
      <c r="K55" s="11" t="n">
        <v>3</v>
      </c>
      <c r="L55"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5" s="4" t="inlineStr">
        <is>
          <t>E-1（継続入所者）・E-2（保育所等の受入体制）は村の回答待ち。E-3（アンケートの反映）は第2次算定で行う</t>
        </is>
      </c>
      <c r="N55" s="4" t="inlineStr">
        <is>
          <t>―</t>
        </is>
      </c>
    </row>
    <row r="56">
      <c r="A56" s="4" t="inlineStr">
        <is>
          <t>P7 推計・見込量</t>
        </is>
      </c>
      <c r="B56" s="11" t="inlineStr">
        <is>
          <t>7-9</t>
        </is>
      </c>
      <c r="C56" s="4" t="inlineStr">
        <is>
          <t>介護保険事業計画との整合・切り分け</t>
        </is>
      </c>
      <c r="D56" s="4" t="inlineStr">
        <is>
          <t>同一自治体で並行して作業している第10期高齢者福祉計画・介護保険事業計画と、受給者証の区分に応じたサービス利用に照らして見込量を突き合わせる</t>
        </is>
      </c>
      <c r="E56" s="4" t="inlineStr">
        <is>
          <t>障害者総合支援法第7条（介護保険優先原則）</t>
        </is>
      </c>
      <c r="F56" s="11" t="inlineStr">
        <is>
          <t>受託者</t>
        </is>
      </c>
      <c r="G56" s="11" t="inlineStr">
        <is>
          <t>2026-10</t>
        </is>
      </c>
      <c r="H56" s="11" t="inlineStr">
        <is>
          <t>2026-12</t>
        </is>
      </c>
      <c r="I56" s="13" t="inlineStr">
        <is>
          <t>進行中</t>
        </is>
      </c>
      <c r="J56" s="11" t="n">
        <v>60</v>
      </c>
      <c r="K56" s="11" t="n">
        <v>1</v>
      </c>
      <c r="L56"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6" s="4" t="inlineStr">
        <is>
          <t>村照会Ｍ-13〜Ｍ-17（施設入所支援4人の支給決定の内容、第2号被保険者との重なり、65歳到達者の一覧）と、介護保険側への申し送り2件</t>
        </is>
      </c>
      <c r="N56" s="15" t="inlineStr">
        <is>
          <t>施設入所支援4人の支給決定の内容（Ｍ-13）・介護保険の第2号被保険者との重なり（Ｍ-14）・要介護認定の有無・要介護度（匿名利用者一覧への列追加）・高齢者サービスの手引きと高齢者福祉施策の対象要件（Ｍ-50）・令和9〜11年度の65歳到達者・40歳以上65歳未満の特定疾病該当者（精度：施設入所者4人の6項目の確認状況（Ｍ-23））</t>
        </is>
      </c>
    </row>
    <row r="57">
      <c r="A57" s="4" t="inlineStr">
        <is>
          <t>P8 施策検討・計画案</t>
        </is>
      </c>
      <c r="B57" s="11" t="inlineStr">
        <is>
          <t>8-1</t>
        </is>
      </c>
      <c r="C57" s="4" t="inlineStr">
        <is>
          <t>障がい者福祉施策の検討</t>
        </is>
      </c>
      <c r="D57" s="4" t="inlineStr">
        <is>
          <t>現行計画の成果と課題を踏まえ、次期計画に盛り込む施策を検討</t>
        </is>
      </c>
      <c r="E57" s="4" t="inlineStr">
        <is>
          <t>仕様書4-Ⅱ(4)</t>
        </is>
      </c>
      <c r="F57" s="11" t="inlineStr">
        <is>
          <t>受託者</t>
        </is>
      </c>
      <c r="G57" s="11" t="inlineStr">
        <is>
          <t>2026-08</t>
        </is>
      </c>
      <c r="H57" s="11" t="inlineStr">
        <is>
          <t>2026-12</t>
        </is>
      </c>
      <c r="I57" s="13" t="inlineStr">
        <is>
          <t>進行中</t>
        </is>
      </c>
      <c r="J57" s="11" t="n">
        <v>60</v>
      </c>
      <c r="K57" s="11" t="n">
        <v>4</v>
      </c>
      <c r="L57" s="4" t="inlineStr">
        <is>
          <t>骨子案修正版 第3章（基本理念・基本目標及び施策体系）。第8期で加わる視点と施策体系の対応表を新設</t>
        </is>
      </c>
      <c r="M57" s="4" t="inlineStr">
        <is>
          <t>現行計画の評価の確定</t>
        </is>
      </c>
      <c r="N57" s="15" t="inlineStr">
        <is>
          <t>物品調達の実績（Ｍ-34）・社会福祉法改正への対応（Ｍ-35）・成年後見の類型別内訳（Ｍ-39）・高齢者サービスの手引きと高齢者福祉施策の対象要件（Ｍ-50）・高齢者世帯等除雪サービス事業の「等」の範囲（Ｍ-49）・権利擁護・成年後見の件数（Ｍ-51）・除雪サービスの利用実績と助成の内容（Ｍ-55・Ｍ-56）・人工透析通院交通費助成と除雪の障がい者世帯の利用実績（Ｍ-64・Ｍ-65）・障がい者活躍推進計画と物品調達方針（Ｍ-67・Ｍ-68）・防災の取組の状況（Ｍ-36）・職場適応訓練等の実績（Ｍ-30）・緊急連絡カードの配布対象と障がい分野での活用（Ｍ-52）・地域生活支援拠点等の5機能の実績（Ｍ-54）・冬季の除雪の供給の制約とつなぐ運用（Ｍ-57・Ｍ-58）・情報保障の配布実績と差別に関する相談（Ｍ-61〜Ｍ-63）・医療的ケア児者・地域生活支援拠点・個別避難計画の実態・パラスポーツへの村民の参加（Ｍ-66）・就労の受け皿（職親委託等）の実績（Ｍ-53）（精度：手話施策の実績（Ｍ-59・Ｍ-60）・第5次総合振興計画たたき台、健康21現行計画、高齢者福祉・介護保険事業計画）</t>
        </is>
      </c>
    </row>
    <row r="58">
      <c r="A58" s="4" t="inlineStr">
        <is>
          <t>P8 施策検討・計画案</t>
        </is>
      </c>
      <c r="B58" s="11" t="inlineStr">
        <is>
          <t>8-10</t>
        </is>
      </c>
      <c r="C58" s="4" t="inlineStr">
        <is>
          <t>告示が「ものとする」とした要件の反映</t>
        </is>
      </c>
      <c r="D58" s="4" t="inlineStr">
        <is>
          <t>見込量算定MECEチェックで特定した2要件（継続入所者の控除・保育所等における障害児の受入れ体制）を計画素案に書き、村への照会事項として確定させる</t>
        </is>
      </c>
      <c r="E58" s="4" t="inlineStr">
        <is>
          <t>告示 第三の二の2㈠</t>
        </is>
      </c>
      <c r="F58" s="11" t="inlineStr">
        <is>
          <t>受託者</t>
        </is>
      </c>
      <c r="G58" s="11" t="inlineStr">
        <is>
          <t>2026-10</t>
        </is>
      </c>
      <c r="H58" s="11" t="inlineStr">
        <is>
          <t>2026-11</t>
        </is>
      </c>
      <c r="I58" s="13" t="inlineStr">
        <is>
          <t>進行中</t>
        </is>
      </c>
      <c r="J58" s="11" t="n">
        <v>50</v>
      </c>
      <c r="K58" s="11" t="n">
        <v>1</v>
      </c>
      <c r="L58" s="4" t="inlineStr">
        <is>
          <t>計画素案 第5章1の算定方法の根拠の表に2要件を追加し、村への照会（Ｍ-10・Ｍ-11）を最優先として注記。あわせて廃止区分「医療型児童発達支援」の残存（X-1）を第5章7と第5章冒頭のサービス区分表から落とし、略記の年度表記（R6〜R11）を令和表記に統一</t>
        </is>
      </c>
      <c r="M58" s="4" t="inlineStr">
        <is>
          <t>村照会Ｍ-10・Ｍ-11の回答。回答後に見込量の控除・考え方を確定する</t>
        </is>
      </c>
      <c r="N58" s="15" t="inlineStr">
        <is>
          <t>移行管理台帳（Ｍ-18）</t>
        </is>
      </c>
    </row>
    <row r="59">
      <c r="A59" s="4" t="inlineStr">
        <is>
          <t>P8 施策検討・計画案</t>
        </is>
      </c>
      <c r="B59" s="11" t="inlineStr">
        <is>
          <t>8-11</t>
        </is>
      </c>
      <c r="C59" s="4" t="inlineStr">
        <is>
          <t>計画の体系と工程の引き直し</t>
        </is>
      </c>
      <c r="D59" s="4" t="inlineStr">
        <is>
          <t>村の方針資料（7章）と当方の正本（8章）の食い違いを整理し、策定委員会の開催が11月にずれ込んだことによる納期への影響を示して工程を引き直す</t>
        </is>
      </c>
      <c r="E59" s="4" t="inlineStr">
        <is>
          <t>仕様書4-Ⅱ(5)・仕様書5</t>
        </is>
      </c>
      <c r="F59" s="11" t="inlineStr">
        <is>
          <t>受託者</t>
        </is>
      </c>
      <c r="G59" s="11" t="inlineStr">
        <is>
          <t>2026-10</t>
        </is>
      </c>
      <c r="H59" s="11" t="inlineStr">
        <is>
          <t>2026-10</t>
        </is>
      </c>
      <c r="I59" s="12" t="inlineStr">
        <is>
          <t>完了</t>
        </is>
      </c>
      <c r="J59" s="11" t="n">
        <v>100</v>
      </c>
      <c r="K59" s="11" t="n">
        <v>5</v>
      </c>
      <c r="L59" s="4" t="inlineStr">
        <is>
          <t>北塩原村_体系と工程の組みなおし.xlsx（9シート）で3案を示し、令和8年10月14日に工程は案Ａ、体系は案Ｃが採用された。北塩原村_体系と工程の反映.xlsx（8シート）で反映を記録。工程の日付を kitashiobara_koutei.py に一本化し（従前は4カ所に分散）、所要日数を日付から数える形にした。体系は第1章4に項（4）、第3章の章題の変更、第3章4と表３-３（新たに加える施策15件）。図表番号は動いていない</t>
        </is>
      </c>
      <c r="M59" s="4" t="inlineStr">
        <is>
          <t>案Ａの3点（パブリックコメントの1月下旬開始・庁議2月19日・議会全員協議会を決定の後に置くこと）は村の了解を要する（Ｍ-125）</t>
        </is>
      </c>
      <c r="N59" s="4" t="inlineStr">
        <is>
          <t>―</t>
        </is>
      </c>
    </row>
    <row r="60">
      <c r="A60" s="4" t="inlineStr">
        <is>
          <t>P8 施策検討・計画案</t>
        </is>
      </c>
      <c r="B60" s="11" t="inlineStr">
        <is>
          <t>8-12</t>
        </is>
      </c>
      <c r="C60" s="4" t="inlineStr">
        <is>
          <t>策定委員会資料の修正箇所の提示</t>
        </is>
      </c>
      <c r="D60" s="4" t="inlineStr">
        <is>
          <t>村から受領した策定委員会資料（149段落・24表）を当方の現物に当て、修正箇所を指示書として示す</t>
        </is>
      </c>
      <c r="E60" s="4" t="inlineStr">
        <is>
          <t>仕様書4-Ⅱ(7)</t>
        </is>
      </c>
      <c r="F60" s="11" t="inlineStr">
        <is>
          <t>受託者</t>
        </is>
      </c>
      <c r="G60" s="11" t="inlineStr">
        <is>
          <t>2026-10</t>
        </is>
      </c>
      <c r="H60" s="11" t="inlineStr">
        <is>
          <t>2026-11</t>
        </is>
      </c>
      <c r="I60" s="13" t="inlineStr">
        <is>
          <t>進行中</t>
        </is>
      </c>
      <c r="J60" s="11" t="n">
        <v>70</v>
      </c>
      <c r="K60" s="11" t="n">
        <v>4</v>
      </c>
      <c r="L60" s="4" t="inlineStr">
        <is>
          <t>北塩原村_策定委員会資料_修正指示.docx（5表）。村の回答を待たずに差し替えられる4件（工程の表・表の下の注記・見込量の起点・新たに加える施策の所在）は差し替える文そのものを載せており、そのまま貼り付けられる。村の回答を待つ4件と、そのままでよいことを確かめた5件も分けた</t>
        </is>
      </c>
      <c r="M60" s="4" t="inlineStr">
        <is>
          <t>確定4件の差し替えは村の作業。保留4件は村の回答（Ｍ-123・Ｍ-124・Ｍ-125・Ｓ-26）</t>
        </is>
      </c>
      <c r="N60" s="4" t="inlineStr">
        <is>
          <t>―</t>
        </is>
      </c>
    </row>
    <row r="61">
      <c r="A61" s="4" t="inlineStr">
        <is>
          <t>P8 施策検討・計画案</t>
        </is>
      </c>
      <c r="B61" s="11" t="inlineStr">
        <is>
          <t>8-13</t>
        </is>
      </c>
      <c r="C61" s="4" t="inlineStr">
        <is>
          <t>障がい児の論点の点検（法改正）</t>
        </is>
      </c>
      <c r="D61" s="4" t="inlineStr">
        <is>
          <t>こども家庭審議会障害児支援部会の令和8年度の審議事項について、国の審議会資料の現物と正本を突き合わせて論点の漏れを洗い出す</t>
        </is>
      </c>
      <c r="E61" s="4" t="inlineStr">
        <is>
          <t>仕様書4-Ⅱ(5)</t>
        </is>
      </c>
      <c r="F61" s="11" t="inlineStr">
        <is>
          <t>受託者</t>
        </is>
      </c>
      <c r="G61" s="11" t="inlineStr">
        <is>
          <t>2026-10</t>
        </is>
      </c>
      <c r="H61" s="11" t="inlineStr">
        <is>
          <t>2026-11</t>
        </is>
      </c>
      <c r="I61" s="13" t="inlineStr">
        <is>
          <t>進行中</t>
        </is>
      </c>
      <c r="J61" s="11" t="n">
        <v>75</v>
      </c>
      <c r="K61" s="11" t="n">
        <v>4</v>
      </c>
      <c r="L61" s="4" t="inlineStr">
        <is>
          <t>北塩原村_障がい児の論点_法改正対応.xlsx（7シート）。原典3点（基本指針の改正案の新旧対照表2点・法律の概要1点）と照合して論点の漏れ10件（うち重い6件）を洗い出した。医療的ケア児等支援地域協議会（県。令和11年度末まで）と、学齢期から成人期への引継ぎの協議がその場へ移ったこと、センターの業務に個別避難計画の作成への協力が加わったこと、医療的ケア者の定義が2類型であること、市町村計画の努力義務事項の新設が障がい児を含むこと。正本への追記4件（ＳＪ）と当方の生成器の修正4件を済ませた</t>
        </is>
      </c>
      <c r="M61" s="4" t="inlineStr">
        <is>
          <t>基本指針の追加告示（令和8年10月予定）との最終照合（Ｓ-35）。県の地域協議会と村の協議の場の役割の分け方（Ｍ-126）。障がい児支援の人材と事業所の継続（Ｍ-127）</t>
        </is>
      </c>
      <c r="N61" s="4" t="inlineStr">
        <is>
          <t>―</t>
        </is>
      </c>
    </row>
    <row r="62">
      <c r="A62" s="4" t="inlineStr">
        <is>
          <t>P8 施策検討・計画案</t>
        </is>
      </c>
      <c r="B62" s="11" t="inlineStr">
        <is>
          <t>8-2</t>
        </is>
      </c>
      <c r="C62" s="4" t="inlineStr">
        <is>
          <t>計画案の作成</t>
        </is>
      </c>
      <c r="D62"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62" s="4" t="inlineStr">
        <is>
          <t>仕様書4-Ⅱ(5)</t>
        </is>
      </c>
      <c r="F62" s="11" t="inlineStr">
        <is>
          <t>受託者</t>
        </is>
      </c>
      <c r="G62" s="11" t="inlineStr">
        <is>
          <t>2026-07</t>
        </is>
      </c>
      <c r="H62" s="11" t="inlineStr">
        <is>
          <t>2027-01</t>
        </is>
      </c>
      <c r="I62" s="13" t="inlineStr">
        <is>
          <t>進行中</t>
        </is>
      </c>
      <c r="J62" s="11" t="n">
        <v>85</v>
      </c>
      <c r="K62" s="11" t="n">
        <v>5</v>
      </c>
      <c r="L62"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62" s="4" t="inlineStr">
        <is>
          <t>村の実績データ（匿名利用者一覧・支給決定者数）による第2次算定。県の基盤整備量の算定値。アンケート3指標の扱いの村決定</t>
        </is>
      </c>
      <c r="N62" s="15" t="inlineStr">
        <is>
          <t>9月30日時点の人口・手帳所持者数（Ｍ-28）・PDCAの評価体制・スケジュール・公表方法</t>
        </is>
      </c>
    </row>
    <row r="63">
      <c r="A63" s="4" t="inlineStr">
        <is>
          <t>P8 施策検討・計画案</t>
        </is>
      </c>
      <c r="B63" s="11" t="inlineStr">
        <is>
          <t>8-3</t>
        </is>
      </c>
      <c r="C63" s="4" t="inlineStr">
        <is>
          <t>確保のための方策の記載</t>
        </is>
      </c>
      <c r="D63" s="4" t="inlineStr">
        <is>
          <t>小規模町村・中山間地域向けの確保方策。介護保険事業所への指定働きかけ、共生型サービス、基準該当、多機能型・従たる事業所、短期入所</t>
        </is>
      </c>
      <c r="E63" s="4" t="inlineStr">
        <is>
          <t>仕様書4-Ⅱ(5)</t>
        </is>
      </c>
      <c r="F63" s="11" t="inlineStr">
        <is>
          <t>受託者</t>
        </is>
      </c>
      <c r="G63" s="11" t="inlineStr">
        <is>
          <t>2026-08</t>
        </is>
      </c>
      <c r="H63" s="11" t="inlineStr">
        <is>
          <t>2026-08</t>
        </is>
      </c>
      <c r="I63" s="12" t="inlineStr">
        <is>
          <t>完了</t>
        </is>
      </c>
      <c r="J63" s="11" t="n">
        <v>100</v>
      </c>
      <c r="K63" s="11" t="n">
        <v>3</v>
      </c>
      <c r="L63" s="4" t="inlineStr">
        <is>
          <t>骨子案修正版 第5章8。告示が名指しする5つの具体策を反映し、圏域の事業所数を原典から表として生成する方式に変更</t>
        </is>
      </c>
      <c r="M63" s="4" t="inlineStr">
        <is>
          <t>―</t>
        </is>
      </c>
      <c r="N63" s="4" t="inlineStr">
        <is>
          <t>―（精度：グループホーム・福祉ホームの設置の予定（Ｍ-37）・村外の利用事業所の一覧（Ｍ-24）・村内3事業所の詳細・相談支援の体制（Ｍ-20）・事業所の経営基盤（Ｍ-25）・高齢者世帯等除雪サービス事業の「等」の範囲（Ｍ-49）・除雪サービスの利用実績と助成の内容（Ｍ-55・Ｍ-56）・圏域事業所の制度活用状況・冬季の除雪の供給の制約とつなぐ運用（Ｍ-57・Ｍ-58）・圏域事業所の受入可能性）</t>
        </is>
      </c>
    </row>
    <row r="64">
      <c r="A64" s="4" t="inlineStr">
        <is>
          <t>P8 施策検討・計画案</t>
        </is>
      </c>
      <c r="B64" s="11" t="inlineStr">
        <is>
          <t>8-4</t>
        </is>
      </c>
      <c r="C64" s="4" t="inlineStr">
        <is>
          <t>分量配分の設計</t>
        </is>
      </c>
      <c r="D64" s="4" t="inlineStr">
        <is>
          <t>成果品①は約60頁。章別の目標頁数を先に決め、原稿段階で収める</t>
        </is>
      </c>
      <c r="E64" s="4" t="inlineStr">
        <is>
          <t>仕様書5 成果品①</t>
        </is>
      </c>
      <c r="F64" s="11" t="inlineStr">
        <is>
          <t>受託者</t>
        </is>
      </c>
      <c r="G64" s="11" t="inlineStr">
        <is>
          <t>2026-08</t>
        </is>
      </c>
      <c r="H64" s="11" t="inlineStr">
        <is>
          <t>2026-08</t>
        </is>
      </c>
      <c r="I64" s="12" t="inlineStr">
        <is>
          <t>完了</t>
        </is>
      </c>
      <c r="J64" s="11" t="n">
        <v>100</v>
      </c>
      <c r="K64" s="11" t="n">
        <v>2</v>
      </c>
      <c r="L64" s="4" t="inlineStr">
        <is>
          <t>計画書_分量配分計画（docs）。現行計画の本文57頁の章別配分を基準に60頁へ配分。削減順序と削ってはならないものを明記。令和8年9月に現行計画の頁数を訂正（63頁は製本総頁で本文は57頁）</t>
        </is>
      </c>
      <c r="M64" s="4" t="inlineStr">
        <is>
          <t>―</t>
        </is>
      </c>
      <c r="N64" s="4" t="inlineStr">
        <is>
          <t>―</t>
        </is>
      </c>
    </row>
    <row r="65">
      <c r="A65" s="4" t="inlineStr">
        <is>
          <t>P8 施策検討・計画案</t>
        </is>
      </c>
      <c r="B65" s="11" t="inlineStr">
        <is>
          <t>8-5</t>
        </is>
      </c>
      <c r="C65" s="4" t="inlineStr">
        <is>
          <t>目次の整理とページ番号の付与</t>
        </is>
      </c>
      <c r="D65" s="4" t="inlineStr">
        <is>
          <t>計画素案の目次を本文から作り直し、全見出しにブックマークを付けて目次からリンクで飛べるようにする。章頭で改ページし、本文を1ページから始める</t>
        </is>
      </c>
      <c r="E65" s="4" t="inlineStr">
        <is>
          <t>仕様書5 成果品①</t>
        </is>
      </c>
      <c r="F65" s="11" t="inlineStr">
        <is>
          <t>受託者</t>
        </is>
      </c>
      <c r="G65" s="11" t="inlineStr">
        <is>
          <t>2026-09</t>
        </is>
      </c>
      <c r="H65" s="11" t="inlineStr">
        <is>
          <t>2026-09</t>
        </is>
      </c>
      <c r="I65" s="12" t="inlineStr">
        <is>
          <t>完了</t>
        </is>
      </c>
      <c r="J65" s="11" t="n">
        <v>100</v>
      </c>
      <c r="K65" s="11" t="n">
        <v>3</v>
      </c>
      <c r="L65" s="4" t="inlineStr">
        <is>
          <t>build_kitashiobara_mokuji.py。目次55項目・ブックマーク93件・リンク切れ0件。原本の目次は7月版のままで本文94見出しに対し57項目、うち3件がリンク切れ、ページ番号は全項目1だった</t>
        </is>
      </c>
      <c r="M65" s="4" t="inlineStr">
        <is>
          <t>―</t>
        </is>
      </c>
      <c r="N65" s="4" t="inlineStr">
        <is>
          <t>―</t>
        </is>
      </c>
    </row>
    <row r="66">
      <c r="A66" s="4" t="inlineStr">
        <is>
          <t>P8 施策検討・計画案</t>
        </is>
      </c>
      <c r="B66" s="11" t="inlineStr">
        <is>
          <t>8-6</t>
        </is>
      </c>
      <c r="C66" s="4" t="inlineStr">
        <is>
          <t>前回計画との対比と不足分の洗い出し</t>
        </is>
      </c>
      <c r="D66" s="4" t="inlineStr">
        <is>
          <t>現行計画の目次31節を1件ずつ追跡し、引き継いだもの・移したもの・落ちたものを確定させる</t>
        </is>
      </c>
      <c r="E66" s="4" t="inlineStr">
        <is>
          <t>仕様書4-Ⅱ(2)・4-Ⅱ(5)</t>
        </is>
      </c>
      <c r="F66" s="11" t="inlineStr">
        <is>
          <t>受託者</t>
        </is>
      </c>
      <c r="G66" s="11" t="inlineStr">
        <is>
          <t>2026-09</t>
        </is>
      </c>
      <c r="H66" s="11" t="inlineStr">
        <is>
          <t>2026-09</t>
        </is>
      </c>
      <c r="I66" s="12" t="inlineStr">
        <is>
          <t>完了</t>
        </is>
      </c>
      <c r="J66" s="11" t="n">
        <v>100</v>
      </c>
      <c r="K66" s="11" t="n">
        <v>3</v>
      </c>
      <c r="L66"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6" s="4" t="inlineStr">
        <is>
          <t>―</t>
        </is>
      </c>
      <c r="N66" s="4" t="inlineStr">
        <is>
          <t>現行計画本編（第4次障がい者計画・第7期・第3期）</t>
        </is>
      </c>
    </row>
    <row r="67">
      <c r="A67" s="4" t="inlineStr">
        <is>
          <t>P8 施策検討・計画案</t>
        </is>
      </c>
      <c r="B67" s="11" t="inlineStr">
        <is>
          <t>8-7</t>
        </is>
      </c>
      <c r="C67" s="4" t="inlineStr">
        <is>
          <t>概要版の作成（3本）</t>
        </is>
      </c>
      <c r="D67" s="4" t="inlineStr">
        <is>
          <t>住民向けの概要版を計画書とは別ファイルで作成する。前回の概要版の構成を踏襲し、改定対象外の障がい者計画は継承する内容として整理する</t>
        </is>
      </c>
      <c r="E67" s="4" t="inlineStr">
        <is>
          <t>仕様書外（村の指示）</t>
        </is>
      </c>
      <c r="F67" s="11" t="inlineStr">
        <is>
          <t>受託者</t>
        </is>
      </c>
      <c r="G67" s="11" t="inlineStr">
        <is>
          <t>2026-09</t>
        </is>
      </c>
      <c r="H67" s="11" t="inlineStr">
        <is>
          <t>2026-10</t>
        </is>
      </c>
      <c r="I67" s="13" t="inlineStr">
        <is>
          <t>進行中</t>
        </is>
      </c>
      <c r="J67" s="11" t="n">
        <v>95</v>
      </c>
      <c r="K67" s="11" t="n">
        <v>2</v>
      </c>
      <c r="L67" s="4" t="inlineStr">
        <is>
          <t>3本をそろえた。①計画素案の概要版（A4・8頁。16節）②前回計画の評価の概要版（A4・2頁）③アンケート結果報告の概要版（A4・2頁）。令和8年10月14日に前回計画の概要版を実測して体裁を揃えた（書体ＵＤデジタル教科書体・本文10ポイント・基調色 緑。kitashiobara_gaiyou_taisai.py が生成のたびに実測をやり直す）。本文を1ポイント上げたため改ページを手で置くのをやめ、flow() がブロックを順に置いて頁を割る形に改めた。数値は書き写さず、評価の件数は本体の生成器から数え上げ、アンケートの割合53点は正本 第2章7 の現物と照合する</t>
        </is>
      </c>
      <c r="M67" s="4" t="inlineStr">
        <is>
          <t>グラフをモノクロ印刷で区別できるようにする（模様又は線の種類。Ｓ-34）。計画素案の概要版が8頁になったため部数・折り方を村と再確認する。アンケートの概要版は分析報告書の確定値との照合が残る（Ｓ-36）</t>
        </is>
      </c>
      <c r="N67" s="15" t="inlineStr">
        <is>
          <t>計画値の基礎とする系列（Ｍ-19）</t>
        </is>
      </c>
    </row>
    <row r="68">
      <c r="A68" s="4" t="inlineStr">
        <is>
          <t>P8 施策検討・計画案</t>
        </is>
      </c>
      <c r="B68" s="11" t="inlineStr">
        <is>
          <t>8-8</t>
        </is>
      </c>
      <c r="C68" s="4" t="inlineStr">
        <is>
          <t>表題の素案への変更</t>
        </is>
      </c>
      <c r="D68" s="4" t="inlineStr">
        <is>
          <t>計画書の表題を「骨子案」から「素案」に改め、作成年月・編集所管課を更新する</t>
        </is>
      </c>
      <c r="E68" s="4" t="inlineStr">
        <is>
          <t>仕様書5 成果品①</t>
        </is>
      </c>
      <c r="F68" s="11" t="inlineStr">
        <is>
          <t>受託者</t>
        </is>
      </c>
      <c r="G68" s="11" t="inlineStr">
        <is>
          <t>2026-09</t>
        </is>
      </c>
      <c r="H68" s="11" t="inlineStr">
        <is>
          <t>2026-09</t>
        </is>
      </c>
      <c r="I68" s="12" t="inlineStr">
        <is>
          <t>完了</t>
        </is>
      </c>
      <c r="J68" s="11" t="n">
        <v>100</v>
      </c>
      <c r="K68" s="11" t="n">
        <v>1</v>
      </c>
      <c r="L68" s="4" t="inlineStr">
        <is>
          <t>表紙・前書き・奥付の7か所を差し替え、作成年月を令和8年9月、編集を北塩原村保健福祉課福祉係に更新。ファイル名も北塩原村_計画素案.docx に統一</t>
        </is>
      </c>
      <c r="M68" s="4" t="inlineStr">
        <is>
          <t>―</t>
        </is>
      </c>
      <c r="N68" s="4" t="inlineStr">
        <is>
          <t>―</t>
        </is>
      </c>
    </row>
    <row r="69">
      <c r="A69" s="4" t="inlineStr">
        <is>
          <t>P8 施策検討・計画案</t>
        </is>
      </c>
      <c r="B69" s="11" t="inlineStr">
        <is>
          <t>8-9</t>
        </is>
      </c>
      <c r="C69" s="4" t="inlineStr">
        <is>
          <t>レビューで洗い出した不足項目の反映</t>
        </is>
      </c>
      <c r="D69" s="4" t="inlineStr">
        <is>
          <t>別表第二 六の項（人材確保等）の新設、基盤整備量、医療的ケア児等への対応、就労関係機関との連携など14件を計画素案に反映する</t>
        </is>
      </c>
      <c r="E69" s="4" t="inlineStr">
        <is>
          <t>仕様書4-Ⅱ(5)</t>
        </is>
      </c>
      <c r="F69" s="11" t="inlineStr">
        <is>
          <t>受託者</t>
        </is>
      </c>
      <c r="G69" s="11" t="inlineStr">
        <is>
          <t>2026-09</t>
        </is>
      </c>
      <c r="H69" s="11" t="inlineStr">
        <is>
          <t>2026-11</t>
        </is>
      </c>
      <c r="I69" s="13" t="inlineStr">
        <is>
          <t>進行中</t>
        </is>
      </c>
      <c r="J69" s="11" t="n">
        <v>80</v>
      </c>
      <c r="K69" s="11" t="n">
        <v>4</v>
      </c>
      <c r="L69"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9" s="4" t="inlineStr">
        <is>
          <t>R-2の値は県の算定値待ち（レビュー Q-1）。令和8年10月13日から14日にかけて、打合せ論点10項目（ＵＲ）・関連法令3法（ＫＨ）・体系と工程（ＴＫ）・障がい児の論点（ＳＪ）・アンケートの課題8区分目（ＡＫ）を反映した。残るのは基本指針の追加告示（令和8年10月予定）との最終照合（Ｓ-35）</t>
        </is>
      </c>
      <c r="N69" s="15" t="inlineStr">
        <is>
          <t>事業所の経営基盤（Ｍ-25）</t>
        </is>
      </c>
    </row>
    <row r="70">
      <c r="A70" s="4" t="inlineStr">
        <is>
          <t>P9 意見聴取</t>
        </is>
      </c>
      <c r="B70" s="11" t="inlineStr">
        <is>
          <t>9-1</t>
        </is>
      </c>
      <c r="C70" s="4" t="inlineStr">
        <is>
          <t>自立支援協議会の資料作成</t>
        </is>
      </c>
      <c r="D70" s="4" t="inlineStr">
        <is>
          <t>委託者が協議会に報告・説明し、受託者は会議資料の作成、会議への出席、会議記録（要旨）の作成等の運営支援を行う。開催は1回程度</t>
        </is>
      </c>
      <c r="E70" s="4" t="inlineStr">
        <is>
          <t>仕様書4-Ⅱ(7)</t>
        </is>
      </c>
      <c r="F70" s="11" t="inlineStr">
        <is>
          <t>受託者</t>
        </is>
      </c>
      <c r="G70" s="11" t="inlineStr">
        <is>
          <t>2026-08</t>
        </is>
      </c>
      <c r="H70" s="11" t="inlineStr">
        <is>
          <t>2026-12</t>
        </is>
      </c>
      <c r="I70" s="13" t="inlineStr">
        <is>
          <t>進行中</t>
        </is>
      </c>
      <c r="J70" s="11" t="n">
        <v>80</v>
      </c>
      <c r="K70" s="11" t="n">
        <v>3</v>
      </c>
      <c r="L70" s="4" t="inlineStr">
        <is>
          <t>会議資料5点を作成（協議会資料1・2・8、庁議資料2・4）。令和8年10月13日に村から策定委員会資料（149段落・24表）を受領し、修正箇所をご提示した（北塩原村_策定委員会資料_修正指示.docx。確定4件・保留4件・そのままでよいもの5件）。確定4件は差し替える文そのものを載せており、そのまま貼り付けられる</t>
        </is>
      </c>
      <c r="M70" s="4" t="inlineStr">
        <is>
          <t>策定委員会（第2回）の開催日（Ｍ-40・Ｍ-125）。委員名簿が未受領。確定4件の差し替えは村の作業</t>
        </is>
      </c>
      <c r="N70" s="4" t="inlineStr">
        <is>
          <t>―（精度：自立支援協議会の委員名簿）</t>
        </is>
      </c>
    </row>
    <row r="71">
      <c r="A71" s="4" t="inlineStr">
        <is>
          <t>P9 意見聴取</t>
        </is>
      </c>
      <c r="B71" s="11" t="inlineStr">
        <is>
          <t>9-2</t>
        </is>
      </c>
      <c r="C71" s="4" t="inlineStr">
        <is>
          <t>策定委員会・協議会の開催</t>
        </is>
      </c>
      <c r="D71" s="4" t="inlineStr">
        <is>
          <t>調査結果・素案・計画案の報告と審議</t>
        </is>
      </c>
      <c r="E71" s="4" t="inlineStr">
        <is>
          <t>仕様書4-Ⅱ(7)</t>
        </is>
      </c>
      <c r="F71" s="11" t="inlineStr">
        <is>
          <t>北塩原村・受託者</t>
        </is>
      </c>
      <c r="G71" s="11" t="inlineStr">
        <is>
          <t>2026-11</t>
        </is>
      </c>
      <c r="H71" s="11" t="inlineStr">
        <is>
          <t>2027-01</t>
        </is>
      </c>
      <c r="I71" s="16" t="inlineStr">
        <is>
          <t>要対応</t>
        </is>
      </c>
      <c r="J71" s="11" t="n">
        <v>0</v>
      </c>
      <c r="K71" s="11" t="n">
        <v>2</v>
      </c>
      <c r="L71" s="4" t="inlineStr">
        <is>
          <t>工程は案Ａ（令和8年10月14日採用）。策定委員会（第2回）は令和8年11月、4町村広域の障がい者自立支援協議会は令和8年12月、自立支援協議会（計画案の審議）は令和9年1月中旬。いずれも出所は月又は旬までであり、日はうかがっていない。日付は kitashiobara_koutei.py に一本化している</t>
        </is>
      </c>
      <c r="M71" s="4" t="inlineStr">
        <is>
          <t>策定委員会の開催日の確定（Ｍ-40・電話）。自立支援協議会と4町村広域の協議会の開催日（Ｍ-125）</t>
        </is>
      </c>
      <c r="N71" s="4" t="inlineStr">
        <is>
          <t>―</t>
        </is>
      </c>
    </row>
    <row r="72">
      <c r="A72" s="4" t="inlineStr">
        <is>
          <t>P9 意見聴取</t>
        </is>
      </c>
      <c r="B72" s="11" t="inlineStr">
        <is>
          <t>9-3</t>
        </is>
      </c>
      <c r="C72" s="4" t="inlineStr">
        <is>
          <t>庁議の開催</t>
        </is>
      </c>
      <c r="D72" s="4" t="inlineStr">
        <is>
          <t>庁内各課との調整。関連計画との整合と依頼事項</t>
        </is>
      </c>
      <c r="E72" s="4" t="inlineStr">
        <is>
          <t>―</t>
        </is>
      </c>
      <c r="F72" s="11" t="inlineStr">
        <is>
          <t>北塩原村・受託者</t>
        </is>
      </c>
      <c r="G72" s="11" t="inlineStr">
        <is>
          <t>2026-11</t>
        </is>
      </c>
      <c r="H72" s="11" t="inlineStr">
        <is>
          <t>2027-02</t>
        </is>
      </c>
      <c r="I72" s="17" t="inlineStr">
        <is>
          <t>未着手</t>
        </is>
      </c>
      <c r="J72" s="11" t="n">
        <v>0</v>
      </c>
      <c r="K72" s="11" t="n">
        <v>1</v>
      </c>
      <c r="L72" s="4" t="inlineStr">
        <is>
          <t>庁議資料2点は作成済み。工程は案Ａにより令和9年2月19日（計画の決定）</t>
        </is>
      </c>
      <c r="M72" s="4" t="inlineStr">
        <is>
          <t>庁議を2月19日に置けるか（Ｍ-125）。ここで本文が確定し、目次と頁数の確定（2月25日）に進む</t>
        </is>
      </c>
      <c r="N72" s="4" t="inlineStr">
        <is>
          <t>―</t>
        </is>
      </c>
    </row>
    <row r="73">
      <c r="A73" s="4" t="inlineStr">
        <is>
          <t>P9 意見聴取</t>
        </is>
      </c>
      <c r="B73" s="11" t="inlineStr">
        <is>
          <t>9-4</t>
        </is>
      </c>
      <c r="C73" s="4" t="inlineStr">
        <is>
          <t>パブリックコメントの実施</t>
        </is>
      </c>
      <c r="D73" s="4" t="inlineStr">
        <is>
          <t>計画案について意見を募集し、得られた意見を反映</t>
        </is>
      </c>
      <c r="E73" s="4" t="inlineStr">
        <is>
          <t>仕様書4-Ⅱ(6)</t>
        </is>
      </c>
      <c r="F73" s="11" t="inlineStr">
        <is>
          <t>北塩原村・受託者</t>
        </is>
      </c>
      <c r="G73" s="11" t="inlineStr">
        <is>
          <t>2027-01</t>
        </is>
      </c>
      <c r="H73" s="11" t="inlineStr">
        <is>
          <t>2027-02</t>
        </is>
      </c>
      <c r="I73" s="17" t="inlineStr">
        <is>
          <t>未着手</t>
        </is>
      </c>
      <c r="J73" s="11" t="n">
        <v>0</v>
      </c>
      <c r="K73" s="11" t="n">
        <v>2</v>
      </c>
      <c r="L73" s="4" t="inlineStr">
        <is>
          <t>工程は案Ａにより令和9年1月26日から2月9日まで（15日間）。正本 第1章5（4）の日付もこの日程に書き換えた（ＴＫ-4）。概要版3本とパブリックコメント一式は作成済み</t>
        </is>
      </c>
      <c r="M73" s="4" t="inlineStr">
        <is>
          <t>1月下旬に開始できるか（Ｍ-125）。15日間とすることの村の実施要領上の根拠。前回（令和6年2月）は意見0件であったため周知の方法も見直す</t>
        </is>
      </c>
      <c r="N73" s="4" t="inlineStr">
        <is>
          <t>―</t>
        </is>
      </c>
    </row>
    <row r="74">
      <c r="A74" s="4" t="inlineStr">
        <is>
          <t>P9 意見聴取</t>
        </is>
      </c>
      <c r="B74" s="11" t="inlineStr">
        <is>
          <t>9-5</t>
        </is>
      </c>
      <c r="C74" s="4" t="inlineStr">
        <is>
          <t>意見への対応</t>
        </is>
      </c>
      <c r="D74" s="4" t="inlineStr">
        <is>
          <t>意見の整理、対応案の作成、計画への反映</t>
        </is>
      </c>
      <c r="E74" s="4" t="inlineStr">
        <is>
          <t>仕様書4-Ⅱ(6)</t>
        </is>
      </c>
      <c r="F74" s="11" t="inlineStr">
        <is>
          <t>受託者</t>
        </is>
      </c>
      <c r="G74" s="11" t="inlineStr">
        <is>
          <t>2027-02</t>
        </is>
      </c>
      <c r="H74" s="11" t="inlineStr">
        <is>
          <t>2027-02</t>
        </is>
      </c>
      <c r="I74" s="17" t="inlineStr">
        <is>
          <t>未着手</t>
        </is>
      </c>
      <c r="J74" s="11" t="n">
        <v>0</v>
      </c>
      <c r="K74" s="11" t="n">
        <v>2</v>
      </c>
      <c r="L74" s="4" t="inlineStr">
        <is>
          <t>工程は案Ａにより令和9年2月10日から16日まで（結果の整理と計画案の修正）</t>
        </is>
      </c>
      <c r="M74" s="4" t="inlineStr">
        <is>
          <t>パブリックコメントの実施。ここが後ろへ動くと最初に削られるのは校正の期間である</t>
        </is>
      </c>
      <c r="N74" s="4" t="inlineStr">
        <is>
          <t>―</t>
        </is>
      </c>
    </row>
    <row r="75">
      <c r="A75" s="4" t="inlineStr">
        <is>
          <t>P10 完成・納品</t>
        </is>
      </c>
      <c r="B75" s="11" t="inlineStr">
        <is>
          <t>10-1</t>
        </is>
      </c>
      <c r="C75" s="4" t="inlineStr">
        <is>
          <t>計画書の原稿確定</t>
        </is>
      </c>
      <c r="D75" s="4" t="inlineStr">
        <is>
          <t>協議会・パブリックコメントを経て得られた意見を反映の上、最終的に取りまとめる</t>
        </is>
      </c>
      <c r="E75" s="4" t="inlineStr">
        <is>
          <t>仕様書4-Ⅱ(6)</t>
        </is>
      </c>
      <c r="F75" s="11" t="inlineStr">
        <is>
          <t>受託者</t>
        </is>
      </c>
      <c r="G75" s="11" t="inlineStr">
        <is>
          <t>2027-02</t>
        </is>
      </c>
      <c r="H75" s="11" t="inlineStr">
        <is>
          <t>2027-02</t>
        </is>
      </c>
      <c r="I75" s="17" t="inlineStr">
        <is>
          <t>未着手</t>
        </is>
      </c>
      <c r="J75" s="11" t="n">
        <v>0</v>
      </c>
      <c r="K75" s="11" t="n">
        <v>3</v>
      </c>
      <c r="L75" s="4" t="inlineStr">
        <is>
          <t>―</t>
        </is>
      </c>
      <c r="M75" s="4" t="inlineStr">
        <is>
          <t>意見への対応</t>
        </is>
      </c>
      <c r="N75" s="15" t="inlineStr">
        <is>
          <t>自立支援協議会の委員名簿</t>
        </is>
      </c>
    </row>
    <row r="76">
      <c r="A76" s="4" t="inlineStr">
        <is>
          <t>P10 完成・納品</t>
        </is>
      </c>
      <c r="B76" s="11" t="inlineStr">
        <is>
          <t>10-2</t>
        </is>
      </c>
      <c r="C76" s="4" t="inlineStr">
        <is>
          <t>レイアウト・組版</t>
        </is>
      </c>
      <c r="D76" s="4" t="inlineStr">
        <is>
          <t>A4判・両面・約60頁・モノクロ</t>
        </is>
      </c>
      <c r="E76" s="4" t="inlineStr">
        <is>
          <t>仕様書5 成果品①</t>
        </is>
      </c>
      <c r="F76" s="11" t="inlineStr">
        <is>
          <t>受託者</t>
        </is>
      </c>
      <c r="G76" s="11" t="inlineStr">
        <is>
          <t>2027-02</t>
        </is>
      </c>
      <c r="H76" s="11" t="inlineStr">
        <is>
          <t>2027-03</t>
        </is>
      </c>
      <c r="I76" s="17" t="inlineStr">
        <is>
          <t>未着手</t>
        </is>
      </c>
      <c r="J76" s="11" t="n">
        <v>0</v>
      </c>
      <c r="K76" s="11" t="n">
        <v>3</v>
      </c>
      <c r="L76" s="4" t="inlineStr">
        <is>
          <t>分量配分計画を作成済み。実際の組版で1頁あたりの文字数を実測し補正する</t>
        </is>
      </c>
      <c r="M76" s="4" t="inlineStr">
        <is>
          <t>原稿の確定</t>
        </is>
      </c>
      <c r="N76" s="4" t="inlineStr">
        <is>
          <t>―</t>
        </is>
      </c>
    </row>
    <row r="77">
      <c r="A77" s="4" t="inlineStr">
        <is>
          <t>P10 完成・納品</t>
        </is>
      </c>
      <c r="B77" s="11" t="inlineStr">
        <is>
          <t>10-3</t>
        </is>
      </c>
      <c r="C77" s="4" t="inlineStr">
        <is>
          <t>校正</t>
        </is>
      </c>
      <c r="D77" s="4" t="inlineStr">
        <is>
          <t>村の確認を経て校了</t>
        </is>
      </c>
      <c r="E77" s="4" t="inlineStr">
        <is>
          <t>仕様書5 成果品①</t>
        </is>
      </c>
      <c r="F77" s="11" t="inlineStr">
        <is>
          <t>受託者・北塩原村</t>
        </is>
      </c>
      <c r="G77" s="11" t="inlineStr">
        <is>
          <t>2027-03</t>
        </is>
      </c>
      <c r="H77" s="11" t="inlineStr">
        <is>
          <t>2027-03</t>
        </is>
      </c>
      <c r="I77" s="17" t="inlineStr">
        <is>
          <t>未着手</t>
        </is>
      </c>
      <c r="J77" s="11" t="n">
        <v>0</v>
      </c>
      <c r="K77" s="11" t="n">
        <v>2</v>
      </c>
      <c r="L77" s="4" t="inlineStr">
        <is>
          <t>―</t>
        </is>
      </c>
      <c r="M77" s="4" t="inlineStr">
        <is>
          <t>組版</t>
        </is>
      </c>
      <c r="N77" s="4" t="inlineStr">
        <is>
          <t>―</t>
        </is>
      </c>
    </row>
    <row r="78">
      <c r="A78" s="4" t="inlineStr">
        <is>
          <t>P10 完成・納品</t>
        </is>
      </c>
      <c r="B78" s="11" t="inlineStr">
        <is>
          <t>10-4</t>
        </is>
      </c>
      <c r="C78" s="4" t="inlineStr">
        <is>
          <t>印刷・製本</t>
        </is>
      </c>
      <c r="D78" s="4" t="inlineStr">
        <is>
          <t>計画書はコピー・くるみ製本30部、調査報告書はコピー・ホチキス製本10部</t>
        </is>
      </c>
      <c r="E78" s="4" t="inlineStr">
        <is>
          <t>仕様書5 成果品①②</t>
        </is>
      </c>
      <c r="F78" s="11" t="inlineStr">
        <is>
          <t>受託者</t>
        </is>
      </c>
      <c r="G78" s="11" t="inlineStr">
        <is>
          <t>2027-03</t>
        </is>
      </c>
      <c r="H78" s="11" t="inlineStr">
        <is>
          <t>2027-03</t>
        </is>
      </c>
      <c r="I78" s="17" t="inlineStr">
        <is>
          <t>未着手</t>
        </is>
      </c>
      <c r="J78" s="11" t="n">
        <v>0</v>
      </c>
      <c r="K78" s="11" t="n">
        <v>2</v>
      </c>
      <c r="L78" s="4" t="inlineStr">
        <is>
          <t>―</t>
        </is>
      </c>
      <c r="M78" s="4" t="inlineStr">
        <is>
          <t>校了。印刷業者の手配</t>
        </is>
      </c>
      <c r="N78" s="4" t="inlineStr">
        <is>
          <t>―</t>
        </is>
      </c>
    </row>
    <row r="79">
      <c r="A79" s="4" t="inlineStr">
        <is>
          <t>P10 完成・納品</t>
        </is>
      </c>
      <c r="B79" s="11" t="inlineStr">
        <is>
          <t>10-5</t>
        </is>
      </c>
      <c r="C79" s="4" t="inlineStr">
        <is>
          <t>電子媒体の作成</t>
        </is>
      </c>
      <c r="D79" s="4" t="inlineStr">
        <is>
          <t>計画書と調査報告書の電子データ一式</t>
        </is>
      </c>
      <c r="E79" s="4" t="inlineStr">
        <is>
          <t>仕様書5 成果品③</t>
        </is>
      </c>
      <c r="F79" s="11" t="inlineStr">
        <is>
          <t>受託者</t>
        </is>
      </c>
      <c r="G79" s="11" t="inlineStr">
        <is>
          <t>2027-03</t>
        </is>
      </c>
      <c r="H79" s="11" t="inlineStr">
        <is>
          <t>2027-03</t>
        </is>
      </c>
      <c r="I79" s="17" t="inlineStr">
        <is>
          <t>未着手</t>
        </is>
      </c>
      <c r="J79" s="11" t="n">
        <v>0</v>
      </c>
      <c r="K79" s="11" t="n">
        <v>1</v>
      </c>
      <c r="L79" s="4" t="inlineStr">
        <is>
          <t>―</t>
        </is>
      </c>
      <c r="M79" s="4" t="inlineStr">
        <is>
          <t>編集可能形式とPDFの別を村に確認する</t>
        </is>
      </c>
      <c r="N79" s="4" t="inlineStr">
        <is>
          <t>―</t>
        </is>
      </c>
    </row>
    <row r="80">
      <c r="A80" s="4" t="inlineStr">
        <is>
          <t>P10 完成・納品</t>
        </is>
      </c>
      <c r="B80" s="11" t="inlineStr">
        <is>
          <t>10-6</t>
        </is>
      </c>
      <c r="C80" s="4" t="inlineStr">
        <is>
          <t>納品・検収</t>
        </is>
      </c>
      <c r="D80" s="4" t="inlineStr">
        <is>
          <t>令和9年3月31日まで</t>
        </is>
      </c>
      <c r="E80" s="4" t="inlineStr">
        <is>
          <t>仕様書3（業務期間）</t>
        </is>
      </c>
      <c r="F80" s="11" t="inlineStr">
        <is>
          <t>受託者・北塩原村</t>
        </is>
      </c>
      <c r="G80" s="11" t="inlineStr">
        <is>
          <t>2027-03</t>
        </is>
      </c>
      <c r="H80" s="11" t="inlineStr">
        <is>
          <t>2027-03</t>
        </is>
      </c>
      <c r="I80" s="17" t="inlineStr">
        <is>
          <t>未着手</t>
        </is>
      </c>
      <c r="J80" s="11" t="n">
        <v>0</v>
      </c>
      <c r="K80" s="11" t="n">
        <v>1</v>
      </c>
      <c r="L80" s="4" t="inlineStr">
        <is>
          <t>―</t>
        </is>
      </c>
      <c r="M80" s="4" t="inlineStr">
        <is>
          <t>全成果品の完成</t>
        </is>
      </c>
      <c r="N80" s="4" t="inlineStr">
        <is>
          <t>―</t>
        </is>
      </c>
    </row>
  </sheetData>
  <autoFilter ref="A1:N8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COUNTIF('01_WBS'!$A$2:$A$80,$A2)</f>
        <v/>
      </c>
      <c r="C2" s="11">
        <f>COUNTIFS('01_WBS'!$A$2:$A$80,$A2,'01_WBS'!$I$2:$I$80,"完了")</f>
        <v/>
      </c>
      <c r="D2" s="11">
        <f>COUNTIFS('01_WBS'!$A$2:$A$80,$A2,'01_WBS'!$I$2:$I$80,"進行中")</f>
        <v/>
      </c>
      <c r="E2" s="11">
        <f>COUNTIFS('01_WBS'!$A$2:$A$80,$A2,'01_WBS'!$I$2:$I$80,"要対応")</f>
        <v/>
      </c>
      <c r="F2" s="11">
        <f>COUNTIFS('01_WBS'!$A$2:$A$80,$A2,'01_WBS'!$I$2:$I$80,"データ待ち")</f>
        <v/>
      </c>
      <c r="G2" s="11">
        <f>COUNTIFS('01_WBS'!$A$2:$A$80,$A2,'01_WBS'!$I$2:$I$80,"未着手")</f>
        <v/>
      </c>
      <c r="H2" s="18">
        <f>IF(SUMPRODUCT(('01_WBS'!$A$2:$A$80=$A2)*'01_WBS'!$K$2:$K$80)=0,0,SUMPRODUCT(('01_WBS'!$A$2:$A$80=$A2)*'01_WBS'!$J$2:$J$80*'01_WBS'!$K$2:$K$80)/SUMPRODUCT(('01_WBS'!$A$2:$A$80=$A2)*'01_WBS'!$K$2:$K$80)/100)</f>
        <v/>
      </c>
      <c r="I2" s="11" t="inlineStr">
        <is>
          <t>2026-06</t>
        </is>
      </c>
      <c r="J2" s="11" t="inlineStr">
        <is>
          <t>2026-09</t>
        </is>
      </c>
      <c r="K2" s="4" t="inlineStr">
        <is>
          <t>村資料の受領（依頼69件・受領済8件・一部受領7件・県照会中1件・未受領53件）</t>
        </is>
      </c>
    </row>
    <row r="3">
      <c r="A3" s="4" t="inlineStr">
        <is>
          <t>P2 基礎調査</t>
        </is>
      </c>
      <c r="B3" s="11">
        <f>COUNTIF('01_WBS'!$A$2:$A$80,$A3)</f>
        <v/>
      </c>
      <c r="C3" s="11">
        <f>COUNTIFS('01_WBS'!$A$2:$A$80,$A3,'01_WBS'!$I$2:$I$80,"完了")</f>
        <v/>
      </c>
      <c r="D3" s="11">
        <f>COUNTIFS('01_WBS'!$A$2:$A$80,$A3,'01_WBS'!$I$2:$I$80,"進行中")</f>
        <v/>
      </c>
      <c r="E3" s="11">
        <f>COUNTIFS('01_WBS'!$A$2:$A$80,$A3,'01_WBS'!$I$2:$I$80,"要対応")</f>
        <v/>
      </c>
      <c r="F3" s="11">
        <f>COUNTIFS('01_WBS'!$A$2:$A$80,$A3,'01_WBS'!$I$2:$I$80,"データ待ち")</f>
        <v/>
      </c>
      <c r="G3" s="11">
        <f>COUNTIFS('01_WBS'!$A$2:$A$80,$A3,'01_WBS'!$I$2:$I$80,"未着手")</f>
        <v/>
      </c>
      <c r="H3" s="18">
        <f>IF(SUMPRODUCT(('01_WBS'!$A$2:$A$80=$A3)*'01_WBS'!$K$2:$K$80)=0,0,SUMPRODUCT(('01_WBS'!$A$2:$A$80=$A3)*'01_WBS'!$J$2:$J$80*'01_WBS'!$K$2:$K$80)/SUMPRODUCT(('01_WBS'!$A$2:$A$80=$A3)*'01_WBS'!$K$2:$K$80)/100)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COUNTIF('01_WBS'!$A$2:$A$80,$A4)</f>
        <v/>
      </c>
      <c r="C4" s="11">
        <f>COUNTIFS('01_WBS'!$A$2:$A$80,$A4,'01_WBS'!$I$2:$I$80,"完了")</f>
        <v/>
      </c>
      <c r="D4" s="11">
        <f>COUNTIFS('01_WBS'!$A$2:$A$80,$A4,'01_WBS'!$I$2:$I$80,"進行中")</f>
        <v/>
      </c>
      <c r="E4" s="11">
        <f>COUNTIFS('01_WBS'!$A$2:$A$80,$A4,'01_WBS'!$I$2:$I$80,"要対応")</f>
        <v/>
      </c>
      <c r="F4" s="11">
        <f>COUNTIFS('01_WBS'!$A$2:$A$80,$A4,'01_WBS'!$I$2:$I$80,"データ待ち")</f>
        <v/>
      </c>
      <c r="G4" s="11">
        <f>COUNTIFS('01_WBS'!$A$2:$A$80,$A4,'01_WBS'!$I$2:$I$80,"未着手")</f>
        <v/>
      </c>
      <c r="H4" s="18">
        <f>IF(SUMPRODUCT(('01_WBS'!$A$2:$A$80=$A4)*'01_WBS'!$K$2:$K$80)=0,0,SUMPRODUCT(('01_WBS'!$A$2:$A$80=$A4)*'01_WBS'!$J$2:$J$80*'01_WBS'!$K$2:$K$80)/SUMPRODUCT(('01_WBS'!$A$2:$A$80=$A4)*'01_WBS'!$K$2:$K$80)/100)</f>
        <v/>
      </c>
      <c r="I4" s="11" t="inlineStr">
        <is>
          <t>2026-07</t>
        </is>
      </c>
      <c r="J4" s="11" t="inlineStr">
        <is>
          <t>2026-10</t>
        </is>
      </c>
      <c r="K4" s="4" t="inlineStr">
        <is>
          <t>年齢階級別の手帳所持者数・人口（未受領）</t>
        </is>
      </c>
    </row>
    <row r="5">
      <c r="A5" s="4" t="inlineStr">
        <is>
          <t>P4 ニーズ調査</t>
        </is>
      </c>
      <c r="B5" s="11">
        <f>COUNTIF('01_WBS'!$A$2:$A$80,$A5)</f>
        <v/>
      </c>
      <c r="C5" s="11">
        <f>COUNTIFS('01_WBS'!$A$2:$A$80,$A5,'01_WBS'!$I$2:$I$80,"完了")</f>
        <v/>
      </c>
      <c r="D5" s="11">
        <f>COUNTIFS('01_WBS'!$A$2:$A$80,$A5,'01_WBS'!$I$2:$I$80,"進行中")</f>
        <v/>
      </c>
      <c r="E5" s="11">
        <f>COUNTIFS('01_WBS'!$A$2:$A$80,$A5,'01_WBS'!$I$2:$I$80,"要対応")</f>
        <v/>
      </c>
      <c r="F5" s="11">
        <f>COUNTIFS('01_WBS'!$A$2:$A$80,$A5,'01_WBS'!$I$2:$I$80,"データ待ち")</f>
        <v/>
      </c>
      <c r="G5" s="11">
        <f>COUNTIFS('01_WBS'!$A$2:$A$80,$A5,'01_WBS'!$I$2:$I$80,"未着手")</f>
        <v/>
      </c>
      <c r="H5" s="18">
        <f>IF(SUMPRODUCT(('01_WBS'!$A$2:$A$80=$A5)*'01_WBS'!$K$2:$K$80)=0,0,SUMPRODUCT(('01_WBS'!$A$2:$A$80=$A5)*'01_WBS'!$J$2:$J$80*'01_WBS'!$K$2:$K$80)/SUMPRODUCT(('01_WBS'!$A$2:$A$80=$A5)*'01_WBS'!$K$2:$K$80)/100)</f>
        <v/>
      </c>
      <c r="I5" s="11" t="inlineStr">
        <is>
          <t>2026-07</t>
        </is>
      </c>
      <c r="J5" s="11" t="inlineStr">
        <is>
          <t>2026-09</t>
        </is>
      </c>
      <c r="K5" s="4" t="inlineStr">
        <is>
          <t>印刷仕様・宛名ラベル・対象者数の3点。本業務の最大の律速</t>
        </is>
      </c>
    </row>
    <row r="6">
      <c r="A6" s="4" t="inlineStr">
        <is>
          <t>P5 集計・分析</t>
        </is>
      </c>
      <c r="B6" s="11">
        <f>COUNTIF('01_WBS'!$A$2:$A$80,$A6)</f>
        <v/>
      </c>
      <c r="C6" s="11">
        <f>COUNTIFS('01_WBS'!$A$2:$A$80,$A6,'01_WBS'!$I$2:$I$80,"完了")</f>
        <v/>
      </c>
      <c r="D6" s="11">
        <f>COUNTIFS('01_WBS'!$A$2:$A$80,$A6,'01_WBS'!$I$2:$I$80,"進行中")</f>
        <v/>
      </c>
      <c r="E6" s="11">
        <f>COUNTIFS('01_WBS'!$A$2:$A$80,$A6,'01_WBS'!$I$2:$I$80,"要対応")</f>
        <v/>
      </c>
      <c r="F6" s="11">
        <f>COUNTIFS('01_WBS'!$A$2:$A$80,$A6,'01_WBS'!$I$2:$I$80,"データ待ち")</f>
        <v/>
      </c>
      <c r="G6" s="11">
        <f>COUNTIFS('01_WBS'!$A$2:$A$80,$A6,'01_WBS'!$I$2:$I$80,"未着手")</f>
        <v/>
      </c>
      <c r="H6" s="18">
        <f>IF(SUMPRODUCT(('01_WBS'!$A$2:$A$80=$A6)*'01_WBS'!$K$2:$K$80)=0,0,SUMPRODUCT(('01_WBS'!$A$2:$A$80=$A6)*'01_WBS'!$J$2:$J$80*'01_WBS'!$K$2:$K$80)/SUMPRODUCT(('01_WBS'!$A$2:$A$80=$A6)*'01_WBS'!$K$2:$K$80)/100)</f>
        <v/>
      </c>
      <c r="I6" s="11" t="inlineStr">
        <is>
          <t>2026-09</t>
        </is>
      </c>
      <c r="J6" s="11" t="inlineStr">
        <is>
          <t>2026-12</t>
        </is>
      </c>
      <c r="K6" s="4" t="inlineStr">
        <is>
          <t>アンケートの回収</t>
        </is>
      </c>
    </row>
    <row r="7">
      <c r="A7" s="4" t="inlineStr">
        <is>
          <t>P6 現行計画の評価</t>
        </is>
      </c>
      <c r="B7" s="11">
        <f>COUNTIF('01_WBS'!$A$2:$A$80,$A7)</f>
        <v/>
      </c>
      <c r="C7" s="11">
        <f>COUNTIFS('01_WBS'!$A$2:$A$80,$A7,'01_WBS'!$I$2:$I$80,"完了")</f>
        <v/>
      </c>
      <c r="D7" s="11">
        <f>COUNTIFS('01_WBS'!$A$2:$A$80,$A7,'01_WBS'!$I$2:$I$80,"進行中")</f>
        <v/>
      </c>
      <c r="E7" s="11">
        <f>COUNTIFS('01_WBS'!$A$2:$A$80,$A7,'01_WBS'!$I$2:$I$80,"要対応")</f>
        <v/>
      </c>
      <c r="F7" s="11">
        <f>COUNTIFS('01_WBS'!$A$2:$A$80,$A7,'01_WBS'!$I$2:$I$80,"データ待ち")</f>
        <v/>
      </c>
      <c r="G7" s="11">
        <f>COUNTIFS('01_WBS'!$A$2:$A$80,$A7,'01_WBS'!$I$2:$I$80,"未着手")</f>
        <v/>
      </c>
      <c r="H7" s="18">
        <f>IF(SUMPRODUCT(('01_WBS'!$A$2:$A$80=$A7)*'01_WBS'!$K$2:$K$80)=0,0,SUMPRODUCT(('01_WBS'!$A$2:$A$80=$A7)*'01_WBS'!$J$2:$J$80*'01_WBS'!$K$2:$K$80)/SUMPRODUCT(('01_WBS'!$A$2:$A$80=$A7)*'01_WBS'!$K$2:$K$80)/100)</f>
        <v/>
      </c>
      <c r="I7" s="11" t="inlineStr">
        <is>
          <t>2026-08</t>
        </is>
      </c>
      <c r="J7" s="11" t="inlineStr">
        <is>
          <t>2026-11</t>
        </is>
      </c>
      <c r="K7" s="4" t="inlineStr">
        <is>
          <t>令和6・7年度の実績と令和8年度見込</t>
        </is>
      </c>
    </row>
    <row r="8">
      <c r="A8" s="4" t="inlineStr">
        <is>
          <t>P7 推計・見込量</t>
        </is>
      </c>
      <c r="B8" s="11">
        <f>COUNTIF('01_WBS'!$A$2:$A$80,$A8)</f>
        <v/>
      </c>
      <c r="C8" s="11">
        <f>COUNTIFS('01_WBS'!$A$2:$A$80,$A8,'01_WBS'!$I$2:$I$80,"完了")</f>
        <v/>
      </c>
      <c r="D8" s="11">
        <f>COUNTIFS('01_WBS'!$A$2:$A$80,$A8,'01_WBS'!$I$2:$I$80,"進行中")</f>
        <v/>
      </c>
      <c r="E8" s="11">
        <f>COUNTIFS('01_WBS'!$A$2:$A$80,$A8,'01_WBS'!$I$2:$I$80,"要対応")</f>
        <v/>
      </c>
      <c r="F8" s="11">
        <f>COUNTIFS('01_WBS'!$A$2:$A$80,$A8,'01_WBS'!$I$2:$I$80,"データ待ち")</f>
        <v/>
      </c>
      <c r="G8" s="11">
        <f>COUNTIFS('01_WBS'!$A$2:$A$80,$A8,'01_WBS'!$I$2:$I$80,"未着手")</f>
        <v/>
      </c>
      <c r="H8" s="18">
        <f>IF(SUMPRODUCT(('01_WBS'!$A$2:$A$80=$A8)*'01_WBS'!$K$2:$K$80)=0,0,SUMPRODUCT(('01_WBS'!$A$2:$A$80=$A8)*'01_WBS'!$J$2:$J$80*'01_WBS'!$K$2:$K$80)/SUMPRODUCT(('01_WBS'!$A$2:$A$80=$A8)*'01_WBS'!$K$2:$K$80)/100)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COUNTIF('01_WBS'!$A$2:$A$80,$A9)</f>
        <v/>
      </c>
      <c r="C9" s="11">
        <f>COUNTIFS('01_WBS'!$A$2:$A$80,$A9,'01_WBS'!$I$2:$I$80,"完了")</f>
        <v/>
      </c>
      <c r="D9" s="11">
        <f>COUNTIFS('01_WBS'!$A$2:$A$80,$A9,'01_WBS'!$I$2:$I$80,"進行中")</f>
        <v/>
      </c>
      <c r="E9" s="11">
        <f>COUNTIFS('01_WBS'!$A$2:$A$80,$A9,'01_WBS'!$I$2:$I$80,"要対応")</f>
        <v/>
      </c>
      <c r="F9" s="11">
        <f>COUNTIFS('01_WBS'!$A$2:$A$80,$A9,'01_WBS'!$I$2:$I$80,"データ待ち")</f>
        <v/>
      </c>
      <c r="G9" s="11">
        <f>COUNTIFS('01_WBS'!$A$2:$A$80,$A9,'01_WBS'!$I$2:$I$80,"未着手")</f>
        <v/>
      </c>
      <c r="H9" s="18">
        <f>IF(SUMPRODUCT(('01_WBS'!$A$2:$A$80=$A9)*'01_WBS'!$K$2:$K$80)=0,0,SUMPRODUCT(('01_WBS'!$A$2:$A$80=$A9)*'01_WBS'!$J$2:$J$80*'01_WBS'!$K$2:$K$80)/SUMPRODUCT(('01_WBS'!$A$2:$A$80=$A9)*'01_WBS'!$K$2:$K$80)/100)</f>
        <v/>
      </c>
      <c r="I9" s="11" t="inlineStr">
        <is>
          <t>2026-07</t>
        </is>
      </c>
      <c r="J9" s="11" t="inlineStr">
        <is>
          <t>2027-01</t>
        </is>
      </c>
      <c r="K9" s="4" t="inlineStr">
        <is>
          <t>P5・P7の完了</t>
        </is>
      </c>
    </row>
    <row r="10">
      <c r="A10" s="4" t="inlineStr">
        <is>
          <t>P9 意見聴取</t>
        </is>
      </c>
      <c r="B10" s="11">
        <f>COUNTIF('01_WBS'!$A$2:$A$80,$A10)</f>
        <v/>
      </c>
      <c r="C10" s="11">
        <f>COUNTIFS('01_WBS'!$A$2:$A$80,$A10,'01_WBS'!$I$2:$I$80,"完了")</f>
        <v/>
      </c>
      <c r="D10" s="11">
        <f>COUNTIFS('01_WBS'!$A$2:$A$80,$A10,'01_WBS'!$I$2:$I$80,"進行中")</f>
        <v/>
      </c>
      <c r="E10" s="11">
        <f>COUNTIFS('01_WBS'!$A$2:$A$80,$A10,'01_WBS'!$I$2:$I$80,"要対応")</f>
        <v/>
      </c>
      <c r="F10" s="11">
        <f>COUNTIFS('01_WBS'!$A$2:$A$80,$A10,'01_WBS'!$I$2:$I$80,"データ待ち")</f>
        <v/>
      </c>
      <c r="G10" s="11">
        <f>COUNTIFS('01_WBS'!$A$2:$A$80,$A10,'01_WBS'!$I$2:$I$80,"未着手")</f>
        <v/>
      </c>
      <c r="H10" s="18">
        <f>IF(SUMPRODUCT(('01_WBS'!$A$2:$A$80=$A10)*'01_WBS'!$K$2:$K$80)=0,0,SUMPRODUCT(('01_WBS'!$A$2:$A$80=$A10)*'01_WBS'!$J$2:$J$80*'01_WBS'!$K$2:$K$80)/SUMPRODUCT(('01_WBS'!$A$2:$A$80=$A10)*'01_WBS'!$K$2:$K$80)/100)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COUNTIF('01_WBS'!$A$2:$A$80,$A11)</f>
        <v/>
      </c>
      <c r="C11" s="11">
        <f>COUNTIFS('01_WBS'!$A$2:$A$80,$A11,'01_WBS'!$I$2:$I$80,"完了")</f>
        <v/>
      </c>
      <c r="D11" s="11">
        <f>COUNTIFS('01_WBS'!$A$2:$A$80,$A11,'01_WBS'!$I$2:$I$80,"進行中")</f>
        <v/>
      </c>
      <c r="E11" s="11">
        <f>COUNTIFS('01_WBS'!$A$2:$A$80,$A11,'01_WBS'!$I$2:$I$80,"要対応")</f>
        <v/>
      </c>
      <c r="F11" s="11">
        <f>COUNTIFS('01_WBS'!$A$2:$A$80,$A11,'01_WBS'!$I$2:$I$80,"データ待ち")</f>
        <v/>
      </c>
      <c r="G11" s="11">
        <f>COUNTIFS('01_WBS'!$A$2:$A$80,$A11,'01_WBS'!$I$2:$I$80,"未着手")</f>
        <v/>
      </c>
      <c r="H11" s="18">
        <f>IF(SUMPRODUCT(('01_WBS'!$A$2:$A$80=$A11)*'01_WBS'!$K$2:$K$80)=0,0,SUMPRODUCT(('01_WBS'!$A$2:$A$80=$A11)*'01_WBS'!$J$2:$J$80*'01_WBS'!$K$2:$K$80)/SUMPRODUCT(('01_WBS'!$A$2:$A$80=$A11)*'01_WBS'!$K$2:$K$80)/100)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IF(SUMPRODUCT('01_WBS'!$K$2:$K$80)=0,0,SUMPRODUCT('01_WBS'!$J$2:$J$80*'01_WBS'!$K$2:$K$80)/SUMPRODUCT('01_WBS'!$K$2:$K$80)/100)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3"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3"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2" t="inlineStr">
        <is>
          <t>完了</t>
        </is>
      </c>
      <c r="E2" s="4" t="inlineStr">
        <is>
          <t>調査票は8月25日版で確定</t>
        </is>
      </c>
    </row>
    <row r="3">
      <c r="A3" s="11" t="inlineStr">
        <is>
          <t>2026-08〜09</t>
        </is>
      </c>
      <c r="B3" s="4" t="inlineStr">
        <is>
          <t>アンケートの印刷・封入・発送</t>
        </is>
      </c>
      <c r="C3" s="11" t="inlineStr">
        <is>
          <t>受託者</t>
        </is>
      </c>
      <c r="D3" s="12" t="inlineStr">
        <is>
          <t>完了</t>
        </is>
      </c>
      <c r="E3" s="4" t="inlineStr">
        <is>
          <t>令和8年8月31日発送</t>
        </is>
      </c>
    </row>
    <row r="4">
      <c r="A4" s="11" t="inlineStr">
        <is>
          <t>2026-09</t>
        </is>
      </c>
      <c r="B4" s="4" t="inlineStr">
        <is>
          <t>アンケートの回収、村実績データの受領</t>
        </is>
      </c>
      <c r="C4" s="11" t="inlineStr">
        <is>
          <t>北塩原村・受託者</t>
        </is>
      </c>
      <c r="D4" s="16" t="inlineStr">
        <is>
          <t>要対応</t>
        </is>
      </c>
      <c r="E4" s="4" t="inlineStr">
        <is>
          <t>回収は9月25日で終了。村実績データ（Ｍ-19・Ｍ-18）は未受領</t>
        </is>
      </c>
    </row>
    <row r="5">
      <c r="A5" s="11" t="inlineStr">
        <is>
          <t>2026-10</t>
        </is>
      </c>
      <c r="B5" s="4" t="inlineStr">
        <is>
          <t>データ入力・集計、現行計画の評価の確定</t>
        </is>
      </c>
      <c r="C5" s="11" t="inlineStr">
        <is>
          <t>受託者</t>
        </is>
      </c>
      <c r="D5" s="13" t="inlineStr">
        <is>
          <t>進行中</t>
        </is>
      </c>
      <c r="E5" s="4" t="inlineStr">
        <is>
          <t>厚生労働省の集計様式による入力。少数母数の公表基準を事前に合意する</t>
        </is>
      </c>
    </row>
    <row r="6">
      <c r="A6" s="11" t="inlineStr">
        <is>
          <t>2026-10</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2026-11</t>
        </is>
      </c>
      <c r="B7" s="4" t="inlineStr">
        <is>
          <t>策定委員会（第2回）の資料の作成・修正</t>
        </is>
      </c>
      <c r="C7" s="11" t="inlineStr">
        <is>
          <t>当社・北塩原村</t>
        </is>
      </c>
      <c r="D7" s="13" t="inlineStr">
        <is>
          <t>進行中</t>
        </is>
      </c>
      <c r="E7" s="4" t="inlineStr">
        <is>
          <t>計画素案、前回計画の評価、アンケート分析報告書の3本と、それらを要約した策定委員会資料。方針資料は10月開催としていたが11月にずれ込んだ</t>
        </is>
      </c>
    </row>
    <row r="8">
      <c r="A8" s="11" t="inlineStr">
        <is>
          <t>2026-11〜12</t>
        </is>
      </c>
      <c r="B8" s="4" t="inlineStr">
        <is>
          <t>計画素案の修正・庁内調整</t>
        </is>
      </c>
      <c r="C8" s="11" t="inlineStr">
        <is>
          <t>当社・北塩原村</t>
        </is>
      </c>
      <c r="D8" s="17" t="inlineStr">
        <is>
          <t>未着手</t>
        </is>
      </c>
      <c r="E8" s="4" t="inlineStr">
        <is>
          <t>策定委員会の意見の反映。見込量は村の実績データの受領により確定する</t>
        </is>
      </c>
    </row>
    <row r="9">
      <c r="A9" s="11" t="inlineStr">
        <is>
          <t>2026-12</t>
        </is>
      </c>
      <c r="B9" s="4" t="inlineStr">
        <is>
          <t>４町村広域の障がい者自立支援協議会（協議）</t>
        </is>
      </c>
      <c r="C9" s="11" t="inlineStr">
        <is>
          <t>北塩原村・当社</t>
        </is>
      </c>
      <c r="D9" s="17" t="inlineStr">
        <is>
          <t>未着手</t>
        </is>
      </c>
      <c r="E9" s="4" t="inlineStr">
        <is>
          <t>方針資料・策定委員会資料のいずれにも日程がない工程。広域で確保するサービス（基幹相談支援センター、地域生活支援拠点、医療的ケア児等支援の協議の場）を協議する</t>
        </is>
      </c>
    </row>
    <row r="10">
      <c r="A10" s="11" t="inlineStr">
        <is>
          <t>2027-01</t>
        </is>
      </c>
      <c r="B10" s="4" t="inlineStr">
        <is>
          <t>北塩原村障がい者自立支援協議会（計画案の審議）</t>
        </is>
      </c>
      <c r="C10" s="11" t="inlineStr">
        <is>
          <t>北塩原村・当社</t>
        </is>
      </c>
      <c r="D10" s="17" t="inlineStr">
        <is>
          <t>未着手</t>
        </is>
      </c>
      <c r="E10" s="4" t="inlineStr">
        <is>
          <t>報告・説明は村。受託者は資料作成・出席・記録作成</t>
        </is>
      </c>
    </row>
    <row r="11">
      <c r="A11" s="11" t="inlineStr">
        <is>
          <t>2027-01〜02</t>
        </is>
      </c>
      <c r="B11" s="4" t="inlineStr">
        <is>
          <t>パブリックコメントの実施（15日間）</t>
        </is>
      </c>
      <c r="C11" s="11" t="inlineStr">
        <is>
          <t>北塩原村</t>
        </is>
      </c>
      <c r="D11" s="17" t="inlineStr">
        <is>
          <t>未着手</t>
        </is>
      </c>
      <c r="E11" s="4" t="inlineStr">
        <is>
          <t>前回計画では2週間実施（令和6年2月9日〜23日）で意見0件。周知の方法を見直す</t>
        </is>
      </c>
    </row>
    <row r="12">
      <c r="A12" s="11" t="inlineStr">
        <is>
          <t>2027-02</t>
        </is>
      </c>
      <c r="B12" s="4" t="inlineStr">
        <is>
          <t>結果の整理と計画案の修正、庁議（計画の決定）</t>
        </is>
      </c>
      <c r="C12" s="11" t="inlineStr">
        <is>
          <t>北塩原村・当社</t>
        </is>
      </c>
      <c r="D12" s="17" t="inlineStr">
        <is>
          <t>未着手</t>
        </is>
      </c>
      <c r="E12" s="4" t="inlineStr">
        <is>
          <t>庁議は2月19日。ここで本文が確定する</t>
        </is>
      </c>
    </row>
    <row r="13">
      <c r="A13" s="11" t="inlineStr">
        <is>
          <t>2027-02</t>
        </is>
      </c>
      <c r="B13" s="4" t="inlineStr">
        <is>
          <t>議会全員協議会（令和9年度主要事業）、目次と頁数の確定</t>
        </is>
      </c>
      <c r="C13" s="11" t="inlineStr">
        <is>
          <t>北塩原村・当社</t>
        </is>
      </c>
      <c r="D13" s="17" t="inlineStr">
        <is>
          <t>未着手</t>
        </is>
      </c>
      <c r="E13" s="4" t="inlineStr">
        <is>
          <t>議会への説明は計画の決定の後に置く。Ｗｏｒｄの目次の更新は当方の環境ではできないため他メンバー又は村に依頼する</t>
        </is>
      </c>
    </row>
    <row r="14">
      <c r="A14" s="11" t="inlineStr">
        <is>
          <t>2027-02〜03</t>
        </is>
      </c>
      <c r="B14" s="4" t="inlineStr">
        <is>
          <t>初校・再校・校了</t>
        </is>
      </c>
      <c r="C14" s="11" t="inlineStr">
        <is>
          <t>当社・北塩原村</t>
        </is>
      </c>
      <c r="D14" s="17" t="inlineStr">
        <is>
          <t>未着手</t>
        </is>
      </c>
      <c r="E14" s="4" t="inlineStr">
        <is>
          <t>初校2月26日、再校3月5日、校了3月12日</t>
        </is>
      </c>
    </row>
    <row r="15">
      <c r="A15" s="11" t="inlineStr">
        <is>
          <t>2027-03</t>
        </is>
      </c>
      <c r="B15" s="4" t="inlineStr">
        <is>
          <t>入稿・印刷・製本・納品</t>
        </is>
      </c>
      <c r="C15" s="11" t="inlineStr">
        <is>
          <t>当社</t>
        </is>
      </c>
      <c r="D15" s="17" t="inlineStr">
        <is>
          <t>未着手</t>
        </is>
      </c>
      <c r="E15" s="4" t="inlineStr">
        <is>
          <t>計画書30部、アンケート報告書10部、電子媒体一式。3月22日は春分の日の振替休日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計画値の基礎とする系列（Ｍ-19）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4" t="inlineStr">
        <is>
          <t>未受領</t>
        </is>
      </c>
      <c r="H2" s="11" t="inlineStr">
        <is>
          <t>2026-10-09</t>
        </is>
      </c>
      <c r="I2" s="11" t="n"/>
      <c r="J2" s="17" t="inlineStr">
        <is>
          <t>未着手</t>
        </is>
      </c>
    </row>
    <row r="3">
      <c r="A3" s="21" t="inlineStr">
        <is>
          <t>最優先</t>
        </is>
      </c>
      <c r="B3" s="4" t="inlineStr">
        <is>
          <t>移行管理台帳（Ｍ-18）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3" s="4" t="inlineStr">
        <is>
          <t>計画素案 第5章1・第5章2（第2次算定の入力）</t>
        </is>
      </c>
      <c r="E3" s="4" t="inlineStr">
        <is>
          <t>5-10・7-2・7-3・8-10</t>
        </is>
      </c>
      <c r="F3" s="11" t="inlineStr">
        <is>
          <t>北塩原村</t>
        </is>
      </c>
      <c r="G3" s="14" t="inlineStr">
        <is>
          <t>未受領</t>
        </is>
      </c>
      <c r="H3" s="11" t="inlineStr">
        <is>
          <t>2026-10-09</t>
        </is>
      </c>
      <c r="I3" s="11" t="n"/>
      <c r="J3" s="17" t="inlineStr">
        <is>
          <t>未着手</t>
        </is>
      </c>
    </row>
    <row r="4">
      <c r="A4" s="21" t="inlineStr">
        <is>
          <t>最優先</t>
        </is>
      </c>
      <c r="B4" s="4" t="inlineStr">
        <is>
          <t>施設入所支援4人の支給決定の内容（Ｍ-13）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4" t="inlineStr">
        <is>
          <t>未受領</t>
        </is>
      </c>
      <c r="H4" s="11" t="inlineStr">
        <is>
          <t>2026-10-09</t>
        </is>
      </c>
      <c r="I4" s="11" t="n"/>
      <c r="J4" s="17" t="inlineStr">
        <is>
          <t>未着手</t>
        </is>
      </c>
    </row>
    <row r="5">
      <c r="A5" s="21" t="inlineStr">
        <is>
          <t>最優先</t>
        </is>
      </c>
      <c r="B5" s="4" t="inlineStr">
        <is>
          <t>介護保険の第2号被保険者との重なり（Ｍ-14）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4" t="inlineStr">
        <is>
          <t>未受領</t>
        </is>
      </c>
      <c r="H5" s="11" t="inlineStr">
        <is>
          <t>2026-10-09</t>
        </is>
      </c>
      <c r="I5" s="11" t="n"/>
      <c r="J5" s="17" t="inlineStr">
        <is>
          <t>未着手</t>
        </is>
      </c>
    </row>
    <row r="6">
      <c r="A6" s="22" t="inlineStr">
        <is>
          <t>高</t>
        </is>
      </c>
      <c r="B6" s="4" t="inlineStr">
        <is>
          <t>相談支援の体制（Ｍ-20）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4" t="inlineStr">
        <is>
          <t>未受領</t>
        </is>
      </c>
      <c r="H6" s="11" t="inlineStr">
        <is>
          <t>2026-10-09</t>
        </is>
      </c>
      <c r="I6" s="11" t="n"/>
      <c r="J6" s="17" t="inlineStr">
        <is>
          <t>未着手</t>
        </is>
      </c>
    </row>
    <row r="7">
      <c r="A7" s="21" t="inlineStr">
        <is>
          <t>最優先</t>
        </is>
      </c>
      <c r="B7" s="4" t="inlineStr">
        <is>
          <t>グループホーム・福祉ホームの設置の予定（Ｍ-37）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4" t="inlineStr">
        <is>
          <t>未受領</t>
        </is>
      </c>
      <c r="H7" s="11" t="inlineStr">
        <is>
          <t>2026-10-16</t>
        </is>
      </c>
      <c r="I7" s="11" t="n"/>
      <c r="J7" s="17" t="inlineStr">
        <is>
          <t>未着手</t>
        </is>
      </c>
    </row>
    <row r="8">
      <c r="A8" s="22" t="inlineStr">
        <is>
          <t>高</t>
        </is>
      </c>
      <c r="B8" s="4" t="inlineStr">
        <is>
          <t>物品調達の実績（Ｍ-34）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4" t="inlineStr">
        <is>
          <t>未受領</t>
        </is>
      </c>
      <c r="H8" s="11" t="inlineStr">
        <is>
          <t>2026-10-31</t>
        </is>
      </c>
      <c r="I8" s="11" t="n"/>
      <c r="J8" s="17" t="inlineStr">
        <is>
          <t>未着手</t>
        </is>
      </c>
    </row>
    <row r="9">
      <c r="A9" s="22" t="inlineStr">
        <is>
          <t>高</t>
        </is>
      </c>
      <c r="B9" s="4" t="inlineStr">
        <is>
          <t>社会福祉法改正への対応（Ｍ-35）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4" t="inlineStr">
        <is>
          <t>未受領</t>
        </is>
      </c>
      <c r="H9" s="11" t="inlineStr">
        <is>
          <t>2026-10-31</t>
        </is>
      </c>
      <c r="I9" s="11" t="n"/>
      <c r="J9" s="17" t="inlineStr">
        <is>
          <t>未着手</t>
        </is>
      </c>
    </row>
    <row r="10">
      <c r="A10" s="11" t="inlineStr">
        <is>
          <t>中</t>
        </is>
      </c>
      <c r="B10" s="4" t="inlineStr">
        <is>
          <t>防災の取組の状況（Ｍ-36）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4" t="inlineStr">
        <is>
          <t>未受領</t>
        </is>
      </c>
      <c r="H10" s="11" t="inlineStr">
        <is>
          <t>2026-10-31</t>
        </is>
      </c>
      <c r="I10" s="11" t="n"/>
      <c r="J10" s="17" t="inlineStr">
        <is>
          <t>未着手</t>
        </is>
      </c>
    </row>
    <row r="11">
      <c r="A11" s="22" t="inlineStr">
        <is>
          <t>高</t>
        </is>
      </c>
      <c r="B11" s="4" t="inlineStr">
        <is>
          <t>排泄管理支援用具の増減の理由（Ｍ-38）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4" t="inlineStr">
        <is>
          <t>未受領</t>
        </is>
      </c>
      <c r="H11" s="11" t="inlineStr">
        <is>
          <t>2026-10-31</t>
        </is>
      </c>
      <c r="I11" s="11" t="n"/>
      <c r="J11" s="17" t="inlineStr">
        <is>
          <t>未着手</t>
        </is>
      </c>
    </row>
    <row r="12">
      <c r="A12" s="22" t="inlineStr">
        <is>
          <t>高</t>
        </is>
      </c>
      <c r="B12" s="4" t="inlineStr">
        <is>
          <t>成年後見の類型別内訳（Ｍ-39）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4" t="inlineStr">
        <is>
          <t>未受領</t>
        </is>
      </c>
      <c r="H12" s="11" t="inlineStr">
        <is>
          <t>2026-10-31</t>
        </is>
      </c>
      <c r="I12" s="11" t="n"/>
      <c r="J12" s="17" t="inlineStr">
        <is>
          <t>未着手</t>
        </is>
      </c>
    </row>
    <row r="13">
      <c r="A13" s="22" t="inlineStr">
        <is>
          <t>高</t>
        </is>
      </c>
      <c r="B13" s="4" t="inlineStr">
        <is>
          <t>指定難病による対象者（Ｍ-32）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4" t="inlineStr">
        <is>
          <t>未受領</t>
        </is>
      </c>
      <c r="H13" s="11" t="inlineStr">
        <is>
          <t>2026-10-31</t>
        </is>
      </c>
      <c r="I13" s="11" t="n"/>
      <c r="J13" s="17" t="inlineStr">
        <is>
          <t>未着手</t>
        </is>
      </c>
    </row>
    <row r="14">
      <c r="A14" s="22" t="inlineStr">
        <is>
          <t>高</t>
        </is>
      </c>
      <c r="B14" s="4" t="inlineStr">
        <is>
          <t>9月30日時点の人口・手帳所持者数（Ｍ-28）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4" t="inlineStr">
        <is>
          <t>未受領</t>
        </is>
      </c>
      <c r="H14" s="11" t="inlineStr">
        <is>
          <t>2026-10-16</t>
        </is>
      </c>
      <c r="I14" s="11" t="n"/>
      <c r="J14" s="17" t="inlineStr">
        <is>
          <t>未着手</t>
        </is>
      </c>
    </row>
    <row r="15">
      <c r="A15" s="22" t="inlineStr">
        <is>
          <t>高</t>
        </is>
      </c>
      <c r="B15" s="4" t="inlineStr">
        <is>
          <t>こども・子育て計画の人口推計の元データ（Ｍ-29）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4" t="inlineStr">
        <is>
          <t>未受領</t>
        </is>
      </c>
      <c r="H15" s="11" t="inlineStr">
        <is>
          <t>2026-10-16</t>
        </is>
      </c>
      <c r="I15" s="11" t="n"/>
      <c r="J15" s="17" t="inlineStr">
        <is>
          <t>未着手</t>
        </is>
      </c>
    </row>
    <row r="16">
      <c r="A16" s="11" t="inlineStr">
        <is>
          <t>中</t>
        </is>
      </c>
      <c r="B16" s="4" t="inlineStr">
        <is>
          <t>職場適応訓練等の実績（Ｍ-30）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4" t="inlineStr">
        <is>
          <t>未受領</t>
        </is>
      </c>
      <c r="H16" s="11" t="inlineStr">
        <is>
          <t>2026-10-31</t>
        </is>
      </c>
      <c r="I16" s="11" t="n"/>
      <c r="J16" s="17" t="inlineStr">
        <is>
          <t>未着手</t>
        </is>
      </c>
    </row>
    <row r="17">
      <c r="A17" s="22" t="inlineStr">
        <is>
          <t>高</t>
        </is>
      </c>
      <c r="B17" s="4" t="inlineStr">
        <is>
          <t>地域生活支援事業・社協で担える範囲（Ｍ-31）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4" t="inlineStr">
        <is>
          <t>未受領</t>
        </is>
      </c>
      <c r="H17" s="11" t="inlineStr">
        <is>
          <t>2026-10-31</t>
        </is>
      </c>
      <c r="I17" s="11" t="n"/>
      <c r="J17" s="17" t="inlineStr">
        <is>
          <t>未着手</t>
        </is>
      </c>
    </row>
    <row r="18">
      <c r="A18" s="21" t="inlineStr">
        <is>
          <t>最優先</t>
        </is>
      </c>
      <c r="B18" s="4" t="inlineStr">
        <is>
          <t>重度障がい者の人数（Ｍ-22）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4" t="inlineStr">
        <is>
          <t>未受領</t>
        </is>
      </c>
      <c r="H18" s="11" t="inlineStr">
        <is>
          <t>2026-10-16</t>
        </is>
      </c>
      <c r="I18" s="11" t="n"/>
      <c r="J18" s="17" t="inlineStr">
        <is>
          <t>未着手</t>
        </is>
      </c>
    </row>
    <row r="19">
      <c r="A19" s="21" t="inlineStr">
        <is>
          <t>最優先</t>
        </is>
      </c>
      <c r="B19" s="4" t="inlineStr">
        <is>
          <t>施設入所者4人の6項目の確認状況（Ｍ-23）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4" t="inlineStr">
        <is>
          <t>未受領</t>
        </is>
      </c>
      <c r="H19" s="11" t="inlineStr">
        <is>
          <t>2026-10-16</t>
        </is>
      </c>
      <c r="I19" s="11" t="n"/>
      <c r="J19" s="17" t="inlineStr">
        <is>
          <t>未着手</t>
        </is>
      </c>
    </row>
    <row r="20">
      <c r="A20" s="21" t="inlineStr">
        <is>
          <t>最優先</t>
        </is>
      </c>
      <c r="B20" s="4" t="inlineStr">
        <is>
          <t>村外の利用事業所の一覧（Ｍ-24）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4" t="inlineStr">
        <is>
          <t>未受領</t>
        </is>
      </c>
      <c r="H20" s="11" t="inlineStr">
        <is>
          <t>2026-10-16</t>
        </is>
      </c>
      <c r="I20" s="11" t="n"/>
      <c r="J20" s="17" t="inlineStr">
        <is>
          <t>未着手</t>
        </is>
      </c>
    </row>
    <row r="21">
      <c r="A21" s="22" t="inlineStr">
        <is>
          <t>高</t>
        </is>
      </c>
      <c r="B21" s="4" t="inlineStr">
        <is>
          <t>事業所の経営基盤（Ｍ-25）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4" t="inlineStr">
        <is>
          <t>未受領</t>
        </is>
      </c>
      <c r="H21" s="11" t="inlineStr">
        <is>
          <t>2026-10-31</t>
        </is>
      </c>
      <c r="I21" s="11" t="n"/>
      <c r="J21" s="17" t="inlineStr">
        <is>
          <t>未着手</t>
        </is>
      </c>
    </row>
    <row r="22">
      <c r="A22" s="22" t="inlineStr">
        <is>
          <t>高</t>
        </is>
      </c>
      <c r="B22" s="4" t="inlineStr">
        <is>
          <t>成人の医療的ケア者・重症心身障害者（Ｍ-26）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4" t="inlineStr">
        <is>
          <t>未受領</t>
        </is>
      </c>
      <c r="H22" s="11" t="inlineStr">
        <is>
          <t>2026-10-16</t>
        </is>
      </c>
      <c r="I22" s="11" t="n"/>
      <c r="J22" s="17" t="inlineStr">
        <is>
          <t>未着手</t>
        </is>
      </c>
    </row>
    <row r="23">
      <c r="A23" s="22" t="inlineStr">
        <is>
          <t>高</t>
        </is>
      </c>
      <c r="B23" s="4" t="inlineStr">
        <is>
          <t>退院者1人の生活の見通し（Ｍ-27）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4" t="inlineStr">
        <is>
          <t>未受領</t>
        </is>
      </c>
      <c r="H23" s="11" t="inlineStr">
        <is>
          <t>2026-10-16</t>
        </is>
      </c>
      <c r="I23" s="11" t="n"/>
      <c r="J23" s="17" t="inlineStr">
        <is>
          <t>未着手</t>
        </is>
      </c>
    </row>
    <row r="24">
      <c r="A24" s="22" t="inlineStr">
        <is>
          <t>高</t>
        </is>
      </c>
      <c r="B24" s="4" t="inlineStr">
        <is>
          <t>卒業予定者の一覧（Ｍ-21）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4"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高齢者サービスの手引きと高齢者福祉施策の対象要件（Ｍ-50）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4" t="inlineStr">
        <is>
          <t>一部受領</t>
        </is>
      </c>
      <c r="H26" s="11" t="inlineStr">
        <is>
          <t>2026-10-20</t>
        </is>
      </c>
      <c r="I26" s="11" t="n"/>
      <c r="J26" s="13" t="inlineStr">
        <is>
          <t>進行中</t>
        </is>
      </c>
    </row>
    <row r="27">
      <c r="A27" s="22" t="inlineStr">
        <is>
          <t>高</t>
        </is>
      </c>
      <c r="B27" s="4" t="inlineStr">
        <is>
          <t>高齢者世帯等除雪サービス事業の「等」の範囲（Ｍ-49）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4" t="inlineStr">
        <is>
          <t>一部受領</t>
        </is>
      </c>
      <c r="H27" s="11" t="inlineStr">
        <is>
          <t>2026-10-20</t>
        </is>
      </c>
      <c r="I27" s="11" t="n"/>
      <c r="J27" s="13" t="inlineStr">
        <is>
          <t>進行中</t>
        </is>
      </c>
    </row>
    <row r="28">
      <c r="A28" s="22" t="inlineStr">
        <is>
          <t>高</t>
        </is>
      </c>
      <c r="B28" s="4" t="inlineStr">
        <is>
          <t>権利擁護・成年後見の件数（Ｍ-51）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4" t="inlineStr">
        <is>
          <t>未受領</t>
        </is>
      </c>
      <c r="H28" s="11" t="inlineStr">
        <is>
          <t>2026-10-20</t>
        </is>
      </c>
      <c r="I28" s="11" t="n"/>
      <c r="J28" s="17" t="inlineStr">
        <is>
          <t>未着手</t>
        </is>
      </c>
    </row>
    <row r="29">
      <c r="A29" s="11" t="inlineStr">
        <is>
          <t>中</t>
        </is>
      </c>
      <c r="B29" s="4" t="inlineStr">
        <is>
          <t>緊急連絡カードの配布対象と障がい分野での活用（Ｍ-52）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4" t="inlineStr">
        <is>
          <t>一部受領</t>
        </is>
      </c>
      <c r="H29" s="11" t="inlineStr">
        <is>
          <t>2026-10-20</t>
        </is>
      </c>
      <c r="I29" s="11" t="n"/>
      <c r="J29" s="13" t="inlineStr">
        <is>
          <t>進行中</t>
        </is>
      </c>
    </row>
    <row r="30">
      <c r="A30" s="11" t="inlineStr">
        <is>
          <t>中</t>
        </is>
      </c>
      <c r="B30" s="4" t="inlineStr">
        <is>
          <t>地域生活支援拠点等の5機能の実績（Ｍ-54）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4" t="inlineStr">
        <is>
          <t>未受領</t>
        </is>
      </c>
      <c r="H30" s="11" t="inlineStr">
        <is>
          <t>2026-10-27</t>
        </is>
      </c>
      <c r="I30" s="11" t="n"/>
      <c r="J30" s="17" t="inlineStr">
        <is>
          <t>未着手</t>
        </is>
      </c>
    </row>
    <row r="31">
      <c r="A31" s="22" t="inlineStr">
        <is>
          <t>高</t>
        </is>
      </c>
      <c r="B31" s="4" t="inlineStr">
        <is>
          <t>除雪サービスの利用実績と助成の内容（Ｍ-55・Ｍ-56）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4" t="inlineStr">
        <is>
          <t>未受領</t>
        </is>
      </c>
      <c r="H31" s="11" t="inlineStr">
        <is>
          <t>2026-10-20</t>
        </is>
      </c>
      <c r="I31" s="11" t="n"/>
      <c r="J31" s="17" t="inlineStr">
        <is>
          <t>未着手</t>
        </is>
      </c>
    </row>
    <row r="32">
      <c r="A32" s="11" t="inlineStr">
        <is>
          <t>中</t>
        </is>
      </c>
      <c r="B32" s="4" t="inlineStr">
        <is>
          <t>冬季の除雪の供給の制約とつなぐ運用（Ｍ-57・Ｍ-58）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4" t="inlineStr">
        <is>
          <t>未受領</t>
        </is>
      </c>
      <c r="H32" s="11" t="inlineStr">
        <is>
          <t>2026-10-27</t>
        </is>
      </c>
      <c r="I32" s="11" t="n"/>
      <c r="J32" s="17" t="inlineStr">
        <is>
          <t>未着手</t>
        </is>
      </c>
    </row>
    <row r="33">
      <c r="A33" s="22" t="inlineStr">
        <is>
          <t>高</t>
        </is>
      </c>
      <c r="B33" s="4" t="inlineStr">
        <is>
          <t>手話施策の実績（Ｍ-59・Ｍ-60）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4"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人工透析通院交通費助成と除雪の障がい者世帯の利用実績（Ｍ-64・Ｍ-65）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4" t="inlineStr">
        <is>
          <t>未受領</t>
        </is>
      </c>
      <c r="H34" s="11" t="inlineStr">
        <is>
          <t>2026-10-20</t>
        </is>
      </c>
      <c r="I34" s="11" t="n"/>
      <c r="J34" s="17" t="inlineStr">
        <is>
          <t>未着手</t>
        </is>
      </c>
    </row>
    <row r="35">
      <c r="A35" s="22" t="inlineStr">
        <is>
          <t>高</t>
        </is>
      </c>
      <c r="B35" s="4" t="inlineStr">
        <is>
          <t>障がい者活躍推進計画と物品調達方針（Ｍ-67・Ｍ-68）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4" t="inlineStr">
        <is>
          <t>未受領</t>
        </is>
      </c>
      <c r="H35" s="11" t="inlineStr">
        <is>
          <t>2026-10-20</t>
        </is>
      </c>
      <c r="I35" s="11" t="n"/>
      <c r="J35" s="17" t="inlineStr">
        <is>
          <t>未着手</t>
        </is>
      </c>
    </row>
    <row r="36">
      <c r="A36" s="11" t="inlineStr">
        <is>
          <t>中</t>
        </is>
      </c>
      <c r="B36" s="4" t="inlineStr">
        <is>
          <t>情報保障の配布実績と差別に関する相談（Ｍ-61〜Ｍ-63）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4" t="inlineStr">
        <is>
          <t>未受領</t>
        </is>
      </c>
      <c r="H36" s="11" t="inlineStr">
        <is>
          <t>2026-10-27</t>
        </is>
      </c>
      <c r="I36" s="11" t="n"/>
      <c r="J36" s="17" t="inlineStr">
        <is>
          <t>未着手</t>
        </is>
      </c>
    </row>
    <row r="37">
      <c r="A37" s="11" t="inlineStr">
        <is>
          <t>低</t>
        </is>
      </c>
      <c r="B37" s="4" t="inlineStr">
        <is>
          <t>パラスポーツへの村民の参加（Ｍ-66）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4" t="inlineStr">
        <is>
          <t>未受領</t>
        </is>
      </c>
      <c r="H37" s="11" t="inlineStr">
        <is>
          <t>2026-10-27</t>
        </is>
      </c>
      <c r="I37" s="11" t="n"/>
      <c r="J37" s="17" t="inlineStr">
        <is>
          <t>未着手</t>
        </is>
      </c>
    </row>
    <row r="38">
      <c r="A38" s="11" t="inlineStr">
        <is>
          <t>低</t>
        </is>
      </c>
      <c r="B38" s="4" t="inlineStr">
        <is>
          <t>就労の受け皿（職親委託等）の実績（Ｍ-53）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4"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4"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4"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4"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4" t="inlineStr">
        <is>
          <t>県照会中</t>
        </is>
      </c>
      <c r="H43" s="11" t="inlineStr">
        <is>
          <t>2026-10-31</t>
        </is>
      </c>
      <c r="I43" s="11" t="n"/>
      <c r="J43" s="14"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4"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4"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4"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4"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4"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4"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令和8年10月14日の集計表の改訂版で配布数が確定（障がい者172・障がい児6）。内訳は身体118名・精神1名・療育8名・入所等12名で合計139名であり、配布数172と33名の差がある（Ｍ-128）</t>
        </is>
      </c>
      <c r="D50" s="4" t="inlineStr">
        <is>
          <t>契約管理5／アンケート発送設計</t>
        </is>
      </c>
      <c r="E50" s="4" t="inlineStr">
        <is>
          <t>4-1（精度：4-6）</t>
        </is>
      </c>
      <c r="F50" s="11" t="inlineStr">
        <is>
          <t>北塩原村</t>
        </is>
      </c>
      <c r="G50" s="14" t="inlineStr">
        <is>
          <t>一部受領</t>
        </is>
      </c>
      <c r="H50" s="11" t="inlineStr">
        <is>
          <t>2026-08-05</t>
        </is>
      </c>
      <c r="I50" s="11" t="n"/>
      <c r="J50" s="13" t="inlineStr">
        <is>
          <t>進行中</t>
        </is>
      </c>
    </row>
    <row r="51">
      <c r="A51" s="22" t="inlineStr">
        <is>
          <t>高</t>
        </is>
      </c>
      <c r="B51" s="4" t="inlineStr">
        <is>
          <t>宛名ラベルシール</t>
        </is>
      </c>
      <c r="C51" s="4" t="inlineStr">
        <is>
          <t>仕様書Ⅰ(1)により委託者が抽出し提供。令和8年8月31日の発送に用いられた</t>
        </is>
      </c>
      <c r="D51" s="4" t="inlineStr">
        <is>
          <t>アンケート発送</t>
        </is>
      </c>
      <c r="E51" s="4" t="inlineStr">
        <is>
          <t>4-1（精度：4-6）</t>
        </is>
      </c>
      <c r="F51" s="11" t="inlineStr">
        <is>
          <t>北塩原村</t>
        </is>
      </c>
      <c r="G51" s="11" t="inlineStr">
        <is>
          <t>受領済</t>
        </is>
      </c>
      <c r="H51" s="11" t="inlineStr">
        <is>
          <t>2026-08-05</t>
        </is>
      </c>
      <c r="I51" s="11" t="n"/>
      <c r="J51" s="12" t="inlineStr">
        <is>
          <t>完了</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4"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4"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4"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4"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4"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4"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4" t="inlineStr">
        <is>
          <t>一部受領</t>
        </is>
      </c>
      <c r="H60" s="11" t="inlineStr">
        <is>
          <t>2026-10-31</t>
        </is>
      </c>
      <c r="I60" s="11" t="n"/>
      <c r="J60" s="13"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4" t="inlineStr">
        <is>
          <t>一部受領</t>
        </is>
      </c>
      <c r="H61" s="11" t="inlineStr">
        <is>
          <t>2026-09-30</t>
        </is>
      </c>
      <c r="I61" s="11" t="n"/>
      <c r="J61" s="13"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4" t="inlineStr">
        <is>
          <t>一部受領</t>
        </is>
      </c>
      <c r="H62" s="11" t="inlineStr">
        <is>
          <t>2026-09-30</t>
        </is>
      </c>
      <c r="I62" s="11" t="n"/>
      <c r="J62" s="13"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4"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4"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4"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4"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4"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現況：69件のうち受領済8件・一部受領7件・県照会中1件・未受領53件。見込量の基礎となる系列（Ｍ-19）は1件の回答で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策定委員会</t>
        </is>
      </c>
      <c r="B3" s="11" t="inlineStr">
        <is>
          <t>第2回</t>
        </is>
      </c>
      <c r="C3" s="11" t="inlineStr">
        <is>
          <t>令和8年11月</t>
        </is>
      </c>
      <c r="D3" s="4" t="inlineStr">
        <is>
          <t>計画素案、前回計画の評価、アンケート調査の結果報告、計画素案の検討（概要版を含む）</t>
        </is>
      </c>
      <c r="E3" s="16" t="inlineStr">
        <is>
          <t>要対応</t>
        </is>
      </c>
      <c r="F3" s="4" t="inlineStr">
        <is>
          <t>村の計画策定方針は10月開催としていたが11月にずれ込んだ。村から策定委員会資料（令和8年10月13日受領）を受けて修正箇所を整理済み。開催日を村に確認する（Ｍ-40・Ｍ-125）</t>
        </is>
      </c>
    </row>
    <row r="4">
      <c r="A4" s="4" t="inlineStr">
        <is>
          <t>北塩原村障がい者自立支援協議会（4町村広域）</t>
        </is>
      </c>
      <c r="B4" s="11" t="inlineStr">
        <is>
          <t>第3回</t>
        </is>
      </c>
      <c r="C4" s="11" t="inlineStr">
        <is>
          <t>令和8年12月</t>
        </is>
      </c>
      <c r="D4" s="4" t="inlineStr">
        <is>
          <t>広域で確保するサービスの協議（基幹相談支援センター、地域生活支援拠点、医療的ケア児等支援の協議の場）</t>
        </is>
      </c>
      <c r="E4" s="17" t="inlineStr">
        <is>
          <t>未着手</t>
        </is>
      </c>
      <c r="F4" s="4" t="inlineStr">
        <is>
          <t>村の方針では猪苗代町・磐梯町・湯川村・本村の4町村広域。方針資料・策定委員会資料のスケジュール表には注記としてしか書かれていないため工程表に入れた（Ｍ-125）。正本 第1章5（5）に4町村広域の協議会を加えている（修正案V-4）</t>
        </is>
      </c>
    </row>
    <row r="5">
      <c r="A5" s="4" t="inlineStr">
        <is>
          <t>北塩原村障がい者自立支援協議会</t>
        </is>
      </c>
      <c r="B5" s="11" t="inlineStr">
        <is>
          <t>計画案の審議</t>
        </is>
      </c>
      <c r="C5" s="11" t="inlineStr">
        <is>
          <t>令和9年1月中旬</t>
        </is>
      </c>
      <c r="D5" s="4" t="inlineStr">
        <is>
          <t>計画案の審議</t>
        </is>
      </c>
      <c r="E5" s="17" t="inlineStr">
        <is>
          <t>未着手</t>
        </is>
      </c>
      <c r="F5" s="4" t="inlineStr">
        <is>
          <t>案Ａ（令和8年10月14日採用）。パブリックコメントの開始（1月26日）の前に置く</t>
        </is>
      </c>
    </row>
    <row r="6">
      <c r="A6" s="4" t="inlineStr">
        <is>
          <t>パブリックコメント</t>
        </is>
      </c>
      <c r="B6" s="11" t="inlineStr">
        <is>
          <t>―</t>
        </is>
      </c>
      <c r="C6" s="11" t="inlineStr">
        <is>
          <t>令和9年1月26日〜2月9日（15日間）</t>
        </is>
      </c>
      <c r="D6" s="4" t="inlineStr">
        <is>
          <t>計画案に対する意見の募集</t>
        </is>
      </c>
      <c r="E6" s="17" t="inlineStr">
        <is>
          <t>未着手</t>
        </is>
      </c>
      <c r="F6" s="4" t="inlineStr">
        <is>
          <t>案Ａ（令和8年10月14日採用）。正本 第1章5（4）の日付もこの日程に書き換えた（ＴＫ-4）。前回（令和6年2月9日〜23日）は意見0件であったため周知の方法も見直す</t>
        </is>
      </c>
    </row>
    <row r="7">
      <c r="A7" s="4" t="inlineStr">
        <is>
          <t>庁議</t>
        </is>
      </c>
      <c r="B7" s="11" t="inlineStr">
        <is>
          <t>計画の決定</t>
        </is>
      </c>
      <c r="C7" s="11" t="inlineStr">
        <is>
          <t>令和9年2月19日</t>
        </is>
      </c>
      <c r="D7" s="4" t="inlineStr">
        <is>
          <t>パブリックコメントの結果報告、計画の決定</t>
        </is>
      </c>
      <c r="E7" s="17" t="inlineStr">
        <is>
          <t>未着手</t>
        </is>
      </c>
      <c r="F7" s="4" t="inlineStr">
        <is>
          <t>案Ａ（令和8年10月14日採用）。庁議資料2・4の2点を作成済み。ここで本文が確定し、目次と頁数の確定（2月25日）に進む</t>
        </is>
      </c>
    </row>
    <row r="8">
      <c r="A8" s="4" t="inlineStr">
        <is>
          <t>議会全員協議会</t>
        </is>
      </c>
      <c r="B8" s="11" t="inlineStr">
        <is>
          <t>第1回</t>
        </is>
      </c>
      <c r="C8" s="11" t="inlineStr">
        <is>
          <t>令和9年2月下旬</t>
        </is>
      </c>
      <c r="D8" s="4" t="inlineStr">
        <is>
          <t>決定した計画の内容、令和9年度主要事業の説明</t>
        </is>
      </c>
      <c r="E8" s="17" t="inlineStr">
        <is>
          <t>未着手</t>
        </is>
      </c>
      <c r="F8" s="4" t="inlineStr">
        <is>
          <t>案Ａでは計画の決定の後に置く。村の方針では議会への説明が2月・計画の決定が3月の順であったが、この順では未決定の案を議会に説明することになる（Ｍ-125）</t>
        </is>
      </c>
    </row>
    <row r="9">
      <c r="A9" s="4" t="inlineStr">
        <is>
          <t>村との打合せ</t>
        </is>
      </c>
      <c r="B9" s="11" t="inlineStr">
        <is>
          <t>随時</t>
        </is>
      </c>
      <c r="C9" s="11" t="inlineStr">
        <is>
          <t>通年</t>
        </is>
      </c>
      <c r="D9" s="4" t="inlineStr">
        <is>
          <t>工程、資料、協議事項</t>
        </is>
      </c>
      <c r="E9" s="13" t="inlineStr">
        <is>
          <t>進行中</t>
        </is>
      </c>
      <c r="F9"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R-42</t>
        </is>
      </c>
      <c r="B2" s="4" t="inlineStr">
        <is>
          <t>引き直した工程（案Ａ）が村の了解を得られない場合、納期を超える</t>
        </is>
      </c>
      <c r="C2"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D2" s="4" t="inlineStr">
        <is>
          <t>工程／影響度最高</t>
        </is>
      </c>
      <c r="E2"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F2" s="13" t="inlineStr">
        <is>
          <t>進行中</t>
        </is>
      </c>
    </row>
    <row r="3">
      <c r="A3" s="11" t="inlineStr">
        <is>
          <t>R-39</t>
        </is>
      </c>
      <c r="B3" s="4" t="inlineStr">
        <is>
          <t>高齢者施策への接続について、村が答えられない形で照会していた</t>
        </is>
      </c>
      <c r="C3"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3" s="4" t="inlineStr">
        <is>
          <t>照会の立て方／影響度中</t>
        </is>
      </c>
      <c r="E3"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3" s="11" t="inlineStr">
        <is>
          <t>対応済み</t>
        </is>
      </c>
    </row>
    <row r="4">
      <c r="A4" s="11" t="inlineStr">
        <is>
          <t>R-38</t>
        </is>
      </c>
      <c r="B4" s="4" t="inlineStr">
        <is>
          <t>高次脳機能障害者支援法が令和8年4月1日に施行され、村にも窓口の明確化と実施状況の公表が求められる</t>
        </is>
      </c>
      <c r="C4"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4" s="4" t="inlineStr">
        <is>
          <t>制度動向／影響度高</t>
        </is>
      </c>
      <c r="E4"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4" s="13" t="inlineStr">
        <is>
          <t>進行中</t>
        </is>
      </c>
    </row>
    <row r="5">
      <c r="A5" s="11" t="inlineStr">
        <is>
          <t>R-37</t>
        </is>
      </c>
      <c r="B5" s="4" t="inlineStr">
        <is>
          <t>国の予算資料は当初予算と前年度補正予算が同じ資料に載るため、年度を取り違えやすい</t>
        </is>
      </c>
      <c r="C5"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5" s="4" t="inlineStr">
        <is>
          <t>資料の読み方／影響度高</t>
        </is>
      </c>
      <c r="E5"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5" s="11" t="inlineStr">
        <is>
          <t>対応済み</t>
        </is>
      </c>
    </row>
    <row r="6">
      <c r="A6" s="11" t="inlineStr">
        <is>
          <t>R-36</t>
        </is>
      </c>
      <c r="B6" s="4" t="inlineStr">
        <is>
          <t>確保の方策の記述が当方の中で食い違っていた（共生型サービス）</t>
        </is>
      </c>
      <c r="C6"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6" s="4" t="inlineStr">
        <is>
          <t>記述の整合／影響度高</t>
        </is>
      </c>
      <c r="E6"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6" s="13" t="inlineStr">
        <is>
          <t>進行中</t>
        </is>
      </c>
    </row>
    <row r="7">
      <c r="A7" s="11" t="inlineStr">
        <is>
          <t>R-35</t>
        </is>
      </c>
      <c r="B7" s="4" t="inlineStr">
        <is>
          <t>令和8年度の報酬改定（＋1.84％）を見込量の基準年度に織り込んでいない</t>
        </is>
      </c>
      <c r="C7"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7" s="4" t="inlineStr">
        <is>
          <t>財政／影響度高</t>
        </is>
      </c>
      <c r="E7"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7" s="13" t="inlineStr">
        <is>
          <t>進行中</t>
        </is>
      </c>
    </row>
    <row r="8">
      <c r="A8" s="11" t="inlineStr">
        <is>
          <t>R-34</t>
        </is>
      </c>
      <c r="B8" s="4" t="inlineStr">
        <is>
          <t>意思決定支援ガイドラインが第2版に改訂され、考え方が変わった</t>
        </is>
      </c>
      <c r="C8"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8" s="4" t="inlineStr">
        <is>
          <t>制度動向／影響度中</t>
        </is>
      </c>
      <c r="E8"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8" s="13" t="inlineStr">
        <is>
          <t>進行中</t>
        </is>
      </c>
    </row>
    <row r="9">
      <c r="A9" s="11" t="inlineStr">
        <is>
          <t>R-33</t>
        </is>
      </c>
      <c r="B9" s="4" t="inlineStr">
        <is>
          <t>情報公表制度の公表率・更新率100％は、村に達成の手段がほとんどない</t>
        </is>
      </c>
      <c r="C9"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9" s="4" t="inlineStr">
        <is>
          <t>成果目標／影響度中</t>
        </is>
      </c>
      <c r="E9"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9" s="13" t="inlineStr">
        <is>
          <t>進行中</t>
        </is>
      </c>
    </row>
    <row r="10">
      <c r="A10" s="11" t="inlineStr">
        <is>
          <t>R-32</t>
        </is>
      </c>
      <c r="B10" s="4" t="inlineStr">
        <is>
          <t>広域で確保するとした機能が、相手方の計画と同じ単位・同じ数え方になっているか確かめられていない</t>
        </is>
      </c>
      <c r="C10"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10" s="4" t="inlineStr">
        <is>
          <t>広域連携／影響度高</t>
        </is>
      </c>
      <c r="E10"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10" s="13" t="inlineStr">
        <is>
          <t>進行中</t>
        </is>
      </c>
    </row>
    <row r="11">
      <c r="A11" s="11" t="inlineStr">
        <is>
          <t>R-31</t>
        </is>
      </c>
      <c r="B11" s="4" t="inlineStr">
        <is>
          <t>手帳所持者数の将来推計の基礎となる令和8年の値が仮置きである</t>
        </is>
      </c>
      <c r="C11" s="4"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D11" s="4" t="inlineStr">
        <is>
          <t>推計／影響度最高</t>
        </is>
      </c>
      <c r="E11" s="4"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F11" s="13" t="inlineStr">
        <is>
          <t>進行中</t>
        </is>
      </c>
    </row>
    <row r="12">
      <c r="A12" s="11" t="inlineStr">
        <is>
          <t>R-41</t>
        </is>
      </c>
      <c r="B12" s="4" t="inlineStr">
        <is>
          <t>人口の見通しが、正本と当方の他の成果物とで食い違っている</t>
        </is>
      </c>
      <c r="C12"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D12" s="4" t="inlineStr">
        <is>
          <t>記述の整合／影響度最高</t>
        </is>
      </c>
      <c r="E12"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F12" s="13" t="inlineStr">
        <is>
          <t>進行中</t>
        </is>
      </c>
    </row>
    <row r="13">
      <c r="A13" s="11" t="inlineStr">
        <is>
          <t>R-40</t>
        </is>
      </c>
      <c r="B13" s="4" t="inlineStr">
        <is>
          <t>正本 第2章2〜5 の本文と図6点が、仮置きの手帳所持者数の上に載っている</t>
        </is>
      </c>
      <c r="C13" s="4"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D13" s="4" t="inlineStr">
        <is>
          <t>推計／影響度最高</t>
        </is>
      </c>
      <c r="E13" s="4"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F13" s="13" t="inlineStr">
        <is>
          <t>進行中</t>
        </is>
      </c>
    </row>
    <row r="14">
      <c r="A14" s="11" t="inlineStr">
        <is>
          <t>R-26</t>
        </is>
      </c>
      <c r="B14" s="4" t="inlineStr">
        <is>
          <t>第4次障がい者計画のアンケート指標3件が前回と比較できない</t>
        </is>
      </c>
      <c r="C14"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4" s="4" t="inlineStr">
        <is>
          <t>指標／影響度高</t>
        </is>
      </c>
      <c r="E14"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F14" s="17" t="inlineStr">
        <is>
          <t>未着手</t>
        </is>
      </c>
    </row>
    <row r="15">
      <c r="A15" s="11" t="inlineStr">
        <is>
          <t>R-23</t>
        </is>
      </c>
      <c r="B15" s="4" t="inlineStr">
        <is>
          <t>告示後に基本指針が2度改正されており、追跡から漏れる</t>
        </is>
      </c>
      <c r="C15"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5" s="4" t="inlineStr">
        <is>
          <t>制度動向／影響度高</t>
        </is>
      </c>
      <c r="E15"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5" s="13" t="inlineStr">
        <is>
          <t>進行中</t>
        </is>
      </c>
    </row>
    <row r="16">
      <c r="A16" s="11" t="inlineStr">
        <is>
          <t>R-24</t>
        </is>
      </c>
      <c r="B16" s="4" t="inlineStr">
        <is>
          <t>別表第二 三㈠⑤の基盤整備量が県の算定値待ちで確定できない</t>
        </is>
      </c>
      <c r="C16"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6" s="4" t="inlineStr">
        <is>
          <t>記載事項／影響度高</t>
        </is>
      </c>
      <c r="E16" s="4" t="inlineStr">
        <is>
          <t>県へ算定値と市町村への配分の考え方を照会する（レビュー Q-1）。県計画の公表が村の計画確定に間に合わない場合の取扱いも併せて確認する</t>
        </is>
      </c>
      <c r="F16" s="17" t="inlineStr">
        <is>
          <t>未着手</t>
        </is>
      </c>
    </row>
    <row r="17">
      <c r="A17" s="11" t="inlineStr">
        <is>
          <t>R-27</t>
        </is>
      </c>
      <c r="B17" s="4" t="inlineStr">
        <is>
          <t>前回計画本編の目標値に転記誤りがある</t>
        </is>
      </c>
      <c r="C17"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7" s="4" t="inlineStr">
        <is>
          <t>指標／影響度中</t>
        </is>
      </c>
      <c r="E17"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7" s="17" t="inlineStr">
        <is>
          <t>未着手</t>
        </is>
      </c>
    </row>
    <row r="18">
      <c r="A18" s="11" t="inlineStr">
        <is>
          <t>R-25</t>
        </is>
      </c>
      <c r="B18" s="4" t="inlineStr">
        <is>
          <t>就労継続支援A型の利用者が給付実績に現れない</t>
        </is>
      </c>
      <c r="C18"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8" s="4" t="inlineStr">
        <is>
          <t>整合／影響度中</t>
        </is>
      </c>
      <c r="E18" s="4" t="inlineStr">
        <is>
          <t>村に利用者の有無を確認する（見込量算定 Ｍ-4）。実在しなければ見込量は0、実在すれば単価とともに計上する。確認までは現行計画を据え置き、給付費は計上しない</t>
        </is>
      </c>
      <c r="F18" s="17" t="inlineStr">
        <is>
          <t>未着手</t>
        </is>
      </c>
    </row>
    <row r="19">
      <c r="A19" s="11" t="inlineStr">
        <is>
          <t>R-1</t>
        </is>
      </c>
      <c r="B19" s="4" t="inlineStr">
        <is>
          <t>アンケート発送が工程案の8月上旬に間に合わない</t>
        </is>
      </c>
      <c r="C19" s="4" t="inlineStr">
        <is>
          <t>印刷仕様の協議、村ラベルの受領、村封筒の手配がすべて未了。1週間の遅延は回収期間または集計期間の圧縮に直結する</t>
        </is>
      </c>
      <c r="D19" s="4" t="inlineStr">
        <is>
          <t>スケジュール／影響度高</t>
        </is>
      </c>
      <c r="E19" s="4" t="inlineStr">
        <is>
          <t>8月5日までに印刷仕様を確定し、ラベル提供日を村と合意する</t>
        </is>
      </c>
      <c r="F19" s="13" t="inlineStr">
        <is>
          <t>進行中</t>
        </is>
      </c>
    </row>
    <row r="20">
      <c r="A20" s="11" t="inlineStr">
        <is>
          <t>R-2</t>
        </is>
      </c>
      <c r="B20" s="4" t="inlineStr">
        <is>
          <t>印刷仕様が仕様書と乖離している</t>
        </is>
      </c>
      <c r="C20" s="4" t="inlineStr">
        <is>
          <t>仕様書はA4判・約24ページ・黒1色の1種類。実際は34ページと37ページの2種類</t>
        </is>
      </c>
      <c r="D20" s="4" t="inlineStr">
        <is>
          <t>契約／影響度高</t>
        </is>
      </c>
      <c r="E20" s="4" t="inlineStr">
        <is>
          <t>ページ数・種類数・部数・単価の取扱いを村と協議し、結果を書面で残す</t>
        </is>
      </c>
      <c r="F20" s="17" t="inlineStr">
        <is>
          <t>未着手</t>
        </is>
      </c>
    </row>
    <row r="21">
      <c r="A21" s="11" t="inlineStr">
        <is>
          <t>R-3</t>
        </is>
      </c>
      <c r="B21" s="4" t="inlineStr">
        <is>
          <t>郵送費の負担が仕様書と異なる運用になっている</t>
        </is>
      </c>
      <c r="C21" s="4" t="inlineStr">
        <is>
          <t>仕様書は受託者負担。打合せでは村が立替え後日実費精算</t>
        </is>
      </c>
      <c r="D21" s="4" t="inlineStr">
        <is>
          <t>契約／影響度高</t>
        </is>
      </c>
      <c r="E21" s="4" t="inlineStr">
        <is>
          <t>精算方法・範囲・上限を書面で確認する</t>
        </is>
      </c>
      <c r="F21" s="17" t="inlineStr">
        <is>
          <t>未着手</t>
        </is>
      </c>
    </row>
    <row r="22">
      <c r="A22" s="11" t="inlineStr">
        <is>
          <t>R-4</t>
        </is>
      </c>
      <c r="B22" s="4" t="inlineStr">
        <is>
          <t>対象者数が確定せず、推計の起点が定まらない</t>
        </is>
      </c>
      <c r="C22"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22" s="4" t="inlineStr">
        <is>
          <t>推計／影響度高</t>
        </is>
      </c>
      <c r="E22" s="4" t="inlineStr">
        <is>
          <t>発送前に村へ確認する。確認まで手帳所持者数の将来推計を確定値として記載しない</t>
        </is>
      </c>
      <c r="F22" s="13" t="inlineStr">
        <is>
          <t>進行中</t>
        </is>
      </c>
    </row>
    <row r="23">
      <c r="A23" s="11" t="inlineStr">
        <is>
          <t>R-5</t>
        </is>
      </c>
      <c r="B23" s="4" t="inlineStr">
        <is>
          <t>個別積上げに必要な村資料が揃わない</t>
        </is>
      </c>
      <c r="C23" s="4" t="inlineStr">
        <is>
          <t>年齢別・サービス別の利用者一覧と支給決定者数（実人数）がないと見込量が確定しない</t>
        </is>
      </c>
      <c r="D23" s="4" t="inlineStr">
        <is>
          <t>推計／影響度高</t>
        </is>
      </c>
      <c r="E23" s="4" t="inlineStr">
        <is>
          <t>8月末を目途に受領する。遅れる場合は現行計画の据置値で暫定版を作り、受領後に差し替える段取りを村と共有する</t>
        </is>
      </c>
      <c r="F23" s="13" t="inlineStr">
        <is>
          <t>進行中</t>
        </is>
      </c>
    </row>
    <row r="24">
      <c r="A24" s="11" t="inlineStr">
        <is>
          <t>R-6</t>
        </is>
      </c>
      <c r="B24" s="4" t="inlineStr">
        <is>
          <t>少数母数のクロス集計で個人が特定される</t>
        </is>
      </c>
      <c r="C24" s="4" t="inlineStr">
        <is>
          <t>対象者が極めて少ないサービス・地区がある</t>
        </is>
      </c>
      <c r="D24" s="4" t="inlineStr">
        <is>
          <t>個人情報／影響度中</t>
        </is>
      </c>
      <c r="E24" s="4" t="inlineStr">
        <is>
          <t>n&lt;5の秘匿基準を事前に村と合意する。公表用報告書と内部管理報告書を分離する</t>
        </is>
      </c>
      <c r="F24" s="13" t="inlineStr">
        <is>
          <t>進行中</t>
        </is>
      </c>
    </row>
    <row r="25">
      <c r="A25" s="11" t="inlineStr">
        <is>
          <t>R-7</t>
        </is>
      </c>
      <c r="B25" s="4" t="inlineStr">
        <is>
          <t>骨子案が引用する国基準数値の原典照合が未了</t>
        </is>
      </c>
      <c r="C25"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5" s="4" t="inlineStr">
        <is>
          <t>品質／影響度低</t>
        </is>
      </c>
      <c r="E25" s="4" t="inlineStr">
        <is>
          <t>骨子案修正版 第4章へ反映済み。改正後概要と告示本文で表記が異なる箇所は告示本文に従う</t>
        </is>
      </c>
      <c r="F25" s="12" t="inlineStr">
        <is>
          <t>完了</t>
        </is>
      </c>
    </row>
    <row r="26">
      <c r="A26" s="11" t="inlineStr">
        <is>
          <t>R-12</t>
        </is>
      </c>
      <c r="B26" s="4" t="inlineStr">
        <is>
          <t>基本指針 別表第五（地域差是正）の適用関係が未確定</t>
        </is>
      </c>
      <c r="C26"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6" s="4" t="inlineStr">
        <is>
          <t>推計／影響度低</t>
        </is>
      </c>
      <c r="E26" s="4" t="inlineStr">
        <is>
          <t>骨子案修正版 第5章1及びサービス見込量ブック 12 へ反映済み</t>
        </is>
      </c>
      <c r="F26" s="12" t="inlineStr">
        <is>
          <t>完了</t>
        </is>
      </c>
    </row>
    <row r="27">
      <c r="A27" s="11" t="inlineStr">
        <is>
          <t>R-15</t>
        </is>
      </c>
      <c r="B27" s="4" t="inlineStr">
        <is>
          <t>国基準数値と福島県実績の系統が複数あり、どれを用いるかで目標値が変わる</t>
        </is>
      </c>
      <c r="C27"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7" s="4" t="inlineStr">
        <is>
          <t>推計／影響度低</t>
        </is>
      </c>
      <c r="E27" s="4" t="inlineStr">
        <is>
          <t>計画本文には出典・時点・集計区分を必ず併記する。公費含む集計を用いるか否かは県の第8期計画に合わせる</t>
        </is>
      </c>
      <c r="F27" s="13" t="inlineStr">
        <is>
          <t>進行中</t>
        </is>
      </c>
    </row>
    <row r="28">
      <c r="A28" s="11" t="inlineStr">
        <is>
          <t>R-14</t>
        </is>
      </c>
      <c r="B28" s="4" t="inlineStr">
        <is>
          <t>会津北部圏域の訪問系サービス事業所が本村の1か所のみになっている</t>
        </is>
      </c>
      <c r="C28"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8" s="4" t="inlineStr">
        <is>
          <t>提供体制／影響度高</t>
        </is>
      </c>
      <c r="E28"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8" s="13" t="inlineStr">
        <is>
          <t>進行中</t>
        </is>
      </c>
    </row>
    <row r="29">
      <c r="A29" s="11" t="inlineStr">
        <is>
          <t>R-16</t>
        </is>
      </c>
      <c r="B29" s="4" t="inlineStr">
        <is>
          <t>骨子案・当方資料の「本村には事業所がない」という記述が事実と異なる</t>
        </is>
      </c>
      <c r="C29"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9" s="4" t="inlineStr">
        <is>
          <t>記述／影響度中</t>
        </is>
      </c>
      <c r="E29" s="4" t="inlineStr">
        <is>
          <t>骨子案修正版 第5章8 を原典から表を生成する方式に変更済み。事業所名・指定年月・共生型指定の有無・受入可能人数を村に確認する</t>
        </is>
      </c>
      <c r="F29" s="13" t="inlineStr">
        <is>
          <t>進行中</t>
        </is>
      </c>
    </row>
    <row r="30">
      <c r="A30" s="11" t="inlineStr">
        <is>
          <t>R-13</t>
        </is>
      </c>
      <c r="B30" s="4" t="inlineStr">
        <is>
          <t>令和8年度・令和9年度の報酬改定により単価前提が動く</t>
        </is>
      </c>
      <c r="C30"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30" s="4" t="inlineStr">
        <is>
          <t>財源／影響度中</t>
        </is>
      </c>
      <c r="E30" s="4" t="inlineStr">
        <is>
          <t>財源構成案 08シートに改定率パラメータを設置済み。改定内容の確定後に入力する</t>
        </is>
      </c>
      <c r="F30" s="13" t="inlineStr">
        <is>
          <t>進行中</t>
        </is>
      </c>
    </row>
    <row r="31">
      <c r="A31" s="11" t="inlineStr">
        <is>
          <t>R-8</t>
        </is>
      </c>
      <c r="B31" s="4" t="inlineStr">
        <is>
          <t>障がい児版調査票のルビ構造により本文が欠落して見える箇所がある</t>
        </is>
      </c>
      <c r="C31" s="4" t="inlineStr">
        <is>
          <t>問1〜問15で語句が欠けて抽出される。Word表示上は正常な可能性もある</t>
        </is>
      </c>
      <c r="D31" s="4" t="inlineStr">
        <is>
          <t>品質／影響度中</t>
        </is>
      </c>
      <c r="E31" s="4" t="inlineStr">
        <is>
          <t>Word上でルビなしテキストとして読んで意味が通るかを確認する</t>
        </is>
      </c>
      <c r="F31" s="13" t="inlineStr">
        <is>
          <t>進行中</t>
        </is>
      </c>
    </row>
    <row r="32">
      <c r="A32" s="11" t="inlineStr">
        <is>
          <t>R-9</t>
        </is>
      </c>
      <c r="B32" s="4" t="inlineStr">
        <is>
          <t>障がい者票に介護保険・65歳到達に関する設問がない（国の標準項目）</t>
        </is>
      </c>
      <c r="C32"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32" s="4" t="inlineStr">
        <is>
          <t>調査設計／影響度高</t>
        </is>
      </c>
      <c r="E32"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32" s="13" t="inlineStr">
        <is>
          <t>進行中</t>
        </is>
      </c>
    </row>
    <row r="33">
      <c r="A33" s="11" t="inlineStr">
        <is>
          <t>R-11</t>
        </is>
      </c>
      <c r="B33" s="4" t="inlineStr">
        <is>
          <t>外出目的の設問がなく、第4次障がい者計画の1指標が測定できない（国の標準項目）</t>
        </is>
      </c>
      <c r="C33"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3" s="4" t="inlineStr">
        <is>
          <t>調査設計／影響度高</t>
        </is>
      </c>
      <c r="E33"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F33" s="16" t="inlineStr">
        <is>
          <t>要対応</t>
        </is>
      </c>
    </row>
    <row r="34">
      <c r="A34" s="11" t="inlineStr">
        <is>
          <t>R-10</t>
        </is>
      </c>
      <c r="B34" s="4" t="inlineStr">
        <is>
          <t>圏域事業所の受入可能量が見込量の上限になる</t>
        </is>
      </c>
      <c r="C34" s="4" t="inlineStr">
        <is>
          <t>村内に事業所がなく、送迎・人材・定員が制約となる</t>
        </is>
      </c>
      <c r="D34" s="4" t="inlineStr">
        <is>
          <t>供給／影響度中</t>
        </is>
      </c>
      <c r="E34" s="4" t="inlineStr">
        <is>
          <t>圏域事業所へ照会し、利用希望量と利用可能量を分けて管理する</t>
        </is>
      </c>
      <c r="F34" s="17" t="inlineStr">
        <is>
          <t>未着手</t>
        </is>
      </c>
    </row>
    <row r="35">
      <c r="A35" s="11" t="inlineStr">
        <is>
          <t>R-17</t>
        </is>
      </c>
      <c r="B35" s="4" t="inlineStr">
        <is>
          <t>就労選択支援の設問（障がい者版 問36）が削除されると、圏域確保の根拠が窓口相談実績に限られる</t>
        </is>
      </c>
      <c r="C35"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5" s="4" t="inlineStr">
        <is>
          <t>調査設計／影響度中</t>
        </is>
      </c>
      <c r="E35" s="4" t="inlineStr">
        <is>
          <t>村に再考を依頼済み。削除する場合でも、第5章の確保方策に「圏域内に事業所がないため会津若松地方の広域調整により確保を図る」旨を記載する（骨子案修正版 第4章(3)に反映済み）</t>
        </is>
      </c>
      <c r="F35" s="16" t="inlineStr">
        <is>
          <t>要対応</t>
        </is>
      </c>
    </row>
    <row r="36">
      <c r="A36" s="11" t="inlineStr">
        <is>
          <t>R-18</t>
        </is>
      </c>
      <c r="B36" s="4" t="inlineStr">
        <is>
          <t>個別避難計画0件が第4次障がい者計画の指標と矛盾する可能性がある</t>
        </is>
      </c>
      <c r="C36"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6" s="4" t="inlineStr">
        <is>
          <t>整合／影響度中</t>
        </is>
      </c>
      <c r="E36" s="4" t="inlineStr">
        <is>
          <t>村に確認する。第4次障がい者計画は改定対象外だが、第8期計画の第3章5（目標値と進捗管理）で現状値を示す際に整合が必要</t>
        </is>
      </c>
      <c r="F36" s="17" t="inlineStr">
        <is>
          <t>未着手</t>
        </is>
      </c>
    </row>
    <row r="37">
      <c r="A37" s="11" t="inlineStr">
        <is>
          <t>R-20</t>
        </is>
      </c>
      <c r="B37" s="4" t="inlineStr">
        <is>
          <t>強度行動障害の該当有無を聞く設問がなく、支援ニーズの母数が特定できない</t>
        </is>
      </c>
      <c r="C37"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7" s="4" t="inlineStr">
        <is>
          <t>調査設計／影響度中</t>
        </is>
      </c>
      <c r="E37"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7" s="13" t="inlineStr">
        <is>
          <t>進行中</t>
        </is>
      </c>
    </row>
    <row r="38">
      <c r="A38" s="11" t="inlineStr">
        <is>
          <t>R-21</t>
        </is>
      </c>
      <c r="B38" s="4" t="inlineStr">
        <is>
          <t>障害支援区分の削除は国の標準項目を落とすことになる</t>
        </is>
      </c>
      <c r="C38"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8" s="4" t="inlineStr">
        <is>
          <t>調査設計／影響度中</t>
        </is>
      </c>
      <c r="E38"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8" s="12" t="inlineStr">
        <is>
          <t>完了</t>
        </is>
      </c>
    </row>
    <row r="39">
      <c r="A39" s="11" t="inlineStr">
        <is>
          <t>R-22</t>
        </is>
      </c>
      <c r="B39" s="4" t="inlineStr">
        <is>
          <t>国のマニュアルの発出と調査票の確定の時期が重なった</t>
        </is>
      </c>
      <c r="C39" s="4" t="inlineStr">
        <is>
          <t>マニュアルは令和8年8月19日事務連絡（県通知8月24日）、調査票の確定は8月25日版。標準項目3件の欠落は、当方の設計の不備ではなくこの時期の重なりによる。第9期の策定時に同じ論点が生じうる</t>
        </is>
      </c>
      <c r="D39" s="4" t="inlineStr">
        <is>
          <t>調査設計／影響度中</t>
        </is>
      </c>
      <c r="E39" s="4" t="inlineStr">
        <is>
          <t>経緯を打合せ記録に残し、計画書の調査概要にも「調査票確定後に国のマニュアルが改定された」旨を注記する（クロス集計設計 Ｓ-4）。算定根拠への疑義に対する説明にもなる</t>
        </is>
      </c>
      <c r="F39" s="13" t="inlineStr">
        <is>
          <t>進行中</t>
        </is>
      </c>
    </row>
    <row r="40">
      <c r="A40" s="11" t="inlineStr">
        <is>
          <t>R-19</t>
        </is>
      </c>
      <c r="B40" s="4" t="inlineStr">
        <is>
          <t>障がい児版の設問番号に誤りがある</t>
        </is>
      </c>
      <c r="C40" s="4" t="inlineStr">
        <is>
          <t>問11の選択肢番号「13」が2つある（「自傷、他害、強いこだわり、パニックなどへの対応」と「特にない」）。問10の選択肢番号は「3」が欠番。いずれも村の朱書きとは別に、通読して気づいたもの</t>
        </is>
      </c>
      <c r="D40" s="4" t="inlineStr">
        <is>
          <t>調査設計／影響度低</t>
        </is>
      </c>
      <c r="E40" s="4" t="inlineStr">
        <is>
          <t>調査票担当へ申し送り済み。印刷前に番号を振り直す。問10は問8との統合指示があるため、統合時に整理する</t>
        </is>
      </c>
      <c r="F40" s="1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U-1。9月30日とする典拠は未確認（熊谷氏へＳ-15）。村に9月30日時点のデータが取れるかを照会（Ｍ-28）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3"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3"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3"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3"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Ｍ-49・Ｍ-50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3" t="inlineStr">
        <is>
          <t>進行中</t>
        </is>
      </c>
      <c r="F13" s="4" t="inlineStr">
        <is>
          <t>北塩原村_村HP掲載施策の棚卸し.xlsx（11シート）。正本に5件（X-1〜X-6）を反映し、照会10件（Ｍ-59〜Ｍ-68）を立てた。あわせて当方の誤り（本村に独自の条例がない）を2か所直した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3"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3" t="inlineStr">
        <is>
          <t>進行中</t>
        </is>
      </c>
      <c r="F15" s="4" t="inlineStr">
        <is>
          <t>北塩原村_村HP3分野の棚卸し.xlsx（10シート）。正本に8件（Y-1〜Y-8）を反映し、照会12件（Ｍ-70〜Ｍ-81）を立てた。第7章4として「北塩原村こども・子育て計画との連携」の節を新設した（令和9年度の中間見直しが本計画の初年度に当たるため、その場で整合を確かめる5項目を表にした）。最も効くのはＭ-74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Ｍ-86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3" t="inlineStr">
        <is>
          <t>進行中</t>
        </is>
      </c>
      <c r="F17" s="4" t="inlineStr">
        <is>
          <t>正本に5件（RT-1〜RT-5）を反映し、照会5件（Ｍ-82〜Ｍ-86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3"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3"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3" t="inlineStr">
        <is>
          <t>進行中</t>
        </is>
      </c>
      <c r="F21" s="4" t="inlineStr">
        <is>
          <t>正本に5件（ME-1〜ME-5）を反映し、照会3件（Ｍ-87〜Ｍ-89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Ｍ-23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3" t="inlineStr">
        <is>
          <t>進行中</t>
        </is>
      </c>
      <c r="F24" s="4" t="inlineStr">
        <is>
          <t>正本に3件（SA-1〜SA-3）を反映し、照会5件（Ｍ-90〜Ｍ-94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3" t="inlineStr">
        <is>
          <t>進行中</t>
        </is>
      </c>
      <c r="F25" s="4" t="inlineStr">
        <is>
          <t>北塩原村_アンケートと見込量の整合.xlsx（7シート）。正本に1件（AN-1）を反映し、報告書作成者への確認1件（Ｓ-26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3"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Ｍ-95・Ｍ-41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Ｍ-96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3"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Ｍ-40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3"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4" customWidth="1" min="1" max="1"/>
    <col width="16" customWidth="1" min="2" max="2"/>
    <col width="40" customWidth="1" min="3" max="3"/>
    <col width="60" customWidth="1" min="4" max="4"/>
    <col width="16" customWidth="1" min="5" max="5"/>
    <col width="30" customWidth="1" min="6" max="6"/>
    <col width="26" customWidth="1" min="7" max="7"/>
    <col width="32" customWidth="1" min="8" max="8"/>
  </cols>
  <sheetData>
    <row r="1">
      <c r="A1" s="3" t="inlineStr">
        <is>
          <t>順</t>
        </is>
      </c>
      <c r="B1" s="3" t="inlineStr">
        <is>
          <t>区分</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最優先・村</t>
        </is>
      </c>
      <c r="C2" s="4" t="inlineStr">
        <is>
          <t>第1便（Ｍ-125 を含む15件）の回答を取る</t>
        </is>
      </c>
      <c r="D2" s="4" t="inlineStr">
        <is>
          <t>令和8年10月24日が期限である。第1便には工程の引き直し（Ｍ-125）が入っており、これが決まらないと委員会資料のスケジュール表を確定できない。案Ａは①パブリックコメントを1月下旬に開始できること②庁議を2月19日に置けること③議会全員協議会を計画の決定の後に置けることを前提にしている。いずれかが動くと最初に削られるのは校正の期間であり、入稿（3月17日）が動けば納期を超える。あわせてＭ-113・Ｍ-123・Ｍ-124（手帳所持者数と人口の見通し）が入っており、委員会資料の表の数値に直に載る</t>
        </is>
      </c>
      <c r="E2" s="11" t="inlineStr">
        <is>
          <t>0.5時間（催促）</t>
        </is>
      </c>
      <c r="F2" s="4" t="inlineStr">
        <is>
          <t>工程の確定、委員会資料の数値の確定</t>
        </is>
      </c>
      <c r="G2" s="4" t="inlineStr">
        <is>
          <t>村の回答</t>
        </is>
      </c>
      <c r="H2" s="4" t="inlineStr">
        <is>
          <t>照会文 第1便／Ｍ-125・Ｍ-113・Ｍ-123・Ｍ-124</t>
        </is>
      </c>
    </row>
    <row r="3">
      <c r="A3" s="21" t="n">
        <v>2</v>
      </c>
      <c r="B3" s="11" t="inlineStr">
        <is>
          <t>最優先・他メンバー</t>
        </is>
      </c>
      <c r="C3" s="4" t="inlineStr">
        <is>
          <t>他メンバーへの確認25件のうち節1〜4の15件を取る</t>
        </is>
      </c>
      <c r="D3" s="4" t="inlineStr">
        <is>
          <t>令和8年10月16日が期限である。とくにＳ-33（第3章の章題の変更に伴う目次の更新）は当方の環境では行えない。Ｓ-34（概要版のグラフをモノクロ印刷で区別できるようにする）とＳ-36（アンケート概要版の割合53点と分析報告書の確定値の照合）、Ｓ-37（基数1〜2の区分の注記と課題8件の決着）は委員会に出す資料の体裁と数値に関わる</t>
        </is>
      </c>
      <c r="E3" s="11" t="inlineStr">
        <is>
          <t>0.5時間（催促）</t>
        </is>
      </c>
      <c r="F3" s="4" t="inlineStr">
        <is>
          <t>目次の更新、概要版の体裁、割合の照合</t>
        </is>
      </c>
      <c r="G3" s="4" t="inlineStr">
        <is>
          <t>他メンバーの回答</t>
        </is>
      </c>
      <c r="H3" s="4" t="inlineStr">
        <is>
          <t>照会文（他メンバー）節1〜4</t>
        </is>
      </c>
    </row>
    <row r="4">
      <c r="A4" s="23" t="n">
        <v>3</v>
      </c>
      <c r="B4" s="11" t="inlineStr">
        <is>
          <t>手持ち・済</t>
        </is>
      </c>
      <c r="C4" s="4" t="inlineStr">
        <is>
          <t>体系（案Ｃ）と工程（案Ａ）を正本に反映する</t>
        </is>
      </c>
      <c r="D4" s="4" t="inlineStr">
        <is>
          <t>令和8年10月14日に採用された案を反映した。第1章4に項（4）、第3章の章題の変更、第3章4と表３-３（新たに加える施策15件）。工程の日付を kitashiobara_koutei.py に一本化し、正本 第1章5（4）のパブリックコメントの日程を書き換えた。図表番号は1点も動いていない（表が94点から95点に増えただけ）</t>
        </is>
      </c>
      <c r="E4" s="11" t="inlineStr">
        <is>
          <t>済</t>
        </is>
      </c>
      <c r="F4" s="4" t="inlineStr">
        <is>
          <t>北塩原村_体系と工程の反映.xlsx／正本（ＴＫ-1〜ＴＫ-4）</t>
        </is>
      </c>
      <c r="G4" s="4" t="inlineStr">
        <is>
          <t>なし（当方で完結）</t>
        </is>
      </c>
      <c r="H4" s="4" t="inlineStr">
        <is>
          <t>WBS 8-11</t>
        </is>
      </c>
    </row>
    <row r="5">
      <c r="A5" s="23" t="n">
        <v>4</v>
      </c>
      <c r="B5" s="11" t="inlineStr">
        <is>
          <t>手持ち・済</t>
        </is>
      </c>
      <c r="C5" s="4" t="inlineStr">
        <is>
          <t>概要版3本をそろえ、体裁を前回計画に揃える</t>
        </is>
      </c>
      <c r="D5" s="4" t="inlineStr">
        <is>
          <t>計画素案（A4・8頁）・前回計画の評価（A4・2頁）・アンケート結果報告（A4・2頁）の3本。前回計画の概要版を実測し、書体をＵＤデジタル教科書体、本文を10ポイント、基調色を緑に揃えた。数値は書き写さず、評価の件数は本体の生成器から数え上げ、アンケートの割合53点は正本 第2章7 の現物と照合する</t>
        </is>
      </c>
      <c r="E5" s="11" t="inlineStr">
        <is>
          <t>済</t>
        </is>
      </c>
      <c r="F5" s="4" t="inlineStr">
        <is>
          <t>概要版3本／kitashiobara_gaiyou_taisai.py</t>
        </is>
      </c>
      <c r="G5" s="4" t="inlineStr">
        <is>
          <t>なし（当方で完結）</t>
        </is>
      </c>
      <c r="H5" s="4" t="inlineStr">
        <is>
          <t>WBS 8-7</t>
        </is>
      </c>
    </row>
    <row r="6">
      <c r="A6" s="23" t="n">
        <v>5</v>
      </c>
      <c r="B6" s="11" t="inlineStr">
        <is>
          <t>手持ち・済</t>
        </is>
      </c>
      <c r="C6" s="4" t="inlineStr">
        <is>
          <t>障がい児の論点の漏れ10件を直す</t>
        </is>
      </c>
      <c r="D6" s="4" t="inlineStr">
        <is>
          <t>こども家庭審議会障害児支援部会の審議事項を国の審議会資料の現物に当て、漏れ10件（うち重い6件）を洗い出して反映した。医療的ケア児等支援地域協議会、引継ぎの協議の場が県へ移ったこと、センターの業務に個別避難計画の作成への協力が加わったこと、医療的ケア者の定義の2類型、市町村計画の努力義務事項の新設が障がい児を含むこと</t>
        </is>
      </c>
      <c r="E6" s="11" t="inlineStr">
        <is>
          <t>済</t>
        </is>
      </c>
      <c r="F6" s="4" t="inlineStr">
        <is>
          <t>北塩原村_障がい児の論点_法改正対応.xlsx／正本（ＳＪ-1〜ＳＪ-4）</t>
        </is>
      </c>
      <c r="G6" s="4" t="inlineStr">
        <is>
          <t>なし（当方で完結）</t>
        </is>
      </c>
      <c r="H6" s="4" t="inlineStr">
        <is>
          <t>WBS 8-13</t>
        </is>
      </c>
    </row>
    <row r="7">
      <c r="A7" s="23" t="n">
        <v>6</v>
      </c>
      <c r="B7" s="11" t="inlineStr">
        <is>
          <t>手持ち・済</t>
        </is>
      </c>
      <c r="C7" s="4" t="inlineStr">
        <is>
          <t>県保健医療計画との調和が落ちていたことを直す</t>
        </is>
      </c>
      <c r="D7" s="4" t="inlineStr">
        <is>
          <t>国の基本指針 第三の一の7は障害福祉計画を医療計画と調和が保たれたものとすることを求め、第二の二は精神障害にも対応した地域包括ケアシステムの構築の目標について特に医療計画との関係に留意することとしている。正本に「保健医療計画」「医療圏」「へき地」がいずれも0回で、名指しの相手が落ちていた。第8次福島県医療計画（令和6〜11年度。終期が本計画と同じで、3年ごとの見直しに当たるのが令和8年度）を原典に当て、精神疾患対策の目標（平均生活日数334日以上・令和11年）、医療的ケア児等コーディネーターの県内全59市町村への配置（令和11年）、村内の市町村立へき地診療所2カ所、医療圏（会津・南会津17市町村）と障がい保健福祉圏域（会津13市町村）の単位の違い、救急搬送困難件数が会津0.1％であることを反映した（ＫＩ-1〜ＫＩ-9。表7-5を新設）</t>
        </is>
      </c>
      <c r="E7" s="11" t="inlineStr">
        <is>
          <t>済</t>
        </is>
      </c>
      <c r="F7" s="4" t="inlineStr">
        <is>
          <t>北塩原村_県保健医療計画との整合.xlsx／正本（ＫＩ-1〜ＫＩ-9）</t>
        </is>
      </c>
      <c r="G7" s="4" t="inlineStr">
        <is>
          <t>なし（当方で完結。Ｍ-129・Ｓ-38は残り）</t>
        </is>
      </c>
      <c r="H7" s="4" t="inlineStr">
        <is>
          <t>WBS 1-10</t>
        </is>
      </c>
    </row>
    <row r="8">
      <c r="A8" s="22" t="n">
        <v>7</v>
      </c>
      <c r="B8" s="11" t="inlineStr">
        <is>
          <t>手持ち</t>
        </is>
      </c>
      <c r="C8" s="4" t="inlineStr">
        <is>
          <t>策定委員会資料の確定4件を村に差し替えていただく</t>
        </is>
      </c>
      <c r="D8" s="4" t="inlineStr">
        <is>
          <t>村の文書であるため当方は作り直していない。差し替える文そのものを載せた指示書を渡してある（工程の表・表の下の注記・見込量の起点・新たに加える施策の所在）。11月の委員会に出す資料であり、庁内の確認を要するため早いほうがよい。資料そのものを当方で作り直す形がご希望であれば、村の加筆の入った現物をいただければ反映する</t>
        </is>
      </c>
      <c r="E8" s="11" t="inlineStr">
        <is>
          <t>村の作業（当方は0.5時間で支援）</t>
        </is>
      </c>
      <c r="F8" s="4" t="inlineStr">
        <is>
          <t>北塩原村_策定委員会資料_修正指示.docx の反映</t>
        </is>
      </c>
      <c r="G8" s="4" t="inlineStr">
        <is>
          <t>村の判断</t>
        </is>
      </c>
      <c r="H8" s="4" t="inlineStr">
        <is>
          <t>WBS 8-12／Ｓ-26は決着済み</t>
        </is>
      </c>
    </row>
    <row r="9">
      <c r="A9" s="24" t="n">
        <v>8</v>
      </c>
      <c r="B9" s="11" t="inlineStr">
        <is>
          <t>手持ち</t>
        </is>
      </c>
      <c r="C9" s="4" t="inlineStr">
        <is>
          <t>正本の目次と図表目次を作り直す準備をする</t>
        </is>
      </c>
      <c r="D9" s="4" t="inlineStr">
        <is>
          <t>第3章の章題を変えたため、Ｗｏｒｄ の目次フィールドを更新するまで古い章題が目次に残る。当方の環境では更新できない（Ｓ-33）。図表目次（表が95点になった）は当方の生成器で作っており済み。工程上の期限は令和9年2月25日（初校2月26日の前日）だが、委員会に素案を出す前に一度更新しておくほうがよい</t>
        </is>
      </c>
      <c r="E9" s="11" t="inlineStr">
        <is>
          <t>0.5時間（依頼文）</t>
        </is>
      </c>
      <c r="F9" s="4" t="inlineStr">
        <is>
          <t>目次の更新の依頼</t>
        </is>
      </c>
      <c r="G9" s="4" t="inlineStr">
        <is>
          <t>他メンバー又は村の作業</t>
        </is>
      </c>
      <c r="H9" s="4" t="inlineStr">
        <is>
          <t>Ｓ-33／WBS 10-1</t>
        </is>
      </c>
    </row>
    <row r="10">
      <c r="A10" s="24" t="n">
        <v>9</v>
      </c>
      <c r="B10" s="11" t="inlineStr">
        <is>
          <t>回答後</t>
        </is>
      </c>
      <c r="C10" s="4" t="inlineStr">
        <is>
          <t>見込量を第2次算定で組み直す（1人単位の積上げ）</t>
        </is>
      </c>
      <c r="D10" s="4" t="inlineStr">
        <is>
          <t>村の実績データ（Ｍ-19）と移行管理台帳（Ｍ-18）が届けば、第2次算定の個別台帳（36欄）に入れて組み直せる。起点は「令和8年度末に支援を必要とする方」であり、実際に利用している方に、必要があるが支給決定も利用もしていない方を加える。22歳到達（障害児入所施設からの移行）と40歳から64歳までの特定疾病による介護保険への移行も項に立てた。これが済まないと給付費と財源構成も確定しない</t>
        </is>
      </c>
      <c r="E10" s="11" t="inlineStr">
        <is>
          <t>8時間</t>
        </is>
      </c>
      <c r="F10" s="4" t="inlineStr">
        <is>
          <t>見込量の第2次算定、給付費・財源構成の確定</t>
        </is>
      </c>
      <c r="G10" s="4" t="inlineStr">
        <is>
          <t>村の回答（Ｍ-19・Ｍ-18。第2便 10月31日）</t>
        </is>
      </c>
      <c r="H10" s="4" t="inlineStr">
        <is>
          <t>WBS 7-2・7-3・7-4・7-7／北塩原村_第2次算定_個別台帳.xlsx</t>
        </is>
      </c>
    </row>
    <row r="11">
      <c r="A11" s="24" t="n">
        <v>10</v>
      </c>
      <c r="B11" s="11" t="inlineStr">
        <is>
          <t>回答後</t>
        </is>
      </c>
      <c r="C11" s="4" t="inlineStr">
        <is>
          <t>手帳所持者数の推計を確定する</t>
        </is>
      </c>
      <c r="D11" s="4" t="inlineStr">
        <is>
          <t>令和11年度の推計は180人から181人に収束している（従前は139人から206人まで67人の幅があった）。残るのは身体障害者手帳の令和6年・令和7年の実数と、策定委員会資料の数値が台帳によるものかどうかである（Ｍ-124）。確定すれば、正本 第2章2から5の本文4カ所と図6点が固まる。あわせて人口の見通しの食い違い（正本 表2-1 の45.2％と村公式推計の48.1％）を三者で決める（R-41）</t>
        </is>
      </c>
      <c r="E11" s="11" t="inlineStr">
        <is>
          <t>2時間</t>
        </is>
      </c>
      <c r="F11" s="4" t="inlineStr">
        <is>
          <t>手帳所持者数の確定、第2章の本文と図の確定</t>
        </is>
      </c>
      <c r="G11" s="4" t="inlineStr">
        <is>
          <t>村の回答（Ｍ-124・Ｍ-123。第1便 10月24日）</t>
        </is>
      </c>
      <c r="H11" s="4" t="inlineStr">
        <is>
          <t>WBS 3-6・7-1／R-31・R-40・R-41</t>
        </is>
      </c>
    </row>
    <row r="12">
      <c r="A12" s="24" t="n">
        <v>11</v>
      </c>
      <c r="B12" s="11" t="inlineStr">
        <is>
          <t>回答後</t>
        </is>
      </c>
      <c r="C12" s="4" t="inlineStr">
        <is>
          <t>前回計画の評価の中間評価を確定する</t>
        </is>
      </c>
      <c r="D12" s="4" t="inlineStr">
        <is>
          <t>第4次障がい者計画の8指標のうち5指標が現在値を確認中である（Ｍ-41からＭ-44・Ｍ-95）。確定すれば前回計画の評価（本体・概要版）と正本 第3章3 が固まる</t>
        </is>
      </c>
      <c r="E12" s="11" t="inlineStr">
        <is>
          <t>2時間</t>
        </is>
      </c>
      <c r="F12" s="4" t="inlineStr">
        <is>
          <t>中間評価の確定、前回計画の評価（本体・概要版）の確定</t>
        </is>
      </c>
      <c r="G12" s="4" t="inlineStr">
        <is>
          <t>村の回答（Ｍ-41〜Ｍ-44・Ｍ-95。第1便 10月24日）</t>
        </is>
      </c>
      <c r="H12" s="4" t="inlineStr">
        <is>
          <t>WBS 6-2・6-3／前回計画の評価 概要版</t>
        </is>
      </c>
    </row>
    <row r="13">
      <c r="A13" s="24" t="n">
        <v>12</v>
      </c>
      <c r="B13" s="11" t="inlineStr">
        <is>
          <t>回答後</t>
        </is>
      </c>
      <c r="C13" s="4" t="inlineStr">
        <is>
          <t>医療的ケア児等の体制を確定する</t>
        </is>
      </c>
      <c r="D13" s="4" t="inlineStr">
        <is>
          <t>県の医療的ケア児等支援地域協議会の設置時期と本村の参画、村の協議の場との役割の分け方、センターが個別避難計画の作成に協力する手順、18歳以上の医療的ケア者の2類型別の人数（Ｍ-126）。本村の医療的ケア児は1人であり、18歳到達の引継ぎを村の協議の場だけで完結させられない</t>
        </is>
      </c>
      <c r="E13" s="11" t="inlineStr">
        <is>
          <t>2時間</t>
        </is>
      </c>
      <c r="F13" s="4" t="inlineStr">
        <is>
          <t>第4章2（4）の成果目標と活動指標の確定</t>
        </is>
      </c>
      <c r="G13" s="4" t="inlineStr">
        <is>
          <t>村の回答（Ｍ-126。第3便 11月14日。県への取次ぎを含む）</t>
        </is>
      </c>
      <c r="H13" s="4" t="inlineStr">
        <is>
          <t>WBS 8-13／ＳＪ-1</t>
        </is>
      </c>
    </row>
    <row r="14">
      <c r="A14" s="24" t="n">
        <v>13</v>
      </c>
      <c r="B14" s="11" t="inlineStr">
        <is>
          <t>節目ごと</t>
        </is>
      </c>
      <c r="C14" s="4" t="inlineStr">
        <is>
          <t>基本指針の追加告示との最終照合</t>
        </is>
      </c>
      <c r="D14" s="4" t="inlineStr">
        <is>
          <t>令和8年10月に基本指針の追加改正が告示される予定である。当方は現在、障害者部会第157回と障害児支援部会第21回の会議資料（新旧対照表）を原典として用いているが、いずれも「改正案」であり告示そのものではない。別表第二の六の項の新設（市町村の努力義務事項）、医療的ケア児等支援地域協議会、医療的ケア者の定義の2類型、重度の障がいのある方の内数の対象サービスはいずれもこの改正案を根拠としている。告示が出たら新旧対照表で最終照合する</t>
        </is>
      </c>
      <c r="E14" s="11" t="inlineStr">
        <is>
          <t>3時間</t>
        </is>
      </c>
      <c r="F14" s="4" t="inlineStr">
        <is>
          <t>法定記載事項チェックの更新、正本の条項の確定</t>
        </is>
      </c>
      <c r="G14" s="4" t="inlineStr">
        <is>
          <t>告示の公表（Ｓ-35で入手を依頼）</t>
        </is>
      </c>
      <c r="H14" s="4" t="inlineStr">
        <is>
          <t>WBS 8-13・8-10／Ｓ-35</t>
        </is>
      </c>
    </row>
    <row r="15">
      <c r="A15" s="24" t="n">
        <v>14</v>
      </c>
      <c r="B15" s="11" t="inlineStr">
        <is>
          <t>節目ごと</t>
        </is>
      </c>
      <c r="C15" s="4" t="inlineStr">
        <is>
          <t>成果物の再現性点検を回す（素案を直したあと必ず）</t>
        </is>
      </c>
      <c r="D15" s="4" t="inlineStr">
        <is>
          <t>生成器71本・成果物96点を作り直し、内容署名（段落数・表数・本文のハッシュ）で照合する。正本を直すと図表番号・照会の件数・概要版の数値・介護保険側への申し送りまで連鎖するため、直したあと必ず通す。1回あたり約12分</t>
        </is>
      </c>
      <c r="E15" s="11" t="inlineStr">
        <is>
          <t>0.2時間</t>
        </is>
      </c>
      <c r="F15" s="4" t="inlineStr">
        <is>
          <t>check_reproducibility.py --regenerate</t>
        </is>
      </c>
      <c r="G15" s="4" t="inlineStr">
        <is>
          <t>なし（当方で完結）</t>
        </is>
      </c>
      <c r="H15" s="4" t="inlineStr">
        <is>
          <t>WBS 1-7</t>
        </is>
      </c>
    </row>
    <row r="16">
      <c r="A16" s="24" t="n">
        <v>15</v>
      </c>
      <c r="B16" s="11" t="inlineStr">
        <is>
          <t>委員会の後</t>
        </is>
      </c>
      <c r="C16" s="4" t="inlineStr">
        <is>
          <t>パブリックコメント一式を仕上げる</t>
        </is>
      </c>
      <c r="D16" s="4" t="inlineStr">
        <is>
          <t>工程は案Ａにより令和9年1月26日から2月9日まで（15日間）。概要版3本は作成済みである。残るのは意見の様式、村ホームページ掲載用の文、窓口での閲覧の案内、意見の整理の様式。15日間とすることの村の実施要領上の根拠も確かめる（Ｍ-125）。前回（令和6年2月）は意見0件であったため周知の方法も見直す</t>
        </is>
      </c>
      <c r="E16" s="11" t="inlineStr">
        <is>
          <t>3時間</t>
        </is>
      </c>
      <c r="F16" s="4" t="inlineStr">
        <is>
          <t>パブリックコメント一式</t>
        </is>
      </c>
      <c r="G16" s="4" t="inlineStr">
        <is>
          <t>工程の確定（Ｍ-125）、素案の確定</t>
        </is>
      </c>
      <c r="H16" s="4" t="inlineStr">
        <is>
          <t>WBS 9-4／Ｍ-125</t>
        </is>
      </c>
    </row>
    <row r="17">
      <c r="A17" s="24" t="n">
        <v>16</v>
      </c>
      <c r="B17" s="11" t="inlineStr">
        <is>
          <t>委員会の後</t>
        </is>
      </c>
      <c r="C17" s="4" t="inlineStr">
        <is>
          <t>印刷・製本の所要日数を業者に確かめる</t>
        </is>
      </c>
      <c r="D17" s="4" t="inlineStr">
        <is>
          <t>入稿（令和9年3月17日）から納品（3月31日）までの日数は当方の想定である（印刷4営業日・製本3営業日）。令和9年3月22日が春分の日の振替休日であることを織り込んである。村で行うか業者に発注するかによって日数が変わる。概要版が3本・計画素案の概要版が8頁になったため、部数と折り方も併せて確かめる（Ｍ-112）</t>
        </is>
      </c>
      <c r="E17" s="11" t="inlineStr">
        <is>
          <t>1時間</t>
        </is>
      </c>
      <c r="F17" s="4" t="inlineStr">
        <is>
          <t>工程の確定、部数・仕様の確定</t>
        </is>
      </c>
      <c r="G17" s="4" t="inlineStr">
        <is>
          <t>村の回答（Ｍ-112。第3便 11月14日）</t>
        </is>
      </c>
      <c r="H17" s="4" t="inlineStr">
        <is>
          <t>WBS 10-4／Ｍ-112</t>
        </is>
      </c>
    </row>
    <row r="19" ht="90" customHeight="1">
      <c r="A19" s="4" t="inlineStr">
        <is>
          <t>※ 令和8年11月の策定委員会（第2回）までの着手順（令和8年10月15日に並べ直した）。全16件のうち4件は済である。起点は策定委員会（第2回）令和8年11月で、そこから納品（令和9年3月31日）までの工程は案Ａで固めてある（kitashiobara_koutei.py）。委員会の開催日はうかがっていない。村の方針資料は「10月 第２回会議開催」と月のみで、村の策定委員会資料のスケジュール表には策定委員会の行がなく、案Ａも「11月 策定委員会」である。Ｍ-40（電話）で確かめる。最も動かしにくいのは入稿 令和9年3月17日で、これが動けば納期を超える。優先の付け方は①村・他メンバーの回答がないと先へ進めないもの（1・2。期限は10月24日と10月16日）②11月の委員会に出す資料に直に載るもの（3から7）③委員会の後でよいが工程上どこかで必ず要るもの（8から15）の順である。1を先頭に置いたのは、工程の引き直し（Ｍ-125）が決まらないと委員会資料のスケジュール表そのものを確定できないためである。案Ａは村の了解を3点（パブリックコメントの1月下旬開始・庁議2月19日・議会全員協議会を決定の後に置くこと）前提にしている。3から5は令和8年10月13日から14日にかけて済とした（体系と工程の反映・概要版3本・障がい児の論点）。13は素案を直すたびに回す点検であり、作業の順番には入らない。</t>
        </is>
      </c>
    </row>
  </sheetData>
  <mergeCells count="1">
    <mergeCell ref="A19:H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2026-10-23T02:49:34Z</dcterms:created>
  <dcterms:modified xmlns:dcterms="http://purl.org/dc/terms/" xmlns:xsi="http://www.w3.org/2001/XMLSchema-instance" xsi:type="dcterms:W3CDTF">2026-10-23T02:49:34Z</dcterms:modified>
</cp:coreProperties>
</file>