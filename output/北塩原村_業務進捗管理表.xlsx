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村資料・依頼の詳細"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翌日の着手順" sheetId="10" state="visible" r:id="rId10"/>
  </sheets>
  <definedNames>
    <definedName name="_xlnm._FilterDatabase" localSheetId="1" hidden="1">'01_WBS'!$A$1:$N$74</definedName>
    <definedName name="_xlnm._FilterDatabase" localSheetId="5" hidden="1">'05_村資料・依頼の詳細'!$A$1:$J$70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9"/>
    </font>
    <font>
      <color rgb="00C00000"/>
      <sz val="10"/>
    </font>
    <font>
      <b val="1"/>
    </font>
    <font>
      <b val="1"/>
      <sz val="14"/>
    </font>
    <font>
      <b val="1"/>
      <color rgb="00FFFFFF"/>
      <sz val="10"/>
    </font>
  </fonts>
  <fills count="11">
    <fill>
      <patternFill/>
    </fill>
    <fill>
      <patternFill patternType="gray125"/>
    </fill>
    <fill>
      <patternFill patternType="solid">
        <fgColor rgb="001F3864"/>
      </patternFill>
    </fill>
    <fill>
      <patternFill patternType="solid">
        <fgColor rgb="00C6EFCE"/>
      </patternFill>
    </fill>
    <fill>
      <patternFill patternType="solid">
        <fgColor rgb="00FCE4E4"/>
      </patternFill>
    </fill>
    <fill>
      <patternFill patternType="solid">
        <fgColor rgb="00FFF2CC"/>
      </patternFill>
    </fill>
    <fill>
      <patternFill patternType="solid">
        <fgColor rgb="00F8CBAD"/>
      </patternFill>
    </fill>
    <fill>
      <patternFill patternType="solid">
        <fgColor rgb="00EEEEEE"/>
      </patternFill>
    </fill>
    <fill>
      <patternFill patternType="solid">
        <fgColor rgb="00C00000"/>
      </patternFill>
    </fill>
    <fill>
      <patternFill patternType="solid">
        <fgColor rgb="00ED7D31"/>
      </patternFill>
    </fill>
    <fill>
      <patternFill patternType="solid">
        <fgColor rgb="00808080"/>
      </patternFill>
    </fill>
  </fills>
  <borders count="1">
    <border>
      <left/>
      <right/>
      <top/>
      <bottom/>
      <diagonal/>
    </border>
  </borders>
  <cellStyleXfs count="1">
    <xf numFmtId="0" fontId="0" fillId="0" borderId="0"/>
  </cellStyleXfs>
  <cellXfs count="24">
    <xf numFmtId="0" fontId="0" fillId="0" borderId="0" pivotButton="0" quotePrefix="0" xfId="0"/>
    <xf numFmtId="0" fontId="4" fillId="0" borderId="0" pivotButton="0" quotePrefix="0" xfId="0"/>
    <xf numFmtId="0" fontId="3"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top"/>
    </xf>
    <xf numFmtId="9" fontId="0" fillId="0" borderId="0" pivotButton="0" quotePrefix="0" xfId="0"/>
    <xf numFmtId="0" fontId="1" fillId="2" borderId="0" pivotButton="0" quotePrefix="0" xfId="0"/>
    <xf numFmtId="0" fontId="0" fillId="6" borderId="0" pivotButton="0" quotePrefix="0" xfId="0"/>
    <xf numFmtId="0" fontId="0" fillId="4" borderId="0" pivotButton="0" quotePrefix="0" xfId="0"/>
    <xf numFmtId="0" fontId="0" fillId="7" borderId="0" pivotButton="0" quotePrefix="0" xfId="0"/>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2" fillId="0" borderId="0" applyAlignment="1" pivotButton="0" quotePrefix="0" xfId="0">
      <alignment vertical="top" wrapText="1"/>
    </xf>
    <xf numFmtId="0" fontId="0" fillId="6" borderId="0" applyAlignment="1" pivotButton="0" quotePrefix="0" xfId="0">
      <alignment vertical="top"/>
    </xf>
    <xf numFmtId="0" fontId="0" fillId="7" borderId="0" applyAlignment="1" pivotButton="0" quotePrefix="0" xfId="0">
      <alignment vertical="top"/>
    </xf>
    <xf numFmtId="9" fontId="0" fillId="0" borderId="0" applyAlignment="1" pivotButton="0" quotePrefix="0" xfId="0">
      <alignment vertical="top"/>
    </xf>
    <xf numFmtId="0" fontId="3" fillId="0" borderId="0" applyAlignment="1" pivotButton="0" quotePrefix="0" xfId="0">
      <alignment vertical="top"/>
    </xf>
    <xf numFmtId="9" fontId="3" fillId="0" borderId="0" applyAlignment="1" pivotButton="0" quotePrefix="0" xfId="0">
      <alignment vertical="top"/>
    </xf>
    <xf numFmtId="0" fontId="5" fillId="8" borderId="0" applyAlignment="1" pivotButton="0" quotePrefix="0" xfId="0">
      <alignment vertical="top"/>
    </xf>
    <xf numFmtId="0" fontId="5" fillId="9" borderId="0" applyAlignment="1" pivotButton="0" quotePrefix="0" xfId="0">
      <alignment vertical="top"/>
    </xf>
    <xf numFmtId="0" fontId="5" fillId="1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26" customWidth="1" min="1" max="1"/>
    <col width="40" customWidth="1" min="2" max="2"/>
    <col width="30" customWidth="1" min="3" max="3"/>
    <col width="52" customWidth="1" min="4" max="4"/>
  </cols>
  <sheetData>
    <row r="1">
      <c r="A1" s="1" t="inlineStr">
        <is>
          <t>北塩原村　第8期障がい福祉計画・第4期障がい児福祉計画　業務進捗管理表</t>
        </is>
      </c>
    </row>
    <row r="2">
      <c r="A2" t="inlineStr">
        <is>
          <t>基準日：令和8年10月9日</t>
        </is>
      </c>
    </row>
    <row r="4">
      <c r="A4" s="2" t="inlineStr">
        <is>
          <t>■ 目次（シートの構成）</t>
        </is>
      </c>
    </row>
    <row r="5">
      <c r="A5" s="3" t="inlineStr">
        <is>
          <t>シート</t>
        </is>
      </c>
      <c r="B5" s="3" t="inlineStr">
        <is>
          <t>内容</t>
        </is>
      </c>
      <c r="C5" s="3" t="inlineStr">
        <is>
          <t>件数</t>
        </is>
      </c>
      <c r="D5" s="3" t="inlineStr">
        <is>
          <t>このシートで分かること</t>
        </is>
      </c>
    </row>
    <row r="6">
      <c r="A6" s="4" t="inlineStr">
        <is>
          <t>00_ダッシュボード</t>
        </is>
      </c>
      <c r="B6" s="4" t="inlineStr">
        <is>
          <t>全体進捗・現況・警戒事項・直近のマイルストーン</t>
        </is>
      </c>
      <c r="C6" s="5" t="inlineStr">
        <is>
          <t>―</t>
        </is>
      </c>
      <c r="D6" s="4" t="inlineStr">
        <is>
          <t>いま何が止まっていて、次に何が来るか</t>
        </is>
      </c>
    </row>
    <row r="7">
      <c r="A7" s="4" t="inlineStr">
        <is>
          <t>01_WBS</t>
        </is>
      </c>
      <c r="B7" s="4" t="inlineStr">
        <is>
          <t>作業の一覧（段階・状態・進捗率・重み・必要な村資料）</t>
        </is>
      </c>
      <c r="C7" s="5" t="inlineStr">
        <is>
          <t>73件</t>
        </is>
      </c>
      <c r="D7" s="4" t="inlineStr">
        <is>
          <t>作業ごとの状態と、その作業が待っている村資料</t>
        </is>
      </c>
    </row>
    <row r="8">
      <c r="A8" s="4" t="inlineStr">
        <is>
          <t>02_段階サマリ</t>
        </is>
      </c>
      <c r="B8" s="4" t="inlineStr">
        <is>
          <t>P1〜P10の段階別集計（01_WBS から数式で再計算）</t>
        </is>
      </c>
      <c r="C8" s="5" t="inlineStr">
        <is>
          <t>10段階</t>
        </is>
      </c>
      <c r="D8" s="4" t="inlineStr">
        <is>
          <t>どの段階が遅れているか、段階ごとの律速要因</t>
        </is>
      </c>
    </row>
    <row r="9">
      <c r="A9" s="4" t="inlineStr">
        <is>
          <t>03_成果品管理</t>
        </is>
      </c>
      <c r="B9" s="4" t="inlineStr">
        <is>
          <t>仕様書5の成果品①〜③と参考成果物の版・状態</t>
        </is>
      </c>
      <c r="C9" s="5" t="inlineStr">
        <is>
          <t>4件</t>
        </is>
      </c>
      <c r="D9" s="4" t="inlineStr">
        <is>
          <t>納品物それぞれの到達点と、確定に必要なもの</t>
        </is>
      </c>
    </row>
    <row r="10">
      <c r="A10" s="4" t="inlineStr">
        <is>
          <t>04_工程表</t>
        </is>
      </c>
      <c r="B10" s="4" t="inlineStr">
        <is>
          <t>月別の予定（仕様書の工程案と実際の見込み）</t>
        </is>
      </c>
      <c r="C10" s="5" t="inlineStr">
        <is>
          <t>11件</t>
        </is>
      </c>
      <c r="D10" s="4" t="inlineStr">
        <is>
          <t>いつ何をするか、工程案とのずれ</t>
        </is>
      </c>
    </row>
    <row r="11">
      <c r="A11" s="4" t="inlineStr">
        <is>
          <t>05_村資料・依頼の詳細</t>
        </is>
      </c>
      <c r="B11" s="4" t="inlineStr">
        <is>
          <t>村への依頼の全文（優先度・依頼の詳細・反映先・関係WBS・状態）</t>
        </is>
      </c>
      <c r="C11" s="5" t="inlineStr">
        <is>
          <t>69件</t>
        </is>
      </c>
      <c r="D11" s="4" t="inlineStr">
        <is>
          <t>何を誰にいつまでに依頼し、届かないとどの作業が止まるか</t>
        </is>
      </c>
    </row>
    <row r="12">
      <c r="A12" s="4" t="inlineStr">
        <is>
          <t>06_会議体・意見聴取</t>
        </is>
      </c>
      <c r="B12" s="4" t="inlineStr">
        <is>
          <t>協議会・庁議・パブリックコメントの予定と資料の状態</t>
        </is>
      </c>
      <c r="C12" s="5" t="inlineStr">
        <is>
          <t>7件</t>
        </is>
      </c>
      <c r="D12" s="4" t="inlineStr">
        <is>
          <t>意見聴取の場ごとに、資料が間に合うか</t>
        </is>
      </c>
    </row>
    <row r="13">
      <c r="A13" s="4" t="inlineStr">
        <is>
          <t>07_課題・リスク</t>
        </is>
      </c>
      <c r="B13" s="4" t="inlineStr">
        <is>
          <t>課題とリスク（区分・影響度・対応・状態）</t>
        </is>
      </c>
      <c r="C13" s="5" t="inlineStr">
        <is>
          <t>36件</t>
        </is>
      </c>
      <c r="D13" s="4" t="inlineStr">
        <is>
          <t>放置すると工程や品質に出る問題と、その手当て</t>
        </is>
      </c>
    </row>
    <row r="14">
      <c r="A14" s="4" t="inlineStr">
        <is>
          <t>08_変更管理・打合せ記録</t>
        </is>
      </c>
      <c r="B14" s="4" t="inlineStr">
        <is>
          <t>仕様書と実際の運用の差（変更管理）</t>
        </is>
      </c>
      <c r="C14" s="5" t="inlineStr">
        <is>
          <t>27件</t>
        </is>
      </c>
      <c r="D14" s="4" t="inlineStr">
        <is>
          <t>書面で詰め直す必要がある条項</t>
        </is>
      </c>
    </row>
    <row r="15">
      <c r="A15" s="4" t="inlineStr">
        <is>
          <t>09_翌日の着手順</t>
        </is>
      </c>
      <c r="B15" s="4" t="inlineStr">
        <is>
          <t>令和8年10月15日（木）の打合せまでの着手順と、その順番にした理由</t>
        </is>
      </c>
      <c r="C15" s="5" t="inlineStr">
        <is>
          <t>14件</t>
        </is>
      </c>
      <c r="D15" s="4" t="inlineStr">
        <is>
          <t>朝いちばんに何から手を付けるか</t>
        </is>
      </c>
    </row>
    <row r="17">
      <c r="A17" s="2" t="inlineStr">
        <is>
          <t>■ 全体進捗</t>
        </is>
      </c>
    </row>
    <row r="18">
      <c r="A18" s="2" t="inlineStr">
        <is>
          <t>全体進捗</t>
        </is>
      </c>
      <c r="B18" s="6">
        <f>'02_段階サマリ'!H12</f>
        <v/>
      </c>
      <c r="C18" s="2" t="inlineStr">
        <is>
          <t>作業数</t>
        </is>
      </c>
      <c r="D18">
        <f>'02_段階サマリ'!B12</f>
        <v/>
      </c>
    </row>
    <row r="19">
      <c r="A19" s="2" t="inlineStr">
        <is>
          <t>完了</t>
        </is>
      </c>
      <c r="B19">
        <f>'02_段階サマリ'!C12</f>
        <v/>
      </c>
      <c r="C19" s="2" t="inlineStr">
        <is>
          <t>データ待ち</t>
        </is>
      </c>
      <c r="D19">
        <f>'02_段階サマリ'!F12</f>
        <v/>
      </c>
    </row>
    <row r="21">
      <c r="A21" s="3" t="inlineStr">
        <is>
          <t>段階</t>
        </is>
      </c>
      <c r="B21" s="3" t="inlineStr">
        <is>
          <t>作業数</t>
        </is>
      </c>
      <c r="C21" s="3" t="inlineStr">
        <is>
          <t>加重進捗率</t>
        </is>
      </c>
      <c r="D21" s="3" t="inlineStr">
        <is>
          <t>律速要因</t>
        </is>
      </c>
    </row>
    <row r="22">
      <c r="A22">
        <f>'02_段階サマリ'!A2</f>
        <v/>
      </c>
      <c r="B22">
        <f>'02_段階サマリ'!B2</f>
        <v/>
      </c>
      <c r="C22" s="6">
        <f>'02_段階サマリ'!H2</f>
        <v/>
      </c>
      <c r="D22" s="4">
        <f>'02_段階サマリ'!K2</f>
        <v/>
      </c>
    </row>
    <row r="23">
      <c r="A23">
        <f>'02_段階サマリ'!A3</f>
        <v/>
      </c>
      <c r="B23">
        <f>'02_段階サマリ'!B3</f>
        <v/>
      </c>
      <c r="C23" s="6">
        <f>'02_段階サマリ'!H3</f>
        <v/>
      </c>
      <c r="D23" s="4">
        <f>'02_段階サマリ'!K3</f>
        <v/>
      </c>
    </row>
    <row r="24">
      <c r="A24">
        <f>'02_段階サマリ'!A4</f>
        <v/>
      </c>
      <c r="B24">
        <f>'02_段階サマリ'!B4</f>
        <v/>
      </c>
      <c r="C24" s="6">
        <f>'02_段階サマリ'!H4</f>
        <v/>
      </c>
      <c r="D24" s="4">
        <f>'02_段階サマリ'!K4</f>
        <v/>
      </c>
    </row>
    <row r="25">
      <c r="A25">
        <f>'02_段階サマリ'!A5</f>
        <v/>
      </c>
      <c r="B25">
        <f>'02_段階サマリ'!B5</f>
        <v/>
      </c>
      <c r="C25" s="6">
        <f>'02_段階サマリ'!H5</f>
        <v/>
      </c>
      <c r="D25" s="4">
        <f>'02_段階サマリ'!K5</f>
        <v/>
      </c>
    </row>
    <row r="26">
      <c r="A26">
        <f>'02_段階サマリ'!A6</f>
        <v/>
      </c>
      <c r="B26">
        <f>'02_段階サマリ'!B6</f>
        <v/>
      </c>
      <c r="C26" s="6">
        <f>'02_段階サマリ'!H6</f>
        <v/>
      </c>
      <c r="D26" s="4">
        <f>'02_段階サマリ'!K6</f>
        <v/>
      </c>
    </row>
    <row r="27">
      <c r="A27">
        <f>'02_段階サマリ'!A7</f>
        <v/>
      </c>
      <c r="B27">
        <f>'02_段階サマリ'!B7</f>
        <v/>
      </c>
      <c r="C27" s="6">
        <f>'02_段階サマリ'!H7</f>
        <v/>
      </c>
      <c r="D27" s="4">
        <f>'02_段階サマリ'!K7</f>
        <v/>
      </c>
    </row>
    <row r="28">
      <c r="A28">
        <f>'02_段階サマリ'!A8</f>
        <v/>
      </c>
      <c r="B28">
        <f>'02_段階サマリ'!B8</f>
        <v/>
      </c>
      <c r="C28" s="6">
        <f>'02_段階サマリ'!H8</f>
        <v/>
      </c>
      <c r="D28" s="4">
        <f>'02_段階サマリ'!K8</f>
        <v/>
      </c>
    </row>
    <row r="29">
      <c r="A29">
        <f>'02_段階サマリ'!A9</f>
        <v/>
      </c>
      <c r="B29">
        <f>'02_段階サマリ'!B9</f>
        <v/>
      </c>
      <c r="C29" s="6">
        <f>'02_段階サマリ'!H9</f>
        <v/>
      </c>
      <c r="D29" s="4">
        <f>'02_段階サマリ'!K9</f>
        <v/>
      </c>
    </row>
    <row r="30">
      <c r="A30">
        <f>'02_段階サマリ'!A10</f>
        <v/>
      </c>
      <c r="B30">
        <f>'02_段階サマリ'!B10</f>
        <v/>
      </c>
      <c r="C30" s="6">
        <f>'02_段階サマリ'!H10</f>
        <v/>
      </c>
      <c r="D30" s="4">
        <f>'02_段階サマリ'!K10</f>
        <v/>
      </c>
    </row>
    <row r="31">
      <c r="A31">
        <f>'02_段階サマリ'!A11</f>
        <v/>
      </c>
      <c r="B31">
        <f>'02_段階サマリ'!B11</f>
        <v/>
      </c>
      <c r="C31" s="6">
        <f>'02_段階サマリ'!H11</f>
        <v/>
      </c>
      <c r="D31" s="4">
        <f>'02_段階サマリ'!K11</f>
        <v/>
      </c>
    </row>
    <row r="33">
      <c r="A33" s="2" t="inlineStr">
        <is>
          <t>■ 現況</t>
        </is>
      </c>
    </row>
    <row r="34" ht="32" customHeight="1">
      <c r="A34" s="4" t="inlineStr">
        <is>
          <t>推計・分析の枠組みは概ね組み上がった。国の基本指針（令和8年3月31日告示）の成果目標8区分と別表第一〜第五を条項単位で照合し、本村が全域過疎であることから別表第五の算定方法は適用対象外と判定して、個別積上げ方式を原則どおり採用できることを確定させた。</t>
        </is>
      </c>
    </row>
    <row r="35" ht="32" customHeight="1">
      <c r="A35" s="4" t="inlineStr">
        <is>
          <t>推計ブックは将来推計・サービス見込量・地域生活支援事業・活動指標・財源構成の5冊が算式まで実装済みで、実績データが入れば給付費と財源構成まで通る状態にしてある。計画書は計画素案として全8章に到達し、目次とページ番号を付与した（到達点は 03_成果品管理）。</t>
        </is>
      </c>
    </row>
    <row r="36" ht="46.5" customHeight="1">
      <c r="A36" s="4" t="inlineStr">
        <is>
          <t>一方、村からの資料は69件のうち受領済7件・一部受領6件・県照会中1件・未受領55件で、現行計画の評価・見込量・成果目標のいずれも確定できない。どの依頼がどの作業を止めているかは 05_村資料・依頼の詳細 の「関係WBS」列（及び 01_WBS の「必要な村資料」列）で追える。</t>
        </is>
      </c>
    </row>
    <row r="37" ht="32" customHeight="1">
      <c r="A37" s="4" t="inlineStr">
        <is>
          <t>令和8年10月の外部レビューを受けて、見込量の推計を4層（支給決定と実利用の分離・移行者・本人の必要量・確保可能量）に組み替え、介護保険事業計画との切り分けを支給決定の内容で整理した。いずれも村の個票（Ｍ-19・Ｍ-18）がないと数値まで到達しない。</t>
        </is>
      </c>
    </row>
    <row r="38" ht="32" customHeight="1">
      <c r="A38" s="4" t="inlineStr">
        <is>
          <t>最大の律速はアンケートの発送である。工程案の令和8年8月上旬発送に対し、印刷仕様・宛名ラベル・対象者数の3点がいずれも未了で、既に期限を超過している。回収に約1か月を要するため、遅延はそのまま集計・報告書・計画書の工程を圧迫する。</t>
        </is>
      </c>
    </row>
    <row r="39" ht="46.5" customHeight="1">
      <c r="A39" s="4" t="inlineStr">
        <is>
          <t>令和8年8月に村から調査票の朱書き修正指示40か所を受領した。設問の修正は他メンバーの担当だが、削除理由として書き添えられた数値9件は計画本体に直結するため、成果目標と見込量に反映した。障害支援区分別人数15人・医療的ケア児1人（経管栄養が毎日必要）・セルフプラン率0％・基幹相談支援センター未設置がその内容である。</t>
        </is>
      </c>
    </row>
    <row r="40" ht="32" customHeight="1">
      <c r="A40" s="4" t="inlineStr">
        <is>
          <t>同月、国が「障害福祉計画策定に係る実態調査及びPDCAサイクルに関するマニュアル」を改定し、福島県から市町村へ通知された（8生福第2646号・8こ第2041号）。全81頁を読み、成果物と突合した。別表第五を適用しないという当方の判定は国の文書で裏付けられた。</t>
        </is>
      </c>
    </row>
    <row r="41" ht="46.5" customHeight="1">
      <c r="A41" s="4" t="inlineStr">
        <is>
          <t>調査票は8月25日版で確定した。マニュアルの発出（8月19日事務連絡）と確定の時期が重なったため、標準項目のうち外出の目的・介護保険の利用状況・強度行動障害の該当有無・障害支援区分の4件が確定版にない。クロス集計25件と行政データとの突合6件を設計し、うち3件は代替の目処が立った。残る1件（外出の目的）は第4次障がい者計画の指標に関わるため村との再協議を要する。</t>
        </is>
      </c>
    </row>
    <row r="43">
      <c r="A43" s="2" t="inlineStr">
        <is>
          <t>■ 警戒事項</t>
        </is>
      </c>
    </row>
    <row r="44">
      <c r="A44" s="7" t="inlineStr">
        <is>
          <t>#</t>
        </is>
      </c>
      <c r="B44" s="7" t="inlineStr">
        <is>
          <t>内容</t>
        </is>
      </c>
      <c r="C44" s="7" t="inlineStr">
        <is>
          <t>影響</t>
        </is>
      </c>
      <c r="D44" s="7" t="inlineStr">
        <is>
          <t>対応</t>
        </is>
      </c>
    </row>
    <row r="45">
      <c r="A45" t="n">
        <v>1</v>
      </c>
      <c r="B45" s="4" t="inlineStr">
        <is>
          <t>アンケートの発送が工程案の令和8年8月上旬に間に合わない</t>
        </is>
      </c>
      <c r="C45" s="4" t="inlineStr">
        <is>
          <t>回収期間または集計期間が圧縮され、報告書・計画書の工程に波及する</t>
        </is>
      </c>
      <c r="D45" s="4" t="inlineStr">
        <is>
          <t>印刷仕様を確定し、宛名ラベルの提供日を村と合意する。遅延が確定した場合は回収期間を維持して集計以降を短縮する</t>
        </is>
      </c>
    </row>
    <row r="46">
      <c r="A46" t="n">
        <v>2</v>
      </c>
      <c r="B46" s="4" t="inlineStr">
        <is>
          <t>村資料55件が未受領（依頼69件中）</t>
        </is>
      </c>
      <c r="C46" s="4" t="inlineStr">
        <is>
          <t>現行計画の評価、成果目標の現状値、見込量、給付費のいずれも確定できない</t>
        </is>
      </c>
      <c r="D46" s="4" t="inlineStr">
        <is>
          <t>計画値の基礎とする系列（Ｍ-19）を単独で先に照会する。1件の回答で 7-2・7-3・7-7・8-7・5-10 の5作業が動く。次に移行管理台帳（Ｍ-18）で第2次算定の個別積上げに入る</t>
        </is>
      </c>
    </row>
    <row r="47">
      <c r="A47" t="n">
        <v>3</v>
      </c>
      <c r="B47" s="4" t="inlineStr">
        <is>
          <t>第4次障がい者計画の1指標が測定できない</t>
        </is>
      </c>
      <c r="C47" s="4" t="inlineStr">
        <is>
          <t>「外出目的が趣味・スポーツ・グループ活動である人の割合（28.1％→40％）」。確定版に外出の目的を問う設問がなく、最も近い問42は意向のため前回値と接続できない</t>
        </is>
      </c>
      <c r="D47" s="4" t="inlineStr">
        <is>
          <t>指標の測定方法の変更は改定対象外の計画に関わる村の判断事項。代理指標（問42で趣味・スポーツ等を選んだ割合）への切替えを提案し、村と再協議する（クロス集計設計 Ｓ-1）</t>
        </is>
      </c>
    </row>
    <row r="48">
      <c r="A48" t="n">
        <v>4</v>
      </c>
      <c r="B48" s="4" t="inlineStr">
        <is>
          <t>調査対象者数が確定していない</t>
        </is>
      </c>
      <c r="C48" s="4" t="inlineStr">
        <is>
          <t>回収率の分母、管理番号の設計、手帳所持者数の将来推計の起点が定まらない</t>
        </is>
      </c>
      <c r="D48" s="4" t="inlineStr">
        <is>
          <t>仕様書の約190人と現行計画の156人の差の理由を発送前に村へ確認する</t>
        </is>
      </c>
    </row>
    <row r="49">
      <c r="A49" t="n">
        <v>5</v>
      </c>
      <c r="B49" s="4" t="inlineStr">
        <is>
          <t>印刷仕様が仕様書と乖離している</t>
        </is>
      </c>
      <c r="C49" s="4" t="inlineStr">
        <is>
          <t>部数・単価の精算根拠が定まらない</t>
        </is>
      </c>
      <c r="D49" s="4" t="inlineStr">
        <is>
          <t>仕様書はA4判・約24頁・黒1色の1種類だが実際は2種類。頁数・種類数・部数・単価の取扱いを村と協議し、結果を書面で残す</t>
        </is>
      </c>
    </row>
    <row r="50">
      <c r="A50" t="n">
        <v>6</v>
      </c>
      <c r="B50" s="4" t="inlineStr">
        <is>
          <t>1年以上長期入院者の実数が把握できていない</t>
        </is>
      </c>
      <c r="C50" s="4" t="inlineStr">
        <is>
          <t>成果目標（２）の基盤整備量を告示別表第四の式で算定できない</t>
        </is>
      </c>
      <c r="D50" s="4" t="inlineStr">
        <is>
          <t>村及び会津保健所へ照会中。ReMHRADで把握できるのは入院期間を問わない在院患者数までで、1年以上の内訳と年齢区分は公表データにない</t>
        </is>
      </c>
    </row>
    <row r="51">
      <c r="A51" t="n">
        <v>7</v>
      </c>
      <c r="B51" s="4" t="inlineStr">
        <is>
          <t>村の策定方針の工程に3〜4か月遅れている</t>
        </is>
      </c>
      <c r="C51" s="4" t="inlineStr">
        <is>
          <t>村の計画策定方針（令和8年5月25日）は、アンケート調査を6月、素案作成を8月、第2回協議会を10月、パブリックコメントを11月、第3回協議会（4町村広域）を12月、庁議を令和9年1月、議会説明と計画決定を2月としている。アンケートが未発送であるため、調査に係る工程が3〜4か月遅れており、11月のパブリックコメントに素案が間に合わない恐れがある</t>
        </is>
      </c>
      <c r="D51" s="4" t="inlineStr">
        <is>
          <t>工程を村と合わせ直す（照会Ｍ-40）。方針どおり11月に実施する案と、現況に合わせて協議会12月・パブリックコメント令和9年1月とする改定案の2案を示す。第2回協議会の議題（アンケート結果報告）の組み替えも相談する</t>
        </is>
      </c>
    </row>
    <row r="53">
      <c r="A53" s="2" t="inlineStr">
        <is>
          <t>■ 直近のマイルストーン</t>
        </is>
      </c>
    </row>
    <row r="54">
      <c r="A54" s="7" t="inlineStr">
        <is>
          <t>時期</t>
        </is>
      </c>
      <c r="B54" s="7" t="inlineStr">
        <is>
          <t>内容</t>
        </is>
      </c>
      <c r="C54" s="7" t="inlineStr">
        <is>
          <t>状態</t>
        </is>
      </c>
      <c r="D54" s="7" t="inlineStr">
        <is>
          <t>前提</t>
        </is>
      </c>
    </row>
    <row r="55">
      <c r="A55" t="inlineStr">
        <is>
          <t>令和8年8月中</t>
        </is>
      </c>
      <c r="B55" s="4" t="inlineStr">
        <is>
          <t>印刷仕様の確定、宛名ラベルの受領、対象者数の確定、調査票への設問追加の可否</t>
        </is>
      </c>
      <c r="C55" s="8" t="inlineStr">
        <is>
          <t>要対応</t>
        </is>
      </c>
      <c r="D55" s="4" t="inlineStr">
        <is>
          <t>村の回答。既に期限を超過している</t>
        </is>
      </c>
    </row>
    <row r="56">
      <c r="A56" t="inlineStr">
        <is>
          <t>令和8年8〜9月</t>
        </is>
      </c>
      <c r="B56" s="4" t="inlineStr">
        <is>
          <t>アンケートの発送・回収</t>
        </is>
      </c>
      <c r="C56" s="8" t="inlineStr">
        <is>
          <t>要対応</t>
        </is>
      </c>
      <c r="D56" s="4" t="inlineStr">
        <is>
          <t>上記3点の確定</t>
        </is>
      </c>
    </row>
    <row r="57">
      <c r="A57" t="inlineStr">
        <is>
          <t>令和8年10月</t>
        </is>
      </c>
      <c r="B57" s="4" t="inlineStr">
        <is>
          <t>村資料の受領（最優先14件。Ｍ-19 計画値の系列 → Ｍ-18 移行管理台帳 の順に）</t>
        </is>
      </c>
      <c r="C57" s="9" t="inlineStr">
        <is>
          <t>データ待ち</t>
        </is>
      </c>
      <c r="D57" s="4" t="inlineStr">
        <is>
          <t>村の回答</t>
        </is>
      </c>
    </row>
    <row r="58">
      <c r="A58" t="inlineStr">
        <is>
          <t>令和8年10月</t>
        </is>
      </c>
      <c r="B58" s="4" t="inlineStr">
        <is>
          <t>集計 → 現行計画の評価の確定</t>
        </is>
      </c>
      <c r="C58" s="10" t="inlineStr">
        <is>
          <t>未着手</t>
        </is>
      </c>
      <c r="D58" s="4" t="inlineStr">
        <is>
          <t>アンケートの回収</t>
        </is>
      </c>
    </row>
    <row r="59">
      <c r="A59" t="inlineStr">
        <is>
          <t>令和8年11月</t>
        </is>
      </c>
      <c r="B59" s="4" t="inlineStr">
        <is>
          <t>見込量・成果目標・給付費の確定</t>
        </is>
      </c>
      <c r="C59" s="10" t="inlineStr">
        <is>
          <t>未着手</t>
        </is>
      </c>
      <c r="D59" s="4" t="inlineStr">
        <is>
          <t>実績データの受領。算式は実装済み</t>
        </is>
      </c>
    </row>
    <row r="60">
      <c r="A60" t="inlineStr">
        <is>
          <t>令和8年12月</t>
        </is>
      </c>
      <c r="B60" s="4" t="inlineStr">
        <is>
          <t>素案の確定、自立支援協議会</t>
        </is>
      </c>
      <c r="C60" s="10" t="inlineStr">
        <is>
          <t>未着手</t>
        </is>
      </c>
      <c r="D60" s="4" t="inlineStr">
        <is>
          <t>開催時期が未定</t>
        </is>
      </c>
    </row>
    <row r="61">
      <c r="A61" t="inlineStr">
        <is>
          <t>令和9年1月</t>
        </is>
      </c>
      <c r="B61" s="4" t="inlineStr">
        <is>
          <t>パブリックコメント、調査結果報告書</t>
        </is>
      </c>
      <c r="C61" s="10" t="inlineStr">
        <is>
          <t>未着手</t>
        </is>
      </c>
      <c r="D61" s="4" t="inlineStr">
        <is>
          <t>素案の確定</t>
        </is>
      </c>
    </row>
    <row r="62">
      <c r="A62" t="inlineStr">
        <is>
          <t>令和9年2月</t>
        </is>
      </c>
      <c r="B62" s="4" t="inlineStr">
        <is>
          <t>意見への対応、原稿確定、組版</t>
        </is>
      </c>
      <c r="C62" s="10" t="inlineStr">
        <is>
          <t>未着手</t>
        </is>
      </c>
      <c r="D62" s="4" t="inlineStr">
        <is>
          <t>パブコメの終了</t>
        </is>
      </c>
    </row>
    <row r="63">
      <c r="A63" t="inlineStr">
        <is>
          <t>令和9年3月31日</t>
        </is>
      </c>
      <c r="B63" s="4" t="inlineStr">
        <is>
          <t>納品（業務期間の末日）</t>
        </is>
      </c>
      <c r="C63" s="10" t="inlineStr">
        <is>
          <t>未着手</t>
        </is>
      </c>
      <c r="D63" s="4" t="inlineStr">
        <is>
          <t>全成果品の完成</t>
        </is>
      </c>
    </row>
  </sheetData>
  <mergeCells count="8">
    <mergeCell ref="A37:D37"/>
    <mergeCell ref="A40:D40"/>
    <mergeCell ref="A34:D34"/>
    <mergeCell ref="A35:D35"/>
    <mergeCell ref="A38:D38"/>
    <mergeCell ref="A39:D39"/>
    <mergeCell ref="A41:D41"/>
    <mergeCell ref="A36:D3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42" customWidth="1" min="4" max="4"/>
    <col width="20" customWidth="1" min="5" max="5"/>
    <col width="12" customWidth="1" min="6" max="6"/>
    <col width="11" customWidth="1" min="7" max="7"/>
    <col width="11" customWidth="1" min="8" max="8"/>
    <col width="11" customWidth="1" min="9" max="9"/>
    <col width="8" customWidth="1" min="10" max="10"/>
    <col width="6" customWidth="1" min="11" max="11"/>
    <col width="52" customWidth="1" min="12" max="12"/>
    <col width="46" customWidth="1" min="13" max="13"/>
    <col width="50" customWidth="1" min="14" max="14"/>
  </cols>
  <sheetData>
    <row r="1">
      <c r="A1" s="3" t="inlineStr">
        <is>
          <t>段階</t>
        </is>
      </c>
      <c r="B1" s="3" t="inlineStr">
        <is>
          <t>No</t>
        </is>
      </c>
      <c r="C1" s="3" t="inlineStr">
        <is>
          <t>作業</t>
        </is>
      </c>
      <c r="D1" s="3" t="inlineStr">
        <is>
          <t>内容</t>
        </is>
      </c>
      <c r="E1" s="3" t="inlineStr">
        <is>
          <t>仕様書根拠</t>
        </is>
      </c>
      <c r="F1" s="3" t="inlineStr">
        <is>
          <t>担当</t>
        </is>
      </c>
      <c r="G1" s="3" t="inlineStr">
        <is>
          <t>予定開始</t>
        </is>
      </c>
      <c r="H1" s="3" t="inlineStr">
        <is>
          <t>予定完了</t>
        </is>
      </c>
      <c r="I1" s="3" t="inlineStr">
        <is>
          <t>状態</t>
        </is>
      </c>
      <c r="J1" s="3" t="inlineStr">
        <is>
          <t>進捗率</t>
        </is>
      </c>
      <c r="K1" s="3" t="inlineStr">
        <is>
          <t>重み</t>
        </is>
      </c>
      <c r="L1" s="3" t="inlineStr">
        <is>
          <t>実績・根拠</t>
        </is>
      </c>
      <c r="M1" s="3" t="inlineStr">
        <is>
          <t>前提条件・ブロッカー</t>
        </is>
      </c>
      <c r="N1" s="3" t="inlineStr">
        <is>
          <t>必要な村資料（確定に必要／精度を上げる）</t>
        </is>
      </c>
    </row>
    <row r="2">
      <c r="A2" s="4" t="inlineStr">
        <is>
          <t>P1 準備・現状把握</t>
        </is>
      </c>
      <c r="B2" s="11" t="inlineStr">
        <is>
          <t>1-1</t>
        </is>
      </c>
      <c r="C2" s="4" t="inlineStr">
        <is>
          <t>契約・受注範囲の確定</t>
        </is>
      </c>
      <c r="D2" s="4" t="inlineStr">
        <is>
          <t>仕様書の条項を分解し、契約上の受注範囲と打合せで合意した運用の差を突合</t>
        </is>
      </c>
      <c r="E2" s="4" t="inlineStr">
        <is>
          <t>仕様書全般</t>
        </is>
      </c>
      <c r="F2" s="11" t="inlineStr">
        <is>
          <t>受託者</t>
        </is>
      </c>
      <c r="G2" s="11" t="inlineStr">
        <is>
          <t>2026-06</t>
        </is>
      </c>
      <c r="H2" s="11" t="inlineStr">
        <is>
          <t>2026-08</t>
        </is>
      </c>
      <c r="I2" s="12" t="inlineStr">
        <is>
          <t>完了</t>
        </is>
      </c>
      <c r="J2" s="11" t="n">
        <v>100</v>
      </c>
      <c r="K2" s="11" t="n">
        <v>3</v>
      </c>
      <c r="L2" s="4" t="inlineStr">
        <is>
          <t>受注内容整理（docs/北塩原村_第8期障がい福祉計画_受注内容整理.md）。仕様書の要求を条項単位で33項目に分解</t>
        </is>
      </c>
      <c r="M2" s="4" t="inlineStr">
        <is>
          <t>―</t>
        </is>
      </c>
      <c r="N2" s="4" t="inlineStr">
        <is>
          <t>―</t>
        </is>
      </c>
    </row>
    <row r="3">
      <c r="A3" s="4" t="inlineStr">
        <is>
          <t>P1 準備・現状把握</t>
        </is>
      </c>
      <c r="B3" s="11" t="inlineStr">
        <is>
          <t>1-2</t>
        </is>
      </c>
      <c r="C3" s="4" t="inlineStr">
        <is>
          <t>現行計画本編の確認</t>
        </is>
      </c>
      <c r="D3" s="4" t="inlineStr">
        <is>
          <t>第4次障がい者計画・第7期障がい福祉計画・第3期障がい児福祉計画（63頁）の構成・成果目標7区分・見込量・施策目標値の把握</t>
        </is>
      </c>
      <c r="E3" s="4" t="inlineStr">
        <is>
          <t>仕様書4-Ⅱ(2)</t>
        </is>
      </c>
      <c r="F3" s="11" t="inlineStr">
        <is>
          <t>受託者</t>
        </is>
      </c>
      <c r="G3" s="11" t="inlineStr">
        <is>
          <t>2026-08</t>
        </is>
      </c>
      <c r="H3" s="11" t="inlineStr">
        <is>
          <t>2026-08</t>
        </is>
      </c>
      <c r="I3" s="12" t="inlineStr">
        <is>
          <t>完了</t>
        </is>
      </c>
      <c r="J3" s="11" t="n">
        <v>100</v>
      </c>
      <c r="K3" s="11" t="n">
        <v>3</v>
      </c>
      <c r="L3" s="4" t="inlineStr">
        <is>
          <t>受領による確認と訂正（docs/北塩原村_現行計画本編_受領による確認と訂正.md）。推定していた9件を実測値に置換し、誤りを4件訂正</t>
        </is>
      </c>
      <c r="M3" s="4" t="inlineStr">
        <is>
          <t>―</t>
        </is>
      </c>
      <c r="N3" s="4" t="inlineStr">
        <is>
          <t>現行計画本編（第4次障がい者計画・第7期・第3期）</t>
        </is>
      </c>
    </row>
    <row r="4">
      <c r="A4" s="4" t="inlineStr">
        <is>
          <t>P1 準備・現状把握</t>
        </is>
      </c>
      <c r="B4" s="11" t="inlineStr">
        <is>
          <t>1-3</t>
        </is>
      </c>
      <c r="C4" s="4" t="inlineStr">
        <is>
          <t>改定対象の切り分け</t>
        </is>
      </c>
      <c r="D4" s="4" t="inlineStr">
        <is>
          <t>第4次障がい者計画（令和6〜11年度）は継続中で改定対象外。基本理念・基本目標を継承する整合記述にとどめる範囲を確定</t>
        </is>
      </c>
      <c r="E4" s="4" t="inlineStr">
        <is>
          <t>仕様書1・2</t>
        </is>
      </c>
      <c r="F4" s="11" t="inlineStr">
        <is>
          <t>受託者</t>
        </is>
      </c>
      <c r="G4" s="11" t="inlineStr">
        <is>
          <t>2026-08</t>
        </is>
      </c>
      <c r="H4" s="11" t="inlineStr">
        <is>
          <t>2026-08</t>
        </is>
      </c>
      <c r="I4" s="12" t="inlineStr">
        <is>
          <t>完了</t>
        </is>
      </c>
      <c r="J4" s="11" t="n">
        <v>100</v>
      </c>
      <c r="K4" s="11" t="n">
        <v>2</v>
      </c>
      <c r="L4" s="4" t="inlineStr">
        <is>
          <t>骨子案修正版 第3章を「参考」から本計画の内容へ再構成。仕様書4-Ⅱ(5)①②の記載事項を措置</t>
        </is>
      </c>
      <c r="M4" s="4" t="inlineStr">
        <is>
          <t>―</t>
        </is>
      </c>
      <c r="N4" s="4" t="inlineStr">
        <is>
          <t>―</t>
        </is>
      </c>
    </row>
    <row r="5">
      <c r="A5" s="4" t="inlineStr">
        <is>
          <t>P1 準備・現状把握</t>
        </is>
      </c>
      <c r="B5" s="11" t="inlineStr">
        <is>
          <t>1-4</t>
        </is>
      </c>
      <c r="C5" s="4" t="inlineStr">
        <is>
          <t>村への資料依頼の一本化</t>
        </is>
      </c>
      <c r="D5" s="4" t="inlineStr">
        <is>
          <t>各推計ブックに分散していた村確認事項を横断で一本化し、優先度・希望期限を付す</t>
        </is>
      </c>
      <c r="E5" s="4" t="inlineStr">
        <is>
          <t>―</t>
        </is>
      </c>
      <c r="F5" s="11" t="inlineStr">
        <is>
          <t>受託者</t>
        </is>
      </c>
      <c r="G5" s="11" t="inlineStr">
        <is>
          <t>2026-08</t>
        </is>
      </c>
      <c r="H5" s="11" t="inlineStr">
        <is>
          <t>2026-08</t>
        </is>
      </c>
      <c r="I5" s="12" t="inlineStr">
        <is>
          <t>完了</t>
        </is>
      </c>
      <c r="J5" s="11" t="n">
        <v>100</v>
      </c>
      <c r="K5" s="11" t="n">
        <v>2</v>
      </c>
      <c r="L5" s="4" t="inlineStr">
        <is>
          <t>05_村資料・依頼の詳細（69件）に一本化し、WBS番号と結び付けた。最優先16件・高32件</t>
        </is>
      </c>
      <c r="M5" s="4" t="inlineStr">
        <is>
          <t>―</t>
        </is>
      </c>
      <c r="N5" s="4" t="inlineStr">
        <is>
          <t>―</t>
        </is>
      </c>
    </row>
    <row r="6">
      <c r="A6" s="4" t="inlineStr">
        <is>
          <t>P1 準備・現状把握</t>
        </is>
      </c>
      <c r="B6" s="11" t="inlineStr">
        <is>
          <t>1-5</t>
        </is>
      </c>
      <c r="C6" s="4" t="inlineStr">
        <is>
          <t>村資料の受領</t>
        </is>
      </c>
      <c r="D6" s="4" t="inlineStr">
        <is>
          <t>依頼69件の受領。実績データ・匿名利用者一覧・年齢階級別人口ほか</t>
        </is>
      </c>
      <c r="E6" s="4" t="inlineStr">
        <is>
          <t>―</t>
        </is>
      </c>
      <c r="F6" s="11" t="inlineStr">
        <is>
          <t>北塩原村</t>
        </is>
      </c>
      <c r="G6" s="11" t="inlineStr">
        <is>
          <t>2026-08</t>
        </is>
      </c>
      <c r="H6" s="11" t="inlineStr">
        <is>
          <t>2026-10</t>
        </is>
      </c>
      <c r="I6" s="13" t="inlineStr">
        <is>
          <t>データ待ち</t>
        </is>
      </c>
      <c r="J6" s="11" t="n">
        <v>25</v>
      </c>
      <c r="K6" s="11" t="n">
        <v>5</v>
      </c>
      <c r="L6" s="4" t="inlineStr">
        <is>
          <t>受領済7件・一部受領6件・県照会中1件・未受領55件。令和8年8月の調査票朱書きで実データ9件が判明。令和8年10月に外部レビューを踏まえて6件を追加（Ｍ-19・Ｍ-18・Ｍ-13・Ｍ-14・Ｍ-20・Ｍ-21）</t>
        </is>
      </c>
      <c r="M6" s="4" t="inlineStr">
        <is>
          <t>村の回答。P3・P6・P7のほぼ全てがこれに依存する</t>
        </is>
      </c>
      <c r="N6" s="4" t="inlineStr">
        <is>
          <t>―</t>
        </is>
      </c>
    </row>
    <row r="7">
      <c r="A7" s="4" t="inlineStr">
        <is>
          <t>P1 準備・現状把握</t>
        </is>
      </c>
      <c r="B7" s="11" t="inlineStr">
        <is>
          <t>1-6</t>
        </is>
      </c>
      <c r="C7" s="4" t="inlineStr">
        <is>
          <t>打合せ等業務</t>
        </is>
      </c>
      <c r="D7" s="4" t="inlineStr">
        <is>
          <t>電話・面談（オンライン・対面）による協議。議事録の作成</t>
        </is>
      </c>
      <c r="E7" s="4" t="inlineStr">
        <is>
          <t>仕様書4-Ⅲ</t>
        </is>
      </c>
      <c r="F7" s="11" t="inlineStr">
        <is>
          <t>受託者</t>
        </is>
      </c>
      <c r="G7" s="11" t="inlineStr">
        <is>
          <t>2026-06</t>
        </is>
      </c>
      <c r="H7" s="11" t="inlineStr">
        <is>
          <t>2027-03</t>
        </is>
      </c>
      <c r="I7" s="14" t="inlineStr">
        <is>
          <t>進行中</t>
        </is>
      </c>
      <c r="J7" s="11" t="n">
        <v>40</v>
      </c>
      <c r="K7" s="11" t="n">
        <v>2</v>
      </c>
      <c r="L7" s="4" t="inlineStr">
        <is>
          <t>令和8年7月7日打合せの議事録。以降の協議事項を進捗管理に反映。令和8年10月9日の打合せ（網羅性点検への加筆）を北塩原村_打合せ記録_20261009.xlsx に記録（論点10件。提案4・合意3・指摘1・了承1・考察1）。加筆の原文と当方の読み取りを並べ、読み取りに迷った5件は勝手に直さず確認事項に残した。同日受領の論点メモを北塩原村_論点整理_20261009.xlsx に整理（論点30件・用語の是正15件）。あわせて並行する3つの版を突き合わせ、論点メモが読んだ版は正本（他メンバー版）ではなく当方の素案の注記削除版であることを特定した</t>
        </is>
      </c>
      <c r="M7" s="4" t="inlineStr">
        <is>
          <t>次回打合せの設定。発送前の確認事項を議題とする</t>
        </is>
      </c>
      <c r="N7" s="4" t="inlineStr">
        <is>
          <t>―</t>
        </is>
      </c>
    </row>
    <row r="8">
      <c r="A8" s="4" t="inlineStr">
        <is>
          <t>P1 準備・現状把握</t>
        </is>
      </c>
      <c r="B8" s="11" t="inlineStr">
        <is>
          <t>1-7</t>
        </is>
      </c>
      <c r="C8" s="4" t="inlineStr">
        <is>
          <t>成果物の再現性確保</t>
        </is>
      </c>
      <c r="D8" s="4" t="inlineStr">
        <is>
          <t>成果物を作り直せる状態（生成器・原本・必要なライブラリ）がすべてリポジトリに残っていることを機械で点検する仕組みの整備</t>
        </is>
      </c>
      <c r="E8" s="4" t="inlineStr">
        <is>
          <t>仕様書4-Ⅳ（成果品の納入）</t>
        </is>
      </c>
      <c r="F8" s="11" t="inlineStr">
        <is>
          <t>受託者</t>
        </is>
      </c>
      <c r="G8" s="11" t="inlineStr">
        <is>
          <t>2026-10</t>
        </is>
      </c>
      <c r="H8" s="11" t="inlineStr">
        <is>
          <t>2027-03</t>
        </is>
      </c>
      <c r="I8" s="14" t="inlineStr">
        <is>
          <t>進行中</t>
        </is>
      </c>
      <c r="J8" s="11" t="n">
        <v>90</v>
      </c>
      <c r="K8" s="11" t="n">
        <v>2</v>
      </c>
      <c r="L8" s="4" t="inlineStr">
        <is>
          <t>check_reproducibility.py を整備し7項目を点検。生成器23本・成果物35点の対応表を依存順に明記。全22本の再実行で34/34点が内容一致。別の場所に複製した状態でも全項目合格を確認（docs/北塩原村_成果物の再現性点検と再発防止.md）</t>
        </is>
      </c>
      <c r="M8" s="4" t="inlineStr">
        <is>
          <t>―（納品まで節目ごとに再実行する）</t>
        </is>
      </c>
      <c r="N8" s="4" t="inlineStr">
        <is>
          <t>―</t>
        </is>
      </c>
    </row>
    <row r="9">
      <c r="A9" s="4" t="inlineStr">
        <is>
          <t>P1 準備・現状把握</t>
        </is>
      </c>
      <c r="B9" s="11" t="inlineStr">
        <is>
          <t>1-8</t>
        </is>
      </c>
      <c r="C9" s="4" t="inlineStr">
        <is>
          <t>福島県の障がい計画との整合の確認</t>
        </is>
      </c>
      <c r="D9" s="4" t="inlineStr">
        <is>
          <t>県の障がい者計画・障がい福祉計画・障がい児福祉計画を確認し、計画期間・区域の設定・成果目標・圏域計画との整合を計画素案に反映する</t>
        </is>
      </c>
      <c r="E9" s="4" t="inlineStr">
        <is>
          <t>基本指針 第三の一の5・7</t>
        </is>
      </c>
      <c r="F9" s="11" t="inlineStr">
        <is>
          <t>受託者</t>
        </is>
      </c>
      <c r="G9" s="11" t="inlineStr">
        <is>
          <t>2026-10</t>
        </is>
      </c>
      <c r="H9" s="11" t="inlineStr">
        <is>
          <t>2027-01</t>
        </is>
      </c>
      <c r="I9" s="14" t="inlineStr">
        <is>
          <t>進行中</t>
        </is>
      </c>
      <c r="J9" s="11" t="n">
        <v>90</v>
      </c>
      <c r="K9" s="11" t="n">
        <v>2</v>
      </c>
      <c r="L9" s="4" t="inlineStr">
        <is>
          <t>北塩原村_福島県計画との整合.xlsx（7シート）。第7期県計画（令和6年3月・206頁）が source/精神保健 にあり、令和8年10月8日に県の概要2点と本文テキストを受領（source/県計画）。県が定める区域は会津障がい保健福祉圏域（2市8町3村）で、本計画がいう会津北部圏域（4町村）とは範囲が異なることを特定。一方で県計画の会津圏域計画が地域生活支援拠点として「会津北部」を挙げており、本計画の前提は県計画と整合することも確認。基幹相談支援センターは県全体59市町村（令和4年度実績44市町村）・会津圏域13市町村が目標だが圏域の設置は2か所にとどまる。計画素案 第1章2に3節、第4章（4）（6）・第5章8に圏域の現況を反映</t>
        </is>
      </c>
      <c r="M9" s="4" t="inlineStr">
        <is>
          <t>県障がい者計画（第5次）の計画期間（Q-7）と第8期県計画の策定時期・基盤整備量の算定値（Q-5）の確認</t>
        </is>
      </c>
      <c r="N9" s="4" t="inlineStr">
        <is>
          <t>―（精度：福島県の長期入院患者に係る基盤整備量（利用者数））</t>
        </is>
      </c>
    </row>
    <row r="10">
      <c r="A10" s="4" t="inlineStr">
        <is>
          <t>P1 準備・現状把握</t>
        </is>
      </c>
      <c r="B10" s="11" t="inlineStr">
        <is>
          <t>1-9</t>
        </is>
      </c>
      <c r="C10" s="4" t="inlineStr">
        <is>
          <t>他メンバーの計画素案の網羅性点検</t>
        </is>
      </c>
      <c r="D10" s="4" t="inlineStr">
        <is>
          <t>他メンバーが作成した計画素案と策定ワークシートを、別表第二の記載事項・成果目標8区分・県計画・介護保険事業計画・村の公表実績と突き合わせる</t>
        </is>
      </c>
      <c r="E10" s="4" t="inlineStr">
        <is>
          <t>―</t>
        </is>
      </c>
      <c r="F10" s="11" t="inlineStr">
        <is>
          <t>受託者</t>
        </is>
      </c>
      <c r="G10" s="11" t="inlineStr">
        <is>
          <t>2026-10</t>
        </is>
      </c>
      <c r="H10" s="11" t="inlineStr">
        <is>
          <t>2026-11</t>
        </is>
      </c>
      <c r="I10" s="14" t="inlineStr">
        <is>
          <t>進行中</t>
        </is>
      </c>
      <c r="J10" s="11" t="n">
        <v>80</v>
      </c>
      <c r="K10" s="11" t="n">
        <v>2</v>
      </c>
      <c r="L10" s="4" t="inlineStr">
        <is>
          <t>北塩原村_他メンバー素案_網羅性点検.xlsx（9シート）。漏れている論点18件（最優先4・高5・中7・低2）。最も重いのは、素案の実績値・現状値が他メンバー自身が仮置きと記した着色セル（16シート549個）に由来するのに、本文では実数として出所表示つきで書かれていること。村の公表実績とは11サービスで食い違い、うち3件は実績の有無が逆転。定めなければならない事項の未記載は別表第二 三㈠⑤（基盤整備量）の1件</t>
        </is>
      </c>
      <c r="M10" s="4" t="inlineStr">
        <is>
          <t>確認Ｓ-1（仮置きの前提の共有）とＳ-2〜Ｓ-4（村の実数）。どちらの素案を正本にするかの村・社内の判断</t>
        </is>
      </c>
      <c r="N10" s="4" t="inlineStr">
        <is>
          <t>―</t>
        </is>
      </c>
    </row>
    <row r="11">
      <c r="A11" s="4" t="inlineStr">
        <is>
          <t>P2 基礎調査</t>
        </is>
      </c>
      <c r="B11" s="11" t="inlineStr">
        <is>
          <t>2-1</t>
        </is>
      </c>
      <c r="C11" s="4" t="inlineStr">
        <is>
          <t>国の基本指針の確認と原典照合</t>
        </is>
      </c>
      <c r="D11" s="4" t="inlineStr">
        <is>
          <t>令和8年3月31日告示（こども家庭庁・厚生労働省告示第4号）の本文・新旧対照表により、成果目標8区分の国基準数値と別表第一〜第五を条項単位で照合</t>
        </is>
      </c>
      <c r="E11" s="4" t="inlineStr">
        <is>
          <t>仕様書4-Ⅱ(1)</t>
        </is>
      </c>
      <c r="F11" s="11" t="inlineStr">
        <is>
          <t>受託者</t>
        </is>
      </c>
      <c r="G11" s="11" t="inlineStr">
        <is>
          <t>2026-08</t>
        </is>
      </c>
      <c r="H11" s="11" t="inlineStr">
        <is>
          <t>2026-08</t>
        </is>
      </c>
      <c r="I11" s="12" t="inlineStr">
        <is>
          <t>完了</t>
        </is>
      </c>
      <c r="J11" s="11" t="n">
        <v>100</v>
      </c>
      <c r="K11" s="11" t="n">
        <v>5</v>
      </c>
      <c r="L11" s="4" t="inlineStr">
        <is>
          <t>国基準数値 原典照合結果（docs/北塩原村_国基準数値_原典照合結果.md）。骨子案の≪国の基本指針≫欄8か所を告示本文で全面差替</t>
        </is>
      </c>
      <c r="M11" s="4" t="inlineStr">
        <is>
          <t>―</t>
        </is>
      </c>
      <c r="N11" s="4" t="inlineStr">
        <is>
          <t>―</t>
        </is>
      </c>
    </row>
    <row r="12">
      <c r="A12" s="4" t="inlineStr">
        <is>
          <t>P2 基礎調査</t>
        </is>
      </c>
      <c r="B12" s="11" t="inlineStr">
        <is>
          <t>2-2</t>
        </is>
      </c>
      <c r="C12" s="4" t="inlineStr">
        <is>
          <t>法制度の改正動向の整理</t>
        </is>
      </c>
      <c r="D12" s="4" t="inlineStr">
        <is>
          <t>障害者総合支援法・児童福祉法の改正動向、就労選択支援の創設、令和8年度報酬改定（処遇改善加算拡充・B型基本報酬区分見直し）</t>
        </is>
      </c>
      <c r="E12" s="4" t="inlineStr">
        <is>
          <t>仕様書4-Ⅱ(1)</t>
        </is>
      </c>
      <c r="F12" s="11" t="inlineStr">
        <is>
          <t>受託者</t>
        </is>
      </c>
      <c r="G12" s="11" t="inlineStr">
        <is>
          <t>2026-08</t>
        </is>
      </c>
      <c r="H12" s="11" t="inlineStr">
        <is>
          <t>2026-08</t>
        </is>
      </c>
      <c r="I12" s="12" t="inlineStr">
        <is>
          <t>完了</t>
        </is>
      </c>
      <c r="J12" s="11" t="n">
        <v>100</v>
      </c>
      <c r="K12" s="11" t="n">
        <v>3</v>
      </c>
      <c r="L12" s="4" t="inlineStr">
        <is>
          <t>骨子案修正版 第1章4（基本指針の見直し16項目）。報酬改定資料3点を source/報酬改定 に保存</t>
        </is>
      </c>
      <c r="M12" s="4" t="inlineStr">
        <is>
          <t>―</t>
        </is>
      </c>
      <c r="N12" s="4" t="inlineStr">
        <is>
          <t>―</t>
        </is>
      </c>
    </row>
    <row r="13">
      <c r="A13" s="4" t="inlineStr">
        <is>
          <t>P2 基礎調査</t>
        </is>
      </c>
      <c r="B13" s="11" t="inlineStr">
        <is>
          <t>2-3</t>
        </is>
      </c>
      <c r="C13" s="4" t="inlineStr">
        <is>
          <t>福島県計画等の関連資料の収集</t>
        </is>
      </c>
      <c r="D13" s="4" t="inlineStr">
        <is>
          <t>福島県障がい福祉計画（第7期）本編、県の精神医療指標、県内の過疎・中山間地域の指定状況</t>
        </is>
      </c>
      <c r="E13" s="4" t="inlineStr">
        <is>
          <t>仕様書4-Ⅱ(1)</t>
        </is>
      </c>
      <c r="F13" s="11" t="inlineStr">
        <is>
          <t>受託者</t>
        </is>
      </c>
      <c r="G13" s="11" t="inlineStr">
        <is>
          <t>2026-08</t>
        </is>
      </c>
      <c r="H13" s="11" t="inlineStr">
        <is>
          <t>2026-08</t>
        </is>
      </c>
      <c r="I13" s="12" t="inlineStr">
        <is>
          <t>完了</t>
        </is>
      </c>
      <c r="J13" s="11" t="n">
        <v>100</v>
      </c>
      <c r="K13" s="11" t="n">
        <v>3</v>
      </c>
      <c r="L13" s="4" t="inlineStr">
        <is>
          <t>福島県_精神医療指標抽出.xlsx（7シート）。本村は過疎法第2条により全域が過疎地域と確定し、別表第五の適用対象外を判定</t>
        </is>
      </c>
      <c r="M13" s="4" t="inlineStr">
        <is>
          <t>―</t>
        </is>
      </c>
      <c r="N13" s="4" t="inlineStr">
        <is>
          <t>―</t>
        </is>
      </c>
    </row>
    <row r="14">
      <c r="A14" s="4" t="inlineStr">
        <is>
          <t>P2 基礎調査</t>
        </is>
      </c>
      <c r="B14" s="11" t="inlineStr">
        <is>
          <t>2-4</t>
        </is>
      </c>
      <c r="C14" s="4" t="inlineStr">
        <is>
          <t>村の関連計画との整合</t>
        </is>
      </c>
      <c r="D14" s="4" t="inlineStr">
        <is>
          <t>第5次総合振興計画、第3次健康21、地域福祉計画、こども・子育て計画、第9期高齢者福祉計画・介護保険事業計画</t>
        </is>
      </c>
      <c r="E14" s="4" t="inlineStr">
        <is>
          <t>仕様書4-Ⅱ(5)</t>
        </is>
      </c>
      <c r="F14" s="11" t="inlineStr">
        <is>
          <t>受託者</t>
        </is>
      </c>
      <c r="G14" s="11" t="inlineStr">
        <is>
          <t>2026-08</t>
        </is>
      </c>
      <c r="H14" s="11" t="inlineStr">
        <is>
          <t>2026-10</t>
        </is>
      </c>
      <c r="I14" s="14" t="inlineStr">
        <is>
          <t>進行中</t>
        </is>
      </c>
      <c r="J14" s="11" t="n">
        <v>60</v>
      </c>
      <c r="K14" s="11" t="n">
        <v>2</v>
      </c>
      <c r="L14" s="4" t="inlineStr">
        <is>
          <t>骨子案修正版 第7章（他計画との連携）。こども家庭センターとの相談導線を追記</t>
        </is>
      </c>
      <c r="M14" s="4" t="inlineStr">
        <is>
          <t>第5次総合振興計画たたき台ほか3計画が未受領</t>
        </is>
      </c>
      <c r="N14" s="15" t="inlineStr">
        <is>
          <t>こども・子育て計画の人口推計の元データ（Ｍ-29）・第5次総合振興計画たたき台、健康21現行計画、高齢者福祉・介護保険事業計画（精度：介護保険の第2号被保険者との重なり（Ｍ-14）・社会福祉法改正への対応（Ｍ-35）・障がい者活躍推進計画と物品調達方針（Ｍ-67・Ｍ-68））</t>
        </is>
      </c>
    </row>
    <row r="15">
      <c r="A15" s="4" t="inlineStr">
        <is>
          <t>P2 基礎調査</t>
        </is>
      </c>
      <c r="B15" s="11" t="inlineStr">
        <is>
          <t>2-5</t>
        </is>
      </c>
      <c r="C15" s="4" t="inlineStr">
        <is>
          <t>実態調査及びPDCAサイクルに関するマニュアルの確認</t>
        </is>
      </c>
      <c r="D15" s="4" t="inlineStr">
        <is>
          <t>令和8年8月に国が改定したマニュアル（全81頁）を読み、調査票の標準項目・見込量の推計方法・PDCAサイクルの要求水準を成果物と突合</t>
        </is>
      </c>
      <c r="E15" s="4" t="inlineStr">
        <is>
          <t>仕様書4-Ⅱ(1)</t>
        </is>
      </c>
      <c r="F15" s="11" t="inlineStr">
        <is>
          <t>受託者</t>
        </is>
      </c>
      <c r="G15" s="11" t="inlineStr">
        <is>
          <t>2026-08</t>
        </is>
      </c>
      <c r="H15" s="11" t="inlineStr">
        <is>
          <t>2026-08</t>
        </is>
      </c>
      <c r="I15" s="12" t="inlineStr">
        <is>
          <t>完了</t>
        </is>
      </c>
      <c r="J15" s="11" t="n">
        <v>100</v>
      </c>
      <c r="K15" s="11" t="n">
        <v>4</v>
      </c>
      <c r="L15" s="4" t="inlineStr">
        <is>
          <t>確認結果（docs/北塩原村_実態調査PDCAマニュアル_確認結果.md）。別表第五の適用外判定が国の文書で裏付けられた。調査票の欠落3件（外出の目的・介護保険の利用状況・強度行動障害の該当有無）が国の標準項目であることを確認し、骨子案 第1章6・第5章1へ反映</t>
        </is>
      </c>
      <c r="M15" s="4" t="inlineStr">
        <is>
          <t>―</t>
        </is>
      </c>
      <c r="N15" s="4" t="inlineStr">
        <is>
          <t>実態調査及びPDCAサイクルに関するマニュアル（令和8年8月）（精度：PDCAの評価体制・スケジュール・公表方法）</t>
        </is>
      </c>
    </row>
    <row r="16">
      <c r="A16" s="4" t="inlineStr">
        <is>
          <t>P2 基礎調査</t>
        </is>
      </c>
      <c r="B16" s="11" t="inlineStr">
        <is>
          <t>2-6</t>
        </is>
      </c>
      <c r="C16" s="4" t="inlineStr">
        <is>
          <t>告示後の基本指針改正2件の確認と網羅性のレビュー</t>
        </is>
      </c>
      <c r="D16" s="4" t="inlineStr">
        <is>
          <t>社会福祉法等改正を踏まえた改正（障害者部会 第157回・令和8年7月10日）と、医療的ケア児支援法改正を踏まえた改正（障害児支援部会 第21回・令和8年8月19日）を骨子案・計画素案と突合し、不足項目を洗い出す</t>
        </is>
      </c>
      <c r="E16" s="4" t="inlineStr">
        <is>
          <t>仕様書4-Ⅱ(1)・4-Ⅱ(5)</t>
        </is>
      </c>
      <c r="F16" s="11" t="inlineStr">
        <is>
          <t>受託者</t>
        </is>
      </c>
      <c r="G16" s="11" t="inlineStr">
        <is>
          <t>2026-09</t>
        </is>
      </c>
      <c r="H16" s="11" t="inlineStr">
        <is>
          <t>2026-09</t>
        </is>
      </c>
      <c r="I16" s="12" t="inlineStr">
        <is>
          <t>完了</t>
        </is>
      </c>
      <c r="J16" s="11" t="n">
        <v>100</v>
      </c>
      <c r="K16" s="11" t="n">
        <v>4</v>
      </c>
      <c r="L16" s="4" t="inlineStr">
        <is>
          <t>北塩原村_骨子案レビュー_基本指針網羅性.xlsx（7シート）。別表第二 六の項（人材確保・生産性向上・経営基盤）の新設と、医療的ケア者（成人）の新設を確認。不足14件・村県への確認事項8件を整理</t>
        </is>
      </c>
      <c r="M16" s="4" t="inlineStr">
        <is>
          <t>―</t>
        </is>
      </c>
      <c r="N16" s="4" t="inlineStr">
        <is>
          <t>―</t>
        </is>
      </c>
    </row>
    <row r="17">
      <c r="A17" s="4" t="inlineStr">
        <is>
          <t>P3 統計分析</t>
        </is>
      </c>
      <c r="B17" s="11" t="inlineStr">
        <is>
          <t>3-1</t>
        </is>
      </c>
      <c r="C17" s="4" t="inlineStr">
        <is>
          <t>人口・世帯の分析</t>
        </is>
      </c>
      <c r="D17" s="4" t="inlineStr">
        <is>
          <t>住民基本台帳による人口の推移と、村公式推計による令和11年までの見通し</t>
        </is>
      </c>
      <c r="E17" s="4" t="inlineStr">
        <is>
          <t>仕様書4-Ⅱ(3)①</t>
        </is>
      </c>
      <c r="F17" s="11" t="inlineStr">
        <is>
          <t>受託者</t>
        </is>
      </c>
      <c r="G17" s="11" t="inlineStr">
        <is>
          <t>2026-07</t>
        </is>
      </c>
      <c r="H17" s="11" t="inlineStr">
        <is>
          <t>2026-08</t>
        </is>
      </c>
      <c r="I17" s="12" t="inlineStr">
        <is>
          <t>完了</t>
        </is>
      </c>
      <c r="J17" s="11" t="n">
        <v>100</v>
      </c>
      <c r="K17" s="11" t="n">
        <v>3</v>
      </c>
      <c r="L17" s="4" t="inlineStr">
        <is>
          <t>北塩原村_将来推計.xlsx。令和6年実績2,394人と令和11年公式推計の線形補間</t>
        </is>
      </c>
      <c r="M17" s="4" t="inlineStr">
        <is>
          <t>―</t>
        </is>
      </c>
      <c r="N17" s="4" t="inlineStr">
        <is>
          <t>―（精度：年齢階級別の手帳所持者数・人口・9月30日時点の人口・手帳所持者数（Ｍ-28））</t>
        </is>
      </c>
    </row>
    <row r="18">
      <c r="A18" s="4" t="inlineStr">
        <is>
          <t>P3 統計分析</t>
        </is>
      </c>
      <c r="B18" s="11" t="inlineStr">
        <is>
          <t>3-2</t>
        </is>
      </c>
      <c r="C18" s="4" t="inlineStr">
        <is>
          <t>障がい者手帳所持者数の将来推計</t>
        </is>
      </c>
      <c r="D18" s="4" t="inlineStr">
        <is>
          <t>身体・療育・精神の3区分について3手法で推計し、予測区間と分母感度を検証</t>
        </is>
      </c>
      <c r="E18" s="4" t="inlineStr">
        <is>
          <t>仕様書4-Ⅱ(3)①・4-Ⅱ(5)③</t>
        </is>
      </c>
      <c r="F18" s="11" t="inlineStr">
        <is>
          <t>受託者</t>
        </is>
      </c>
      <c r="G18" s="11" t="inlineStr">
        <is>
          <t>2026-08</t>
        </is>
      </c>
      <c r="H18" s="11" t="inlineStr">
        <is>
          <t>2026-08</t>
        </is>
      </c>
      <c r="I18" s="12" t="inlineStr">
        <is>
          <t>完了</t>
        </is>
      </c>
      <c r="J18" s="11" t="n">
        <v>100</v>
      </c>
      <c r="K18" s="11" t="n">
        <v>5</v>
      </c>
      <c r="L18" s="4" t="inlineStr">
        <is>
          <t>北塩原村_将来推計.xlsx（9シート）。骨子案修正版 第2章6として新設。県との比較シートで採用しなかった代替推計の理由も記録</t>
        </is>
      </c>
      <c r="M18" s="4" t="inlineStr">
        <is>
          <t>年齢階級別の手帳所持者数（未受領）により精度が上がる</t>
        </is>
      </c>
      <c r="N18" s="4" t="inlineStr">
        <is>
          <t>―（精度：年齢階級別の手帳所持者数・人口・指定難病による対象者（Ｍ-32）・9月30日時点の人口・手帳所持者数（Ｍ-28）・こども・子育て計画の人口推計の元データ（Ｍ-29））</t>
        </is>
      </c>
    </row>
    <row r="19">
      <c r="A19" s="4" t="inlineStr">
        <is>
          <t>P3 統計分析</t>
        </is>
      </c>
      <c r="B19" s="11" t="inlineStr">
        <is>
          <t>3-3</t>
        </is>
      </c>
      <c r="C19" s="4" t="inlineStr">
        <is>
          <t>給付実績の整理</t>
        </is>
      </c>
      <c r="D19" s="4" t="inlineStr">
        <is>
          <t>令和2〜7年度の介護給付費・障害児給付費をサービス別に整理</t>
        </is>
      </c>
      <c r="E19" s="4" t="inlineStr">
        <is>
          <t>仕様書4-Ⅱ(2)</t>
        </is>
      </c>
      <c r="F19" s="11" t="inlineStr">
        <is>
          <t>受託者</t>
        </is>
      </c>
      <c r="G19" s="11" t="inlineStr">
        <is>
          <t>2026-08</t>
        </is>
      </c>
      <c r="H19" s="11" t="inlineStr">
        <is>
          <t>2026-08</t>
        </is>
      </c>
      <c r="I19" s="12" t="inlineStr">
        <is>
          <t>完了</t>
        </is>
      </c>
      <c r="J19" s="11" t="n">
        <v>100</v>
      </c>
      <c r="K19" s="11" t="n">
        <v>3</v>
      </c>
      <c r="L19" s="4" t="inlineStr">
        <is>
          <t>北塩原村_障がいサービス給付実績_整理版（6シート）。サービス別内訳と年度合計が原票と一致することを検算済み</t>
        </is>
      </c>
      <c r="M19" s="4" t="inlineStr">
        <is>
          <t>―</t>
        </is>
      </c>
      <c r="N19" s="4" t="inlineStr">
        <is>
          <t>障害支援区分別人数の基準日とサービス利用状況</t>
        </is>
      </c>
    </row>
    <row r="20">
      <c r="A20" s="4" t="inlineStr">
        <is>
          <t>P3 統計分析</t>
        </is>
      </c>
      <c r="B20" s="11" t="inlineStr">
        <is>
          <t>3-4</t>
        </is>
      </c>
      <c r="C20" s="4" t="inlineStr">
        <is>
          <t>圏域のサービス資源の把握</t>
        </is>
      </c>
      <c r="D20" s="4" t="inlineStr">
        <is>
          <t>ReMHRAD 障害福祉資源18サービスにより、会津北部4町村と近隣市の事業所数を確認</t>
        </is>
      </c>
      <c r="E20" s="4" t="inlineStr">
        <is>
          <t>仕様書4-Ⅱ(3)</t>
        </is>
      </c>
      <c r="F20" s="11" t="inlineStr">
        <is>
          <t>受託者</t>
        </is>
      </c>
      <c r="G20" s="11" t="inlineStr">
        <is>
          <t>2026-08</t>
        </is>
      </c>
      <c r="H20" s="11" t="inlineStr">
        <is>
          <t>2026-08</t>
        </is>
      </c>
      <c r="I20" s="12" t="inlineStr">
        <is>
          <t>完了</t>
        </is>
      </c>
      <c r="J20" s="11" t="n">
        <v>100</v>
      </c>
      <c r="K20" s="11" t="n">
        <v>3</v>
      </c>
      <c r="L20" s="4" t="inlineStr">
        <is>
          <t>北塩原村_圏域サービス資源.xlsx（5シート）。村内に居宅介護1・重度訪問介護1・生活介護1を確認し、「本村には事業所がない」という記述を訂正</t>
        </is>
      </c>
      <c r="M20" s="4" t="inlineStr">
        <is>
          <t>―</t>
        </is>
      </c>
      <c r="N20" s="4" t="inlineStr">
        <is>
          <t>―（精度：村外の利用事業所の一覧（Ｍ-24）・村内3事業所の詳細・圏域事業所の制度活用状況・圏域事業所の受入可能性）</t>
        </is>
      </c>
    </row>
    <row r="21">
      <c r="A21" s="4" t="inlineStr">
        <is>
          <t>P3 統計分析</t>
        </is>
      </c>
      <c r="B21" s="11" t="inlineStr">
        <is>
          <t>3-5</t>
        </is>
      </c>
      <c r="C21" s="4" t="inlineStr">
        <is>
          <t>精神障がい者の地域移行に係る分析</t>
        </is>
      </c>
      <c r="D21" s="4" t="inlineStr">
        <is>
          <t>630調査・NDB精神医療指標・ReMHRAD により、県の平均生活日数・再入院率と村の在院者状況を把握</t>
        </is>
      </c>
      <c r="E21" s="4" t="inlineStr">
        <is>
          <t>仕様書4-Ⅱ(3)⑤</t>
        </is>
      </c>
      <c r="F21" s="11" t="inlineStr">
        <is>
          <t>受託者</t>
        </is>
      </c>
      <c r="G21" s="11" t="inlineStr">
        <is>
          <t>2026-08</t>
        </is>
      </c>
      <c r="H21" s="11" t="inlineStr">
        <is>
          <t>2026-09</t>
        </is>
      </c>
      <c r="I21" s="14" t="inlineStr">
        <is>
          <t>進行中</t>
        </is>
      </c>
      <c r="J21" s="11" t="n">
        <v>70</v>
      </c>
      <c r="K21" s="11" t="n">
        <v>4</v>
      </c>
      <c r="L21" s="4" t="inlineStr">
        <is>
          <t>福島県_精神医療指標抽出.xlsx。別表第四のCを令和5年度630調査の2,591人で確定</t>
        </is>
      </c>
      <c r="M21" s="4" t="inlineStr">
        <is>
          <t>令和7年度末時点の1年以上長期入院者の実数と年齢区分（村・会津保健所へ照会中）</t>
        </is>
      </c>
      <c r="N21" s="4" t="inlineStr">
        <is>
          <t>―（精度：令和7年度末時点の1年以上長期入院者の実数）</t>
        </is>
      </c>
    </row>
    <row r="22">
      <c r="A22" s="4" t="inlineStr">
        <is>
          <t>P3 統計分析</t>
        </is>
      </c>
      <c r="B22" s="11" t="inlineStr">
        <is>
          <t>3-6</t>
        </is>
      </c>
      <c r="C22" s="4" t="inlineStr">
        <is>
          <t>年齢階級別の分析</t>
        </is>
      </c>
      <c r="D22" s="4" t="inlineStr">
        <is>
          <t>身体は0〜17／18〜39／40〜64／65〜74／75歳以上、療育・精神は18歳未満／18〜64／65歳以上</t>
        </is>
      </c>
      <c r="E22" s="4" t="inlineStr">
        <is>
          <t>仕様書4-Ⅱ(3)①</t>
        </is>
      </c>
      <c r="F22" s="11" t="inlineStr">
        <is>
          <t>受託者</t>
        </is>
      </c>
      <c r="G22" s="11" t="inlineStr">
        <is>
          <t>2026-09</t>
        </is>
      </c>
      <c r="H22" s="11" t="inlineStr">
        <is>
          <t>2026-10</t>
        </is>
      </c>
      <c r="I22" s="13" t="inlineStr">
        <is>
          <t>データ待ち</t>
        </is>
      </c>
      <c r="J22" s="11" t="n">
        <v>0</v>
      </c>
      <c r="K22" s="11" t="n">
        <v>3</v>
      </c>
      <c r="L22" s="4" t="inlineStr">
        <is>
          <t>推計の枠は作成済み（将来推計 05）</t>
        </is>
      </c>
      <c r="M22" s="4" t="inlineStr">
        <is>
          <t>年齢階級別の手帳所持者数・人口（村へ依頼中）</t>
        </is>
      </c>
      <c r="N22" s="15" t="inlineStr">
        <is>
          <t>年齢別・サービス別の匿名利用者一覧・年齢階級別の手帳所持者数・人口（精度：特別支援学校・特別支援学級の在籍者）</t>
        </is>
      </c>
    </row>
    <row r="23">
      <c r="A23" s="4" t="inlineStr">
        <is>
          <t>P4 ニーズ調査</t>
        </is>
      </c>
      <c r="B23" s="11" t="inlineStr">
        <is>
          <t>4-1</t>
        </is>
      </c>
      <c r="C23" s="4" t="inlineStr">
        <is>
          <t>調査対象の抽出</t>
        </is>
      </c>
      <c r="D23" s="4" t="inlineStr">
        <is>
          <t>身体約130人・精神約40人・療育約20人（計約190人）。抽出は委託者が行い、受託者にラベルシールとして提供</t>
        </is>
      </c>
      <c r="E23" s="4" t="inlineStr">
        <is>
          <t>仕様書4-Ⅰ(1)</t>
        </is>
      </c>
      <c r="F23" s="11" t="inlineStr">
        <is>
          <t>北塩原村</t>
        </is>
      </c>
      <c r="G23" s="11" t="inlineStr">
        <is>
          <t>2026-07</t>
        </is>
      </c>
      <c r="H23" s="11" t="inlineStr">
        <is>
          <t>2026-08</t>
        </is>
      </c>
      <c r="I23" s="16" t="inlineStr">
        <is>
          <t>要対応</t>
        </is>
      </c>
      <c r="J23" s="11" t="n">
        <v>0</v>
      </c>
      <c r="K23" s="11" t="n">
        <v>3</v>
      </c>
      <c r="L23" s="4" t="inlineStr">
        <is>
          <t>―</t>
        </is>
      </c>
      <c r="M23" s="4" t="inlineStr">
        <is>
          <t>仕様書の約190人と現行計画の156人（令和5年）の差の理由が未確認。回収率の分母・管理番号の設計に直結する</t>
        </is>
      </c>
      <c r="N23" s="15" t="inlineStr">
        <is>
          <t>発送対象者数（重複除外後）・宛名ラベルシール</t>
        </is>
      </c>
    </row>
    <row r="24">
      <c r="A24" s="4" t="inlineStr">
        <is>
          <t>P4 ニーズ調査</t>
        </is>
      </c>
      <c r="B24" s="11" t="inlineStr">
        <is>
          <t>4-2</t>
        </is>
      </c>
      <c r="C24" s="4" t="inlineStr">
        <is>
          <t>調査票の設計</t>
        </is>
      </c>
      <c r="D24" s="4" t="inlineStr">
        <is>
          <t>厚生労働省の調査項目及び村の過去調査を踏まえて設計し、委託者との協議の上決定</t>
        </is>
      </c>
      <c r="E24" s="4" t="inlineStr">
        <is>
          <t>仕様書4-Ⅰ(2)</t>
        </is>
      </c>
      <c r="F24" s="11" t="inlineStr">
        <is>
          <t>受託者</t>
        </is>
      </c>
      <c r="G24" s="11" t="inlineStr">
        <is>
          <t>2026-07</t>
        </is>
      </c>
      <c r="H24" s="11" t="inlineStr">
        <is>
          <t>2026-08</t>
        </is>
      </c>
      <c r="I24" s="12" t="inlineStr">
        <is>
          <t>完了</t>
        </is>
      </c>
      <c r="J24" s="11" t="n">
        <v>100</v>
      </c>
      <c r="K24" s="11" t="n">
        <v>4</v>
      </c>
      <c r="L24" s="4" t="inlineStr">
        <is>
          <t>令和8年8月25日版で確定（障がい者版45問・障がい児版44問）。村の朱書き修正指示40か所は反映済み。原典は source/アンケート/</t>
        </is>
      </c>
      <c r="M24" s="4" t="inlineStr">
        <is>
          <t>―</t>
        </is>
      </c>
      <c r="N24" s="4" t="inlineStr">
        <is>
          <t>アンケート調査票への村の修正指示</t>
        </is>
      </c>
    </row>
    <row r="25">
      <c r="A25" s="4" t="inlineStr">
        <is>
          <t>P4 ニーズ調査</t>
        </is>
      </c>
      <c r="B25" s="11" t="inlineStr">
        <is>
          <t>4-3</t>
        </is>
      </c>
      <c r="C25" s="4" t="inlineStr">
        <is>
          <t>障がい特性に応じた配慮</t>
        </is>
      </c>
      <c r="D25" s="4" t="inlineStr">
        <is>
          <t>文字の大きさ・フォント・表現の工夫、ルビ等</t>
        </is>
      </c>
      <c r="E25" s="4" t="inlineStr">
        <is>
          <t>仕様書4-Ⅰ(2)</t>
        </is>
      </c>
      <c r="F25" s="11" t="inlineStr">
        <is>
          <t>受託者</t>
        </is>
      </c>
      <c r="G25" s="11" t="inlineStr">
        <is>
          <t>2026-07</t>
        </is>
      </c>
      <c r="H25" s="11" t="inlineStr">
        <is>
          <t>2026-08</t>
        </is>
      </c>
      <c r="I25" s="14" t="inlineStr">
        <is>
          <t>進行中</t>
        </is>
      </c>
      <c r="J25" s="11" t="n">
        <v>90</v>
      </c>
      <c r="K25" s="11" t="n">
        <v>2</v>
      </c>
      <c r="L25" s="4" t="inlineStr">
        <is>
          <t>14pt程度・ルビ付与・白黒印刷・専門用語への短い解説（7月7日打合せで決定）。村からレスパイトケア・就労継続支援A型B型の用語説明の文言を受領</t>
        </is>
      </c>
      <c r="M25" s="4" t="inlineStr">
        <is>
          <t>最終レイアウトでの表示確認</t>
        </is>
      </c>
      <c r="N25" s="4" t="inlineStr">
        <is>
          <t>―</t>
        </is>
      </c>
    </row>
    <row r="26">
      <c r="A26" s="4" t="inlineStr">
        <is>
          <t>P4 ニーズ調査</t>
        </is>
      </c>
      <c r="B26" s="11" t="inlineStr">
        <is>
          <t>4-4</t>
        </is>
      </c>
      <c r="C26" s="4" t="inlineStr">
        <is>
          <t>ウェブ回答用フォームの作成</t>
        </is>
      </c>
      <c r="D26" s="4" t="inlineStr">
        <is>
          <t>二次元コードを調査票又は依頼状に印字。紙・ウェブの重複回答を管理番号で管理</t>
        </is>
      </c>
      <c r="E26" s="4" t="inlineStr">
        <is>
          <t>仕様書4-Ⅰ(2)</t>
        </is>
      </c>
      <c r="F26" s="11" t="inlineStr">
        <is>
          <t>受託者</t>
        </is>
      </c>
      <c r="G26" s="11" t="inlineStr">
        <is>
          <t>2026-07</t>
        </is>
      </c>
      <c r="H26" s="11" t="inlineStr">
        <is>
          <t>2026-08</t>
        </is>
      </c>
      <c r="I26" s="14" t="inlineStr">
        <is>
          <t>進行中</t>
        </is>
      </c>
      <c r="J26" s="11" t="n">
        <v>85</v>
      </c>
      <c r="K26" s="11" t="n">
        <v>3</v>
      </c>
      <c r="L26" s="4" t="inlineStr">
        <is>
          <t>Googleフォーム自動作成コード（1本統合分岐版）</t>
        </is>
      </c>
      <c r="M26" s="4" t="inlineStr">
        <is>
          <t>枝番設問の選択肢順序の固定。調査票の修正指示の反映後に再生成が必要</t>
        </is>
      </c>
      <c r="N26" s="4" t="inlineStr">
        <is>
          <t>―</t>
        </is>
      </c>
    </row>
    <row r="27">
      <c r="A27" s="4" t="inlineStr">
        <is>
          <t>P4 ニーズ調査</t>
        </is>
      </c>
      <c r="B27" s="11" t="inlineStr">
        <is>
          <t>4-5</t>
        </is>
      </c>
      <c r="C27" s="4" t="inlineStr">
        <is>
          <t>調査票・封筒の印刷</t>
        </is>
      </c>
      <c r="D27" s="4" t="inlineStr">
        <is>
          <t>調査票及び封筒（配布用・回収用）を各々必要部数印刷。仕様はA4判・約24ページ・黒1色</t>
        </is>
      </c>
      <c r="E27" s="4" t="inlineStr">
        <is>
          <t>仕様書4-Ⅰ(3)</t>
        </is>
      </c>
      <c r="F27" s="11" t="inlineStr">
        <is>
          <t>受託者</t>
        </is>
      </c>
      <c r="G27" s="11" t="inlineStr">
        <is>
          <t>2026-08</t>
        </is>
      </c>
      <c r="H27" s="11" t="inlineStr">
        <is>
          <t>2026-08</t>
        </is>
      </c>
      <c r="I27" s="16" t="inlineStr">
        <is>
          <t>要対応</t>
        </is>
      </c>
      <c r="J27" s="11" t="n">
        <v>0</v>
      </c>
      <c r="K27" s="11" t="n">
        <v>3</v>
      </c>
      <c r="L27" s="4" t="inlineStr">
        <is>
          <t>―</t>
        </is>
      </c>
      <c r="M27" s="4" t="inlineStr">
        <is>
          <t>仕様書は約24頁の1種類だが実際は2種類。頁数・種類数・部数・単価の取扱いを村と協議する必要がある</t>
        </is>
      </c>
      <c r="N27" s="4" t="inlineStr">
        <is>
          <t>―</t>
        </is>
      </c>
    </row>
    <row r="28">
      <c r="A28" s="4" t="inlineStr">
        <is>
          <t>P4 ニーズ調査</t>
        </is>
      </c>
      <c r="B28" s="11" t="inlineStr">
        <is>
          <t>4-6</t>
        </is>
      </c>
      <c r="C28" s="4" t="inlineStr">
        <is>
          <t>発送・回収管理</t>
        </is>
      </c>
      <c r="D28" s="4" t="inlineStr">
        <is>
          <t>宛名ラベルを配布用封筒に貼付し、調査票・返信用封筒を封入・封緘の上発送。発送及び回収に係る費用は受託者の負担</t>
        </is>
      </c>
      <c r="E28" s="4" t="inlineStr">
        <is>
          <t>仕様書4-Ⅰ(4)</t>
        </is>
      </c>
      <c r="F28" s="11" t="inlineStr">
        <is>
          <t>受託者・北塩原村</t>
        </is>
      </c>
      <c r="G28" s="11" t="inlineStr">
        <is>
          <t>2026-08</t>
        </is>
      </c>
      <c r="H28" s="11" t="inlineStr">
        <is>
          <t>2026-09</t>
        </is>
      </c>
      <c r="I28" s="12" t="inlineStr">
        <is>
          <t>完了</t>
        </is>
      </c>
      <c r="J28" s="11" t="n">
        <v>100</v>
      </c>
      <c r="K28" s="11" t="n">
        <v>3</v>
      </c>
      <c r="L28" s="4" t="inlineStr">
        <is>
          <t>令和8年8月〜9月に発送・回収を実施。有効回答は障がい者38件・障がい児3件</t>
        </is>
      </c>
      <c r="M28" s="4" t="inlineStr">
        <is>
          <t>配布数が未確認のため有効回答率を算出できない（点検結果D-1）。郵送費の精算方法の書面確認も未了</t>
        </is>
      </c>
      <c r="N28" s="4" t="inlineStr">
        <is>
          <t>―（精度：発送対象者数（重複除外後）・宛名ラベルシール）</t>
        </is>
      </c>
    </row>
    <row r="29">
      <c r="A29" s="4" t="inlineStr">
        <is>
          <t>P4 ニーズ調査</t>
        </is>
      </c>
      <c r="B29" s="11" t="inlineStr">
        <is>
          <t>4-7</t>
        </is>
      </c>
      <c r="C29" s="4" t="inlineStr">
        <is>
          <t>国のマニュアルとの差の代替設計</t>
        </is>
      </c>
      <c r="D29" s="4" t="inlineStr">
        <is>
          <t>確定版に無い国の標準項目4件について、確定版の設問の組み合わせと行政データとの突合で代替できるかを判定し、実施するクロス集計を設計</t>
        </is>
      </c>
      <c r="E29" s="4" t="inlineStr">
        <is>
          <t>仕様書4-Ⅰ(6)</t>
        </is>
      </c>
      <c r="F29" s="11" t="inlineStr">
        <is>
          <t>受託者</t>
        </is>
      </c>
      <c r="G29" s="11" t="inlineStr">
        <is>
          <t>2026-08</t>
        </is>
      </c>
      <c r="H29" s="11" t="inlineStr">
        <is>
          <t>2026-08</t>
        </is>
      </c>
      <c r="I29" s="12" t="inlineStr">
        <is>
          <t>完了</t>
        </is>
      </c>
      <c r="J29" s="11" t="n">
        <v>100</v>
      </c>
      <c r="K29" s="11" t="n">
        <v>4</v>
      </c>
      <c r="L29" s="4" t="inlineStr">
        <is>
          <t>北塩原村_クロス集計設計.xlsx（7シート・クロス集計25件・行政データ突合6件）。介護保険・強度行動障害・障害支援区分の3件は行政データで代替可</t>
        </is>
      </c>
      <c r="M29" s="4" t="inlineStr">
        <is>
          <t>外出の目的（第4次障がい者計画の指標）は代替できず、村との再協議が必要</t>
        </is>
      </c>
      <c r="N29" s="4" t="inlineStr">
        <is>
          <t>アンケート調査票への村の修正指示</t>
        </is>
      </c>
    </row>
    <row r="30">
      <c r="A30" s="4" t="inlineStr">
        <is>
          <t>P5 集計・分析</t>
        </is>
      </c>
      <c r="B30" s="11" t="inlineStr">
        <is>
          <t>5-1</t>
        </is>
      </c>
      <c r="C30" s="4" t="inlineStr">
        <is>
          <t>データ入力</t>
        </is>
      </c>
      <c r="D30" s="4" t="inlineStr">
        <is>
          <t>厚生労働省が提示する集計ファイル様式を基本として入力</t>
        </is>
      </c>
      <c r="E30" s="4" t="inlineStr">
        <is>
          <t>仕様書4-Ⅰ(5)</t>
        </is>
      </c>
      <c r="F30" s="11" t="inlineStr">
        <is>
          <t>受託者</t>
        </is>
      </c>
      <c r="G30" s="11" t="inlineStr">
        <is>
          <t>2026-09</t>
        </is>
      </c>
      <c r="H30" s="11" t="inlineStr">
        <is>
          <t>2026-10</t>
        </is>
      </c>
      <c r="I30" s="12" t="inlineStr">
        <is>
          <t>完了</t>
        </is>
      </c>
      <c r="J30" s="11" t="n">
        <v>100</v>
      </c>
      <c r="K30" s="11" t="n">
        <v>3</v>
      </c>
      <c r="L30" s="4" t="inlineStr">
        <is>
          <t>令和8年10月2日に集計が完成（集計_障がい者版・集計_障がい児版）。障がい者38件・障がい児3件。個票から単純集計を再計算して全件一致を確認</t>
        </is>
      </c>
      <c r="M30" s="4" t="inlineStr">
        <is>
          <t>―</t>
        </is>
      </c>
      <c r="N30" s="4" t="inlineStr">
        <is>
          <t>―</t>
        </is>
      </c>
    </row>
    <row r="31">
      <c r="A31" s="4" t="inlineStr">
        <is>
          <t>P5 集計・分析</t>
        </is>
      </c>
      <c r="B31" s="11" t="inlineStr">
        <is>
          <t>5-10</t>
        </is>
      </c>
      <c r="C31" s="4" t="inlineStr">
        <is>
          <t>外部レビューと村資料の反映</t>
        </is>
      </c>
      <c r="D31" s="4" t="inlineStr">
        <is>
          <t>外部レビューの指摘（小規模自治体の見込量算定の方法、受給者証と障害支援区分の区別、必要量と供給可能量の分離ほか）と、村の自立支援協議会資料を素案に反映する</t>
        </is>
      </c>
      <c r="E31" s="4" t="inlineStr">
        <is>
          <t>基本指針 別表第二 三の項</t>
        </is>
      </c>
      <c r="F31" s="11" t="inlineStr">
        <is>
          <t>受託者</t>
        </is>
      </c>
      <c r="G31" s="11" t="inlineStr">
        <is>
          <t>2026-10</t>
        </is>
      </c>
      <c r="H31" s="11" t="inlineStr">
        <is>
          <t>2026-12</t>
        </is>
      </c>
      <c r="I31" s="14" t="inlineStr">
        <is>
          <t>進行中</t>
        </is>
      </c>
      <c r="J31" s="11" t="n">
        <v>70</v>
      </c>
      <c r="K31" s="11" t="n">
        <v>1</v>
      </c>
      <c r="L31" s="4" t="inlineStr">
        <is>
          <t>北塩原村_レビュー対応と素案修正方針.xlsx（6シート）。レビュー16件のうち13件を採り3件を一部採った。素案の修正11件を実施（推計対象を4層に／必要量・確保可能量・不足量の区別／65歳到達時の区分にDを追加／15〜17歳の準備期と18歳の特例／学校卒業に伴うサービスの移行を新設／障がい児の区分の制度の注記／確保可能量を決める要素を新設／追加改正の告示予定）。村資料から成果目標の実績6件を埋め、精神病床からの退院者数・就労定着支援・基幹相談支援センターが令和7年度まで未達と確定。「受給者証区分」という当方の用語の誤りも是正（docs は作成せず成果品の00シートに結論を置いた）</t>
        </is>
      </c>
      <c r="M31" s="4" t="inlineStr">
        <is>
          <t>Ｍ-19（計画値の系列）の回答。回答後に第5章3〜7の見込量を村の公表実績に差し替える。未読の村資料4点の読み込み</t>
        </is>
      </c>
      <c r="N31" s="15" t="inlineStr">
        <is>
          <t>計画値の基礎とする系列（Ｍ-19）・移行管理台帳（Ｍ-18）・自立支援協議会の資料13点（令和8年5月25日）</t>
        </is>
      </c>
    </row>
    <row r="32">
      <c r="A32" s="4" t="inlineStr">
        <is>
          <t>P5 集計・分析</t>
        </is>
      </c>
      <c r="B32" s="11" t="inlineStr">
        <is>
          <t>5-11</t>
        </is>
      </c>
      <c r="C32" s="4" t="inlineStr">
        <is>
          <t>第2回外部レビューの反映</t>
        </is>
      </c>
      <c r="D32" s="4" t="inlineStr">
        <is>
          <t>第154〜159回の整理と照合した27論点の指摘を、データ待ちでないものから計画素案に反映する</t>
        </is>
      </c>
      <c r="E32" s="4" t="inlineStr">
        <is>
          <t>基本指針 別表第一・別表第二</t>
        </is>
      </c>
      <c r="F32" s="11" t="inlineStr">
        <is>
          <t>受託者</t>
        </is>
      </c>
      <c r="G32" s="11" t="inlineStr">
        <is>
          <t>2026-10</t>
        </is>
      </c>
      <c r="H32" s="11" t="inlineStr">
        <is>
          <t>2026-12</t>
        </is>
      </c>
      <c r="I32" s="14" t="inlineStr">
        <is>
          <t>進行中</t>
        </is>
      </c>
      <c r="J32" s="11" t="n">
        <v>65</v>
      </c>
      <c r="K32" s="11" t="n">
        <v>2</v>
      </c>
      <c r="L32" s="4" t="inlineStr">
        <is>
          <t>北塩原村_レビュー対応_第2回.xlsx（6シート）。論点30件のうち素案を9か所直した（第4章（１）（２）（３）（４）、第5章4・8・11・13、第6章3）。重度障がい者の内数の表、事業所の受入余力の照会7項目、住まいの確保、県への意見申出、特定地域サービスの留保、災害時のサービス継続、虐待の予防から再発の防止まで、意思決定支援の3段階、経営基盤を供給制約として見る6項目、成年後見制度の見直しへの対応を新設。原典照合13件は第157回・第158回の改正案と告示本文で確認</t>
        </is>
      </c>
      <c r="M32" s="4" t="inlineStr">
        <is>
          <t>村照会Ｍ-22〜Ｍ-27。原典未確認5件（特定地域サービス・成年後見の民法等改正ほか）は厚生労働省サイトへの直接取得が組織ポリシーにより403で拒否されたため、計画本文に法律番号を書かず確認事項として残している</t>
        </is>
      </c>
      <c r="N32" s="4" t="inlineStr">
        <is>
          <t>―</t>
        </is>
      </c>
    </row>
    <row r="33">
      <c r="A33" s="4" t="inlineStr">
        <is>
          <t>P5 集計・分析</t>
        </is>
      </c>
      <c r="B33" s="11" t="inlineStr">
        <is>
          <t>5-2</t>
        </is>
      </c>
      <c r="C33" s="4" t="inlineStr">
        <is>
          <t>集計・分析の設計</t>
        </is>
      </c>
      <c r="D33" s="4" t="inlineStr">
        <is>
          <t>基本集計及び年齢・障がい種別等によるクロス集計。少数母数の取扱い</t>
        </is>
      </c>
      <c r="E33" s="4" t="inlineStr">
        <is>
          <t>仕様書4-Ⅰ(6)</t>
        </is>
      </c>
      <c r="F33" s="11" t="inlineStr">
        <is>
          <t>受託者</t>
        </is>
      </c>
      <c r="G33" s="11" t="inlineStr">
        <is>
          <t>2026-08</t>
        </is>
      </c>
      <c r="H33" s="11" t="inlineStr">
        <is>
          <t>2026-10</t>
        </is>
      </c>
      <c r="I33" s="14" t="inlineStr">
        <is>
          <t>進行中</t>
        </is>
      </c>
      <c r="J33" s="11" t="n">
        <v>80</v>
      </c>
      <c r="K33" s="11" t="n">
        <v>3</v>
      </c>
      <c r="L33" s="4" t="inlineStr">
        <is>
          <t>クロス集計10テーマで集計済み。ただし基数の取り方に不整合があり、クロス集計の分母に集計項目の設問の無回答者が入っている（10テーマすべて）。表4-4の桧原地区は基数3人のうち問28の回答者は1人で、公表値33.3％は正しい分母では100.0％になる</t>
        </is>
      </c>
      <c r="M33" s="4" t="inlineStr">
        <is>
          <t>分母の定義を改めるか脚注で明示するかを決める（点検結果A-1）。基数5未満の区分の扱いも表と図で揃える（同A-3）</t>
        </is>
      </c>
      <c r="N33" s="15" t="inlineStr">
        <is>
          <t>小規模公表基準・前回調査の調査結果報告書（精度：要介護認定の有無・要介護度（匿名利用者一覧への列追加））</t>
        </is>
      </c>
    </row>
    <row r="34">
      <c r="A34" s="4" t="inlineStr">
        <is>
          <t>P5 集計・分析</t>
        </is>
      </c>
      <c r="B34" s="11" t="inlineStr">
        <is>
          <t>5-3</t>
        </is>
      </c>
      <c r="C34" s="4" t="inlineStr">
        <is>
          <t>自由回答の取りまとめ</t>
        </is>
      </c>
      <c r="D34" s="4" t="inlineStr">
        <is>
          <t>自由記述の分類・要約。村の修正指示により問11-2・問37-2の自由記述欄が新設される</t>
        </is>
      </c>
      <c r="E34" s="4" t="inlineStr">
        <is>
          <t>仕様書4-Ⅰ(6)</t>
        </is>
      </c>
      <c r="F34" s="11" t="inlineStr">
        <is>
          <t>受託者</t>
        </is>
      </c>
      <c r="G34" s="11" t="inlineStr">
        <is>
          <t>2026-10</t>
        </is>
      </c>
      <c r="H34" s="11" t="inlineStr">
        <is>
          <t>2026-11</t>
        </is>
      </c>
      <c r="I34" s="14" t="inlineStr">
        <is>
          <t>進行中</t>
        </is>
      </c>
      <c r="J34" s="11" t="n">
        <v>60</v>
      </c>
      <c r="K34" s="11" t="n">
        <v>2</v>
      </c>
      <c r="L34" s="4" t="inlineStr">
        <is>
          <t>自由記述一覧シートに整理済み。報告書 表3-2（障がい者15行）に主な意見を分野別に掲載</t>
        </is>
      </c>
      <c r="M34" s="4" t="inlineStr">
        <is>
          <t>個人が特定されない範囲での要約の最終確認</t>
        </is>
      </c>
      <c r="N34" s="4" t="inlineStr">
        <is>
          <t>―</t>
        </is>
      </c>
    </row>
    <row r="35">
      <c r="A35" s="4" t="inlineStr">
        <is>
          <t>P5 集計・分析</t>
        </is>
      </c>
      <c r="B35" s="11" t="inlineStr">
        <is>
          <t>5-4</t>
        </is>
      </c>
      <c r="C35" s="4" t="inlineStr">
        <is>
          <t>成果目標との紐付け</t>
        </is>
      </c>
      <c r="D35" s="4" t="inlineStr">
        <is>
          <t>現行計画は成果目標の設定根拠に調査結果報告書の頁番号を引用している。第8期でも同じ構造とするため、集計段階で設問と成果目標を紐付ける</t>
        </is>
      </c>
      <c r="E35" s="4" t="inlineStr">
        <is>
          <t>仕様書4-Ⅱ(3)⑤</t>
        </is>
      </c>
      <c r="F35" s="11" t="inlineStr">
        <is>
          <t>受託者</t>
        </is>
      </c>
      <c r="G35" s="11" t="inlineStr">
        <is>
          <t>2026-10</t>
        </is>
      </c>
      <c r="H35" s="11" t="inlineStr">
        <is>
          <t>2026-11</t>
        </is>
      </c>
      <c r="I35" s="14" t="inlineStr">
        <is>
          <t>進行中</t>
        </is>
      </c>
      <c r="J35" s="11" t="n">
        <v>50</v>
      </c>
      <c r="K35" s="11" t="n">
        <v>2</v>
      </c>
      <c r="L35" s="4" t="inlineStr">
        <is>
          <t>北塩原村_目標KPI_前回比較可能性.xlsx（6シート）。第4次計画の施策目標8指標・成果目標8区分・見込量27区分・活動指標33項目・地域生活支援事業15事業・アンケート設問50問の対応を全数整理。計画素案 第3章5に本調査の結果と比較可能性の列を追加</t>
        </is>
      </c>
      <c r="M35" s="4" t="inlineStr">
        <is>
          <t>アンケートで測る3指標の扱いを村と確定する（R-26）</t>
        </is>
      </c>
      <c r="N35" s="4" t="inlineStr">
        <is>
          <t>―</t>
        </is>
      </c>
    </row>
    <row r="36">
      <c r="A36" s="4" t="inlineStr">
        <is>
          <t>P5 集計・分析</t>
        </is>
      </c>
      <c r="B36" s="11" t="inlineStr">
        <is>
          <t>5-5</t>
        </is>
      </c>
      <c r="C36" s="4" t="inlineStr">
        <is>
          <t>調査結果報告書の作成</t>
        </is>
      </c>
      <c r="D36" s="4" t="inlineStr">
        <is>
          <t>設問ごとにグラフを作成し、分析結果を報告書として取りまとめる</t>
        </is>
      </c>
      <c r="E36" s="4" t="inlineStr">
        <is>
          <t>仕様書4-Ⅰ(7)・成果品②</t>
        </is>
      </c>
      <c r="F36" s="11" t="inlineStr">
        <is>
          <t>受託者</t>
        </is>
      </c>
      <c r="G36" s="11" t="inlineStr">
        <is>
          <t>2026-11</t>
        </is>
      </c>
      <c r="H36" s="11" t="inlineStr">
        <is>
          <t>2026-12</t>
        </is>
      </c>
      <c r="I36" s="14" t="inlineStr">
        <is>
          <t>進行中</t>
        </is>
      </c>
      <c r="J36" s="11" t="n">
        <v>45</v>
      </c>
      <c r="K36" s="11" t="n">
        <v>4</v>
      </c>
      <c r="L36" s="4" t="inlineStr">
        <is>
          <t>作成中の報告書（6章・表24）を点検。個票から集計を再計算し本文の割合320件を突合して計算誤り0件を確認。一方、分母の取り方・前回比較・障がい児調査の内部矛盾・未記入で11件の不整合を洗い出した（北塩原村_アンケート結果報告書_点検結果.xlsx）</t>
        </is>
      </c>
      <c r="M36" s="4" t="inlineStr">
        <is>
          <t>配布数・有効回答率の受領（点検結果D-1）。不整合11件の反映</t>
        </is>
      </c>
      <c r="N36" s="4" t="inlineStr">
        <is>
          <t>前回調査の調査結果報告書</t>
        </is>
      </c>
    </row>
    <row r="37">
      <c r="A37" s="4" t="inlineStr">
        <is>
          <t>P5 集計・分析</t>
        </is>
      </c>
      <c r="B37" s="11" t="inlineStr">
        <is>
          <t>5-6</t>
        </is>
      </c>
      <c r="C37" s="4" t="inlineStr">
        <is>
          <t>集計・報告書の点検</t>
        </is>
      </c>
      <c r="D37" s="4" t="inlineStr">
        <is>
          <t>個票から単純集計を再計算し、報告書本文の数値まで1件ずつ突き合わせる</t>
        </is>
      </c>
      <c r="E37" s="4" t="inlineStr">
        <is>
          <t>仕様書4-Ⅰ(6)(7)</t>
        </is>
      </c>
      <c r="F37" s="11" t="inlineStr">
        <is>
          <t>受託者</t>
        </is>
      </c>
      <c r="G37" s="11" t="inlineStr">
        <is>
          <t>2026-10</t>
        </is>
      </c>
      <c r="H37" s="11" t="inlineStr">
        <is>
          <t>2026-10</t>
        </is>
      </c>
      <c r="I37" s="12" t="inlineStr">
        <is>
          <t>完了</t>
        </is>
      </c>
      <c r="J37" s="11" t="n">
        <v>100</v>
      </c>
      <c r="K37" s="11" t="n">
        <v>3</v>
      </c>
      <c r="L37" s="4" t="inlineStr">
        <is>
          <t>北塩原村_アンケート結果報告書_点検結果.xlsx（5シート）。集計ブックは個票から完全に再現でき、報告書本文の割合320件も計算誤り0件。設問番号も確定版調査票と一致。不整合11件と村の実績との論点4件を洗い出した</t>
        </is>
      </c>
      <c r="M37" s="4" t="inlineStr">
        <is>
          <t>―</t>
        </is>
      </c>
      <c r="N37" s="4" t="inlineStr">
        <is>
          <t>―（精度：小規模公表基準）</t>
        </is>
      </c>
    </row>
    <row r="38">
      <c r="A38" s="4" t="inlineStr">
        <is>
          <t>P5 集計・分析</t>
        </is>
      </c>
      <c r="B38" s="11" t="inlineStr">
        <is>
          <t>5-7</t>
        </is>
      </c>
      <c r="C38" s="4" t="inlineStr">
        <is>
          <t>目標・KPIの前回比較可能性の整理</t>
        </is>
      </c>
      <c r="D38" s="4" t="inlineStr">
        <is>
          <t>第4次計画の施策目標・成果目標・見込量・活動指標・地域生活支援事業・アンケート設問の前回対応を全数洗い出す</t>
        </is>
      </c>
      <c r="E38" s="4" t="inlineStr">
        <is>
          <t>仕様書4-Ⅱ(2)・4-Ⅱ(4)</t>
        </is>
      </c>
      <c r="F38" s="11" t="inlineStr">
        <is>
          <t>受託者</t>
        </is>
      </c>
      <c r="G38" s="11" t="inlineStr">
        <is>
          <t>2026-10</t>
        </is>
      </c>
      <c r="H38" s="11" t="inlineStr">
        <is>
          <t>2026-10</t>
        </is>
      </c>
      <c r="I38" s="12" t="inlineStr">
        <is>
          <t>完了</t>
        </is>
      </c>
      <c r="J38" s="11" t="n">
        <v>100</v>
      </c>
      <c r="K38" s="11" t="n">
        <v>3</v>
      </c>
      <c r="L38" s="4" t="inlineStr">
        <is>
          <t>北塩原村_目標KPI_前回比較可能性.xlsx（6シート）。前回比較が成り立つのは全体の約半分。活動指標は前回計画に値がなく全て初回設定。前回計画本編の転記誤り1件（外出の目的28.1％→29.1％）を含む訂正5件を特定</t>
        </is>
      </c>
      <c r="M38" s="4" t="inlineStr">
        <is>
          <t>―</t>
        </is>
      </c>
      <c r="N38" s="4" t="inlineStr">
        <is>
          <t>―</t>
        </is>
      </c>
    </row>
    <row r="39">
      <c r="A39" s="4" t="inlineStr">
        <is>
          <t>P5 集計・分析</t>
        </is>
      </c>
      <c r="B39" s="11" t="inlineStr">
        <is>
          <t>5-8</t>
        </is>
      </c>
      <c r="C39" s="4" t="inlineStr">
        <is>
          <t>アンケート分析報告書のレビュー</t>
        </is>
      </c>
      <c r="D39" s="4" t="inlineStr">
        <is>
          <t>村から受領した分析報告書（6章・表26・図61）と図表データ集を、国の指針・前回計画課題・経年比較・今期施策・見込量算定・数値整合・クロス分析の7つの観点から確認する</t>
        </is>
      </c>
      <c r="E39" s="4" t="inlineStr">
        <is>
          <t>仕様書4-Ⅱ(1)②</t>
        </is>
      </c>
      <c r="F39" s="11" t="inlineStr">
        <is>
          <t>受託者</t>
        </is>
      </c>
      <c r="G39" s="11" t="inlineStr">
        <is>
          <t>2026-10</t>
        </is>
      </c>
      <c r="H39" s="11" t="inlineStr">
        <is>
          <t>2026-11</t>
        </is>
      </c>
      <c r="I39" s="14" t="inlineStr">
        <is>
          <t>進行中</t>
        </is>
      </c>
      <c r="J39" s="11" t="n">
        <v>70</v>
      </c>
      <c r="K39" s="11" t="n">
        <v>3</v>
      </c>
      <c r="L39" s="4" t="inlineStr">
        <is>
          <t>北塩原村_アンケート分析報告書_レビュー.xlsx（12シート）。数値整合は良好（本文の割合521件のうち520件が集計と一致、クロス表10件の割合は不一致0）。指摘19件（重大4・中9・小6）。最大の欠落は経年比較で前回調査との対比が0件。当方の計画素案の分母が報告書と不一致だったため11項目を修正（docs/北塩原村_アンケート分析報告書_レビュー.md）</t>
        </is>
      </c>
      <c r="M39" s="4" t="inlineStr">
        <is>
          <t>受領したdocxがZIP末尾を欠いており再送が必要（R-15）。自由記述の公表範囲は村と協議（Ｍ-14）</t>
        </is>
      </c>
      <c r="N39" s="4" t="inlineStr">
        <is>
          <t>―</t>
        </is>
      </c>
    </row>
    <row r="40">
      <c r="A40" s="4" t="inlineStr">
        <is>
          <t>P5 集計・分析</t>
        </is>
      </c>
      <c r="B40" s="11" t="inlineStr">
        <is>
          <t>5-9</t>
        </is>
      </c>
      <c r="C40" s="4" t="inlineStr">
        <is>
          <t>アンケート報告書の構成案の作成</t>
        </is>
      </c>
      <c r="D40" s="4" t="inlineStr">
        <is>
          <t>前回報告書・前回計画本編を確認の上、報告書として整理する内容を検討し、章立てと各章の中身を提案する</t>
        </is>
      </c>
      <c r="E40" s="4" t="inlineStr">
        <is>
          <t>仕様書4-Ⅱ(1)②</t>
        </is>
      </c>
      <c r="F40" s="11" t="inlineStr">
        <is>
          <t>受託者</t>
        </is>
      </c>
      <c r="G40" s="11" t="inlineStr">
        <is>
          <t>2026-10</t>
        </is>
      </c>
      <c r="H40" s="11" t="inlineStr">
        <is>
          <t>2026-11</t>
        </is>
      </c>
      <c r="I40" s="14" t="inlineStr">
        <is>
          <t>進行中</t>
        </is>
      </c>
      <c r="J40" s="11" t="n">
        <v>60</v>
      </c>
      <c r="K40" s="11" t="n">
        <v>3</v>
      </c>
      <c r="L40" s="4" t="inlineStr">
        <is>
          <t>北塩原村_アンケート報告書_構成案.xlsx（9シート）。前回報告書は概要＋単純集計の2部のみでクロス集計・課題整理がなく、今回は既に前回を上回る。ご提案の6区分のうちニーズと留意事項の章立てに賛成し、要因分析は村の実績との突合（表題は「調査結果の背景」）に置き換えることを提案。現行6章に2章を足した8章19節を提示（docs/北塩原村_アンケート報告書_構成案.md）</t>
        </is>
      </c>
      <c r="M40" s="4" t="inlineStr">
        <is>
          <t>村・報告書作成者との構成の合意。経年比較は分母が小さいため行わない方針を村側で確認済み</t>
        </is>
      </c>
      <c r="N40" s="4" t="inlineStr">
        <is>
          <t>―</t>
        </is>
      </c>
    </row>
    <row r="41">
      <c r="A41" s="4" t="inlineStr">
        <is>
          <t>P6 現行計画の評価</t>
        </is>
      </c>
      <c r="B41" s="11" t="inlineStr">
        <is>
          <t>6-1</t>
        </is>
      </c>
      <c r="C41" s="4" t="inlineStr">
        <is>
          <t>サービス利用実績の評価</t>
        </is>
      </c>
      <c r="D41" s="4" t="inlineStr">
        <is>
          <t>令和3〜5年度の見込量と実績を全数突合し、乖離の類型を判定</t>
        </is>
      </c>
      <c r="E41" s="4" t="inlineStr">
        <is>
          <t>仕様書4-Ⅱ(2)</t>
        </is>
      </c>
      <c r="F41" s="11" t="inlineStr">
        <is>
          <t>受託者</t>
        </is>
      </c>
      <c r="G41" s="11" t="inlineStr">
        <is>
          <t>2026-08</t>
        </is>
      </c>
      <c r="H41" s="11" t="inlineStr">
        <is>
          <t>2026-08</t>
        </is>
      </c>
      <c r="I41" s="12" t="inlineStr">
        <is>
          <t>完了</t>
        </is>
      </c>
      <c r="J41" s="11" t="n">
        <v>100</v>
      </c>
      <c r="K41" s="11" t="n">
        <v>4</v>
      </c>
      <c r="L41" s="4" t="inlineStr">
        <is>
          <t>北塩原村_現行計画評価.xlsx（7シート）。サービス25区分・地域生活支援事業16事業。計上漏れ・過大計上を特定</t>
        </is>
      </c>
      <c r="M41" s="4" t="inlineStr">
        <is>
          <t>―</t>
        </is>
      </c>
      <c r="N41" s="4" t="inlineStr">
        <is>
          <t>自立支援協議会の資料13点（令和8年5月25日）（精度：令和6・7年度実績、令和8年度見込・令和6・7年度の障害児給付費の変動理由）</t>
        </is>
      </c>
    </row>
    <row r="42">
      <c r="A42" s="4" t="inlineStr">
        <is>
          <t>P6 現行計画の評価</t>
        </is>
      </c>
      <c r="B42" s="11" t="inlineStr">
        <is>
          <t>6-2</t>
        </is>
      </c>
      <c r="C42" s="4" t="inlineStr">
        <is>
          <t>成果目標の達成状況の評価</t>
        </is>
      </c>
      <c r="D42" s="4" t="inlineStr">
        <is>
          <t>第7期の成果目標7区分の現状値・目標値・設定根拠と評価の見通し</t>
        </is>
      </c>
      <c r="E42" s="4" t="inlineStr">
        <is>
          <t>仕様書4-Ⅱ(2)</t>
        </is>
      </c>
      <c r="F42" s="11" t="inlineStr">
        <is>
          <t>受託者</t>
        </is>
      </c>
      <c r="G42" s="11" t="inlineStr">
        <is>
          <t>2026-08</t>
        </is>
      </c>
      <c r="H42" s="11" t="inlineStr">
        <is>
          <t>2026-10</t>
        </is>
      </c>
      <c r="I42" s="13" t="inlineStr">
        <is>
          <t>データ待ち</t>
        </is>
      </c>
      <c r="J42" s="11" t="n">
        <v>60</v>
      </c>
      <c r="K42" s="11" t="n">
        <v>4</v>
      </c>
      <c r="L42" s="4" t="inlineStr">
        <is>
          <t>現行計画評価 02_成果目標の評価。令和8年8月の村の朱書きにより基幹相談支援センター未設置・セルフプラン率0％・医療的ケア児1人を確定</t>
        </is>
      </c>
      <c r="M42" s="4" t="inlineStr">
        <is>
          <t>令和6・7年度の実績と令和8年度見込（村へ依頼中）</t>
        </is>
      </c>
      <c r="N42" s="15" t="inlineStr">
        <is>
          <t>令和6年度の一般就労移行実績・就労定着支援利用実績・令和6・7年度実績、令和8年度見込・第7期計画の令和8年度目標の達成見込み・自立支援協議会の資料13点（令和8年5月25日）・セルフプラン率・基幹相談支援センター・就労選択支援事業所の状況・障がい児の入所・申請の状況</t>
        </is>
      </c>
    </row>
    <row r="43">
      <c r="A43" s="4" t="inlineStr">
        <is>
          <t>P6 現行計画の評価</t>
        </is>
      </c>
      <c r="B43" s="11" t="inlineStr">
        <is>
          <t>6-3</t>
        </is>
      </c>
      <c r="C43" s="4" t="inlineStr">
        <is>
          <t>活動指標の達成状況の評価</t>
        </is>
      </c>
      <c r="D43" s="4" t="inlineStr">
        <is>
          <t>第7期の活動指標の実績。第8期は83項目のうち本村分65項目</t>
        </is>
      </c>
      <c r="E43" s="4" t="inlineStr">
        <is>
          <t>仕様書4-Ⅱ(2)</t>
        </is>
      </c>
      <c r="F43" s="11" t="inlineStr">
        <is>
          <t>受託者</t>
        </is>
      </c>
      <c r="G43" s="11" t="inlineStr">
        <is>
          <t>2026-09</t>
        </is>
      </c>
      <c r="H43" s="11" t="inlineStr">
        <is>
          <t>2026-11</t>
        </is>
      </c>
      <c r="I43" s="13" t="inlineStr">
        <is>
          <t>データ待ち</t>
        </is>
      </c>
      <c r="J43" s="11" t="n">
        <v>30</v>
      </c>
      <c r="K43" s="11" t="n">
        <v>3</v>
      </c>
      <c r="L43" s="4" t="inlineStr">
        <is>
          <t>北塩原村_活動指標.xlsx（4シート）で第8期の設定は完了</t>
        </is>
      </c>
      <c r="M43" s="4" t="inlineStr">
        <is>
          <t>令和6年度の活動指標実績（村へ依頼中）</t>
        </is>
      </c>
      <c r="N43" s="4" t="inlineStr">
        <is>
          <t>自立支援協議会の資料13点（令和8年5月25日）</t>
        </is>
      </c>
    </row>
    <row r="44">
      <c r="A44" s="4" t="inlineStr">
        <is>
          <t>P6 現行計画の評価</t>
        </is>
      </c>
      <c r="B44" s="11" t="inlineStr">
        <is>
          <t>6-4</t>
        </is>
      </c>
      <c r="C44" s="4" t="inlineStr">
        <is>
          <t>第4次障がい者計画の施策目標値の測定</t>
        </is>
      </c>
      <c r="D44" s="4" t="inlineStr">
        <is>
          <t>8指標の測定手段を確認し、アンケートで測るもの・行政データで測るものを区分</t>
        </is>
      </c>
      <c r="E44" s="4" t="inlineStr">
        <is>
          <t>仕様書4-Ⅱ(2)・4-Ⅱ(5)②</t>
        </is>
      </c>
      <c r="F44" s="11" t="inlineStr">
        <is>
          <t>受託者</t>
        </is>
      </c>
      <c r="G44" s="11" t="inlineStr">
        <is>
          <t>2026-08</t>
        </is>
      </c>
      <c r="H44" s="11" t="inlineStr">
        <is>
          <t>2026-08</t>
        </is>
      </c>
      <c r="I44" s="12" t="inlineStr">
        <is>
          <t>完了</t>
        </is>
      </c>
      <c r="J44" s="11" t="n">
        <v>100</v>
      </c>
      <c r="K44" s="11" t="n">
        <v>2</v>
      </c>
      <c r="L44" s="4" t="inlineStr">
        <is>
          <t>現行計画評価 の施策指標8件。測定可能6・測定不能1・要確認1。外出目的の設問が調査票に無く1指標が測定できないことを特定</t>
        </is>
      </c>
      <c r="M44" s="4" t="inlineStr">
        <is>
          <t>―</t>
        </is>
      </c>
      <c r="N44" s="4" t="inlineStr">
        <is>
          <t>―（精度：物品調達の実績（Ｍ-34））</t>
        </is>
      </c>
    </row>
    <row r="45">
      <c r="A45" s="4" t="inlineStr">
        <is>
          <t>P7 推計・見込量</t>
        </is>
      </c>
      <c r="B45" s="11" t="inlineStr">
        <is>
          <t>7-1</t>
        </is>
      </c>
      <c r="C45" s="4" t="inlineStr">
        <is>
          <t>推計方法の確定</t>
        </is>
      </c>
      <c r="D45" s="4" t="inlineStr">
        <is>
          <t>個別積上げ方式（実績・意向・心身の状況を利用者単位で積み上げる方法）。別表第五の適用判定を含む</t>
        </is>
      </c>
      <c r="E45" s="4" t="inlineStr">
        <is>
          <t>仕様書4-Ⅱ(3)</t>
        </is>
      </c>
      <c r="F45" s="11" t="inlineStr">
        <is>
          <t>受託者</t>
        </is>
      </c>
      <c r="G45" s="11" t="inlineStr">
        <is>
          <t>2026-08</t>
        </is>
      </c>
      <c r="H45" s="11" t="inlineStr">
        <is>
          <t>2026-08</t>
        </is>
      </c>
      <c r="I45" s="12" t="inlineStr">
        <is>
          <t>完了</t>
        </is>
      </c>
      <c r="J45" s="11" t="n">
        <v>100</v>
      </c>
      <c r="K45" s="11" t="n">
        <v>5</v>
      </c>
      <c r="L45" s="4" t="inlineStr">
        <is>
          <t>北塩原村_サービス見込量.xlsx（13シート）。11_告示別表第一根拠・12_別表第五判定。全域過疎により別表第五は適用対象外と確定し、個別積上げ方式を採用</t>
        </is>
      </c>
      <c r="M45" s="4" t="inlineStr">
        <is>
          <t>―</t>
        </is>
      </c>
      <c r="N45" s="4" t="inlineStr">
        <is>
          <t>本村の過疎区分（全部過疎／一部過疎／みなし過疎）・障害支援区分別人数の基準日とサービス利用状況・実態調査及びPDCAサイクルに関するマニュアル（令和8年8月）</t>
        </is>
      </c>
    </row>
    <row r="46">
      <c r="A46" s="4" t="inlineStr">
        <is>
          <t>P7 推計・見込量</t>
        </is>
      </c>
      <c r="B46" s="11" t="inlineStr">
        <is>
          <t>7-2</t>
        </is>
      </c>
      <c r="C46" s="4" t="inlineStr">
        <is>
          <t>障がい福祉サービスの見込量の推計</t>
        </is>
      </c>
      <c r="D46" s="4" t="inlineStr">
        <is>
          <t>介護給付・訓練等給付の利用者数と量。年齢到達に伴う移行を含む</t>
        </is>
      </c>
      <c r="E46" s="4" t="inlineStr">
        <is>
          <t>仕様書4-Ⅱ(3)②</t>
        </is>
      </c>
      <c r="F46" s="11" t="inlineStr">
        <is>
          <t>受託者</t>
        </is>
      </c>
      <c r="G46" s="11" t="inlineStr">
        <is>
          <t>2026-08</t>
        </is>
      </c>
      <c r="H46" s="11" t="inlineStr">
        <is>
          <t>2026-12</t>
        </is>
      </c>
      <c r="I46" s="14" t="inlineStr">
        <is>
          <t>進行中</t>
        </is>
      </c>
      <c r="J46" s="11" t="n">
        <v>75</v>
      </c>
      <c r="K46" s="11" t="n">
        <v>5</v>
      </c>
      <c r="L46" s="4" t="inlineStr">
        <is>
          <t>第1次概算を算定（北塩原村_サービス見込量算定.xlsx 11シート）。基準年度は令和7年度。パターン3（基準年度据え置き＋成果目標による補正）を採用。12サービスに値が入り、自己点検12件すべて合。令和8年10月4日に計画素案 第5章3〜6へ反映済み</t>
        </is>
      </c>
      <c r="M46" s="4" t="inlineStr">
        <is>
          <t>年齢別・サービス別の匿名利用者一覧、サービス別の支給決定者数（村へ依頼中）。揃えば第2次算定で個別積上げに進む</t>
        </is>
      </c>
      <c r="N46" s="15" t="inlineStr">
        <is>
          <t>計画値の基礎とする系列（Ｍ-19）・移行管理台帳（Ｍ-18）・グループホーム・福祉ホームの設置の予定（Ｍ-37）・重度障がい者の人数（Ｍ-22）・村外の利用事業所の一覧（Ｍ-24）・村内3事業所の詳細・年齢別・サービス別の匿名利用者一覧・サービス別の支給決定者数（実人数）・相談支援の体制（Ｍ-20）・指定難病による対象者（Ｍ-32）・地域生活支援事業・社協で担える範囲（Ｍ-31）・成人の医療的ケア者・重症心身障害者（Ｍ-26）・卒業予定者の一覧（Ｍ-21）・圏域事業所の制度活用状況・令和6・7年度実績、令和8年度見込・令和9〜11年度の65歳到達者・圏域事業所の受入可能性（精度：退院者1人の生活の見通し（Ｍ-27）・高齢者サービスの手引きと高齢者福祉施策の対象要件（Ｍ-50）・冬季の除雪の供給の制約とつなぐ運用（Ｍ-57・Ｍ-58）・40歳以上65歳未満の特定疾病該当者）</t>
        </is>
      </c>
    </row>
    <row r="47">
      <c r="A47" s="4" t="inlineStr">
        <is>
          <t>P7 推計・見込量</t>
        </is>
      </c>
      <c r="B47" s="11" t="inlineStr">
        <is>
          <t>7-3</t>
        </is>
      </c>
      <c r="C47" s="4" t="inlineStr">
        <is>
          <t>障がい児通所支援等の見込量の推計</t>
        </is>
      </c>
      <c r="D47" s="4" t="inlineStr">
        <is>
          <t>児童発達支援・放課後等デイサービス等の利用者数と量</t>
        </is>
      </c>
      <c r="E47" s="4" t="inlineStr">
        <is>
          <t>仕様書4-Ⅱ(3)③</t>
        </is>
      </c>
      <c r="F47" s="11" t="inlineStr">
        <is>
          <t>受託者</t>
        </is>
      </c>
      <c r="G47" s="11" t="inlineStr">
        <is>
          <t>2026-08</t>
        </is>
      </c>
      <c r="H47" s="11" t="inlineStr">
        <is>
          <t>2026-12</t>
        </is>
      </c>
      <c r="I47" s="14" t="inlineStr">
        <is>
          <t>進行中</t>
        </is>
      </c>
      <c r="J47" s="11" t="n">
        <v>70</v>
      </c>
      <c r="K47" s="11" t="n">
        <v>3</v>
      </c>
      <c r="L47" s="4" t="inlineStr">
        <is>
          <t>第1次概算を算定。年少人口の率では動かさない整理を採った。児童発達支援23件→1件と放課後等デイ12件→27件が同時に起きて合計はほぼ不変であり、就学に伴う個人単位の移動と判断。令和8年10月4日に計画素案 第5章7へ反映し、医療型児童発達支援の行を削除（令和6年度に児童発達支援へ一元化）</t>
        </is>
      </c>
      <c r="M47" s="4" t="inlineStr">
        <is>
          <t>児童発達支援の急減の理由（村確認事項Ｍ-1・最優先）。令和5年度の水準に戻れば年約321万円の増になる</t>
        </is>
      </c>
      <c r="N47" s="15" t="inlineStr">
        <is>
          <t>計画値の基礎とする系列（Ｍ-19）・移行管理台帳（Ｍ-18）・重度障がい者の人数（Ｍ-22）・村外の利用事業所の一覧（Ｍ-24）・年齢別・サービス別の匿名利用者一覧・サービス別の支給決定者数（実人数）・卒業予定者の一覧（Ｍ-21）・特別支援学校・特別支援学級の在籍者・令和6・7年度の障害児給付費の変動理由・圏域事業所の受入可能性・障がい児の入所・申請の状況</t>
        </is>
      </c>
    </row>
    <row r="48">
      <c r="A48" s="4" t="inlineStr">
        <is>
          <t>P7 推計・見込量</t>
        </is>
      </c>
      <c r="B48" s="11" t="inlineStr">
        <is>
          <t>7-4</t>
        </is>
      </c>
      <c r="C48" s="4" t="inlineStr">
        <is>
          <t>地域生活支援事業の見込量の推計</t>
        </is>
      </c>
      <c r="D48" s="4" t="inlineStr">
        <is>
          <t>必須15事業・任意3事業の事業ごとの実施に関する考え方と量の見込み</t>
        </is>
      </c>
      <c r="E48" s="4" t="inlineStr">
        <is>
          <t>仕様書4-Ⅱ(3)④</t>
        </is>
      </c>
      <c r="F48" s="11" t="inlineStr">
        <is>
          <t>受託者</t>
        </is>
      </c>
      <c r="G48" s="11" t="inlineStr">
        <is>
          <t>2026-08</t>
        </is>
      </c>
      <c r="H48" s="11" t="inlineStr">
        <is>
          <t>2026-09</t>
        </is>
      </c>
      <c r="I48" s="14" t="inlineStr">
        <is>
          <t>進行中</t>
        </is>
      </c>
      <c r="J48" s="11" t="n">
        <v>70</v>
      </c>
      <c r="K48" s="11" t="n">
        <v>3</v>
      </c>
      <c r="L48" s="4" t="inlineStr">
        <is>
          <t>北塩原村_地域生活支援事業.xlsx（4シート）。告示第三の二の3の4事項に対応</t>
        </is>
      </c>
      <c r="M48" s="4" t="inlineStr">
        <is>
          <t>移動支援0人・福祉ホームの実績と見込の逆転など、確認事項7件が未解消</t>
        </is>
      </c>
      <c r="N48" s="15" t="inlineStr">
        <is>
          <t>グループホーム・福祉ホームの設置の予定（Ｍ-37）・排泄管理支援用具の増減の理由（Ｍ-38）・地域生活支援事業・社協で担える範囲（Ｍ-31）・手話施策の実績（Ｍ-59・Ｍ-60）（精度：成年後見の類型別内訳（Ｍ-39）・権利擁護・成年後見の件数（Ｍ-51）・職場適応訓練等の実績（Ｍ-30）・情報保障の配布実績と差別に関する相談（Ｍ-61〜Ｍ-63）・就労の受け皿（職親委託等）の実績（Ｍ-53））</t>
        </is>
      </c>
    </row>
    <row r="49">
      <c r="A49" s="4" t="inlineStr">
        <is>
          <t>P7 推計・見込量</t>
        </is>
      </c>
      <c r="B49" s="11" t="inlineStr">
        <is>
          <t>7-5</t>
        </is>
      </c>
      <c r="C49" s="4" t="inlineStr">
        <is>
          <t>成果目標の設定</t>
        </is>
      </c>
      <c r="D49" s="4" t="inlineStr">
        <is>
          <t>第8期の成果目標8区分（人材確保・定着が新設）</t>
        </is>
      </c>
      <c r="E49" s="4" t="inlineStr">
        <is>
          <t>仕様書4-Ⅱ(3)⑤</t>
        </is>
      </c>
      <c r="F49" s="11" t="inlineStr">
        <is>
          <t>受託者</t>
        </is>
      </c>
      <c r="G49" s="11" t="inlineStr">
        <is>
          <t>2026-08</t>
        </is>
      </c>
      <c r="H49" s="11" t="inlineStr">
        <is>
          <t>2026-12</t>
        </is>
      </c>
      <c r="I49" s="13" t="inlineStr">
        <is>
          <t>データ待ち</t>
        </is>
      </c>
      <c r="J49" s="11" t="n">
        <v>55</v>
      </c>
      <c r="K49" s="11" t="n">
        <v>4</v>
      </c>
      <c r="L49" s="4" t="inlineStr">
        <is>
          <t>骨子案修正版 第4章。国基準数値を告示本文と照合済み。村の朱書きにより（３）（４）（６）を具体化</t>
        </is>
      </c>
      <c r="M49" s="4" t="inlineStr">
        <is>
          <t>令和7年度末の施設入所者数、令和6年度の一般就労移行実績、1年以上長期入院者の実数</t>
        </is>
      </c>
      <c r="N49" s="15" t="inlineStr">
        <is>
          <t>施設入所者4人の6項目の確認状況（Ｍ-23）・本村の過疎区分（全部過疎／一部過疎／みなし過疎）・令和7年度末時点の1年以上長期入院者の実数・成人の医療的ケア者・重症心身障害者（Ｍ-26）・退院者1人の生活の見通し（Ｍ-27）・福島県の長期入院患者に係る基盤整備量（利用者数）・令和6年度の一般就労移行実績・就労定着支援利用実績・第7期計画の令和8年度目標の達成見込み・医療的ケア児者・地域生活支援拠点・個別避難計画の実態（精度：施設入所支援4人の支給決定の内容（Ｍ-13）・地域生活支援拠点等の5機能の実績（Ｍ-54））</t>
        </is>
      </c>
    </row>
    <row r="50">
      <c r="A50" s="4" t="inlineStr">
        <is>
          <t>P7 推計・見込量</t>
        </is>
      </c>
      <c r="B50" s="11" t="inlineStr">
        <is>
          <t>7-6</t>
        </is>
      </c>
      <c r="C50" s="4" t="inlineStr">
        <is>
          <t>活動指標の設定</t>
        </is>
      </c>
      <c r="D50" s="4" t="inlineStr">
        <is>
          <t>別表第一の83項目から本村で設定する65項目を選定。告示第三の四㈡により見込量以外の活動指標は任意</t>
        </is>
      </c>
      <c r="E50" s="4" t="inlineStr">
        <is>
          <t>仕様書4-Ⅱ(3)⑤</t>
        </is>
      </c>
      <c r="F50" s="11" t="inlineStr">
        <is>
          <t>受託者</t>
        </is>
      </c>
      <c r="G50" s="11" t="inlineStr">
        <is>
          <t>2026-08</t>
        </is>
      </c>
      <c r="H50" s="11" t="inlineStr">
        <is>
          <t>2026-09</t>
        </is>
      </c>
      <c r="I50" s="14" t="inlineStr">
        <is>
          <t>進行中</t>
        </is>
      </c>
      <c r="J50" s="11" t="n">
        <v>80</v>
      </c>
      <c r="K50" s="11" t="n">
        <v>3</v>
      </c>
      <c r="L50" s="4" t="inlineStr">
        <is>
          <t>北塩原村_活動指標.xlsx。設定51・検討7・設定しない7・都道府県指標18</t>
        </is>
      </c>
      <c r="M50" s="4" t="inlineStr">
        <is>
          <t>令和6年度実績の受領後に現状値を入れる</t>
        </is>
      </c>
      <c r="N50" s="4" t="inlineStr">
        <is>
          <t>セルフプラン率・基幹相談支援センター・就労選択支援事業所の状況</t>
        </is>
      </c>
    </row>
    <row r="51">
      <c r="A51" s="4" t="inlineStr">
        <is>
          <t>P7 推計・見込量</t>
        </is>
      </c>
      <c r="B51" s="11" t="inlineStr">
        <is>
          <t>7-7</t>
        </is>
      </c>
      <c r="C51" s="4" t="inlineStr">
        <is>
          <t>給付費・財源構成の推計</t>
        </is>
      </c>
      <c r="D51" s="4" t="inlineStr">
        <is>
          <t>サービス別の給付費と、国1/2・県1/4・村1/4の法定負担による財源構成</t>
        </is>
      </c>
      <c r="E51" s="4" t="inlineStr">
        <is>
          <t>仕様書4-Ⅱ(3)</t>
        </is>
      </c>
      <c r="F51" s="11" t="inlineStr">
        <is>
          <t>受託者</t>
        </is>
      </c>
      <c r="G51" s="11" t="inlineStr">
        <is>
          <t>2026-08</t>
        </is>
      </c>
      <c r="H51" s="11" t="inlineStr">
        <is>
          <t>2026-12</t>
        </is>
      </c>
      <c r="I51" s="14" t="inlineStr">
        <is>
          <t>進行中</t>
        </is>
      </c>
      <c r="J51" s="11" t="n">
        <v>70</v>
      </c>
      <c r="K51" s="11" t="n">
        <v>4</v>
      </c>
      <c r="L51" s="4" t="inlineStr">
        <is>
          <t>第1次概算で3か年給付費172,859,691円を算定。給付費は年間請求件数×1件あたり給付費で算定し、人／月×12では算定しない（短期入所で4倍、計画相談支援で3.5倍の過大計上になるため）</t>
        </is>
      </c>
      <c r="M51" s="4" t="inlineStr">
        <is>
          <t>報酬改定率の告示（単価を令和7年度で固定しており低く出る側に偏っている）。障がい福祉関係の歳入歳出決算（村へ依頼中）</t>
        </is>
      </c>
      <c r="N51" s="15" t="inlineStr">
        <is>
          <t>計画値の基礎とする系列（Ｍ-19）・令和6・7年度実績、令和8年度見込・障がい福祉関係の歳入歳出決算（精度：排泄管理支援用具の増減の理由（Ｍ-38）・地域生活支援事業・社協で担える範囲（Ｍ-31）・人工透析通院交通費助成と除雪の障がい者世帯の利用実績（Ｍ-64・Ｍ-65））</t>
        </is>
      </c>
    </row>
    <row r="52">
      <c r="A52" s="4" t="inlineStr">
        <is>
          <t>P7 推計・見込量</t>
        </is>
      </c>
      <c r="B52" s="11" t="inlineStr">
        <is>
          <t>7-8</t>
        </is>
      </c>
      <c r="C52" s="4" t="inlineStr">
        <is>
          <t>見込量算定のMECEチェック</t>
        </is>
      </c>
      <c r="D52" s="4" t="inlineStr">
        <is>
          <t>国の基本指針・通達と突き合わせ、見込量の算定を網羅性（漏れ）と相互排他性（重複）の2方向から点検する</t>
        </is>
      </c>
      <c r="E52" s="4" t="inlineStr">
        <is>
          <t>仕様書4-Ⅱ(3)②〜④</t>
        </is>
      </c>
      <c r="F52" s="11" t="inlineStr">
        <is>
          <t>受託者</t>
        </is>
      </c>
      <c r="G52" s="11" t="inlineStr">
        <is>
          <t>2026-10</t>
        </is>
      </c>
      <c r="H52" s="11" t="inlineStr">
        <is>
          <t>2026-12</t>
        </is>
      </c>
      <c r="I52" s="14" t="inlineStr">
        <is>
          <t>進行中</t>
        </is>
      </c>
      <c r="J52" s="11" t="n">
        <v>55</v>
      </c>
      <c r="K52" s="11" t="n">
        <v>3</v>
      </c>
      <c r="L52" s="4" t="inlineStr">
        <is>
          <t>別表第一 二〜六の31事項・地域生活支援事業13事業・算定方法6・付加要件8を点検。指摘17件（重大4・中8・小5）。うち6件は当方で是正済み。マニュアル（参考）のアンケートによる増減判断を実施し増加要素19・減少要素9（docs/北塩原村_見込量算定_MECEチェック.md）</t>
        </is>
      </c>
      <c r="M52" s="4" t="inlineStr">
        <is>
          <t>E-1（継続入所者）・E-2（保育所等の受入体制）は村の回答待ち。E-3（アンケートの反映）は第2次算定で行う</t>
        </is>
      </c>
      <c r="N52" s="4" t="inlineStr">
        <is>
          <t>―</t>
        </is>
      </c>
    </row>
    <row r="53">
      <c r="A53" s="4" t="inlineStr">
        <is>
          <t>P7 推計・見込量</t>
        </is>
      </c>
      <c r="B53" s="11" t="inlineStr">
        <is>
          <t>7-9</t>
        </is>
      </c>
      <c r="C53" s="4" t="inlineStr">
        <is>
          <t>介護保険事業計画との整合・切り分け</t>
        </is>
      </c>
      <c r="D53" s="4" t="inlineStr">
        <is>
          <t>同一自治体で並行して作業している第10期高齢者福祉計画・介護保険事業計画と、受給者証の区分に応じたサービス利用に照らして見込量を突き合わせる</t>
        </is>
      </c>
      <c r="E53" s="4" t="inlineStr">
        <is>
          <t>障害者総合支援法第7条（介護保険優先原則）</t>
        </is>
      </c>
      <c r="F53" s="11" t="inlineStr">
        <is>
          <t>受託者</t>
        </is>
      </c>
      <c r="G53" s="11" t="inlineStr">
        <is>
          <t>2026-10</t>
        </is>
      </c>
      <c r="H53" s="11" t="inlineStr">
        <is>
          <t>2026-12</t>
        </is>
      </c>
      <c r="I53" s="14" t="inlineStr">
        <is>
          <t>進行中</t>
        </is>
      </c>
      <c r="J53" s="11" t="n">
        <v>60</v>
      </c>
      <c r="K53" s="11" t="n">
        <v>1</v>
      </c>
      <c r="L53" s="4" t="inlineStr">
        <is>
          <t>北塩原村_障がい計画と介護保険事業計画の整合.xlsx（7シート）。支給決定の内容による切り分け10区分・サービスの対応11件を整理し、点検8件（重大3・重要4・中1）。外部レビューにより「受給者証区分」という統一された区分体系は存在しないことが判明したため、障害支援区分・支給決定サービス・支給決定量・実利用量の4つのデータに分けて整理し直した。最も重いのは介護保険の適用除外（介護保険法施行法第11条第1項）で、施設入所支援4人が適用除外に当たると介護保険の第1号被保険者から除く必要があるが両計画とも記載0件。第2号被保険者の認定者2〜3人との重なりと、65歳到達者の移行がどちらの計画にも織り込まれていないことも特定。現行計画は介護保険優先適用の施策1文のみで切り分けの記述なし（docs/北塩原村_障がい計画と介護保険事業計画の整合.md）</t>
        </is>
      </c>
      <c r="M53" s="4" t="inlineStr">
        <is>
          <t>村照会Ｍ-13〜Ｍ-17（施設入所支援4人の支給決定の内容、第2号被保険者との重なり、65歳到達者の一覧）と、介護保険側への申し送り2件</t>
        </is>
      </c>
      <c r="N53" s="15" t="inlineStr">
        <is>
          <t>施設入所支援4人の支給決定の内容（Ｍ-13）・介護保険の第2号被保険者との重なり（Ｍ-14）・要介護認定の有無・要介護度（匿名利用者一覧への列追加）・高齢者サービスの手引きと高齢者福祉施策の対象要件（Ｍ-50）・令和9〜11年度の65歳到達者・40歳以上65歳未満の特定疾病該当者（精度：施設入所者4人の6項目の確認状況（Ｍ-23））</t>
        </is>
      </c>
    </row>
    <row r="54">
      <c r="A54" s="4" t="inlineStr">
        <is>
          <t>P8 施策検討・計画案</t>
        </is>
      </c>
      <c r="B54" s="11" t="inlineStr">
        <is>
          <t>8-1</t>
        </is>
      </c>
      <c r="C54" s="4" t="inlineStr">
        <is>
          <t>障がい者福祉施策の検討</t>
        </is>
      </c>
      <c r="D54" s="4" t="inlineStr">
        <is>
          <t>現行計画の成果と課題を踏まえ、次期計画に盛り込む施策を検討</t>
        </is>
      </c>
      <c r="E54" s="4" t="inlineStr">
        <is>
          <t>仕様書4-Ⅱ(4)</t>
        </is>
      </c>
      <c r="F54" s="11" t="inlineStr">
        <is>
          <t>受託者</t>
        </is>
      </c>
      <c r="G54" s="11" t="inlineStr">
        <is>
          <t>2026-08</t>
        </is>
      </c>
      <c r="H54" s="11" t="inlineStr">
        <is>
          <t>2026-12</t>
        </is>
      </c>
      <c r="I54" s="14" t="inlineStr">
        <is>
          <t>進行中</t>
        </is>
      </c>
      <c r="J54" s="11" t="n">
        <v>60</v>
      </c>
      <c r="K54" s="11" t="n">
        <v>4</v>
      </c>
      <c r="L54" s="4" t="inlineStr">
        <is>
          <t>骨子案修正版 第3章（基本理念・基本目標及び施策体系）。第8期で加わる視点と施策体系の対応表を新設</t>
        </is>
      </c>
      <c r="M54" s="4" t="inlineStr">
        <is>
          <t>現行計画の評価の確定</t>
        </is>
      </c>
      <c r="N54" s="15" t="inlineStr">
        <is>
          <t>物品調達の実績（Ｍ-34）・社会福祉法改正への対応（Ｍ-35）・成年後見の類型別内訳（Ｍ-39）・高齢者サービスの手引きと高齢者福祉施策の対象要件（Ｍ-50）・高齢者世帯等除雪サービス事業の「等」の範囲（Ｍ-49）・権利擁護・成年後見の件数（Ｍ-51）・除雪サービスの利用実績と助成の内容（Ｍ-55・Ｍ-56）・人工透析通院交通費助成と除雪の障がい者世帯の利用実績（Ｍ-64・Ｍ-65）・障がい者活躍推進計画と物品調達方針（Ｍ-67・Ｍ-68）・防災の取組の状況（Ｍ-36）・職場適応訓練等の実績（Ｍ-30）・緊急連絡カードの配布対象と障がい分野での活用（Ｍ-52）・地域生活支援拠点等の5機能の実績（Ｍ-54）・冬季の除雪の供給の制約とつなぐ運用（Ｍ-57・Ｍ-58）・情報保障の配布実績と差別に関する相談（Ｍ-61〜Ｍ-63）・医療的ケア児者・地域生活支援拠点・個別避難計画の実態・パラスポーツへの村民の参加（Ｍ-66）・就労の受け皿（職親委託等）の実績（Ｍ-53）（精度：手話施策の実績（Ｍ-59・Ｍ-60）・第5次総合振興計画たたき台、健康21現行計画、高齢者福祉・介護保険事業計画）</t>
        </is>
      </c>
    </row>
    <row r="55">
      <c r="A55" s="4" t="inlineStr">
        <is>
          <t>P8 施策検討・計画案</t>
        </is>
      </c>
      <c r="B55" s="11" t="inlineStr">
        <is>
          <t>8-10</t>
        </is>
      </c>
      <c r="C55" s="4" t="inlineStr">
        <is>
          <t>告示が「ものとする」とした要件の反映</t>
        </is>
      </c>
      <c r="D55" s="4" t="inlineStr">
        <is>
          <t>見込量算定MECEチェックで特定した2要件（継続入所者の控除・保育所等における障害児の受入れ体制）を計画素案に書き、村への照会事項として確定させる</t>
        </is>
      </c>
      <c r="E55" s="4" t="inlineStr">
        <is>
          <t>告示 第三の二の2㈠</t>
        </is>
      </c>
      <c r="F55" s="11" t="inlineStr">
        <is>
          <t>受託者</t>
        </is>
      </c>
      <c r="G55" s="11" t="inlineStr">
        <is>
          <t>2026-10</t>
        </is>
      </c>
      <c r="H55" s="11" t="inlineStr">
        <is>
          <t>2026-11</t>
        </is>
      </c>
      <c r="I55" s="14" t="inlineStr">
        <is>
          <t>進行中</t>
        </is>
      </c>
      <c r="J55" s="11" t="n">
        <v>50</v>
      </c>
      <c r="K55" s="11" t="n">
        <v>1</v>
      </c>
      <c r="L55" s="4" t="inlineStr">
        <is>
          <t>計画素案 第5章1の算定方法の根拠の表に2要件を追加し、村への照会（Ｍ-10・Ｍ-11）を最優先として注記。あわせて廃止区分「医療型児童発達支援」の残存（X-1）を第5章7と第5章冒頭のサービス区分表から落とし、略記の年度表記（R6〜R11）を令和表記に統一</t>
        </is>
      </c>
      <c r="M55" s="4" t="inlineStr">
        <is>
          <t>村照会Ｍ-10・Ｍ-11の回答。回答後に見込量の控除・考え方を確定する</t>
        </is>
      </c>
      <c r="N55" s="15" t="inlineStr">
        <is>
          <t>移行管理台帳（Ｍ-18）</t>
        </is>
      </c>
    </row>
    <row r="56">
      <c r="A56" s="4" t="inlineStr">
        <is>
          <t>P8 施策検討・計画案</t>
        </is>
      </c>
      <c r="B56" s="11" t="inlineStr">
        <is>
          <t>8-2</t>
        </is>
      </c>
      <c r="C56" s="4" t="inlineStr">
        <is>
          <t>計画案の作成</t>
        </is>
      </c>
      <c r="D56" s="4" t="inlineStr">
        <is>
          <t>仕様書が定める記載事項8項目（基本理念・施策体系・手帳所持者数の将来推計・サービス見込量・障がい児通所支援等の見込量・地域生活支援事業の見込量・成果目標及び活動指標・推進体制及び進行管理）</t>
        </is>
      </c>
      <c r="E56" s="4" t="inlineStr">
        <is>
          <t>仕様書4-Ⅱ(5)</t>
        </is>
      </c>
      <c r="F56" s="11" t="inlineStr">
        <is>
          <t>受託者</t>
        </is>
      </c>
      <c r="G56" s="11" t="inlineStr">
        <is>
          <t>2026-07</t>
        </is>
      </c>
      <c r="H56" s="11" t="inlineStr">
        <is>
          <t>2027-01</t>
        </is>
      </c>
      <c r="I56" s="14" t="inlineStr">
        <is>
          <t>進行中</t>
        </is>
      </c>
      <c r="J56" s="11" t="n">
        <v>85</v>
      </c>
      <c r="K56" s="11" t="n">
        <v>5</v>
      </c>
      <c r="L56" s="4" t="inlineStr">
        <is>
          <t>正本に入れるものを申し送り（第2版）に一本化し、令和8年10月10日に正本へ移植した（段落526→1012・表55→135・図19→28）。移植20件・論点メモからの修正5件・用語解説3語、村資料点検5件、12重点施策の再レビュー12件、村ホームページの棚卸し5件、村ホームページ3分野（高齢者・児童・社会福祉）の棚卸し8件、救急・防災・冬季のRed Teamレビュー5件、当方で作成した図8点。第1章2に県計画との整合の4項、第5章に5（年齢到達）・6（関係機関との連携）・7（費用と財源）の3節を足した（既存の節を番号で参照しているため末尾に足し、番号をずらしていない）。書式は正本に揃えた（本文幅9,412dxa、節はHeading 2、項は小見出し、データ表は罫線4F8A6E・表頭2D7A57、注記は罫線3D86C6）。自己点検で、申し送りの文章と表が出力に実在すること、正本の記述18点が残っていること、見込量表11表が残っていることを照合。移植10（基盤整備量）は定めなければならない事項であり、これで記載した</t>
        </is>
      </c>
      <c r="M56" s="4" t="inlineStr">
        <is>
          <t>村の実績データ（匿名利用者一覧・支給決定者数）による第2次算定。県の基盤整備量の算定値。アンケート3指標の扱いの村決定</t>
        </is>
      </c>
      <c r="N56" s="15" t="inlineStr">
        <is>
          <t>9月30日時点の人口・手帳所持者数（Ｍ-28）・PDCAの評価体制・スケジュール・公表方法</t>
        </is>
      </c>
    </row>
    <row r="57">
      <c r="A57" s="4" t="inlineStr">
        <is>
          <t>P8 施策検討・計画案</t>
        </is>
      </c>
      <c r="B57" s="11" t="inlineStr">
        <is>
          <t>8-3</t>
        </is>
      </c>
      <c r="C57" s="4" t="inlineStr">
        <is>
          <t>確保のための方策の記載</t>
        </is>
      </c>
      <c r="D57" s="4" t="inlineStr">
        <is>
          <t>小規模町村・中山間地域向けの確保方策。介護保険事業所への指定働きかけ、共生型サービス、基準該当、多機能型・従たる事業所、短期入所</t>
        </is>
      </c>
      <c r="E57" s="4" t="inlineStr">
        <is>
          <t>仕様書4-Ⅱ(5)</t>
        </is>
      </c>
      <c r="F57" s="11" t="inlineStr">
        <is>
          <t>受託者</t>
        </is>
      </c>
      <c r="G57" s="11" t="inlineStr">
        <is>
          <t>2026-08</t>
        </is>
      </c>
      <c r="H57" s="11" t="inlineStr">
        <is>
          <t>2026-08</t>
        </is>
      </c>
      <c r="I57" s="12" t="inlineStr">
        <is>
          <t>完了</t>
        </is>
      </c>
      <c r="J57" s="11" t="n">
        <v>100</v>
      </c>
      <c r="K57" s="11" t="n">
        <v>3</v>
      </c>
      <c r="L57" s="4" t="inlineStr">
        <is>
          <t>骨子案修正版 第5章8。告示が名指しする5つの具体策を反映し、圏域の事業所数を原典から表として生成する方式に変更</t>
        </is>
      </c>
      <c r="M57" s="4" t="inlineStr">
        <is>
          <t>―</t>
        </is>
      </c>
      <c r="N57" s="4" t="inlineStr">
        <is>
          <t>―（精度：グループホーム・福祉ホームの設置の予定（Ｍ-37）・村外の利用事業所の一覧（Ｍ-24）・村内3事業所の詳細・相談支援の体制（Ｍ-20）・事業所の経営基盤（Ｍ-25）・高齢者世帯等除雪サービス事業の「等」の範囲（Ｍ-49）・除雪サービスの利用実績と助成の内容（Ｍ-55・Ｍ-56）・圏域事業所の制度活用状況・冬季の除雪の供給の制約とつなぐ運用（Ｍ-57・Ｍ-58）・圏域事業所の受入可能性）</t>
        </is>
      </c>
    </row>
    <row r="58">
      <c r="A58" s="4" t="inlineStr">
        <is>
          <t>P8 施策検討・計画案</t>
        </is>
      </c>
      <c r="B58" s="11" t="inlineStr">
        <is>
          <t>8-4</t>
        </is>
      </c>
      <c r="C58" s="4" t="inlineStr">
        <is>
          <t>分量配分の設計</t>
        </is>
      </c>
      <c r="D58" s="4" t="inlineStr">
        <is>
          <t>成果品①は約60頁。章別の目標頁数を先に決め、原稿段階で収める</t>
        </is>
      </c>
      <c r="E58" s="4" t="inlineStr">
        <is>
          <t>仕様書5 成果品①</t>
        </is>
      </c>
      <c r="F58" s="11" t="inlineStr">
        <is>
          <t>受託者</t>
        </is>
      </c>
      <c r="G58" s="11" t="inlineStr">
        <is>
          <t>2026-08</t>
        </is>
      </c>
      <c r="H58" s="11" t="inlineStr">
        <is>
          <t>2026-08</t>
        </is>
      </c>
      <c r="I58" s="12" t="inlineStr">
        <is>
          <t>完了</t>
        </is>
      </c>
      <c r="J58" s="11" t="n">
        <v>100</v>
      </c>
      <c r="K58" s="11" t="n">
        <v>2</v>
      </c>
      <c r="L58" s="4" t="inlineStr">
        <is>
          <t>計画書_分量配分計画（docs）。現行計画の本文57頁の章別配分を基準に60頁へ配分。削減順序と削ってはならないものを明記。令和8年9月に現行計画の頁数を訂正（63頁は製本総頁で本文は57頁）</t>
        </is>
      </c>
      <c r="M58" s="4" t="inlineStr">
        <is>
          <t>―</t>
        </is>
      </c>
      <c r="N58" s="4" t="inlineStr">
        <is>
          <t>―</t>
        </is>
      </c>
    </row>
    <row r="59">
      <c r="A59" s="4" t="inlineStr">
        <is>
          <t>P8 施策検討・計画案</t>
        </is>
      </c>
      <c r="B59" s="11" t="inlineStr">
        <is>
          <t>8-5</t>
        </is>
      </c>
      <c r="C59" s="4" t="inlineStr">
        <is>
          <t>目次の整理とページ番号の付与</t>
        </is>
      </c>
      <c r="D59" s="4" t="inlineStr">
        <is>
          <t>計画素案の目次を本文から作り直し、全見出しにブックマークを付けて目次からリンクで飛べるようにする。章頭で改ページし、本文を1ページから始める</t>
        </is>
      </c>
      <c r="E59" s="4" t="inlineStr">
        <is>
          <t>仕様書5 成果品①</t>
        </is>
      </c>
      <c r="F59" s="11" t="inlineStr">
        <is>
          <t>受託者</t>
        </is>
      </c>
      <c r="G59" s="11" t="inlineStr">
        <is>
          <t>2026-09</t>
        </is>
      </c>
      <c r="H59" s="11" t="inlineStr">
        <is>
          <t>2026-09</t>
        </is>
      </c>
      <c r="I59" s="12" t="inlineStr">
        <is>
          <t>完了</t>
        </is>
      </c>
      <c r="J59" s="11" t="n">
        <v>100</v>
      </c>
      <c r="K59" s="11" t="n">
        <v>3</v>
      </c>
      <c r="L59" s="4" t="inlineStr">
        <is>
          <t>build_kitashiobara_mokuji.py。目次55項目・ブックマーク93件・リンク切れ0件。原本の目次は7月版のままで本文94見出しに対し57項目、うち3件がリンク切れ、ページ番号は全項目1だった</t>
        </is>
      </c>
      <c r="M59" s="4" t="inlineStr">
        <is>
          <t>―</t>
        </is>
      </c>
      <c r="N59" s="4" t="inlineStr">
        <is>
          <t>―</t>
        </is>
      </c>
    </row>
    <row r="60">
      <c r="A60" s="4" t="inlineStr">
        <is>
          <t>P8 施策検討・計画案</t>
        </is>
      </c>
      <c r="B60" s="11" t="inlineStr">
        <is>
          <t>8-6</t>
        </is>
      </c>
      <c r="C60" s="4" t="inlineStr">
        <is>
          <t>前回計画との対比と不足分の洗い出し</t>
        </is>
      </c>
      <c r="D60" s="4" t="inlineStr">
        <is>
          <t>現行計画の目次31節を1件ずつ追跡し、引き継いだもの・移したもの・落ちたものを確定させる</t>
        </is>
      </c>
      <c r="E60" s="4" t="inlineStr">
        <is>
          <t>仕様書4-Ⅱ(2)・4-Ⅱ(5)</t>
        </is>
      </c>
      <c r="F60" s="11" t="inlineStr">
        <is>
          <t>受託者</t>
        </is>
      </c>
      <c r="G60" s="11" t="inlineStr">
        <is>
          <t>2026-09</t>
        </is>
      </c>
      <c r="H60" s="11" t="inlineStr">
        <is>
          <t>2026-09</t>
        </is>
      </c>
      <c r="I60" s="12" t="inlineStr">
        <is>
          <t>完了</t>
        </is>
      </c>
      <c r="J60" s="11" t="n">
        <v>100</v>
      </c>
      <c r="K60" s="11" t="n">
        <v>3</v>
      </c>
      <c r="L60" s="4" t="inlineStr">
        <is>
          <t>北塩原村_目次構成_前回対比.xlsx（6シート）。新旧対照42件・不足分6件・新設9件。欠落4件のうち3件を追加。令和8年9月16日にサービスの体系・表記の注記を追加して用語解説（30語）を新設し、同年9月17日に概要版を作成。ＳＤＧｓ対応表は今回は見送り</t>
        </is>
      </c>
      <c r="M60" s="4" t="inlineStr">
        <is>
          <t>―</t>
        </is>
      </c>
      <c r="N60" s="4" t="inlineStr">
        <is>
          <t>現行計画本編（第4次障がい者計画・第7期・第3期）</t>
        </is>
      </c>
    </row>
    <row r="61">
      <c r="A61" s="4" t="inlineStr">
        <is>
          <t>P8 施策検討・計画案</t>
        </is>
      </c>
      <c r="B61" s="11" t="inlineStr">
        <is>
          <t>8-7</t>
        </is>
      </c>
      <c r="C61" s="4" t="inlineStr">
        <is>
          <t>概要版の作成</t>
        </is>
      </c>
      <c r="D61" s="4" t="inlineStr">
        <is>
          <t>住民向けの概要版を計画書とは別ファイルで作成する。前回の概要版の構成を踏襲し、改定対象外の障がい者計画は継承する内容として整理する</t>
        </is>
      </c>
      <c r="E61" s="4" t="inlineStr">
        <is>
          <t>仕様書外（村の指示）</t>
        </is>
      </c>
      <c r="F61" s="11" t="inlineStr">
        <is>
          <t>受託者</t>
        </is>
      </c>
      <c r="G61" s="11" t="inlineStr">
        <is>
          <t>2026-09</t>
        </is>
      </c>
      <c r="H61" s="11" t="inlineStr">
        <is>
          <t>2026-10</t>
        </is>
      </c>
      <c r="I61" s="14" t="inlineStr">
        <is>
          <t>進行中</t>
        </is>
      </c>
      <c r="J61" s="11" t="n">
        <v>85</v>
      </c>
      <c r="K61" s="11" t="n">
        <v>2</v>
      </c>
      <c r="L61" s="4" t="inlineStr">
        <is>
          <t>build_kitashiobara_gaiyou.py。令和8年10月10日にA4・4頁からA4・6頁に改めた。背景・位置づけ・期間・基本指針の見直し・現状・基本理念・基本目標・施策体系・成果目標8区分・見込量・必要な見込量を確保するための方策・年齢到達に伴うサービスの移行（図）・他計画との連携・成年後見・推進体制の15節と今後の予定、パブリックコメントの案内。ＳＤＧｓの節は国の基本指針の見直しのポイントに差し替えた</t>
        </is>
      </c>
      <c r="M61" s="4" t="inlineStr">
        <is>
          <t>現状値・目標値の確定（本編と同じ）。頁数が増えたため部数・仕様を村と再確認する</t>
        </is>
      </c>
      <c r="N61" s="15" t="inlineStr">
        <is>
          <t>計画値の基礎とする系列（Ｍ-19）</t>
        </is>
      </c>
    </row>
    <row r="62">
      <c r="A62" s="4" t="inlineStr">
        <is>
          <t>P8 施策検討・計画案</t>
        </is>
      </c>
      <c r="B62" s="11" t="inlineStr">
        <is>
          <t>8-8</t>
        </is>
      </c>
      <c r="C62" s="4" t="inlineStr">
        <is>
          <t>表題の素案への変更</t>
        </is>
      </c>
      <c r="D62" s="4" t="inlineStr">
        <is>
          <t>計画書の表題を「骨子案」から「素案」に改め、作成年月・編集所管課を更新する</t>
        </is>
      </c>
      <c r="E62" s="4" t="inlineStr">
        <is>
          <t>仕様書5 成果品①</t>
        </is>
      </c>
      <c r="F62" s="11" t="inlineStr">
        <is>
          <t>受託者</t>
        </is>
      </c>
      <c r="G62" s="11" t="inlineStr">
        <is>
          <t>2026-09</t>
        </is>
      </c>
      <c r="H62" s="11" t="inlineStr">
        <is>
          <t>2026-09</t>
        </is>
      </c>
      <c r="I62" s="12" t="inlineStr">
        <is>
          <t>完了</t>
        </is>
      </c>
      <c r="J62" s="11" t="n">
        <v>100</v>
      </c>
      <c r="K62" s="11" t="n">
        <v>1</v>
      </c>
      <c r="L62" s="4" t="inlineStr">
        <is>
          <t>表紙・前書き・奥付の7か所を差し替え、作成年月を令和8年9月、編集を北塩原村保健福祉課福祉係に更新。ファイル名も北塩原村_計画素案.docx に統一</t>
        </is>
      </c>
      <c r="M62" s="4" t="inlineStr">
        <is>
          <t>―</t>
        </is>
      </c>
      <c r="N62" s="4" t="inlineStr">
        <is>
          <t>―</t>
        </is>
      </c>
    </row>
    <row r="63">
      <c r="A63" s="4" t="inlineStr">
        <is>
          <t>P8 施策検討・計画案</t>
        </is>
      </c>
      <c r="B63" s="11" t="inlineStr">
        <is>
          <t>8-9</t>
        </is>
      </c>
      <c r="C63" s="4" t="inlineStr">
        <is>
          <t>レビューで洗い出した不足項目の反映</t>
        </is>
      </c>
      <c r="D63" s="4" t="inlineStr">
        <is>
          <t>別表第二 六の項（人材確保等）の新設、基盤整備量、医療的ケア児等への対応、就労関係機関との連携など14件を計画素案に反映する</t>
        </is>
      </c>
      <c r="E63" s="4" t="inlineStr">
        <is>
          <t>仕様書4-Ⅱ(5)</t>
        </is>
      </c>
      <c r="F63" s="11" t="inlineStr">
        <is>
          <t>受託者</t>
        </is>
      </c>
      <c r="G63" s="11" t="inlineStr">
        <is>
          <t>2026-09</t>
        </is>
      </c>
      <c r="H63" s="11" t="inlineStr">
        <is>
          <t>2026-11</t>
        </is>
      </c>
      <c r="I63" s="14" t="inlineStr">
        <is>
          <t>進行中</t>
        </is>
      </c>
      <c r="J63" s="11" t="n">
        <v>55</v>
      </c>
      <c r="K63" s="11" t="n">
        <v>4</v>
      </c>
      <c r="L63" s="4" t="inlineStr">
        <is>
          <t>優先度 高の4件とR-8を令和8年9月24日に反映。第5章13（人材確保・生産性向上・経営基盤／別表第二 六の項）と第5章14（関係機関との連携／別表第二 五）を新設し、第4章（２）に基盤整備量の行、第4章（４）に協議の場の設置の行を追加。第5章2に18歳到達時の医療的ケア児等の扱いを新設。用語解説を30語から35語へ</t>
        </is>
      </c>
      <c r="M63" s="4" t="inlineStr">
        <is>
          <t>R-2の値は県の算定値待ち（レビュー Q-1）。残る中・低の9件は未着手</t>
        </is>
      </c>
      <c r="N63" s="15" t="inlineStr">
        <is>
          <t>事業所の経営基盤（Ｍ-25）</t>
        </is>
      </c>
    </row>
    <row r="64">
      <c r="A64" s="4" t="inlineStr">
        <is>
          <t>P9 意見聴取</t>
        </is>
      </c>
      <c r="B64" s="11" t="inlineStr">
        <is>
          <t>9-1</t>
        </is>
      </c>
      <c r="C64" s="4" t="inlineStr">
        <is>
          <t>自立支援協議会の資料作成</t>
        </is>
      </c>
      <c r="D64" s="4" t="inlineStr">
        <is>
          <t>委託者が協議会に報告・説明し、受託者は会議資料の作成、会議への出席、会議記録（要旨）の作成等の運営支援を行う。開催は1回程度</t>
        </is>
      </c>
      <c r="E64" s="4" t="inlineStr">
        <is>
          <t>仕様書4-Ⅱ(7)</t>
        </is>
      </c>
      <c r="F64" s="11" t="inlineStr">
        <is>
          <t>受託者</t>
        </is>
      </c>
      <c r="G64" s="11" t="inlineStr">
        <is>
          <t>2026-08</t>
        </is>
      </c>
      <c r="H64" s="11" t="inlineStr">
        <is>
          <t>2026-12</t>
        </is>
      </c>
      <c r="I64" s="14" t="inlineStr">
        <is>
          <t>進行中</t>
        </is>
      </c>
      <c r="J64" s="11" t="n">
        <v>50</v>
      </c>
      <c r="K64" s="11" t="n">
        <v>3</v>
      </c>
      <c r="L64" s="4" t="inlineStr">
        <is>
          <t>会議資料5点を作成（協議会資料1・2・8、庁議資料2・4）。村資料に依存しない資料を先行して整備。村の計画策定方針により、第2回（令和8年10月）・第3回（令和8年12月・4町村広域）の2回と、庁議（令和9年1月）・議会全員協議会（令和9年2月）の開催時期が分かった</t>
        </is>
      </c>
      <c r="M64" s="4" t="inlineStr">
        <is>
          <t>第2回協議会の開催日（Ｍ-40）。委員名簿が未受領</t>
        </is>
      </c>
      <c r="N64" s="4" t="inlineStr">
        <is>
          <t>―（精度：自立支援協議会の委員名簿）</t>
        </is>
      </c>
    </row>
    <row r="65">
      <c r="A65" s="4" t="inlineStr">
        <is>
          <t>P9 意見聴取</t>
        </is>
      </c>
      <c r="B65" s="11" t="inlineStr">
        <is>
          <t>9-2</t>
        </is>
      </c>
      <c r="C65" s="4" t="inlineStr">
        <is>
          <t>協議会の開催</t>
        </is>
      </c>
      <c r="D65" s="4" t="inlineStr">
        <is>
          <t>調査結果・素案・計画案の報告と審議</t>
        </is>
      </c>
      <c r="E65" s="4" t="inlineStr">
        <is>
          <t>仕様書4-Ⅱ(7)</t>
        </is>
      </c>
      <c r="F65" s="11" t="inlineStr">
        <is>
          <t>北塩原村・受託者</t>
        </is>
      </c>
      <c r="G65" s="11" t="inlineStr">
        <is>
          <t>2026-10</t>
        </is>
      </c>
      <c r="H65" s="11" t="inlineStr">
        <is>
          <t>2026-12</t>
        </is>
      </c>
      <c r="I65" s="16" t="inlineStr">
        <is>
          <t>要対応</t>
        </is>
      </c>
      <c r="J65" s="11" t="n">
        <v>0</v>
      </c>
      <c r="K65" s="11" t="n">
        <v>2</v>
      </c>
      <c r="L65" s="4" t="inlineStr">
        <is>
          <t>村の方針では第2回（令和8年10月。評価・アンケート結果・素案と概要版）と第3回（令和8年12月。4町村広域。パブコメ結果と計画案の修正）の2回</t>
        </is>
      </c>
      <c r="M65" s="4" t="inlineStr">
        <is>
          <t>第2回協議会の開催日（Ｍ-40）。アンケート結果が間に合わない場合の議題</t>
        </is>
      </c>
      <c r="N65" s="4" t="inlineStr">
        <is>
          <t>―</t>
        </is>
      </c>
    </row>
    <row r="66">
      <c r="A66" s="4" t="inlineStr">
        <is>
          <t>P9 意見聴取</t>
        </is>
      </c>
      <c r="B66" s="11" t="inlineStr">
        <is>
          <t>9-3</t>
        </is>
      </c>
      <c r="C66" s="4" t="inlineStr">
        <is>
          <t>庁議の開催</t>
        </is>
      </c>
      <c r="D66" s="4" t="inlineStr">
        <is>
          <t>庁内各課との調整。関連計画との整合と依頼事項</t>
        </is>
      </c>
      <c r="E66" s="4" t="inlineStr">
        <is>
          <t>―</t>
        </is>
      </c>
      <c r="F66" s="11" t="inlineStr">
        <is>
          <t>北塩原村・受託者</t>
        </is>
      </c>
      <c r="G66" s="11" t="inlineStr">
        <is>
          <t>2026-11</t>
        </is>
      </c>
      <c r="H66" s="11" t="inlineStr">
        <is>
          <t>2027-01</t>
        </is>
      </c>
      <c r="I66" s="17" t="inlineStr">
        <is>
          <t>未着手</t>
        </is>
      </c>
      <c r="J66" s="11" t="n">
        <v>0</v>
      </c>
      <c r="K66" s="11" t="n">
        <v>1</v>
      </c>
      <c r="L66" s="4" t="inlineStr">
        <is>
          <t>庁議資料2点は作成済み</t>
        </is>
      </c>
      <c r="M66" s="4" t="inlineStr">
        <is>
          <t>開催時期が未定</t>
        </is>
      </c>
      <c r="N66" s="4" t="inlineStr">
        <is>
          <t>―</t>
        </is>
      </c>
    </row>
    <row r="67">
      <c r="A67" s="4" t="inlineStr">
        <is>
          <t>P9 意見聴取</t>
        </is>
      </c>
      <c r="B67" s="11" t="inlineStr">
        <is>
          <t>9-4</t>
        </is>
      </c>
      <c r="C67" s="4" t="inlineStr">
        <is>
          <t>パブリックコメントの実施</t>
        </is>
      </c>
      <c r="D67" s="4" t="inlineStr">
        <is>
          <t>計画案について意見を募集し、得られた意見を反映</t>
        </is>
      </c>
      <c r="E67" s="4" t="inlineStr">
        <is>
          <t>仕様書4-Ⅱ(6)</t>
        </is>
      </c>
      <c r="F67" s="11" t="inlineStr">
        <is>
          <t>北塩原村・受託者</t>
        </is>
      </c>
      <c r="G67" s="11" t="inlineStr">
        <is>
          <t>2027-01</t>
        </is>
      </c>
      <c r="H67" s="11" t="inlineStr">
        <is>
          <t>2027-02</t>
        </is>
      </c>
      <c r="I67" s="17" t="inlineStr">
        <is>
          <t>未着手</t>
        </is>
      </c>
      <c r="J67" s="11" t="n">
        <v>0</v>
      </c>
      <c r="K67" s="11" t="n">
        <v>2</v>
      </c>
      <c r="L67" s="4" t="inlineStr">
        <is>
          <t>―</t>
        </is>
      </c>
      <c r="M67" s="4" t="inlineStr">
        <is>
          <t>素案の確定。実施時期が未定</t>
        </is>
      </c>
      <c r="N67" s="4" t="inlineStr">
        <is>
          <t>―</t>
        </is>
      </c>
    </row>
    <row r="68">
      <c r="A68" s="4" t="inlineStr">
        <is>
          <t>P9 意見聴取</t>
        </is>
      </c>
      <c r="B68" s="11" t="inlineStr">
        <is>
          <t>9-5</t>
        </is>
      </c>
      <c r="C68" s="4" t="inlineStr">
        <is>
          <t>意見への対応</t>
        </is>
      </c>
      <c r="D68" s="4" t="inlineStr">
        <is>
          <t>意見の整理、対応案の作成、計画への反映</t>
        </is>
      </c>
      <c r="E68" s="4" t="inlineStr">
        <is>
          <t>仕様書4-Ⅱ(6)</t>
        </is>
      </c>
      <c r="F68" s="11" t="inlineStr">
        <is>
          <t>受託者</t>
        </is>
      </c>
      <c r="G68" s="11" t="inlineStr">
        <is>
          <t>2027-02</t>
        </is>
      </c>
      <c r="H68" s="11" t="inlineStr">
        <is>
          <t>2027-02</t>
        </is>
      </c>
      <c r="I68" s="17" t="inlineStr">
        <is>
          <t>未着手</t>
        </is>
      </c>
      <c r="J68" s="11" t="n">
        <v>0</v>
      </c>
      <c r="K68" s="11" t="n">
        <v>2</v>
      </c>
      <c r="L68" s="4" t="inlineStr">
        <is>
          <t>―</t>
        </is>
      </c>
      <c r="M68" s="4" t="inlineStr">
        <is>
          <t>パブリックコメントの実施</t>
        </is>
      </c>
      <c r="N68" s="4" t="inlineStr">
        <is>
          <t>―</t>
        </is>
      </c>
    </row>
    <row r="69">
      <c r="A69" s="4" t="inlineStr">
        <is>
          <t>P10 完成・納品</t>
        </is>
      </c>
      <c r="B69" s="11" t="inlineStr">
        <is>
          <t>10-1</t>
        </is>
      </c>
      <c r="C69" s="4" t="inlineStr">
        <is>
          <t>計画書の原稿確定</t>
        </is>
      </c>
      <c r="D69" s="4" t="inlineStr">
        <is>
          <t>協議会・パブリックコメントを経て得られた意見を反映の上、最終的に取りまとめる</t>
        </is>
      </c>
      <c r="E69" s="4" t="inlineStr">
        <is>
          <t>仕様書4-Ⅱ(6)</t>
        </is>
      </c>
      <c r="F69" s="11" t="inlineStr">
        <is>
          <t>受託者</t>
        </is>
      </c>
      <c r="G69" s="11" t="inlineStr">
        <is>
          <t>2027-02</t>
        </is>
      </c>
      <c r="H69" s="11" t="inlineStr">
        <is>
          <t>2027-02</t>
        </is>
      </c>
      <c r="I69" s="17" t="inlineStr">
        <is>
          <t>未着手</t>
        </is>
      </c>
      <c r="J69" s="11" t="n">
        <v>0</v>
      </c>
      <c r="K69" s="11" t="n">
        <v>3</v>
      </c>
      <c r="L69" s="4" t="inlineStr">
        <is>
          <t>―</t>
        </is>
      </c>
      <c r="M69" s="4" t="inlineStr">
        <is>
          <t>意見への対応</t>
        </is>
      </c>
      <c r="N69" s="15" t="inlineStr">
        <is>
          <t>自立支援協議会の委員名簿</t>
        </is>
      </c>
    </row>
    <row r="70">
      <c r="A70" s="4" t="inlineStr">
        <is>
          <t>P10 完成・納品</t>
        </is>
      </c>
      <c r="B70" s="11" t="inlineStr">
        <is>
          <t>10-2</t>
        </is>
      </c>
      <c r="C70" s="4" t="inlineStr">
        <is>
          <t>レイアウト・組版</t>
        </is>
      </c>
      <c r="D70" s="4" t="inlineStr">
        <is>
          <t>A4判・両面・約60頁・モノクロ</t>
        </is>
      </c>
      <c r="E70" s="4" t="inlineStr">
        <is>
          <t>仕様書5 成果品①</t>
        </is>
      </c>
      <c r="F70" s="11" t="inlineStr">
        <is>
          <t>受託者</t>
        </is>
      </c>
      <c r="G70" s="11" t="inlineStr">
        <is>
          <t>2027-02</t>
        </is>
      </c>
      <c r="H70" s="11" t="inlineStr">
        <is>
          <t>2027-03</t>
        </is>
      </c>
      <c r="I70" s="17" t="inlineStr">
        <is>
          <t>未着手</t>
        </is>
      </c>
      <c r="J70" s="11" t="n">
        <v>0</v>
      </c>
      <c r="K70" s="11" t="n">
        <v>3</v>
      </c>
      <c r="L70" s="4" t="inlineStr">
        <is>
          <t>分量配分計画を作成済み。実際の組版で1頁あたりの文字数を実測し補正する</t>
        </is>
      </c>
      <c r="M70" s="4" t="inlineStr">
        <is>
          <t>原稿の確定</t>
        </is>
      </c>
      <c r="N70" s="4" t="inlineStr">
        <is>
          <t>―</t>
        </is>
      </c>
    </row>
    <row r="71">
      <c r="A71" s="4" t="inlineStr">
        <is>
          <t>P10 完成・納品</t>
        </is>
      </c>
      <c r="B71" s="11" t="inlineStr">
        <is>
          <t>10-3</t>
        </is>
      </c>
      <c r="C71" s="4" t="inlineStr">
        <is>
          <t>校正</t>
        </is>
      </c>
      <c r="D71" s="4" t="inlineStr">
        <is>
          <t>村の確認を経て校了</t>
        </is>
      </c>
      <c r="E71" s="4" t="inlineStr">
        <is>
          <t>仕様書5 成果品①</t>
        </is>
      </c>
      <c r="F71" s="11" t="inlineStr">
        <is>
          <t>受託者・北塩原村</t>
        </is>
      </c>
      <c r="G71" s="11" t="inlineStr">
        <is>
          <t>2027-03</t>
        </is>
      </c>
      <c r="H71" s="11" t="inlineStr">
        <is>
          <t>2027-03</t>
        </is>
      </c>
      <c r="I71" s="17" t="inlineStr">
        <is>
          <t>未着手</t>
        </is>
      </c>
      <c r="J71" s="11" t="n">
        <v>0</v>
      </c>
      <c r="K71" s="11" t="n">
        <v>2</v>
      </c>
      <c r="L71" s="4" t="inlineStr">
        <is>
          <t>―</t>
        </is>
      </c>
      <c r="M71" s="4" t="inlineStr">
        <is>
          <t>組版</t>
        </is>
      </c>
      <c r="N71" s="4" t="inlineStr">
        <is>
          <t>―</t>
        </is>
      </c>
    </row>
    <row r="72">
      <c r="A72" s="4" t="inlineStr">
        <is>
          <t>P10 完成・納品</t>
        </is>
      </c>
      <c r="B72" s="11" t="inlineStr">
        <is>
          <t>10-4</t>
        </is>
      </c>
      <c r="C72" s="4" t="inlineStr">
        <is>
          <t>印刷・製本</t>
        </is>
      </c>
      <c r="D72" s="4" t="inlineStr">
        <is>
          <t>計画書はコピー・くるみ製本30部、調査報告書はコピー・ホチキス製本10部</t>
        </is>
      </c>
      <c r="E72" s="4" t="inlineStr">
        <is>
          <t>仕様書5 成果品①②</t>
        </is>
      </c>
      <c r="F72" s="11" t="inlineStr">
        <is>
          <t>受託者</t>
        </is>
      </c>
      <c r="G72" s="11" t="inlineStr">
        <is>
          <t>2027-03</t>
        </is>
      </c>
      <c r="H72" s="11" t="inlineStr">
        <is>
          <t>2027-03</t>
        </is>
      </c>
      <c r="I72" s="17" t="inlineStr">
        <is>
          <t>未着手</t>
        </is>
      </c>
      <c r="J72" s="11" t="n">
        <v>0</v>
      </c>
      <c r="K72" s="11" t="n">
        <v>2</v>
      </c>
      <c r="L72" s="4" t="inlineStr">
        <is>
          <t>―</t>
        </is>
      </c>
      <c r="M72" s="4" t="inlineStr">
        <is>
          <t>校了。印刷業者の手配</t>
        </is>
      </c>
      <c r="N72" s="4" t="inlineStr">
        <is>
          <t>―</t>
        </is>
      </c>
    </row>
    <row r="73">
      <c r="A73" s="4" t="inlineStr">
        <is>
          <t>P10 完成・納品</t>
        </is>
      </c>
      <c r="B73" s="11" t="inlineStr">
        <is>
          <t>10-5</t>
        </is>
      </c>
      <c r="C73" s="4" t="inlineStr">
        <is>
          <t>電子媒体の作成</t>
        </is>
      </c>
      <c r="D73" s="4" t="inlineStr">
        <is>
          <t>計画書と調査報告書の電子データ一式</t>
        </is>
      </c>
      <c r="E73" s="4" t="inlineStr">
        <is>
          <t>仕様書5 成果品③</t>
        </is>
      </c>
      <c r="F73" s="11" t="inlineStr">
        <is>
          <t>受託者</t>
        </is>
      </c>
      <c r="G73" s="11" t="inlineStr">
        <is>
          <t>2027-03</t>
        </is>
      </c>
      <c r="H73" s="11" t="inlineStr">
        <is>
          <t>2027-03</t>
        </is>
      </c>
      <c r="I73" s="17" t="inlineStr">
        <is>
          <t>未着手</t>
        </is>
      </c>
      <c r="J73" s="11" t="n">
        <v>0</v>
      </c>
      <c r="K73" s="11" t="n">
        <v>1</v>
      </c>
      <c r="L73" s="4" t="inlineStr">
        <is>
          <t>―</t>
        </is>
      </c>
      <c r="M73" s="4" t="inlineStr">
        <is>
          <t>編集可能形式とPDFの別を村に確認する</t>
        </is>
      </c>
      <c r="N73" s="4" t="inlineStr">
        <is>
          <t>―</t>
        </is>
      </c>
    </row>
    <row r="74">
      <c r="A74" s="4" t="inlineStr">
        <is>
          <t>P10 完成・納品</t>
        </is>
      </c>
      <c r="B74" s="11" t="inlineStr">
        <is>
          <t>10-6</t>
        </is>
      </c>
      <c r="C74" s="4" t="inlineStr">
        <is>
          <t>納品・検収</t>
        </is>
      </c>
      <c r="D74" s="4" t="inlineStr">
        <is>
          <t>令和9年3月31日まで</t>
        </is>
      </c>
      <c r="E74" s="4" t="inlineStr">
        <is>
          <t>仕様書3（業務期間）</t>
        </is>
      </c>
      <c r="F74" s="11" t="inlineStr">
        <is>
          <t>受託者・北塩原村</t>
        </is>
      </c>
      <c r="G74" s="11" t="inlineStr">
        <is>
          <t>2027-03</t>
        </is>
      </c>
      <c r="H74" s="11" t="inlineStr">
        <is>
          <t>2027-03</t>
        </is>
      </c>
      <c r="I74" s="17" t="inlineStr">
        <is>
          <t>未着手</t>
        </is>
      </c>
      <c r="J74" s="11" t="n">
        <v>0</v>
      </c>
      <c r="K74" s="11" t="n">
        <v>1</v>
      </c>
      <c r="L74" s="4" t="inlineStr">
        <is>
          <t>―</t>
        </is>
      </c>
      <c r="M74" s="4" t="inlineStr">
        <is>
          <t>全成果品の完成</t>
        </is>
      </c>
      <c r="N74" s="4" t="inlineStr">
        <is>
          <t>―</t>
        </is>
      </c>
    </row>
  </sheetData>
  <autoFilter ref="A1:N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3" t="inlineStr">
        <is>
          <t>段階</t>
        </is>
      </c>
      <c r="B1" s="3" t="inlineStr">
        <is>
          <t>作業数</t>
        </is>
      </c>
      <c r="C1" s="3" t="inlineStr">
        <is>
          <t>完了</t>
        </is>
      </c>
      <c r="D1" s="3" t="inlineStr">
        <is>
          <t>進行中</t>
        </is>
      </c>
      <c r="E1" s="3" t="inlineStr">
        <is>
          <t>要対応</t>
        </is>
      </c>
      <c r="F1" s="3" t="inlineStr">
        <is>
          <t>データ待ち</t>
        </is>
      </c>
      <c r="G1" s="3" t="inlineStr">
        <is>
          <t>未着手</t>
        </is>
      </c>
      <c r="H1" s="3" t="inlineStr">
        <is>
          <t>加重進捗率</t>
        </is>
      </c>
      <c r="I1" s="3" t="inlineStr">
        <is>
          <t>予定開始</t>
        </is>
      </c>
      <c r="J1" s="3" t="inlineStr">
        <is>
          <t>予定完了</t>
        </is>
      </c>
      <c r="K1" s="3" t="inlineStr">
        <is>
          <t>律速要因</t>
        </is>
      </c>
    </row>
    <row r="2">
      <c r="A2" s="4" t="inlineStr">
        <is>
          <t>P1 準備・現状把握</t>
        </is>
      </c>
      <c r="B2" s="11">
        <f>COUNTIF('01_WBS'!$A$2:$A$74,$A2)</f>
        <v/>
      </c>
      <c r="C2" s="11">
        <f>COUNTIFS('01_WBS'!$A$2:$A$74,$A2,'01_WBS'!$I$2:$I$74,"完了")</f>
        <v/>
      </c>
      <c r="D2" s="11">
        <f>COUNTIFS('01_WBS'!$A$2:$A$74,$A2,'01_WBS'!$I$2:$I$74,"進行中")</f>
        <v/>
      </c>
      <c r="E2" s="11">
        <f>COUNTIFS('01_WBS'!$A$2:$A$74,$A2,'01_WBS'!$I$2:$I$74,"要対応")</f>
        <v/>
      </c>
      <c r="F2" s="11">
        <f>COUNTIFS('01_WBS'!$A$2:$A$74,$A2,'01_WBS'!$I$2:$I$74,"データ待ち")</f>
        <v/>
      </c>
      <c r="G2" s="11">
        <f>COUNTIFS('01_WBS'!$A$2:$A$74,$A2,'01_WBS'!$I$2:$I$74,"未着手")</f>
        <v/>
      </c>
      <c r="H2" s="18">
        <f>IF(SUMPRODUCT(('01_WBS'!$A$2:$A$74=$A2)*'01_WBS'!$K$2:$K$74)=0,0,SUMPRODUCT(('01_WBS'!$A$2:$A$74=$A2)*'01_WBS'!$J$2:$J$74*'01_WBS'!$K$2:$K$74)/SUMPRODUCT(('01_WBS'!$A$2:$A$74=$A2)*'01_WBS'!$K$2:$K$74)/100)</f>
        <v/>
      </c>
      <c r="I2" s="11" t="inlineStr">
        <is>
          <t>2026-06</t>
        </is>
      </c>
      <c r="J2" s="11" t="inlineStr">
        <is>
          <t>2026-09</t>
        </is>
      </c>
      <c r="K2" s="4" t="inlineStr">
        <is>
          <t>村資料の受領（依頼69件・受領済7件・一部受領6件・県照会中1件・未受領55件）</t>
        </is>
      </c>
    </row>
    <row r="3">
      <c r="A3" s="4" t="inlineStr">
        <is>
          <t>P2 基礎調査</t>
        </is>
      </c>
      <c r="B3" s="11">
        <f>COUNTIF('01_WBS'!$A$2:$A$74,$A3)</f>
        <v/>
      </c>
      <c r="C3" s="11">
        <f>COUNTIFS('01_WBS'!$A$2:$A$74,$A3,'01_WBS'!$I$2:$I$74,"完了")</f>
        <v/>
      </c>
      <c r="D3" s="11">
        <f>COUNTIFS('01_WBS'!$A$2:$A$74,$A3,'01_WBS'!$I$2:$I$74,"進行中")</f>
        <v/>
      </c>
      <c r="E3" s="11">
        <f>COUNTIFS('01_WBS'!$A$2:$A$74,$A3,'01_WBS'!$I$2:$I$74,"要対応")</f>
        <v/>
      </c>
      <c r="F3" s="11">
        <f>COUNTIFS('01_WBS'!$A$2:$A$74,$A3,'01_WBS'!$I$2:$I$74,"データ待ち")</f>
        <v/>
      </c>
      <c r="G3" s="11">
        <f>COUNTIFS('01_WBS'!$A$2:$A$74,$A3,'01_WBS'!$I$2:$I$74,"未着手")</f>
        <v/>
      </c>
      <c r="H3" s="18">
        <f>IF(SUMPRODUCT(('01_WBS'!$A$2:$A$74=$A3)*'01_WBS'!$K$2:$K$74)=0,0,SUMPRODUCT(('01_WBS'!$A$2:$A$74=$A3)*'01_WBS'!$J$2:$J$74*'01_WBS'!$K$2:$K$74)/SUMPRODUCT(('01_WBS'!$A$2:$A$74=$A3)*'01_WBS'!$K$2:$K$74)/100)</f>
        <v/>
      </c>
      <c r="I3" s="11" t="inlineStr">
        <is>
          <t>2026-07</t>
        </is>
      </c>
      <c r="J3" s="11" t="inlineStr">
        <is>
          <t>2026-09</t>
        </is>
      </c>
      <c r="K3" s="4" t="inlineStr">
        <is>
          <t>―（基本指針は令和8年3月31日告示、実態調査PDCAマニュアルは同年8月改定。いずれも確認済み）</t>
        </is>
      </c>
    </row>
    <row r="4">
      <c r="A4" s="4" t="inlineStr">
        <is>
          <t>P3 統計分析</t>
        </is>
      </c>
      <c r="B4" s="11">
        <f>COUNTIF('01_WBS'!$A$2:$A$74,$A4)</f>
        <v/>
      </c>
      <c r="C4" s="11">
        <f>COUNTIFS('01_WBS'!$A$2:$A$74,$A4,'01_WBS'!$I$2:$I$74,"完了")</f>
        <v/>
      </c>
      <c r="D4" s="11">
        <f>COUNTIFS('01_WBS'!$A$2:$A$74,$A4,'01_WBS'!$I$2:$I$74,"進行中")</f>
        <v/>
      </c>
      <c r="E4" s="11">
        <f>COUNTIFS('01_WBS'!$A$2:$A$74,$A4,'01_WBS'!$I$2:$I$74,"要対応")</f>
        <v/>
      </c>
      <c r="F4" s="11">
        <f>COUNTIFS('01_WBS'!$A$2:$A$74,$A4,'01_WBS'!$I$2:$I$74,"データ待ち")</f>
        <v/>
      </c>
      <c r="G4" s="11">
        <f>COUNTIFS('01_WBS'!$A$2:$A$74,$A4,'01_WBS'!$I$2:$I$74,"未着手")</f>
        <v/>
      </c>
      <c r="H4" s="18">
        <f>IF(SUMPRODUCT(('01_WBS'!$A$2:$A$74=$A4)*'01_WBS'!$K$2:$K$74)=0,0,SUMPRODUCT(('01_WBS'!$A$2:$A$74=$A4)*'01_WBS'!$J$2:$J$74*'01_WBS'!$K$2:$K$74)/SUMPRODUCT(('01_WBS'!$A$2:$A$74=$A4)*'01_WBS'!$K$2:$K$74)/100)</f>
        <v/>
      </c>
      <c r="I4" s="11" t="inlineStr">
        <is>
          <t>2026-07</t>
        </is>
      </c>
      <c r="J4" s="11" t="inlineStr">
        <is>
          <t>2026-10</t>
        </is>
      </c>
      <c r="K4" s="4" t="inlineStr">
        <is>
          <t>年齢階級別の手帳所持者数・人口（未受領）</t>
        </is>
      </c>
    </row>
    <row r="5">
      <c r="A5" s="4" t="inlineStr">
        <is>
          <t>P4 ニーズ調査</t>
        </is>
      </c>
      <c r="B5" s="11">
        <f>COUNTIF('01_WBS'!$A$2:$A$74,$A5)</f>
        <v/>
      </c>
      <c r="C5" s="11">
        <f>COUNTIFS('01_WBS'!$A$2:$A$74,$A5,'01_WBS'!$I$2:$I$74,"完了")</f>
        <v/>
      </c>
      <c r="D5" s="11">
        <f>COUNTIFS('01_WBS'!$A$2:$A$74,$A5,'01_WBS'!$I$2:$I$74,"進行中")</f>
        <v/>
      </c>
      <c r="E5" s="11">
        <f>COUNTIFS('01_WBS'!$A$2:$A$74,$A5,'01_WBS'!$I$2:$I$74,"要対応")</f>
        <v/>
      </c>
      <c r="F5" s="11">
        <f>COUNTIFS('01_WBS'!$A$2:$A$74,$A5,'01_WBS'!$I$2:$I$74,"データ待ち")</f>
        <v/>
      </c>
      <c r="G5" s="11">
        <f>COUNTIFS('01_WBS'!$A$2:$A$74,$A5,'01_WBS'!$I$2:$I$74,"未着手")</f>
        <v/>
      </c>
      <c r="H5" s="18">
        <f>IF(SUMPRODUCT(('01_WBS'!$A$2:$A$74=$A5)*'01_WBS'!$K$2:$K$74)=0,0,SUMPRODUCT(('01_WBS'!$A$2:$A$74=$A5)*'01_WBS'!$J$2:$J$74*'01_WBS'!$K$2:$K$74)/SUMPRODUCT(('01_WBS'!$A$2:$A$74=$A5)*'01_WBS'!$K$2:$K$74)/100)</f>
        <v/>
      </c>
      <c r="I5" s="11" t="inlineStr">
        <is>
          <t>2026-07</t>
        </is>
      </c>
      <c r="J5" s="11" t="inlineStr">
        <is>
          <t>2026-09</t>
        </is>
      </c>
      <c r="K5" s="4" t="inlineStr">
        <is>
          <t>印刷仕様・宛名ラベル・対象者数の3点。本業務の最大の律速</t>
        </is>
      </c>
    </row>
    <row r="6">
      <c r="A6" s="4" t="inlineStr">
        <is>
          <t>P5 集計・分析</t>
        </is>
      </c>
      <c r="B6" s="11">
        <f>COUNTIF('01_WBS'!$A$2:$A$74,$A6)</f>
        <v/>
      </c>
      <c r="C6" s="11">
        <f>COUNTIFS('01_WBS'!$A$2:$A$74,$A6,'01_WBS'!$I$2:$I$74,"完了")</f>
        <v/>
      </c>
      <c r="D6" s="11">
        <f>COUNTIFS('01_WBS'!$A$2:$A$74,$A6,'01_WBS'!$I$2:$I$74,"進行中")</f>
        <v/>
      </c>
      <c r="E6" s="11">
        <f>COUNTIFS('01_WBS'!$A$2:$A$74,$A6,'01_WBS'!$I$2:$I$74,"要対応")</f>
        <v/>
      </c>
      <c r="F6" s="11">
        <f>COUNTIFS('01_WBS'!$A$2:$A$74,$A6,'01_WBS'!$I$2:$I$74,"データ待ち")</f>
        <v/>
      </c>
      <c r="G6" s="11">
        <f>COUNTIFS('01_WBS'!$A$2:$A$74,$A6,'01_WBS'!$I$2:$I$74,"未着手")</f>
        <v/>
      </c>
      <c r="H6" s="18">
        <f>IF(SUMPRODUCT(('01_WBS'!$A$2:$A$74=$A6)*'01_WBS'!$K$2:$K$74)=0,0,SUMPRODUCT(('01_WBS'!$A$2:$A$74=$A6)*'01_WBS'!$J$2:$J$74*'01_WBS'!$K$2:$K$74)/SUMPRODUCT(('01_WBS'!$A$2:$A$74=$A6)*'01_WBS'!$K$2:$K$74)/100)</f>
        <v/>
      </c>
      <c r="I6" s="11" t="inlineStr">
        <is>
          <t>2026-09</t>
        </is>
      </c>
      <c r="J6" s="11" t="inlineStr">
        <is>
          <t>2026-12</t>
        </is>
      </c>
      <c r="K6" s="4" t="inlineStr">
        <is>
          <t>アンケートの回収</t>
        </is>
      </c>
    </row>
    <row r="7">
      <c r="A7" s="4" t="inlineStr">
        <is>
          <t>P6 現行計画の評価</t>
        </is>
      </c>
      <c r="B7" s="11">
        <f>COUNTIF('01_WBS'!$A$2:$A$74,$A7)</f>
        <v/>
      </c>
      <c r="C7" s="11">
        <f>COUNTIFS('01_WBS'!$A$2:$A$74,$A7,'01_WBS'!$I$2:$I$74,"完了")</f>
        <v/>
      </c>
      <c r="D7" s="11">
        <f>COUNTIFS('01_WBS'!$A$2:$A$74,$A7,'01_WBS'!$I$2:$I$74,"進行中")</f>
        <v/>
      </c>
      <c r="E7" s="11">
        <f>COUNTIFS('01_WBS'!$A$2:$A$74,$A7,'01_WBS'!$I$2:$I$74,"要対応")</f>
        <v/>
      </c>
      <c r="F7" s="11">
        <f>COUNTIFS('01_WBS'!$A$2:$A$74,$A7,'01_WBS'!$I$2:$I$74,"データ待ち")</f>
        <v/>
      </c>
      <c r="G7" s="11">
        <f>COUNTIFS('01_WBS'!$A$2:$A$74,$A7,'01_WBS'!$I$2:$I$74,"未着手")</f>
        <v/>
      </c>
      <c r="H7" s="18">
        <f>IF(SUMPRODUCT(('01_WBS'!$A$2:$A$74=$A7)*'01_WBS'!$K$2:$K$74)=0,0,SUMPRODUCT(('01_WBS'!$A$2:$A$74=$A7)*'01_WBS'!$J$2:$J$74*'01_WBS'!$K$2:$K$74)/SUMPRODUCT(('01_WBS'!$A$2:$A$74=$A7)*'01_WBS'!$K$2:$K$74)/100)</f>
        <v/>
      </c>
      <c r="I7" s="11" t="inlineStr">
        <is>
          <t>2026-08</t>
        </is>
      </c>
      <c r="J7" s="11" t="inlineStr">
        <is>
          <t>2026-11</t>
        </is>
      </c>
      <c r="K7" s="4" t="inlineStr">
        <is>
          <t>令和6・7年度の実績と令和8年度見込</t>
        </is>
      </c>
    </row>
    <row r="8">
      <c r="A8" s="4" t="inlineStr">
        <is>
          <t>P7 推計・見込量</t>
        </is>
      </c>
      <c r="B8" s="11">
        <f>COUNTIF('01_WBS'!$A$2:$A$74,$A8)</f>
        <v/>
      </c>
      <c r="C8" s="11">
        <f>COUNTIFS('01_WBS'!$A$2:$A$74,$A8,'01_WBS'!$I$2:$I$74,"完了")</f>
        <v/>
      </c>
      <c r="D8" s="11">
        <f>COUNTIFS('01_WBS'!$A$2:$A$74,$A8,'01_WBS'!$I$2:$I$74,"進行中")</f>
        <v/>
      </c>
      <c r="E8" s="11">
        <f>COUNTIFS('01_WBS'!$A$2:$A$74,$A8,'01_WBS'!$I$2:$I$74,"要対応")</f>
        <v/>
      </c>
      <c r="F8" s="11">
        <f>COUNTIFS('01_WBS'!$A$2:$A$74,$A8,'01_WBS'!$I$2:$I$74,"データ待ち")</f>
        <v/>
      </c>
      <c r="G8" s="11">
        <f>COUNTIFS('01_WBS'!$A$2:$A$74,$A8,'01_WBS'!$I$2:$I$74,"未着手")</f>
        <v/>
      </c>
      <c r="H8" s="18">
        <f>IF(SUMPRODUCT(('01_WBS'!$A$2:$A$74=$A8)*'01_WBS'!$K$2:$K$74)=0,0,SUMPRODUCT(('01_WBS'!$A$2:$A$74=$A8)*'01_WBS'!$J$2:$J$74*'01_WBS'!$K$2:$K$74)/SUMPRODUCT(('01_WBS'!$A$2:$A$74=$A8)*'01_WBS'!$K$2:$K$74)/100)</f>
        <v/>
      </c>
      <c r="I8" s="11" t="inlineStr">
        <is>
          <t>2026-08</t>
        </is>
      </c>
      <c r="J8" s="11" t="inlineStr">
        <is>
          <t>2026-12</t>
        </is>
      </c>
      <c r="K8" s="4" t="inlineStr">
        <is>
          <t>村の実績データ。算式は実装済みで、値が入れば給付費・財源まで通る</t>
        </is>
      </c>
    </row>
    <row r="9">
      <c r="A9" s="4" t="inlineStr">
        <is>
          <t>P8 施策検討・計画案</t>
        </is>
      </c>
      <c r="B9" s="11">
        <f>COUNTIF('01_WBS'!$A$2:$A$74,$A9)</f>
        <v/>
      </c>
      <c r="C9" s="11">
        <f>COUNTIFS('01_WBS'!$A$2:$A$74,$A9,'01_WBS'!$I$2:$I$74,"完了")</f>
        <v/>
      </c>
      <c r="D9" s="11">
        <f>COUNTIFS('01_WBS'!$A$2:$A$74,$A9,'01_WBS'!$I$2:$I$74,"進行中")</f>
        <v/>
      </c>
      <c r="E9" s="11">
        <f>COUNTIFS('01_WBS'!$A$2:$A$74,$A9,'01_WBS'!$I$2:$I$74,"要対応")</f>
        <v/>
      </c>
      <c r="F9" s="11">
        <f>COUNTIFS('01_WBS'!$A$2:$A$74,$A9,'01_WBS'!$I$2:$I$74,"データ待ち")</f>
        <v/>
      </c>
      <c r="G9" s="11">
        <f>COUNTIFS('01_WBS'!$A$2:$A$74,$A9,'01_WBS'!$I$2:$I$74,"未着手")</f>
        <v/>
      </c>
      <c r="H9" s="18">
        <f>IF(SUMPRODUCT(('01_WBS'!$A$2:$A$74=$A9)*'01_WBS'!$K$2:$K$74)=0,0,SUMPRODUCT(('01_WBS'!$A$2:$A$74=$A9)*'01_WBS'!$J$2:$J$74*'01_WBS'!$K$2:$K$74)/SUMPRODUCT(('01_WBS'!$A$2:$A$74=$A9)*'01_WBS'!$K$2:$K$74)/100)</f>
        <v/>
      </c>
      <c r="I9" s="11" t="inlineStr">
        <is>
          <t>2026-07</t>
        </is>
      </c>
      <c r="J9" s="11" t="inlineStr">
        <is>
          <t>2027-01</t>
        </is>
      </c>
      <c r="K9" s="4" t="inlineStr">
        <is>
          <t>P5・P7の完了</t>
        </is>
      </c>
    </row>
    <row r="10">
      <c r="A10" s="4" t="inlineStr">
        <is>
          <t>P9 意見聴取</t>
        </is>
      </c>
      <c r="B10" s="11">
        <f>COUNTIF('01_WBS'!$A$2:$A$74,$A10)</f>
        <v/>
      </c>
      <c r="C10" s="11">
        <f>COUNTIFS('01_WBS'!$A$2:$A$74,$A10,'01_WBS'!$I$2:$I$74,"完了")</f>
        <v/>
      </c>
      <c r="D10" s="11">
        <f>COUNTIFS('01_WBS'!$A$2:$A$74,$A10,'01_WBS'!$I$2:$I$74,"進行中")</f>
        <v/>
      </c>
      <c r="E10" s="11">
        <f>COUNTIFS('01_WBS'!$A$2:$A$74,$A10,'01_WBS'!$I$2:$I$74,"要対応")</f>
        <v/>
      </c>
      <c r="F10" s="11">
        <f>COUNTIFS('01_WBS'!$A$2:$A$74,$A10,'01_WBS'!$I$2:$I$74,"データ待ち")</f>
        <v/>
      </c>
      <c r="G10" s="11">
        <f>COUNTIFS('01_WBS'!$A$2:$A$74,$A10,'01_WBS'!$I$2:$I$74,"未着手")</f>
        <v/>
      </c>
      <c r="H10" s="18">
        <f>IF(SUMPRODUCT(('01_WBS'!$A$2:$A$74=$A10)*'01_WBS'!$K$2:$K$74)=0,0,SUMPRODUCT(('01_WBS'!$A$2:$A$74=$A10)*'01_WBS'!$J$2:$J$74*'01_WBS'!$K$2:$K$74)/SUMPRODUCT(('01_WBS'!$A$2:$A$74=$A10)*'01_WBS'!$K$2:$K$74)/100)</f>
        <v/>
      </c>
      <c r="I10" s="11" t="inlineStr">
        <is>
          <t>2026-10</t>
        </is>
      </c>
      <c r="J10" s="11" t="inlineStr">
        <is>
          <t>2027-02</t>
        </is>
      </c>
      <c r="K10" s="4" t="inlineStr">
        <is>
          <t>村の方針では第2回協議会10月・パブコメ11月・第3回協議会12月・庁議令和9年1月・議会2月</t>
        </is>
      </c>
    </row>
    <row r="11">
      <c r="A11" s="4" t="inlineStr">
        <is>
          <t>P10 完成・納品</t>
        </is>
      </c>
      <c r="B11" s="11">
        <f>COUNTIF('01_WBS'!$A$2:$A$74,$A11)</f>
        <v/>
      </c>
      <c r="C11" s="11">
        <f>COUNTIFS('01_WBS'!$A$2:$A$74,$A11,'01_WBS'!$I$2:$I$74,"完了")</f>
        <v/>
      </c>
      <c r="D11" s="11">
        <f>COUNTIFS('01_WBS'!$A$2:$A$74,$A11,'01_WBS'!$I$2:$I$74,"進行中")</f>
        <v/>
      </c>
      <c r="E11" s="11">
        <f>COUNTIFS('01_WBS'!$A$2:$A$74,$A11,'01_WBS'!$I$2:$I$74,"要対応")</f>
        <v/>
      </c>
      <c r="F11" s="11">
        <f>COUNTIFS('01_WBS'!$A$2:$A$74,$A11,'01_WBS'!$I$2:$I$74,"データ待ち")</f>
        <v/>
      </c>
      <c r="G11" s="11">
        <f>COUNTIFS('01_WBS'!$A$2:$A$74,$A11,'01_WBS'!$I$2:$I$74,"未着手")</f>
        <v/>
      </c>
      <c r="H11" s="18">
        <f>IF(SUMPRODUCT(('01_WBS'!$A$2:$A$74=$A11)*'01_WBS'!$K$2:$K$74)=0,0,SUMPRODUCT(('01_WBS'!$A$2:$A$74=$A11)*'01_WBS'!$J$2:$J$74*'01_WBS'!$K$2:$K$74)/SUMPRODUCT(('01_WBS'!$A$2:$A$74=$A11)*'01_WBS'!$K$2:$K$74)/100)</f>
        <v/>
      </c>
      <c r="I11" s="11" t="inlineStr">
        <is>
          <t>2027-01</t>
        </is>
      </c>
      <c r="J11" s="11" t="inlineStr">
        <is>
          <t>2027-03</t>
        </is>
      </c>
      <c r="K11" s="4" t="inlineStr">
        <is>
          <t>令和9年3月31日が業務期間の末日</t>
        </is>
      </c>
    </row>
    <row r="12">
      <c r="A12" s="19" t="inlineStr">
        <is>
          <t>合計</t>
        </is>
      </c>
      <c r="B12" s="19">
        <f>SUM(B2:B11)</f>
        <v/>
      </c>
      <c r="C12" s="19">
        <f>SUM(C2:C11)</f>
        <v/>
      </c>
      <c r="D12" s="19">
        <f>SUM(D2:D11)</f>
        <v/>
      </c>
      <c r="E12" s="19">
        <f>SUM(E2:E11)</f>
        <v/>
      </c>
      <c r="F12" s="19">
        <f>SUM(F2:F11)</f>
        <v/>
      </c>
      <c r="G12" s="19">
        <f>SUM(G2:G11)</f>
        <v/>
      </c>
      <c r="H12" s="20">
        <f>IF(SUMPRODUCT('01_WBS'!$K$2:$K$74)=0,0,SUMPRODUCT('01_WBS'!$J$2:$J$74*'01_WBS'!$K$2:$K$74)/SUMPRODUCT('01_WBS'!$K$2:$K$74)/100)</f>
        <v/>
      </c>
      <c r="I12" s="19" t="inlineStr">
        <is>
          <t>2026-06</t>
        </is>
      </c>
      <c r="J12" s="19" t="inlineStr">
        <is>
          <t>2027-03</t>
        </is>
      </c>
      <c r="K12" s="19" t="inlineStr"/>
    </row>
    <row r="14" ht="17.5" customHeight="1">
      <c r="A14" s="4" t="inlineStr">
        <is>
          <t>※ 加重進捗率＝Σ（進捗率×重み）÷Σ重み。重みは工数の目安（1〜5）。</t>
        </is>
      </c>
    </row>
    <row r="15" ht="17.5" customHeight="1">
      <c r="A15" s="4" t="inlineStr">
        <is>
          <t>※ 01_WBS の「状態」「進捗率」を書き換えると、本表とダッシュボードが再計算されます。</t>
        </is>
      </c>
    </row>
  </sheetData>
  <mergeCells count="2">
    <mergeCell ref="A14:K14"/>
    <mergeCell ref="A15:K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40" customWidth="1" min="3" max="3"/>
    <col width="14" customWidth="1" min="4" max="4"/>
    <col width="11" customWidth="1" min="5" max="5"/>
    <col width="8" customWidth="1" min="6" max="6"/>
    <col width="52" customWidth="1" min="7" max="7"/>
    <col width="46" customWidth="1" min="8" max="8"/>
  </cols>
  <sheetData>
    <row r="1">
      <c r="A1" s="3" t="inlineStr">
        <is>
          <t>成果品</t>
        </is>
      </c>
      <c r="B1" s="3" t="inlineStr">
        <is>
          <t>名称</t>
        </is>
      </c>
      <c r="C1" s="3" t="inlineStr">
        <is>
          <t>納品仕様</t>
        </is>
      </c>
      <c r="D1" s="3" t="inlineStr">
        <is>
          <t>版</t>
        </is>
      </c>
      <c r="E1" s="3" t="inlineStr">
        <is>
          <t>状態</t>
        </is>
      </c>
      <c r="F1" s="3" t="inlineStr">
        <is>
          <t>進捗率</t>
        </is>
      </c>
      <c r="G1" s="3" t="inlineStr">
        <is>
          <t>現状</t>
        </is>
      </c>
      <c r="H1" s="3" t="inlineStr">
        <is>
          <t>確定に必要なもの</t>
        </is>
      </c>
    </row>
    <row r="2">
      <c r="A2" s="11" t="inlineStr">
        <is>
          <t>①</t>
        </is>
      </c>
      <c r="B2" s="4" t="inlineStr">
        <is>
          <t>第8期北塩原村障がい福祉計画・第4期北塩原村障がい児福祉計画</t>
        </is>
      </c>
      <c r="C2" s="4" t="inlineStr">
        <is>
          <t>A4判・両面 約60頁・モノクロ・コピー・くるみ製本 30部</t>
        </is>
      </c>
      <c r="D2" s="11" t="inlineStr">
        <is>
          <t>素案</t>
        </is>
      </c>
      <c r="E2" s="14" t="inlineStr">
        <is>
          <t>進行中</t>
        </is>
      </c>
      <c r="F2" s="11" t="n">
        <v>78</v>
      </c>
      <c r="G2" s="4" t="inlineStr">
        <is>
          <t>令和8年10月9日に正本を他メンバー版（全8章・約45頁）に変更した。当方の素案（全8章・59節・152表）は、移植の元と点検の基準として残す。北塩原村_申し送り_他メンバー版への移植_20261009.docx（第2版）に基づき、令和8年10月10日に正本へ移植した（北塩原村_計画素案_正本_移植後.docx。段落526→1012・表55→135・図19→28）。移植20件・論点メモからの修正5件・用語解説3語・村資料点検5件（V-1〜V-5）・12重点施策の再レビュー12件（W-1〜W-13）・村ホームページの棚卸し5件（X-1〜X-6）・村ホームページ3分野の棚卸し8件（Y-1〜Y-8。第7章4としてこども・子育て計画との連携の節を新設）・救急・防災・冬季のRed Teamレビュー5件（RT-1〜RT-5。第5章2（15）として医療へのアクセスの項を新設）・当方で作成した図8点（Z-1〜Z-8）を入れた。あわせて当方が書いた記述2件の書きぶりを弱めた（冬季の振替え、地域生活支援拠点による代替受入れの調整）。さらに図25点・表88点に章ごとの番号と表題を付け、目次の後に図表目次を置いた（注記ボックス46点には振らない）。網羅性点検で挙げた漏れのうち、村・県の回答を待たずに書けるものはすべて入れた。残るのは2件（Ｉ推計方法はＭ-19の回答が前提、Ｌ圏域の基盤整備は県の圏域計画の必要事業所数が前提）と、村の回答を待つ論点メモ19件</t>
        </is>
      </c>
      <c r="H2" s="4" t="inlineStr">
        <is>
          <t>アンケート結果、令和6〜8年度の実績、見込量・成果目標の確定、協議会・パブコメ</t>
        </is>
      </c>
    </row>
    <row r="3">
      <c r="A3" s="11" t="inlineStr">
        <is>
          <t>②</t>
        </is>
      </c>
      <c r="B3" s="4" t="inlineStr">
        <is>
          <t>アンケート調査結果報告書</t>
        </is>
      </c>
      <c r="C3" s="4" t="inlineStr">
        <is>
          <t>A4判・両面 約60頁・モノクロ・コピー・ホチキス製本 10部</t>
        </is>
      </c>
      <c r="D3" s="11" t="inlineStr">
        <is>
          <t>―</t>
        </is>
      </c>
      <c r="E3" s="17" t="inlineStr">
        <is>
          <t>未着手</t>
        </is>
      </c>
      <c r="F3" s="11" t="n">
        <v>10</v>
      </c>
      <c r="G3" s="4" t="inlineStr">
        <is>
          <t>集計分析方法（少数母数対応）とクロス集計の設計は作成済み。報告書本体は未着手</t>
        </is>
      </c>
      <c r="H3" s="4" t="inlineStr">
        <is>
          <t>アンケートの発送・回収・集計</t>
        </is>
      </c>
    </row>
    <row r="4">
      <c r="A4" s="11" t="inlineStr">
        <is>
          <t>③</t>
        </is>
      </c>
      <c r="B4" s="4" t="inlineStr">
        <is>
          <t>電子媒体</t>
        </is>
      </c>
      <c r="C4" s="4" t="inlineStr">
        <is>
          <t>①②の電子データ一式</t>
        </is>
      </c>
      <c r="D4" s="11" t="inlineStr">
        <is>
          <t>―</t>
        </is>
      </c>
      <c r="E4" s="17" t="inlineStr">
        <is>
          <t>未着手</t>
        </is>
      </c>
      <c r="F4" s="11" t="n">
        <v>0</v>
      </c>
      <c r="G4" s="4" t="inlineStr">
        <is>
          <t>―</t>
        </is>
      </c>
      <c r="H4" s="4" t="inlineStr">
        <is>
          <t>①②の確定。編集可能形式とPDFの別を村に確認する</t>
        </is>
      </c>
    </row>
    <row r="5">
      <c r="A5" s="11" t="inlineStr">
        <is>
          <t>参考</t>
        </is>
      </c>
      <c r="B5" s="4" t="inlineStr">
        <is>
          <t>計画の概要版</t>
        </is>
      </c>
      <c r="C5" s="4" t="inlineStr">
        <is>
          <t>A4判・6頁（部数・仕様は未確定）</t>
        </is>
      </c>
      <c r="D5" s="11" t="inlineStr">
        <is>
          <t>素案 概要版</t>
        </is>
      </c>
      <c r="E5" s="14" t="inlineStr">
        <is>
          <t>進行中</t>
        </is>
      </c>
      <c r="F5" s="11" t="n">
        <v>85</v>
      </c>
      <c r="G5" s="4" t="inlineStr">
        <is>
          <t>令和8年9月17日に村の指示により作成し、令和8年10月10日に正本へ合わせて6頁に改めた。方策・年齢到達（図）・他計画との連携の3節とパブリックコメントの案内を追加</t>
        </is>
      </c>
      <c r="H5" s="4" t="inlineStr">
        <is>
          <t>①と同じ現状値・目標値の確定。頁数が増えたため部数・仕様を村と再確認する</t>
        </is>
      </c>
    </row>
    <row r="7" ht="17.5" customHeight="1">
      <c r="A7" s="4" t="inlineStr">
        <is>
          <t>※ 進捗率は目安。納品仕様（部数・製本）を満たして初めて完了となる。</t>
        </is>
      </c>
    </row>
  </sheetData>
  <mergeCells count="1">
    <mergeCell ref="A7:H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18" customWidth="1" min="3" max="3"/>
    <col width="11" customWidth="1" min="4" max="4"/>
    <col width="52" customWidth="1" min="5" max="5"/>
  </cols>
  <sheetData>
    <row r="1">
      <c r="A1" s="3" t="inlineStr">
        <is>
          <t>時期</t>
        </is>
      </c>
      <c r="B1" s="3" t="inlineStr">
        <is>
          <t>作業</t>
        </is>
      </c>
      <c r="C1" s="3" t="inlineStr">
        <is>
          <t>担当</t>
        </is>
      </c>
      <c r="D1" s="3" t="inlineStr">
        <is>
          <t>状態</t>
        </is>
      </c>
      <c r="E1" s="3" t="inlineStr">
        <is>
          <t>備考</t>
        </is>
      </c>
    </row>
    <row r="2">
      <c r="A2" s="11" t="inlineStr">
        <is>
          <t>2026-08</t>
        </is>
      </c>
      <c r="B2" s="4" t="inlineStr">
        <is>
          <t>印刷仕様の確定、宛名ラベルの受領、対象者数の確定</t>
        </is>
      </c>
      <c r="C2" s="11" t="inlineStr">
        <is>
          <t>受託者・北塩原村</t>
        </is>
      </c>
      <c r="D2" s="16" t="inlineStr">
        <is>
          <t>要対応</t>
        </is>
      </c>
      <c r="E2" s="4" t="inlineStr">
        <is>
          <t>アンケート発送のクリティカルパス。いずれも未了。調査票は8月25日版で確定済み</t>
        </is>
      </c>
    </row>
    <row r="3">
      <c r="A3" s="11" t="inlineStr">
        <is>
          <t>2026-08〜09</t>
        </is>
      </c>
      <c r="B3" s="4" t="inlineStr">
        <is>
          <t>アンケートの印刷・封入・発送</t>
        </is>
      </c>
      <c r="C3" s="11" t="inlineStr">
        <is>
          <t>受託者</t>
        </is>
      </c>
      <c r="D3" s="16" t="inlineStr">
        <is>
          <t>要対応</t>
        </is>
      </c>
      <c r="E3" s="4" t="inlineStr">
        <is>
          <t>工程案は8月上旬発送。既に超過している</t>
        </is>
      </c>
    </row>
    <row r="4">
      <c r="A4" s="11" t="inlineStr">
        <is>
          <t>2026-09</t>
        </is>
      </c>
      <c r="B4" s="4" t="inlineStr">
        <is>
          <t>アンケートの回収（約1か月）、村実績データの受領</t>
        </is>
      </c>
      <c r="C4" s="11" t="inlineStr">
        <is>
          <t>北塩原村・受託者</t>
        </is>
      </c>
      <c r="D4" s="17" t="inlineStr">
        <is>
          <t>未着手</t>
        </is>
      </c>
      <c r="E4" s="4" t="inlineStr">
        <is>
          <t>返送先は村役場。窓口での現地回収</t>
        </is>
      </c>
    </row>
    <row r="5">
      <c r="A5" s="11" t="inlineStr">
        <is>
          <t>2026-10</t>
        </is>
      </c>
      <c r="B5" s="4" t="inlineStr">
        <is>
          <t>第2回自立支援協議会（村の策定方針による）</t>
        </is>
      </c>
      <c r="C5" s="11" t="inlineStr">
        <is>
          <t>北塩原村・受託者</t>
        </is>
      </c>
      <c r="D5" s="16" t="inlineStr">
        <is>
          <t>要対応</t>
        </is>
      </c>
      <c r="E5" s="4" t="inlineStr">
        <is>
          <t>村の計画策定方針（令和8年5月25日 資料4）の工程。議題は現行計画の現状・評価分析、アンケート調査の結果報告、計画素案の検討（概要版を含む）。評価・素案・概要版は作成済みでアンケート結果だけが欠ける。開催日と議題の組み替えを村に確認する（Ｍ-40）</t>
        </is>
      </c>
    </row>
    <row r="6">
      <c r="A6" s="11" t="inlineStr">
        <is>
          <t>2026-10</t>
        </is>
      </c>
      <c r="B6" s="4" t="inlineStr">
        <is>
          <t>データ入力・集計、現行計画の評価の確定</t>
        </is>
      </c>
      <c r="C6" s="11" t="inlineStr">
        <is>
          <t>受託者</t>
        </is>
      </c>
      <c r="D6" s="17" t="inlineStr">
        <is>
          <t>未着手</t>
        </is>
      </c>
      <c r="E6" s="4" t="inlineStr">
        <is>
          <t>厚生労働省の集計様式による入力。少数母数の公表基準を事前に合意する</t>
        </is>
      </c>
    </row>
    <row r="7">
      <c r="A7" s="11" t="inlineStr">
        <is>
          <t>2026-11</t>
        </is>
      </c>
      <c r="B7" s="4" t="inlineStr">
        <is>
          <t>パブリックコメントの実施（村の策定方針による）</t>
        </is>
      </c>
      <c r="C7" s="11" t="inlineStr">
        <is>
          <t>北塩原村</t>
        </is>
      </c>
      <c r="D7" s="16" t="inlineStr">
        <is>
          <t>要対応</t>
        </is>
      </c>
      <c r="E7" s="4" t="inlineStr">
        <is>
          <t>村の方針は11月実施。正本 第1章5(4)は令和9年2月8日〜22日と書いており直す必要がある（修正案V-24）。前回（令和6年2月）は意見0件であったため周知の方法も見直す</t>
        </is>
      </c>
    </row>
    <row r="8">
      <c r="A8" s="11" t="inlineStr">
        <is>
          <t>2026-11</t>
        </is>
      </c>
      <c r="B8" s="4" t="inlineStr">
        <is>
          <t>見込量・成果目標・活動指標・給付費の確定</t>
        </is>
      </c>
      <c r="C8" s="11" t="inlineStr">
        <is>
          <t>受託者</t>
        </is>
      </c>
      <c r="D8" s="17" t="inlineStr">
        <is>
          <t>未着手</t>
        </is>
      </c>
      <c r="E8" s="4" t="inlineStr">
        <is>
          <t>算式は実装済み。実績データが入れば財源構成まで通る</t>
        </is>
      </c>
    </row>
    <row r="9">
      <c r="A9" s="11" t="inlineStr">
        <is>
          <t>2026-12</t>
        </is>
      </c>
      <c r="B9" s="4" t="inlineStr">
        <is>
          <t>第3回自立支援協議会（4町村広域）、計画案の修正</t>
        </is>
      </c>
      <c r="C9" s="11" t="inlineStr">
        <is>
          <t>受託者・北塩原村</t>
        </is>
      </c>
      <c r="D9" s="17" t="inlineStr">
        <is>
          <t>未着手</t>
        </is>
      </c>
      <c r="E9" s="4" t="inlineStr">
        <is>
          <t>村の方針では猪苗代町・磐梯町・湯川村・本村の4町村広域で開催し、パブリックコメントの結果報告と計画案の修正を行う。仕様書4-Ⅱ(7)の「協議会の開催は1回程度」との関係を村と整理する</t>
        </is>
      </c>
    </row>
    <row r="10">
      <c r="A10" s="11" t="inlineStr">
        <is>
          <t>2027-01</t>
        </is>
      </c>
      <c r="B10" s="4" t="inlineStr">
        <is>
          <t>概要版による庁議への説明、計画案の最終調整、調査結果報告書の作成</t>
        </is>
      </c>
      <c r="C10" s="11" t="inlineStr">
        <is>
          <t>北塩原村・受託者</t>
        </is>
      </c>
      <c r="D10" s="17" t="inlineStr">
        <is>
          <t>未着手</t>
        </is>
      </c>
      <c r="E10" s="4" t="inlineStr">
        <is>
          <t>村の方針の工程。概要版は作成済み</t>
        </is>
      </c>
    </row>
    <row r="11">
      <c r="A11" s="11" t="inlineStr">
        <is>
          <t>2027-02</t>
        </is>
      </c>
      <c r="B11" s="4" t="inlineStr">
        <is>
          <t>議会全員協議会への説明（令和9年度主要事業）、計画決定、計画書の原稿確定・組版</t>
        </is>
      </c>
      <c r="C11" s="11" t="inlineStr">
        <is>
          <t>北塩原村・受託者</t>
        </is>
      </c>
      <c r="D11" s="17" t="inlineStr">
        <is>
          <t>未着手</t>
        </is>
      </c>
      <c r="E11" s="4" t="inlineStr">
        <is>
          <t>村の方針では2月に計画決定。正本 第1章5に村議会への説明がないため加える（修正案V-4）</t>
        </is>
      </c>
    </row>
    <row r="12">
      <c r="A12" s="11" t="inlineStr">
        <is>
          <t>2027-03</t>
        </is>
      </c>
      <c r="B12" s="4" t="inlineStr">
        <is>
          <t>校正・印刷・製本、公表、納品</t>
        </is>
      </c>
      <c r="C12" s="11" t="inlineStr">
        <is>
          <t>受託者</t>
        </is>
      </c>
      <c r="D12" s="17" t="inlineStr">
        <is>
          <t>未着手</t>
        </is>
      </c>
      <c r="E12" s="4" t="inlineStr">
        <is>
          <t>計画書30部・調査報告書10部・電子媒体。村の方針は関係機関への送付とホームページへの掲載を公表としている。令和9年3月31日が業務期間の末日</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70" customWidth="1" min="3" max="3"/>
    <col width="32" customWidth="1" min="4" max="4"/>
    <col width="22" customWidth="1" min="5" max="5"/>
    <col width="13" customWidth="1" min="6" max="6"/>
    <col width="11" customWidth="1" min="7" max="7"/>
    <col width="12" customWidth="1" min="8" max="8"/>
    <col width="12" customWidth="1" min="9" max="9"/>
    <col width="11" customWidth="1" min="10" max="10"/>
  </cols>
  <sheetData>
    <row r="1">
      <c r="A1" s="3" t="inlineStr">
        <is>
          <t>優先度</t>
        </is>
      </c>
      <c r="B1" s="3" t="inlineStr">
        <is>
          <t>資料・データ（依頼番号）</t>
        </is>
      </c>
      <c r="C1" s="3" t="inlineStr">
        <is>
          <t>依頼の詳細</t>
        </is>
      </c>
      <c r="D1" s="3" t="inlineStr">
        <is>
          <t>反映先（成果物）</t>
        </is>
      </c>
      <c r="E1" s="3" t="inlineStr">
        <is>
          <t>関係WBS（確定に必要／精度を上げる）</t>
        </is>
      </c>
      <c r="F1" s="3" t="inlineStr">
        <is>
          <t>提供元</t>
        </is>
      </c>
      <c r="G1" s="3" t="inlineStr">
        <is>
          <t>状態</t>
        </is>
      </c>
      <c r="H1" s="3" t="inlineStr">
        <is>
          <t>希望期限</t>
        </is>
      </c>
      <c r="I1" s="3" t="inlineStr">
        <is>
          <t>受領日</t>
        </is>
      </c>
      <c r="J1" s="3" t="inlineStr">
        <is>
          <t>WBS状態</t>
        </is>
      </c>
    </row>
    <row r="2">
      <c r="A2" s="21" t="inlineStr">
        <is>
          <t>最優先</t>
        </is>
      </c>
      <c r="B2" s="4" t="inlineStr">
        <is>
          <t>計画値の基礎とする系列（Ｍ-19）</t>
        </is>
      </c>
      <c r="C2" s="4" t="inlineStr">
        <is>
          <t>村が自立支援協議会に報告している実利用者数（人／月）・サービス量を計画値の基礎としてよいか。当方の第1次概算は年間請求件数を基礎にしたため12サービスで村の公表実績と食い違う（計画相談支援 村25人・当方22人、障がい児相談支援 村4人・当方2人ほか）。あわせて令和8年度の実績見込</t>
        </is>
      </c>
      <c r="D2" s="4" t="inlineStr">
        <is>
          <t>計画素案 第5章3〜7／レビュー対応 02シート</t>
        </is>
      </c>
      <c r="E2" s="4" t="inlineStr">
        <is>
          <t>5-10・7-2・7-3・7-7・8-7</t>
        </is>
      </c>
      <c r="F2" s="11" t="inlineStr">
        <is>
          <t>北塩原村</t>
        </is>
      </c>
      <c r="G2" s="13" t="inlineStr">
        <is>
          <t>未受領</t>
        </is>
      </c>
      <c r="H2" s="11" t="inlineStr">
        <is>
          <t>2026-10-09</t>
        </is>
      </c>
      <c r="I2" s="11" t="n"/>
      <c r="J2" s="17" t="inlineStr">
        <is>
          <t>未着手</t>
        </is>
      </c>
    </row>
    <row r="3">
      <c r="A3" s="21" t="inlineStr">
        <is>
          <t>最優先</t>
        </is>
      </c>
      <c r="B3" s="4" t="inlineStr">
        <is>
          <t>移行管理台帳（Ｍ-18）</t>
        </is>
      </c>
      <c r="C3" s="4" t="inlineStr">
        <is>
          <t>匿名ID・生年月・学年・学校種別・障害支援区分・行動関連項目・医療的ケア・重症心身・現在のサービス・支給決定量・実利用量・利用先と所在地・送迎の可否・冬季の利用可否・卒業予定・65歳到達年度・家族介護の状況。この1枚でＭ-10（継続入所者）・Ｍ-11（保育所等の受入体制）・Ｍ-15（65歳到達者）・Ｍ-21（卒業予定者）が同時に片付く</t>
        </is>
      </c>
      <c r="D3" s="4" t="inlineStr">
        <is>
          <t>計画素案 第5章1・第5章2（第2次算定の入力）</t>
        </is>
      </c>
      <c r="E3" s="4" t="inlineStr">
        <is>
          <t>5-10・7-2・7-3・8-10</t>
        </is>
      </c>
      <c r="F3" s="11" t="inlineStr">
        <is>
          <t>北塩原村</t>
        </is>
      </c>
      <c r="G3" s="13" t="inlineStr">
        <is>
          <t>未受領</t>
        </is>
      </c>
      <c r="H3" s="11" t="inlineStr">
        <is>
          <t>2026-10-09</t>
        </is>
      </c>
      <c r="I3" s="11" t="n"/>
      <c r="J3" s="17" t="inlineStr">
        <is>
          <t>未着手</t>
        </is>
      </c>
    </row>
    <row r="4">
      <c r="A4" s="21" t="inlineStr">
        <is>
          <t>最優先</t>
        </is>
      </c>
      <c r="B4" s="4" t="inlineStr">
        <is>
          <t>施設入所支援4人の支給決定の内容（Ｍ-13）</t>
        </is>
      </c>
      <c r="C4" s="4" t="inlineStr">
        <is>
          <t>年齢、生活介護との同時支給決定の有無、入所先の施設類型（指定障害者支援施設か）。介護保険法施行法第11条第1項の適用除外に当たると、介護保険の第1号被保険者・認定者から除く</t>
        </is>
      </c>
      <c r="D4" s="4" t="inlineStr">
        <is>
          <t>介護保険事業計画との整合 K-1</t>
        </is>
      </c>
      <c r="E4" s="4" t="inlineStr">
        <is>
          <t>7-9（精度：7-5）</t>
        </is>
      </c>
      <c r="F4" s="11" t="inlineStr">
        <is>
          <t>北塩原村</t>
        </is>
      </c>
      <c r="G4" s="13" t="inlineStr">
        <is>
          <t>未受領</t>
        </is>
      </c>
      <c r="H4" s="11" t="inlineStr">
        <is>
          <t>2026-10-09</t>
        </is>
      </c>
      <c r="I4" s="11" t="n"/>
      <c r="J4" s="17" t="inlineStr">
        <is>
          <t>未着手</t>
        </is>
      </c>
    </row>
    <row r="5">
      <c r="A5" s="21" t="inlineStr">
        <is>
          <t>最優先</t>
        </is>
      </c>
      <c r="B5" s="4" t="inlineStr">
        <is>
          <t>介護保険の第2号被保険者との重なり（Ｍ-14）</t>
        </is>
      </c>
      <c r="C5" s="4" t="inlineStr">
        <is>
          <t>介護保険側が見込む第2号被保険者の認定者（各年度2〜3人）のうち、障がい福祉サービスの受給者証をお持ちの方の人数と利用サービス。重なる場合は介護保険が優先し障がい計画の見込量から減算する</t>
        </is>
      </c>
      <c r="D5" s="4" t="inlineStr">
        <is>
          <t>介護保険事業計画との整合 K-2</t>
        </is>
      </c>
      <c r="E5" s="4" t="inlineStr">
        <is>
          <t>7-9（精度：2-4）</t>
        </is>
      </c>
      <c r="F5" s="11" t="inlineStr">
        <is>
          <t>北塩原村</t>
        </is>
      </c>
      <c r="G5" s="13" t="inlineStr">
        <is>
          <t>未受領</t>
        </is>
      </c>
      <c r="H5" s="11" t="inlineStr">
        <is>
          <t>2026-10-09</t>
        </is>
      </c>
      <c r="I5" s="11" t="n"/>
      <c r="J5" s="17" t="inlineStr">
        <is>
          <t>未着手</t>
        </is>
      </c>
    </row>
    <row r="6">
      <c r="A6" s="22" t="inlineStr">
        <is>
          <t>高</t>
        </is>
      </c>
      <c r="B6" s="4" t="inlineStr">
        <is>
          <t>相談支援の体制（Ｍ-20）</t>
        </is>
      </c>
      <c r="C6" s="4" t="inlineStr">
        <is>
          <t>相談支援専門員の人数、1人当たりの担当件数、新規に受け入れられる件数、主任相談支援専門員の配置。専門員が不足すると受入先があっても移行が進まない</t>
        </is>
      </c>
      <c r="D6" s="4" t="inlineStr">
        <is>
          <t>計画素案 第5章8（確保可能量を決める要素）</t>
        </is>
      </c>
      <c r="E6" s="4" t="inlineStr">
        <is>
          <t>7-2（精度：8-3）</t>
        </is>
      </c>
      <c r="F6" s="11" t="inlineStr">
        <is>
          <t>北塩原村</t>
        </is>
      </c>
      <c r="G6" s="13" t="inlineStr">
        <is>
          <t>未受領</t>
        </is>
      </c>
      <c r="H6" s="11" t="inlineStr">
        <is>
          <t>2026-10-09</t>
        </is>
      </c>
      <c r="I6" s="11" t="n"/>
      <c r="J6" s="17" t="inlineStr">
        <is>
          <t>未着手</t>
        </is>
      </c>
    </row>
    <row r="7">
      <c r="A7" s="21" t="inlineStr">
        <is>
          <t>最優先</t>
        </is>
      </c>
      <c r="B7" s="4" t="inlineStr">
        <is>
          <t>グループホーム・福祉ホームの設置の予定（Ｍ-37）</t>
        </is>
      </c>
      <c r="C7" s="4" t="inlineStr">
        <is>
          <t>精神・知的障がいの方のグループホーム又は福祉ホームの設置の予定。設置する場合の主体・時期・定員と、条例改正の要否。令和8年10月9日の論点メモに「精神・知的のGHの設置（正式名・福祉ホームだが、条例の改正が必要）」とある。共同生活援助（訓練等給付）と福祉ホーム（地域生活支援事業の任意事業）では根拠も財源も変わる</t>
        </is>
      </c>
      <c r="D7" s="4" t="inlineStr">
        <is>
          <t>計画素案 第5章の居住系の見込量・確保方策・地域生活支援事業</t>
        </is>
      </c>
      <c r="E7" s="4" t="inlineStr">
        <is>
          <t>7-2・7-4（精度：8-3）</t>
        </is>
      </c>
      <c r="F7" s="11" t="inlineStr">
        <is>
          <t>北塩原村</t>
        </is>
      </c>
      <c r="G7" s="13" t="inlineStr">
        <is>
          <t>未受領</t>
        </is>
      </c>
      <c r="H7" s="11" t="inlineStr">
        <is>
          <t>2026-10-16</t>
        </is>
      </c>
      <c r="I7" s="11" t="n"/>
      <c r="J7" s="17" t="inlineStr">
        <is>
          <t>未着手</t>
        </is>
      </c>
    </row>
    <row r="8">
      <c r="A8" s="22" t="inlineStr">
        <is>
          <t>高</t>
        </is>
      </c>
      <c r="B8" s="4" t="inlineStr">
        <is>
          <t>物品調達の実績（Ｍ-34）</t>
        </is>
      </c>
      <c r="C8" s="4" t="inlineStr">
        <is>
          <t>障がい者就労施設等からの物品調達の実績（目標3件に対する令和6〜8年度の件数）と、障害者優先調達推進法第9条に基づく調達方針の策定・公表の有無</t>
        </is>
      </c>
      <c r="D8" s="4" t="inlineStr">
        <is>
          <t>計画素案 第3章5（第4次障がい者計画の目標値の進捗）</t>
        </is>
      </c>
      <c r="E8" s="4" t="inlineStr">
        <is>
          <t>8-1（精度：6-4）</t>
        </is>
      </c>
      <c r="F8" s="11" t="inlineStr">
        <is>
          <t>北塩原村</t>
        </is>
      </c>
      <c r="G8" s="13" t="inlineStr">
        <is>
          <t>未受領</t>
        </is>
      </c>
      <c r="H8" s="11" t="inlineStr">
        <is>
          <t>2026-10-31</t>
        </is>
      </c>
      <c r="I8" s="11" t="n"/>
      <c r="J8" s="17" t="inlineStr">
        <is>
          <t>未着手</t>
        </is>
      </c>
    </row>
    <row r="9">
      <c r="A9" s="22" t="inlineStr">
        <is>
          <t>高</t>
        </is>
      </c>
      <c r="B9" s="4" t="inlineStr">
        <is>
          <t>社会福祉法改正への対応（Ｍ-35）</t>
        </is>
      </c>
      <c r="C9" s="4" t="inlineStr">
        <is>
          <t>身寄りのない高齢者への日常生活支援・入院手続・死後事務への対応と、権利擁護の窓口の配置の検討状況。障がい者の親亡き後の支援と同じ課題であり、第6章に書くかを判断する</t>
        </is>
      </c>
      <c r="D9" s="4" t="inlineStr">
        <is>
          <t>計画素案 第6章・第7章</t>
        </is>
      </c>
      <c r="E9" s="4" t="inlineStr">
        <is>
          <t>8-1（精度：2-4）</t>
        </is>
      </c>
      <c r="F9" s="11" t="inlineStr">
        <is>
          <t>北塩原村</t>
        </is>
      </c>
      <c r="G9" s="13" t="inlineStr">
        <is>
          <t>未受領</t>
        </is>
      </c>
      <c r="H9" s="11" t="inlineStr">
        <is>
          <t>2026-10-31</t>
        </is>
      </c>
      <c r="I9" s="11" t="n"/>
      <c r="J9" s="17" t="inlineStr">
        <is>
          <t>未着手</t>
        </is>
      </c>
    </row>
    <row r="10">
      <c r="A10" s="11" t="inlineStr">
        <is>
          <t>中</t>
        </is>
      </c>
      <c r="B10" s="4" t="inlineStr">
        <is>
          <t>防災の取組の状況（Ｍ-36）</t>
        </is>
      </c>
      <c r="C10" s="4" t="inlineStr">
        <is>
          <t>防災無線の設置状況、災害図上訓練（ＤＩＧ）・避難所運営ゲーム（ＨＵＧ）の実施状況、避難訓練の頻度。個別避難計画10件の目標を達成する手順として書く</t>
        </is>
      </c>
      <c r="D10" s="4" t="inlineStr">
        <is>
          <t>計画素案 第3章3（⑥生活環境）</t>
        </is>
      </c>
      <c r="E10" s="4" t="inlineStr">
        <is>
          <t>8-1</t>
        </is>
      </c>
      <c r="F10" s="11" t="inlineStr">
        <is>
          <t>北塩原村</t>
        </is>
      </c>
      <c r="G10" s="13" t="inlineStr">
        <is>
          <t>未受領</t>
        </is>
      </c>
      <c r="H10" s="11" t="inlineStr">
        <is>
          <t>2026-10-31</t>
        </is>
      </c>
      <c r="I10" s="11" t="n"/>
      <c r="J10" s="17" t="inlineStr">
        <is>
          <t>未着手</t>
        </is>
      </c>
    </row>
    <row r="11">
      <c r="A11" s="22" t="inlineStr">
        <is>
          <t>高</t>
        </is>
      </c>
      <c r="B11" s="4" t="inlineStr">
        <is>
          <t>排泄管理支援用具の増減の理由（Ｍ-38）</t>
        </is>
      </c>
      <c r="C11" s="4" t="inlineStr">
        <is>
          <t>日常生活用具（排泄管理支援用具）の給付件数の直近の増減とその理由。当方は40→68→69→72件と増加傾向と整理したが、論点メモは「死亡により減少」としている。地域生活支援事業の給付件数の大半を占め、事業費にも響く</t>
        </is>
      </c>
      <c r="D11" s="4" t="inlineStr">
        <is>
          <t>計画素案 第5章9／地域生活支援事業 01</t>
        </is>
      </c>
      <c r="E11" s="4" t="inlineStr">
        <is>
          <t>7-4（精度：7-7）</t>
        </is>
      </c>
      <c r="F11" s="11" t="inlineStr">
        <is>
          <t>北塩原村</t>
        </is>
      </c>
      <c r="G11" s="13" t="inlineStr">
        <is>
          <t>未受領</t>
        </is>
      </c>
      <c r="H11" s="11" t="inlineStr">
        <is>
          <t>2026-10-31</t>
        </is>
      </c>
      <c r="I11" s="11" t="n"/>
      <c r="J11" s="17" t="inlineStr">
        <is>
          <t>未着手</t>
        </is>
      </c>
    </row>
    <row r="12">
      <c r="A12" s="22" t="inlineStr">
        <is>
          <t>高</t>
        </is>
      </c>
      <c r="B12" s="4" t="inlineStr">
        <is>
          <t>成年後見の類型別内訳（Ｍ-39）</t>
        </is>
      </c>
      <c r="C12" s="4" t="inlineStr">
        <is>
          <t>成年後見制度の利用者数の類型別内訳（後見・保佐・補助）と、会津権利擁護・成年後見センターにおける本村の位置（相談時間が3番目か、利用者数が3番目か）。民法等改正により後見・保佐が補助に一元化されるため、類型別の把握が要る</t>
        </is>
      </c>
      <c r="D12" s="4" t="inlineStr">
        <is>
          <t>計画素案 第6章</t>
        </is>
      </c>
      <c r="E12" s="4" t="inlineStr">
        <is>
          <t>8-1（精度：7-4）</t>
        </is>
      </c>
      <c r="F12" s="11" t="inlineStr">
        <is>
          <t>北塩原村</t>
        </is>
      </c>
      <c r="G12" s="13" t="inlineStr">
        <is>
          <t>未受領</t>
        </is>
      </c>
      <c r="H12" s="11" t="inlineStr">
        <is>
          <t>2026-10-31</t>
        </is>
      </c>
      <c r="I12" s="11" t="n"/>
      <c r="J12" s="17" t="inlineStr">
        <is>
          <t>未着手</t>
        </is>
      </c>
    </row>
    <row r="13">
      <c r="A13" s="22" t="inlineStr">
        <is>
          <t>高</t>
        </is>
      </c>
      <c r="B13" s="4" t="inlineStr">
        <is>
          <t>指定難病による対象者（Ｍ-32）</t>
        </is>
      </c>
      <c r="C13" s="4" t="inlineStr">
        <is>
          <t>手帳を所持していないが障害者総合支援法の対象疾病に該当してサービスを利用している方、又は利用しうる方の人数。対象疾病は令和7年4月1日から376疾病（厚生労働省の資料で原典確認済み。平成25年4月の施行時は130疾病で、7次にわたり拡大された）。手帳所持者数だけで対象者を数えると、手帳を所持しない方が漏れる</t>
        </is>
      </c>
      <c r="D13" s="4" t="inlineStr">
        <is>
          <t>計画素案 第2章2・第5章1（推計方法）</t>
        </is>
      </c>
      <c r="E13" s="4" t="inlineStr">
        <is>
          <t>7-2（精度：3-2）</t>
        </is>
      </c>
      <c r="F13" s="11" t="inlineStr">
        <is>
          <t>北塩原村</t>
        </is>
      </c>
      <c r="G13" s="13" t="inlineStr">
        <is>
          <t>未受領</t>
        </is>
      </c>
      <c r="H13" s="11" t="inlineStr">
        <is>
          <t>2026-10-31</t>
        </is>
      </c>
      <c r="I13" s="11" t="n"/>
      <c r="J13" s="17" t="inlineStr">
        <is>
          <t>未着手</t>
        </is>
      </c>
    </row>
    <row r="14">
      <c r="A14" s="22" t="inlineStr">
        <is>
          <t>高</t>
        </is>
      </c>
      <c r="B14" s="4" t="inlineStr">
        <is>
          <t>9月30日時点の人口・手帳所持者数（Ｍ-28）</t>
        </is>
      </c>
      <c r="C14" s="4" t="inlineStr">
        <is>
          <t>9月30日時点の住民基本台帳人口（年齢3区分別）と手帳所持者数を取得できるか。令和8年10月9日の打合せで、基準日を9月30日に揃える提案があった（U-1）。現行計画は各年4月1日現在であり、基準日を変えると前回計画との経年比較が接続しないため、両方の基準日で取得できるかを含めて確認する</t>
        </is>
      </c>
      <c r="D14" s="4" t="inlineStr">
        <is>
          <t>計画素案 第2章1・2</t>
        </is>
      </c>
      <c r="E14" s="4" t="inlineStr">
        <is>
          <t>8-2（精度：3-1・3-2）</t>
        </is>
      </c>
      <c r="F14" s="11" t="inlineStr">
        <is>
          <t>北塩原村</t>
        </is>
      </c>
      <c r="G14" s="13" t="inlineStr">
        <is>
          <t>未受領</t>
        </is>
      </c>
      <c r="H14" s="11" t="inlineStr">
        <is>
          <t>2026-10-16</t>
        </is>
      </c>
      <c r="I14" s="11" t="n"/>
      <c r="J14" s="17" t="inlineStr">
        <is>
          <t>未着手</t>
        </is>
      </c>
    </row>
    <row r="15">
      <c r="A15" s="22" t="inlineStr">
        <is>
          <t>高</t>
        </is>
      </c>
      <c r="B15" s="4" t="inlineStr">
        <is>
          <t>こども・子育て計画の人口推計の元データ（Ｍ-29）</t>
        </is>
      </c>
      <c r="C15" s="4" t="inlineStr">
        <is>
          <t>令和11年 総人口2,185人・老年人口1,051人のコーホート変化率法による推計が用いた元データ（国勢調査か住民基本台帳か）と基準月。他メンバーの素案は線形の延長で2,166人・老年人口978人としており、老年人口の向きが逆になっている。介護保険事業計画が用いる人口とも揃える</t>
        </is>
      </c>
      <c r="D15" s="4" t="inlineStr">
        <is>
          <t>計画素案 第2章1／介護保険事業計画との整合 K-8</t>
        </is>
      </c>
      <c r="E15" s="4" t="inlineStr">
        <is>
          <t>2-4（精度：3-2）</t>
        </is>
      </c>
      <c r="F15" s="11" t="inlineStr">
        <is>
          <t>北塩原村</t>
        </is>
      </c>
      <c r="G15" s="13" t="inlineStr">
        <is>
          <t>未受領</t>
        </is>
      </c>
      <c r="H15" s="11" t="inlineStr">
        <is>
          <t>2026-10-16</t>
        </is>
      </c>
      <c r="I15" s="11" t="n"/>
      <c r="J15" s="17" t="inlineStr">
        <is>
          <t>未着手</t>
        </is>
      </c>
    </row>
    <row r="16">
      <c r="A16" s="11" t="inlineStr">
        <is>
          <t>中</t>
        </is>
      </c>
      <c r="B16" s="4" t="inlineStr">
        <is>
          <t>職場適応訓練等の実績（Ｍ-30）</t>
        </is>
      </c>
      <c r="C16" s="4" t="inlineStr">
        <is>
          <t>職場適応訓練その他、障害者総合支援法の枠外で行われている就労支援の実績の有無（実施主体・対象者数）。令和8年10月9日の打合せで、村の取組又は地域生活支援事業の任意事業として計画に書く提案があった（U-6）。職場適応訓練は障害者雇用促進法に基づき都道府県が事業主に委託して行うものであり、村の事業ではない点の整理も要る</t>
        </is>
      </c>
      <c r="D16" s="4" t="inlineStr">
        <is>
          <t>計画素案 第5章9・第5章14</t>
        </is>
      </c>
      <c r="E16" s="4" t="inlineStr">
        <is>
          <t>8-1（精度：7-4）</t>
        </is>
      </c>
      <c r="F16" s="11" t="inlineStr">
        <is>
          <t>北塩原村</t>
        </is>
      </c>
      <c r="G16" s="13" t="inlineStr">
        <is>
          <t>未受領</t>
        </is>
      </c>
      <c r="H16" s="11" t="inlineStr">
        <is>
          <t>2026-10-31</t>
        </is>
      </c>
      <c r="I16" s="11" t="n"/>
      <c r="J16" s="17" t="inlineStr">
        <is>
          <t>未着手</t>
        </is>
      </c>
    </row>
    <row r="17">
      <c r="A17" s="22" t="inlineStr">
        <is>
          <t>高</t>
        </is>
      </c>
      <c r="B17" s="4" t="inlineStr">
        <is>
          <t>地域生活支援事業・社協で担える範囲（Ｍ-31）</t>
        </is>
      </c>
      <c r="C17" s="4" t="inlineStr">
        <is>
          <t>医療的ケアを要する方の支援のうち、地域生活支援事業及び社会福祉協議会の事業で担える範囲。令和8年10月9日の打合せで、重度訪問介護（区分6）1名を想定して見込量を立て、不足分をこれらで補う提案があった（U-8）。自立支援給付（義務的経費）と地域生活支援事業（裁量的経費）の切り分けに関わる</t>
        </is>
      </c>
      <c r="D17" s="4" t="inlineStr">
        <is>
          <t>計画素案 第5章4・第5章9・第5章12</t>
        </is>
      </c>
      <c r="E17" s="4" t="inlineStr">
        <is>
          <t>7-2・7-4（精度：7-7）</t>
        </is>
      </c>
      <c r="F17" s="11" t="inlineStr">
        <is>
          <t>北塩原村</t>
        </is>
      </c>
      <c r="G17" s="13" t="inlineStr">
        <is>
          <t>未受領</t>
        </is>
      </c>
      <c r="H17" s="11" t="inlineStr">
        <is>
          <t>2026-10-31</t>
        </is>
      </c>
      <c r="I17" s="11" t="n"/>
      <c r="J17" s="17" t="inlineStr">
        <is>
          <t>未着手</t>
        </is>
      </c>
    </row>
    <row r="18">
      <c r="A18" s="21" t="inlineStr">
        <is>
          <t>最優先</t>
        </is>
      </c>
      <c r="B18" s="4" t="inlineStr">
        <is>
          <t>重度障がい者の人数（Ｍ-22）</t>
        </is>
      </c>
      <c r="C18" s="4" t="inlineStr">
        <is>
          <t>強度行動障害の状態にある方（障害支援区分の認定調査の行動関連項目の合計点10点以上）、高次脳機能障害を有する方（診断の有無）、重症心身障害の状態にある児者（大島分類）の人数。把握していない場合はその旨。基本指針 別表第一 三が利用者数の内数の見込みを設定するよう努めることとしている</t>
        </is>
      </c>
      <c r="D18" s="4" t="inlineStr">
        <is>
          <t>計画素案 第5章4（重度障がい者の内数）</t>
        </is>
      </c>
      <c r="E18" s="4" t="inlineStr">
        <is>
          <t>7-2・7-3</t>
        </is>
      </c>
      <c r="F18" s="11" t="inlineStr">
        <is>
          <t>北塩原村</t>
        </is>
      </c>
      <c r="G18" s="13" t="inlineStr">
        <is>
          <t>未受領</t>
        </is>
      </c>
      <c r="H18" s="11" t="inlineStr">
        <is>
          <t>2026-10-16</t>
        </is>
      </c>
      <c r="I18" s="11" t="n"/>
      <c r="J18" s="17" t="inlineStr">
        <is>
          <t>未着手</t>
        </is>
      </c>
    </row>
    <row r="19">
      <c r="A19" s="21" t="inlineStr">
        <is>
          <t>最優先</t>
        </is>
      </c>
      <c r="B19" s="4" t="inlineStr">
        <is>
          <t>施設入所者4人の6項目の確認状況（Ｍ-23）</t>
        </is>
      </c>
      <c r="C19" s="4" t="inlineStr">
        <is>
          <t>本人の意向・家族の意向・共同生活援助等の受入れの可能性・必要な医療の継続の可否・夜間の支援体制・地域生活の体験の機会。地域移行者数の目標値0人は国基準6％を下回るため、根拠の説明が県の計画協議で求められる</t>
        </is>
      </c>
      <c r="D19" s="4" t="inlineStr">
        <is>
          <t>計画素案 第4章（１）</t>
        </is>
      </c>
      <c r="E19" s="4" t="inlineStr">
        <is>
          <t>7-5（精度：7-9）</t>
        </is>
      </c>
      <c r="F19" s="11" t="inlineStr">
        <is>
          <t>北塩原村</t>
        </is>
      </c>
      <c r="G19" s="13" t="inlineStr">
        <is>
          <t>未受領</t>
        </is>
      </c>
      <c r="H19" s="11" t="inlineStr">
        <is>
          <t>2026-10-16</t>
        </is>
      </c>
      <c r="I19" s="11" t="n"/>
      <c r="J19" s="17" t="inlineStr">
        <is>
          <t>未着手</t>
        </is>
      </c>
    </row>
    <row r="20">
      <c r="A20" s="21" t="inlineStr">
        <is>
          <t>最優先</t>
        </is>
      </c>
      <c r="B20" s="4" t="inlineStr">
        <is>
          <t>村外の利用事業所の一覧（Ｍ-24）</t>
        </is>
      </c>
      <c r="C20" s="4" t="inlineStr">
        <is>
          <t>本村の住民が利用している村外の事業所のサービス種別・事業所名・所在地。いただければ、定員・空き・待機・送迎の範囲・冬季の送迎・重度障がい者の受入れ・医療的ケア・職員の欠員・定員の増減の7項目の照会文を当方で作成する</t>
        </is>
      </c>
      <c r="D20" s="4" t="inlineStr">
        <is>
          <t>計画素案 第5章8（事業所の受入余力の把握）</t>
        </is>
      </c>
      <c r="E20" s="4" t="inlineStr">
        <is>
          <t>7-2・7-3（精度：3-4・8-3）</t>
        </is>
      </c>
      <c r="F20" s="11" t="inlineStr">
        <is>
          <t>北塩原村</t>
        </is>
      </c>
      <c r="G20" s="13" t="inlineStr">
        <is>
          <t>未受領</t>
        </is>
      </c>
      <c r="H20" s="11" t="inlineStr">
        <is>
          <t>2026-10-16</t>
        </is>
      </c>
      <c r="I20" s="11" t="n"/>
      <c r="J20" s="17" t="inlineStr">
        <is>
          <t>未着手</t>
        </is>
      </c>
    </row>
    <row r="21">
      <c r="A21" s="22" t="inlineStr">
        <is>
          <t>高</t>
        </is>
      </c>
      <c r="B21" s="4" t="inlineStr">
        <is>
          <t>事業所の経営基盤（Ｍ-25）</t>
        </is>
      </c>
      <c r="C21" s="4" t="inlineStr">
        <is>
          <t>村内3事業所及び村外の主な事業所の職員の欠員・離職の状況、休廃止の意向、冬季の送迎に要する人員。事業所名を伏せた集計でよい。定員に空きがあっても職員がいなければ受け入れられないため、確保可能量の判断に用いる</t>
        </is>
      </c>
      <c r="D21" s="4" t="inlineStr">
        <is>
          <t>計画素案 第5章13（経営基盤を供給制約として見る）</t>
        </is>
      </c>
      <c r="E21" s="4" t="inlineStr">
        <is>
          <t>8-9（精度：8-3）</t>
        </is>
      </c>
      <c r="F21" s="11" t="inlineStr">
        <is>
          <t>北塩原村</t>
        </is>
      </c>
      <c r="G21" s="13" t="inlineStr">
        <is>
          <t>未受領</t>
        </is>
      </c>
      <c r="H21" s="11" t="inlineStr">
        <is>
          <t>2026-10-31</t>
        </is>
      </c>
      <c r="I21" s="11" t="n"/>
      <c r="J21" s="17" t="inlineStr">
        <is>
          <t>未着手</t>
        </is>
      </c>
    </row>
    <row r="22">
      <c r="A22" s="22" t="inlineStr">
        <is>
          <t>高</t>
        </is>
      </c>
      <c r="B22" s="4" t="inlineStr">
        <is>
          <t>成人の医療的ケア者・重症心身障害者（Ｍ-26）</t>
        </is>
      </c>
      <c r="C22" s="4" t="inlineStr">
        <is>
          <t>18歳以上で恒常的に医療的ケアを受けている方（医療的ケア者）と重症心身障害の状態にある成人の方の人数・利用サービス。令和8年8月19日の基本指針改正により支援の対象が成人期まで広がった。該当なしの場合もその旨を記録する</t>
        </is>
      </c>
      <c r="D22" s="4" t="inlineStr">
        <is>
          <t>計画素案 第4章（４）・第5章4</t>
        </is>
      </c>
      <c r="E22" s="4" t="inlineStr">
        <is>
          <t>7-2・7-5</t>
        </is>
      </c>
      <c r="F22" s="11" t="inlineStr">
        <is>
          <t>北塩原村</t>
        </is>
      </c>
      <c r="G22" s="13" t="inlineStr">
        <is>
          <t>未受領</t>
        </is>
      </c>
      <c r="H22" s="11" t="inlineStr">
        <is>
          <t>2026-10-16</t>
        </is>
      </c>
      <c r="I22" s="11" t="n"/>
      <c r="J22" s="17" t="inlineStr">
        <is>
          <t>未着手</t>
        </is>
      </c>
    </row>
    <row r="23">
      <c r="A23" s="22" t="inlineStr">
        <is>
          <t>高</t>
        </is>
      </c>
      <c r="B23" s="4" t="inlineStr">
        <is>
          <t>退院者1人の生活の見通し（Ｍ-27）</t>
        </is>
      </c>
      <c r="C23" s="4" t="inlineStr">
        <is>
          <t>1年以上入院している方の退院後の住まい（共同生活援助・一般住宅・家族との同居）、日中活動、医療の継続（通院先・訪問看護）、相談支援の担当の見通しを匿名で1人分。見込量のどの行で受け止めるかを計画に明示する</t>
        </is>
      </c>
      <c r="D23" s="4" t="inlineStr">
        <is>
          <t>計画素案 第4章（２）</t>
        </is>
      </c>
      <c r="E23" s="4" t="inlineStr">
        <is>
          <t>7-5（精度：7-2）</t>
        </is>
      </c>
      <c r="F23" s="11" t="inlineStr">
        <is>
          <t>北塩原村</t>
        </is>
      </c>
      <c r="G23" s="13" t="inlineStr">
        <is>
          <t>未受領</t>
        </is>
      </c>
      <c r="H23" s="11" t="inlineStr">
        <is>
          <t>2026-10-16</t>
        </is>
      </c>
      <c r="I23" s="11" t="n"/>
      <c r="J23" s="17" t="inlineStr">
        <is>
          <t>未着手</t>
        </is>
      </c>
    </row>
    <row r="24">
      <c r="A24" s="22" t="inlineStr">
        <is>
          <t>高</t>
        </is>
      </c>
      <c r="B24" s="4" t="inlineStr">
        <is>
          <t>卒業予定者の一覧（Ｍ-21）</t>
        </is>
      </c>
      <c r="C24" s="4" t="inlineStr">
        <is>
          <t>令和9〜11年度に特別支援学校又は特別支援学級を卒業する予定の方の卒業年度・在籍校・進路希望・就労選択支援の利用予定・医療的ケア及び強度行動障害の有無</t>
        </is>
      </c>
      <c r="D24" s="4" t="inlineStr">
        <is>
          <t>計画素案 第5章2（学校卒業に伴うサービスの移行）</t>
        </is>
      </c>
      <c r="E24" s="4" t="inlineStr">
        <is>
          <t>7-2・7-3</t>
        </is>
      </c>
      <c r="F24" s="11" t="inlineStr">
        <is>
          <t>北塩原村</t>
        </is>
      </c>
      <c r="G24" s="13" t="inlineStr">
        <is>
          <t>未受領</t>
        </is>
      </c>
      <c r="H24" s="11" t="inlineStr">
        <is>
          <t>2026-10-09</t>
        </is>
      </c>
      <c r="I24" s="11" t="n"/>
      <c r="J24" s="17" t="inlineStr">
        <is>
          <t>未着手</t>
        </is>
      </c>
    </row>
    <row r="25">
      <c r="A25" s="11" t="inlineStr">
        <is>
          <t>―</t>
        </is>
      </c>
      <c r="B25" s="4" t="inlineStr">
        <is>
          <t>自立支援協議会の資料13点（令和8年5月25日）</t>
        </is>
      </c>
      <c r="C25" s="4" t="inlineStr">
        <is>
          <t>【受領済み】見込量と実績（資料2-3）、障害福祉サービス等の提供体制の確保に係る目標、進捗管理評価シート7枚、北塩原村障がい計画 進捗管理及び評価、計画策定方針、アンケート調査、意見・提案。令和8年10月8日に受領し source/村資料_自立支援協議会_20260525 に格納。令和8年10月10日に未読だった4点（計画策定方針・進捗管理評価シート7枚・意見・提案・アンケート調査）を読み、正本と突き合わせた（北塩原村_村資料点検_20261010.xlsx。修正案26件・照会9件）。計画策定方針のスケジュールにより、協議会の開催時期の未定が解けた</t>
        </is>
      </c>
      <c r="D25" s="4" t="inlineStr">
        <is>
          <t>計画素案 第4章（実績6件を反映）／村資料点検 01〜07シート</t>
        </is>
      </c>
      <c r="E25" s="4" t="inlineStr">
        <is>
          <t>5-10・6-1・6-2・6-3</t>
        </is>
      </c>
      <c r="F25" s="11" t="inlineStr">
        <is>
          <t>北塩原村</t>
        </is>
      </c>
      <c r="G25" s="11" t="inlineStr">
        <is>
          <t>受領済</t>
        </is>
      </c>
      <c r="H25" s="11" t="inlineStr">
        <is>
          <t>2026-10-08</t>
        </is>
      </c>
      <c r="I25" s="11" t="n"/>
      <c r="J25" s="12" t="inlineStr">
        <is>
          <t>完了</t>
        </is>
      </c>
    </row>
    <row r="26">
      <c r="A26" s="22" t="inlineStr">
        <is>
          <t>高</t>
        </is>
      </c>
      <c r="B26" s="4" t="inlineStr">
        <is>
          <t>高齢者サービスの手引きと高齢者福祉施策の対象要件（Ｍ-50）</t>
        </is>
      </c>
      <c r="C26" s="4" t="inlineStr">
        <is>
          <t>【一部受領】令和8年度 北塩原村高齢者サービスの手引き（3頁）を令和8年10月10日に受領し source/村資料_高齢者施策_20261010 に格納。福祉サービス13件と村内のサービス事業者一覧7事業所を確認した。対象はいずれも「高齢者世帯等」「65歳以上」「概ね60歳以上」であり、障がいのある方が「等」に含まれるかと利用実績は未確認</t>
        </is>
      </c>
      <c r="D26" s="4" t="inlineStr">
        <is>
          <t>計画素案 第5章5（65歳到達）・第5章1（3）（住まい。W-7で反映）／第5章2（4）（共生型サービス。W-11で反映）</t>
        </is>
      </c>
      <c r="E26" s="4" t="inlineStr">
        <is>
          <t>7-9・8-1（精度：7-2）</t>
        </is>
      </c>
      <c r="F26" s="11" t="inlineStr">
        <is>
          <t>北塩原村</t>
        </is>
      </c>
      <c r="G26" s="13" t="inlineStr">
        <is>
          <t>一部受領</t>
        </is>
      </c>
      <c r="H26" s="11" t="inlineStr">
        <is>
          <t>2026-10-20</t>
        </is>
      </c>
      <c r="I26" s="11" t="n"/>
      <c r="J26" s="14" t="inlineStr">
        <is>
          <t>進行中</t>
        </is>
      </c>
    </row>
    <row r="27">
      <c r="A27" s="22" t="inlineStr">
        <is>
          <t>高</t>
        </is>
      </c>
      <c r="B27" s="4" t="inlineStr">
        <is>
          <t>高齢者世帯等除雪サービス事業の「等」の範囲（Ｍ-49）</t>
        </is>
      </c>
      <c r="C27" s="4" t="inlineStr">
        <is>
          <t>【一部受領】手引きで事業の存在と内容を確認（除雪が困難な高齢者世帯等に居宅の除雪経費の一部を助成。非課税世帯）。「等」に障がいのみを理由とする世帯が含まれるか、障がいのある方が属する世帯の利用実績、助成の上限額は未確認</t>
        </is>
      </c>
      <c r="D27" s="4" t="inlineStr">
        <is>
          <t>計画素案 第5章2（冬季の提供体制）／12重点施策 評価設計 01シート</t>
        </is>
      </c>
      <c r="E27" s="4" t="inlineStr">
        <is>
          <t>8-1（精度：8-3）</t>
        </is>
      </c>
      <c r="F27" s="11" t="inlineStr">
        <is>
          <t>北塩原村</t>
        </is>
      </c>
      <c r="G27" s="13" t="inlineStr">
        <is>
          <t>一部受領</t>
        </is>
      </c>
      <c r="H27" s="11" t="inlineStr">
        <is>
          <t>2026-10-20</t>
        </is>
      </c>
      <c r="I27" s="11" t="n"/>
      <c r="J27" s="14" t="inlineStr">
        <is>
          <t>進行中</t>
        </is>
      </c>
    </row>
    <row r="28">
      <c r="A28" s="22" t="inlineStr">
        <is>
          <t>高</t>
        </is>
      </c>
      <c r="B28" s="4" t="inlineStr">
        <is>
          <t>権利擁護・成年後見の件数（Ｍ-51）</t>
        </is>
      </c>
      <c r="C28" s="4" t="inlineStr">
        <is>
          <t>相談件数、会津権利擁護・成年後見センターへの接続件数、申立支援件数、報酬助成件数、親亡き後に関する相談件数、共同生活援助・単身生活への移行件数。令和8年度住民向け成年後見講座のちらしは受領済み（11市町村と中核機関の共催。10月23日・24日開催。村の担当は保健福祉課）。参加者数と村からの参加の呼びかけの状況は未確認</t>
        </is>
      </c>
      <c r="D28" s="4" t="inlineStr">
        <is>
          <t>計画素案 第6章1（3）（W-12で反映）・第6章3（W-6で6指標の枠を入れた）</t>
        </is>
      </c>
      <c r="E28" s="4" t="inlineStr">
        <is>
          <t>8-1（精度：7-4）</t>
        </is>
      </c>
      <c r="F28" s="11" t="inlineStr">
        <is>
          <t>北塩原村</t>
        </is>
      </c>
      <c r="G28" s="13" t="inlineStr">
        <is>
          <t>未受領</t>
        </is>
      </c>
      <c r="H28" s="11" t="inlineStr">
        <is>
          <t>2026-10-20</t>
        </is>
      </c>
      <c r="I28" s="11" t="n"/>
      <c r="J28" s="17" t="inlineStr">
        <is>
          <t>未着手</t>
        </is>
      </c>
    </row>
    <row r="29">
      <c r="A29" s="11" t="inlineStr">
        <is>
          <t>中</t>
        </is>
      </c>
      <c r="B29" s="4" t="inlineStr">
        <is>
          <t>緊急連絡カードの配布対象と障がい分野での活用（Ｍ-52）</t>
        </is>
      </c>
      <c r="C29" s="4" t="inlineStr">
        <is>
          <t>【一部受領】様式（2人分。持病・お薬、かかりつけ医、緊急連絡先、備考、本人の同意欄）を令和8年10月10日に受領。配布の対象と実績、実施している課と事業名、障がいのある方・医療的ケアが必要な方への活用状況、消防との情報共有の取決めは未確認</t>
        </is>
      </c>
      <c r="D29" s="4" t="inlineStr">
        <is>
          <t>計画素案 第5章2（11）（W-8で4場面、W-4で様式の活用を入れた）</t>
        </is>
      </c>
      <c r="E29" s="4" t="inlineStr">
        <is>
          <t>8-1</t>
        </is>
      </c>
      <c r="F29" s="11" t="inlineStr">
        <is>
          <t>北塩原村</t>
        </is>
      </c>
      <c r="G29" s="13" t="inlineStr">
        <is>
          <t>一部受領</t>
        </is>
      </c>
      <c r="H29" s="11" t="inlineStr">
        <is>
          <t>2026-10-20</t>
        </is>
      </c>
      <c r="I29" s="11" t="n"/>
      <c r="J29" s="14" t="inlineStr">
        <is>
          <t>進行中</t>
        </is>
      </c>
    </row>
    <row r="30">
      <c r="A30" s="11" t="inlineStr">
        <is>
          <t>中</t>
        </is>
      </c>
      <c r="B30" s="4" t="inlineStr">
        <is>
          <t>地域生活支援拠点等の5機能の実績（Ｍ-54）</t>
        </is>
      </c>
      <c r="C30" s="4" t="inlineStr">
        <is>
          <t>会津北部地域生活支援拠点の相談・緊急時の受入れ・体験の機会及び場・専門的人材の確保養成・地域の体制づくりの機能ごとの令和6・7年度の実績と検証・検討の実施回数</t>
        </is>
      </c>
      <c r="D30" s="4" t="inlineStr">
        <is>
          <t>計画素案 第4章2（5）（W-3で機能ごとの記録の枠を入れた）</t>
        </is>
      </c>
      <c r="E30" s="4" t="inlineStr">
        <is>
          <t>8-1（精度：7-5）</t>
        </is>
      </c>
      <c r="F30" s="11" t="inlineStr">
        <is>
          <t>北塩原村</t>
        </is>
      </c>
      <c r="G30" s="13" t="inlineStr">
        <is>
          <t>未受領</t>
        </is>
      </c>
      <c r="H30" s="11" t="inlineStr">
        <is>
          <t>2026-10-27</t>
        </is>
      </c>
      <c r="I30" s="11" t="n"/>
      <c r="J30" s="17" t="inlineStr">
        <is>
          <t>未着手</t>
        </is>
      </c>
    </row>
    <row r="31">
      <c r="A31" s="22" t="inlineStr">
        <is>
          <t>高</t>
        </is>
      </c>
      <c r="B31" s="4" t="inlineStr">
        <is>
          <t>除雪サービスの利用実績と助成の内容（Ｍ-55・Ｍ-56）</t>
        </is>
      </c>
      <c r="C31" s="4" t="inlineStr">
        <is>
          <t>高齢者世帯等除雪サービス事業について、直近3年度の全利用世帯数・うち障がいのある方がいる世帯数・うち65歳未満の障がい者世帯数と、助成上限・自己負担・利用回数・除雪の範囲（玄関、生活道路、屋根雪等）・対象業者・申請方法</t>
        </is>
      </c>
      <c r="D31" s="4" t="inlineStr">
        <is>
          <t>計画素案 第5章2（14）冬季の地域生活の継続（W-13で反映）</t>
        </is>
      </c>
      <c r="E31" s="4" t="inlineStr">
        <is>
          <t>8-1（精度：8-3）</t>
        </is>
      </c>
      <c r="F31" s="11" t="inlineStr">
        <is>
          <t>北塩原村</t>
        </is>
      </c>
      <c r="G31" s="13" t="inlineStr">
        <is>
          <t>未受領</t>
        </is>
      </c>
      <c r="H31" s="11" t="inlineStr">
        <is>
          <t>2026-10-20</t>
        </is>
      </c>
      <c r="I31" s="11" t="n"/>
      <c r="J31" s="17" t="inlineStr">
        <is>
          <t>未着手</t>
        </is>
      </c>
    </row>
    <row r="32">
      <c r="A32" s="11" t="inlineStr">
        <is>
          <t>中</t>
        </is>
      </c>
      <c r="B32" s="4" t="inlineStr">
        <is>
          <t>冬季の除雪の供給の制約とつなぐ運用（Ｍ-57・Ｍ-58）</t>
        </is>
      </c>
      <c r="C32" s="4" t="inlineStr">
        <is>
          <t>地区ごとに対応できる業者、豪雪時の人手不足、申請しても利用できなかった世帯、冬季のサービスの停止・遅延。相談支援専門員・民生委員児童委員・社会福祉協議会・地域包括支援センターから既存事業へつなぐ運用の有無</t>
        </is>
      </c>
      <c r="D32" s="4" t="inlineStr">
        <is>
          <t>計画素案 第5章2（14）・第5章2（7）事業所の受入余力の把握</t>
        </is>
      </c>
      <c r="E32" s="4" t="inlineStr">
        <is>
          <t>8-1（精度：8-3・7-2）</t>
        </is>
      </c>
      <c r="F32" s="11" t="inlineStr">
        <is>
          <t>北塩原村</t>
        </is>
      </c>
      <c r="G32" s="13" t="inlineStr">
        <is>
          <t>未受領</t>
        </is>
      </c>
      <c r="H32" s="11" t="inlineStr">
        <is>
          <t>2026-10-27</t>
        </is>
      </c>
      <c r="I32" s="11" t="n"/>
      <c r="J32" s="17" t="inlineStr">
        <is>
          <t>未着手</t>
        </is>
      </c>
    </row>
    <row r="33">
      <c r="A33" s="22" t="inlineStr">
        <is>
          <t>高</t>
        </is>
      </c>
      <c r="B33" s="4" t="inlineStr">
        <is>
          <t>手話施策の実績（Ｍ-59・Ｍ-60）</t>
        </is>
      </c>
      <c r="C33" s="4" t="inlineStr">
        <is>
          <t>公式動画による手話の紹介の年度別公開本数・再生回数・テーマ、手話出前講座の年度別開催団体数・参加者数・団体の属性。令和7年度は3回・参加者60名（進捗管理評価シート1で確認）</t>
        </is>
      </c>
      <c r="D33" s="4" t="inlineStr">
        <is>
          <t>計画素案 第5章3（2）意思疎通支援事業・手話奉仕員養成研修事業（X-2で反映）</t>
        </is>
      </c>
      <c r="E33" s="4" t="inlineStr">
        <is>
          <t>7-4（精度：8-1）</t>
        </is>
      </c>
      <c r="F33" s="11" t="inlineStr">
        <is>
          <t>北塩原村</t>
        </is>
      </c>
      <c r="G33" s="13" t="inlineStr">
        <is>
          <t>未受領</t>
        </is>
      </c>
      <c r="H33" s="11" t="inlineStr">
        <is>
          <t>2026-10-27</t>
        </is>
      </c>
      <c r="I33" s="11" t="n"/>
      <c r="J33" s="17" t="inlineStr">
        <is>
          <t>未着手</t>
        </is>
      </c>
    </row>
    <row r="34">
      <c r="A34" s="22" t="inlineStr">
        <is>
          <t>高</t>
        </is>
      </c>
      <c r="B34" s="4" t="inlineStr">
        <is>
          <t>人工透析通院交通費助成と除雪の障がい者世帯の利用実績（Ｍ-64・Ｍ-65）</t>
        </is>
      </c>
      <c r="C34" s="4" t="inlineStr">
        <is>
          <t>人工透析患者通院交通費助成の年度別利用者数・助成額・対象者数。除雪サービスのうち重度心身障害者医療費の受給対象者のみで構成される世帯の利用件数と、受給対象外の障がい者世帯からの相談の有無</t>
        </is>
      </c>
      <c r="D34" s="4" t="inlineStr">
        <is>
          <t>計画素案 第5章7（4）村単独事業／第5章2（14）冬季の地域生活の継続（X-4で反映）</t>
        </is>
      </c>
      <c r="E34" s="4" t="inlineStr">
        <is>
          <t>8-1（精度：7-7）</t>
        </is>
      </c>
      <c r="F34" s="11" t="inlineStr">
        <is>
          <t>北塩原村</t>
        </is>
      </c>
      <c r="G34" s="13" t="inlineStr">
        <is>
          <t>未受領</t>
        </is>
      </c>
      <c r="H34" s="11" t="inlineStr">
        <is>
          <t>2026-10-20</t>
        </is>
      </c>
      <c r="I34" s="11" t="n"/>
      <c r="J34" s="17" t="inlineStr">
        <is>
          <t>未着手</t>
        </is>
      </c>
    </row>
    <row r="35">
      <c r="A35" s="22" t="inlineStr">
        <is>
          <t>高</t>
        </is>
      </c>
      <c r="B35" s="4" t="inlineStr">
        <is>
          <t>障がい者活躍推進計画と物品調達方針（Ｍ-67・Ｍ-68）</t>
        </is>
      </c>
      <c r="C35" s="4" t="inlineStr">
        <is>
          <t>北塩原村障がい者活躍推進計画（第2期・令和7〜11年度）の内容と村の障がい者雇用率。令和8年9月に更新された障がい者就労施設等からの物品等の調達方針の内容と、年度別の調達件数・金額・対象施設</t>
        </is>
      </c>
      <c r="D35" s="4" t="inlineStr">
        <is>
          <t>計画素案 第1章2 関連計画（X-1で反映）／第4章2（3）優先調達</t>
        </is>
      </c>
      <c r="E35" s="4" t="inlineStr">
        <is>
          <t>8-1（精度：2-4）</t>
        </is>
      </c>
      <c r="F35" s="11" t="inlineStr">
        <is>
          <t>北塩原村</t>
        </is>
      </c>
      <c r="G35" s="13" t="inlineStr">
        <is>
          <t>未受領</t>
        </is>
      </c>
      <c r="H35" s="11" t="inlineStr">
        <is>
          <t>2026-10-20</t>
        </is>
      </c>
      <c r="I35" s="11" t="n"/>
      <c r="J35" s="17" t="inlineStr">
        <is>
          <t>未着手</t>
        </is>
      </c>
    </row>
    <row r="36">
      <c r="A36" s="11" t="inlineStr">
        <is>
          <t>中</t>
        </is>
      </c>
      <c r="B36" s="4" t="inlineStr">
        <is>
          <t>情報保障の配布実績と差別に関する相談（Ｍ-61〜Ｍ-63）</t>
        </is>
      </c>
      <c r="C36" s="4" t="inlineStr">
        <is>
          <t>電話お願い手帳の対象者・配布場所・配布数。ヘルプマーク・ヘルプカード・耳マークの年度別配布数。つなぐ窓口の相談件数・内容・対応結果</t>
        </is>
      </c>
      <c r="D36" s="4" t="inlineStr">
        <is>
          <t>計画素案 第5章2（1）住民への情報提供等（X-3で反映）</t>
        </is>
      </c>
      <c r="E36" s="4" t="inlineStr">
        <is>
          <t>8-1（精度：7-4）</t>
        </is>
      </c>
      <c r="F36" s="11" t="inlineStr">
        <is>
          <t>北塩原村</t>
        </is>
      </c>
      <c r="G36" s="13" t="inlineStr">
        <is>
          <t>未受領</t>
        </is>
      </c>
      <c r="H36" s="11" t="inlineStr">
        <is>
          <t>2026-10-27</t>
        </is>
      </c>
      <c r="I36" s="11" t="n"/>
      <c r="J36" s="17" t="inlineStr">
        <is>
          <t>未着手</t>
        </is>
      </c>
    </row>
    <row r="37">
      <c r="A37" s="11" t="inlineStr">
        <is>
          <t>低</t>
        </is>
      </c>
      <c r="B37" s="4" t="inlineStr">
        <is>
          <t>パラスポーツへの村民の参加（Ｍ-66）</t>
        </is>
      </c>
      <c r="C37" s="4" t="inlineStr">
        <is>
          <t>パラスポーツ指導員養成講習会の村民の受講者・資格取得者、村内活動への接続、障がいのある方本人のスポーツ参加の状況</t>
        </is>
      </c>
      <c r="D37" s="4" t="inlineStr">
        <is>
          <t>計画素案 第3章3 基本施策⑦スポーツ・文化</t>
        </is>
      </c>
      <c r="E37" s="4" t="inlineStr">
        <is>
          <t>8-1</t>
        </is>
      </c>
      <c r="F37" s="11" t="inlineStr">
        <is>
          <t>北塩原村</t>
        </is>
      </c>
      <c r="G37" s="13" t="inlineStr">
        <is>
          <t>未受領</t>
        </is>
      </c>
      <c r="H37" s="11" t="inlineStr">
        <is>
          <t>2026-10-27</t>
        </is>
      </c>
      <c r="I37" s="11" t="n"/>
      <c r="J37" s="17" t="inlineStr">
        <is>
          <t>未着手</t>
        </is>
      </c>
    </row>
    <row r="38">
      <c r="A38" s="11" t="inlineStr">
        <is>
          <t>低</t>
        </is>
      </c>
      <c r="B38" s="4" t="inlineStr">
        <is>
          <t>就労の受け皿（職親委託等）の実績（Ｍ-53）</t>
        </is>
      </c>
      <c r="C38" s="4" t="inlineStr">
        <is>
          <t>職親委託制度の実績、村内事業所での雇用実績、特別支援学校卒業者の就労先</t>
        </is>
      </c>
      <c r="D38" s="4" t="inlineStr">
        <is>
          <t>計画素案 第4章2（3）</t>
        </is>
      </c>
      <c r="E38" s="4" t="inlineStr">
        <is>
          <t>8-1（精度：7-4）</t>
        </is>
      </c>
      <c r="F38" s="11" t="inlineStr">
        <is>
          <t>北塩原村</t>
        </is>
      </c>
      <c r="G38" s="13" t="inlineStr">
        <is>
          <t>未受領</t>
        </is>
      </c>
      <c r="H38" s="11" t="inlineStr">
        <is>
          <t>2026-10-27</t>
        </is>
      </c>
      <c r="I38" s="11" t="n"/>
      <c r="J38" s="17" t="inlineStr">
        <is>
          <t>未着手</t>
        </is>
      </c>
    </row>
    <row r="39">
      <c r="A39" s="21" t="inlineStr">
        <is>
          <t>最優先</t>
        </is>
      </c>
      <c r="B39" s="4" t="inlineStr">
        <is>
          <t>本村の過疎区分（全部過疎／一部過疎／みなし過疎）</t>
        </is>
      </c>
      <c r="C39" s="4" t="inlineStr">
        <is>
          <t>【受領済み】福島県「県内の過疎・中山間地域の指定状況」（令和7年4月1日現在）。過疎法第2条により全域が過疎地域。県条例の中山間地域にも全域が該当</t>
        </is>
      </c>
      <c r="D39" s="4" t="inlineStr">
        <is>
          <t>サービス見込量 12_別表第五判定</t>
        </is>
      </c>
      <c r="E39" s="4" t="inlineStr">
        <is>
          <t>7-1・7-5</t>
        </is>
      </c>
      <c r="F39" s="11" t="inlineStr">
        <is>
          <t>北塩原村</t>
        </is>
      </c>
      <c r="G39" s="11" t="inlineStr">
        <is>
          <t>受領済</t>
        </is>
      </c>
      <c r="H39" s="11" t="inlineStr">
        <is>
          <t>2026-08-05</t>
        </is>
      </c>
      <c r="I39" s="11" t="n"/>
      <c r="J39" s="12" t="inlineStr">
        <is>
          <t>完了</t>
        </is>
      </c>
    </row>
    <row r="40">
      <c r="A40" s="21" t="inlineStr">
        <is>
          <t>最優先</t>
        </is>
      </c>
      <c r="B40" s="4" t="inlineStr">
        <is>
          <t>村内3事業所の詳細</t>
        </is>
      </c>
      <c r="C40" s="4" t="inlineStr">
        <is>
          <t>ReMHRAD障害福祉資源で確認した居宅介護1・重度訪問介護1・生活介護1について、事業所名、指定年月、共生型サービスの指定の有無、受入可能人数、送迎範囲</t>
        </is>
      </c>
      <c r="D40" s="4" t="inlineStr">
        <is>
          <t>骨子案修正版 第5章8／サービス見込量 08</t>
        </is>
      </c>
      <c r="E40" s="4" t="inlineStr">
        <is>
          <t>7-2（精度：3-4・8-3）</t>
        </is>
      </c>
      <c r="F40" s="11" t="inlineStr">
        <is>
          <t>北塩原村</t>
        </is>
      </c>
      <c r="G40" s="13" t="inlineStr">
        <is>
          <t>未受領</t>
        </is>
      </c>
      <c r="H40" s="11" t="inlineStr">
        <is>
          <t>2026-09-30</t>
        </is>
      </c>
      <c r="I40" s="11" t="n"/>
      <c r="J40" s="17" t="inlineStr">
        <is>
          <t>未着手</t>
        </is>
      </c>
    </row>
    <row r="41">
      <c r="A41" s="22" t="inlineStr">
        <is>
          <t>高</t>
        </is>
      </c>
      <c r="B41" s="4" t="inlineStr">
        <is>
          <t>圏域事業所の制度活用状況</t>
        </is>
      </c>
      <c r="C41" s="4" t="inlineStr">
        <is>
          <t>共生型サービスの指定の有無、多機能型・従たる事業所の設置可能性、介護保険事業所（訪問介護・居宅介護支援）の居宅介護指定取得の意向</t>
        </is>
      </c>
      <c r="D41" s="4" t="inlineStr">
        <is>
          <t>骨子案修正版 第5章8／サービス見込量 08</t>
        </is>
      </c>
      <c r="E41" s="4" t="inlineStr">
        <is>
          <t>7-2（精度：3-4・8-3）</t>
        </is>
      </c>
      <c r="F41" s="11" t="inlineStr">
        <is>
          <t>北塩原村</t>
        </is>
      </c>
      <c r="G41" s="13" t="inlineStr">
        <is>
          <t>未受領</t>
        </is>
      </c>
      <c r="H41" s="11" t="inlineStr">
        <is>
          <t>2026-10-31</t>
        </is>
      </c>
      <c r="I41" s="11" t="n"/>
      <c r="J41" s="17" t="inlineStr">
        <is>
          <t>未着手</t>
        </is>
      </c>
    </row>
    <row r="42">
      <c r="A42" s="21" t="inlineStr">
        <is>
          <t>最優先</t>
        </is>
      </c>
      <c r="B42" s="4" t="inlineStr">
        <is>
          <t>令和7年度末時点の1年以上長期入院者の実数</t>
        </is>
      </c>
      <c r="C42" s="4" t="inlineStr">
        <is>
          <t>人数、年齢区分（65歳未満／65歳以上／75歳以上／40歳以上の認知症の別）、入院先、退院の可能性。現行計画の令和5年度5人が起点。村・会津保健所で確認。ReMHRADで把握できるのは入院期間を問わない在院患者数まで（R4:7人・R5:10人・R6:8人）で、1年以上の内訳と年齢区分は公表データからは得られない</t>
        </is>
      </c>
      <c r="D42" s="4" t="inlineStr">
        <is>
          <t>骨子案修正版 第4章(2)</t>
        </is>
      </c>
      <c r="E42" s="4" t="inlineStr">
        <is>
          <t>7-5（精度：3-5）</t>
        </is>
      </c>
      <c r="F42" s="11" t="inlineStr">
        <is>
          <t>北塩原村</t>
        </is>
      </c>
      <c r="G42" s="13" t="inlineStr">
        <is>
          <t>未受領</t>
        </is>
      </c>
      <c r="H42" s="11" t="inlineStr">
        <is>
          <t>2026-09-30</t>
        </is>
      </c>
      <c r="I42" s="11" t="n"/>
      <c r="J42" s="17" t="inlineStr">
        <is>
          <t>未着手</t>
        </is>
      </c>
    </row>
    <row r="43">
      <c r="A43" s="22" t="inlineStr">
        <is>
          <t>高</t>
        </is>
      </c>
      <c r="B43" s="4" t="inlineStr">
        <is>
          <t>福島県の長期入院患者に係る基盤整備量（利用者数）</t>
        </is>
      </c>
      <c r="C43" s="4" t="inlineStr">
        <is>
          <t>県が基本指針 別表第四の三の項の式により算定した令和11年度末の値。県第7期計画は一・二の項に相当する長期在院者数（R8末目標 65歳未満898人・65歳以上1,656人）のみ掲載し三の項は無いため、県への個別照会が必要</t>
        </is>
      </c>
      <c r="D43" s="4" t="inlineStr">
        <is>
          <t>骨子案修正版 第4章(2)</t>
        </is>
      </c>
      <c r="E43" s="4" t="inlineStr">
        <is>
          <t>7-5（精度：1-8）</t>
        </is>
      </c>
      <c r="F43" s="11" t="inlineStr">
        <is>
          <t>福島県</t>
        </is>
      </c>
      <c r="G43" s="13" t="inlineStr">
        <is>
          <t>県照会中</t>
        </is>
      </c>
      <c r="H43" s="11" t="inlineStr">
        <is>
          <t>2026-10-31</t>
        </is>
      </c>
      <c r="I43" s="11" t="n"/>
      <c r="J43" s="13" t="inlineStr">
        <is>
          <t>データ待ち</t>
        </is>
      </c>
    </row>
    <row r="44">
      <c r="A44" s="22" t="inlineStr">
        <is>
          <t>高</t>
        </is>
      </c>
      <c r="B44" s="4" t="inlineStr">
        <is>
          <t>令和6年度の一般就労移行実績・就労定着支援利用実績</t>
        </is>
      </c>
      <c r="C44" s="4" t="inlineStr">
        <is>
          <t>成果目標の倍率（全体1.31倍、就労移行支援1.14倍、A型おおむね1.52倍、B型おおむね1.67倍、就労定着支援1.47倍）の基準値。事業種別ごとに必要</t>
        </is>
      </c>
      <c r="D44" s="4" t="inlineStr">
        <is>
          <t>骨子案修正版 第4章(3)</t>
        </is>
      </c>
      <c r="E44" s="4" t="inlineStr">
        <is>
          <t>6-2・7-5</t>
        </is>
      </c>
      <c r="F44" s="11" t="inlineStr">
        <is>
          <t>北塩原村</t>
        </is>
      </c>
      <c r="G44" s="13" t="inlineStr">
        <is>
          <t>未受領</t>
        </is>
      </c>
      <c r="H44" s="11" t="inlineStr">
        <is>
          <t>2026-09-30</t>
        </is>
      </c>
      <c r="I44" s="11" t="n"/>
      <c r="J44" s="17" t="inlineStr">
        <is>
          <t>未着手</t>
        </is>
      </c>
    </row>
    <row r="45">
      <c r="A45" s="11" t="inlineStr">
        <is>
          <t>中</t>
        </is>
      </c>
      <c r="B45" s="4" t="inlineStr">
        <is>
          <t>第7期計画の令和8年度目標の達成見込み</t>
        </is>
      </c>
      <c r="C45" s="4" t="inlineStr">
        <is>
          <t>未達の場合、未達成割合を令和11年度目標に上乗せする規定がある（第二 一・三）。本村は地域移行0人・削減0人が目標のため、達成／未達の整理が必要</t>
        </is>
      </c>
      <c r="D45" s="4" t="inlineStr">
        <is>
          <t>骨子案修正版 第4章(1)(3)</t>
        </is>
      </c>
      <c r="E45" s="4" t="inlineStr">
        <is>
          <t>6-2・7-5</t>
        </is>
      </c>
      <c r="F45" s="11" t="inlineStr">
        <is>
          <t>北塩原村</t>
        </is>
      </c>
      <c r="G45" s="13" t="inlineStr">
        <is>
          <t>未受領</t>
        </is>
      </c>
      <c r="H45" s="11" t="inlineStr">
        <is>
          <t>2026-10-31</t>
        </is>
      </c>
      <c r="I45" s="11" t="n"/>
      <c r="J45" s="17" t="inlineStr">
        <is>
          <t>未着手</t>
        </is>
      </c>
    </row>
    <row r="46">
      <c r="A46" s="21" t="inlineStr">
        <is>
          <t>最優先</t>
        </is>
      </c>
      <c r="B46" s="4" t="inlineStr">
        <is>
          <t>年齢別・サービス別の匿名利用者一覧</t>
        </is>
      </c>
      <c r="C46" s="4" t="inlineStr">
        <is>
          <t>利用者番号、生年月、障害支援区分、利用中のサービス、月利用日数・時間。氏名不要</t>
        </is>
      </c>
      <c r="D46" s="4" t="inlineStr">
        <is>
          <t>サービス見込量 02・03・04</t>
        </is>
      </c>
      <c r="E46" s="4" t="inlineStr">
        <is>
          <t>3-6・7-2・7-3</t>
        </is>
      </c>
      <c r="F46" s="11" t="inlineStr">
        <is>
          <t>北塩原村</t>
        </is>
      </c>
      <c r="G46" s="13" t="inlineStr">
        <is>
          <t>未受領</t>
        </is>
      </c>
      <c r="H46" s="11" t="inlineStr">
        <is>
          <t>2026-08-31</t>
        </is>
      </c>
      <c r="I46" s="11" t="n"/>
      <c r="J46" s="17" t="inlineStr">
        <is>
          <t>未着手</t>
        </is>
      </c>
    </row>
    <row r="47">
      <c r="A47" s="21" t="inlineStr">
        <is>
          <t>最優先</t>
        </is>
      </c>
      <c r="B47" s="4" t="inlineStr">
        <is>
          <t>サービス別の支給決定者数（実人数）</t>
        </is>
      </c>
      <c r="C47" s="4" t="inlineStr">
        <is>
          <t>請求件数ではなく実人数。計画相談支援は請求と実人数が一致しないため特に必要</t>
        </is>
      </c>
      <c r="D47" s="4" t="inlineStr">
        <is>
          <t>サービス見込量 03・04</t>
        </is>
      </c>
      <c r="E47" s="4" t="inlineStr">
        <is>
          <t>7-2・7-3</t>
        </is>
      </c>
      <c r="F47" s="11" t="inlineStr">
        <is>
          <t>北塩原村</t>
        </is>
      </c>
      <c r="G47" s="13" t="inlineStr">
        <is>
          <t>未受領</t>
        </is>
      </c>
      <c r="H47" s="11" t="inlineStr">
        <is>
          <t>2026-08-31</t>
        </is>
      </c>
      <c r="I47" s="11" t="n"/>
      <c r="J47" s="17" t="inlineStr">
        <is>
          <t>未着手</t>
        </is>
      </c>
    </row>
    <row r="48">
      <c r="A48" s="21" t="inlineStr">
        <is>
          <t>最優先</t>
        </is>
      </c>
      <c r="B48" s="4" t="inlineStr">
        <is>
          <t>年齢階級別の手帳所持者数・人口</t>
        </is>
      </c>
      <c r="C48" s="4" t="inlineStr">
        <is>
          <t>身体は0〜17／18〜39／40〜64／65〜74／75歳以上、療育・精神は18歳未満／18〜64／65歳以上</t>
        </is>
      </c>
      <c r="D48" s="4" t="inlineStr">
        <is>
          <t>将来推計 05</t>
        </is>
      </c>
      <c r="E48" s="4" t="inlineStr">
        <is>
          <t>3-6（精度：3-1・3-2）</t>
        </is>
      </c>
      <c r="F48" s="11" t="inlineStr">
        <is>
          <t>北塩原村</t>
        </is>
      </c>
      <c r="G48" s="13" t="inlineStr">
        <is>
          <t>未受領</t>
        </is>
      </c>
      <c r="H48" s="11" t="inlineStr">
        <is>
          <t>2026-09-30</t>
        </is>
      </c>
      <c r="I48" s="11" t="n"/>
      <c r="J48" s="17" t="inlineStr">
        <is>
          <t>未着手</t>
        </is>
      </c>
    </row>
    <row r="49">
      <c r="A49" s="22" t="inlineStr">
        <is>
          <t>高</t>
        </is>
      </c>
      <c r="B49" s="4" t="inlineStr">
        <is>
          <t>令和6・7年度実績、令和8年度見込</t>
        </is>
      </c>
      <c r="C49" s="4" t="inlineStr">
        <is>
          <t>成果目標、サービス別利用者数・利用量、給付費、地域生活支援事業、相談件数</t>
        </is>
      </c>
      <c r="D49" s="4" t="inlineStr">
        <is>
          <t>前回計画評価／サービス見込量／財源構成案</t>
        </is>
      </c>
      <c r="E49" s="4" t="inlineStr">
        <is>
          <t>6-2・7-2・7-7（精度：6-1）</t>
        </is>
      </c>
      <c r="F49" s="11" t="inlineStr">
        <is>
          <t>北塩原村</t>
        </is>
      </c>
      <c r="G49" s="13" t="inlineStr">
        <is>
          <t>未受領</t>
        </is>
      </c>
      <c r="H49" s="11" t="inlineStr">
        <is>
          <t>2026-09-30</t>
        </is>
      </c>
      <c r="I49" s="11" t="n"/>
      <c r="J49" s="17" t="inlineStr">
        <is>
          <t>未着手</t>
        </is>
      </c>
    </row>
    <row r="50">
      <c r="A50" s="22" t="inlineStr">
        <is>
          <t>高</t>
        </is>
      </c>
      <c r="B50" s="4" t="inlineStr">
        <is>
          <t>発送対象者数（重複除外後）</t>
        </is>
      </c>
      <c r="C50" s="4" t="inlineStr">
        <is>
          <t>仕様書の約190人の内訳と、現行計画156人との差の理由</t>
        </is>
      </c>
      <c r="D50" s="4" t="inlineStr">
        <is>
          <t>契約管理5／アンケート発送設計</t>
        </is>
      </c>
      <c r="E50" s="4" t="inlineStr">
        <is>
          <t>4-1（精度：4-6）</t>
        </is>
      </c>
      <c r="F50" s="11" t="inlineStr">
        <is>
          <t>北塩原村</t>
        </is>
      </c>
      <c r="G50" s="13" t="inlineStr">
        <is>
          <t>未受領</t>
        </is>
      </c>
      <c r="H50" s="11" t="inlineStr">
        <is>
          <t>2026-08-05</t>
        </is>
      </c>
      <c r="I50" s="11" t="n"/>
      <c r="J50" s="17" t="inlineStr">
        <is>
          <t>未着手</t>
        </is>
      </c>
    </row>
    <row r="51">
      <c r="A51" s="22" t="inlineStr">
        <is>
          <t>高</t>
        </is>
      </c>
      <c r="B51" s="4" t="inlineStr">
        <is>
          <t>宛名ラベルシール</t>
        </is>
      </c>
      <c r="C51" s="4" t="inlineStr">
        <is>
          <t>仕様書Ⅰ(1)により委託者が抽出し提供</t>
        </is>
      </c>
      <c r="D51" s="4" t="inlineStr">
        <is>
          <t>アンケート発送</t>
        </is>
      </c>
      <c r="E51" s="4" t="inlineStr">
        <is>
          <t>4-1（精度：4-6）</t>
        </is>
      </c>
      <c r="F51" s="11" t="inlineStr">
        <is>
          <t>北塩原村</t>
        </is>
      </c>
      <c r="G51" s="13" t="inlineStr">
        <is>
          <t>未受領</t>
        </is>
      </c>
      <c r="H51" s="11" t="inlineStr">
        <is>
          <t>2026-08-05</t>
        </is>
      </c>
      <c r="I51" s="11" t="n"/>
      <c r="J51" s="17" t="inlineStr">
        <is>
          <t>未着手</t>
        </is>
      </c>
    </row>
    <row r="52">
      <c r="A52" s="22" t="inlineStr">
        <is>
          <t>高</t>
        </is>
      </c>
      <c r="B52" s="4" t="inlineStr">
        <is>
          <t>特別支援学校・特別支援学級の在籍者</t>
        </is>
      </c>
      <c r="C52" s="4" t="inlineStr">
        <is>
          <t>学年、卒業予定年度、卒業後の進路。令和6〜7年度に卒業した方の現在の利用状況も含む</t>
        </is>
      </c>
      <c r="D52" s="4" t="inlineStr">
        <is>
          <t>サービス見込量 02・03</t>
        </is>
      </c>
      <c r="E52" s="4" t="inlineStr">
        <is>
          <t>7-3（精度：3-6）</t>
        </is>
      </c>
      <c r="F52" s="11" t="inlineStr">
        <is>
          <t>北塩原村</t>
        </is>
      </c>
      <c r="G52" s="13" t="inlineStr">
        <is>
          <t>未受領</t>
        </is>
      </c>
      <c r="H52" s="11" t="inlineStr">
        <is>
          <t>2026-09-30</t>
        </is>
      </c>
      <c r="I52" s="11" t="n"/>
      <c r="J52" s="17" t="inlineStr">
        <is>
          <t>未着手</t>
        </is>
      </c>
    </row>
    <row r="53">
      <c r="A53" s="22" t="inlineStr">
        <is>
          <t>高</t>
        </is>
      </c>
      <c r="B53" s="4" t="inlineStr">
        <is>
          <t>令和9〜11年度の65歳到達者</t>
        </is>
      </c>
      <c r="C53" s="4" t="inlineStr">
        <is>
          <t>到達年度、現在利用しているサービス、月量</t>
        </is>
      </c>
      <c r="D53" s="4" t="inlineStr">
        <is>
          <t>サービス見込量 02・06</t>
        </is>
      </c>
      <c r="E53" s="4" t="inlineStr">
        <is>
          <t>7-2・7-9</t>
        </is>
      </c>
      <c r="F53" s="11" t="inlineStr">
        <is>
          <t>北塩原村</t>
        </is>
      </c>
      <c r="G53" s="13" t="inlineStr">
        <is>
          <t>未受領</t>
        </is>
      </c>
      <c r="H53" s="11" t="inlineStr">
        <is>
          <t>2026-09-30</t>
        </is>
      </c>
      <c r="I53" s="11" t="n"/>
      <c r="J53" s="17" t="inlineStr">
        <is>
          <t>未着手</t>
        </is>
      </c>
    </row>
    <row r="54">
      <c r="A54" s="11" t="inlineStr">
        <is>
          <t>―</t>
        </is>
      </c>
      <c r="B54" s="4" t="inlineStr">
        <is>
          <t>前回調査の調査結果報告書</t>
        </is>
      </c>
      <c r="C54" s="4" t="inlineStr">
        <is>
          <t>発送164人・回収95人・回収率57.9%。設問別の集計結果を収録</t>
        </is>
      </c>
      <c r="D54" s="4" t="inlineStr">
        <is>
          <t>アンケート集計設計・経年比較</t>
        </is>
      </c>
      <c r="E54" s="4" t="inlineStr">
        <is>
          <t>5-2・5-5</t>
        </is>
      </c>
      <c r="F54" s="11" t="inlineStr">
        <is>
          <t>北塩原村</t>
        </is>
      </c>
      <c r="G54" s="11" t="inlineStr">
        <is>
          <t>受領済</t>
        </is>
      </c>
      <c r="H54" s="11" t="inlineStr">
        <is>
          <t>2026-08-03</t>
        </is>
      </c>
      <c r="I54" s="11" t="n"/>
      <c r="J54" s="12" t="inlineStr">
        <is>
          <t>完了</t>
        </is>
      </c>
    </row>
    <row r="55">
      <c r="A55" s="22" t="inlineStr">
        <is>
          <t>高</t>
        </is>
      </c>
      <c r="B55" s="4" t="inlineStr">
        <is>
          <t>小規模公表基準</t>
        </is>
      </c>
      <c r="C55" s="4" t="inlineStr">
        <is>
          <t>n&lt;5の秘匿、地区別・障がい種別クロスの扱い</t>
        </is>
      </c>
      <c r="D55" s="4" t="inlineStr">
        <is>
          <t>アンケート集計・報告書</t>
        </is>
      </c>
      <c r="E55" s="4" t="inlineStr">
        <is>
          <t>5-2（精度：5-6）</t>
        </is>
      </c>
      <c r="F55" s="11" t="inlineStr">
        <is>
          <t>北塩原村</t>
        </is>
      </c>
      <c r="G55" s="13" t="inlineStr">
        <is>
          <t>未受領</t>
        </is>
      </c>
      <c r="H55" s="11" t="inlineStr">
        <is>
          <t>2026-09-30</t>
        </is>
      </c>
      <c r="I55" s="11" t="n"/>
      <c r="J55" s="17" t="inlineStr">
        <is>
          <t>未着手</t>
        </is>
      </c>
    </row>
    <row r="56">
      <c r="A56" s="22" t="inlineStr">
        <is>
          <t>高</t>
        </is>
      </c>
      <c r="B56" s="4" t="inlineStr">
        <is>
          <t>障がい福祉関係の歳入歳出決算</t>
        </is>
      </c>
      <c r="C56" s="4" t="inlineStr">
        <is>
          <t>自立支援給付費負担金、障害児施設給付費負担金、地域生活支援事業費補助金の交付額と村負担</t>
        </is>
      </c>
      <c r="D56" s="4" t="inlineStr">
        <is>
          <t>財源構成案 04・06・07</t>
        </is>
      </c>
      <c r="E56" s="4" t="inlineStr">
        <is>
          <t>7-7</t>
        </is>
      </c>
      <c r="F56" s="11" t="inlineStr">
        <is>
          <t>北塩原村</t>
        </is>
      </c>
      <c r="G56" s="13" t="inlineStr">
        <is>
          <t>未受領</t>
        </is>
      </c>
      <c r="H56" s="11" t="inlineStr">
        <is>
          <t>2026-10-31</t>
        </is>
      </c>
      <c r="I56" s="11" t="n"/>
      <c r="J56" s="17" t="inlineStr">
        <is>
          <t>未着手</t>
        </is>
      </c>
    </row>
    <row r="57">
      <c r="A57" s="22" t="inlineStr">
        <is>
          <t>高</t>
        </is>
      </c>
      <c r="B57" s="4" t="inlineStr">
        <is>
          <t>令和6・7年度の障害児給付費の変動理由</t>
        </is>
      </c>
      <c r="C57" s="4" t="inlineStr">
        <is>
          <t>児童発達支援23件→1件、放課後等デイ12件→27件の理由。受給者単位で就学移行かを確認</t>
        </is>
      </c>
      <c r="D57" s="4" t="inlineStr">
        <is>
          <t>サービス見込量 04／計画本文</t>
        </is>
      </c>
      <c r="E57" s="4" t="inlineStr">
        <is>
          <t>7-3（精度：6-1）</t>
        </is>
      </c>
      <c r="F57" s="11" t="inlineStr">
        <is>
          <t>北塩原村</t>
        </is>
      </c>
      <c r="G57" s="13" t="inlineStr">
        <is>
          <t>未受領</t>
        </is>
      </c>
      <c r="H57" s="11" t="inlineStr">
        <is>
          <t>2026-09-30</t>
        </is>
      </c>
      <c r="I57" s="11" t="n"/>
      <c r="J57" s="17" t="inlineStr">
        <is>
          <t>未着手</t>
        </is>
      </c>
    </row>
    <row r="58">
      <c r="A58" s="11" t="inlineStr">
        <is>
          <t>―</t>
        </is>
      </c>
      <c r="B58" s="4" t="inlineStr">
        <is>
          <t>現行計画本編（第4次障がい者計画・第7期・第3期）</t>
        </is>
      </c>
      <c r="C58" s="4" t="inlineStr">
        <is>
          <t>本編63頁、アンケート調査結果報告書69頁、概要版4頁。令和6年3月策定</t>
        </is>
      </c>
      <c r="D58" s="4" t="inlineStr">
        <is>
          <t>全体（年齢3区分別人口・前回調査の内訳を反映済み）</t>
        </is>
      </c>
      <c r="E58" s="4" t="inlineStr">
        <is>
          <t>1-2・8-6</t>
        </is>
      </c>
      <c r="F58" s="11" t="inlineStr">
        <is>
          <t>北塩原村</t>
        </is>
      </c>
      <c r="G58" s="11" t="inlineStr">
        <is>
          <t>受領済</t>
        </is>
      </c>
      <c r="H58" s="11" t="inlineStr">
        <is>
          <t>2026-08-03</t>
        </is>
      </c>
      <c r="I58" s="11" t="n"/>
      <c r="J58" s="12" t="inlineStr">
        <is>
          <t>完了</t>
        </is>
      </c>
    </row>
    <row r="59">
      <c r="A59" s="11" t="inlineStr">
        <is>
          <t>中</t>
        </is>
      </c>
      <c r="B59" s="4" t="inlineStr">
        <is>
          <t>圏域事業所の受入可能性</t>
        </is>
      </c>
      <c r="C59" s="4" t="inlineStr">
        <is>
          <t>定員、空き、送迎範囲、受入可否。介護保険事業所の共生型サービス指定の有無を含む</t>
        </is>
      </c>
      <c r="D59" s="4" t="inlineStr">
        <is>
          <t>サービス見込量 08</t>
        </is>
      </c>
      <c r="E59" s="4" t="inlineStr">
        <is>
          <t>7-2・7-3（精度：3-4・8-3）</t>
        </is>
      </c>
      <c r="F59" s="11" t="inlineStr">
        <is>
          <t>北塩原村</t>
        </is>
      </c>
      <c r="G59" s="13" t="inlineStr">
        <is>
          <t>未受領</t>
        </is>
      </c>
      <c r="H59" s="11" t="inlineStr">
        <is>
          <t>2026-10-31</t>
        </is>
      </c>
      <c r="I59" s="11" t="n"/>
      <c r="J59" s="17" t="inlineStr">
        <is>
          <t>未着手</t>
        </is>
      </c>
    </row>
    <row r="60">
      <c r="A60" s="11" t="inlineStr">
        <is>
          <t>中</t>
        </is>
      </c>
      <c r="B60" s="4" t="inlineStr">
        <is>
          <t>医療的ケア児者・地域生活支援拠点・個別避難計画の実態</t>
        </is>
      </c>
      <c r="C60" s="4" t="inlineStr">
        <is>
          <t>【一部受領】令和8年8月の調査票朱書きで、医療的ケア児1人（経管栄養が毎日必要）、個別避難計画の作成0件を確認。なお必要なのは、医療的ケア児1人の年齢・就学状況、拠点の検証会・緊急対応の実績、避難行動要支援者名簿の登載者数</t>
        </is>
      </c>
      <c r="D60" s="4" t="inlineStr">
        <is>
          <t>計画本文 第4章・第6章／村提供実績データ 01</t>
        </is>
      </c>
      <c r="E60" s="4" t="inlineStr">
        <is>
          <t>7-5・8-1</t>
        </is>
      </c>
      <c r="F60" s="11" t="inlineStr">
        <is>
          <t>北塩原村</t>
        </is>
      </c>
      <c r="G60" s="13" t="inlineStr">
        <is>
          <t>一部受領</t>
        </is>
      </c>
      <c r="H60" s="11" t="inlineStr">
        <is>
          <t>2026-10-31</t>
        </is>
      </c>
      <c r="I60" s="11" t="n"/>
      <c r="J60" s="14" t="inlineStr">
        <is>
          <t>進行中</t>
        </is>
      </c>
    </row>
    <row r="61">
      <c r="A61" s="21" t="inlineStr">
        <is>
          <t>最優先</t>
        </is>
      </c>
      <c r="B61" s="4" t="inlineStr">
        <is>
          <t>障害支援区分別人数の基準日とサービス利用状況</t>
        </is>
      </c>
      <c r="C61" s="4" t="inlineStr">
        <is>
          <t>【一部受領】令和8年8月の調査票朱書きで、区分2=5人・区分3=2人・区分4=5人・区分5=1人・区分6=2人（計15人、区分1は0人）を確認。基準日が示されていないため要確認。あわせて15人それぞれのサービス利用状況、区分6の2人の行動関連項目の点数、共同生活援助8人のうち区分認定を受けている者の数</t>
        </is>
      </c>
      <c r="D61" s="4" t="inlineStr">
        <is>
          <t>村提供実績データ 02／骨子案修正版 第5章1</t>
        </is>
      </c>
      <c r="E61" s="4" t="inlineStr">
        <is>
          <t>3-3・7-1</t>
        </is>
      </c>
      <c r="F61" s="11" t="inlineStr">
        <is>
          <t>北塩原村</t>
        </is>
      </c>
      <c r="G61" s="13" t="inlineStr">
        <is>
          <t>一部受領</t>
        </is>
      </c>
      <c r="H61" s="11" t="inlineStr">
        <is>
          <t>2026-09-30</t>
        </is>
      </c>
      <c r="I61" s="11" t="n"/>
      <c r="J61" s="14" t="inlineStr">
        <is>
          <t>進行中</t>
        </is>
      </c>
    </row>
    <row r="62">
      <c r="A62" s="11" t="inlineStr">
        <is>
          <t>―</t>
        </is>
      </c>
      <c r="B62" s="4" t="inlineStr">
        <is>
          <t>セルフプラン率・基幹相談支援センター・就労選択支援事業所の状況</t>
        </is>
      </c>
      <c r="C62" s="4" t="inlineStr">
        <is>
          <t>【受領済み】令和8年8月の調査票朱書きで、セルフプラン率0％、基幹相談支援センター未設置、会津管内に就労選択支援事業所なしを確認。なお必要なのは、基幹相談支援センターの第8期期間中の設置意向と4町村での検討状況、就労選択支援の圏域での協議状況</t>
        </is>
      </c>
      <c r="D62" s="4" t="inlineStr">
        <is>
          <t>村提供実績データ 01／骨子案修正版 第4章(3)(6)</t>
        </is>
      </c>
      <c r="E62" s="4" t="inlineStr">
        <is>
          <t>6-2・7-6</t>
        </is>
      </c>
      <c r="F62" s="11" t="inlineStr">
        <is>
          <t>北塩原村</t>
        </is>
      </c>
      <c r="G62" s="13" t="inlineStr">
        <is>
          <t>一部受領</t>
        </is>
      </c>
      <c r="H62" s="11" t="inlineStr">
        <is>
          <t>2026-09-30</t>
        </is>
      </c>
      <c r="I62" s="11" t="n"/>
      <c r="J62" s="14" t="inlineStr">
        <is>
          <t>進行中</t>
        </is>
      </c>
    </row>
    <row r="63">
      <c r="A63" s="11" t="inlineStr">
        <is>
          <t>―</t>
        </is>
      </c>
      <c r="B63" s="4" t="inlineStr">
        <is>
          <t>障がい児の入所・申請の状況</t>
        </is>
      </c>
      <c r="C63" s="4" t="inlineStr">
        <is>
          <t>【受領済み】令和8年8月の調査票朱書きで、障がい児入所施設・児童福祉施設の利用児0件、障害児通所支援の申請中0件を確認。第5章の障害児入所支援の見込量を0とする根拠</t>
        </is>
      </c>
      <c r="D63" s="4" t="inlineStr">
        <is>
          <t>村提供実績データ 01／骨子案修正版 第4章(4)</t>
        </is>
      </c>
      <c r="E63" s="4" t="inlineStr">
        <is>
          <t>6-2・7-3</t>
        </is>
      </c>
      <c r="F63" s="11" t="inlineStr">
        <is>
          <t>北塩原村</t>
        </is>
      </c>
      <c r="G63" s="11" t="inlineStr">
        <is>
          <t>受領済</t>
        </is>
      </c>
      <c r="H63" s="11" t="inlineStr">
        <is>
          <t>2026-08-14</t>
        </is>
      </c>
      <c r="I63" s="11" t="n"/>
      <c r="J63" s="12" t="inlineStr">
        <is>
          <t>完了</t>
        </is>
      </c>
    </row>
    <row r="64">
      <c r="A64" s="11" t="inlineStr">
        <is>
          <t>―</t>
        </is>
      </c>
      <c r="B64" s="4" t="inlineStr">
        <is>
          <t>実態調査及びPDCAサイクルに関するマニュアル（令和8年8月）</t>
        </is>
      </c>
      <c r="C64" s="4" t="inlineStr">
        <is>
          <t>【受領済み】福島県通知（8生福第2646号・8こ第2041号 令和8年8月24日）により受領。厚労省・こども家庭庁の令和8年8月19日事務連絡の別添。全81頁。令和2年版を基本指針の改正を踏まえて修正したもの</t>
        </is>
      </c>
      <c r="D64" s="4" t="inlineStr">
        <is>
          <t>サービス見込量 12_別表第五判定／骨子案修正版 第1章6・第5章1／北塩原村_実態調査PDCAマニュアル_確認結果</t>
        </is>
      </c>
      <c r="E64" s="4" t="inlineStr">
        <is>
          <t>2-5・7-1</t>
        </is>
      </c>
      <c r="F64" s="11" t="inlineStr">
        <is>
          <t>国（県経由）</t>
        </is>
      </c>
      <c r="G64" s="11" t="inlineStr">
        <is>
          <t>受領済</t>
        </is>
      </c>
      <c r="H64" s="11" t="inlineStr">
        <is>
          <t>2026-08-27</t>
        </is>
      </c>
      <c r="I64" s="11" t="n"/>
      <c r="J64" s="12" t="inlineStr">
        <is>
          <t>完了</t>
        </is>
      </c>
    </row>
    <row r="65">
      <c r="A65" s="21" t="inlineStr">
        <is>
          <t>最優先</t>
        </is>
      </c>
      <c r="B65" s="4" t="inlineStr">
        <is>
          <t>要介護認定の有無・要介護度（匿名利用者一覧への列追加）</t>
        </is>
      </c>
      <c r="C65" s="4" t="inlineStr">
        <is>
          <t>依頼済みの「年齢別・サービス別の匿名利用者一覧」に、要介護認定の有無・要介護度・利用している介護保険サービスの列を追加。確定版の調査票に介護保険の設問がないため、これが唯一の把握手段になる</t>
        </is>
      </c>
      <c r="D65" s="4" t="inlineStr">
        <is>
          <t>クロス集計設計 A-1／サービス見込量 06_65歳移行判定</t>
        </is>
      </c>
      <c r="E65" s="4" t="inlineStr">
        <is>
          <t>7-9（精度：5-2）</t>
        </is>
      </c>
      <c r="F65" s="11" t="inlineStr">
        <is>
          <t>北塩原村</t>
        </is>
      </c>
      <c r="G65" s="13" t="inlineStr">
        <is>
          <t>未受領</t>
        </is>
      </c>
      <c r="H65" s="11" t="inlineStr">
        <is>
          <t>2026-09-30</t>
        </is>
      </c>
      <c r="I65" s="11" t="n"/>
      <c r="J65" s="17" t="inlineStr">
        <is>
          <t>未着手</t>
        </is>
      </c>
    </row>
    <row r="66">
      <c r="A66" s="22" t="inlineStr">
        <is>
          <t>高</t>
        </is>
      </c>
      <c r="B66" s="4" t="inlineStr">
        <is>
          <t>PDCAの評価体制・スケジュール・公表方法</t>
        </is>
      </c>
      <c r="C66" s="4" t="inlineStr">
        <is>
          <t>自立支援協議会と庁内会議体の役割分担、実績把握と評価の時期（村の予算編成に合わせる）、中間評価の結果の公表方法（ホームページ・広報誌・協議会資料の公開範囲）</t>
        </is>
      </c>
      <c r="D66" s="4" t="inlineStr">
        <is>
          <t>骨子案修正版 第1章6</t>
        </is>
      </c>
      <c r="E66" s="4" t="inlineStr">
        <is>
          <t>8-2（精度：2-5）</t>
        </is>
      </c>
      <c r="F66" s="11" t="inlineStr">
        <is>
          <t>北塩原村</t>
        </is>
      </c>
      <c r="G66" s="13" t="inlineStr">
        <is>
          <t>未受領</t>
        </is>
      </c>
      <c r="H66" s="11" t="inlineStr">
        <is>
          <t>2026-12-31</t>
        </is>
      </c>
      <c r="I66" s="11" t="n"/>
      <c r="J66" s="17" t="inlineStr">
        <is>
          <t>未着手</t>
        </is>
      </c>
    </row>
    <row r="67">
      <c r="A67" s="11" t="inlineStr">
        <is>
          <t>―</t>
        </is>
      </c>
      <c r="B67" s="4" t="inlineStr">
        <is>
          <t>アンケート調査票への村の修正指示</t>
        </is>
      </c>
      <c r="C67" s="4" t="inlineStr">
        <is>
          <t>【受領済み】障がい者版17頁・障がい児版19頁のスキャンPDF。朱書き40か所。設問の削除・追加・順序変更のほか、削除理由として村の実データ9件が書き添えられている</t>
        </is>
      </c>
      <c r="D67" s="4" t="inlineStr">
        <is>
          <t>村提供実績データ 05／北塩原村_アンケート調査票_村修正指示_確認結果</t>
        </is>
      </c>
      <c r="E67" s="4" t="inlineStr">
        <is>
          <t>4-2・4-7</t>
        </is>
      </c>
      <c r="F67" s="11" t="inlineStr">
        <is>
          <t>北塩原村</t>
        </is>
      </c>
      <c r="G67" s="11" t="inlineStr">
        <is>
          <t>受領済</t>
        </is>
      </c>
      <c r="H67" s="11" t="inlineStr">
        <is>
          <t>2026-08-14</t>
        </is>
      </c>
      <c r="I67" s="11" t="n"/>
      <c r="J67" s="12" t="inlineStr">
        <is>
          <t>完了</t>
        </is>
      </c>
    </row>
    <row r="68">
      <c r="A68" s="11" t="inlineStr">
        <is>
          <t>中</t>
        </is>
      </c>
      <c r="B68" s="4" t="inlineStr">
        <is>
          <t>第5次総合振興計画たたき台、健康21現行計画、高齢者福祉・介護保険事業計画</t>
        </is>
      </c>
      <c r="C68" s="4" t="inlineStr">
        <is>
          <t>関連計画との整合確認</t>
        </is>
      </c>
      <c r="D68" s="4" t="inlineStr">
        <is>
          <t>計画本文 第1章・第7章</t>
        </is>
      </c>
      <c r="E68" s="4" t="inlineStr">
        <is>
          <t>2-4（精度：8-1）</t>
        </is>
      </c>
      <c r="F68" s="11" t="inlineStr">
        <is>
          <t>北塩原村</t>
        </is>
      </c>
      <c r="G68" s="13" t="inlineStr">
        <is>
          <t>未受領</t>
        </is>
      </c>
      <c r="H68" s="11" t="inlineStr">
        <is>
          <t>2026-10-31</t>
        </is>
      </c>
      <c r="I68" s="11" t="n"/>
      <c r="J68" s="17" t="inlineStr">
        <is>
          <t>未着手</t>
        </is>
      </c>
    </row>
    <row r="69">
      <c r="A69" s="11" t="inlineStr">
        <is>
          <t>中</t>
        </is>
      </c>
      <c r="B69" s="4" t="inlineStr">
        <is>
          <t>40歳以上65歳未満の特定疾病該当者</t>
        </is>
      </c>
      <c r="C69" s="4" t="inlineStr">
        <is>
          <t>16の特定疾病に該当し要介護認定を受けている方の有無</t>
        </is>
      </c>
      <c r="D69" s="4" t="inlineStr">
        <is>
          <t>サービス見込量 02</t>
        </is>
      </c>
      <c r="E69" s="4" t="inlineStr">
        <is>
          <t>7-9（精度：7-2）</t>
        </is>
      </c>
      <c r="F69" s="11" t="inlineStr">
        <is>
          <t>北塩原村</t>
        </is>
      </c>
      <c r="G69" s="13" t="inlineStr">
        <is>
          <t>未受領</t>
        </is>
      </c>
      <c r="H69" s="11" t="inlineStr">
        <is>
          <t>2026-10-31</t>
        </is>
      </c>
      <c r="I69" s="11" t="n"/>
      <c r="J69" s="17" t="inlineStr">
        <is>
          <t>未着手</t>
        </is>
      </c>
    </row>
    <row r="70">
      <c r="A70" s="11" t="inlineStr">
        <is>
          <t>中</t>
        </is>
      </c>
      <c r="B70" s="4" t="inlineStr">
        <is>
          <t>自立支援協議会の委員名簿</t>
        </is>
      </c>
      <c r="C70" s="4" t="inlineStr">
        <is>
          <t>任期・氏名・所属・役職</t>
        </is>
      </c>
      <c r="D70" s="4" t="inlineStr">
        <is>
          <t>計画書 資料編</t>
        </is>
      </c>
      <c r="E70" s="4" t="inlineStr">
        <is>
          <t>10-1（精度：9-1）</t>
        </is>
      </c>
      <c r="F70" s="11" t="inlineStr">
        <is>
          <t>北塩原村</t>
        </is>
      </c>
      <c r="G70" s="13" t="inlineStr">
        <is>
          <t>未受領</t>
        </is>
      </c>
      <c r="H70" s="11" t="inlineStr">
        <is>
          <t>2026-12-31</t>
        </is>
      </c>
      <c r="I70" s="11" t="n"/>
      <c r="J70" s="17" t="inlineStr">
        <is>
          <t>未着手</t>
        </is>
      </c>
    </row>
    <row r="72" ht="32" customHeight="1">
      <c r="A72" s="4" t="inlineStr">
        <is>
          <t>※ 本シートは 北塩原村_業務進捗管理.xlsx 04_村資料受領状況 と同じデータから作成しており、「関係WBS」列を足して 01_WBS と結び付けたものです。依頼の詳細を見るために2冊を行き来する必要はありません。</t>
        </is>
      </c>
    </row>
    <row r="73" ht="32" customHeight="1">
      <c r="A73" s="4" t="inlineStr">
        <is>
          <t>※ 「関係WBS」は、その資料が届かないと確定できない作業の番号です。括弧内（精度：…）は、公表データ等で作業自体は済んでおり、資料が届くと具体性が増すものです。01_WBS の「必要な村資料」列が同じ対応の逆引きで、確定に必要な資料が届いていない作業は赤字にしています。</t>
        </is>
      </c>
    </row>
    <row r="74" ht="32" customHeight="1">
      <c r="A74" s="4" t="inlineStr">
        <is>
          <t>※ 「状態」は村資料の原語（未受領・一部受領・県照会中・受領済）、「WBS状態」は 01_WBS と同じ語彙（未着手・進行中・データ待ち・完了）です。受領したら「状態」を受領済に、「受領日」に日付を入れてください。</t>
        </is>
      </c>
    </row>
    <row r="75" ht="32" customHeight="1">
      <c r="A75" s="4" t="inlineStr">
        <is>
          <t>※ 現況：69件のうち受領済7件・一部受領6件・県照会中1件・未受領55件。見込量の基礎となる系列（Ｍ-19）は1件の回答で 7-2・7-3・7-7・8-7・5-10 の5作業が動くため、単独で先に照会します。</t>
        </is>
      </c>
    </row>
  </sheetData>
  <autoFilter ref="A1:J70"/>
  <mergeCells count="4">
    <mergeCell ref="A72:J72"/>
    <mergeCell ref="A74:J74"/>
    <mergeCell ref="A75:J75"/>
    <mergeCell ref="A73:J7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20" customWidth="1" min="3" max="3"/>
    <col width="42" customWidth="1" min="4" max="4"/>
    <col width="12" customWidth="1" min="5" max="5"/>
    <col width="56" customWidth="1" min="6" max="6"/>
  </cols>
  <sheetData>
    <row r="1">
      <c r="A1" s="3" t="inlineStr">
        <is>
          <t>区分</t>
        </is>
      </c>
      <c r="B1" s="3" t="inlineStr">
        <is>
          <t>回</t>
        </is>
      </c>
      <c r="C1" s="3" t="inlineStr">
        <is>
          <t>時期</t>
        </is>
      </c>
      <c r="D1" s="3" t="inlineStr">
        <is>
          <t>議題</t>
        </is>
      </c>
      <c r="E1" s="3" t="inlineStr">
        <is>
          <t>資料の状態</t>
        </is>
      </c>
      <c r="F1" s="3" t="inlineStr">
        <is>
          <t>備考</t>
        </is>
      </c>
    </row>
    <row r="2">
      <c r="A2" s="4" t="inlineStr">
        <is>
          <t>北塩原村障がい者自立支援協議会</t>
        </is>
      </c>
      <c r="B2" s="11" t="inlineStr">
        <is>
          <t>第1回（既済）</t>
        </is>
      </c>
      <c r="C2" s="11" t="inlineStr">
        <is>
          <t>令和8年5月25日</t>
        </is>
      </c>
      <c r="D2" s="4" t="inlineStr">
        <is>
          <t>第7期計画の進捗管理・評価、計画策定方針、アンケート調査、意見・提案（21件）</t>
        </is>
      </c>
      <c r="E2" s="12" t="inlineStr">
        <is>
          <t>完了</t>
        </is>
      </c>
      <c r="F2" s="4" t="inlineStr">
        <is>
          <t>資料13点を令和8年10月8日に受領。令和8年10月10日に未読の4点を読み、正本と突合（北塩原村_村資料点検_20261010.xlsx）</t>
        </is>
      </c>
    </row>
    <row r="3">
      <c r="A3" s="4" t="inlineStr">
        <is>
          <t>北塩原村障がい者自立支援協議会</t>
        </is>
      </c>
      <c r="B3" s="11" t="inlineStr">
        <is>
          <t>第2回</t>
        </is>
      </c>
      <c r="C3" s="11" t="inlineStr">
        <is>
          <t>令和8年10月</t>
        </is>
      </c>
      <c r="D3" s="4" t="inlineStr">
        <is>
          <t>現行計画の現状・評価分析、アンケート調査の結果報告、計画素案の検討（概要版を含む）</t>
        </is>
      </c>
      <c r="E3" s="16" t="inlineStr">
        <is>
          <t>要対応</t>
        </is>
      </c>
      <c r="F3" s="4" t="inlineStr">
        <is>
          <t>村の計画策定方針による。評価・素案・概要版は作成済みでアンケート結果だけが欠ける。開催日を村に確認する（Ｍ-40）</t>
        </is>
      </c>
    </row>
    <row r="4">
      <c r="A4" s="4" t="inlineStr">
        <is>
          <t>北塩原村障がい者自立支援協議会（4町村広域）</t>
        </is>
      </c>
      <c r="B4" s="11" t="inlineStr">
        <is>
          <t>第3回</t>
        </is>
      </c>
      <c r="C4" s="11" t="inlineStr">
        <is>
          <t>令和8年12月</t>
        </is>
      </c>
      <c r="D4" s="4" t="inlineStr">
        <is>
          <t>パブリックコメントの結果報告、計画案の修正</t>
        </is>
      </c>
      <c r="E4" s="17" t="inlineStr">
        <is>
          <t>未着手</t>
        </is>
      </c>
      <c r="F4" s="4" t="inlineStr">
        <is>
          <t>村の方針では猪苗代町・磐梯町・湯川村・本村の4町村広域。正本 第1章5に4町村広域の協議会を加える（修正案V-4）</t>
        </is>
      </c>
    </row>
    <row r="5">
      <c r="A5" s="4" t="inlineStr">
        <is>
          <t>庁議</t>
        </is>
      </c>
      <c r="B5" s="11" t="inlineStr">
        <is>
          <t>第1回</t>
        </is>
      </c>
      <c r="C5" s="11" t="inlineStr">
        <is>
          <t>令和9年1月</t>
        </is>
      </c>
      <c r="D5" s="4" t="inlineStr">
        <is>
          <t>計画の概要についての説明、計画案の最終調整</t>
        </is>
      </c>
      <c r="E5" s="14" t="inlineStr">
        <is>
          <t>進行中</t>
        </is>
      </c>
      <c r="F5" s="4" t="inlineStr">
        <is>
          <t>村の方針による。庁議資料2・4の2点を作成済み</t>
        </is>
      </c>
    </row>
    <row r="6">
      <c r="A6" s="4" t="inlineStr">
        <is>
          <t>議会全員協議会</t>
        </is>
      </c>
      <c r="B6" s="11" t="inlineStr">
        <is>
          <t>第1回</t>
        </is>
      </c>
      <c r="C6" s="11" t="inlineStr">
        <is>
          <t>令和9年2月</t>
        </is>
      </c>
      <c r="D6" s="4" t="inlineStr">
        <is>
          <t>計画案の説明（令和9年度主要事業）、計画決定</t>
        </is>
      </c>
      <c r="E6" s="17" t="inlineStr">
        <is>
          <t>未着手</t>
        </is>
      </c>
      <c r="F6" s="4" t="inlineStr">
        <is>
          <t>村の方針による。正本 第1章5に村議会への説明がない</t>
        </is>
      </c>
    </row>
    <row r="7">
      <c r="A7" s="4" t="inlineStr">
        <is>
          <t>パブリックコメント</t>
        </is>
      </c>
      <c r="B7" s="11" t="inlineStr">
        <is>
          <t>―</t>
        </is>
      </c>
      <c r="C7" s="11" t="inlineStr">
        <is>
          <t>令和8年11月</t>
        </is>
      </c>
      <c r="D7" s="4" t="inlineStr">
        <is>
          <t>計画案に対する意見の募集</t>
        </is>
      </c>
      <c r="E7" s="16" t="inlineStr">
        <is>
          <t>要対応</t>
        </is>
      </c>
      <c r="F7" s="4" t="inlineStr">
        <is>
          <t>村の方針は11月実施。正本 第1章5(4)は令和9年2月8日〜22日と書いており直す必要がある（修正案V-24）。前回（令和6年2月）は意見0件</t>
        </is>
      </c>
    </row>
    <row r="8">
      <c r="A8" s="4" t="inlineStr">
        <is>
          <t>村との打合せ</t>
        </is>
      </c>
      <c r="B8" s="11" t="inlineStr">
        <is>
          <t>随時</t>
        </is>
      </c>
      <c r="C8" s="11" t="inlineStr">
        <is>
          <t>通年</t>
        </is>
      </c>
      <c r="D8" s="4" t="inlineStr">
        <is>
          <t>工程、資料、協議事項</t>
        </is>
      </c>
      <c r="E8" s="14" t="inlineStr">
        <is>
          <t>進行中</t>
        </is>
      </c>
      <c r="F8" s="4" t="inlineStr">
        <is>
          <t>仕様書4-Ⅲ。令和8年7月7日の打合せで実施設計を合意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56" customWidth="1" min="3" max="3"/>
    <col width="24" customWidth="1" min="4" max="4"/>
    <col width="46" customWidth="1" min="5" max="5"/>
    <col width="11" customWidth="1" min="6" max="6"/>
  </cols>
  <sheetData>
    <row r="1">
      <c r="A1" s="3" t="inlineStr">
        <is>
          <t>No</t>
        </is>
      </c>
      <c r="B1" s="3" t="inlineStr">
        <is>
          <t>課題・リスク</t>
        </is>
      </c>
      <c r="C1" s="3" t="inlineStr">
        <is>
          <t>内容</t>
        </is>
      </c>
      <c r="D1" s="3" t="inlineStr">
        <is>
          <t>影響</t>
        </is>
      </c>
      <c r="E1" s="3" t="inlineStr">
        <is>
          <t>対応</t>
        </is>
      </c>
      <c r="F1" s="3" t="inlineStr">
        <is>
          <t>状態</t>
        </is>
      </c>
    </row>
    <row r="2">
      <c r="A2" s="11" t="inlineStr">
        <is>
          <t>R-39</t>
        </is>
      </c>
      <c r="B2" s="4" t="inlineStr">
        <is>
          <t>高齢者施策への接続について、村が答えられない形で照会していた</t>
        </is>
      </c>
      <c r="C2" s="4" t="inlineStr">
        <is>
          <t>本計画は、65歳に達した後の生活を支える仕組みが介護保険の給付だけではないことを書き、村の高齢者福祉施策・村単独事業・介護保険の地域支援事業への接続を扱っている。当方はこれまで「障がいのある方が対象に含まれるかは事業ごとに異なります」と書き、村に「対象となるか」を照会していた（Ｍ-50・Ｍ-71・Ｍ-81）。国の地域支援事業実施要綱を読んだところ、任意事業の対象者は「被保険者、要介護被保険者を現に介護する者その他個々の事業の対象者として市町村が認める者」とされており、障がいのある方を対象に含めるかどうかは村の要綱の定め方による事項であった。村にとっては、国に決められていることを聞かれているのか自らの定めを聞かれているのかが分からない問いになっていた。あわせて、成年後見制度利用支援事業の条項を第115条の45第2項第2号と取り違えており（正しくは第3項第3号の任意事業。第2項第2号は権利擁護事業）、この誤りが村へ出す照会文Ｍ-97の本文にも入っていた</t>
        </is>
      </c>
      <c r="D2" s="4" t="inlineStr">
        <is>
          <t>照会の立て方／影響度中</t>
        </is>
      </c>
      <c r="E2" s="4" t="inlineStr">
        <is>
          <t>令和8年10月11日に、要綱の原典を照合して直した。Ｍ-108（本村が実施している地域支援事業と、その要綱における対象者の定め）を起票し、「対象となるか」から「村の要綱が対象者をどう定めているか」へ聞き方を改めた。第5章5（2）に理由と表5-40（地域支援事業の区分と対象者の定め）を入れた（ＣＳ-1）。Ｍ-97とＫ-9の条項は第3項第3号に直した。照会文は村に渡るものであるため、送る前に直した。以後、照会を立てるときは「国が決めていること」と「村が決めていること」を分けてから書く</t>
        </is>
      </c>
      <c r="F2" s="11" t="inlineStr">
        <is>
          <t>対応済み</t>
        </is>
      </c>
    </row>
    <row r="3">
      <c r="A3" s="11" t="inlineStr">
        <is>
          <t>R-38</t>
        </is>
      </c>
      <c r="B3" s="4" t="inlineStr">
        <is>
          <t>高次脳機能障害者支援法が令和8年4月1日に施行され、村にも窓口の明確化と実施状況の公表が求められる</t>
        </is>
      </c>
      <c r="C3" s="4" t="inlineStr">
        <is>
          <t>高次脳機能障害者支援法（令和7年法律第96号）は令和7年12月24日に公布され、令和8年4月1日から施行された。施行通知（障精発0415第1号 令和8年4月15日）は「各自治体」として、①相談できる窓口の明確化と周知（法第17条）、②普及啓発（法第18条・第26条・第27条・第28条）、③関係部局間の連携と人材の確保（法第29条）、④実態把握の調査（法第5条）、⑤支援の状況及び施策の実施状況の公表（法第10条第2項）を求めている。通知の宛先は都道府県及び指定都市であるが、都道府県に管内市町村への周知徹底を求めているため、本村も含まれる。とくに⑤は、都道府県が管内市区町村の状況を取りまとめて国へ報告することとされており、本村の実施状況が国へ上がる。さらに施行令（令和8年政令第60号）第1条は、高次脳機能障害から認知症及び発達障害を除いている。窓口が一つしかない本村では、記憶や注意の障がいという見え方が同じでもつなぎ先が分かれるため、この切り分けが相談の入口を決める</t>
        </is>
      </c>
      <c r="D3" s="4" t="inlineStr">
        <is>
          <t>制度動向／影響度高</t>
        </is>
      </c>
      <c r="E3" s="4" t="inlineStr">
        <is>
          <t>令和8年10月11日に、施行通知と施行令の原典を照合して反映した。第1章4（3）に公布と施行の日を書き（ＫＮ-1）、第5章2（2）に村が行うこと、定義の切り分けの表（表5-17）、及び県が行うことを書いた（ＫＮ-2）。県の支援センターの指定は令和8年度内に行われる見込みであり、指定の状況、地域協議会への参画、及び公表の様式と時期を照会する（Ｍ-107）。手元にないのは法律の条文そのもの、支援事業の実施要綱（障発0407第31号 別紙1）、及び公表等についての通知の別紙様式である。とくに公表の様式は本村が公表する事項に直に関わる</t>
        </is>
      </c>
      <c r="F3" s="14" t="inlineStr">
        <is>
          <t>進行中</t>
        </is>
      </c>
    </row>
    <row r="4">
      <c r="A4" s="11" t="inlineStr">
        <is>
          <t>R-37</t>
        </is>
      </c>
      <c r="B4" s="4" t="inlineStr">
        <is>
          <t>国の予算資料は当初予算と前年度補正予算が同じ資料に載るため、年度を取り違えやすい</t>
        </is>
      </c>
      <c r="C4" s="4" t="inlineStr">
        <is>
          <t>令和8年度障害保健福祉部予算案の概要には、令和8年度当初予算と令和7年度補正予算が同じ資料に載っている。レビューは令和7年度補正の7事業（賃上げ439億円ほか）を令和8年度当初として扱っており、当方はこれを指摘した。ところが当方自身も、令和7年度の資料に【令和6年度補正予算】として載っている中核的人材養成研修事業21百万円を「令和7年度予算にもある」と書いていた。同じ種類の誤りである。あわせて広域的支援人材の配置の開始年度を1年遅く書き（正しくは令和6年度当初予算）、令和8年度の原典にある【新規】の表示を「政策の新設ではない」と言い換えて消していた</t>
        </is>
      </c>
      <c r="D4" s="4" t="inlineStr">
        <is>
          <t>資料の読み方／影響度高</t>
        </is>
      </c>
      <c r="E4" s="4" t="inlineStr">
        <is>
          <t>令和8年10月11日に、令和6年度の原典を得て訂正した。build_kitashiobara_yosan_mece.py の自己点検に、①令和7年度の資料についても補正予算の見出しの後ろに並んでいるかを確かめる、②広域的支援人材が令和6年度の原典に「新たに配置」とあることを確かめる、③令和8年度の原典の【新規】表示を確かめる、④訂正前の主張が残っていないこと及び訂正後の記述が入っていることを確かめる、の4点を加えた。いずれも生成のたびに走る。正本の本文（ＹＳ-1・ＹＳ-3）は年度を言わずに書いていたため、本文の訂正は要らなかった。以後、国の施策を本文に書くときは年度を言わず、「進められている」「令和９年度から始められるよう準備が進められている」のように書く</t>
        </is>
      </c>
      <c r="F4" s="11" t="inlineStr">
        <is>
          <t>対応済み</t>
        </is>
      </c>
    </row>
    <row r="5">
      <c r="A5" s="11" t="inlineStr">
        <is>
          <t>R-36</t>
        </is>
      </c>
      <c r="B5" s="4" t="inlineStr">
        <is>
          <t>確保の方策の記述が当方の中で食い違っていた（共生型サービス）</t>
        </is>
      </c>
      <c r="C5" s="4" t="inlineStr">
        <is>
          <t>第5章2（4）のＷ-11は、同じ段落の中で「本村には障がい福祉サービスの事業所が３カ所しかありません」と書きながら、末尾で「村内で居宅介護又は生活介護を受けられるようになれば」と書いていた。前者は村内に事業所があると言い、後者はまだ受けられないと言っている。当方の調べ（ReMHRAD障害福祉資源）では令和7年時点で居宅介護１カ所・重度訪問介護１カ所・生活介護１カ所があり、後者が誤りである。外部の資料を見るまでもなく、当方が書いた文の中で矛盾していた。あわせて「共生型サービス又は基準該当サービスの指定を受けることを働きかけます」という書き方も制度用語として誤っていた。基準該当障害福祉サービスは指定を受ける制度ではない</t>
        </is>
      </c>
      <c r="D5" s="4" t="inlineStr">
        <is>
          <t>記述の整合／影響度高</t>
        </is>
      </c>
      <c r="E5" s="4" t="inlineStr">
        <is>
          <t>令和8年10月11日に、国の資料7件を照合したうえでＷ-11を書き直した（build_kitashiobara_juten12.py の側）。村内の３カ所の内訳を明示し、共生型が指定の手続の特例であって事業者の申請が要ることと、一方の指定がもう一方の基準を満たすことを意味しないことを書き足した。第5章5（2）にＫＹ-1（事業所の指定の形と65歳到達後の続け方）を追記した。村内の事業所の指定の形は当方では確かめられないため村に照会する（Ｍ-106）。同種の食い違いを防ぐため、build_kitashiobara_kyoseigata.py の自己点検で直す前の文が正本に残っていないことを生成のたびに確かめる</t>
        </is>
      </c>
      <c r="F5" s="14" t="inlineStr">
        <is>
          <t>進行中</t>
        </is>
      </c>
    </row>
    <row r="6">
      <c r="A6" s="11" t="inlineStr">
        <is>
          <t>R-35</t>
        </is>
      </c>
      <c r="B6" s="4" t="inlineStr">
        <is>
          <t>令和8年度の報酬改定（＋1.84％）を見込量の基準年度に織り込んでいない</t>
        </is>
      </c>
      <c r="C6" s="4" t="inlineStr">
        <is>
          <t>本計画の見込量は令和7年度の給付実績を基礎としている。しかし令和8年度の障害福祉サービス等報酬改定は既に決まっており、改定率は＋1.84％である（令和8年度障害保健福祉部予算案の概要）。正本の第1章4（3）は令和9年度の改定（検討中）にしか触れておらず、令和8年度の改定を書いていなかった。利用する方の人数が横ばいでも給付費は増えるため、改定前の単価による見込みのままでは給付費を低く見積もる。国の予算でも障害福祉サービス関係費は令和7年度から令和8年度にかけて9.5％の増である</t>
        </is>
      </c>
      <c r="D6" s="4" t="inlineStr">
        <is>
          <t>財政／影響度高</t>
        </is>
      </c>
      <c r="E6" s="4" t="inlineStr">
        <is>
          <t>令和8年10月10日に、第1章4（3）と第5章7（1）へ書き足した（ＹＳ-1・ＹＳ-7）。令和8年度の給付実績が出そろった段階で、改定後の単価による額を基準に置き直し、第2次算定に用いる。それまでの間、第5章7の給付費は改定前の単価によるものとして読む</t>
        </is>
      </c>
      <c r="F6" s="14" t="inlineStr">
        <is>
          <t>進行中</t>
        </is>
      </c>
    </row>
    <row r="7">
      <c r="A7" s="11" t="inlineStr">
        <is>
          <t>R-34</t>
        </is>
      </c>
      <c r="B7" s="4" t="inlineStr">
        <is>
          <t>意思決定支援ガイドラインが第2版に改訂され、考え方が変わった</t>
        </is>
      </c>
      <c r="C7" s="4" t="inlineStr">
        <is>
          <t>厚生労働省が令和8年9月に第2版を公表した。「本人の最善の利益」から「本人の意思と選好に基づく最善の解釈」への転換、どのような障害があっても意思決定能力があることを前提とする原則、本人参加の意思決定支援会議、意思決定支援責任者などが第1版から変わっている。周囲が本人にとってよいことを決めるのではなく、本人であれば何を望むのかを読み取るという向きの変更であり、用語の差し替えでは済まない。正本は案の段階から3段階を取り込んでいたが、価値観・最善の解釈・意思決定能力の前提は入っていなかった</t>
        </is>
      </c>
      <c r="D7" s="4" t="inlineStr">
        <is>
          <t>制度動向／影響度中</t>
        </is>
      </c>
      <c r="E7" s="4" t="inlineStr">
        <is>
          <t>令和8年10月10日に、原典を1件ずつ照合したうえで反映した。移植8（第4章2（7））、移植18（第5章5（1））、Ｙ-5（第6章3）を生成器の側で直し、ＩＫ-1・ＩＫ-2を追記した。新しい数値の指標は作らず、県研修への参加の内数として扱う。残るのは県研修で第2版がいつから扱われるかの確認（Ｓ-12）</t>
        </is>
      </c>
      <c r="F7" s="14" t="inlineStr">
        <is>
          <t>進行中</t>
        </is>
      </c>
    </row>
    <row r="8">
      <c r="A8" s="11" t="inlineStr">
        <is>
          <t>R-33</t>
        </is>
      </c>
      <c r="B8" s="4" t="inlineStr">
        <is>
          <t>情報公表制度の公表率・更新率100％は、村に達成の手段がほとんどない</t>
        </is>
      </c>
      <c r="C8" s="4" t="inlineStr">
        <is>
          <t>国の基本指針は管内事業所の公表率・更新率100％を成果目標としており、正本も表4-16に置いている。しかし事業者の指定もこの制度の報告先も県であり、村は指定を行う立場にない。国のＱ＆Ａ（問3-1-1）によれば、システムには自治体から事業所へ報告を促す機能も備わっていない。村にできるのは公表・更新の状況を確かめて県と連携した周知を行うことだけであり、100％に届かなかった場合に村の取組み不足とは言えない。さらに、表4-16には公表率・更新率の現状の欄が無く、いまの値を把握できていない</t>
        </is>
      </c>
      <c r="D8" s="4" t="inlineStr">
        <is>
          <t>成果目標／影響度中</t>
        </is>
      </c>
      <c r="E8" s="4" t="inlineStr">
        <is>
          <t>令和8年10月10日に、目標が何のためのものかと、村にできることの範囲を正本に書いた（ＫＪ-1）。照会Ｍ-104（令和7年度の公表・更新の実績、未報告減算の対象の有無、県から村への情報提供の有無）を第1便に入れた。県から村へ状況の提供がない場合、村は100％かどうかを確かめる手段を持たないため、目標の書き方そのものを見直す</t>
        </is>
      </c>
      <c r="F8" s="14" t="inlineStr">
        <is>
          <t>進行中</t>
        </is>
      </c>
    </row>
    <row r="9">
      <c r="A9" s="11" t="inlineStr">
        <is>
          <t>R-32</t>
        </is>
      </c>
      <c r="B9" s="4" t="inlineStr">
        <is>
          <t>広域で確保するとした機能が、相手方の計画と同じ単位・同じ数え方になっているか確かめられていない</t>
        </is>
      </c>
      <c r="C9" s="4" t="inlineStr">
        <is>
          <t>本計画は、地域生活支援拠点、基幹相談支援センター、医療的ケア児等支援、インクルージョン推進、強度行動障害支援を猪苗代町・磐梯町・湯川村との広域で確保するとしている。しかし相手方の計画では、医療的ケア児等支援の協議の場を「圏域1カ所」としており、この「圏域」が会津北部4町村か会津障がい保健福祉圏域かが分からない。単位が違えば設置すべき会議体そのものが変わる。医療的ケア児等コーディネーターも、県の養成研修の修了者、本村が数える1人、磐梯町が令和8年4月から制度化した独自配置が混在し、同じ方を双方が数えると4町村の合計が実際より多く見える。本村の計画の中では整っていても、相手方の計画と施設数・コーディネーター数・目標年度・会議体・KPIが食い違えば、広域で確保したことにならない</t>
        </is>
      </c>
      <c r="D9" s="4" t="inlineStr">
        <is>
          <t>広域連携／影響度高</t>
        </is>
      </c>
      <c r="E9" s="4" t="inlineStr">
        <is>
          <t>令和8年10月10日に会津北部4町村共同確認票（16項目）を作成し、照会Ｍ-98として第6便に入れた（期限 令和8年12月12日）。県への照会8項目はＭ-99。正本には、協議の場の単位とコーディネーターの数え方を書き分ける記述を加えた（ＫＯ-1）。回答が揃うまで、成果目標の「4町村共同」は確定表記にしない</t>
        </is>
      </c>
      <c r="F9" s="14" t="inlineStr">
        <is>
          <t>進行中</t>
        </is>
      </c>
    </row>
    <row r="10">
      <c r="A10" s="11" t="inlineStr">
        <is>
          <t>R-31</t>
        </is>
      </c>
      <c r="B10" s="4" t="inlineStr">
        <is>
          <t>手帳所持者数の将来推計が、令和8年4月の実績と逆の方向を向いている</t>
        </is>
      </c>
      <c r="C10" s="4" t="inlineStr">
        <is>
          <t>当方の将来推計ブックは平成31年〜令和5年の5か年（156人まで減少）を延ばし、令和11年度の中位推計を145人（減少）としている。他メンバー版の正本 第2章2 には令和8年4月の実績が入っており、身体127人・療育16人・精神38人の計181人で、令和5年から25人の増加である。減少という前提そのものが成り立たない。あわせて、これまで確認事項としていた「仕様書の約190人と現行計画156人の差」は、約190人が令和8年時点の実数であったと考えられるため解消した。手帳所持者数は所持率法による見込量の検証に用いるため、第2次算定の検証の土台が狂う</t>
        </is>
      </c>
      <c r="D10" s="4" t="inlineStr">
        <is>
          <t>推計／影響度高</t>
        </is>
      </c>
      <c r="E10" s="4" t="inlineStr">
        <is>
          <t>令和8年10月10日に概要版から令和11年度の推計値を外し、やり直す旨を注記した（計画素案・将来推計ブックにも【要更新】を付した）。令和6年度・令和7年度の手帳所持者数を村から受領したうえで、第2次算定で推計をやり直す。それまでの間、令和11年度の推計値を計画本文・概要版・委員会資料に載せない</t>
        </is>
      </c>
      <c r="F10" s="14" t="inlineStr">
        <is>
          <t>進行中</t>
        </is>
      </c>
    </row>
    <row r="11">
      <c r="A11" s="11" t="inlineStr">
        <is>
          <t>R-26</t>
        </is>
      </c>
      <c r="B11" s="4" t="inlineStr">
        <is>
          <t>第4次障がい者計画のアンケート指標3件が前回と比較できない</t>
        </is>
      </c>
      <c r="C11" s="4" t="inlineStr">
        <is>
          <t>①満足度は前回n=25（利用者のみ・2択）に対し今回n=33（「利用していない」を含む）。分母により39.4％（未達）と61.9％（目標60％超）に分かれ達成判定が逆転する。②差別・偏見は前回3択（25.3％）に対し今回は頻度尺度（29.0％）で、前回にない「わからない」が32.3％を占める。③外出の目的は今回の調査票に設問がなく測定できない</t>
        </is>
      </c>
      <c r="D11" s="4" t="inlineStr">
        <is>
          <t>指標／影響度高</t>
        </is>
      </c>
      <c r="E11" s="4" t="inlineStr">
        <is>
          <t>令和8年10月4日に全数を洗い出し済み（北塩原村_目標KPI_前回比較可能性.xlsx）。報告書の確定前に、3指標の扱いを村と決める。①は前回と同じ基準（利用者のみ）に揃える。②は基準値を置き直すか定義を見直す。③は行政データによる代替指標へ振り替える（クロス集計設計 Ｓ-1）。計画素案 第3章5の目標値表に直結する</t>
        </is>
      </c>
      <c r="F11" s="17" t="inlineStr">
        <is>
          <t>未着手</t>
        </is>
      </c>
    </row>
    <row r="12">
      <c r="A12" s="11" t="inlineStr">
        <is>
          <t>R-23</t>
        </is>
      </c>
      <c r="B12" s="4" t="inlineStr">
        <is>
          <t>告示後に基本指針が2度改正されており、追跡から漏れる</t>
        </is>
      </c>
      <c r="C12" s="4" t="inlineStr">
        <is>
          <t>令和8年3月31日の告示の後、同年7月10日（社会福祉法等改正）と8月19日（医療的ケア児支援法改正）に改正案が示されている。いずれも審議会資料として出たもので、告示本文だけを見ていると取りこぼす。前者は別表第二に六の項（人材確保・生産性向上・経営基盤）を新設し、市町村計画の定めるよう努めなければならない事項を1項目増やした。後者は医療的ケア者（成人）を新設し、成果目標 四の4を拡充した。計画確定の令和9年3月までにさらに改正が示される可能性がある</t>
        </is>
      </c>
      <c r="D12" s="4" t="inlineStr">
        <is>
          <t>制度動向／影響度高</t>
        </is>
      </c>
      <c r="E12" s="4" t="inlineStr">
        <is>
          <t>社会保障審議会障害者部会・こども家庭審議会障害児支援部会の資料と、県からの市町村あて通知を定期的に確認する。村にも県通知の共有を依頼する。確認結果は骨子案レビューブックに追記する</t>
        </is>
      </c>
      <c r="F12" s="14" t="inlineStr">
        <is>
          <t>進行中</t>
        </is>
      </c>
    </row>
    <row r="13">
      <c r="A13" s="11" t="inlineStr">
        <is>
          <t>R-24</t>
        </is>
      </c>
      <c r="B13" s="4" t="inlineStr">
        <is>
          <t>別表第二 三㈠⑤の基盤整備量が県の算定値待ちで確定できない</t>
        </is>
      </c>
      <c r="C13" s="4" t="inlineStr">
        <is>
          <t>長期入院患者の地域移行に伴う地域の精神保健医療福祉体制の基盤整備量（利用者数）は定めなければならない事項。県が別表第四の式で算定した値を勘案して村の値を定めるため、県の第8期計画の進捗に依存する</t>
        </is>
      </c>
      <c r="D13" s="4" t="inlineStr">
        <is>
          <t>記載事項／影響度高</t>
        </is>
      </c>
      <c r="E13" s="4" t="inlineStr">
        <is>
          <t>県へ算定値と市町村への配分の考え方を照会する（レビュー Q-1）。県計画の公表が村の計画確定に間に合わない場合の取扱いも併せて確認する</t>
        </is>
      </c>
      <c r="F13" s="17" t="inlineStr">
        <is>
          <t>未着手</t>
        </is>
      </c>
    </row>
    <row r="14">
      <c r="A14" s="11" t="inlineStr">
        <is>
          <t>R-27</t>
        </is>
      </c>
      <c r="B14" s="4" t="inlineStr">
        <is>
          <t>前回計画本編の目標値に転記誤りがある</t>
        </is>
      </c>
      <c r="C14" s="4" t="inlineStr">
        <is>
          <t>第4次障がい者計画の「外出の目的が趣味やスポーツ及びグループ活動である人の割合」の現状値28.1％は、前回調査報告書 問17（趣味やスポーツ16.3％＋グループ活動12.8％）から計算すると29.1％になる。本編は趣味やスポーツを15.3％と書いており1桁の転記誤りと考えられる。あわせて同指標は本編の④教育・育成(2)生涯学習に掲げられ、⑦スポーツ・文化で再掲されている（実質的な指標数は8件）</t>
        </is>
      </c>
      <c r="D14" s="4" t="inlineStr">
        <is>
          <t>指標／影響度中</t>
        </is>
      </c>
      <c r="E14" s="4" t="inlineStr">
        <is>
          <t>現行計画は改定対象外のため本編は直さない。計画素案 第3章5の目標値表に現状値を引くときの扱いを村に確認する。ただし同指標は今回の調査票に設問がなく測定できないため、代替指標への振替と併せて協議する（目標KPI前回比較 T-1・K-5）</t>
        </is>
      </c>
      <c r="F14" s="17" t="inlineStr">
        <is>
          <t>未着手</t>
        </is>
      </c>
    </row>
    <row r="15">
      <c r="A15" s="11" t="inlineStr">
        <is>
          <t>R-25</t>
        </is>
      </c>
      <c r="B15" s="4" t="inlineStr">
        <is>
          <t>就労継続支援A型の利用者が給付実績に現れない</t>
        </is>
      </c>
      <c r="C15" s="4" t="inlineStr">
        <is>
          <t>現行計画（第7期）と計画素案はA型1人としているが、村から受領した令和2〜7年度の給付実績にA型の計上がない。村外事業所の利用であれば給付実績に現れるはずである。見込量・給付費・成果目標（３）の就労選択支援の対象者数に影響する</t>
        </is>
      </c>
      <c r="D15" s="4" t="inlineStr">
        <is>
          <t>整合／影響度中</t>
        </is>
      </c>
      <c r="E15" s="4" t="inlineStr">
        <is>
          <t>村に利用者の有無を確認する（見込量算定 Ｍ-4）。実在しなければ見込量は0、実在すれば単価とともに計上する。確認までは現行計画を据え置き、給付費は計上しない</t>
        </is>
      </c>
      <c r="F15" s="17" t="inlineStr">
        <is>
          <t>未着手</t>
        </is>
      </c>
    </row>
    <row r="16">
      <c r="A16" s="11" t="inlineStr">
        <is>
          <t>R-1</t>
        </is>
      </c>
      <c r="B16" s="4" t="inlineStr">
        <is>
          <t>アンケート発送が工程案の8月上旬に間に合わない</t>
        </is>
      </c>
      <c r="C16" s="4" t="inlineStr">
        <is>
          <t>印刷仕様の協議、村ラベルの受領、村封筒の手配がすべて未了。1週間の遅延は回収期間または集計期間の圧縮に直結する</t>
        </is>
      </c>
      <c r="D16" s="4" t="inlineStr">
        <is>
          <t>スケジュール／影響度高</t>
        </is>
      </c>
      <c r="E16" s="4" t="inlineStr">
        <is>
          <t>8月5日までに印刷仕様を確定し、ラベル提供日を村と合意する</t>
        </is>
      </c>
      <c r="F16" s="14" t="inlineStr">
        <is>
          <t>進行中</t>
        </is>
      </c>
    </row>
    <row r="17">
      <c r="A17" s="11" t="inlineStr">
        <is>
          <t>R-2</t>
        </is>
      </c>
      <c r="B17" s="4" t="inlineStr">
        <is>
          <t>印刷仕様が仕様書と乖離している</t>
        </is>
      </c>
      <c r="C17" s="4" t="inlineStr">
        <is>
          <t>仕様書はA4判・約24ページ・黒1色の1種類。実際は34ページと37ページの2種類</t>
        </is>
      </c>
      <c r="D17" s="4" t="inlineStr">
        <is>
          <t>契約／影響度高</t>
        </is>
      </c>
      <c r="E17" s="4" t="inlineStr">
        <is>
          <t>ページ数・種類数・部数・単価の取扱いを村と協議し、結果を書面で残す</t>
        </is>
      </c>
      <c r="F17" s="17" t="inlineStr">
        <is>
          <t>未着手</t>
        </is>
      </c>
    </row>
    <row r="18">
      <c r="A18" s="11" t="inlineStr">
        <is>
          <t>R-3</t>
        </is>
      </c>
      <c r="B18" s="4" t="inlineStr">
        <is>
          <t>郵送費の負担が仕様書と異なる運用になっている</t>
        </is>
      </c>
      <c r="C18" s="4" t="inlineStr">
        <is>
          <t>仕様書は受託者負担。打合せでは村が立替え後日実費精算</t>
        </is>
      </c>
      <c r="D18" s="4" t="inlineStr">
        <is>
          <t>契約／影響度高</t>
        </is>
      </c>
      <c r="E18" s="4" t="inlineStr">
        <is>
          <t>精算方法・範囲・上限を書面で確認する</t>
        </is>
      </c>
      <c r="F18" s="17" t="inlineStr">
        <is>
          <t>未着手</t>
        </is>
      </c>
    </row>
    <row r="19">
      <c r="A19" s="11" t="inlineStr">
        <is>
          <t>R-4</t>
        </is>
      </c>
      <c r="B19" s="4" t="inlineStr">
        <is>
          <t>対象者数が確定せず、推計の起点が定まらない</t>
        </is>
      </c>
      <c r="C19" s="4" t="inlineStr">
        <is>
          <t>仕様書の約190人と現行計画の156人に22%の差。実数であれば手帳推計の方向が逆になる。前回調査は手帳所持者156人＋サービス利用者8人＝164人（重複3人含む）を発送しており、所持率トレンドを延長しても令和8年は157人にとどまる</t>
        </is>
      </c>
      <c r="D19" s="4" t="inlineStr">
        <is>
          <t>推計／影響度高</t>
        </is>
      </c>
      <c r="E19" s="4" t="inlineStr">
        <is>
          <t>発送前に村へ確認する。確認まで手帳所持者数の将来推計を確定値として記載しない</t>
        </is>
      </c>
      <c r="F19" s="14" t="inlineStr">
        <is>
          <t>進行中</t>
        </is>
      </c>
    </row>
    <row r="20">
      <c r="A20" s="11" t="inlineStr">
        <is>
          <t>R-5</t>
        </is>
      </c>
      <c r="B20" s="4" t="inlineStr">
        <is>
          <t>個別積上げに必要な村資料が揃わない</t>
        </is>
      </c>
      <c r="C20" s="4" t="inlineStr">
        <is>
          <t>年齢別・サービス別の利用者一覧と支給決定者数（実人数）がないと見込量が確定しない</t>
        </is>
      </c>
      <c r="D20" s="4" t="inlineStr">
        <is>
          <t>推計／影響度高</t>
        </is>
      </c>
      <c r="E20" s="4" t="inlineStr">
        <is>
          <t>8月末を目途に受領する。遅れる場合は現行計画の据置値で暫定版を作り、受領後に差し替える段取りを村と共有する</t>
        </is>
      </c>
      <c r="F20" s="14" t="inlineStr">
        <is>
          <t>進行中</t>
        </is>
      </c>
    </row>
    <row r="21">
      <c r="A21" s="11" t="inlineStr">
        <is>
          <t>R-6</t>
        </is>
      </c>
      <c r="B21" s="4" t="inlineStr">
        <is>
          <t>少数母数のクロス集計で個人が特定される</t>
        </is>
      </c>
      <c r="C21" s="4" t="inlineStr">
        <is>
          <t>対象者が極めて少ないサービス・地区がある</t>
        </is>
      </c>
      <c r="D21" s="4" t="inlineStr">
        <is>
          <t>個人情報／影響度中</t>
        </is>
      </c>
      <c r="E21" s="4" t="inlineStr">
        <is>
          <t>n&lt;5の秘匿基準を事前に村と合意する。公表用報告書と内部管理報告書を分離する</t>
        </is>
      </c>
      <c r="F21" s="14" t="inlineStr">
        <is>
          <t>進行中</t>
        </is>
      </c>
    </row>
    <row r="22">
      <c r="A22" s="11" t="inlineStr">
        <is>
          <t>R-7</t>
        </is>
      </c>
      <c r="B22" s="4" t="inlineStr">
        <is>
          <t>骨子案が引用する国基準数値の原典照合が未了</t>
        </is>
      </c>
      <c r="C22" s="4" t="inlineStr">
        <is>
          <t>【解消】告示第4号の本文・別表と11件を照合。319.3日・1.31倍・1.47倍はいずれも第8期の正しい数値。誤りは就労定着支援の基準（令和6年度末→令和6年度）1件。むしろ欠落6件（B型1.67倍等の事業種別目標、精神病床1年以上長期入院患者数ほか）が問題だった</t>
        </is>
      </c>
      <c r="D22" s="4" t="inlineStr">
        <is>
          <t>品質／影響度低</t>
        </is>
      </c>
      <c r="E22" s="4" t="inlineStr">
        <is>
          <t>骨子案修正版 第4章へ反映済み。改正後概要と告示本文で表記が異なる箇所は告示本文に従う</t>
        </is>
      </c>
      <c r="F22" s="12" t="inlineStr">
        <is>
          <t>完了</t>
        </is>
      </c>
    </row>
    <row r="23">
      <c r="A23" s="11" t="inlineStr">
        <is>
          <t>R-12</t>
        </is>
      </c>
      <c r="B23" s="4" t="inlineStr">
        <is>
          <t>基本指針 別表第五（地域差是正）の適用関係が未確定</t>
        </is>
      </c>
      <c r="C23" s="4" t="inlineStr">
        <is>
          <t>【解消】福島県「県内の過疎・中山間地域の指定状況」（令和7年4月1日現在）により、本村は過疎法第2条により全域が過疎地域に該当することを確認。別表第五 一の項⑴「全部過疎市町村ではないこと」を満たさず適用対象外。個別積上げ方式を原則どおり採用できる</t>
        </is>
      </c>
      <c r="D23" s="4" t="inlineStr">
        <is>
          <t>推計／影響度低</t>
        </is>
      </c>
      <c r="E23" s="4" t="inlineStr">
        <is>
          <t>骨子案修正版 第5章1及びサービス見込量ブック 12 へ反映済み</t>
        </is>
      </c>
      <c r="F23" s="12" t="inlineStr">
        <is>
          <t>完了</t>
        </is>
      </c>
    </row>
    <row r="24">
      <c r="A24" s="11" t="inlineStr">
        <is>
          <t>R-15</t>
        </is>
      </c>
      <c r="B24" s="4" t="inlineStr">
        <is>
          <t>国基準数値と福島県実績の系統が複数あり、どれを用いるかで目標値が変わる</t>
        </is>
      </c>
      <c r="C24" s="4" t="inlineStr">
        <is>
          <t>【一部解消】令和5年度630調査 Ⅲ.2.(11) の受領により、別表第四のCは住所地ベース2,591人（65歳未満901人・65歳以上1,690人）と確定。県第7期計画の長期在院者数と同系統であることも確認。残るのは平均生活日数のNDB通常集計327.1日と公費含む集計323.8日の使い分け</t>
        </is>
      </c>
      <c r="D24" s="4" t="inlineStr">
        <is>
          <t>推計／影響度低</t>
        </is>
      </c>
      <c r="E24" s="4" t="inlineStr">
        <is>
          <t>計画本文には出典・時点・集計区分を必ず併記する。公費含む集計を用いるか否かは県の第8期計画に合わせる</t>
        </is>
      </c>
      <c r="F24" s="14" t="inlineStr">
        <is>
          <t>進行中</t>
        </is>
      </c>
    </row>
    <row r="25">
      <c r="A25" s="11" t="inlineStr">
        <is>
          <t>R-14</t>
        </is>
      </c>
      <c r="B25" s="4" t="inlineStr">
        <is>
          <t>会津北部圏域の訪問系サービス事業所が本村の1か所のみになっている</t>
        </is>
      </c>
      <c r="C25" s="4" t="inlineStr">
        <is>
          <t>ReMHRAD障害福祉資源によれば、令和7年時点で本村に居宅介護1・重度訪問介護1・生活介護1の事業所がある一方、猪苗代町の居宅介護・重度訪問介護は令和2年の各1か所から0か所へ減った。圏域4町村で訪問系サービスを提供する事業所は本村の1か所のみ。この1か所が撤退すると圏域全体が会津若松市・喜多方市への依存となる</t>
        </is>
      </c>
      <c r="D25" s="4" t="inlineStr">
        <is>
          <t>提供体制／影響度高</t>
        </is>
      </c>
      <c r="E25" s="4" t="inlineStr">
        <is>
          <t>告示が示す工夫（介護保険事業所への居宅介護指定の働きかけ、共生型サービスの周知、基準該当障害福祉サービス、多機能型・従たる事業所）を骨子案修正版 第5章8 に位置づけた。圏域4町村の担当者会議で各制度の活用可能性と訪問系の提供体制を協議する</t>
        </is>
      </c>
      <c r="F25" s="14" t="inlineStr">
        <is>
          <t>進行中</t>
        </is>
      </c>
    </row>
    <row r="26">
      <c r="A26" s="11" t="inlineStr">
        <is>
          <t>R-16</t>
        </is>
      </c>
      <c r="B26" s="4" t="inlineStr">
        <is>
          <t>骨子案・当方資料の「本村には事業所がない」という記述が事実と異なる</t>
        </is>
      </c>
      <c r="C26" s="4" t="inlineStr">
        <is>
          <t>ReMHRAD障害福祉資源で、令和7年時点に居宅介護1・重度訪問介護1・生活介護1の事業所を確認。令和2年時点はいずれも0か所であり、その後の指定と考えられる。骨子案原本の「就労継続支援事業所がなく」「児童発達支援センター0か所」は事実と一致</t>
        </is>
      </c>
      <c r="D26" s="4" t="inlineStr">
        <is>
          <t>記述／影響度中</t>
        </is>
      </c>
      <c r="E26" s="4" t="inlineStr">
        <is>
          <t>骨子案修正版 第5章8 を原典から表を生成する方式に変更済み。事業所名・指定年月・共生型指定の有無・受入可能人数を村に確認する</t>
        </is>
      </c>
      <c r="F26" s="14" t="inlineStr">
        <is>
          <t>進行中</t>
        </is>
      </c>
    </row>
    <row r="27">
      <c r="A27" s="11" t="inlineStr">
        <is>
          <t>R-13</t>
        </is>
      </c>
      <c r="B27" s="4" t="inlineStr">
        <is>
          <t>令和8年度・令和9年度の報酬改定により単価前提が動く</t>
        </is>
      </c>
      <c r="C27" s="4" t="inlineStr">
        <is>
          <t>令和8年6月施行の処遇改善加算拡充（月1.0万円＝3.3%＋上乗せ1.0%）とB型基本報酬区分見直し。さらに令和9年度報酬改定が見込まれ、計画期間の初年度に当たる。令和7年度実績単価を据え置くと給付費推計が実勢とずれる</t>
        </is>
      </c>
      <c r="D27" s="4" t="inlineStr">
        <is>
          <t>財源／影響度中</t>
        </is>
      </c>
      <c r="E27" s="4" t="inlineStr">
        <is>
          <t>財源構成案 08シートに改定率パラメータを設置済み。改定内容の確定後に入力する</t>
        </is>
      </c>
      <c r="F27" s="14" t="inlineStr">
        <is>
          <t>進行中</t>
        </is>
      </c>
    </row>
    <row r="28">
      <c r="A28" s="11" t="inlineStr">
        <is>
          <t>R-8</t>
        </is>
      </c>
      <c r="B28" s="4" t="inlineStr">
        <is>
          <t>障がい児版調査票のルビ構造により本文が欠落して見える箇所がある</t>
        </is>
      </c>
      <c r="C28" s="4" t="inlineStr">
        <is>
          <t>問1〜問15で語句が欠けて抽出される。Word表示上は正常な可能性もある</t>
        </is>
      </c>
      <c r="D28" s="4" t="inlineStr">
        <is>
          <t>品質／影響度中</t>
        </is>
      </c>
      <c r="E28" s="4" t="inlineStr">
        <is>
          <t>Word上でルビなしテキストとして読んで意味が通るかを確認する</t>
        </is>
      </c>
      <c r="F28" s="14" t="inlineStr">
        <is>
          <t>進行中</t>
        </is>
      </c>
    </row>
    <row r="29">
      <c r="A29" s="11" t="inlineStr">
        <is>
          <t>R-9</t>
        </is>
      </c>
      <c r="B29" s="4" t="inlineStr">
        <is>
          <t>障がい者票に介護保険・65歳到達に関する設問がない（国の標準項目）</t>
        </is>
      </c>
      <c r="C29" s="4" t="inlineStr">
        <is>
          <t>令和11年の高齢化率が48.1%となる村で、65歳前後の実態を把握する手段がない。令和8年8月のマニュアルの調査票ひな型は問37（介護保険の利用）・問38（要介護度）・問39（利用している介護保険サービス）の3問を標準項目として置いている。同マニュアルは身体障害者の73%が65歳以上であることを踏まえ、18歳未満／18〜64歳／65歳以上の年齢階層別に分析する例を示している</t>
        </is>
      </c>
      <c r="D29" s="4" t="inlineStr">
        <is>
          <t>調査設計／影響度高</t>
        </is>
      </c>
      <c r="E29" s="4" t="inlineStr">
        <is>
          <t>調査票が令和8年8月25日版で確定したため設問の追加は不可。支給決定者台帳と介護保険の要介護認定情報の突合に一本化する（クロス集計設計 A-1）。依頼済みの匿名利用者一覧に要介護認定の列を1つ追加する。アンケート側は問2×問27-1（C-12）、問2×問7（C-13）、問2×問27-3（C-14）で補う</t>
        </is>
      </c>
      <c r="F29" s="14" t="inlineStr">
        <is>
          <t>進行中</t>
        </is>
      </c>
    </row>
    <row r="30">
      <c r="A30" s="11" t="inlineStr">
        <is>
          <t>R-11</t>
        </is>
      </c>
      <c r="B30" s="4" t="inlineStr">
        <is>
          <t>外出目的の設問がなく、第4次障がい者計画の1指標が測定できない（国の標準項目）</t>
        </is>
      </c>
      <c r="C30" s="4" t="inlineStr">
        <is>
          <t>「外出目的が趣味・スポーツ・グループ活動である人の割合（28.1%→40%）」について、前回調査にあった外出目的の設問が0728調査票にない。令和8年8月のマニュアルは図表6で「外出の目的」を主な調査項目に掲げ、「外出支援のために必要となる施策等の検討に利用」するとしている（調査票ひな型では問26）。移動支援・同行援護の見込量根拠にも直結する</t>
        </is>
      </c>
      <c r="D30" s="4" t="inlineStr">
        <is>
          <t>調査設計／影響度高</t>
        </is>
      </c>
      <c r="E30" s="4" t="inlineStr">
        <is>
          <t>調査票が確定したため設問の追加は不可。確定版で最も近い問42は「今後参加したいもの」という意向であり、実態を問う前回値28.1%と接続できない。第4次障がい者計画は改定対象外のため、指標の測定方法の変更は村の判断事項。村との再協議が必要（クロス集計設計 Ｓ-1）</t>
        </is>
      </c>
      <c r="F30" s="16" t="inlineStr">
        <is>
          <t>要対応</t>
        </is>
      </c>
    </row>
    <row r="31">
      <c r="A31" s="11" t="inlineStr">
        <is>
          <t>R-10</t>
        </is>
      </c>
      <c r="B31" s="4" t="inlineStr">
        <is>
          <t>圏域事業所の受入可能量が見込量の上限になる</t>
        </is>
      </c>
      <c r="C31" s="4" t="inlineStr">
        <is>
          <t>村内に事業所がなく、送迎・人材・定員が制約となる</t>
        </is>
      </c>
      <c r="D31" s="4" t="inlineStr">
        <is>
          <t>供給／影響度中</t>
        </is>
      </c>
      <c r="E31" s="4" t="inlineStr">
        <is>
          <t>圏域事業所へ照会し、利用希望量と利用可能量を分けて管理する</t>
        </is>
      </c>
      <c r="F31" s="17" t="inlineStr">
        <is>
          <t>未着手</t>
        </is>
      </c>
    </row>
    <row r="32">
      <c r="A32" s="11" t="inlineStr">
        <is>
          <t>R-17</t>
        </is>
      </c>
      <c r="B32" s="4" t="inlineStr">
        <is>
          <t>就労選択支援の設問（障がい者版 問36）が削除されると、圏域確保の根拠が窓口相談実績に限られる</t>
        </is>
      </c>
      <c r="C32" s="4" t="inlineStr">
        <is>
          <t>村は「会津管内に事業所がないため設問不要」と判断。しかし基本指針は令和11年度末までに各市町村又は各圏域に1事業所以上の設置を目指すとしており（全国目標は令和11年度に年間82,000人）、事業所がないことは計画に書くべき課題である。選択肢6「制度を知らない」は認知度そのもののデータで、事業所の有無とは独立して意味がある</t>
        </is>
      </c>
      <c r="D32" s="4" t="inlineStr">
        <is>
          <t>調査設計／影響度中</t>
        </is>
      </c>
      <c r="E32" s="4" t="inlineStr">
        <is>
          <t>村に再考を依頼済み。削除する場合でも、第5章の確保方策に「圏域内に事業所がないため会津若松地方の広域調整により確保を図る」旨を記載する（骨子案修正版 第4章(3)に反映済み）</t>
        </is>
      </c>
      <c r="F32" s="16" t="inlineStr">
        <is>
          <t>要対応</t>
        </is>
      </c>
    </row>
    <row r="33">
      <c r="A33" s="11" t="inlineStr">
        <is>
          <t>R-18</t>
        </is>
      </c>
      <c r="B33" s="4" t="inlineStr">
        <is>
          <t>個別避難計画0件が第4次障がい者計画の指標と矛盾する可能性がある</t>
        </is>
      </c>
      <c r="C33" s="4" t="inlineStr">
        <is>
          <t>第4次障がい者計画は「個別避難計画作成 現状1件→令和11年度10件」を指標としているが、令和8年8月の村の朱書きは「作成者なし」としている。計画策定時の1件がその後失効したのか、集計方法が異なるのかが不明</t>
        </is>
      </c>
      <c r="D33" s="4" t="inlineStr">
        <is>
          <t>整合／影響度中</t>
        </is>
      </c>
      <c r="E33" s="4" t="inlineStr">
        <is>
          <t>村に確認する。第4次障がい者計画は改定対象外だが、第8期計画の第3章5（目標値と進捗管理）で現状値を示す際に整合が必要</t>
        </is>
      </c>
      <c r="F33" s="17" t="inlineStr">
        <is>
          <t>未着手</t>
        </is>
      </c>
    </row>
    <row r="34">
      <c r="A34" s="11" t="inlineStr">
        <is>
          <t>R-20</t>
        </is>
      </c>
      <c r="B34" s="4" t="inlineStr">
        <is>
          <t>強度行動障害の該当有無を聞く設問がなく、支援ニーズの母数が特定できない</t>
        </is>
      </c>
      <c r="C34" s="4" t="inlineStr">
        <is>
          <t>調査票は問20で「強度行動障がい支援に関して必要だと思う支援」を聞くが、回答者本人が該当するかを聞いていない。令和8年8月のマニュアルの調査票ひな型は問16で「強度行動障害があると言われたことはありますか」を置き、重度障害者の支援ニーズを把握するクロス集計を示している。第8期基本指針は強度行動障害を有する者の支援ニーズ把握を新規の視点としている</t>
        </is>
      </c>
      <c r="D34" s="4" t="inlineStr">
        <is>
          <t>調査設計／影響度中</t>
        </is>
      </c>
      <c r="E34" s="4" t="inlineStr">
        <is>
          <t>調査票が確定したため設問の追加は不可。問19で「特にない」以外を選んだ回答をニーズ層として扱い（C-15・C-16）、実数は行政データ（区分6の2人の行動関連項目、行動援護の支給決定者数）で押さえる（クロス集計設計 A-2）。アンケートでは母数を特定できない旨を計画に明記する</t>
        </is>
      </c>
      <c r="F34" s="14" t="inlineStr">
        <is>
          <t>進行中</t>
        </is>
      </c>
    </row>
    <row r="35">
      <c r="A35" s="11" t="inlineStr">
        <is>
          <t>R-21</t>
        </is>
      </c>
      <c r="B35" s="4" t="inlineStr">
        <is>
          <t>障害支援区分の削除は国の標準項目を落とすことになる</t>
        </is>
      </c>
      <c r="C35" s="4" t="inlineStr">
        <is>
          <t>村は問7の削除を指示し、当方は対象者15人という規模から削除に異議なしと回答した。一方、令和8年8月のマニュアルは障害支援区分をクロス集計の項目として明示し（P.12）、調査票ひな型でも問35に置いている。ただし同マニュアル自身が、調査対象者数が少ない場合は標本誤差が大きくなるため集計結果の解釈を慎重に行う必要があるとしている</t>
        </is>
      </c>
      <c r="D35" s="4" t="inlineStr">
        <is>
          <t>調査設計／影響度中</t>
        </is>
      </c>
      <c r="E35" s="4" t="inlineStr">
        <is>
          <t>令和8年8月25日版で削除が確定した。区分別人数15人は村から受領済みで、見込量の推計に支障はない。アンケート側は「重度層（代理指標）」で層別する（クロス集計設計 03・C-17）。区分別クロス集計ができないことは計画に明記する</t>
        </is>
      </c>
      <c r="F35" s="12" t="inlineStr">
        <is>
          <t>完了</t>
        </is>
      </c>
    </row>
    <row r="36">
      <c r="A36" s="11" t="inlineStr">
        <is>
          <t>R-22</t>
        </is>
      </c>
      <c r="B36" s="4" t="inlineStr">
        <is>
          <t>国のマニュアルの発出と調査票の確定の時期が重なった</t>
        </is>
      </c>
      <c r="C36" s="4" t="inlineStr">
        <is>
          <t>マニュアルは令和8年8月19日事務連絡（県通知8月24日）、調査票の確定は8月25日版。標準項目3件の欠落は、当方の設計の不備ではなくこの時期の重なりによる。第9期の策定時に同じ論点が生じうる</t>
        </is>
      </c>
      <c r="D36" s="4" t="inlineStr">
        <is>
          <t>調査設計／影響度中</t>
        </is>
      </c>
      <c r="E36" s="4" t="inlineStr">
        <is>
          <t>経緯を打合せ記録に残し、計画書の調査概要にも「調査票確定後に国のマニュアルが改定された」旨を注記する（クロス集計設計 Ｓ-4）。算定根拠への疑義に対する説明にもなる</t>
        </is>
      </c>
      <c r="F36" s="14" t="inlineStr">
        <is>
          <t>進行中</t>
        </is>
      </c>
    </row>
    <row r="37">
      <c r="A37" s="11" t="inlineStr">
        <is>
          <t>R-19</t>
        </is>
      </c>
      <c r="B37" s="4" t="inlineStr">
        <is>
          <t>障がい児版の設問番号に誤りがある</t>
        </is>
      </c>
      <c r="C37" s="4" t="inlineStr">
        <is>
          <t>問11の選択肢番号「13」が2つある（「自傷、他害、強いこだわり、パニックなどへの対応」と「特にない」）。問10の選択肢番号は「3」が欠番。いずれも村の朱書きとは別に、通読して気づいたもの</t>
        </is>
      </c>
      <c r="D37" s="4" t="inlineStr">
        <is>
          <t>調査設計／影響度低</t>
        </is>
      </c>
      <c r="E37" s="4" t="inlineStr">
        <is>
          <t>調査票担当へ申し送り済み。印刷前に番号を振り直す。問10は問8との統合指示があるため、統合時に整理する</t>
        </is>
      </c>
      <c r="F37" s="14"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56" customWidth="1" min="3" max="3"/>
    <col width="30" customWidth="1" min="4" max="4"/>
    <col width="11" customWidth="1" min="5" max="5"/>
    <col width="52" customWidth="1" min="6" max="6"/>
  </cols>
  <sheetData>
    <row r="1">
      <c r="A1" s="3" t="inlineStr">
        <is>
          <t>No</t>
        </is>
      </c>
      <c r="B1" s="3" t="inlineStr">
        <is>
          <t>区分</t>
        </is>
      </c>
      <c r="C1" s="3" t="inlineStr">
        <is>
          <t>内容</t>
        </is>
      </c>
      <c r="D1" s="3" t="inlineStr">
        <is>
          <t>根拠</t>
        </is>
      </c>
      <c r="E1" s="3" t="inlineStr">
        <is>
          <t>状態</t>
        </is>
      </c>
      <c r="F1" s="3" t="inlineStr">
        <is>
          <t>記録の有無</t>
        </is>
      </c>
    </row>
    <row r="2">
      <c r="A2" s="11" t="n">
        <v>11</v>
      </c>
      <c r="B2" s="11" t="inlineStr">
        <is>
          <t>計画素案の正本</t>
        </is>
      </c>
      <c r="C2" s="4" t="inlineStr">
        <is>
          <t>当方が原本（他メンバー作成の骨子案）から起こした素案で進めてきたが、令和8年10月9日に他メンバー版（令和8年10月8日受領）を正本とする方針に変更した</t>
        </is>
      </c>
      <c r="D2" s="4" t="inlineStr">
        <is>
          <t>―</t>
        </is>
      </c>
      <c r="E2" s="12" t="inlineStr">
        <is>
          <t>完了</t>
        </is>
      </c>
      <c r="F2" s="4" t="inlineStr">
        <is>
          <t>北塩原村_申し送り_他メンバー版への移植_20261009.docx（第2版・移植20件）。令和8年10月10日に正本へ移植した（北塩原村_計画素案_正本_移植後.docx。段落526→626・表55→97）。当方の素案は移植の元と点検の基準として残す。村・県の回答を待つ2件（Ｉ推計方法・Ｌ圏域の基盤整備）は申し送りに残した</t>
        </is>
      </c>
    </row>
    <row r="3">
      <c r="A3" s="11" t="n">
        <v>10</v>
      </c>
      <c r="B3" s="11" t="inlineStr">
        <is>
          <t>人口・手帳所持者数の基準日</t>
        </is>
      </c>
      <c r="C3" s="4" t="inlineStr">
        <is>
          <t>現行計画は「各年4月1日現在」だが、令和8年10月9日の打合せで9月30日に揃える提案があった（打合せ記録 U-1）。基準日を変えると前回計画との経年比較が接続しない</t>
        </is>
      </c>
      <c r="D3" s="4" t="inlineStr">
        <is>
          <t>―</t>
        </is>
      </c>
      <c r="E3" s="16" t="inlineStr">
        <is>
          <t>要対応</t>
        </is>
      </c>
      <c r="F3" s="4" t="inlineStr">
        <is>
          <t>北塩原村_打合せ記録_20261009.xlsx 01シート U-1。9月30日とする典拠は未確認（熊谷氏へＳ-15）。村に9月30日時点のデータが取れるかを照会（Ｍ-28）</t>
        </is>
      </c>
    </row>
    <row r="4">
      <c r="A4" s="11" t="n">
        <v>1</v>
      </c>
      <c r="B4" s="11" t="inlineStr">
        <is>
          <t>印刷仕様</t>
        </is>
      </c>
      <c r="C4" s="4" t="inlineStr">
        <is>
          <t>仕様書はアンケート調査をA4判・約24ページ・黒1色の1種類とするが、実際は障がい者版・障がい児版の2種類で、頁数も異なる</t>
        </is>
      </c>
      <c r="D4" s="4" t="inlineStr">
        <is>
          <t>仕様書4-Ⅰ(3)</t>
        </is>
      </c>
      <c r="E4" s="16" t="inlineStr">
        <is>
          <t>要対応</t>
        </is>
      </c>
      <c r="F4" s="4" t="inlineStr">
        <is>
          <t>未。頁数・種類数・部数・単価の取扱いを協議する</t>
        </is>
      </c>
    </row>
    <row r="5">
      <c r="A5" s="11" t="n">
        <v>2</v>
      </c>
      <c r="B5" s="11" t="inlineStr">
        <is>
          <t>郵送費の負担</t>
        </is>
      </c>
      <c r="C5" s="4" t="inlineStr">
        <is>
          <t>仕様書は発送及び回収に係る費用を受託者の負担とするが、打合せでは村が立替え後日実費精算とされた</t>
        </is>
      </c>
      <c r="D5" s="4" t="inlineStr">
        <is>
          <t>仕様書4-Ⅰ(4)</t>
        </is>
      </c>
      <c r="E5" s="16" t="inlineStr">
        <is>
          <t>要対応</t>
        </is>
      </c>
      <c r="F5" s="4" t="inlineStr">
        <is>
          <t>令和8年7月7日議事録に記載。精算方法・範囲・上限の書面確認が未</t>
        </is>
      </c>
    </row>
    <row r="6">
      <c r="A6" s="11" t="n">
        <v>3</v>
      </c>
      <c r="B6" s="11" t="inlineStr">
        <is>
          <t>調査対象者数</t>
        </is>
      </c>
      <c r="C6" s="4" t="inlineStr">
        <is>
          <t>仕様書は約190人（身体約130・精神約40・療育約20）とするが、現行計画の手帳所持者数は156人（令和5年）で22％の差がある</t>
        </is>
      </c>
      <c r="D6" s="4" t="inlineStr">
        <is>
          <t>仕様書4-Ⅰ(1)</t>
        </is>
      </c>
      <c r="E6" s="16" t="inlineStr">
        <is>
          <t>要対応</t>
        </is>
      </c>
      <c r="F6" s="4" t="inlineStr">
        <is>
          <t>未。回収率の分母・管理番号の設計に直結する</t>
        </is>
      </c>
    </row>
    <row r="7">
      <c r="A7" s="11" t="n">
        <v>4</v>
      </c>
      <c r="B7" s="11" t="inlineStr">
        <is>
          <t>協議会の開催回数</t>
        </is>
      </c>
      <c r="C7" s="4" t="inlineStr">
        <is>
          <t>仕様書は開催1回程度を見込むとするが、現行計画の評価・素案・計画案の3段階を1回で審議することになる</t>
        </is>
      </c>
      <c r="D7" s="4" t="inlineStr">
        <is>
          <t>仕様書4-Ⅱ(7)</t>
        </is>
      </c>
      <c r="E7" s="14" t="inlineStr">
        <is>
          <t>進行中</t>
        </is>
      </c>
      <c r="F7" s="4" t="inlineStr">
        <is>
          <t>資料は段階別に3点作成済み。1回に集約する場合の構成を村と協議する</t>
        </is>
      </c>
    </row>
    <row r="8">
      <c r="A8" s="11" t="n">
        <v>5</v>
      </c>
      <c r="B8" s="11" t="inlineStr">
        <is>
          <t>編集所管課の表記</t>
        </is>
      </c>
      <c r="C8" s="4" t="inlineStr">
        <is>
          <t>仕様書の事務担当は保健福祉課福祉係、骨子案の奥付は住民課となっていた</t>
        </is>
      </c>
      <c r="D8" s="4" t="inlineStr">
        <is>
          <t>仕様書・骨子案奥付</t>
        </is>
      </c>
      <c r="E8" s="12" t="inlineStr">
        <is>
          <t>完了</t>
        </is>
      </c>
      <c r="F8" s="4" t="inlineStr">
        <is>
          <t>令和8年8月の調査票修正指示で問合せ先が「医療福祉班」から「保健福祉課 福祉係」に修正されたことにより確定。骨子案の奥付に反映済み</t>
        </is>
      </c>
    </row>
    <row r="9">
      <c r="A9" s="11" t="n">
        <v>6</v>
      </c>
      <c r="B9" s="11" t="inlineStr">
        <is>
          <t>追加業務の位置づけ</t>
        </is>
      </c>
      <c r="C9" s="4" t="inlineStr">
        <is>
          <t>補足ヒアリング調査、財政負担の可視化は仕様書に明示がない</t>
        </is>
      </c>
      <c r="D9" s="4" t="inlineStr">
        <is>
          <t>―</t>
        </is>
      </c>
      <c r="E9" s="16" t="inlineStr">
        <is>
          <t>要対応</t>
        </is>
      </c>
      <c r="F9" s="4" t="inlineStr">
        <is>
          <t>令和8年7月7日議事録に記載。範囲・工数・対象機関を整理して協議する</t>
        </is>
      </c>
    </row>
    <row r="10">
      <c r="A10" s="11" t="n">
        <v>9</v>
      </c>
      <c r="B10" s="11" t="inlineStr">
        <is>
          <t>調査票の確定と国の標準項目の欠落</t>
        </is>
      </c>
      <c r="C10" s="4" t="inlineStr">
        <is>
          <t>調査票は令和8年8月25日版で確定し設問の追加ができない。国のマニュアルの標準項目のうち、外出の目的・介護保険の利用状況・強度行動障害の該当有無・障害支援区分の4件が確定版にない</t>
        </is>
      </c>
      <c r="D10" s="4" t="inlineStr">
        <is>
          <t>仕様書4-Ⅰ(2)（委託者との協議の上決定）</t>
        </is>
      </c>
      <c r="E10" s="14" t="inlineStr">
        <is>
          <t>進行中</t>
        </is>
      </c>
      <c r="F10" s="4" t="inlineStr">
        <is>
          <t>クロス集計設計.xlsx で代替方針を整理済み。3件は行政データで代替可。外出の目的のみ村との再協議が必要</t>
        </is>
      </c>
    </row>
    <row r="11">
      <c r="A11" s="11" t="n">
        <v>8</v>
      </c>
      <c r="B11" s="11" t="inlineStr">
        <is>
          <t>国のマニュアルの改定</t>
        </is>
      </c>
      <c r="C11" s="4" t="inlineStr">
        <is>
          <t>令和8年8月に「障害福祉計画策定に係る実態調査及びPDCAサイクルに関するマニュアル」が改定され、福島県から市町村へ通知された。調査票の標準項目と、見込量推計・PDCAサイクルの要求水準が示された</t>
        </is>
      </c>
      <c r="D11" s="4" t="inlineStr">
        <is>
          <t>厚労省・こども家庭庁 令和8年8月19日事務連絡／福島県 8生福第2646号・8こ第2041号 令和8年8月24日</t>
        </is>
      </c>
      <c r="E11" s="14" t="inlineStr">
        <is>
          <t>進行中</t>
        </is>
      </c>
      <c r="F11" s="4" t="inlineStr">
        <is>
          <t>確認結果を文書化済み。別表第五の適用外判定は裏付けられた。調査票の欠落3件について発送前に村と協議する必要がある</t>
        </is>
      </c>
    </row>
    <row r="12">
      <c r="A12" s="11" t="n">
        <v>12</v>
      </c>
      <c r="B12" s="11" t="inlineStr">
        <is>
          <t>評価の様式</t>
        </is>
      </c>
      <c r="C12" s="4" t="inlineStr">
        <is>
          <t>令和8年10月10日の再レビューにより、12重点施策のうちNo.5（65歳移行）・No.6（移動・冬季支援）・No.10（住まい・親亡き後）・No.12（防災・緊急時）を、村に既にある高齢者施策・権利擁護・緊急連絡の仕組みと接続して評価する形に改めた。評価を実施／未実施の2択から6区分（障害福祉で実施・他制度で対応・圏域で対応・ニーズなし・ニーズあり供給不足・把握不足）に広げ、年次の点検評価の様式を7列（実績・ニーズ・障害福祉での供給・他制度による代替補完・圏域利用・未充足・令和9〜11年度の対応）とした</t>
        </is>
      </c>
      <c r="D12" s="4" t="inlineStr">
        <is>
          <t>再レビュー（令和8年10月10日）</t>
        </is>
      </c>
      <c r="E12" s="14" t="inlineStr">
        <is>
          <t>進行中</t>
        </is>
      </c>
      <c r="F12" s="4" t="inlineStr">
        <is>
          <t>北塩原村_12重点施策_評価設計.xlsx（12シート）。再レビューが引く3資料（高齢者サービスの手引き・緊急連絡カード・令和8年度住民向け成年後見講座）は同日中に受領し、source/村資料_高齢者施策_20261010 に格納して原典で照合した。正本には12件（W-1〜W-13）を反映済み。原典から、村内の介護保険事業所7カ所のうち訪問介護1・通所介護2が共生型サービスの指定を受けられることが分かり、確保のための方策に具体の働きかけ先を書けた（W-11）。高齢者福祉施策の対象が「高齢者世帯等」であり障がいのある方が含まれるかは手引きから読み取れないため照会Ｍ-49・Ｍ-50に残した</t>
        </is>
      </c>
    </row>
    <row r="13">
      <c r="A13" s="11" t="n">
        <v>13</v>
      </c>
      <c r="B13" s="11" t="inlineStr">
        <is>
          <t>既存施策の棚卸し</t>
        </is>
      </c>
      <c r="C13" s="4" t="inlineStr">
        <is>
          <t>令和8年10月10日に村ホームページの掲載施策の整理を受領。手話言語条例（令和7年4月制定）、公式動画による手話の紹介、指文字の紹介、手話出前講座、ヘルプマーク・ヘルプカード・耳マーク、電話お願い手帳、つなぐ窓口、障がい者活躍推進計画、パラスポーツ指導員養成講習会など、正本に書いていなかった既存施策が分かった</t>
        </is>
      </c>
      <c r="D13" s="4" t="inlineStr">
        <is>
          <t>村ホームページ（当方は組織のネットワーク方針により取得できず、レビューの記述を出所とする）</t>
        </is>
      </c>
      <c r="E13" s="14" t="inlineStr">
        <is>
          <t>進行中</t>
        </is>
      </c>
      <c r="F13" s="4" t="inlineStr">
        <is>
          <t>北塩原村_村HP掲載施策の棚卸し.xlsx（11シート）。正本に5件（X-1〜X-6）を反映し、照会10件（Ｍ-59〜Ｍ-68）を立てた。あわせて当方の誤り（本村に独自の条例がない）を2か所直した</t>
        </is>
      </c>
    </row>
    <row r="14">
      <c r="A14" s="11" t="n">
        <v>14</v>
      </c>
      <c r="B14" s="11" t="inlineStr">
        <is>
          <t>図表の作り</t>
        </is>
      </c>
      <c r="C14" s="4" t="inlineStr">
        <is>
          <t>正本の図と表109点を数え上げたところ、図表番号・図表目次・出所が整っておらず、他メンバー版の図19点のうち10点は系列の色をグレーにすると同じ濃さになることが分かった（緑 RGB(46,158,107) と 青 RGB(61,134,198) はいずれもグレー値119）。令和8年10月10日の指示により、図は他メンバー版に合わせてカラーで進めることとし、印刷の扱いは確認事項として残した</t>
        </is>
      </c>
      <c r="D14" s="4" t="inlineStr">
        <is>
          <t>仕様書5（成果品①はモノクロ・コピー・くるみ製本）／令和8年10月10日の指示（カラーで進める）</t>
        </is>
      </c>
      <c r="E14" s="14" t="inlineStr">
        <is>
          <t>進行中</t>
        </is>
      </c>
      <c r="F14" s="4" t="inlineStr">
        <is>
          <t>北塩原村_図表一覧.xlsx（8シート）。図表番号・出所・図表目次の規約を8項目で定め、他メンバー版と同じ色で図8点を当方で作って正本に入れた（build_kitashiobara_graph.py）。内訳は数値のグラフ3点（給付費の推移・サービス別の給付費・高齢化率）と、足りなかった関係図5点（計画の体系・関係機関との連携・地域生活支援拠点の5機能・緊急時の4場面・65歳到達時の判定の流れ）。同じ図の中の系列はグレー値を25以上離す決めとし、緑と青を並べて使わないことにした（1枚ごとに画素から検算している）。関係図では色に意味を持たせ、何を表す色かを図中に書いた（例 図Z-7は橙＝村の高齢者施策、緑＝本計画に位置づけがあるもの）。残るのは図表番号・図表目次の付与と、他メンバーへの図の元データと緑・青の組合せの確認（Ｓ-19〜Ｓ-21）</t>
        </is>
      </c>
    </row>
    <row r="15">
      <c r="A15" s="11" t="n">
        <v>15</v>
      </c>
      <c r="B15" s="11" t="inlineStr">
        <is>
          <t>隣接3分野との接続</t>
        </is>
      </c>
      <c r="C15" s="4" t="inlineStr">
        <is>
          <t>令和8年10月10日に村ホームページの高齢者福祉・児童福祉・社会福祉の整理を受領。障がい分野の中だけを見ていたため、隣の3分野に既にある施策との接続が書けていなかった。本計画に位置づけが全く無い論点も1つ見つかった（罪を犯し矯正施設を退所した障がいのある方の地域生活への定着。第5次福島県障がい者計画は福島県地域生活定着支援センターを位置づけている）。あわせて計画名の食い違いを1件見つけた。正本 第1章2 は「北塩原村子ども・子育て支援事業計画」と書いているが、村ホームページは「北塩原村こども・子育て計画」（こども基本法に基づく市町村こども計画）としており、根拠法令が別である</t>
        </is>
      </c>
      <c r="D15" s="4" t="inlineStr">
        <is>
          <t>村ホームページ（当方は組織のネットワーク方針により取得できず、レビューの記述を出所とする）／第5次福島県障がい者計画／国の基本指針 第二 四</t>
        </is>
      </c>
      <c r="E15" s="14" t="inlineStr">
        <is>
          <t>進行中</t>
        </is>
      </c>
      <c r="F15" s="4" t="inlineStr">
        <is>
          <t>北塩原村_村HP3分野の棚卸し.xlsx（10シート）。正本に8件（Y-1〜Y-8）を反映し、照会12件（Ｍ-70〜Ｍ-81）を立てた。第7章4として「北塩原村こども・子育て計画との連携」の節を新設した（令和9年度の中間見直しが本計画の初年度に当たるため、その場で整合を確かめる5項目を表にした）。最も効くのはＭ-74（子育て短期支援事業で障がいのある子どもを受け入れられるか）で、本村に短期入所の事業所がないため、家族の休息の手段が一般施策で足りるかどうかの分かれ目になる</t>
        </is>
      </c>
    </row>
    <row r="16">
      <c r="A16" s="11" t="n">
        <v>16</v>
      </c>
      <c r="B16" s="11" t="inlineStr">
        <is>
          <t>当方が書いた記述の強すぎた2件</t>
        </is>
      </c>
      <c r="C16" s="4" t="inlineStr">
        <is>
          <t>令和8年10月10日のRed Teamレビュー（村HPの救急・防災・AED・通行止めの4ページを確認したもの）により、移植7（第5章2（11）災害時にサービスを止めないための備え）の表の2行が、制度上できることを超えて書かれていたことが分かった。①「訪問系サービス又は日中一時支援への一時的な振替えを想定する」は、支給決定・契約・事業所の受入余力・本人の必要性の確認を経ずに振り替えられる制度ではなく、通行止めの際は訪問の車両も居宅に到達できない。②「地域生活支援拠点を通じて代替の受入れ先を調整する」は、拠点が空床の情報の保有や代替の受入れの調整を実際に担っているかを確かめていなかった</t>
        </is>
      </c>
      <c r="D16" s="4" t="inlineStr">
        <is>
          <t>Red Teamレビュー（令和8年10月10日）／障害者総合支援法（支給決定の仕組み）</t>
        </is>
      </c>
      <c r="E16" s="11" t="inlineStr">
        <is>
          <t>対応済み</t>
        </is>
      </c>
      <c r="F16" s="4" t="inlineStr">
        <is>
          <t>北塩原村_RedTeam_救急防災冬季.xlsx（9シート）。両方を「あらかじめ検討する」「関係機関と連携して調整する」に改め、実際に担えるかは運用の状況を確かめたうえで判断することとした。申し送り（第3版）と当方の素案の両方を直し、正本に反映済み。拠点の実績はＭ-86で確認する</t>
        </is>
      </c>
    </row>
    <row r="17">
      <c r="A17" s="11" t="n">
        <v>17</v>
      </c>
      <c r="B17" s="11" t="inlineStr">
        <is>
          <t>救急・防災・冬季の記述の補強</t>
        </is>
      </c>
      <c r="C17" s="4" t="inlineStr">
        <is>
          <t>同じレビューで、正本に足りない点が5件挙がった。①村内の一次医療と圏域の専門医療・休日夜間・二次救急の役割分担②救急電話相談（#7119・#8000）と聴覚・言語障がいのある方の代替手段③防災情報の伝達の多重化と障がい特性別の情報保障④AED等の既存の救急資源⑤緊急連絡様式・ヘルプカード・電話お願い手帳の役割整理。あわせて、通行止め情報の経路があることとサービスが実際に中断したことを分けて評価すべきとの指摘があった</t>
        </is>
      </c>
      <c r="D17" s="4" t="inlineStr">
        <is>
          <t>Red Teamレビュー（令和8年10月10日。村HPの4ページを確認）</t>
        </is>
      </c>
      <c r="E17" s="14" t="inlineStr">
        <is>
          <t>進行中</t>
        </is>
      </c>
      <c r="F17" s="4" t="inlineStr">
        <is>
          <t>正本に5件（RT-1〜RT-5）を反映し、照会5件（Ｍ-82〜Ｍ-86）を立てた。第5章2（15）として「医療へのアクセス」の項を新設した。AEDは成果目標・活動指標とはせず、既存の救急資源として扱うことを本文に明記した。第1章6の年次の点検評価には、既にある資源を「ある→対象か→使われているか→妨げは何か→未充足→令和9〜11年度の対応」の順に確かめる6段を足した（RT-4）</t>
        </is>
      </c>
    </row>
    <row r="18">
      <c r="A18" s="11" t="n">
        <v>18</v>
      </c>
      <c r="B18" s="11" t="inlineStr">
        <is>
          <t>図表番号・図表目次の付与</t>
        </is>
      </c>
      <c r="C18" s="4" t="inlineStr">
        <is>
          <t>図表一覧の規約（06シート）に従い、図24点・表84点に章ごとの通し番号と表題を付け、目次の後に図表目次を置いた。作業の中で、他メンバー版の図16点のうち14点は表題が画像の中に焼き込まれていることが分かった。うち2点は画像内の表題（＜障がい種別の内訳＞・＜障がい程度の内訳＞）だけでは何の図か分からず、図表目次に並べられない。図２-８は画像内の表題が右端で切れており、「回答者数：38人（複数回答）」の注記とも重なっている</t>
        </is>
      </c>
      <c r="D18" s="4" t="inlineStr">
        <is>
          <t>図表一覧 06シートの規約／令和8年10月10日の指示</t>
        </is>
      </c>
      <c r="E18" s="14" t="inlineStr">
        <is>
          <t>進行中</t>
        </is>
      </c>
      <c r="F18" s="4" t="inlineStr">
        <is>
          <t>北塩原村_図表番号一覧.xlsx（5シート）。手帳の種類が分かる表題に改め（図２-４・図２-７）、画像内の表題との食い違い3点を一覧にした。確認3件を立てた（Ｓ-22 図２-８の表題、Ｓ-23 計画の位置づけ図の重複、Ｓ-24 画像内の表題の扱い）。出所は村の実績・アンケート・外部資料から数値を引いた40点にのみ付け、整理のための表には付けない規約の補足を足した。頁番号は目次の更新とあわせてWordで入れる</t>
        </is>
      </c>
    </row>
    <row r="19">
      <c r="A19" s="11" t="n">
        <v>19</v>
      </c>
      <c r="B19" s="11" t="inlineStr">
        <is>
          <t>新たに要る図表の点検</t>
        </is>
      </c>
      <c r="C19" s="4" t="inlineStr">
        <is>
          <t>番号付与にあわせて、いまの構成で全体像が見えなくなっているところを6件挙げた。最も効くのは「ライフコースと制度の移行」で、18歳到達（第5章5（1））と65歳到達（同（2））が別々の節に分かれており、児童期→成人期→高齢期を一続きで示す図がない。また図１-１（計画の位置づけ）と図７-１（他の計画との関係）は内容が重なっている</t>
        </is>
      </c>
      <c r="D19" s="4" t="inlineStr">
        <is>
          <t>図表番号一覧 03シート</t>
        </is>
      </c>
      <c r="E19" s="14" t="inlineStr">
        <is>
          <t>進行中</t>
        </is>
      </c>
      <c r="F19" s="4" t="inlineStr">
        <is>
          <t>6件を優先度とともに一覧にした（高3・中2・低1）。「ライフコースと制度の移行」は当方の材料で描ける。「手帳所持者数の将来推計」は仕様書が定める記載事項であり、村の実績（Ｍ-28）の確定後に作る</t>
        </is>
      </c>
    </row>
    <row r="20">
      <c r="A20" s="11" t="n">
        <v>20</v>
      </c>
      <c r="B20" s="11" t="inlineStr">
        <is>
          <t>当方の記述の誤り（保育所等と障がい児通所支援の関係）</t>
        </is>
      </c>
      <c r="C20" s="4" t="inlineStr">
        <is>
          <t>令和8年10月10日のMECE・Red Teamレビューにより、移植15（第5章1（5）障がい児支援の見込量）の「保育所等で受け入れられる範囲が広がれば児童発達支援等の量は減り、受入れが難しくなれば増える」という記述が誤りであることが分かった。インクルージョンの推進と障がい児通所支援は単純な代替関係ではなく、保育所＋児童発達支援、学校＋放課後等デイサービス、保育所・学校＋保育所等訪問支援は併存する</t>
        </is>
      </c>
      <c r="D20" s="4" t="inlineStr">
        <is>
          <t>MECE・Red Teamレビュー（令和8年10月10日）／こども家庭庁「障害児支援」</t>
        </is>
      </c>
      <c r="E20" s="11" t="inlineStr">
        <is>
          <t>対応済み</t>
        </is>
      </c>
      <c r="F20" s="4" t="inlineStr">
        <is>
          <t>北塩原村_MECE_利用の流れと報酬改定.xlsx（8シート）。児童ごとの発達支援の必要性・本人家族の意向・専門的支援の要否・保育教育との併用の状況を確かめて定める書き方に改めた。あわせて重度訪問介護の対象の説明（他メンバー版の本文）を書き下し、訪問系の有資格者数を供給制約の照会事項に足した</t>
        </is>
      </c>
    </row>
    <row r="21">
      <c r="A21" s="11" t="n">
        <v>21</v>
      </c>
      <c r="B21" s="11" t="inlineStr">
        <is>
          <t>訪問系サービスの0人の根拠と報酬改定への備え</t>
        </is>
      </c>
      <c r="C21" s="4" t="inlineStr">
        <is>
          <t>同じレビューで、重度訪問介護・同行援護・行動援護・重度障がい者等包括支援を「利用希望なし」だけで令和9〜11年度とも0人としていることが最も重い指摘として挙がった。訪問系は事業所の有無ではなく有資格者の有無で決まるため、0人が需要の不在なのか供給の不在なのかが区別できていない。また令和9年度障害福祉サービス等報酬改定について計画に記載がなかった</t>
        </is>
      </c>
      <c r="D21" s="4" t="inlineStr">
        <is>
          <t>MECE・Red Teamレビュー（令和8年10月10日）／令和9年度障害福祉サービス等報酬改定（検討中）</t>
        </is>
      </c>
      <c r="E21" s="14" t="inlineStr">
        <is>
          <t>進行中</t>
        </is>
      </c>
      <c r="F21" s="4" t="inlineStr">
        <is>
          <t>正本に5件（ME-1〜ME-5）を反映し、照会3件（Ｍ-87〜Ｍ-89）を立てた。0人とする前に本人の側と供給の側に分けて一人ずつ確かめる表を入れ、見込量を定めるまでの7段階（支援の必要性→支給決定→支給決定量→利用計画→実利用量→差の理由→モニタリング）を表にした。報酬改定は検討中であるため、確定後に提供体制・見込量・確保方策への影響を確認する条項だけを置き、論点そのものは追跡用の05シートで管理する</t>
        </is>
      </c>
    </row>
    <row r="22">
      <c r="A22" s="11" t="n">
        <v>22</v>
      </c>
      <c r="B22" s="11" t="inlineStr">
        <is>
          <t>ライフコースの図</t>
        </is>
      </c>
      <c r="C22" s="4" t="inlineStr">
        <is>
          <t>18歳到達（第5章5（1））と65歳到達（同（2））が別々の項に分かれており、児童期→成人期→高齢期を一続きで示す図がなかった</t>
        </is>
      </c>
      <c r="D22" s="4" t="inlineStr">
        <is>
          <t>図表番号一覧 03シート／MECEレビュー 16</t>
        </is>
      </c>
      <c r="E22" s="11" t="inlineStr">
        <is>
          <t>対応済み</t>
        </is>
      </c>
      <c r="F22" s="4" t="inlineStr">
        <is>
          <t>図５-３として第5章5の冒頭に入れた。こども施策・障がい福祉・介護保険高齢者福祉の3層と、18歳・65歳の二つの節目、どの時期も続くもの（相談・権利擁護・緊急時災害時・冬季）を1枚にした。色は制度の別を表す（橙＝ほかの制度、緑＝障がい福祉）</t>
        </is>
      </c>
    </row>
    <row r="23">
      <c r="A23" s="11" t="n">
        <v>23</v>
      </c>
      <c r="B23" s="11" t="inlineStr">
        <is>
          <t>当方の誤り（「継続入所者」の解釈）</t>
        </is>
      </c>
      <c r="C23" s="4" t="inlineStr">
        <is>
          <t>令和8年10月10日の見込量算定Red Team再レビューにより、申し送り（移植10）で国の基本指針のいう「継続入所者」を「計画期間の開始前から引き続き施設に入所している方」と書いていたことが誤りと分かった。告示の定義は、整備法による改正前の児童福祉法に規定する指定知的障害児施設等に入所していた18歳以上の方であって、改正後の指定障害者支援施設等の指定を受けた当該施設に引き続き入所している方であり、制度改正に伴う特例の対象である。放置すると生活介護・就労継続支援B型について現に利用している方を見込量から除き、必要な量を過小に見込む</t>
        </is>
      </c>
      <c r="D23" s="4" t="inlineStr">
        <is>
          <t>第8期基本指針 告示本文（第二の一の1（一））／見込量算定Red Team再レビュー（令和8年10月10日）</t>
        </is>
      </c>
      <c r="E23" s="11" t="inlineStr">
        <is>
          <t>対応済み</t>
        </is>
      </c>
      <c r="F23" s="4" t="inlineStr">
        <is>
          <t>北塩原村_見込量算定のRedTeam再レビュー.xlsx（8シート）。定義を告示のとおりに書き直し、生活介護・就労継続支援B型は現に利用している方を除かないことを明記した。照会Ｍ-23の文も、この定義に当たる方がいるかを尋ねる形に直した。当方の骨子案とMECE点検では正しく定義できており、申し送りで短く言い換えたときに誤りが入った</t>
        </is>
      </c>
    </row>
    <row r="24">
      <c r="A24" s="11" t="n">
        <v>24</v>
      </c>
      <c r="B24" s="11" t="inlineStr">
        <is>
          <t>見込量の位置づけと算定の組み立て</t>
        </is>
      </c>
      <c r="C24" s="4" t="inlineStr">
        <is>
          <t>同じレビューの総合判定は「条件付き妥当」。第1次概算としては妥当だが、協議会・最終計画に載せる確定値としては未完成との判定であった。サービス別では22区分のうち5件が×（要再確認）で、重度訪問介護・行動援護・短期入所（福祉型）の5人日／月・短期入所（医療型）である</t>
        </is>
      </c>
      <c r="D24" s="4" t="inlineStr">
        <is>
          <t>見込量算定Red Team再レビュー（令和8年10月10日）</t>
        </is>
      </c>
      <c r="E24" s="14" t="inlineStr">
        <is>
          <t>進行中</t>
        </is>
      </c>
      <c r="F24" s="4" t="inlineStr">
        <is>
          <t>正本に3件（SA-1〜SA-3）を反映し、照会5件（Ｍ-90〜Ｍ-94）を立てた。いまの数値が第1次の概算であること、回答が整い次第一人ずつ積み上げて確定し協議会に諮ることを本文に明記した。利用者数の組み立て（現在の利用者＋卒業18歳移行＋地域移行＋新規支給決定＋転入－65歳移行－一般就労移行－終了－転出）を表にし、必要な量・過去の実績・実際に使われた量・確保できる量は別のものとして扱うことを書いた。同じ方を複数のサービスに重ねて数えない旨も足した（SA-2）</t>
        </is>
      </c>
    </row>
    <row r="25">
      <c r="A25" s="11" t="n">
        <v>25</v>
      </c>
      <c r="B25" s="11" t="inlineStr">
        <is>
          <t>アンケートから見込量へ落とす中間ロジック</t>
        </is>
      </c>
      <c r="C25" s="4" t="inlineStr">
        <is>
          <t>令和8年10月10日のアンケートと見込量の整合Red Teamレビューにより、アンケート分析と計画施策は整合しているが、アンケート結果から見込量へ落とす中間のロジックが足りないことが分かった。特に施設入所支援は、アンケートの「利用したい23.7％」と見込量4人の据置きが、説明なしでは食い違って見える。レビューは匿名IDでの行政データとの突合を勧めているが、本村のアンケートは無記名調査であり個人単位の突合はできない</t>
        </is>
      </c>
      <c r="D25" s="4" t="inlineStr">
        <is>
          <t>アンケートと見込量の整合Red Teamレビュー（令和8年10月10日）／クロス集計設計 04シート（無記名調査の前提）</t>
        </is>
      </c>
      <c r="E25" s="14" t="inlineStr">
        <is>
          <t>進行中</t>
        </is>
      </c>
      <c r="F25" s="4" t="inlineStr">
        <is>
          <t>北塩原村_アンケートと見込量の整合.xlsx（7シート）。正本に1件（AN-1）を反映し、報告書作成者への確認1件（Ｓ-26）を立てた。割合に対象人口を掛けて見込量を出さないこと、アンケートを用いる四つのこと、住まいの希望はいまの希望と将来の不安を分けて読むことを書いた。個別の積上げはアンケートではなく行政データから行う、と方法を読み替えている。あわせて、クロス集計設計が設計段階の想定値（前回の回収率57.9％）を実績が出た後も残していたため、有効回答率22.1％に直した</t>
        </is>
      </c>
    </row>
    <row r="26">
      <c r="A26" s="11" t="n">
        <v>26</v>
      </c>
      <c r="B26" s="11" t="inlineStr">
        <is>
          <t>前回計画の評価整理（次回策定委員会用）</t>
        </is>
      </c>
      <c r="C26" s="4" t="inlineStr">
        <is>
          <t>令和8年10月10日に、次回策定委員会に向けた前回計画評価の整理を受領した。前回計画の評価は正本の第3章・第4章1にも入っているが、委員会にかけるのは評価そのものであるため、素案から切り出して別の1冊にまとめた。あわせて特定健康診査の全国・都道府県の値が確かめられる原典を受領した（国民健康保険中央会 令和5年度市町村国保 特定健康診査・特定保健指導実施状況報告書）</t>
        </is>
      </c>
      <c r="D26" s="4" t="inlineStr">
        <is>
          <t>前回計画評価整理（令和8年10月10日）／source/特定健診_20261010</t>
        </is>
      </c>
      <c r="E26" s="14" t="inlineStr">
        <is>
          <t>進行中</t>
        </is>
      </c>
      <c r="F26" s="4" t="inlineStr">
        <is>
          <t>北塩原村_前回計画の評価整理.xlsx（8シート）。第7期の成果目標14項目（達成9・一部達成1・未達成4）、見込量13サービスを6区分で評価、施策10分野を6区分で評価し継続・強化・新設・見直しに振り分けた。第4次障がい者計画は中間評価として別立てにしている（8指標のうち現在値が未確認5件。Ｍ-95・Ｍ-41）。特定健康診査は令和5年度速報値で全国38.2％・福島県44.4％であり、村の基準値51.3％はいずれも上回る。ただしこの指標は国民健康保険の被保険者全体のものであり障がいのある方の受診率ではないため、別に取れるかを照会した（Ｍ-96）</t>
        </is>
      </c>
    </row>
    <row r="27">
      <c r="A27" s="11" t="n">
        <v>27</v>
      </c>
      <c r="B27" s="11" t="inlineStr">
        <is>
          <t>委員会が令和8年11月との連絡</t>
        </is>
      </c>
      <c r="C27" s="4" t="inlineStr">
        <is>
          <t>令和8年10月10日に、委員会（策定委員会・協議会）が令和8年11月の予定であること、令和8年10月15日（木）に打合せがあることの連絡を受けた。村の計画策定方針（令和8年5月25日）は第2回協議会を令和8年10月としていたため、方針からさらにずれている可能性がある</t>
        </is>
      </c>
      <c r="D27" s="4" t="inlineStr">
        <is>
          <t>令和8年10月10日の連絡／計画策定方針（令和8年5月25日 資料4）</t>
        </is>
      </c>
      <c r="E27" s="14" t="inlineStr">
        <is>
          <t>進行中</t>
        </is>
      </c>
      <c r="F27" s="4" t="inlineStr">
        <is>
          <t>翌日の着手順を11月の委員会から逆算して組み直した（09シート）。村の回答を待たずに進められる手持ちの作業（照会文・委員会資料・概要版・パブコメ一式・第2次算定の枠・表記統一の置換一覧・他メンバーへの確認）を前に出し、回答待ちのものを後ろに置いた。最大の詰まりは照会文が1通も未作成だったことであり、これを先に片づけた（56件を5通に）。パブリックコメントの時期は電話で確かめる（Ｍ-40）</t>
        </is>
      </c>
    </row>
    <row r="28">
      <c r="A28" s="11" t="n">
        <v>7</v>
      </c>
      <c r="B28" s="11" t="inlineStr">
        <is>
          <t>調査票の修正指示</t>
        </is>
      </c>
      <c r="C28" s="4" t="inlineStr">
        <is>
          <t>令和8年8月に村から朱書き40か所の修正指示を受領。うち9件は削除理由として村の実データが書き添えられていた</t>
        </is>
      </c>
      <c r="D28" s="4" t="inlineStr">
        <is>
          <t>仕様書4-Ⅰ(2)（委託者との協議の上決定）</t>
        </is>
      </c>
      <c r="E28" s="14" t="inlineStr">
        <is>
          <t>進行中</t>
        </is>
      </c>
      <c r="F28" s="4" t="inlineStr">
        <is>
          <t>確認結果を文書化済み（docs/北塩原村_アンケート調査票_村修正指示_確認結果.md）。問36の削除について再考を依頼中</t>
        </is>
      </c>
    </row>
    <row r="30" ht="17.5" customHeight="1">
      <c r="A30" s="4" t="inlineStr">
        <is>
          <t>※ 仕様書6(3)により北塩原村委託契約約款に準拠する。仕様書と異なる運用は書面で記録を残す。</t>
        </is>
      </c>
    </row>
  </sheetData>
  <mergeCells count="1">
    <mergeCell ref="A30:F3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40" customWidth="1" min="3" max="3"/>
    <col width="56" customWidth="1" min="4" max="4"/>
    <col width="9" customWidth="1" min="5" max="5"/>
    <col width="26" customWidth="1" min="6" max="6"/>
    <col width="24" customWidth="1" min="7" max="7"/>
    <col width="32" customWidth="1" min="8" max="8"/>
  </cols>
  <sheetData>
    <row r="1">
      <c r="A1" s="3" t="inlineStr">
        <is>
          <t>順</t>
        </is>
      </c>
      <c r="B1" s="3" t="inlineStr">
        <is>
          <t>時間帯</t>
        </is>
      </c>
      <c r="C1" s="3" t="inlineStr">
        <is>
          <t>作業</t>
        </is>
      </c>
      <c r="D1" s="3" t="inlineStr">
        <is>
          <t>なぜこの順番か</t>
        </is>
      </c>
      <c r="E1" s="3" t="inlineStr">
        <is>
          <t>所要</t>
        </is>
      </c>
      <c r="F1" s="3" t="inlineStr">
        <is>
          <t>成果物</t>
        </is>
      </c>
      <c r="G1" s="3" t="inlineStr">
        <is>
          <t>外部依存</t>
        </is>
      </c>
      <c r="H1" s="3" t="inlineStr">
        <is>
          <t>関係番号</t>
        </is>
      </c>
    </row>
    <row r="2">
      <c r="A2" s="21" t="n">
        <v>1</v>
      </c>
      <c r="B2" s="11" t="inlineStr">
        <is>
          <t>手持ち・済</t>
        </is>
      </c>
      <c r="C2" s="4" t="inlineStr">
        <is>
          <t>村への照会文6通を作る（Ｍ-41〜Ｍ-105 の65件）</t>
        </is>
      </c>
      <c r="D2" s="4" t="inlineStr">
        <is>
          <t>照会は55件に増えていたが、村に出す文書そのものを1通も作っていなかった。照会を出さない限り、見込量も成果目標も委員会資料も確定しない。これが工程上の最大の詰まりであった。回答がいつ要るかで5通に分けた。①委員会に直に要るもの9件（10月24日）②見込量の確定8件（10月31日）③高齢者施策との接続20件（11月14日）④児童福祉との接続4件（11月14日）⑤既存施策の実績16件（11月28日）。Ｍ-40（工程の確認）は文書にせず電話で確かめる。工程が分からないと5通の期限そのものを決められないため</t>
        </is>
      </c>
      <c r="E2" s="11" t="inlineStr">
        <is>
          <t>3時間</t>
        </is>
      </c>
      <c r="F2" s="4" t="inlineStr">
        <is>
          <t>北塩原村_村への照会_6通.docx</t>
        </is>
      </c>
      <c r="G2" s="4" t="inlineStr">
        <is>
          <t>なし（当方で完結）</t>
        </is>
      </c>
      <c r="H2" s="4" t="inlineStr">
        <is>
          <t>照会文 5通／各点検・レビューの照会シート</t>
        </is>
      </c>
    </row>
    <row r="3">
      <c r="A3" s="21" t="n">
        <v>2</v>
      </c>
      <c r="B3" s="11" t="inlineStr">
        <is>
          <t>打合せ当日</t>
        </is>
      </c>
      <c r="C3" s="4" t="inlineStr">
        <is>
          <t>村へ工程の確認（Ｍ-40。電話で確かめる）</t>
        </is>
      </c>
      <c r="D3" s="4" t="inlineStr">
        <is>
          <t>村の計画策定方針（令和8年5月25日 資料4）は、第2回協議会を令和8年10月、パブリックコメントを11月、第3回協議会（4町村広域）を12月、庁議を令和9年1月、議会説明と計画決定を2月としている。委員会が11月との連絡を受けたため、方針の工程からさらにずれている可能性がある。パブリックコメントの時期が決まらないと、概要版とパブコメ資料の作成期限が決まらない</t>
        </is>
      </c>
      <c r="E3" s="11" t="inlineStr">
        <is>
          <t>0.3時間</t>
        </is>
      </c>
      <c r="F3" s="4" t="inlineStr">
        <is>
          <t>工程の確認（工程表・会議体の更新）</t>
        </is>
      </c>
      <c r="G3" s="4" t="inlineStr">
        <is>
          <t>なし（当方で完結）</t>
        </is>
      </c>
      <c r="H3" s="4" t="inlineStr">
        <is>
          <t>村資料点検 02シート／照会Ｍ-40</t>
        </is>
      </c>
    </row>
    <row r="4">
      <c r="A4" s="22" t="n">
        <v>3</v>
      </c>
      <c r="B4" s="11" t="inlineStr">
        <is>
          <t>打合せ当日</t>
        </is>
      </c>
      <c r="C4" s="4" t="inlineStr">
        <is>
          <t>照会5通を手渡し、第1便の期限を合意する</t>
        </is>
      </c>
      <c r="D4" s="4" t="inlineStr">
        <is>
          <t>第1便（10月24日）は11月の委員会資料に直に載る数値である。ここが遅れると委員会に未確定の表を出すことになる。人数が少なく個人が特定されるおそれがあるものは「該当あり・なし」のみでよいことも、その場で伝える</t>
        </is>
      </c>
      <c r="E4" s="11" t="inlineStr">
        <is>
          <t>0.5時間</t>
        </is>
      </c>
      <c r="F4" s="4" t="inlineStr">
        <is>
          <t>照会5通の発出</t>
        </is>
      </c>
      <c r="G4" s="4" t="inlineStr">
        <is>
          <t>村の回答（第1便 10月24日）</t>
        </is>
      </c>
      <c r="H4" s="4" t="inlineStr">
        <is>
          <t>照会文 5通</t>
        </is>
      </c>
    </row>
    <row r="5">
      <c r="A5" s="22" t="n">
        <v>4</v>
      </c>
      <c r="B5" s="11" t="inlineStr">
        <is>
          <t>手持ち</t>
        </is>
      </c>
      <c r="C5" s="4" t="inlineStr">
        <is>
          <t>委員会資料を作る（前回計画の評価。3枚＋別立て1枚）</t>
        </is>
      </c>
      <c r="D5" s="4" t="inlineStr">
        <is>
          <t>北塩原村_前回計画の評価整理.xlsx の01〜03シートは村の回答を待たずに資料にできる。①KPIの達成状況（達成9・一部達成1・未達成4）②見込量と実績（6区分。実績0をニーズ0としない）③施策評価と第8期への接続（継続・強化・新設・見直し）。④第4次障がい者計画の中間評価は8指標のうち5件が未確認のため、現在値の欄を「確認中」として別立てで出す</t>
        </is>
      </c>
      <c r="E5" s="11" t="inlineStr">
        <is>
          <t>4時間</t>
        </is>
      </c>
      <c r="F5" s="4" t="inlineStr">
        <is>
          <t>委員会資料（前回計画の評価）</t>
        </is>
      </c>
      <c r="G5" s="4" t="inlineStr">
        <is>
          <t>なし（当方で完結）</t>
        </is>
      </c>
      <c r="H5" s="4" t="inlineStr">
        <is>
          <t>前回計画の評価整理 00〜04・06シート</t>
        </is>
      </c>
    </row>
    <row r="6">
      <c r="A6" s="23" t="n">
        <v>5</v>
      </c>
      <c r="B6" s="11" t="inlineStr">
        <is>
          <t>手持ち・済</t>
        </is>
      </c>
      <c r="C6" s="4" t="inlineStr">
        <is>
          <t>概要版を今の正本に合わせて作り直す（令和8年10月10日）</t>
        </is>
      </c>
      <c r="D6" s="4" t="inlineStr">
        <is>
          <t>概要版は古い正本に基づいており、医療へのアクセス（第5章2（15））、ライフコースの図、こども・子育て計画との連携（第7章4）が入っていなかった。4頁から6頁に改め、11 必要な見込量を確保するための方策（9項目）、12 年齢到達に伴うサービスの移行（図を新設）、13 他計画との連携（4計画）を足した。巻末にパブリックコメントの案内と問合せ先を置いた。あわせて、人口と手帳所持者数が古いままであったため、正本の令和8年4月の値（2,316人・181人）に置き換えた</t>
        </is>
      </c>
      <c r="E6" s="11" t="inlineStr">
        <is>
          <t>4時間</t>
        </is>
      </c>
      <c r="F6" s="4" t="inlineStr">
        <is>
          <t>北塩原村_計画素案_概要版.docx（A4・6頁）</t>
        </is>
      </c>
      <c r="G6" s="4" t="inlineStr">
        <is>
          <t>なし（当方で完結）</t>
        </is>
      </c>
      <c r="H6" s="4" t="inlineStr">
        <is>
          <t>成果品①／概要版の生成器</t>
        </is>
      </c>
    </row>
    <row r="7">
      <c r="A7" s="23" t="n">
        <v>6</v>
      </c>
      <c r="B7" s="11" t="inlineStr">
        <is>
          <t>手持ち</t>
        </is>
      </c>
      <c r="C7" s="4" t="inlineStr">
        <is>
          <t>パブリックコメント一式を用意する</t>
        </is>
      </c>
      <c r="D7" s="4" t="inlineStr">
        <is>
          <t>村の方針では11月にパブリックコメントを実施する。実施要領、意見提出様式、公表する資料の一覧、意見への対応表の様式を先に作っておく。村の回答を要しない。工程がずれても様式は使えるため、先に作って損がない</t>
        </is>
      </c>
      <c r="E7" s="11" t="inlineStr">
        <is>
          <t>3時間</t>
        </is>
      </c>
      <c r="F7" s="4" t="inlineStr">
        <is>
          <t>パブリックコメント一式</t>
        </is>
      </c>
      <c r="G7" s="4" t="inlineStr">
        <is>
          <t>なし（当方で完結）</t>
        </is>
      </c>
      <c r="H7" s="4" t="inlineStr">
        <is>
          <t>WBS 9-4・9-5</t>
        </is>
      </c>
    </row>
    <row r="8">
      <c r="A8" s="23" t="n">
        <v>7</v>
      </c>
      <c r="B8" s="11" t="inlineStr">
        <is>
          <t>手持ち</t>
        </is>
      </c>
      <c r="C8" s="4" t="inlineStr">
        <is>
          <t>第2次算定のワークシートの枠を作る</t>
        </is>
      </c>
      <c r="D8" s="4" t="inlineStr">
        <is>
          <t>見込量算定の再レビューで、算定根拠を残すべきものが6件挙がった（居宅介護の1人増、保育所等訪問支援の1人、短期入所の5人日、就労系の個人の経路、共同生活援助の内訳、計画相談支援のネット計算）。村の回答が来てから枠を作ると間に合わないため、入力すれば数字が出る形を先に用意する</t>
        </is>
      </c>
      <c r="E8" s="11" t="inlineStr">
        <is>
          <t>3時間</t>
        </is>
      </c>
      <c r="F8" s="4" t="inlineStr">
        <is>
          <t>第2次算定のワークシート</t>
        </is>
      </c>
      <c r="G8" s="4" t="inlineStr">
        <is>
          <t>なし（当方で完結）</t>
        </is>
      </c>
      <c r="H8" s="4" t="inlineStr">
        <is>
          <t>見込量算定のRedTeam再レビュー 05シート／MECE 06シート</t>
        </is>
      </c>
    </row>
    <row r="9">
      <c r="A9" s="23" t="n">
        <v>8</v>
      </c>
      <c r="B9" s="11" t="inlineStr">
        <is>
          <t>手持ち</t>
        </is>
      </c>
      <c r="C9" s="4" t="inlineStr">
        <is>
          <t>表記の統一の一括置換を用意する（Ｓ-25の合意後に通す）</t>
        </is>
      </c>
      <c r="D9" s="4" t="inlineStr">
        <is>
          <t>障害児通所支援は法令表記4件・村表記11件、障害児相談支援は法令3件・村表記12件と混在している。第5章1（5）では⑤障害児入所支援と⑥障がい児相談支援が同じ並びで食い違う。どちらに寄せるかは他メンバーとの合意事項であるため、合意後に1回で通せる置換の一覧を先に作っておく</t>
        </is>
      </c>
      <c r="E9" s="11" t="inlineStr">
        <is>
          <t>1時間</t>
        </is>
      </c>
      <c r="F9" s="4" t="inlineStr">
        <is>
          <t>表記の統一の置換一覧</t>
        </is>
      </c>
      <c r="G9" s="4" t="inlineStr">
        <is>
          <t>他メンバーの合意（Ｓ-25）</t>
        </is>
      </c>
      <c r="H9" s="4" t="inlineStr">
        <is>
          <t>MECE 07シート／Ｓ-25</t>
        </is>
      </c>
    </row>
    <row r="10">
      <c r="A10" s="23" t="n">
        <v>9</v>
      </c>
      <c r="B10" s="11" t="inlineStr">
        <is>
          <t>手持ち</t>
        </is>
      </c>
      <c r="C10" s="4" t="inlineStr">
        <is>
          <t>他メンバーへの確認8件（Ｓ-19〜Ｓ-26）を1通にまとめる</t>
        </is>
      </c>
      <c r="D10" s="4" t="inlineStr">
        <is>
          <t>図の元データ（Ｓ-19）、緑と青の組合せ（Ｓ-20）、図表番号（Ｓ-21）、図2-8の表題（Ｓ-22）、計画の位置づけ図の重複（Ｓ-23）、画像内の表題（Ｓ-24）、制度名称の表記（Ｓ-25）、クロス集計の優先順位（Ｓ-26）。いずれも当方だけでは決められない</t>
        </is>
      </c>
      <c r="E10" s="11" t="inlineStr">
        <is>
          <t>1時間</t>
        </is>
      </c>
      <c r="F10" s="4" t="inlineStr">
        <is>
          <t>他メンバーへの確認（1通。8件）</t>
        </is>
      </c>
      <c r="G10" s="4" t="inlineStr">
        <is>
          <t>なし（当方で完結）</t>
        </is>
      </c>
      <c r="H10" s="4" t="inlineStr">
        <is>
          <t>図表一覧 07シート／図表番号一覧 04シート</t>
        </is>
      </c>
    </row>
    <row r="11">
      <c r="A11" s="23" t="n">
        <v>10</v>
      </c>
      <c r="B11" s="11" t="inlineStr">
        <is>
          <t>他メンバー・村</t>
        </is>
      </c>
      <c r="C11" s="4" t="inlineStr">
        <is>
          <t>正本の目次と頁数の確定（Word で目次を更新する）</t>
        </is>
      </c>
      <c r="D11" s="4" t="inlineStr">
        <is>
          <t>当方の環境では LibreOffice が動かず、Word の目次フィールドを更新できない。第5章2に（15）、第7章に4が増え、図表目次も入れたため、頁数は約60頁から増えている。図表目次の頁番号もここで入る。Word のある環境での作業が要る</t>
        </is>
      </c>
      <c r="E11" s="11" t="inlineStr">
        <is>
          <t>2時間</t>
        </is>
      </c>
      <c r="F11" s="4" t="inlineStr">
        <is>
          <t>正本の目次と頁数</t>
        </is>
      </c>
      <c r="G11" s="4" t="inlineStr">
        <is>
          <t>Word のある環境（他メンバー又は村）</t>
        </is>
      </c>
      <c r="H11" s="4" t="inlineStr">
        <is>
          <t>図表番号一覧 00シート／WBS 10-2</t>
        </is>
      </c>
    </row>
    <row r="12">
      <c r="A12" s="23" t="n">
        <v>11</v>
      </c>
      <c r="B12" s="11" t="inlineStr">
        <is>
          <t>回答後</t>
        </is>
      </c>
      <c r="C12" s="4" t="inlineStr">
        <is>
          <t>見込量を第2次算定で組み直す（1人単位の積上げ）</t>
        </is>
      </c>
      <c r="D12" s="4" t="inlineStr">
        <is>
          <t>第2便（10月31日）とＭ-15・Ｍ-20・Ｍ-21の回答が前提。現在の見込量は第1次の概算であり、協議会・最終計画に載せる確定値としては未完成である（見込量算定の再レビューの総合判定「条件付き妥当」）</t>
        </is>
      </c>
      <c r="E12" s="11" t="inlineStr">
        <is>
          <t>8時間</t>
        </is>
      </c>
      <c r="F12" s="4" t="inlineStr">
        <is>
          <t>正本 第5章1・3の見込量</t>
        </is>
      </c>
      <c r="G12" s="4" t="inlineStr">
        <is>
          <t>村の回答（第2便・Ｍ-15・Ｍ-20・Ｍ-21）</t>
        </is>
      </c>
      <c r="H12" s="4" t="inlineStr">
        <is>
          <t>見込量算定のRedTeam再レビュー 01・07シート</t>
        </is>
      </c>
    </row>
    <row r="13">
      <c r="A13" s="23" t="n">
        <v>12</v>
      </c>
      <c r="B13" s="11" t="inlineStr">
        <is>
          <t>回答後</t>
        </is>
      </c>
      <c r="C13" s="4" t="inlineStr">
        <is>
          <t>前回計画の評価の中間評価を確定する</t>
        </is>
      </c>
      <c r="D13" s="4" t="inlineStr">
        <is>
          <t>第1便（10月24日）の回答が前提。第4次障がい者計画の8指標のうち5件の現在値を埋め、基準値→現在値→目標→進捗率の形で委員会に出す</t>
        </is>
      </c>
      <c r="E13" s="11" t="inlineStr">
        <is>
          <t>2時間</t>
        </is>
      </c>
      <c r="F13" s="4" t="inlineStr">
        <is>
          <t>委員会資料（第4次の中間評価）</t>
        </is>
      </c>
      <c r="G13" s="4" t="inlineStr">
        <is>
          <t>村の回答（第1便 Ｍ-95・Ｍ-41）</t>
        </is>
      </c>
      <c r="H13" s="4" t="inlineStr">
        <is>
          <t>前回計画の評価整理 04シート</t>
        </is>
      </c>
    </row>
    <row r="14">
      <c r="A14" s="23" t="n">
        <v>13</v>
      </c>
      <c r="B14" s="11" t="inlineStr">
        <is>
          <t>回答後</t>
        </is>
      </c>
      <c r="C14" s="4" t="inlineStr">
        <is>
          <t>圏域の整備量を正本 第5章2（9）に追記</t>
        </is>
      </c>
      <c r="D14" s="4" t="inlineStr">
        <is>
          <t>県の圏域計画の必要事業所数が前提（Ｑ-5・Ｑ-8）。網羅性点検の残り2件のうちＬに当たる</t>
        </is>
      </c>
      <c r="E14" s="11" t="inlineStr">
        <is>
          <t>2時間</t>
        </is>
      </c>
      <c r="F14" s="4" t="inlineStr">
        <is>
          <t>正本 第5章2（9）</t>
        </is>
      </c>
      <c r="G14" s="4" t="inlineStr">
        <is>
          <t>県の回答（Ｑ-5・Ｑ-8）</t>
        </is>
      </c>
      <c r="H14" s="4" t="inlineStr">
        <is>
          <t>申し送り（残り2件）</t>
        </is>
      </c>
    </row>
    <row r="15">
      <c r="A15" s="23" t="n">
        <v>14</v>
      </c>
      <c r="B15" s="11" t="inlineStr">
        <is>
          <t>節目ごと</t>
        </is>
      </c>
      <c r="C15" s="4" t="inlineStr">
        <is>
          <t>成果物の再現性点検を回す（素案を直したあと必ず）</t>
        </is>
      </c>
      <c r="D15" s="4" t="inlineStr">
        <is>
          <t>計画素案を直したあとに点検を回し、生成器から同じものが作り直せる状態を保つ。素案だけを単独で作り直すと目次が落ちるため、BUILDERS の依存順で全体を作り直してから確定させる。python3 check_reproducibility.py --regenerate で約3分。令和8年10月10日に実際にこれを踏んだ（C-6b が検出）。C-3 に「順序が効く成果物」を毎回表示するようにした</t>
        </is>
      </c>
      <c r="E15" s="11" t="inlineStr">
        <is>
          <t>0.2時間</t>
        </is>
      </c>
      <c r="F15" s="4" t="inlineStr">
        <is>
          <t>点検結果（終了コード0）</t>
        </is>
      </c>
      <c r="G15" s="4" t="inlineStr">
        <is>
          <t>なし（当方で完結）</t>
        </is>
      </c>
      <c r="H15" s="4" t="inlineStr">
        <is>
          <t>WBS 1-7／docs/北塩原村_成果物の再現性点検と再発防止.md</t>
        </is>
      </c>
    </row>
    <row r="17" ht="75.5" customHeight="1">
      <c r="A17" s="4" t="inlineStr">
        <is>
          <t>※ 令和8年10月15日（木）の打合せまでの着手順（令和8年10月12日はスポーツの日のため、次の平日から）。律速は村のデータの受領であるため、①相手の時間がかかるもの（1〜6。村・県・介護保険側へ投げる）、②手元で完結するもの（7〜10。回答待ちの間にできる）、③回答が届いてからのもの（11〜13）の順に組んでいる。1を先頭に置いたのは、村の計画策定方針では第2回協議会が令和8年10月・パブリックコメントが11月であり、当方の工程表と2か月ずれているためである。いつ何を出すかが決まらないと、ほかの作業の順番も決まらない。2は見込量の基礎が1点の確認で決まるため単独で出す。正本への移植（20件）は令和8年10月10日に終え、未読だった村資料4点も同日に読み終えた（北塩原村_村資料点検_20261010.xlsx）。14は相手の予定に依存するため今週中に投げる。15は素案を直すたびに回す点検であり、作業の順番には入らない。</t>
        </is>
      </c>
    </row>
  </sheetData>
  <mergeCells count="1">
    <mergeCell ref="A17:H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2026-10-12T03:30:09Z</dcterms:created>
  <dcterms:modified xmlns:dcterms="http://purl.org/dc/terms/" xmlns:xsi="http://www.w3.org/2001/XMLSchema-instance" xsi:type="dcterms:W3CDTF">2026-10-12T03:30:09Z</dcterms:modified>
</cp:coreProperties>
</file>