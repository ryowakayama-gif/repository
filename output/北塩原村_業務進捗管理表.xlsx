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s>
  <definedNames>
    <definedName name="_xlnm._FilterDatabase" localSheetId="1" hidden="1">'01_WBS'!$A$1:$M$54</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9"/>
    </font>
    <font>
      <b val="1"/>
    </font>
    <font>
      <b val="1"/>
      <sz val="14"/>
    </font>
  </fonts>
  <fills count="8">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s>
  <borders count="1">
    <border>
      <left/>
      <right/>
      <top/>
      <bottom/>
      <diagonal/>
    </border>
  </borders>
  <cellStyleXfs count="1">
    <xf numFmtId="0" fontId="0" fillId="0" borderId="0"/>
  </cellStyleXfs>
  <cellXfs count="20">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基準日：令和8年8月18日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5">
      <c r="A25" s="2" t="inlineStr">
        <is>
          <t>■ 警戒事項</t>
        </is>
      </c>
    </row>
    <row r="26">
      <c r="A26" s="6" t="inlineStr">
        <is>
          <t>#</t>
        </is>
      </c>
      <c r="B26" s="6" t="inlineStr">
        <is>
          <t>内容</t>
        </is>
      </c>
      <c r="C26" s="6" t="inlineStr">
        <is>
          <t>影響</t>
        </is>
      </c>
      <c r="D26" s="6" t="inlineStr">
        <is>
          <t>対応</t>
        </is>
      </c>
    </row>
    <row r="27">
      <c r="A27" t="n">
        <v>1</v>
      </c>
      <c r="B27" s="5" t="inlineStr">
        <is>
          <t>アンケートの発送が工程案の令和8年8月上旬に間に合わない</t>
        </is>
      </c>
      <c r="C27" s="5" t="inlineStr">
        <is>
          <t>回収期間または集計期間が圧縮され、報告書・計画書の工程に波及する</t>
        </is>
      </c>
      <c r="D27" s="5" t="inlineStr">
        <is>
          <t>印刷仕様を確定し、宛名ラベルの提供日を村と合意する。遅延が確定した場合は回収期間を維持して集計以降を短縮する</t>
        </is>
      </c>
    </row>
    <row r="28">
      <c r="A28" t="n">
        <v>2</v>
      </c>
      <c r="B28" s="5" t="inlineStr">
        <is>
          <t>村の実績データが29件中21件未受領</t>
        </is>
      </c>
      <c r="C28" s="5" t="inlineStr">
        <is>
          <t>現行計画の評価、成果目標の現状値、見込量、給付費のいずれも確定できない</t>
        </is>
      </c>
      <c r="D28" s="5" t="inlineStr">
        <is>
          <t>最優先6件について9月末までの回答を求める。とくに年齢別・サービス別の匿名利用者一覧が個別積上げの前提となる</t>
        </is>
      </c>
    </row>
    <row r="29">
      <c r="A29" t="n">
        <v>3</v>
      </c>
      <c r="B29" s="5" t="inlineStr">
        <is>
          <t>調査対象者数が確定していない</t>
        </is>
      </c>
      <c r="C29" s="5" t="inlineStr">
        <is>
          <t>回収率の分母、管理番号の設計、手帳所持者数の将来推計の起点が定まらない</t>
        </is>
      </c>
      <c r="D29" s="5" t="inlineStr">
        <is>
          <t>仕様書の約190人と現行計画の156人の差の理由を発送前に村へ確認する</t>
        </is>
      </c>
    </row>
    <row r="30">
      <c r="A30" t="n">
        <v>4</v>
      </c>
      <c r="B30" s="5" t="inlineStr">
        <is>
          <t>印刷仕様が仕様書と乖離している</t>
        </is>
      </c>
      <c r="C30" s="5" t="inlineStr">
        <is>
          <t>部数・単価の精算根拠が定まらない</t>
        </is>
      </c>
      <c r="D30" s="5" t="inlineStr">
        <is>
          <t>仕様書はA4判・約24頁・黒1色の1種類だが実際は2種類。頁数・種類数・部数・単価の取扱いを村と協議し、結果を書面で残す</t>
        </is>
      </c>
    </row>
    <row r="31">
      <c r="A31" t="n">
        <v>5</v>
      </c>
      <c r="B31" s="5" t="inlineStr">
        <is>
          <t>1年以上長期入院者の実数が把握できていない</t>
        </is>
      </c>
      <c r="C31" s="5" t="inlineStr">
        <is>
          <t>成果目標（２）の基盤整備量を告示別表第四の式で算定できない</t>
        </is>
      </c>
      <c r="D31" s="5" t="inlineStr">
        <is>
          <t>村及び会津保健所へ照会中。ReMHRADで把握できるのは入院期間を問わない在院患者数までで、1年以上の内訳と年齢区分は公表データにない</t>
        </is>
      </c>
    </row>
    <row r="32">
      <c r="A32" t="n">
        <v>6</v>
      </c>
      <c r="B32" s="5" t="inlineStr">
        <is>
          <t>自立支援協議会の開催時期が未定</t>
        </is>
      </c>
      <c r="C32" s="5" t="inlineStr">
        <is>
          <t>素案の合意時期が定まらず、パブリックコメント・印刷の日程も引けない</t>
        </is>
      </c>
      <c r="D32" s="5" t="inlineStr">
        <is>
          <t>仕様書は開催1回程度を見込む。評価・素案・計画案の3段階を1回に集約する場合の構成を村と協議する</t>
        </is>
      </c>
    </row>
    <row r="34">
      <c r="A34" s="2" t="inlineStr">
        <is>
          <t>■ 直近のマイルストーン</t>
        </is>
      </c>
    </row>
    <row r="35">
      <c r="A35" s="6" t="inlineStr">
        <is>
          <t>時期</t>
        </is>
      </c>
      <c r="B35" s="6" t="inlineStr">
        <is>
          <t>内容</t>
        </is>
      </c>
      <c r="C35" s="6" t="inlineStr">
        <is>
          <t>状態</t>
        </is>
      </c>
      <c r="D35" s="6" t="inlineStr">
        <is>
          <t>前提</t>
        </is>
      </c>
    </row>
    <row r="36">
      <c r="A36" t="inlineStr">
        <is>
          <t>令和8年8月中</t>
        </is>
      </c>
      <c r="B36" s="5" t="inlineStr">
        <is>
          <t>印刷仕様の確定、宛名ラベルの受領、対象者数の確定</t>
        </is>
      </c>
      <c r="C36" s="7" t="inlineStr">
        <is>
          <t>要対応</t>
        </is>
      </c>
      <c r="D36" s="5" t="inlineStr">
        <is>
          <t>村の回答。既に期限を超過している</t>
        </is>
      </c>
    </row>
    <row r="37">
      <c r="A37" t="inlineStr">
        <is>
          <t>令和8年8〜9月</t>
        </is>
      </c>
      <c r="B37" s="5" t="inlineStr">
        <is>
          <t>アンケートの発送・回収</t>
        </is>
      </c>
      <c r="C37" s="7" t="inlineStr">
        <is>
          <t>要対応</t>
        </is>
      </c>
      <c r="D37" s="5" t="inlineStr">
        <is>
          <t>上記3点の確定</t>
        </is>
      </c>
    </row>
    <row r="38">
      <c r="A38" t="inlineStr">
        <is>
          <t>令和8年9月</t>
        </is>
      </c>
      <c r="B38" s="5" t="inlineStr">
        <is>
          <t>村実績データの受領（最優先6件）</t>
        </is>
      </c>
      <c r="C38" s="8" t="inlineStr">
        <is>
          <t>データ待ち</t>
        </is>
      </c>
      <c r="D38" s="5" t="inlineStr">
        <is>
          <t>村の回答</t>
        </is>
      </c>
    </row>
    <row r="39">
      <c r="A39" t="inlineStr">
        <is>
          <t>令和8年10月</t>
        </is>
      </c>
      <c r="B39" s="5" t="inlineStr">
        <is>
          <t>集計 → 現行計画の評価の確定</t>
        </is>
      </c>
      <c r="C39" s="9" t="inlineStr">
        <is>
          <t>未着手</t>
        </is>
      </c>
      <c r="D39" s="5" t="inlineStr">
        <is>
          <t>アンケートの回収</t>
        </is>
      </c>
    </row>
    <row r="40">
      <c r="A40" t="inlineStr">
        <is>
          <t>令和8年11月</t>
        </is>
      </c>
      <c r="B40" s="5" t="inlineStr">
        <is>
          <t>見込量・成果目標・給付費の確定</t>
        </is>
      </c>
      <c r="C40" s="9" t="inlineStr">
        <is>
          <t>未着手</t>
        </is>
      </c>
      <c r="D40" s="5" t="inlineStr">
        <is>
          <t>実績データの受領。算式は実装済み</t>
        </is>
      </c>
    </row>
    <row r="41">
      <c r="A41" t="inlineStr">
        <is>
          <t>令和8年12月</t>
        </is>
      </c>
      <c r="B41" s="5" t="inlineStr">
        <is>
          <t>素案の確定、自立支援協議会</t>
        </is>
      </c>
      <c r="C41" s="9" t="inlineStr">
        <is>
          <t>未着手</t>
        </is>
      </c>
      <c r="D41" s="5" t="inlineStr">
        <is>
          <t>開催時期が未定</t>
        </is>
      </c>
    </row>
    <row r="42">
      <c r="A42" t="inlineStr">
        <is>
          <t>令和9年1月</t>
        </is>
      </c>
      <c r="B42" s="5" t="inlineStr">
        <is>
          <t>パブリックコメント、調査結果報告書</t>
        </is>
      </c>
      <c r="C42" s="9" t="inlineStr">
        <is>
          <t>未着手</t>
        </is>
      </c>
      <c r="D42" s="5" t="inlineStr">
        <is>
          <t>素案の確定</t>
        </is>
      </c>
    </row>
    <row r="43">
      <c r="A43" t="inlineStr">
        <is>
          <t>令和9年2月</t>
        </is>
      </c>
      <c r="B43" s="5" t="inlineStr">
        <is>
          <t>意見への対応、原稿確定、組版</t>
        </is>
      </c>
      <c r="C43" s="9" t="inlineStr">
        <is>
          <t>未着手</t>
        </is>
      </c>
      <c r="D43" s="5" t="inlineStr">
        <is>
          <t>パブコメの終了</t>
        </is>
      </c>
    </row>
    <row r="44">
      <c r="A44" t="inlineStr">
        <is>
          <t>令和9年3月31日</t>
        </is>
      </c>
      <c r="B44" s="5" t="inlineStr">
        <is>
          <t>納品（業務期間の末日）</t>
        </is>
      </c>
      <c r="C44" s="9" t="inlineStr">
        <is>
          <t>未着手</t>
        </is>
      </c>
      <c r="D44"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P2 基礎調査</t>
        </is>
      </c>
      <c r="B8" s="11" t="inlineStr">
        <is>
          <t>2-1</t>
        </is>
      </c>
      <c r="C8" s="5" t="inlineStr">
        <is>
          <t>国の基本指針の確認と原典照合</t>
        </is>
      </c>
      <c r="D8" s="5" t="inlineStr">
        <is>
          <t>令和8年3月31日告示（こども家庭庁・厚生労働省告示第4号）の本文・新旧対照表により、成果目標8区分の国基準数値と別表第一〜第五を条項単位で照合</t>
        </is>
      </c>
      <c r="E8" s="5" t="inlineStr">
        <is>
          <t>仕様書4-Ⅱ(1)</t>
        </is>
      </c>
      <c r="F8" s="11" t="inlineStr">
        <is>
          <t>受託者</t>
        </is>
      </c>
      <c r="G8" s="11" t="inlineStr">
        <is>
          <t>2026-08</t>
        </is>
      </c>
      <c r="H8" s="11" t="inlineStr">
        <is>
          <t>2026-08</t>
        </is>
      </c>
      <c r="I8" s="12" t="inlineStr">
        <is>
          <t>完了</t>
        </is>
      </c>
      <c r="J8" s="11" t="n">
        <v>100</v>
      </c>
      <c r="K8" s="11" t="n">
        <v>5</v>
      </c>
      <c r="L8" s="5" t="inlineStr">
        <is>
          <t>国基準数値 原典照合結果（docs/北塩原村_国基準数値_原典照合結果.md）。骨子案の≪国の基本指針≫欄8か所を告示本文で全面差替</t>
        </is>
      </c>
      <c r="M8" s="5" t="inlineStr">
        <is>
          <t>―</t>
        </is>
      </c>
    </row>
    <row r="9">
      <c r="A9" s="5" t="inlineStr">
        <is>
          <t>P2 基礎調査</t>
        </is>
      </c>
      <c r="B9" s="11" t="inlineStr">
        <is>
          <t>2-2</t>
        </is>
      </c>
      <c r="C9" s="5" t="inlineStr">
        <is>
          <t>法制度の改正動向の整理</t>
        </is>
      </c>
      <c r="D9" s="5" t="inlineStr">
        <is>
          <t>障害者総合支援法・児童福祉法の改正動向、就労選択支援の創設、令和8年度報酬改定（処遇改善加算拡充・B型基本報酬区分見直し）</t>
        </is>
      </c>
      <c r="E9" s="5" t="inlineStr">
        <is>
          <t>仕様書4-Ⅱ(1)</t>
        </is>
      </c>
      <c r="F9" s="11" t="inlineStr">
        <is>
          <t>受託者</t>
        </is>
      </c>
      <c r="G9" s="11" t="inlineStr">
        <is>
          <t>2026-08</t>
        </is>
      </c>
      <c r="H9" s="11" t="inlineStr">
        <is>
          <t>2026-08</t>
        </is>
      </c>
      <c r="I9" s="12" t="inlineStr">
        <is>
          <t>完了</t>
        </is>
      </c>
      <c r="J9" s="11" t="n">
        <v>100</v>
      </c>
      <c r="K9" s="11" t="n">
        <v>3</v>
      </c>
      <c r="L9" s="5" t="inlineStr">
        <is>
          <t>骨子案修正版 第1章4（基本指針の見直し16項目）。報酬改定資料3点を source/報酬改定 に保存</t>
        </is>
      </c>
      <c r="M9" s="5" t="inlineStr">
        <is>
          <t>―</t>
        </is>
      </c>
    </row>
    <row r="10">
      <c r="A10" s="5" t="inlineStr">
        <is>
          <t>P2 基礎調査</t>
        </is>
      </c>
      <c r="B10" s="11" t="inlineStr">
        <is>
          <t>2-3</t>
        </is>
      </c>
      <c r="C10" s="5" t="inlineStr">
        <is>
          <t>福島県計画等の関連資料の収集</t>
        </is>
      </c>
      <c r="D10" s="5" t="inlineStr">
        <is>
          <t>福島県障がい福祉計画（第7期）本編、県の精神医療指標、県内の過疎・中山間地域の指定状況</t>
        </is>
      </c>
      <c r="E10" s="5" t="inlineStr">
        <is>
          <t>仕様書4-Ⅱ(1)</t>
        </is>
      </c>
      <c r="F10" s="11" t="inlineStr">
        <is>
          <t>受託者</t>
        </is>
      </c>
      <c r="G10" s="11" t="inlineStr">
        <is>
          <t>2026-08</t>
        </is>
      </c>
      <c r="H10" s="11" t="inlineStr">
        <is>
          <t>2026-08</t>
        </is>
      </c>
      <c r="I10" s="12" t="inlineStr">
        <is>
          <t>完了</t>
        </is>
      </c>
      <c r="J10" s="11" t="n">
        <v>100</v>
      </c>
      <c r="K10" s="11" t="n">
        <v>3</v>
      </c>
      <c r="L10" s="5" t="inlineStr">
        <is>
          <t>福島県_精神医療指標抽出.xlsx（7シート）。本村は過疎法第2条により全域が過疎地域と確定し、別表第五の適用対象外を判定</t>
        </is>
      </c>
      <c r="M10" s="5" t="inlineStr">
        <is>
          <t>―</t>
        </is>
      </c>
    </row>
    <row r="11">
      <c r="A11" s="5" t="inlineStr">
        <is>
          <t>P2 基礎調査</t>
        </is>
      </c>
      <c r="B11" s="11" t="inlineStr">
        <is>
          <t>2-4</t>
        </is>
      </c>
      <c r="C11" s="5" t="inlineStr">
        <is>
          <t>村の関連計画との整合</t>
        </is>
      </c>
      <c r="D11" s="5" t="inlineStr">
        <is>
          <t>第5次総合振興計画、第3次健康21、地域福祉計画、こども・子育て計画、第9期高齢者福祉計画・介護保険事業計画</t>
        </is>
      </c>
      <c r="E11" s="5" t="inlineStr">
        <is>
          <t>仕様書4-Ⅱ(5)</t>
        </is>
      </c>
      <c r="F11" s="11" t="inlineStr">
        <is>
          <t>受託者</t>
        </is>
      </c>
      <c r="G11" s="11" t="inlineStr">
        <is>
          <t>2026-08</t>
        </is>
      </c>
      <c r="H11" s="11" t="inlineStr">
        <is>
          <t>2026-10</t>
        </is>
      </c>
      <c r="I11" s="14" t="inlineStr">
        <is>
          <t>進行中</t>
        </is>
      </c>
      <c r="J11" s="11" t="n">
        <v>60</v>
      </c>
      <c r="K11" s="11" t="n">
        <v>2</v>
      </c>
      <c r="L11" s="5" t="inlineStr">
        <is>
          <t>骨子案修正版 第7章（他計画との連携）。こども家庭センターとの相談導線を追記</t>
        </is>
      </c>
      <c r="M11" s="5" t="inlineStr">
        <is>
          <t>第5次総合振興計画たたき台ほか3計画が未受領</t>
        </is>
      </c>
    </row>
    <row r="12">
      <c r="A12" s="5" t="inlineStr">
        <is>
          <t>P3 統計分析</t>
        </is>
      </c>
      <c r="B12" s="11" t="inlineStr">
        <is>
          <t>3-1</t>
        </is>
      </c>
      <c r="C12" s="5" t="inlineStr">
        <is>
          <t>人口・世帯の分析</t>
        </is>
      </c>
      <c r="D12" s="5" t="inlineStr">
        <is>
          <t>住民基本台帳による人口の推移と、村公式推計による令和11年までの見通し</t>
        </is>
      </c>
      <c r="E12" s="5" t="inlineStr">
        <is>
          <t>仕様書4-Ⅱ(3)①</t>
        </is>
      </c>
      <c r="F12" s="11" t="inlineStr">
        <is>
          <t>受託者</t>
        </is>
      </c>
      <c r="G12" s="11" t="inlineStr">
        <is>
          <t>2026-07</t>
        </is>
      </c>
      <c r="H12" s="11" t="inlineStr">
        <is>
          <t>2026-08</t>
        </is>
      </c>
      <c r="I12" s="12" t="inlineStr">
        <is>
          <t>完了</t>
        </is>
      </c>
      <c r="J12" s="11" t="n">
        <v>100</v>
      </c>
      <c r="K12" s="11" t="n">
        <v>3</v>
      </c>
      <c r="L12" s="5" t="inlineStr">
        <is>
          <t>北塩原村_将来推計.xlsx。令和6年実績2,394人と令和11年公式推計の線形補間</t>
        </is>
      </c>
      <c r="M12" s="5" t="inlineStr">
        <is>
          <t>―</t>
        </is>
      </c>
    </row>
    <row r="13">
      <c r="A13" s="5" t="inlineStr">
        <is>
          <t>P3 統計分析</t>
        </is>
      </c>
      <c r="B13" s="11" t="inlineStr">
        <is>
          <t>3-2</t>
        </is>
      </c>
      <c r="C13" s="5" t="inlineStr">
        <is>
          <t>障がい者手帳所持者数の将来推計</t>
        </is>
      </c>
      <c r="D13" s="5" t="inlineStr">
        <is>
          <t>身体・療育・精神の3区分について3手法で推計し、予測区間と分母感度を検証</t>
        </is>
      </c>
      <c r="E13" s="5" t="inlineStr">
        <is>
          <t>仕様書4-Ⅱ(3)①・4-Ⅱ(5)③</t>
        </is>
      </c>
      <c r="F13" s="11" t="inlineStr">
        <is>
          <t>受託者</t>
        </is>
      </c>
      <c r="G13" s="11" t="inlineStr">
        <is>
          <t>2026-08</t>
        </is>
      </c>
      <c r="H13" s="11" t="inlineStr">
        <is>
          <t>2026-08</t>
        </is>
      </c>
      <c r="I13" s="12" t="inlineStr">
        <is>
          <t>完了</t>
        </is>
      </c>
      <c r="J13" s="11" t="n">
        <v>100</v>
      </c>
      <c r="K13" s="11" t="n">
        <v>5</v>
      </c>
      <c r="L13" s="5" t="inlineStr">
        <is>
          <t>北塩原村_将来推計.xlsx（9シート）。骨子案修正版 第2章6として新設。県との比較シートで採用しなかった代替推計の理由も記録</t>
        </is>
      </c>
      <c r="M13" s="5" t="inlineStr">
        <is>
          <t>年齢階級別の手帳所持者数（未受領）により精度が上がる</t>
        </is>
      </c>
    </row>
    <row r="14">
      <c r="A14" s="5" t="inlineStr">
        <is>
          <t>P3 統計分析</t>
        </is>
      </c>
      <c r="B14" s="11" t="inlineStr">
        <is>
          <t>3-3</t>
        </is>
      </c>
      <c r="C14" s="5" t="inlineStr">
        <is>
          <t>給付実績の整理</t>
        </is>
      </c>
      <c r="D14" s="5" t="inlineStr">
        <is>
          <t>令和2〜7年度の介護給付費・障害児給付費をサービス別に整理</t>
        </is>
      </c>
      <c r="E14" s="5" t="inlineStr">
        <is>
          <t>仕様書4-Ⅱ(2)</t>
        </is>
      </c>
      <c r="F14" s="11" t="inlineStr">
        <is>
          <t>受託者</t>
        </is>
      </c>
      <c r="G14" s="11" t="inlineStr">
        <is>
          <t>2026-08</t>
        </is>
      </c>
      <c r="H14" s="11" t="inlineStr">
        <is>
          <t>2026-08</t>
        </is>
      </c>
      <c r="I14" s="12" t="inlineStr">
        <is>
          <t>完了</t>
        </is>
      </c>
      <c r="J14" s="11" t="n">
        <v>100</v>
      </c>
      <c r="K14" s="11" t="n">
        <v>3</v>
      </c>
      <c r="L14" s="5" t="inlineStr">
        <is>
          <t>北塩原村_障がいサービス給付実績_整理版（6シート）。サービス別内訳と年度合計が原票と一致することを検算済み</t>
        </is>
      </c>
      <c r="M14" s="5" t="inlineStr">
        <is>
          <t>―</t>
        </is>
      </c>
    </row>
    <row r="15">
      <c r="A15" s="5" t="inlineStr">
        <is>
          <t>P3 統計分析</t>
        </is>
      </c>
      <c r="B15" s="11" t="inlineStr">
        <is>
          <t>3-4</t>
        </is>
      </c>
      <c r="C15" s="5" t="inlineStr">
        <is>
          <t>圏域のサービス資源の把握</t>
        </is>
      </c>
      <c r="D15" s="5" t="inlineStr">
        <is>
          <t>ReMHRAD 障害福祉資源18サービスにより、会津北部4町村と近隣市の事業所数を確認</t>
        </is>
      </c>
      <c r="E15" s="5" t="inlineStr">
        <is>
          <t>仕様書4-Ⅱ(3)</t>
        </is>
      </c>
      <c r="F15" s="11" t="inlineStr">
        <is>
          <t>受託者</t>
        </is>
      </c>
      <c r="G15" s="11" t="inlineStr">
        <is>
          <t>2026-08</t>
        </is>
      </c>
      <c r="H15" s="11" t="inlineStr">
        <is>
          <t>2026-08</t>
        </is>
      </c>
      <c r="I15" s="12" t="inlineStr">
        <is>
          <t>完了</t>
        </is>
      </c>
      <c r="J15" s="11" t="n">
        <v>100</v>
      </c>
      <c r="K15" s="11" t="n">
        <v>3</v>
      </c>
      <c r="L15" s="5" t="inlineStr">
        <is>
          <t>北塩原村_圏域サービス資源.xlsx（5シート）。村内に居宅介護1・重度訪問介護1・生活介護1を確認し、「本村には事業所がない」という記述を訂正</t>
        </is>
      </c>
      <c r="M15" s="5" t="inlineStr">
        <is>
          <t>―</t>
        </is>
      </c>
    </row>
    <row r="16">
      <c r="A16" s="5" t="inlineStr">
        <is>
          <t>P3 統計分析</t>
        </is>
      </c>
      <c r="B16" s="11" t="inlineStr">
        <is>
          <t>3-5</t>
        </is>
      </c>
      <c r="C16" s="5" t="inlineStr">
        <is>
          <t>精神障がい者の地域移行に係る分析</t>
        </is>
      </c>
      <c r="D16" s="5" t="inlineStr">
        <is>
          <t>630調査・NDB精神医療指標・ReMHRAD により、県の平均生活日数・再入院率と村の在院者状況を把握</t>
        </is>
      </c>
      <c r="E16" s="5" t="inlineStr">
        <is>
          <t>仕様書4-Ⅱ(3)⑤</t>
        </is>
      </c>
      <c r="F16" s="11" t="inlineStr">
        <is>
          <t>受託者</t>
        </is>
      </c>
      <c r="G16" s="11" t="inlineStr">
        <is>
          <t>2026-08</t>
        </is>
      </c>
      <c r="H16" s="11" t="inlineStr">
        <is>
          <t>2026-09</t>
        </is>
      </c>
      <c r="I16" s="14" t="inlineStr">
        <is>
          <t>進行中</t>
        </is>
      </c>
      <c r="J16" s="11" t="n">
        <v>70</v>
      </c>
      <c r="K16" s="11" t="n">
        <v>4</v>
      </c>
      <c r="L16" s="5" t="inlineStr">
        <is>
          <t>福島県_精神医療指標抽出.xlsx。別表第四のCを令和5年度630調査の2,591人で確定</t>
        </is>
      </c>
      <c r="M16" s="5" t="inlineStr">
        <is>
          <t>令和7年度末時点の1年以上長期入院者の実数と年齢区分（村・会津保健所へ照会中）</t>
        </is>
      </c>
    </row>
    <row r="17">
      <c r="A17" s="5" t="inlineStr">
        <is>
          <t>P3 統計分析</t>
        </is>
      </c>
      <c r="B17" s="11" t="inlineStr">
        <is>
          <t>3-6</t>
        </is>
      </c>
      <c r="C17" s="5" t="inlineStr">
        <is>
          <t>年齢階級別の分析</t>
        </is>
      </c>
      <c r="D17" s="5" t="inlineStr">
        <is>
          <t>身体は0〜17／18〜39／40〜64／65〜74／75歳以上、療育・精神は18歳未満／18〜64／65歳以上</t>
        </is>
      </c>
      <c r="E17" s="5" t="inlineStr">
        <is>
          <t>仕様書4-Ⅱ(3)①</t>
        </is>
      </c>
      <c r="F17" s="11" t="inlineStr">
        <is>
          <t>受託者</t>
        </is>
      </c>
      <c r="G17" s="11" t="inlineStr">
        <is>
          <t>2026-09</t>
        </is>
      </c>
      <c r="H17" s="11" t="inlineStr">
        <is>
          <t>2026-10</t>
        </is>
      </c>
      <c r="I17" s="13" t="inlineStr">
        <is>
          <t>データ待ち</t>
        </is>
      </c>
      <c r="J17" s="11" t="n">
        <v>0</v>
      </c>
      <c r="K17" s="11" t="n">
        <v>3</v>
      </c>
      <c r="L17" s="5" t="inlineStr">
        <is>
          <t>推計の枠は作成済み（将来推計 05）</t>
        </is>
      </c>
      <c r="M17" s="5" t="inlineStr">
        <is>
          <t>年齢階級別の手帳所持者数・人口（村へ依頼中）</t>
        </is>
      </c>
    </row>
    <row r="18">
      <c r="A18" s="5" t="inlineStr">
        <is>
          <t>P4 ニーズ調査</t>
        </is>
      </c>
      <c r="B18" s="11" t="inlineStr">
        <is>
          <t>4-1</t>
        </is>
      </c>
      <c r="C18" s="5" t="inlineStr">
        <is>
          <t>調査対象の抽出</t>
        </is>
      </c>
      <c r="D18" s="5" t="inlineStr">
        <is>
          <t>身体約130人・精神約40人・療育約20人（計約190人）。抽出は委託者が行い、受託者にラベルシールとして提供</t>
        </is>
      </c>
      <c r="E18" s="5" t="inlineStr">
        <is>
          <t>仕様書4-Ⅰ(1)</t>
        </is>
      </c>
      <c r="F18" s="11" t="inlineStr">
        <is>
          <t>北塩原村</t>
        </is>
      </c>
      <c r="G18" s="11" t="inlineStr">
        <is>
          <t>2026-07</t>
        </is>
      </c>
      <c r="H18" s="11" t="inlineStr">
        <is>
          <t>2026-08</t>
        </is>
      </c>
      <c r="I18" s="15" t="inlineStr">
        <is>
          <t>要対応</t>
        </is>
      </c>
      <c r="J18" s="11" t="n">
        <v>0</v>
      </c>
      <c r="K18" s="11" t="n">
        <v>3</v>
      </c>
      <c r="L18" s="5" t="inlineStr">
        <is>
          <t>―</t>
        </is>
      </c>
      <c r="M18" s="5" t="inlineStr">
        <is>
          <t>仕様書の約190人と現行計画の156人（令和5年）の差の理由が未確認。回収率の分母・管理番号の設計に直結する</t>
        </is>
      </c>
    </row>
    <row r="19">
      <c r="A19" s="5" t="inlineStr">
        <is>
          <t>P4 ニーズ調査</t>
        </is>
      </c>
      <c r="B19" s="11" t="inlineStr">
        <is>
          <t>4-2</t>
        </is>
      </c>
      <c r="C19" s="5" t="inlineStr">
        <is>
          <t>調査票の設計</t>
        </is>
      </c>
      <c r="D19" s="5" t="inlineStr">
        <is>
          <t>厚生労働省の調査項目及び村の過去調査を踏まえて設計し、委託者との協議の上決定</t>
        </is>
      </c>
      <c r="E19" s="5" t="inlineStr">
        <is>
          <t>仕様書4-Ⅰ(2)</t>
        </is>
      </c>
      <c r="F19" s="11" t="inlineStr">
        <is>
          <t>受託者</t>
        </is>
      </c>
      <c r="G19" s="11" t="inlineStr">
        <is>
          <t>2026-07</t>
        </is>
      </c>
      <c r="H19" s="11" t="inlineStr">
        <is>
          <t>2026-08</t>
        </is>
      </c>
      <c r="I19" s="14" t="inlineStr">
        <is>
          <t>進行中</t>
        </is>
      </c>
      <c r="J19" s="11" t="n">
        <v>90</v>
      </c>
      <c r="K19" s="11" t="n">
        <v>4</v>
      </c>
      <c r="L19" s="5" t="inlineStr">
        <is>
          <t>障がい者版52問・障がい児版51問。令和8年8月に村から朱書き修正指示40か所を受領し内容を確認済み（docs/北塩原村_アンケート調査票_村修正指示_確認結果.md）</t>
        </is>
      </c>
      <c r="M19" s="5" t="inlineStr">
        <is>
          <t>修正の反映は調査票担当。問36（就労選択支援）の削除は当方から再考を依頼中</t>
        </is>
      </c>
    </row>
    <row r="20">
      <c r="A20" s="5" t="inlineStr">
        <is>
          <t>P4 ニーズ調査</t>
        </is>
      </c>
      <c r="B20" s="11" t="inlineStr">
        <is>
          <t>4-3</t>
        </is>
      </c>
      <c r="C20" s="5" t="inlineStr">
        <is>
          <t>障がい特性に応じた配慮</t>
        </is>
      </c>
      <c r="D20" s="5" t="inlineStr">
        <is>
          <t>文字の大きさ・フォント・表現の工夫、ルビ等</t>
        </is>
      </c>
      <c r="E20" s="5" t="inlineStr">
        <is>
          <t>仕様書4-Ⅰ(2)</t>
        </is>
      </c>
      <c r="F20" s="11" t="inlineStr">
        <is>
          <t>受託者</t>
        </is>
      </c>
      <c r="G20" s="11" t="inlineStr">
        <is>
          <t>2026-07</t>
        </is>
      </c>
      <c r="H20" s="11" t="inlineStr">
        <is>
          <t>2026-08</t>
        </is>
      </c>
      <c r="I20" s="14" t="inlineStr">
        <is>
          <t>進行中</t>
        </is>
      </c>
      <c r="J20" s="11" t="n">
        <v>90</v>
      </c>
      <c r="K20" s="11" t="n">
        <v>2</v>
      </c>
      <c r="L20" s="5" t="inlineStr">
        <is>
          <t>14pt程度・ルビ付与・白黒印刷・専門用語への短い解説（7月7日打合せで決定）。村からレスパイトケア・就労継続支援A型B型の用語説明の文言を受領</t>
        </is>
      </c>
      <c r="M20" s="5" t="inlineStr">
        <is>
          <t>最終レイアウトでの表示確認</t>
        </is>
      </c>
    </row>
    <row r="21">
      <c r="A21" s="5" t="inlineStr">
        <is>
          <t>P4 ニーズ調査</t>
        </is>
      </c>
      <c r="B21" s="11" t="inlineStr">
        <is>
          <t>4-4</t>
        </is>
      </c>
      <c r="C21" s="5" t="inlineStr">
        <is>
          <t>ウェブ回答用フォームの作成</t>
        </is>
      </c>
      <c r="D21" s="5" t="inlineStr">
        <is>
          <t>二次元コードを調査票又は依頼状に印字。紙・ウェブの重複回答を管理番号で管理</t>
        </is>
      </c>
      <c r="E21" s="5" t="inlineStr">
        <is>
          <t>仕様書4-Ⅰ(2)</t>
        </is>
      </c>
      <c r="F21" s="11" t="inlineStr">
        <is>
          <t>受託者</t>
        </is>
      </c>
      <c r="G21" s="11" t="inlineStr">
        <is>
          <t>2026-07</t>
        </is>
      </c>
      <c r="H21" s="11" t="inlineStr">
        <is>
          <t>2026-08</t>
        </is>
      </c>
      <c r="I21" s="14" t="inlineStr">
        <is>
          <t>進行中</t>
        </is>
      </c>
      <c r="J21" s="11" t="n">
        <v>85</v>
      </c>
      <c r="K21" s="11" t="n">
        <v>3</v>
      </c>
      <c r="L21" s="5" t="inlineStr">
        <is>
          <t>Googleフォーム自動作成コード（1本統合分岐版）</t>
        </is>
      </c>
      <c r="M21" s="5" t="inlineStr">
        <is>
          <t>枝番設問の選択肢順序の固定。調査票の修正指示の反映後に再生成が必要</t>
        </is>
      </c>
    </row>
    <row r="22">
      <c r="A22" s="5" t="inlineStr">
        <is>
          <t>P4 ニーズ調査</t>
        </is>
      </c>
      <c r="B22" s="11" t="inlineStr">
        <is>
          <t>4-5</t>
        </is>
      </c>
      <c r="C22" s="5" t="inlineStr">
        <is>
          <t>調査票・封筒の印刷</t>
        </is>
      </c>
      <c r="D22" s="5" t="inlineStr">
        <is>
          <t>調査票及び封筒（配布用・回収用）を各々必要部数印刷。仕様はA4判・約24ページ・黒1色</t>
        </is>
      </c>
      <c r="E22" s="5" t="inlineStr">
        <is>
          <t>仕様書4-Ⅰ(3)</t>
        </is>
      </c>
      <c r="F22" s="11" t="inlineStr">
        <is>
          <t>受託者</t>
        </is>
      </c>
      <c r="G22" s="11" t="inlineStr">
        <is>
          <t>2026-08</t>
        </is>
      </c>
      <c r="H22" s="11" t="inlineStr">
        <is>
          <t>2026-08</t>
        </is>
      </c>
      <c r="I22" s="15" t="inlineStr">
        <is>
          <t>要対応</t>
        </is>
      </c>
      <c r="J22" s="11" t="n">
        <v>0</v>
      </c>
      <c r="K22" s="11" t="n">
        <v>3</v>
      </c>
      <c r="L22" s="5" t="inlineStr">
        <is>
          <t>―</t>
        </is>
      </c>
      <c r="M22" s="5" t="inlineStr">
        <is>
          <t>仕様書は約24頁の1種類だが実際は2種類。頁数・種類数・部数・単価の取扱いを村と協議する必要がある</t>
        </is>
      </c>
    </row>
    <row r="23">
      <c r="A23" s="5" t="inlineStr">
        <is>
          <t>P4 ニーズ調査</t>
        </is>
      </c>
      <c r="B23" s="11" t="inlineStr">
        <is>
          <t>4-6</t>
        </is>
      </c>
      <c r="C23" s="5" t="inlineStr">
        <is>
          <t>発送・回収管理</t>
        </is>
      </c>
      <c r="D23" s="5" t="inlineStr">
        <is>
          <t>宛名ラベルを配布用封筒に貼付し、調査票・返信用封筒を封入・封緘の上発送。発送及び回収に係る費用は受託者の負担</t>
        </is>
      </c>
      <c r="E23" s="5" t="inlineStr">
        <is>
          <t>仕様書4-Ⅰ(4)</t>
        </is>
      </c>
      <c r="F23" s="11" t="inlineStr">
        <is>
          <t>受託者・北塩原村</t>
        </is>
      </c>
      <c r="G23" s="11" t="inlineStr">
        <is>
          <t>2026-08</t>
        </is>
      </c>
      <c r="H23" s="11" t="inlineStr">
        <is>
          <t>2026-09</t>
        </is>
      </c>
      <c r="I23" s="15" t="inlineStr">
        <is>
          <t>要対応</t>
        </is>
      </c>
      <c r="J23" s="11" t="n">
        <v>0</v>
      </c>
      <c r="K23" s="11" t="n">
        <v>3</v>
      </c>
      <c r="L23" s="5" t="inlineStr">
        <is>
          <t>―</t>
        </is>
      </c>
      <c r="M23" s="5" t="inlineStr">
        <is>
          <t>宛名ラベルの提供日が未定。郵送費は打合せで村が立替え後日実費精算とされ、仕様書の受託者負担と異なる運用のため書面確認が必要</t>
        </is>
      </c>
    </row>
    <row r="24">
      <c r="A24" s="5" t="inlineStr">
        <is>
          <t>P5 集計・分析</t>
        </is>
      </c>
      <c r="B24" s="11" t="inlineStr">
        <is>
          <t>5-1</t>
        </is>
      </c>
      <c r="C24" s="5" t="inlineStr">
        <is>
          <t>データ入力</t>
        </is>
      </c>
      <c r="D24" s="5" t="inlineStr">
        <is>
          <t>厚生労働省が提示する集計ファイル様式を基本として入力</t>
        </is>
      </c>
      <c r="E24" s="5" t="inlineStr">
        <is>
          <t>仕様書4-Ⅰ(5)</t>
        </is>
      </c>
      <c r="F24" s="11" t="inlineStr">
        <is>
          <t>受託者</t>
        </is>
      </c>
      <c r="G24" s="11" t="inlineStr">
        <is>
          <t>2026-09</t>
        </is>
      </c>
      <c r="H24" s="11" t="inlineStr">
        <is>
          <t>2026-10</t>
        </is>
      </c>
      <c r="I24" s="16" t="inlineStr">
        <is>
          <t>未着手</t>
        </is>
      </c>
      <c r="J24" s="11" t="n">
        <v>0</v>
      </c>
      <c r="K24" s="11" t="n">
        <v>3</v>
      </c>
      <c r="L24" s="5" t="inlineStr">
        <is>
          <t>―</t>
        </is>
      </c>
      <c r="M24" s="5" t="inlineStr">
        <is>
          <t>アンケートの回収。集計様式の準備</t>
        </is>
      </c>
    </row>
    <row r="25">
      <c r="A25" s="5" t="inlineStr">
        <is>
          <t>P5 集計・分析</t>
        </is>
      </c>
      <c r="B25" s="11" t="inlineStr">
        <is>
          <t>5-2</t>
        </is>
      </c>
      <c r="C25" s="5" t="inlineStr">
        <is>
          <t>集計・分析の設計</t>
        </is>
      </c>
      <c r="D25" s="5" t="inlineStr">
        <is>
          <t>基本集計及び年齢・障がい種別等によるクロス集計。少数母数の取扱い</t>
        </is>
      </c>
      <c r="E25" s="5" t="inlineStr">
        <is>
          <t>仕様書4-Ⅰ(6)</t>
        </is>
      </c>
      <c r="F25" s="11" t="inlineStr">
        <is>
          <t>受託者</t>
        </is>
      </c>
      <c r="G25" s="11" t="inlineStr">
        <is>
          <t>2026-08</t>
        </is>
      </c>
      <c r="H25" s="11" t="inlineStr">
        <is>
          <t>2026-10</t>
        </is>
      </c>
      <c r="I25" s="14" t="inlineStr">
        <is>
          <t>進行中</t>
        </is>
      </c>
      <c r="J25" s="11" t="n">
        <v>30</v>
      </c>
      <c r="K25" s="11" t="n">
        <v>3</v>
      </c>
      <c r="L25" s="5" t="inlineStr">
        <is>
          <t>アンケート集計分析方法（少数母数対応・計画接続メモ）</t>
        </is>
      </c>
      <c r="M25" s="5" t="inlineStr">
        <is>
          <t>小規模公表基準（n&lt;5の秘匿、地区別・障がい種別クロスの扱い）を村と合意する</t>
        </is>
      </c>
    </row>
    <row r="26">
      <c r="A26" s="5" t="inlineStr">
        <is>
          <t>P5 集計・分析</t>
        </is>
      </c>
      <c r="B26" s="11" t="inlineStr">
        <is>
          <t>5-3</t>
        </is>
      </c>
      <c r="C26" s="5" t="inlineStr">
        <is>
          <t>自由回答の取りまとめ</t>
        </is>
      </c>
      <c r="D26" s="5" t="inlineStr">
        <is>
          <t>自由記述の分類・要約。村の修正指示により問11-2・問37-2の自由記述欄が新設される</t>
        </is>
      </c>
      <c r="E26" s="5" t="inlineStr">
        <is>
          <t>仕様書4-Ⅰ(6)</t>
        </is>
      </c>
      <c r="F26" s="11" t="inlineStr">
        <is>
          <t>受託者</t>
        </is>
      </c>
      <c r="G26" s="11" t="inlineStr">
        <is>
          <t>2026-10</t>
        </is>
      </c>
      <c r="H26" s="11" t="inlineStr">
        <is>
          <t>2026-11</t>
        </is>
      </c>
      <c r="I26" s="16" t="inlineStr">
        <is>
          <t>未着手</t>
        </is>
      </c>
      <c r="J26" s="11" t="n">
        <v>0</v>
      </c>
      <c r="K26" s="11" t="n">
        <v>2</v>
      </c>
      <c r="L26" s="5" t="inlineStr">
        <is>
          <t>―</t>
        </is>
      </c>
      <c r="M26" s="5" t="inlineStr">
        <is>
          <t>アンケートの回収</t>
        </is>
      </c>
    </row>
    <row r="27">
      <c r="A27" s="5" t="inlineStr">
        <is>
          <t>P5 集計・分析</t>
        </is>
      </c>
      <c r="B27" s="11" t="inlineStr">
        <is>
          <t>5-4</t>
        </is>
      </c>
      <c r="C27" s="5" t="inlineStr">
        <is>
          <t>成果目標との紐付け</t>
        </is>
      </c>
      <c r="D27" s="5" t="inlineStr">
        <is>
          <t>現行計画は成果目標の設定根拠に調査結果報告書の頁番号を引用している。第8期でも同じ構造とするため、集計段階で設問と成果目標を紐付ける</t>
        </is>
      </c>
      <c r="E27" s="5" t="inlineStr">
        <is>
          <t>仕様書4-Ⅱ(3)⑤</t>
        </is>
      </c>
      <c r="F27" s="11" t="inlineStr">
        <is>
          <t>受託者</t>
        </is>
      </c>
      <c r="G27" s="11" t="inlineStr">
        <is>
          <t>2026-10</t>
        </is>
      </c>
      <c r="H27" s="11" t="inlineStr">
        <is>
          <t>2026-11</t>
        </is>
      </c>
      <c r="I27" s="16" t="inlineStr">
        <is>
          <t>未着手</t>
        </is>
      </c>
      <c r="J27" s="11" t="n">
        <v>0</v>
      </c>
      <c r="K27" s="11" t="n">
        <v>2</v>
      </c>
      <c r="L27" s="5" t="inlineStr">
        <is>
          <t>現行計画評価 02_成果目標の評価に引用関係を整理済み</t>
        </is>
      </c>
      <c r="M27" s="5" t="inlineStr">
        <is>
          <t>アンケートの集計</t>
        </is>
      </c>
    </row>
    <row r="28">
      <c r="A28" s="5" t="inlineStr">
        <is>
          <t>P5 集計・分析</t>
        </is>
      </c>
      <c r="B28" s="11" t="inlineStr">
        <is>
          <t>5-5</t>
        </is>
      </c>
      <c r="C28" s="5" t="inlineStr">
        <is>
          <t>調査結果報告書の作成</t>
        </is>
      </c>
      <c r="D28" s="5" t="inlineStr">
        <is>
          <t>設問ごとにグラフを作成し、分析結果を報告書として取りまとめる</t>
        </is>
      </c>
      <c r="E28" s="5" t="inlineStr">
        <is>
          <t>仕様書4-Ⅰ(7)・成果品②</t>
        </is>
      </c>
      <c r="F28" s="11" t="inlineStr">
        <is>
          <t>受託者</t>
        </is>
      </c>
      <c r="G28" s="11" t="inlineStr">
        <is>
          <t>2026-11</t>
        </is>
      </c>
      <c r="H28" s="11" t="inlineStr">
        <is>
          <t>2026-12</t>
        </is>
      </c>
      <c r="I28" s="16" t="inlineStr">
        <is>
          <t>未着手</t>
        </is>
      </c>
      <c r="J28" s="11" t="n">
        <v>0</v>
      </c>
      <c r="K28" s="11" t="n">
        <v>4</v>
      </c>
      <c r="L28" s="5" t="inlineStr">
        <is>
          <t>―</t>
        </is>
      </c>
      <c r="M28" s="5" t="inlineStr">
        <is>
          <t>集計の完了</t>
        </is>
      </c>
    </row>
    <row r="29">
      <c r="A29" s="5" t="inlineStr">
        <is>
          <t>P6 現行計画の評価</t>
        </is>
      </c>
      <c r="B29" s="11" t="inlineStr">
        <is>
          <t>6-1</t>
        </is>
      </c>
      <c r="C29" s="5" t="inlineStr">
        <is>
          <t>サービス利用実績の評価</t>
        </is>
      </c>
      <c r="D29" s="5" t="inlineStr">
        <is>
          <t>令和3〜5年度の見込量と実績を全数突合し、乖離の類型を判定</t>
        </is>
      </c>
      <c r="E29" s="5" t="inlineStr">
        <is>
          <t>仕様書4-Ⅱ(2)</t>
        </is>
      </c>
      <c r="F29" s="11" t="inlineStr">
        <is>
          <t>受託者</t>
        </is>
      </c>
      <c r="G29" s="11" t="inlineStr">
        <is>
          <t>2026-08</t>
        </is>
      </c>
      <c r="H29" s="11" t="inlineStr">
        <is>
          <t>2026-08</t>
        </is>
      </c>
      <c r="I29" s="12" t="inlineStr">
        <is>
          <t>完了</t>
        </is>
      </c>
      <c r="J29" s="11" t="n">
        <v>100</v>
      </c>
      <c r="K29" s="11" t="n">
        <v>4</v>
      </c>
      <c r="L29" s="5" t="inlineStr">
        <is>
          <t>北塩原村_現行計画評価.xlsx（7シート）。サービス25区分・地域生活支援事業16事業。計上漏れ・過大計上を特定</t>
        </is>
      </c>
      <c r="M29" s="5" t="inlineStr">
        <is>
          <t>―</t>
        </is>
      </c>
    </row>
    <row r="30">
      <c r="A30" s="5" t="inlineStr">
        <is>
          <t>P6 現行計画の評価</t>
        </is>
      </c>
      <c r="B30" s="11" t="inlineStr">
        <is>
          <t>6-2</t>
        </is>
      </c>
      <c r="C30" s="5" t="inlineStr">
        <is>
          <t>成果目標の達成状況の評価</t>
        </is>
      </c>
      <c r="D30" s="5" t="inlineStr">
        <is>
          <t>第7期の成果目標7区分の現状値・目標値・設定根拠と評価の見通し</t>
        </is>
      </c>
      <c r="E30" s="5" t="inlineStr">
        <is>
          <t>仕様書4-Ⅱ(2)</t>
        </is>
      </c>
      <c r="F30" s="11" t="inlineStr">
        <is>
          <t>受託者</t>
        </is>
      </c>
      <c r="G30" s="11" t="inlineStr">
        <is>
          <t>2026-08</t>
        </is>
      </c>
      <c r="H30" s="11" t="inlineStr">
        <is>
          <t>2026-10</t>
        </is>
      </c>
      <c r="I30" s="13" t="inlineStr">
        <is>
          <t>データ待ち</t>
        </is>
      </c>
      <c r="J30" s="11" t="n">
        <v>60</v>
      </c>
      <c r="K30" s="11" t="n">
        <v>4</v>
      </c>
      <c r="L30" s="5" t="inlineStr">
        <is>
          <t>現行計画評価 02_成果目標の評価。令和8年8月の村の朱書きにより基幹相談支援センター未設置・セルフプラン率0％・医療的ケア児1人を確定</t>
        </is>
      </c>
      <c r="M30" s="5" t="inlineStr">
        <is>
          <t>令和6・7年度の実績と令和8年度見込（村へ依頼中）</t>
        </is>
      </c>
    </row>
    <row r="31">
      <c r="A31" s="5" t="inlineStr">
        <is>
          <t>P6 現行計画の評価</t>
        </is>
      </c>
      <c r="B31" s="11" t="inlineStr">
        <is>
          <t>6-3</t>
        </is>
      </c>
      <c r="C31" s="5" t="inlineStr">
        <is>
          <t>活動指標の達成状況の評価</t>
        </is>
      </c>
      <c r="D31" s="5" t="inlineStr">
        <is>
          <t>第7期の活動指標の実績。第8期は83項目のうち本村分65項目</t>
        </is>
      </c>
      <c r="E31" s="5" t="inlineStr">
        <is>
          <t>仕様書4-Ⅱ(2)</t>
        </is>
      </c>
      <c r="F31" s="11" t="inlineStr">
        <is>
          <t>受託者</t>
        </is>
      </c>
      <c r="G31" s="11" t="inlineStr">
        <is>
          <t>2026-09</t>
        </is>
      </c>
      <c r="H31" s="11" t="inlineStr">
        <is>
          <t>2026-11</t>
        </is>
      </c>
      <c r="I31" s="13" t="inlineStr">
        <is>
          <t>データ待ち</t>
        </is>
      </c>
      <c r="J31" s="11" t="n">
        <v>30</v>
      </c>
      <c r="K31" s="11" t="n">
        <v>3</v>
      </c>
      <c r="L31" s="5" t="inlineStr">
        <is>
          <t>北塩原村_活動指標.xlsx（4シート）で第8期の設定は完了</t>
        </is>
      </c>
      <c r="M31" s="5" t="inlineStr">
        <is>
          <t>令和6年度の活動指標実績（村へ依頼中）</t>
        </is>
      </c>
    </row>
    <row r="32">
      <c r="A32" s="5" t="inlineStr">
        <is>
          <t>P6 現行計画の評価</t>
        </is>
      </c>
      <c r="B32" s="11" t="inlineStr">
        <is>
          <t>6-4</t>
        </is>
      </c>
      <c r="C32" s="5" t="inlineStr">
        <is>
          <t>第4次障がい者計画の施策目標値の測定</t>
        </is>
      </c>
      <c r="D32" s="5" t="inlineStr">
        <is>
          <t>8指標の測定手段を確認し、アンケートで測るもの・行政データで測るものを区分</t>
        </is>
      </c>
      <c r="E32" s="5" t="inlineStr">
        <is>
          <t>仕様書4-Ⅱ(2)・4-Ⅱ(5)②</t>
        </is>
      </c>
      <c r="F32" s="11" t="inlineStr">
        <is>
          <t>受託者</t>
        </is>
      </c>
      <c r="G32" s="11" t="inlineStr">
        <is>
          <t>2026-08</t>
        </is>
      </c>
      <c r="H32" s="11" t="inlineStr">
        <is>
          <t>2026-08</t>
        </is>
      </c>
      <c r="I32" s="12" t="inlineStr">
        <is>
          <t>完了</t>
        </is>
      </c>
      <c r="J32" s="11" t="n">
        <v>100</v>
      </c>
      <c r="K32" s="11" t="n">
        <v>2</v>
      </c>
      <c r="L32" s="5" t="inlineStr">
        <is>
          <t>現行計画評価 の施策指標8件。測定可能6・測定不能1・要確認1。外出目的の設問が調査票に無く1指標が測定できないことを特定</t>
        </is>
      </c>
      <c r="M32" s="5" t="inlineStr">
        <is>
          <t>―</t>
        </is>
      </c>
    </row>
    <row r="33">
      <c r="A33" s="5" t="inlineStr">
        <is>
          <t>P7 推計・見込量</t>
        </is>
      </c>
      <c r="B33" s="11" t="inlineStr">
        <is>
          <t>7-1</t>
        </is>
      </c>
      <c r="C33" s="5" t="inlineStr">
        <is>
          <t>推計方法の確定</t>
        </is>
      </c>
      <c r="D33" s="5" t="inlineStr">
        <is>
          <t>個別積上げ方式（実績・意向・心身の状況を利用者単位で積み上げる方法）。別表第五の適用判定を含む</t>
        </is>
      </c>
      <c r="E33" s="5" t="inlineStr">
        <is>
          <t>仕様書4-Ⅱ(3)</t>
        </is>
      </c>
      <c r="F33" s="11" t="inlineStr">
        <is>
          <t>受託者</t>
        </is>
      </c>
      <c r="G33" s="11" t="inlineStr">
        <is>
          <t>2026-08</t>
        </is>
      </c>
      <c r="H33" s="11" t="inlineStr">
        <is>
          <t>2026-08</t>
        </is>
      </c>
      <c r="I33" s="12" t="inlineStr">
        <is>
          <t>完了</t>
        </is>
      </c>
      <c r="J33" s="11" t="n">
        <v>100</v>
      </c>
      <c r="K33" s="11" t="n">
        <v>5</v>
      </c>
      <c r="L33" s="5" t="inlineStr">
        <is>
          <t>北塩原村_サービス見込量.xlsx（13シート）。11_告示別表第一根拠・12_別表第五判定。全域過疎により別表第五は適用対象外と確定し、個別積上げ方式を採用</t>
        </is>
      </c>
      <c r="M33" s="5" t="inlineStr">
        <is>
          <t>―</t>
        </is>
      </c>
    </row>
    <row r="34">
      <c r="A34" s="5" t="inlineStr">
        <is>
          <t>P7 推計・見込量</t>
        </is>
      </c>
      <c r="B34" s="11" t="inlineStr">
        <is>
          <t>7-2</t>
        </is>
      </c>
      <c r="C34" s="5" t="inlineStr">
        <is>
          <t>障がい福祉サービスの見込量の推計</t>
        </is>
      </c>
      <c r="D34" s="5" t="inlineStr">
        <is>
          <t>介護給付・訓練等給付の利用者数と量。年齢到達に伴う移行を含む</t>
        </is>
      </c>
      <c r="E34" s="5" t="inlineStr">
        <is>
          <t>仕様書4-Ⅱ(3)②</t>
        </is>
      </c>
      <c r="F34" s="11" t="inlineStr">
        <is>
          <t>受託者</t>
        </is>
      </c>
      <c r="G34" s="11" t="inlineStr">
        <is>
          <t>2026-08</t>
        </is>
      </c>
      <c r="H34" s="11" t="inlineStr">
        <is>
          <t>2026-12</t>
        </is>
      </c>
      <c r="I34" s="13" t="inlineStr">
        <is>
          <t>データ待ち</t>
        </is>
      </c>
      <c r="J34" s="11" t="n">
        <v>55</v>
      </c>
      <c r="K34" s="11" t="n">
        <v>5</v>
      </c>
      <c r="L34" s="5" t="inlineStr">
        <is>
          <t>算式は実装済み（02〜04）。障害支援区分別人数15人による検証を実施し、既存の見込量と矛盾しないことを確認</t>
        </is>
      </c>
      <c r="M34" s="5" t="inlineStr">
        <is>
          <t>年齢別・サービス別の匿名利用者一覧、サービス別の支給決定者数（村へ依頼中）</t>
        </is>
      </c>
    </row>
    <row r="35">
      <c r="A35" s="5" t="inlineStr">
        <is>
          <t>P7 推計・見込量</t>
        </is>
      </c>
      <c r="B35" s="11" t="inlineStr">
        <is>
          <t>7-3</t>
        </is>
      </c>
      <c r="C35" s="5" t="inlineStr">
        <is>
          <t>障がい児通所支援等の見込量の推計</t>
        </is>
      </c>
      <c r="D35" s="5" t="inlineStr">
        <is>
          <t>児童発達支援・放課後等デイサービス等の利用者数と量</t>
        </is>
      </c>
      <c r="E35" s="5" t="inlineStr">
        <is>
          <t>仕様書4-Ⅱ(3)③</t>
        </is>
      </c>
      <c r="F35" s="11" t="inlineStr">
        <is>
          <t>受託者</t>
        </is>
      </c>
      <c r="G35" s="11" t="inlineStr">
        <is>
          <t>2026-08</t>
        </is>
      </c>
      <c r="H35" s="11" t="inlineStr">
        <is>
          <t>2026-12</t>
        </is>
      </c>
      <c r="I35" s="13" t="inlineStr">
        <is>
          <t>データ待ち</t>
        </is>
      </c>
      <c r="J35" s="11" t="n">
        <v>50</v>
      </c>
      <c r="K35" s="11" t="n">
        <v>3</v>
      </c>
      <c r="L35" s="5" t="inlineStr">
        <is>
          <t>算式は実装済み（04）。障がい児入所0件・通所支援の申請中0件を村の朱書きで確認</t>
        </is>
      </c>
      <c r="M35" s="5" t="inlineStr">
        <is>
          <t>令和6・7年度の障害児給付費の変動理由（児童発達支援23件→1件、放課後等デイ12件→27件）の確認</t>
        </is>
      </c>
    </row>
    <row r="36">
      <c r="A36" s="5" t="inlineStr">
        <is>
          <t>P7 推計・見込量</t>
        </is>
      </c>
      <c r="B36" s="11" t="inlineStr">
        <is>
          <t>7-4</t>
        </is>
      </c>
      <c r="C36" s="5" t="inlineStr">
        <is>
          <t>地域生活支援事業の見込量の推計</t>
        </is>
      </c>
      <c r="D36" s="5" t="inlineStr">
        <is>
          <t>必須15事業・任意3事業の事業ごとの実施に関する考え方と量の見込み</t>
        </is>
      </c>
      <c r="E36" s="5" t="inlineStr">
        <is>
          <t>仕様書4-Ⅱ(3)④</t>
        </is>
      </c>
      <c r="F36" s="11" t="inlineStr">
        <is>
          <t>受託者</t>
        </is>
      </c>
      <c r="G36" s="11" t="inlineStr">
        <is>
          <t>2026-08</t>
        </is>
      </c>
      <c r="H36" s="11" t="inlineStr">
        <is>
          <t>2026-09</t>
        </is>
      </c>
      <c r="I36" s="14" t="inlineStr">
        <is>
          <t>進行中</t>
        </is>
      </c>
      <c r="J36" s="11" t="n">
        <v>70</v>
      </c>
      <c r="K36" s="11" t="n">
        <v>3</v>
      </c>
      <c r="L36" s="5" t="inlineStr">
        <is>
          <t>北塩原村_地域生活支援事業.xlsx（4シート）。告示第三の二の3の4事項に対応</t>
        </is>
      </c>
      <c r="M36" s="5" t="inlineStr">
        <is>
          <t>移動支援0人・福祉ホームの実績と見込の逆転など、確認事項7件が未解消</t>
        </is>
      </c>
    </row>
    <row r="37">
      <c r="A37" s="5" t="inlineStr">
        <is>
          <t>P7 推計・見込量</t>
        </is>
      </c>
      <c r="B37" s="11" t="inlineStr">
        <is>
          <t>7-5</t>
        </is>
      </c>
      <c r="C37" s="5" t="inlineStr">
        <is>
          <t>成果目標の設定</t>
        </is>
      </c>
      <c r="D37" s="5" t="inlineStr">
        <is>
          <t>第8期の成果目標8区分（人材確保・定着が新設）</t>
        </is>
      </c>
      <c r="E37" s="5" t="inlineStr">
        <is>
          <t>仕様書4-Ⅱ(3)⑤</t>
        </is>
      </c>
      <c r="F37" s="11" t="inlineStr">
        <is>
          <t>受託者</t>
        </is>
      </c>
      <c r="G37" s="11" t="inlineStr">
        <is>
          <t>2026-08</t>
        </is>
      </c>
      <c r="H37" s="11" t="inlineStr">
        <is>
          <t>2026-12</t>
        </is>
      </c>
      <c r="I37" s="13" t="inlineStr">
        <is>
          <t>データ待ち</t>
        </is>
      </c>
      <c r="J37" s="11" t="n">
        <v>55</v>
      </c>
      <c r="K37" s="11" t="n">
        <v>4</v>
      </c>
      <c r="L37" s="5" t="inlineStr">
        <is>
          <t>骨子案修正版 第4章。国基準数値を告示本文と照合済み。村の朱書きにより（３）（４）（６）を具体化</t>
        </is>
      </c>
      <c r="M37" s="5" t="inlineStr">
        <is>
          <t>令和7年度末の施設入所者数、令和6年度の一般就労移行実績、1年以上長期入院者の実数</t>
        </is>
      </c>
    </row>
    <row r="38">
      <c r="A38" s="5" t="inlineStr">
        <is>
          <t>P7 推計・見込量</t>
        </is>
      </c>
      <c r="B38" s="11" t="inlineStr">
        <is>
          <t>7-6</t>
        </is>
      </c>
      <c r="C38" s="5" t="inlineStr">
        <is>
          <t>活動指標の設定</t>
        </is>
      </c>
      <c r="D38" s="5" t="inlineStr">
        <is>
          <t>別表第一の83項目から本村で設定する65項目を選定。告示第三の四㈡により見込量以外の活動指標は任意</t>
        </is>
      </c>
      <c r="E38" s="5" t="inlineStr">
        <is>
          <t>仕様書4-Ⅱ(3)⑤</t>
        </is>
      </c>
      <c r="F38" s="11" t="inlineStr">
        <is>
          <t>受託者</t>
        </is>
      </c>
      <c r="G38" s="11" t="inlineStr">
        <is>
          <t>2026-08</t>
        </is>
      </c>
      <c r="H38" s="11" t="inlineStr">
        <is>
          <t>2026-09</t>
        </is>
      </c>
      <c r="I38" s="14" t="inlineStr">
        <is>
          <t>進行中</t>
        </is>
      </c>
      <c r="J38" s="11" t="n">
        <v>80</v>
      </c>
      <c r="K38" s="11" t="n">
        <v>3</v>
      </c>
      <c r="L38" s="5" t="inlineStr">
        <is>
          <t>北塩原村_活動指標.xlsx。設定51・検討7・設定しない7・都道府県指標18</t>
        </is>
      </c>
      <c r="M38" s="5" t="inlineStr">
        <is>
          <t>令和6年度実績の受領後に現状値を入れる</t>
        </is>
      </c>
    </row>
    <row r="39">
      <c r="A39" s="5" t="inlineStr">
        <is>
          <t>P7 推計・見込量</t>
        </is>
      </c>
      <c r="B39" s="11" t="inlineStr">
        <is>
          <t>7-7</t>
        </is>
      </c>
      <c r="C39" s="5" t="inlineStr">
        <is>
          <t>給付費・財源構成の推計</t>
        </is>
      </c>
      <c r="D39" s="5" t="inlineStr">
        <is>
          <t>サービス別の給付費と、国1/2・県1/4・村1/4の法定負担による財源構成</t>
        </is>
      </c>
      <c r="E39" s="5" t="inlineStr">
        <is>
          <t>仕様書4-Ⅱ(3)</t>
        </is>
      </c>
      <c r="F39" s="11" t="inlineStr">
        <is>
          <t>受託者</t>
        </is>
      </c>
      <c r="G39" s="11" t="inlineStr">
        <is>
          <t>2026-08</t>
        </is>
      </c>
      <c r="H39" s="11" t="inlineStr">
        <is>
          <t>2026-12</t>
        </is>
      </c>
      <c r="I39" s="13" t="inlineStr">
        <is>
          <t>データ待ち</t>
        </is>
      </c>
      <c r="J39" s="11" t="n">
        <v>55</v>
      </c>
      <c r="K39" s="11" t="n">
        <v>4</v>
      </c>
      <c r="L39" s="5" t="inlineStr">
        <is>
          <t>北塩原村_財源構成案.xlsx。年間給付費＝利用者数×単価×12×改定率で算式化。令和8・9年度の報酬改定率をパラメータ化済み</t>
        </is>
      </c>
      <c r="M39" s="5" t="inlineStr">
        <is>
          <t>見込量の確定、障がい福祉関係の歳入歳出決算（村へ依頼中）</t>
        </is>
      </c>
    </row>
    <row r="40">
      <c r="A40" s="5" t="inlineStr">
        <is>
          <t>P8 施策検討・計画案</t>
        </is>
      </c>
      <c r="B40" s="11" t="inlineStr">
        <is>
          <t>8-1</t>
        </is>
      </c>
      <c r="C40" s="5" t="inlineStr">
        <is>
          <t>障がい者福祉施策の検討</t>
        </is>
      </c>
      <c r="D40" s="5" t="inlineStr">
        <is>
          <t>現行計画の成果と課題を踏まえ、次期計画に盛り込む施策を検討</t>
        </is>
      </c>
      <c r="E40" s="5" t="inlineStr">
        <is>
          <t>仕様書4-Ⅱ(4)</t>
        </is>
      </c>
      <c r="F40" s="11" t="inlineStr">
        <is>
          <t>受託者</t>
        </is>
      </c>
      <c r="G40" s="11" t="inlineStr">
        <is>
          <t>2026-08</t>
        </is>
      </c>
      <c r="H40" s="11" t="inlineStr">
        <is>
          <t>2026-12</t>
        </is>
      </c>
      <c r="I40" s="14" t="inlineStr">
        <is>
          <t>進行中</t>
        </is>
      </c>
      <c r="J40" s="11" t="n">
        <v>60</v>
      </c>
      <c r="K40" s="11" t="n">
        <v>4</v>
      </c>
      <c r="L40" s="5" t="inlineStr">
        <is>
          <t>骨子案修正版 第3章（基本理念・基本目標及び施策体系）。第8期で加わる視点と施策体系の対応表を新設</t>
        </is>
      </c>
      <c r="M40" s="5" t="inlineStr">
        <is>
          <t>現行計画の評価の確定</t>
        </is>
      </c>
    </row>
    <row r="41">
      <c r="A41" s="5" t="inlineStr">
        <is>
          <t>P8 施策検討・計画案</t>
        </is>
      </c>
      <c r="B41" s="11" t="inlineStr">
        <is>
          <t>8-2</t>
        </is>
      </c>
      <c r="C41" s="5" t="inlineStr">
        <is>
          <t>計画案の作成</t>
        </is>
      </c>
      <c r="D41"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41" s="5" t="inlineStr">
        <is>
          <t>仕様書4-Ⅱ(5)</t>
        </is>
      </c>
      <c r="F41" s="11" t="inlineStr">
        <is>
          <t>受託者</t>
        </is>
      </c>
      <c r="G41" s="11" t="inlineStr">
        <is>
          <t>2026-07</t>
        </is>
      </c>
      <c r="H41" s="11" t="inlineStr">
        <is>
          <t>2027-01</t>
        </is>
      </c>
      <c r="I41" s="14" t="inlineStr">
        <is>
          <t>進行中</t>
        </is>
      </c>
      <c r="J41" s="11" t="n">
        <v>65</v>
      </c>
      <c r="K41" s="11" t="n">
        <v>5</v>
      </c>
      <c r="L41" s="5" t="inlineStr">
        <is>
          <t>骨子案修正版（全8章・97表・369段落・図9点）。推計方法・年齢到達移行・活動指標・財源構成の4節を新設</t>
        </is>
      </c>
      <c r="M41" s="5" t="inlineStr">
        <is>
          <t>アンケート結果、実績データ、見込量の確定</t>
        </is>
      </c>
    </row>
    <row r="42">
      <c r="A42" s="5" t="inlineStr">
        <is>
          <t>P8 施策検討・計画案</t>
        </is>
      </c>
      <c r="B42" s="11" t="inlineStr">
        <is>
          <t>8-3</t>
        </is>
      </c>
      <c r="C42" s="5" t="inlineStr">
        <is>
          <t>確保のための方策の記載</t>
        </is>
      </c>
      <c r="D42" s="5" t="inlineStr">
        <is>
          <t>小規模町村・中山間地域向けの確保方策。介護保険事業所への指定働きかけ、共生型サービス、基準該当、多機能型・従たる事業所、短期入所</t>
        </is>
      </c>
      <c r="E42" s="5" t="inlineStr">
        <is>
          <t>仕様書4-Ⅱ(5)</t>
        </is>
      </c>
      <c r="F42" s="11" t="inlineStr">
        <is>
          <t>受託者</t>
        </is>
      </c>
      <c r="G42" s="11" t="inlineStr">
        <is>
          <t>2026-08</t>
        </is>
      </c>
      <c r="H42" s="11" t="inlineStr">
        <is>
          <t>2026-08</t>
        </is>
      </c>
      <c r="I42" s="12" t="inlineStr">
        <is>
          <t>完了</t>
        </is>
      </c>
      <c r="J42" s="11" t="n">
        <v>100</v>
      </c>
      <c r="K42" s="11" t="n">
        <v>3</v>
      </c>
      <c r="L42" s="5" t="inlineStr">
        <is>
          <t>骨子案修正版 第5章8。告示が名指しする5つの具体策を反映し、圏域の事業所数を原典から表として生成する方式に変更</t>
        </is>
      </c>
      <c r="M42" s="5" t="inlineStr">
        <is>
          <t>―</t>
        </is>
      </c>
    </row>
    <row r="43">
      <c r="A43" s="5" t="inlineStr">
        <is>
          <t>P8 施策検討・計画案</t>
        </is>
      </c>
      <c r="B43" s="11" t="inlineStr">
        <is>
          <t>8-4</t>
        </is>
      </c>
      <c r="C43" s="5" t="inlineStr">
        <is>
          <t>分量配分の設計</t>
        </is>
      </c>
      <c r="D43" s="5" t="inlineStr">
        <is>
          <t>成果品①は約60頁。章別の目標頁数を先に決め、原稿段階で収める</t>
        </is>
      </c>
      <c r="E43" s="5" t="inlineStr">
        <is>
          <t>仕様書5 成果品①</t>
        </is>
      </c>
      <c r="F43" s="11" t="inlineStr">
        <is>
          <t>受託者</t>
        </is>
      </c>
      <c r="G43" s="11" t="inlineStr">
        <is>
          <t>2026-08</t>
        </is>
      </c>
      <c r="H43" s="11" t="inlineStr">
        <is>
          <t>2026-08</t>
        </is>
      </c>
      <c r="I43" s="12" t="inlineStr">
        <is>
          <t>完了</t>
        </is>
      </c>
      <c r="J43" s="11" t="n">
        <v>100</v>
      </c>
      <c r="K43" s="11" t="n">
        <v>2</v>
      </c>
      <c r="L43" s="5" t="inlineStr">
        <is>
          <t>計画書_分量配分計画（docs）。現行63頁の章別配分を基準に60頁へ配分。削減順序と削ってはならないものを明記</t>
        </is>
      </c>
      <c r="M43" s="5" t="inlineStr">
        <is>
          <t>―</t>
        </is>
      </c>
    </row>
    <row r="44">
      <c r="A44" s="5" t="inlineStr">
        <is>
          <t>P9 意見聴取</t>
        </is>
      </c>
      <c r="B44" s="11" t="inlineStr">
        <is>
          <t>9-1</t>
        </is>
      </c>
      <c r="C44" s="5" t="inlineStr">
        <is>
          <t>自立支援協議会の資料作成</t>
        </is>
      </c>
      <c r="D44" s="5" t="inlineStr">
        <is>
          <t>委託者が協議会に報告・説明し、受託者は会議資料の作成、会議への出席、会議記録（要旨）の作成等の運営支援を行う。開催は1回程度</t>
        </is>
      </c>
      <c r="E44" s="5" t="inlineStr">
        <is>
          <t>仕様書4-Ⅱ(7)</t>
        </is>
      </c>
      <c r="F44" s="11" t="inlineStr">
        <is>
          <t>受託者</t>
        </is>
      </c>
      <c r="G44" s="11" t="inlineStr">
        <is>
          <t>2026-08</t>
        </is>
      </c>
      <c r="H44" s="11" t="inlineStr">
        <is>
          <t>2026-12</t>
        </is>
      </c>
      <c r="I44" s="14" t="inlineStr">
        <is>
          <t>進行中</t>
        </is>
      </c>
      <c r="J44" s="11" t="n">
        <v>50</v>
      </c>
      <c r="K44" s="11" t="n">
        <v>3</v>
      </c>
      <c r="L44" s="5" t="inlineStr">
        <is>
          <t>会議資料5点を作成（協議会資料1・2・8、庁議資料2・4）。村資料に依存しない資料を先行して整備</t>
        </is>
      </c>
      <c r="M44" s="5" t="inlineStr">
        <is>
          <t>協議会の開催時期が未定。委員名簿が未受領</t>
        </is>
      </c>
    </row>
    <row r="45">
      <c r="A45" s="5" t="inlineStr">
        <is>
          <t>P9 意見聴取</t>
        </is>
      </c>
      <c r="B45" s="11" t="inlineStr">
        <is>
          <t>9-2</t>
        </is>
      </c>
      <c r="C45" s="5" t="inlineStr">
        <is>
          <t>協議会の開催</t>
        </is>
      </c>
      <c r="D45" s="5" t="inlineStr">
        <is>
          <t>調査結果・素案・計画案の報告と審議</t>
        </is>
      </c>
      <c r="E45" s="5" t="inlineStr">
        <is>
          <t>仕様書4-Ⅱ(7)</t>
        </is>
      </c>
      <c r="F45" s="11" t="inlineStr">
        <is>
          <t>北塩原村・受託者</t>
        </is>
      </c>
      <c r="G45" s="11" t="inlineStr">
        <is>
          <t>2026-12</t>
        </is>
      </c>
      <c r="H45" s="11" t="inlineStr">
        <is>
          <t>2026-12</t>
        </is>
      </c>
      <c r="I45" s="16" t="inlineStr">
        <is>
          <t>未着手</t>
        </is>
      </c>
      <c r="J45" s="11" t="n">
        <v>0</v>
      </c>
      <c r="K45" s="11" t="n">
        <v>2</v>
      </c>
      <c r="L45" s="5" t="inlineStr">
        <is>
          <t>―</t>
        </is>
      </c>
      <c r="M45" s="5" t="inlineStr">
        <is>
          <t>開催日が未定。素案の確定</t>
        </is>
      </c>
    </row>
    <row r="46">
      <c r="A46" s="5" t="inlineStr">
        <is>
          <t>P9 意見聴取</t>
        </is>
      </c>
      <c r="B46" s="11" t="inlineStr">
        <is>
          <t>9-3</t>
        </is>
      </c>
      <c r="C46" s="5" t="inlineStr">
        <is>
          <t>庁議の開催</t>
        </is>
      </c>
      <c r="D46" s="5" t="inlineStr">
        <is>
          <t>庁内各課との調整。関連計画との整合と依頼事項</t>
        </is>
      </c>
      <c r="E46" s="5" t="inlineStr">
        <is>
          <t>―</t>
        </is>
      </c>
      <c r="F46" s="11" t="inlineStr">
        <is>
          <t>北塩原村・受託者</t>
        </is>
      </c>
      <c r="G46" s="11" t="inlineStr">
        <is>
          <t>2026-11</t>
        </is>
      </c>
      <c r="H46" s="11" t="inlineStr">
        <is>
          <t>2027-01</t>
        </is>
      </c>
      <c r="I46" s="16" t="inlineStr">
        <is>
          <t>未着手</t>
        </is>
      </c>
      <c r="J46" s="11" t="n">
        <v>0</v>
      </c>
      <c r="K46" s="11" t="n">
        <v>1</v>
      </c>
      <c r="L46" s="5" t="inlineStr">
        <is>
          <t>庁議資料2点は作成済み</t>
        </is>
      </c>
      <c r="M46" s="5" t="inlineStr">
        <is>
          <t>開催時期が未定</t>
        </is>
      </c>
    </row>
    <row r="47">
      <c r="A47" s="5" t="inlineStr">
        <is>
          <t>P9 意見聴取</t>
        </is>
      </c>
      <c r="B47" s="11" t="inlineStr">
        <is>
          <t>9-4</t>
        </is>
      </c>
      <c r="C47" s="5" t="inlineStr">
        <is>
          <t>パブリックコメントの実施</t>
        </is>
      </c>
      <c r="D47" s="5" t="inlineStr">
        <is>
          <t>計画案について意見を募集し、得られた意見を反映</t>
        </is>
      </c>
      <c r="E47" s="5" t="inlineStr">
        <is>
          <t>仕様書4-Ⅱ(6)</t>
        </is>
      </c>
      <c r="F47" s="11" t="inlineStr">
        <is>
          <t>北塩原村・受託者</t>
        </is>
      </c>
      <c r="G47" s="11" t="inlineStr">
        <is>
          <t>2027-01</t>
        </is>
      </c>
      <c r="H47" s="11" t="inlineStr">
        <is>
          <t>2027-02</t>
        </is>
      </c>
      <c r="I47" s="16" t="inlineStr">
        <is>
          <t>未着手</t>
        </is>
      </c>
      <c r="J47" s="11" t="n">
        <v>0</v>
      </c>
      <c r="K47" s="11" t="n">
        <v>2</v>
      </c>
      <c r="L47" s="5" t="inlineStr">
        <is>
          <t>―</t>
        </is>
      </c>
      <c r="M47" s="5" t="inlineStr">
        <is>
          <t>素案の確定。実施時期が未定</t>
        </is>
      </c>
    </row>
    <row r="48">
      <c r="A48" s="5" t="inlineStr">
        <is>
          <t>P9 意見聴取</t>
        </is>
      </c>
      <c r="B48" s="11" t="inlineStr">
        <is>
          <t>9-5</t>
        </is>
      </c>
      <c r="C48" s="5" t="inlineStr">
        <is>
          <t>意見への対応</t>
        </is>
      </c>
      <c r="D48" s="5" t="inlineStr">
        <is>
          <t>意見の整理、対応案の作成、計画への反映</t>
        </is>
      </c>
      <c r="E48" s="5" t="inlineStr">
        <is>
          <t>仕様書4-Ⅱ(6)</t>
        </is>
      </c>
      <c r="F48" s="11" t="inlineStr">
        <is>
          <t>受託者</t>
        </is>
      </c>
      <c r="G48" s="11" t="inlineStr">
        <is>
          <t>2027-02</t>
        </is>
      </c>
      <c r="H48" s="11" t="inlineStr">
        <is>
          <t>2027-02</t>
        </is>
      </c>
      <c r="I48" s="16" t="inlineStr">
        <is>
          <t>未着手</t>
        </is>
      </c>
      <c r="J48" s="11" t="n">
        <v>0</v>
      </c>
      <c r="K48" s="11" t="n">
        <v>2</v>
      </c>
      <c r="L48" s="5" t="inlineStr">
        <is>
          <t>―</t>
        </is>
      </c>
      <c r="M48" s="5" t="inlineStr">
        <is>
          <t>パブリックコメントの実施</t>
        </is>
      </c>
    </row>
    <row r="49">
      <c r="A49" s="5" t="inlineStr">
        <is>
          <t>P10 完成・納品</t>
        </is>
      </c>
      <c r="B49" s="11" t="inlineStr">
        <is>
          <t>10-1</t>
        </is>
      </c>
      <c r="C49" s="5" t="inlineStr">
        <is>
          <t>計画書の原稿確定</t>
        </is>
      </c>
      <c r="D49" s="5" t="inlineStr">
        <is>
          <t>協議会・パブリックコメントを経て得られた意見を反映の上、最終的に取りまとめる</t>
        </is>
      </c>
      <c r="E49" s="5" t="inlineStr">
        <is>
          <t>仕様書4-Ⅱ(6)</t>
        </is>
      </c>
      <c r="F49" s="11" t="inlineStr">
        <is>
          <t>受託者</t>
        </is>
      </c>
      <c r="G49" s="11" t="inlineStr">
        <is>
          <t>2027-02</t>
        </is>
      </c>
      <c r="H49" s="11" t="inlineStr">
        <is>
          <t>2027-02</t>
        </is>
      </c>
      <c r="I49" s="16" t="inlineStr">
        <is>
          <t>未着手</t>
        </is>
      </c>
      <c r="J49" s="11" t="n">
        <v>0</v>
      </c>
      <c r="K49" s="11" t="n">
        <v>3</v>
      </c>
      <c r="L49" s="5" t="inlineStr">
        <is>
          <t>―</t>
        </is>
      </c>
      <c r="M49" s="5" t="inlineStr">
        <is>
          <t>意見への対応</t>
        </is>
      </c>
    </row>
    <row r="50">
      <c r="A50" s="5" t="inlineStr">
        <is>
          <t>P10 完成・納品</t>
        </is>
      </c>
      <c r="B50" s="11" t="inlineStr">
        <is>
          <t>10-2</t>
        </is>
      </c>
      <c r="C50" s="5" t="inlineStr">
        <is>
          <t>レイアウト・組版</t>
        </is>
      </c>
      <c r="D50" s="5" t="inlineStr">
        <is>
          <t>A4判・両面・約60頁・モノクロ</t>
        </is>
      </c>
      <c r="E50" s="5" t="inlineStr">
        <is>
          <t>仕様書5 成果品①</t>
        </is>
      </c>
      <c r="F50" s="11" t="inlineStr">
        <is>
          <t>受託者</t>
        </is>
      </c>
      <c r="G50" s="11" t="inlineStr">
        <is>
          <t>2027-02</t>
        </is>
      </c>
      <c r="H50" s="11" t="inlineStr">
        <is>
          <t>2027-03</t>
        </is>
      </c>
      <c r="I50" s="16" t="inlineStr">
        <is>
          <t>未着手</t>
        </is>
      </c>
      <c r="J50" s="11" t="n">
        <v>0</v>
      </c>
      <c r="K50" s="11" t="n">
        <v>3</v>
      </c>
      <c r="L50" s="5" t="inlineStr">
        <is>
          <t>分量配分計画を作成済み。実際の組版で1頁あたりの文字数を実測し補正する</t>
        </is>
      </c>
      <c r="M50" s="5" t="inlineStr">
        <is>
          <t>原稿の確定</t>
        </is>
      </c>
    </row>
    <row r="51">
      <c r="A51" s="5" t="inlineStr">
        <is>
          <t>P10 完成・納品</t>
        </is>
      </c>
      <c r="B51" s="11" t="inlineStr">
        <is>
          <t>10-3</t>
        </is>
      </c>
      <c r="C51" s="5" t="inlineStr">
        <is>
          <t>校正</t>
        </is>
      </c>
      <c r="D51" s="5" t="inlineStr">
        <is>
          <t>村の確認を経て校了</t>
        </is>
      </c>
      <c r="E51" s="5" t="inlineStr">
        <is>
          <t>仕様書5 成果品①</t>
        </is>
      </c>
      <c r="F51" s="11" t="inlineStr">
        <is>
          <t>受託者・北塩原村</t>
        </is>
      </c>
      <c r="G51" s="11" t="inlineStr">
        <is>
          <t>2027-03</t>
        </is>
      </c>
      <c r="H51" s="11" t="inlineStr">
        <is>
          <t>2027-03</t>
        </is>
      </c>
      <c r="I51" s="16" t="inlineStr">
        <is>
          <t>未着手</t>
        </is>
      </c>
      <c r="J51" s="11" t="n">
        <v>0</v>
      </c>
      <c r="K51" s="11" t="n">
        <v>2</v>
      </c>
      <c r="L51" s="5" t="inlineStr">
        <is>
          <t>―</t>
        </is>
      </c>
      <c r="M51" s="5" t="inlineStr">
        <is>
          <t>組版</t>
        </is>
      </c>
    </row>
    <row r="52">
      <c r="A52" s="5" t="inlineStr">
        <is>
          <t>P10 完成・納品</t>
        </is>
      </c>
      <c r="B52" s="11" t="inlineStr">
        <is>
          <t>10-4</t>
        </is>
      </c>
      <c r="C52" s="5" t="inlineStr">
        <is>
          <t>印刷・製本</t>
        </is>
      </c>
      <c r="D52" s="5" t="inlineStr">
        <is>
          <t>計画書はコピー・くるみ製本30部、調査報告書はコピー・ホチキス製本10部</t>
        </is>
      </c>
      <c r="E52" s="5" t="inlineStr">
        <is>
          <t>仕様書5 成果品①②</t>
        </is>
      </c>
      <c r="F52" s="11" t="inlineStr">
        <is>
          <t>受託者</t>
        </is>
      </c>
      <c r="G52" s="11" t="inlineStr">
        <is>
          <t>2027-03</t>
        </is>
      </c>
      <c r="H52" s="11" t="inlineStr">
        <is>
          <t>2027-03</t>
        </is>
      </c>
      <c r="I52" s="16" t="inlineStr">
        <is>
          <t>未着手</t>
        </is>
      </c>
      <c r="J52" s="11" t="n">
        <v>0</v>
      </c>
      <c r="K52" s="11" t="n">
        <v>2</v>
      </c>
      <c r="L52" s="5" t="inlineStr">
        <is>
          <t>―</t>
        </is>
      </c>
      <c r="M52" s="5" t="inlineStr">
        <is>
          <t>校了。印刷業者の手配</t>
        </is>
      </c>
    </row>
    <row r="53">
      <c r="A53" s="5" t="inlineStr">
        <is>
          <t>P10 完成・納品</t>
        </is>
      </c>
      <c r="B53" s="11" t="inlineStr">
        <is>
          <t>10-5</t>
        </is>
      </c>
      <c r="C53" s="5" t="inlineStr">
        <is>
          <t>電子媒体の作成</t>
        </is>
      </c>
      <c r="D53" s="5" t="inlineStr">
        <is>
          <t>計画書と調査報告書の電子データ一式</t>
        </is>
      </c>
      <c r="E53" s="5" t="inlineStr">
        <is>
          <t>仕様書5 成果品③</t>
        </is>
      </c>
      <c r="F53" s="11" t="inlineStr">
        <is>
          <t>受託者</t>
        </is>
      </c>
      <c r="G53" s="11" t="inlineStr">
        <is>
          <t>2027-03</t>
        </is>
      </c>
      <c r="H53" s="11" t="inlineStr">
        <is>
          <t>2027-03</t>
        </is>
      </c>
      <c r="I53" s="16" t="inlineStr">
        <is>
          <t>未着手</t>
        </is>
      </c>
      <c r="J53" s="11" t="n">
        <v>0</v>
      </c>
      <c r="K53" s="11" t="n">
        <v>1</v>
      </c>
      <c r="L53" s="5" t="inlineStr">
        <is>
          <t>―</t>
        </is>
      </c>
      <c r="M53" s="5" t="inlineStr">
        <is>
          <t>編集可能形式とPDFの別を村に確認する</t>
        </is>
      </c>
    </row>
    <row r="54">
      <c r="A54" s="5" t="inlineStr">
        <is>
          <t>P10 完成・納品</t>
        </is>
      </c>
      <c r="B54" s="11" t="inlineStr">
        <is>
          <t>10-6</t>
        </is>
      </c>
      <c r="C54" s="5" t="inlineStr">
        <is>
          <t>納品・検収</t>
        </is>
      </c>
      <c r="D54" s="5" t="inlineStr">
        <is>
          <t>令和9年3月31日まで</t>
        </is>
      </c>
      <c r="E54" s="5" t="inlineStr">
        <is>
          <t>仕様書3（業務期間）</t>
        </is>
      </c>
      <c r="F54" s="11" t="inlineStr">
        <is>
          <t>受託者・北塩原村</t>
        </is>
      </c>
      <c r="G54" s="11" t="inlineStr">
        <is>
          <t>2027-03</t>
        </is>
      </c>
      <c r="H54" s="11" t="inlineStr">
        <is>
          <t>2027-03</t>
        </is>
      </c>
      <c r="I54" s="16" t="inlineStr">
        <is>
          <t>未着手</t>
        </is>
      </c>
      <c r="J54" s="11" t="n">
        <v>0</v>
      </c>
      <c r="K54" s="11" t="n">
        <v>1</v>
      </c>
      <c r="L54" s="5" t="inlineStr">
        <is>
          <t>―</t>
        </is>
      </c>
      <c r="M54" s="5" t="inlineStr">
        <is>
          <t>全成果品の完成</t>
        </is>
      </c>
    </row>
  </sheetData>
  <autoFilter ref="A1:M5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COUNTIF('01_WBS'!$A$2:$A$54,$A2)</f>
        <v/>
      </c>
      <c r="C2" s="11">
        <f>COUNTIFS('01_WBS'!$A$2:$A$54,$A2,'01_WBS'!$I$2:$I$54,"完了")</f>
        <v/>
      </c>
      <c r="D2" s="11">
        <f>COUNTIFS('01_WBS'!$A$2:$A$54,$A2,'01_WBS'!$I$2:$I$54,"進行中")</f>
        <v/>
      </c>
      <c r="E2" s="11">
        <f>COUNTIFS('01_WBS'!$A$2:$A$54,$A2,'01_WBS'!$I$2:$I$54,"要対応")</f>
        <v/>
      </c>
      <c r="F2" s="11">
        <f>COUNTIFS('01_WBS'!$A$2:$A$54,$A2,'01_WBS'!$I$2:$I$54,"データ待ち")</f>
        <v/>
      </c>
      <c r="G2" s="11">
        <f>COUNTIFS('01_WBS'!$A$2:$A$54,$A2,'01_WBS'!$I$2:$I$54,"未着手")</f>
        <v/>
      </c>
      <c r="H2" s="17">
        <f>IF(SUMPRODUCT(('01_WBS'!$A$2:$A$54=$A2)*'01_WBS'!$K$2:$K$54)=0,0,SUMPRODUCT(('01_WBS'!$A$2:$A$54=$A2)*'01_WBS'!$J$2:$J$54*'01_WBS'!$K$2:$K$54)/SUMPRODUCT(('01_WBS'!$A$2:$A$54=$A2)*'01_WBS'!$K$2:$K$54)/100)</f>
        <v/>
      </c>
      <c r="I2" s="11" t="inlineStr">
        <is>
          <t>2026-06</t>
        </is>
      </c>
      <c r="J2" s="11" t="inlineStr">
        <is>
          <t>2026-09</t>
        </is>
      </c>
      <c r="K2" s="5" t="inlineStr">
        <is>
          <t>村資料の受領（依頼29件・受領4件）</t>
        </is>
      </c>
    </row>
    <row r="3">
      <c r="A3" s="5" t="inlineStr">
        <is>
          <t>P2 基礎調査</t>
        </is>
      </c>
      <c r="B3" s="11">
        <f>COUNTIF('01_WBS'!$A$2:$A$54,$A3)</f>
        <v/>
      </c>
      <c r="C3" s="11">
        <f>COUNTIFS('01_WBS'!$A$2:$A$54,$A3,'01_WBS'!$I$2:$I$54,"完了")</f>
        <v/>
      </c>
      <c r="D3" s="11">
        <f>COUNTIFS('01_WBS'!$A$2:$A$54,$A3,'01_WBS'!$I$2:$I$54,"進行中")</f>
        <v/>
      </c>
      <c r="E3" s="11">
        <f>COUNTIFS('01_WBS'!$A$2:$A$54,$A3,'01_WBS'!$I$2:$I$54,"要対応")</f>
        <v/>
      </c>
      <c r="F3" s="11">
        <f>COUNTIFS('01_WBS'!$A$2:$A$54,$A3,'01_WBS'!$I$2:$I$54,"データ待ち")</f>
        <v/>
      </c>
      <c r="G3" s="11">
        <f>COUNTIFS('01_WBS'!$A$2:$A$54,$A3,'01_WBS'!$I$2:$I$54,"未着手")</f>
        <v/>
      </c>
      <c r="H3" s="17">
        <f>IF(SUMPRODUCT(('01_WBS'!$A$2:$A$54=$A3)*'01_WBS'!$K$2:$K$54)=0,0,SUMPRODUCT(('01_WBS'!$A$2:$A$54=$A3)*'01_WBS'!$J$2:$J$54*'01_WBS'!$K$2:$K$54)/SUMPRODUCT(('01_WBS'!$A$2:$A$54=$A3)*'01_WBS'!$K$2:$K$54)/100)</f>
        <v/>
      </c>
      <c r="I3" s="11" t="inlineStr">
        <is>
          <t>2026-07</t>
        </is>
      </c>
      <c r="J3" s="11" t="inlineStr">
        <is>
          <t>2026-09</t>
        </is>
      </c>
      <c r="K3" s="5" t="inlineStr">
        <is>
          <t>―（国の基本指針は令和8年3月31日に告示済みで確定）</t>
        </is>
      </c>
    </row>
    <row r="4">
      <c r="A4" s="5" t="inlineStr">
        <is>
          <t>P3 統計分析</t>
        </is>
      </c>
      <c r="B4" s="11">
        <f>COUNTIF('01_WBS'!$A$2:$A$54,$A4)</f>
        <v/>
      </c>
      <c r="C4" s="11">
        <f>COUNTIFS('01_WBS'!$A$2:$A$54,$A4,'01_WBS'!$I$2:$I$54,"完了")</f>
        <v/>
      </c>
      <c r="D4" s="11">
        <f>COUNTIFS('01_WBS'!$A$2:$A$54,$A4,'01_WBS'!$I$2:$I$54,"進行中")</f>
        <v/>
      </c>
      <c r="E4" s="11">
        <f>COUNTIFS('01_WBS'!$A$2:$A$54,$A4,'01_WBS'!$I$2:$I$54,"要対応")</f>
        <v/>
      </c>
      <c r="F4" s="11">
        <f>COUNTIFS('01_WBS'!$A$2:$A$54,$A4,'01_WBS'!$I$2:$I$54,"データ待ち")</f>
        <v/>
      </c>
      <c r="G4" s="11">
        <f>COUNTIFS('01_WBS'!$A$2:$A$54,$A4,'01_WBS'!$I$2:$I$54,"未着手")</f>
        <v/>
      </c>
      <c r="H4" s="17">
        <f>IF(SUMPRODUCT(('01_WBS'!$A$2:$A$54=$A4)*'01_WBS'!$K$2:$K$54)=0,0,SUMPRODUCT(('01_WBS'!$A$2:$A$54=$A4)*'01_WBS'!$J$2:$J$54*'01_WBS'!$K$2:$K$54)/SUMPRODUCT(('01_WBS'!$A$2:$A$54=$A4)*'01_WBS'!$K$2:$K$54)/100)</f>
        <v/>
      </c>
      <c r="I4" s="11" t="inlineStr">
        <is>
          <t>2026-07</t>
        </is>
      </c>
      <c r="J4" s="11" t="inlineStr">
        <is>
          <t>2026-10</t>
        </is>
      </c>
      <c r="K4" s="5" t="inlineStr">
        <is>
          <t>年齢階級別の手帳所持者数・人口（未受領）</t>
        </is>
      </c>
    </row>
    <row r="5">
      <c r="A5" s="5" t="inlineStr">
        <is>
          <t>P4 ニーズ調査</t>
        </is>
      </c>
      <c r="B5" s="11">
        <f>COUNTIF('01_WBS'!$A$2:$A$54,$A5)</f>
        <v/>
      </c>
      <c r="C5" s="11">
        <f>COUNTIFS('01_WBS'!$A$2:$A$54,$A5,'01_WBS'!$I$2:$I$54,"完了")</f>
        <v/>
      </c>
      <c r="D5" s="11">
        <f>COUNTIFS('01_WBS'!$A$2:$A$54,$A5,'01_WBS'!$I$2:$I$54,"進行中")</f>
        <v/>
      </c>
      <c r="E5" s="11">
        <f>COUNTIFS('01_WBS'!$A$2:$A$54,$A5,'01_WBS'!$I$2:$I$54,"要対応")</f>
        <v/>
      </c>
      <c r="F5" s="11">
        <f>COUNTIFS('01_WBS'!$A$2:$A$54,$A5,'01_WBS'!$I$2:$I$54,"データ待ち")</f>
        <v/>
      </c>
      <c r="G5" s="11">
        <f>COUNTIFS('01_WBS'!$A$2:$A$54,$A5,'01_WBS'!$I$2:$I$54,"未着手")</f>
        <v/>
      </c>
      <c r="H5" s="17">
        <f>IF(SUMPRODUCT(('01_WBS'!$A$2:$A$54=$A5)*'01_WBS'!$K$2:$K$54)=0,0,SUMPRODUCT(('01_WBS'!$A$2:$A$54=$A5)*'01_WBS'!$J$2:$J$54*'01_WBS'!$K$2:$K$54)/SUMPRODUCT(('01_WBS'!$A$2:$A$54=$A5)*'01_WBS'!$K$2:$K$54)/100)</f>
        <v/>
      </c>
      <c r="I5" s="11" t="inlineStr">
        <is>
          <t>2026-07</t>
        </is>
      </c>
      <c r="J5" s="11" t="inlineStr">
        <is>
          <t>2026-09</t>
        </is>
      </c>
      <c r="K5" s="5" t="inlineStr">
        <is>
          <t>印刷仕様・宛名ラベル・対象者数の3点。本業務の最大の律速</t>
        </is>
      </c>
    </row>
    <row r="6">
      <c r="A6" s="5" t="inlineStr">
        <is>
          <t>P5 集計・分析</t>
        </is>
      </c>
      <c r="B6" s="11">
        <f>COUNTIF('01_WBS'!$A$2:$A$54,$A6)</f>
        <v/>
      </c>
      <c r="C6" s="11">
        <f>COUNTIFS('01_WBS'!$A$2:$A$54,$A6,'01_WBS'!$I$2:$I$54,"完了")</f>
        <v/>
      </c>
      <c r="D6" s="11">
        <f>COUNTIFS('01_WBS'!$A$2:$A$54,$A6,'01_WBS'!$I$2:$I$54,"進行中")</f>
        <v/>
      </c>
      <c r="E6" s="11">
        <f>COUNTIFS('01_WBS'!$A$2:$A$54,$A6,'01_WBS'!$I$2:$I$54,"要対応")</f>
        <v/>
      </c>
      <c r="F6" s="11">
        <f>COUNTIFS('01_WBS'!$A$2:$A$54,$A6,'01_WBS'!$I$2:$I$54,"データ待ち")</f>
        <v/>
      </c>
      <c r="G6" s="11">
        <f>COUNTIFS('01_WBS'!$A$2:$A$54,$A6,'01_WBS'!$I$2:$I$54,"未着手")</f>
        <v/>
      </c>
      <c r="H6" s="17">
        <f>IF(SUMPRODUCT(('01_WBS'!$A$2:$A$54=$A6)*'01_WBS'!$K$2:$K$54)=0,0,SUMPRODUCT(('01_WBS'!$A$2:$A$54=$A6)*'01_WBS'!$J$2:$J$54*'01_WBS'!$K$2:$K$54)/SUMPRODUCT(('01_WBS'!$A$2:$A$54=$A6)*'01_WBS'!$K$2:$K$54)/100)</f>
        <v/>
      </c>
      <c r="I6" s="11" t="inlineStr">
        <is>
          <t>2026-09</t>
        </is>
      </c>
      <c r="J6" s="11" t="inlineStr">
        <is>
          <t>2026-12</t>
        </is>
      </c>
      <c r="K6" s="5" t="inlineStr">
        <is>
          <t>アンケートの回収</t>
        </is>
      </c>
    </row>
    <row r="7">
      <c r="A7" s="5" t="inlineStr">
        <is>
          <t>P6 現行計画の評価</t>
        </is>
      </c>
      <c r="B7" s="11">
        <f>COUNTIF('01_WBS'!$A$2:$A$54,$A7)</f>
        <v/>
      </c>
      <c r="C7" s="11">
        <f>COUNTIFS('01_WBS'!$A$2:$A$54,$A7,'01_WBS'!$I$2:$I$54,"完了")</f>
        <v/>
      </c>
      <c r="D7" s="11">
        <f>COUNTIFS('01_WBS'!$A$2:$A$54,$A7,'01_WBS'!$I$2:$I$54,"進行中")</f>
        <v/>
      </c>
      <c r="E7" s="11">
        <f>COUNTIFS('01_WBS'!$A$2:$A$54,$A7,'01_WBS'!$I$2:$I$54,"要対応")</f>
        <v/>
      </c>
      <c r="F7" s="11">
        <f>COUNTIFS('01_WBS'!$A$2:$A$54,$A7,'01_WBS'!$I$2:$I$54,"データ待ち")</f>
        <v/>
      </c>
      <c r="G7" s="11">
        <f>COUNTIFS('01_WBS'!$A$2:$A$54,$A7,'01_WBS'!$I$2:$I$54,"未着手")</f>
        <v/>
      </c>
      <c r="H7" s="17">
        <f>IF(SUMPRODUCT(('01_WBS'!$A$2:$A$54=$A7)*'01_WBS'!$K$2:$K$54)=0,0,SUMPRODUCT(('01_WBS'!$A$2:$A$54=$A7)*'01_WBS'!$J$2:$J$54*'01_WBS'!$K$2:$K$54)/SUMPRODUCT(('01_WBS'!$A$2:$A$54=$A7)*'01_WBS'!$K$2:$K$54)/100)</f>
        <v/>
      </c>
      <c r="I7" s="11" t="inlineStr">
        <is>
          <t>2026-08</t>
        </is>
      </c>
      <c r="J7" s="11" t="inlineStr">
        <is>
          <t>2026-11</t>
        </is>
      </c>
      <c r="K7" s="5" t="inlineStr">
        <is>
          <t>令和6・7年度の実績と令和8年度見込</t>
        </is>
      </c>
    </row>
    <row r="8">
      <c r="A8" s="5" t="inlineStr">
        <is>
          <t>P7 推計・見込量</t>
        </is>
      </c>
      <c r="B8" s="11">
        <f>COUNTIF('01_WBS'!$A$2:$A$54,$A8)</f>
        <v/>
      </c>
      <c r="C8" s="11">
        <f>COUNTIFS('01_WBS'!$A$2:$A$54,$A8,'01_WBS'!$I$2:$I$54,"完了")</f>
        <v/>
      </c>
      <c r="D8" s="11">
        <f>COUNTIFS('01_WBS'!$A$2:$A$54,$A8,'01_WBS'!$I$2:$I$54,"進行中")</f>
        <v/>
      </c>
      <c r="E8" s="11">
        <f>COUNTIFS('01_WBS'!$A$2:$A$54,$A8,'01_WBS'!$I$2:$I$54,"要対応")</f>
        <v/>
      </c>
      <c r="F8" s="11">
        <f>COUNTIFS('01_WBS'!$A$2:$A$54,$A8,'01_WBS'!$I$2:$I$54,"データ待ち")</f>
        <v/>
      </c>
      <c r="G8" s="11">
        <f>COUNTIFS('01_WBS'!$A$2:$A$54,$A8,'01_WBS'!$I$2:$I$54,"未着手")</f>
        <v/>
      </c>
      <c r="H8" s="17">
        <f>IF(SUMPRODUCT(('01_WBS'!$A$2:$A$54=$A8)*'01_WBS'!$K$2:$K$54)=0,0,SUMPRODUCT(('01_WBS'!$A$2:$A$54=$A8)*'01_WBS'!$J$2:$J$54*'01_WBS'!$K$2:$K$54)/SUMPRODUCT(('01_WBS'!$A$2:$A$54=$A8)*'01_WBS'!$K$2:$K$54)/100)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COUNTIF('01_WBS'!$A$2:$A$54,$A9)</f>
        <v/>
      </c>
      <c r="C9" s="11">
        <f>COUNTIFS('01_WBS'!$A$2:$A$54,$A9,'01_WBS'!$I$2:$I$54,"完了")</f>
        <v/>
      </c>
      <c r="D9" s="11">
        <f>COUNTIFS('01_WBS'!$A$2:$A$54,$A9,'01_WBS'!$I$2:$I$54,"進行中")</f>
        <v/>
      </c>
      <c r="E9" s="11">
        <f>COUNTIFS('01_WBS'!$A$2:$A$54,$A9,'01_WBS'!$I$2:$I$54,"要対応")</f>
        <v/>
      </c>
      <c r="F9" s="11">
        <f>COUNTIFS('01_WBS'!$A$2:$A$54,$A9,'01_WBS'!$I$2:$I$54,"データ待ち")</f>
        <v/>
      </c>
      <c r="G9" s="11">
        <f>COUNTIFS('01_WBS'!$A$2:$A$54,$A9,'01_WBS'!$I$2:$I$54,"未着手")</f>
        <v/>
      </c>
      <c r="H9" s="17">
        <f>IF(SUMPRODUCT(('01_WBS'!$A$2:$A$54=$A9)*'01_WBS'!$K$2:$K$54)=0,0,SUMPRODUCT(('01_WBS'!$A$2:$A$54=$A9)*'01_WBS'!$J$2:$J$54*'01_WBS'!$K$2:$K$54)/SUMPRODUCT(('01_WBS'!$A$2:$A$54=$A9)*'01_WBS'!$K$2:$K$54)/100)</f>
        <v/>
      </c>
      <c r="I9" s="11" t="inlineStr">
        <is>
          <t>2026-07</t>
        </is>
      </c>
      <c r="J9" s="11" t="inlineStr">
        <is>
          <t>2027-01</t>
        </is>
      </c>
      <c r="K9" s="5" t="inlineStr">
        <is>
          <t>P5・P7の完了</t>
        </is>
      </c>
    </row>
    <row r="10">
      <c r="A10" s="5" t="inlineStr">
        <is>
          <t>P9 意見聴取</t>
        </is>
      </c>
      <c r="B10" s="11">
        <f>COUNTIF('01_WBS'!$A$2:$A$54,$A10)</f>
        <v/>
      </c>
      <c r="C10" s="11">
        <f>COUNTIFS('01_WBS'!$A$2:$A$54,$A10,'01_WBS'!$I$2:$I$54,"完了")</f>
        <v/>
      </c>
      <c r="D10" s="11">
        <f>COUNTIFS('01_WBS'!$A$2:$A$54,$A10,'01_WBS'!$I$2:$I$54,"進行中")</f>
        <v/>
      </c>
      <c r="E10" s="11">
        <f>COUNTIFS('01_WBS'!$A$2:$A$54,$A10,'01_WBS'!$I$2:$I$54,"要対応")</f>
        <v/>
      </c>
      <c r="F10" s="11">
        <f>COUNTIFS('01_WBS'!$A$2:$A$54,$A10,'01_WBS'!$I$2:$I$54,"データ待ち")</f>
        <v/>
      </c>
      <c r="G10" s="11">
        <f>COUNTIFS('01_WBS'!$A$2:$A$54,$A10,'01_WBS'!$I$2:$I$54,"未着手")</f>
        <v/>
      </c>
      <c r="H10" s="17">
        <f>IF(SUMPRODUCT(('01_WBS'!$A$2:$A$54=$A10)*'01_WBS'!$K$2:$K$54)=0,0,SUMPRODUCT(('01_WBS'!$A$2:$A$54=$A10)*'01_WBS'!$J$2:$J$54*'01_WBS'!$K$2:$K$54)/SUMPRODUCT(('01_WBS'!$A$2:$A$54=$A10)*'01_WBS'!$K$2:$K$54)/100)</f>
        <v/>
      </c>
      <c r="I10" s="11" t="inlineStr">
        <is>
          <t>2026-12</t>
        </is>
      </c>
      <c r="J10" s="11" t="inlineStr">
        <is>
          <t>2027-02</t>
        </is>
      </c>
      <c r="K10" s="5" t="inlineStr">
        <is>
          <t>協議会の開催時期が未定</t>
        </is>
      </c>
    </row>
    <row r="11">
      <c r="A11" s="5" t="inlineStr">
        <is>
          <t>P10 完成・納品</t>
        </is>
      </c>
      <c r="B11" s="11">
        <f>COUNTIF('01_WBS'!$A$2:$A$54,$A11)</f>
        <v/>
      </c>
      <c r="C11" s="11">
        <f>COUNTIFS('01_WBS'!$A$2:$A$54,$A11,'01_WBS'!$I$2:$I$54,"完了")</f>
        <v/>
      </c>
      <c r="D11" s="11">
        <f>COUNTIFS('01_WBS'!$A$2:$A$54,$A11,'01_WBS'!$I$2:$I$54,"進行中")</f>
        <v/>
      </c>
      <c r="E11" s="11">
        <f>COUNTIFS('01_WBS'!$A$2:$A$54,$A11,'01_WBS'!$I$2:$I$54,"要対応")</f>
        <v/>
      </c>
      <c r="F11" s="11">
        <f>COUNTIFS('01_WBS'!$A$2:$A$54,$A11,'01_WBS'!$I$2:$I$54,"データ待ち")</f>
        <v/>
      </c>
      <c r="G11" s="11">
        <f>COUNTIFS('01_WBS'!$A$2:$A$54,$A11,'01_WBS'!$I$2:$I$54,"未着手")</f>
        <v/>
      </c>
      <c r="H11" s="17">
        <f>IF(SUMPRODUCT(('01_WBS'!$A$2:$A$54=$A11)*'01_WBS'!$K$2:$K$54)=0,0,SUMPRODUCT(('01_WBS'!$A$2:$A$54=$A11)*'01_WBS'!$J$2:$J$54*'01_WBS'!$K$2:$K$54)/SUMPRODUCT(('01_WBS'!$A$2:$A$54=$A11)*'01_WBS'!$K$2:$K$54)/100)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IF(SUMPRODUCT('01_WBS'!$K$2:$K$54)=0,0,SUMPRODUCT('01_WBS'!$J$2:$J$54*'01_WBS'!$K$2:$K$54)/SUMPRODUCT('01_WBS'!$K$2:$K$54)/100)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骨子案 修正版</t>
        </is>
      </c>
      <c r="E2" s="14" t="inlineStr">
        <is>
          <t>進行中</t>
        </is>
      </c>
      <c r="F2" s="11" t="n">
        <v>65</v>
      </c>
      <c r="G2" s="5" t="inlineStr">
        <is>
          <t>全8章・97表・369段落・図9点。推計方法・年齢到達移行・活動指標・財源構成の4節を新設。分量配分計画（60頁）を作成済み</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6">
      <c r="A6"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アンケート発送のクリティカルパス。3点とも未了</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アンケート調査票への村の修正指示</t>
        </is>
      </c>
      <c r="C27" s="11" t="inlineStr">
        <is>
          <t>北塩原村</t>
        </is>
      </c>
      <c r="D27" s="12" t="inlineStr">
        <is>
          <t>完了</t>
        </is>
      </c>
      <c r="E27" s="11" t="n"/>
      <c r="F27"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28">
      <c r="A28" s="11" t="inlineStr">
        <is>
          <t>中</t>
        </is>
      </c>
      <c r="B28" s="5" t="inlineStr">
        <is>
          <t>第5次総合振興計画たたき台、健康21現行計画、高齢者福祉・介護保険事業計画</t>
        </is>
      </c>
      <c r="C28" s="11" t="inlineStr">
        <is>
          <t>北塩原村</t>
        </is>
      </c>
      <c r="D28" s="16" t="inlineStr">
        <is>
          <t>未着手</t>
        </is>
      </c>
      <c r="E28" s="11" t="n"/>
      <c r="F28" s="5" t="inlineStr">
        <is>
          <t>関連計画との整合確認／反映先：計画本文 第1章・第7章／希望期限：2026-10-31</t>
        </is>
      </c>
    </row>
    <row r="29">
      <c r="A29" s="11" t="inlineStr">
        <is>
          <t>中</t>
        </is>
      </c>
      <c r="B29" s="5" t="inlineStr">
        <is>
          <t>40歳以上65歳未満の特定疾病該当者</t>
        </is>
      </c>
      <c r="C29" s="11" t="inlineStr">
        <is>
          <t>北塩原村</t>
        </is>
      </c>
      <c r="D29" s="16" t="inlineStr">
        <is>
          <t>未着手</t>
        </is>
      </c>
      <c r="E29" s="11" t="n"/>
      <c r="F29" s="5" t="inlineStr">
        <is>
          <t>16の特定疾病に該当し要介護認定を受けている方の有無／反映先：サービス見込量 02／希望期限：2026-10-31</t>
        </is>
      </c>
    </row>
    <row r="30">
      <c r="A30" s="11" t="inlineStr">
        <is>
          <t>中</t>
        </is>
      </c>
      <c r="B30" s="5" t="inlineStr">
        <is>
          <t>自立支援協議会の委員名簿</t>
        </is>
      </c>
      <c r="C30" s="11" t="inlineStr">
        <is>
          <t>北塩原村</t>
        </is>
      </c>
      <c r="D30" s="16" t="inlineStr">
        <is>
          <t>未着手</t>
        </is>
      </c>
      <c r="E30" s="11" t="n"/>
      <c r="F30" s="5" t="inlineStr">
        <is>
          <t>任期・氏名・所属・役職／反映先：計画書 資料編／希望期限：2026-12-31</t>
        </is>
      </c>
    </row>
    <row r="32">
      <c r="A32"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R-1</t>
        </is>
      </c>
      <c r="B2" s="5" t="inlineStr">
        <is>
          <t>アンケート発送が工程案の8月上旬に間に合わない</t>
        </is>
      </c>
      <c r="C2" s="5" t="inlineStr">
        <is>
          <t>印刷仕様の協議、村ラベルの受領、村封筒の手配がすべて未了。1週間の遅延は回収期間または集計期間の圧縮に直結する</t>
        </is>
      </c>
      <c r="D2" s="5" t="inlineStr">
        <is>
          <t>スケジュール／影響度高</t>
        </is>
      </c>
      <c r="E2" s="5" t="inlineStr">
        <is>
          <t>8月5日までに印刷仕様を確定し、ラベル提供日を村と合意する</t>
        </is>
      </c>
      <c r="F2" s="14" t="inlineStr">
        <is>
          <t>進行中</t>
        </is>
      </c>
    </row>
    <row r="3">
      <c r="A3" s="11" t="inlineStr">
        <is>
          <t>R-2</t>
        </is>
      </c>
      <c r="B3" s="5" t="inlineStr">
        <is>
          <t>印刷仕様が仕様書と乖離している</t>
        </is>
      </c>
      <c r="C3" s="5" t="inlineStr">
        <is>
          <t>仕様書はA4判・約24ページ・黒1色の1種類。実際は34ページと37ページの2種類</t>
        </is>
      </c>
      <c r="D3" s="5" t="inlineStr">
        <is>
          <t>契約／影響度高</t>
        </is>
      </c>
      <c r="E3" s="5" t="inlineStr">
        <is>
          <t>ページ数・種類数・部数・単価の取扱いを村と協議し、結果を書面で残す</t>
        </is>
      </c>
      <c r="F3" s="16" t="inlineStr">
        <is>
          <t>未着手</t>
        </is>
      </c>
    </row>
    <row r="4">
      <c r="A4" s="11" t="inlineStr">
        <is>
          <t>R-3</t>
        </is>
      </c>
      <c r="B4" s="5" t="inlineStr">
        <is>
          <t>郵送費の負担が仕様書と異なる運用になっている</t>
        </is>
      </c>
      <c r="C4" s="5" t="inlineStr">
        <is>
          <t>仕様書は受託者負担。打合せでは村が立替え後日実費精算</t>
        </is>
      </c>
      <c r="D4" s="5" t="inlineStr">
        <is>
          <t>契約／影響度高</t>
        </is>
      </c>
      <c r="E4" s="5" t="inlineStr">
        <is>
          <t>精算方法・範囲・上限を書面で確認する</t>
        </is>
      </c>
      <c r="F4" s="16" t="inlineStr">
        <is>
          <t>未着手</t>
        </is>
      </c>
    </row>
    <row r="5">
      <c r="A5" s="11" t="inlineStr">
        <is>
          <t>R-4</t>
        </is>
      </c>
      <c r="B5" s="5" t="inlineStr">
        <is>
          <t>対象者数が確定せず、推計の起点が定まらない</t>
        </is>
      </c>
      <c r="C5"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5" s="5" t="inlineStr">
        <is>
          <t>推計／影響度高</t>
        </is>
      </c>
      <c r="E5" s="5" t="inlineStr">
        <is>
          <t>発送前に村へ確認する。確認まで手帳所持者数の将来推計を確定値として記載しない</t>
        </is>
      </c>
      <c r="F5" s="14" t="inlineStr">
        <is>
          <t>進行中</t>
        </is>
      </c>
    </row>
    <row r="6">
      <c r="A6" s="11" t="inlineStr">
        <is>
          <t>R-5</t>
        </is>
      </c>
      <c r="B6" s="5" t="inlineStr">
        <is>
          <t>個別積上げに必要な村資料が揃わない</t>
        </is>
      </c>
      <c r="C6" s="5" t="inlineStr">
        <is>
          <t>年齢別・サービス別の利用者一覧と支給決定者数（実人数）がないと見込量が確定しない</t>
        </is>
      </c>
      <c r="D6" s="5" t="inlineStr">
        <is>
          <t>推計／影響度高</t>
        </is>
      </c>
      <c r="E6" s="5" t="inlineStr">
        <is>
          <t>8月末を目途に受領する。遅れる場合は現行計画の据置値で暫定版を作り、受領後に差し替える段取りを村と共有する</t>
        </is>
      </c>
      <c r="F6" s="14" t="inlineStr">
        <is>
          <t>進行中</t>
        </is>
      </c>
    </row>
    <row r="7">
      <c r="A7" s="11" t="inlineStr">
        <is>
          <t>R-6</t>
        </is>
      </c>
      <c r="B7" s="5" t="inlineStr">
        <is>
          <t>少数母数のクロス集計で個人が特定される</t>
        </is>
      </c>
      <c r="C7" s="5" t="inlineStr">
        <is>
          <t>対象者が極めて少ないサービス・地区がある</t>
        </is>
      </c>
      <c r="D7" s="5" t="inlineStr">
        <is>
          <t>個人情報／影響度中</t>
        </is>
      </c>
      <c r="E7" s="5" t="inlineStr">
        <is>
          <t>n&lt;5の秘匿基準を事前に村と合意する。公表用報告書と内部管理報告書を分離する</t>
        </is>
      </c>
      <c r="F7" s="14" t="inlineStr">
        <is>
          <t>進行中</t>
        </is>
      </c>
    </row>
    <row r="8">
      <c r="A8" s="11" t="inlineStr">
        <is>
          <t>R-7</t>
        </is>
      </c>
      <c r="B8" s="5" t="inlineStr">
        <is>
          <t>骨子案が引用する国基準数値の原典照合が未了</t>
        </is>
      </c>
      <c r="C8"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8" s="5" t="inlineStr">
        <is>
          <t>品質／影響度低</t>
        </is>
      </c>
      <c r="E8" s="5" t="inlineStr">
        <is>
          <t>骨子案修正版 第4章へ反映済み。改正後概要と告示本文で表記が異なる箇所は告示本文に従う</t>
        </is>
      </c>
      <c r="F8" s="12" t="inlineStr">
        <is>
          <t>完了</t>
        </is>
      </c>
    </row>
    <row r="9">
      <c r="A9" s="11" t="inlineStr">
        <is>
          <t>R-12</t>
        </is>
      </c>
      <c r="B9" s="5" t="inlineStr">
        <is>
          <t>基本指針 別表第五（地域差是正）の適用関係が未確定</t>
        </is>
      </c>
      <c r="C9"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9" s="5" t="inlineStr">
        <is>
          <t>推計／影響度低</t>
        </is>
      </c>
      <c r="E9" s="5" t="inlineStr">
        <is>
          <t>骨子案修正版 第5章1及びサービス見込量ブック 12 へ反映済み</t>
        </is>
      </c>
      <c r="F9" s="12" t="inlineStr">
        <is>
          <t>完了</t>
        </is>
      </c>
    </row>
    <row r="10">
      <c r="A10" s="11" t="inlineStr">
        <is>
          <t>R-15</t>
        </is>
      </c>
      <c r="B10" s="5" t="inlineStr">
        <is>
          <t>国基準数値と福島県実績の系統が複数あり、どれを用いるかで目標値が変わる</t>
        </is>
      </c>
      <c r="C10"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0" s="5" t="inlineStr">
        <is>
          <t>推計／影響度低</t>
        </is>
      </c>
      <c r="E10" s="5" t="inlineStr">
        <is>
          <t>計画本文には出典・時点・集計区分を必ず併記する。公費含む集計を用いるか否かは県の第8期計画に合わせる</t>
        </is>
      </c>
      <c r="F10" s="14" t="inlineStr">
        <is>
          <t>進行中</t>
        </is>
      </c>
    </row>
    <row r="11">
      <c r="A11" s="11" t="inlineStr">
        <is>
          <t>R-14</t>
        </is>
      </c>
      <c r="B11" s="5" t="inlineStr">
        <is>
          <t>会津北部圏域の訪問系サービス事業所が本村の1か所のみになっている</t>
        </is>
      </c>
      <c r="C11"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1" s="5" t="inlineStr">
        <is>
          <t>提供体制／影響度高</t>
        </is>
      </c>
      <c r="E11"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1" s="14" t="inlineStr">
        <is>
          <t>進行中</t>
        </is>
      </c>
    </row>
    <row r="12">
      <c r="A12" s="11" t="inlineStr">
        <is>
          <t>R-16</t>
        </is>
      </c>
      <c r="B12" s="5" t="inlineStr">
        <is>
          <t>骨子案・当方資料の「本村には事業所がない」という記述が事実と異なる</t>
        </is>
      </c>
      <c r="C12"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2" s="5" t="inlineStr">
        <is>
          <t>記述／影響度中</t>
        </is>
      </c>
      <c r="E12" s="5" t="inlineStr">
        <is>
          <t>骨子案修正版 第5章8 を原典から表を生成する方式に変更済み。事業所名・指定年月・共生型指定の有無・受入可能人数を村に確認する</t>
        </is>
      </c>
      <c r="F12" s="14" t="inlineStr">
        <is>
          <t>進行中</t>
        </is>
      </c>
    </row>
    <row r="13">
      <c r="A13" s="11" t="inlineStr">
        <is>
          <t>R-13</t>
        </is>
      </c>
      <c r="B13" s="5" t="inlineStr">
        <is>
          <t>令和8年度・令和9年度の報酬改定により単価前提が動く</t>
        </is>
      </c>
      <c r="C13"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3" s="5" t="inlineStr">
        <is>
          <t>財源／影響度中</t>
        </is>
      </c>
      <c r="E13" s="5" t="inlineStr">
        <is>
          <t>財源構成案 08シートに改定率パラメータを設置済み。改定内容の確定後に入力する</t>
        </is>
      </c>
      <c r="F13" s="14" t="inlineStr">
        <is>
          <t>進行中</t>
        </is>
      </c>
    </row>
    <row r="14">
      <c r="A14" s="11" t="inlineStr">
        <is>
          <t>R-8</t>
        </is>
      </c>
      <c r="B14" s="5" t="inlineStr">
        <is>
          <t>障がい児版調査票のルビ構造により本文が欠落して見える箇所がある</t>
        </is>
      </c>
      <c r="C14" s="5" t="inlineStr">
        <is>
          <t>問1〜問15で語句が欠けて抽出される。Word表示上は正常な可能性もある</t>
        </is>
      </c>
      <c r="D14" s="5" t="inlineStr">
        <is>
          <t>品質／影響度中</t>
        </is>
      </c>
      <c r="E14" s="5" t="inlineStr">
        <is>
          <t>Word上でルビなしテキストとして読んで意味が通るかを確認する</t>
        </is>
      </c>
      <c r="F14" s="14" t="inlineStr">
        <is>
          <t>進行中</t>
        </is>
      </c>
    </row>
    <row r="15">
      <c r="A15" s="11" t="inlineStr">
        <is>
          <t>R-9</t>
        </is>
      </c>
      <c r="B15" s="5" t="inlineStr">
        <is>
          <t>障がい者票に介護保険・65歳到達に関する設問がない</t>
        </is>
      </c>
      <c r="C15" s="5" t="inlineStr">
        <is>
          <t>令和11年の高齢化率が48.1%となる村で、65歳前後の実態を把握する手段がない</t>
        </is>
      </c>
      <c r="D15" s="5" t="inlineStr">
        <is>
          <t>調査設計／影響度中</t>
        </is>
      </c>
      <c r="E15" s="5" t="inlineStr">
        <is>
          <t>発送前であれば既存設問への選択肢追加で対応する。追加しない場合は支給決定者台帳での確認に一本化する</t>
        </is>
      </c>
      <c r="F15" s="15" t="inlineStr">
        <is>
          <t>要対応</t>
        </is>
      </c>
    </row>
    <row r="16">
      <c r="A16" s="11" t="inlineStr">
        <is>
          <t>R-11</t>
        </is>
      </c>
      <c r="B16" s="5" t="inlineStr">
        <is>
          <t>第4次障がい者計画の施策目標のうち1指標が測定できない</t>
        </is>
      </c>
      <c r="C16" s="5" t="inlineStr">
        <is>
          <t>「外出目的が趣味・スポーツ・グループ活動である人の割合（28.1%→40%）」について、前回調査にあった外出目的の設問が0728調査票にない</t>
        </is>
      </c>
      <c r="D16" s="5" t="inlineStr">
        <is>
          <t>調査設計／影響度高</t>
        </is>
      </c>
      <c r="E16" s="5" t="inlineStr">
        <is>
          <t>発送前であれば問13の後に外出目的の設問を追加するか、問45の選択肢を前回に揃える。発送後であれば別の把握方法へ切り替える旨を村と協議する</t>
        </is>
      </c>
      <c r="F16" s="15" t="inlineStr">
        <is>
          <t>要対応</t>
        </is>
      </c>
    </row>
    <row r="17">
      <c r="A17" s="11" t="inlineStr">
        <is>
          <t>R-10</t>
        </is>
      </c>
      <c r="B17" s="5" t="inlineStr">
        <is>
          <t>圏域事業所の受入可能量が見込量の上限になる</t>
        </is>
      </c>
      <c r="C17" s="5" t="inlineStr">
        <is>
          <t>村内に事業所がなく、送迎・人材・定員が制約となる</t>
        </is>
      </c>
      <c r="D17" s="5" t="inlineStr">
        <is>
          <t>供給／影響度中</t>
        </is>
      </c>
      <c r="E17" s="5" t="inlineStr">
        <is>
          <t>圏域事業所へ照会し、利用希望量と利用可能量を分けて管理する</t>
        </is>
      </c>
      <c r="F17" s="16" t="inlineStr">
        <is>
          <t>未着手</t>
        </is>
      </c>
    </row>
    <row r="18">
      <c r="A18" s="11" t="inlineStr">
        <is>
          <t>R-17</t>
        </is>
      </c>
      <c r="B18" s="5" t="inlineStr">
        <is>
          <t>就労選択支援の設問（障がい者版 問36）が削除されると、圏域確保の根拠が窓口相談実績に限られる</t>
        </is>
      </c>
      <c r="C18"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18" s="5" t="inlineStr">
        <is>
          <t>調査設計／影響度中</t>
        </is>
      </c>
      <c r="E18" s="5" t="inlineStr">
        <is>
          <t>村に再考を依頼済み。削除する場合でも、第5章の確保方策に「圏域内に事業所がないため会津若松地方の広域調整により確保を図る」旨を記載する（骨子案修正版 第4章(3)に反映済み）</t>
        </is>
      </c>
      <c r="F18" s="15" t="inlineStr">
        <is>
          <t>要対応</t>
        </is>
      </c>
    </row>
    <row r="19">
      <c r="A19" s="11" t="inlineStr">
        <is>
          <t>R-18</t>
        </is>
      </c>
      <c r="B19" s="5" t="inlineStr">
        <is>
          <t>個別避難計画0件が第4次障がい者計画の指標と矛盾する可能性がある</t>
        </is>
      </c>
      <c r="C19"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19" s="5" t="inlineStr">
        <is>
          <t>整合／影響度中</t>
        </is>
      </c>
      <c r="E19" s="5" t="inlineStr">
        <is>
          <t>村に確認する。第4次障がい者計画は改定対象外だが、第8期計画の第3章5（目標値と進捗管理）で現状値を示す際に整合が必要</t>
        </is>
      </c>
      <c r="F19" s="16" t="inlineStr">
        <is>
          <t>未着手</t>
        </is>
      </c>
    </row>
    <row r="20">
      <c r="A20" s="11" t="inlineStr">
        <is>
          <t>R-19</t>
        </is>
      </c>
      <c r="B20" s="5" t="inlineStr">
        <is>
          <t>障がい児版の設問番号に誤りがある</t>
        </is>
      </c>
      <c r="C20" s="5" t="inlineStr">
        <is>
          <t>問11の選択肢番号「13」が2つある（「自傷、他害、強いこだわり、パニックなどへの対応」と「特にない」）。問10の選択肢番号は「3」が欠番。いずれも村の朱書きとは別に、通読して気づいたもの</t>
        </is>
      </c>
      <c r="D20" s="5" t="inlineStr">
        <is>
          <t>調査設計／影響度低</t>
        </is>
      </c>
      <c r="E20" s="5" t="inlineStr">
        <is>
          <t>調査票担当へ申し送り済み。印刷前に番号を振り直す。問10は問8との統合指示があるため、統合時に整理する</t>
        </is>
      </c>
      <c r="F20"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7</v>
      </c>
      <c r="B8" s="11" t="inlineStr">
        <is>
          <t>調査票の修正指示</t>
        </is>
      </c>
      <c r="C8" s="5" t="inlineStr">
        <is>
          <t>令和8年8月に村から朱書き40か所の修正指示を受領。うち9件は削除理由として村の実データが書き添えられていた</t>
        </is>
      </c>
      <c r="D8" s="5" t="inlineStr">
        <is>
          <t>仕様書4-Ⅰ(2)（委託者との協議の上決定）</t>
        </is>
      </c>
      <c r="E8" s="14" t="inlineStr">
        <is>
          <t>進行中</t>
        </is>
      </c>
      <c r="F8" s="5" t="inlineStr">
        <is>
          <t>確認結果を文書化済み（docs/北塩原村_アンケート調査票_村修正指示_確認結果.md）。問36の削除について再考を依頼中</t>
        </is>
      </c>
    </row>
    <row r="10">
      <c r="A10" t="inlineStr">
        <is>
          <t>※ 仕様書6(3)により北塩原村委託契約約款に準拠する。仕様書と異なる運用は書面で記録を残す。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2026-08-18T05:46:25Z</dcterms:created>
  <dcterms:modified xmlns:dcterms="http://purl.org/dc/terms/" xmlns:xsi="http://www.w3.org/2001/XMLSchema-instance" xsi:type="dcterms:W3CDTF">2026-08-18T05:46:25Z</dcterms:modified>
</cp:coreProperties>
</file>