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P7 推計・見込量</t>
        </is>
      </c>
      <c r="B50" s="11" t="inlineStr">
        <is>
          <t>7-9</t>
        </is>
      </c>
      <c r="C50" s="5" t="inlineStr">
        <is>
          <t>介護保険事業計画との整合・切り分け</t>
        </is>
      </c>
      <c r="D50" s="5" t="inlineStr">
        <is>
          <t>同一自治体で並行して作業している第10期高齢者福祉計画・介護保険事業計画と、受給者証の区分に応じたサービス利用に照らして見込量を突き合わせる</t>
        </is>
      </c>
      <c r="E50" s="5" t="inlineStr">
        <is>
          <t>障害者総合支援法第7条（介護保険優先原則）</t>
        </is>
      </c>
      <c r="F50" s="11" t="inlineStr">
        <is>
          <t>受託者</t>
        </is>
      </c>
      <c r="G50" s="11" t="inlineStr">
        <is>
          <t>2026-10</t>
        </is>
      </c>
      <c r="H50" s="11" t="inlineStr">
        <is>
          <t>2026-12</t>
        </is>
      </c>
      <c r="I50" s="14" t="inlineStr">
        <is>
          <t>進行中</t>
        </is>
      </c>
      <c r="J50" s="11" t="n">
        <v>60</v>
      </c>
      <c r="K50" s="11" t="n">
        <v>1</v>
      </c>
      <c r="L50" s="5" t="inlineStr">
        <is>
          <t>北塩原村_障がい計画と介護保険事業計画の整合.xlsx（7シート）。受給者証10区分・サービスの対応11件を整理し、点検8件（重大3・重要4・中1）。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0" s="5" t="inlineStr">
        <is>
          <t>村照会M-13〜M-17（施設入所支援4人の支給決定の内容、第2号被保険者との重なり、65歳到達者の一覧）と、介護保険側への申し送り2件</t>
        </is>
      </c>
    </row>
    <row r="51">
      <c r="A51" s="5" t="inlineStr">
        <is>
          <t>P8 施策検討・計画案</t>
        </is>
      </c>
      <c r="B51" s="11" t="inlineStr">
        <is>
          <t>8-1</t>
        </is>
      </c>
      <c r="C51" s="5" t="inlineStr">
        <is>
          <t>障がい者福祉施策の検討</t>
        </is>
      </c>
      <c r="D51" s="5" t="inlineStr">
        <is>
          <t>現行計画の成果と課題を踏まえ、次期計画に盛り込む施策を検討</t>
        </is>
      </c>
      <c r="E51" s="5" t="inlineStr">
        <is>
          <t>仕様書4-Ⅱ(4)</t>
        </is>
      </c>
      <c r="F51" s="11" t="inlineStr">
        <is>
          <t>受託者</t>
        </is>
      </c>
      <c r="G51" s="11" t="inlineStr">
        <is>
          <t>2026-08</t>
        </is>
      </c>
      <c r="H51" s="11" t="inlineStr">
        <is>
          <t>2026-12</t>
        </is>
      </c>
      <c r="I51" s="14" t="inlineStr">
        <is>
          <t>進行中</t>
        </is>
      </c>
      <c r="J51" s="11" t="n">
        <v>60</v>
      </c>
      <c r="K51" s="11" t="n">
        <v>4</v>
      </c>
      <c r="L51" s="5" t="inlineStr">
        <is>
          <t>骨子案修正版 第3章（基本理念・基本目標及び施策体系）。第8期で加わる視点と施策体系の対応表を新設</t>
        </is>
      </c>
      <c r="M51" s="5" t="inlineStr">
        <is>
          <t>現行計画の評価の確定</t>
        </is>
      </c>
    </row>
    <row r="52">
      <c r="A52" s="5" t="inlineStr">
        <is>
          <t>P8 施策検討・計画案</t>
        </is>
      </c>
      <c r="B52" s="11" t="inlineStr">
        <is>
          <t>8-10</t>
        </is>
      </c>
      <c r="C52" s="5" t="inlineStr">
        <is>
          <t>告示が「ものとする」とした要件の反映</t>
        </is>
      </c>
      <c r="D52" s="5" t="inlineStr">
        <is>
          <t>見込量算定MECEチェックで特定した2要件（継続入所者の控除・保育所等における障害児の受入れ体制）を計画素案に書き、村への照会事項として確定させる</t>
        </is>
      </c>
      <c r="E52" s="5" t="inlineStr">
        <is>
          <t>告示 第三の二の2㈠</t>
        </is>
      </c>
      <c r="F52" s="11" t="inlineStr">
        <is>
          <t>受託者</t>
        </is>
      </c>
      <c r="G52" s="11" t="inlineStr">
        <is>
          <t>2026-10</t>
        </is>
      </c>
      <c r="H52" s="11" t="inlineStr">
        <is>
          <t>2026-11</t>
        </is>
      </c>
      <c r="I52" s="14" t="inlineStr">
        <is>
          <t>進行中</t>
        </is>
      </c>
      <c r="J52" s="11" t="n">
        <v>50</v>
      </c>
      <c r="K52" s="11" t="n">
        <v>1</v>
      </c>
      <c r="L52"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2" s="5" t="inlineStr">
        <is>
          <t>村照会M-10・M-11の回答。回答後に見込量の控除・考え方を確定する</t>
        </is>
      </c>
    </row>
    <row r="53">
      <c r="A53" s="5" t="inlineStr">
        <is>
          <t>P8 施策検討・計画案</t>
        </is>
      </c>
      <c r="B53" s="11" t="inlineStr">
        <is>
          <t>8-2</t>
        </is>
      </c>
      <c r="C53" s="5" t="inlineStr">
        <is>
          <t>計画案の作成</t>
        </is>
      </c>
      <c r="D53"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3" s="5" t="inlineStr">
        <is>
          <t>仕様書4-Ⅱ(5)</t>
        </is>
      </c>
      <c r="F53" s="11" t="inlineStr">
        <is>
          <t>受託者</t>
        </is>
      </c>
      <c r="G53" s="11" t="inlineStr">
        <is>
          <t>2026-07</t>
        </is>
      </c>
      <c r="H53" s="11" t="inlineStr">
        <is>
          <t>2027-01</t>
        </is>
      </c>
      <c r="I53" s="14" t="inlineStr">
        <is>
          <t>進行中</t>
        </is>
      </c>
      <c r="J53" s="11" t="n">
        <v>80</v>
      </c>
      <c r="K53" s="11" t="n">
        <v>5</v>
      </c>
      <c r="L53"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3" s="5" t="inlineStr">
        <is>
          <t>村の実績データ（匿名利用者一覧・支給決定者数）による第2次算定。県の基盤整備量の算定値。アンケート3指標の扱いの村決定</t>
        </is>
      </c>
    </row>
    <row r="54">
      <c r="A54" s="5" t="inlineStr">
        <is>
          <t>P8 施策検討・計画案</t>
        </is>
      </c>
      <c r="B54" s="11" t="inlineStr">
        <is>
          <t>8-3</t>
        </is>
      </c>
      <c r="C54" s="5" t="inlineStr">
        <is>
          <t>確保のための方策の記載</t>
        </is>
      </c>
      <c r="D54" s="5" t="inlineStr">
        <is>
          <t>小規模町村・中山間地域向けの確保方策。介護保険事業所への指定働きかけ、共生型サービス、基準該当、多機能型・従たる事業所、短期入所</t>
        </is>
      </c>
      <c r="E54" s="5" t="inlineStr">
        <is>
          <t>仕様書4-Ⅱ(5)</t>
        </is>
      </c>
      <c r="F54" s="11" t="inlineStr">
        <is>
          <t>受託者</t>
        </is>
      </c>
      <c r="G54" s="11" t="inlineStr">
        <is>
          <t>2026-08</t>
        </is>
      </c>
      <c r="H54" s="11" t="inlineStr">
        <is>
          <t>2026-08</t>
        </is>
      </c>
      <c r="I54" s="12" t="inlineStr">
        <is>
          <t>完了</t>
        </is>
      </c>
      <c r="J54" s="11" t="n">
        <v>100</v>
      </c>
      <c r="K54" s="11" t="n">
        <v>3</v>
      </c>
      <c r="L54" s="5" t="inlineStr">
        <is>
          <t>骨子案修正版 第5章8。告示が名指しする5つの具体策を反映し、圏域の事業所数を原典から表として生成する方式に変更</t>
        </is>
      </c>
      <c r="M54" s="5" t="inlineStr">
        <is>
          <t>―</t>
        </is>
      </c>
    </row>
    <row r="55">
      <c r="A55" s="5" t="inlineStr">
        <is>
          <t>P8 施策検討・計画案</t>
        </is>
      </c>
      <c r="B55" s="11" t="inlineStr">
        <is>
          <t>8-4</t>
        </is>
      </c>
      <c r="C55" s="5" t="inlineStr">
        <is>
          <t>分量配分の設計</t>
        </is>
      </c>
      <c r="D55" s="5" t="inlineStr">
        <is>
          <t>成果品①は約60頁。章別の目標頁数を先に決め、原稿段階で収める</t>
        </is>
      </c>
      <c r="E55" s="5" t="inlineStr">
        <is>
          <t>仕様書5 成果品①</t>
        </is>
      </c>
      <c r="F55" s="11" t="inlineStr">
        <is>
          <t>受託者</t>
        </is>
      </c>
      <c r="G55" s="11" t="inlineStr">
        <is>
          <t>2026-08</t>
        </is>
      </c>
      <c r="H55" s="11" t="inlineStr">
        <is>
          <t>2026-08</t>
        </is>
      </c>
      <c r="I55" s="12" t="inlineStr">
        <is>
          <t>完了</t>
        </is>
      </c>
      <c r="J55" s="11" t="n">
        <v>100</v>
      </c>
      <c r="K55" s="11" t="n">
        <v>2</v>
      </c>
      <c r="L55" s="5" t="inlineStr">
        <is>
          <t>計画書_分量配分計画（docs）。現行計画の本文57頁の章別配分を基準に60頁へ配分。削減順序と削ってはならないものを明記。令和8年9月に現行計画の頁数を訂正（63頁は製本総頁で本文は57頁）</t>
        </is>
      </c>
      <c r="M55" s="5" t="inlineStr">
        <is>
          <t>―</t>
        </is>
      </c>
    </row>
    <row r="56">
      <c r="A56" s="5" t="inlineStr">
        <is>
          <t>P8 施策検討・計画案</t>
        </is>
      </c>
      <c r="B56" s="11" t="inlineStr">
        <is>
          <t>8-5</t>
        </is>
      </c>
      <c r="C56" s="5" t="inlineStr">
        <is>
          <t>目次の整理とページ番号の付与</t>
        </is>
      </c>
      <c r="D56" s="5" t="inlineStr">
        <is>
          <t>計画素案の目次を本文から作り直し、全見出しにブックマークを付けて目次からリンクで飛べるようにする。章頭で改ページし、本文を1ページから始める</t>
        </is>
      </c>
      <c r="E56" s="5" t="inlineStr">
        <is>
          <t>仕様書5 成果品①</t>
        </is>
      </c>
      <c r="F56" s="11" t="inlineStr">
        <is>
          <t>受託者</t>
        </is>
      </c>
      <c r="G56" s="11" t="inlineStr">
        <is>
          <t>2026-09</t>
        </is>
      </c>
      <c r="H56" s="11" t="inlineStr">
        <is>
          <t>2026-09</t>
        </is>
      </c>
      <c r="I56" s="12" t="inlineStr">
        <is>
          <t>完了</t>
        </is>
      </c>
      <c r="J56" s="11" t="n">
        <v>100</v>
      </c>
      <c r="K56" s="11" t="n">
        <v>3</v>
      </c>
      <c r="L56" s="5" t="inlineStr">
        <is>
          <t>build_kitashiobara_mokuji.py。目次55項目・ブックマーク93件・リンク切れ0件。原本の目次は7月版のままで本文94見出しに対し57項目、うち3件がリンク切れ、ページ番号は全項目1だった</t>
        </is>
      </c>
      <c r="M56" s="5" t="inlineStr">
        <is>
          <t>―</t>
        </is>
      </c>
    </row>
    <row r="57">
      <c r="A57" s="5" t="inlineStr">
        <is>
          <t>P8 施策検討・計画案</t>
        </is>
      </c>
      <c r="B57" s="11" t="inlineStr">
        <is>
          <t>8-6</t>
        </is>
      </c>
      <c r="C57" s="5" t="inlineStr">
        <is>
          <t>前回計画との対比と不足分の洗い出し</t>
        </is>
      </c>
      <c r="D57" s="5" t="inlineStr">
        <is>
          <t>現行計画の目次31節を1件ずつ追跡し、引き継いだもの・移したもの・落ちたものを確定させる</t>
        </is>
      </c>
      <c r="E57" s="5" t="inlineStr">
        <is>
          <t>仕様書4-Ⅱ(2)・4-Ⅱ(5)</t>
        </is>
      </c>
      <c r="F57" s="11" t="inlineStr">
        <is>
          <t>受託者</t>
        </is>
      </c>
      <c r="G57" s="11" t="inlineStr">
        <is>
          <t>2026-09</t>
        </is>
      </c>
      <c r="H57" s="11" t="inlineStr">
        <is>
          <t>2026-09</t>
        </is>
      </c>
      <c r="I57" s="12" t="inlineStr">
        <is>
          <t>完了</t>
        </is>
      </c>
      <c r="J57" s="11" t="n">
        <v>100</v>
      </c>
      <c r="K57" s="11" t="n">
        <v>3</v>
      </c>
      <c r="L57"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7" s="5" t="inlineStr">
        <is>
          <t>―</t>
        </is>
      </c>
    </row>
    <row r="58">
      <c r="A58" s="5" t="inlineStr">
        <is>
          <t>P8 施策検討・計画案</t>
        </is>
      </c>
      <c r="B58" s="11" t="inlineStr">
        <is>
          <t>8-7</t>
        </is>
      </c>
      <c r="C58" s="5" t="inlineStr">
        <is>
          <t>概要版の作成</t>
        </is>
      </c>
      <c r="D58" s="5" t="inlineStr">
        <is>
          <t>住民向けの概要版（A4・4頁）を計画書とは別ファイルで作成する。前回の概要版の構成を踏襲し、改定対象外の障がい者計画は継承する内容として整理する</t>
        </is>
      </c>
      <c r="E58" s="5" t="inlineStr">
        <is>
          <t>仕様書外（村の指示）</t>
        </is>
      </c>
      <c r="F58" s="11" t="inlineStr">
        <is>
          <t>受託者</t>
        </is>
      </c>
      <c r="G58" s="11" t="inlineStr">
        <is>
          <t>2026-09</t>
        </is>
      </c>
      <c r="H58" s="11" t="inlineStr">
        <is>
          <t>2026-09</t>
        </is>
      </c>
      <c r="I58" s="14" t="inlineStr">
        <is>
          <t>進行中</t>
        </is>
      </c>
      <c r="J58" s="11" t="n">
        <v>70</v>
      </c>
      <c r="K58" s="11" t="n">
        <v>2</v>
      </c>
      <c r="L58"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8" s="5" t="inlineStr">
        <is>
          <t>現状値・目標値の確定（本編と同じ）。仕様書5の成果品3点に含まれないため部数・費用の整理</t>
        </is>
      </c>
    </row>
    <row r="59">
      <c r="A59" s="5" t="inlineStr">
        <is>
          <t>P8 施策検討・計画案</t>
        </is>
      </c>
      <c r="B59" s="11" t="inlineStr">
        <is>
          <t>8-8</t>
        </is>
      </c>
      <c r="C59" s="5" t="inlineStr">
        <is>
          <t>表題の素案への変更</t>
        </is>
      </c>
      <c r="D59" s="5" t="inlineStr">
        <is>
          <t>計画書の表題を「骨子案」から「素案」に改め、作成年月・編集所管課を更新する</t>
        </is>
      </c>
      <c r="E59" s="5" t="inlineStr">
        <is>
          <t>仕様書5 成果品①</t>
        </is>
      </c>
      <c r="F59" s="11" t="inlineStr">
        <is>
          <t>受託者</t>
        </is>
      </c>
      <c r="G59" s="11" t="inlineStr">
        <is>
          <t>2026-09</t>
        </is>
      </c>
      <c r="H59" s="11" t="inlineStr">
        <is>
          <t>2026-09</t>
        </is>
      </c>
      <c r="I59" s="12" t="inlineStr">
        <is>
          <t>完了</t>
        </is>
      </c>
      <c r="J59" s="11" t="n">
        <v>100</v>
      </c>
      <c r="K59" s="11" t="n">
        <v>1</v>
      </c>
      <c r="L59" s="5" t="inlineStr">
        <is>
          <t>表紙・前書き・奥付の7か所を差し替え、作成年月を令和8年9月、編集を北塩原村保健福祉課福祉係に更新。ファイル名も北塩原村_計画素案.docx に統一</t>
        </is>
      </c>
      <c r="M59" s="5" t="inlineStr">
        <is>
          <t>―</t>
        </is>
      </c>
    </row>
    <row r="60">
      <c r="A60" s="5" t="inlineStr">
        <is>
          <t>P8 施策検討・計画案</t>
        </is>
      </c>
      <c r="B60" s="11" t="inlineStr">
        <is>
          <t>8-9</t>
        </is>
      </c>
      <c r="C60" s="5" t="inlineStr">
        <is>
          <t>レビューで洗い出した不足項目の反映</t>
        </is>
      </c>
      <c r="D60" s="5" t="inlineStr">
        <is>
          <t>別表第二 六の項（人材確保等）の新設、基盤整備量、医療的ケア児等への対応、就労関係機関との連携など14件を計画素案に反映する</t>
        </is>
      </c>
      <c r="E60" s="5" t="inlineStr">
        <is>
          <t>仕様書4-Ⅱ(5)</t>
        </is>
      </c>
      <c r="F60" s="11" t="inlineStr">
        <is>
          <t>受託者</t>
        </is>
      </c>
      <c r="G60" s="11" t="inlineStr">
        <is>
          <t>2026-09</t>
        </is>
      </c>
      <c r="H60" s="11" t="inlineStr">
        <is>
          <t>2026-11</t>
        </is>
      </c>
      <c r="I60" s="14" t="inlineStr">
        <is>
          <t>進行中</t>
        </is>
      </c>
      <c r="J60" s="11" t="n">
        <v>55</v>
      </c>
      <c r="K60" s="11" t="n">
        <v>4</v>
      </c>
      <c r="L60"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0" s="5" t="inlineStr">
        <is>
          <t>R-2の値は県の算定値待ち（レビュー Q-1）。残る中・低の9件は未着手</t>
        </is>
      </c>
    </row>
    <row r="61">
      <c r="A61" s="5" t="inlineStr">
        <is>
          <t>P9 意見聴取</t>
        </is>
      </c>
      <c r="B61" s="11" t="inlineStr">
        <is>
          <t>9-1</t>
        </is>
      </c>
      <c r="C61" s="5" t="inlineStr">
        <is>
          <t>自立支援協議会の資料作成</t>
        </is>
      </c>
      <c r="D61" s="5" t="inlineStr">
        <is>
          <t>委託者が協議会に報告・説明し、受託者は会議資料の作成、会議への出席、会議記録（要旨）の作成等の運営支援を行う。開催は1回程度</t>
        </is>
      </c>
      <c r="E61" s="5" t="inlineStr">
        <is>
          <t>仕様書4-Ⅱ(7)</t>
        </is>
      </c>
      <c r="F61" s="11" t="inlineStr">
        <is>
          <t>受託者</t>
        </is>
      </c>
      <c r="G61" s="11" t="inlineStr">
        <is>
          <t>2026-08</t>
        </is>
      </c>
      <c r="H61" s="11" t="inlineStr">
        <is>
          <t>2026-12</t>
        </is>
      </c>
      <c r="I61" s="14" t="inlineStr">
        <is>
          <t>進行中</t>
        </is>
      </c>
      <c r="J61" s="11" t="n">
        <v>50</v>
      </c>
      <c r="K61" s="11" t="n">
        <v>3</v>
      </c>
      <c r="L61" s="5" t="inlineStr">
        <is>
          <t>会議資料5点を作成（協議会資料1・2・8、庁議資料2・4）。村資料に依存しない資料を先行して整備</t>
        </is>
      </c>
      <c r="M61" s="5" t="inlineStr">
        <is>
          <t>協議会の開催時期が未定。委員名簿が未受領</t>
        </is>
      </c>
    </row>
    <row r="62">
      <c r="A62" s="5" t="inlineStr">
        <is>
          <t>P9 意見聴取</t>
        </is>
      </c>
      <c r="B62" s="11" t="inlineStr">
        <is>
          <t>9-2</t>
        </is>
      </c>
      <c r="C62" s="5" t="inlineStr">
        <is>
          <t>協議会の開催</t>
        </is>
      </c>
      <c r="D62" s="5" t="inlineStr">
        <is>
          <t>調査結果・素案・計画案の報告と審議</t>
        </is>
      </c>
      <c r="E62" s="5" t="inlineStr">
        <is>
          <t>仕様書4-Ⅱ(7)</t>
        </is>
      </c>
      <c r="F62" s="11" t="inlineStr">
        <is>
          <t>北塩原村・受託者</t>
        </is>
      </c>
      <c r="G62" s="11" t="inlineStr">
        <is>
          <t>2026-12</t>
        </is>
      </c>
      <c r="H62" s="11" t="inlineStr">
        <is>
          <t>2026-12</t>
        </is>
      </c>
      <c r="I62" s="16" t="inlineStr">
        <is>
          <t>未着手</t>
        </is>
      </c>
      <c r="J62" s="11" t="n">
        <v>0</v>
      </c>
      <c r="K62" s="11" t="n">
        <v>2</v>
      </c>
      <c r="L62" s="5" t="inlineStr">
        <is>
          <t>―</t>
        </is>
      </c>
      <c r="M62" s="5" t="inlineStr">
        <is>
          <t>開催日が未定。素案の確定</t>
        </is>
      </c>
    </row>
    <row r="63">
      <c r="A63" s="5" t="inlineStr">
        <is>
          <t>P9 意見聴取</t>
        </is>
      </c>
      <c r="B63" s="11" t="inlineStr">
        <is>
          <t>9-3</t>
        </is>
      </c>
      <c r="C63" s="5" t="inlineStr">
        <is>
          <t>庁議の開催</t>
        </is>
      </c>
      <c r="D63" s="5" t="inlineStr">
        <is>
          <t>庁内各課との調整。関連計画との整合と依頼事項</t>
        </is>
      </c>
      <c r="E63" s="5" t="inlineStr">
        <is>
          <t>―</t>
        </is>
      </c>
      <c r="F63" s="11" t="inlineStr">
        <is>
          <t>北塩原村・受託者</t>
        </is>
      </c>
      <c r="G63" s="11" t="inlineStr">
        <is>
          <t>2026-11</t>
        </is>
      </c>
      <c r="H63" s="11" t="inlineStr">
        <is>
          <t>2027-01</t>
        </is>
      </c>
      <c r="I63" s="16" t="inlineStr">
        <is>
          <t>未着手</t>
        </is>
      </c>
      <c r="J63" s="11" t="n">
        <v>0</v>
      </c>
      <c r="K63" s="11" t="n">
        <v>1</v>
      </c>
      <c r="L63" s="5" t="inlineStr">
        <is>
          <t>庁議資料2点は作成済み</t>
        </is>
      </c>
      <c r="M63" s="5" t="inlineStr">
        <is>
          <t>開催時期が未定</t>
        </is>
      </c>
    </row>
    <row r="64">
      <c r="A64" s="5" t="inlineStr">
        <is>
          <t>P9 意見聴取</t>
        </is>
      </c>
      <c r="B64" s="11" t="inlineStr">
        <is>
          <t>9-4</t>
        </is>
      </c>
      <c r="C64" s="5" t="inlineStr">
        <is>
          <t>パブリックコメントの実施</t>
        </is>
      </c>
      <c r="D64" s="5" t="inlineStr">
        <is>
          <t>計画案について意見を募集し、得られた意見を反映</t>
        </is>
      </c>
      <c r="E64" s="5" t="inlineStr">
        <is>
          <t>仕様書4-Ⅱ(6)</t>
        </is>
      </c>
      <c r="F64" s="11" t="inlineStr">
        <is>
          <t>北塩原村・受託者</t>
        </is>
      </c>
      <c r="G64" s="11" t="inlineStr">
        <is>
          <t>2027-01</t>
        </is>
      </c>
      <c r="H64" s="11" t="inlineStr">
        <is>
          <t>2027-02</t>
        </is>
      </c>
      <c r="I64" s="16" t="inlineStr">
        <is>
          <t>未着手</t>
        </is>
      </c>
      <c r="J64" s="11" t="n">
        <v>0</v>
      </c>
      <c r="K64" s="11" t="n">
        <v>2</v>
      </c>
      <c r="L64" s="5" t="inlineStr">
        <is>
          <t>―</t>
        </is>
      </c>
      <c r="M64" s="5" t="inlineStr">
        <is>
          <t>素案の確定。実施時期が未定</t>
        </is>
      </c>
    </row>
    <row r="65">
      <c r="A65" s="5" t="inlineStr">
        <is>
          <t>P9 意見聴取</t>
        </is>
      </c>
      <c r="B65" s="11" t="inlineStr">
        <is>
          <t>9-5</t>
        </is>
      </c>
      <c r="C65" s="5" t="inlineStr">
        <is>
          <t>意見への対応</t>
        </is>
      </c>
      <c r="D65" s="5" t="inlineStr">
        <is>
          <t>意見の整理、対応案の作成、計画への反映</t>
        </is>
      </c>
      <c r="E65" s="5" t="inlineStr">
        <is>
          <t>仕様書4-Ⅱ(6)</t>
        </is>
      </c>
      <c r="F65" s="11" t="inlineStr">
        <is>
          <t>受託者</t>
        </is>
      </c>
      <c r="G65" s="11" t="inlineStr">
        <is>
          <t>2027-02</t>
        </is>
      </c>
      <c r="H65" s="11" t="inlineStr">
        <is>
          <t>2027-02</t>
        </is>
      </c>
      <c r="I65" s="16" t="inlineStr">
        <is>
          <t>未着手</t>
        </is>
      </c>
      <c r="J65" s="11" t="n">
        <v>0</v>
      </c>
      <c r="K65" s="11" t="n">
        <v>2</v>
      </c>
      <c r="L65" s="5" t="inlineStr">
        <is>
          <t>―</t>
        </is>
      </c>
      <c r="M65" s="5" t="inlineStr">
        <is>
          <t>パブリックコメントの実施</t>
        </is>
      </c>
    </row>
    <row r="66">
      <c r="A66" s="5" t="inlineStr">
        <is>
          <t>P10 完成・納品</t>
        </is>
      </c>
      <c r="B66" s="11" t="inlineStr">
        <is>
          <t>10-1</t>
        </is>
      </c>
      <c r="C66" s="5" t="inlineStr">
        <is>
          <t>計画書の原稿確定</t>
        </is>
      </c>
      <c r="D66" s="5" t="inlineStr">
        <is>
          <t>協議会・パブリックコメントを経て得られた意見を反映の上、最終的に取りまとめる</t>
        </is>
      </c>
      <c r="E66" s="5" t="inlineStr">
        <is>
          <t>仕様書4-Ⅱ(6)</t>
        </is>
      </c>
      <c r="F66" s="11" t="inlineStr">
        <is>
          <t>受託者</t>
        </is>
      </c>
      <c r="G66" s="11" t="inlineStr">
        <is>
          <t>2027-02</t>
        </is>
      </c>
      <c r="H66" s="11" t="inlineStr">
        <is>
          <t>2027-02</t>
        </is>
      </c>
      <c r="I66" s="16" t="inlineStr">
        <is>
          <t>未着手</t>
        </is>
      </c>
      <c r="J66" s="11" t="n">
        <v>0</v>
      </c>
      <c r="K66" s="11" t="n">
        <v>3</v>
      </c>
      <c r="L66" s="5" t="inlineStr">
        <is>
          <t>―</t>
        </is>
      </c>
      <c r="M66" s="5" t="inlineStr">
        <is>
          <t>意見への対応</t>
        </is>
      </c>
    </row>
    <row r="67">
      <c r="A67" s="5" t="inlineStr">
        <is>
          <t>P10 完成・納品</t>
        </is>
      </c>
      <c r="B67" s="11" t="inlineStr">
        <is>
          <t>10-2</t>
        </is>
      </c>
      <c r="C67" s="5" t="inlineStr">
        <is>
          <t>レイアウト・組版</t>
        </is>
      </c>
      <c r="D67" s="5" t="inlineStr">
        <is>
          <t>A4判・両面・約60頁・モノクロ</t>
        </is>
      </c>
      <c r="E67" s="5" t="inlineStr">
        <is>
          <t>仕様書5 成果品①</t>
        </is>
      </c>
      <c r="F67" s="11" t="inlineStr">
        <is>
          <t>受託者</t>
        </is>
      </c>
      <c r="G67" s="11" t="inlineStr">
        <is>
          <t>2027-02</t>
        </is>
      </c>
      <c r="H67" s="11" t="inlineStr">
        <is>
          <t>2027-03</t>
        </is>
      </c>
      <c r="I67" s="16" t="inlineStr">
        <is>
          <t>未着手</t>
        </is>
      </c>
      <c r="J67" s="11" t="n">
        <v>0</v>
      </c>
      <c r="K67" s="11" t="n">
        <v>3</v>
      </c>
      <c r="L67" s="5" t="inlineStr">
        <is>
          <t>分量配分計画を作成済み。実際の組版で1頁あたりの文字数を実測し補正する</t>
        </is>
      </c>
      <c r="M67" s="5" t="inlineStr">
        <is>
          <t>原稿の確定</t>
        </is>
      </c>
    </row>
    <row r="68">
      <c r="A68" s="5" t="inlineStr">
        <is>
          <t>P10 完成・納品</t>
        </is>
      </c>
      <c r="B68" s="11" t="inlineStr">
        <is>
          <t>10-3</t>
        </is>
      </c>
      <c r="C68" s="5" t="inlineStr">
        <is>
          <t>校正</t>
        </is>
      </c>
      <c r="D68" s="5" t="inlineStr">
        <is>
          <t>村の確認を経て校了</t>
        </is>
      </c>
      <c r="E68" s="5" t="inlineStr">
        <is>
          <t>仕様書5 成果品①</t>
        </is>
      </c>
      <c r="F68" s="11" t="inlineStr">
        <is>
          <t>受託者・北塩原村</t>
        </is>
      </c>
      <c r="G68" s="11" t="inlineStr">
        <is>
          <t>2027-03</t>
        </is>
      </c>
      <c r="H68" s="11" t="inlineStr">
        <is>
          <t>2027-03</t>
        </is>
      </c>
      <c r="I68" s="16" t="inlineStr">
        <is>
          <t>未着手</t>
        </is>
      </c>
      <c r="J68" s="11" t="n">
        <v>0</v>
      </c>
      <c r="K68" s="11" t="n">
        <v>2</v>
      </c>
      <c r="L68" s="5" t="inlineStr">
        <is>
          <t>―</t>
        </is>
      </c>
      <c r="M68" s="5" t="inlineStr">
        <is>
          <t>組版</t>
        </is>
      </c>
    </row>
    <row r="69">
      <c r="A69" s="5" t="inlineStr">
        <is>
          <t>P10 完成・納品</t>
        </is>
      </c>
      <c r="B69" s="11" t="inlineStr">
        <is>
          <t>10-4</t>
        </is>
      </c>
      <c r="C69" s="5" t="inlineStr">
        <is>
          <t>印刷・製本</t>
        </is>
      </c>
      <c r="D69" s="5" t="inlineStr">
        <is>
          <t>計画書はコピー・くるみ製本30部、調査報告書はコピー・ホチキス製本10部</t>
        </is>
      </c>
      <c r="E69" s="5" t="inlineStr">
        <is>
          <t>仕様書5 成果品①②</t>
        </is>
      </c>
      <c r="F69" s="11" t="inlineStr">
        <is>
          <t>受託者</t>
        </is>
      </c>
      <c r="G69" s="11" t="inlineStr">
        <is>
          <t>2027-03</t>
        </is>
      </c>
      <c r="H69" s="11" t="inlineStr">
        <is>
          <t>2027-03</t>
        </is>
      </c>
      <c r="I69" s="16" t="inlineStr">
        <is>
          <t>未着手</t>
        </is>
      </c>
      <c r="J69" s="11" t="n">
        <v>0</v>
      </c>
      <c r="K69" s="11" t="n">
        <v>2</v>
      </c>
      <c r="L69" s="5" t="inlineStr">
        <is>
          <t>―</t>
        </is>
      </c>
      <c r="M69" s="5" t="inlineStr">
        <is>
          <t>校了。印刷業者の手配</t>
        </is>
      </c>
    </row>
    <row r="70">
      <c r="A70" s="5" t="inlineStr">
        <is>
          <t>P10 完成・納品</t>
        </is>
      </c>
      <c r="B70" s="11" t="inlineStr">
        <is>
          <t>10-5</t>
        </is>
      </c>
      <c r="C70" s="5" t="inlineStr">
        <is>
          <t>電子媒体の作成</t>
        </is>
      </c>
      <c r="D70" s="5" t="inlineStr">
        <is>
          <t>計画書と調査報告書の電子データ一式</t>
        </is>
      </c>
      <c r="E70" s="5" t="inlineStr">
        <is>
          <t>仕様書5 成果品③</t>
        </is>
      </c>
      <c r="F70" s="11" t="inlineStr">
        <is>
          <t>受託者</t>
        </is>
      </c>
      <c r="G70" s="11" t="inlineStr">
        <is>
          <t>2027-03</t>
        </is>
      </c>
      <c r="H70" s="11" t="inlineStr">
        <is>
          <t>2027-03</t>
        </is>
      </c>
      <c r="I70" s="16" t="inlineStr">
        <is>
          <t>未着手</t>
        </is>
      </c>
      <c r="J70" s="11" t="n">
        <v>0</v>
      </c>
      <c r="K70" s="11" t="n">
        <v>1</v>
      </c>
      <c r="L70" s="5" t="inlineStr">
        <is>
          <t>―</t>
        </is>
      </c>
      <c r="M70" s="5" t="inlineStr">
        <is>
          <t>編集可能形式とPDFの別を村に確認する</t>
        </is>
      </c>
    </row>
    <row r="71">
      <c r="A71" s="5" t="inlineStr">
        <is>
          <t>P10 完成・納品</t>
        </is>
      </c>
      <c r="B71" s="11" t="inlineStr">
        <is>
          <t>10-6</t>
        </is>
      </c>
      <c r="C71" s="5" t="inlineStr">
        <is>
          <t>納品・検収</t>
        </is>
      </c>
      <c r="D71" s="5" t="inlineStr">
        <is>
          <t>令和9年3月31日まで</t>
        </is>
      </c>
      <c r="E71" s="5" t="inlineStr">
        <is>
          <t>仕様書3（業務期間）</t>
        </is>
      </c>
      <c r="F71" s="11" t="inlineStr">
        <is>
          <t>受託者・北塩原村</t>
        </is>
      </c>
      <c r="G71" s="11" t="inlineStr">
        <is>
          <t>2027-03</t>
        </is>
      </c>
      <c r="H71" s="11" t="inlineStr">
        <is>
          <t>2027-03</t>
        </is>
      </c>
      <c r="I71" s="16" t="inlineStr">
        <is>
          <t>未着手</t>
        </is>
      </c>
      <c r="J71" s="11" t="n">
        <v>0</v>
      </c>
      <c r="K71" s="11" t="n">
        <v>1</v>
      </c>
      <c r="L71" s="5" t="inlineStr">
        <is>
          <t>―</t>
        </is>
      </c>
      <c r="M71" s="5" t="inlineStr">
        <is>
          <t>全成果品の完成</t>
        </is>
      </c>
    </row>
  </sheetData>
  <autoFilter ref="A1:M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COUNTIF('01_WBS'!$A$2:$A$71,$A2)</f>
        <v/>
      </c>
      <c r="C2" s="11">
        <f>COUNTIFS('01_WBS'!$A$2:$A$71,$A2,'01_WBS'!$I$2:$I$71,"完了")</f>
        <v/>
      </c>
      <c r="D2" s="11">
        <f>COUNTIFS('01_WBS'!$A$2:$A$71,$A2,'01_WBS'!$I$2:$I$71,"進行中")</f>
        <v/>
      </c>
      <c r="E2" s="11">
        <f>COUNTIFS('01_WBS'!$A$2:$A$71,$A2,'01_WBS'!$I$2:$I$71,"要対応")</f>
        <v/>
      </c>
      <c r="F2" s="11">
        <f>COUNTIFS('01_WBS'!$A$2:$A$71,$A2,'01_WBS'!$I$2:$I$71,"データ待ち")</f>
        <v/>
      </c>
      <c r="G2" s="11">
        <f>COUNTIFS('01_WBS'!$A$2:$A$71,$A2,'01_WBS'!$I$2:$I$71,"未着手")</f>
        <v/>
      </c>
      <c r="H2" s="17">
        <f>IF(SUMPRODUCT(('01_WBS'!$A$2:$A$71=$A2)*'01_WBS'!$K$2:$K$71)=0,0,SUMPRODUCT(('01_WBS'!$A$2:$A$71=$A2)*'01_WBS'!$J$2:$J$71*'01_WBS'!$K$2:$K$71)/SUMPRODUCT(('01_WBS'!$A$2:$A$71=$A2)*'01_WBS'!$K$2:$K$71)/100)</f>
        <v/>
      </c>
      <c r="I2" s="11" t="inlineStr">
        <is>
          <t>2026-06</t>
        </is>
      </c>
      <c r="J2" s="11" t="inlineStr">
        <is>
          <t>2026-09</t>
        </is>
      </c>
      <c r="K2" s="5" t="inlineStr">
        <is>
          <t>村資料の受領（依頼29件・受領4件）</t>
        </is>
      </c>
    </row>
    <row r="3">
      <c r="A3" s="5" t="inlineStr">
        <is>
          <t>P2 基礎調査</t>
        </is>
      </c>
      <c r="B3" s="11">
        <f>COUNTIF('01_WBS'!$A$2:$A$71,$A3)</f>
        <v/>
      </c>
      <c r="C3" s="11">
        <f>COUNTIFS('01_WBS'!$A$2:$A$71,$A3,'01_WBS'!$I$2:$I$71,"完了")</f>
        <v/>
      </c>
      <c r="D3" s="11">
        <f>COUNTIFS('01_WBS'!$A$2:$A$71,$A3,'01_WBS'!$I$2:$I$71,"進行中")</f>
        <v/>
      </c>
      <c r="E3" s="11">
        <f>COUNTIFS('01_WBS'!$A$2:$A$71,$A3,'01_WBS'!$I$2:$I$71,"要対応")</f>
        <v/>
      </c>
      <c r="F3" s="11">
        <f>COUNTIFS('01_WBS'!$A$2:$A$71,$A3,'01_WBS'!$I$2:$I$71,"データ待ち")</f>
        <v/>
      </c>
      <c r="G3" s="11">
        <f>COUNTIFS('01_WBS'!$A$2:$A$71,$A3,'01_WBS'!$I$2:$I$71,"未着手")</f>
        <v/>
      </c>
      <c r="H3" s="17">
        <f>IF(SUMPRODUCT(('01_WBS'!$A$2:$A$71=$A3)*'01_WBS'!$K$2:$K$71)=0,0,SUMPRODUCT(('01_WBS'!$A$2:$A$71=$A3)*'01_WBS'!$J$2:$J$71*'01_WBS'!$K$2:$K$71)/SUMPRODUCT(('01_WBS'!$A$2:$A$71=$A3)*'01_WBS'!$K$2:$K$71)/100)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COUNTIF('01_WBS'!$A$2:$A$71,$A4)</f>
        <v/>
      </c>
      <c r="C4" s="11">
        <f>COUNTIFS('01_WBS'!$A$2:$A$71,$A4,'01_WBS'!$I$2:$I$71,"完了")</f>
        <v/>
      </c>
      <c r="D4" s="11">
        <f>COUNTIFS('01_WBS'!$A$2:$A$71,$A4,'01_WBS'!$I$2:$I$71,"進行中")</f>
        <v/>
      </c>
      <c r="E4" s="11">
        <f>COUNTIFS('01_WBS'!$A$2:$A$71,$A4,'01_WBS'!$I$2:$I$71,"要対応")</f>
        <v/>
      </c>
      <c r="F4" s="11">
        <f>COUNTIFS('01_WBS'!$A$2:$A$71,$A4,'01_WBS'!$I$2:$I$71,"データ待ち")</f>
        <v/>
      </c>
      <c r="G4" s="11">
        <f>COUNTIFS('01_WBS'!$A$2:$A$71,$A4,'01_WBS'!$I$2:$I$71,"未着手")</f>
        <v/>
      </c>
      <c r="H4" s="17">
        <f>IF(SUMPRODUCT(('01_WBS'!$A$2:$A$71=$A4)*'01_WBS'!$K$2:$K$71)=0,0,SUMPRODUCT(('01_WBS'!$A$2:$A$71=$A4)*'01_WBS'!$J$2:$J$71*'01_WBS'!$K$2:$K$71)/SUMPRODUCT(('01_WBS'!$A$2:$A$71=$A4)*'01_WBS'!$K$2:$K$71)/100)</f>
        <v/>
      </c>
      <c r="I4" s="11" t="inlineStr">
        <is>
          <t>2026-07</t>
        </is>
      </c>
      <c r="J4" s="11" t="inlineStr">
        <is>
          <t>2026-10</t>
        </is>
      </c>
      <c r="K4" s="5" t="inlineStr">
        <is>
          <t>年齢階級別の手帳所持者数・人口（未受領）</t>
        </is>
      </c>
    </row>
    <row r="5">
      <c r="A5" s="5" t="inlineStr">
        <is>
          <t>P4 ニーズ調査</t>
        </is>
      </c>
      <c r="B5" s="11">
        <f>COUNTIF('01_WBS'!$A$2:$A$71,$A5)</f>
        <v/>
      </c>
      <c r="C5" s="11">
        <f>COUNTIFS('01_WBS'!$A$2:$A$71,$A5,'01_WBS'!$I$2:$I$71,"完了")</f>
        <v/>
      </c>
      <c r="D5" s="11">
        <f>COUNTIFS('01_WBS'!$A$2:$A$71,$A5,'01_WBS'!$I$2:$I$71,"進行中")</f>
        <v/>
      </c>
      <c r="E5" s="11">
        <f>COUNTIFS('01_WBS'!$A$2:$A$71,$A5,'01_WBS'!$I$2:$I$71,"要対応")</f>
        <v/>
      </c>
      <c r="F5" s="11">
        <f>COUNTIFS('01_WBS'!$A$2:$A$71,$A5,'01_WBS'!$I$2:$I$71,"データ待ち")</f>
        <v/>
      </c>
      <c r="G5" s="11">
        <f>COUNTIFS('01_WBS'!$A$2:$A$71,$A5,'01_WBS'!$I$2:$I$71,"未着手")</f>
        <v/>
      </c>
      <c r="H5" s="17">
        <f>IF(SUMPRODUCT(('01_WBS'!$A$2:$A$71=$A5)*'01_WBS'!$K$2:$K$71)=0,0,SUMPRODUCT(('01_WBS'!$A$2:$A$71=$A5)*'01_WBS'!$J$2:$J$71*'01_WBS'!$K$2:$K$71)/SUMPRODUCT(('01_WBS'!$A$2:$A$71=$A5)*'01_WBS'!$K$2:$K$71)/100)</f>
        <v/>
      </c>
      <c r="I5" s="11" t="inlineStr">
        <is>
          <t>2026-07</t>
        </is>
      </c>
      <c r="J5" s="11" t="inlineStr">
        <is>
          <t>2026-09</t>
        </is>
      </c>
      <c r="K5" s="5" t="inlineStr">
        <is>
          <t>印刷仕様・宛名ラベル・対象者数の3点。本業務の最大の律速</t>
        </is>
      </c>
    </row>
    <row r="6">
      <c r="A6" s="5" t="inlineStr">
        <is>
          <t>P5 集計・分析</t>
        </is>
      </c>
      <c r="B6" s="11">
        <f>COUNTIF('01_WBS'!$A$2:$A$71,$A6)</f>
        <v/>
      </c>
      <c r="C6" s="11">
        <f>COUNTIFS('01_WBS'!$A$2:$A$71,$A6,'01_WBS'!$I$2:$I$71,"完了")</f>
        <v/>
      </c>
      <c r="D6" s="11">
        <f>COUNTIFS('01_WBS'!$A$2:$A$71,$A6,'01_WBS'!$I$2:$I$71,"進行中")</f>
        <v/>
      </c>
      <c r="E6" s="11">
        <f>COUNTIFS('01_WBS'!$A$2:$A$71,$A6,'01_WBS'!$I$2:$I$71,"要対応")</f>
        <v/>
      </c>
      <c r="F6" s="11">
        <f>COUNTIFS('01_WBS'!$A$2:$A$71,$A6,'01_WBS'!$I$2:$I$71,"データ待ち")</f>
        <v/>
      </c>
      <c r="G6" s="11">
        <f>COUNTIFS('01_WBS'!$A$2:$A$71,$A6,'01_WBS'!$I$2:$I$71,"未着手")</f>
        <v/>
      </c>
      <c r="H6" s="17">
        <f>IF(SUMPRODUCT(('01_WBS'!$A$2:$A$71=$A6)*'01_WBS'!$K$2:$K$71)=0,0,SUMPRODUCT(('01_WBS'!$A$2:$A$71=$A6)*'01_WBS'!$J$2:$J$71*'01_WBS'!$K$2:$K$71)/SUMPRODUCT(('01_WBS'!$A$2:$A$71=$A6)*'01_WBS'!$K$2:$K$71)/100)</f>
        <v/>
      </c>
      <c r="I6" s="11" t="inlineStr">
        <is>
          <t>2026-09</t>
        </is>
      </c>
      <c r="J6" s="11" t="inlineStr">
        <is>
          <t>2026-12</t>
        </is>
      </c>
      <c r="K6" s="5" t="inlineStr">
        <is>
          <t>アンケートの回収</t>
        </is>
      </c>
    </row>
    <row r="7">
      <c r="A7" s="5" t="inlineStr">
        <is>
          <t>P6 現行計画の評価</t>
        </is>
      </c>
      <c r="B7" s="11">
        <f>COUNTIF('01_WBS'!$A$2:$A$71,$A7)</f>
        <v/>
      </c>
      <c r="C7" s="11">
        <f>COUNTIFS('01_WBS'!$A$2:$A$71,$A7,'01_WBS'!$I$2:$I$71,"完了")</f>
        <v/>
      </c>
      <c r="D7" s="11">
        <f>COUNTIFS('01_WBS'!$A$2:$A$71,$A7,'01_WBS'!$I$2:$I$71,"進行中")</f>
        <v/>
      </c>
      <c r="E7" s="11">
        <f>COUNTIFS('01_WBS'!$A$2:$A$71,$A7,'01_WBS'!$I$2:$I$71,"要対応")</f>
        <v/>
      </c>
      <c r="F7" s="11">
        <f>COUNTIFS('01_WBS'!$A$2:$A$71,$A7,'01_WBS'!$I$2:$I$71,"データ待ち")</f>
        <v/>
      </c>
      <c r="G7" s="11">
        <f>COUNTIFS('01_WBS'!$A$2:$A$71,$A7,'01_WBS'!$I$2:$I$71,"未着手")</f>
        <v/>
      </c>
      <c r="H7" s="17">
        <f>IF(SUMPRODUCT(('01_WBS'!$A$2:$A$71=$A7)*'01_WBS'!$K$2:$K$71)=0,0,SUMPRODUCT(('01_WBS'!$A$2:$A$71=$A7)*'01_WBS'!$J$2:$J$71*'01_WBS'!$K$2:$K$71)/SUMPRODUCT(('01_WBS'!$A$2:$A$71=$A7)*'01_WBS'!$K$2:$K$71)/100)</f>
        <v/>
      </c>
      <c r="I7" s="11" t="inlineStr">
        <is>
          <t>2026-08</t>
        </is>
      </c>
      <c r="J7" s="11" t="inlineStr">
        <is>
          <t>2026-11</t>
        </is>
      </c>
      <c r="K7" s="5" t="inlineStr">
        <is>
          <t>令和6・7年度の実績と令和8年度見込</t>
        </is>
      </c>
    </row>
    <row r="8">
      <c r="A8" s="5" t="inlineStr">
        <is>
          <t>P7 推計・見込量</t>
        </is>
      </c>
      <c r="B8" s="11">
        <f>COUNTIF('01_WBS'!$A$2:$A$71,$A8)</f>
        <v/>
      </c>
      <c r="C8" s="11">
        <f>COUNTIFS('01_WBS'!$A$2:$A$71,$A8,'01_WBS'!$I$2:$I$71,"完了")</f>
        <v/>
      </c>
      <c r="D8" s="11">
        <f>COUNTIFS('01_WBS'!$A$2:$A$71,$A8,'01_WBS'!$I$2:$I$71,"進行中")</f>
        <v/>
      </c>
      <c r="E8" s="11">
        <f>COUNTIFS('01_WBS'!$A$2:$A$71,$A8,'01_WBS'!$I$2:$I$71,"要対応")</f>
        <v/>
      </c>
      <c r="F8" s="11">
        <f>COUNTIFS('01_WBS'!$A$2:$A$71,$A8,'01_WBS'!$I$2:$I$71,"データ待ち")</f>
        <v/>
      </c>
      <c r="G8" s="11">
        <f>COUNTIFS('01_WBS'!$A$2:$A$71,$A8,'01_WBS'!$I$2:$I$71,"未着手")</f>
        <v/>
      </c>
      <c r="H8" s="17">
        <f>IF(SUMPRODUCT(('01_WBS'!$A$2:$A$71=$A8)*'01_WBS'!$K$2:$K$71)=0,0,SUMPRODUCT(('01_WBS'!$A$2:$A$71=$A8)*'01_WBS'!$J$2:$J$71*'01_WBS'!$K$2:$K$71)/SUMPRODUCT(('01_WBS'!$A$2:$A$71=$A8)*'01_WBS'!$K$2:$K$71)/100)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COUNTIF('01_WBS'!$A$2:$A$71,$A9)</f>
        <v/>
      </c>
      <c r="C9" s="11">
        <f>COUNTIFS('01_WBS'!$A$2:$A$71,$A9,'01_WBS'!$I$2:$I$71,"完了")</f>
        <v/>
      </c>
      <c r="D9" s="11">
        <f>COUNTIFS('01_WBS'!$A$2:$A$71,$A9,'01_WBS'!$I$2:$I$71,"進行中")</f>
        <v/>
      </c>
      <c r="E9" s="11">
        <f>COUNTIFS('01_WBS'!$A$2:$A$71,$A9,'01_WBS'!$I$2:$I$71,"要対応")</f>
        <v/>
      </c>
      <c r="F9" s="11">
        <f>COUNTIFS('01_WBS'!$A$2:$A$71,$A9,'01_WBS'!$I$2:$I$71,"データ待ち")</f>
        <v/>
      </c>
      <c r="G9" s="11">
        <f>COUNTIFS('01_WBS'!$A$2:$A$71,$A9,'01_WBS'!$I$2:$I$71,"未着手")</f>
        <v/>
      </c>
      <c r="H9" s="17">
        <f>IF(SUMPRODUCT(('01_WBS'!$A$2:$A$71=$A9)*'01_WBS'!$K$2:$K$71)=0,0,SUMPRODUCT(('01_WBS'!$A$2:$A$71=$A9)*'01_WBS'!$J$2:$J$71*'01_WBS'!$K$2:$K$71)/SUMPRODUCT(('01_WBS'!$A$2:$A$71=$A9)*'01_WBS'!$K$2:$K$71)/100)</f>
        <v/>
      </c>
      <c r="I9" s="11" t="inlineStr">
        <is>
          <t>2026-07</t>
        </is>
      </c>
      <c r="J9" s="11" t="inlineStr">
        <is>
          <t>2027-01</t>
        </is>
      </c>
      <c r="K9" s="5" t="inlineStr">
        <is>
          <t>P5・P7の完了</t>
        </is>
      </c>
    </row>
    <row r="10">
      <c r="A10" s="5" t="inlineStr">
        <is>
          <t>P9 意見聴取</t>
        </is>
      </c>
      <c r="B10" s="11">
        <f>COUNTIF('01_WBS'!$A$2:$A$71,$A10)</f>
        <v/>
      </c>
      <c r="C10" s="11">
        <f>COUNTIFS('01_WBS'!$A$2:$A$71,$A10,'01_WBS'!$I$2:$I$71,"完了")</f>
        <v/>
      </c>
      <c r="D10" s="11">
        <f>COUNTIFS('01_WBS'!$A$2:$A$71,$A10,'01_WBS'!$I$2:$I$71,"進行中")</f>
        <v/>
      </c>
      <c r="E10" s="11">
        <f>COUNTIFS('01_WBS'!$A$2:$A$71,$A10,'01_WBS'!$I$2:$I$71,"要対応")</f>
        <v/>
      </c>
      <c r="F10" s="11">
        <f>COUNTIFS('01_WBS'!$A$2:$A$71,$A10,'01_WBS'!$I$2:$I$71,"データ待ち")</f>
        <v/>
      </c>
      <c r="G10" s="11">
        <f>COUNTIFS('01_WBS'!$A$2:$A$71,$A10,'01_WBS'!$I$2:$I$71,"未着手")</f>
        <v/>
      </c>
      <c r="H10" s="17">
        <f>IF(SUMPRODUCT(('01_WBS'!$A$2:$A$71=$A10)*'01_WBS'!$K$2:$K$71)=0,0,SUMPRODUCT(('01_WBS'!$A$2:$A$71=$A10)*'01_WBS'!$J$2:$J$71*'01_WBS'!$K$2:$K$71)/SUMPRODUCT(('01_WBS'!$A$2:$A$71=$A10)*'01_WBS'!$K$2:$K$71)/100)</f>
        <v/>
      </c>
      <c r="I10" s="11" t="inlineStr">
        <is>
          <t>2026-12</t>
        </is>
      </c>
      <c r="J10" s="11" t="inlineStr">
        <is>
          <t>2027-02</t>
        </is>
      </c>
      <c r="K10" s="5" t="inlineStr">
        <is>
          <t>協議会の開催時期が未定</t>
        </is>
      </c>
    </row>
    <row r="11">
      <c r="A11" s="5" t="inlineStr">
        <is>
          <t>P10 完成・納品</t>
        </is>
      </c>
      <c r="B11" s="11">
        <f>COUNTIF('01_WBS'!$A$2:$A$71,$A11)</f>
        <v/>
      </c>
      <c r="C11" s="11">
        <f>COUNTIFS('01_WBS'!$A$2:$A$71,$A11,'01_WBS'!$I$2:$I$71,"完了")</f>
        <v/>
      </c>
      <c r="D11" s="11">
        <f>COUNTIFS('01_WBS'!$A$2:$A$71,$A11,'01_WBS'!$I$2:$I$71,"進行中")</f>
        <v/>
      </c>
      <c r="E11" s="11">
        <f>COUNTIFS('01_WBS'!$A$2:$A$71,$A11,'01_WBS'!$I$2:$I$71,"要対応")</f>
        <v/>
      </c>
      <c r="F11" s="11">
        <f>COUNTIFS('01_WBS'!$A$2:$A$71,$A11,'01_WBS'!$I$2:$I$71,"データ待ち")</f>
        <v/>
      </c>
      <c r="G11" s="11">
        <f>COUNTIFS('01_WBS'!$A$2:$A$71,$A11,'01_WBS'!$I$2:$I$71,"未着手")</f>
        <v/>
      </c>
      <c r="H11" s="17">
        <f>IF(SUMPRODUCT(('01_WBS'!$A$2:$A$71=$A11)*'01_WBS'!$K$2:$K$71)=0,0,SUMPRODUCT(('01_WBS'!$A$2:$A$71=$A11)*'01_WBS'!$J$2:$J$71*'01_WBS'!$K$2:$K$71)/SUMPRODUCT(('01_WBS'!$A$2:$A$71=$A11)*'01_WBS'!$K$2:$K$71)/100)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IF(SUMPRODUCT('01_WBS'!$K$2:$K$71)=0,0,SUMPRODUCT('01_WBS'!$J$2:$J$71*'01_WBS'!$K$2:$K$71)/SUMPRODUCT('01_WBS'!$K$2:$K$71)/100)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2026-10-08T15:05:01Z</dcterms:created>
  <dcterms:modified xmlns:dcterms="http://purl.org/dc/terms/" xmlns:xsi="http://www.w3.org/2001/XMLSchema-instance" xsi:type="dcterms:W3CDTF">2026-10-08T15:05:01Z</dcterms:modified>
</cp:coreProperties>
</file>