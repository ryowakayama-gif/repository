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資料・データ受領"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翌日の着手順" sheetId="10" state="visible" r:id="rId10"/>
  </sheets>
  <definedNames>
    <definedName name="_xlnm._FilterDatabase" localSheetId="1" hidden="1">'01_WBS'!$A$1:$M$70</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sz val="9"/>
    </font>
    <font>
      <b val="1"/>
    </font>
    <font>
      <b val="1"/>
      <sz val="14"/>
    </font>
    <font>
      <b val="1"/>
      <color rgb="00FFFFFF"/>
      <sz val="10"/>
    </font>
  </fonts>
  <fills count="11">
    <fill>
      <patternFill/>
    </fill>
    <fill>
      <patternFill patternType="gray125"/>
    </fill>
    <fill>
      <patternFill patternType="solid">
        <fgColor rgb="001F3864"/>
      </patternFill>
    </fill>
    <fill>
      <patternFill patternType="solid">
        <fgColor rgb="00C6EFCE"/>
      </patternFill>
    </fill>
    <fill>
      <patternFill patternType="solid">
        <fgColor rgb="00FCE4E4"/>
      </patternFill>
    </fill>
    <fill>
      <patternFill patternType="solid">
        <fgColor rgb="00FFF2CC"/>
      </patternFill>
    </fill>
    <fill>
      <patternFill patternType="solid">
        <fgColor rgb="00F8CBAD"/>
      </patternFill>
    </fill>
    <fill>
      <patternFill patternType="solid">
        <fgColor rgb="00EEEEEE"/>
      </patternFill>
    </fill>
    <fill>
      <patternFill patternType="solid">
        <fgColor rgb="00C00000"/>
      </patternFill>
    </fill>
    <fill>
      <patternFill patternType="solid">
        <fgColor rgb="00ED7D31"/>
      </patternFill>
    </fill>
    <fill>
      <patternFill patternType="solid">
        <fgColor rgb="00808080"/>
      </patternFill>
    </fill>
  </fills>
  <borders count="1">
    <border>
      <left/>
      <right/>
      <top/>
      <bottom/>
      <diagonal/>
    </border>
  </borders>
  <cellStyleXfs count="1">
    <xf numFmtId="0" fontId="0" fillId="0" borderId="0"/>
  </cellStyleXfs>
  <cellXfs count="23">
    <xf numFmtId="0" fontId="0" fillId="0" borderId="0" pivotButton="0" quotePrefix="0" xfId="0"/>
    <xf numFmtId="0" fontId="3" fillId="0" borderId="0" pivotButton="0" quotePrefix="0" xfId="0"/>
    <xf numFmtId="0" fontId="2" fillId="0" borderId="0" pivotButton="0" quotePrefix="0" xfId="0"/>
    <xf numFmtId="9" fontId="0" fillId="0" borderId="0" pivotButton="0" quotePrefix="0" xfId="0"/>
    <xf numFmtId="0" fontId="1" fillId="2" borderId="0" applyAlignment="1" pivotButton="0" quotePrefix="0" xfId="0">
      <alignment horizontal="center" wrapText="1"/>
    </xf>
    <xf numFmtId="0" fontId="0" fillId="0" borderId="0" applyAlignment="1" pivotButton="0" quotePrefix="0" xfId="0">
      <alignment vertical="top" wrapText="1"/>
    </xf>
    <xf numFmtId="0" fontId="1" fillId="2" borderId="0" pivotButton="0" quotePrefix="0" xfId="0"/>
    <xf numFmtId="0" fontId="0" fillId="6" borderId="0" pivotButton="0" quotePrefix="0" xfId="0"/>
    <xf numFmtId="0" fontId="0" fillId="4" borderId="0" pivotButton="0" quotePrefix="0" xfId="0"/>
    <xf numFmtId="0" fontId="0" fillId="7"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top"/>
    </xf>
    <xf numFmtId="0" fontId="0" fillId="3" borderId="0" applyAlignment="1" pivotButton="0" quotePrefix="0" xfId="0">
      <alignment vertical="top"/>
    </xf>
    <xf numFmtId="0" fontId="0" fillId="4" borderId="0" applyAlignment="1" pivotButton="0" quotePrefix="0" xfId="0">
      <alignment vertical="top"/>
    </xf>
    <xf numFmtId="0" fontId="0" fillId="5" borderId="0" applyAlignment="1" pivotButton="0" quotePrefix="0" xfId="0">
      <alignment vertical="top"/>
    </xf>
    <xf numFmtId="0" fontId="0" fillId="6" borderId="0" applyAlignment="1" pivotButton="0" quotePrefix="0" xfId="0">
      <alignment vertical="top"/>
    </xf>
    <xf numFmtId="0" fontId="0" fillId="7" borderId="0" applyAlignment="1" pivotButton="0" quotePrefix="0" xfId="0">
      <alignment vertical="top"/>
    </xf>
    <xf numFmtId="9" fontId="0" fillId="0" borderId="0" applyAlignment="1" pivotButton="0" quotePrefix="0" xfId="0">
      <alignment vertical="top"/>
    </xf>
    <xf numFmtId="0" fontId="2" fillId="0" borderId="0" applyAlignment="1" pivotButton="0" quotePrefix="0" xfId="0">
      <alignment vertical="top"/>
    </xf>
    <xf numFmtId="9" fontId="2" fillId="0" borderId="0" applyAlignment="1" pivotButton="0" quotePrefix="0" xfId="0">
      <alignment vertical="top"/>
    </xf>
    <xf numFmtId="0" fontId="4" fillId="8" borderId="0" applyAlignment="1" pivotButton="0" quotePrefix="0" xfId="0">
      <alignment vertical="top"/>
    </xf>
    <xf numFmtId="0" fontId="4" fillId="9" borderId="0" applyAlignment="1" pivotButton="0" quotePrefix="0" xfId="0">
      <alignment vertical="top"/>
    </xf>
    <xf numFmtId="0" fontId="4" fillId="1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47"/>
  <sheetViews>
    <sheetView workbookViewId="0">
      <selection activeCell="A1" sqref="A1"/>
    </sheetView>
  </sheetViews>
  <sheetFormatPr baseColWidth="8" defaultRowHeight="15"/>
  <cols>
    <col width="16" customWidth="1" min="1" max="1"/>
    <col width="46" customWidth="1" min="2" max="2"/>
    <col width="30" customWidth="1" min="3" max="3"/>
    <col width="52" customWidth="1" min="4" max="4"/>
  </cols>
  <sheetData>
    <row r="1">
      <c r="A1" s="1" t="inlineStr">
        <is>
          <t>北塩原村　第8期障がい福祉計画・第4期障がい児福祉計画　業務進捗管理表</t>
        </is>
      </c>
    </row>
    <row r="2">
      <c r="A2" t="inlineStr">
        <is>
          <t>基準日：令和8年9月16日</t>
        </is>
      </c>
    </row>
    <row r="4">
      <c r="A4" s="2" t="inlineStr">
        <is>
          <t>全体進捗</t>
        </is>
      </c>
      <c r="B4" s="3">
        <f>'02_段階サマリ'!H12</f>
        <v/>
      </c>
      <c r="D4" s="2" t="inlineStr">
        <is>
          <t>作業数</t>
        </is>
      </c>
      <c r="E4">
        <f>'02_段階サマリ'!B12</f>
        <v/>
      </c>
      <c r="G4" s="2" t="inlineStr">
        <is>
          <t>完了</t>
        </is>
      </c>
      <c r="H4">
        <f>'02_段階サマリ'!C12</f>
        <v/>
      </c>
    </row>
    <row r="6">
      <c r="A6" s="4" t="inlineStr">
        <is>
          <t>段階</t>
        </is>
      </c>
      <c r="B6" s="4" t="inlineStr">
        <is>
          <t>作業数</t>
        </is>
      </c>
      <c r="C6" s="4" t="inlineStr">
        <is>
          <t>加重進捗率</t>
        </is>
      </c>
      <c r="D6" s="4" t="inlineStr">
        <is>
          <t>律速要因</t>
        </is>
      </c>
    </row>
    <row r="7">
      <c r="A7">
        <f>'02_段階サマリ'!A2</f>
        <v/>
      </c>
      <c r="B7">
        <f>'02_段階サマリ'!B2</f>
        <v/>
      </c>
      <c r="C7" s="3">
        <f>'02_段階サマリ'!H2</f>
        <v/>
      </c>
      <c r="D7" s="5">
        <f>'02_段階サマリ'!K2</f>
        <v/>
      </c>
    </row>
    <row r="8">
      <c r="A8">
        <f>'02_段階サマリ'!A3</f>
        <v/>
      </c>
      <c r="B8">
        <f>'02_段階サマリ'!B3</f>
        <v/>
      </c>
      <c r="C8" s="3">
        <f>'02_段階サマリ'!H3</f>
        <v/>
      </c>
      <c r="D8" s="5">
        <f>'02_段階サマリ'!K3</f>
        <v/>
      </c>
    </row>
    <row r="9">
      <c r="A9">
        <f>'02_段階サマリ'!A4</f>
        <v/>
      </c>
      <c r="B9">
        <f>'02_段階サマリ'!B4</f>
        <v/>
      </c>
      <c r="C9" s="3">
        <f>'02_段階サマリ'!H4</f>
        <v/>
      </c>
      <c r="D9" s="5">
        <f>'02_段階サマリ'!K4</f>
        <v/>
      </c>
    </row>
    <row r="10">
      <c r="A10">
        <f>'02_段階サマリ'!A5</f>
        <v/>
      </c>
      <c r="B10">
        <f>'02_段階サマリ'!B5</f>
        <v/>
      </c>
      <c r="C10" s="3">
        <f>'02_段階サマリ'!H5</f>
        <v/>
      </c>
      <c r="D10" s="5">
        <f>'02_段階サマリ'!K5</f>
        <v/>
      </c>
    </row>
    <row r="11">
      <c r="A11">
        <f>'02_段階サマリ'!A6</f>
        <v/>
      </c>
      <c r="B11">
        <f>'02_段階サマリ'!B6</f>
        <v/>
      </c>
      <c r="C11" s="3">
        <f>'02_段階サマリ'!H6</f>
        <v/>
      </c>
      <c r="D11" s="5">
        <f>'02_段階サマリ'!K6</f>
        <v/>
      </c>
    </row>
    <row r="12">
      <c r="A12">
        <f>'02_段階サマリ'!A7</f>
        <v/>
      </c>
      <c r="B12">
        <f>'02_段階サマリ'!B7</f>
        <v/>
      </c>
      <c r="C12" s="3">
        <f>'02_段階サマリ'!H7</f>
        <v/>
      </c>
      <c r="D12" s="5">
        <f>'02_段階サマリ'!K7</f>
        <v/>
      </c>
    </row>
    <row r="13">
      <c r="A13">
        <f>'02_段階サマリ'!A8</f>
        <v/>
      </c>
      <c r="B13">
        <f>'02_段階サマリ'!B8</f>
        <v/>
      </c>
      <c r="C13" s="3">
        <f>'02_段階サマリ'!H8</f>
        <v/>
      </c>
      <c r="D13" s="5">
        <f>'02_段階サマリ'!K8</f>
        <v/>
      </c>
    </row>
    <row r="14">
      <c r="A14">
        <f>'02_段階サマリ'!A9</f>
        <v/>
      </c>
      <c r="B14">
        <f>'02_段階サマリ'!B9</f>
        <v/>
      </c>
      <c r="C14" s="3">
        <f>'02_段階サマリ'!H9</f>
        <v/>
      </c>
      <c r="D14" s="5">
        <f>'02_段階サマリ'!K9</f>
        <v/>
      </c>
    </row>
    <row r="15">
      <c r="A15">
        <f>'02_段階サマリ'!A10</f>
        <v/>
      </c>
      <c r="B15">
        <f>'02_段階サマリ'!B10</f>
        <v/>
      </c>
      <c r="C15" s="3">
        <f>'02_段階サマリ'!H10</f>
        <v/>
      </c>
      <c r="D15" s="5">
        <f>'02_段階サマリ'!K10</f>
        <v/>
      </c>
    </row>
    <row r="16">
      <c r="A16">
        <f>'02_段階サマリ'!A11</f>
        <v/>
      </c>
      <c r="B16">
        <f>'02_段階サマリ'!B11</f>
        <v/>
      </c>
      <c r="C16" s="3">
        <f>'02_段階サマリ'!H11</f>
        <v/>
      </c>
      <c r="D16" s="5">
        <f>'02_段階サマリ'!K11</f>
        <v/>
      </c>
    </row>
    <row r="18">
      <c r="A18" s="2" t="inlineStr">
        <is>
          <t>■ 現況</t>
        </is>
      </c>
    </row>
    <row r="19">
      <c r="A19" s="5" t="inlineStr">
        <is>
          <t>推計・分析の枠組みは概ね組み上がった。国の基本指針（令和8年3月31日告示）の成果目標8区分と別表第一〜第五を条項単位で照合し、本村が全域過疎であることから別表第五の算定方法は適用対象外と判定して、個別積上げ方式を原則どおり採用できることを確定させた。</t>
        </is>
      </c>
    </row>
    <row r="20">
      <c r="A20" s="5" t="inlineStr">
        <is>
          <t>推計ブックは将来推計・サービス見込量・地域生活支援事業・活動指標・財源構成の5冊が算式まで実装済みで、実績データが入れば給付費と財源構成まで通る状態にしてある。計画書は骨子案修正版として全8章・97表・369段落まで到達した。</t>
        </is>
      </c>
    </row>
    <row r="21">
      <c r="A21" s="5" t="inlineStr">
        <is>
          <t>一方、村からの実績データは29件中21件が未受領で、現行計画の評価・見込量・成果目標のいずれも確定できない。</t>
        </is>
      </c>
    </row>
    <row r="22">
      <c r="A22" s="5" t="inlineStr">
        <is>
          <t>最大の律速はアンケートの発送である。工程案の令和8年8月上旬発送に対し、印刷仕様・宛名ラベル・対象者数の3点がいずれも未了で、既に期限を超過している。回収に約1か月を要するため、遅延はそのまま集計・報告書・計画書の工程を圧迫する。</t>
        </is>
      </c>
    </row>
    <row r="23">
      <c r="A23" s="5" t="inlineStr">
        <is>
          <t>令和8年8月に村から調査票の朱書き修正指示40か所を受領した。設問の修正は他メンバーの担当だが、削除理由として書き添えられた数値9件は計画本体に直結するため、成果目標と見込量に反映した。障害支援区分別人数15人・医療的ケア児1人（経管栄養が毎日必要）・セルフプラン率0％・基幹相談支援センター未設置がその内容である。</t>
        </is>
      </c>
    </row>
    <row r="24">
      <c r="A24" s="5" t="inlineStr">
        <is>
          <t>同月、国が「障害福祉計画策定に係る実態調査及びPDCAサイクルに関するマニュアル」を改定し、福島県から市町村へ通知された（8生福第2646号・8こ第2041号）。全81頁を読み、成果物と突合した。別表第五を適用しないという当方の判定は国の文書で裏付けられた。</t>
        </is>
      </c>
    </row>
    <row r="25">
      <c r="A25" s="5" t="inlineStr">
        <is>
          <t>調査票は8月25日版で確定した。マニュアルの発出（8月19日事務連絡）と確定の時期が重なったため、標準項目のうち外出の目的・介護保険の利用状況・強度行動障害の該当有無・障害支援区分の4件が確定版にない。クロス集計25件と行政データとの突合6件を設計し、うち3件は代替の目処が立った。残る1件（外出の目的）は第4次障がい者計画の指標に関わるため村との再協議を要する。</t>
        </is>
      </c>
    </row>
    <row r="27">
      <c r="A27" s="2" t="inlineStr">
        <is>
          <t>■ 警戒事項</t>
        </is>
      </c>
    </row>
    <row r="28">
      <c r="A28" s="6" t="inlineStr">
        <is>
          <t>#</t>
        </is>
      </c>
      <c r="B28" s="6" t="inlineStr">
        <is>
          <t>内容</t>
        </is>
      </c>
      <c r="C28" s="6" t="inlineStr">
        <is>
          <t>影響</t>
        </is>
      </c>
      <c r="D28" s="6" t="inlineStr">
        <is>
          <t>対応</t>
        </is>
      </c>
    </row>
    <row r="29">
      <c r="A29" t="n">
        <v>1</v>
      </c>
      <c r="B29" s="5" t="inlineStr">
        <is>
          <t>アンケートの発送が工程案の令和8年8月上旬に間に合わない</t>
        </is>
      </c>
      <c r="C29" s="5" t="inlineStr">
        <is>
          <t>回収期間または集計期間が圧縮され、報告書・計画書の工程に波及する</t>
        </is>
      </c>
      <c r="D29" s="5" t="inlineStr">
        <is>
          <t>印刷仕様を確定し、宛名ラベルの提供日を村と合意する。遅延が確定した場合は回収期間を維持して集計以降を短縮する</t>
        </is>
      </c>
    </row>
    <row r="30">
      <c r="A30" t="n">
        <v>2</v>
      </c>
      <c r="B30" s="5" t="inlineStr">
        <is>
          <t>村の実績データが29件中21件未受領</t>
        </is>
      </c>
      <c r="C30" s="5" t="inlineStr">
        <is>
          <t>現行計画の評価、成果目標の現状値、見込量、給付費のいずれも確定できない</t>
        </is>
      </c>
      <c r="D30" s="5" t="inlineStr">
        <is>
          <t>最優先6件について9月末までの回答を求める。とくに年齢別・サービス別の匿名利用者一覧が個別積上げの前提となる</t>
        </is>
      </c>
    </row>
    <row r="31">
      <c r="A31" t="n">
        <v>3</v>
      </c>
      <c r="B31" s="5" t="inlineStr">
        <is>
          <t>第4次障がい者計画の1指標が測定できない</t>
        </is>
      </c>
      <c r="C31" s="5" t="inlineStr">
        <is>
          <t>「外出目的が趣味・スポーツ・グループ活動である人の割合（28.1％→40％）」。確定版に外出の目的を問う設問がなく、最も近い問42は意向のため前回値と接続できない</t>
        </is>
      </c>
      <c r="D31" s="5" t="inlineStr">
        <is>
          <t>指標の測定方法の変更は改定対象外の計画に関わる村の判断事項。代理指標（問42で趣味・スポーツ等を選んだ割合）への切替えを提案し、村と再協議する（クロス集計設計 S-1）</t>
        </is>
      </c>
    </row>
    <row r="32">
      <c r="A32" t="n">
        <v>4</v>
      </c>
      <c r="B32" s="5" t="inlineStr">
        <is>
          <t>調査対象者数が確定していない</t>
        </is>
      </c>
      <c r="C32" s="5" t="inlineStr">
        <is>
          <t>回収率の分母、管理番号の設計、手帳所持者数の将来推計の起点が定まらない</t>
        </is>
      </c>
      <c r="D32" s="5" t="inlineStr">
        <is>
          <t>仕様書の約190人と現行計画の156人の差の理由を発送前に村へ確認する</t>
        </is>
      </c>
    </row>
    <row r="33">
      <c r="A33" t="n">
        <v>5</v>
      </c>
      <c r="B33" s="5" t="inlineStr">
        <is>
          <t>印刷仕様が仕様書と乖離している</t>
        </is>
      </c>
      <c r="C33" s="5" t="inlineStr">
        <is>
          <t>部数・単価の精算根拠が定まらない</t>
        </is>
      </c>
      <c r="D33" s="5" t="inlineStr">
        <is>
          <t>仕様書はA4判・約24頁・黒1色の1種類だが実際は2種類。頁数・種類数・部数・単価の取扱いを村と協議し、結果を書面で残す</t>
        </is>
      </c>
    </row>
    <row r="34">
      <c r="A34" t="n">
        <v>6</v>
      </c>
      <c r="B34" s="5" t="inlineStr">
        <is>
          <t>1年以上長期入院者の実数が把握できていない</t>
        </is>
      </c>
      <c r="C34" s="5" t="inlineStr">
        <is>
          <t>成果目標（２）の基盤整備量を告示別表第四の式で算定できない</t>
        </is>
      </c>
      <c r="D34" s="5" t="inlineStr">
        <is>
          <t>村及び会津保健所へ照会中。ReMHRADで把握できるのは入院期間を問わない在院患者数までで、1年以上の内訳と年齢区分は公表データにない</t>
        </is>
      </c>
    </row>
    <row r="35">
      <c r="A35" t="n">
        <v>7</v>
      </c>
      <c r="B35" s="5" t="inlineStr">
        <is>
          <t>自立支援協議会の開催時期が未定</t>
        </is>
      </c>
      <c r="C35" s="5" t="inlineStr">
        <is>
          <t>素案の合意時期が定まらず、パブリックコメント・印刷の日程も引けない</t>
        </is>
      </c>
      <c r="D35" s="5" t="inlineStr">
        <is>
          <t>仕様書は開催1回程度を見込む。評価・素案・計画案の3段階を1回に集約する場合の構成を村と協議する</t>
        </is>
      </c>
    </row>
    <row r="37">
      <c r="A37" s="2" t="inlineStr">
        <is>
          <t>■ 直近のマイルストーン</t>
        </is>
      </c>
    </row>
    <row r="38">
      <c r="A38" s="6" t="inlineStr">
        <is>
          <t>時期</t>
        </is>
      </c>
      <c r="B38" s="6" t="inlineStr">
        <is>
          <t>内容</t>
        </is>
      </c>
      <c r="C38" s="6" t="inlineStr">
        <is>
          <t>状態</t>
        </is>
      </c>
      <c r="D38" s="6" t="inlineStr">
        <is>
          <t>前提</t>
        </is>
      </c>
    </row>
    <row r="39">
      <c r="A39" t="inlineStr">
        <is>
          <t>令和8年8月中</t>
        </is>
      </c>
      <c r="B39" s="5" t="inlineStr">
        <is>
          <t>印刷仕様の確定、宛名ラベルの受領、対象者数の確定、調査票への設問追加の可否</t>
        </is>
      </c>
      <c r="C39" s="7" t="inlineStr">
        <is>
          <t>要対応</t>
        </is>
      </c>
      <c r="D39" s="5" t="inlineStr">
        <is>
          <t>村の回答。既に期限を超過している</t>
        </is>
      </c>
    </row>
    <row r="40">
      <c r="A40" t="inlineStr">
        <is>
          <t>令和8年8〜9月</t>
        </is>
      </c>
      <c r="B40" s="5" t="inlineStr">
        <is>
          <t>アンケートの発送・回収</t>
        </is>
      </c>
      <c r="C40" s="7" t="inlineStr">
        <is>
          <t>要対応</t>
        </is>
      </c>
      <c r="D40" s="5" t="inlineStr">
        <is>
          <t>上記3点の確定</t>
        </is>
      </c>
    </row>
    <row r="41">
      <c r="A41" t="inlineStr">
        <is>
          <t>令和8年9月</t>
        </is>
      </c>
      <c r="B41" s="5" t="inlineStr">
        <is>
          <t>村実績データの受領（最優先6件）</t>
        </is>
      </c>
      <c r="C41" s="8" t="inlineStr">
        <is>
          <t>データ待ち</t>
        </is>
      </c>
      <c r="D41" s="5" t="inlineStr">
        <is>
          <t>村の回答</t>
        </is>
      </c>
    </row>
    <row r="42">
      <c r="A42" t="inlineStr">
        <is>
          <t>令和8年10月</t>
        </is>
      </c>
      <c r="B42" s="5" t="inlineStr">
        <is>
          <t>集計 → 現行計画の評価の確定</t>
        </is>
      </c>
      <c r="C42" s="9" t="inlineStr">
        <is>
          <t>未着手</t>
        </is>
      </c>
      <c r="D42" s="5" t="inlineStr">
        <is>
          <t>アンケートの回収</t>
        </is>
      </c>
    </row>
    <row r="43">
      <c r="A43" t="inlineStr">
        <is>
          <t>令和8年11月</t>
        </is>
      </c>
      <c r="B43" s="5" t="inlineStr">
        <is>
          <t>見込量・成果目標・給付費の確定</t>
        </is>
      </c>
      <c r="C43" s="9" t="inlineStr">
        <is>
          <t>未着手</t>
        </is>
      </c>
      <c r="D43" s="5" t="inlineStr">
        <is>
          <t>実績データの受領。算式は実装済み</t>
        </is>
      </c>
    </row>
    <row r="44">
      <c r="A44" t="inlineStr">
        <is>
          <t>令和8年12月</t>
        </is>
      </c>
      <c r="B44" s="5" t="inlineStr">
        <is>
          <t>素案の確定、自立支援協議会</t>
        </is>
      </c>
      <c r="C44" s="9" t="inlineStr">
        <is>
          <t>未着手</t>
        </is>
      </c>
      <c r="D44" s="5" t="inlineStr">
        <is>
          <t>開催時期が未定</t>
        </is>
      </c>
    </row>
    <row r="45">
      <c r="A45" t="inlineStr">
        <is>
          <t>令和9年1月</t>
        </is>
      </c>
      <c r="B45" s="5" t="inlineStr">
        <is>
          <t>パブリックコメント、調査結果報告書</t>
        </is>
      </c>
      <c r="C45" s="9" t="inlineStr">
        <is>
          <t>未着手</t>
        </is>
      </c>
      <c r="D45" s="5" t="inlineStr">
        <is>
          <t>素案の確定</t>
        </is>
      </c>
    </row>
    <row r="46">
      <c r="A46" t="inlineStr">
        <is>
          <t>令和9年2月</t>
        </is>
      </c>
      <c r="B46" s="5" t="inlineStr">
        <is>
          <t>意見への対応、原稿確定、組版</t>
        </is>
      </c>
      <c r="C46" s="9" t="inlineStr">
        <is>
          <t>未着手</t>
        </is>
      </c>
      <c r="D46" s="5" t="inlineStr">
        <is>
          <t>パブコメの終了</t>
        </is>
      </c>
    </row>
    <row r="47">
      <c r="A47" t="inlineStr">
        <is>
          <t>令和9年3月31日</t>
        </is>
      </c>
      <c r="B47" s="5" t="inlineStr">
        <is>
          <t>納品（業務期間の末日）</t>
        </is>
      </c>
      <c r="C47" s="9" t="inlineStr">
        <is>
          <t>未着手</t>
        </is>
      </c>
      <c r="D47" s="5" t="inlineStr">
        <is>
          <t>全成果品の完成</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7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42" customWidth="1" min="4" max="4"/>
    <col width="20" customWidth="1" min="5" max="5"/>
    <col width="12" customWidth="1" min="6" max="6"/>
    <col width="11" customWidth="1" min="7" max="7"/>
    <col width="11" customWidth="1" min="8" max="8"/>
    <col width="11" customWidth="1" min="9" max="9"/>
    <col width="8" customWidth="1" min="10" max="10"/>
    <col width="6" customWidth="1" min="11" max="11"/>
    <col width="52" customWidth="1" min="12" max="12"/>
    <col width="46" customWidth="1" min="13" max="13"/>
  </cols>
  <sheetData>
    <row r="1">
      <c r="A1" s="10" t="inlineStr">
        <is>
          <t>段階</t>
        </is>
      </c>
      <c r="B1" s="10" t="inlineStr">
        <is>
          <t>No</t>
        </is>
      </c>
      <c r="C1" s="10" t="inlineStr">
        <is>
          <t>作業</t>
        </is>
      </c>
      <c r="D1" s="10" t="inlineStr">
        <is>
          <t>内容</t>
        </is>
      </c>
      <c r="E1" s="10" t="inlineStr">
        <is>
          <t>仕様書根拠</t>
        </is>
      </c>
      <c r="F1" s="10" t="inlineStr">
        <is>
          <t>担当</t>
        </is>
      </c>
      <c r="G1" s="10" t="inlineStr">
        <is>
          <t>予定開始</t>
        </is>
      </c>
      <c r="H1" s="10" t="inlineStr">
        <is>
          <t>予定完了</t>
        </is>
      </c>
      <c r="I1" s="10" t="inlineStr">
        <is>
          <t>状態</t>
        </is>
      </c>
      <c r="J1" s="10" t="inlineStr">
        <is>
          <t>進捗率</t>
        </is>
      </c>
      <c r="K1" s="10" t="inlineStr">
        <is>
          <t>重み</t>
        </is>
      </c>
      <c r="L1" s="10" t="inlineStr">
        <is>
          <t>実績・根拠</t>
        </is>
      </c>
      <c r="M1" s="10" t="inlineStr">
        <is>
          <t>前提条件・ブロッカー</t>
        </is>
      </c>
    </row>
    <row r="2">
      <c r="A2" s="5" t="inlineStr">
        <is>
          <t>P1 準備・現状把握</t>
        </is>
      </c>
      <c r="B2" s="11" t="inlineStr">
        <is>
          <t>1-1</t>
        </is>
      </c>
      <c r="C2" s="5" t="inlineStr">
        <is>
          <t>契約・受注範囲の確定</t>
        </is>
      </c>
      <c r="D2" s="5" t="inlineStr">
        <is>
          <t>仕様書の条項を分解し、契約上の受注範囲と打合せで合意した運用の差を突合</t>
        </is>
      </c>
      <c r="E2" s="5" t="inlineStr">
        <is>
          <t>仕様書全般</t>
        </is>
      </c>
      <c r="F2" s="11" t="inlineStr">
        <is>
          <t>受託者</t>
        </is>
      </c>
      <c r="G2" s="11" t="inlineStr">
        <is>
          <t>2026-06</t>
        </is>
      </c>
      <c r="H2" s="11" t="inlineStr">
        <is>
          <t>2026-08</t>
        </is>
      </c>
      <c r="I2" s="12" t="inlineStr">
        <is>
          <t>完了</t>
        </is>
      </c>
      <c r="J2" s="11" t="n">
        <v>100</v>
      </c>
      <c r="K2" s="11" t="n">
        <v>3</v>
      </c>
      <c r="L2" s="5" t="inlineStr">
        <is>
          <t>受注内容整理（docs/北塩原村_第8期障がい福祉計画_受注内容整理.md）。仕様書の要求を条項単位で33項目に分解</t>
        </is>
      </c>
      <c r="M2" s="5" t="inlineStr">
        <is>
          <t>―</t>
        </is>
      </c>
    </row>
    <row r="3">
      <c r="A3" s="5" t="inlineStr">
        <is>
          <t>P1 準備・現状把握</t>
        </is>
      </c>
      <c r="B3" s="11" t="inlineStr">
        <is>
          <t>1-2</t>
        </is>
      </c>
      <c r="C3" s="5" t="inlineStr">
        <is>
          <t>現行計画本編の確認</t>
        </is>
      </c>
      <c r="D3" s="5" t="inlineStr">
        <is>
          <t>第4次障がい者計画・第7期障がい福祉計画・第3期障がい児福祉計画（63頁）の構成・成果目標7区分・見込量・施策目標値の把握</t>
        </is>
      </c>
      <c r="E3" s="5" t="inlineStr">
        <is>
          <t>仕様書4-Ⅱ(2)</t>
        </is>
      </c>
      <c r="F3" s="11" t="inlineStr">
        <is>
          <t>受託者</t>
        </is>
      </c>
      <c r="G3" s="11" t="inlineStr">
        <is>
          <t>2026-08</t>
        </is>
      </c>
      <c r="H3" s="11" t="inlineStr">
        <is>
          <t>2026-08</t>
        </is>
      </c>
      <c r="I3" s="12" t="inlineStr">
        <is>
          <t>完了</t>
        </is>
      </c>
      <c r="J3" s="11" t="n">
        <v>100</v>
      </c>
      <c r="K3" s="11" t="n">
        <v>3</v>
      </c>
      <c r="L3" s="5" t="inlineStr">
        <is>
          <t>受領による確認と訂正（docs/北塩原村_現行計画本編_受領による確認と訂正.md）。推定していた9件を実測値に置換し、誤りを4件訂正</t>
        </is>
      </c>
      <c r="M3" s="5" t="inlineStr">
        <is>
          <t>―</t>
        </is>
      </c>
    </row>
    <row r="4">
      <c r="A4" s="5" t="inlineStr">
        <is>
          <t>P1 準備・現状把握</t>
        </is>
      </c>
      <c r="B4" s="11" t="inlineStr">
        <is>
          <t>1-3</t>
        </is>
      </c>
      <c r="C4" s="5" t="inlineStr">
        <is>
          <t>改定対象の切り分け</t>
        </is>
      </c>
      <c r="D4" s="5" t="inlineStr">
        <is>
          <t>第4次障がい者計画（令和6〜11年度）は継続中で改定対象外。基本理念・基本目標を継承する整合記述にとどめる範囲を確定</t>
        </is>
      </c>
      <c r="E4" s="5" t="inlineStr">
        <is>
          <t>仕様書1・2</t>
        </is>
      </c>
      <c r="F4" s="11" t="inlineStr">
        <is>
          <t>受託者</t>
        </is>
      </c>
      <c r="G4" s="11" t="inlineStr">
        <is>
          <t>2026-08</t>
        </is>
      </c>
      <c r="H4" s="11" t="inlineStr">
        <is>
          <t>2026-08</t>
        </is>
      </c>
      <c r="I4" s="12" t="inlineStr">
        <is>
          <t>完了</t>
        </is>
      </c>
      <c r="J4" s="11" t="n">
        <v>100</v>
      </c>
      <c r="K4" s="11" t="n">
        <v>2</v>
      </c>
      <c r="L4" s="5" t="inlineStr">
        <is>
          <t>骨子案修正版 第3章を「参考」から本計画の内容へ再構成。仕様書4-Ⅱ(5)①②の記載事項を措置</t>
        </is>
      </c>
      <c r="M4" s="5" t="inlineStr">
        <is>
          <t>―</t>
        </is>
      </c>
    </row>
    <row r="5">
      <c r="A5" s="5" t="inlineStr">
        <is>
          <t>P1 準備・現状把握</t>
        </is>
      </c>
      <c r="B5" s="11" t="inlineStr">
        <is>
          <t>1-4</t>
        </is>
      </c>
      <c r="C5" s="5" t="inlineStr">
        <is>
          <t>村への資料依頼の一本化</t>
        </is>
      </c>
      <c r="D5" s="5" t="inlineStr">
        <is>
          <t>各推計ブックに分散していた村確認事項を横断で一本化し、優先度・希望期限を付す</t>
        </is>
      </c>
      <c r="E5" s="5" t="inlineStr">
        <is>
          <t>―</t>
        </is>
      </c>
      <c r="F5" s="11" t="inlineStr">
        <is>
          <t>受託者</t>
        </is>
      </c>
      <c r="G5" s="11" t="inlineStr">
        <is>
          <t>2026-08</t>
        </is>
      </c>
      <c r="H5" s="11" t="inlineStr">
        <is>
          <t>2026-08</t>
        </is>
      </c>
      <c r="I5" s="12" t="inlineStr">
        <is>
          <t>完了</t>
        </is>
      </c>
      <c r="J5" s="11" t="n">
        <v>100</v>
      </c>
      <c r="K5" s="11" t="n">
        <v>2</v>
      </c>
      <c r="L5" s="5" t="inlineStr">
        <is>
          <t>業務進捗管理 04_村資料受領状況（29件）。最優先6件・高10件</t>
        </is>
      </c>
      <c r="M5" s="5" t="inlineStr">
        <is>
          <t>―</t>
        </is>
      </c>
    </row>
    <row r="6">
      <c r="A6" s="5" t="inlineStr">
        <is>
          <t>P1 準備・現状把握</t>
        </is>
      </c>
      <c r="B6" s="11" t="inlineStr">
        <is>
          <t>1-5</t>
        </is>
      </c>
      <c r="C6" s="5" t="inlineStr">
        <is>
          <t>村資料の受領</t>
        </is>
      </c>
      <c r="D6" s="5" t="inlineStr">
        <is>
          <t>依頼29件の受領。実績データ・匿名利用者一覧・年齢階級別人口ほか</t>
        </is>
      </c>
      <c r="E6" s="5" t="inlineStr">
        <is>
          <t>―</t>
        </is>
      </c>
      <c r="F6" s="11" t="inlineStr">
        <is>
          <t>北塩原村</t>
        </is>
      </c>
      <c r="G6" s="11" t="inlineStr">
        <is>
          <t>2026-08</t>
        </is>
      </c>
      <c r="H6" s="11" t="inlineStr">
        <is>
          <t>2026-10</t>
        </is>
      </c>
      <c r="I6" s="13" t="inlineStr">
        <is>
          <t>データ待ち</t>
        </is>
      </c>
      <c r="J6" s="11" t="n">
        <v>25</v>
      </c>
      <c r="K6" s="11" t="n">
        <v>5</v>
      </c>
      <c r="L6" s="5" t="inlineStr">
        <is>
          <t>受領済4件・一部受領3件・県照会中1件・未受領21件。令和8年8月の調査票朱書きで実データ9件が判明</t>
        </is>
      </c>
      <c r="M6" s="5" t="inlineStr">
        <is>
          <t>村の回答。P3・P6・P7のほぼ全てがこれに依存する</t>
        </is>
      </c>
    </row>
    <row r="7">
      <c r="A7" s="5" t="inlineStr">
        <is>
          <t>P1 準備・現状把握</t>
        </is>
      </c>
      <c r="B7" s="11" t="inlineStr">
        <is>
          <t>1-6</t>
        </is>
      </c>
      <c r="C7" s="5" t="inlineStr">
        <is>
          <t>打合せ等業務</t>
        </is>
      </c>
      <c r="D7" s="5" t="inlineStr">
        <is>
          <t>電話・面談（オンライン・対面）による協議。議事録の作成</t>
        </is>
      </c>
      <c r="E7" s="5" t="inlineStr">
        <is>
          <t>仕様書4-Ⅲ</t>
        </is>
      </c>
      <c r="F7" s="11" t="inlineStr">
        <is>
          <t>受託者</t>
        </is>
      </c>
      <c r="G7" s="11" t="inlineStr">
        <is>
          <t>2026-06</t>
        </is>
      </c>
      <c r="H7" s="11" t="inlineStr">
        <is>
          <t>2027-03</t>
        </is>
      </c>
      <c r="I7" s="14" t="inlineStr">
        <is>
          <t>進行中</t>
        </is>
      </c>
      <c r="J7" s="11" t="n">
        <v>40</v>
      </c>
      <c r="K7" s="11" t="n">
        <v>2</v>
      </c>
      <c r="L7" s="5" t="inlineStr">
        <is>
          <t>令和8年7月7日打合せの議事録。以降の協議事項を進捗管理に反映</t>
        </is>
      </c>
      <c r="M7" s="5" t="inlineStr">
        <is>
          <t>次回打合せの設定。発送前の確認事項を議題とする</t>
        </is>
      </c>
    </row>
    <row r="8">
      <c r="A8" s="5" t="inlineStr">
        <is>
          <t>P1 準備・現状把握</t>
        </is>
      </c>
      <c r="B8" s="11" t="inlineStr">
        <is>
          <t>1-7</t>
        </is>
      </c>
      <c r="C8" s="5" t="inlineStr">
        <is>
          <t>成果物の再現性確保</t>
        </is>
      </c>
      <c r="D8" s="5" t="inlineStr">
        <is>
          <t>成果物を作り直せる状態（生成器・原本・必要なライブラリ）がすべてリポジトリに残っていることを機械で点検する仕組みの整備</t>
        </is>
      </c>
      <c r="E8" s="5" t="inlineStr">
        <is>
          <t>仕様書4-Ⅳ（成果品の納入）</t>
        </is>
      </c>
      <c r="F8" s="11" t="inlineStr">
        <is>
          <t>受託者</t>
        </is>
      </c>
      <c r="G8" s="11" t="inlineStr">
        <is>
          <t>2026-10</t>
        </is>
      </c>
      <c r="H8" s="11" t="inlineStr">
        <is>
          <t>2027-03</t>
        </is>
      </c>
      <c r="I8" s="14" t="inlineStr">
        <is>
          <t>進行中</t>
        </is>
      </c>
      <c r="J8" s="11" t="n">
        <v>90</v>
      </c>
      <c r="K8" s="11" t="n">
        <v>2</v>
      </c>
      <c r="L8" s="5" t="inlineStr">
        <is>
          <t>check_reproducibility.py を整備し7項目を点検。生成器23本・成果物35点の対応表を依存順に明記。全22本の再実行で34/34点が内容一致。別の場所に複製した状態でも全項目合格を確認（docs/北塩原村_成果物の再現性点検と再発防止.md）</t>
        </is>
      </c>
      <c r="M8" s="5" t="inlineStr">
        <is>
          <t>―（納品まで節目ごとに再実行する）</t>
        </is>
      </c>
    </row>
    <row r="9">
      <c r="A9" s="5" t="inlineStr">
        <is>
          <t>P1 準備・現状把握</t>
        </is>
      </c>
      <c r="B9" s="11" t="inlineStr">
        <is>
          <t>1-8</t>
        </is>
      </c>
      <c r="C9" s="5" t="inlineStr">
        <is>
          <t>福島県の障がい計画との整合の確認</t>
        </is>
      </c>
      <c r="D9" s="5" t="inlineStr">
        <is>
          <t>県の障がい者計画・障がい福祉計画・障がい児福祉計画を確認し、計画期間・区域の設定・成果目標・圏域計画との整合を計画素案に反映する</t>
        </is>
      </c>
      <c r="E9" s="5" t="inlineStr">
        <is>
          <t>基本指針 第三の一の5・7</t>
        </is>
      </c>
      <c r="F9" s="11" t="inlineStr">
        <is>
          <t>受託者</t>
        </is>
      </c>
      <c r="G9" s="11" t="inlineStr">
        <is>
          <t>2026-10</t>
        </is>
      </c>
      <c r="H9" s="11" t="inlineStr">
        <is>
          <t>2027-01</t>
        </is>
      </c>
      <c r="I9" s="14" t="inlineStr">
        <is>
          <t>進行中</t>
        </is>
      </c>
      <c r="J9" s="11" t="n">
        <v>85</v>
      </c>
      <c r="K9" s="11" t="n">
        <v>2</v>
      </c>
      <c r="L9" s="5" t="inlineStr">
        <is>
          <t>北塩原村_福島県計画との整合.xlsx（7シート）。第7期県計画（令和6年3月・206頁）が source/精神保健 にあり、令和8年10月8日に県の概要2点と本文テキストを受領（source/県計画）。県が定める区域は会津障がい保健福祉圏域（2市8町3村）で、本計画がいう会津北部圏域（4町村）とは範囲が異なることを特定。一方で県計画の会津圏域計画が地域生活支援拠点として「会津北部」を挙げており、本計画の前提は県計画と整合することも確認。基幹相談支援センターは県全体59市町村（令和4年度実績44市町村）・会津圏域13市町村が目標だが圏域の設置は2か所にとどまる。計画素案 第1章2に3節、第4章（4）（6）・第5章8に圏域の現況を反映</t>
        </is>
      </c>
      <c r="M9" s="5" t="inlineStr">
        <is>
          <t>県障がい者計画（第5次）の計画期間（Q-7）と第8期県計画の策定時期・基盤整備量の算定値（Q-5）の確認</t>
        </is>
      </c>
    </row>
    <row r="10">
      <c r="A10" s="5" t="inlineStr">
        <is>
          <t>P2 基礎調査</t>
        </is>
      </c>
      <c r="B10" s="11" t="inlineStr">
        <is>
          <t>2-1</t>
        </is>
      </c>
      <c r="C10" s="5" t="inlineStr">
        <is>
          <t>国の基本指針の確認と原典照合</t>
        </is>
      </c>
      <c r="D10" s="5" t="inlineStr">
        <is>
          <t>令和8年3月31日告示（こども家庭庁・厚生労働省告示第4号）の本文・新旧対照表により、成果目標8区分の国基準数値と別表第一〜第五を条項単位で照合</t>
        </is>
      </c>
      <c r="E10" s="5" t="inlineStr">
        <is>
          <t>仕様書4-Ⅱ(1)</t>
        </is>
      </c>
      <c r="F10" s="11" t="inlineStr">
        <is>
          <t>受託者</t>
        </is>
      </c>
      <c r="G10" s="11" t="inlineStr">
        <is>
          <t>2026-08</t>
        </is>
      </c>
      <c r="H10" s="11" t="inlineStr">
        <is>
          <t>2026-08</t>
        </is>
      </c>
      <c r="I10" s="12" t="inlineStr">
        <is>
          <t>完了</t>
        </is>
      </c>
      <c r="J10" s="11" t="n">
        <v>100</v>
      </c>
      <c r="K10" s="11" t="n">
        <v>5</v>
      </c>
      <c r="L10" s="5" t="inlineStr">
        <is>
          <t>国基準数値 原典照合結果（docs/北塩原村_国基準数値_原典照合結果.md）。骨子案の≪国の基本指針≫欄8か所を告示本文で全面差替</t>
        </is>
      </c>
      <c r="M10" s="5" t="inlineStr">
        <is>
          <t>―</t>
        </is>
      </c>
    </row>
    <row r="11">
      <c r="A11" s="5" t="inlineStr">
        <is>
          <t>P2 基礎調査</t>
        </is>
      </c>
      <c r="B11" s="11" t="inlineStr">
        <is>
          <t>2-2</t>
        </is>
      </c>
      <c r="C11" s="5" t="inlineStr">
        <is>
          <t>法制度の改正動向の整理</t>
        </is>
      </c>
      <c r="D11" s="5" t="inlineStr">
        <is>
          <t>障害者総合支援法・児童福祉法の改正動向、就労選択支援の創設、令和8年度報酬改定（処遇改善加算拡充・B型基本報酬区分見直し）</t>
        </is>
      </c>
      <c r="E11" s="5" t="inlineStr">
        <is>
          <t>仕様書4-Ⅱ(1)</t>
        </is>
      </c>
      <c r="F11" s="11" t="inlineStr">
        <is>
          <t>受託者</t>
        </is>
      </c>
      <c r="G11" s="11" t="inlineStr">
        <is>
          <t>2026-08</t>
        </is>
      </c>
      <c r="H11" s="11" t="inlineStr">
        <is>
          <t>2026-08</t>
        </is>
      </c>
      <c r="I11" s="12" t="inlineStr">
        <is>
          <t>完了</t>
        </is>
      </c>
      <c r="J11" s="11" t="n">
        <v>100</v>
      </c>
      <c r="K11" s="11" t="n">
        <v>3</v>
      </c>
      <c r="L11" s="5" t="inlineStr">
        <is>
          <t>骨子案修正版 第1章4（基本指針の見直し16項目）。報酬改定資料3点を source/報酬改定 に保存</t>
        </is>
      </c>
      <c r="M11" s="5" t="inlineStr">
        <is>
          <t>―</t>
        </is>
      </c>
    </row>
    <row r="12">
      <c r="A12" s="5" t="inlineStr">
        <is>
          <t>P2 基礎調査</t>
        </is>
      </c>
      <c r="B12" s="11" t="inlineStr">
        <is>
          <t>2-3</t>
        </is>
      </c>
      <c r="C12" s="5" t="inlineStr">
        <is>
          <t>福島県計画等の関連資料の収集</t>
        </is>
      </c>
      <c r="D12" s="5" t="inlineStr">
        <is>
          <t>福島県障がい福祉計画（第7期）本編、県の精神医療指標、県内の過疎・中山間地域の指定状況</t>
        </is>
      </c>
      <c r="E12" s="5" t="inlineStr">
        <is>
          <t>仕様書4-Ⅱ(1)</t>
        </is>
      </c>
      <c r="F12" s="11" t="inlineStr">
        <is>
          <t>受託者</t>
        </is>
      </c>
      <c r="G12" s="11" t="inlineStr">
        <is>
          <t>2026-08</t>
        </is>
      </c>
      <c r="H12" s="11" t="inlineStr">
        <is>
          <t>2026-08</t>
        </is>
      </c>
      <c r="I12" s="12" t="inlineStr">
        <is>
          <t>完了</t>
        </is>
      </c>
      <c r="J12" s="11" t="n">
        <v>100</v>
      </c>
      <c r="K12" s="11" t="n">
        <v>3</v>
      </c>
      <c r="L12" s="5" t="inlineStr">
        <is>
          <t>福島県_精神医療指標抽出.xlsx（7シート）。本村は過疎法第2条により全域が過疎地域と確定し、別表第五の適用対象外を判定</t>
        </is>
      </c>
      <c r="M12" s="5" t="inlineStr">
        <is>
          <t>―</t>
        </is>
      </c>
    </row>
    <row r="13">
      <c r="A13" s="5" t="inlineStr">
        <is>
          <t>P2 基礎調査</t>
        </is>
      </c>
      <c r="B13" s="11" t="inlineStr">
        <is>
          <t>2-4</t>
        </is>
      </c>
      <c r="C13" s="5" t="inlineStr">
        <is>
          <t>村の関連計画との整合</t>
        </is>
      </c>
      <c r="D13" s="5" t="inlineStr">
        <is>
          <t>第5次総合振興計画、第3次健康21、地域福祉計画、こども・子育て計画、第9期高齢者福祉計画・介護保険事業計画</t>
        </is>
      </c>
      <c r="E13" s="5" t="inlineStr">
        <is>
          <t>仕様書4-Ⅱ(5)</t>
        </is>
      </c>
      <c r="F13" s="11" t="inlineStr">
        <is>
          <t>受託者</t>
        </is>
      </c>
      <c r="G13" s="11" t="inlineStr">
        <is>
          <t>2026-08</t>
        </is>
      </c>
      <c r="H13" s="11" t="inlineStr">
        <is>
          <t>2026-10</t>
        </is>
      </c>
      <c r="I13" s="14" t="inlineStr">
        <is>
          <t>進行中</t>
        </is>
      </c>
      <c r="J13" s="11" t="n">
        <v>60</v>
      </c>
      <c r="K13" s="11" t="n">
        <v>2</v>
      </c>
      <c r="L13" s="5" t="inlineStr">
        <is>
          <t>骨子案修正版 第7章（他計画との連携）。こども家庭センターとの相談導線を追記</t>
        </is>
      </c>
      <c r="M13" s="5" t="inlineStr">
        <is>
          <t>第5次総合振興計画たたき台ほか3計画が未受領</t>
        </is>
      </c>
    </row>
    <row r="14">
      <c r="A14" s="5" t="inlineStr">
        <is>
          <t>P2 基礎調査</t>
        </is>
      </c>
      <c r="B14" s="11" t="inlineStr">
        <is>
          <t>2-5</t>
        </is>
      </c>
      <c r="C14" s="5" t="inlineStr">
        <is>
          <t>実態調査及びPDCAサイクルに関するマニュアルの確認</t>
        </is>
      </c>
      <c r="D14" s="5" t="inlineStr">
        <is>
          <t>令和8年8月に国が改定したマニュアル（全81頁）を読み、調査票の標準項目・見込量の推計方法・PDCAサイクルの要求水準を成果物と突合</t>
        </is>
      </c>
      <c r="E14" s="5" t="inlineStr">
        <is>
          <t>仕様書4-Ⅱ(1)</t>
        </is>
      </c>
      <c r="F14" s="11" t="inlineStr">
        <is>
          <t>受託者</t>
        </is>
      </c>
      <c r="G14" s="11" t="inlineStr">
        <is>
          <t>2026-08</t>
        </is>
      </c>
      <c r="H14" s="11" t="inlineStr">
        <is>
          <t>2026-08</t>
        </is>
      </c>
      <c r="I14" s="12" t="inlineStr">
        <is>
          <t>完了</t>
        </is>
      </c>
      <c r="J14" s="11" t="n">
        <v>100</v>
      </c>
      <c r="K14" s="11" t="n">
        <v>4</v>
      </c>
      <c r="L14" s="5" t="inlineStr">
        <is>
          <t>確認結果（docs/北塩原村_実態調査PDCAマニュアル_確認結果.md）。別表第五の適用外判定が国の文書で裏付けられた。調査票の欠落3件（外出の目的・介護保険の利用状況・強度行動障害の該当有無）が国の標準項目であることを確認し、骨子案 第1章6・第5章1へ反映</t>
        </is>
      </c>
      <c r="M14" s="5" t="inlineStr">
        <is>
          <t>―</t>
        </is>
      </c>
    </row>
    <row r="15">
      <c r="A15" s="5" t="inlineStr">
        <is>
          <t>P2 基礎調査</t>
        </is>
      </c>
      <c r="B15" s="11" t="inlineStr">
        <is>
          <t>2-6</t>
        </is>
      </c>
      <c r="C15" s="5" t="inlineStr">
        <is>
          <t>告示後の基本指針改正2件の確認と網羅性のレビュー</t>
        </is>
      </c>
      <c r="D15" s="5" t="inlineStr">
        <is>
          <t>社会福祉法等改正を踏まえた改正（障害者部会 第157回・令和8年7月10日）と、医療的ケア児支援法改正を踏まえた改正（障害児支援部会 第21回・令和8年8月19日）を骨子案・計画素案と突合し、不足項目を洗い出す</t>
        </is>
      </c>
      <c r="E15" s="5" t="inlineStr">
        <is>
          <t>仕様書4-Ⅱ(1)・4-Ⅱ(5)</t>
        </is>
      </c>
      <c r="F15" s="11" t="inlineStr">
        <is>
          <t>受託者</t>
        </is>
      </c>
      <c r="G15" s="11" t="inlineStr">
        <is>
          <t>2026-09</t>
        </is>
      </c>
      <c r="H15" s="11" t="inlineStr">
        <is>
          <t>2026-09</t>
        </is>
      </c>
      <c r="I15" s="12" t="inlineStr">
        <is>
          <t>完了</t>
        </is>
      </c>
      <c r="J15" s="11" t="n">
        <v>100</v>
      </c>
      <c r="K15" s="11" t="n">
        <v>4</v>
      </c>
      <c r="L15" s="5" t="inlineStr">
        <is>
          <t>北塩原村_骨子案レビュー_基本指針網羅性.xlsx（7シート）。別表第二 六の項（人材確保・生産性向上・経営基盤）の新設と、医療的ケア者（成人）の新設を確認。不足14件・村県への確認事項8件を整理</t>
        </is>
      </c>
      <c r="M15" s="5" t="inlineStr">
        <is>
          <t>―</t>
        </is>
      </c>
    </row>
    <row r="16">
      <c r="A16" s="5" t="inlineStr">
        <is>
          <t>P3 統計分析</t>
        </is>
      </c>
      <c r="B16" s="11" t="inlineStr">
        <is>
          <t>3-1</t>
        </is>
      </c>
      <c r="C16" s="5" t="inlineStr">
        <is>
          <t>人口・世帯の分析</t>
        </is>
      </c>
      <c r="D16" s="5" t="inlineStr">
        <is>
          <t>住民基本台帳による人口の推移と、村公式推計による令和11年までの見通し</t>
        </is>
      </c>
      <c r="E16" s="5" t="inlineStr">
        <is>
          <t>仕様書4-Ⅱ(3)①</t>
        </is>
      </c>
      <c r="F16" s="11" t="inlineStr">
        <is>
          <t>受託者</t>
        </is>
      </c>
      <c r="G16" s="11" t="inlineStr">
        <is>
          <t>2026-07</t>
        </is>
      </c>
      <c r="H16" s="11" t="inlineStr">
        <is>
          <t>2026-08</t>
        </is>
      </c>
      <c r="I16" s="12" t="inlineStr">
        <is>
          <t>完了</t>
        </is>
      </c>
      <c r="J16" s="11" t="n">
        <v>100</v>
      </c>
      <c r="K16" s="11" t="n">
        <v>3</v>
      </c>
      <c r="L16" s="5" t="inlineStr">
        <is>
          <t>北塩原村_将来推計.xlsx。令和6年実績2,394人と令和11年公式推計の線形補間</t>
        </is>
      </c>
      <c r="M16" s="5" t="inlineStr">
        <is>
          <t>―</t>
        </is>
      </c>
    </row>
    <row r="17">
      <c r="A17" s="5" t="inlineStr">
        <is>
          <t>P3 統計分析</t>
        </is>
      </c>
      <c r="B17" s="11" t="inlineStr">
        <is>
          <t>3-2</t>
        </is>
      </c>
      <c r="C17" s="5" t="inlineStr">
        <is>
          <t>障がい者手帳所持者数の将来推計</t>
        </is>
      </c>
      <c r="D17" s="5" t="inlineStr">
        <is>
          <t>身体・療育・精神の3区分について3手法で推計し、予測区間と分母感度を検証</t>
        </is>
      </c>
      <c r="E17" s="5" t="inlineStr">
        <is>
          <t>仕様書4-Ⅱ(3)①・4-Ⅱ(5)③</t>
        </is>
      </c>
      <c r="F17" s="11" t="inlineStr">
        <is>
          <t>受託者</t>
        </is>
      </c>
      <c r="G17" s="11" t="inlineStr">
        <is>
          <t>2026-08</t>
        </is>
      </c>
      <c r="H17" s="11" t="inlineStr">
        <is>
          <t>2026-08</t>
        </is>
      </c>
      <c r="I17" s="12" t="inlineStr">
        <is>
          <t>完了</t>
        </is>
      </c>
      <c r="J17" s="11" t="n">
        <v>100</v>
      </c>
      <c r="K17" s="11" t="n">
        <v>5</v>
      </c>
      <c r="L17" s="5" t="inlineStr">
        <is>
          <t>北塩原村_将来推計.xlsx（9シート）。骨子案修正版 第2章6として新設。県との比較シートで採用しなかった代替推計の理由も記録</t>
        </is>
      </c>
      <c r="M17" s="5" t="inlineStr">
        <is>
          <t>年齢階級別の手帳所持者数（未受領）により精度が上がる</t>
        </is>
      </c>
    </row>
    <row r="18">
      <c r="A18" s="5" t="inlineStr">
        <is>
          <t>P3 統計分析</t>
        </is>
      </c>
      <c r="B18" s="11" t="inlineStr">
        <is>
          <t>3-3</t>
        </is>
      </c>
      <c r="C18" s="5" t="inlineStr">
        <is>
          <t>給付実績の整理</t>
        </is>
      </c>
      <c r="D18" s="5" t="inlineStr">
        <is>
          <t>令和2〜7年度の介護給付費・障害児給付費をサービス別に整理</t>
        </is>
      </c>
      <c r="E18" s="5" t="inlineStr">
        <is>
          <t>仕様書4-Ⅱ(2)</t>
        </is>
      </c>
      <c r="F18" s="11" t="inlineStr">
        <is>
          <t>受託者</t>
        </is>
      </c>
      <c r="G18" s="11" t="inlineStr">
        <is>
          <t>2026-08</t>
        </is>
      </c>
      <c r="H18" s="11" t="inlineStr">
        <is>
          <t>2026-08</t>
        </is>
      </c>
      <c r="I18" s="12" t="inlineStr">
        <is>
          <t>完了</t>
        </is>
      </c>
      <c r="J18" s="11" t="n">
        <v>100</v>
      </c>
      <c r="K18" s="11" t="n">
        <v>3</v>
      </c>
      <c r="L18" s="5" t="inlineStr">
        <is>
          <t>北塩原村_障がいサービス給付実績_整理版（6シート）。サービス別内訳と年度合計が原票と一致することを検算済み</t>
        </is>
      </c>
      <c r="M18" s="5" t="inlineStr">
        <is>
          <t>―</t>
        </is>
      </c>
    </row>
    <row r="19">
      <c r="A19" s="5" t="inlineStr">
        <is>
          <t>P3 統計分析</t>
        </is>
      </c>
      <c r="B19" s="11" t="inlineStr">
        <is>
          <t>3-4</t>
        </is>
      </c>
      <c r="C19" s="5" t="inlineStr">
        <is>
          <t>圏域のサービス資源の把握</t>
        </is>
      </c>
      <c r="D19" s="5" t="inlineStr">
        <is>
          <t>ReMHRAD 障害福祉資源18サービスにより、会津北部4町村と近隣市の事業所数を確認</t>
        </is>
      </c>
      <c r="E19" s="5" t="inlineStr">
        <is>
          <t>仕様書4-Ⅱ(3)</t>
        </is>
      </c>
      <c r="F19" s="11" t="inlineStr">
        <is>
          <t>受託者</t>
        </is>
      </c>
      <c r="G19" s="11" t="inlineStr">
        <is>
          <t>2026-08</t>
        </is>
      </c>
      <c r="H19" s="11" t="inlineStr">
        <is>
          <t>2026-08</t>
        </is>
      </c>
      <c r="I19" s="12" t="inlineStr">
        <is>
          <t>完了</t>
        </is>
      </c>
      <c r="J19" s="11" t="n">
        <v>100</v>
      </c>
      <c r="K19" s="11" t="n">
        <v>3</v>
      </c>
      <c r="L19" s="5" t="inlineStr">
        <is>
          <t>北塩原村_圏域サービス資源.xlsx（5シート）。村内に居宅介護1・重度訪問介護1・生活介護1を確認し、「本村には事業所がない」という記述を訂正</t>
        </is>
      </c>
      <c r="M19" s="5" t="inlineStr">
        <is>
          <t>―</t>
        </is>
      </c>
    </row>
    <row r="20">
      <c r="A20" s="5" t="inlineStr">
        <is>
          <t>P3 統計分析</t>
        </is>
      </c>
      <c r="B20" s="11" t="inlineStr">
        <is>
          <t>3-5</t>
        </is>
      </c>
      <c r="C20" s="5" t="inlineStr">
        <is>
          <t>精神障がい者の地域移行に係る分析</t>
        </is>
      </c>
      <c r="D20" s="5" t="inlineStr">
        <is>
          <t>630調査・NDB精神医療指標・ReMHRAD により、県の平均生活日数・再入院率と村の在院者状況を把握</t>
        </is>
      </c>
      <c r="E20" s="5" t="inlineStr">
        <is>
          <t>仕様書4-Ⅱ(3)⑤</t>
        </is>
      </c>
      <c r="F20" s="11" t="inlineStr">
        <is>
          <t>受託者</t>
        </is>
      </c>
      <c r="G20" s="11" t="inlineStr">
        <is>
          <t>2026-08</t>
        </is>
      </c>
      <c r="H20" s="11" t="inlineStr">
        <is>
          <t>2026-09</t>
        </is>
      </c>
      <c r="I20" s="14" t="inlineStr">
        <is>
          <t>進行中</t>
        </is>
      </c>
      <c r="J20" s="11" t="n">
        <v>70</v>
      </c>
      <c r="K20" s="11" t="n">
        <v>4</v>
      </c>
      <c r="L20" s="5" t="inlineStr">
        <is>
          <t>福島県_精神医療指標抽出.xlsx。別表第四のCを令和5年度630調査の2,591人で確定</t>
        </is>
      </c>
      <c r="M20" s="5" t="inlineStr">
        <is>
          <t>令和7年度末時点の1年以上長期入院者の実数と年齢区分（村・会津保健所へ照会中）</t>
        </is>
      </c>
    </row>
    <row r="21">
      <c r="A21" s="5" t="inlineStr">
        <is>
          <t>P3 統計分析</t>
        </is>
      </c>
      <c r="B21" s="11" t="inlineStr">
        <is>
          <t>3-6</t>
        </is>
      </c>
      <c r="C21" s="5" t="inlineStr">
        <is>
          <t>年齢階級別の分析</t>
        </is>
      </c>
      <c r="D21" s="5" t="inlineStr">
        <is>
          <t>身体は0〜17／18〜39／40〜64／65〜74／75歳以上、療育・精神は18歳未満／18〜64／65歳以上</t>
        </is>
      </c>
      <c r="E21" s="5" t="inlineStr">
        <is>
          <t>仕様書4-Ⅱ(3)①</t>
        </is>
      </c>
      <c r="F21" s="11" t="inlineStr">
        <is>
          <t>受託者</t>
        </is>
      </c>
      <c r="G21" s="11" t="inlineStr">
        <is>
          <t>2026-09</t>
        </is>
      </c>
      <c r="H21" s="11" t="inlineStr">
        <is>
          <t>2026-10</t>
        </is>
      </c>
      <c r="I21" s="13" t="inlineStr">
        <is>
          <t>データ待ち</t>
        </is>
      </c>
      <c r="J21" s="11" t="n">
        <v>0</v>
      </c>
      <c r="K21" s="11" t="n">
        <v>3</v>
      </c>
      <c r="L21" s="5" t="inlineStr">
        <is>
          <t>推計の枠は作成済み（将来推計 05）</t>
        </is>
      </c>
      <c r="M21" s="5" t="inlineStr">
        <is>
          <t>年齢階級別の手帳所持者数・人口（村へ依頼中）</t>
        </is>
      </c>
    </row>
    <row r="22">
      <c r="A22" s="5" t="inlineStr">
        <is>
          <t>P4 ニーズ調査</t>
        </is>
      </c>
      <c r="B22" s="11" t="inlineStr">
        <is>
          <t>4-1</t>
        </is>
      </c>
      <c r="C22" s="5" t="inlineStr">
        <is>
          <t>調査対象の抽出</t>
        </is>
      </c>
      <c r="D22" s="5" t="inlineStr">
        <is>
          <t>身体約130人・精神約40人・療育約20人（計約190人）。抽出は委託者が行い、受託者にラベルシールとして提供</t>
        </is>
      </c>
      <c r="E22" s="5" t="inlineStr">
        <is>
          <t>仕様書4-Ⅰ(1)</t>
        </is>
      </c>
      <c r="F22" s="11" t="inlineStr">
        <is>
          <t>北塩原村</t>
        </is>
      </c>
      <c r="G22" s="11" t="inlineStr">
        <is>
          <t>2026-07</t>
        </is>
      </c>
      <c r="H22" s="11" t="inlineStr">
        <is>
          <t>2026-08</t>
        </is>
      </c>
      <c r="I22" s="15" t="inlineStr">
        <is>
          <t>要対応</t>
        </is>
      </c>
      <c r="J22" s="11" t="n">
        <v>0</v>
      </c>
      <c r="K22" s="11" t="n">
        <v>3</v>
      </c>
      <c r="L22" s="5" t="inlineStr">
        <is>
          <t>―</t>
        </is>
      </c>
      <c r="M22" s="5" t="inlineStr">
        <is>
          <t>仕様書の約190人と現行計画の156人（令和5年）の差の理由が未確認。回収率の分母・管理番号の設計に直結する</t>
        </is>
      </c>
    </row>
    <row r="23">
      <c r="A23" s="5" t="inlineStr">
        <is>
          <t>P4 ニーズ調査</t>
        </is>
      </c>
      <c r="B23" s="11" t="inlineStr">
        <is>
          <t>4-2</t>
        </is>
      </c>
      <c r="C23" s="5" t="inlineStr">
        <is>
          <t>調査票の設計</t>
        </is>
      </c>
      <c r="D23" s="5" t="inlineStr">
        <is>
          <t>厚生労働省の調査項目及び村の過去調査を踏まえて設計し、委託者との協議の上決定</t>
        </is>
      </c>
      <c r="E23" s="5" t="inlineStr">
        <is>
          <t>仕様書4-Ⅰ(2)</t>
        </is>
      </c>
      <c r="F23" s="11" t="inlineStr">
        <is>
          <t>受託者</t>
        </is>
      </c>
      <c r="G23" s="11" t="inlineStr">
        <is>
          <t>2026-07</t>
        </is>
      </c>
      <c r="H23" s="11" t="inlineStr">
        <is>
          <t>2026-08</t>
        </is>
      </c>
      <c r="I23" s="12" t="inlineStr">
        <is>
          <t>完了</t>
        </is>
      </c>
      <c r="J23" s="11" t="n">
        <v>100</v>
      </c>
      <c r="K23" s="11" t="n">
        <v>4</v>
      </c>
      <c r="L23" s="5" t="inlineStr">
        <is>
          <t>令和8年8月25日版で確定（障がい者版45問・障がい児版44問）。村の朱書き修正指示40か所は反映済み。原典は source/アンケート/</t>
        </is>
      </c>
      <c r="M23" s="5" t="inlineStr">
        <is>
          <t>―</t>
        </is>
      </c>
    </row>
    <row r="24">
      <c r="A24" s="5" t="inlineStr">
        <is>
          <t>P4 ニーズ調査</t>
        </is>
      </c>
      <c r="B24" s="11" t="inlineStr">
        <is>
          <t>4-3</t>
        </is>
      </c>
      <c r="C24" s="5" t="inlineStr">
        <is>
          <t>障がい特性に応じた配慮</t>
        </is>
      </c>
      <c r="D24" s="5" t="inlineStr">
        <is>
          <t>文字の大きさ・フォント・表現の工夫、ルビ等</t>
        </is>
      </c>
      <c r="E24" s="5" t="inlineStr">
        <is>
          <t>仕様書4-Ⅰ(2)</t>
        </is>
      </c>
      <c r="F24" s="11" t="inlineStr">
        <is>
          <t>受託者</t>
        </is>
      </c>
      <c r="G24" s="11" t="inlineStr">
        <is>
          <t>2026-07</t>
        </is>
      </c>
      <c r="H24" s="11" t="inlineStr">
        <is>
          <t>2026-08</t>
        </is>
      </c>
      <c r="I24" s="14" t="inlineStr">
        <is>
          <t>進行中</t>
        </is>
      </c>
      <c r="J24" s="11" t="n">
        <v>90</v>
      </c>
      <c r="K24" s="11" t="n">
        <v>2</v>
      </c>
      <c r="L24" s="5" t="inlineStr">
        <is>
          <t>14pt程度・ルビ付与・白黒印刷・専門用語への短い解説（7月7日打合せで決定）。村からレスパイトケア・就労継続支援A型B型の用語説明の文言を受領</t>
        </is>
      </c>
      <c r="M24" s="5" t="inlineStr">
        <is>
          <t>最終レイアウトでの表示確認</t>
        </is>
      </c>
    </row>
    <row r="25">
      <c r="A25" s="5" t="inlineStr">
        <is>
          <t>P4 ニーズ調査</t>
        </is>
      </c>
      <c r="B25" s="11" t="inlineStr">
        <is>
          <t>4-4</t>
        </is>
      </c>
      <c r="C25" s="5" t="inlineStr">
        <is>
          <t>ウェブ回答用フォームの作成</t>
        </is>
      </c>
      <c r="D25" s="5" t="inlineStr">
        <is>
          <t>二次元コードを調査票又は依頼状に印字。紙・ウェブの重複回答を管理番号で管理</t>
        </is>
      </c>
      <c r="E25" s="5" t="inlineStr">
        <is>
          <t>仕様書4-Ⅰ(2)</t>
        </is>
      </c>
      <c r="F25" s="11" t="inlineStr">
        <is>
          <t>受託者</t>
        </is>
      </c>
      <c r="G25" s="11" t="inlineStr">
        <is>
          <t>2026-07</t>
        </is>
      </c>
      <c r="H25" s="11" t="inlineStr">
        <is>
          <t>2026-08</t>
        </is>
      </c>
      <c r="I25" s="14" t="inlineStr">
        <is>
          <t>進行中</t>
        </is>
      </c>
      <c r="J25" s="11" t="n">
        <v>85</v>
      </c>
      <c r="K25" s="11" t="n">
        <v>3</v>
      </c>
      <c r="L25" s="5" t="inlineStr">
        <is>
          <t>Googleフォーム自動作成コード（1本統合分岐版）</t>
        </is>
      </c>
      <c r="M25" s="5" t="inlineStr">
        <is>
          <t>枝番設問の選択肢順序の固定。調査票の修正指示の反映後に再生成が必要</t>
        </is>
      </c>
    </row>
    <row r="26">
      <c r="A26" s="5" t="inlineStr">
        <is>
          <t>P4 ニーズ調査</t>
        </is>
      </c>
      <c r="B26" s="11" t="inlineStr">
        <is>
          <t>4-5</t>
        </is>
      </c>
      <c r="C26" s="5" t="inlineStr">
        <is>
          <t>調査票・封筒の印刷</t>
        </is>
      </c>
      <c r="D26" s="5" t="inlineStr">
        <is>
          <t>調査票及び封筒（配布用・回収用）を各々必要部数印刷。仕様はA4判・約24ページ・黒1色</t>
        </is>
      </c>
      <c r="E26" s="5" t="inlineStr">
        <is>
          <t>仕様書4-Ⅰ(3)</t>
        </is>
      </c>
      <c r="F26" s="11" t="inlineStr">
        <is>
          <t>受託者</t>
        </is>
      </c>
      <c r="G26" s="11" t="inlineStr">
        <is>
          <t>2026-08</t>
        </is>
      </c>
      <c r="H26" s="11" t="inlineStr">
        <is>
          <t>2026-08</t>
        </is>
      </c>
      <c r="I26" s="15" t="inlineStr">
        <is>
          <t>要対応</t>
        </is>
      </c>
      <c r="J26" s="11" t="n">
        <v>0</v>
      </c>
      <c r="K26" s="11" t="n">
        <v>3</v>
      </c>
      <c r="L26" s="5" t="inlineStr">
        <is>
          <t>―</t>
        </is>
      </c>
      <c r="M26" s="5" t="inlineStr">
        <is>
          <t>仕様書は約24頁の1種類だが実際は2種類。頁数・種類数・部数・単価の取扱いを村と協議する必要がある</t>
        </is>
      </c>
    </row>
    <row r="27">
      <c r="A27" s="5" t="inlineStr">
        <is>
          <t>P4 ニーズ調査</t>
        </is>
      </c>
      <c r="B27" s="11" t="inlineStr">
        <is>
          <t>4-6</t>
        </is>
      </c>
      <c r="C27" s="5" t="inlineStr">
        <is>
          <t>発送・回収管理</t>
        </is>
      </c>
      <c r="D27" s="5" t="inlineStr">
        <is>
          <t>宛名ラベルを配布用封筒に貼付し、調査票・返信用封筒を封入・封緘の上発送。発送及び回収に係る費用は受託者の負担</t>
        </is>
      </c>
      <c r="E27" s="5" t="inlineStr">
        <is>
          <t>仕様書4-Ⅰ(4)</t>
        </is>
      </c>
      <c r="F27" s="11" t="inlineStr">
        <is>
          <t>受託者・北塩原村</t>
        </is>
      </c>
      <c r="G27" s="11" t="inlineStr">
        <is>
          <t>2026-08</t>
        </is>
      </c>
      <c r="H27" s="11" t="inlineStr">
        <is>
          <t>2026-09</t>
        </is>
      </c>
      <c r="I27" s="12" t="inlineStr">
        <is>
          <t>完了</t>
        </is>
      </c>
      <c r="J27" s="11" t="n">
        <v>100</v>
      </c>
      <c r="K27" s="11" t="n">
        <v>3</v>
      </c>
      <c r="L27" s="5" t="inlineStr">
        <is>
          <t>令和8年8月〜9月に発送・回収を実施。有効回答は障がい者38件・障がい児3件</t>
        </is>
      </c>
      <c r="M27" s="5" t="inlineStr">
        <is>
          <t>配布数が未確認のため有効回答率を算出できない（点検結果D-1）。郵送費の精算方法の書面確認も未了</t>
        </is>
      </c>
    </row>
    <row r="28">
      <c r="A28" s="5" t="inlineStr">
        <is>
          <t>P4 ニーズ調査</t>
        </is>
      </c>
      <c r="B28" s="11" t="inlineStr">
        <is>
          <t>4-7</t>
        </is>
      </c>
      <c r="C28" s="5" t="inlineStr">
        <is>
          <t>国のマニュアルとの差の代替設計</t>
        </is>
      </c>
      <c r="D28" s="5" t="inlineStr">
        <is>
          <t>確定版に無い国の標準項目4件について、確定版の設問の組み合わせと行政データとの突合で代替できるかを判定し、実施するクロス集計を設計</t>
        </is>
      </c>
      <c r="E28" s="5" t="inlineStr">
        <is>
          <t>仕様書4-Ⅰ(6)</t>
        </is>
      </c>
      <c r="F28" s="11" t="inlineStr">
        <is>
          <t>受託者</t>
        </is>
      </c>
      <c r="G28" s="11" t="inlineStr">
        <is>
          <t>2026-08</t>
        </is>
      </c>
      <c r="H28" s="11" t="inlineStr">
        <is>
          <t>2026-08</t>
        </is>
      </c>
      <c r="I28" s="12" t="inlineStr">
        <is>
          <t>完了</t>
        </is>
      </c>
      <c r="J28" s="11" t="n">
        <v>100</v>
      </c>
      <c r="K28" s="11" t="n">
        <v>4</v>
      </c>
      <c r="L28" s="5" t="inlineStr">
        <is>
          <t>北塩原村_クロス集計設計.xlsx（7シート・クロス集計25件・行政データ突合6件）。介護保険・強度行動障害・障害支援区分の3件は行政データで代替可</t>
        </is>
      </c>
      <c r="M28" s="5" t="inlineStr">
        <is>
          <t>外出の目的（第4次障がい者計画の指標）は代替できず、村との再協議が必要</t>
        </is>
      </c>
    </row>
    <row r="29">
      <c r="A29" s="5" t="inlineStr">
        <is>
          <t>P5 集計・分析</t>
        </is>
      </c>
      <c r="B29" s="11" t="inlineStr">
        <is>
          <t>5-1</t>
        </is>
      </c>
      <c r="C29" s="5" t="inlineStr">
        <is>
          <t>データ入力</t>
        </is>
      </c>
      <c r="D29" s="5" t="inlineStr">
        <is>
          <t>厚生労働省が提示する集計ファイル様式を基本として入力</t>
        </is>
      </c>
      <c r="E29" s="5" t="inlineStr">
        <is>
          <t>仕様書4-Ⅰ(5)</t>
        </is>
      </c>
      <c r="F29" s="11" t="inlineStr">
        <is>
          <t>受託者</t>
        </is>
      </c>
      <c r="G29" s="11" t="inlineStr">
        <is>
          <t>2026-09</t>
        </is>
      </c>
      <c r="H29" s="11" t="inlineStr">
        <is>
          <t>2026-10</t>
        </is>
      </c>
      <c r="I29" s="12" t="inlineStr">
        <is>
          <t>完了</t>
        </is>
      </c>
      <c r="J29" s="11" t="n">
        <v>100</v>
      </c>
      <c r="K29" s="11" t="n">
        <v>3</v>
      </c>
      <c r="L29" s="5" t="inlineStr">
        <is>
          <t>令和8年10月2日に集計が完成（集計_障がい者版・集計_障がい児版）。障がい者38件・障がい児3件。個票から単純集計を再計算して全件一致を確認</t>
        </is>
      </c>
      <c r="M29" s="5" t="inlineStr">
        <is>
          <t>―</t>
        </is>
      </c>
    </row>
    <row r="30">
      <c r="A30" s="5" t="inlineStr">
        <is>
          <t>P5 集計・分析</t>
        </is>
      </c>
      <c r="B30" s="11" t="inlineStr">
        <is>
          <t>5-2</t>
        </is>
      </c>
      <c r="C30" s="5" t="inlineStr">
        <is>
          <t>集計・分析の設計</t>
        </is>
      </c>
      <c r="D30" s="5" t="inlineStr">
        <is>
          <t>基本集計及び年齢・障がい種別等によるクロス集計。少数母数の取扱い</t>
        </is>
      </c>
      <c r="E30" s="5" t="inlineStr">
        <is>
          <t>仕様書4-Ⅰ(6)</t>
        </is>
      </c>
      <c r="F30" s="11" t="inlineStr">
        <is>
          <t>受託者</t>
        </is>
      </c>
      <c r="G30" s="11" t="inlineStr">
        <is>
          <t>2026-08</t>
        </is>
      </c>
      <c r="H30" s="11" t="inlineStr">
        <is>
          <t>2026-10</t>
        </is>
      </c>
      <c r="I30" s="14" t="inlineStr">
        <is>
          <t>進行中</t>
        </is>
      </c>
      <c r="J30" s="11" t="n">
        <v>80</v>
      </c>
      <c r="K30" s="11" t="n">
        <v>3</v>
      </c>
      <c r="L30" s="5" t="inlineStr">
        <is>
          <t>クロス集計10テーマで集計済み。ただし基数の取り方に不整合があり、クロス集計の分母に集計項目の設問の無回答者が入っている（10テーマすべて）。表4-4の桧原地区は基数3人のうち問28の回答者は1人で、公表値33.3％は正しい分母では100.0％になる</t>
        </is>
      </c>
      <c r="M30" s="5" t="inlineStr">
        <is>
          <t>分母の定義を改めるか脚注で明示するかを決める（点検結果A-1）。基数5未満の区分の扱いも表と図で揃える（同A-3）</t>
        </is>
      </c>
    </row>
    <row r="31">
      <c r="A31" s="5" t="inlineStr">
        <is>
          <t>P5 集計・分析</t>
        </is>
      </c>
      <c r="B31" s="11" t="inlineStr">
        <is>
          <t>5-3</t>
        </is>
      </c>
      <c r="C31" s="5" t="inlineStr">
        <is>
          <t>自由回答の取りまとめ</t>
        </is>
      </c>
      <c r="D31" s="5" t="inlineStr">
        <is>
          <t>自由記述の分類・要約。村の修正指示により問11-2・問37-2の自由記述欄が新設される</t>
        </is>
      </c>
      <c r="E31" s="5" t="inlineStr">
        <is>
          <t>仕様書4-Ⅰ(6)</t>
        </is>
      </c>
      <c r="F31" s="11" t="inlineStr">
        <is>
          <t>受託者</t>
        </is>
      </c>
      <c r="G31" s="11" t="inlineStr">
        <is>
          <t>2026-10</t>
        </is>
      </c>
      <c r="H31" s="11" t="inlineStr">
        <is>
          <t>2026-11</t>
        </is>
      </c>
      <c r="I31" s="14" t="inlineStr">
        <is>
          <t>進行中</t>
        </is>
      </c>
      <c r="J31" s="11" t="n">
        <v>60</v>
      </c>
      <c r="K31" s="11" t="n">
        <v>2</v>
      </c>
      <c r="L31" s="5" t="inlineStr">
        <is>
          <t>自由記述一覧シートに整理済み。報告書 表3-2（障がい者15行）に主な意見を分野別に掲載</t>
        </is>
      </c>
      <c r="M31" s="5" t="inlineStr">
        <is>
          <t>個人が特定されない範囲での要約の最終確認</t>
        </is>
      </c>
    </row>
    <row r="32">
      <c r="A32" s="5" t="inlineStr">
        <is>
          <t>P5 集計・分析</t>
        </is>
      </c>
      <c r="B32" s="11" t="inlineStr">
        <is>
          <t>5-4</t>
        </is>
      </c>
      <c r="C32" s="5" t="inlineStr">
        <is>
          <t>成果目標との紐付け</t>
        </is>
      </c>
      <c r="D32" s="5" t="inlineStr">
        <is>
          <t>現行計画は成果目標の設定根拠に調査結果報告書の頁番号を引用している。第8期でも同じ構造とするため、集計段階で設問と成果目標を紐付ける</t>
        </is>
      </c>
      <c r="E32" s="5" t="inlineStr">
        <is>
          <t>仕様書4-Ⅱ(3)⑤</t>
        </is>
      </c>
      <c r="F32" s="11" t="inlineStr">
        <is>
          <t>受託者</t>
        </is>
      </c>
      <c r="G32" s="11" t="inlineStr">
        <is>
          <t>2026-10</t>
        </is>
      </c>
      <c r="H32" s="11" t="inlineStr">
        <is>
          <t>2026-11</t>
        </is>
      </c>
      <c r="I32" s="14" t="inlineStr">
        <is>
          <t>進行中</t>
        </is>
      </c>
      <c r="J32" s="11" t="n">
        <v>50</v>
      </c>
      <c r="K32" s="11" t="n">
        <v>2</v>
      </c>
      <c r="L32" s="5" t="inlineStr">
        <is>
          <t>北塩原村_目標KPI_前回比較可能性.xlsx（6シート）。第4次計画の施策目標8指標・成果目標8区分・見込量27区分・活動指標33項目・地域生活支援事業15事業・アンケート設問50問の対応を全数整理。計画素案 第3章5に本調査の結果と比較可能性の列を追加</t>
        </is>
      </c>
      <c r="M32" s="5" t="inlineStr">
        <is>
          <t>アンケートで測る3指標の扱いを村と確定する（R-26）</t>
        </is>
      </c>
    </row>
    <row r="33">
      <c r="A33" s="5" t="inlineStr">
        <is>
          <t>P5 集計・分析</t>
        </is>
      </c>
      <c r="B33" s="11" t="inlineStr">
        <is>
          <t>5-5</t>
        </is>
      </c>
      <c r="C33" s="5" t="inlineStr">
        <is>
          <t>調査結果報告書の作成</t>
        </is>
      </c>
      <c r="D33" s="5" t="inlineStr">
        <is>
          <t>設問ごとにグラフを作成し、分析結果を報告書として取りまとめる</t>
        </is>
      </c>
      <c r="E33" s="5" t="inlineStr">
        <is>
          <t>仕様書4-Ⅰ(7)・成果品②</t>
        </is>
      </c>
      <c r="F33" s="11" t="inlineStr">
        <is>
          <t>受託者</t>
        </is>
      </c>
      <c r="G33" s="11" t="inlineStr">
        <is>
          <t>2026-11</t>
        </is>
      </c>
      <c r="H33" s="11" t="inlineStr">
        <is>
          <t>2026-12</t>
        </is>
      </c>
      <c r="I33" s="14" t="inlineStr">
        <is>
          <t>進行中</t>
        </is>
      </c>
      <c r="J33" s="11" t="n">
        <v>45</v>
      </c>
      <c r="K33" s="11" t="n">
        <v>4</v>
      </c>
      <c r="L33" s="5" t="inlineStr">
        <is>
          <t>作成中の報告書（6章・表24）を点検。個票から集計を再計算し本文の割合320件を突合して計算誤り0件を確認。一方、分母の取り方・前回比較・障がい児調査の内部矛盾・未記入で11件の不整合を洗い出した（北塩原村_アンケート結果報告書_点検結果.xlsx）</t>
        </is>
      </c>
      <c r="M33" s="5" t="inlineStr">
        <is>
          <t>配布数・有効回答率の受領（点検結果D-1）。不整合11件の反映</t>
        </is>
      </c>
    </row>
    <row r="34">
      <c r="A34" s="5" t="inlineStr">
        <is>
          <t>P5 集計・分析</t>
        </is>
      </c>
      <c r="B34" s="11" t="inlineStr">
        <is>
          <t>5-6</t>
        </is>
      </c>
      <c r="C34" s="5" t="inlineStr">
        <is>
          <t>集計・報告書の点検</t>
        </is>
      </c>
      <c r="D34" s="5" t="inlineStr">
        <is>
          <t>個票から単純集計を再計算し、報告書本文の数値まで1件ずつ突き合わせる</t>
        </is>
      </c>
      <c r="E34" s="5" t="inlineStr">
        <is>
          <t>仕様書4-Ⅰ(6)(7)</t>
        </is>
      </c>
      <c r="F34" s="11" t="inlineStr">
        <is>
          <t>受託者</t>
        </is>
      </c>
      <c r="G34" s="11" t="inlineStr">
        <is>
          <t>2026-10</t>
        </is>
      </c>
      <c r="H34" s="11" t="inlineStr">
        <is>
          <t>2026-10</t>
        </is>
      </c>
      <c r="I34" s="12" t="inlineStr">
        <is>
          <t>完了</t>
        </is>
      </c>
      <c r="J34" s="11" t="n">
        <v>100</v>
      </c>
      <c r="K34" s="11" t="n">
        <v>3</v>
      </c>
      <c r="L34" s="5" t="inlineStr">
        <is>
          <t>北塩原村_アンケート結果報告書_点検結果.xlsx（5シート）。集計ブックは個票から完全に再現でき、報告書本文の割合320件も計算誤り0件。設問番号も確定版調査票と一致。不整合11件と村の実績との論点4件を洗い出した</t>
        </is>
      </c>
      <c r="M34" s="5" t="inlineStr">
        <is>
          <t>―</t>
        </is>
      </c>
    </row>
    <row r="35">
      <c r="A35" s="5" t="inlineStr">
        <is>
          <t>P5 集計・分析</t>
        </is>
      </c>
      <c r="B35" s="11" t="inlineStr">
        <is>
          <t>5-7</t>
        </is>
      </c>
      <c r="C35" s="5" t="inlineStr">
        <is>
          <t>目標・KPIの前回比較可能性の整理</t>
        </is>
      </c>
      <c r="D35" s="5" t="inlineStr">
        <is>
          <t>第4次計画の施策目標・成果目標・見込量・活動指標・地域生活支援事業・アンケート設問の前回対応を全数洗い出す</t>
        </is>
      </c>
      <c r="E35" s="5" t="inlineStr">
        <is>
          <t>仕様書4-Ⅱ(2)・4-Ⅱ(4)</t>
        </is>
      </c>
      <c r="F35" s="11" t="inlineStr">
        <is>
          <t>受託者</t>
        </is>
      </c>
      <c r="G35" s="11" t="inlineStr">
        <is>
          <t>2026-10</t>
        </is>
      </c>
      <c r="H35" s="11" t="inlineStr">
        <is>
          <t>2026-10</t>
        </is>
      </c>
      <c r="I35" s="12" t="inlineStr">
        <is>
          <t>完了</t>
        </is>
      </c>
      <c r="J35" s="11" t="n">
        <v>100</v>
      </c>
      <c r="K35" s="11" t="n">
        <v>3</v>
      </c>
      <c r="L35" s="5" t="inlineStr">
        <is>
          <t>北塩原村_目標KPI_前回比較可能性.xlsx（6シート）。前回比較が成り立つのは全体の約半分。活動指標は前回計画に値がなく全て初回設定。前回計画本編の転記誤り1件（外出の目的28.1％→29.1％）を含む訂正5件を特定</t>
        </is>
      </c>
      <c r="M35" s="5" t="inlineStr">
        <is>
          <t>―</t>
        </is>
      </c>
    </row>
    <row r="36">
      <c r="A36" s="5" t="inlineStr">
        <is>
          <t>P5 集計・分析</t>
        </is>
      </c>
      <c r="B36" s="11" t="inlineStr">
        <is>
          <t>5-8</t>
        </is>
      </c>
      <c r="C36" s="5" t="inlineStr">
        <is>
          <t>アンケート分析報告書のレビュー</t>
        </is>
      </c>
      <c r="D36" s="5" t="inlineStr">
        <is>
          <t>村から受領した分析報告書（6章・表26・図61）と図表データ集を、国の指針・前回計画課題・経年比較・今期施策・見込量算定・数値整合・クロス分析の7つの観点から確認する</t>
        </is>
      </c>
      <c r="E36" s="5" t="inlineStr">
        <is>
          <t>仕様書4-Ⅱ(1)②</t>
        </is>
      </c>
      <c r="F36" s="11" t="inlineStr">
        <is>
          <t>受託者</t>
        </is>
      </c>
      <c r="G36" s="11" t="inlineStr">
        <is>
          <t>2026-10</t>
        </is>
      </c>
      <c r="H36" s="11" t="inlineStr">
        <is>
          <t>2026-11</t>
        </is>
      </c>
      <c r="I36" s="14" t="inlineStr">
        <is>
          <t>進行中</t>
        </is>
      </c>
      <c r="J36" s="11" t="n">
        <v>70</v>
      </c>
      <c r="K36" s="11" t="n">
        <v>3</v>
      </c>
      <c r="L36" s="5" t="inlineStr">
        <is>
          <t>北塩原村_アンケート分析報告書_レビュー.xlsx（12シート）。数値整合は良好（本文の割合521件のうち520件が集計と一致、クロス表10件の割合は不一致0）。指摘19件（重大4・中9・小6）。最大の欠落は経年比較で前回調査との対比が0件。当方の計画素案の分母が報告書と不一致だったため11項目を修正（docs/北塩原村_アンケート分析報告書_レビュー.md）</t>
        </is>
      </c>
      <c r="M36" s="5" t="inlineStr">
        <is>
          <t>受領したdocxがZIP末尾を欠いており再送が必要（R-15）。自由記述の公表範囲は村と協議（M-14）</t>
        </is>
      </c>
    </row>
    <row r="37">
      <c r="A37" s="5" t="inlineStr">
        <is>
          <t>P5 集計・分析</t>
        </is>
      </c>
      <c r="B37" s="11" t="inlineStr">
        <is>
          <t>5-9</t>
        </is>
      </c>
      <c r="C37" s="5" t="inlineStr">
        <is>
          <t>アンケート報告書の構成案の作成</t>
        </is>
      </c>
      <c r="D37" s="5" t="inlineStr">
        <is>
          <t>前回報告書・前回計画本編を確認の上、報告書として整理する内容を検討し、章立てと各章の中身を提案する</t>
        </is>
      </c>
      <c r="E37" s="5" t="inlineStr">
        <is>
          <t>仕様書4-Ⅱ(1)②</t>
        </is>
      </c>
      <c r="F37" s="11" t="inlineStr">
        <is>
          <t>受託者</t>
        </is>
      </c>
      <c r="G37" s="11" t="inlineStr">
        <is>
          <t>2026-10</t>
        </is>
      </c>
      <c r="H37" s="11" t="inlineStr">
        <is>
          <t>2026-11</t>
        </is>
      </c>
      <c r="I37" s="14" t="inlineStr">
        <is>
          <t>進行中</t>
        </is>
      </c>
      <c r="J37" s="11" t="n">
        <v>60</v>
      </c>
      <c r="K37" s="11" t="n">
        <v>3</v>
      </c>
      <c r="L37" s="5" t="inlineStr">
        <is>
          <t>北塩原村_アンケート報告書_構成案.xlsx（9シート）。前回報告書は概要＋単純集計の2部のみでクロス集計・課題整理がなく、今回は既に前回を上回る。ご提案の6区分のうちニーズと留意事項の章立てに賛成し、要因分析は村の実績との突合（表題は「調査結果の背景」）に置き換えることを提案。現行6章に2章を足した8章19節を提示（docs/北塩原村_アンケート報告書_構成案.md）</t>
        </is>
      </c>
      <c r="M37" s="5" t="inlineStr">
        <is>
          <t>村・報告書作成者との構成の合意。経年比較は分母が小さいため行わない方針を村側で確認済み</t>
        </is>
      </c>
    </row>
    <row r="38">
      <c r="A38" s="5" t="inlineStr">
        <is>
          <t>P6 現行計画の評価</t>
        </is>
      </c>
      <c r="B38" s="11" t="inlineStr">
        <is>
          <t>6-1</t>
        </is>
      </c>
      <c r="C38" s="5" t="inlineStr">
        <is>
          <t>サービス利用実績の評価</t>
        </is>
      </c>
      <c r="D38" s="5" t="inlineStr">
        <is>
          <t>令和3〜5年度の見込量と実績を全数突合し、乖離の類型を判定</t>
        </is>
      </c>
      <c r="E38" s="5" t="inlineStr">
        <is>
          <t>仕様書4-Ⅱ(2)</t>
        </is>
      </c>
      <c r="F38" s="11" t="inlineStr">
        <is>
          <t>受託者</t>
        </is>
      </c>
      <c r="G38" s="11" t="inlineStr">
        <is>
          <t>2026-08</t>
        </is>
      </c>
      <c r="H38" s="11" t="inlineStr">
        <is>
          <t>2026-08</t>
        </is>
      </c>
      <c r="I38" s="12" t="inlineStr">
        <is>
          <t>完了</t>
        </is>
      </c>
      <c r="J38" s="11" t="n">
        <v>100</v>
      </c>
      <c r="K38" s="11" t="n">
        <v>4</v>
      </c>
      <c r="L38" s="5" t="inlineStr">
        <is>
          <t>北塩原村_現行計画評価.xlsx（7シート）。サービス25区分・地域生活支援事業16事業。計上漏れ・過大計上を特定</t>
        </is>
      </c>
      <c r="M38" s="5" t="inlineStr">
        <is>
          <t>―</t>
        </is>
      </c>
    </row>
    <row r="39">
      <c r="A39" s="5" t="inlineStr">
        <is>
          <t>P6 現行計画の評価</t>
        </is>
      </c>
      <c r="B39" s="11" t="inlineStr">
        <is>
          <t>6-2</t>
        </is>
      </c>
      <c r="C39" s="5" t="inlineStr">
        <is>
          <t>成果目標の達成状況の評価</t>
        </is>
      </c>
      <c r="D39" s="5" t="inlineStr">
        <is>
          <t>第7期の成果目標7区分の現状値・目標値・設定根拠と評価の見通し</t>
        </is>
      </c>
      <c r="E39" s="5" t="inlineStr">
        <is>
          <t>仕様書4-Ⅱ(2)</t>
        </is>
      </c>
      <c r="F39" s="11" t="inlineStr">
        <is>
          <t>受託者</t>
        </is>
      </c>
      <c r="G39" s="11" t="inlineStr">
        <is>
          <t>2026-08</t>
        </is>
      </c>
      <c r="H39" s="11" t="inlineStr">
        <is>
          <t>2026-10</t>
        </is>
      </c>
      <c r="I39" s="13" t="inlineStr">
        <is>
          <t>データ待ち</t>
        </is>
      </c>
      <c r="J39" s="11" t="n">
        <v>60</v>
      </c>
      <c r="K39" s="11" t="n">
        <v>4</v>
      </c>
      <c r="L39" s="5" t="inlineStr">
        <is>
          <t>現行計画評価 02_成果目標の評価。令和8年8月の村の朱書きにより基幹相談支援センター未設置・セルフプラン率0％・医療的ケア児1人を確定</t>
        </is>
      </c>
      <c r="M39" s="5" t="inlineStr">
        <is>
          <t>令和6・7年度の実績と令和8年度見込（村へ依頼中）</t>
        </is>
      </c>
    </row>
    <row r="40">
      <c r="A40" s="5" t="inlineStr">
        <is>
          <t>P6 現行計画の評価</t>
        </is>
      </c>
      <c r="B40" s="11" t="inlineStr">
        <is>
          <t>6-3</t>
        </is>
      </c>
      <c r="C40" s="5" t="inlineStr">
        <is>
          <t>活動指標の達成状況の評価</t>
        </is>
      </c>
      <c r="D40" s="5" t="inlineStr">
        <is>
          <t>第7期の活動指標の実績。第8期は83項目のうち本村分65項目</t>
        </is>
      </c>
      <c r="E40" s="5" t="inlineStr">
        <is>
          <t>仕様書4-Ⅱ(2)</t>
        </is>
      </c>
      <c r="F40" s="11" t="inlineStr">
        <is>
          <t>受託者</t>
        </is>
      </c>
      <c r="G40" s="11" t="inlineStr">
        <is>
          <t>2026-09</t>
        </is>
      </c>
      <c r="H40" s="11" t="inlineStr">
        <is>
          <t>2026-11</t>
        </is>
      </c>
      <c r="I40" s="13" t="inlineStr">
        <is>
          <t>データ待ち</t>
        </is>
      </c>
      <c r="J40" s="11" t="n">
        <v>30</v>
      </c>
      <c r="K40" s="11" t="n">
        <v>3</v>
      </c>
      <c r="L40" s="5" t="inlineStr">
        <is>
          <t>北塩原村_活動指標.xlsx（4シート）で第8期の設定は完了</t>
        </is>
      </c>
      <c r="M40" s="5" t="inlineStr">
        <is>
          <t>令和6年度の活動指標実績（村へ依頼中）</t>
        </is>
      </c>
    </row>
    <row r="41">
      <c r="A41" s="5" t="inlineStr">
        <is>
          <t>P6 現行計画の評価</t>
        </is>
      </c>
      <c r="B41" s="11" t="inlineStr">
        <is>
          <t>6-4</t>
        </is>
      </c>
      <c r="C41" s="5" t="inlineStr">
        <is>
          <t>第4次障がい者計画の施策目標値の測定</t>
        </is>
      </c>
      <c r="D41" s="5" t="inlineStr">
        <is>
          <t>8指標の測定手段を確認し、アンケートで測るもの・行政データで測るものを区分</t>
        </is>
      </c>
      <c r="E41" s="5" t="inlineStr">
        <is>
          <t>仕様書4-Ⅱ(2)・4-Ⅱ(5)②</t>
        </is>
      </c>
      <c r="F41" s="11" t="inlineStr">
        <is>
          <t>受託者</t>
        </is>
      </c>
      <c r="G41" s="11" t="inlineStr">
        <is>
          <t>2026-08</t>
        </is>
      </c>
      <c r="H41" s="11" t="inlineStr">
        <is>
          <t>2026-08</t>
        </is>
      </c>
      <c r="I41" s="12" t="inlineStr">
        <is>
          <t>完了</t>
        </is>
      </c>
      <c r="J41" s="11" t="n">
        <v>100</v>
      </c>
      <c r="K41" s="11" t="n">
        <v>2</v>
      </c>
      <c r="L41" s="5" t="inlineStr">
        <is>
          <t>現行計画評価 の施策指標8件。測定可能6・測定不能1・要確認1。外出目的の設問が調査票に無く1指標が測定できないことを特定</t>
        </is>
      </c>
      <c r="M41" s="5" t="inlineStr">
        <is>
          <t>―</t>
        </is>
      </c>
    </row>
    <row r="42">
      <c r="A42" s="5" t="inlineStr">
        <is>
          <t>P7 推計・見込量</t>
        </is>
      </c>
      <c r="B42" s="11" t="inlineStr">
        <is>
          <t>7-1</t>
        </is>
      </c>
      <c r="C42" s="5" t="inlineStr">
        <is>
          <t>推計方法の確定</t>
        </is>
      </c>
      <c r="D42" s="5" t="inlineStr">
        <is>
          <t>個別積上げ方式（実績・意向・心身の状況を利用者単位で積み上げる方法）。別表第五の適用判定を含む</t>
        </is>
      </c>
      <c r="E42" s="5" t="inlineStr">
        <is>
          <t>仕様書4-Ⅱ(3)</t>
        </is>
      </c>
      <c r="F42" s="11" t="inlineStr">
        <is>
          <t>受託者</t>
        </is>
      </c>
      <c r="G42" s="11" t="inlineStr">
        <is>
          <t>2026-08</t>
        </is>
      </c>
      <c r="H42" s="11" t="inlineStr">
        <is>
          <t>2026-08</t>
        </is>
      </c>
      <c r="I42" s="12" t="inlineStr">
        <is>
          <t>完了</t>
        </is>
      </c>
      <c r="J42" s="11" t="n">
        <v>100</v>
      </c>
      <c r="K42" s="11" t="n">
        <v>5</v>
      </c>
      <c r="L42" s="5" t="inlineStr">
        <is>
          <t>北塩原村_サービス見込量.xlsx（13シート）。11_告示別表第一根拠・12_別表第五判定。全域過疎により別表第五は適用対象外と確定し、個別積上げ方式を採用</t>
        </is>
      </c>
      <c r="M42" s="5" t="inlineStr">
        <is>
          <t>―</t>
        </is>
      </c>
    </row>
    <row r="43">
      <c r="A43" s="5" t="inlineStr">
        <is>
          <t>P7 推計・見込量</t>
        </is>
      </c>
      <c r="B43" s="11" t="inlineStr">
        <is>
          <t>7-2</t>
        </is>
      </c>
      <c r="C43" s="5" t="inlineStr">
        <is>
          <t>障がい福祉サービスの見込量の推計</t>
        </is>
      </c>
      <c r="D43" s="5" t="inlineStr">
        <is>
          <t>介護給付・訓練等給付の利用者数と量。年齢到達に伴う移行を含む</t>
        </is>
      </c>
      <c r="E43" s="5" t="inlineStr">
        <is>
          <t>仕様書4-Ⅱ(3)②</t>
        </is>
      </c>
      <c r="F43" s="11" t="inlineStr">
        <is>
          <t>受託者</t>
        </is>
      </c>
      <c r="G43" s="11" t="inlineStr">
        <is>
          <t>2026-08</t>
        </is>
      </c>
      <c r="H43" s="11" t="inlineStr">
        <is>
          <t>2026-12</t>
        </is>
      </c>
      <c r="I43" s="14" t="inlineStr">
        <is>
          <t>進行中</t>
        </is>
      </c>
      <c r="J43" s="11" t="n">
        <v>75</v>
      </c>
      <c r="K43" s="11" t="n">
        <v>5</v>
      </c>
      <c r="L43" s="5" t="inlineStr">
        <is>
          <t>第1次概算を算定（北塩原村_サービス見込量算定.xlsx 11シート）。基準年度は令和7年度。パターン3（基準年度据え置き＋成果目標による補正）を採用。12サービスに値が入り、自己点検12件すべて合。令和8年10月4日に計画素案 第5章3〜6へ反映済み</t>
        </is>
      </c>
      <c r="M43" s="5" t="inlineStr">
        <is>
          <t>年齢別・サービス別の匿名利用者一覧、サービス別の支給決定者数（村へ依頼中）。揃えば第2次算定で個別積上げに進む</t>
        </is>
      </c>
    </row>
    <row r="44">
      <c r="A44" s="5" t="inlineStr">
        <is>
          <t>P7 推計・見込量</t>
        </is>
      </c>
      <c r="B44" s="11" t="inlineStr">
        <is>
          <t>7-3</t>
        </is>
      </c>
      <c r="C44" s="5" t="inlineStr">
        <is>
          <t>障がい児通所支援等の見込量の推計</t>
        </is>
      </c>
      <c r="D44" s="5" t="inlineStr">
        <is>
          <t>児童発達支援・放課後等デイサービス等の利用者数と量</t>
        </is>
      </c>
      <c r="E44" s="5" t="inlineStr">
        <is>
          <t>仕様書4-Ⅱ(3)③</t>
        </is>
      </c>
      <c r="F44" s="11" t="inlineStr">
        <is>
          <t>受託者</t>
        </is>
      </c>
      <c r="G44" s="11" t="inlineStr">
        <is>
          <t>2026-08</t>
        </is>
      </c>
      <c r="H44" s="11" t="inlineStr">
        <is>
          <t>2026-12</t>
        </is>
      </c>
      <c r="I44" s="14" t="inlineStr">
        <is>
          <t>進行中</t>
        </is>
      </c>
      <c r="J44" s="11" t="n">
        <v>70</v>
      </c>
      <c r="K44" s="11" t="n">
        <v>3</v>
      </c>
      <c r="L44" s="5" t="inlineStr">
        <is>
          <t>第1次概算を算定。年少人口の率では動かさない整理を採った。児童発達支援23件→1件と放課後等デイ12件→27件が同時に起きて合計はほぼ不変であり、就学に伴う個人単位の移動と判断。令和8年10月4日に計画素案 第5章7へ反映し、医療型児童発達支援の行を削除（令和6年度に児童発達支援へ一元化）</t>
        </is>
      </c>
      <c r="M44" s="5" t="inlineStr">
        <is>
          <t>児童発達支援の急減の理由（村確認事項M-1・最優先）。令和5年度の水準に戻れば年約321万円の増になる</t>
        </is>
      </c>
    </row>
    <row r="45">
      <c r="A45" s="5" t="inlineStr">
        <is>
          <t>P7 推計・見込量</t>
        </is>
      </c>
      <c r="B45" s="11" t="inlineStr">
        <is>
          <t>7-4</t>
        </is>
      </c>
      <c r="C45" s="5" t="inlineStr">
        <is>
          <t>地域生活支援事業の見込量の推計</t>
        </is>
      </c>
      <c r="D45" s="5" t="inlineStr">
        <is>
          <t>必須15事業・任意3事業の事業ごとの実施に関する考え方と量の見込み</t>
        </is>
      </c>
      <c r="E45" s="5" t="inlineStr">
        <is>
          <t>仕様書4-Ⅱ(3)④</t>
        </is>
      </c>
      <c r="F45" s="11" t="inlineStr">
        <is>
          <t>受託者</t>
        </is>
      </c>
      <c r="G45" s="11" t="inlineStr">
        <is>
          <t>2026-08</t>
        </is>
      </c>
      <c r="H45" s="11" t="inlineStr">
        <is>
          <t>2026-09</t>
        </is>
      </c>
      <c r="I45" s="14" t="inlineStr">
        <is>
          <t>進行中</t>
        </is>
      </c>
      <c r="J45" s="11" t="n">
        <v>70</v>
      </c>
      <c r="K45" s="11" t="n">
        <v>3</v>
      </c>
      <c r="L45" s="5" t="inlineStr">
        <is>
          <t>北塩原村_地域生活支援事業.xlsx（4シート）。告示第三の二の3の4事項に対応</t>
        </is>
      </c>
      <c r="M45" s="5" t="inlineStr">
        <is>
          <t>移動支援0人・福祉ホームの実績と見込の逆転など、確認事項7件が未解消</t>
        </is>
      </c>
    </row>
    <row r="46">
      <c r="A46" s="5" t="inlineStr">
        <is>
          <t>P7 推計・見込量</t>
        </is>
      </c>
      <c r="B46" s="11" t="inlineStr">
        <is>
          <t>7-5</t>
        </is>
      </c>
      <c r="C46" s="5" t="inlineStr">
        <is>
          <t>成果目標の設定</t>
        </is>
      </c>
      <c r="D46" s="5" t="inlineStr">
        <is>
          <t>第8期の成果目標8区分（人材確保・定着が新設）</t>
        </is>
      </c>
      <c r="E46" s="5" t="inlineStr">
        <is>
          <t>仕様書4-Ⅱ(3)⑤</t>
        </is>
      </c>
      <c r="F46" s="11" t="inlineStr">
        <is>
          <t>受託者</t>
        </is>
      </c>
      <c r="G46" s="11" t="inlineStr">
        <is>
          <t>2026-08</t>
        </is>
      </c>
      <c r="H46" s="11" t="inlineStr">
        <is>
          <t>2026-12</t>
        </is>
      </c>
      <c r="I46" s="13" t="inlineStr">
        <is>
          <t>データ待ち</t>
        </is>
      </c>
      <c r="J46" s="11" t="n">
        <v>55</v>
      </c>
      <c r="K46" s="11" t="n">
        <v>4</v>
      </c>
      <c r="L46" s="5" t="inlineStr">
        <is>
          <t>骨子案修正版 第4章。国基準数値を告示本文と照合済み。村の朱書きにより（３）（４）（６）を具体化</t>
        </is>
      </c>
      <c r="M46" s="5" t="inlineStr">
        <is>
          <t>令和7年度末の施設入所者数、令和6年度の一般就労移行実績、1年以上長期入院者の実数</t>
        </is>
      </c>
    </row>
    <row r="47">
      <c r="A47" s="5" t="inlineStr">
        <is>
          <t>P7 推計・見込量</t>
        </is>
      </c>
      <c r="B47" s="11" t="inlineStr">
        <is>
          <t>7-6</t>
        </is>
      </c>
      <c r="C47" s="5" t="inlineStr">
        <is>
          <t>活動指標の設定</t>
        </is>
      </c>
      <c r="D47" s="5" t="inlineStr">
        <is>
          <t>別表第一の83項目から本村で設定する65項目を選定。告示第三の四㈡により見込量以外の活動指標は任意</t>
        </is>
      </c>
      <c r="E47" s="5" t="inlineStr">
        <is>
          <t>仕様書4-Ⅱ(3)⑤</t>
        </is>
      </c>
      <c r="F47" s="11" t="inlineStr">
        <is>
          <t>受託者</t>
        </is>
      </c>
      <c r="G47" s="11" t="inlineStr">
        <is>
          <t>2026-08</t>
        </is>
      </c>
      <c r="H47" s="11" t="inlineStr">
        <is>
          <t>2026-09</t>
        </is>
      </c>
      <c r="I47" s="14" t="inlineStr">
        <is>
          <t>進行中</t>
        </is>
      </c>
      <c r="J47" s="11" t="n">
        <v>80</v>
      </c>
      <c r="K47" s="11" t="n">
        <v>3</v>
      </c>
      <c r="L47" s="5" t="inlineStr">
        <is>
          <t>北塩原村_活動指標.xlsx。設定51・検討7・設定しない7・都道府県指標18</t>
        </is>
      </c>
      <c r="M47" s="5" t="inlineStr">
        <is>
          <t>令和6年度実績の受領後に現状値を入れる</t>
        </is>
      </c>
    </row>
    <row r="48">
      <c r="A48" s="5" t="inlineStr">
        <is>
          <t>P7 推計・見込量</t>
        </is>
      </c>
      <c r="B48" s="11" t="inlineStr">
        <is>
          <t>7-7</t>
        </is>
      </c>
      <c r="C48" s="5" t="inlineStr">
        <is>
          <t>給付費・財源構成の推計</t>
        </is>
      </c>
      <c r="D48" s="5" t="inlineStr">
        <is>
          <t>サービス別の給付費と、国1/2・県1/4・村1/4の法定負担による財源構成</t>
        </is>
      </c>
      <c r="E48" s="5" t="inlineStr">
        <is>
          <t>仕様書4-Ⅱ(3)</t>
        </is>
      </c>
      <c r="F48" s="11" t="inlineStr">
        <is>
          <t>受託者</t>
        </is>
      </c>
      <c r="G48" s="11" t="inlineStr">
        <is>
          <t>2026-08</t>
        </is>
      </c>
      <c r="H48" s="11" t="inlineStr">
        <is>
          <t>2026-12</t>
        </is>
      </c>
      <c r="I48" s="14" t="inlineStr">
        <is>
          <t>進行中</t>
        </is>
      </c>
      <c r="J48" s="11" t="n">
        <v>70</v>
      </c>
      <c r="K48" s="11" t="n">
        <v>4</v>
      </c>
      <c r="L48" s="5" t="inlineStr">
        <is>
          <t>第1次概算で3か年給付費172,859,691円を算定。給付費は年間請求件数×1件あたり給付費で算定し、人／月×12では算定しない（短期入所で4倍、計画相談支援で3.5倍の過大計上になるため）</t>
        </is>
      </c>
      <c r="M48" s="5" t="inlineStr">
        <is>
          <t>報酬改定率の告示（単価を令和7年度で固定しており低く出る側に偏っている）。障がい福祉関係の歳入歳出決算（村へ依頼中）</t>
        </is>
      </c>
    </row>
    <row r="49">
      <c r="A49" s="5" t="inlineStr">
        <is>
          <t>P7 推計・見込量</t>
        </is>
      </c>
      <c r="B49" s="11" t="inlineStr">
        <is>
          <t>7-8</t>
        </is>
      </c>
      <c r="C49" s="5" t="inlineStr">
        <is>
          <t>見込量算定のMECEチェック</t>
        </is>
      </c>
      <c r="D49" s="5" t="inlineStr">
        <is>
          <t>国の基本指針・通達と突き合わせ、見込量の算定を網羅性（漏れ）と相互排他性（重複）の2方向から点検する</t>
        </is>
      </c>
      <c r="E49" s="5" t="inlineStr">
        <is>
          <t>仕様書4-Ⅱ(3)②〜④</t>
        </is>
      </c>
      <c r="F49" s="11" t="inlineStr">
        <is>
          <t>受託者</t>
        </is>
      </c>
      <c r="G49" s="11" t="inlineStr">
        <is>
          <t>2026-10</t>
        </is>
      </c>
      <c r="H49" s="11" t="inlineStr">
        <is>
          <t>2026-12</t>
        </is>
      </c>
      <c r="I49" s="14" t="inlineStr">
        <is>
          <t>進行中</t>
        </is>
      </c>
      <c r="J49" s="11" t="n">
        <v>55</v>
      </c>
      <c r="K49" s="11" t="n">
        <v>3</v>
      </c>
      <c r="L49" s="5" t="inlineStr">
        <is>
          <t>別表第一 二〜六の31事項・地域生活支援事業13事業・算定方法6・付加要件8を点検。指摘17件（重大4・中8・小5）。うち6件は当方で是正済み。マニュアル（参考）のアンケートによる増減判断を実施し増加要素19・減少要素9（docs/北塩原村_見込量算定_MECEチェック.md）</t>
        </is>
      </c>
      <c r="M49" s="5" t="inlineStr">
        <is>
          <t>E-1（継続入所者）・E-2（保育所等の受入体制）は村の回答待ち。E-3（アンケートの反映）は第2次算定で行う</t>
        </is>
      </c>
    </row>
    <row r="50">
      <c r="A50" s="5" t="inlineStr">
        <is>
          <t>P8 施策検討・計画案</t>
        </is>
      </c>
      <c r="B50" s="11" t="inlineStr">
        <is>
          <t>8-1</t>
        </is>
      </c>
      <c r="C50" s="5" t="inlineStr">
        <is>
          <t>障がい者福祉施策の検討</t>
        </is>
      </c>
      <c r="D50" s="5" t="inlineStr">
        <is>
          <t>現行計画の成果と課題を踏まえ、次期計画に盛り込む施策を検討</t>
        </is>
      </c>
      <c r="E50" s="5" t="inlineStr">
        <is>
          <t>仕様書4-Ⅱ(4)</t>
        </is>
      </c>
      <c r="F50" s="11" t="inlineStr">
        <is>
          <t>受託者</t>
        </is>
      </c>
      <c r="G50" s="11" t="inlineStr">
        <is>
          <t>2026-08</t>
        </is>
      </c>
      <c r="H50" s="11" t="inlineStr">
        <is>
          <t>2026-12</t>
        </is>
      </c>
      <c r="I50" s="14" t="inlineStr">
        <is>
          <t>進行中</t>
        </is>
      </c>
      <c r="J50" s="11" t="n">
        <v>60</v>
      </c>
      <c r="K50" s="11" t="n">
        <v>4</v>
      </c>
      <c r="L50" s="5" t="inlineStr">
        <is>
          <t>骨子案修正版 第3章（基本理念・基本目標及び施策体系）。第8期で加わる視点と施策体系の対応表を新設</t>
        </is>
      </c>
      <c r="M50" s="5" t="inlineStr">
        <is>
          <t>現行計画の評価の確定</t>
        </is>
      </c>
    </row>
    <row r="51">
      <c r="A51" s="5" t="inlineStr">
        <is>
          <t>P8 施策検討・計画案</t>
        </is>
      </c>
      <c r="B51" s="11" t="inlineStr">
        <is>
          <t>8-10</t>
        </is>
      </c>
      <c r="C51" s="5" t="inlineStr">
        <is>
          <t>告示が「ものとする」とした要件の反映</t>
        </is>
      </c>
      <c r="D51" s="5" t="inlineStr">
        <is>
          <t>見込量算定MECEチェックで特定した2要件（継続入所者の控除・保育所等における障害児の受入れ体制）を計画素案に書き、村への照会事項として確定させる</t>
        </is>
      </c>
      <c r="E51" s="5" t="inlineStr">
        <is>
          <t>告示 第三の二の2㈠</t>
        </is>
      </c>
      <c r="F51" s="11" t="inlineStr">
        <is>
          <t>受託者</t>
        </is>
      </c>
      <c r="G51" s="11" t="inlineStr">
        <is>
          <t>2026-10</t>
        </is>
      </c>
      <c r="H51" s="11" t="inlineStr">
        <is>
          <t>2026-11</t>
        </is>
      </c>
      <c r="I51" s="14" t="inlineStr">
        <is>
          <t>進行中</t>
        </is>
      </c>
      <c r="J51" s="11" t="n">
        <v>50</v>
      </c>
      <c r="K51" s="11" t="n">
        <v>1</v>
      </c>
      <c r="L51" s="5" t="inlineStr">
        <is>
          <t>計画素案 第5章1の算定方法の根拠の表に2要件を追加し、村への照会（M-10・M-11）を最優先として注記。あわせて廃止区分「医療型児童発達支援」の残存（X-1）を第5章7と第5章冒頭のサービス区分表から落とし、略記の年度表記（R6〜R11）を令和表記に統一</t>
        </is>
      </c>
      <c r="M51" s="5" t="inlineStr">
        <is>
          <t>村照会M-10・M-11の回答。回答後に見込量の控除・考え方を確定する</t>
        </is>
      </c>
    </row>
    <row r="52">
      <c r="A52" s="5" t="inlineStr">
        <is>
          <t>P8 施策検討・計画案</t>
        </is>
      </c>
      <c r="B52" s="11" t="inlineStr">
        <is>
          <t>8-2</t>
        </is>
      </c>
      <c r="C52" s="5" t="inlineStr">
        <is>
          <t>計画案の作成</t>
        </is>
      </c>
      <c r="D52" s="5" t="inlineStr">
        <is>
          <t>仕様書が定める記載事項8項目（基本理念・施策体系・手帳所持者数の将来推計・サービス見込量・障がい児通所支援等の見込量・地域生活支援事業の見込量・成果目標及び活動指標・推進体制及び進行管理）</t>
        </is>
      </c>
      <c r="E52" s="5" t="inlineStr">
        <is>
          <t>仕様書4-Ⅱ(5)</t>
        </is>
      </c>
      <c r="F52" s="11" t="inlineStr">
        <is>
          <t>受託者</t>
        </is>
      </c>
      <c r="G52" s="11" t="inlineStr">
        <is>
          <t>2026-07</t>
        </is>
      </c>
      <c r="H52" s="11" t="inlineStr">
        <is>
          <t>2027-01</t>
        </is>
      </c>
      <c r="I52" s="14" t="inlineStr">
        <is>
          <t>進行中</t>
        </is>
      </c>
      <c r="J52" s="11" t="n">
        <v>80</v>
      </c>
      <c r="K52" s="11" t="n">
        <v>5</v>
      </c>
      <c r="L52" s="5" t="inlineStr">
        <is>
          <t>計画素案（全8章・59節・推定66頁）。推計方法・年齢到達移行・活動指標・財源構成・人材確保・関係機関との連携の6節を新設。第5章3〜7の見込量を第1次概算（27サービス）に差し替え、第2章8をアンケート実施結果に、第3章5に調査結果と比較可能性を反映</t>
        </is>
      </c>
      <c r="M52" s="5" t="inlineStr">
        <is>
          <t>村の実績データ（匿名利用者一覧・支給決定者数）による第2次算定。県の基盤整備量の算定値。アンケート3指標の扱いの村決定</t>
        </is>
      </c>
    </row>
    <row r="53">
      <c r="A53" s="5" t="inlineStr">
        <is>
          <t>P8 施策検討・計画案</t>
        </is>
      </c>
      <c r="B53" s="11" t="inlineStr">
        <is>
          <t>8-3</t>
        </is>
      </c>
      <c r="C53" s="5" t="inlineStr">
        <is>
          <t>確保のための方策の記載</t>
        </is>
      </c>
      <c r="D53" s="5" t="inlineStr">
        <is>
          <t>小規模町村・中山間地域向けの確保方策。介護保険事業所への指定働きかけ、共生型サービス、基準該当、多機能型・従たる事業所、短期入所</t>
        </is>
      </c>
      <c r="E53" s="5" t="inlineStr">
        <is>
          <t>仕様書4-Ⅱ(5)</t>
        </is>
      </c>
      <c r="F53" s="11" t="inlineStr">
        <is>
          <t>受託者</t>
        </is>
      </c>
      <c r="G53" s="11" t="inlineStr">
        <is>
          <t>2026-08</t>
        </is>
      </c>
      <c r="H53" s="11" t="inlineStr">
        <is>
          <t>2026-08</t>
        </is>
      </c>
      <c r="I53" s="12" t="inlineStr">
        <is>
          <t>完了</t>
        </is>
      </c>
      <c r="J53" s="11" t="n">
        <v>100</v>
      </c>
      <c r="K53" s="11" t="n">
        <v>3</v>
      </c>
      <c r="L53" s="5" t="inlineStr">
        <is>
          <t>骨子案修正版 第5章8。告示が名指しする5つの具体策を反映し、圏域の事業所数を原典から表として生成する方式に変更</t>
        </is>
      </c>
      <c r="M53" s="5" t="inlineStr">
        <is>
          <t>―</t>
        </is>
      </c>
    </row>
    <row r="54">
      <c r="A54" s="5" t="inlineStr">
        <is>
          <t>P8 施策検討・計画案</t>
        </is>
      </c>
      <c r="B54" s="11" t="inlineStr">
        <is>
          <t>8-4</t>
        </is>
      </c>
      <c r="C54" s="5" t="inlineStr">
        <is>
          <t>分量配分の設計</t>
        </is>
      </c>
      <c r="D54" s="5" t="inlineStr">
        <is>
          <t>成果品①は約60頁。章別の目標頁数を先に決め、原稿段階で収める</t>
        </is>
      </c>
      <c r="E54" s="5" t="inlineStr">
        <is>
          <t>仕様書5 成果品①</t>
        </is>
      </c>
      <c r="F54" s="11" t="inlineStr">
        <is>
          <t>受託者</t>
        </is>
      </c>
      <c r="G54" s="11" t="inlineStr">
        <is>
          <t>2026-08</t>
        </is>
      </c>
      <c r="H54" s="11" t="inlineStr">
        <is>
          <t>2026-08</t>
        </is>
      </c>
      <c r="I54" s="12" t="inlineStr">
        <is>
          <t>完了</t>
        </is>
      </c>
      <c r="J54" s="11" t="n">
        <v>100</v>
      </c>
      <c r="K54" s="11" t="n">
        <v>2</v>
      </c>
      <c r="L54" s="5" t="inlineStr">
        <is>
          <t>計画書_分量配分計画（docs）。現行計画の本文57頁の章別配分を基準に60頁へ配分。削減順序と削ってはならないものを明記。令和8年9月に現行計画の頁数を訂正（63頁は製本総頁で本文は57頁）</t>
        </is>
      </c>
      <c r="M54" s="5" t="inlineStr">
        <is>
          <t>―</t>
        </is>
      </c>
    </row>
    <row r="55">
      <c r="A55" s="5" t="inlineStr">
        <is>
          <t>P8 施策検討・計画案</t>
        </is>
      </c>
      <c r="B55" s="11" t="inlineStr">
        <is>
          <t>8-5</t>
        </is>
      </c>
      <c r="C55" s="5" t="inlineStr">
        <is>
          <t>目次の整理とページ番号の付与</t>
        </is>
      </c>
      <c r="D55" s="5" t="inlineStr">
        <is>
          <t>計画素案の目次を本文から作り直し、全見出しにブックマークを付けて目次からリンクで飛べるようにする。章頭で改ページし、本文を1ページから始める</t>
        </is>
      </c>
      <c r="E55" s="5" t="inlineStr">
        <is>
          <t>仕様書5 成果品①</t>
        </is>
      </c>
      <c r="F55" s="11" t="inlineStr">
        <is>
          <t>受託者</t>
        </is>
      </c>
      <c r="G55" s="11" t="inlineStr">
        <is>
          <t>2026-09</t>
        </is>
      </c>
      <c r="H55" s="11" t="inlineStr">
        <is>
          <t>2026-09</t>
        </is>
      </c>
      <c r="I55" s="12" t="inlineStr">
        <is>
          <t>完了</t>
        </is>
      </c>
      <c r="J55" s="11" t="n">
        <v>100</v>
      </c>
      <c r="K55" s="11" t="n">
        <v>3</v>
      </c>
      <c r="L55" s="5" t="inlineStr">
        <is>
          <t>build_kitashiobara_mokuji.py。目次55項目・ブックマーク93件・リンク切れ0件。原本の目次は7月版のままで本文94見出しに対し57項目、うち3件がリンク切れ、ページ番号は全項目1だった</t>
        </is>
      </c>
      <c r="M55" s="5" t="inlineStr">
        <is>
          <t>―</t>
        </is>
      </c>
    </row>
    <row r="56">
      <c r="A56" s="5" t="inlineStr">
        <is>
          <t>P8 施策検討・計画案</t>
        </is>
      </c>
      <c r="B56" s="11" t="inlineStr">
        <is>
          <t>8-6</t>
        </is>
      </c>
      <c r="C56" s="5" t="inlineStr">
        <is>
          <t>前回計画との対比と不足分の洗い出し</t>
        </is>
      </c>
      <c r="D56" s="5" t="inlineStr">
        <is>
          <t>現行計画の目次31節を1件ずつ追跡し、引き継いだもの・移したもの・落ちたものを確定させる</t>
        </is>
      </c>
      <c r="E56" s="5" t="inlineStr">
        <is>
          <t>仕様書4-Ⅱ(2)・4-Ⅱ(5)</t>
        </is>
      </c>
      <c r="F56" s="11" t="inlineStr">
        <is>
          <t>受託者</t>
        </is>
      </c>
      <c r="G56" s="11" t="inlineStr">
        <is>
          <t>2026-09</t>
        </is>
      </c>
      <c r="H56" s="11" t="inlineStr">
        <is>
          <t>2026-09</t>
        </is>
      </c>
      <c r="I56" s="12" t="inlineStr">
        <is>
          <t>完了</t>
        </is>
      </c>
      <c r="J56" s="11" t="n">
        <v>100</v>
      </c>
      <c r="K56" s="11" t="n">
        <v>3</v>
      </c>
      <c r="L56" s="5" t="inlineStr">
        <is>
          <t>北塩原村_目次構成_前回対比.xlsx（6シート）。新旧対照42件・不足分6件・新設9件。欠落4件のうち3件を追加。令和8年9月16日にサービスの体系・表記の注記を追加して用語解説（30語）を新設し、同年9月17日に概要版を作成。ＳＤＧｓ対応表は今回は見送り</t>
        </is>
      </c>
      <c r="M56" s="5" t="inlineStr">
        <is>
          <t>―</t>
        </is>
      </c>
    </row>
    <row r="57">
      <c r="A57" s="5" t="inlineStr">
        <is>
          <t>P8 施策検討・計画案</t>
        </is>
      </c>
      <c r="B57" s="11" t="inlineStr">
        <is>
          <t>8-7</t>
        </is>
      </c>
      <c r="C57" s="5" t="inlineStr">
        <is>
          <t>概要版の作成</t>
        </is>
      </c>
      <c r="D57" s="5" t="inlineStr">
        <is>
          <t>住民向けの概要版（A4・4頁）を計画書とは別ファイルで作成する。前回の概要版の構成を踏襲し、改定対象外の障がい者計画は継承する内容として整理する</t>
        </is>
      </c>
      <c r="E57" s="5" t="inlineStr">
        <is>
          <t>仕様書外（村の指示）</t>
        </is>
      </c>
      <c r="F57" s="11" t="inlineStr">
        <is>
          <t>受託者</t>
        </is>
      </c>
      <c r="G57" s="11" t="inlineStr">
        <is>
          <t>2026-09</t>
        </is>
      </c>
      <c r="H57" s="11" t="inlineStr">
        <is>
          <t>2026-09</t>
        </is>
      </c>
      <c r="I57" s="14" t="inlineStr">
        <is>
          <t>進行中</t>
        </is>
      </c>
      <c r="J57" s="11" t="n">
        <v>70</v>
      </c>
      <c r="K57" s="11" t="n">
        <v>2</v>
      </c>
      <c r="L57" s="5" t="inlineStr">
        <is>
          <t>build_kitashiobara_gaiyou.py。背景・位置づけ・期間・基本指針の見直し・現状・基本理念・基本目標・施策体系・成果目標8区分・見込量・推進体制・成年後見の12節。ＳＤＧｓの節は国の基本指針の見直しのポイントに差し替えた</t>
        </is>
      </c>
      <c r="M57" s="5" t="inlineStr">
        <is>
          <t>現状値・目標値の確定（本編と同じ）。仕様書5の成果品3点に含まれないため部数・費用の整理</t>
        </is>
      </c>
    </row>
    <row r="58">
      <c r="A58" s="5" t="inlineStr">
        <is>
          <t>P8 施策検討・計画案</t>
        </is>
      </c>
      <c r="B58" s="11" t="inlineStr">
        <is>
          <t>8-8</t>
        </is>
      </c>
      <c r="C58" s="5" t="inlineStr">
        <is>
          <t>表題の素案への変更</t>
        </is>
      </c>
      <c r="D58" s="5" t="inlineStr">
        <is>
          <t>計画書の表題を「骨子案」から「素案」に改め、作成年月・編集所管課を更新する</t>
        </is>
      </c>
      <c r="E58" s="5" t="inlineStr">
        <is>
          <t>仕様書5 成果品①</t>
        </is>
      </c>
      <c r="F58" s="11" t="inlineStr">
        <is>
          <t>受託者</t>
        </is>
      </c>
      <c r="G58" s="11" t="inlineStr">
        <is>
          <t>2026-09</t>
        </is>
      </c>
      <c r="H58" s="11" t="inlineStr">
        <is>
          <t>2026-09</t>
        </is>
      </c>
      <c r="I58" s="12" t="inlineStr">
        <is>
          <t>完了</t>
        </is>
      </c>
      <c r="J58" s="11" t="n">
        <v>100</v>
      </c>
      <c r="K58" s="11" t="n">
        <v>1</v>
      </c>
      <c r="L58" s="5" t="inlineStr">
        <is>
          <t>表紙・前書き・奥付の7か所を差し替え、作成年月を令和8年9月、編集を北塩原村保健福祉課福祉係に更新。ファイル名も北塩原村_計画素案.docx に統一</t>
        </is>
      </c>
      <c r="M58" s="5" t="inlineStr">
        <is>
          <t>―</t>
        </is>
      </c>
    </row>
    <row r="59">
      <c r="A59" s="5" t="inlineStr">
        <is>
          <t>P8 施策検討・計画案</t>
        </is>
      </c>
      <c r="B59" s="11" t="inlineStr">
        <is>
          <t>8-9</t>
        </is>
      </c>
      <c r="C59" s="5" t="inlineStr">
        <is>
          <t>レビューで洗い出した不足項目の反映</t>
        </is>
      </c>
      <c r="D59" s="5" t="inlineStr">
        <is>
          <t>別表第二 六の項（人材確保等）の新設、基盤整備量、医療的ケア児等への対応、就労関係機関との連携など14件を計画素案に反映する</t>
        </is>
      </c>
      <c r="E59" s="5" t="inlineStr">
        <is>
          <t>仕様書4-Ⅱ(5)</t>
        </is>
      </c>
      <c r="F59" s="11" t="inlineStr">
        <is>
          <t>受託者</t>
        </is>
      </c>
      <c r="G59" s="11" t="inlineStr">
        <is>
          <t>2026-09</t>
        </is>
      </c>
      <c r="H59" s="11" t="inlineStr">
        <is>
          <t>2026-11</t>
        </is>
      </c>
      <c r="I59" s="14" t="inlineStr">
        <is>
          <t>進行中</t>
        </is>
      </c>
      <c r="J59" s="11" t="n">
        <v>55</v>
      </c>
      <c r="K59" s="11" t="n">
        <v>4</v>
      </c>
      <c r="L59" s="5" t="inlineStr">
        <is>
          <t>優先度 高の4件とR-8を令和8年9月24日に反映。第5章13（人材確保・生産性向上・経営基盤／別表第二 六の項）と第5章14（関係機関との連携／別表第二 五）を新設し、第4章（２）に基盤整備量の行、第4章（４）に協議の場の設置の行を追加。第5章2に18歳到達時の医療的ケア児等の扱いを新設。用語解説を30語から35語へ</t>
        </is>
      </c>
      <c r="M59" s="5" t="inlineStr">
        <is>
          <t>R-2の値は県の算定値待ち（レビュー Q-1）。残る中・低の9件は未着手</t>
        </is>
      </c>
    </row>
    <row r="60">
      <c r="A60" s="5" t="inlineStr">
        <is>
          <t>P9 意見聴取</t>
        </is>
      </c>
      <c r="B60" s="11" t="inlineStr">
        <is>
          <t>9-1</t>
        </is>
      </c>
      <c r="C60" s="5" t="inlineStr">
        <is>
          <t>自立支援協議会の資料作成</t>
        </is>
      </c>
      <c r="D60" s="5" t="inlineStr">
        <is>
          <t>委託者が協議会に報告・説明し、受託者は会議資料の作成、会議への出席、会議記録（要旨）の作成等の運営支援を行う。開催は1回程度</t>
        </is>
      </c>
      <c r="E60" s="5" t="inlineStr">
        <is>
          <t>仕様書4-Ⅱ(7)</t>
        </is>
      </c>
      <c r="F60" s="11" t="inlineStr">
        <is>
          <t>受託者</t>
        </is>
      </c>
      <c r="G60" s="11" t="inlineStr">
        <is>
          <t>2026-08</t>
        </is>
      </c>
      <c r="H60" s="11" t="inlineStr">
        <is>
          <t>2026-12</t>
        </is>
      </c>
      <c r="I60" s="14" t="inlineStr">
        <is>
          <t>進行中</t>
        </is>
      </c>
      <c r="J60" s="11" t="n">
        <v>50</v>
      </c>
      <c r="K60" s="11" t="n">
        <v>3</v>
      </c>
      <c r="L60" s="5" t="inlineStr">
        <is>
          <t>会議資料5点を作成（協議会資料1・2・8、庁議資料2・4）。村資料に依存しない資料を先行して整備</t>
        </is>
      </c>
      <c r="M60" s="5" t="inlineStr">
        <is>
          <t>協議会の開催時期が未定。委員名簿が未受領</t>
        </is>
      </c>
    </row>
    <row r="61">
      <c r="A61" s="5" t="inlineStr">
        <is>
          <t>P9 意見聴取</t>
        </is>
      </c>
      <c r="B61" s="11" t="inlineStr">
        <is>
          <t>9-2</t>
        </is>
      </c>
      <c r="C61" s="5" t="inlineStr">
        <is>
          <t>協議会の開催</t>
        </is>
      </c>
      <c r="D61" s="5" t="inlineStr">
        <is>
          <t>調査結果・素案・計画案の報告と審議</t>
        </is>
      </c>
      <c r="E61" s="5" t="inlineStr">
        <is>
          <t>仕様書4-Ⅱ(7)</t>
        </is>
      </c>
      <c r="F61" s="11" t="inlineStr">
        <is>
          <t>北塩原村・受託者</t>
        </is>
      </c>
      <c r="G61" s="11" t="inlineStr">
        <is>
          <t>2026-12</t>
        </is>
      </c>
      <c r="H61" s="11" t="inlineStr">
        <is>
          <t>2026-12</t>
        </is>
      </c>
      <c r="I61" s="16" t="inlineStr">
        <is>
          <t>未着手</t>
        </is>
      </c>
      <c r="J61" s="11" t="n">
        <v>0</v>
      </c>
      <c r="K61" s="11" t="n">
        <v>2</v>
      </c>
      <c r="L61" s="5" t="inlineStr">
        <is>
          <t>―</t>
        </is>
      </c>
      <c r="M61" s="5" t="inlineStr">
        <is>
          <t>開催日が未定。素案の確定</t>
        </is>
      </c>
    </row>
    <row r="62">
      <c r="A62" s="5" t="inlineStr">
        <is>
          <t>P9 意見聴取</t>
        </is>
      </c>
      <c r="B62" s="11" t="inlineStr">
        <is>
          <t>9-3</t>
        </is>
      </c>
      <c r="C62" s="5" t="inlineStr">
        <is>
          <t>庁議の開催</t>
        </is>
      </c>
      <c r="D62" s="5" t="inlineStr">
        <is>
          <t>庁内各課との調整。関連計画との整合と依頼事項</t>
        </is>
      </c>
      <c r="E62" s="5" t="inlineStr">
        <is>
          <t>―</t>
        </is>
      </c>
      <c r="F62" s="11" t="inlineStr">
        <is>
          <t>北塩原村・受託者</t>
        </is>
      </c>
      <c r="G62" s="11" t="inlineStr">
        <is>
          <t>2026-11</t>
        </is>
      </c>
      <c r="H62" s="11" t="inlineStr">
        <is>
          <t>2027-01</t>
        </is>
      </c>
      <c r="I62" s="16" t="inlineStr">
        <is>
          <t>未着手</t>
        </is>
      </c>
      <c r="J62" s="11" t="n">
        <v>0</v>
      </c>
      <c r="K62" s="11" t="n">
        <v>1</v>
      </c>
      <c r="L62" s="5" t="inlineStr">
        <is>
          <t>庁議資料2点は作成済み</t>
        </is>
      </c>
      <c r="M62" s="5" t="inlineStr">
        <is>
          <t>開催時期が未定</t>
        </is>
      </c>
    </row>
    <row r="63">
      <c r="A63" s="5" t="inlineStr">
        <is>
          <t>P9 意見聴取</t>
        </is>
      </c>
      <c r="B63" s="11" t="inlineStr">
        <is>
          <t>9-4</t>
        </is>
      </c>
      <c r="C63" s="5" t="inlineStr">
        <is>
          <t>パブリックコメントの実施</t>
        </is>
      </c>
      <c r="D63" s="5" t="inlineStr">
        <is>
          <t>計画案について意見を募集し、得られた意見を反映</t>
        </is>
      </c>
      <c r="E63" s="5" t="inlineStr">
        <is>
          <t>仕様書4-Ⅱ(6)</t>
        </is>
      </c>
      <c r="F63" s="11" t="inlineStr">
        <is>
          <t>北塩原村・受託者</t>
        </is>
      </c>
      <c r="G63" s="11" t="inlineStr">
        <is>
          <t>2027-01</t>
        </is>
      </c>
      <c r="H63" s="11" t="inlineStr">
        <is>
          <t>2027-02</t>
        </is>
      </c>
      <c r="I63" s="16" t="inlineStr">
        <is>
          <t>未着手</t>
        </is>
      </c>
      <c r="J63" s="11" t="n">
        <v>0</v>
      </c>
      <c r="K63" s="11" t="n">
        <v>2</v>
      </c>
      <c r="L63" s="5" t="inlineStr">
        <is>
          <t>―</t>
        </is>
      </c>
      <c r="M63" s="5" t="inlineStr">
        <is>
          <t>素案の確定。実施時期が未定</t>
        </is>
      </c>
    </row>
    <row r="64">
      <c r="A64" s="5" t="inlineStr">
        <is>
          <t>P9 意見聴取</t>
        </is>
      </c>
      <c r="B64" s="11" t="inlineStr">
        <is>
          <t>9-5</t>
        </is>
      </c>
      <c r="C64" s="5" t="inlineStr">
        <is>
          <t>意見への対応</t>
        </is>
      </c>
      <c r="D64" s="5" t="inlineStr">
        <is>
          <t>意見の整理、対応案の作成、計画への反映</t>
        </is>
      </c>
      <c r="E64" s="5" t="inlineStr">
        <is>
          <t>仕様書4-Ⅱ(6)</t>
        </is>
      </c>
      <c r="F64" s="11" t="inlineStr">
        <is>
          <t>受託者</t>
        </is>
      </c>
      <c r="G64" s="11" t="inlineStr">
        <is>
          <t>2027-02</t>
        </is>
      </c>
      <c r="H64" s="11" t="inlineStr">
        <is>
          <t>2027-02</t>
        </is>
      </c>
      <c r="I64" s="16" t="inlineStr">
        <is>
          <t>未着手</t>
        </is>
      </c>
      <c r="J64" s="11" t="n">
        <v>0</v>
      </c>
      <c r="K64" s="11" t="n">
        <v>2</v>
      </c>
      <c r="L64" s="5" t="inlineStr">
        <is>
          <t>―</t>
        </is>
      </c>
      <c r="M64" s="5" t="inlineStr">
        <is>
          <t>パブリックコメントの実施</t>
        </is>
      </c>
    </row>
    <row r="65">
      <c r="A65" s="5" t="inlineStr">
        <is>
          <t>P10 完成・納品</t>
        </is>
      </c>
      <c r="B65" s="11" t="inlineStr">
        <is>
          <t>10-1</t>
        </is>
      </c>
      <c r="C65" s="5" t="inlineStr">
        <is>
          <t>計画書の原稿確定</t>
        </is>
      </c>
      <c r="D65" s="5" t="inlineStr">
        <is>
          <t>協議会・パブリックコメントを経て得られた意見を反映の上、最終的に取りまとめる</t>
        </is>
      </c>
      <c r="E65" s="5" t="inlineStr">
        <is>
          <t>仕様書4-Ⅱ(6)</t>
        </is>
      </c>
      <c r="F65" s="11" t="inlineStr">
        <is>
          <t>受託者</t>
        </is>
      </c>
      <c r="G65" s="11" t="inlineStr">
        <is>
          <t>2027-02</t>
        </is>
      </c>
      <c r="H65" s="11" t="inlineStr">
        <is>
          <t>2027-02</t>
        </is>
      </c>
      <c r="I65" s="16" t="inlineStr">
        <is>
          <t>未着手</t>
        </is>
      </c>
      <c r="J65" s="11" t="n">
        <v>0</v>
      </c>
      <c r="K65" s="11" t="n">
        <v>3</v>
      </c>
      <c r="L65" s="5" t="inlineStr">
        <is>
          <t>―</t>
        </is>
      </c>
      <c r="M65" s="5" t="inlineStr">
        <is>
          <t>意見への対応</t>
        </is>
      </c>
    </row>
    <row r="66">
      <c r="A66" s="5" t="inlineStr">
        <is>
          <t>P10 完成・納品</t>
        </is>
      </c>
      <c r="B66" s="11" t="inlineStr">
        <is>
          <t>10-2</t>
        </is>
      </c>
      <c r="C66" s="5" t="inlineStr">
        <is>
          <t>レイアウト・組版</t>
        </is>
      </c>
      <c r="D66" s="5" t="inlineStr">
        <is>
          <t>A4判・両面・約60頁・モノクロ</t>
        </is>
      </c>
      <c r="E66" s="5" t="inlineStr">
        <is>
          <t>仕様書5 成果品①</t>
        </is>
      </c>
      <c r="F66" s="11" t="inlineStr">
        <is>
          <t>受託者</t>
        </is>
      </c>
      <c r="G66" s="11" t="inlineStr">
        <is>
          <t>2027-02</t>
        </is>
      </c>
      <c r="H66" s="11" t="inlineStr">
        <is>
          <t>2027-03</t>
        </is>
      </c>
      <c r="I66" s="16" t="inlineStr">
        <is>
          <t>未着手</t>
        </is>
      </c>
      <c r="J66" s="11" t="n">
        <v>0</v>
      </c>
      <c r="K66" s="11" t="n">
        <v>3</v>
      </c>
      <c r="L66" s="5" t="inlineStr">
        <is>
          <t>分量配分計画を作成済み。実際の組版で1頁あたりの文字数を実測し補正する</t>
        </is>
      </c>
      <c r="M66" s="5" t="inlineStr">
        <is>
          <t>原稿の確定</t>
        </is>
      </c>
    </row>
    <row r="67">
      <c r="A67" s="5" t="inlineStr">
        <is>
          <t>P10 完成・納品</t>
        </is>
      </c>
      <c r="B67" s="11" t="inlineStr">
        <is>
          <t>10-3</t>
        </is>
      </c>
      <c r="C67" s="5" t="inlineStr">
        <is>
          <t>校正</t>
        </is>
      </c>
      <c r="D67" s="5" t="inlineStr">
        <is>
          <t>村の確認を経て校了</t>
        </is>
      </c>
      <c r="E67" s="5" t="inlineStr">
        <is>
          <t>仕様書5 成果品①</t>
        </is>
      </c>
      <c r="F67" s="11" t="inlineStr">
        <is>
          <t>受託者・北塩原村</t>
        </is>
      </c>
      <c r="G67" s="11" t="inlineStr">
        <is>
          <t>2027-03</t>
        </is>
      </c>
      <c r="H67" s="11" t="inlineStr">
        <is>
          <t>2027-03</t>
        </is>
      </c>
      <c r="I67" s="16" t="inlineStr">
        <is>
          <t>未着手</t>
        </is>
      </c>
      <c r="J67" s="11" t="n">
        <v>0</v>
      </c>
      <c r="K67" s="11" t="n">
        <v>2</v>
      </c>
      <c r="L67" s="5" t="inlineStr">
        <is>
          <t>―</t>
        </is>
      </c>
      <c r="M67" s="5" t="inlineStr">
        <is>
          <t>組版</t>
        </is>
      </c>
    </row>
    <row r="68">
      <c r="A68" s="5" t="inlineStr">
        <is>
          <t>P10 完成・納品</t>
        </is>
      </c>
      <c r="B68" s="11" t="inlineStr">
        <is>
          <t>10-4</t>
        </is>
      </c>
      <c r="C68" s="5" t="inlineStr">
        <is>
          <t>印刷・製本</t>
        </is>
      </c>
      <c r="D68" s="5" t="inlineStr">
        <is>
          <t>計画書はコピー・くるみ製本30部、調査報告書はコピー・ホチキス製本10部</t>
        </is>
      </c>
      <c r="E68" s="5" t="inlineStr">
        <is>
          <t>仕様書5 成果品①②</t>
        </is>
      </c>
      <c r="F68" s="11" t="inlineStr">
        <is>
          <t>受託者</t>
        </is>
      </c>
      <c r="G68" s="11" t="inlineStr">
        <is>
          <t>2027-03</t>
        </is>
      </c>
      <c r="H68" s="11" t="inlineStr">
        <is>
          <t>2027-03</t>
        </is>
      </c>
      <c r="I68" s="16" t="inlineStr">
        <is>
          <t>未着手</t>
        </is>
      </c>
      <c r="J68" s="11" t="n">
        <v>0</v>
      </c>
      <c r="K68" s="11" t="n">
        <v>2</v>
      </c>
      <c r="L68" s="5" t="inlineStr">
        <is>
          <t>―</t>
        </is>
      </c>
      <c r="M68" s="5" t="inlineStr">
        <is>
          <t>校了。印刷業者の手配</t>
        </is>
      </c>
    </row>
    <row r="69">
      <c r="A69" s="5" t="inlineStr">
        <is>
          <t>P10 完成・納品</t>
        </is>
      </c>
      <c r="B69" s="11" t="inlineStr">
        <is>
          <t>10-5</t>
        </is>
      </c>
      <c r="C69" s="5" t="inlineStr">
        <is>
          <t>電子媒体の作成</t>
        </is>
      </c>
      <c r="D69" s="5" t="inlineStr">
        <is>
          <t>計画書と調査報告書の電子データ一式</t>
        </is>
      </c>
      <c r="E69" s="5" t="inlineStr">
        <is>
          <t>仕様書5 成果品③</t>
        </is>
      </c>
      <c r="F69" s="11" t="inlineStr">
        <is>
          <t>受託者</t>
        </is>
      </c>
      <c r="G69" s="11" t="inlineStr">
        <is>
          <t>2027-03</t>
        </is>
      </c>
      <c r="H69" s="11" t="inlineStr">
        <is>
          <t>2027-03</t>
        </is>
      </c>
      <c r="I69" s="16" t="inlineStr">
        <is>
          <t>未着手</t>
        </is>
      </c>
      <c r="J69" s="11" t="n">
        <v>0</v>
      </c>
      <c r="K69" s="11" t="n">
        <v>1</v>
      </c>
      <c r="L69" s="5" t="inlineStr">
        <is>
          <t>―</t>
        </is>
      </c>
      <c r="M69" s="5" t="inlineStr">
        <is>
          <t>編集可能形式とPDFの別を村に確認する</t>
        </is>
      </c>
    </row>
    <row r="70">
      <c r="A70" s="5" t="inlineStr">
        <is>
          <t>P10 完成・納品</t>
        </is>
      </c>
      <c r="B70" s="11" t="inlineStr">
        <is>
          <t>10-6</t>
        </is>
      </c>
      <c r="C70" s="5" t="inlineStr">
        <is>
          <t>納品・検収</t>
        </is>
      </c>
      <c r="D70" s="5" t="inlineStr">
        <is>
          <t>令和9年3月31日まで</t>
        </is>
      </c>
      <c r="E70" s="5" t="inlineStr">
        <is>
          <t>仕様書3（業務期間）</t>
        </is>
      </c>
      <c r="F70" s="11" t="inlineStr">
        <is>
          <t>受託者・北塩原村</t>
        </is>
      </c>
      <c r="G70" s="11" t="inlineStr">
        <is>
          <t>2027-03</t>
        </is>
      </c>
      <c r="H70" s="11" t="inlineStr">
        <is>
          <t>2027-03</t>
        </is>
      </c>
      <c r="I70" s="16" t="inlineStr">
        <is>
          <t>未着手</t>
        </is>
      </c>
      <c r="J70" s="11" t="n">
        <v>0</v>
      </c>
      <c r="K70" s="11" t="n">
        <v>1</v>
      </c>
      <c r="L70" s="5" t="inlineStr">
        <is>
          <t>―</t>
        </is>
      </c>
      <c r="M70" s="5" t="inlineStr">
        <is>
          <t>全成果品の完成</t>
        </is>
      </c>
    </row>
  </sheetData>
  <autoFilter ref="A1:M7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10" t="inlineStr">
        <is>
          <t>段階</t>
        </is>
      </c>
      <c r="B1" s="10" t="inlineStr">
        <is>
          <t>作業数</t>
        </is>
      </c>
      <c r="C1" s="10" t="inlineStr">
        <is>
          <t>完了</t>
        </is>
      </c>
      <c r="D1" s="10" t="inlineStr">
        <is>
          <t>進行中</t>
        </is>
      </c>
      <c r="E1" s="10" t="inlineStr">
        <is>
          <t>要対応</t>
        </is>
      </c>
      <c r="F1" s="10" t="inlineStr">
        <is>
          <t>データ待ち</t>
        </is>
      </c>
      <c r="G1" s="10" t="inlineStr">
        <is>
          <t>未着手</t>
        </is>
      </c>
      <c r="H1" s="10" t="inlineStr">
        <is>
          <t>加重進捗率</t>
        </is>
      </c>
      <c r="I1" s="10" t="inlineStr">
        <is>
          <t>予定開始</t>
        </is>
      </c>
      <c r="J1" s="10" t="inlineStr">
        <is>
          <t>予定完了</t>
        </is>
      </c>
      <c r="K1" s="10" t="inlineStr">
        <is>
          <t>律速要因</t>
        </is>
      </c>
    </row>
    <row r="2">
      <c r="A2" s="5" t="inlineStr">
        <is>
          <t>P1 準備・現状把握</t>
        </is>
      </c>
      <c r="B2" s="11">
        <f>COUNTIF('01_WBS'!$A$2:$A$70,$A2)</f>
        <v/>
      </c>
      <c r="C2" s="11">
        <f>COUNTIFS('01_WBS'!$A$2:$A$70,$A2,'01_WBS'!$I$2:$I$70,"完了")</f>
        <v/>
      </c>
      <c r="D2" s="11">
        <f>COUNTIFS('01_WBS'!$A$2:$A$70,$A2,'01_WBS'!$I$2:$I$70,"進行中")</f>
        <v/>
      </c>
      <c r="E2" s="11">
        <f>COUNTIFS('01_WBS'!$A$2:$A$70,$A2,'01_WBS'!$I$2:$I$70,"要対応")</f>
        <v/>
      </c>
      <c r="F2" s="11">
        <f>COUNTIFS('01_WBS'!$A$2:$A$70,$A2,'01_WBS'!$I$2:$I$70,"データ待ち")</f>
        <v/>
      </c>
      <c r="G2" s="11">
        <f>COUNTIFS('01_WBS'!$A$2:$A$70,$A2,'01_WBS'!$I$2:$I$70,"未着手")</f>
        <v/>
      </c>
      <c r="H2" s="17">
        <f>IF(SUMPRODUCT(('01_WBS'!$A$2:$A$70=$A2)*'01_WBS'!$K$2:$K$70)=0,0,SUMPRODUCT(('01_WBS'!$A$2:$A$70=$A2)*'01_WBS'!$J$2:$J$70*'01_WBS'!$K$2:$K$70)/SUMPRODUCT(('01_WBS'!$A$2:$A$70=$A2)*'01_WBS'!$K$2:$K$70)/100)</f>
        <v/>
      </c>
      <c r="I2" s="11" t="inlineStr">
        <is>
          <t>2026-06</t>
        </is>
      </c>
      <c r="J2" s="11" t="inlineStr">
        <is>
          <t>2026-09</t>
        </is>
      </c>
      <c r="K2" s="5" t="inlineStr">
        <is>
          <t>村資料の受領（依頼29件・受領4件）</t>
        </is>
      </c>
    </row>
    <row r="3">
      <c r="A3" s="5" t="inlineStr">
        <is>
          <t>P2 基礎調査</t>
        </is>
      </c>
      <c r="B3" s="11">
        <f>COUNTIF('01_WBS'!$A$2:$A$70,$A3)</f>
        <v/>
      </c>
      <c r="C3" s="11">
        <f>COUNTIFS('01_WBS'!$A$2:$A$70,$A3,'01_WBS'!$I$2:$I$70,"完了")</f>
        <v/>
      </c>
      <c r="D3" s="11">
        <f>COUNTIFS('01_WBS'!$A$2:$A$70,$A3,'01_WBS'!$I$2:$I$70,"進行中")</f>
        <v/>
      </c>
      <c r="E3" s="11">
        <f>COUNTIFS('01_WBS'!$A$2:$A$70,$A3,'01_WBS'!$I$2:$I$70,"要対応")</f>
        <v/>
      </c>
      <c r="F3" s="11">
        <f>COUNTIFS('01_WBS'!$A$2:$A$70,$A3,'01_WBS'!$I$2:$I$70,"データ待ち")</f>
        <v/>
      </c>
      <c r="G3" s="11">
        <f>COUNTIFS('01_WBS'!$A$2:$A$70,$A3,'01_WBS'!$I$2:$I$70,"未着手")</f>
        <v/>
      </c>
      <c r="H3" s="17">
        <f>IF(SUMPRODUCT(('01_WBS'!$A$2:$A$70=$A3)*'01_WBS'!$K$2:$K$70)=0,0,SUMPRODUCT(('01_WBS'!$A$2:$A$70=$A3)*'01_WBS'!$J$2:$J$70*'01_WBS'!$K$2:$K$70)/SUMPRODUCT(('01_WBS'!$A$2:$A$70=$A3)*'01_WBS'!$K$2:$K$70)/100)</f>
        <v/>
      </c>
      <c r="I3" s="11" t="inlineStr">
        <is>
          <t>2026-07</t>
        </is>
      </c>
      <c r="J3" s="11" t="inlineStr">
        <is>
          <t>2026-09</t>
        </is>
      </c>
      <c r="K3" s="5" t="inlineStr">
        <is>
          <t>―（基本指針は令和8年3月31日告示、実態調査PDCAマニュアルは同年8月改定。いずれも確認済み）</t>
        </is>
      </c>
    </row>
    <row r="4">
      <c r="A4" s="5" t="inlineStr">
        <is>
          <t>P3 統計分析</t>
        </is>
      </c>
      <c r="B4" s="11">
        <f>COUNTIF('01_WBS'!$A$2:$A$70,$A4)</f>
        <v/>
      </c>
      <c r="C4" s="11">
        <f>COUNTIFS('01_WBS'!$A$2:$A$70,$A4,'01_WBS'!$I$2:$I$70,"完了")</f>
        <v/>
      </c>
      <c r="D4" s="11">
        <f>COUNTIFS('01_WBS'!$A$2:$A$70,$A4,'01_WBS'!$I$2:$I$70,"進行中")</f>
        <v/>
      </c>
      <c r="E4" s="11">
        <f>COUNTIFS('01_WBS'!$A$2:$A$70,$A4,'01_WBS'!$I$2:$I$70,"要対応")</f>
        <v/>
      </c>
      <c r="F4" s="11">
        <f>COUNTIFS('01_WBS'!$A$2:$A$70,$A4,'01_WBS'!$I$2:$I$70,"データ待ち")</f>
        <v/>
      </c>
      <c r="G4" s="11">
        <f>COUNTIFS('01_WBS'!$A$2:$A$70,$A4,'01_WBS'!$I$2:$I$70,"未着手")</f>
        <v/>
      </c>
      <c r="H4" s="17">
        <f>IF(SUMPRODUCT(('01_WBS'!$A$2:$A$70=$A4)*'01_WBS'!$K$2:$K$70)=0,0,SUMPRODUCT(('01_WBS'!$A$2:$A$70=$A4)*'01_WBS'!$J$2:$J$70*'01_WBS'!$K$2:$K$70)/SUMPRODUCT(('01_WBS'!$A$2:$A$70=$A4)*'01_WBS'!$K$2:$K$70)/100)</f>
        <v/>
      </c>
      <c r="I4" s="11" t="inlineStr">
        <is>
          <t>2026-07</t>
        </is>
      </c>
      <c r="J4" s="11" t="inlineStr">
        <is>
          <t>2026-10</t>
        </is>
      </c>
      <c r="K4" s="5" t="inlineStr">
        <is>
          <t>年齢階級別の手帳所持者数・人口（未受領）</t>
        </is>
      </c>
    </row>
    <row r="5">
      <c r="A5" s="5" t="inlineStr">
        <is>
          <t>P4 ニーズ調査</t>
        </is>
      </c>
      <c r="B5" s="11">
        <f>COUNTIF('01_WBS'!$A$2:$A$70,$A5)</f>
        <v/>
      </c>
      <c r="C5" s="11">
        <f>COUNTIFS('01_WBS'!$A$2:$A$70,$A5,'01_WBS'!$I$2:$I$70,"完了")</f>
        <v/>
      </c>
      <c r="D5" s="11">
        <f>COUNTIFS('01_WBS'!$A$2:$A$70,$A5,'01_WBS'!$I$2:$I$70,"進行中")</f>
        <v/>
      </c>
      <c r="E5" s="11">
        <f>COUNTIFS('01_WBS'!$A$2:$A$70,$A5,'01_WBS'!$I$2:$I$70,"要対応")</f>
        <v/>
      </c>
      <c r="F5" s="11">
        <f>COUNTIFS('01_WBS'!$A$2:$A$70,$A5,'01_WBS'!$I$2:$I$70,"データ待ち")</f>
        <v/>
      </c>
      <c r="G5" s="11">
        <f>COUNTIFS('01_WBS'!$A$2:$A$70,$A5,'01_WBS'!$I$2:$I$70,"未着手")</f>
        <v/>
      </c>
      <c r="H5" s="17">
        <f>IF(SUMPRODUCT(('01_WBS'!$A$2:$A$70=$A5)*'01_WBS'!$K$2:$K$70)=0,0,SUMPRODUCT(('01_WBS'!$A$2:$A$70=$A5)*'01_WBS'!$J$2:$J$70*'01_WBS'!$K$2:$K$70)/SUMPRODUCT(('01_WBS'!$A$2:$A$70=$A5)*'01_WBS'!$K$2:$K$70)/100)</f>
        <v/>
      </c>
      <c r="I5" s="11" t="inlineStr">
        <is>
          <t>2026-07</t>
        </is>
      </c>
      <c r="J5" s="11" t="inlineStr">
        <is>
          <t>2026-09</t>
        </is>
      </c>
      <c r="K5" s="5" t="inlineStr">
        <is>
          <t>印刷仕様・宛名ラベル・対象者数の3点。本業務の最大の律速</t>
        </is>
      </c>
    </row>
    <row r="6">
      <c r="A6" s="5" t="inlineStr">
        <is>
          <t>P5 集計・分析</t>
        </is>
      </c>
      <c r="B6" s="11">
        <f>COUNTIF('01_WBS'!$A$2:$A$70,$A6)</f>
        <v/>
      </c>
      <c r="C6" s="11">
        <f>COUNTIFS('01_WBS'!$A$2:$A$70,$A6,'01_WBS'!$I$2:$I$70,"完了")</f>
        <v/>
      </c>
      <c r="D6" s="11">
        <f>COUNTIFS('01_WBS'!$A$2:$A$70,$A6,'01_WBS'!$I$2:$I$70,"進行中")</f>
        <v/>
      </c>
      <c r="E6" s="11">
        <f>COUNTIFS('01_WBS'!$A$2:$A$70,$A6,'01_WBS'!$I$2:$I$70,"要対応")</f>
        <v/>
      </c>
      <c r="F6" s="11">
        <f>COUNTIFS('01_WBS'!$A$2:$A$70,$A6,'01_WBS'!$I$2:$I$70,"データ待ち")</f>
        <v/>
      </c>
      <c r="G6" s="11">
        <f>COUNTIFS('01_WBS'!$A$2:$A$70,$A6,'01_WBS'!$I$2:$I$70,"未着手")</f>
        <v/>
      </c>
      <c r="H6" s="17">
        <f>IF(SUMPRODUCT(('01_WBS'!$A$2:$A$70=$A6)*'01_WBS'!$K$2:$K$70)=0,0,SUMPRODUCT(('01_WBS'!$A$2:$A$70=$A6)*'01_WBS'!$J$2:$J$70*'01_WBS'!$K$2:$K$70)/SUMPRODUCT(('01_WBS'!$A$2:$A$70=$A6)*'01_WBS'!$K$2:$K$70)/100)</f>
        <v/>
      </c>
      <c r="I6" s="11" t="inlineStr">
        <is>
          <t>2026-09</t>
        </is>
      </c>
      <c r="J6" s="11" t="inlineStr">
        <is>
          <t>2026-12</t>
        </is>
      </c>
      <c r="K6" s="5" t="inlineStr">
        <is>
          <t>アンケートの回収</t>
        </is>
      </c>
    </row>
    <row r="7">
      <c r="A7" s="5" t="inlineStr">
        <is>
          <t>P6 現行計画の評価</t>
        </is>
      </c>
      <c r="B7" s="11">
        <f>COUNTIF('01_WBS'!$A$2:$A$70,$A7)</f>
        <v/>
      </c>
      <c r="C7" s="11">
        <f>COUNTIFS('01_WBS'!$A$2:$A$70,$A7,'01_WBS'!$I$2:$I$70,"完了")</f>
        <v/>
      </c>
      <c r="D7" s="11">
        <f>COUNTIFS('01_WBS'!$A$2:$A$70,$A7,'01_WBS'!$I$2:$I$70,"進行中")</f>
        <v/>
      </c>
      <c r="E7" s="11">
        <f>COUNTIFS('01_WBS'!$A$2:$A$70,$A7,'01_WBS'!$I$2:$I$70,"要対応")</f>
        <v/>
      </c>
      <c r="F7" s="11">
        <f>COUNTIFS('01_WBS'!$A$2:$A$70,$A7,'01_WBS'!$I$2:$I$70,"データ待ち")</f>
        <v/>
      </c>
      <c r="G7" s="11">
        <f>COUNTIFS('01_WBS'!$A$2:$A$70,$A7,'01_WBS'!$I$2:$I$70,"未着手")</f>
        <v/>
      </c>
      <c r="H7" s="17">
        <f>IF(SUMPRODUCT(('01_WBS'!$A$2:$A$70=$A7)*'01_WBS'!$K$2:$K$70)=0,0,SUMPRODUCT(('01_WBS'!$A$2:$A$70=$A7)*'01_WBS'!$J$2:$J$70*'01_WBS'!$K$2:$K$70)/SUMPRODUCT(('01_WBS'!$A$2:$A$70=$A7)*'01_WBS'!$K$2:$K$70)/100)</f>
        <v/>
      </c>
      <c r="I7" s="11" t="inlineStr">
        <is>
          <t>2026-08</t>
        </is>
      </c>
      <c r="J7" s="11" t="inlineStr">
        <is>
          <t>2026-11</t>
        </is>
      </c>
      <c r="K7" s="5" t="inlineStr">
        <is>
          <t>令和6・7年度の実績と令和8年度見込</t>
        </is>
      </c>
    </row>
    <row r="8">
      <c r="A8" s="5" t="inlineStr">
        <is>
          <t>P7 推計・見込量</t>
        </is>
      </c>
      <c r="B8" s="11">
        <f>COUNTIF('01_WBS'!$A$2:$A$70,$A8)</f>
        <v/>
      </c>
      <c r="C8" s="11">
        <f>COUNTIFS('01_WBS'!$A$2:$A$70,$A8,'01_WBS'!$I$2:$I$70,"完了")</f>
        <v/>
      </c>
      <c r="D8" s="11">
        <f>COUNTIFS('01_WBS'!$A$2:$A$70,$A8,'01_WBS'!$I$2:$I$70,"進行中")</f>
        <v/>
      </c>
      <c r="E8" s="11">
        <f>COUNTIFS('01_WBS'!$A$2:$A$70,$A8,'01_WBS'!$I$2:$I$70,"要対応")</f>
        <v/>
      </c>
      <c r="F8" s="11">
        <f>COUNTIFS('01_WBS'!$A$2:$A$70,$A8,'01_WBS'!$I$2:$I$70,"データ待ち")</f>
        <v/>
      </c>
      <c r="G8" s="11">
        <f>COUNTIFS('01_WBS'!$A$2:$A$70,$A8,'01_WBS'!$I$2:$I$70,"未着手")</f>
        <v/>
      </c>
      <c r="H8" s="17">
        <f>IF(SUMPRODUCT(('01_WBS'!$A$2:$A$70=$A8)*'01_WBS'!$K$2:$K$70)=0,0,SUMPRODUCT(('01_WBS'!$A$2:$A$70=$A8)*'01_WBS'!$J$2:$J$70*'01_WBS'!$K$2:$K$70)/SUMPRODUCT(('01_WBS'!$A$2:$A$70=$A8)*'01_WBS'!$K$2:$K$70)/100)</f>
        <v/>
      </c>
      <c r="I8" s="11" t="inlineStr">
        <is>
          <t>2026-08</t>
        </is>
      </c>
      <c r="J8" s="11" t="inlineStr">
        <is>
          <t>2026-12</t>
        </is>
      </c>
      <c r="K8" s="5" t="inlineStr">
        <is>
          <t>村の実績データ。算式は実装済みで、値が入れば給付費・財源まで通る</t>
        </is>
      </c>
    </row>
    <row r="9">
      <c r="A9" s="5" t="inlineStr">
        <is>
          <t>P8 施策検討・計画案</t>
        </is>
      </c>
      <c r="B9" s="11">
        <f>COUNTIF('01_WBS'!$A$2:$A$70,$A9)</f>
        <v/>
      </c>
      <c r="C9" s="11">
        <f>COUNTIFS('01_WBS'!$A$2:$A$70,$A9,'01_WBS'!$I$2:$I$70,"完了")</f>
        <v/>
      </c>
      <c r="D9" s="11">
        <f>COUNTIFS('01_WBS'!$A$2:$A$70,$A9,'01_WBS'!$I$2:$I$70,"進行中")</f>
        <v/>
      </c>
      <c r="E9" s="11">
        <f>COUNTIFS('01_WBS'!$A$2:$A$70,$A9,'01_WBS'!$I$2:$I$70,"要対応")</f>
        <v/>
      </c>
      <c r="F9" s="11">
        <f>COUNTIFS('01_WBS'!$A$2:$A$70,$A9,'01_WBS'!$I$2:$I$70,"データ待ち")</f>
        <v/>
      </c>
      <c r="G9" s="11">
        <f>COUNTIFS('01_WBS'!$A$2:$A$70,$A9,'01_WBS'!$I$2:$I$70,"未着手")</f>
        <v/>
      </c>
      <c r="H9" s="17">
        <f>IF(SUMPRODUCT(('01_WBS'!$A$2:$A$70=$A9)*'01_WBS'!$K$2:$K$70)=0,0,SUMPRODUCT(('01_WBS'!$A$2:$A$70=$A9)*'01_WBS'!$J$2:$J$70*'01_WBS'!$K$2:$K$70)/SUMPRODUCT(('01_WBS'!$A$2:$A$70=$A9)*'01_WBS'!$K$2:$K$70)/100)</f>
        <v/>
      </c>
      <c r="I9" s="11" t="inlineStr">
        <is>
          <t>2026-07</t>
        </is>
      </c>
      <c r="J9" s="11" t="inlineStr">
        <is>
          <t>2027-01</t>
        </is>
      </c>
      <c r="K9" s="5" t="inlineStr">
        <is>
          <t>P5・P7の完了</t>
        </is>
      </c>
    </row>
    <row r="10">
      <c r="A10" s="5" t="inlineStr">
        <is>
          <t>P9 意見聴取</t>
        </is>
      </c>
      <c r="B10" s="11">
        <f>COUNTIF('01_WBS'!$A$2:$A$70,$A10)</f>
        <v/>
      </c>
      <c r="C10" s="11">
        <f>COUNTIFS('01_WBS'!$A$2:$A$70,$A10,'01_WBS'!$I$2:$I$70,"完了")</f>
        <v/>
      </c>
      <c r="D10" s="11">
        <f>COUNTIFS('01_WBS'!$A$2:$A$70,$A10,'01_WBS'!$I$2:$I$70,"進行中")</f>
        <v/>
      </c>
      <c r="E10" s="11">
        <f>COUNTIFS('01_WBS'!$A$2:$A$70,$A10,'01_WBS'!$I$2:$I$70,"要対応")</f>
        <v/>
      </c>
      <c r="F10" s="11">
        <f>COUNTIFS('01_WBS'!$A$2:$A$70,$A10,'01_WBS'!$I$2:$I$70,"データ待ち")</f>
        <v/>
      </c>
      <c r="G10" s="11">
        <f>COUNTIFS('01_WBS'!$A$2:$A$70,$A10,'01_WBS'!$I$2:$I$70,"未着手")</f>
        <v/>
      </c>
      <c r="H10" s="17">
        <f>IF(SUMPRODUCT(('01_WBS'!$A$2:$A$70=$A10)*'01_WBS'!$K$2:$K$70)=0,0,SUMPRODUCT(('01_WBS'!$A$2:$A$70=$A10)*'01_WBS'!$J$2:$J$70*'01_WBS'!$K$2:$K$70)/SUMPRODUCT(('01_WBS'!$A$2:$A$70=$A10)*'01_WBS'!$K$2:$K$70)/100)</f>
        <v/>
      </c>
      <c r="I10" s="11" t="inlineStr">
        <is>
          <t>2026-12</t>
        </is>
      </c>
      <c r="J10" s="11" t="inlineStr">
        <is>
          <t>2027-02</t>
        </is>
      </c>
      <c r="K10" s="5" t="inlineStr">
        <is>
          <t>協議会の開催時期が未定</t>
        </is>
      </c>
    </row>
    <row r="11">
      <c r="A11" s="5" t="inlineStr">
        <is>
          <t>P10 完成・納品</t>
        </is>
      </c>
      <c r="B11" s="11">
        <f>COUNTIF('01_WBS'!$A$2:$A$70,$A11)</f>
        <v/>
      </c>
      <c r="C11" s="11">
        <f>COUNTIFS('01_WBS'!$A$2:$A$70,$A11,'01_WBS'!$I$2:$I$70,"完了")</f>
        <v/>
      </c>
      <c r="D11" s="11">
        <f>COUNTIFS('01_WBS'!$A$2:$A$70,$A11,'01_WBS'!$I$2:$I$70,"進行中")</f>
        <v/>
      </c>
      <c r="E11" s="11">
        <f>COUNTIFS('01_WBS'!$A$2:$A$70,$A11,'01_WBS'!$I$2:$I$70,"要対応")</f>
        <v/>
      </c>
      <c r="F11" s="11">
        <f>COUNTIFS('01_WBS'!$A$2:$A$70,$A11,'01_WBS'!$I$2:$I$70,"データ待ち")</f>
        <v/>
      </c>
      <c r="G11" s="11">
        <f>COUNTIFS('01_WBS'!$A$2:$A$70,$A11,'01_WBS'!$I$2:$I$70,"未着手")</f>
        <v/>
      </c>
      <c r="H11" s="17">
        <f>IF(SUMPRODUCT(('01_WBS'!$A$2:$A$70=$A11)*'01_WBS'!$K$2:$K$70)=0,0,SUMPRODUCT(('01_WBS'!$A$2:$A$70=$A11)*'01_WBS'!$J$2:$J$70*'01_WBS'!$K$2:$K$70)/SUMPRODUCT(('01_WBS'!$A$2:$A$70=$A11)*'01_WBS'!$K$2:$K$70)/100)</f>
        <v/>
      </c>
      <c r="I11" s="11" t="inlineStr">
        <is>
          <t>2027-01</t>
        </is>
      </c>
      <c r="J11" s="11" t="inlineStr">
        <is>
          <t>2027-03</t>
        </is>
      </c>
      <c r="K11" s="5" t="inlineStr">
        <is>
          <t>令和9年3月31日が業務期間の末日</t>
        </is>
      </c>
    </row>
    <row r="12">
      <c r="A12" s="18" t="inlineStr">
        <is>
          <t>合計</t>
        </is>
      </c>
      <c r="B12" s="18">
        <f>SUM(B2:B11)</f>
        <v/>
      </c>
      <c r="C12" s="18">
        <f>SUM(C2:C11)</f>
        <v/>
      </c>
      <c r="D12" s="18">
        <f>SUM(D2:D11)</f>
        <v/>
      </c>
      <c r="E12" s="18">
        <f>SUM(E2:E11)</f>
        <v/>
      </c>
      <c r="F12" s="18">
        <f>SUM(F2:F11)</f>
        <v/>
      </c>
      <c r="G12" s="18">
        <f>SUM(G2:G11)</f>
        <v/>
      </c>
      <c r="H12" s="19">
        <f>IF(SUMPRODUCT('01_WBS'!$K$2:$K$70)=0,0,SUMPRODUCT('01_WBS'!$J$2:$J$70*'01_WBS'!$K$2:$K$70)/SUMPRODUCT('01_WBS'!$K$2:$K$70)/100)</f>
        <v/>
      </c>
      <c r="I12" s="18" t="inlineStr">
        <is>
          <t>2026-06</t>
        </is>
      </c>
      <c r="J12" s="18" t="inlineStr">
        <is>
          <t>2027-03</t>
        </is>
      </c>
      <c r="K12" s="18" t="inlineStr"/>
    </row>
    <row r="14">
      <c r="A14" t="inlineStr">
        <is>
          <t>※ 加重進捗率＝Σ（進捗率×重み）÷Σ重み。重みは工数の目安（1〜5）。</t>
        </is>
      </c>
    </row>
    <row r="15">
      <c r="A15" t="inlineStr">
        <is>
          <t>※ 01_WBS の「状態」「進捗率」を書き換えると、本表とダッシュボードが再計算されます。</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7" customWidth="1" min="1" max="1"/>
    <col width="40" customWidth="1" min="2" max="2"/>
    <col width="40" customWidth="1" min="3" max="3"/>
    <col width="14" customWidth="1" min="4" max="4"/>
    <col width="11" customWidth="1" min="5" max="5"/>
    <col width="8" customWidth="1" min="6" max="6"/>
    <col width="52" customWidth="1" min="7" max="7"/>
    <col width="46" customWidth="1" min="8" max="8"/>
  </cols>
  <sheetData>
    <row r="1">
      <c r="A1" s="10" t="inlineStr">
        <is>
          <t>成果品</t>
        </is>
      </c>
      <c r="B1" s="10" t="inlineStr">
        <is>
          <t>名称</t>
        </is>
      </c>
      <c r="C1" s="10" t="inlineStr">
        <is>
          <t>納品仕様</t>
        </is>
      </c>
      <c r="D1" s="10" t="inlineStr">
        <is>
          <t>版</t>
        </is>
      </c>
      <c r="E1" s="10" t="inlineStr">
        <is>
          <t>状態</t>
        </is>
      </c>
      <c r="F1" s="10" t="inlineStr">
        <is>
          <t>進捗率</t>
        </is>
      </c>
      <c r="G1" s="10" t="inlineStr">
        <is>
          <t>現状</t>
        </is>
      </c>
      <c r="H1" s="10" t="inlineStr">
        <is>
          <t>確定に必要なもの</t>
        </is>
      </c>
    </row>
    <row r="2">
      <c r="A2" s="11" t="inlineStr">
        <is>
          <t>①</t>
        </is>
      </c>
      <c r="B2" s="5" t="inlineStr">
        <is>
          <t>第8期北塩原村障がい福祉計画・第4期北塩原村障がい児福祉計画</t>
        </is>
      </c>
      <c r="C2" s="5" t="inlineStr">
        <is>
          <t>A4判・両面 約60頁・モノクロ・コピー・くるみ製本 30部</t>
        </is>
      </c>
      <c r="D2" s="11" t="inlineStr">
        <is>
          <t>素案</t>
        </is>
      </c>
      <c r="E2" s="14" t="inlineStr">
        <is>
          <t>進行中</t>
        </is>
      </c>
      <c r="F2" s="11" t="n">
        <v>72</v>
      </c>
      <c r="G2" s="5" t="inlineStr">
        <is>
          <t>全8章・57節・107表・392段落・図9点。目次を整理しページ番号を付与（目次からリンクで飛べる。推定58頁）。障がい福祉サービスの体系・表記の注記・用語解説を追加。推計方法・年齢到達移行・活動指標・財源構成の4節を新設</t>
        </is>
      </c>
      <c r="H2" s="5" t="inlineStr">
        <is>
          <t>アンケート結果、令和6〜8年度の実績、見込量・成果目標の確定、協議会・パブコメ</t>
        </is>
      </c>
    </row>
    <row r="3">
      <c r="A3" s="11" t="inlineStr">
        <is>
          <t>②</t>
        </is>
      </c>
      <c r="B3" s="5" t="inlineStr">
        <is>
          <t>アンケート調査結果報告書</t>
        </is>
      </c>
      <c r="C3" s="5" t="inlineStr">
        <is>
          <t>A4判・両面 約60頁・モノクロ・コピー・ホチキス製本 10部</t>
        </is>
      </c>
      <c r="D3" s="11" t="inlineStr">
        <is>
          <t>―</t>
        </is>
      </c>
      <c r="E3" s="16" t="inlineStr">
        <is>
          <t>未着手</t>
        </is>
      </c>
      <c r="F3" s="11" t="n">
        <v>10</v>
      </c>
      <c r="G3" s="5" t="inlineStr">
        <is>
          <t>集計分析方法（少数母数対応）とクロス集計の設計は作成済み。報告書本体は未着手</t>
        </is>
      </c>
      <c r="H3" s="5" t="inlineStr">
        <is>
          <t>アンケートの発送・回収・集計</t>
        </is>
      </c>
    </row>
    <row r="4">
      <c r="A4" s="11" t="inlineStr">
        <is>
          <t>③</t>
        </is>
      </c>
      <c r="B4" s="5" t="inlineStr">
        <is>
          <t>電子媒体</t>
        </is>
      </c>
      <c r="C4" s="5" t="inlineStr">
        <is>
          <t>①②の電子データ一式</t>
        </is>
      </c>
      <c r="D4" s="11" t="inlineStr">
        <is>
          <t>―</t>
        </is>
      </c>
      <c r="E4" s="16" t="inlineStr">
        <is>
          <t>未着手</t>
        </is>
      </c>
      <c r="F4" s="11" t="n">
        <v>0</v>
      </c>
      <c r="G4" s="5" t="inlineStr">
        <is>
          <t>―</t>
        </is>
      </c>
      <c r="H4" s="5" t="inlineStr">
        <is>
          <t>①②の確定。編集可能形式とPDFの別を村に確認する</t>
        </is>
      </c>
    </row>
    <row r="5">
      <c r="A5" s="11" t="inlineStr">
        <is>
          <t>参考</t>
        </is>
      </c>
      <c r="B5" s="5" t="inlineStr">
        <is>
          <t>計画の概要版</t>
        </is>
      </c>
      <c r="C5" s="5" t="inlineStr">
        <is>
          <t>A4判・4頁（部数・仕様は未確定）</t>
        </is>
      </c>
      <c r="D5" s="11" t="inlineStr">
        <is>
          <t>素案 概要版</t>
        </is>
      </c>
      <c r="E5" s="14" t="inlineStr">
        <is>
          <t>進行中</t>
        </is>
      </c>
      <c r="F5" s="11" t="n">
        <v>70</v>
      </c>
      <c r="G5" s="5" t="inlineStr">
        <is>
          <t>令和8年9月17日に村の指示により作成。背景・位置づけ・期間・基本指針の見直し・現状・基本理念・基本目標・施策体系・成果目標8区分・見込量・推進体制・成年後見の12節</t>
        </is>
      </c>
      <c r="H5" s="5" t="inlineStr">
        <is>
          <t>①と同じ現状値・目標値の確定。仕様書5の成果品3点に含まれないため部数・費用の整理</t>
        </is>
      </c>
    </row>
    <row r="7">
      <c r="A7" t="inlineStr">
        <is>
          <t>※ 進捗率は目安。納品仕様（部数・製本）を満たして初めて完了となる。</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14" customWidth="1" min="1" max="1"/>
    <col width="52" customWidth="1" min="2" max="2"/>
    <col width="18" customWidth="1" min="3" max="3"/>
    <col width="11" customWidth="1" min="4" max="4"/>
    <col width="52" customWidth="1" min="5" max="5"/>
  </cols>
  <sheetData>
    <row r="1">
      <c r="A1" s="10" t="inlineStr">
        <is>
          <t>時期</t>
        </is>
      </c>
      <c r="B1" s="10" t="inlineStr">
        <is>
          <t>作業</t>
        </is>
      </c>
      <c r="C1" s="10" t="inlineStr">
        <is>
          <t>担当</t>
        </is>
      </c>
      <c r="D1" s="10" t="inlineStr">
        <is>
          <t>状態</t>
        </is>
      </c>
      <c r="E1" s="10" t="inlineStr">
        <is>
          <t>備考</t>
        </is>
      </c>
    </row>
    <row r="2">
      <c r="A2" s="11" t="inlineStr">
        <is>
          <t>2026-08</t>
        </is>
      </c>
      <c r="B2" s="5" t="inlineStr">
        <is>
          <t>印刷仕様の確定、宛名ラベルの受領、対象者数の確定</t>
        </is>
      </c>
      <c r="C2" s="11" t="inlineStr">
        <is>
          <t>受託者・北塩原村</t>
        </is>
      </c>
      <c r="D2" s="15" t="inlineStr">
        <is>
          <t>要対応</t>
        </is>
      </c>
      <c r="E2" s="5" t="inlineStr">
        <is>
          <t>アンケート発送のクリティカルパス。いずれも未了。調査票は8月25日版で確定済み</t>
        </is>
      </c>
    </row>
    <row r="3">
      <c r="A3" s="11" t="inlineStr">
        <is>
          <t>2026-08〜09</t>
        </is>
      </c>
      <c r="B3" s="5" t="inlineStr">
        <is>
          <t>アンケートの印刷・封入・発送</t>
        </is>
      </c>
      <c r="C3" s="11" t="inlineStr">
        <is>
          <t>受託者</t>
        </is>
      </c>
      <c r="D3" s="15" t="inlineStr">
        <is>
          <t>要対応</t>
        </is>
      </c>
      <c r="E3" s="5" t="inlineStr">
        <is>
          <t>工程案は8月上旬発送。既に超過している</t>
        </is>
      </c>
    </row>
    <row r="4">
      <c r="A4" s="11" t="inlineStr">
        <is>
          <t>2026-09</t>
        </is>
      </c>
      <c r="B4" s="5" t="inlineStr">
        <is>
          <t>アンケートの回収（約1か月）、村実績データの受領</t>
        </is>
      </c>
      <c r="C4" s="11" t="inlineStr">
        <is>
          <t>北塩原村・受託者</t>
        </is>
      </c>
      <c r="D4" s="16" t="inlineStr">
        <is>
          <t>未着手</t>
        </is>
      </c>
      <c r="E4" s="5" t="inlineStr">
        <is>
          <t>返送先は村役場。窓口での現地回収</t>
        </is>
      </c>
    </row>
    <row r="5">
      <c r="A5" s="11" t="inlineStr">
        <is>
          <t>2026-10</t>
        </is>
      </c>
      <c r="B5" s="5" t="inlineStr">
        <is>
          <t>データ入力・集計、現行計画の評価の確定</t>
        </is>
      </c>
      <c r="C5" s="11" t="inlineStr">
        <is>
          <t>受託者</t>
        </is>
      </c>
      <c r="D5" s="16" t="inlineStr">
        <is>
          <t>未着手</t>
        </is>
      </c>
      <c r="E5" s="5" t="inlineStr">
        <is>
          <t>厚生労働省の集計様式による入力。少数母数の公表基準を事前に合意する</t>
        </is>
      </c>
    </row>
    <row r="6">
      <c r="A6" s="11" t="inlineStr">
        <is>
          <t>2026-11</t>
        </is>
      </c>
      <c r="B6" s="5" t="inlineStr">
        <is>
          <t>見込量・成果目標・活動指標・給付費の確定</t>
        </is>
      </c>
      <c r="C6" s="11" t="inlineStr">
        <is>
          <t>受託者</t>
        </is>
      </c>
      <c r="D6" s="16" t="inlineStr">
        <is>
          <t>未着手</t>
        </is>
      </c>
      <c r="E6" s="5" t="inlineStr">
        <is>
          <t>算式は実装済み。実績データが入れば財源構成まで通る</t>
        </is>
      </c>
    </row>
    <row r="7">
      <c r="A7" s="11" t="inlineStr">
        <is>
          <t>2026-12</t>
        </is>
      </c>
      <c r="B7" s="5" t="inlineStr">
        <is>
          <t>素案の確定、自立支援協議会</t>
        </is>
      </c>
      <c r="C7" s="11" t="inlineStr">
        <is>
          <t>受託者・北塩原村</t>
        </is>
      </c>
      <c r="D7" s="16" t="inlineStr">
        <is>
          <t>未着手</t>
        </is>
      </c>
      <c r="E7" s="5" t="inlineStr">
        <is>
          <t>協議会の開催は1回程度（仕様書4-Ⅱ(7)）。開催時期が未定</t>
        </is>
      </c>
    </row>
    <row r="8">
      <c r="A8" s="11" t="inlineStr">
        <is>
          <t>2027-01</t>
        </is>
      </c>
      <c r="B8" s="5" t="inlineStr">
        <is>
          <t>パブリックコメント、調査結果報告書の作成</t>
        </is>
      </c>
      <c r="C8" s="11" t="inlineStr">
        <is>
          <t>北塩原村・受託者</t>
        </is>
      </c>
      <c r="D8" s="16" t="inlineStr">
        <is>
          <t>未着手</t>
        </is>
      </c>
      <c r="E8" s="5" t="inlineStr">
        <is>
          <t>実施時期が未定</t>
        </is>
      </c>
    </row>
    <row r="9">
      <c r="A9" s="11" t="inlineStr">
        <is>
          <t>2027-02</t>
        </is>
      </c>
      <c r="B9" s="5" t="inlineStr">
        <is>
          <t>意見への対応、計画書の原稿確定、組版</t>
        </is>
      </c>
      <c r="C9" s="11" t="inlineStr">
        <is>
          <t>受託者</t>
        </is>
      </c>
      <c r="D9" s="16" t="inlineStr">
        <is>
          <t>未着手</t>
        </is>
      </c>
      <c r="E9" s="5" t="inlineStr">
        <is>
          <t>前回計画のパブコメは令和6年2月9日〜23日の2週間</t>
        </is>
      </c>
    </row>
    <row r="10">
      <c r="A10" s="11" t="inlineStr">
        <is>
          <t>2027-03</t>
        </is>
      </c>
      <c r="B10" s="5" t="inlineStr">
        <is>
          <t>校正・印刷・製本、納品</t>
        </is>
      </c>
      <c r="C10" s="11" t="inlineStr">
        <is>
          <t>受託者</t>
        </is>
      </c>
      <c r="D10" s="16" t="inlineStr">
        <is>
          <t>未着手</t>
        </is>
      </c>
      <c r="E10" s="5" t="inlineStr">
        <is>
          <t>計画書30部・調査報告書10部・電子媒体。令和9年3月31日が業務期間の末日</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5"/>
  <sheetViews>
    <sheetView workbookViewId="0">
      <pane ySplit="1" topLeftCell="A2" activePane="bottomLeft" state="frozen"/>
      <selection pane="bottomLeft" activeCell="A1" sqref="A1"/>
    </sheetView>
  </sheetViews>
  <sheetFormatPr baseColWidth="8" defaultRowHeight="15"/>
  <cols>
    <col width="10" customWidth="1" min="1" max="1"/>
    <col width="36" customWidth="1" min="2" max="2"/>
    <col width="12" customWidth="1" min="3" max="3"/>
    <col width="11" customWidth="1" min="4" max="4"/>
    <col width="12" customWidth="1" min="5" max="5"/>
    <col width="60" customWidth="1" min="6" max="6"/>
  </cols>
  <sheetData>
    <row r="1">
      <c r="A1" s="10" t="inlineStr">
        <is>
          <t>No</t>
        </is>
      </c>
      <c r="B1" s="10" t="inlineStr">
        <is>
          <t>資料・データ</t>
        </is>
      </c>
      <c r="C1" s="10" t="inlineStr">
        <is>
          <t>提供元</t>
        </is>
      </c>
      <c r="D1" s="10" t="inlineStr">
        <is>
          <t>状態</t>
        </is>
      </c>
      <c r="E1" s="10" t="inlineStr">
        <is>
          <t>受領日</t>
        </is>
      </c>
      <c r="F1" s="10" t="inlineStr">
        <is>
          <t>使途・備考</t>
        </is>
      </c>
    </row>
    <row r="2">
      <c r="A2" s="11" t="inlineStr">
        <is>
          <t>最優先</t>
        </is>
      </c>
      <c r="B2" s="5" t="inlineStr">
        <is>
          <t>本村の過疎区分（全部過疎／一部過疎／みなし過疎）</t>
        </is>
      </c>
      <c r="C2" s="11" t="inlineStr">
        <is>
          <t>北塩原村</t>
        </is>
      </c>
      <c r="D2" s="12" t="inlineStr">
        <is>
          <t>完了</t>
        </is>
      </c>
      <c r="E2" s="11" t="n"/>
      <c r="F2" s="5" t="inlineStr">
        <is>
          <t>【受領済み】福島県「県内の過疎・中山間地域の指定状況」（令和7年4月1日現在）。過疎法第2条により全域が過疎地域。県条例の中山間地域にも全域が該当／反映先：サービス見込量 12_別表第五判定／希望期限：2026-08-05</t>
        </is>
      </c>
    </row>
    <row r="3">
      <c r="A3" s="11" t="inlineStr">
        <is>
          <t>最優先</t>
        </is>
      </c>
      <c r="B3" s="5" t="inlineStr">
        <is>
          <t>村内3事業所の詳細</t>
        </is>
      </c>
      <c r="C3" s="11" t="inlineStr">
        <is>
          <t>北塩原村</t>
        </is>
      </c>
      <c r="D3" s="16" t="inlineStr">
        <is>
          <t>未着手</t>
        </is>
      </c>
      <c r="E3" s="11" t="n"/>
      <c r="F3" s="5" t="inlineStr">
        <is>
          <t>ReMHRAD障害福祉資源で確認した居宅介護1・重度訪問介護1・生活介護1について、事業所名、指定年月、共生型サービスの指定の有無、受入可能人数、送迎範囲／反映先：骨子案修正版 第5章8／サービス見込量 08／希望期限：2026-09-30</t>
        </is>
      </c>
    </row>
    <row r="4">
      <c r="A4" s="11" t="inlineStr">
        <is>
          <t>高</t>
        </is>
      </c>
      <c r="B4" s="5" t="inlineStr">
        <is>
          <t>圏域事業所の制度活用状況</t>
        </is>
      </c>
      <c r="C4" s="11" t="inlineStr">
        <is>
          <t>北塩原村</t>
        </is>
      </c>
      <c r="D4" s="16" t="inlineStr">
        <is>
          <t>未着手</t>
        </is>
      </c>
      <c r="E4" s="11" t="n"/>
      <c r="F4" s="5" t="inlineStr">
        <is>
          <t>共生型サービスの指定の有無、多機能型・従たる事業所の設置可能性、介護保険事業所（訪問介護・居宅介護支援）の居宅介護指定取得の意向／反映先：骨子案修正版 第5章8／サービス見込量 08／希望期限：2026-10-31</t>
        </is>
      </c>
    </row>
    <row r="5">
      <c r="A5" s="11" t="inlineStr">
        <is>
          <t>最優先</t>
        </is>
      </c>
      <c r="B5" s="5" t="inlineStr">
        <is>
          <t>令和7年度末時点の1年以上長期入院者の実数</t>
        </is>
      </c>
      <c r="C5" s="11" t="inlineStr">
        <is>
          <t>北塩原村</t>
        </is>
      </c>
      <c r="D5" s="16" t="inlineStr">
        <is>
          <t>未着手</t>
        </is>
      </c>
      <c r="E5" s="11" t="n"/>
      <c r="F5" s="5"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反映先：骨子案修正版 第4章(2)／希望期限：2026-09-30</t>
        </is>
      </c>
    </row>
    <row r="6">
      <c r="A6" s="11" t="inlineStr">
        <is>
          <t>高</t>
        </is>
      </c>
      <c r="B6" s="5" t="inlineStr">
        <is>
          <t>福島県の長期入院患者に係る基盤整備量（利用者数）</t>
        </is>
      </c>
      <c r="C6" s="11" t="inlineStr">
        <is>
          <t>北塩原村</t>
        </is>
      </c>
      <c r="D6" s="13" t="inlineStr">
        <is>
          <t>データ待ち</t>
        </is>
      </c>
      <c r="E6" s="11" t="n"/>
      <c r="F6" s="5"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65歳未満898人・65歳以上1,656人）のみ掲載し三の項は無いため、県への個別照会が必要／反映先：骨子案修正版 第4章(2)／希望期限：2026-10-31</t>
        </is>
      </c>
    </row>
    <row r="7">
      <c r="A7" s="11" t="inlineStr">
        <is>
          <t>高</t>
        </is>
      </c>
      <c r="B7" s="5" t="inlineStr">
        <is>
          <t>令和6年度の一般就労移行実績・就労定着支援利用実績</t>
        </is>
      </c>
      <c r="C7" s="11" t="inlineStr">
        <is>
          <t>北塩原村</t>
        </is>
      </c>
      <c r="D7" s="16" t="inlineStr">
        <is>
          <t>未着手</t>
        </is>
      </c>
      <c r="E7" s="11" t="n"/>
      <c r="F7" s="5" t="inlineStr">
        <is>
          <t>成果目標の倍率（全体1.31倍、就労移行支援1.14倍、A型おおむね1.52倍、B型おおむね1.67倍、就労定着支援1.47倍）の基準値。事業種別ごとに必要／反映先：骨子案修正版 第4章(3)／希望期限：2026-09-30</t>
        </is>
      </c>
    </row>
    <row r="8">
      <c r="A8" s="11" t="inlineStr">
        <is>
          <t>中</t>
        </is>
      </c>
      <c r="B8" s="5" t="inlineStr">
        <is>
          <t>第7期計画の令和8年度目標の達成見込み</t>
        </is>
      </c>
      <c r="C8" s="11" t="inlineStr">
        <is>
          <t>北塩原村</t>
        </is>
      </c>
      <c r="D8" s="16" t="inlineStr">
        <is>
          <t>未着手</t>
        </is>
      </c>
      <c r="E8" s="11" t="n"/>
      <c r="F8" s="5" t="inlineStr">
        <is>
          <t>未達の場合、未達成割合を令和11年度目標に上乗せする規定がある（第二 一・三）。本村は地域移行0人・削減0人が目標のため、達成／未達の整理が必要／反映先：骨子案修正版 第4章(1)(3)／希望期限：2026-10-31</t>
        </is>
      </c>
    </row>
    <row r="9">
      <c r="A9" s="11" t="inlineStr">
        <is>
          <t>最優先</t>
        </is>
      </c>
      <c r="B9" s="5" t="inlineStr">
        <is>
          <t>年齢別・サービス別の匿名利用者一覧</t>
        </is>
      </c>
      <c r="C9" s="11" t="inlineStr">
        <is>
          <t>北塩原村</t>
        </is>
      </c>
      <c r="D9" s="16" t="inlineStr">
        <is>
          <t>未着手</t>
        </is>
      </c>
      <c r="E9" s="11" t="n"/>
      <c r="F9" s="5" t="inlineStr">
        <is>
          <t>利用者番号、生年月、障害支援区分、利用中のサービス、月利用日数・時間。氏名不要／反映先：サービス見込量 02・03・04／希望期限：2026-08-31</t>
        </is>
      </c>
    </row>
    <row r="10">
      <c r="A10" s="11" t="inlineStr">
        <is>
          <t>最優先</t>
        </is>
      </c>
      <c r="B10" s="5" t="inlineStr">
        <is>
          <t>サービス別の支給決定者数（実人数）</t>
        </is>
      </c>
      <c r="C10" s="11" t="inlineStr">
        <is>
          <t>北塩原村</t>
        </is>
      </c>
      <c r="D10" s="16" t="inlineStr">
        <is>
          <t>未着手</t>
        </is>
      </c>
      <c r="E10" s="11" t="n"/>
      <c r="F10" s="5" t="inlineStr">
        <is>
          <t>請求件数ではなく実人数。計画相談支援は請求と実人数が一致しないため特に必要／反映先：サービス見込量 03・04／希望期限：2026-08-31</t>
        </is>
      </c>
    </row>
    <row r="11">
      <c r="A11" s="11" t="inlineStr">
        <is>
          <t>最優先</t>
        </is>
      </c>
      <c r="B11" s="5" t="inlineStr">
        <is>
          <t>年齢階級別の手帳所持者数・人口</t>
        </is>
      </c>
      <c r="C11" s="11" t="inlineStr">
        <is>
          <t>北塩原村</t>
        </is>
      </c>
      <c r="D11" s="16" t="inlineStr">
        <is>
          <t>未着手</t>
        </is>
      </c>
      <c r="E11" s="11" t="n"/>
      <c r="F11" s="5" t="inlineStr">
        <is>
          <t>身体は0〜17／18〜39／40〜64／65〜74／75歳以上、療育・精神は18歳未満／18〜64／65歳以上／反映先：将来推計 05／希望期限：2026-09-30</t>
        </is>
      </c>
    </row>
    <row r="12">
      <c r="A12" s="11" t="inlineStr">
        <is>
          <t>高</t>
        </is>
      </c>
      <c r="B12" s="5" t="inlineStr">
        <is>
          <t>令和6・7年度実績、令和8年度見込</t>
        </is>
      </c>
      <c r="C12" s="11" t="inlineStr">
        <is>
          <t>北塩原村</t>
        </is>
      </c>
      <c r="D12" s="16" t="inlineStr">
        <is>
          <t>未着手</t>
        </is>
      </c>
      <c r="E12" s="11" t="n"/>
      <c r="F12" s="5" t="inlineStr">
        <is>
          <t>成果目標、サービス別利用者数・利用量、給付費、地域生活支援事業、相談件数／反映先：前回計画評価／サービス見込量／財源構成案／希望期限：2026-09-30</t>
        </is>
      </c>
    </row>
    <row r="13">
      <c r="A13" s="11" t="inlineStr">
        <is>
          <t>高</t>
        </is>
      </c>
      <c r="B13" s="5" t="inlineStr">
        <is>
          <t>発送対象者数（重複除外後）</t>
        </is>
      </c>
      <c r="C13" s="11" t="inlineStr">
        <is>
          <t>北塩原村</t>
        </is>
      </c>
      <c r="D13" s="16" t="inlineStr">
        <is>
          <t>未着手</t>
        </is>
      </c>
      <c r="E13" s="11" t="n"/>
      <c r="F13" s="5" t="inlineStr">
        <is>
          <t>仕様書の約190人の内訳と、現行計画156人との差の理由／反映先：契約管理5／アンケート発送設計／希望期限：2026-08-05</t>
        </is>
      </c>
    </row>
    <row r="14">
      <c r="A14" s="11" t="inlineStr">
        <is>
          <t>高</t>
        </is>
      </c>
      <c r="B14" s="5" t="inlineStr">
        <is>
          <t>宛名ラベルシール</t>
        </is>
      </c>
      <c r="C14" s="11" t="inlineStr">
        <is>
          <t>北塩原村</t>
        </is>
      </c>
      <c r="D14" s="16" t="inlineStr">
        <is>
          <t>未着手</t>
        </is>
      </c>
      <c r="E14" s="11" t="n"/>
      <c r="F14" s="5" t="inlineStr">
        <is>
          <t>仕様書Ⅰ(1)により委託者が抽出し提供／反映先：アンケート発送／希望期限：2026-08-05</t>
        </is>
      </c>
    </row>
    <row r="15">
      <c r="A15" s="11" t="inlineStr">
        <is>
          <t>高</t>
        </is>
      </c>
      <c r="B15" s="5" t="inlineStr">
        <is>
          <t>特別支援学校・特別支援学級の在籍者</t>
        </is>
      </c>
      <c r="C15" s="11" t="inlineStr">
        <is>
          <t>北塩原村</t>
        </is>
      </c>
      <c r="D15" s="16" t="inlineStr">
        <is>
          <t>未着手</t>
        </is>
      </c>
      <c r="E15" s="11" t="n"/>
      <c r="F15" s="5" t="inlineStr">
        <is>
          <t>学年、卒業予定年度、卒業後の進路。令和6〜7年度に卒業した方の現在の利用状況も含む／反映先：サービス見込量 02・03／希望期限：2026-09-30</t>
        </is>
      </c>
    </row>
    <row r="16">
      <c r="A16" s="11" t="inlineStr">
        <is>
          <t>高</t>
        </is>
      </c>
      <c r="B16" s="5" t="inlineStr">
        <is>
          <t>令和9〜11年度の65歳到達者</t>
        </is>
      </c>
      <c r="C16" s="11" t="inlineStr">
        <is>
          <t>北塩原村</t>
        </is>
      </c>
      <c r="D16" s="16" t="inlineStr">
        <is>
          <t>未着手</t>
        </is>
      </c>
      <c r="E16" s="11" t="n"/>
      <c r="F16" s="5" t="inlineStr">
        <is>
          <t>到達年度、現在利用しているサービス、月量／反映先：サービス見込量 02・06／希望期限：2026-09-30</t>
        </is>
      </c>
    </row>
    <row r="17">
      <c r="A17" s="11" t="inlineStr">
        <is>
          <t>―</t>
        </is>
      </c>
      <c r="B17" s="5" t="inlineStr">
        <is>
          <t>前回調査の調査結果報告書</t>
        </is>
      </c>
      <c r="C17" s="11" t="inlineStr">
        <is>
          <t>北塩原村</t>
        </is>
      </c>
      <c r="D17" s="12" t="inlineStr">
        <is>
          <t>完了</t>
        </is>
      </c>
      <c r="E17" s="11" t="n"/>
      <c r="F17" s="5" t="inlineStr">
        <is>
          <t>発送164人・回収95人・回収率57.9%。設問別の集計結果を収録／反映先：アンケート集計設計・経年比較／希望期限：2026-08-03</t>
        </is>
      </c>
    </row>
    <row r="18">
      <c r="A18" s="11" t="inlineStr">
        <is>
          <t>高</t>
        </is>
      </c>
      <c r="B18" s="5" t="inlineStr">
        <is>
          <t>小規模公表基準</t>
        </is>
      </c>
      <c r="C18" s="11" t="inlineStr">
        <is>
          <t>北塩原村</t>
        </is>
      </c>
      <c r="D18" s="16" t="inlineStr">
        <is>
          <t>未着手</t>
        </is>
      </c>
      <c r="E18" s="11" t="n"/>
      <c r="F18" s="5" t="inlineStr">
        <is>
          <t>n&lt;5の秘匿、地区別・障がい種別クロスの扱い／反映先：アンケート集計・報告書／希望期限：2026-09-30</t>
        </is>
      </c>
    </row>
    <row r="19">
      <c r="A19" s="11" t="inlineStr">
        <is>
          <t>高</t>
        </is>
      </c>
      <c r="B19" s="5" t="inlineStr">
        <is>
          <t>障がい福祉関係の歳入歳出決算</t>
        </is>
      </c>
      <c r="C19" s="11" t="inlineStr">
        <is>
          <t>北塩原村</t>
        </is>
      </c>
      <c r="D19" s="16" t="inlineStr">
        <is>
          <t>未着手</t>
        </is>
      </c>
      <c r="E19" s="11" t="n"/>
      <c r="F19" s="5" t="inlineStr">
        <is>
          <t>自立支援給付費負担金、障害児施設給付費負担金、地域生活支援事業費補助金の交付額と村負担／反映先：財源構成案 04・06・07／希望期限：2026-10-31</t>
        </is>
      </c>
    </row>
    <row r="20">
      <c r="A20" s="11" t="inlineStr">
        <is>
          <t>高</t>
        </is>
      </c>
      <c r="B20" s="5" t="inlineStr">
        <is>
          <t>令和6・7年度の障害児給付費の変動理由</t>
        </is>
      </c>
      <c r="C20" s="11" t="inlineStr">
        <is>
          <t>北塩原村</t>
        </is>
      </c>
      <c r="D20" s="16" t="inlineStr">
        <is>
          <t>未着手</t>
        </is>
      </c>
      <c r="E20" s="11" t="n"/>
      <c r="F20" s="5" t="inlineStr">
        <is>
          <t>児童発達支援23件→1件、放課後等デイ12件→27件の理由。受給者単位で就学移行かを確認／反映先：サービス見込量 04／計画本文／希望期限：2026-09-30</t>
        </is>
      </c>
    </row>
    <row r="21">
      <c r="A21" s="11" t="inlineStr">
        <is>
          <t>―</t>
        </is>
      </c>
      <c r="B21" s="5" t="inlineStr">
        <is>
          <t>現行計画本編（第4次障がい者計画・第7期・第3期）</t>
        </is>
      </c>
      <c r="C21" s="11" t="inlineStr">
        <is>
          <t>北塩原村</t>
        </is>
      </c>
      <c r="D21" s="12" t="inlineStr">
        <is>
          <t>完了</t>
        </is>
      </c>
      <c r="E21" s="11" t="n"/>
      <c r="F21" s="5" t="inlineStr">
        <is>
          <t>本編63頁、アンケート調査結果報告書69頁、概要版4頁。令和6年3月策定／反映先：全体（年齢3区分別人口・前回調査の内訳を反映済み）／希望期限：2026-08-03</t>
        </is>
      </c>
    </row>
    <row r="22">
      <c r="A22" s="11" t="inlineStr">
        <is>
          <t>中</t>
        </is>
      </c>
      <c r="B22" s="5" t="inlineStr">
        <is>
          <t>圏域事業所の受入可能性</t>
        </is>
      </c>
      <c r="C22" s="11" t="inlineStr">
        <is>
          <t>北塩原村</t>
        </is>
      </c>
      <c r="D22" s="16" t="inlineStr">
        <is>
          <t>未着手</t>
        </is>
      </c>
      <c r="E22" s="11" t="n"/>
      <c r="F22" s="5" t="inlineStr">
        <is>
          <t>定員、空き、送迎範囲、受入可否。介護保険事業所の共生型サービス指定の有無を含む／反映先：サービス見込量 08／希望期限：2026-10-31</t>
        </is>
      </c>
    </row>
    <row r="23">
      <c r="A23" s="11" t="inlineStr">
        <is>
          <t>中</t>
        </is>
      </c>
      <c r="B23" s="5" t="inlineStr">
        <is>
          <t>医療的ケア児者・地域生活支援拠点・個別避難計画の実態</t>
        </is>
      </c>
      <c r="C23" s="11" t="inlineStr">
        <is>
          <t>北塩原村</t>
        </is>
      </c>
      <c r="D23" s="14" t="inlineStr">
        <is>
          <t>進行中</t>
        </is>
      </c>
      <c r="E23" s="11" t="n"/>
      <c r="F23" s="5"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反映先：計画本文 第4章・第6章／村提供実績データ 01／希望期限：2026-10-31</t>
        </is>
      </c>
    </row>
    <row r="24">
      <c r="A24" s="11" t="inlineStr">
        <is>
          <t>最優先</t>
        </is>
      </c>
      <c r="B24" s="5" t="inlineStr">
        <is>
          <t>障害支援区分別人数の基準日とサービス利用状況</t>
        </is>
      </c>
      <c r="C24" s="11" t="inlineStr">
        <is>
          <t>北塩原村</t>
        </is>
      </c>
      <c r="D24" s="14" t="inlineStr">
        <is>
          <t>進行中</t>
        </is>
      </c>
      <c r="E24" s="11" t="n"/>
      <c r="F24" s="5"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反映先：村提供実績データ 02／骨子案修正版 第5章1／希望期限：2026-09-30</t>
        </is>
      </c>
    </row>
    <row r="25">
      <c r="A25" s="11" t="inlineStr">
        <is>
          <t>―</t>
        </is>
      </c>
      <c r="B25" s="5" t="inlineStr">
        <is>
          <t>セルフプラン率・基幹相談支援センター・就労選択支援事業所の状況</t>
        </is>
      </c>
      <c r="C25" s="11" t="inlineStr">
        <is>
          <t>北塩原村</t>
        </is>
      </c>
      <c r="D25" s="14" t="inlineStr">
        <is>
          <t>進行中</t>
        </is>
      </c>
      <c r="E25" s="11" t="n"/>
      <c r="F25" s="5"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反映先：村提供実績データ 01／骨子案修正版 第4章(3)(6)／希望期限：2026-09-30</t>
        </is>
      </c>
    </row>
    <row r="26">
      <c r="A26" s="11" t="inlineStr">
        <is>
          <t>―</t>
        </is>
      </c>
      <c r="B26" s="5" t="inlineStr">
        <is>
          <t>障がい児の入所・申請の状況</t>
        </is>
      </c>
      <c r="C26" s="11" t="inlineStr">
        <is>
          <t>北塩原村</t>
        </is>
      </c>
      <c r="D26" s="12" t="inlineStr">
        <is>
          <t>完了</t>
        </is>
      </c>
      <c r="E26" s="11" t="n"/>
      <c r="F26" s="5" t="inlineStr">
        <is>
          <t>【受領済み】令和8年8月の調査票朱書きで、障がい児入所施設・児童福祉施設の利用児0件、障害児通所支援の申請中0件を確認。第5章の障害児入所支援の見込量を0とする根拠／反映先：村提供実績データ 01／骨子案修正版 第4章(4)／希望期限：2026-08-14</t>
        </is>
      </c>
    </row>
    <row r="27">
      <c r="A27" s="11" t="inlineStr">
        <is>
          <t>―</t>
        </is>
      </c>
      <c r="B27" s="5" t="inlineStr">
        <is>
          <t>実態調査及びPDCAサイクルに関するマニュアル（令和8年8月）</t>
        </is>
      </c>
      <c r="C27" s="11" t="inlineStr">
        <is>
          <t>北塩原村</t>
        </is>
      </c>
      <c r="D27" s="12" t="inlineStr">
        <is>
          <t>完了</t>
        </is>
      </c>
      <c r="E27" s="11" t="n"/>
      <c r="F27" s="5" t="inlineStr">
        <is>
          <t>【受領済み】福島県通知（8生福第2646号・8こ第2041号 令和8年8月24日）により受領。厚労省・こども家庭庁の令和8年8月19日事務連絡の別添。全81頁。令和2年版を基本指針の改正を踏まえて修正したもの／反映先：サービス見込量 12_別表第五判定／骨子案修正版 第1章6・第5章1／北塩原村_実態調査PDCAマニュアル_確認結果／希望期限：2026-08-27</t>
        </is>
      </c>
    </row>
    <row r="28">
      <c r="A28" s="11" t="inlineStr">
        <is>
          <t>最優先</t>
        </is>
      </c>
      <c r="B28" s="5" t="inlineStr">
        <is>
          <t>要介護認定の有無・要介護度（匿名利用者一覧への列追加）</t>
        </is>
      </c>
      <c r="C28" s="11" t="inlineStr">
        <is>
          <t>北塩原村</t>
        </is>
      </c>
      <c r="D28" s="16" t="inlineStr">
        <is>
          <t>未着手</t>
        </is>
      </c>
      <c r="E28" s="11" t="n"/>
      <c r="F28" s="5" t="inlineStr">
        <is>
          <t>依頼済みの「年齢別・サービス別の匿名利用者一覧」に、要介護認定の有無・要介護度・利用している介護保険サービスの列を追加。確定版の調査票に介護保険の設問がないため、これが唯一の把握手段になる／反映先：クロス集計設計 A-1／サービス見込量 06_65歳移行判定／希望期限：2026-09-30</t>
        </is>
      </c>
    </row>
    <row r="29">
      <c r="A29" s="11" t="inlineStr">
        <is>
          <t>高</t>
        </is>
      </c>
      <c r="B29" s="5" t="inlineStr">
        <is>
          <t>PDCAの評価体制・スケジュール・公表方法</t>
        </is>
      </c>
      <c r="C29" s="11" t="inlineStr">
        <is>
          <t>北塩原村</t>
        </is>
      </c>
      <c r="D29" s="16" t="inlineStr">
        <is>
          <t>未着手</t>
        </is>
      </c>
      <c r="E29" s="11" t="n"/>
      <c r="F29" s="5" t="inlineStr">
        <is>
          <t>自立支援協議会と庁内会議体の役割分担、実績把握と評価の時期（村の予算編成に合わせる）、中間評価の結果の公表方法（ホームページ・広報誌・協議会資料の公開範囲）／反映先：骨子案修正版 第1章6／希望期限：2026-12-31</t>
        </is>
      </c>
    </row>
    <row r="30">
      <c r="A30" s="11" t="inlineStr">
        <is>
          <t>―</t>
        </is>
      </c>
      <c r="B30" s="5" t="inlineStr">
        <is>
          <t>アンケート調査票への村の修正指示</t>
        </is>
      </c>
      <c r="C30" s="11" t="inlineStr">
        <is>
          <t>北塩原村</t>
        </is>
      </c>
      <c r="D30" s="12" t="inlineStr">
        <is>
          <t>完了</t>
        </is>
      </c>
      <c r="E30" s="11" t="n"/>
      <c r="F30" s="5" t="inlineStr">
        <is>
          <t>【受領済み】障がい者版17頁・障がい児版19頁のスキャンPDF。朱書き40か所。設問の削除・追加・順序変更のほか、削除理由として村の実データ9件が書き添えられている／反映先：村提供実績データ 05／北塩原村_アンケート調査票_村修正指示_確認結果／希望期限：2026-08-14</t>
        </is>
      </c>
    </row>
    <row r="31">
      <c r="A31" s="11" t="inlineStr">
        <is>
          <t>中</t>
        </is>
      </c>
      <c r="B31" s="5" t="inlineStr">
        <is>
          <t>第5次総合振興計画たたき台、健康21現行計画、高齢者福祉・介護保険事業計画</t>
        </is>
      </c>
      <c r="C31" s="11" t="inlineStr">
        <is>
          <t>北塩原村</t>
        </is>
      </c>
      <c r="D31" s="16" t="inlineStr">
        <is>
          <t>未着手</t>
        </is>
      </c>
      <c r="E31" s="11" t="n"/>
      <c r="F31" s="5" t="inlineStr">
        <is>
          <t>関連計画との整合確認／反映先：計画本文 第1章・第7章／希望期限：2026-10-31</t>
        </is>
      </c>
    </row>
    <row r="32">
      <c r="A32" s="11" t="inlineStr">
        <is>
          <t>中</t>
        </is>
      </c>
      <c r="B32" s="5" t="inlineStr">
        <is>
          <t>40歳以上65歳未満の特定疾病該当者</t>
        </is>
      </c>
      <c r="C32" s="11" t="inlineStr">
        <is>
          <t>北塩原村</t>
        </is>
      </c>
      <c r="D32" s="16" t="inlineStr">
        <is>
          <t>未着手</t>
        </is>
      </c>
      <c r="E32" s="11" t="n"/>
      <c r="F32" s="5" t="inlineStr">
        <is>
          <t>16の特定疾病に該当し要介護認定を受けている方の有無／反映先：サービス見込量 02／希望期限：2026-10-31</t>
        </is>
      </c>
    </row>
    <row r="33">
      <c r="A33" s="11" t="inlineStr">
        <is>
          <t>中</t>
        </is>
      </c>
      <c r="B33" s="5" t="inlineStr">
        <is>
          <t>自立支援協議会の委員名簿</t>
        </is>
      </c>
      <c r="C33" s="11" t="inlineStr">
        <is>
          <t>北塩原村</t>
        </is>
      </c>
      <c r="D33" s="16" t="inlineStr">
        <is>
          <t>未着手</t>
        </is>
      </c>
      <c r="E33" s="11" t="n"/>
      <c r="F33" s="5" t="inlineStr">
        <is>
          <t>任期・氏名・所属・役職／反映先：計画書 資料編／希望期限：2026-12-31</t>
        </is>
      </c>
    </row>
    <row r="35">
      <c r="A35" t="inlineStr">
        <is>
          <t>※ No 列は優先度。依頼の詳細は 北塩原村_業務進捗管理.xlsx 04_村資料受領状況 を参照。</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8" defaultRowHeight="15"/>
  <cols>
    <col width="30" customWidth="1" min="1" max="1"/>
    <col width="8" customWidth="1" min="2" max="2"/>
    <col width="20" customWidth="1" min="3" max="3"/>
    <col width="42" customWidth="1" min="4" max="4"/>
    <col width="12" customWidth="1" min="5" max="5"/>
    <col width="56" customWidth="1" min="6" max="6"/>
  </cols>
  <sheetData>
    <row r="1">
      <c r="A1" s="10" t="inlineStr">
        <is>
          <t>区分</t>
        </is>
      </c>
      <c r="B1" s="10" t="inlineStr">
        <is>
          <t>回</t>
        </is>
      </c>
      <c r="C1" s="10" t="inlineStr">
        <is>
          <t>時期</t>
        </is>
      </c>
      <c r="D1" s="10" t="inlineStr">
        <is>
          <t>議題</t>
        </is>
      </c>
      <c r="E1" s="10" t="inlineStr">
        <is>
          <t>資料の状態</t>
        </is>
      </c>
      <c r="F1" s="10" t="inlineStr">
        <is>
          <t>備考</t>
        </is>
      </c>
    </row>
    <row r="2">
      <c r="A2" s="5" t="inlineStr">
        <is>
          <t>北塩原村障がい者自立支援協議会</t>
        </is>
      </c>
      <c r="B2" s="11" t="inlineStr">
        <is>
          <t>第1回</t>
        </is>
      </c>
      <c r="C2" s="11" t="inlineStr">
        <is>
          <t>令和8年12月頃</t>
        </is>
      </c>
      <c r="D2" s="5" t="inlineStr">
        <is>
          <t>現行計画の評価、アンケート調査結果、計画素案</t>
        </is>
      </c>
      <c r="E2" s="14" t="inlineStr">
        <is>
          <t>進行中</t>
        </is>
      </c>
      <c r="F2" s="5" t="inlineStr">
        <is>
          <t>仕様書4-Ⅱ(7)は開催1回程度を見込む。資料は協議会資料1・2・8の3点を作成済み。開催時期が未定</t>
        </is>
      </c>
    </row>
    <row r="3">
      <c r="A3" s="5" t="inlineStr">
        <is>
          <t>庁議</t>
        </is>
      </c>
      <c r="B3" s="11" t="inlineStr">
        <is>
          <t>第1回</t>
        </is>
      </c>
      <c r="C3" s="11" t="inlineStr">
        <is>
          <t>令和8年11月〜令和9年1月</t>
        </is>
      </c>
      <c r="D3" s="5" t="inlineStr">
        <is>
          <t>関連計画との整合、庁内各課への依頼事項</t>
        </is>
      </c>
      <c r="E3" s="14" t="inlineStr">
        <is>
          <t>進行中</t>
        </is>
      </c>
      <c r="F3" s="5" t="inlineStr">
        <is>
          <t>庁議資料2・4の2点を作成済み。開催時期が未定</t>
        </is>
      </c>
    </row>
    <row r="4">
      <c r="A4" s="5" t="inlineStr">
        <is>
          <t>パブリックコメント</t>
        </is>
      </c>
      <c r="B4" s="11" t="inlineStr">
        <is>
          <t>―</t>
        </is>
      </c>
      <c r="C4" s="11" t="inlineStr">
        <is>
          <t>令和9年1月</t>
        </is>
      </c>
      <c r="D4" s="5" t="inlineStr">
        <is>
          <t>計画案に対する意見の募集</t>
        </is>
      </c>
      <c r="E4" s="16" t="inlineStr">
        <is>
          <t>未着手</t>
        </is>
      </c>
      <c r="F4" s="5" t="inlineStr">
        <is>
          <t>前回は令和6年2月9日〜23日の2週間。実施時期が未定</t>
        </is>
      </c>
    </row>
    <row r="5">
      <c r="A5" s="5" t="inlineStr">
        <is>
          <t>村との打合せ</t>
        </is>
      </c>
      <c r="B5" s="11" t="inlineStr">
        <is>
          <t>随時</t>
        </is>
      </c>
      <c r="C5" s="11" t="inlineStr">
        <is>
          <t>通年</t>
        </is>
      </c>
      <c r="D5" s="5" t="inlineStr">
        <is>
          <t>工程、資料、協議事項</t>
        </is>
      </c>
      <c r="E5" s="14" t="inlineStr">
        <is>
          <t>進行中</t>
        </is>
      </c>
      <c r="F5" s="5" t="inlineStr">
        <is>
          <t>仕様書4-Ⅲ。令和8年7月7日の打合せで実施設計を合意</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8"/>
  <sheetViews>
    <sheetView workbookViewId="0">
      <pane ySplit="1" topLeftCell="A2" activePane="bottomLeft" state="frozen"/>
      <selection pane="bottomLeft" activeCell="A1" sqref="A1"/>
    </sheetView>
  </sheetViews>
  <sheetFormatPr baseColWidth="8" defaultRowHeight="15"/>
  <cols>
    <col width="7" customWidth="1" min="1" max="1"/>
    <col width="30" customWidth="1" min="2" max="2"/>
    <col width="56" customWidth="1" min="3" max="3"/>
    <col width="24" customWidth="1" min="4" max="4"/>
    <col width="46" customWidth="1" min="5" max="5"/>
    <col width="11" customWidth="1" min="6" max="6"/>
  </cols>
  <sheetData>
    <row r="1">
      <c r="A1" s="10" t="inlineStr">
        <is>
          <t>No</t>
        </is>
      </c>
      <c r="B1" s="10" t="inlineStr">
        <is>
          <t>課題・リスク</t>
        </is>
      </c>
      <c r="C1" s="10" t="inlineStr">
        <is>
          <t>内容</t>
        </is>
      </c>
      <c r="D1" s="10" t="inlineStr">
        <is>
          <t>影響</t>
        </is>
      </c>
      <c r="E1" s="10" t="inlineStr">
        <is>
          <t>対応</t>
        </is>
      </c>
      <c r="F1" s="10" t="inlineStr">
        <is>
          <t>状態</t>
        </is>
      </c>
    </row>
    <row r="2">
      <c r="A2" s="11" t="inlineStr">
        <is>
          <t>R-26</t>
        </is>
      </c>
      <c r="B2" s="5" t="inlineStr">
        <is>
          <t>第4次障がい者計画のアンケート指標3件が前回と比較できない</t>
        </is>
      </c>
      <c r="C2" s="5"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D2" s="5" t="inlineStr">
        <is>
          <t>指標／影響度高</t>
        </is>
      </c>
      <c r="E2" s="5"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S-1）。計画素案 第3章5の目標値表に直結する</t>
        </is>
      </c>
      <c r="F2" s="16" t="inlineStr">
        <is>
          <t>未着手</t>
        </is>
      </c>
    </row>
    <row r="3">
      <c r="A3" s="11" t="inlineStr">
        <is>
          <t>R-23</t>
        </is>
      </c>
      <c r="B3" s="5" t="inlineStr">
        <is>
          <t>告示後に基本指針が2度改正されており、追跡から漏れる</t>
        </is>
      </c>
      <c r="C3" s="5"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D3" s="5" t="inlineStr">
        <is>
          <t>制度動向／影響度高</t>
        </is>
      </c>
      <c r="E3" s="5"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F3" s="14" t="inlineStr">
        <is>
          <t>進行中</t>
        </is>
      </c>
    </row>
    <row r="4">
      <c r="A4" s="11" t="inlineStr">
        <is>
          <t>R-24</t>
        </is>
      </c>
      <c r="B4" s="5" t="inlineStr">
        <is>
          <t>別表第二 三㈠⑤の基盤整備量が県の算定値待ちで確定できない</t>
        </is>
      </c>
      <c r="C4" s="5"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D4" s="5" t="inlineStr">
        <is>
          <t>記載事項／影響度高</t>
        </is>
      </c>
      <c r="E4" s="5" t="inlineStr">
        <is>
          <t>県へ算定値と市町村への配分の考え方を照会する（レビュー Q-1）。県計画の公表が村の計画確定に間に合わない場合の取扱いも併せて確認する</t>
        </is>
      </c>
      <c r="F4" s="16" t="inlineStr">
        <is>
          <t>未着手</t>
        </is>
      </c>
    </row>
    <row r="5">
      <c r="A5" s="11" t="inlineStr">
        <is>
          <t>R-27</t>
        </is>
      </c>
      <c r="B5" s="5" t="inlineStr">
        <is>
          <t>前回計画本編の目標値に転記誤りがある</t>
        </is>
      </c>
      <c r="C5" s="5"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D5" s="5" t="inlineStr">
        <is>
          <t>指標／影響度中</t>
        </is>
      </c>
      <c r="E5" s="5"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F5" s="16" t="inlineStr">
        <is>
          <t>未着手</t>
        </is>
      </c>
    </row>
    <row r="6">
      <c r="A6" s="11" t="inlineStr">
        <is>
          <t>R-25</t>
        </is>
      </c>
      <c r="B6" s="5" t="inlineStr">
        <is>
          <t>就労継続支援A型の利用者が給付実績に現れない</t>
        </is>
      </c>
      <c r="C6" s="5"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D6" s="5" t="inlineStr">
        <is>
          <t>整合／影響度中</t>
        </is>
      </c>
      <c r="E6" s="5" t="inlineStr">
        <is>
          <t>村に利用者の有無を確認する（見込量算定 M-4）。実在しなければ見込量は0、実在すれば単価とともに計上する。確認までは現行計画を据え置き、給付費は計上しない</t>
        </is>
      </c>
      <c r="F6" s="16" t="inlineStr">
        <is>
          <t>未着手</t>
        </is>
      </c>
    </row>
    <row r="7">
      <c r="A7" s="11" t="inlineStr">
        <is>
          <t>R-1</t>
        </is>
      </c>
      <c r="B7" s="5" t="inlineStr">
        <is>
          <t>アンケート発送が工程案の8月上旬に間に合わない</t>
        </is>
      </c>
      <c r="C7" s="5" t="inlineStr">
        <is>
          <t>印刷仕様の協議、村ラベルの受領、村封筒の手配がすべて未了。1週間の遅延は回収期間または集計期間の圧縮に直結する</t>
        </is>
      </c>
      <c r="D7" s="5" t="inlineStr">
        <is>
          <t>スケジュール／影響度高</t>
        </is>
      </c>
      <c r="E7" s="5" t="inlineStr">
        <is>
          <t>8月5日までに印刷仕様を確定し、ラベル提供日を村と合意する</t>
        </is>
      </c>
      <c r="F7" s="14" t="inlineStr">
        <is>
          <t>進行中</t>
        </is>
      </c>
    </row>
    <row r="8">
      <c r="A8" s="11" t="inlineStr">
        <is>
          <t>R-2</t>
        </is>
      </c>
      <c r="B8" s="5" t="inlineStr">
        <is>
          <t>印刷仕様が仕様書と乖離している</t>
        </is>
      </c>
      <c r="C8" s="5" t="inlineStr">
        <is>
          <t>仕様書はA4判・約24ページ・黒1色の1種類。実際は34ページと37ページの2種類</t>
        </is>
      </c>
      <c r="D8" s="5" t="inlineStr">
        <is>
          <t>契約／影響度高</t>
        </is>
      </c>
      <c r="E8" s="5" t="inlineStr">
        <is>
          <t>ページ数・種類数・部数・単価の取扱いを村と協議し、結果を書面で残す</t>
        </is>
      </c>
      <c r="F8" s="16" t="inlineStr">
        <is>
          <t>未着手</t>
        </is>
      </c>
    </row>
    <row r="9">
      <c r="A9" s="11" t="inlineStr">
        <is>
          <t>R-3</t>
        </is>
      </c>
      <c r="B9" s="5" t="inlineStr">
        <is>
          <t>郵送費の負担が仕様書と異なる運用になっている</t>
        </is>
      </c>
      <c r="C9" s="5" t="inlineStr">
        <is>
          <t>仕様書は受託者負担。打合せでは村が立替え後日実費精算</t>
        </is>
      </c>
      <c r="D9" s="5" t="inlineStr">
        <is>
          <t>契約／影響度高</t>
        </is>
      </c>
      <c r="E9" s="5" t="inlineStr">
        <is>
          <t>精算方法・範囲・上限を書面で確認する</t>
        </is>
      </c>
      <c r="F9" s="16" t="inlineStr">
        <is>
          <t>未着手</t>
        </is>
      </c>
    </row>
    <row r="10">
      <c r="A10" s="11" t="inlineStr">
        <is>
          <t>R-4</t>
        </is>
      </c>
      <c r="B10" s="5" t="inlineStr">
        <is>
          <t>対象者数が確定せず、推計の起点が定まらない</t>
        </is>
      </c>
      <c r="C10" s="5"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D10" s="5" t="inlineStr">
        <is>
          <t>推計／影響度高</t>
        </is>
      </c>
      <c r="E10" s="5" t="inlineStr">
        <is>
          <t>発送前に村へ確認する。確認まで手帳所持者数の将来推計を確定値として記載しない</t>
        </is>
      </c>
      <c r="F10" s="14" t="inlineStr">
        <is>
          <t>進行中</t>
        </is>
      </c>
    </row>
    <row r="11">
      <c r="A11" s="11" t="inlineStr">
        <is>
          <t>R-5</t>
        </is>
      </c>
      <c r="B11" s="5" t="inlineStr">
        <is>
          <t>個別積上げに必要な村資料が揃わない</t>
        </is>
      </c>
      <c r="C11" s="5" t="inlineStr">
        <is>
          <t>年齢別・サービス別の利用者一覧と支給決定者数（実人数）がないと見込量が確定しない</t>
        </is>
      </c>
      <c r="D11" s="5" t="inlineStr">
        <is>
          <t>推計／影響度高</t>
        </is>
      </c>
      <c r="E11" s="5" t="inlineStr">
        <is>
          <t>8月末を目途に受領する。遅れる場合は現行計画の据置値で暫定版を作り、受領後に差し替える段取りを村と共有する</t>
        </is>
      </c>
      <c r="F11" s="14" t="inlineStr">
        <is>
          <t>進行中</t>
        </is>
      </c>
    </row>
    <row r="12">
      <c r="A12" s="11" t="inlineStr">
        <is>
          <t>R-6</t>
        </is>
      </c>
      <c r="B12" s="5" t="inlineStr">
        <is>
          <t>少数母数のクロス集計で個人が特定される</t>
        </is>
      </c>
      <c r="C12" s="5" t="inlineStr">
        <is>
          <t>対象者が極めて少ないサービス・地区がある</t>
        </is>
      </c>
      <c r="D12" s="5" t="inlineStr">
        <is>
          <t>個人情報／影響度中</t>
        </is>
      </c>
      <c r="E12" s="5" t="inlineStr">
        <is>
          <t>n&lt;5の秘匿基準を事前に村と合意する。公表用報告書と内部管理報告書を分離する</t>
        </is>
      </c>
      <c r="F12" s="14" t="inlineStr">
        <is>
          <t>進行中</t>
        </is>
      </c>
    </row>
    <row r="13">
      <c r="A13" s="11" t="inlineStr">
        <is>
          <t>R-7</t>
        </is>
      </c>
      <c r="B13" s="5" t="inlineStr">
        <is>
          <t>骨子案が引用する国基準数値の原典照合が未了</t>
        </is>
      </c>
      <c r="C13" s="5"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D13" s="5" t="inlineStr">
        <is>
          <t>品質／影響度低</t>
        </is>
      </c>
      <c r="E13" s="5" t="inlineStr">
        <is>
          <t>骨子案修正版 第4章へ反映済み。改正後概要と告示本文で表記が異なる箇所は告示本文に従う</t>
        </is>
      </c>
      <c r="F13" s="12" t="inlineStr">
        <is>
          <t>完了</t>
        </is>
      </c>
    </row>
    <row r="14">
      <c r="A14" s="11" t="inlineStr">
        <is>
          <t>R-12</t>
        </is>
      </c>
      <c r="B14" s="5" t="inlineStr">
        <is>
          <t>基本指針 別表第五（地域差是正）の適用関係が未確定</t>
        </is>
      </c>
      <c r="C14" s="5"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D14" s="5" t="inlineStr">
        <is>
          <t>推計／影響度低</t>
        </is>
      </c>
      <c r="E14" s="5" t="inlineStr">
        <is>
          <t>骨子案修正版 第5章1及びサービス見込量ブック 12 へ反映済み</t>
        </is>
      </c>
      <c r="F14" s="12" t="inlineStr">
        <is>
          <t>完了</t>
        </is>
      </c>
    </row>
    <row r="15">
      <c r="A15" s="11" t="inlineStr">
        <is>
          <t>R-15</t>
        </is>
      </c>
      <c r="B15" s="5" t="inlineStr">
        <is>
          <t>国基準数値と福島県実績の系統が複数あり、どれを用いるかで目標値が変わる</t>
        </is>
      </c>
      <c r="C15" s="5"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D15" s="5" t="inlineStr">
        <is>
          <t>推計／影響度低</t>
        </is>
      </c>
      <c r="E15" s="5" t="inlineStr">
        <is>
          <t>計画本文には出典・時点・集計区分を必ず併記する。公費含む集計を用いるか否かは県の第8期計画に合わせる</t>
        </is>
      </c>
      <c r="F15" s="14" t="inlineStr">
        <is>
          <t>進行中</t>
        </is>
      </c>
    </row>
    <row r="16">
      <c r="A16" s="11" t="inlineStr">
        <is>
          <t>R-14</t>
        </is>
      </c>
      <c r="B16" s="5" t="inlineStr">
        <is>
          <t>会津北部圏域の訪問系サービス事業所が本村の1か所のみになっている</t>
        </is>
      </c>
      <c r="C16" s="5"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D16" s="5" t="inlineStr">
        <is>
          <t>提供体制／影響度高</t>
        </is>
      </c>
      <c r="E16" s="5"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F16" s="14" t="inlineStr">
        <is>
          <t>進行中</t>
        </is>
      </c>
    </row>
    <row r="17">
      <c r="A17" s="11" t="inlineStr">
        <is>
          <t>R-16</t>
        </is>
      </c>
      <c r="B17" s="5" t="inlineStr">
        <is>
          <t>骨子案・当方資料の「本村には事業所がない」という記述が事実と異なる</t>
        </is>
      </c>
      <c r="C17" s="5"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D17" s="5" t="inlineStr">
        <is>
          <t>記述／影響度中</t>
        </is>
      </c>
      <c r="E17" s="5" t="inlineStr">
        <is>
          <t>骨子案修正版 第5章8 を原典から表を生成する方式に変更済み。事業所名・指定年月・共生型指定の有無・受入可能人数を村に確認する</t>
        </is>
      </c>
      <c r="F17" s="14" t="inlineStr">
        <is>
          <t>進行中</t>
        </is>
      </c>
    </row>
    <row r="18">
      <c r="A18" s="11" t="inlineStr">
        <is>
          <t>R-13</t>
        </is>
      </c>
      <c r="B18" s="5" t="inlineStr">
        <is>
          <t>令和8年度・令和9年度の報酬改定により単価前提が動く</t>
        </is>
      </c>
      <c r="C18" s="5"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D18" s="5" t="inlineStr">
        <is>
          <t>財源／影響度中</t>
        </is>
      </c>
      <c r="E18" s="5" t="inlineStr">
        <is>
          <t>財源構成案 08シートに改定率パラメータを設置済み。改定内容の確定後に入力する</t>
        </is>
      </c>
      <c r="F18" s="14" t="inlineStr">
        <is>
          <t>進行中</t>
        </is>
      </c>
    </row>
    <row r="19">
      <c r="A19" s="11" t="inlineStr">
        <is>
          <t>R-8</t>
        </is>
      </c>
      <c r="B19" s="5" t="inlineStr">
        <is>
          <t>障がい児版調査票のルビ構造により本文が欠落して見える箇所がある</t>
        </is>
      </c>
      <c r="C19" s="5" t="inlineStr">
        <is>
          <t>問1〜問15で語句が欠けて抽出される。Word表示上は正常な可能性もある</t>
        </is>
      </c>
      <c r="D19" s="5" t="inlineStr">
        <is>
          <t>品質／影響度中</t>
        </is>
      </c>
      <c r="E19" s="5" t="inlineStr">
        <is>
          <t>Word上でルビなしテキストとして読んで意味が通るかを確認する</t>
        </is>
      </c>
      <c r="F19" s="14" t="inlineStr">
        <is>
          <t>進行中</t>
        </is>
      </c>
    </row>
    <row r="20">
      <c r="A20" s="11" t="inlineStr">
        <is>
          <t>R-9</t>
        </is>
      </c>
      <c r="B20" s="5" t="inlineStr">
        <is>
          <t>障がい者票に介護保険・65歳到達に関する設問がない（国の標準項目）</t>
        </is>
      </c>
      <c r="C20" s="5"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D20" s="5" t="inlineStr">
        <is>
          <t>調査設計／影響度高</t>
        </is>
      </c>
      <c r="E20" s="5"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F20" s="14" t="inlineStr">
        <is>
          <t>進行中</t>
        </is>
      </c>
    </row>
    <row r="21">
      <c r="A21" s="11" t="inlineStr">
        <is>
          <t>R-11</t>
        </is>
      </c>
      <c r="B21" s="5" t="inlineStr">
        <is>
          <t>外出目的の設問がなく、第4次障がい者計画の1指標が測定できない（国の標準項目）</t>
        </is>
      </c>
      <c r="C21" s="5"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D21" s="5" t="inlineStr">
        <is>
          <t>調査設計／影響度高</t>
        </is>
      </c>
      <c r="E21" s="5"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F21" s="15" t="inlineStr">
        <is>
          <t>要対応</t>
        </is>
      </c>
    </row>
    <row r="22">
      <c r="A22" s="11" t="inlineStr">
        <is>
          <t>R-10</t>
        </is>
      </c>
      <c r="B22" s="5" t="inlineStr">
        <is>
          <t>圏域事業所の受入可能量が見込量の上限になる</t>
        </is>
      </c>
      <c r="C22" s="5" t="inlineStr">
        <is>
          <t>村内に事業所がなく、送迎・人材・定員が制約となる</t>
        </is>
      </c>
      <c r="D22" s="5" t="inlineStr">
        <is>
          <t>供給／影響度中</t>
        </is>
      </c>
      <c r="E22" s="5" t="inlineStr">
        <is>
          <t>圏域事業所へ照会し、利用希望量と利用可能量を分けて管理する</t>
        </is>
      </c>
      <c r="F22" s="16" t="inlineStr">
        <is>
          <t>未着手</t>
        </is>
      </c>
    </row>
    <row r="23">
      <c r="A23" s="11" t="inlineStr">
        <is>
          <t>R-17</t>
        </is>
      </c>
      <c r="B23" s="5" t="inlineStr">
        <is>
          <t>就労選択支援の設問（障がい者版 問36）が削除されると、圏域確保の根拠が窓口相談実績に限られる</t>
        </is>
      </c>
      <c r="C23" s="5"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D23" s="5" t="inlineStr">
        <is>
          <t>調査設計／影響度中</t>
        </is>
      </c>
      <c r="E23" s="5" t="inlineStr">
        <is>
          <t>村に再考を依頼済み。削除する場合でも、第5章の確保方策に「圏域内に事業所がないため会津若松地方の広域調整により確保を図る」旨を記載する（骨子案修正版 第4章(3)に反映済み）</t>
        </is>
      </c>
      <c r="F23" s="15" t="inlineStr">
        <is>
          <t>要対応</t>
        </is>
      </c>
    </row>
    <row r="24">
      <c r="A24" s="11" t="inlineStr">
        <is>
          <t>R-18</t>
        </is>
      </c>
      <c r="B24" s="5" t="inlineStr">
        <is>
          <t>個別避難計画0件が第4次障がい者計画の指標と矛盾する可能性がある</t>
        </is>
      </c>
      <c r="C24" s="5"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D24" s="5" t="inlineStr">
        <is>
          <t>整合／影響度中</t>
        </is>
      </c>
      <c r="E24" s="5" t="inlineStr">
        <is>
          <t>村に確認する。第4次障がい者計画は改定対象外だが、第8期計画の第3章5（目標値と進捗管理）で現状値を示す際に整合が必要</t>
        </is>
      </c>
      <c r="F24" s="16" t="inlineStr">
        <is>
          <t>未着手</t>
        </is>
      </c>
    </row>
    <row r="25">
      <c r="A25" s="11" t="inlineStr">
        <is>
          <t>R-20</t>
        </is>
      </c>
      <c r="B25" s="5" t="inlineStr">
        <is>
          <t>強度行動障害の該当有無を聞く設問がなく、支援ニーズの母数が特定できない</t>
        </is>
      </c>
      <c r="C25" s="5"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D25" s="5" t="inlineStr">
        <is>
          <t>調査設計／影響度中</t>
        </is>
      </c>
      <c r="E25" s="5"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F25" s="14" t="inlineStr">
        <is>
          <t>進行中</t>
        </is>
      </c>
    </row>
    <row r="26">
      <c r="A26" s="11" t="inlineStr">
        <is>
          <t>R-21</t>
        </is>
      </c>
      <c r="B26" s="5" t="inlineStr">
        <is>
          <t>障害支援区分の削除は国の標準項目を落とすことになる</t>
        </is>
      </c>
      <c r="C26" s="5"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D26" s="5" t="inlineStr">
        <is>
          <t>調査設計／影響度中</t>
        </is>
      </c>
      <c r="E26" s="5"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F26" s="12" t="inlineStr">
        <is>
          <t>完了</t>
        </is>
      </c>
    </row>
    <row r="27">
      <c r="A27" s="11" t="inlineStr">
        <is>
          <t>R-22</t>
        </is>
      </c>
      <c r="B27" s="5" t="inlineStr">
        <is>
          <t>国のマニュアルの発出と調査票の確定の時期が重なった</t>
        </is>
      </c>
      <c r="C27" s="5" t="inlineStr">
        <is>
          <t>マニュアルは令和8年8月19日事務連絡（県通知8月24日）、調査票の確定は8月25日版。標準項目3件の欠落は、当方の設計の不備ではなくこの時期の重なりによる。第9期の策定時に同じ論点が生じうる</t>
        </is>
      </c>
      <c r="D27" s="5" t="inlineStr">
        <is>
          <t>調査設計／影響度中</t>
        </is>
      </c>
      <c r="E27" s="5" t="inlineStr">
        <is>
          <t>経緯を打合せ記録に残し、計画書の調査概要にも「調査票確定後に国のマニュアルが改定された」旨を注記する（クロス集計設計 S-4）。算定根拠への疑義に対する説明にもなる</t>
        </is>
      </c>
      <c r="F27" s="14" t="inlineStr">
        <is>
          <t>進行中</t>
        </is>
      </c>
    </row>
    <row r="28">
      <c r="A28" s="11" t="inlineStr">
        <is>
          <t>R-19</t>
        </is>
      </c>
      <c r="B28" s="5" t="inlineStr">
        <is>
          <t>障がい児版の設問番号に誤りがある</t>
        </is>
      </c>
      <c r="C28" s="5" t="inlineStr">
        <is>
          <t>問11の選択肢番号「13」が2つある（「自傷、他害、強いこだわり、パニックなどへの対応」と「特にない」）。問10の選択肢番号は「3」が欠番。いずれも村の朱書きとは別に、通読して気づいたもの</t>
        </is>
      </c>
      <c r="D28" s="5" t="inlineStr">
        <is>
          <t>調査設計／影響度低</t>
        </is>
      </c>
      <c r="E28" s="5" t="inlineStr">
        <is>
          <t>調査票担当へ申し送り済み。印刷前に番号を振り直す。問10は問8との統合指示があるため、統合時に整理する</t>
        </is>
      </c>
      <c r="F28" s="14"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2"/>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56" customWidth="1" min="3" max="3"/>
    <col width="30" customWidth="1" min="4" max="4"/>
    <col width="11" customWidth="1" min="5" max="5"/>
    <col width="52" customWidth="1" min="6" max="6"/>
  </cols>
  <sheetData>
    <row r="1">
      <c r="A1" s="10" t="inlineStr">
        <is>
          <t>No</t>
        </is>
      </c>
      <c r="B1" s="10" t="inlineStr">
        <is>
          <t>区分</t>
        </is>
      </c>
      <c r="C1" s="10" t="inlineStr">
        <is>
          <t>内容</t>
        </is>
      </c>
      <c r="D1" s="10" t="inlineStr">
        <is>
          <t>根拠</t>
        </is>
      </c>
      <c r="E1" s="10" t="inlineStr">
        <is>
          <t>状態</t>
        </is>
      </c>
      <c r="F1" s="10" t="inlineStr">
        <is>
          <t>記録の有無</t>
        </is>
      </c>
    </row>
    <row r="2">
      <c r="A2" s="11" t="n">
        <v>1</v>
      </c>
      <c r="B2" s="11" t="inlineStr">
        <is>
          <t>印刷仕様</t>
        </is>
      </c>
      <c r="C2" s="5" t="inlineStr">
        <is>
          <t>仕様書はアンケート調査をA4判・約24ページ・黒1色の1種類とするが、実際は障がい者版・障がい児版の2種類で、頁数も異なる</t>
        </is>
      </c>
      <c r="D2" s="5" t="inlineStr">
        <is>
          <t>仕様書4-Ⅰ(3)</t>
        </is>
      </c>
      <c r="E2" s="15" t="inlineStr">
        <is>
          <t>要対応</t>
        </is>
      </c>
      <c r="F2" s="5" t="inlineStr">
        <is>
          <t>未。頁数・種類数・部数・単価の取扱いを協議する</t>
        </is>
      </c>
    </row>
    <row r="3">
      <c r="A3" s="11" t="n">
        <v>2</v>
      </c>
      <c r="B3" s="11" t="inlineStr">
        <is>
          <t>郵送費の負担</t>
        </is>
      </c>
      <c r="C3" s="5" t="inlineStr">
        <is>
          <t>仕様書は発送及び回収に係る費用を受託者の負担とするが、打合せでは村が立替え後日実費精算とされた</t>
        </is>
      </c>
      <c r="D3" s="5" t="inlineStr">
        <is>
          <t>仕様書4-Ⅰ(4)</t>
        </is>
      </c>
      <c r="E3" s="15" t="inlineStr">
        <is>
          <t>要対応</t>
        </is>
      </c>
      <c r="F3" s="5" t="inlineStr">
        <is>
          <t>令和8年7月7日議事録に記載。精算方法・範囲・上限の書面確認が未</t>
        </is>
      </c>
    </row>
    <row r="4">
      <c r="A4" s="11" t="n">
        <v>3</v>
      </c>
      <c r="B4" s="11" t="inlineStr">
        <is>
          <t>調査対象者数</t>
        </is>
      </c>
      <c r="C4" s="5" t="inlineStr">
        <is>
          <t>仕様書は約190人（身体約130・精神約40・療育約20）とするが、現行計画の手帳所持者数は156人（令和5年）で22％の差がある</t>
        </is>
      </c>
      <c r="D4" s="5" t="inlineStr">
        <is>
          <t>仕様書4-Ⅰ(1)</t>
        </is>
      </c>
      <c r="E4" s="15" t="inlineStr">
        <is>
          <t>要対応</t>
        </is>
      </c>
      <c r="F4" s="5" t="inlineStr">
        <is>
          <t>未。回収率の分母・管理番号の設計に直結する</t>
        </is>
      </c>
    </row>
    <row r="5">
      <c r="A5" s="11" t="n">
        <v>4</v>
      </c>
      <c r="B5" s="11" t="inlineStr">
        <is>
          <t>協議会の開催回数</t>
        </is>
      </c>
      <c r="C5" s="5" t="inlineStr">
        <is>
          <t>仕様書は開催1回程度を見込むとするが、現行計画の評価・素案・計画案の3段階を1回で審議することになる</t>
        </is>
      </c>
      <c r="D5" s="5" t="inlineStr">
        <is>
          <t>仕様書4-Ⅱ(7)</t>
        </is>
      </c>
      <c r="E5" s="14" t="inlineStr">
        <is>
          <t>進行中</t>
        </is>
      </c>
      <c r="F5" s="5" t="inlineStr">
        <is>
          <t>資料は段階別に3点作成済み。1回に集約する場合の構成を村と協議する</t>
        </is>
      </c>
    </row>
    <row r="6">
      <c r="A6" s="11" t="n">
        <v>5</v>
      </c>
      <c r="B6" s="11" t="inlineStr">
        <is>
          <t>編集所管課の表記</t>
        </is>
      </c>
      <c r="C6" s="5" t="inlineStr">
        <is>
          <t>仕様書の事務担当は保健福祉課福祉係、骨子案の奥付は住民課となっていた</t>
        </is>
      </c>
      <c r="D6" s="5" t="inlineStr">
        <is>
          <t>仕様書・骨子案奥付</t>
        </is>
      </c>
      <c r="E6" s="12" t="inlineStr">
        <is>
          <t>完了</t>
        </is>
      </c>
      <c r="F6" s="5" t="inlineStr">
        <is>
          <t>令和8年8月の調査票修正指示で問合せ先が「医療福祉班」から「保健福祉課 福祉係」に修正されたことにより確定。骨子案の奥付に反映済み</t>
        </is>
      </c>
    </row>
    <row r="7">
      <c r="A7" s="11" t="n">
        <v>6</v>
      </c>
      <c r="B7" s="11" t="inlineStr">
        <is>
          <t>追加業務の位置づけ</t>
        </is>
      </c>
      <c r="C7" s="5" t="inlineStr">
        <is>
          <t>補足ヒアリング調査、財政負担の可視化は仕様書に明示がない</t>
        </is>
      </c>
      <c r="D7" s="5" t="inlineStr">
        <is>
          <t>―</t>
        </is>
      </c>
      <c r="E7" s="15" t="inlineStr">
        <is>
          <t>要対応</t>
        </is>
      </c>
      <c r="F7" s="5" t="inlineStr">
        <is>
          <t>令和8年7月7日議事録に記載。範囲・工数・対象機関を整理して協議する</t>
        </is>
      </c>
    </row>
    <row r="8">
      <c r="A8" s="11" t="n">
        <v>9</v>
      </c>
      <c r="B8" s="11" t="inlineStr">
        <is>
          <t>調査票の確定と国の標準項目の欠落</t>
        </is>
      </c>
      <c r="C8" s="5" t="inlineStr">
        <is>
          <t>調査票は令和8年8月25日版で確定し設問の追加ができない。国のマニュアルの標準項目のうち、外出の目的・介護保険の利用状況・強度行動障害の該当有無・障害支援区分の4件が確定版にない</t>
        </is>
      </c>
      <c r="D8" s="5" t="inlineStr">
        <is>
          <t>仕様書4-Ⅰ(2)（委託者との協議の上決定）</t>
        </is>
      </c>
      <c r="E8" s="14" t="inlineStr">
        <is>
          <t>進行中</t>
        </is>
      </c>
      <c r="F8" s="5" t="inlineStr">
        <is>
          <t>クロス集計設計.xlsx で代替方針を整理済み。3件は行政データで代替可。外出の目的のみ村との再協議が必要</t>
        </is>
      </c>
    </row>
    <row r="9">
      <c r="A9" s="11" t="n">
        <v>8</v>
      </c>
      <c r="B9" s="11" t="inlineStr">
        <is>
          <t>国のマニュアルの改定</t>
        </is>
      </c>
      <c r="C9" s="5" t="inlineStr">
        <is>
          <t>令和8年8月に「障害福祉計画策定に係る実態調査及びPDCAサイクルに関するマニュアル」が改定され、福島県から市町村へ通知された。調査票の標準項目と、見込量推計・PDCAサイクルの要求水準が示された</t>
        </is>
      </c>
      <c r="D9" s="5" t="inlineStr">
        <is>
          <t>厚労省・こども家庭庁 令和8年8月19日事務連絡／福島県 8生福第2646号・8こ第2041号 令和8年8月24日</t>
        </is>
      </c>
      <c r="E9" s="14" t="inlineStr">
        <is>
          <t>進行中</t>
        </is>
      </c>
      <c r="F9" s="5" t="inlineStr">
        <is>
          <t>確認結果を文書化済み。別表第五の適用外判定は裏付けられた。調査票の欠落3件について発送前に村と協議する必要がある</t>
        </is>
      </c>
    </row>
    <row r="10">
      <c r="A10" s="11" t="n">
        <v>7</v>
      </c>
      <c r="B10" s="11" t="inlineStr">
        <is>
          <t>調査票の修正指示</t>
        </is>
      </c>
      <c r="C10" s="5" t="inlineStr">
        <is>
          <t>令和8年8月に村から朱書き40か所の修正指示を受領。うち9件は削除理由として村の実データが書き添えられていた</t>
        </is>
      </c>
      <c r="D10" s="5" t="inlineStr">
        <is>
          <t>仕様書4-Ⅰ(2)（委託者との協議の上決定）</t>
        </is>
      </c>
      <c r="E10" s="14" t="inlineStr">
        <is>
          <t>進行中</t>
        </is>
      </c>
      <c r="F10" s="5" t="inlineStr">
        <is>
          <t>確認結果を文書化済み（docs/北塩原村_アンケート調査票_村修正指示_確認結果.md）。問36の削除について再考を依頼中</t>
        </is>
      </c>
    </row>
    <row r="12">
      <c r="A12" t="inlineStr">
        <is>
          <t>※ 仕様書6(3)により北塩原村委託契約約款に準拠する。仕様書と異なる運用は書面で記録を残す。</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5"/>
  <sheetViews>
    <sheetView workbookViewId="0">
      <pane ySplit="1" topLeftCell="A2" activePane="bottomLeft" state="frozen"/>
      <selection pane="bottomLeft" activeCell="A1" sqref="A1"/>
    </sheetView>
  </sheetViews>
  <sheetFormatPr baseColWidth="8" defaultRowHeight="15"/>
  <cols>
    <col width="4" customWidth="1" min="1" max="1"/>
    <col width="12" customWidth="1" min="2" max="2"/>
    <col width="40" customWidth="1" min="3" max="3"/>
    <col width="56" customWidth="1" min="4" max="4"/>
    <col width="9" customWidth="1" min="5" max="5"/>
    <col width="26" customWidth="1" min="6" max="6"/>
    <col width="24" customWidth="1" min="7" max="7"/>
    <col width="32" customWidth="1" min="8" max="8"/>
  </cols>
  <sheetData>
    <row r="1">
      <c r="A1" s="10" t="inlineStr">
        <is>
          <t>順</t>
        </is>
      </c>
      <c r="B1" s="10" t="inlineStr">
        <is>
          <t>時間帯</t>
        </is>
      </c>
      <c r="C1" s="10" t="inlineStr">
        <is>
          <t>作業</t>
        </is>
      </c>
      <c r="D1" s="10" t="inlineStr">
        <is>
          <t>なぜこの順番か</t>
        </is>
      </c>
      <c r="E1" s="10" t="inlineStr">
        <is>
          <t>所要</t>
        </is>
      </c>
      <c r="F1" s="10" t="inlineStr">
        <is>
          <t>成果物</t>
        </is>
      </c>
      <c r="G1" s="10" t="inlineStr">
        <is>
          <t>外部依存</t>
        </is>
      </c>
      <c r="H1" s="10" t="inlineStr">
        <is>
          <t>関係番号</t>
        </is>
      </c>
    </row>
    <row r="2">
      <c r="A2" s="20" t="n">
        <v>1</v>
      </c>
      <c r="B2" s="11" t="inlineStr">
        <is>
          <t>午前いちばん</t>
        </is>
      </c>
      <c r="C2" s="5" t="inlineStr">
        <is>
          <t>村への照会文書の発出（15件を1通に束ねる）</t>
        </is>
      </c>
      <c r="D2" s="5" t="inlineStr">
        <is>
          <t>以降のほぼすべての作業が村の回答待ちで止まっている。月曜の朝に出せば今週中に回答が得られる見込み。最優先4件（児童発達支援の急減理由・支給決定者数の実人数・継続入所者の有無・保育所等における障がい児の受入体制）が揃えば見込量の第2次算定に進める。後の2件はMECEチェックで判明した、告示が「ものとする」とした要件に係るもので、満たさないまま確定すると県の計画協議で指摘を受けうる</t>
        </is>
      </c>
      <c r="E2" s="11" t="inlineStr">
        <is>
          <t>1.5時間</t>
        </is>
      </c>
      <c r="F2" s="5" t="inlineStr">
        <is>
          <t>村への照会文書</t>
        </is>
      </c>
      <c r="G2" s="5" t="inlineStr">
        <is>
          <t>なし（当方で完結）</t>
        </is>
      </c>
      <c r="H2" s="5" t="inlineStr">
        <is>
          <t>見込量 M-1〜M-13／報告書レビュー M-14・M-15／点検 D-1／目標KPI T-4・T-5</t>
        </is>
      </c>
    </row>
    <row r="3">
      <c r="A3" s="20" t="n">
        <v>2</v>
      </c>
      <c r="B3" s="11" t="inlineStr">
        <is>
          <t>午前</t>
        </is>
      </c>
      <c r="C3" s="5" t="inlineStr">
        <is>
          <t>県への照会文書の発出（4件＋通達2件の入手依頼）</t>
        </is>
      </c>
      <c r="D3" s="5" t="inlineStr">
        <is>
          <t>基盤整備量は別表第二 三㈠⑤の「定めなければならない事項」であり、空欄のまま計画を確定できない。県の第8期計画の算定に依存するため、最も早く投げる必要がある。人材確保（別表第一 十二）と医療的ケア児等支援センターも同じ便で出す。あわせて圏域のＢ型工賃月額（Q-4）と、当方で入手できなかった通達2件（障企発0331第2号・令和8年4月20日事務連絡）の提供を依頼する</t>
        </is>
      </c>
      <c r="E3" s="11" t="inlineStr">
        <is>
          <t>1時間</t>
        </is>
      </c>
      <c r="F3" s="5" t="inlineStr">
        <is>
          <t>県への照会文書</t>
        </is>
      </c>
      <c r="G3" s="5" t="inlineStr">
        <is>
          <t>なし（当方で完結）</t>
        </is>
      </c>
      <c r="H3" s="5" t="inlineStr">
        <is>
          <t>レビュー Q-1〜Q-3／MECE Q-4・通達入手／リスク R-24</t>
        </is>
      </c>
    </row>
    <row r="4">
      <c r="A4" s="21" t="n">
        <v>3</v>
      </c>
      <c r="B4" s="11" t="inlineStr">
        <is>
          <t>午前</t>
        </is>
      </c>
      <c r="C4" s="5" t="inlineStr">
        <is>
          <t>アンケート報告書の分母の定義の修正方針を決め、作成者へ申し送る</t>
        </is>
      </c>
      <c r="D4" s="5" t="inlineStr">
        <is>
          <t>報告書は作成中。クロス集計の分母の定義は10テーマ・表4-2〜4-10のすべてに波及するため、後になるほど手戻りが大きい。あわせて基数5未満の区分の扱いを表と図で揃える方針も渡す</t>
        </is>
      </c>
      <c r="E4" s="11" t="inlineStr">
        <is>
          <t>1時間</t>
        </is>
      </c>
      <c r="F4" s="5" t="inlineStr">
        <is>
          <t>申し送りメモ</t>
        </is>
      </c>
      <c r="G4" s="5" t="inlineStr">
        <is>
          <t>なし（当方で完結）</t>
        </is>
      </c>
      <c r="H4" s="5" t="inlineStr">
        <is>
          <t>点検 A-1・A-2・A-3</t>
        </is>
      </c>
    </row>
    <row r="5">
      <c r="A5" s="21" t="n">
        <v>4</v>
      </c>
      <c r="B5" s="11" t="inlineStr">
        <is>
          <t>午後</t>
        </is>
      </c>
      <c r="C5" s="5" t="inlineStr">
        <is>
          <t>第4次計画のアンケート指標3件の扱いの選択肢を整理し、村へ提示</t>
        </is>
      </c>
      <c r="D5" s="5" t="inlineStr">
        <is>
          <t>報告書の確定前に決める必要がある。満足度は分母により39.4％（未達）と61.9％（目標超過）に分かれ、達成判定が逆転する。1の便に同封するか、1の回答を待って協議するかを先に決める</t>
        </is>
      </c>
      <c r="E5" s="11" t="inlineStr">
        <is>
          <t>1.5時間</t>
        </is>
      </c>
      <c r="F5" s="5" t="inlineStr">
        <is>
          <t>協議資料（選択肢と当方案）</t>
        </is>
      </c>
      <c r="G5" s="5" t="inlineStr">
        <is>
          <t>なし（当方で完結）</t>
        </is>
      </c>
      <c r="H5" s="5" t="inlineStr">
        <is>
          <t>リスク R-26／目標KPI K-1・K-3・K-5</t>
        </is>
      </c>
    </row>
    <row r="6">
      <c r="A6" s="22" t="n">
        <v>5</v>
      </c>
      <c r="B6" s="11" t="inlineStr">
        <is>
          <t>午後</t>
        </is>
      </c>
      <c r="C6" s="5" t="inlineStr">
        <is>
          <t>重度障がい者の内数の枠を計画素案 第5章4・5に設置</t>
        </is>
      </c>
      <c r="D6" s="5" t="inlineStr">
        <is>
          <t>別表第一 三・四の努力義務。外部依存がなく今日のうちに枠まで作れる。村の回答（強度行動障害・高次脳機能障害の人数、医療的ケア児の年齢）が届いたら数字を入れるだけの状態にしておく</t>
        </is>
      </c>
      <c r="E6" s="11" t="inlineStr">
        <is>
          <t>1時間</t>
        </is>
      </c>
      <c r="F6" s="5" t="inlineStr">
        <is>
          <t>計画素案 第5章4・5</t>
        </is>
      </c>
      <c r="G6" s="5" t="inlineStr">
        <is>
          <t>なし（枠のみ。数値は村の回答待ち）</t>
        </is>
      </c>
      <c r="H6" s="5" t="inlineStr">
        <is>
          <t>レビュー R-10／見込量 M-5・M-6</t>
        </is>
      </c>
    </row>
    <row r="7">
      <c r="A7" s="22" t="n">
        <v>6</v>
      </c>
      <c r="B7" s="11" t="inlineStr">
        <is>
          <t>午後</t>
        </is>
      </c>
      <c r="C7" s="5" t="inlineStr">
        <is>
          <t>地域生活支援事業の「その他実施に必要な事項」を第5章9に追加</t>
        </is>
      </c>
      <c r="D7" s="5" t="inlineStr">
        <is>
          <t>別表第二 四④の「定めなければならない事項」。利用者負担・申請手続・委託先・周知方法を整理するもので外部依存がない。0.3頁程度で済む</t>
        </is>
      </c>
      <c r="E7" s="11" t="inlineStr">
        <is>
          <t>0.5時間</t>
        </is>
      </c>
      <c r="F7" s="5" t="inlineStr">
        <is>
          <t>計画素案 第5章9</t>
        </is>
      </c>
      <c r="G7" s="5" t="inlineStr">
        <is>
          <t>なし（当方で完結）</t>
        </is>
      </c>
      <c r="H7" s="5" t="inlineStr">
        <is>
          <t>レビュー R-6</t>
        </is>
      </c>
    </row>
    <row r="8">
      <c r="A8" s="22" t="n">
        <v>7</v>
      </c>
      <c r="B8" s="11" t="inlineStr">
        <is>
          <t>翌日以降</t>
        </is>
      </c>
      <c r="C8" s="5" t="inlineStr">
        <is>
          <t>レビュー優先度「中」の残り（R-5・R-11・R-12・R-13・R-14）</t>
        </is>
      </c>
      <c r="D8" s="5" t="inlineStr">
        <is>
          <t>いずれも記載事項又は望ましい事項。R-14（他計画との調和）のみ村への確認（地域福祉計画・介護保険事業計画・賃貸住宅供給促進計画の有無）が前提になるため、1の照会に含めておく</t>
        </is>
      </c>
      <c r="E8" s="11" t="inlineStr">
        <is>
          <t>3時間</t>
        </is>
      </c>
      <c r="F8" s="5" t="inlineStr">
        <is>
          <t>計画素案</t>
        </is>
      </c>
      <c r="G8" s="5" t="inlineStr">
        <is>
          <t>R-14は村の回答待ち</t>
        </is>
      </c>
      <c r="H8" s="5" t="inlineStr">
        <is>
          <t>レビュー R-5・R-11〜R-14</t>
        </is>
      </c>
    </row>
    <row r="9">
      <c r="A9" s="22" t="n">
        <v>8</v>
      </c>
      <c r="B9" s="11" t="inlineStr">
        <is>
          <t>翌日以降</t>
        </is>
      </c>
      <c r="C9" s="5" t="inlineStr">
        <is>
          <t>分量の再点検（推定66頁→60頁）</t>
        </is>
      </c>
      <c r="D9" s="5" t="inlineStr">
        <is>
          <t>見込量表に列を足し、人材確保・関係機関との連携の2節を新設したため推定66頁になった。【要更新・要確認】の注記33件を確定時に削ると実質50頁前後に収まる見込みだが、配分計画との差を確認しておく</t>
        </is>
      </c>
      <c r="E9" s="11" t="inlineStr">
        <is>
          <t>1時間</t>
        </is>
      </c>
      <c r="F9" s="5" t="inlineStr">
        <is>
          <t>分量配分計画</t>
        </is>
      </c>
      <c r="G9" s="5" t="inlineStr">
        <is>
          <t>なし（当方で完結）</t>
        </is>
      </c>
      <c r="H9" s="5" t="inlineStr">
        <is>
          <t>分量配分計画</t>
        </is>
      </c>
    </row>
    <row r="10">
      <c r="A10" s="22" t="n">
        <v>9</v>
      </c>
      <c r="B10" s="11" t="inlineStr">
        <is>
          <t>翌日以降</t>
        </is>
      </c>
      <c r="C10" s="5" t="inlineStr">
        <is>
          <t>概要版の数値を見込量第1次概算とアンケート結果で更新</t>
        </is>
      </c>
      <c r="D10" s="5" t="inlineStr">
        <is>
          <t>概要版は令和8年9月17日時点の値。見込量の第1次概算とアンケートの結果（手帳所持者数・現状）を反映する。ただし村の回答で数値が動くため、1〜4の回答が出てからのほうが手戻りが少ない</t>
        </is>
      </c>
      <c r="E10" s="11" t="inlineStr">
        <is>
          <t>1時間</t>
        </is>
      </c>
      <c r="F10" s="5" t="inlineStr">
        <is>
          <t>計画素案 概要版</t>
        </is>
      </c>
      <c r="G10" s="5" t="inlineStr">
        <is>
          <t>1の回答を待つほうがよい</t>
        </is>
      </c>
      <c r="H10" s="5" t="inlineStr">
        <is>
          <t>―</t>
        </is>
      </c>
    </row>
    <row r="11">
      <c r="A11" s="22" t="n">
        <v>10</v>
      </c>
      <c r="B11" s="11" t="inlineStr">
        <is>
          <t>今週中</t>
        </is>
      </c>
      <c r="C11" s="5" t="inlineStr">
        <is>
          <t>自立支援協議会の開催時期を村に確認</t>
        </is>
      </c>
      <c r="D11" s="5" t="inlineStr">
        <is>
          <t>計画素案の審議・庁議・パブリックコメントの日程が開催時期に連動する。令和9年3月の計画確定から逆算すると、12月までに協議会を開く必要がある。1の照会に含める</t>
        </is>
      </c>
      <c r="E11" s="11" t="inlineStr">
        <is>
          <t>―</t>
        </is>
      </c>
      <c r="F11" s="5" t="inlineStr">
        <is>
          <t>工程表の更新</t>
        </is>
      </c>
      <c r="G11" s="5" t="inlineStr">
        <is>
          <t>村の回答待ち</t>
        </is>
      </c>
      <c r="H11" s="5" t="inlineStr">
        <is>
          <t>リスク R-9（協議会の開催時期が未定）</t>
        </is>
      </c>
    </row>
    <row r="12">
      <c r="A12" s="22" t="n">
        <v>11</v>
      </c>
      <c r="B12" s="11" t="inlineStr">
        <is>
          <t>午後</t>
        </is>
      </c>
      <c r="C12" s="5" t="inlineStr">
        <is>
          <t>分析報告書への指摘を村・報告書作成者へ申し送る（19件）</t>
        </is>
      </c>
      <c r="D12" s="5" t="inlineStr">
        <is>
          <t>報告書は作成が進んでおり、経年比較の節の追加・回収率の対比・自由記述の要約の程度は、後になるほど手戻りが大きい。自由記述は公表範囲の判断を村に委ねる必要があるため、1の照会（M-14）と同じ便で出す。数値整合は良好であり、指摘は記載の追加と表記の精度に関するものが中心</t>
        </is>
      </c>
      <c r="E12" s="11" t="inlineStr">
        <is>
          <t>1.5時間</t>
        </is>
      </c>
      <c r="F12" s="5" t="inlineStr">
        <is>
          <t>申し送りメモ（19件。重大4件を先頭に置く）</t>
        </is>
      </c>
      <c r="G12" s="5" t="inlineStr">
        <is>
          <t>なし（当方で完結）</t>
        </is>
      </c>
      <c r="H12" s="5" t="inlineStr">
        <is>
          <t>レビュー R-1〜R-20／M-14・M-15</t>
        </is>
      </c>
    </row>
    <row r="13">
      <c r="A13" s="22" t="n">
        <v>12</v>
      </c>
      <c r="B13" s="11" t="inlineStr">
        <is>
          <t>節目ごと</t>
        </is>
      </c>
      <c r="C13" s="5" t="inlineStr">
        <is>
          <t>成果物の再現性点検を回す（5〜9の作業を終えたあと）</t>
        </is>
      </c>
      <c r="D13" s="5" t="inlineStr">
        <is>
          <t>計画素案を直したあとに点検を回し、生成器から同じものが作り直せる状態を保つ。素案を直接編集して生成器との差が開くと、金ヶ崎町と同じく作り直せない状態になる。python3 check_reproducibility.py --regenerate で約2分</t>
        </is>
      </c>
      <c r="E13" s="11" t="inlineStr">
        <is>
          <t>0.2時間</t>
        </is>
      </c>
      <c r="F13" s="5" t="inlineStr">
        <is>
          <t>点検結果（終了コード0）</t>
        </is>
      </c>
      <c r="G13" s="5" t="inlineStr">
        <is>
          <t>なし（当方で完結）</t>
        </is>
      </c>
      <c r="H13" s="5" t="inlineStr">
        <is>
          <t>WBS 1-7／docs/北塩原村_成果物の再現性点検と再発防止.md</t>
        </is>
      </c>
    </row>
    <row r="15">
      <c r="A15" t="inlineStr">
        <is>
          <t>※ 令和8年10月5日（月）の着手順。1〜2は外部に投げる作業であり、当方の手は1時間程度で離れる。3〜6は外部依存がなく当日中に終えられる。7〜10は村・県の回答が届いてからのほうが手戻りが少ない。11は報告書への申し送りで、作成者の作業と並行して進める。12は素案を直すたびに回す点検であり、作業の順番には入らない。</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2026-10-08T11:50:20Z</dcterms:created>
  <dcterms:modified xmlns:dcterms="http://purl.org/dc/terms/" xmlns:xsi="http://www.w3.org/2001/XMLSchema-instance" xsi:type="dcterms:W3CDTF">2026-10-08T11:50:20Z</dcterms:modified>
</cp:coreProperties>
</file>