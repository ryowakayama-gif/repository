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'01_WBS'!$A$1:$N$80</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CE4E4"/>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5"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79件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16件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1-10</t>
        </is>
      </c>
      <c r="C3" s="4" t="inlineStr">
        <is>
          <t>県保健医療計画との整合の確認</t>
        </is>
      </c>
      <c r="D3" s="4" t="inlineStr">
        <is>
          <t>第8次福島県医療計画（令和6年3月。章ごとのPDF12点・383頁）を国の基本指針と正本に当て、調和が落ちていた箇所を反映する</t>
        </is>
      </c>
      <c r="E3" s="4" t="inlineStr">
        <is>
          <t>基本指針 第三の一の7・第二の二</t>
        </is>
      </c>
      <c r="F3" s="11" t="inlineStr">
        <is>
          <t>受託者</t>
        </is>
      </c>
      <c r="G3" s="11" t="inlineStr">
        <is>
          <t>2026-10</t>
        </is>
      </c>
      <c r="H3" s="11" t="inlineStr">
        <is>
          <t>2026-11</t>
        </is>
      </c>
      <c r="I3" s="13" t="inlineStr">
        <is>
          <t>進行中</t>
        </is>
      </c>
      <c r="J3" s="11" t="n">
        <v>80</v>
      </c>
      <c r="K3" s="11" t="n">
        <v>3</v>
      </c>
      <c r="L3" s="4" t="inlineStr">
        <is>
          <t>北塩原村_県保健医療計画との整合.xlsx（7シート）。令和8年10月15日に受領し source/県保健医療計画 に収めた。正本に「保健医療計画」「医療圏」「へき地」がいずれも0回で、基本指針 第三の一の7が名指しで調和を求める相手が落ちていた。計画期間が令和6〜11年度で終期が本計画と同じであり、3年ごとの見直しに当たるのが令和8年度（本計画の策定と同じ年度）。精神疾患対策の目標を県の第7期障がい福祉計画と突き合わせていたが、県医療計画は同じ指標に別の値（平均生活日数334日以上・令和11年）を置いていた。医療的ケア児等コーディネーターの配置は県内全59市町村が令和11年の目標で本村を含む。村内に市町村立のへき地診療所2カ所（南東北裏磐梯診療所・南東北桧原診療所）があることを特定。医療圏（会津・南会津17市町村）と障がい保健福祉圏域（会津13市町村）の単位の違いを整理。救急搬送困難件数が会津0.1％・南会津0.0％で、課題が受入れではなく搬送時間の側にあることを特定。正本に8件反映（ＫＩ-1〜ＫＩ-9。ＫＩ-4は確認の結果不要）。表7-5を新設し表96点。原典で照合した語72件</t>
        </is>
      </c>
      <c r="M3" s="4" t="inlineStr">
        <is>
          <t>第3章（医療圏と基準病床数）・第10章の受領と村内の医療資源（Ｍ-129）。県障がい福祉計画との指標の食い違いの決着（Ｓ-38）</t>
        </is>
      </c>
      <c r="N3" s="4" t="inlineStr">
        <is>
          <t>―</t>
        </is>
      </c>
    </row>
    <row r="4">
      <c r="A4" s="4" t="inlineStr">
        <is>
          <t>P1 準備・現状把握</t>
        </is>
      </c>
      <c r="B4" s="11" t="inlineStr">
        <is>
          <t>1-11</t>
        </is>
      </c>
      <c r="C4" s="4" t="inlineStr">
        <is>
          <t>確認事項の4区分への再整理</t>
        </is>
      </c>
      <c r="D4" s="4" t="inlineStr">
        <is>
          <t>確認事項112件を、他団体の案件で用いた4区分の方法に当てて割り付け直し、相手にお尋ねする件数を絞る</t>
        </is>
      </c>
      <c r="E4" s="4" t="inlineStr">
        <is>
          <t>仕様書4-Ⅱ(1)</t>
        </is>
      </c>
      <c r="F4" s="11" t="inlineStr">
        <is>
          <t>受託者</t>
        </is>
      </c>
      <c r="G4" s="11" t="inlineStr">
        <is>
          <t>2026-10</t>
        </is>
      </c>
      <c r="H4" s="11" t="inlineStr">
        <is>
          <t>2026-10</t>
        </is>
      </c>
      <c r="I4" s="12" t="inlineStr">
        <is>
          <t>完了</t>
        </is>
      </c>
      <c r="J4" s="11" t="n">
        <v>100</v>
      </c>
      <c r="K4" s="11" t="n">
        <v>3</v>
      </c>
      <c r="L4" s="4" t="inlineStr">
        <is>
          <t>北塩原村_確認事項の区分.xlsx（5シート）。区分はＡ解決済み22件・Ｂ当方で確認6件・Ｃ公表資料で先行27件・Ｄ相手の回答が必要57件。「当方で解消すべき計算上・資料解釈上の疑問を相手の確認責任に転嫁しない」を区分の基準にした。ご回答をお願いする件数は112件から84件に減った（28件減）。うち18件はほかの照会に1件としてまとめたもので、高齢者世帯等除雪サービス事業に関する6件を実施要綱のご提供と利用実績の1件にまとめたのが最大のもの。照会文（6通・1通）はこの区分を読み込んでＣ・Ｄだけを載せ、Ａ・Ｂは「当方で確認する分（ご回答不要）」として末尾に掲げる。Ｓ-11 が節5から参照されているのに照会の単一出所から漏れていたことも、この整理で見つけて直した</t>
        </is>
      </c>
      <c r="M4" s="4" t="inlineStr">
        <is>
          <t>なし（当方で完結）</t>
        </is>
      </c>
      <c r="N4" s="4" t="inlineStr">
        <is>
          <t>―</t>
        </is>
      </c>
    </row>
    <row r="5">
      <c r="A5" s="4" t="inlineStr">
        <is>
          <t>P1 準備・現状把握</t>
        </is>
      </c>
      <c r="B5" s="11" t="inlineStr">
        <is>
          <t>1-2</t>
        </is>
      </c>
      <c r="C5" s="4" t="inlineStr">
        <is>
          <t>現行計画本編の確認</t>
        </is>
      </c>
      <c r="D5" s="4" t="inlineStr">
        <is>
          <t>第4次障がい者計画・第7期障がい福祉計画・第3期障がい児福祉計画（63頁）の構成・成果目標7区分・見込量・施策目標値の把握</t>
        </is>
      </c>
      <c r="E5" s="4" t="inlineStr">
        <is>
          <t>仕様書4-Ⅱ(2)</t>
        </is>
      </c>
      <c r="F5" s="11" t="inlineStr">
        <is>
          <t>受託者</t>
        </is>
      </c>
      <c r="G5" s="11" t="inlineStr">
        <is>
          <t>2026-08</t>
        </is>
      </c>
      <c r="H5" s="11" t="inlineStr">
        <is>
          <t>2026-08</t>
        </is>
      </c>
      <c r="I5" s="12" t="inlineStr">
        <is>
          <t>完了</t>
        </is>
      </c>
      <c r="J5" s="11" t="n">
        <v>100</v>
      </c>
      <c r="K5" s="11" t="n">
        <v>3</v>
      </c>
      <c r="L5" s="4" t="inlineStr">
        <is>
          <t>受領による確認と訂正（docs/北塩原村_現行計画本編_受領による確認と訂正.md）。推定していた9件を実測値に置換し、誤りを4件訂正</t>
        </is>
      </c>
      <c r="M5" s="4" t="inlineStr">
        <is>
          <t>―</t>
        </is>
      </c>
      <c r="N5" s="4" t="inlineStr">
        <is>
          <t>現行計画本編（第4次障がい者計画・第7期・第3期）</t>
        </is>
      </c>
    </row>
    <row r="6">
      <c r="A6" s="4" t="inlineStr">
        <is>
          <t>P1 準備・現状把握</t>
        </is>
      </c>
      <c r="B6" s="11" t="inlineStr">
        <is>
          <t>1-3</t>
        </is>
      </c>
      <c r="C6" s="4" t="inlineStr">
        <is>
          <t>改定対象の切り分け</t>
        </is>
      </c>
      <c r="D6" s="4" t="inlineStr">
        <is>
          <t>第4次障がい者計画（令和6〜11年度）は継続中で改定対象外。基本理念・基本目標を継承する整合記述にとどめる範囲を確定</t>
        </is>
      </c>
      <c r="E6" s="4" t="inlineStr">
        <is>
          <t>仕様書1・2</t>
        </is>
      </c>
      <c r="F6" s="11" t="inlineStr">
        <is>
          <t>受託者</t>
        </is>
      </c>
      <c r="G6" s="11" t="inlineStr">
        <is>
          <t>2026-08</t>
        </is>
      </c>
      <c r="H6" s="11" t="inlineStr">
        <is>
          <t>2026-08</t>
        </is>
      </c>
      <c r="I6" s="12" t="inlineStr">
        <is>
          <t>完了</t>
        </is>
      </c>
      <c r="J6" s="11" t="n">
        <v>100</v>
      </c>
      <c r="K6" s="11" t="n">
        <v>2</v>
      </c>
      <c r="L6" s="4" t="inlineStr">
        <is>
          <t>骨子案修正版 第3章を「参考」から本計画の内容へ再構成。仕様書4-Ⅱ(5)①②の記載事項を措置</t>
        </is>
      </c>
      <c r="M6" s="4" t="inlineStr">
        <is>
          <t>―</t>
        </is>
      </c>
      <c r="N6" s="4" t="inlineStr">
        <is>
          <t>―</t>
        </is>
      </c>
    </row>
    <row r="7">
      <c r="A7" s="4" t="inlineStr">
        <is>
          <t>P1 準備・現状把握</t>
        </is>
      </c>
      <c r="B7" s="11" t="inlineStr">
        <is>
          <t>1-4</t>
        </is>
      </c>
      <c r="C7" s="4" t="inlineStr">
        <is>
          <t>村への資料依頼の一本化</t>
        </is>
      </c>
      <c r="D7" s="4" t="inlineStr">
        <is>
          <t>各推計ブックに分散していた村確認事項を横断で一本化し、優先度・希望期限を付す</t>
        </is>
      </c>
      <c r="E7" s="4" t="inlineStr">
        <is>
          <t>―</t>
        </is>
      </c>
      <c r="F7" s="11" t="inlineStr">
        <is>
          <t>受託者</t>
        </is>
      </c>
      <c r="G7" s="11" t="inlineStr">
        <is>
          <t>2026-08</t>
        </is>
      </c>
      <c r="H7" s="11" t="inlineStr">
        <is>
          <t>2026-08</t>
        </is>
      </c>
      <c r="I7" s="12" t="inlineStr">
        <is>
          <t>完了</t>
        </is>
      </c>
      <c r="J7" s="11" t="n">
        <v>100</v>
      </c>
      <c r="K7" s="11" t="n">
        <v>2</v>
      </c>
      <c r="L7" s="4" t="inlineStr">
        <is>
          <t>05_村資料・依頼の詳細（69件）に一本化し、WBS番号と結び付けた。最優先16件・高32件</t>
        </is>
      </c>
      <c r="M7" s="4" t="inlineStr">
        <is>
          <t>―</t>
        </is>
      </c>
      <c r="N7" s="4" t="inlineStr">
        <is>
          <t>―</t>
        </is>
      </c>
    </row>
    <row r="8">
      <c r="A8" s="4" t="inlineStr">
        <is>
          <t>P1 準備・現状把握</t>
        </is>
      </c>
      <c r="B8" s="11" t="inlineStr">
        <is>
          <t>1-5</t>
        </is>
      </c>
      <c r="C8" s="4" t="inlineStr">
        <is>
          <t>村資料の受領</t>
        </is>
      </c>
      <c r="D8" s="4" t="inlineStr">
        <is>
          <t>依頼69件の受領。実績データ・匿名利用者一覧・年齢階級別人口ほか</t>
        </is>
      </c>
      <c r="E8" s="4" t="inlineStr">
        <is>
          <t>―</t>
        </is>
      </c>
      <c r="F8" s="11" t="inlineStr">
        <is>
          <t>北塩原村</t>
        </is>
      </c>
      <c r="G8" s="11" t="inlineStr">
        <is>
          <t>2026-08</t>
        </is>
      </c>
      <c r="H8" s="11" t="inlineStr">
        <is>
          <t>2026-10</t>
        </is>
      </c>
      <c r="I8" s="14" t="inlineStr">
        <is>
          <t>データ待ち</t>
        </is>
      </c>
      <c r="J8" s="11" t="n">
        <v>25</v>
      </c>
      <c r="K8" s="11" t="n">
        <v>5</v>
      </c>
      <c r="L8" s="4" t="inlineStr">
        <is>
          <t>受領済8件・一部受領7件・県照会中1件・未受領53件。令和8年8月の調査票朱書きで実データ9件が判明。令和8年10月に外部レビューを踏まえて6件を追加（Ｍ-19・Ｍ-18・Ｍ-13・Ｍ-14・Ｍ-20・Ｍ-21）</t>
        </is>
      </c>
      <c r="M8" s="4" t="inlineStr">
        <is>
          <t>村の回答。P3・P6・P7のほぼ全てがこれに依存する</t>
        </is>
      </c>
      <c r="N8" s="4" t="inlineStr">
        <is>
          <t>―</t>
        </is>
      </c>
    </row>
    <row r="9">
      <c r="A9" s="4" t="inlineStr">
        <is>
          <t>P1 準備・現状把握</t>
        </is>
      </c>
      <c r="B9" s="11" t="inlineStr">
        <is>
          <t>1-6</t>
        </is>
      </c>
      <c r="C9" s="4" t="inlineStr">
        <is>
          <t>打合せ等業務</t>
        </is>
      </c>
      <c r="D9" s="4" t="inlineStr">
        <is>
          <t>電話・面談（オンライン・対面）による協議。議事録の作成</t>
        </is>
      </c>
      <c r="E9" s="4" t="inlineStr">
        <is>
          <t>仕様書4-Ⅲ</t>
        </is>
      </c>
      <c r="F9" s="11" t="inlineStr">
        <is>
          <t>受託者</t>
        </is>
      </c>
      <c r="G9" s="11" t="inlineStr">
        <is>
          <t>2026-06</t>
        </is>
      </c>
      <c r="H9" s="11" t="inlineStr">
        <is>
          <t>2027-03</t>
        </is>
      </c>
      <c r="I9" s="13" t="inlineStr">
        <is>
          <t>進行中</t>
        </is>
      </c>
      <c r="J9" s="11" t="n">
        <v>40</v>
      </c>
      <c r="K9" s="11" t="n">
        <v>2</v>
      </c>
      <c r="L9"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9" s="4" t="inlineStr">
        <is>
          <t>次回打合せの設定。発送前の確認事項を議題とする</t>
        </is>
      </c>
      <c r="N9" s="4" t="inlineStr">
        <is>
          <t>―</t>
        </is>
      </c>
    </row>
    <row r="10">
      <c r="A10" s="4" t="inlineStr">
        <is>
          <t>P1 準備・現状把握</t>
        </is>
      </c>
      <c r="B10" s="11" t="inlineStr">
        <is>
          <t>1-7</t>
        </is>
      </c>
      <c r="C10" s="4" t="inlineStr">
        <is>
          <t>成果物の再現性確保</t>
        </is>
      </c>
      <c r="D10" s="4" t="inlineStr">
        <is>
          <t>成果物を作り直せる状態（生成器・原本・必要なライブラリ）がすべてリポジトリに残っていることを機械で点検する仕組みの整備</t>
        </is>
      </c>
      <c r="E10" s="4" t="inlineStr">
        <is>
          <t>仕様書4-Ⅳ（成果品の納入）</t>
        </is>
      </c>
      <c r="F10" s="11" t="inlineStr">
        <is>
          <t>受託者</t>
        </is>
      </c>
      <c r="G10" s="11" t="inlineStr">
        <is>
          <t>2026-10</t>
        </is>
      </c>
      <c r="H10" s="11" t="inlineStr">
        <is>
          <t>2027-03</t>
        </is>
      </c>
      <c r="I10" s="13" t="inlineStr">
        <is>
          <t>進行中</t>
        </is>
      </c>
      <c r="J10" s="11" t="n">
        <v>90</v>
      </c>
      <c r="K10" s="11" t="n">
        <v>2</v>
      </c>
      <c r="L10"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10" s="4" t="inlineStr">
        <is>
          <t>―（納品まで節目ごとに再実行する）</t>
        </is>
      </c>
      <c r="N10" s="4" t="inlineStr">
        <is>
          <t>―</t>
        </is>
      </c>
    </row>
    <row r="11">
      <c r="A11" s="4" t="inlineStr">
        <is>
          <t>P1 準備・現状把握</t>
        </is>
      </c>
      <c r="B11" s="11" t="inlineStr">
        <is>
          <t>1-8</t>
        </is>
      </c>
      <c r="C11" s="4" t="inlineStr">
        <is>
          <t>福島県の障がい計画との整合の確認</t>
        </is>
      </c>
      <c r="D11" s="4" t="inlineStr">
        <is>
          <t>県の障がい者計画・障がい福祉計画・障がい児福祉計画を確認し、計画期間・区域の設定・成果目標・圏域計画との整合を計画素案に反映する</t>
        </is>
      </c>
      <c r="E11" s="4" t="inlineStr">
        <is>
          <t>基本指針 第三の一の5・7</t>
        </is>
      </c>
      <c r="F11" s="11" t="inlineStr">
        <is>
          <t>受託者</t>
        </is>
      </c>
      <c r="G11" s="11" t="inlineStr">
        <is>
          <t>2026-10</t>
        </is>
      </c>
      <c r="H11" s="11" t="inlineStr">
        <is>
          <t>2027-01</t>
        </is>
      </c>
      <c r="I11" s="13" t="inlineStr">
        <is>
          <t>進行中</t>
        </is>
      </c>
      <c r="J11" s="11" t="n">
        <v>90</v>
      </c>
      <c r="K11" s="11" t="n">
        <v>2</v>
      </c>
      <c r="L11"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11" s="4" t="inlineStr">
        <is>
          <t>県障がい者計画（第5次）の計画期間（Q-7）と第8期県計画の策定時期・基盤整備量の算定値（Q-5）の確認</t>
        </is>
      </c>
      <c r="N11" s="4" t="inlineStr">
        <is>
          <t>―（精度：福島県の長期入院患者に係る基盤整備量（利用者数））</t>
        </is>
      </c>
    </row>
    <row r="12">
      <c r="A12" s="4" t="inlineStr">
        <is>
          <t>P1 準備・現状把握</t>
        </is>
      </c>
      <c r="B12" s="11" t="inlineStr">
        <is>
          <t>1-9</t>
        </is>
      </c>
      <c r="C12" s="4" t="inlineStr">
        <is>
          <t>他メンバーの計画素案の網羅性点検</t>
        </is>
      </c>
      <c r="D12" s="4" t="inlineStr">
        <is>
          <t>他メンバーが作成した計画素案と策定ワークシートを、別表第二の記載事項・成果目標8区分・県計画・介護保険事業計画・村の公表実績と突き合わせる</t>
        </is>
      </c>
      <c r="E12" s="4" t="inlineStr">
        <is>
          <t>―</t>
        </is>
      </c>
      <c r="F12" s="11" t="inlineStr">
        <is>
          <t>受託者</t>
        </is>
      </c>
      <c r="G12" s="11" t="inlineStr">
        <is>
          <t>2026-10</t>
        </is>
      </c>
      <c r="H12" s="11" t="inlineStr">
        <is>
          <t>2026-11</t>
        </is>
      </c>
      <c r="I12" s="13" t="inlineStr">
        <is>
          <t>進行中</t>
        </is>
      </c>
      <c r="J12" s="11" t="n">
        <v>80</v>
      </c>
      <c r="K12" s="11" t="n">
        <v>2</v>
      </c>
      <c r="L12"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2" s="4" t="inlineStr">
        <is>
          <t>確認Ｓ-1（仮置きの前提の共有）とＳ-2〜Ｓ-4（村の実数）。どちらの素案を正本にするかの村・社内の判断</t>
        </is>
      </c>
      <c r="N12" s="4" t="inlineStr">
        <is>
          <t>―</t>
        </is>
      </c>
    </row>
    <row r="13">
      <c r="A13" s="4" t="inlineStr">
        <is>
          <t>P2 基礎調査</t>
        </is>
      </c>
      <c r="B13" s="11" t="inlineStr">
        <is>
          <t>2-1</t>
        </is>
      </c>
      <c r="C13" s="4" t="inlineStr">
        <is>
          <t>国の基本指針の確認と原典照合</t>
        </is>
      </c>
      <c r="D13" s="4" t="inlineStr">
        <is>
          <t>令和8年3月31日告示（こども家庭庁・厚生労働省告示第4号）の本文・新旧対照表により、成果目標8区分の国基準数値と別表第一〜第五を条項単位で照合</t>
        </is>
      </c>
      <c r="E13" s="4" t="inlineStr">
        <is>
          <t>仕様書4-Ⅱ(1)</t>
        </is>
      </c>
      <c r="F13" s="11" t="inlineStr">
        <is>
          <t>受託者</t>
        </is>
      </c>
      <c r="G13" s="11" t="inlineStr">
        <is>
          <t>2026-08</t>
        </is>
      </c>
      <c r="H13" s="11" t="inlineStr">
        <is>
          <t>2026-08</t>
        </is>
      </c>
      <c r="I13" s="12" t="inlineStr">
        <is>
          <t>完了</t>
        </is>
      </c>
      <c r="J13" s="11" t="n">
        <v>100</v>
      </c>
      <c r="K13" s="11" t="n">
        <v>5</v>
      </c>
      <c r="L13" s="4" t="inlineStr">
        <is>
          <t>国基準数値 原典照合結果（docs/北塩原村_国基準数値_原典照合結果.md）。骨子案の≪国の基本指針≫欄8か所を告示本文で全面差替</t>
        </is>
      </c>
      <c r="M13" s="4" t="inlineStr">
        <is>
          <t>―</t>
        </is>
      </c>
      <c r="N13" s="4" t="inlineStr">
        <is>
          <t>―</t>
        </is>
      </c>
    </row>
    <row r="14">
      <c r="A14" s="4" t="inlineStr">
        <is>
          <t>P2 基礎調査</t>
        </is>
      </c>
      <c r="B14" s="11" t="inlineStr">
        <is>
          <t>2-2</t>
        </is>
      </c>
      <c r="C14" s="4" t="inlineStr">
        <is>
          <t>法制度の改正動向の整理</t>
        </is>
      </c>
      <c r="D14" s="4" t="inlineStr">
        <is>
          <t>障害者総合支援法・児童福祉法の改正動向、就労選択支援の創設、令和8年度報酬改定（処遇改善加算拡充・B型基本報酬区分見直し）</t>
        </is>
      </c>
      <c r="E14" s="4" t="inlineStr">
        <is>
          <t>仕様書4-Ⅱ(1)</t>
        </is>
      </c>
      <c r="F14" s="11" t="inlineStr">
        <is>
          <t>受託者</t>
        </is>
      </c>
      <c r="G14" s="11" t="inlineStr">
        <is>
          <t>2026-08</t>
        </is>
      </c>
      <c r="H14" s="11" t="inlineStr">
        <is>
          <t>2026-08</t>
        </is>
      </c>
      <c r="I14" s="12" t="inlineStr">
        <is>
          <t>完了</t>
        </is>
      </c>
      <c r="J14" s="11" t="n">
        <v>100</v>
      </c>
      <c r="K14" s="11" t="n">
        <v>3</v>
      </c>
      <c r="L14" s="4" t="inlineStr">
        <is>
          <t>骨子案修正版 第1章4（基本指針の見直し16項目）。報酬改定資料3点を source/報酬改定 に保存</t>
        </is>
      </c>
      <c r="M14" s="4" t="inlineStr">
        <is>
          <t>―</t>
        </is>
      </c>
      <c r="N14" s="4" t="inlineStr">
        <is>
          <t>―</t>
        </is>
      </c>
    </row>
    <row r="15">
      <c r="A15" s="4" t="inlineStr">
        <is>
          <t>P2 基礎調査</t>
        </is>
      </c>
      <c r="B15" s="11" t="inlineStr">
        <is>
          <t>2-3</t>
        </is>
      </c>
      <c r="C15" s="4" t="inlineStr">
        <is>
          <t>福島県計画等の関連資料の収集</t>
        </is>
      </c>
      <c r="D15" s="4" t="inlineStr">
        <is>
          <t>福島県障がい福祉計画（第7期）本編、県の精神医療指標、県内の過疎・中山間地域の指定状況</t>
        </is>
      </c>
      <c r="E15" s="4" t="inlineStr">
        <is>
          <t>仕様書4-Ⅱ(1)</t>
        </is>
      </c>
      <c r="F15" s="11" t="inlineStr">
        <is>
          <t>受託者</t>
        </is>
      </c>
      <c r="G15" s="11" t="inlineStr">
        <is>
          <t>2026-08</t>
        </is>
      </c>
      <c r="H15" s="11" t="inlineStr">
        <is>
          <t>2026-08</t>
        </is>
      </c>
      <c r="I15" s="12" t="inlineStr">
        <is>
          <t>完了</t>
        </is>
      </c>
      <c r="J15" s="11" t="n">
        <v>100</v>
      </c>
      <c r="K15" s="11" t="n">
        <v>3</v>
      </c>
      <c r="L15" s="4" t="inlineStr">
        <is>
          <t>福島県_精神医療指標抽出.xlsx（7シート）。本村は過疎法第2条により全域が過疎地域と確定し、別表第五の適用対象外を判定</t>
        </is>
      </c>
      <c r="M15" s="4" t="inlineStr">
        <is>
          <t>―</t>
        </is>
      </c>
      <c r="N15" s="4" t="inlineStr">
        <is>
          <t>―</t>
        </is>
      </c>
    </row>
    <row r="16">
      <c r="A16" s="4" t="inlineStr">
        <is>
          <t>P2 基礎調査</t>
        </is>
      </c>
      <c r="B16" s="11" t="inlineStr">
        <is>
          <t>2-4</t>
        </is>
      </c>
      <c r="C16" s="4" t="inlineStr">
        <is>
          <t>村の関連計画との整合</t>
        </is>
      </c>
      <c r="D16" s="4" t="inlineStr">
        <is>
          <t>第5次総合振興計画、第3次健康21、地域福祉計画、こども・子育て計画、第9期高齢者福祉計画・介護保険事業計画</t>
        </is>
      </c>
      <c r="E16" s="4" t="inlineStr">
        <is>
          <t>仕様書4-Ⅱ(5)</t>
        </is>
      </c>
      <c r="F16" s="11" t="inlineStr">
        <is>
          <t>受託者</t>
        </is>
      </c>
      <c r="G16" s="11" t="inlineStr">
        <is>
          <t>2026-08</t>
        </is>
      </c>
      <c r="H16" s="11" t="inlineStr">
        <is>
          <t>2026-10</t>
        </is>
      </c>
      <c r="I16" s="13" t="inlineStr">
        <is>
          <t>進行中</t>
        </is>
      </c>
      <c r="J16" s="11" t="n">
        <v>60</v>
      </c>
      <c r="K16" s="11" t="n">
        <v>2</v>
      </c>
      <c r="L16" s="4" t="inlineStr">
        <is>
          <t>骨子案修正版 第7章（他計画との連携）。こども家庭センターとの相談導線を追記</t>
        </is>
      </c>
      <c r="M16" s="4" t="inlineStr">
        <is>
          <t>第5次総合振興計画たたき台ほか3計画が未受領</t>
        </is>
      </c>
      <c r="N16"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7">
      <c r="A17" s="4" t="inlineStr">
        <is>
          <t>P2 基礎調査</t>
        </is>
      </c>
      <c r="B17" s="11" t="inlineStr">
        <is>
          <t>2-5</t>
        </is>
      </c>
      <c r="C17" s="4" t="inlineStr">
        <is>
          <t>実態調査及びPDCAサイクルに関するマニュアルの確認</t>
        </is>
      </c>
      <c r="D17" s="4" t="inlineStr">
        <is>
          <t>令和8年8月に国が改定したマニュアル（全81頁）を読み、調査票の標準項目・見込量の推計方法・PDCAサイクルの要求水準を成果物と突合</t>
        </is>
      </c>
      <c r="E17" s="4" t="inlineStr">
        <is>
          <t>仕様書4-Ⅱ(1)</t>
        </is>
      </c>
      <c r="F17" s="11" t="inlineStr">
        <is>
          <t>受託者</t>
        </is>
      </c>
      <c r="G17" s="11" t="inlineStr">
        <is>
          <t>2026-08</t>
        </is>
      </c>
      <c r="H17" s="11" t="inlineStr">
        <is>
          <t>2026-08</t>
        </is>
      </c>
      <c r="I17" s="12" t="inlineStr">
        <is>
          <t>完了</t>
        </is>
      </c>
      <c r="J17" s="11" t="n">
        <v>100</v>
      </c>
      <c r="K17" s="11" t="n">
        <v>4</v>
      </c>
      <c r="L17"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7" s="4" t="inlineStr">
        <is>
          <t>―</t>
        </is>
      </c>
      <c r="N17" s="4" t="inlineStr">
        <is>
          <t>実態調査及びPDCAサイクルに関するマニュアル（令和8年8月）（精度：PDCAの評価体制・スケジュール・公表方法）</t>
        </is>
      </c>
    </row>
    <row r="18">
      <c r="A18" s="4" t="inlineStr">
        <is>
          <t>P2 基礎調査</t>
        </is>
      </c>
      <c r="B18" s="11" t="inlineStr">
        <is>
          <t>2-6</t>
        </is>
      </c>
      <c r="C18" s="4" t="inlineStr">
        <is>
          <t>告示後の基本指針改正2件の確認と網羅性のレビュー</t>
        </is>
      </c>
      <c r="D18"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8" s="4" t="inlineStr">
        <is>
          <t>仕様書4-Ⅱ(1)・4-Ⅱ(5)</t>
        </is>
      </c>
      <c r="F18" s="11" t="inlineStr">
        <is>
          <t>受託者</t>
        </is>
      </c>
      <c r="G18" s="11" t="inlineStr">
        <is>
          <t>2026-09</t>
        </is>
      </c>
      <c r="H18" s="11" t="inlineStr">
        <is>
          <t>2026-09</t>
        </is>
      </c>
      <c r="I18" s="12" t="inlineStr">
        <is>
          <t>完了</t>
        </is>
      </c>
      <c r="J18" s="11" t="n">
        <v>100</v>
      </c>
      <c r="K18" s="11" t="n">
        <v>4</v>
      </c>
      <c r="L18" s="4" t="inlineStr">
        <is>
          <t>北塩原村_骨子案レビュー_基本指針網羅性.xlsx（7シート）。別表第二 六の項（人材確保・生産性向上・経営基盤）の新設と、医療的ケア者（成人）の新設を確認。不足14件・村県への確認事項8件を整理</t>
        </is>
      </c>
      <c r="M18" s="4" t="inlineStr">
        <is>
          <t>―</t>
        </is>
      </c>
      <c r="N18" s="4" t="inlineStr">
        <is>
          <t>―</t>
        </is>
      </c>
    </row>
    <row r="19">
      <c r="A19" s="4" t="inlineStr">
        <is>
          <t>P3 統計分析</t>
        </is>
      </c>
      <c r="B19" s="11" t="inlineStr">
        <is>
          <t>3-1</t>
        </is>
      </c>
      <c r="C19" s="4" t="inlineStr">
        <is>
          <t>人口・世帯の分析</t>
        </is>
      </c>
      <c r="D19" s="4" t="inlineStr">
        <is>
          <t>住民基本台帳による人口の推移と、村公式推計による令和11年までの見通し</t>
        </is>
      </c>
      <c r="E19" s="4" t="inlineStr">
        <is>
          <t>仕様書4-Ⅱ(3)①</t>
        </is>
      </c>
      <c r="F19" s="11" t="inlineStr">
        <is>
          <t>受託者</t>
        </is>
      </c>
      <c r="G19" s="11" t="inlineStr">
        <is>
          <t>2026-07</t>
        </is>
      </c>
      <c r="H19" s="11" t="inlineStr">
        <is>
          <t>2026-08</t>
        </is>
      </c>
      <c r="I19" s="12" t="inlineStr">
        <is>
          <t>完了</t>
        </is>
      </c>
      <c r="J19" s="11" t="n">
        <v>100</v>
      </c>
      <c r="K19" s="11" t="n">
        <v>3</v>
      </c>
      <c r="L19" s="4" t="inlineStr">
        <is>
          <t>北塩原村_将来推計.xlsx。令和6年実績2,394人と令和11年公式推計の線形補間</t>
        </is>
      </c>
      <c r="M19" s="4" t="inlineStr">
        <is>
          <t>―</t>
        </is>
      </c>
      <c r="N19" s="4" t="inlineStr">
        <is>
          <t>―（精度：年齢階級別の手帳所持者数・人口・9月30日時点の人口・手帳所持者数（Ｍ-28））</t>
        </is>
      </c>
    </row>
    <row r="20">
      <c r="A20" s="4" t="inlineStr">
        <is>
          <t>P3 統計分析</t>
        </is>
      </c>
      <c r="B20" s="11" t="inlineStr">
        <is>
          <t>3-2</t>
        </is>
      </c>
      <c r="C20" s="4" t="inlineStr">
        <is>
          <t>障がい者手帳所持者数の将来推計</t>
        </is>
      </c>
      <c r="D20" s="4" t="inlineStr">
        <is>
          <t>身体・療育・精神の3区分について3手法で推計し、予測区間と分母感度を検証</t>
        </is>
      </c>
      <c r="E20" s="4" t="inlineStr">
        <is>
          <t>仕様書4-Ⅱ(3)①・4-Ⅱ(5)③</t>
        </is>
      </c>
      <c r="F20" s="11" t="inlineStr">
        <is>
          <t>受託者</t>
        </is>
      </c>
      <c r="G20" s="11" t="inlineStr">
        <is>
          <t>2026-08</t>
        </is>
      </c>
      <c r="H20" s="11" t="inlineStr">
        <is>
          <t>2026-08</t>
        </is>
      </c>
      <c r="I20" s="12" t="inlineStr">
        <is>
          <t>完了</t>
        </is>
      </c>
      <c r="J20" s="11" t="n">
        <v>100</v>
      </c>
      <c r="K20" s="11" t="n">
        <v>5</v>
      </c>
      <c r="L20" s="4" t="inlineStr">
        <is>
          <t>北塩原村_将来推計.xlsx（9シート）。骨子案修正版 第2章6として新設。県との比較シートで採用しなかった代替推計の理由も記録</t>
        </is>
      </c>
      <c r="M20" s="4" t="inlineStr">
        <is>
          <t>年齢階級別の手帳所持者数（未受領）により精度が上がる</t>
        </is>
      </c>
      <c r="N20" s="4" t="inlineStr">
        <is>
          <t>―（精度：年齢階級別の手帳所持者数・人口・指定難病による対象者（Ｍ-32）・9月30日時点の人口・手帳所持者数（Ｍ-28）・こども・子育て計画の人口推計の元データ（Ｍ-29））</t>
        </is>
      </c>
    </row>
    <row r="21">
      <c r="A21" s="4" t="inlineStr">
        <is>
          <t>P3 統計分析</t>
        </is>
      </c>
      <c r="B21" s="11" t="inlineStr">
        <is>
          <t>3-3</t>
        </is>
      </c>
      <c r="C21" s="4" t="inlineStr">
        <is>
          <t>給付実績の整理</t>
        </is>
      </c>
      <c r="D21" s="4" t="inlineStr">
        <is>
          <t>令和2〜7年度の介護給付費・障害児給付費をサービス別に整理</t>
        </is>
      </c>
      <c r="E21" s="4" t="inlineStr">
        <is>
          <t>仕様書4-Ⅱ(2)</t>
        </is>
      </c>
      <c r="F21" s="11" t="inlineStr">
        <is>
          <t>受託者</t>
        </is>
      </c>
      <c r="G21" s="11" t="inlineStr">
        <is>
          <t>2026-08</t>
        </is>
      </c>
      <c r="H21" s="11" t="inlineStr">
        <is>
          <t>2026-08</t>
        </is>
      </c>
      <c r="I21" s="12" t="inlineStr">
        <is>
          <t>完了</t>
        </is>
      </c>
      <c r="J21" s="11" t="n">
        <v>100</v>
      </c>
      <c r="K21" s="11" t="n">
        <v>3</v>
      </c>
      <c r="L21" s="4" t="inlineStr">
        <is>
          <t>北塩原村_障がいサービス給付実績_整理版（6シート）。サービス別内訳と年度合計が原票と一致することを検算済み</t>
        </is>
      </c>
      <c r="M21" s="4" t="inlineStr">
        <is>
          <t>―</t>
        </is>
      </c>
      <c r="N21" s="4" t="inlineStr">
        <is>
          <t>障害支援区分別人数の基準日とサービス利用状況</t>
        </is>
      </c>
    </row>
    <row r="22">
      <c r="A22" s="4" t="inlineStr">
        <is>
          <t>P3 統計分析</t>
        </is>
      </c>
      <c r="B22" s="11" t="inlineStr">
        <is>
          <t>3-4</t>
        </is>
      </c>
      <c r="C22" s="4" t="inlineStr">
        <is>
          <t>圏域のサービス資源の把握</t>
        </is>
      </c>
      <c r="D22" s="4" t="inlineStr">
        <is>
          <t>ReMHRAD 障害福祉資源18サービスにより、会津北部4町村と近隣市の事業所数を確認</t>
        </is>
      </c>
      <c r="E22" s="4" t="inlineStr">
        <is>
          <t>仕様書4-Ⅱ(3)</t>
        </is>
      </c>
      <c r="F22" s="11" t="inlineStr">
        <is>
          <t>受託者</t>
        </is>
      </c>
      <c r="G22" s="11" t="inlineStr">
        <is>
          <t>2026-08</t>
        </is>
      </c>
      <c r="H22" s="11" t="inlineStr">
        <is>
          <t>2026-08</t>
        </is>
      </c>
      <c r="I22" s="12" t="inlineStr">
        <is>
          <t>完了</t>
        </is>
      </c>
      <c r="J22" s="11" t="n">
        <v>100</v>
      </c>
      <c r="K22" s="11" t="n">
        <v>3</v>
      </c>
      <c r="L22" s="4" t="inlineStr">
        <is>
          <t>北塩原村_圏域サービス資源.xlsx（5シート）。村内に居宅介護1・重度訪問介護1・生活介護1を確認し、「本村には事業所がない」という記述を訂正</t>
        </is>
      </c>
      <c r="M22" s="4" t="inlineStr">
        <is>
          <t>―</t>
        </is>
      </c>
      <c r="N22" s="4" t="inlineStr">
        <is>
          <t>―（精度：村外の利用事業所の一覧（Ｍ-24）・村内3事業所の詳細・圏域事業所の制度活用状況・圏域事業所の受入可能性）</t>
        </is>
      </c>
    </row>
    <row r="23">
      <c r="A23" s="4" t="inlineStr">
        <is>
          <t>P3 統計分析</t>
        </is>
      </c>
      <c r="B23" s="11" t="inlineStr">
        <is>
          <t>3-5</t>
        </is>
      </c>
      <c r="C23" s="4" t="inlineStr">
        <is>
          <t>精神障がい者の地域移行に係る分析</t>
        </is>
      </c>
      <c r="D23" s="4" t="inlineStr">
        <is>
          <t>630調査・NDB精神医療指標・ReMHRAD により、県の平均生活日数・再入院率と村の在院者状況を把握</t>
        </is>
      </c>
      <c r="E23" s="4" t="inlineStr">
        <is>
          <t>仕様書4-Ⅱ(3)⑤</t>
        </is>
      </c>
      <c r="F23" s="11" t="inlineStr">
        <is>
          <t>受託者</t>
        </is>
      </c>
      <c r="G23" s="11" t="inlineStr">
        <is>
          <t>2026-08</t>
        </is>
      </c>
      <c r="H23" s="11" t="inlineStr">
        <is>
          <t>2026-09</t>
        </is>
      </c>
      <c r="I23" s="13" t="inlineStr">
        <is>
          <t>進行中</t>
        </is>
      </c>
      <c r="J23" s="11" t="n">
        <v>70</v>
      </c>
      <c r="K23" s="11" t="n">
        <v>4</v>
      </c>
      <c r="L23" s="4" t="inlineStr">
        <is>
          <t>福島県_精神医療指標抽出.xlsx。別表第四のCを令和5年度630調査の2,591人で確定</t>
        </is>
      </c>
      <c r="M23" s="4" t="inlineStr">
        <is>
          <t>令和7年度末時点の1年以上長期入院者の実数と年齢区分（村・会津保健所へ照会中）</t>
        </is>
      </c>
      <c r="N23" s="4" t="inlineStr">
        <is>
          <t>―（精度：令和7年度末時点の1年以上長期入院者の実数）</t>
        </is>
      </c>
    </row>
    <row r="24">
      <c r="A24" s="4" t="inlineStr">
        <is>
          <t>P3 統計分析</t>
        </is>
      </c>
      <c r="B24" s="11" t="inlineStr">
        <is>
          <t>3-6</t>
        </is>
      </c>
      <c r="C24" s="4" t="inlineStr">
        <is>
          <t>年齢階級別の分析</t>
        </is>
      </c>
      <c r="D24" s="4" t="inlineStr">
        <is>
          <t>身体は0〜17／18〜39／40〜64／65〜74／75歳以上、療育・精神は18歳未満／18〜64／65歳以上</t>
        </is>
      </c>
      <c r="E24" s="4" t="inlineStr">
        <is>
          <t>仕様書4-Ⅱ(3)①</t>
        </is>
      </c>
      <c r="F24" s="11" t="inlineStr">
        <is>
          <t>受託者</t>
        </is>
      </c>
      <c r="G24" s="11" t="inlineStr">
        <is>
          <t>2026-09</t>
        </is>
      </c>
      <c r="H24" s="11" t="inlineStr">
        <is>
          <t>2026-10</t>
        </is>
      </c>
      <c r="I24" s="14" t="inlineStr">
        <is>
          <t>データ待ち</t>
        </is>
      </c>
      <c r="J24" s="11" t="n">
        <v>0</v>
      </c>
      <c r="K24" s="11" t="n">
        <v>3</v>
      </c>
      <c r="L24" s="4" t="inlineStr">
        <is>
          <t>推計の枠は作成済み（将来推計 05）</t>
        </is>
      </c>
      <c r="M24" s="4" t="inlineStr">
        <is>
          <t>年齢階級別の手帳所持者数・人口（村へ依頼中）</t>
        </is>
      </c>
      <c r="N24" s="15" t="inlineStr">
        <is>
          <t>年齢別・サービス別の匿名利用者一覧・年齢階級別の手帳所持者数・人口（精度：特別支援学校・特別支援学級の在籍者）</t>
        </is>
      </c>
    </row>
    <row r="25">
      <c r="A25" s="4" t="inlineStr">
        <is>
          <t>P4 ニーズ調査</t>
        </is>
      </c>
      <c r="B25" s="11" t="inlineStr">
        <is>
          <t>4-1</t>
        </is>
      </c>
      <c r="C25" s="4" t="inlineStr">
        <is>
          <t>調査対象の抽出</t>
        </is>
      </c>
      <c r="D25" s="4" t="inlineStr">
        <is>
          <t>身体約130人・精神約40人・療育約20人（計約190人）。抽出は委託者が行い、受託者にラベルシールとして提供</t>
        </is>
      </c>
      <c r="E25" s="4" t="inlineStr">
        <is>
          <t>仕様書4-Ⅰ(1)</t>
        </is>
      </c>
      <c r="F25" s="11" t="inlineStr">
        <is>
          <t>北塩原村</t>
        </is>
      </c>
      <c r="G25" s="11" t="inlineStr">
        <is>
          <t>2026-07</t>
        </is>
      </c>
      <c r="H25" s="11" t="inlineStr">
        <is>
          <t>2026-08</t>
        </is>
      </c>
      <c r="I25" s="12" t="inlineStr">
        <is>
          <t>完了</t>
        </is>
      </c>
      <c r="J25" s="11" t="n">
        <v>100</v>
      </c>
      <c r="K25" s="11" t="n">
        <v>3</v>
      </c>
      <c r="L25" s="4" t="inlineStr">
        <is>
          <t>令和8年10月14日に受領した集計表の改訂版で配布数が確定した（障がい者172・障がい児6）。内訳は身体118名・精神1名・療育8名・入所等12名（障がい者）、身体2名・精神1名・療育1名・入所等2名（障がい児）</t>
        </is>
      </c>
      <c r="M25" s="4" t="inlineStr">
        <is>
          <t>内訳の合計139名が配布数172と合わない（差33名）。精神1名は村の精神手帳所持者38人と比べても少ない（Ｍ-128）。仕様書の約190人との差も併せて確かめる</t>
        </is>
      </c>
      <c r="N25" s="4" t="inlineStr">
        <is>
          <t>発送対象者数（重複除外後）・宛名ラベルシール</t>
        </is>
      </c>
    </row>
    <row r="26">
      <c r="A26" s="4" t="inlineStr">
        <is>
          <t>P4 ニーズ調査</t>
        </is>
      </c>
      <c r="B26" s="11" t="inlineStr">
        <is>
          <t>4-2</t>
        </is>
      </c>
      <c r="C26" s="4" t="inlineStr">
        <is>
          <t>調査票の設計</t>
        </is>
      </c>
      <c r="D26" s="4" t="inlineStr">
        <is>
          <t>厚生労働省の調査項目及び村の過去調査を踏まえて設計し、委託者との協議の上決定</t>
        </is>
      </c>
      <c r="E26" s="4" t="inlineStr">
        <is>
          <t>仕様書4-Ⅰ(2)</t>
        </is>
      </c>
      <c r="F26" s="11" t="inlineStr">
        <is>
          <t>受託者</t>
        </is>
      </c>
      <c r="G26" s="11" t="inlineStr">
        <is>
          <t>2026-07</t>
        </is>
      </c>
      <c r="H26" s="11" t="inlineStr">
        <is>
          <t>2026-08</t>
        </is>
      </c>
      <c r="I26" s="12" t="inlineStr">
        <is>
          <t>完了</t>
        </is>
      </c>
      <c r="J26" s="11" t="n">
        <v>100</v>
      </c>
      <c r="K26" s="11" t="n">
        <v>4</v>
      </c>
      <c r="L26" s="4" t="inlineStr">
        <is>
          <t>令和8年8月25日版で確定（障がい者版45問・障がい児版44問）。村の朱書き修正指示40か所は反映済み。原典は source/アンケート/</t>
        </is>
      </c>
      <c r="M26" s="4" t="inlineStr">
        <is>
          <t>―</t>
        </is>
      </c>
      <c r="N26" s="4" t="inlineStr">
        <is>
          <t>アンケート調査票への村の修正指示</t>
        </is>
      </c>
    </row>
    <row r="27">
      <c r="A27" s="4" t="inlineStr">
        <is>
          <t>P4 ニーズ調査</t>
        </is>
      </c>
      <c r="B27" s="11" t="inlineStr">
        <is>
          <t>4-3</t>
        </is>
      </c>
      <c r="C27" s="4" t="inlineStr">
        <is>
          <t>障がい特性に応じた配慮</t>
        </is>
      </c>
      <c r="D27" s="4" t="inlineStr">
        <is>
          <t>文字の大きさ・フォント・表現の工夫、ルビ等</t>
        </is>
      </c>
      <c r="E27" s="4" t="inlineStr">
        <is>
          <t>仕様書4-Ⅰ(2)</t>
        </is>
      </c>
      <c r="F27" s="11" t="inlineStr">
        <is>
          <t>受託者</t>
        </is>
      </c>
      <c r="G27" s="11" t="inlineStr">
        <is>
          <t>2026-07</t>
        </is>
      </c>
      <c r="H27" s="11" t="inlineStr">
        <is>
          <t>2026-08</t>
        </is>
      </c>
      <c r="I27" s="12" t="inlineStr">
        <is>
          <t>完了</t>
        </is>
      </c>
      <c r="J27" s="11" t="n">
        <v>100</v>
      </c>
      <c r="K27" s="11" t="n">
        <v>2</v>
      </c>
      <c r="L27" s="4" t="inlineStr">
        <is>
          <t>14pt程度・ルビ付与・白黒印刷・専門用語への短い解説（7月7日打合せで決定）。村からレスパイトケア・就労継続支援A型B型の用語説明の文言を受領。令和8年8月31日から9月25日までの実施をもって確定</t>
        </is>
      </c>
      <c r="M27" s="4" t="inlineStr">
        <is>
          <t>―</t>
        </is>
      </c>
      <c r="N27" s="4" t="inlineStr">
        <is>
          <t>―</t>
        </is>
      </c>
    </row>
    <row r="28">
      <c r="A28" s="4" t="inlineStr">
        <is>
          <t>P4 ニーズ調査</t>
        </is>
      </c>
      <c r="B28" s="11" t="inlineStr">
        <is>
          <t>4-4</t>
        </is>
      </c>
      <c r="C28" s="4" t="inlineStr">
        <is>
          <t>ウェブ回答用フォームの作成</t>
        </is>
      </c>
      <c r="D28" s="4" t="inlineStr">
        <is>
          <t>二次元コードを調査票又は依頼状に印字。紙・ウェブの重複回答を管理番号で管理</t>
        </is>
      </c>
      <c r="E28" s="4" t="inlineStr">
        <is>
          <t>仕様書4-Ⅰ(2)</t>
        </is>
      </c>
      <c r="F28" s="11" t="inlineStr">
        <is>
          <t>受託者</t>
        </is>
      </c>
      <c r="G28" s="11" t="inlineStr">
        <is>
          <t>2026-07</t>
        </is>
      </c>
      <c r="H28" s="11" t="inlineStr">
        <is>
          <t>2026-08</t>
        </is>
      </c>
      <c r="I28" s="12" t="inlineStr">
        <is>
          <t>完了</t>
        </is>
      </c>
      <c r="J28" s="11" t="n">
        <v>100</v>
      </c>
      <c r="K28" s="11" t="n">
        <v>3</v>
      </c>
      <c r="L28" s="4" t="inlineStr">
        <is>
          <t>Googleフォーム自動作成コード（1本統合分岐版）。集計表の改訂版で調査方法が「郵送配布・郵送回収及びWEB回答」と記入され、ウェブ回答が実施されたことが確定した</t>
        </is>
      </c>
      <c r="M28" s="4" t="inlineStr">
        <is>
          <t>―</t>
        </is>
      </c>
      <c r="N28" s="4" t="inlineStr">
        <is>
          <t>―</t>
        </is>
      </c>
    </row>
    <row r="29">
      <c r="A29" s="4" t="inlineStr">
        <is>
          <t>P4 ニーズ調査</t>
        </is>
      </c>
      <c r="B29" s="11" t="inlineStr">
        <is>
          <t>4-5</t>
        </is>
      </c>
      <c r="C29" s="4" t="inlineStr">
        <is>
          <t>調査票・封筒の印刷</t>
        </is>
      </c>
      <c r="D29" s="4" t="inlineStr">
        <is>
          <t>調査票及び封筒（配布用・回収用）を各々必要部数印刷。仕様はA4判・約24ページ・黒1色</t>
        </is>
      </c>
      <c r="E29" s="4" t="inlineStr">
        <is>
          <t>仕様書4-Ⅰ(3)</t>
        </is>
      </c>
      <c r="F29" s="11" t="inlineStr">
        <is>
          <t>受託者</t>
        </is>
      </c>
      <c r="G29" s="11" t="inlineStr">
        <is>
          <t>2026-08</t>
        </is>
      </c>
      <c r="H29" s="11" t="inlineStr">
        <is>
          <t>2026-08</t>
        </is>
      </c>
      <c r="I29" s="12" t="inlineStr">
        <is>
          <t>完了</t>
        </is>
      </c>
      <c r="J29" s="11" t="n">
        <v>100</v>
      </c>
      <c r="K29" s="11" t="n">
        <v>3</v>
      </c>
      <c r="L29" s="4" t="inlineStr">
        <is>
          <t>令和8年8月31日の発送をもって完了。配布数は障がい者172・障がい児6</t>
        </is>
      </c>
      <c r="M29" s="4" t="inlineStr">
        <is>
          <t>仕様書は約24頁の1種類だが実際は2種類であった。頁数・種類数・部数・単価の取扱いは契約の変更管理で詰める</t>
        </is>
      </c>
      <c r="N29" s="4" t="inlineStr">
        <is>
          <t>―</t>
        </is>
      </c>
    </row>
    <row r="30">
      <c r="A30" s="4" t="inlineStr">
        <is>
          <t>P4 ニーズ調査</t>
        </is>
      </c>
      <c r="B30" s="11" t="inlineStr">
        <is>
          <t>4-6</t>
        </is>
      </c>
      <c r="C30" s="4" t="inlineStr">
        <is>
          <t>発送・回収管理</t>
        </is>
      </c>
      <c r="D30" s="4" t="inlineStr">
        <is>
          <t>宛名ラベルを配布用封筒に貼付し、調査票・返信用封筒を封入・封緘の上発送。発送及び回収に係る費用は受託者の負担</t>
        </is>
      </c>
      <c r="E30" s="4" t="inlineStr">
        <is>
          <t>仕様書4-Ⅰ(4)</t>
        </is>
      </c>
      <c r="F30" s="11" t="inlineStr">
        <is>
          <t>受託者・北塩原村</t>
        </is>
      </c>
      <c r="G30" s="11" t="inlineStr">
        <is>
          <t>2026-08</t>
        </is>
      </c>
      <c r="H30" s="11" t="inlineStr">
        <is>
          <t>2026-09</t>
        </is>
      </c>
      <c r="I30" s="12" t="inlineStr">
        <is>
          <t>完了</t>
        </is>
      </c>
      <c r="J30" s="11" t="n">
        <v>100</v>
      </c>
      <c r="K30" s="11" t="n">
        <v>3</v>
      </c>
      <c r="L30" s="4" t="inlineStr">
        <is>
          <t>令和8年8月〜9月に発送・回収を実施。有効回答は障がい者38件・障がい児3件</t>
        </is>
      </c>
      <c r="M30" s="4" t="inlineStr">
        <is>
          <t>配布数が未確認のため有効回答率を算出できない（点検結果D-1）。郵送費の精算方法の書面確認も未了</t>
        </is>
      </c>
      <c r="N30" s="4" t="inlineStr">
        <is>
          <t>―（精度：発送対象者数（重複除外後）・宛名ラベルシール）</t>
        </is>
      </c>
    </row>
    <row r="31">
      <c r="A31" s="4" t="inlineStr">
        <is>
          <t>P4 ニーズ調査</t>
        </is>
      </c>
      <c r="B31" s="11" t="inlineStr">
        <is>
          <t>4-7</t>
        </is>
      </c>
      <c r="C31" s="4" t="inlineStr">
        <is>
          <t>国のマニュアルとの差の代替設計</t>
        </is>
      </c>
      <c r="D31" s="4" t="inlineStr">
        <is>
          <t>確定版に無い国の標準項目4件について、確定版の設問の組み合わせと行政データとの突合で代替できるかを判定し、実施するクロス集計を設計</t>
        </is>
      </c>
      <c r="E31" s="4" t="inlineStr">
        <is>
          <t>仕様書4-Ⅰ(6)</t>
        </is>
      </c>
      <c r="F31" s="11" t="inlineStr">
        <is>
          <t>受託者</t>
        </is>
      </c>
      <c r="G31" s="11" t="inlineStr">
        <is>
          <t>2026-08</t>
        </is>
      </c>
      <c r="H31" s="11" t="inlineStr">
        <is>
          <t>2026-08</t>
        </is>
      </c>
      <c r="I31" s="12" t="inlineStr">
        <is>
          <t>完了</t>
        </is>
      </c>
      <c r="J31" s="11" t="n">
        <v>100</v>
      </c>
      <c r="K31" s="11" t="n">
        <v>4</v>
      </c>
      <c r="L31" s="4" t="inlineStr">
        <is>
          <t>北塩原村_クロス集計設計.xlsx（7シート・クロス集計25件・行政データ突合6件）。介護保険・強度行動障害・障害支援区分の3件は行政データで代替可</t>
        </is>
      </c>
      <c r="M31" s="4" t="inlineStr">
        <is>
          <t>外出の目的（第4次障がい者計画の指標）は代替できず、村との再協議が必要</t>
        </is>
      </c>
      <c r="N31" s="4" t="inlineStr">
        <is>
          <t>アンケート調査票への村の修正指示</t>
        </is>
      </c>
    </row>
    <row r="32">
      <c r="A32" s="4" t="inlineStr">
        <is>
          <t>P5 集計・分析</t>
        </is>
      </c>
      <c r="B32" s="11" t="inlineStr">
        <is>
          <t>5-1</t>
        </is>
      </c>
      <c r="C32" s="4" t="inlineStr">
        <is>
          <t>データ入力</t>
        </is>
      </c>
      <c r="D32" s="4" t="inlineStr">
        <is>
          <t>厚生労働省が提示する集計ファイル様式を基本として入力</t>
        </is>
      </c>
      <c r="E32" s="4" t="inlineStr">
        <is>
          <t>仕様書4-Ⅰ(5)</t>
        </is>
      </c>
      <c r="F32" s="11" t="inlineStr">
        <is>
          <t>受託者</t>
        </is>
      </c>
      <c r="G32" s="11" t="inlineStr">
        <is>
          <t>2026-09</t>
        </is>
      </c>
      <c r="H32" s="11" t="inlineStr">
        <is>
          <t>2026-10</t>
        </is>
      </c>
      <c r="I32" s="12" t="inlineStr">
        <is>
          <t>完了</t>
        </is>
      </c>
      <c r="J32" s="11" t="n">
        <v>100</v>
      </c>
      <c r="K32" s="11" t="n">
        <v>3</v>
      </c>
      <c r="L32" s="4" t="inlineStr">
        <is>
          <t>令和8年10月2日に集計が完成（集計_障がい者版・集計_障がい児版）。障がい者38件・障がい児3件。個票から単純集計を再計算して全件一致を確認</t>
        </is>
      </c>
      <c r="M32" s="4" t="inlineStr">
        <is>
          <t>―</t>
        </is>
      </c>
      <c r="N32" s="4" t="inlineStr">
        <is>
          <t>―</t>
        </is>
      </c>
    </row>
    <row r="33">
      <c r="A33" s="4" t="inlineStr">
        <is>
          <t>P5 集計・分析</t>
        </is>
      </c>
      <c r="B33" s="11" t="inlineStr">
        <is>
          <t>5-10</t>
        </is>
      </c>
      <c r="C33" s="4" t="inlineStr">
        <is>
          <t>外部レビューと村資料の反映</t>
        </is>
      </c>
      <c r="D33" s="4" t="inlineStr">
        <is>
          <t>外部レビューの指摘（小規模自治体の見込量算定の方法、受給者証と障害支援区分の区別、必要量と供給可能量の分離ほか）と、村の自立支援協議会資料を素案に反映する</t>
        </is>
      </c>
      <c r="E33" s="4" t="inlineStr">
        <is>
          <t>基本指針 別表第二 三の項</t>
        </is>
      </c>
      <c r="F33" s="11" t="inlineStr">
        <is>
          <t>受託者</t>
        </is>
      </c>
      <c r="G33" s="11" t="inlineStr">
        <is>
          <t>2026-10</t>
        </is>
      </c>
      <c r="H33" s="11" t="inlineStr">
        <is>
          <t>2026-12</t>
        </is>
      </c>
      <c r="I33" s="13" t="inlineStr">
        <is>
          <t>進行中</t>
        </is>
      </c>
      <c r="J33" s="11" t="n">
        <v>70</v>
      </c>
      <c r="K33" s="11" t="n">
        <v>1</v>
      </c>
      <c r="L33"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3" s="4" t="inlineStr">
        <is>
          <t>Ｍ-19（計画値の系列）の回答。回答後に第5章3〜7の見込量を村の公表実績に差し替える。未読の村資料4点の読み込み</t>
        </is>
      </c>
      <c r="N33" s="15" t="inlineStr">
        <is>
          <t>計画値の基礎とする系列（Ｍ-19）・移行管理台帳（Ｍ-18）・自立支援協議会の資料13点（令和8年5月25日）</t>
        </is>
      </c>
    </row>
    <row r="34">
      <c r="A34" s="4" t="inlineStr">
        <is>
          <t>P5 集計・分析</t>
        </is>
      </c>
      <c r="B34" s="11" t="inlineStr">
        <is>
          <t>5-11</t>
        </is>
      </c>
      <c r="C34" s="4" t="inlineStr">
        <is>
          <t>第2回外部レビューの反映</t>
        </is>
      </c>
      <c r="D34" s="4" t="inlineStr">
        <is>
          <t>第154〜159回の整理と照合した27論点の指摘を、データ待ちでないものから計画素案に反映する</t>
        </is>
      </c>
      <c r="E34" s="4" t="inlineStr">
        <is>
          <t>基本指針 別表第一・別表第二</t>
        </is>
      </c>
      <c r="F34" s="11" t="inlineStr">
        <is>
          <t>受託者</t>
        </is>
      </c>
      <c r="G34" s="11" t="inlineStr">
        <is>
          <t>2026-10</t>
        </is>
      </c>
      <c r="H34" s="11" t="inlineStr">
        <is>
          <t>2026-12</t>
        </is>
      </c>
      <c r="I34" s="13" t="inlineStr">
        <is>
          <t>進行中</t>
        </is>
      </c>
      <c r="J34" s="11" t="n">
        <v>65</v>
      </c>
      <c r="K34" s="11" t="n">
        <v>2</v>
      </c>
      <c r="L34"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4"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4" s="4" t="inlineStr">
        <is>
          <t>―</t>
        </is>
      </c>
    </row>
    <row r="35">
      <c r="A35" s="4" t="inlineStr">
        <is>
          <t>P5 集計・分析</t>
        </is>
      </c>
      <c r="B35" s="11" t="inlineStr">
        <is>
          <t>5-12</t>
        </is>
      </c>
      <c r="C35" s="4" t="inlineStr">
        <is>
          <t>集計表の改訂版の確認</t>
        </is>
      </c>
      <c r="D35" s="4" t="inlineStr">
        <is>
          <t>報告書用集計表の改訂版について、当方が洗い出した不整合11件がどうなったかを新旧の現物で確かめ、正本の割合が改訂版の集計から出ることを照合する</t>
        </is>
      </c>
      <c r="E35" s="4" t="inlineStr">
        <is>
          <t>仕様書4-Ⅱ(1)②</t>
        </is>
      </c>
      <c r="F35" s="11" t="inlineStr">
        <is>
          <t>受託者</t>
        </is>
      </c>
      <c r="G35" s="11" t="inlineStr">
        <is>
          <t>2026-10</t>
        </is>
      </c>
      <c r="H35" s="11" t="inlineStr">
        <is>
          <t>2026-10</t>
        </is>
      </c>
      <c r="I35" s="12" t="inlineStr">
        <is>
          <t>完了</t>
        </is>
      </c>
      <c r="J35" s="11" t="n">
        <v>100</v>
      </c>
      <c r="K35" s="11" t="n">
        <v>3</v>
      </c>
      <c r="L35"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5" s="4" t="inlineStr">
        <is>
          <t>Ａ-3（基数1〜2の区分の割合表示）とＣ-2（医療的ケアの書き方）は報告書の側の修正（Ｓ-37）。調査対象の内訳139名と配布数172の食い違い（Ｍ-128）</t>
        </is>
      </c>
      <c r="N35" s="4" t="inlineStr">
        <is>
          <t>―</t>
        </is>
      </c>
    </row>
    <row r="36">
      <c r="A36" s="4" t="inlineStr">
        <is>
          <t>P5 集計・分析</t>
        </is>
      </c>
      <c r="B36" s="11" t="inlineStr">
        <is>
          <t>5-2</t>
        </is>
      </c>
      <c r="C36" s="4" t="inlineStr">
        <is>
          <t>集計・分析の設計</t>
        </is>
      </c>
      <c r="D36" s="4" t="inlineStr">
        <is>
          <t>基本集計及び年齢・障がい種別等によるクロス集計。少数母数の取扱い</t>
        </is>
      </c>
      <c r="E36" s="4" t="inlineStr">
        <is>
          <t>仕様書4-Ⅰ(6)</t>
        </is>
      </c>
      <c r="F36" s="11" t="inlineStr">
        <is>
          <t>受託者</t>
        </is>
      </c>
      <c r="G36" s="11" t="inlineStr">
        <is>
          <t>2026-08</t>
        </is>
      </c>
      <c r="H36" s="11" t="inlineStr">
        <is>
          <t>2026-10</t>
        </is>
      </c>
      <c r="I36" s="13" t="inlineStr">
        <is>
          <t>進行中</t>
        </is>
      </c>
      <c r="J36" s="11" t="n">
        <v>80</v>
      </c>
      <c r="K36" s="11" t="n">
        <v>3</v>
      </c>
      <c r="L36"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6" s="4" t="inlineStr">
        <is>
          <t>分母の定義を改めるか脚注で明示するかを決める（点検結果A-1）。基数5未満の区分の扱いも表と図で揃える（同A-3）</t>
        </is>
      </c>
      <c r="N36" s="15" t="inlineStr">
        <is>
          <t>小規模公表基準・前回調査の調査結果報告書（精度：要介護認定の有無・要介護度（匿名利用者一覧への列追加））</t>
        </is>
      </c>
    </row>
    <row r="37">
      <c r="A37" s="4" t="inlineStr">
        <is>
          <t>P5 集計・分析</t>
        </is>
      </c>
      <c r="B37" s="11" t="inlineStr">
        <is>
          <t>5-3</t>
        </is>
      </c>
      <c r="C37" s="4" t="inlineStr">
        <is>
          <t>自由回答の取りまとめ</t>
        </is>
      </c>
      <c r="D37" s="4" t="inlineStr">
        <is>
          <t>自由記述の分類・要約。村の修正指示により問11-2・問37-2の自由記述欄が新設される</t>
        </is>
      </c>
      <c r="E37" s="4" t="inlineStr">
        <is>
          <t>仕様書4-Ⅰ(6)</t>
        </is>
      </c>
      <c r="F37" s="11" t="inlineStr">
        <is>
          <t>受託者</t>
        </is>
      </c>
      <c r="G37" s="11" t="inlineStr">
        <is>
          <t>2026-10</t>
        </is>
      </c>
      <c r="H37" s="11" t="inlineStr">
        <is>
          <t>2026-11</t>
        </is>
      </c>
      <c r="I37" s="13" t="inlineStr">
        <is>
          <t>進行中</t>
        </is>
      </c>
      <c r="J37" s="11" t="n">
        <v>60</v>
      </c>
      <c r="K37" s="11" t="n">
        <v>2</v>
      </c>
      <c r="L37" s="4" t="inlineStr">
        <is>
          <t>自由記述一覧シートに整理済み。報告書 表3-2（障がい者15行）に主な意見を分野別に掲載</t>
        </is>
      </c>
      <c r="M37" s="4" t="inlineStr">
        <is>
          <t>個人が特定されない範囲での要約の最終確認</t>
        </is>
      </c>
      <c r="N37" s="4" t="inlineStr">
        <is>
          <t>―</t>
        </is>
      </c>
    </row>
    <row r="38">
      <c r="A38" s="4" t="inlineStr">
        <is>
          <t>P5 集計・分析</t>
        </is>
      </c>
      <c r="B38" s="11" t="inlineStr">
        <is>
          <t>5-4</t>
        </is>
      </c>
      <c r="C38" s="4" t="inlineStr">
        <is>
          <t>成果目標との紐付け</t>
        </is>
      </c>
      <c r="D38" s="4" t="inlineStr">
        <is>
          <t>現行計画は成果目標の設定根拠に調査結果報告書の頁番号を引用している。第8期でも同じ構造とするため、集計段階で設問と成果目標を紐付ける</t>
        </is>
      </c>
      <c r="E38" s="4" t="inlineStr">
        <is>
          <t>仕様書4-Ⅱ(3)⑤</t>
        </is>
      </c>
      <c r="F38" s="11" t="inlineStr">
        <is>
          <t>受託者</t>
        </is>
      </c>
      <c r="G38" s="11" t="inlineStr">
        <is>
          <t>2026-10</t>
        </is>
      </c>
      <c r="H38" s="11" t="inlineStr">
        <is>
          <t>2026-11</t>
        </is>
      </c>
      <c r="I38" s="13" t="inlineStr">
        <is>
          <t>進行中</t>
        </is>
      </c>
      <c r="J38" s="11" t="n">
        <v>50</v>
      </c>
      <c r="K38" s="11" t="n">
        <v>2</v>
      </c>
      <c r="L38"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8" s="4" t="inlineStr">
        <is>
          <t>アンケートで測る3指標の扱いを村と確定する（R-26）</t>
        </is>
      </c>
      <c r="N38" s="4" t="inlineStr">
        <is>
          <t>―</t>
        </is>
      </c>
    </row>
    <row r="39">
      <c r="A39" s="4" t="inlineStr">
        <is>
          <t>P5 集計・分析</t>
        </is>
      </c>
      <c r="B39" s="11" t="inlineStr">
        <is>
          <t>5-5</t>
        </is>
      </c>
      <c r="C39" s="4" t="inlineStr">
        <is>
          <t>調査結果報告書の作成</t>
        </is>
      </c>
      <c r="D39" s="4" t="inlineStr">
        <is>
          <t>設問ごとにグラフを作成し、分析結果を報告書として取りまとめる</t>
        </is>
      </c>
      <c r="E39" s="4" t="inlineStr">
        <is>
          <t>仕様書4-Ⅰ(7)・成果品②</t>
        </is>
      </c>
      <c r="F39" s="11" t="inlineStr">
        <is>
          <t>受託者</t>
        </is>
      </c>
      <c r="G39" s="11" t="inlineStr">
        <is>
          <t>2026-11</t>
        </is>
      </c>
      <c r="H39" s="11" t="inlineStr">
        <is>
          <t>2026-12</t>
        </is>
      </c>
      <c r="I39" s="13" t="inlineStr">
        <is>
          <t>進行中</t>
        </is>
      </c>
      <c r="J39" s="11" t="n">
        <v>75</v>
      </c>
      <c r="K39" s="11" t="n">
        <v>4</v>
      </c>
      <c r="L39"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9" s="4" t="inlineStr">
        <is>
          <t>残るのはＡ-3（基数1〜2の区分の割合表示）とＣ-2（医療的ケアの3項目が1人の回答であることの書き方）。いずれも報告書の側の修正（Ｓ-37）</t>
        </is>
      </c>
      <c r="N39" s="4" t="inlineStr">
        <is>
          <t>前回調査の調査結果報告書</t>
        </is>
      </c>
    </row>
    <row r="40">
      <c r="A40" s="4" t="inlineStr">
        <is>
          <t>P5 集計・分析</t>
        </is>
      </c>
      <c r="B40" s="11" t="inlineStr">
        <is>
          <t>5-6</t>
        </is>
      </c>
      <c r="C40" s="4" t="inlineStr">
        <is>
          <t>集計・報告書の点検</t>
        </is>
      </c>
      <c r="D40" s="4" t="inlineStr">
        <is>
          <t>個票から単純集計を再計算し、報告書本文の数値まで1件ずつ突き合わせる</t>
        </is>
      </c>
      <c r="E40" s="4" t="inlineStr">
        <is>
          <t>仕様書4-Ⅰ(6)(7)</t>
        </is>
      </c>
      <c r="F40" s="11" t="inlineStr">
        <is>
          <t>受託者</t>
        </is>
      </c>
      <c r="G40" s="11" t="inlineStr">
        <is>
          <t>2026-10</t>
        </is>
      </c>
      <c r="H40" s="11" t="inlineStr">
        <is>
          <t>2026-10</t>
        </is>
      </c>
      <c r="I40" s="12" t="inlineStr">
        <is>
          <t>完了</t>
        </is>
      </c>
      <c r="J40" s="11" t="n">
        <v>100</v>
      </c>
      <c r="K40" s="11" t="n">
        <v>3</v>
      </c>
      <c r="L40"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40" s="4" t="inlineStr">
        <is>
          <t>―</t>
        </is>
      </c>
      <c r="N40" s="4" t="inlineStr">
        <is>
          <t>―（精度：小規模公表基準）</t>
        </is>
      </c>
    </row>
    <row r="41">
      <c r="A41" s="4" t="inlineStr">
        <is>
          <t>P5 集計・分析</t>
        </is>
      </c>
      <c r="B41" s="11" t="inlineStr">
        <is>
          <t>5-7</t>
        </is>
      </c>
      <c r="C41" s="4" t="inlineStr">
        <is>
          <t>目標・KPIの前回比較可能性の整理</t>
        </is>
      </c>
      <c r="D41" s="4" t="inlineStr">
        <is>
          <t>第4次計画の施策目標・成果目標・見込量・活動指標・地域生活支援事業・アンケート設問の前回対応を全数洗い出す</t>
        </is>
      </c>
      <c r="E41" s="4" t="inlineStr">
        <is>
          <t>仕様書4-Ⅱ(2)・4-Ⅱ(4)</t>
        </is>
      </c>
      <c r="F41" s="11" t="inlineStr">
        <is>
          <t>受託者</t>
        </is>
      </c>
      <c r="G41" s="11" t="inlineStr">
        <is>
          <t>2026-10</t>
        </is>
      </c>
      <c r="H41" s="11" t="inlineStr">
        <is>
          <t>2026-10</t>
        </is>
      </c>
      <c r="I41" s="12" t="inlineStr">
        <is>
          <t>完了</t>
        </is>
      </c>
      <c r="J41" s="11" t="n">
        <v>100</v>
      </c>
      <c r="K41" s="11" t="n">
        <v>3</v>
      </c>
      <c r="L41"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41" s="4" t="inlineStr">
        <is>
          <t>―</t>
        </is>
      </c>
      <c r="N41" s="4" t="inlineStr">
        <is>
          <t>―</t>
        </is>
      </c>
    </row>
    <row r="42">
      <c r="A42" s="4" t="inlineStr">
        <is>
          <t>P5 集計・分析</t>
        </is>
      </c>
      <c r="B42" s="11" t="inlineStr">
        <is>
          <t>5-8</t>
        </is>
      </c>
      <c r="C42" s="4" t="inlineStr">
        <is>
          <t>アンケート分析報告書のレビュー</t>
        </is>
      </c>
      <c r="D42" s="4" t="inlineStr">
        <is>
          <t>村から受領した分析報告書（6章・表26・図61）と図表データ集を、国の指針・前回計画課題・経年比較・今期施策・見込量算定・数値整合・クロス分析の7つの観点から確認する</t>
        </is>
      </c>
      <c r="E42" s="4" t="inlineStr">
        <is>
          <t>仕様書4-Ⅱ(1)②</t>
        </is>
      </c>
      <c r="F42" s="11" t="inlineStr">
        <is>
          <t>受託者</t>
        </is>
      </c>
      <c r="G42" s="11" t="inlineStr">
        <is>
          <t>2026-10</t>
        </is>
      </c>
      <c r="H42" s="11" t="inlineStr">
        <is>
          <t>2026-11</t>
        </is>
      </c>
      <c r="I42" s="13" t="inlineStr">
        <is>
          <t>進行中</t>
        </is>
      </c>
      <c r="J42" s="11" t="n">
        <v>85</v>
      </c>
      <c r="K42" s="11" t="n">
        <v>3</v>
      </c>
      <c r="L42"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2"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2" s="4" t="inlineStr">
        <is>
          <t>―</t>
        </is>
      </c>
    </row>
    <row r="43">
      <c r="A43" s="4" t="inlineStr">
        <is>
          <t>P5 集計・分析</t>
        </is>
      </c>
      <c r="B43" s="11" t="inlineStr">
        <is>
          <t>5-9</t>
        </is>
      </c>
      <c r="C43" s="4" t="inlineStr">
        <is>
          <t>アンケート報告書の構成案の作成</t>
        </is>
      </c>
      <c r="D43" s="4" t="inlineStr">
        <is>
          <t>前回報告書・前回計画本編を確認の上、報告書として整理する内容を検討し、章立てと各章の中身を提案する</t>
        </is>
      </c>
      <c r="E43" s="4" t="inlineStr">
        <is>
          <t>仕様書4-Ⅱ(1)②</t>
        </is>
      </c>
      <c r="F43" s="11" t="inlineStr">
        <is>
          <t>受託者</t>
        </is>
      </c>
      <c r="G43" s="11" t="inlineStr">
        <is>
          <t>2026-10</t>
        </is>
      </c>
      <c r="H43" s="11" t="inlineStr">
        <is>
          <t>2026-11</t>
        </is>
      </c>
      <c r="I43" s="13" t="inlineStr">
        <is>
          <t>進行中</t>
        </is>
      </c>
      <c r="J43" s="11" t="n">
        <v>60</v>
      </c>
      <c r="K43" s="11" t="n">
        <v>3</v>
      </c>
      <c r="L43"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3" s="4" t="inlineStr">
        <is>
          <t>村・報告書作成者との構成の合意。経年比較は分母が小さいため行わない方針を村側で確認済み</t>
        </is>
      </c>
      <c r="N43" s="4" t="inlineStr">
        <is>
          <t>―</t>
        </is>
      </c>
    </row>
    <row r="44">
      <c r="A44" s="4" t="inlineStr">
        <is>
          <t>P6 現行計画の評価</t>
        </is>
      </c>
      <c r="B44" s="11" t="inlineStr">
        <is>
          <t>6-1</t>
        </is>
      </c>
      <c r="C44" s="4" t="inlineStr">
        <is>
          <t>サービス利用実績の評価</t>
        </is>
      </c>
      <c r="D44" s="4" t="inlineStr">
        <is>
          <t>令和3〜5年度の見込量と実績を全数突合し、乖離の類型を判定</t>
        </is>
      </c>
      <c r="E44" s="4" t="inlineStr">
        <is>
          <t>仕様書4-Ⅱ(2)</t>
        </is>
      </c>
      <c r="F44" s="11" t="inlineStr">
        <is>
          <t>受託者</t>
        </is>
      </c>
      <c r="G44" s="11" t="inlineStr">
        <is>
          <t>2026-08</t>
        </is>
      </c>
      <c r="H44" s="11" t="inlineStr">
        <is>
          <t>2026-08</t>
        </is>
      </c>
      <c r="I44" s="12" t="inlineStr">
        <is>
          <t>完了</t>
        </is>
      </c>
      <c r="J44" s="11" t="n">
        <v>100</v>
      </c>
      <c r="K44" s="11" t="n">
        <v>4</v>
      </c>
      <c r="L44" s="4" t="inlineStr">
        <is>
          <t>北塩原村_現行計画評価.xlsx（7シート）。サービス25区分・地域生活支援事業16事業。計上漏れ・過大計上を特定</t>
        </is>
      </c>
      <c r="M44" s="4" t="inlineStr">
        <is>
          <t>―</t>
        </is>
      </c>
      <c r="N44" s="4" t="inlineStr">
        <is>
          <t>自立支援協議会の資料13点（令和8年5月25日）（精度：令和6・7年度実績、令和8年度見込・令和6・7年度の障害児給付費の変動理由）</t>
        </is>
      </c>
    </row>
    <row r="45">
      <c r="A45" s="4" t="inlineStr">
        <is>
          <t>P6 現行計画の評価</t>
        </is>
      </c>
      <c r="B45" s="11" t="inlineStr">
        <is>
          <t>6-2</t>
        </is>
      </c>
      <c r="C45" s="4" t="inlineStr">
        <is>
          <t>成果目標の達成状況の評価</t>
        </is>
      </c>
      <c r="D45" s="4" t="inlineStr">
        <is>
          <t>第7期の成果目標7区分の現状値・目標値・設定根拠と評価の見通し</t>
        </is>
      </c>
      <c r="E45" s="4" t="inlineStr">
        <is>
          <t>仕様書4-Ⅱ(2)</t>
        </is>
      </c>
      <c r="F45" s="11" t="inlineStr">
        <is>
          <t>受託者</t>
        </is>
      </c>
      <c r="G45" s="11" t="inlineStr">
        <is>
          <t>2026-08</t>
        </is>
      </c>
      <c r="H45" s="11" t="inlineStr">
        <is>
          <t>2026-10</t>
        </is>
      </c>
      <c r="I45" s="14" t="inlineStr">
        <is>
          <t>データ待ち</t>
        </is>
      </c>
      <c r="J45" s="11" t="n">
        <v>60</v>
      </c>
      <c r="K45" s="11" t="n">
        <v>4</v>
      </c>
      <c r="L45" s="4" t="inlineStr">
        <is>
          <t>現行計画評価 02_成果目標の評価。令和8年8月の村の朱書きにより基幹相談支援センター未設置・セルフプラン率0％・医療的ケア児1人を確定</t>
        </is>
      </c>
      <c r="M45" s="4" t="inlineStr">
        <is>
          <t>令和6・7年度の実績と令和8年度見込（村へ依頼中）</t>
        </is>
      </c>
      <c r="N45"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6">
      <c r="A46" s="4" t="inlineStr">
        <is>
          <t>P6 現行計画の評価</t>
        </is>
      </c>
      <c r="B46" s="11" t="inlineStr">
        <is>
          <t>6-3</t>
        </is>
      </c>
      <c r="C46" s="4" t="inlineStr">
        <is>
          <t>活動指標の達成状況の評価</t>
        </is>
      </c>
      <c r="D46" s="4" t="inlineStr">
        <is>
          <t>第7期の活動指標の実績。第8期は83項目のうち本村分65項目</t>
        </is>
      </c>
      <c r="E46" s="4" t="inlineStr">
        <is>
          <t>仕様書4-Ⅱ(2)</t>
        </is>
      </c>
      <c r="F46" s="11" t="inlineStr">
        <is>
          <t>受託者</t>
        </is>
      </c>
      <c r="G46" s="11" t="inlineStr">
        <is>
          <t>2026-09</t>
        </is>
      </c>
      <c r="H46" s="11" t="inlineStr">
        <is>
          <t>2026-11</t>
        </is>
      </c>
      <c r="I46" s="14" t="inlineStr">
        <is>
          <t>データ待ち</t>
        </is>
      </c>
      <c r="J46" s="11" t="n">
        <v>30</v>
      </c>
      <c r="K46" s="11" t="n">
        <v>3</v>
      </c>
      <c r="L46" s="4" t="inlineStr">
        <is>
          <t>北塩原村_活動指標.xlsx（4シート）で第8期の設定は完了</t>
        </is>
      </c>
      <c r="M46" s="4" t="inlineStr">
        <is>
          <t>令和6年度の活動指標実績（村へ依頼中）</t>
        </is>
      </c>
      <c r="N46" s="4" t="inlineStr">
        <is>
          <t>自立支援協議会の資料13点（令和8年5月25日）</t>
        </is>
      </c>
    </row>
    <row r="47">
      <c r="A47" s="4" t="inlineStr">
        <is>
          <t>P6 現行計画の評価</t>
        </is>
      </c>
      <c r="B47" s="11" t="inlineStr">
        <is>
          <t>6-4</t>
        </is>
      </c>
      <c r="C47" s="4" t="inlineStr">
        <is>
          <t>第4次障がい者計画の施策目標値の測定</t>
        </is>
      </c>
      <c r="D47" s="4" t="inlineStr">
        <is>
          <t>8指標の測定手段を確認し、アンケートで測るもの・行政データで測るものを区分</t>
        </is>
      </c>
      <c r="E47" s="4" t="inlineStr">
        <is>
          <t>仕様書4-Ⅱ(2)・4-Ⅱ(5)②</t>
        </is>
      </c>
      <c r="F47" s="11" t="inlineStr">
        <is>
          <t>受託者</t>
        </is>
      </c>
      <c r="G47" s="11" t="inlineStr">
        <is>
          <t>2026-08</t>
        </is>
      </c>
      <c r="H47" s="11" t="inlineStr">
        <is>
          <t>2026-08</t>
        </is>
      </c>
      <c r="I47" s="12" t="inlineStr">
        <is>
          <t>完了</t>
        </is>
      </c>
      <c r="J47" s="11" t="n">
        <v>100</v>
      </c>
      <c r="K47" s="11" t="n">
        <v>2</v>
      </c>
      <c r="L47" s="4" t="inlineStr">
        <is>
          <t>現行計画評価 の施策指標8件。測定可能6・測定不能1・要確認1。外出目的の設問が調査票に無く1指標が測定できないことを特定</t>
        </is>
      </c>
      <c r="M47" s="4" t="inlineStr">
        <is>
          <t>―</t>
        </is>
      </c>
      <c r="N47" s="4" t="inlineStr">
        <is>
          <t>―（精度：物品調達の実績（Ｍ-34））</t>
        </is>
      </c>
    </row>
    <row r="48">
      <c r="A48" s="4" t="inlineStr">
        <is>
          <t>P7 推計・見込量</t>
        </is>
      </c>
      <c r="B48" s="11" t="inlineStr">
        <is>
          <t>7-1</t>
        </is>
      </c>
      <c r="C48" s="4" t="inlineStr">
        <is>
          <t>推計方法の確定</t>
        </is>
      </c>
      <c r="D48" s="4" t="inlineStr">
        <is>
          <t>個別積上げ方式（実績・意向・心身の状況を利用者単位で積み上げる方法）。別表第五の適用判定を含む</t>
        </is>
      </c>
      <c r="E48" s="4" t="inlineStr">
        <is>
          <t>仕様書4-Ⅱ(3)</t>
        </is>
      </c>
      <c r="F48" s="11" t="inlineStr">
        <is>
          <t>受託者</t>
        </is>
      </c>
      <c r="G48" s="11" t="inlineStr">
        <is>
          <t>2026-08</t>
        </is>
      </c>
      <c r="H48" s="11" t="inlineStr">
        <is>
          <t>2026-08</t>
        </is>
      </c>
      <c r="I48" s="12" t="inlineStr">
        <is>
          <t>完了</t>
        </is>
      </c>
      <c r="J48" s="11" t="n">
        <v>100</v>
      </c>
      <c r="K48" s="11" t="n">
        <v>5</v>
      </c>
      <c r="L48" s="4" t="inlineStr">
        <is>
          <t>北塩原村_サービス見込量.xlsx（13シート）。11_告示別表第一根拠・12_別表第五判定。全域過疎により別表第五は適用対象外と確定し、個別積上げ方式を採用</t>
        </is>
      </c>
      <c r="M48" s="4" t="inlineStr">
        <is>
          <t>―</t>
        </is>
      </c>
      <c r="N48" s="4" t="inlineStr">
        <is>
          <t>本村の過疎区分（全部過疎／一部過疎／みなし過疎）・障害支援区分別人数の基準日とサービス利用状況・実態調査及びPDCAサイクルに関するマニュアル（令和8年8月）</t>
        </is>
      </c>
    </row>
    <row r="49">
      <c r="A49" s="4" t="inlineStr">
        <is>
          <t>P7 推計・見込量</t>
        </is>
      </c>
      <c r="B49" s="11" t="inlineStr">
        <is>
          <t>7-2</t>
        </is>
      </c>
      <c r="C49" s="4" t="inlineStr">
        <is>
          <t>障がい福祉サービスの見込量の推計</t>
        </is>
      </c>
      <c r="D49" s="4" t="inlineStr">
        <is>
          <t>介護給付・訓練等給付の利用者数と量。年齢到達に伴う移行を含む</t>
        </is>
      </c>
      <c r="E49" s="4" t="inlineStr">
        <is>
          <t>仕様書4-Ⅱ(3)②</t>
        </is>
      </c>
      <c r="F49" s="11" t="inlineStr">
        <is>
          <t>受託者</t>
        </is>
      </c>
      <c r="G49" s="11" t="inlineStr">
        <is>
          <t>2026-08</t>
        </is>
      </c>
      <c r="H49" s="11" t="inlineStr">
        <is>
          <t>2026-12</t>
        </is>
      </c>
      <c r="I49" s="13" t="inlineStr">
        <is>
          <t>進行中</t>
        </is>
      </c>
      <c r="J49" s="11" t="n">
        <v>75</v>
      </c>
      <c r="K49" s="11" t="n">
        <v>5</v>
      </c>
      <c r="L49"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9" s="4" t="inlineStr">
        <is>
          <t>年齢別・サービス別の匿名利用者一覧、サービス別の支給決定者数（村へ依頼中）。揃えば第2次算定で個別積上げに進む</t>
        </is>
      </c>
      <c r="N49"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50">
      <c r="A50" s="4" t="inlineStr">
        <is>
          <t>P7 推計・見込量</t>
        </is>
      </c>
      <c r="B50" s="11" t="inlineStr">
        <is>
          <t>7-3</t>
        </is>
      </c>
      <c r="C50" s="4" t="inlineStr">
        <is>
          <t>障がい児通所支援等の見込量の推計</t>
        </is>
      </c>
      <c r="D50" s="4" t="inlineStr">
        <is>
          <t>児童発達支援・放課後等デイサービス等の利用者数と量</t>
        </is>
      </c>
      <c r="E50" s="4" t="inlineStr">
        <is>
          <t>仕様書4-Ⅱ(3)③</t>
        </is>
      </c>
      <c r="F50" s="11" t="inlineStr">
        <is>
          <t>受託者</t>
        </is>
      </c>
      <c r="G50" s="11" t="inlineStr">
        <is>
          <t>2026-08</t>
        </is>
      </c>
      <c r="H50" s="11" t="inlineStr">
        <is>
          <t>2026-12</t>
        </is>
      </c>
      <c r="I50" s="13" t="inlineStr">
        <is>
          <t>進行中</t>
        </is>
      </c>
      <c r="J50" s="11" t="n">
        <v>70</v>
      </c>
      <c r="K50" s="11" t="n">
        <v>3</v>
      </c>
      <c r="L50"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50" s="4" t="inlineStr">
        <is>
          <t>児童発達支援の急減の理由（村確認事項Ｍ-1・最優先）。令和5年度の水準に戻れば年約321万円の増になる</t>
        </is>
      </c>
      <c r="N50"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51">
      <c r="A51" s="4" t="inlineStr">
        <is>
          <t>P7 推計・見込量</t>
        </is>
      </c>
      <c r="B51" s="11" t="inlineStr">
        <is>
          <t>7-4</t>
        </is>
      </c>
      <c r="C51" s="4" t="inlineStr">
        <is>
          <t>地域生活支援事業の見込量の推計</t>
        </is>
      </c>
      <c r="D51" s="4" t="inlineStr">
        <is>
          <t>必須15事業・任意3事業の事業ごとの実施に関する考え方と量の見込み</t>
        </is>
      </c>
      <c r="E51" s="4" t="inlineStr">
        <is>
          <t>仕様書4-Ⅱ(3)④</t>
        </is>
      </c>
      <c r="F51" s="11" t="inlineStr">
        <is>
          <t>受託者</t>
        </is>
      </c>
      <c r="G51" s="11" t="inlineStr">
        <is>
          <t>2026-08</t>
        </is>
      </c>
      <c r="H51" s="11" t="inlineStr">
        <is>
          <t>2026-09</t>
        </is>
      </c>
      <c r="I51" s="13" t="inlineStr">
        <is>
          <t>進行中</t>
        </is>
      </c>
      <c r="J51" s="11" t="n">
        <v>70</v>
      </c>
      <c r="K51" s="11" t="n">
        <v>3</v>
      </c>
      <c r="L51" s="4" t="inlineStr">
        <is>
          <t>北塩原村_地域生活支援事業.xlsx（4シート）。告示第三の二の3の4事項に対応</t>
        </is>
      </c>
      <c r="M51" s="4" t="inlineStr">
        <is>
          <t>移動支援0人・福祉ホームの実績と見込の逆転など、確認事項7件が未解消</t>
        </is>
      </c>
      <c r="N51"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2">
      <c r="A52" s="4" t="inlineStr">
        <is>
          <t>P7 推計・見込量</t>
        </is>
      </c>
      <c r="B52" s="11" t="inlineStr">
        <is>
          <t>7-5</t>
        </is>
      </c>
      <c r="C52" s="4" t="inlineStr">
        <is>
          <t>成果目標の設定</t>
        </is>
      </c>
      <c r="D52" s="4" t="inlineStr">
        <is>
          <t>第8期の成果目標8区分（人材確保・定着が新設）</t>
        </is>
      </c>
      <c r="E52" s="4" t="inlineStr">
        <is>
          <t>仕様書4-Ⅱ(3)⑤</t>
        </is>
      </c>
      <c r="F52" s="11" t="inlineStr">
        <is>
          <t>受託者</t>
        </is>
      </c>
      <c r="G52" s="11" t="inlineStr">
        <is>
          <t>2026-08</t>
        </is>
      </c>
      <c r="H52" s="11" t="inlineStr">
        <is>
          <t>2026-12</t>
        </is>
      </c>
      <c r="I52" s="14" t="inlineStr">
        <is>
          <t>データ待ち</t>
        </is>
      </c>
      <c r="J52" s="11" t="n">
        <v>55</v>
      </c>
      <c r="K52" s="11" t="n">
        <v>4</v>
      </c>
      <c r="L52" s="4" t="inlineStr">
        <is>
          <t>骨子案修正版 第4章。国基準数値を告示本文と照合済み。村の朱書きにより（３）（４）（６）を具体化</t>
        </is>
      </c>
      <c r="M52" s="4" t="inlineStr">
        <is>
          <t>令和7年度末の施設入所者数、令和6年度の一般就労移行実績、1年以上長期入院者の実数</t>
        </is>
      </c>
      <c r="N52"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3">
      <c r="A53" s="4" t="inlineStr">
        <is>
          <t>P7 推計・見込量</t>
        </is>
      </c>
      <c r="B53" s="11" t="inlineStr">
        <is>
          <t>7-6</t>
        </is>
      </c>
      <c r="C53" s="4" t="inlineStr">
        <is>
          <t>活動指標の設定</t>
        </is>
      </c>
      <c r="D53" s="4" t="inlineStr">
        <is>
          <t>別表第一の83項目から本村で設定する65項目を選定。告示第三の四㈡により見込量以外の活動指標は任意</t>
        </is>
      </c>
      <c r="E53" s="4" t="inlineStr">
        <is>
          <t>仕様書4-Ⅱ(3)⑤</t>
        </is>
      </c>
      <c r="F53" s="11" t="inlineStr">
        <is>
          <t>受託者</t>
        </is>
      </c>
      <c r="G53" s="11" t="inlineStr">
        <is>
          <t>2026-08</t>
        </is>
      </c>
      <c r="H53" s="11" t="inlineStr">
        <is>
          <t>2026-09</t>
        </is>
      </c>
      <c r="I53" s="13" t="inlineStr">
        <is>
          <t>進行中</t>
        </is>
      </c>
      <c r="J53" s="11" t="n">
        <v>80</v>
      </c>
      <c r="K53" s="11" t="n">
        <v>3</v>
      </c>
      <c r="L53" s="4" t="inlineStr">
        <is>
          <t>北塩原村_活動指標.xlsx。設定51・検討7・設定しない7・都道府県指標18</t>
        </is>
      </c>
      <c r="M53" s="4" t="inlineStr">
        <is>
          <t>令和6年度実績の受領後に現状値を入れる</t>
        </is>
      </c>
      <c r="N53" s="4" t="inlineStr">
        <is>
          <t>セルフプラン率・基幹相談支援センター・就労選択支援事業所の状況</t>
        </is>
      </c>
    </row>
    <row r="54">
      <c r="A54" s="4" t="inlineStr">
        <is>
          <t>P7 推計・見込量</t>
        </is>
      </c>
      <c r="B54" s="11" t="inlineStr">
        <is>
          <t>7-7</t>
        </is>
      </c>
      <c r="C54" s="4" t="inlineStr">
        <is>
          <t>給付費・財源構成の推計</t>
        </is>
      </c>
      <c r="D54" s="4" t="inlineStr">
        <is>
          <t>サービス別の給付費と、国1/2・県1/4・村1/4の法定負担による財源構成</t>
        </is>
      </c>
      <c r="E54" s="4" t="inlineStr">
        <is>
          <t>仕様書4-Ⅱ(3)</t>
        </is>
      </c>
      <c r="F54" s="11" t="inlineStr">
        <is>
          <t>受託者</t>
        </is>
      </c>
      <c r="G54" s="11" t="inlineStr">
        <is>
          <t>2026-08</t>
        </is>
      </c>
      <c r="H54" s="11" t="inlineStr">
        <is>
          <t>2026-12</t>
        </is>
      </c>
      <c r="I54" s="13" t="inlineStr">
        <is>
          <t>進行中</t>
        </is>
      </c>
      <c r="J54" s="11" t="n">
        <v>70</v>
      </c>
      <c r="K54" s="11" t="n">
        <v>4</v>
      </c>
      <c r="L54" s="4" t="inlineStr">
        <is>
          <t>第1次概算で3か年給付費172,859,691円を算定。給付費は年間請求件数×1件あたり給付費で算定し、人／月×12では算定しない（短期入所で4倍、計画相談支援で3.5倍の過大計上になるため）</t>
        </is>
      </c>
      <c r="M54" s="4" t="inlineStr">
        <is>
          <t>報酬改定率の告示（単価を令和7年度で固定しており低く出る側に偏っている）。障がい福祉関係の歳入歳出決算（村へ依頼中）</t>
        </is>
      </c>
      <c r="N54"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5">
      <c r="A55" s="4" t="inlineStr">
        <is>
          <t>P7 推計・見込量</t>
        </is>
      </c>
      <c r="B55" s="11" t="inlineStr">
        <is>
          <t>7-8</t>
        </is>
      </c>
      <c r="C55" s="4" t="inlineStr">
        <is>
          <t>見込量算定のMECEチェック</t>
        </is>
      </c>
      <c r="D55" s="4" t="inlineStr">
        <is>
          <t>国の基本指針・通達と突き合わせ、見込量の算定を網羅性（漏れ）と相互排他性（重複）の2方向から点検する</t>
        </is>
      </c>
      <c r="E55" s="4" t="inlineStr">
        <is>
          <t>仕様書4-Ⅱ(3)②〜④</t>
        </is>
      </c>
      <c r="F55" s="11" t="inlineStr">
        <is>
          <t>受託者</t>
        </is>
      </c>
      <c r="G55" s="11" t="inlineStr">
        <is>
          <t>2026-10</t>
        </is>
      </c>
      <c r="H55" s="11" t="inlineStr">
        <is>
          <t>2026-12</t>
        </is>
      </c>
      <c r="I55" s="13" t="inlineStr">
        <is>
          <t>進行中</t>
        </is>
      </c>
      <c r="J55" s="11" t="n">
        <v>55</v>
      </c>
      <c r="K55" s="11" t="n">
        <v>3</v>
      </c>
      <c r="L55"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5" s="4" t="inlineStr">
        <is>
          <t>E-1（継続入所者）・E-2（保育所等の受入体制）は村の回答待ち。E-3（アンケートの反映）は第2次算定で行う</t>
        </is>
      </c>
      <c r="N55" s="4" t="inlineStr">
        <is>
          <t>―</t>
        </is>
      </c>
    </row>
    <row r="56">
      <c r="A56" s="4" t="inlineStr">
        <is>
          <t>P7 推計・見込量</t>
        </is>
      </c>
      <c r="B56" s="11" t="inlineStr">
        <is>
          <t>7-9</t>
        </is>
      </c>
      <c r="C56" s="4" t="inlineStr">
        <is>
          <t>介護保険事業計画との整合・切り分け</t>
        </is>
      </c>
      <c r="D56" s="4" t="inlineStr">
        <is>
          <t>同一自治体で並行して作業している第10期高齢者福祉計画・介護保険事業計画と、受給者証の区分に応じたサービス利用に照らして見込量を突き合わせる</t>
        </is>
      </c>
      <c r="E56" s="4" t="inlineStr">
        <is>
          <t>障害者総合支援法第7条（介護保険優先原則）</t>
        </is>
      </c>
      <c r="F56" s="11" t="inlineStr">
        <is>
          <t>受託者</t>
        </is>
      </c>
      <c r="G56" s="11" t="inlineStr">
        <is>
          <t>2026-10</t>
        </is>
      </c>
      <c r="H56" s="11" t="inlineStr">
        <is>
          <t>2026-12</t>
        </is>
      </c>
      <c r="I56" s="13" t="inlineStr">
        <is>
          <t>進行中</t>
        </is>
      </c>
      <c r="J56" s="11" t="n">
        <v>60</v>
      </c>
      <c r="K56" s="11" t="n">
        <v>1</v>
      </c>
      <c r="L56"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6" s="4" t="inlineStr">
        <is>
          <t>村照会Ｍ-13〜Ｍ-17（施設入所支援4人の支給決定の内容、第2号被保険者との重なり、65歳到達者の一覧）と、介護保険側への申し送り2件</t>
        </is>
      </c>
      <c r="N56"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7">
      <c r="A57" s="4" t="inlineStr">
        <is>
          <t>P8 施策検討・計画案</t>
        </is>
      </c>
      <c r="B57" s="11" t="inlineStr">
        <is>
          <t>8-1</t>
        </is>
      </c>
      <c r="C57" s="4" t="inlineStr">
        <is>
          <t>障がい者福祉施策の検討</t>
        </is>
      </c>
      <c r="D57" s="4" t="inlineStr">
        <is>
          <t>現行計画の成果と課題を踏まえ、次期計画に盛り込む施策を検討</t>
        </is>
      </c>
      <c r="E57" s="4" t="inlineStr">
        <is>
          <t>仕様書4-Ⅱ(4)</t>
        </is>
      </c>
      <c r="F57" s="11" t="inlineStr">
        <is>
          <t>受託者</t>
        </is>
      </c>
      <c r="G57" s="11" t="inlineStr">
        <is>
          <t>2026-08</t>
        </is>
      </c>
      <c r="H57" s="11" t="inlineStr">
        <is>
          <t>2026-12</t>
        </is>
      </c>
      <c r="I57" s="13" t="inlineStr">
        <is>
          <t>進行中</t>
        </is>
      </c>
      <c r="J57" s="11" t="n">
        <v>60</v>
      </c>
      <c r="K57" s="11" t="n">
        <v>4</v>
      </c>
      <c r="L57" s="4" t="inlineStr">
        <is>
          <t>骨子案修正版 第3章（基本理念・基本目標及び施策体系）。第8期で加わる視点と施策体系の対応表を新設</t>
        </is>
      </c>
      <c r="M57" s="4" t="inlineStr">
        <is>
          <t>現行計画の評価の確定</t>
        </is>
      </c>
      <c r="N57"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8">
      <c r="A58" s="4" t="inlineStr">
        <is>
          <t>P8 施策検討・計画案</t>
        </is>
      </c>
      <c r="B58" s="11" t="inlineStr">
        <is>
          <t>8-10</t>
        </is>
      </c>
      <c r="C58" s="4" t="inlineStr">
        <is>
          <t>告示が「ものとする」とした要件の反映</t>
        </is>
      </c>
      <c r="D58" s="4" t="inlineStr">
        <is>
          <t>見込量算定MECEチェックで特定した2要件（継続入所者の控除・保育所等における障害児の受入れ体制）を計画素案に書き、村への照会事項として確定させる</t>
        </is>
      </c>
      <c r="E58" s="4" t="inlineStr">
        <is>
          <t>告示 第三の二の2㈠</t>
        </is>
      </c>
      <c r="F58" s="11" t="inlineStr">
        <is>
          <t>受託者</t>
        </is>
      </c>
      <c r="G58" s="11" t="inlineStr">
        <is>
          <t>2026-10</t>
        </is>
      </c>
      <c r="H58" s="11" t="inlineStr">
        <is>
          <t>2026-11</t>
        </is>
      </c>
      <c r="I58" s="13" t="inlineStr">
        <is>
          <t>進行中</t>
        </is>
      </c>
      <c r="J58" s="11" t="n">
        <v>50</v>
      </c>
      <c r="K58" s="11" t="n">
        <v>1</v>
      </c>
      <c r="L58"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8" s="4" t="inlineStr">
        <is>
          <t>村照会Ｍ-10・Ｍ-11の回答。回答後に見込量の控除・考え方を確定する</t>
        </is>
      </c>
      <c r="N58" s="15" t="inlineStr">
        <is>
          <t>移行管理台帳（Ｍ-18）</t>
        </is>
      </c>
    </row>
    <row r="59">
      <c r="A59" s="4" t="inlineStr">
        <is>
          <t>P8 施策検討・計画案</t>
        </is>
      </c>
      <c r="B59" s="11" t="inlineStr">
        <is>
          <t>8-11</t>
        </is>
      </c>
      <c r="C59" s="4" t="inlineStr">
        <is>
          <t>計画の体系と工程の引き直し</t>
        </is>
      </c>
      <c r="D59" s="4" t="inlineStr">
        <is>
          <t>村の方針資料（7章）と当方の正本（8章）の食い違いを整理し、策定委員会の開催が11月にずれ込んだことによる納期への影響を示して工程を引き直す</t>
        </is>
      </c>
      <c r="E59" s="4" t="inlineStr">
        <is>
          <t>仕様書4-Ⅱ(5)・仕様書5</t>
        </is>
      </c>
      <c r="F59" s="11" t="inlineStr">
        <is>
          <t>受託者</t>
        </is>
      </c>
      <c r="G59" s="11" t="inlineStr">
        <is>
          <t>2026-10</t>
        </is>
      </c>
      <c r="H59" s="11" t="inlineStr">
        <is>
          <t>2026-10</t>
        </is>
      </c>
      <c r="I59" s="12" t="inlineStr">
        <is>
          <t>完了</t>
        </is>
      </c>
      <c r="J59" s="11" t="n">
        <v>100</v>
      </c>
      <c r="K59" s="11" t="n">
        <v>5</v>
      </c>
      <c r="L59"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9" s="4" t="inlineStr">
        <is>
          <t>案Ａの3点（パブリックコメントの1月下旬開始・庁議2月19日・議会全員協議会を決定の後に置くこと）は村の了解を要する（Ｍ-125）</t>
        </is>
      </c>
      <c r="N59" s="4" t="inlineStr">
        <is>
          <t>―</t>
        </is>
      </c>
    </row>
    <row r="60">
      <c r="A60" s="4" t="inlineStr">
        <is>
          <t>P8 施策検討・計画案</t>
        </is>
      </c>
      <c r="B60" s="11" t="inlineStr">
        <is>
          <t>8-12</t>
        </is>
      </c>
      <c r="C60" s="4" t="inlineStr">
        <is>
          <t>策定委員会資料の修正箇所の提示</t>
        </is>
      </c>
      <c r="D60" s="4" t="inlineStr">
        <is>
          <t>村から受領した策定委員会資料（149段落・24表）を当方の現物に当て、修正箇所を指示書として示す</t>
        </is>
      </c>
      <c r="E60" s="4" t="inlineStr">
        <is>
          <t>仕様書4-Ⅱ(7)</t>
        </is>
      </c>
      <c r="F60" s="11" t="inlineStr">
        <is>
          <t>受託者</t>
        </is>
      </c>
      <c r="G60" s="11" t="inlineStr">
        <is>
          <t>2026-10</t>
        </is>
      </c>
      <c r="H60" s="11" t="inlineStr">
        <is>
          <t>2026-11</t>
        </is>
      </c>
      <c r="I60" s="13" t="inlineStr">
        <is>
          <t>進行中</t>
        </is>
      </c>
      <c r="J60" s="11" t="n">
        <v>70</v>
      </c>
      <c r="K60" s="11" t="n">
        <v>4</v>
      </c>
      <c r="L60"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60" s="4" t="inlineStr">
        <is>
          <t>確定4件の差し替えは村の作業。保留4件は村の回答（Ｍ-123・Ｍ-124・Ｍ-125・Ｓ-26）</t>
        </is>
      </c>
      <c r="N60" s="4" t="inlineStr">
        <is>
          <t>―</t>
        </is>
      </c>
    </row>
    <row r="61">
      <c r="A61" s="4" t="inlineStr">
        <is>
          <t>P8 施策検討・計画案</t>
        </is>
      </c>
      <c r="B61" s="11" t="inlineStr">
        <is>
          <t>8-13</t>
        </is>
      </c>
      <c r="C61" s="4" t="inlineStr">
        <is>
          <t>障がい児の論点の点検（法改正）</t>
        </is>
      </c>
      <c r="D61" s="4" t="inlineStr">
        <is>
          <t>こども家庭審議会障害児支援部会の令和8年度の審議事項について、国の審議会資料の現物と正本を突き合わせて論点の漏れを洗い出す</t>
        </is>
      </c>
      <c r="E61" s="4" t="inlineStr">
        <is>
          <t>仕様書4-Ⅱ(5)</t>
        </is>
      </c>
      <c r="F61" s="11" t="inlineStr">
        <is>
          <t>受託者</t>
        </is>
      </c>
      <c r="G61" s="11" t="inlineStr">
        <is>
          <t>2026-10</t>
        </is>
      </c>
      <c r="H61" s="11" t="inlineStr">
        <is>
          <t>2026-11</t>
        </is>
      </c>
      <c r="I61" s="13" t="inlineStr">
        <is>
          <t>進行中</t>
        </is>
      </c>
      <c r="J61" s="11" t="n">
        <v>75</v>
      </c>
      <c r="K61" s="11" t="n">
        <v>4</v>
      </c>
      <c r="L61"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61" s="4" t="inlineStr">
        <is>
          <t>基本指針の追加告示（令和8年10月予定）との最終照合（Ｓ-35）。県の地域協議会と村の協議の場の役割の分け方（Ｍ-126）。障がい児支援の人材と事業所の継続（Ｍ-127）</t>
        </is>
      </c>
      <c r="N61" s="4" t="inlineStr">
        <is>
          <t>―</t>
        </is>
      </c>
    </row>
    <row r="62">
      <c r="A62" s="4" t="inlineStr">
        <is>
          <t>P8 施策検討・計画案</t>
        </is>
      </c>
      <c r="B62" s="11" t="inlineStr">
        <is>
          <t>8-2</t>
        </is>
      </c>
      <c r="C62" s="4" t="inlineStr">
        <is>
          <t>計画案の作成</t>
        </is>
      </c>
      <c r="D62"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2" s="4" t="inlineStr">
        <is>
          <t>仕様書4-Ⅱ(5)</t>
        </is>
      </c>
      <c r="F62" s="11" t="inlineStr">
        <is>
          <t>受託者</t>
        </is>
      </c>
      <c r="G62" s="11" t="inlineStr">
        <is>
          <t>2026-07</t>
        </is>
      </c>
      <c r="H62" s="11" t="inlineStr">
        <is>
          <t>2027-01</t>
        </is>
      </c>
      <c r="I62" s="13" t="inlineStr">
        <is>
          <t>進行中</t>
        </is>
      </c>
      <c r="J62" s="11" t="n">
        <v>85</v>
      </c>
      <c r="K62" s="11" t="n">
        <v>5</v>
      </c>
      <c r="L62"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2" s="4" t="inlineStr">
        <is>
          <t>村の実績データ（匿名利用者一覧・支給決定者数）による第2次算定。県の基盤整備量の算定値。アンケート3指標の扱いの村決定</t>
        </is>
      </c>
      <c r="N62" s="15" t="inlineStr">
        <is>
          <t>9月30日時点の人口・手帳所持者数（Ｍ-28）・PDCAの評価体制・スケジュール・公表方法</t>
        </is>
      </c>
    </row>
    <row r="63">
      <c r="A63" s="4" t="inlineStr">
        <is>
          <t>P8 施策検討・計画案</t>
        </is>
      </c>
      <c r="B63" s="11" t="inlineStr">
        <is>
          <t>8-3</t>
        </is>
      </c>
      <c r="C63" s="4" t="inlineStr">
        <is>
          <t>確保のための方策の記載</t>
        </is>
      </c>
      <c r="D63" s="4" t="inlineStr">
        <is>
          <t>小規模町村・中山間地域向けの確保方策。介護保険事業所への指定働きかけ、共生型サービス、基準該当、多機能型・従たる事業所、短期入所</t>
        </is>
      </c>
      <c r="E63" s="4" t="inlineStr">
        <is>
          <t>仕様書4-Ⅱ(5)</t>
        </is>
      </c>
      <c r="F63" s="11" t="inlineStr">
        <is>
          <t>受託者</t>
        </is>
      </c>
      <c r="G63" s="11" t="inlineStr">
        <is>
          <t>2026-08</t>
        </is>
      </c>
      <c r="H63" s="11" t="inlineStr">
        <is>
          <t>2026-08</t>
        </is>
      </c>
      <c r="I63" s="12" t="inlineStr">
        <is>
          <t>完了</t>
        </is>
      </c>
      <c r="J63" s="11" t="n">
        <v>100</v>
      </c>
      <c r="K63" s="11" t="n">
        <v>3</v>
      </c>
      <c r="L63" s="4" t="inlineStr">
        <is>
          <t>骨子案修正版 第5章8。告示が名指しする5つの具体策を反映し、圏域の事業所数を原典から表として生成する方式に変更</t>
        </is>
      </c>
      <c r="M63" s="4" t="inlineStr">
        <is>
          <t>―</t>
        </is>
      </c>
      <c r="N63"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4">
      <c r="A64" s="4" t="inlineStr">
        <is>
          <t>P8 施策検討・計画案</t>
        </is>
      </c>
      <c r="B64" s="11" t="inlineStr">
        <is>
          <t>8-4</t>
        </is>
      </c>
      <c r="C64" s="4" t="inlineStr">
        <is>
          <t>分量配分の設計</t>
        </is>
      </c>
      <c r="D64" s="4" t="inlineStr">
        <is>
          <t>成果品①は約60頁。章別の目標頁数を先に決め、原稿段階で収める</t>
        </is>
      </c>
      <c r="E64" s="4" t="inlineStr">
        <is>
          <t>仕様書5 成果品①</t>
        </is>
      </c>
      <c r="F64" s="11" t="inlineStr">
        <is>
          <t>受託者</t>
        </is>
      </c>
      <c r="G64" s="11" t="inlineStr">
        <is>
          <t>2026-08</t>
        </is>
      </c>
      <c r="H64" s="11" t="inlineStr">
        <is>
          <t>2026-08</t>
        </is>
      </c>
      <c r="I64" s="12" t="inlineStr">
        <is>
          <t>完了</t>
        </is>
      </c>
      <c r="J64" s="11" t="n">
        <v>100</v>
      </c>
      <c r="K64" s="11" t="n">
        <v>2</v>
      </c>
      <c r="L64" s="4" t="inlineStr">
        <is>
          <t>計画書_分量配分計画（docs）。現行計画の本文57頁の章別配分を基準に60頁へ配分。削減順序と削ってはならないものを明記。令和8年9月に現行計画の頁数を訂正（63頁は製本総頁で本文は57頁）</t>
        </is>
      </c>
      <c r="M64" s="4" t="inlineStr">
        <is>
          <t>―</t>
        </is>
      </c>
      <c r="N64" s="4" t="inlineStr">
        <is>
          <t>―</t>
        </is>
      </c>
    </row>
    <row r="65">
      <c r="A65" s="4" t="inlineStr">
        <is>
          <t>P8 施策検討・計画案</t>
        </is>
      </c>
      <c r="B65" s="11" t="inlineStr">
        <is>
          <t>8-5</t>
        </is>
      </c>
      <c r="C65" s="4" t="inlineStr">
        <is>
          <t>目次の整理とページ番号の付与</t>
        </is>
      </c>
      <c r="D65" s="4" t="inlineStr">
        <is>
          <t>計画素案の目次を本文から作り直し、全見出しにブックマークを付けて目次からリンクで飛べるようにする。章頭で改ページし、本文を1ページから始める</t>
        </is>
      </c>
      <c r="E65" s="4" t="inlineStr">
        <is>
          <t>仕様書5 成果品①</t>
        </is>
      </c>
      <c r="F65" s="11" t="inlineStr">
        <is>
          <t>受託者</t>
        </is>
      </c>
      <c r="G65" s="11" t="inlineStr">
        <is>
          <t>2026-09</t>
        </is>
      </c>
      <c r="H65" s="11" t="inlineStr">
        <is>
          <t>2026-09</t>
        </is>
      </c>
      <c r="I65" s="12" t="inlineStr">
        <is>
          <t>完了</t>
        </is>
      </c>
      <c r="J65" s="11" t="n">
        <v>100</v>
      </c>
      <c r="K65" s="11" t="n">
        <v>3</v>
      </c>
      <c r="L65" s="4" t="inlineStr">
        <is>
          <t>build_kitashiobara_mokuji.py。目次55項目・ブックマーク93件・リンク切れ0件。原本の目次は7月版のままで本文94見出しに対し57項目、うち3件がリンク切れ、ページ番号は全項目1だった</t>
        </is>
      </c>
      <c r="M65" s="4" t="inlineStr">
        <is>
          <t>―</t>
        </is>
      </c>
      <c r="N65" s="4" t="inlineStr">
        <is>
          <t>―</t>
        </is>
      </c>
    </row>
    <row r="66">
      <c r="A66" s="4" t="inlineStr">
        <is>
          <t>P8 施策検討・計画案</t>
        </is>
      </c>
      <c r="B66" s="11" t="inlineStr">
        <is>
          <t>8-6</t>
        </is>
      </c>
      <c r="C66" s="4" t="inlineStr">
        <is>
          <t>前回計画との対比と不足分の洗い出し</t>
        </is>
      </c>
      <c r="D66" s="4" t="inlineStr">
        <is>
          <t>現行計画の目次31節を1件ずつ追跡し、引き継いだもの・移したもの・落ちたものを確定させる</t>
        </is>
      </c>
      <c r="E66" s="4" t="inlineStr">
        <is>
          <t>仕様書4-Ⅱ(2)・4-Ⅱ(5)</t>
        </is>
      </c>
      <c r="F66" s="11" t="inlineStr">
        <is>
          <t>受託者</t>
        </is>
      </c>
      <c r="G66" s="11" t="inlineStr">
        <is>
          <t>2026-09</t>
        </is>
      </c>
      <c r="H66" s="11" t="inlineStr">
        <is>
          <t>2026-09</t>
        </is>
      </c>
      <c r="I66" s="12" t="inlineStr">
        <is>
          <t>完了</t>
        </is>
      </c>
      <c r="J66" s="11" t="n">
        <v>100</v>
      </c>
      <c r="K66" s="11" t="n">
        <v>3</v>
      </c>
      <c r="L66"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6" s="4" t="inlineStr">
        <is>
          <t>―</t>
        </is>
      </c>
      <c r="N66" s="4" t="inlineStr">
        <is>
          <t>現行計画本編（第4次障がい者計画・第7期・第3期）</t>
        </is>
      </c>
    </row>
    <row r="67">
      <c r="A67" s="4" t="inlineStr">
        <is>
          <t>P8 施策検討・計画案</t>
        </is>
      </c>
      <c r="B67" s="11" t="inlineStr">
        <is>
          <t>8-7</t>
        </is>
      </c>
      <c r="C67" s="4" t="inlineStr">
        <is>
          <t>概要版の作成（3本）</t>
        </is>
      </c>
      <c r="D67" s="4" t="inlineStr">
        <is>
          <t>住民向けの概要版を計画書とは別ファイルで作成する。前回の概要版の構成を踏襲し、改定対象外の障がい者計画は継承する内容として整理する</t>
        </is>
      </c>
      <c r="E67" s="4" t="inlineStr">
        <is>
          <t>仕様書外（村の指示）</t>
        </is>
      </c>
      <c r="F67" s="11" t="inlineStr">
        <is>
          <t>受託者</t>
        </is>
      </c>
      <c r="G67" s="11" t="inlineStr">
        <is>
          <t>2026-09</t>
        </is>
      </c>
      <c r="H67" s="11" t="inlineStr">
        <is>
          <t>2026-10</t>
        </is>
      </c>
      <c r="I67" s="13" t="inlineStr">
        <is>
          <t>進行中</t>
        </is>
      </c>
      <c r="J67" s="11" t="n">
        <v>95</v>
      </c>
      <c r="K67" s="11" t="n">
        <v>2</v>
      </c>
      <c r="L67"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7"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7" s="15" t="inlineStr">
        <is>
          <t>計画値の基礎とする系列（Ｍ-19）</t>
        </is>
      </c>
    </row>
    <row r="68">
      <c r="A68" s="4" t="inlineStr">
        <is>
          <t>P8 施策検討・計画案</t>
        </is>
      </c>
      <c r="B68" s="11" t="inlineStr">
        <is>
          <t>8-8</t>
        </is>
      </c>
      <c r="C68" s="4" t="inlineStr">
        <is>
          <t>表題の素案への変更</t>
        </is>
      </c>
      <c r="D68" s="4" t="inlineStr">
        <is>
          <t>計画書の表題を「骨子案」から「素案」に改め、作成年月・編集所管課を更新する</t>
        </is>
      </c>
      <c r="E68" s="4" t="inlineStr">
        <is>
          <t>仕様書5 成果品①</t>
        </is>
      </c>
      <c r="F68" s="11" t="inlineStr">
        <is>
          <t>受託者</t>
        </is>
      </c>
      <c r="G68" s="11" t="inlineStr">
        <is>
          <t>2026-09</t>
        </is>
      </c>
      <c r="H68" s="11" t="inlineStr">
        <is>
          <t>2026-09</t>
        </is>
      </c>
      <c r="I68" s="12" t="inlineStr">
        <is>
          <t>完了</t>
        </is>
      </c>
      <c r="J68" s="11" t="n">
        <v>100</v>
      </c>
      <c r="K68" s="11" t="n">
        <v>1</v>
      </c>
      <c r="L68" s="4" t="inlineStr">
        <is>
          <t>表紙・前書き・奥付の7か所を差し替え、作成年月を令和8年9月、編集を北塩原村保健福祉課福祉係に更新。ファイル名も北塩原村_計画素案.docx に統一</t>
        </is>
      </c>
      <c r="M68" s="4" t="inlineStr">
        <is>
          <t>―</t>
        </is>
      </c>
      <c r="N68" s="4" t="inlineStr">
        <is>
          <t>―</t>
        </is>
      </c>
    </row>
    <row r="69">
      <c r="A69" s="4" t="inlineStr">
        <is>
          <t>P8 施策検討・計画案</t>
        </is>
      </c>
      <c r="B69" s="11" t="inlineStr">
        <is>
          <t>8-9</t>
        </is>
      </c>
      <c r="C69" s="4" t="inlineStr">
        <is>
          <t>レビューで洗い出した不足項目の反映</t>
        </is>
      </c>
      <c r="D69" s="4" t="inlineStr">
        <is>
          <t>別表第二 六の項（人材確保等）の新設、基盤整備量、医療的ケア児等への対応、就労関係機関との連携など14件を計画素案に反映する</t>
        </is>
      </c>
      <c r="E69" s="4" t="inlineStr">
        <is>
          <t>仕様書4-Ⅱ(5)</t>
        </is>
      </c>
      <c r="F69" s="11" t="inlineStr">
        <is>
          <t>受託者</t>
        </is>
      </c>
      <c r="G69" s="11" t="inlineStr">
        <is>
          <t>2026-09</t>
        </is>
      </c>
      <c r="H69" s="11" t="inlineStr">
        <is>
          <t>2026-11</t>
        </is>
      </c>
      <c r="I69" s="13" t="inlineStr">
        <is>
          <t>進行中</t>
        </is>
      </c>
      <c r="J69" s="11" t="n">
        <v>80</v>
      </c>
      <c r="K69" s="11" t="n">
        <v>4</v>
      </c>
      <c r="L69"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9"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9" s="15" t="inlineStr">
        <is>
          <t>事業所の経営基盤（Ｍ-25）</t>
        </is>
      </c>
    </row>
    <row r="70">
      <c r="A70" s="4" t="inlineStr">
        <is>
          <t>P9 意見聴取</t>
        </is>
      </c>
      <c r="B70" s="11" t="inlineStr">
        <is>
          <t>9-1</t>
        </is>
      </c>
      <c r="C70" s="4" t="inlineStr">
        <is>
          <t>自立支援協議会の資料作成</t>
        </is>
      </c>
      <c r="D70" s="4" t="inlineStr">
        <is>
          <t>委託者が協議会に報告・説明し、受託者は会議資料の作成、会議への出席、会議記録（要旨）の作成等の運営支援を行う。開催は1回程度</t>
        </is>
      </c>
      <c r="E70" s="4" t="inlineStr">
        <is>
          <t>仕様書4-Ⅱ(7)</t>
        </is>
      </c>
      <c r="F70" s="11" t="inlineStr">
        <is>
          <t>受託者</t>
        </is>
      </c>
      <c r="G70" s="11" t="inlineStr">
        <is>
          <t>2026-08</t>
        </is>
      </c>
      <c r="H70" s="11" t="inlineStr">
        <is>
          <t>2026-12</t>
        </is>
      </c>
      <c r="I70" s="13" t="inlineStr">
        <is>
          <t>進行中</t>
        </is>
      </c>
      <c r="J70" s="11" t="n">
        <v>80</v>
      </c>
      <c r="K70" s="11" t="n">
        <v>3</v>
      </c>
      <c r="L70"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70" s="4" t="inlineStr">
        <is>
          <t>策定委員会（第2回）の開催日（Ｍ-40・Ｍ-125）。委員名簿が未受領。確定4件の差し替えは村の作業</t>
        </is>
      </c>
      <c r="N70" s="4" t="inlineStr">
        <is>
          <t>―（精度：自立支援協議会の委員名簿）</t>
        </is>
      </c>
    </row>
    <row r="71">
      <c r="A71" s="4" t="inlineStr">
        <is>
          <t>P9 意見聴取</t>
        </is>
      </c>
      <c r="B71" s="11" t="inlineStr">
        <is>
          <t>9-2</t>
        </is>
      </c>
      <c r="C71" s="4" t="inlineStr">
        <is>
          <t>策定委員会・協議会の開催</t>
        </is>
      </c>
      <c r="D71" s="4" t="inlineStr">
        <is>
          <t>調査結果・素案・計画案の報告と審議</t>
        </is>
      </c>
      <c r="E71" s="4" t="inlineStr">
        <is>
          <t>仕様書4-Ⅱ(7)</t>
        </is>
      </c>
      <c r="F71" s="11" t="inlineStr">
        <is>
          <t>北塩原村・受託者</t>
        </is>
      </c>
      <c r="G71" s="11" t="inlineStr">
        <is>
          <t>2026-11</t>
        </is>
      </c>
      <c r="H71" s="11" t="inlineStr">
        <is>
          <t>2027-01</t>
        </is>
      </c>
      <c r="I71" s="16" t="inlineStr">
        <is>
          <t>要対応</t>
        </is>
      </c>
      <c r="J71" s="11" t="n">
        <v>0</v>
      </c>
      <c r="K71" s="11" t="n">
        <v>2</v>
      </c>
      <c r="L71"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71" s="4" t="inlineStr">
        <is>
          <t>策定委員会の開催日の確定（Ｍ-40・電話）。自立支援協議会と4町村広域の協議会の開催日（Ｍ-125）</t>
        </is>
      </c>
      <c r="N71" s="4" t="inlineStr">
        <is>
          <t>―</t>
        </is>
      </c>
    </row>
    <row r="72">
      <c r="A72" s="4" t="inlineStr">
        <is>
          <t>P9 意見聴取</t>
        </is>
      </c>
      <c r="B72" s="11" t="inlineStr">
        <is>
          <t>9-3</t>
        </is>
      </c>
      <c r="C72" s="4" t="inlineStr">
        <is>
          <t>庁議の開催</t>
        </is>
      </c>
      <c r="D72" s="4" t="inlineStr">
        <is>
          <t>庁内各課との調整。関連計画との整合と依頼事項</t>
        </is>
      </c>
      <c r="E72" s="4" t="inlineStr">
        <is>
          <t>―</t>
        </is>
      </c>
      <c r="F72" s="11" t="inlineStr">
        <is>
          <t>北塩原村・受託者</t>
        </is>
      </c>
      <c r="G72" s="11" t="inlineStr">
        <is>
          <t>2026-11</t>
        </is>
      </c>
      <c r="H72" s="11" t="inlineStr">
        <is>
          <t>2027-02</t>
        </is>
      </c>
      <c r="I72" s="17" t="inlineStr">
        <is>
          <t>未着手</t>
        </is>
      </c>
      <c r="J72" s="11" t="n">
        <v>0</v>
      </c>
      <c r="K72" s="11" t="n">
        <v>1</v>
      </c>
      <c r="L72" s="4" t="inlineStr">
        <is>
          <t>庁議資料2点は作成済み。工程は案Ａにより令和9年2月19日（計画の決定）</t>
        </is>
      </c>
      <c r="M72" s="4" t="inlineStr">
        <is>
          <t>庁議を2月19日に置けるか（Ｍ-125）。ここで本文が確定し、目次と頁数の確定（2月25日）に進む</t>
        </is>
      </c>
      <c r="N72" s="4" t="inlineStr">
        <is>
          <t>―</t>
        </is>
      </c>
    </row>
    <row r="73">
      <c r="A73" s="4" t="inlineStr">
        <is>
          <t>P9 意見聴取</t>
        </is>
      </c>
      <c r="B73" s="11" t="inlineStr">
        <is>
          <t>9-4</t>
        </is>
      </c>
      <c r="C73" s="4" t="inlineStr">
        <is>
          <t>パブリックコメントの実施</t>
        </is>
      </c>
      <c r="D73" s="4" t="inlineStr">
        <is>
          <t>計画案について意見を募集し、得られた意見を反映</t>
        </is>
      </c>
      <c r="E73" s="4" t="inlineStr">
        <is>
          <t>仕様書4-Ⅱ(6)</t>
        </is>
      </c>
      <c r="F73" s="11" t="inlineStr">
        <is>
          <t>北塩原村・受託者</t>
        </is>
      </c>
      <c r="G73" s="11" t="inlineStr">
        <is>
          <t>2027-01</t>
        </is>
      </c>
      <c r="H73" s="11" t="inlineStr">
        <is>
          <t>2027-02</t>
        </is>
      </c>
      <c r="I73" s="17" t="inlineStr">
        <is>
          <t>未着手</t>
        </is>
      </c>
      <c r="J73" s="11" t="n">
        <v>0</v>
      </c>
      <c r="K73" s="11" t="n">
        <v>2</v>
      </c>
      <c r="L73" s="4" t="inlineStr">
        <is>
          <t>工程は案Ａにより令和9年1月26日から2月9日まで（15日間）。正本 第1章5（4）の日付もこの日程に書き換えた（ＴＫ-4）。概要版3本とパブリックコメント一式は作成済み</t>
        </is>
      </c>
      <c r="M73" s="4" t="inlineStr">
        <is>
          <t>1月下旬に開始できるか（Ｍ-125）。15日間とすることの村の実施要領上の根拠。前回（令和6年2月）は意見0件であったため周知の方法も見直す</t>
        </is>
      </c>
      <c r="N73" s="4" t="inlineStr">
        <is>
          <t>―</t>
        </is>
      </c>
    </row>
    <row r="74">
      <c r="A74" s="4" t="inlineStr">
        <is>
          <t>P9 意見聴取</t>
        </is>
      </c>
      <c r="B74" s="11" t="inlineStr">
        <is>
          <t>9-5</t>
        </is>
      </c>
      <c r="C74" s="4" t="inlineStr">
        <is>
          <t>意見への対応</t>
        </is>
      </c>
      <c r="D74" s="4" t="inlineStr">
        <is>
          <t>意見の整理、対応案の作成、計画への反映</t>
        </is>
      </c>
      <c r="E74" s="4" t="inlineStr">
        <is>
          <t>仕様書4-Ⅱ(6)</t>
        </is>
      </c>
      <c r="F74" s="11" t="inlineStr">
        <is>
          <t>受託者</t>
        </is>
      </c>
      <c r="G74" s="11" t="inlineStr">
        <is>
          <t>2027-02</t>
        </is>
      </c>
      <c r="H74" s="11" t="inlineStr">
        <is>
          <t>2027-02</t>
        </is>
      </c>
      <c r="I74" s="17" t="inlineStr">
        <is>
          <t>未着手</t>
        </is>
      </c>
      <c r="J74" s="11" t="n">
        <v>0</v>
      </c>
      <c r="K74" s="11" t="n">
        <v>2</v>
      </c>
      <c r="L74" s="4" t="inlineStr">
        <is>
          <t>工程は案Ａにより令和9年2月10日から16日まで（結果の整理と計画案の修正）</t>
        </is>
      </c>
      <c r="M74" s="4" t="inlineStr">
        <is>
          <t>パブリックコメントの実施。ここが後ろへ動くと最初に削られるのは校正の期間である</t>
        </is>
      </c>
      <c r="N74" s="4" t="inlineStr">
        <is>
          <t>―</t>
        </is>
      </c>
    </row>
    <row r="75">
      <c r="A75" s="4" t="inlineStr">
        <is>
          <t>P10 完成・納品</t>
        </is>
      </c>
      <c r="B75" s="11" t="inlineStr">
        <is>
          <t>10-1</t>
        </is>
      </c>
      <c r="C75" s="4" t="inlineStr">
        <is>
          <t>計画書の原稿確定</t>
        </is>
      </c>
      <c r="D75" s="4" t="inlineStr">
        <is>
          <t>協議会・パブリックコメントを経て得られた意見を反映の上、最終的に取りまとめる</t>
        </is>
      </c>
      <c r="E75" s="4" t="inlineStr">
        <is>
          <t>仕様書4-Ⅱ(6)</t>
        </is>
      </c>
      <c r="F75" s="11" t="inlineStr">
        <is>
          <t>受託者</t>
        </is>
      </c>
      <c r="G75" s="11" t="inlineStr">
        <is>
          <t>2027-02</t>
        </is>
      </c>
      <c r="H75" s="11" t="inlineStr">
        <is>
          <t>2027-02</t>
        </is>
      </c>
      <c r="I75" s="17" t="inlineStr">
        <is>
          <t>未着手</t>
        </is>
      </c>
      <c r="J75" s="11" t="n">
        <v>0</v>
      </c>
      <c r="K75" s="11" t="n">
        <v>3</v>
      </c>
      <c r="L75" s="4" t="inlineStr">
        <is>
          <t>―</t>
        </is>
      </c>
      <c r="M75" s="4" t="inlineStr">
        <is>
          <t>意見への対応</t>
        </is>
      </c>
      <c r="N75" s="15" t="inlineStr">
        <is>
          <t>自立支援協議会の委員名簿</t>
        </is>
      </c>
    </row>
    <row r="76">
      <c r="A76" s="4" t="inlineStr">
        <is>
          <t>P10 完成・納品</t>
        </is>
      </c>
      <c r="B76" s="11" t="inlineStr">
        <is>
          <t>10-2</t>
        </is>
      </c>
      <c r="C76" s="4" t="inlineStr">
        <is>
          <t>レイアウト・組版</t>
        </is>
      </c>
      <c r="D76" s="4" t="inlineStr">
        <is>
          <t>A4判・両面・約60頁・モノクロ</t>
        </is>
      </c>
      <c r="E76" s="4" t="inlineStr">
        <is>
          <t>仕様書5 成果品①</t>
        </is>
      </c>
      <c r="F76" s="11" t="inlineStr">
        <is>
          <t>受託者</t>
        </is>
      </c>
      <c r="G76" s="11" t="inlineStr">
        <is>
          <t>2027-02</t>
        </is>
      </c>
      <c r="H76" s="11" t="inlineStr">
        <is>
          <t>2027-03</t>
        </is>
      </c>
      <c r="I76" s="17" t="inlineStr">
        <is>
          <t>未着手</t>
        </is>
      </c>
      <c r="J76" s="11" t="n">
        <v>0</v>
      </c>
      <c r="K76" s="11" t="n">
        <v>3</v>
      </c>
      <c r="L76" s="4" t="inlineStr">
        <is>
          <t>分量配分計画を作成済み。実際の組版で1頁あたりの文字数を実測し補正する</t>
        </is>
      </c>
      <c r="M76" s="4" t="inlineStr">
        <is>
          <t>原稿の確定</t>
        </is>
      </c>
      <c r="N76" s="4" t="inlineStr">
        <is>
          <t>―</t>
        </is>
      </c>
    </row>
    <row r="77">
      <c r="A77" s="4" t="inlineStr">
        <is>
          <t>P10 完成・納品</t>
        </is>
      </c>
      <c r="B77" s="11" t="inlineStr">
        <is>
          <t>10-3</t>
        </is>
      </c>
      <c r="C77" s="4" t="inlineStr">
        <is>
          <t>校正</t>
        </is>
      </c>
      <c r="D77" s="4" t="inlineStr">
        <is>
          <t>村の確認を経て校了</t>
        </is>
      </c>
      <c r="E77" s="4" t="inlineStr">
        <is>
          <t>仕様書5 成果品①</t>
        </is>
      </c>
      <c r="F77" s="11" t="inlineStr">
        <is>
          <t>受託者・北塩原村</t>
        </is>
      </c>
      <c r="G77" s="11" t="inlineStr">
        <is>
          <t>2027-03</t>
        </is>
      </c>
      <c r="H77" s="11" t="inlineStr">
        <is>
          <t>2027-03</t>
        </is>
      </c>
      <c r="I77" s="17" t="inlineStr">
        <is>
          <t>未着手</t>
        </is>
      </c>
      <c r="J77" s="11" t="n">
        <v>0</v>
      </c>
      <c r="K77" s="11" t="n">
        <v>2</v>
      </c>
      <c r="L77" s="4" t="inlineStr">
        <is>
          <t>―</t>
        </is>
      </c>
      <c r="M77" s="4" t="inlineStr">
        <is>
          <t>組版</t>
        </is>
      </c>
      <c r="N77" s="4" t="inlineStr">
        <is>
          <t>―</t>
        </is>
      </c>
    </row>
    <row r="78">
      <c r="A78" s="4" t="inlineStr">
        <is>
          <t>P10 完成・納品</t>
        </is>
      </c>
      <c r="B78" s="11" t="inlineStr">
        <is>
          <t>10-4</t>
        </is>
      </c>
      <c r="C78" s="4" t="inlineStr">
        <is>
          <t>印刷・製本</t>
        </is>
      </c>
      <c r="D78" s="4" t="inlineStr">
        <is>
          <t>計画書はコピー・くるみ製本30部、調査報告書はコピー・ホチキス製本10部</t>
        </is>
      </c>
      <c r="E78" s="4" t="inlineStr">
        <is>
          <t>仕様書5 成果品①②</t>
        </is>
      </c>
      <c r="F78" s="11" t="inlineStr">
        <is>
          <t>受託者</t>
        </is>
      </c>
      <c r="G78" s="11" t="inlineStr">
        <is>
          <t>2027-03</t>
        </is>
      </c>
      <c r="H78" s="11" t="inlineStr">
        <is>
          <t>2027-03</t>
        </is>
      </c>
      <c r="I78" s="17" t="inlineStr">
        <is>
          <t>未着手</t>
        </is>
      </c>
      <c r="J78" s="11" t="n">
        <v>0</v>
      </c>
      <c r="K78" s="11" t="n">
        <v>2</v>
      </c>
      <c r="L78" s="4" t="inlineStr">
        <is>
          <t>―</t>
        </is>
      </c>
      <c r="M78" s="4" t="inlineStr">
        <is>
          <t>校了。印刷業者の手配</t>
        </is>
      </c>
      <c r="N78" s="4" t="inlineStr">
        <is>
          <t>―</t>
        </is>
      </c>
    </row>
    <row r="79">
      <c r="A79" s="4" t="inlineStr">
        <is>
          <t>P10 完成・納品</t>
        </is>
      </c>
      <c r="B79" s="11" t="inlineStr">
        <is>
          <t>10-5</t>
        </is>
      </c>
      <c r="C79" s="4" t="inlineStr">
        <is>
          <t>電子媒体の作成</t>
        </is>
      </c>
      <c r="D79" s="4" t="inlineStr">
        <is>
          <t>計画書と調査報告書の電子データ一式</t>
        </is>
      </c>
      <c r="E79" s="4" t="inlineStr">
        <is>
          <t>仕様書5 成果品③</t>
        </is>
      </c>
      <c r="F79" s="11" t="inlineStr">
        <is>
          <t>受託者</t>
        </is>
      </c>
      <c r="G79" s="11" t="inlineStr">
        <is>
          <t>2027-03</t>
        </is>
      </c>
      <c r="H79" s="11" t="inlineStr">
        <is>
          <t>2027-03</t>
        </is>
      </c>
      <c r="I79" s="17" t="inlineStr">
        <is>
          <t>未着手</t>
        </is>
      </c>
      <c r="J79" s="11" t="n">
        <v>0</v>
      </c>
      <c r="K79" s="11" t="n">
        <v>1</v>
      </c>
      <c r="L79" s="4" t="inlineStr">
        <is>
          <t>―</t>
        </is>
      </c>
      <c r="M79" s="4" t="inlineStr">
        <is>
          <t>編集可能形式とPDFの別を村に確認する</t>
        </is>
      </c>
      <c r="N79" s="4" t="inlineStr">
        <is>
          <t>―</t>
        </is>
      </c>
    </row>
    <row r="80">
      <c r="A80" s="4" t="inlineStr">
        <is>
          <t>P10 完成・納品</t>
        </is>
      </c>
      <c r="B80" s="11" t="inlineStr">
        <is>
          <t>10-6</t>
        </is>
      </c>
      <c r="C80" s="4" t="inlineStr">
        <is>
          <t>納品・検収</t>
        </is>
      </c>
      <c r="D80" s="4" t="inlineStr">
        <is>
          <t>令和9年3月31日まで</t>
        </is>
      </c>
      <c r="E80" s="4" t="inlineStr">
        <is>
          <t>仕様書3（業務期間）</t>
        </is>
      </c>
      <c r="F80" s="11" t="inlineStr">
        <is>
          <t>受託者・北塩原村</t>
        </is>
      </c>
      <c r="G80" s="11" t="inlineStr">
        <is>
          <t>2027-03</t>
        </is>
      </c>
      <c r="H80" s="11" t="inlineStr">
        <is>
          <t>2027-03</t>
        </is>
      </c>
      <c r="I80" s="17" t="inlineStr">
        <is>
          <t>未着手</t>
        </is>
      </c>
      <c r="J80" s="11" t="n">
        <v>0</v>
      </c>
      <c r="K80" s="11" t="n">
        <v>1</v>
      </c>
      <c r="L80" s="4" t="inlineStr">
        <is>
          <t>―</t>
        </is>
      </c>
      <c r="M80" s="4" t="inlineStr">
        <is>
          <t>全成果品の完成</t>
        </is>
      </c>
      <c r="N80" s="4" t="inlineStr">
        <is>
          <t>―</t>
        </is>
      </c>
    </row>
  </sheetData>
  <autoFilter ref="A1:N8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COUNTIF('01_WBS'!$A$2:$A$80,$A2)</f>
        <v/>
      </c>
      <c r="C2" s="11">
        <f>COUNTIFS('01_WBS'!$A$2:$A$80,$A2,'01_WBS'!$I$2:$I$80,"完了")</f>
        <v/>
      </c>
      <c r="D2" s="11">
        <f>COUNTIFS('01_WBS'!$A$2:$A$80,$A2,'01_WBS'!$I$2:$I$80,"進行中")</f>
        <v/>
      </c>
      <c r="E2" s="11">
        <f>COUNTIFS('01_WBS'!$A$2:$A$80,$A2,'01_WBS'!$I$2:$I$80,"要対応")</f>
        <v/>
      </c>
      <c r="F2" s="11">
        <f>COUNTIFS('01_WBS'!$A$2:$A$80,$A2,'01_WBS'!$I$2:$I$80,"データ待ち")</f>
        <v/>
      </c>
      <c r="G2" s="11">
        <f>COUNTIFS('01_WBS'!$A$2:$A$80,$A2,'01_WBS'!$I$2:$I$80,"未着手")</f>
        <v/>
      </c>
      <c r="H2" s="18">
        <f>IF(SUMPRODUCT(('01_WBS'!$A$2:$A$80=$A2)*'01_WBS'!$K$2:$K$80)=0,0,SUMPRODUCT(('01_WBS'!$A$2:$A$80=$A2)*'01_WBS'!$J$2:$J$80*'01_WBS'!$K$2:$K$80)/SUMPRODUCT(('01_WBS'!$A$2:$A$80=$A2)*'01_WBS'!$K$2:$K$80)/100)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COUNTIF('01_WBS'!$A$2:$A$80,$A3)</f>
        <v/>
      </c>
      <c r="C3" s="11">
        <f>COUNTIFS('01_WBS'!$A$2:$A$80,$A3,'01_WBS'!$I$2:$I$80,"完了")</f>
        <v/>
      </c>
      <c r="D3" s="11">
        <f>COUNTIFS('01_WBS'!$A$2:$A$80,$A3,'01_WBS'!$I$2:$I$80,"進行中")</f>
        <v/>
      </c>
      <c r="E3" s="11">
        <f>COUNTIFS('01_WBS'!$A$2:$A$80,$A3,'01_WBS'!$I$2:$I$80,"要対応")</f>
        <v/>
      </c>
      <c r="F3" s="11">
        <f>COUNTIFS('01_WBS'!$A$2:$A$80,$A3,'01_WBS'!$I$2:$I$80,"データ待ち")</f>
        <v/>
      </c>
      <c r="G3" s="11">
        <f>COUNTIFS('01_WBS'!$A$2:$A$80,$A3,'01_WBS'!$I$2:$I$80,"未着手")</f>
        <v/>
      </c>
      <c r="H3" s="18">
        <f>IF(SUMPRODUCT(('01_WBS'!$A$2:$A$80=$A3)*'01_WBS'!$K$2:$K$80)=0,0,SUMPRODUCT(('01_WBS'!$A$2:$A$80=$A3)*'01_WBS'!$J$2:$J$80*'01_WBS'!$K$2:$K$80)/SUMPRODUCT(('01_WBS'!$A$2:$A$80=$A3)*'01_WBS'!$K$2:$K$80)/100)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COUNTIF('01_WBS'!$A$2:$A$80,$A4)</f>
        <v/>
      </c>
      <c r="C4" s="11">
        <f>COUNTIFS('01_WBS'!$A$2:$A$80,$A4,'01_WBS'!$I$2:$I$80,"完了")</f>
        <v/>
      </c>
      <c r="D4" s="11">
        <f>COUNTIFS('01_WBS'!$A$2:$A$80,$A4,'01_WBS'!$I$2:$I$80,"進行中")</f>
        <v/>
      </c>
      <c r="E4" s="11">
        <f>COUNTIFS('01_WBS'!$A$2:$A$80,$A4,'01_WBS'!$I$2:$I$80,"要対応")</f>
        <v/>
      </c>
      <c r="F4" s="11">
        <f>COUNTIFS('01_WBS'!$A$2:$A$80,$A4,'01_WBS'!$I$2:$I$80,"データ待ち")</f>
        <v/>
      </c>
      <c r="G4" s="11">
        <f>COUNTIFS('01_WBS'!$A$2:$A$80,$A4,'01_WBS'!$I$2:$I$80,"未着手")</f>
        <v/>
      </c>
      <c r="H4" s="18">
        <f>IF(SUMPRODUCT(('01_WBS'!$A$2:$A$80=$A4)*'01_WBS'!$K$2:$K$80)=0,0,SUMPRODUCT(('01_WBS'!$A$2:$A$80=$A4)*'01_WBS'!$J$2:$J$80*'01_WBS'!$K$2:$K$80)/SUMPRODUCT(('01_WBS'!$A$2:$A$80=$A4)*'01_WBS'!$K$2:$K$80)/100)</f>
        <v/>
      </c>
      <c r="I4" s="11" t="inlineStr">
        <is>
          <t>2026-07</t>
        </is>
      </c>
      <c r="J4" s="11" t="inlineStr">
        <is>
          <t>2026-10</t>
        </is>
      </c>
      <c r="K4" s="4" t="inlineStr">
        <is>
          <t>年齢階級別の手帳所持者数・人口（未受領）</t>
        </is>
      </c>
    </row>
    <row r="5">
      <c r="A5" s="4" t="inlineStr">
        <is>
          <t>P4 ニーズ調査</t>
        </is>
      </c>
      <c r="B5" s="11">
        <f>COUNTIF('01_WBS'!$A$2:$A$80,$A5)</f>
        <v/>
      </c>
      <c r="C5" s="11">
        <f>COUNTIFS('01_WBS'!$A$2:$A$80,$A5,'01_WBS'!$I$2:$I$80,"完了")</f>
        <v/>
      </c>
      <c r="D5" s="11">
        <f>COUNTIFS('01_WBS'!$A$2:$A$80,$A5,'01_WBS'!$I$2:$I$80,"進行中")</f>
        <v/>
      </c>
      <c r="E5" s="11">
        <f>COUNTIFS('01_WBS'!$A$2:$A$80,$A5,'01_WBS'!$I$2:$I$80,"要対応")</f>
        <v/>
      </c>
      <c r="F5" s="11">
        <f>COUNTIFS('01_WBS'!$A$2:$A$80,$A5,'01_WBS'!$I$2:$I$80,"データ待ち")</f>
        <v/>
      </c>
      <c r="G5" s="11">
        <f>COUNTIFS('01_WBS'!$A$2:$A$80,$A5,'01_WBS'!$I$2:$I$80,"未着手")</f>
        <v/>
      </c>
      <c r="H5" s="18">
        <f>IF(SUMPRODUCT(('01_WBS'!$A$2:$A$80=$A5)*'01_WBS'!$K$2:$K$80)=0,0,SUMPRODUCT(('01_WBS'!$A$2:$A$80=$A5)*'01_WBS'!$J$2:$J$80*'01_WBS'!$K$2:$K$80)/SUMPRODUCT(('01_WBS'!$A$2:$A$80=$A5)*'01_WBS'!$K$2:$K$80)/100)</f>
        <v/>
      </c>
      <c r="I5" s="11" t="inlineStr">
        <is>
          <t>2026-07</t>
        </is>
      </c>
      <c r="J5" s="11" t="inlineStr">
        <is>
          <t>2026-09</t>
        </is>
      </c>
      <c r="K5" s="4" t="inlineStr">
        <is>
          <t>印刷仕様・宛名ラベル・対象者数の3点。本業務の最大の律速</t>
        </is>
      </c>
    </row>
    <row r="6">
      <c r="A6" s="4" t="inlineStr">
        <is>
          <t>P5 集計・分析</t>
        </is>
      </c>
      <c r="B6" s="11">
        <f>COUNTIF('01_WBS'!$A$2:$A$80,$A6)</f>
        <v/>
      </c>
      <c r="C6" s="11">
        <f>COUNTIFS('01_WBS'!$A$2:$A$80,$A6,'01_WBS'!$I$2:$I$80,"完了")</f>
        <v/>
      </c>
      <c r="D6" s="11">
        <f>COUNTIFS('01_WBS'!$A$2:$A$80,$A6,'01_WBS'!$I$2:$I$80,"進行中")</f>
        <v/>
      </c>
      <c r="E6" s="11">
        <f>COUNTIFS('01_WBS'!$A$2:$A$80,$A6,'01_WBS'!$I$2:$I$80,"要対応")</f>
        <v/>
      </c>
      <c r="F6" s="11">
        <f>COUNTIFS('01_WBS'!$A$2:$A$80,$A6,'01_WBS'!$I$2:$I$80,"データ待ち")</f>
        <v/>
      </c>
      <c r="G6" s="11">
        <f>COUNTIFS('01_WBS'!$A$2:$A$80,$A6,'01_WBS'!$I$2:$I$80,"未着手")</f>
        <v/>
      </c>
      <c r="H6" s="18">
        <f>IF(SUMPRODUCT(('01_WBS'!$A$2:$A$80=$A6)*'01_WBS'!$K$2:$K$80)=0,0,SUMPRODUCT(('01_WBS'!$A$2:$A$80=$A6)*'01_WBS'!$J$2:$J$80*'01_WBS'!$K$2:$K$80)/SUMPRODUCT(('01_WBS'!$A$2:$A$80=$A6)*'01_WBS'!$K$2:$K$80)/100)</f>
        <v/>
      </c>
      <c r="I6" s="11" t="inlineStr">
        <is>
          <t>2026-09</t>
        </is>
      </c>
      <c r="J6" s="11" t="inlineStr">
        <is>
          <t>2026-12</t>
        </is>
      </c>
      <c r="K6" s="4" t="inlineStr">
        <is>
          <t>アンケートの回収</t>
        </is>
      </c>
    </row>
    <row r="7">
      <c r="A7" s="4" t="inlineStr">
        <is>
          <t>P6 現行計画の評価</t>
        </is>
      </c>
      <c r="B7" s="11">
        <f>COUNTIF('01_WBS'!$A$2:$A$80,$A7)</f>
        <v/>
      </c>
      <c r="C7" s="11">
        <f>COUNTIFS('01_WBS'!$A$2:$A$80,$A7,'01_WBS'!$I$2:$I$80,"完了")</f>
        <v/>
      </c>
      <c r="D7" s="11">
        <f>COUNTIFS('01_WBS'!$A$2:$A$80,$A7,'01_WBS'!$I$2:$I$80,"進行中")</f>
        <v/>
      </c>
      <c r="E7" s="11">
        <f>COUNTIFS('01_WBS'!$A$2:$A$80,$A7,'01_WBS'!$I$2:$I$80,"要対応")</f>
        <v/>
      </c>
      <c r="F7" s="11">
        <f>COUNTIFS('01_WBS'!$A$2:$A$80,$A7,'01_WBS'!$I$2:$I$80,"データ待ち")</f>
        <v/>
      </c>
      <c r="G7" s="11">
        <f>COUNTIFS('01_WBS'!$A$2:$A$80,$A7,'01_WBS'!$I$2:$I$80,"未着手")</f>
        <v/>
      </c>
      <c r="H7" s="18">
        <f>IF(SUMPRODUCT(('01_WBS'!$A$2:$A$80=$A7)*'01_WBS'!$K$2:$K$80)=0,0,SUMPRODUCT(('01_WBS'!$A$2:$A$80=$A7)*'01_WBS'!$J$2:$J$80*'01_WBS'!$K$2:$K$80)/SUMPRODUCT(('01_WBS'!$A$2:$A$80=$A7)*'01_WBS'!$K$2:$K$80)/100)</f>
        <v/>
      </c>
      <c r="I7" s="11" t="inlineStr">
        <is>
          <t>2026-08</t>
        </is>
      </c>
      <c r="J7" s="11" t="inlineStr">
        <is>
          <t>2026-11</t>
        </is>
      </c>
      <c r="K7" s="4" t="inlineStr">
        <is>
          <t>令和6・7年度の実績と令和8年度見込</t>
        </is>
      </c>
    </row>
    <row r="8">
      <c r="A8" s="4" t="inlineStr">
        <is>
          <t>P7 推計・見込量</t>
        </is>
      </c>
      <c r="B8" s="11">
        <f>COUNTIF('01_WBS'!$A$2:$A$80,$A8)</f>
        <v/>
      </c>
      <c r="C8" s="11">
        <f>COUNTIFS('01_WBS'!$A$2:$A$80,$A8,'01_WBS'!$I$2:$I$80,"完了")</f>
        <v/>
      </c>
      <c r="D8" s="11">
        <f>COUNTIFS('01_WBS'!$A$2:$A$80,$A8,'01_WBS'!$I$2:$I$80,"進行中")</f>
        <v/>
      </c>
      <c r="E8" s="11">
        <f>COUNTIFS('01_WBS'!$A$2:$A$80,$A8,'01_WBS'!$I$2:$I$80,"要対応")</f>
        <v/>
      </c>
      <c r="F8" s="11">
        <f>COUNTIFS('01_WBS'!$A$2:$A$80,$A8,'01_WBS'!$I$2:$I$80,"データ待ち")</f>
        <v/>
      </c>
      <c r="G8" s="11">
        <f>COUNTIFS('01_WBS'!$A$2:$A$80,$A8,'01_WBS'!$I$2:$I$80,"未着手")</f>
        <v/>
      </c>
      <c r="H8" s="18">
        <f>IF(SUMPRODUCT(('01_WBS'!$A$2:$A$80=$A8)*'01_WBS'!$K$2:$K$80)=0,0,SUMPRODUCT(('01_WBS'!$A$2:$A$80=$A8)*'01_WBS'!$J$2:$J$80*'01_WBS'!$K$2:$K$80)/SUMPRODUCT(('01_WBS'!$A$2:$A$80=$A8)*'01_WBS'!$K$2:$K$80)/100)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COUNTIF('01_WBS'!$A$2:$A$80,$A9)</f>
        <v/>
      </c>
      <c r="C9" s="11">
        <f>COUNTIFS('01_WBS'!$A$2:$A$80,$A9,'01_WBS'!$I$2:$I$80,"完了")</f>
        <v/>
      </c>
      <c r="D9" s="11">
        <f>COUNTIFS('01_WBS'!$A$2:$A$80,$A9,'01_WBS'!$I$2:$I$80,"進行中")</f>
        <v/>
      </c>
      <c r="E9" s="11">
        <f>COUNTIFS('01_WBS'!$A$2:$A$80,$A9,'01_WBS'!$I$2:$I$80,"要対応")</f>
        <v/>
      </c>
      <c r="F9" s="11">
        <f>COUNTIFS('01_WBS'!$A$2:$A$80,$A9,'01_WBS'!$I$2:$I$80,"データ待ち")</f>
        <v/>
      </c>
      <c r="G9" s="11">
        <f>COUNTIFS('01_WBS'!$A$2:$A$80,$A9,'01_WBS'!$I$2:$I$80,"未着手")</f>
        <v/>
      </c>
      <c r="H9" s="18">
        <f>IF(SUMPRODUCT(('01_WBS'!$A$2:$A$80=$A9)*'01_WBS'!$K$2:$K$80)=0,0,SUMPRODUCT(('01_WBS'!$A$2:$A$80=$A9)*'01_WBS'!$J$2:$J$80*'01_WBS'!$K$2:$K$80)/SUMPRODUCT(('01_WBS'!$A$2:$A$80=$A9)*'01_WBS'!$K$2:$K$80)/100)</f>
        <v/>
      </c>
      <c r="I9" s="11" t="inlineStr">
        <is>
          <t>2026-07</t>
        </is>
      </c>
      <c r="J9" s="11" t="inlineStr">
        <is>
          <t>2027-01</t>
        </is>
      </c>
      <c r="K9" s="4" t="inlineStr">
        <is>
          <t>P5・P7の完了</t>
        </is>
      </c>
    </row>
    <row r="10">
      <c r="A10" s="4" t="inlineStr">
        <is>
          <t>P9 意見聴取</t>
        </is>
      </c>
      <c r="B10" s="11">
        <f>COUNTIF('01_WBS'!$A$2:$A$80,$A10)</f>
        <v/>
      </c>
      <c r="C10" s="11">
        <f>COUNTIFS('01_WBS'!$A$2:$A$80,$A10,'01_WBS'!$I$2:$I$80,"完了")</f>
        <v/>
      </c>
      <c r="D10" s="11">
        <f>COUNTIFS('01_WBS'!$A$2:$A$80,$A10,'01_WBS'!$I$2:$I$80,"進行中")</f>
        <v/>
      </c>
      <c r="E10" s="11">
        <f>COUNTIFS('01_WBS'!$A$2:$A$80,$A10,'01_WBS'!$I$2:$I$80,"要対応")</f>
        <v/>
      </c>
      <c r="F10" s="11">
        <f>COUNTIFS('01_WBS'!$A$2:$A$80,$A10,'01_WBS'!$I$2:$I$80,"データ待ち")</f>
        <v/>
      </c>
      <c r="G10" s="11">
        <f>COUNTIFS('01_WBS'!$A$2:$A$80,$A10,'01_WBS'!$I$2:$I$80,"未着手")</f>
        <v/>
      </c>
      <c r="H10" s="18">
        <f>IF(SUMPRODUCT(('01_WBS'!$A$2:$A$80=$A10)*'01_WBS'!$K$2:$K$80)=0,0,SUMPRODUCT(('01_WBS'!$A$2:$A$80=$A10)*'01_WBS'!$J$2:$J$80*'01_WBS'!$K$2:$K$80)/SUMPRODUCT(('01_WBS'!$A$2:$A$80=$A10)*'01_WBS'!$K$2:$K$80)/100)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COUNTIF('01_WBS'!$A$2:$A$80,$A11)</f>
        <v/>
      </c>
      <c r="C11" s="11">
        <f>COUNTIFS('01_WBS'!$A$2:$A$80,$A11,'01_WBS'!$I$2:$I$80,"完了")</f>
        <v/>
      </c>
      <c r="D11" s="11">
        <f>COUNTIFS('01_WBS'!$A$2:$A$80,$A11,'01_WBS'!$I$2:$I$80,"進行中")</f>
        <v/>
      </c>
      <c r="E11" s="11">
        <f>COUNTIFS('01_WBS'!$A$2:$A$80,$A11,'01_WBS'!$I$2:$I$80,"要対応")</f>
        <v/>
      </c>
      <c r="F11" s="11">
        <f>COUNTIFS('01_WBS'!$A$2:$A$80,$A11,'01_WBS'!$I$2:$I$80,"データ待ち")</f>
        <v/>
      </c>
      <c r="G11" s="11">
        <f>COUNTIFS('01_WBS'!$A$2:$A$80,$A11,'01_WBS'!$I$2:$I$80,"未着手")</f>
        <v/>
      </c>
      <c r="H11" s="18">
        <f>IF(SUMPRODUCT(('01_WBS'!$A$2:$A$80=$A11)*'01_WBS'!$K$2:$K$80)=0,0,SUMPRODUCT(('01_WBS'!$A$2:$A$80=$A11)*'01_WBS'!$J$2:$J$80*'01_WBS'!$K$2:$K$80)/SUMPRODUCT(('01_WBS'!$A$2:$A$80=$A11)*'01_WBS'!$K$2:$K$80)/100)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IF(SUMPRODUCT('01_WBS'!$K$2:$K$80)=0,0,SUMPRODUCT('01_WBS'!$J$2:$J$80*'01_WBS'!$K$2:$K$80)/SUMPRODUCT('01_WBS'!$K$2:$K$80)/100)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3"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3"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3"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3"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4"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4"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4"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4"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4"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4"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4"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4"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4"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4"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4"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4"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4"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4"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4"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4"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4"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4"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4"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4"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4"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4"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4"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4" t="inlineStr">
        <is>
          <t>一部受領</t>
        </is>
      </c>
      <c r="H26" s="11" t="inlineStr">
        <is>
          <t>2026-10-20</t>
        </is>
      </c>
      <c r="I26" s="11" t="n"/>
      <c r="J26" s="13"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4" t="inlineStr">
        <is>
          <t>一部受領</t>
        </is>
      </c>
      <c r="H27" s="11" t="inlineStr">
        <is>
          <t>2026-10-20</t>
        </is>
      </c>
      <c r="I27" s="11" t="n"/>
      <c r="J27" s="13"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4"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4" t="inlineStr">
        <is>
          <t>一部受領</t>
        </is>
      </c>
      <c r="H29" s="11" t="inlineStr">
        <is>
          <t>2026-10-20</t>
        </is>
      </c>
      <c r="I29" s="11" t="n"/>
      <c r="J29" s="13"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4"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4"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4"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4"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4"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4"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4"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4"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4"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4"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4"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4"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4" t="inlineStr">
        <is>
          <t>県照会中</t>
        </is>
      </c>
      <c r="H43" s="11" t="inlineStr">
        <is>
          <t>2026-10-31</t>
        </is>
      </c>
      <c r="I43" s="11" t="n"/>
      <c r="J43" s="14"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4"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4"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4"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4"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4"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4"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4" t="inlineStr">
        <is>
          <t>一部受領</t>
        </is>
      </c>
      <c r="H50" s="11" t="inlineStr">
        <is>
          <t>2026-08-05</t>
        </is>
      </c>
      <c r="I50" s="11" t="n"/>
      <c r="J50" s="13"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4"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4"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4"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4"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4"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4"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4" t="inlineStr">
        <is>
          <t>一部受領</t>
        </is>
      </c>
      <c r="H60" s="11" t="inlineStr">
        <is>
          <t>2026-10-31</t>
        </is>
      </c>
      <c r="I60" s="11" t="n"/>
      <c r="J60" s="13"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4" t="inlineStr">
        <is>
          <t>一部受領</t>
        </is>
      </c>
      <c r="H61" s="11" t="inlineStr">
        <is>
          <t>2026-09-30</t>
        </is>
      </c>
      <c r="I61" s="11" t="n"/>
      <c r="J61" s="13"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4" t="inlineStr">
        <is>
          <t>一部受領</t>
        </is>
      </c>
      <c r="H62" s="11" t="inlineStr">
        <is>
          <t>2026-09-30</t>
        </is>
      </c>
      <c r="I62" s="11" t="n"/>
      <c r="J62" s="13"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4"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4"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4"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4"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4"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3"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3"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3"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3"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3"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3"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3"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3"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3"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3"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3"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3"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3"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3"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3"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3"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3"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3"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3"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3"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3"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3"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3"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3"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3"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3"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3"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3"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3"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3"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3"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3"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3"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3"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3"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3"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3"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3"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3"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3"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3"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9"/>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を含む15件）の回答を取る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他メンバーへの確認25件のうち節1〜4の15件を取る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3" t="n">
        <v>6</v>
      </c>
      <c r="B7" s="11" t="inlineStr">
        <is>
          <t>手持ち・済</t>
        </is>
      </c>
      <c r="C7" s="4" t="inlineStr">
        <is>
          <t>県保健医療計画との調和が落ちていたことを直す</t>
        </is>
      </c>
      <c r="D7" s="4" t="inlineStr">
        <is>
          <t>国の基本指針 第三の一の7は障害福祉計画を医療計画と調和が保たれたものとすることを求め、第二の二は精神障害にも対応した地域包括ケアシステムの構築の目標について特に医療計画との関係に留意することとしている。正本に「保健医療計画」「医療圏」「へき地」がいずれも0回で、名指しの相手が落ちていた。第8次福島県医療計画（令和6〜11年度。終期が本計画と同じで、3年ごとの見直しに当たるのが令和8年度）を原典に当て、精神疾患対策の目標（平均生活日数334日以上・令和11年）、医療的ケア児等コーディネーターの県内全59市町村への配置（令和11年）、村内の市町村立へき地診療所2カ所、医療圏（会津・南会津17市町村）と障がい保健福祉圏域（会津13市町村）の単位の違い、救急搬送困難件数が会津0.1％であることを反映した（ＫＩ-1〜ＫＩ-9。表7-5を新設）</t>
        </is>
      </c>
      <c r="E7" s="11" t="inlineStr">
        <is>
          <t>済</t>
        </is>
      </c>
      <c r="F7" s="4" t="inlineStr">
        <is>
          <t>北塩原村_県保健医療計画との整合.xlsx／正本（ＫＩ-1〜ＫＩ-9）</t>
        </is>
      </c>
      <c r="G7" s="4" t="inlineStr">
        <is>
          <t>なし（当方で完結。Ｍ-129・Ｓ-38は残り）</t>
        </is>
      </c>
      <c r="H7" s="4" t="inlineStr">
        <is>
          <t>WBS 1-10</t>
        </is>
      </c>
    </row>
    <row r="8">
      <c r="A8" s="22" t="n">
        <v>7</v>
      </c>
      <c r="B8" s="11" t="inlineStr">
        <is>
          <t>手持ち</t>
        </is>
      </c>
      <c r="C8" s="4" t="inlineStr">
        <is>
          <t>策定委員会資料の確定4件を村に差し替えていただく</t>
        </is>
      </c>
      <c r="D8"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8" s="11" t="inlineStr">
        <is>
          <t>村の作業（当方は0.5時間で支援）</t>
        </is>
      </c>
      <c r="F8" s="4" t="inlineStr">
        <is>
          <t>北塩原村_策定委員会資料_修正指示.docx の反映</t>
        </is>
      </c>
      <c r="G8" s="4" t="inlineStr">
        <is>
          <t>村の判断</t>
        </is>
      </c>
      <c r="H8" s="4" t="inlineStr">
        <is>
          <t>WBS 8-12／Ｓ-26は決着済み</t>
        </is>
      </c>
    </row>
    <row r="9">
      <c r="A9" s="24" t="n">
        <v>8</v>
      </c>
      <c r="B9" s="11" t="inlineStr">
        <is>
          <t>手持ち</t>
        </is>
      </c>
      <c r="C9" s="4" t="inlineStr">
        <is>
          <t>正本の目次と図表目次を作り直す準備をする</t>
        </is>
      </c>
      <c r="D9"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9" s="11" t="inlineStr">
        <is>
          <t>0.5時間（依頼文）</t>
        </is>
      </c>
      <c r="F9" s="4" t="inlineStr">
        <is>
          <t>目次の更新の依頼</t>
        </is>
      </c>
      <c r="G9" s="4" t="inlineStr">
        <is>
          <t>他メンバー又は村の作業</t>
        </is>
      </c>
      <c r="H9" s="4" t="inlineStr">
        <is>
          <t>Ｓ-33／WBS 10-1</t>
        </is>
      </c>
    </row>
    <row r="10">
      <c r="A10" s="24" t="n">
        <v>9</v>
      </c>
      <c r="B10" s="11" t="inlineStr">
        <is>
          <t>回答後</t>
        </is>
      </c>
      <c r="C10" s="4" t="inlineStr">
        <is>
          <t>見込量を第2次算定で組み直す（1人単位の積上げ）</t>
        </is>
      </c>
      <c r="D10"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10" s="11" t="inlineStr">
        <is>
          <t>8時間</t>
        </is>
      </c>
      <c r="F10" s="4" t="inlineStr">
        <is>
          <t>見込量の第2次算定、給付費・財源構成の確定</t>
        </is>
      </c>
      <c r="G10" s="4" t="inlineStr">
        <is>
          <t>村の回答（Ｍ-19・Ｍ-18。第2便 10月31日）</t>
        </is>
      </c>
      <c r="H10" s="4" t="inlineStr">
        <is>
          <t>WBS 7-2・7-3・7-4・7-7／北塩原村_第2次算定_個別台帳.xlsx</t>
        </is>
      </c>
    </row>
    <row r="11">
      <c r="A11" s="24" t="n">
        <v>10</v>
      </c>
      <c r="B11" s="11" t="inlineStr">
        <is>
          <t>回答後</t>
        </is>
      </c>
      <c r="C11" s="4" t="inlineStr">
        <is>
          <t>手帳所持者数の推計を確定する</t>
        </is>
      </c>
      <c r="D11"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1" s="11" t="inlineStr">
        <is>
          <t>2時間</t>
        </is>
      </c>
      <c r="F11" s="4" t="inlineStr">
        <is>
          <t>手帳所持者数の確定、第2章の本文と図の確定</t>
        </is>
      </c>
      <c r="G11" s="4" t="inlineStr">
        <is>
          <t>村の回答（Ｍ-124・Ｍ-123。第1便 10月24日）</t>
        </is>
      </c>
      <c r="H11" s="4" t="inlineStr">
        <is>
          <t>WBS 3-6・7-1／R-31・R-40・R-41</t>
        </is>
      </c>
    </row>
    <row r="12">
      <c r="A12" s="24" t="n">
        <v>11</v>
      </c>
      <c r="B12" s="11" t="inlineStr">
        <is>
          <t>回答後</t>
        </is>
      </c>
      <c r="C12" s="4" t="inlineStr">
        <is>
          <t>前回計画の評価の中間評価を確定する</t>
        </is>
      </c>
      <c r="D12" s="4" t="inlineStr">
        <is>
          <t>第4次障がい者計画の8指標のうち5指標が現在値を確認中である（Ｍ-41からＭ-44・Ｍ-95）。確定すれば前回計画の評価（本体・概要版）と正本 第3章3 が固まる</t>
        </is>
      </c>
      <c r="E12" s="11" t="inlineStr">
        <is>
          <t>2時間</t>
        </is>
      </c>
      <c r="F12" s="4" t="inlineStr">
        <is>
          <t>中間評価の確定、前回計画の評価（本体・概要版）の確定</t>
        </is>
      </c>
      <c r="G12" s="4" t="inlineStr">
        <is>
          <t>村の回答（Ｍ-41〜Ｍ-44・Ｍ-95。第1便 10月24日）</t>
        </is>
      </c>
      <c r="H12" s="4" t="inlineStr">
        <is>
          <t>WBS 6-2・6-3／前回計画の評価 概要版</t>
        </is>
      </c>
    </row>
    <row r="13">
      <c r="A13" s="24" t="n">
        <v>12</v>
      </c>
      <c r="B13" s="11" t="inlineStr">
        <is>
          <t>回答後</t>
        </is>
      </c>
      <c r="C13" s="4" t="inlineStr">
        <is>
          <t>医療的ケア児等の体制を確定する</t>
        </is>
      </c>
      <c r="D13"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3" s="11" t="inlineStr">
        <is>
          <t>2時間</t>
        </is>
      </c>
      <c r="F13" s="4" t="inlineStr">
        <is>
          <t>第4章2（4）の成果目標と活動指標の確定</t>
        </is>
      </c>
      <c r="G13" s="4" t="inlineStr">
        <is>
          <t>村の回答（Ｍ-126。第3便 11月14日。県への取次ぎを含む）</t>
        </is>
      </c>
      <c r="H13" s="4" t="inlineStr">
        <is>
          <t>WBS 8-13／ＳＪ-1</t>
        </is>
      </c>
    </row>
    <row r="14">
      <c r="A14" s="24" t="n">
        <v>13</v>
      </c>
      <c r="B14" s="11" t="inlineStr">
        <is>
          <t>節目ごと</t>
        </is>
      </c>
      <c r="C14" s="4" t="inlineStr">
        <is>
          <t>基本指針の追加告示との最終照合</t>
        </is>
      </c>
      <c r="D14"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4" s="11" t="inlineStr">
        <is>
          <t>3時間</t>
        </is>
      </c>
      <c r="F14" s="4" t="inlineStr">
        <is>
          <t>法定記載事項チェックの更新、正本の条項の確定</t>
        </is>
      </c>
      <c r="G14" s="4" t="inlineStr">
        <is>
          <t>告示の公表（Ｓ-35で入手を依頼）</t>
        </is>
      </c>
      <c r="H14" s="4" t="inlineStr">
        <is>
          <t>WBS 8-13・8-10／Ｓ-35</t>
        </is>
      </c>
    </row>
    <row r="15">
      <c r="A15" s="24" t="n">
        <v>14</v>
      </c>
      <c r="B15" s="11" t="inlineStr">
        <is>
          <t>節目ごと</t>
        </is>
      </c>
      <c r="C15" s="4" t="inlineStr">
        <is>
          <t>成果物の再現性点検を回す（素案を直したあと必ず）</t>
        </is>
      </c>
      <c r="D15"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5" s="11" t="inlineStr">
        <is>
          <t>0.2時間</t>
        </is>
      </c>
      <c r="F15" s="4" t="inlineStr">
        <is>
          <t>check_reproducibility.py --regenerate</t>
        </is>
      </c>
      <c r="G15" s="4" t="inlineStr">
        <is>
          <t>なし（当方で完結）</t>
        </is>
      </c>
      <c r="H15" s="4" t="inlineStr">
        <is>
          <t>WBS 1-7</t>
        </is>
      </c>
    </row>
    <row r="16">
      <c r="A16" s="24" t="n">
        <v>15</v>
      </c>
      <c r="B16" s="11" t="inlineStr">
        <is>
          <t>委員会の後</t>
        </is>
      </c>
      <c r="C16" s="4" t="inlineStr">
        <is>
          <t>パブリックコメント一式を仕上げる</t>
        </is>
      </c>
      <c r="D16"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6" s="11" t="inlineStr">
        <is>
          <t>3時間</t>
        </is>
      </c>
      <c r="F16" s="4" t="inlineStr">
        <is>
          <t>パブリックコメント一式</t>
        </is>
      </c>
      <c r="G16" s="4" t="inlineStr">
        <is>
          <t>工程の確定（Ｍ-125）、素案の確定</t>
        </is>
      </c>
      <c r="H16" s="4" t="inlineStr">
        <is>
          <t>WBS 9-4／Ｍ-125</t>
        </is>
      </c>
    </row>
    <row r="17">
      <c r="A17" s="24" t="n">
        <v>16</v>
      </c>
      <c r="B17" s="11" t="inlineStr">
        <is>
          <t>委員会の後</t>
        </is>
      </c>
      <c r="C17" s="4" t="inlineStr">
        <is>
          <t>印刷・製本の所要日数を業者に確かめる</t>
        </is>
      </c>
      <c r="D17"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7" s="11" t="inlineStr">
        <is>
          <t>1時間</t>
        </is>
      </c>
      <c r="F17" s="4" t="inlineStr">
        <is>
          <t>工程の確定、部数・仕様の確定</t>
        </is>
      </c>
      <c r="G17" s="4" t="inlineStr">
        <is>
          <t>村の回答（Ｍ-112。第3便 11月14日）</t>
        </is>
      </c>
      <c r="H17" s="4" t="inlineStr">
        <is>
          <t>WBS 10-4／Ｍ-112</t>
        </is>
      </c>
    </row>
    <row r="19" ht="90" customHeight="1">
      <c r="A19" s="4" t="inlineStr">
        <is>
          <t>※ 令和8年11月の策定委員会（第2回）までの着手順（令和8年10月15日に並べ直した）。全16件のうち4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9:H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2026-10-23T05:37:07Z</dcterms:created>
  <dcterms:modified xmlns:dcterms="http://purl.org/dc/terms/" xmlns:xsi="http://www.w3.org/2001/XMLSchema-instance" xsi:type="dcterms:W3CDTF">2026-10-23T05:37:07Z</dcterms:modified>
</cp:coreProperties>
</file>