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業務概要" sheetId="1" state="visible" r:id="rId1"/>
    <sheet name="01_WBS" sheetId="2" state="visible" r:id="rId2"/>
    <sheet name="02_スケジュール" sheetId="3" state="visible" r:id="rId3"/>
    <sheet name="03_マイルストーン" sheetId="4" state="visible" r:id="rId4"/>
    <sheet name="04_成果物一覧" sheetId="5" state="visible" r:id="rId5"/>
    <sheet name="05_推計作業手順" sheetId="6" state="visible" r:id="rId6"/>
    <sheet name="06_必要資料リスト" sheetId="7" state="visible" r:id="rId7"/>
    <sheet name="07_役割分担" sheetId="8" state="visible" r:id="rId8"/>
    <sheet name="08_リスク管理" sheetId="9" state="visible" r:id="rId9"/>
    <sheet name="09_スコープ管理" sheetId="10" state="visible" r:id="rId10"/>
    <sheet name="10_工数集計" sheetId="11" state="visible" r:id="rId11"/>
  </sheets>
  <definedNames>
    <definedName name="_xlnm._FilterDatabase" localSheetId="1" hidden="1">'01_WBS'!$A$4:$Q$98</definedName>
    <definedName name="_xlnm.Print_Titles" localSheetId="1">'01_WBS'!$4:$4</definedName>
    <definedName name="_xlnm._FilterDatabase" localSheetId="4" hidden="1">'04_成果物一覧'!$A$4:$G$19</definedName>
    <definedName name="_xlnm._FilterDatabase" localSheetId="6" hidden="1">'06_必要資料リスト'!$A$4:$H$29</definedName>
    <definedName name="_xlnm._FilterDatabase" localSheetId="8" hidden="1">'08_リスク管理'!$A$4:$I$19</definedName>
    <definedName name="_xlnm._FilterDatabase" localSheetId="9" hidden="1">'09_スコープ管理'!$A$4:$E$24</definedName>
  </definedNames>
  <calcPr calcId="124519" fullCalcOnLoad="1"/>
</workbook>
</file>

<file path=xl/styles.xml><?xml version="1.0" encoding="utf-8"?>
<styleSheet xmlns="http://schemas.openxmlformats.org/spreadsheetml/2006/main">
  <numFmts count="5">
    <numFmt numFmtId="164" formatCode="yyyy/mm/dd"/>
    <numFmt numFmtId="165" formatCode="#,##0.0"/>
    <numFmt numFmtId="166" formatCode="0.0%"/>
    <numFmt numFmtId="167" formatCode="yyyy-mm-dd"/>
    <numFmt numFmtId="168" formatCode="m/d"/>
  </numFmts>
  <fonts count="13">
    <font>
      <name val="Calibri"/>
      <family val="2"/>
      <color theme="1"/>
      <sz val="11"/>
      <scheme val="minor"/>
    </font>
    <font>
      <name val="游ゴシック"/>
      <b val="1"/>
      <color rgb="00FFFFFF"/>
      <sz val="14"/>
    </font>
    <font>
      <name val="游ゴシック"/>
      <i val="1"/>
      <color rgb="00595959"/>
      <sz val="9"/>
    </font>
    <font>
      <name val="游ゴシック"/>
      <b val="1"/>
      <color rgb="00FFFFFF"/>
      <sz val="11"/>
    </font>
    <font>
      <name val="游ゴシック"/>
      <b val="1"/>
      <sz val="10"/>
    </font>
    <font>
      <name val="游ゴシック"/>
      <sz val="10"/>
    </font>
    <font>
      <name val="游ゴシック"/>
      <b val="1"/>
      <color rgb="00FFFFFF"/>
      <sz val="10"/>
    </font>
    <font>
      <name val="游ゴシック"/>
      <color rgb="00595959"/>
      <sz val="9"/>
    </font>
    <font>
      <name val="游ゴシック"/>
      <b val="1"/>
      <color rgb="001F3864"/>
      <sz val="10"/>
    </font>
    <font>
      <name val="游ゴシック"/>
      <b val="1"/>
      <color rgb="00C00000"/>
      <sz val="10"/>
    </font>
    <font>
      <name val="游ゴシック"/>
      <color rgb="00FFFFFF"/>
      <sz val="10"/>
    </font>
    <font>
      <name val="游ゴシック"/>
      <b val="1"/>
      <color rgb="00FFFFFF"/>
      <sz val="9"/>
    </font>
    <font>
      <name val="游ゴシック"/>
      <sz val="9"/>
    </font>
  </fonts>
  <fills count="15">
    <fill>
      <patternFill/>
    </fill>
    <fill>
      <patternFill patternType="gray125"/>
    </fill>
    <fill>
      <patternFill patternType="solid">
        <fgColor rgb="001F3864"/>
      </patternFill>
    </fill>
    <fill>
      <patternFill patternType="solid">
        <fgColor rgb="002E75B6"/>
      </patternFill>
    </fill>
    <fill>
      <patternFill patternType="solid">
        <fgColor rgb="00DDEBF7"/>
      </patternFill>
    </fill>
    <fill>
      <patternFill patternType="solid">
        <fgColor rgb="00F7FAFC"/>
      </patternFill>
    </fill>
    <fill>
      <patternFill patternType="solid">
        <fgColor rgb="007F4FBF"/>
      </patternFill>
    </fill>
    <fill>
      <patternFill patternType="solid">
        <fgColor rgb="008EA9DB"/>
      </patternFill>
    </fill>
    <fill>
      <patternFill patternType="solid">
        <fgColor rgb="002CA02C"/>
      </patternFill>
    </fill>
    <fill>
      <patternFill patternType="solid">
        <fgColor rgb="001F77B4"/>
      </patternFill>
    </fill>
    <fill>
      <patternFill patternType="solid">
        <fgColor rgb="00ED7D31"/>
      </patternFill>
    </fill>
    <fill>
      <patternFill patternType="solid">
        <fgColor rgb="00C00000"/>
      </patternFill>
    </fill>
    <fill>
      <patternFill patternType="solid">
        <fgColor rgb="00FFF3F3"/>
      </patternFill>
    </fill>
    <fill>
      <patternFill patternType="solid">
        <fgColor rgb="0070AD4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5" fillId="0" borderId="1" applyAlignment="1" pivotButton="0" quotePrefix="0" xfId="0">
      <alignment horizontal="left" vertical="center" wrapText="1" indent="1"/>
    </xf>
    <xf numFmtId="0" fontId="0" fillId="0" borderId="1" pivotButton="0" quotePrefix="0" xfId="0"/>
    <xf numFmtId="164" fontId="5" fillId="0" borderId="1" applyAlignment="1" pivotButton="0" quotePrefix="0" xfId="0">
      <alignment horizontal="left" vertical="center" wrapText="1" indent="1"/>
    </xf>
    <xf numFmtId="0" fontId="6" fillId="3" borderId="1" applyAlignment="1" pivotButton="0" quotePrefix="0" xfId="0">
      <alignment horizontal="center" vertical="center" wrapText="1"/>
    </xf>
    <xf numFmtId="0" fontId="5" fillId="5" borderId="1" applyAlignment="1" pivotButton="0" quotePrefix="0" xfId="0">
      <alignment horizontal="left" vertical="center" wrapText="1" indent="1"/>
    </xf>
    <xf numFmtId="165" fontId="4" fillId="5" borderId="1" applyAlignment="1" pivotButton="0" quotePrefix="0" xfId="0">
      <alignment horizontal="center" vertical="center"/>
    </xf>
    <xf numFmtId="165" fontId="4" fillId="0" borderId="1" applyAlignment="1" pivotButton="0" quotePrefix="0" xfId="0">
      <alignment horizontal="center" vertical="center"/>
    </xf>
    <xf numFmtId="166" fontId="4" fillId="5" borderId="1" applyAlignment="1" pivotButton="0" quotePrefix="0" xfId="0">
      <alignment horizontal="center" vertical="center"/>
    </xf>
    <xf numFmtId="0" fontId="7" fillId="0" borderId="0" applyAlignment="1" pivotButton="0" quotePrefix="0" xfId="0">
      <alignment vertical="center" indent="1"/>
    </xf>
    <xf numFmtId="0" fontId="6" fillId="2"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indent="1"/>
    </xf>
    <xf numFmtId="165" fontId="3" fillId="6" borderId="1" applyAlignment="1" pivotButton="0" quotePrefix="0" xfId="0">
      <alignment horizontal="center" vertical="center" wrapText="1"/>
    </xf>
    <xf numFmtId="164" fontId="3"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7" borderId="1" applyAlignment="1" pivotButton="0" quotePrefix="0" xfId="0">
      <alignment horizontal="left" vertical="center" wrapText="1" indent="1"/>
    </xf>
    <xf numFmtId="165" fontId="8" fillId="7" borderId="1" applyAlignment="1" pivotButton="0" quotePrefix="0" xfId="0">
      <alignment horizontal="center" vertical="center" wrapText="1"/>
    </xf>
    <xf numFmtId="164" fontId="8" fillId="7" borderId="1" applyAlignment="1" pivotButton="0" quotePrefix="0" xfId="0">
      <alignment horizontal="center" vertical="center" wrapText="1"/>
    </xf>
    <xf numFmtId="0"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165"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9" fillId="0" borderId="1" applyAlignment="1" pivotButton="0" quotePrefix="0" xfId="0">
      <alignment horizontal="left" vertical="center" wrapText="1" indent="1"/>
    </xf>
    <xf numFmtId="0" fontId="9" fillId="5" borderId="1" applyAlignment="1" pivotButton="0" quotePrefix="0" xfId="0">
      <alignment horizontal="left" vertical="center" wrapText="1" inden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indent="1"/>
    </xf>
    <xf numFmtId="165" fontId="3" fillId="8" borderId="1" applyAlignment="1" pivotButton="0" quotePrefix="0" xfId="0">
      <alignment horizontal="center" vertical="center" wrapText="1"/>
    </xf>
    <xf numFmtId="164"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indent="1"/>
    </xf>
    <xf numFmtId="165" fontId="3" fillId="9" borderId="1" applyAlignment="1" pivotButton="0" quotePrefix="0" xfId="0">
      <alignment horizontal="center" vertical="center" wrapText="1"/>
    </xf>
    <xf numFmtId="164"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indent="1"/>
    </xf>
    <xf numFmtId="165" fontId="3" fillId="10" borderId="1" applyAlignment="1" pivotButton="0" quotePrefix="0" xfId="0">
      <alignment horizontal="center" vertical="center" wrapText="1"/>
    </xf>
    <xf numFmtId="164"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indent="1"/>
    </xf>
    <xf numFmtId="165" fontId="3" fillId="11" borderId="1" applyAlignment="1" pivotButton="0" quotePrefix="0" xfId="0">
      <alignment horizontal="center" vertical="center" wrapText="1"/>
    </xf>
    <xf numFmtId="164" fontId="3" fillId="11"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indent="1"/>
    </xf>
    <xf numFmtId="165"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2" borderId="1" applyAlignment="1" pivotButton="0" quotePrefix="0" xfId="0">
      <alignment horizontal="right" vertical="center" indent="1"/>
    </xf>
    <xf numFmtId="0" fontId="0" fillId="2" borderId="1" pivotButton="0" quotePrefix="0" xfId="0"/>
    <xf numFmtId="165" fontId="3" fillId="2" borderId="1" applyAlignment="1" pivotButton="0" quotePrefix="0" xfId="0">
      <alignment horizontal="center" vertical="center"/>
    </xf>
    <xf numFmtId="0" fontId="10" fillId="2" borderId="1" applyAlignment="1" pivotButton="0" quotePrefix="0" xfId="0">
      <alignment horizontal="left" vertical="center" indent="1"/>
    </xf>
    <xf numFmtId="0" fontId="6" fillId="2" borderId="1" applyAlignment="1" pivotButton="0" quotePrefix="0" xfId="0">
      <alignment horizontal="center" vertical="center"/>
    </xf>
    <xf numFmtId="0" fontId="11" fillId="3" borderId="1" applyAlignment="1" pivotButton="0" quotePrefix="0" xfId="0">
      <alignment horizontal="center" vertical="center"/>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indent="1"/>
    </xf>
    <xf numFmtId="165" fontId="6" fillId="6" borderId="1" applyAlignment="1" pivotButton="0" quotePrefix="0" xfId="0">
      <alignment horizontal="center" vertical="center" wrapText="1"/>
    </xf>
    <xf numFmtId="168" fontId="6" fillId="6" borderId="1" applyAlignment="1" pivotButton="0" quotePrefix="0" xfId="0">
      <alignment horizontal="center" vertical="center" wrapText="1"/>
    </xf>
    <xf numFmtId="0" fontId="0" fillId="6" borderId="1" applyAlignment="1" pivotButton="0" quotePrefix="0" xfId="0">
      <alignment horizontal="center" vertical="center"/>
    </xf>
    <xf numFmtId="168" fontId="8" fillId="7" borderId="1" applyAlignment="1" pivotButton="0" quotePrefix="0" xfId="0">
      <alignment horizontal="center" vertical="center" wrapText="1"/>
    </xf>
    <xf numFmtId="0" fontId="0" fillId="0" borderId="1" applyAlignment="1" pivotButton="0" quotePrefix="0" xfId="0">
      <alignment horizontal="center" vertical="center"/>
    </xf>
    <xf numFmtId="168" fontId="5" fillId="0" borderId="1" applyAlignment="1" pivotButton="0" quotePrefix="0" xfId="0">
      <alignment horizontal="center" vertical="center" wrapText="1"/>
    </xf>
    <xf numFmtId="168" fontId="5" fillId="5" borderId="1" applyAlignment="1" pivotButton="0" quotePrefix="0" xfId="0">
      <alignment horizontal="center" vertical="center" wrapText="1"/>
    </xf>
    <xf numFmtId="0" fontId="0" fillId="5" borderId="1" applyAlignment="1" pivotButton="0" quotePrefix="0" xfId="0">
      <alignment horizontal="center" vertical="center"/>
    </xf>
    <xf numFmtId="0" fontId="9" fillId="0" borderId="1" applyAlignment="1" pivotButton="0" quotePrefix="0" xfId="0">
      <alignment horizontal="center" vertical="center"/>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indent="1"/>
    </xf>
    <xf numFmtId="165" fontId="6" fillId="8" borderId="1" applyAlignment="1" pivotButton="0" quotePrefix="0" xfId="0">
      <alignment horizontal="center" vertical="center" wrapText="1"/>
    </xf>
    <xf numFmtId="168" fontId="6" fillId="8" borderId="1" applyAlignment="1" pivotButton="0" quotePrefix="0" xfId="0">
      <alignment horizontal="center" vertical="center" wrapText="1"/>
    </xf>
    <xf numFmtId="0" fontId="0" fillId="8" borderId="1" applyAlignment="1" pivotButton="0" quotePrefix="0" xfId="0">
      <alignment horizontal="center" vertical="center"/>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indent="1"/>
    </xf>
    <xf numFmtId="165" fontId="6" fillId="9" borderId="1" applyAlignment="1" pivotButton="0" quotePrefix="0" xfId="0">
      <alignment horizontal="center" vertical="center" wrapText="1"/>
    </xf>
    <xf numFmtId="168" fontId="6" fillId="9" borderId="1" applyAlignment="1" pivotButton="0" quotePrefix="0" xfId="0">
      <alignment horizontal="center" vertical="center" wrapText="1"/>
    </xf>
    <xf numFmtId="0" fontId="0" fillId="9" borderId="1" applyAlignment="1" pivotButton="0" quotePrefix="0" xfId="0">
      <alignment horizontal="center" vertical="center"/>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indent="1"/>
    </xf>
    <xf numFmtId="165" fontId="6" fillId="10" borderId="1" applyAlignment="1" pivotButton="0" quotePrefix="0" xfId="0">
      <alignment horizontal="center" vertical="center" wrapText="1"/>
    </xf>
    <xf numFmtId="168" fontId="6" fillId="10" borderId="1" applyAlignment="1" pivotButton="0" quotePrefix="0" xfId="0">
      <alignment horizontal="center" vertical="center" wrapText="1"/>
    </xf>
    <xf numFmtId="0" fontId="0" fillId="10" borderId="1" applyAlignment="1" pivotButton="0" quotePrefix="0" xfId="0">
      <alignment horizontal="center" vertical="center"/>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indent="1"/>
    </xf>
    <xf numFmtId="165" fontId="6" fillId="11" borderId="1" applyAlignment="1" pivotButton="0" quotePrefix="0" xfId="0">
      <alignment horizontal="center" vertical="center" wrapText="1"/>
    </xf>
    <xf numFmtId="168" fontId="6" fillId="11" borderId="1" applyAlignment="1" pivotButton="0" quotePrefix="0" xfId="0">
      <alignment horizontal="center" vertical="center" wrapText="1"/>
    </xf>
    <xf numFmtId="0" fontId="0" fillId="11" borderId="1" applyAlignment="1" pivotButton="0" quotePrefix="0" xfId="0">
      <alignment horizontal="center" vertical="center"/>
    </xf>
    <xf numFmtId="0" fontId="6" fillId="2" borderId="1" applyAlignment="1" pivotButton="0" quotePrefix="0" xfId="0">
      <alignment horizontal="left" vertical="center" wrapText="1" indent="1"/>
    </xf>
    <xf numFmtId="165" fontId="6" fillId="2" borderId="1" applyAlignment="1" pivotButton="0" quotePrefix="0" xfId="0">
      <alignment horizontal="center" vertical="center" wrapText="1"/>
    </xf>
    <xf numFmtId="168" fontId="6" fillId="2" borderId="1" applyAlignment="1" pivotButton="0" quotePrefix="0" xfId="0">
      <alignment horizontal="center" vertical="center" wrapText="1"/>
    </xf>
    <xf numFmtId="0" fontId="0" fillId="2" borderId="1" applyAlignment="1" pivotButton="0" quotePrefix="0" xfId="0">
      <alignment horizontal="center" vertical="center"/>
    </xf>
    <xf numFmtId="0" fontId="4" fillId="0" borderId="0" pivotButton="0" quotePrefix="0" xfId="0"/>
    <xf numFmtId="0" fontId="0" fillId="6" borderId="1" pivotButton="0" quotePrefix="0" xfId="0"/>
    <xf numFmtId="0" fontId="12" fillId="0" borderId="0" applyAlignment="1" pivotButton="0" quotePrefix="0" xfId="0">
      <alignment vertical="center" indent="1"/>
    </xf>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9" fillId="0" borderId="0" applyAlignment="1" pivotButton="0" quotePrefix="0" xfId="0">
      <alignment horizontal="center" vertical="center"/>
    </xf>
    <xf numFmtId="0" fontId="5" fillId="12" borderId="1" applyAlignment="1" pivotButton="0" quotePrefix="0" xfId="0">
      <alignment horizontal="center" vertical="center" wrapText="1"/>
    </xf>
    <xf numFmtId="0" fontId="9" fillId="12" borderId="1" applyAlignment="1" pivotButton="0" quotePrefix="0" xfId="0">
      <alignment horizontal="left" vertical="center" wrapText="1" indent="1"/>
    </xf>
    <xf numFmtId="0" fontId="5" fillId="12"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6" fillId="13"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3" borderId="1" applyAlignment="1" pivotButton="0" quotePrefix="0" xfId="0">
      <alignment horizontal="center" vertical="center"/>
    </xf>
    <xf numFmtId="0" fontId="6" fillId="11" borderId="1" applyAlignment="1" pivotButton="0" quotePrefix="0" xfId="0">
      <alignment horizontal="center" vertical="center"/>
    </xf>
    <xf numFmtId="0" fontId="6" fillId="10" borderId="1" applyAlignment="1" pivotButton="0" quotePrefix="0" xfId="0">
      <alignment horizontal="center" vertical="center"/>
    </xf>
    <xf numFmtId="0" fontId="6" fillId="14" borderId="1" applyAlignment="1" pivotButton="0" quotePrefix="0" xfId="0">
      <alignment horizontal="center" vertical="center"/>
    </xf>
    <xf numFmtId="166" fontId="5" fillId="5" borderId="1" applyAlignment="1" pivotButton="0" quotePrefix="0" xfId="0">
      <alignment horizontal="center" vertical="center" wrapText="1"/>
    </xf>
    <xf numFmtId="4" fontId="5" fillId="5" borderId="1" applyAlignment="1" pivotButton="0" quotePrefix="0" xfId="0">
      <alignment horizontal="center" vertical="center" wrapText="1"/>
    </xf>
    <xf numFmtId="166" fontId="5" fillId="0" borderId="1" applyAlignment="1" pivotButton="0" quotePrefix="0" xfId="0">
      <alignment horizontal="center" vertical="center" wrapText="1"/>
    </xf>
    <xf numFmtId="4" fontId="5" fillId="0" borderId="1" applyAlignment="1" pivotButton="0" quotePrefix="0" xfId="0">
      <alignment horizontal="center" vertical="center" wrapText="1"/>
    </xf>
    <xf numFmtId="0" fontId="6" fillId="2" borderId="1" applyAlignment="1" pivotButton="0" quotePrefix="0" xfId="0">
      <alignment horizontal="right" vertical="center" indent="1"/>
    </xf>
    <xf numFmtId="165" fontId="6" fillId="2" borderId="1" applyAlignment="1" pivotButton="0" quotePrefix="0" xfId="0">
      <alignment horizontal="center" vertical="center"/>
    </xf>
    <xf numFmtId="166" fontId="6" fillId="2" borderId="1" applyAlignment="1" pivotButton="0" quotePrefix="0" xfId="0">
      <alignment horizontal="center" vertical="center"/>
    </xf>
    <xf numFmtId="4" fontId="6" fillId="2" borderId="1" applyAlignment="1" pivotButton="0" quotePrefix="0" xfId="0">
      <alignment horizontal="center" vertical="center"/>
    </xf>
    <xf numFmtId="0" fontId="6" fillId="2"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showGridLines="0" workbookViewId="0">
      <pane ySplit="2" topLeftCell="A3" activePane="bottomLeft" state="frozen"/>
      <selection pane="bottomLeft" activeCell="A1" sqref="A1"/>
    </sheetView>
  </sheetViews>
  <sheetFormatPr baseColWidth="8" defaultRowHeight="15"/>
  <cols>
    <col width="22" customWidth="1" min="1" max="1"/>
    <col width="46" customWidth="1" min="2" max="2"/>
    <col width="30" customWidth="1" min="3" max="3"/>
    <col width="26" customWidth="1" min="4" max="4"/>
    <col width="22" customWidth="1" min="5" max="5"/>
  </cols>
  <sheetData>
    <row r="1" ht="34" customHeight="1">
      <c r="A1" s="1" t="inlineStr">
        <is>
          <t>音威子府村高齢者福祉計画・第10期介護保険事業計画　策定業務委託　WBS（作業分解構成図）</t>
        </is>
      </c>
    </row>
    <row r="2">
      <c r="A2" s="2" t="inlineStr">
        <is>
          <t>本ブックは委託仕様書に基づき作成した業務管理用WBSです。契約締結日・打合せ日程等が確定した時点で日程を更新してください。</t>
        </is>
      </c>
    </row>
    <row r="4">
      <c r="A4" s="3" t="inlineStr">
        <is>
          <t>1. 業務の基本情報</t>
        </is>
      </c>
    </row>
    <row r="5">
      <c r="A5" s="4" t="inlineStr">
        <is>
          <t>業務名</t>
        </is>
      </c>
      <c r="B5" s="5" t="inlineStr">
        <is>
          <t>音威子府村高齢者福祉計画・第10期介護保険事業計画　策定業務委託</t>
        </is>
      </c>
      <c r="C5" s="6" t="n"/>
      <c r="D5" s="6" t="n"/>
      <c r="E5" s="6" t="n"/>
    </row>
    <row r="6">
      <c r="A6" s="4" t="inlineStr">
        <is>
          <t>発注者</t>
        </is>
      </c>
      <c r="B6" s="5" t="inlineStr">
        <is>
          <t>音威子府村</t>
        </is>
      </c>
      <c r="C6" s="6" t="n"/>
      <c r="D6" s="6" t="n"/>
      <c r="E6" s="6" t="n"/>
    </row>
    <row r="7">
      <c r="A7" s="4" t="inlineStr">
        <is>
          <t>業務目的</t>
        </is>
      </c>
      <c r="B7" s="5" t="inlineStr">
        <is>
          <t>計画原案の作成等の支援（計画策定に必要となるサービス見込量等の数値の推計を含む）</t>
        </is>
      </c>
      <c r="C7" s="6" t="n"/>
      <c r="D7" s="6" t="n"/>
      <c r="E7" s="6" t="n"/>
    </row>
    <row r="8">
      <c r="A8" s="4" t="inlineStr">
        <is>
          <t>委託期間</t>
        </is>
      </c>
      <c r="B8" s="5" t="inlineStr">
        <is>
          <t>契約締結日 〜 令和9年3月31日</t>
        </is>
      </c>
      <c r="C8" s="6" t="n"/>
      <c r="D8" s="6" t="n"/>
      <c r="E8" s="6" t="n"/>
    </row>
    <row r="9">
      <c r="A9" s="4" t="inlineStr">
        <is>
          <t>計画期間</t>
        </is>
      </c>
      <c r="B9" s="5" t="inlineStr">
        <is>
          <t>第10期＝令和9年度〜令和11年度（3か年）</t>
        </is>
      </c>
      <c r="C9" s="6" t="n"/>
      <c r="D9" s="6" t="n"/>
      <c r="E9" s="6" t="n"/>
    </row>
    <row r="10">
      <c r="A10" s="4" t="inlineStr">
        <is>
          <t>人口推計期間</t>
        </is>
      </c>
      <c r="B10" s="5" t="inlineStr">
        <is>
          <t>令和9年から10年間程度（令和9年度〜令和18年度）</t>
        </is>
      </c>
      <c r="C10" s="6" t="n"/>
      <c r="D10" s="6" t="n"/>
      <c r="E10" s="6" t="n"/>
    </row>
    <row r="11">
      <c r="A11" s="4" t="inlineStr">
        <is>
          <t>打合せ回数</t>
        </is>
      </c>
      <c r="B11" s="5" t="inlineStr">
        <is>
          <t>3回程度（計画策定担当者本人が出席）</t>
        </is>
      </c>
      <c r="C11" s="6" t="n"/>
      <c r="D11" s="6" t="n"/>
      <c r="E11" s="6" t="n"/>
    </row>
    <row r="12">
      <c r="A12" s="4" t="inlineStr">
        <is>
          <t>成果品</t>
        </is>
      </c>
      <c r="B12" s="5" t="inlineStr">
        <is>
          <t>計画（CDデータ）1部／業務データ収録の磁気媒体（CDデータ）1部</t>
        </is>
      </c>
      <c r="C12" s="6" t="n"/>
      <c r="D12" s="6" t="n"/>
      <c r="E12" s="6" t="n"/>
    </row>
    <row r="13">
      <c r="A13" s="4" t="inlineStr">
        <is>
          <t>著作権</t>
        </is>
      </c>
      <c r="B13" s="5" t="inlineStr">
        <is>
          <t>成果品の著作権はすべて音威子府村に帰属</t>
        </is>
      </c>
      <c r="C13" s="6" t="n"/>
      <c r="D13" s="6" t="n"/>
      <c r="E13" s="6" t="n"/>
    </row>
    <row r="14">
      <c r="A14" s="4" t="inlineStr">
        <is>
          <t>WBS作成日</t>
        </is>
      </c>
      <c r="B14" s="7">
        <f>TODAY()</f>
        <v/>
      </c>
      <c r="C14" s="6" t="n"/>
      <c r="D14" s="6" t="n"/>
      <c r="E14" s="6" t="n"/>
    </row>
    <row r="16">
      <c r="A16" s="3" t="inlineStr">
        <is>
          <t>2. 業務量サマリ（『01_WBS』シートと連動）</t>
        </is>
      </c>
    </row>
    <row r="17">
      <c r="A17" s="8" t="inlineStr">
        <is>
          <t>区分</t>
        </is>
      </c>
      <c r="B17" s="8" t="inlineStr">
        <is>
          <t>値</t>
        </is>
      </c>
      <c r="C17" s="8" t="inlineStr">
        <is>
          <t>算出方法</t>
        </is>
      </c>
      <c r="D17" s="8" t="inlineStr">
        <is>
          <t>備考</t>
        </is>
      </c>
      <c r="E17" s="8" t="inlineStr"/>
    </row>
    <row r="18">
      <c r="A18" s="9" t="inlineStr">
        <is>
          <t>作業項目数（レベル3）</t>
        </is>
      </c>
      <c r="B18" s="10">
        <f>COUNTIF('01_WBS'!$C$5:$C$98,3)</f>
        <v/>
      </c>
      <c r="C18" s="9" t="inlineStr">
        <is>
          <t>レベル3の行数</t>
        </is>
      </c>
      <c r="D18" s="9" t="inlineStr">
        <is>
          <t>実作業単位の総数</t>
        </is>
      </c>
      <c r="E18" s="9" t="n"/>
    </row>
    <row r="19">
      <c r="A19" s="5" t="inlineStr">
        <is>
          <t>総工数（人日）</t>
        </is>
      </c>
      <c r="B19" s="11">
        <f>SUMIF('01_WBS'!$C$5:$C$98,3,'01_WBS'!$K$5:$K$98)</f>
        <v/>
      </c>
      <c r="C19" s="5" t="inlineStr">
        <is>
          <t>レベル3の工数合計</t>
        </is>
      </c>
      <c r="D19" s="5" t="inlineStr">
        <is>
          <t>1人日＝7.5時間想定</t>
        </is>
      </c>
      <c r="E19" s="5" t="n"/>
    </row>
    <row r="20">
      <c r="A20" s="9" t="inlineStr">
        <is>
          <t>総工数（人月換算）</t>
        </is>
      </c>
      <c r="B20" s="10">
        <f>ROUND(SUMIF('01_WBS'!$C$5:$C$98,3,'01_WBS'!$K$5:$K$98)/20,1)</f>
        <v/>
      </c>
      <c r="C20" s="9" t="inlineStr">
        <is>
          <t>総工数 ÷ 20人日</t>
        </is>
      </c>
      <c r="D20" s="9" t="inlineStr">
        <is>
          <t>1人月＝20人日換算</t>
        </is>
      </c>
      <c r="E20" s="9" t="n"/>
    </row>
    <row r="21">
      <c r="A21" s="5" t="inlineStr">
        <is>
          <t>完了件数</t>
        </is>
      </c>
      <c r="B21" s="11">
        <f>COUNTIFS('01_WBS'!$C$5:$C$98,3,'01_WBS'!$P$5:$P$98,"完了")</f>
        <v/>
      </c>
      <c r="C21" s="5" t="inlineStr">
        <is>
          <t>進捗欄が「完了」の件数</t>
        </is>
      </c>
      <c r="D21" s="5" t="inlineStr">
        <is>
          <t>進捗欄の入力に応じて自動更新</t>
        </is>
      </c>
      <c r="E21" s="5" t="n"/>
    </row>
    <row r="22">
      <c r="A22" s="9" t="inlineStr">
        <is>
          <t>進捗率</t>
        </is>
      </c>
      <c r="B22" s="12">
        <f>IFERROR(COUNTIFS('01_WBS'!$C$5:$C$98,3,'01_WBS'!$P$5:$P$98,"完了")/COUNTIF('01_WBS'!$C$5:$C$98,3),0)</f>
        <v/>
      </c>
      <c r="C22" s="9" t="inlineStr">
        <is>
          <t>完了件数 ÷ 作業項目数</t>
        </is>
      </c>
      <c r="D22" s="9" t="inlineStr">
        <is>
          <t>0.0%表示</t>
        </is>
      </c>
      <c r="E22" s="9" t="n"/>
    </row>
    <row r="24">
      <c r="A24" s="3" t="inlineStr">
        <is>
          <t>3. 前提条件（確定次第、各シートの日程・数値を更新）</t>
        </is>
      </c>
    </row>
    <row r="25">
      <c r="A25" s="8" t="inlineStr">
        <is>
          <t>項目</t>
        </is>
      </c>
      <c r="B25" s="8" t="inlineStr">
        <is>
          <t>前提の置き方</t>
        </is>
      </c>
      <c r="C25" s="8" t="inlineStr">
        <is>
          <t>備考</t>
        </is>
      </c>
      <c r="D25" s="8" t="inlineStr"/>
      <c r="E25" s="8" t="inlineStr"/>
    </row>
    <row r="26">
      <c r="A26" s="9" t="inlineStr">
        <is>
          <t>★第9期計画</t>
        </is>
      </c>
      <c r="B26" s="9" t="inlineStr">
        <is>
          <t>未受領。基本理念・基本目標・施策体系・第9期評価は仮置きで執筆している</t>
        </is>
      </c>
      <c r="C26" s="9" t="inlineStr">
        <is>
          <t>素案の該当箇所に『【要差替：第9期計画受領後】』を明記。受領後に一括差替（WBS 2.4.0／リスクR-13）</t>
        </is>
      </c>
      <c r="D26" s="9" t="n"/>
      <c r="E26" s="9" t="n"/>
    </row>
    <row r="27">
      <c r="A27" s="5" t="inlineStr">
        <is>
          <t>契約締結日</t>
        </is>
      </c>
      <c r="B27" s="5" t="inlineStr">
        <is>
          <t>令和8年9月1日と仮定して日程を設定（未確定）</t>
        </is>
      </c>
      <c r="C27" s="5" t="inlineStr">
        <is>
          <t>確定後にスクリプトの CONTRACT_START を修正</t>
        </is>
      </c>
      <c r="D27" s="5" t="n"/>
      <c r="E27" s="5" t="n"/>
    </row>
    <row r="28">
      <c r="A28" s="9" t="inlineStr">
        <is>
          <t>打合せ日程</t>
        </is>
      </c>
      <c r="B28" s="9" t="inlineStr">
        <is>
          <t>第1回=R8.9中旬／第2回=R8.12上旬／第3回=R9.2中旬 と仮置き</t>
        </is>
      </c>
      <c r="C28" s="9" t="inlineStr">
        <is>
          <t>村と協議のうえ確定</t>
        </is>
      </c>
      <c r="D28" s="9" t="n"/>
      <c r="E28" s="9" t="n"/>
    </row>
    <row r="29">
      <c r="A29" s="5" t="inlineStr">
        <is>
          <t>ニーズ調査</t>
        </is>
      </c>
      <c r="B29" s="5" t="inlineStr">
        <is>
          <t>令和8年度に村が実施済みの集計データを受領して反映（調査実施は業務範囲外）</t>
        </is>
      </c>
      <c r="C29" s="5" t="inlineStr">
        <is>
          <t>仕様書3(3)による</t>
        </is>
      </c>
      <c r="D29" s="5" t="n"/>
      <c r="E29" s="5" t="n"/>
    </row>
    <row r="30">
      <c r="A30" s="9" t="inlineStr">
        <is>
          <t>国の基本指針</t>
        </is>
      </c>
      <c r="B30" s="9" t="inlineStr">
        <is>
          <t>第10期の基本指針・介護報酬改定率は策定作業と並行して確定する前提</t>
        </is>
      </c>
      <c r="C30" s="9" t="inlineStr">
        <is>
          <t>確定遅延時は暫定値で算定→再算定（WBS 4.4.1）</t>
        </is>
      </c>
      <c r="D30" s="9" t="n"/>
      <c r="E30" s="9" t="n"/>
    </row>
    <row r="31">
      <c r="A31" s="5" t="inlineStr">
        <is>
          <t>成果品</t>
        </is>
      </c>
      <c r="B31" s="5" t="inlineStr">
        <is>
          <t>CDデータのみ（印刷・製本は仕様書に記載なし）</t>
        </is>
      </c>
      <c r="C31" s="5" t="inlineStr">
        <is>
          <t>必要な場合は別途協議</t>
        </is>
      </c>
      <c r="D31" s="5" t="n"/>
      <c r="E31" s="5" t="n"/>
    </row>
    <row r="32">
      <c r="A32" s="9" t="inlineStr">
        <is>
          <t>パブリックコメント</t>
        </is>
      </c>
      <c r="B32" s="9" t="inlineStr">
        <is>
          <t>実施主体・日程は仕様書に記載なし。村実施を想定し意見反映のみ計上</t>
        </is>
      </c>
      <c r="C32" s="9" t="inlineStr">
        <is>
          <t>実施支援が必要な場合は協議</t>
        </is>
      </c>
      <c r="D32" s="9" t="n"/>
      <c r="E32" s="9" t="n"/>
    </row>
    <row r="33">
      <c r="A33" s="5" t="inlineStr">
        <is>
          <t>再委託</t>
        </is>
      </c>
      <c r="B33" s="5" t="inlineStr">
        <is>
          <t>予定なし。必要が生じた場合は事前に村の承諾を得る</t>
        </is>
      </c>
      <c r="C33" s="5" t="inlineStr">
        <is>
          <t>仕様書7 留意事項</t>
        </is>
      </c>
      <c r="D33" s="5" t="n"/>
      <c r="E33" s="5" t="n"/>
    </row>
    <row r="34">
      <c r="A34" s="9" t="inlineStr">
        <is>
          <t>工数単位</t>
        </is>
      </c>
      <c r="B34" s="9" t="inlineStr">
        <is>
          <t>1人日＝7.5時間、1人月＝20人日で換算</t>
        </is>
      </c>
      <c r="C34" s="9" t="inlineStr">
        <is>
          <t>見積・要員計画の基礎</t>
        </is>
      </c>
      <c r="D34" s="9" t="n"/>
      <c r="E34" s="9" t="n"/>
    </row>
    <row r="36">
      <c r="A36" s="3" t="inlineStr">
        <is>
          <t>4. シート構成</t>
        </is>
      </c>
    </row>
    <row r="37">
      <c r="A37" s="8" t="inlineStr">
        <is>
          <t>シート名</t>
        </is>
      </c>
      <c r="B37" s="8" t="inlineStr">
        <is>
          <t>内容</t>
        </is>
      </c>
      <c r="C37" s="8" t="inlineStr"/>
      <c r="D37" s="8" t="inlineStr"/>
      <c r="E37" s="8" t="inlineStr"/>
    </row>
    <row r="38">
      <c r="A38" s="9" t="inlineStr">
        <is>
          <t>01_WBS</t>
        </is>
      </c>
      <c r="B38" s="9" t="inlineStr">
        <is>
          <t>作業分解構成図の本体（レベル1〜3・工数・日程・担当・仕様書対応）</t>
        </is>
      </c>
      <c r="C38" s="9" t="n"/>
      <c r="D38" s="9" t="n"/>
      <c r="E38" s="9" t="n"/>
    </row>
    <row r="39">
      <c r="A39" s="5" t="inlineStr">
        <is>
          <t>02_スケジュール</t>
        </is>
      </c>
      <c r="B39" s="5" t="inlineStr">
        <is>
          <t>半月単位のガントチャート（令和8年9月〜令和9年3月）</t>
        </is>
      </c>
      <c r="C39" s="5" t="n"/>
      <c r="D39" s="5" t="n"/>
      <c r="E39" s="5" t="n"/>
    </row>
    <row r="40">
      <c r="A40" s="9" t="inlineStr">
        <is>
          <t>03_マイルストーン</t>
        </is>
      </c>
      <c r="B40" s="9" t="inlineStr">
        <is>
          <t>打合せ・提出物等の節目一覧</t>
        </is>
      </c>
      <c r="C40" s="9" t="n"/>
      <c r="D40" s="9" t="n"/>
      <c r="E40" s="9" t="n"/>
    </row>
    <row r="41">
      <c r="A41" s="5" t="inlineStr">
        <is>
          <t>04_成果物一覧</t>
        </is>
      </c>
      <c r="B41" s="5" t="inlineStr">
        <is>
          <t>中間成果物と最終成果品の一覧</t>
        </is>
      </c>
      <c r="C41" s="5" t="n"/>
      <c r="D41" s="5" t="n"/>
      <c r="E41" s="5" t="n"/>
    </row>
    <row r="42">
      <c r="A42" s="9" t="inlineStr">
        <is>
          <t>05_推計作業手順</t>
        </is>
      </c>
      <c r="B42" s="9" t="inlineStr">
        <is>
          <t>人口・認定者数・見込量・保険料の推計手順とデータ・ツール</t>
        </is>
      </c>
      <c r="C42" s="9" t="n"/>
      <c r="D42" s="9" t="n"/>
      <c r="E42" s="9" t="n"/>
    </row>
    <row r="43">
      <c r="A43" s="5" t="inlineStr">
        <is>
          <t>06_必要資料リスト</t>
        </is>
      </c>
      <c r="B43" s="5" t="inlineStr">
        <is>
          <t>村から貸与を受ける資料・公表統計の一覧（依頼票）</t>
        </is>
      </c>
      <c r="C43" s="5" t="n"/>
      <c r="D43" s="5" t="n"/>
      <c r="E43" s="5" t="n"/>
    </row>
    <row r="44">
      <c r="A44" s="9" t="inlineStr">
        <is>
          <t>07_役割分担</t>
        </is>
      </c>
      <c r="B44" s="9" t="inlineStr">
        <is>
          <t>受託者／村担当課／関係機関の役割分担（RACI）</t>
        </is>
      </c>
      <c r="C44" s="9" t="n"/>
      <c r="D44" s="9" t="n"/>
      <c r="E44" s="9" t="n"/>
    </row>
    <row r="45">
      <c r="A45" s="5" t="inlineStr">
        <is>
          <t>08_リスク管理</t>
        </is>
      </c>
      <c r="B45" s="5" t="inlineStr">
        <is>
          <t>想定リスクと対応方針</t>
        </is>
      </c>
      <c r="C45" s="5" t="n"/>
      <c r="D45" s="5" t="n"/>
      <c r="E45" s="5" t="n"/>
    </row>
    <row r="46">
      <c r="A46" s="9" t="inlineStr">
        <is>
          <t>09_スコープ管理</t>
        </is>
      </c>
      <c r="B46" s="9" t="inlineStr">
        <is>
          <t>業務範囲に含む／含まない／協議事項の整理</t>
        </is>
      </c>
      <c r="C46" s="9" t="n"/>
      <c r="D46" s="9" t="n"/>
      <c r="E46" s="9" t="n"/>
    </row>
    <row r="47">
      <c r="A47" s="5" t="inlineStr">
        <is>
          <t>10_工数集計</t>
        </is>
      </c>
      <c r="B47" s="5" t="inlineStr">
        <is>
          <t>大分類・中分類別の工数集計</t>
        </is>
      </c>
      <c r="C47" s="5" t="n"/>
      <c r="D47" s="5" t="n"/>
      <c r="E47" s="5" t="n"/>
    </row>
  </sheetData>
  <mergeCells count="40">
    <mergeCell ref="D20:E20"/>
    <mergeCell ref="B40:E40"/>
    <mergeCell ref="B9:E9"/>
    <mergeCell ref="A24:E24"/>
    <mergeCell ref="D19:E19"/>
    <mergeCell ref="C31:E31"/>
    <mergeCell ref="B6:E6"/>
    <mergeCell ref="A1:E1"/>
    <mergeCell ref="D22:E22"/>
    <mergeCell ref="B5:E5"/>
    <mergeCell ref="A36:E36"/>
    <mergeCell ref="D21:E21"/>
    <mergeCell ref="B45:E45"/>
    <mergeCell ref="B41:E41"/>
    <mergeCell ref="C27:E27"/>
    <mergeCell ref="A16:E16"/>
    <mergeCell ref="B7:E7"/>
    <mergeCell ref="B47:E47"/>
    <mergeCell ref="B46:E46"/>
    <mergeCell ref="C32:E32"/>
    <mergeCell ref="C28:E28"/>
    <mergeCell ref="A2:E2"/>
    <mergeCell ref="B43:E43"/>
    <mergeCell ref="B12:E12"/>
    <mergeCell ref="B39:E39"/>
    <mergeCell ref="B11:E11"/>
    <mergeCell ref="D18:E18"/>
    <mergeCell ref="C30:E30"/>
    <mergeCell ref="C34:E34"/>
    <mergeCell ref="B42:E42"/>
    <mergeCell ref="B14:E14"/>
    <mergeCell ref="C33:E33"/>
    <mergeCell ref="A4:E4"/>
    <mergeCell ref="B8:E8"/>
    <mergeCell ref="B13:E13"/>
    <mergeCell ref="B38:E38"/>
    <mergeCell ref="B44:E44"/>
    <mergeCell ref="C26:E26"/>
    <mergeCell ref="C29:E29"/>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9"/>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6" customWidth="1" min="3" max="3"/>
    <col width="24" customWidth="1" min="4" max="4"/>
    <col width="26" customWidth="1" min="5" max="5"/>
    <col width="30" customWidth="1" min="6" max="6"/>
    <col width="54" customWidth="1" min="7" max="7"/>
    <col width="26" customWidth="1" min="8" max="8"/>
    <col width="9" customWidth="1" min="9" max="9"/>
    <col width="22" customWidth="1" min="10" max="10"/>
    <col width="8" customWidth="1" min="11" max="11"/>
    <col width="12" customWidth="1" min="12" max="12"/>
    <col width="12" customWidth="1" min="13" max="13"/>
    <col width="14" customWidth="1" min="14" max="14"/>
    <col width="26" customWidth="1" min="15" max="15"/>
    <col width="9" customWidth="1" min="16" max="16"/>
    <col width="34" customWidth="1" min="17" max="17"/>
  </cols>
  <sheetData>
    <row r="1" ht="30" customHeight="1">
      <c r="A1" s="1" t="inlineStr">
        <is>
          <t>WBS（作業分解構成図）　／　音威子府村高齢者福祉計画・第10期介護保険事業計画　策定業務委託</t>
        </is>
      </c>
    </row>
    <row r="2">
      <c r="A2" s="13" t="inlineStr">
        <is>
          <t>委託期間：契約締結日〜令和9年3月31日　／　打合せ：3回程度　／　★印はマイルストーン　／　レベル1・2行の工数・日程は配下のレベル3から自動集計</t>
        </is>
      </c>
    </row>
    <row r="3">
      <c r="A3" s="13" t="inlineStr">
        <is>
          <t>凡例：レベル1＝大分類（濃紺）／レベル2＝中分類（水色）／レベル3＝実作業　　進捗欄は「未着手・着手・完了・保留・対象外」から選択</t>
        </is>
      </c>
    </row>
    <row r="4" ht="34" customHeight="1">
      <c r="A4" s="14" t="inlineStr">
        <is>
          <t>No.</t>
        </is>
      </c>
      <c r="B4" s="14" t="inlineStr">
        <is>
          <t>WBS No.</t>
        </is>
      </c>
      <c r="C4" s="14" t="inlineStr">
        <is>
          <t>レベル</t>
        </is>
      </c>
      <c r="D4" s="14" t="inlineStr">
        <is>
          <t>大分類</t>
        </is>
      </c>
      <c r="E4" s="14" t="inlineStr">
        <is>
          <t>中分類</t>
        </is>
      </c>
      <c r="F4" s="14" t="inlineStr">
        <is>
          <t>作業項目</t>
        </is>
      </c>
      <c r="G4" s="14" t="inlineStr">
        <is>
          <t>作業内容・実施方法</t>
        </is>
      </c>
      <c r="H4" s="14" t="inlineStr">
        <is>
          <t>成果物・アウトプット</t>
        </is>
      </c>
      <c r="I4" s="14" t="inlineStr">
        <is>
          <t>主担当</t>
        </is>
      </c>
      <c r="J4" s="14" t="inlineStr">
        <is>
          <t>村（発注者）の対応</t>
        </is>
      </c>
      <c r="K4" s="14" t="inlineStr">
        <is>
          <t>工数
(人日)</t>
        </is>
      </c>
      <c r="L4" s="14" t="inlineStr">
        <is>
          <t>開始予定</t>
        </is>
      </c>
      <c r="M4" s="14" t="inlineStr">
        <is>
          <t>完了予定</t>
        </is>
      </c>
      <c r="N4" s="14" t="inlineStr">
        <is>
          <t>先行作業</t>
        </is>
      </c>
      <c r="O4" s="14" t="inlineStr">
        <is>
          <t>仕様書 該当箇所</t>
        </is>
      </c>
      <c r="P4" s="14" t="inlineStr">
        <is>
          <t>進捗</t>
        </is>
      </c>
      <c r="Q4" s="14" t="inlineStr">
        <is>
          <t>備考・留意点</t>
        </is>
      </c>
    </row>
    <row r="5" ht="24" customHeight="1">
      <c r="A5" s="15" t="inlineStr"/>
      <c r="B5" s="15" t="inlineStr">
        <is>
          <t>1</t>
        </is>
      </c>
      <c r="C5" s="15" t="n">
        <v>1</v>
      </c>
      <c r="D5" s="16" t="inlineStr">
        <is>
          <t>業務管理・打合せ</t>
        </is>
      </c>
      <c r="E5" s="16" t="inlineStr"/>
      <c r="F5" s="16" t="inlineStr"/>
      <c r="G5" s="16" t="inlineStr"/>
      <c r="H5" s="16" t="inlineStr"/>
      <c r="I5" s="15" t="inlineStr"/>
      <c r="J5" s="16" t="inlineStr"/>
      <c r="K5" s="17">
        <f>SUMIF($C$6:$C$21,3,$K$6:$K$21)</f>
        <v/>
      </c>
      <c r="L5" s="18" t="n">
        <v>46266</v>
      </c>
      <c r="M5" s="18" t="n">
        <v>46477</v>
      </c>
      <c r="N5" s="16" t="inlineStr"/>
      <c r="O5" s="16" t="inlineStr">
        <is>
          <t>2 委託期間／4 打合せ</t>
        </is>
      </c>
      <c r="P5" s="15" t="inlineStr"/>
      <c r="Q5" s="16" t="inlineStr"/>
    </row>
    <row r="6" ht="20" customHeight="1">
      <c r="A6" s="19" t="inlineStr"/>
      <c r="B6" s="19" t="inlineStr">
        <is>
          <t>1.1</t>
        </is>
      </c>
      <c r="C6" s="19" t="n">
        <v>2</v>
      </c>
      <c r="D6" s="20" t="inlineStr">
        <is>
          <t>業務管理・打合せ</t>
        </is>
      </c>
      <c r="E6" s="20" t="inlineStr">
        <is>
          <t>業務着手準備</t>
        </is>
      </c>
      <c r="F6" s="20" t="inlineStr"/>
      <c r="G6" s="20" t="inlineStr"/>
      <c r="H6" s="20" t="inlineStr"/>
      <c r="I6" s="19" t="inlineStr"/>
      <c r="J6" s="20" t="inlineStr"/>
      <c r="K6" s="21">
        <f>SUMIF($C$7:$C$10,3,$K$7:$K$10)</f>
        <v/>
      </c>
      <c r="L6" s="22" t="n">
        <v>46266</v>
      </c>
      <c r="M6" s="22" t="n">
        <v>46283</v>
      </c>
      <c r="N6" s="20" t="inlineStr"/>
      <c r="O6" s="20" t="inlineStr">
        <is>
          <t>4 打合せ</t>
        </is>
      </c>
      <c r="P6" s="19" t="inlineStr"/>
      <c r="Q6" s="20" t="inlineStr"/>
    </row>
    <row r="7" ht="46" customHeight="1">
      <c r="A7" s="23" t="n">
        <v>1</v>
      </c>
      <c r="B7" s="23" t="inlineStr">
        <is>
          <t>1.1.1</t>
        </is>
      </c>
      <c r="C7" s="23" t="n">
        <v>3</v>
      </c>
      <c r="D7" s="5" t="inlineStr">
        <is>
          <t>業務管理・打合せ</t>
        </is>
      </c>
      <c r="E7" s="5" t="inlineStr">
        <is>
          <t>業務着手準備</t>
        </is>
      </c>
      <c r="F7" s="5" t="inlineStr">
        <is>
          <t>契約締結・業務実施体制の確定</t>
        </is>
      </c>
      <c r="G7" s="5" t="inlineStr">
        <is>
          <t>契約書・仕様書の内容確認、業務従事者（計画策定担当者）の確定、連絡体制・緊急連絡先の共有</t>
        </is>
      </c>
      <c r="H7" s="5" t="inlineStr">
        <is>
          <t>業務従事者届／連絡体制表</t>
        </is>
      </c>
      <c r="I7" s="23" t="inlineStr">
        <is>
          <t>受託者</t>
        </is>
      </c>
      <c r="J7" s="5" t="inlineStr">
        <is>
          <t>契約手続</t>
        </is>
      </c>
      <c r="K7" s="24" t="n">
        <v>0.5</v>
      </c>
      <c r="L7" s="25" t="n">
        <v>46266</v>
      </c>
      <c r="M7" s="25" t="n">
        <v>46269</v>
      </c>
      <c r="N7" s="5" t="inlineStr">
        <is>
          <t>－</t>
        </is>
      </c>
      <c r="O7" s="5" t="inlineStr">
        <is>
          <t>2 委託期間</t>
        </is>
      </c>
      <c r="P7" s="23" t="inlineStr">
        <is>
          <t>未着手</t>
        </is>
      </c>
      <c r="Q7" s="5" t="inlineStr">
        <is>
          <t>打合せには計画策定担当者本人が出席（仕様書4）</t>
        </is>
      </c>
    </row>
    <row r="8" ht="46" customHeight="1">
      <c r="A8" s="26" t="n">
        <v>2</v>
      </c>
      <c r="B8" s="26" t="inlineStr">
        <is>
          <t>1.1.2</t>
        </is>
      </c>
      <c r="C8" s="26" t="n">
        <v>3</v>
      </c>
      <c r="D8" s="9" t="inlineStr">
        <is>
          <t>業務管理・打合せ</t>
        </is>
      </c>
      <c r="E8" s="9" t="inlineStr">
        <is>
          <t>業務着手準備</t>
        </is>
      </c>
      <c r="F8" s="9" t="inlineStr">
        <is>
          <t>業務実施計画書・詳細工程表の作成</t>
        </is>
      </c>
      <c r="G8" s="9" t="inlineStr">
        <is>
          <t>本WBSに基づく実施計画書・工程表を作成し、村と協議のうえ確定。以降の変更は都度改訂</t>
        </is>
      </c>
      <c r="H8" s="9" t="inlineStr">
        <is>
          <t>業務実施計画書／詳細工程表（本WBS）</t>
        </is>
      </c>
      <c r="I8" s="26" t="inlineStr">
        <is>
          <t>受託者</t>
        </is>
      </c>
      <c r="J8" s="9" t="inlineStr">
        <is>
          <t>内容確認・承認</t>
        </is>
      </c>
      <c r="K8" s="27" t="n">
        <v>1</v>
      </c>
      <c r="L8" s="28" t="n">
        <v>46266</v>
      </c>
      <c r="M8" s="28" t="n">
        <v>46283</v>
      </c>
      <c r="N8" s="9" t="inlineStr">
        <is>
          <t>1.1.1</t>
        </is>
      </c>
      <c r="O8" s="9" t="inlineStr">
        <is>
          <t>4 打合せ</t>
        </is>
      </c>
      <c r="P8" s="26" t="inlineStr">
        <is>
          <t>未着手</t>
        </is>
      </c>
      <c r="Q8" s="9" t="inlineStr">
        <is>
          <t>第1回打合せで協議し確定。スケジュールは以降も適宜協議（仕様書4）</t>
        </is>
      </c>
    </row>
    <row r="9" ht="46" customHeight="1">
      <c r="A9" s="23" t="n">
        <v>3</v>
      </c>
      <c r="B9" s="23" t="inlineStr">
        <is>
          <t>1.1.3</t>
        </is>
      </c>
      <c r="C9" s="23" t="n">
        <v>3</v>
      </c>
      <c r="D9" s="5" t="inlineStr">
        <is>
          <t>業務管理・打合せ</t>
        </is>
      </c>
      <c r="E9" s="5" t="inlineStr">
        <is>
          <t>業務着手準備</t>
        </is>
      </c>
      <c r="F9" s="29" t="inlineStr">
        <is>
          <t>【第1回打合せ】キックオフ</t>
        </is>
      </c>
      <c r="G9" s="5" t="inlineStr">
        <is>
          <t>業務実施計画・工程の協議、貸与資料の確認、計画の方向性・論点の共有、庁内体制の確認</t>
        </is>
      </c>
      <c r="H9" s="5" t="inlineStr">
        <is>
          <t>第1回打合せ資料／議事録</t>
        </is>
      </c>
      <c r="I9" s="23" t="inlineStr">
        <is>
          <t>受託者</t>
        </is>
      </c>
      <c r="J9" s="5" t="inlineStr">
        <is>
          <t>日程調整・出席・資料準備</t>
        </is>
      </c>
      <c r="K9" s="24" t="n">
        <v>1</v>
      </c>
      <c r="L9" s="25" t="n">
        <v>46275</v>
      </c>
      <c r="M9" s="25" t="n">
        <v>46275</v>
      </c>
      <c r="N9" s="5" t="inlineStr">
        <is>
          <t>1.1.1</t>
        </is>
      </c>
      <c r="O9" s="5" t="inlineStr">
        <is>
          <t>4 打合せ（3回程度）</t>
        </is>
      </c>
      <c r="P9" s="23" t="inlineStr">
        <is>
          <t>未着手</t>
        </is>
      </c>
      <c r="Q9" s="5" t="inlineStr">
        <is>
          <t>★マイルストーン／打合せ1回目</t>
        </is>
      </c>
    </row>
    <row r="10" ht="46" customHeight="1">
      <c r="A10" s="26" t="n">
        <v>4</v>
      </c>
      <c r="B10" s="26" t="inlineStr">
        <is>
          <t>1.1.4</t>
        </is>
      </c>
      <c r="C10" s="26" t="n">
        <v>3</v>
      </c>
      <c r="D10" s="9" t="inlineStr">
        <is>
          <t>業務管理・打合せ</t>
        </is>
      </c>
      <c r="E10" s="9" t="inlineStr">
        <is>
          <t>業務着手準備</t>
        </is>
      </c>
      <c r="F10" s="9" t="inlineStr">
        <is>
          <t>個人情報・機密情報の取扱手続</t>
        </is>
      </c>
      <c r="G10" s="9" t="inlineStr">
        <is>
          <t>個人情報保護に関する誓約書の提出、データ授受方法（受渡・保管・返却）の取決め、アクセス権限設定</t>
        </is>
      </c>
      <c r="H10" s="9" t="inlineStr">
        <is>
          <t>誓約書／情報取扱ルール</t>
        </is>
      </c>
      <c r="I10" s="26" t="inlineStr">
        <is>
          <t>受託者</t>
        </is>
      </c>
      <c r="J10" s="9" t="inlineStr">
        <is>
          <t>条例に基づく確認</t>
        </is>
      </c>
      <c r="K10" s="27" t="n">
        <v>0.5</v>
      </c>
      <c r="L10" s="28" t="n">
        <v>46266</v>
      </c>
      <c r="M10" s="28" t="n">
        <v>46276</v>
      </c>
      <c r="N10" s="9" t="inlineStr">
        <is>
          <t>1.1.1</t>
        </is>
      </c>
      <c r="O10" s="9" t="inlineStr">
        <is>
          <t>7 留意事項（個人情報）</t>
        </is>
      </c>
      <c r="P10" s="26" t="inlineStr">
        <is>
          <t>未着手</t>
        </is>
      </c>
      <c r="Q10" s="9" t="inlineStr">
        <is>
          <t>音威子府村個人情報保護条例を遵守</t>
        </is>
      </c>
    </row>
    <row r="11" ht="20" customHeight="1">
      <c r="A11" s="19" t="inlineStr"/>
      <c r="B11" s="19" t="inlineStr">
        <is>
          <t>1.2</t>
        </is>
      </c>
      <c r="C11" s="19" t="n">
        <v>2</v>
      </c>
      <c r="D11" s="20" t="inlineStr">
        <is>
          <t>業務管理・打合せ</t>
        </is>
      </c>
      <c r="E11" s="20" t="inlineStr">
        <is>
          <t>進行管理</t>
        </is>
      </c>
      <c r="F11" s="20" t="inlineStr"/>
      <c r="G11" s="20" t="inlineStr"/>
      <c r="H11" s="20" t="inlineStr"/>
      <c r="I11" s="19" t="inlineStr"/>
      <c r="J11" s="20" t="inlineStr"/>
      <c r="K11" s="21">
        <f>SUMIF($C$12:$C$15,3,$K$12:$K$15)</f>
        <v/>
      </c>
      <c r="L11" s="22" t="n">
        <v>46266</v>
      </c>
      <c r="M11" s="22" t="n">
        <v>46477</v>
      </c>
      <c r="N11" s="20" t="inlineStr"/>
      <c r="O11" s="20" t="inlineStr">
        <is>
          <t>4 打合せ／5 その他</t>
        </is>
      </c>
      <c r="P11" s="19" t="inlineStr"/>
      <c r="Q11" s="20" t="inlineStr"/>
    </row>
    <row r="12" ht="46" customHeight="1">
      <c r="A12" s="26" t="n">
        <v>5</v>
      </c>
      <c r="B12" s="26" t="inlineStr">
        <is>
          <t>1.2.1</t>
        </is>
      </c>
      <c r="C12" s="26" t="n">
        <v>3</v>
      </c>
      <c r="D12" s="9" t="inlineStr">
        <is>
          <t>業務管理・打合せ</t>
        </is>
      </c>
      <c r="E12" s="9" t="inlineStr">
        <is>
          <t>進行管理</t>
        </is>
      </c>
      <c r="F12" s="9" t="inlineStr">
        <is>
          <t>定例連絡・進捗報告</t>
        </is>
      </c>
      <c r="G12" s="9" t="inlineStr">
        <is>
          <t>月1回程度のメール・電話・Web会議による進捗報告と論点確認（対面打合せ3回を補完）</t>
        </is>
      </c>
      <c r="H12" s="9" t="inlineStr">
        <is>
          <t>進捗報告メモ（月次）</t>
        </is>
      </c>
      <c r="I12" s="26" t="inlineStr">
        <is>
          <t>受託者</t>
        </is>
      </c>
      <c r="J12" s="9" t="inlineStr">
        <is>
          <t>内容確認・指示</t>
        </is>
      </c>
      <c r="K12" s="27" t="n">
        <v>2</v>
      </c>
      <c r="L12" s="28" t="n">
        <v>46266</v>
      </c>
      <c r="M12" s="28" t="n">
        <v>46477</v>
      </c>
      <c r="N12" s="9" t="inlineStr">
        <is>
          <t>1.1.1</t>
        </is>
      </c>
      <c r="O12" s="9" t="inlineStr">
        <is>
          <t>4 打合せ</t>
        </is>
      </c>
      <c r="P12" s="26" t="inlineStr">
        <is>
          <t>未着手</t>
        </is>
      </c>
      <c r="Q12" s="9" t="inlineStr">
        <is>
          <t>対面3回の制約をWeb会議等で補完</t>
        </is>
      </c>
    </row>
    <row r="13" ht="46" customHeight="1">
      <c r="A13" s="23" t="n">
        <v>6</v>
      </c>
      <c r="B13" s="23" t="inlineStr">
        <is>
          <t>1.2.2</t>
        </is>
      </c>
      <c r="C13" s="23" t="n">
        <v>3</v>
      </c>
      <c r="D13" s="5" t="inlineStr">
        <is>
          <t>業務管理・打合せ</t>
        </is>
      </c>
      <c r="E13" s="5" t="inlineStr">
        <is>
          <t>進行管理</t>
        </is>
      </c>
      <c r="F13" s="29" t="inlineStr">
        <is>
          <t>【第2回打合せ】現状分析・骨子報告</t>
        </is>
      </c>
      <c r="G13" s="5" t="inlineStr">
        <is>
          <t>現状分析・現行計画評価の結果報告、課題と施策の方向の協議、計画骨子（章立て）案の提示・確定</t>
        </is>
      </c>
      <c r="H13" s="5" t="inlineStr">
        <is>
          <t>第2回打合せ資料／議事録</t>
        </is>
      </c>
      <c r="I13" s="23" t="inlineStr">
        <is>
          <t>受託者</t>
        </is>
      </c>
      <c r="J13" s="5" t="inlineStr">
        <is>
          <t>日程調整・出席・庁内調整</t>
        </is>
      </c>
      <c r="K13" s="24" t="n">
        <v>1</v>
      </c>
      <c r="L13" s="25" t="n">
        <v>46366</v>
      </c>
      <c r="M13" s="25" t="n">
        <v>46366</v>
      </c>
      <c r="N13" s="5" t="inlineStr">
        <is>
          <t>2.4.3, 5.2.1</t>
        </is>
      </c>
      <c r="O13" s="5" t="inlineStr">
        <is>
          <t>4 打合せ（3回程度）</t>
        </is>
      </c>
      <c r="P13" s="23" t="inlineStr">
        <is>
          <t>未着手</t>
        </is>
      </c>
      <c r="Q13" s="5" t="inlineStr">
        <is>
          <t>★マイルストーン／打合せ2回目</t>
        </is>
      </c>
    </row>
    <row r="14" ht="46" customHeight="1">
      <c r="A14" s="26" t="n">
        <v>7</v>
      </c>
      <c r="B14" s="26" t="inlineStr">
        <is>
          <t>1.2.3</t>
        </is>
      </c>
      <c r="C14" s="26" t="n">
        <v>3</v>
      </c>
      <c r="D14" s="9" t="inlineStr">
        <is>
          <t>業務管理・打合せ</t>
        </is>
      </c>
      <c r="E14" s="9" t="inlineStr">
        <is>
          <t>進行管理</t>
        </is>
      </c>
      <c r="F14" s="30" t="inlineStr">
        <is>
          <t>【第3回打合せ】計画素案・保険料報告</t>
        </is>
      </c>
      <c r="G14" s="9" t="inlineStr">
        <is>
          <t>サービス見込量・保険料算定結果の報告と協議、計画素案の提示、パブリックコメント等の進め方確認</t>
        </is>
      </c>
      <c r="H14" s="9" t="inlineStr">
        <is>
          <t>第3回打合せ資料／議事録</t>
        </is>
      </c>
      <c r="I14" s="26" t="inlineStr">
        <is>
          <t>受託者</t>
        </is>
      </c>
      <c r="J14" s="9" t="inlineStr">
        <is>
          <t>日程調整・出席・庁内調整</t>
        </is>
      </c>
      <c r="K14" s="27" t="n">
        <v>1</v>
      </c>
      <c r="L14" s="28" t="n">
        <v>46428</v>
      </c>
      <c r="M14" s="28" t="n">
        <v>46428</v>
      </c>
      <c r="N14" s="9" t="inlineStr">
        <is>
          <t>4.3.4, 5.3.10</t>
        </is>
      </c>
      <c r="O14" s="9" t="inlineStr">
        <is>
          <t>4 打合せ（3回程度）</t>
        </is>
      </c>
      <c r="P14" s="26" t="inlineStr">
        <is>
          <t>未着手</t>
        </is>
      </c>
      <c r="Q14" s="9" t="inlineStr">
        <is>
          <t>★マイルストーン／打合せ3回目</t>
        </is>
      </c>
    </row>
    <row r="15" ht="46" customHeight="1">
      <c r="A15" s="23" t="n">
        <v>8</v>
      </c>
      <c r="B15" s="23" t="inlineStr">
        <is>
          <t>1.2.4</t>
        </is>
      </c>
      <c r="C15" s="23" t="n">
        <v>3</v>
      </c>
      <c r="D15" s="5" t="inlineStr">
        <is>
          <t>業務管理・打合せ</t>
        </is>
      </c>
      <c r="E15" s="5" t="inlineStr">
        <is>
          <t>進行管理</t>
        </is>
      </c>
      <c r="F15" s="5" t="inlineStr">
        <is>
          <t>国の指示・基本指針変更への対応協議</t>
        </is>
      </c>
      <c r="G15" s="5" t="inlineStr">
        <is>
          <t>国の基本指針・通知・Q&amp;A・介護報酬改定情報を継続的に収集し、仕様変更が必要な場合は村と協議</t>
        </is>
      </c>
      <c r="H15" s="5" t="inlineStr">
        <is>
          <t>国通知等の整理メモ／協議記録</t>
        </is>
      </c>
      <c r="I15" s="23" t="inlineStr">
        <is>
          <t>受託者</t>
        </is>
      </c>
      <c r="J15" s="5" t="inlineStr">
        <is>
          <t>協議・決定</t>
        </is>
      </c>
      <c r="K15" s="24" t="n">
        <v>0.5</v>
      </c>
      <c r="L15" s="25" t="n">
        <v>46266</v>
      </c>
      <c r="M15" s="25" t="n">
        <v>46477</v>
      </c>
      <c r="N15" s="5" t="inlineStr">
        <is>
          <t>1.1.1</t>
        </is>
      </c>
      <c r="O15" s="5" t="inlineStr">
        <is>
          <t>5 その他</t>
        </is>
      </c>
      <c r="P15" s="23" t="inlineStr">
        <is>
          <t>未着手</t>
        </is>
      </c>
      <c r="Q15" s="5" t="inlineStr">
        <is>
          <t>特別の事情がない限り国の指示を遵守</t>
        </is>
      </c>
    </row>
    <row r="16" ht="20" customHeight="1">
      <c r="A16" s="19" t="inlineStr"/>
      <c r="B16" s="19" t="inlineStr">
        <is>
          <t>1.3</t>
        </is>
      </c>
      <c r="C16" s="19" t="n">
        <v>2</v>
      </c>
      <c r="D16" s="20" t="inlineStr">
        <is>
          <t>業務管理・打合せ</t>
        </is>
      </c>
      <c r="E16" s="20" t="inlineStr">
        <is>
          <t>資料収集・整理</t>
        </is>
      </c>
      <c r="F16" s="20" t="inlineStr"/>
      <c r="G16" s="20" t="inlineStr"/>
      <c r="H16" s="20" t="inlineStr"/>
      <c r="I16" s="19" t="inlineStr"/>
      <c r="J16" s="20" t="inlineStr"/>
      <c r="K16" s="21">
        <f>SUMIF($C$17:$C$21,3,$K$17:$K$21)</f>
        <v/>
      </c>
      <c r="L16" s="22" t="n">
        <v>46273</v>
      </c>
      <c r="M16" s="22" t="n">
        <v>46310</v>
      </c>
      <c r="N16" s="20" t="inlineStr"/>
      <c r="O16" s="20" t="inlineStr">
        <is>
          <t>3(1) 現状の評価・分析</t>
        </is>
      </c>
      <c r="P16" s="19" t="inlineStr"/>
      <c r="Q16" s="20" t="inlineStr"/>
    </row>
    <row r="17" ht="46" customHeight="1">
      <c r="A17" s="23" t="n">
        <v>9</v>
      </c>
      <c r="B17" s="23" t="inlineStr">
        <is>
          <t>1.3.1</t>
        </is>
      </c>
      <c r="C17" s="23" t="n">
        <v>3</v>
      </c>
      <c r="D17" s="5" t="inlineStr">
        <is>
          <t>業務管理・打合せ</t>
        </is>
      </c>
      <c r="E17" s="5" t="inlineStr">
        <is>
          <t>資料収集・整理</t>
        </is>
      </c>
      <c r="F17" s="5" t="inlineStr">
        <is>
          <t>村提供資料の受領・確認</t>
        </is>
      </c>
      <c r="G17" s="5" t="inlineStr">
        <is>
          <t>貸与資料リスト（本ブック『06_必要資料リスト』）を提示し、資料を受領。不足・欠測の確認と追加依頼</t>
        </is>
      </c>
      <c r="H17" s="5" t="inlineStr">
        <is>
          <t>貸与資料リスト（受領チェック済）</t>
        </is>
      </c>
      <c r="I17" s="23" t="inlineStr">
        <is>
          <t>受託者</t>
        </is>
      </c>
      <c r="J17" s="5" t="inlineStr">
        <is>
          <t>資料抽出・提供</t>
        </is>
      </c>
      <c r="K17" s="24" t="n">
        <v>0.5</v>
      </c>
      <c r="L17" s="25" t="n">
        <v>46273</v>
      </c>
      <c r="M17" s="25" t="n">
        <v>46295</v>
      </c>
      <c r="N17" s="5" t="inlineStr">
        <is>
          <t>1.1.3</t>
        </is>
      </c>
      <c r="O17" s="5" t="inlineStr">
        <is>
          <t>7 留意事項（連携・協議）</t>
        </is>
      </c>
      <c r="P17" s="23" t="inlineStr">
        <is>
          <t>未着手</t>
        </is>
      </c>
      <c r="Q17" s="5" t="inlineStr">
        <is>
          <t>契約後2週間以内にリスト提示</t>
        </is>
      </c>
    </row>
    <row r="18" ht="46" customHeight="1">
      <c r="A18" s="26" t="n">
        <v>10</v>
      </c>
      <c r="B18" s="26" t="inlineStr">
        <is>
          <t>1.3.2</t>
        </is>
      </c>
      <c r="C18" s="26" t="n">
        <v>3</v>
      </c>
      <c r="D18" s="9" t="inlineStr">
        <is>
          <t>業務管理・打合せ</t>
        </is>
      </c>
      <c r="E18" s="9" t="inlineStr">
        <is>
          <t>資料収集・整理</t>
        </is>
      </c>
      <c r="F18" s="9" t="inlineStr">
        <is>
          <t>公表統計・システムデータの収集</t>
        </is>
      </c>
      <c r="G18" s="9" t="inlineStr">
        <is>
          <t>国勢調査、住民基本台帳人口、社人研将来推計人口、介護保険事業状況報告、地域包括ケア「見える化」システム等</t>
        </is>
      </c>
      <c r="H18" s="9" t="inlineStr">
        <is>
          <t>基礎統計データセット</t>
        </is>
      </c>
      <c r="I18" s="26" t="inlineStr">
        <is>
          <t>受託者</t>
        </is>
      </c>
      <c r="J18" s="9" t="inlineStr">
        <is>
          <t>－</t>
        </is>
      </c>
      <c r="K18" s="27" t="n">
        <v>1</v>
      </c>
      <c r="L18" s="28" t="n">
        <v>46273</v>
      </c>
      <c r="M18" s="28" t="n">
        <v>46310</v>
      </c>
      <c r="N18" s="9" t="inlineStr">
        <is>
          <t>1.1.3</t>
        </is>
      </c>
      <c r="O18" s="9" t="inlineStr">
        <is>
          <t>3(1) 現状の評価・分析</t>
        </is>
      </c>
      <c r="P18" s="26" t="inlineStr">
        <is>
          <t>未着手</t>
        </is>
      </c>
      <c r="Q18" s="9" t="inlineStr">
        <is>
          <t>出典・取得日を明記して管理</t>
        </is>
      </c>
    </row>
    <row r="19" ht="46" customHeight="1">
      <c r="A19" s="23" t="n">
        <v>11</v>
      </c>
      <c r="B19" s="23" t="inlineStr">
        <is>
          <t>1.3.3</t>
        </is>
      </c>
      <c r="C19" s="23" t="n">
        <v>3</v>
      </c>
      <c r="D19" s="5" t="inlineStr">
        <is>
          <t>業務管理・打合せ</t>
        </is>
      </c>
      <c r="E19" s="5" t="inlineStr">
        <is>
          <t>資料収集・整理</t>
        </is>
      </c>
      <c r="F19" s="5" t="inlineStr">
        <is>
          <t>関連計画・関連資料の収集</t>
        </is>
      </c>
      <c r="G19" s="5" t="inlineStr">
        <is>
          <t>村総合計画、地域福祉計画、健康増進計画、北海道の関連計画等を収集し、記載内容・目標値を整理</t>
        </is>
      </c>
      <c r="H19" s="5" t="inlineStr">
        <is>
          <t>関連計画整理表</t>
        </is>
      </c>
      <c r="I19" s="23" t="inlineStr">
        <is>
          <t>受託者</t>
        </is>
      </c>
      <c r="J19" s="5" t="inlineStr">
        <is>
          <t>計画提供</t>
        </is>
      </c>
      <c r="K19" s="24" t="n">
        <v>0.5</v>
      </c>
      <c r="L19" s="25" t="n">
        <v>46273</v>
      </c>
      <c r="M19" s="25" t="n">
        <v>46310</v>
      </c>
      <c r="N19" s="5" t="inlineStr">
        <is>
          <t>1.3.1</t>
        </is>
      </c>
      <c r="O19" s="5" t="inlineStr">
        <is>
          <t>7 留意事項（総合計画等との整合）</t>
        </is>
      </c>
      <c r="P19" s="23" t="inlineStr">
        <is>
          <t>未着手</t>
        </is>
      </c>
      <c r="Q19" s="5" t="inlineStr">
        <is>
          <t>整合性確認は5.1.3で実施</t>
        </is>
      </c>
    </row>
    <row r="20" ht="46" customHeight="1">
      <c r="A20" s="26" t="n">
        <v>12</v>
      </c>
      <c r="B20" s="26" t="inlineStr">
        <is>
          <t>1.3.4</t>
        </is>
      </c>
      <c r="C20" s="26" t="n">
        <v>3</v>
      </c>
      <c r="D20" s="9" t="inlineStr">
        <is>
          <t>業務管理・打合せ</t>
        </is>
      </c>
      <c r="E20" s="9" t="inlineStr">
        <is>
          <t>資料収集・整理</t>
        </is>
      </c>
      <c r="F20" s="30" t="inlineStr">
        <is>
          <t>見える化システムデータの棚卸し</t>
        </is>
      </c>
      <c r="G20" s="9" t="inlineStr">
        <is>
          <t>ダウンロード済み741ファイルを全件走査し、音威子府村の値の有無・比較群・データ年次を判定して管理表化</t>
        </is>
      </c>
      <c r="H20" s="9" t="inlineStr">
        <is>
          <t>見える化システムDLデータ棚卸し表</t>
        </is>
      </c>
      <c r="I20" s="26" t="inlineStr">
        <is>
          <t>受託者</t>
        </is>
      </c>
      <c r="J20" s="9" t="inlineStr">
        <is>
          <t>－</t>
        </is>
      </c>
      <c r="K20" s="27" t="n">
        <v>1</v>
      </c>
      <c r="L20" s="28" t="n">
        <v>46273</v>
      </c>
      <c r="M20" s="28" t="n">
        <v>46283</v>
      </c>
      <c r="N20" s="9" t="inlineStr">
        <is>
          <t>－</t>
        </is>
      </c>
      <c r="O20" s="9" t="inlineStr">
        <is>
          <t>3(1) 現状の評価・分析</t>
        </is>
      </c>
      <c r="P20" s="26" t="inlineStr">
        <is>
          <t>未着手</t>
        </is>
      </c>
      <c r="Q20" s="9" t="inlineStr">
        <is>
          <t>★実施済み。データは令和8年9月2〜3日出力（データあり521／全欠測130／空DL45／対象外45）</t>
        </is>
      </c>
    </row>
    <row r="21" ht="46" customHeight="1">
      <c r="A21" s="23" t="n">
        <v>13</v>
      </c>
      <c r="B21" s="23" t="inlineStr">
        <is>
          <t>1.3.5</t>
        </is>
      </c>
      <c r="C21" s="23" t="n">
        <v>3</v>
      </c>
      <c r="D21" s="5" t="inlineStr">
        <is>
          <t>業務管理・打合せ</t>
        </is>
      </c>
      <c r="E21" s="5" t="inlineStr">
        <is>
          <t>資料収集・整理</t>
        </is>
      </c>
      <c r="F21" s="5" t="inlineStr">
        <is>
          <t>未取得データの再取得・代替データの確保</t>
        </is>
      </c>
      <c r="G21" s="5" t="inlineStr">
        <is>
          <t>比較群が0団体の35ファイルを再出力。L16〜L28（在宅医療のレセプト系）は二次医療圏単位で再取得または代替を確保</t>
        </is>
      </c>
      <c r="H21" s="5" t="inlineStr">
        <is>
          <t>再取得データ／代替データ整理メモ</t>
        </is>
      </c>
      <c r="I21" s="23" t="inlineStr">
        <is>
          <t>受託者</t>
        </is>
      </c>
      <c r="J21" s="5" t="inlineStr">
        <is>
          <t>－</t>
        </is>
      </c>
      <c r="K21" s="24" t="n">
        <v>1</v>
      </c>
      <c r="L21" s="25" t="n">
        <v>46281</v>
      </c>
      <c r="M21" s="25" t="n">
        <v>46310</v>
      </c>
      <c r="N21" s="5" t="inlineStr">
        <is>
          <t>1.3.4</t>
        </is>
      </c>
      <c r="O21" s="5" t="inlineStr">
        <is>
          <t>3(1) 現状の評価・分析</t>
        </is>
      </c>
      <c r="P21" s="23" t="inlineStr">
        <is>
          <t>未着手</t>
        </is>
      </c>
      <c r="Q21" s="5" t="inlineStr">
        <is>
          <t>認知症・総合事業は村実績で補完（1.3.1で依頼）</t>
        </is>
      </c>
    </row>
    <row r="22" ht="24" customHeight="1">
      <c r="A22" s="31" t="inlineStr"/>
      <c r="B22" s="31" t="inlineStr">
        <is>
          <t>2</t>
        </is>
      </c>
      <c r="C22" s="31" t="n">
        <v>1</v>
      </c>
      <c r="D22" s="32" t="inlineStr">
        <is>
          <t>現状の評価・分析</t>
        </is>
      </c>
      <c r="E22" s="32" t="inlineStr"/>
      <c r="F22" s="32" t="inlineStr"/>
      <c r="G22" s="32" t="inlineStr"/>
      <c r="H22" s="32" t="inlineStr"/>
      <c r="I22" s="31" t="inlineStr"/>
      <c r="J22" s="32" t="inlineStr"/>
      <c r="K22" s="33">
        <f>SUMIF($C$23:$C$40,3,$K$23:$K$40)</f>
        <v/>
      </c>
      <c r="L22" s="34" t="n">
        <v>46273</v>
      </c>
      <c r="M22" s="34" t="n">
        <v>46353</v>
      </c>
      <c r="N22" s="32" t="inlineStr"/>
      <c r="O22" s="32" t="inlineStr">
        <is>
          <t>3(1) 現状の評価・分析</t>
        </is>
      </c>
      <c r="P22" s="31" t="inlineStr"/>
      <c r="Q22" s="32" t="inlineStr"/>
    </row>
    <row r="23" ht="20" customHeight="1">
      <c r="A23" s="19" t="inlineStr"/>
      <c r="B23" s="19" t="inlineStr">
        <is>
          <t>2.1</t>
        </is>
      </c>
      <c r="C23" s="19" t="n">
        <v>2</v>
      </c>
      <c r="D23" s="20" t="inlineStr">
        <is>
          <t>現状の評価・分析</t>
        </is>
      </c>
      <c r="E23" s="20" t="inlineStr">
        <is>
          <t>基礎的資料による現状把握・分析</t>
        </is>
      </c>
      <c r="F23" s="20" t="inlineStr"/>
      <c r="G23" s="20" t="inlineStr"/>
      <c r="H23" s="20" t="inlineStr"/>
      <c r="I23" s="19" t="inlineStr"/>
      <c r="J23" s="20" t="inlineStr"/>
      <c r="K23" s="21">
        <f>SUMIF($C$24:$C$26,3,$K$24:$K$26)</f>
        <v/>
      </c>
      <c r="L23" s="22" t="n">
        <v>46296</v>
      </c>
      <c r="M23" s="22" t="n">
        <v>46325</v>
      </c>
      <c r="N23" s="20" t="inlineStr"/>
      <c r="O23" s="20" t="inlineStr">
        <is>
          <t>3(1)① 統計資料等</t>
        </is>
      </c>
      <c r="P23" s="19" t="inlineStr"/>
      <c r="Q23" s="20" t="inlineStr"/>
    </row>
    <row r="24" ht="46" customHeight="1">
      <c r="A24" s="26" t="n">
        <v>14</v>
      </c>
      <c r="B24" s="26" t="inlineStr">
        <is>
          <t>2.1.1</t>
        </is>
      </c>
      <c r="C24" s="26" t="n">
        <v>3</v>
      </c>
      <c r="D24" s="9" t="inlineStr">
        <is>
          <t>現状の評価・分析</t>
        </is>
      </c>
      <c r="E24" s="9" t="inlineStr">
        <is>
          <t>基礎的資料による現状把握・分析</t>
        </is>
      </c>
      <c r="F24" s="9" t="inlineStr">
        <is>
          <t>人口・世帯の動向分析</t>
        </is>
      </c>
      <c r="G24" s="9" t="inlineStr">
        <is>
          <t>総人口・年齢3区分別人口・高齢化率・前期／後期高齢者、高齢者単身世帯・高齢者のみ世帯の推移を分析</t>
        </is>
      </c>
      <c r="H24" s="9" t="inlineStr">
        <is>
          <t>人口・世帯分析図表</t>
        </is>
      </c>
      <c r="I24" s="26" t="inlineStr">
        <is>
          <t>受託者</t>
        </is>
      </c>
      <c r="J24" s="9" t="inlineStr">
        <is>
          <t>住基データ提供</t>
        </is>
      </c>
      <c r="K24" s="27" t="n">
        <v>1.5</v>
      </c>
      <c r="L24" s="28" t="n">
        <v>46296</v>
      </c>
      <c r="M24" s="28" t="n">
        <v>46318</v>
      </c>
      <c r="N24" s="9" t="inlineStr">
        <is>
          <t>1.3.2</t>
        </is>
      </c>
      <c r="O24" s="9" t="inlineStr">
        <is>
          <t>3(1)① 統計資料等</t>
        </is>
      </c>
      <c r="P24" s="26" t="inlineStr">
        <is>
          <t>未着手</t>
        </is>
      </c>
      <c r="Q24" s="9" t="inlineStr">
        <is>
          <t>直近10年の経年変化で整理</t>
        </is>
      </c>
    </row>
    <row r="25" ht="46" customHeight="1">
      <c r="A25" s="23" t="n">
        <v>15</v>
      </c>
      <c r="B25" s="23" t="inlineStr">
        <is>
          <t>2.1.2</t>
        </is>
      </c>
      <c r="C25" s="23" t="n">
        <v>3</v>
      </c>
      <c r="D25" s="5" t="inlineStr">
        <is>
          <t>現状の評価・分析</t>
        </is>
      </c>
      <c r="E25" s="5" t="inlineStr">
        <is>
          <t>基礎的資料による現状把握・分析</t>
        </is>
      </c>
      <c r="F25" s="5" t="inlineStr">
        <is>
          <t>地域資源・社会基盤の整理</t>
        </is>
      </c>
      <c r="G25" s="5" t="inlineStr">
        <is>
          <t>村内・近隣の介護サービス事業所、医療機関、通所・訪問系資源、住民主体の活動、生活交通の状況を整理</t>
        </is>
      </c>
      <c r="H25" s="5" t="inlineStr">
        <is>
          <t>地域資源マップ／一覧表</t>
        </is>
      </c>
      <c r="I25" s="23" t="inlineStr">
        <is>
          <t>受託者</t>
        </is>
      </c>
      <c r="J25" s="5" t="inlineStr">
        <is>
          <t>事業所情報提供</t>
        </is>
      </c>
      <c r="K25" s="24" t="n">
        <v>1</v>
      </c>
      <c r="L25" s="25" t="n">
        <v>46296</v>
      </c>
      <c r="M25" s="25" t="n">
        <v>46318</v>
      </c>
      <c r="N25" s="5" t="inlineStr">
        <is>
          <t>1.3.1</t>
        </is>
      </c>
      <c r="O25" s="5" t="inlineStr">
        <is>
          <t>3(1)① 統計資料等</t>
        </is>
      </c>
      <c r="P25" s="23" t="inlineStr">
        <is>
          <t>未着手</t>
        </is>
      </c>
      <c r="Q25" s="5" t="inlineStr">
        <is>
          <t>圏域外（近隣市町村）利用の実態も整理</t>
        </is>
      </c>
    </row>
    <row r="26" ht="46" customHeight="1">
      <c r="A26" s="26" t="n">
        <v>16</v>
      </c>
      <c r="B26" s="26" t="inlineStr">
        <is>
          <t>2.1.3</t>
        </is>
      </c>
      <c r="C26" s="26" t="n">
        <v>3</v>
      </c>
      <c r="D26" s="9" t="inlineStr">
        <is>
          <t>現状の評価・分析</t>
        </is>
      </c>
      <c r="E26" s="9" t="inlineStr">
        <is>
          <t>基礎的資料による現状把握・分析</t>
        </is>
      </c>
      <c r="F26" s="9" t="inlineStr">
        <is>
          <t>北海道・全国・類似団体との比較分析</t>
        </is>
      </c>
      <c r="G26" s="9" t="inlineStr">
        <is>
          <t>高齢化率、認定率、受給率、1人当たり給付費、保険料水準を北海道平均・全国・類似規模団体と比較</t>
        </is>
      </c>
      <c r="H26" s="9" t="inlineStr">
        <is>
          <t>比較分析図表</t>
        </is>
      </c>
      <c r="I26" s="26" t="inlineStr">
        <is>
          <t>受託者</t>
        </is>
      </c>
      <c r="J26" s="9" t="inlineStr">
        <is>
          <t>－</t>
        </is>
      </c>
      <c r="K26" s="27" t="n">
        <v>0.5</v>
      </c>
      <c r="L26" s="28" t="n">
        <v>46308</v>
      </c>
      <c r="M26" s="28" t="n">
        <v>46325</v>
      </c>
      <c r="N26" s="9" t="inlineStr">
        <is>
          <t>2.1.1</t>
        </is>
      </c>
      <c r="O26" s="9" t="inlineStr">
        <is>
          <t>3(1)① 統計資料等</t>
        </is>
      </c>
      <c r="P26" s="26" t="inlineStr">
        <is>
          <t>未着手</t>
        </is>
      </c>
      <c r="Q26" s="9" t="inlineStr">
        <is>
          <t>「見える化」システムを活用</t>
        </is>
      </c>
    </row>
    <row r="27" ht="20" customHeight="1">
      <c r="A27" s="19" t="inlineStr"/>
      <c r="B27" s="19" t="inlineStr">
        <is>
          <t>2.2</t>
        </is>
      </c>
      <c r="C27" s="19" t="n">
        <v>2</v>
      </c>
      <c r="D27" s="20" t="inlineStr">
        <is>
          <t>現状の評価・分析</t>
        </is>
      </c>
      <c r="E27" s="20" t="inlineStr">
        <is>
          <t>高齢者福祉サービス実績の分析</t>
        </is>
      </c>
      <c r="F27" s="20" t="inlineStr"/>
      <c r="G27" s="20" t="inlineStr"/>
      <c r="H27" s="20" t="inlineStr"/>
      <c r="I27" s="19" t="inlineStr"/>
      <c r="J27" s="20" t="inlineStr"/>
      <c r="K27" s="21">
        <f>SUMIF($C$28:$C$30,3,$K$28:$K$30)</f>
        <v/>
      </c>
      <c r="L27" s="22" t="n">
        <v>46296</v>
      </c>
      <c r="M27" s="22" t="n">
        <v>46326</v>
      </c>
      <c r="N27" s="20" t="inlineStr"/>
      <c r="O27" s="20" t="inlineStr">
        <is>
          <t>3(1)② 高齢者福祉サービス実績</t>
        </is>
      </c>
      <c r="P27" s="19" t="inlineStr"/>
      <c r="Q27" s="20" t="inlineStr"/>
    </row>
    <row r="28" ht="46" customHeight="1">
      <c r="A28" s="26" t="n">
        <v>17</v>
      </c>
      <c r="B28" s="26" t="inlineStr">
        <is>
          <t>2.2.1</t>
        </is>
      </c>
      <c r="C28" s="26" t="n">
        <v>3</v>
      </c>
      <c r="D28" s="9" t="inlineStr">
        <is>
          <t>現状の評価・分析</t>
        </is>
      </c>
      <c r="E28" s="9" t="inlineStr">
        <is>
          <t>高齢者福祉サービス実績の分析</t>
        </is>
      </c>
      <c r="F28" s="9" t="inlineStr">
        <is>
          <t>高齢者福祉施策（村単独事業）の実績分析</t>
        </is>
      </c>
      <c r="G28" s="9" t="inlineStr">
        <is>
          <t>配食・除雪・緊急通報・移送・生きがい活動等、村単独の高齢者福祉サービスの利用実績・事業費を分析</t>
        </is>
      </c>
      <c r="H28" s="9" t="inlineStr">
        <is>
          <t>高齢者福祉サービス実績分析表</t>
        </is>
      </c>
      <c r="I28" s="26" t="inlineStr">
        <is>
          <t>受託者</t>
        </is>
      </c>
      <c r="J28" s="9" t="inlineStr">
        <is>
          <t>事業実績提供</t>
        </is>
      </c>
      <c r="K28" s="27" t="n">
        <v>1</v>
      </c>
      <c r="L28" s="28" t="n">
        <v>46296</v>
      </c>
      <c r="M28" s="28" t="n">
        <v>46326</v>
      </c>
      <c r="N28" s="9" t="inlineStr">
        <is>
          <t>1.3.1</t>
        </is>
      </c>
      <c r="O28" s="9" t="inlineStr">
        <is>
          <t>3(1)② 高齢者福祉サービス実績</t>
        </is>
      </c>
      <c r="P28" s="26" t="inlineStr">
        <is>
          <t>未着手</t>
        </is>
      </c>
      <c r="Q28" s="9" t="inlineStr">
        <is>
          <t>第9期計画の掲載事業と対応づけ</t>
        </is>
      </c>
    </row>
    <row r="29" ht="46" customHeight="1">
      <c r="A29" s="23" t="n">
        <v>18</v>
      </c>
      <c r="B29" s="23" t="inlineStr">
        <is>
          <t>2.2.2</t>
        </is>
      </c>
      <c r="C29" s="23" t="n">
        <v>3</v>
      </c>
      <c r="D29" s="5" t="inlineStr">
        <is>
          <t>現状の評価・分析</t>
        </is>
      </c>
      <c r="E29" s="5" t="inlineStr">
        <is>
          <t>高齢者福祉サービス実績の分析</t>
        </is>
      </c>
      <c r="F29" s="5" t="inlineStr">
        <is>
          <t>介護予防・日常生活支援総合事業の実績分析</t>
        </is>
      </c>
      <c r="G29" s="5" t="inlineStr">
        <is>
          <t>訪問型・通所型サービス、一般介護予防事業（通いの場・住民主体の活動）の実施状況と参加者数を分析</t>
        </is>
      </c>
      <c r="H29" s="5" t="inlineStr">
        <is>
          <t>総合事業実績分析表</t>
        </is>
      </c>
      <c r="I29" s="23" t="inlineStr">
        <is>
          <t>受託者</t>
        </is>
      </c>
      <c r="J29" s="5" t="inlineStr">
        <is>
          <t>事業実績提供</t>
        </is>
      </c>
      <c r="K29" s="24" t="n">
        <v>1</v>
      </c>
      <c r="L29" s="25" t="n">
        <v>46296</v>
      </c>
      <c r="M29" s="25" t="n">
        <v>46326</v>
      </c>
      <c r="N29" s="5" t="inlineStr">
        <is>
          <t>1.3.1</t>
        </is>
      </c>
      <c r="O29" s="5" t="inlineStr">
        <is>
          <t>3(1)② 高齢者福祉サービス実績</t>
        </is>
      </c>
      <c r="P29" s="23" t="inlineStr">
        <is>
          <t>未着手</t>
        </is>
      </c>
      <c r="Q29" s="5" t="inlineStr">
        <is>
          <t>介護予防の到達点を評価</t>
        </is>
      </c>
    </row>
    <row r="30" ht="46" customHeight="1">
      <c r="A30" s="26" t="n">
        <v>19</v>
      </c>
      <c r="B30" s="26" t="inlineStr">
        <is>
          <t>2.2.3</t>
        </is>
      </c>
      <c r="C30" s="26" t="n">
        <v>3</v>
      </c>
      <c r="D30" s="9" t="inlineStr">
        <is>
          <t>現状の評価・分析</t>
        </is>
      </c>
      <c r="E30" s="9" t="inlineStr">
        <is>
          <t>高齢者福祉サービス実績の分析</t>
        </is>
      </c>
      <c r="F30" s="9" t="inlineStr">
        <is>
          <t>包括的支援事業・任意事業の実績分析</t>
        </is>
      </c>
      <c r="G30" s="9" t="inlineStr">
        <is>
          <t>地域包括支援センター運営、在宅医療・介護連携、認知症施策、生活支援体制整備、権利擁護の実績を分析</t>
        </is>
      </c>
      <c r="H30" s="9" t="inlineStr">
        <is>
          <t>地域支援事業実績分析表</t>
        </is>
      </c>
      <c r="I30" s="26" t="inlineStr">
        <is>
          <t>受託者</t>
        </is>
      </c>
      <c r="J30" s="9" t="inlineStr">
        <is>
          <t>事業実績提供</t>
        </is>
      </c>
      <c r="K30" s="27" t="n">
        <v>0.5</v>
      </c>
      <c r="L30" s="28" t="n">
        <v>46308</v>
      </c>
      <c r="M30" s="28" t="n">
        <v>46326</v>
      </c>
      <c r="N30" s="9" t="inlineStr">
        <is>
          <t>1.3.1</t>
        </is>
      </c>
      <c r="O30" s="9" t="inlineStr">
        <is>
          <t>3(1)② 高齢者福祉サービス実績</t>
        </is>
      </c>
      <c r="P30" s="26" t="inlineStr">
        <is>
          <t>未着手</t>
        </is>
      </c>
      <c r="Q30" s="9" t="inlineStr">
        <is>
          <t>地域包括ケアの推進状況を評価</t>
        </is>
      </c>
    </row>
    <row r="31" ht="20" customHeight="1">
      <c r="A31" s="19" t="inlineStr"/>
      <c r="B31" s="19" t="inlineStr">
        <is>
          <t>2.3</t>
        </is>
      </c>
      <c r="C31" s="19" t="n">
        <v>2</v>
      </c>
      <c r="D31" s="20" t="inlineStr">
        <is>
          <t>現状の評価・分析</t>
        </is>
      </c>
      <c r="E31" s="20" t="inlineStr">
        <is>
          <t>介護保険サービス実績の分析</t>
        </is>
      </c>
      <c r="F31" s="20" t="inlineStr"/>
      <c r="G31" s="20" t="inlineStr"/>
      <c r="H31" s="20" t="inlineStr"/>
      <c r="I31" s="19" t="inlineStr"/>
      <c r="J31" s="20" t="inlineStr"/>
      <c r="K31" s="21">
        <f>SUMIF($C$32:$C$35,3,$K$32:$K$35)</f>
        <v/>
      </c>
      <c r="L31" s="22" t="n">
        <v>46296</v>
      </c>
      <c r="M31" s="22" t="n">
        <v>46346</v>
      </c>
      <c r="N31" s="20" t="inlineStr"/>
      <c r="O31" s="20" t="inlineStr">
        <is>
          <t>3(1)③ 介護保険サービス実績</t>
        </is>
      </c>
      <c r="P31" s="19" t="inlineStr"/>
      <c r="Q31" s="20" t="inlineStr"/>
    </row>
    <row r="32" ht="46" customHeight="1">
      <c r="A32" s="26" t="n">
        <v>20</v>
      </c>
      <c r="B32" s="26" t="inlineStr">
        <is>
          <t>2.3.1</t>
        </is>
      </c>
      <c r="C32" s="26" t="n">
        <v>3</v>
      </c>
      <c r="D32" s="9" t="inlineStr">
        <is>
          <t>現状の評価・分析</t>
        </is>
      </c>
      <c r="E32" s="9" t="inlineStr">
        <is>
          <t>介護保険サービス実績の分析</t>
        </is>
      </c>
      <c r="F32" s="9" t="inlineStr">
        <is>
          <t>要介護認定者数・認定率の推移分析</t>
        </is>
      </c>
      <c r="G32" s="9" t="inlineStr">
        <is>
          <t>要支援1〜要介護5別・性別・年齢階級別の認定者数と認定率の推移、認定の重度化傾向を分析</t>
        </is>
      </c>
      <c r="H32" s="9" t="inlineStr">
        <is>
          <t>認定状況分析図表</t>
        </is>
      </c>
      <c r="I32" s="26" t="inlineStr">
        <is>
          <t>受託者</t>
        </is>
      </c>
      <c r="J32" s="9" t="inlineStr">
        <is>
          <t>認定データ提供</t>
        </is>
      </c>
      <c r="K32" s="27" t="n">
        <v>1.5</v>
      </c>
      <c r="L32" s="28" t="n">
        <v>46296</v>
      </c>
      <c r="M32" s="28" t="n">
        <v>46326</v>
      </c>
      <c r="N32" s="9" t="inlineStr">
        <is>
          <t>1.3.1</t>
        </is>
      </c>
      <c r="O32" s="9" t="inlineStr">
        <is>
          <t>3(1)③ 介護保険サービス実績</t>
        </is>
      </c>
      <c r="P32" s="26" t="inlineStr">
        <is>
          <t>未着手</t>
        </is>
      </c>
      <c r="Q32" s="9" t="inlineStr">
        <is>
          <t>3.2 認定者数推計の基礎データ</t>
        </is>
      </c>
    </row>
    <row r="33" ht="46" customHeight="1">
      <c r="A33" s="23" t="n">
        <v>21</v>
      </c>
      <c r="B33" s="23" t="inlineStr">
        <is>
          <t>2.3.2</t>
        </is>
      </c>
      <c r="C33" s="23" t="n">
        <v>3</v>
      </c>
      <c r="D33" s="5" t="inlineStr">
        <is>
          <t>現状の評価・分析</t>
        </is>
      </c>
      <c r="E33" s="5" t="inlineStr">
        <is>
          <t>介護保険サービス実績の分析</t>
        </is>
      </c>
      <c r="F33" s="5" t="inlineStr">
        <is>
          <t>サービス種類別給付実績の分析</t>
        </is>
      </c>
      <c r="G33" s="5" t="inlineStr">
        <is>
          <t>居宅・地域密着型・施設サービスの種類別に、受給者数・利用回数（日数）・給付費の推移を分析</t>
        </is>
      </c>
      <c r="H33" s="5" t="inlineStr">
        <is>
          <t>給付実績分析図表</t>
        </is>
      </c>
      <c r="I33" s="23" t="inlineStr">
        <is>
          <t>受託者</t>
        </is>
      </c>
      <c r="J33" s="5" t="inlineStr">
        <is>
          <t>給付実績提供</t>
        </is>
      </c>
      <c r="K33" s="24" t="n">
        <v>1.5</v>
      </c>
      <c r="L33" s="25" t="n">
        <v>46301</v>
      </c>
      <c r="M33" s="25" t="n">
        <v>46339</v>
      </c>
      <c r="N33" s="5" t="inlineStr">
        <is>
          <t>1.3.1</t>
        </is>
      </c>
      <c r="O33" s="5" t="inlineStr">
        <is>
          <t>3(1)③ 介護保険サービス実績</t>
        </is>
      </c>
      <c r="P33" s="23" t="inlineStr">
        <is>
          <t>未着手</t>
        </is>
      </c>
      <c r="Q33" s="5" t="inlineStr">
        <is>
          <t>4.1 見込量推計の基礎データ</t>
        </is>
      </c>
    </row>
    <row r="34" ht="46" customHeight="1">
      <c r="A34" s="26" t="n">
        <v>22</v>
      </c>
      <c r="B34" s="26" t="inlineStr">
        <is>
          <t>2.3.3</t>
        </is>
      </c>
      <c r="C34" s="26" t="n">
        <v>3</v>
      </c>
      <c r="D34" s="9" t="inlineStr">
        <is>
          <t>現状の評価・分析</t>
        </is>
      </c>
      <c r="E34" s="9" t="inlineStr">
        <is>
          <t>介護保険サービス実績の分析</t>
        </is>
      </c>
      <c r="F34" s="9" t="inlineStr">
        <is>
          <t>受給率・利用率・1人当たり給付費の分析</t>
        </is>
      </c>
      <c r="G34" s="9" t="inlineStr">
        <is>
          <t>認定者に対する受給率、要介護度別の利用状況、1人当たり給付費（月額）を算出し、傾向と特徴を整理</t>
        </is>
      </c>
      <c r="H34" s="9" t="inlineStr">
        <is>
          <t>利用状況分析表</t>
        </is>
      </c>
      <c r="I34" s="26" t="inlineStr">
        <is>
          <t>受託者</t>
        </is>
      </c>
      <c r="J34" s="9" t="inlineStr">
        <is>
          <t>－</t>
        </is>
      </c>
      <c r="K34" s="27" t="n">
        <v>1</v>
      </c>
      <c r="L34" s="28" t="n">
        <v>46315</v>
      </c>
      <c r="M34" s="28" t="n">
        <v>46339</v>
      </c>
      <c r="N34" s="9" t="inlineStr">
        <is>
          <t>2.3.2</t>
        </is>
      </c>
      <c r="O34" s="9" t="inlineStr">
        <is>
          <t>3(1)③ 介護保険サービス実績</t>
        </is>
      </c>
      <c r="P34" s="26" t="inlineStr">
        <is>
          <t>未着手</t>
        </is>
      </c>
      <c r="Q34" s="9" t="inlineStr">
        <is>
          <t>小規模ゆえの年変動に留意</t>
        </is>
      </c>
    </row>
    <row r="35" ht="46" customHeight="1">
      <c r="A35" s="23" t="n">
        <v>23</v>
      </c>
      <c r="B35" s="23" t="inlineStr">
        <is>
          <t>2.3.4</t>
        </is>
      </c>
      <c r="C35" s="23" t="n">
        <v>3</v>
      </c>
      <c r="D35" s="5" t="inlineStr">
        <is>
          <t>現状の評価・分析</t>
        </is>
      </c>
      <c r="E35" s="5" t="inlineStr">
        <is>
          <t>介護保険サービス実績の分析</t>
        </is>
      </c>
      <c r="F35" s="5" t="inlineStr">
        <is>
          <t>介護保険財政・保険料収納状況の分析</t>
        </is>
      </c>
      <c r="G35" s="5" t="inlineStr">
        <is>
          <t>介護保険特別会計の決算推移、第9期の給付費実績と計画対比、介護給付費準備基金残高、収納率を分析</t>
        </is>
      </c>
      <c r="H35" s="5" t="inlineStr">
        <is>
          <t>介護保険財政分析表</t>
        </is>
      </c>
      <c r="I35" s="23" t="inlineStr">
        <is>
          <t>受託者</t>
        </is>
      </c>
      <c r="J35" s="5" t="inlineStr">
        <is>
          <t>決算・基金資料提供</t>
        </is>
      </c>
      <c r="K35" s="24" t="n">
        <v>1</v>
      </c>
      <c r="L35" s="25" t="n">
        <v>46315</v>
      </c>
      <c r="M35" s="25" t="n">
        <v>46346</v>
      </c>
      <c r="N35" s="5" t="inlineStr">
        <is>
          <t>1.3.1</t>
        </is>
      </c>
      <c r="O35" s="5" t="inlineStr">
        <is>
          <t>3(1)③ 介護保険サービス実績</t>
        </is>
      </c>
      <c r="P35" s="23" t="inlineStr">
        <is>
          <t>未着手</t>
        </is>
      </c>
      <c r="Q35" s="5" t="inlineStr">
        <is>
          <t>4.3 保険料算定の前提となる</t>
        </is>
      </c>
    </row>
    <row r="36" ht="20" customHeight="1">
      <c r="A36" s="19" t="inlineStr"/>
      <c r="B36" s="19" t="inlineStr">
        <is>
          <t>2.4</t>
        </is>
      </c>
      <c r="C36" s="19" t="n">
        <v>2</v>
      </c>
      <c r="D36" s="20" t="inlineStr">
        <is>
          <t>現状の評価・分析</t>
        </is>
      </c>
      <c r="E36" s="20" t="inlineStr">
        <is>
          <t>現行計画（第9期）の点検・評価</t>
        </is>
      </c>
      <c r="F36" s="20" t="inlineStr"/>
      <c r="G36" s="20" t="inlineStr"/>
      <c r="H36" s="20" t="inlineStr"/>
      <c r="I36" s="19" t="inlineStr"/>
      <c r="J36" s="20" t="inlineStr"/>
      <c r="K36" s="21">
        <f>SUMIF($C$37:$C$40,3,$K$37:$K$40)</f>
        <v/>
      </c>
      <c r="L36" s="22" t="n">
        <v>46273</v>
      </c>
      <c r="M36" s="22" t="n">
        <v>46353</v>
      </c>
      <c r="N36" s="20" t="inlineStr"/>
      <c r="O36" s="20" t="inlineStr">
        <is>
          <t>3(1)④ 現行計画の点検・評価</t>
        </is>
      </c>
      <c r="P36" s="19" t="inlineStr"/>
      <c r="Q36" s="20" t="inlineStr"/>
    </row>
    <row r="37" ht="46" customHeight="1">
      <c r="A37" s="23" t="n">
        <v>24</v>
      </c>
      <c r="B37" s="23" t="inlineStr">
        <is>
          <t>2.4.0</t>
        </is>
      </c>
      <c r="C37" s="23" t="n">
        <v>3</v>
      </c>
      <c r="D37" s="5" t="inlineStr">
        <is>
          <t>現状の評価・分析</t>
        </is>
      </c>
      <c r="E37" s="5" t="inlineStr">
        <is>
          <t>現行計画（第9期）の点検・評価</t>
        </is>
      </c>
      <c r="F37" s="29" t="inlineStr">
        <is>
          <t>【前提】第9期計画本体の受領</t>
        </is>
      </c>
      <c r="G37" s="5" t="inlineStr">
        <is>
          <t>第9期高齢者福祉計画・介護保険事業計画（本編・資料編）および進捗管理資料を村から受領し、基本理念・基本目標・施策体系・目標値を読み取る</t>
        </is>
      </c>
      <c r="H37" s="5" t="inlineStr">
        <is>
          <t>第9期計画 構成整理メモ</t>
        </is>
      </c>
      <c r="I37" s="23" t="inlineStr">
        <is>
          <t>受託者</t>
        </is>
      </c>
      <c r="J37" s="5" t="inlineStr">
        <is>
          <t>計画の提供</t>
        </is>
      </c>
      <c r="K37" s="24" t="n">
        <v>0.5</v>
      </c>
      <c r="L37" s="25" t="n">
        <v>46273</v>
      </c>
      <c r="M37" s="25" t="n">
        <v>46297</v>
      </c>
      <c r="N37" s="5" t="inlineStr">
        <is>
          <t>1.1.3</t>
        </is>
      </c>
      <c r="O37" s="5" t="inlineStr">
        <is>
          <t>3(1)④ 現行計画の点検・評価</t>
        </is>
      </c>
      <c r="P37" s="23" t="inlineStr">
        <is>
          <t>未着手</t>
        </is>
      </c>
      <c r="Q37" s="5" t="inlineStr">
        <is>
          <t>★未受領（令和8年9月時点）。2.4.1・5.1.2・5.2.1・5.3.3 の前提となるクリティカルパス</t>
        </is>
      </c>
    </row>
    <row r="38" ht="46" customHeight="1">
      <c r="A38" s="26" t="n">
        <v>25</v>
      </c>
      <c r="B38" s="26" t="inlineStr">
        <is>
          <t>2.4.1</t>
        </is>
      </c>
      <c r="C38" s="26" t="n">
        <v>3</v>
      </c>
      <c r="D38" s="9" t="inlineStr">
        <is>
          <t>現状の評価・分析</t>
        </is>
      </c>
      <c r="E38" s="9" t="inlineStr">
        <is>
          <t>現行計画（第9期）の点検・評価</t>
        </is>
      </c>
      <c r="F38" s="9" t="inlineStr">
        <is>
          <t>施策・事業別の進捗評価</t>
        </is>
      </c>
      <c r="G38" s="9" t="inlineStr">
        <is>
          <t>第9期計画の施策体系に沿って、事業ごとの取組状況・目標値と実績の対比・達成度（3段階等）を評価</t>
        </is>
      </c>
      <c r="H38" s="9" t="inlineStr">
        <is>
          <t>第9期計画 進捗評価シート</t>
        </is>
      </c>
      <c r="I38" s="26" t="inlineStr">
        <is>
          <t>受託者</t>
        </is>
      </c>
      <c r="J38" s="9" t="inlineStr">
        <is>
          <t>各事業の実績・自己評価</t>
        </is>
      </c>
      <c r="K38" s="27" t="n">
        <v>1.5</v>
      </c>
      <c r="L38" s="28" t="n">
        <v>46328</v>
      </c>
      <c r="M38" s="28" t="n">
        <v>46346</v>
      </c>
      <c r="N38" s="9" t="inlineStr">
        <is>
          <t>2.4.0, 2.2.3</t>
        </is>
      </c>
      <c r="O38" s="9" t="inlineStr">
        <is>
          <t>3(1)④ 現行計画の点検・評価</t>
        </is>
      </c>
      <c r="P38" s="26" t="inlineStr">
        <is>
          <t>未着手</t>
        </is>
      </c>
      <c r="Q38" s="9" t="inlineStr">
        <is>
          <t>村担当課への照会により評価を確定。第9期計画の受領が前提</t>
        </is>
      </c>
    </row>
    <row r="39" ht="46" customHeight="1">
      <c r="A39" s="23" t="n">
        <v>26</v>
      </c>
      <c r="B39" s="23" t="inlineStr">
        <is>
          <t>2.4.2</t>
        </is>
      </c>
      <c r="C39" s="23" t="n">
        <v>3</v>
      </c>
      <c r="D39" s="5" t="inlineStr">
        <is>
          <t>現状の評価・分析</t>
        </is>
      </c>
      <c r="E39" s="5" t="inlineStr">
        <is>
          <t>現行計画（第9期）の点検・評価</t>
        </is>
      </c>
      <c r="F39" s="5" t="inlineStr">
        <is>
          <t>介護予防・日常生活圏域ニーズ調査結果の整理・分析</t>
        </is>
      </c>
      <c r="G39" s="5" t="inlineStr">
        <is>
          <t>今年度（令和8年度）村が実施した調査の集計データを整理し、リスク該当者割合・生活実態・意向を分析</t>
        </is>
      </c>
      <c r="H39" s="5" t="inlineStr">
        <is>
          <t>ニーズ調査結果分析資料</t>
        </is>
      </c>
      <c r="I39" s="23" t="inlineStr">
        <is>
          <t>受託者</t>
        </is>
      </c>
      <c r="J39" s="5" t="inlineStr">
        <is>
          <t>調査集計データ提供</t>
        </is>
      </c>
      <c r="K39" s="24" t="n">
        <v>1.5</v>
      </c>
      <c r="L39" s="25" t="n">
        <v>46308</v>
      </c>
      <c r="M39" s="25" t="n">
        <v>46339</v>
      </c>
      <c r="N39" s="5" t="inlineStr">
        <is>
          <t>1.3.1</t>
        </is>
      </c>
      <c r="O39" s="5" t="inlineStr">
        <is>
          <t>3(3) 見込量（ニーズ調査結果の反映）</t>
        </is>
      </c>
      <c r="P39" s="23" t="inlineStr">
        <is>
          <t>未着手</t>
        </is>
      </c>
      <c r="Q39" s="5" t="inlineStr">
        <is>
          <t>調査の実施・集計自体は業務範囲外（村実施分を反映）</t>
        </is>
      </c>
    </row>
    <row r="40" ht="46" customHeight="1">
      <c r="A40" s="26" t="n">
        <v>27</v>
      </c>
      <c r="B40" s="26" t="inlineStr">
        <is>
          <t>2.4.3</t>
        </is>
      </c>
      <c r="C40" s="26" t="n">
        <v>3</v>
      </c>
      <c r="D40" s="9" t="inlineStr">
        <is>
          <t>現状の評価・分析</t>
        </is>
      </c>
      <c r="E40" s="9" t="inlineStr">
        <is>
          <t>現行計画（第9期）の点検・評価</t>
        </is>
      </c>
      <c r="F40" s="30" t="inlineStr">
        <is>
          <t>現状分析・評価の総括資料作成</t>
        </is>
      </c>
      <c r="G40" s="9" t="inlineStr">
        <is>
          <t>2.1〜2.4の分析結果を統合し、第2回打合せ用の中間報告資料として取りまとめ</t>
        </is>
      </c>
      <c r="H40" s="9" t="inlineStr">
        <is>
          <t>現状分析・評価 中間報告資料</t>
        </is>
      </c>
      <c r="I40" s="26" t="inlineStr">
        <is>
          <t>受託者</t>
        </is>
      </c>
      <c r="J40" s="9" t="inlineStr">
        <is>
          <t>内容確認</t>
        </is>
      </c>
      <c r="K40" s="27" t="n">
        <v>1</v>
      </c>
      <c r="L40" s="28" t="n">
        <v>46342</v>
      </c>
      <c r="M40" s="28" t="n">
        <v>46353</v>
      </c>
      <c r="N40" s="9" t="inlineStr">
        <is>
          <t>2.4.1, 2.4.2</t>
        </is>
      </c>
      <c r="O40" s="9" t="inlineStr">
        <is>
          <t>3(1) 現状の評価・分析</t>
        </is>
      </c>
      <c r="P40" s="26" t="inlineStr">
        <is>
          <t>未着手</t>
        </is>
      </c>
      <c r="Q40" s="9" t="inlineStr">
        <is>
          <t>★中間成果物／第2回打合せ資料</t>
        </is>
      </c>
    </row>
    <row r="41" ht="24" customHeight="1">
      <c r="A41" s="35" t="inlineStr"/>
      <c r="B41" s="35" t="inlineStr">
        <is>
          <t>3</t>
        </is>
      </c>
      <c r="C41" s="35" t="n">
        <v>1</v>
      </c>
      <c r="D41" s="36" t="inlineStr">
        <is>
          <t>人口推計・要支援要介護認定者数の推計</t>
        </is>
      </c>
      <c r="E41" s="36" t="inlineStr"/>
      <c r="F41" s="36" t="inlineStr"/>
      <c r="G41" s="36" t="inlineStr"/>
      <c r="H41" s="36" t="inlineStr"/>
      <c r="I41" s="35" t="inlineStr"/>
      <c r="J41" s="36" t="inlineStr"/>
      <c r="K41" s="37">
        <f>SUMIF($C$42:$C$51,3,$K$42:$K$51)</f>
        <v/>
      </c>
      <c r="L41" s="38" t="n">
        <v>46308</v>
      </c>
      <c r="M41" s="38" t="n">
        <v>46367</v>
      </c>
      <c r="N41" s="36" t="inlineStr"/>
      <c r="O41" s="36" t="inlineStr">
        <is>
          <t>3(2) 人口推計等</t>
        </is>
      </c>
      <c r="P41" s="35" t="inlineStr"/>
      <c r="Q41" s="36" t="inlineStr"/>
    </row>
    <row r="42" ht="20" customHeight="1">
      <c r="A42" s="19" t="inlineStr"/>
      <c r="B42" s="19" t="inlineStr">
        <is>
          <t>3.1</t>
        </is>
      </c>
      <c r="C42" s="19" t="n">
        <v>2</v>
      </c>
      <c r="D42" s="20" t="inlineStr">
        <is>
          <t>人口推計・要支援要介護認定者数の推計</t>
        </is>
      </c>
      <c r="E42" s="20" t="inlineStr">
        <is>
          <t>人口推計</t>
        </is>
      </c>
      <c r="F42" s="20" t="inlineStr"/>
      <c r="G42" s="20" t="inlineStr"/>
      <c r="H42" s="20" t="inlineStr"/>
      <c r="I42" s="19" t="inlineStr"/>
      <c r="J42" s="20" t="inlineStr"/>
      <c r="K42" s="21">
        <f>SUMIF($C$43:$C$45,3,$K$43:$K$45)</f>
        <v/>
      </c>
      <c r="L42" s="22" t="n">
        <v>46308</v>
      </c>
      <c r="M42" s="22" t="n">
        <v>46346</v>
      </c>
      <c r="N42" s="20" t="inlineStr"/>
      <c r="O42" s="20" t="inlineStr">
        <is>
          <t>3(2) 人口推計等</t>
        </is>
      </c>
      <c r="P42" s="19" t="inlineStr"/>
      <c r="Q42" s="20" t="inlineStr"/>
    </row>
    <row r="43" ht="46" customHeight="1">
      <c r="A43" s="23" t="n">
        <v>28</v>
      </c>
      <c r="B43" s="23" t="inlineStr">
        <is>
          <t>3.1.1</t>
        </is>
      </c>
      <c r="C43" s="23" t="n">
        <v>3</v>
      </c>
      <c r="D43" s="5" t="inlineStr">
        <is>
          <t>人口推計・要支援要介護認定者数の推計</t>
        </is>
      </c>
      <c r="E43" s="5" t="inlineStr">
        <is>
          <t>人口推計</t>
        </is>
      </c>
      <c r="F43" s="5" t="inlineStr">
        <is>
          <t>推計手法の設定・基準人口の確定</t>
        </is>
      </c>
      <c r="G43" s="5" t="inlineStr">
        <is>
          <t>コーホート要因法を基本とし、基準人口（住民基本台帳／国勢調査）、基準日、推計単位を村と確認</t>
        </is>
      </c>
      <c r="H43" s="5" t="inlineStr">
        <is>
          <t>推計条件設定書</t>
        </is>
      </c>
      <c r="I43" s="23" t="inlineStr">
        <is>
          <t>受託者</t>
        </is>
      </c>
      <c r="J43" s="5" t="inlineStr">
        <is>
          <t>基準人口の確認</t>
        </is>
      </c>
      <c r="K43" s="24" t="n">
        <v>0.5</v>
      </c>
      <c r="L43" s="25" t="n">
        <v>46308</v>
      </c>
      <c r="M43" s="25" t="n">
        <v>46318</v>
      </c>
      <c r="N43" s="5" t="inlineStr">
        <is>
          <t>2.1.1</t>
        </is>
      </c>
      <c r="O43" s="5" t="inlineStr">
        <is>
          <t>3(2) 人口推計等</t>
        </is>
      </c>
      <c r="P43" s="23" t="inlineStr">
        <is>
          <t>未着手</t>
        </is>
      </c>
      <c r="Q43" s="5" t="inlineStr">
        <is>
          <t>社人研の仮定値を基本に直近実績で補正</t>
        </is>
      </c>
    </row>
    <row r="44" ht="46" customHeight="1">
      <c r="A44" s="26" t="n">
        <v>29</v>
      </c>
      <c r="B44" s="26" t="inlineStr">
        <is>
          <t>3.1.2</t>
        </is>
      </c>
      <c r="C44" s="26" t="n">
        <v>3</v>
      </c>
      <c r="D44" s="9" t="inlineStr">
        <is>
          <t>人口推計・要支援要介護認定者数の推計</t>
        </is>
      </c>
      <c r="E44" s="9" t="inlineStr">
        <is>
          <t>人口推計</t>
        </is>
      </c>
      <c r="F44" s="9" t="inlineStr">
        <is>
          <t>将来人口推計（令和9年度から10年間程度）</t>
        </is>
      </c>
      <c r="G44" s="9" t="inlineStr">
        <is>
          <t>生残率・純移動率・出生仮定を設定し、男女5歳階級別に令和9年度〜令和18年度の人口を推計</t>
        </is>
      </c>
      <c r="H44" s="9" t="inlineStr">
        <is>
          <t>将来人口推計表・グラフ</t>
        </is>
      </c>
      <c r="I44" s="26" t="inlineStr">
        <is>
          <t>受託者</t>
        </is>
      </c>
      <c r="J44" s="9" t="inlineStr">
        <is>
          <t>－</t>
        </is>
      </c>
      <c r="K44" s="27" t="n">
        <v>1.5</v>
      </c>
      <c r="L44" s="28" t="n">
        <v>46321</v>
      </c>
      <c r="M44" s="28" t="n">
        <v>46339</v>
      </c>
      <c r="N44" s="9" t="inlineStr">
        <is>
          <t>3.1.1</t>
        </is>
      </c>
      <c r="O44" s="9" t="inlineStr">
        <is>
          <t>3(2) 令和9年から10年間程度の将来推計</t>
        </is>
      </c>
      <c r="P44" s="26" t="inlineStr">
        <is>
          <t>未着手</t>
        </is>
      </c>
      <c r="Q44" s="9" t="inlineStr">
        <is>
          <t>65-74歳／75歳以上・高齢化率を算出</t>
        </is>
      </c>
    </row>
    <row r="45" ht="46" customHeight="1">
      <c r="A45" s="23" t="n">
        <v>30</v>
      </c>
      <c r="B45" s="23" t="inlineStr">
        <is>
          <t>3.1.3</t>
        </is>
      </c>
      <c r="C45" s="23" t="n">
        <v>3</v>
      </c>
      <c r="D45" s="5" t="inlineStr">
        <is>
          <t>人口推計・要支援要介護認定者数の推計</t>
        </is>
      </c>
      <c r="E45" s="5" t="inlineStr">
        <is>
          <t>人口推計</t>
        </is>
      </c>
      <c r="F45" s="5" t="inlineStr">
        <is>
          <t>推計結果の検証・妥当性確認</t>
        </is>
      </c>
      <c r="G45" s="5" t="inlineStr">
        <is>
          <t>社人研推計・過去トレンドとの比較検証、村の開発・転入出動向を踏まえた妥当性の確認と補正</t>
        </is>
      </c>
      <c r="H45" s="5" t="inlineStr">
        <is>
          <t>推計検証資料</t>
        </is>
      </c>
      <c r="I45" s="23" t="inlineStr">
        <is>
          <t>受託者</t>
        </is>
      </c>
      <c r="J45" s="5" t="inlineStr">
        <is>
          <t>地域事情の情報提供</t>
        </is>
      </c>
      <c r="K45" s="24" t="n">
        <v>0.5</v>
      </c>
      <c r="L45" s="25" t="n">
        <v>46335</v>
      </c>
      <c r="M45" s="25" t="n">
        <v>46346</v>
      </c>
      <c r="N45" s="5" t="inlineStr">
        <is>
          <t>3.1.2</t>
        </is>
      </c>
      <c r="O45" s="5" t="inlineStr">
        <is>
          <t>3(2) 人口推計等</t>
        </is>
      </c>
      <c r="P45" s="23" t="inlineStr">
        <is>
          <t>未着手</t>
        </is>
      </c>
      <c r="Q45" s="5" t="inlineStr">
        <is>
          <t>国の基本指針が中長期（令和22年度等）を求める場合は対象年次を追加</t>
        </is>
      </c>
    </row>
    <row r="46" ht="20" customHeight="1">
      <c r="A46" s="19" t="inlineStr"/>
      <c r="B46" s="19" t="inlineStr">
        <is>
          <t>3.2</t>
        </is>
      </c>
      <c r="C46" s="19" t="n">
        <v>2</v>
      </c>
      <c r="D46" s="20" t="inlineStr">
        <is>
          <t>人口推計・要支援要介護認定者数の推計</t>
        </is>
      </c>
      <c r="E46" s="20" t="inlineStr">
        <is>
          <t>要支援・要介護認定者数の推計</t>
        </is>
      </c>
      <c r="F46" s="20" t="inlineStr"/>
      <c r="G46" s="20" t="inlineStr"/>
      <c r="H46" s="20" t="inlineStr"/>
      <c r="I46" s="19" t="inlineStr"/>
      <c r="J46" s="20" t="inlineStr"/>
      <c r="K46" s="21">
        <f>SUMIF($C$47:$C$49,3,$K$47:$K$49)</f>
        <v/>
      </c>
      <c r="L46" s="22" t="n">
        <v>46335</v>
      </c>
      <c r="M46" s="22" t="n">
        <v>46365</v>
      </c>
      <c r="N46" s="20" t="inlineStr"/>
      <c r="O46" s="20" t="inlineStr">
        <is>
          <t>3(2) 認定者数の推計</t>
        </is>
      </c>
      <c r="P46" s="19" t="inlineStr"/>
      <c r="Q46" s="20" t="inlineStr"/>
    </row>
    <row r="47" ht="46" customHeight="1">
      <c r="A47" s="23" t="n">
        <v>31</v>
      </c>
      <c r="B47" s="23" t="inlineStr">
        <is>
          <t>3.2.1</t>
        </is>
      </c>
      <c r="C47" s="23" t="n">
        <v>3</v>
      </c>
      <c r="D47" s="5" t="inlineStr">
        <is>
          <t>人口推計・要支援要介護認定者数の推計</t>
        </is>
      </c>
      <c r="E47" s="5" t="inlineStr">
        <is>
          <t>要支援・要介護認定者数の推計</t>
        </is>
      </c>
      <c r="F47" s="5" t="inlineStr">
        <is>
          <t>性・年齢階級別認定率の設定</t>
        </is>
      </c>
      <c r="G47" s="5" t="inlineStr">
        <is>
          <t>直近実績から第1号・第2号被保険者の性・年齢階級別認定率を算出し、将来の認定率仮定を設定</t>
        </is>
      </c>
      <c r="H47" s="5" t="inlineStr">
        <is>
          <t>認定率設定表</t>
        </is>
      </c>
      <c r="I47" s="23" t="inlineStr">
        <is>
          <t>受託者</t>
        </is>
      </c>
      <c r="J47" s="5" t="inlineStr">
        <is>
          <t>認定データの確認</t>
        </is>
      </c>
      <c r="K47" s="24" t="n">
        <v>0.5</v>
      </c>
      <c r="L47" s="25" t="n">
        <v>46335</v>
      </c>
      <c r="M47" s="25" t="n">
        <v>46346</v>
      </c>
      <c r="N47" s="5" t="inlineStr">
        <is>
          <t>2.3.1</t>
        </is>
      </c>
      <c r="O47" s="5" t="inlineStr">
        <is>
          <t>3(2) 認定者数の推計</t>
        </is>
      </c>
      <c r="P47" s="23" t="inlineStr">
        <is>
          <t>未着手</t>
        </is>
      </c>
      <c r="Q47" s="5" t="inlineStr">
        <is>
          <t>国の基本指針の考え方に従い設定</t>
        </is>
      </c>
    </row>
    <row r="48" ht="46" customHeight="1">
      <c r="A48" s="26" t="n">
        <v>32</v>
      </c>
      <c r="B48" s="26" t="inlineStr">
        <is>
          <t>3.2.2</t>
        </is>
      </c>
      <c r="C48" s="26" t="n">
        <v>3</v>
      </c>
      <c r="D48" s="9" t="inlineStr">
        <is>
          <t>人口推計・要支援要介護認定者数の推計</t>
        </is>
      </c>
      <c r="E48" s="9" t="inlineStr">
        <is>
          <t>要支援・要介護認定者数の推計</t>
        </is>
      </c>
      <c r="F48" s="9" t="inlineStr">
        <is>
          <t>各年度の要支援・要介護認定者数の推計</t>
        </is>
      </c>
      <c r="G48" s="9" t="inlineStr">
        <is>
          <t>将来人口×認定率により、要支援1〜要介護5別の各年度認定者数を推計（第10期3か年＋中長期）</t>
        </is>
      </c>
      <c r="H48" s="9" t="inlineStr">
        <is>
          <t>認定者数推計表・グラフ</t>
        </is>
      </c>
      <c r="I48" s="26" t="inlineStr">
        <is>
          <t>受託者</t>
        </is>
      </c>
      <c r="J48" s="9" t="inlineStr">
        <is>
          <t>－</t>
        </is>
      </c>
      <c r="K48" s="27" t="n">
        <v>1.5</v>
      </c>
      <c r="L48" s="28" t="n">
        <v>46342</v>
      </c>
      <c r="M48" s="28" t="n">
        <v>46360</v>
      </c>
      <c r="N48" s="9" t="inlineStr">
        <is>
          <t>3.1.2, 3.2.1</t>
        </is>
      </c>
      <c r="O48" s="9" t="inlineStr">
        <is>
          <t>3(2) 国の基本指針に従い各年度を推計</t>
        </is>
      </c>
      <c r="P48" s="26" t="inlineStr">
        <is>
          <t>未着手</t>
        </is>
      </c>
      <c r="Q48" s="9" t="inlineStr">
        <is>
          <t>4.1 見込量推計の前提</t>
        </is>
      </c>
    </row>
    <row r="49" ht="46" customHeight="1">
      <c r="A49" s="23" t="n">
        <v>33</v>
      </c>
      <c r="B49" s="23" t="inlineStr">
        <is>
          <t>3.2.3</t>
        </is>
      </c>
      <c r="C49" s="23" t="n">
        <v>3</v>
      </c>
      <c r="D49" s="5" t="inlineStr">
        <is>
          <t>人口推計・要支援要介護認定者数の推計</t>
        </is>
      </c>
      <c r="E49" s="5" t="inlineStr">
        <is>
          <t>要支援・要介護認定者数の推計</t>
        </is>
      </c>
      <c r="F49" s="5" t="inlineStr">
        <is>
          <t>推計結果の検証・村協議</t>
        </is>
      </c>
      <c r="G49" s="5" t="inlineStr">
        <is>
          <t>認定調査・審査会の運用状況、施設整備の予定等を踏まえて推計値を検証し、村担当課と確認</t>
        </is>
      </c>
      <c r="H49" s="5" t="inlineStr">
        <is>
          <t>推計検証・協議記録</t>
        </is>
      </c>
      <c r="I49" s="23" t="inlineStr">
        <is>
          <t>受託者</t>
        </is>
      </c>
      <c r="J49" s="5" t="inlineStr">
        <is>
          <t>実務状況の確認・確定</t>
        </is>
      </c>
      <c r="K49" s="24" t="n">
        <v>0.5</v>
      </c>
      <c r="L49" s="25" t="n">
        <v>46357</v>
      </c>
      <c r="M49" s="25" t="n">
        <v>46365</v>
      </c>
      <c r="N49" s="5" t="inlineStr">
        <is>
          <t>3.2.2</t>
        </is>
      </c>
      <c r="O49" s="5" t="inlineStr">
        <is>
          <t>3(2) 認定者数の推計</t>
        </is>
      </c>
      <c r="P49" s="23" t="inlineStr">
        <is>
          <t>未着手</t>
        </is>
      </c>
      <c r="Q49" s="5" t="inlineStr">
        <is>
          <t>確定値を4章以降で使用</t>
        </is>
      </c>
    </row>
    <row r="50" ht="20" customHeight="1">
      <c r="A50" s="19" t="inlineStr"/>
      <c r="B50" s="19" t="inlineStr">
        <is>
          <t>3.3</t>
        </is>
      </c>
      <c r="C50" s="19" t="n">
        <v>2</v>
      </c>
      <c r="D50" s="20" t="inlineStr">
        <is>
          <t>人口推計・要支援要介護認定者数の推計</t>
        </is>
      </c>
      <c r="E50" s="20" t="inlineStr">
        <is>
          <t>推計結果の資料化</t>
        </is>
      </c>
      <c r="F50" s="20" t="inlineStr"/>
      <c r="G50" s="20" t="inlineStr"/>
      <c r="H50" s="20" t="inlineStr"/>
      <c r="I50" s="19" t="inlineStr"/>
      <c r="J50" s="20" t="inlineStr"/>
      <c r="K50" s="21">
        <f>SUMIF($C$51:$C$51,3,$K$51:$K$51)</f>
        <v/>
      </c>
      <c r="L50" s="22" t="n">
        <v>46363</v>
      </c>
      <c r="M50" s="22" t="n">
        <v>46367</v>
      </c>
      <c r="N50" s="20" t="inlineStr"/>
      <c r="O50" s="20" t="inlineStr">
        <is>
          <t>3(2) 人口推計等</t>
        </is>
      </c>
      <c r="P50" s="19" t="inlineStr"/>
      <c r="Q50" s="20" t="inlineStr"/>
    </row>
    <row r="51" ht="46" customHeight="1">
      <c r="A51" s="23" t="n">
        <v>34</v>
      </c>
      <c r="B51" s="23" t="inlineStr">
        <is>
          <t>3.3.1</t>
        </is>
      </c>
      <c r="C51" s="23" t="n">
        <v>3</v>
      </c>
      <c r="D51" s="5" t="inlineStr">
        <is>
          <t>人口推計・要支援要介護認定者数の推計</t>
        </is>
      </c>
      <c r="E51" s="5" t="inlineStr">
        <is>
          <t>推計結果の資料化</t>
        </is>
      </c>
      <c r="F51" s="29" t="inlineStr">
        <is>
          <t>人口・認定者数推計結果の資料化</t>
        </is>
      </c>
      <c r="G51" s="5" t="inlineStr">
        <is>
          <t>推計手法・仮定条件・結果を計画掲載用の図表に整理し、根拠データを併せて保存</t>
        </is>
      </c>
      <c r="H51" s="5" t="inlineStr">
        <is>
          <t>人口・認定者数推計 結果資料</t>
        </is>
      </c>
      <c r="I51" s="23" t="inlineStr">
        <is>
          <t>受託者</t>
        </is>
      </c>
      <c r="J51" s="5" t="inlineStr">
        <is>
          <t>内容確認</t>
        </is>
      </c>
      <c r="K51" s="24" t="n">
        <v>1</v>
      </c>
      <c r="L51" s="25" t="n">
        <v>46363</v>
      </c>
      <c r="M51" s="25" t="n">
        <v>46367</v>
      </c>
      <c r="N51" s="5" t="inlineStr">
        <is>
          <t>3.1.3, 3.2.3</t>
        </is>
      </c>
      <c r="O51" s="5" t="inlineStr">
        <is>
          <t>3(2) 人口推計等</t>
        </is>
      </c>
      <c r="P51" s="23" t="inlineStr">
        <is>
          <t>未着手</t>
        </is>
      </c>
      <c r="Q51" s="5" t="inlineStr">
        <is>
          <t>★中間成果物／計画第2章に反映</t>
        </is>
      </c>
    </row>
    <row r="52" ht="24" customHeight="1">
      <c r="A52" s="39" t="inlineStr"/>
      <c r="B52" s="39" t="inlineStr">
        <is>
          <t>4</t>
        </is>
      </c>
      <c r="C52" s="39" t="n">
        <v>1</v>
      </c>
      <c r="D52" s="40" t="inlineStr">
        <is>
          <t>介護サービス見込量・保険料の推計</t>
        </is>
      </c>
      <c r="E52" s="40" t="inlineStr"/>
      <c r="F52" s="40" t="inlineStr"/>
      <c r="G52" s="40" t="inlineStr"/>
      <c r="H52" s="40" t="inlineStr"/>
      <c r="I52" s="39" t="inlineStr"/>
      <c r="J52" s="40" t="inlineStr"/>
      <c r="K52" s="41">
        <f>SUMIF($C$53:$C$67,3,$K$53:$K$67)</f>
        <v/>
      </c>
      <c r="L52" s="42" t="n">
        <v>46357</v>
      </c>
      <c r="M52" s="42" t="n">
        <v>46459</v>
      </c>
      <c r="N52" s="40" t="inlineStr"/>
      <c r="O52" s="40" t="inlineStr">
        <is>
          <t>3(3) 見込量・保険料</t>
        </is>
      </c>
      <c r="P52" s="39" t="inlineStr"/>
      <c r="Q52" s="40" t="inlineStr"/>
    </row>
    <row r="53" ht="20" customHeight="1">
      <c r="A53" s="19" t="inlineStr"/>
      <c r="B53" s="19" t="inlineStr">
        <is>
          <t>4.1</t>
        </is>
      </c>
      <c r="C53" s="19" t="n">
        <v>2</v>
      </c>
      <c r="D53" s="20" t="inlineStr">
        <is>
          <t>介護サービス見込量・保険料の推計</t>
        </is>
      </c>
      <c r="E53" s="20" t="inlineStr">
        <is>
          <t>介護サービス見込量の推計</t>
        </is>
      </c>
      <c r="F53" s="20" t="inlineStr"/>
      <c r="G53" s="20" t="inlineStr"/>
      <c r="H53" s="20" t="inlineStr"/>
      <c r="I53" s="19" t="inlineStr"/>
      <c r="J53" s="20" t="inlineStr"/>
      <c r="K53" s="21">
        <f>SUMIF($C$54:$C$57,3,$K$54:$K$57)</f>
        <v/>
      </c>
      <c r="L53" s="22" t="n">
        <v>46357</v>
      </c>
      <c r="M53" s="22" t="n">
        <v>46402</v>
      </c>
      <c r="N53" s="20" t="inlineStr"/>
      <c r="O53" s="20" t="inlineStr">
        <is>
          <t>3(3) サービス見込量</t>
        </is>
      </c>
      <c r="P53" s="19" t="inlineStr"/>
      <c r="Q53" s="20" t="inlineStr"/>
    </row>
    <row r="54" ht="46" customHeight="1">
      <c r="A54" s="26" t="n">
        <v>35</v>
      </c>
      <c r="B54" s="26" t="inlineStr">
        <is>
          <t>4.1.1</t>
        </is>
      </c>
      <c r="C54" s="26" t="n">
        <v>3</v>
      </c>
      <c r="D54" s="9" t="inlineStr">
        <is>
          <t>介護サービス見込量・保険料の推計</t>
        </is>
      </c>
      <c r="E54" s="9" t="inlineStr">
        <is>
          <t>介護サービス見込量の推計</t>
        </is>
      </c>
      <c r="F54" s="9" t="inlineStr">
        <is>
          <t>推計ツールの設定・実績データ投入</t>
        </is>
      </c>
      <c r="G54" s="9" t="inlineStr">
        <is>
          <t>地域包括ケア「見える化」システム等の推計ツールに、人口・認定者数・給付実績データを投入し初期設定</t>
        </is>
      </c>
      <c r="H54" s="9" t="inlineStr">
        <is>
          <t>推計ツール設定データ</t>
        </is>
      </c>
      <c r="I54" s="26" t="inlineStr">
        <is>
          <t>受託者</t>
        </is>
      </c>
      <c r="J54" s="9" t="inlineStr">
        <is>
          <t>システム利用環境の確認</t>
        </is>
      </c>
      <c r="K54" s="27" t="n">
        <v>1</v>
      </c>
      <c r="L54" s="28" t="n">
        <v>46357</v>
      </c>
      <c r="M54" s="28" t="n">
        <v>46367</v>
      </c>
      <c r="N54" s="9" t="inlineStr">
        <is>
          <t>3.2.3, 2.3.2</t>
        </is>
      </c>
      <c r="O54" s="9" t="inlineStr">
        <is>
          <t>3(3) 推計ツール等を用いて</t>
        </is>
      </c>
      <c r="P54" s="26" t="inlineStr">
        <is>
          <t>未着手</t>
        </is>
      </c>
      <c r="Q54" s="9" t="inlineStr">
        <is>
          <t>国の最新版ツールの公開時期に留意</t>
        </is>
      </c>
    </row>
    <row r="55" ht="46" customHeight="1">
      <c r="A55" s="23" t="n">
        <v>36</v>
      </c>
      <c r="B55" s="23" t="inlineStr">
        <is>
          <t>4.1.2</t>
        </is>
      </c>
      <c r="C55" s="23" t="n">
        <v>3</v>
      </c>
      <c r="D55" s="5" t="inlineStr">
        <is>
          <t>介護サービス見込量・保険料の推計</t>
        </is>
      </c>
      <c r="E55" s="5" t="inlineStr">
        <is>
          <t>介護サービス見込量の推計</t>
        </is>
      </c>
      <c r="F55" s="5" t="inlineStr">
        <is>
          <t>サービス種類別見込量の推計（令和9〜11年度）</t>
        </is>
      </c>
      <c r="G55" s="5" t="inlineStr">
        <is>
          <t>居宅・地域密着型・施設サービスの種類ごとに、各年度の受給者数・利用回数（日数）の見込量を推計</t>
        </is>
      </c>
      <c r="H55" s="5" t="inlineStr">
        <is>
          <t>サービス見込量推計表</t>
        </is>
      </c>
      <c r="I55" s="23" t="inlineStr">
        <is>
          <t>受託者</t>
        </is>
      </c>
      <c r="J55" s="5" t="inlineStr">
        <is>
          <t>－</t>
        </is>
      </c>
      <c r="K55" s="24" t="n">
        <v>2</v>
      </c>
      <c r="L55" s="25" t="n">
        <v>46363</v>
      </c>
      <c r="M55" s="25" t="n">
        <v>46381</v>
      </c>
      <c r="N55" s="5" t="inlineStr">
        <is>
          <t>4.1.1</t>
        </is>
      </c>
      <c r="O55" s="5" t="inlineStr">
        <is>
          <t>3(3) 令和11年度までの各年度・種類ごと</t>
        </is>
      </c>
      <c r="P55" s="23" t="inlineStr">
        <is>
          <t>未着手</t>
        </is>
      </c>
      <c r="Q55" s="5" t="inlineStr">
        <is>
          <t>第10期＝令和9〜11年度の3か年</t>
        </is>
      </c>
    </row>
    <row r="56" ht="46" customHeight="1">
      <c r="A56" s="26" t="n">
        <v>37</v>
      </c>
      <c r="B56" s="26" t="inlineStr">
        <is>
          <t>4.1.3</t>
        </is>
      </c>
      <c r="C56" s="26" t="n">
        <v>3</v>
      </c>
      <c r="D56" s="9" t="inlineStr">
        <is>
          <t>介護サービス見込量・保険料の推計</t>
        </is>
      </c>
      <c r="E56" s="9" t="inlineStr">
        <is>
          <t>介護サービス見込量の推計</t>
        </is>
      </c>
      <c r="F56" s="9" t="inlineStr">
        <is>
          <t>ニーズ調査結果・施策方針の反映</t>
        </is>
      </c>
      <c r="G56" s="9" t="inlineStr">
        <is>
          <t>ニーズ調査結果および村の施策方針（介護予防強化、在宅支援等）を見込量に反映し調整</t>
        </is>
      </c>
      <c r="H56" s="9" t="inlineStr">
        <is>
          <t>見込量調整記録</t>
        </is>
      </c>
      <c r="I56" s="26" t="inlineStr">
        <is>
          <t>受託者</t>
        </is>
      </c>
      <c r="J56" s="9" t="inlineStr">
        <is>
          <t>施策方針の提示</t>
        </is>
      </c>
      <c r="K56" s="27" t="n">
        <v>1</v>
      </c>
      <c r="L56" s="28" t="n">
        <v>46370</v>
      </c>
      <c r="M56" s="28" t="n">
        <v>46395</v>
      </c>
      <c r="N56" s="9" t="inlineStr">
        <is>
          <t>2.4.2, 4.1.2</t>
        </is>
      </c>
      <c r="O56" s="9" t="inlineStr">
        <is>
          <t>3(3) ニーズ調査結果の反映</t>
        </is>
      </c>
      <c r="P56" s="26" t="inlineStr">
        <is>
          <t>未着手</t>
        </is>
      </c>
      <c r="Q56" s="9" t="inlineStr">
        <is>
          <t>国の指示に適宜対応（仕様書3(3)）</t>
        </is>
      </c>
    </row>
    <row r="57" ht="46" customHeight="1">
      <c r="A57" s="23" t="n">
        <v>38</v>
      </c>
      <c r="B57" s="23" t="inlineStr">
        <is>
          <t>4.1.4</t>
        </is>
      </c>
      <c r="C57" s="23" t="n">
        <v>3</v>
      </c>
      <c r="D57" s="5" t="inlineStr">
        <is>
          <t>介護サービス見込量・保険料の推計</t>
        </is>
      </c>
      <c r="E57" s="5" t="inlineStr">
        <is>
          <t>介護サービス見込量の推計</t>
        </is>
      </c>
      <c r="F57" s="29" t="inlineStr">
        <is>
          <t>見込量の妥当性検証・村協議</t>
        </is>
      </c>
      <c r="G57" s="5" t="inlineStr">
        <is>
          <t>過去トレンド・北海道平均との比較、圏域外利用や事業所の供給力を踏まえた実現可能性を検証</t>
        </is>
      </c>
      <c r="H57" s="5" t="inlineStr">
        <is>
          <t>見込量検証資料</t>
        </is>
      </c>
      <c r="I57" s="23" t="inlineStr">
        <is>
          <t>受託者</t>
        </is>
      </c>
      <c r="J57" s="5" t="inlineStr">
        <is>
          <t>供給力の確認・確定</t>
        </is>
      </c>
      <c r="K57" s="24" t="n">
        <v>0.5</v>
      </c>
      <c r="L57" s="25" t="n">
        <v>46393</v>
      </c>
      <c r="M57" s="25" t="n">
        <v>46402</v>
      </c>
      <c r="N57" s="5" t="inlineStr">
        <is>
          <t>4.1.3</t>
        </is>
      </c>
      <c r="O57" s="5" t="inlineStr">
        <is>
          <t>3(3) サービス見込量</t>
        </is>
      </c>
      <c r="P57" s="23" t="inlineStr">
        <is>
          <t>未着手</t>
        </is>
      </c>
      <c r="Q57" s="5" t="inlineStr">
        <is>
          <t>★見込量の確定（マイルストーン）</t>
        </is>
      </c>
    </row>
    <row r="58" ht="20" customHeight="1">
      <c r="A58" s="19" t="inlineStr"/>
      <c r="B58" s="19" t="inlineStr">
        <is>
          <t>4.2</t>
        </is>
      </c>
      <c r="C58" s="19" t="n">
        <v>2</v>
      </c>
      <c r="D58" s="20" t="inlineStr">
        <is>
          <t>介護サービス見込量・保険料の推計</t>
        </is>
      </c>
      <c r="E58" s="20" t="inlineStr">
        <is>
          <t>給付費・地域支援事業費の見込</t>
        </is>
      </c>
      <c r="F58" s="20" t="inlineStr"/>
      <c r="G58" s="20" t="inlineStr"/>
      <c r="H58" s="20" t="inlineStr"/>
      <c r="I58" s="19" t="inlineStr"/>
      <c r="J58" s="20" t="inlineStr"/>
      <c r="K58" s="21">
        <f>SUMIF($C$59:$C$60,3,$K$59:$K$60)</f>
        <v/>
      </c>
      <c r="L58" s="22" t="n">
        <v>46377</v>
      </c>
      <c r="M58" s="22" t="n">
        <v>46409</v>
      </c>
      <c r="N58" s="20" t="inlineStr"/>
      <c r="O58" s="20" t="inlineStr">
        <is>
          <t>3(3) 見込量・保険料</t>
        </is>
      </c>
      <c r="P58" s="19" t="inlineStr"/>
      <c r="Q58" s="20" t="inlineStr"/>
    </row>
    <row r="59" ht="46" customHeight="1">
      <c r="A59" s="23" t="n">
        <v>39</v>
      </c>
      <c r="B59" s="23" t="inlineStr">
        <is>
          <t>4.2.1</t>
        </is>
      </c>
      <c r="C59" s="23" t="n">
        <v>3</v>
      </c>
      <c r="D59" s="5" t="inlineStr">
        <is>
          <t>介護サービス見込量・保険料の推計</t>
        </is>
      </c>
      <c r="E59" s="5" t="inlineStr">
        <is>
          <t>給付費・地域支援事業費の見込</t>
        </is>
      </c>
      <c r="F59" s="5" t="inlineStr">
        <is>
          <t>介護報酬改定等の国の情報の反映</t>
        </is>
      </c>
      <c r="G59" s="5" t="inlineStr">
        <is>
          <t>介護報酬改定率、区分支給限度額、負担割合、公費負担割合等の国の決定事項を確認し前提に反映</t>
        </is>
      </c>
      <c r="H59" s="5" t="inlineStr">
        <is>
          <t>算定前提条件整理メモ</t>
        </is>
      </c>
      <c r="I59" s="23" t="inlineStr">
        <is>
          <t>受託者</t>
        </is>
      </c>
      <c r="J59" s="5" t="inlineStr">
        <is>
          <t>国通知の共有</t>
        </is>
      </c>
      <c r="K59" s="24" t="n">
        <v>0.5</v>
      </c>
      <c r="L59" s="25" t="n">
        <v>46377</v>
      </c>
      <c r="M59" s="25" t="n">
        <v>46402</v>
      </c>
      <c r="N59" s="5" t="inlineStr">
        <is>
          <t>－</t>
        </is>
      </c>
      <c r="O59" s="5" t="inlineStr">
        <is>
          <t>5 その他（国の指示の遵守）</t>
        </is>
      </c>
      <c r="P59" s="23" t="inlineStr">
        <is>
          <t>未着手</t>
        </is>
      </c>
      <c r="Q59" s="5" t="inlineStr">
        <is>
          <t>改定率確定が遅れる場合は暫定値で算定→確定後に再算定</t>
        </is>
      </c>
    </row>
    <row r="60" ht="46" customHeight="1">
      <c r="A60" s="26" t="n">
        <v>40</v>
      </c>
      <c r="B60" s="26" t="inlineStr">
        <is>
          <t>4.2.2</t>
        </is>
      </c>
      <c r="C60" s="26" t="n">
        <v>3</v>
      </c>
      <c r="D60" s="9" t="inlineStr">
        <is>
          <t>介護サービス見込量・保険料の推計</t>
        </is>
      </c>
      <c r="E60" s="9" t="inlineStr">
        <is>
          <t>給付費・地域支援事業費の見込</t>
        </is>
      </c>
      <c r="F60" s="9" t="inlineStr">
        <is>
          <t>標準給付費・地域支援事業費の算出</t>
        </is>
      </c>
      <c r="G60" s="9" t="inlineStr">
        <is>
          <t>見込量×単価により標準給付費を算出し、特定入所者介護サービス費・高額介護サービス費等を加算。地域支援事業費も算出</t>
        </is>
      </c>
      <c r="H60" s="9" t="inlineStr">
        <is>
          <t>給付費見込算出表</t>
        </is>
      </c>
      <c r="I60" s="26" t="inlineStr">
        <is>
          <t>受託者</t>
        </is>
      </c>
      <c r="J60" s="9" t="inlineStr">
        <is>
          <t>地域支援事業の方針提示</t>
        </is>
      </c>
      <c r="K60" s="27" t="n">
        <v>1</v>
      </c>
      <c r="L60" s="28" t="n">
        <v>46393</v>
      </c>
      <c r="M60" s="28" t="n">
        <v>46409</v>
      </c>
      <c r="N60" s="9" t="inlineStr">
        <is>
          <t>4.1.4, 4.2.1</t>
        </is>
      </c>
      <c r="O60" s="9" t="inlineStr">
        <is>
          <t>3(3) 見込量・保険料</t>
        </is>
      </c>
      <c r="P60" s="26" t="inlineStr">
        <is>
          <t>未着手</t>
        </is>
      </c>
      <c r="Q60" s="9" t="inlineStr">
        <is>
          <t>4.3 保険料算定の入力値</t>
        </is>
      </c>
    </row>
    <row r="61" ht="20" customHeight="1">
      <c r="A61" s="19" t="inlineStr"/>
      <c r="B61" s="19" t="inlineStr">
        <is>
          <t>4.3</t>
        </is>
      </c>
      <c r="C61" s="19" t="n">
        <v>2</v>
      </c>
      <c r="D61" s="20" t="inlineStr">
        <is>
          <t>介護サービス見込量・保険料の推計</t>
        </is>
      </c>
      <c r="E61" s="20" t="inlineStr">
        <is>
          <t>第10期介護保険料の算定</t>
        </is>
      </c>
      <c r="F61" s="20" t="inlineStr"/>
      <c r="G61" s="20" t="inlineStr"/>
      <c r="H61" s="20" t="inlineStr"/>
      <c r="I61" s="19" t="inlineStr"/>
      <c r="J61" s="20" t="inlineStr"/>
      <c r="K61" s="21">
        <f>SUMIF($C$62:$C$65,3,$K$62:$K$65)</f>
        <v/>
      </c>
      <c r="L61" s="22" t="n">
        <v>46370</v>
      </c>
      <c r="M61" s="22" t="n">
        <v>46428</v>
      </c>
      <c r="N61" s="20" t="inlineStr"/>
      <c r="O61" s="20" t="inlineStr">
        <is>
          <t>3(3) 第10期の介護保険料を算定</t>
        </is>
      </c>
      <c r="P61" s="19" t="inlineStr"/>
      <c r="Q61" s="20" t="inlineStr"/>
    </row>
    <row r="62" ht="46" customHeight="1">
      <c r="A62" s="26" t="n">
        <v>41</v>
      </c>
      <c r="B62" s="26" t="inlineStr">
        <is>
          <t>4.3.1</t>
        </is>
      </c>
      <c r="C62" s="26" t="n">
        <v>3</v>
      </c>
      <c r="D62" s="9" t="inlineStr">
        <is>
          <t>介護サービス見込量・保険料の推計</t>
        </is>
      </c>
      <c r="E62" s="9" t="inlineStr">
        <is>
          <t>第10期介護保険料の算定</t>
        </is>
      </c>
      <c r="F62" s="9" t="inlineStr">
        <is>
          <t>保険料算定の前提条件整理</t>
        </is>
      </c>
      <c r="G62" s="9" t="inlineStr">
        <is>
          <t>第1号被保険者負担割合、調整交付金交付割合、予定収納率、所得段階区分・乗率、被保険者数見込を設定</t>
        </is>
      </c>
      <c r="H62" s="9" t="inlineStr">
        <is>
          <t>保険料算定前提条件表</t>
        </is>
      </c>
      <c r="I62" s="26" t="inlineStr">
        <is>
          <t>受託者</t>
        </is>
      </c>
      <c r="J62" s="9" t="inlineStr">
        <is>
          <t>所得段階別被保険者数の提供</t>
        </is>
      </c>
      <c r="K62" s="27" t="n">
        <v>0.5</v>
      </c>
      <c r="L62" s="28" t="n">
        <v>46370</v>
      </c>
      <c r="M62" s="28" t="n">
        <v>46395</v>
      </c>
      <c r="N62" s="9" t="inlineStr">
        <is>
          <t>2.3.4</t>
        </is>
      </c>
      <c r="O62" s="9" t="inlineStr">
        <is>
          <t>3(3) 保険料の算定</t>
        </is>
      </c>
      <c r="P62" s="26" t="inlineStr">
        <is>
          <t>未着手</t>
        </is>
      </c>
      <c r="Q62" s="9" t="inlineStr">
        <is>
          <t>村独自の多段階設定の要否を協議</t>
        </is>
      </c>
    </row>
    <row r="63" ht="46" customHeight="1">
      <c r="A63" s="23" t="n">
        <v>42</v>
      </c>
      <c r="B63" s="23" t="inlineStr">
        <is>
          <t>4.3.2</t>
        </is>
      </c>
      <c r="C63" s="23" t="n">
        <v>3</v>
      </c>
      <c r="D63" s="5" t="inlineStr">
        <is>
          <t>介護サービス見込量・保険料の推計</t>
        </is>
      </c>
      <c r="E63" s="5" t="inlineStr">
        <is>
          <t>第10期介護保険料の算定</t>
        </is>
      </c>
      <c r="F63" s="5" t="inlineStr">
        <is>
          <t>財政シミュレーション（複数パターン）</t>
        </is>
      </c>
      <c r="G63" s="5" t="inlineStr">
        <is>
          <t>介護給付費準備基金の取崩し額を変えた複数パターンで保険料水準を試算し、財政運営上の影響を整理</t>
        </is>
      </c>
      <c r="H63" s="5" t="inlineStr">
        <is>
          <t>財政シミュレーション表（複数案）</t>
        </is>
      </c>
      <c r="I63" s="23" t="inlineStr">
        <is>
          <t>受託者</t>
        </is>
      </c>
      <c r="J63" s="5" t="inlineStr">
        <is>
          <t>基金活用方針の検討</t>
        </is>
      </c>
      <c r="K63" s="24" t="n">
        <v>1.5</v>
      </c>
      <c r="L63" s="25" t="n">
        <v>46399</v>
      </c>
      <c r="M63" s="25" t="n">
        <v>46416</v>
      </c>
      <c r="N63" s="5" t="inlineStr">
        <is>
          <t>4.2.2, 4.3.1</t>
        </is>
      </c>
      <c r="O63" s="5" t="inlineStr">
        <is>
          <t>3(3) 保険料の算定</t>
        </is>
      </c>
      <c r="P63" s="23" t="inlineStr">
        <is>
          <t>未着手</t>
        </is>
      </c>
      <c r="Q63" s="5" t="inlineStr">
        <is>
          <t>3案程度を提示し村が方針決定</t>
        </is>
      </c>
    </row>
    <row r="64" ht="46" customHeight="1">
      <c r="A64" s="26" t="n">
        <v>43</v>
      </c>
      <c r="B64" s="26" t="inlineStr">
        <is>
          <t>4.3.3</t>
        </is>
      </c>
      <c r="C64" s="26" t="n">
        <v>3</v>
      </c>
      <c r="D64" s="9" t="inlineStr">
        <is>
          <t>介護サービス見込量・保険料の推計</t>
        </is>
      </c>
      <c r="E64" s="9" t="inlineStr">
        <is>
          <t>第10期介護保険料の算定</t>
        </is>
      </c>
      <c r="F64" s="30" t="inlineStr">
        <is>
          <t>保険料基準額・所得段階別保険料の算定</t>
        </is>
      </c>
      <c r="G64" s="9" t="inlineStr">
        <is>
          <t>保険料収納必要額から基準額（月額）を算出し、所得段階別の保険料額を設定。第9期との比較も整理</t>
        </is>
      </c>
      <c r="H64" s="9" t="inlineStr">
        <is>
          <t>第10期介護保険料算定書</t>
        </is>
      </c>
      <c r="I64" s="26" t="inlineStr">
        <is>
          <t>受託者</t>
        </is>
      </c>
      <c r="J64" s="9" t="inlineStr">
        <is>
          <t>方針決定</t>
        </is>
      </c>
      <c r="K64" s="27" t="n">
        <v>1</v>
      </c>
      <c r="L64" s="28" t="n">
        <v>46412</v>
      </c>
      <c r="M64" s="28" t="n">
        <v>46423</v>
      </c>
      <c r="N64" s="9" t="inlineStr">
        <is>
          <t>4.3.2</t>
        </is>
      </c>
      <c r="O64" s="9" t="inlineStr">
        <is>
          <t>3(3) 第10期の介護保険料を算定</t>
        </is>
      </c>
      <c r="P64" s="26" t="inlineStr">
        <is>
          <t>未着手</t>
        </is>
      </c>
      <c r="Q64" s="9" t="inlineStr">
        <is>
          <t>★保険料算定（マイルストーン）</t>
        </is>
      </c>
    </row>
    <row r="65" ht="46" customHeight="1">
      <c r="A65" s="23" t="n">
        <v>44</v>
      </c>
      <c r="B65" s="23" t="inlineStr">
        <is>
          <t>4.3.4</t>
        </is>
      </c>
      <c r="C65" s="23" t="n">
        <v>3</v>
      </c>
      <c r="D65" s="5" t="inlineStr">
        <is>
          <t>介護サービス見込量・保険料の推計</t>
        </is>
      </c>
      <c r="E65" s="5" t="inlineStr">
        <is>
          <t>第10期介護保険料の算定</t>
        </is>
      </c>
      <c r="F65" s="5" t="inlineStr">
        <is>
          <t>算定結果の説明資料作成・村協議</t>
        </is>
      </c>
      <c r="G65" s="5" t="inlineStr">
        <is>
          <t>算定過程・前提条件・保険料水準の根拠を説明資料に整理し、第3回打合せで報告・協議</t>
        </is>
      </c>
      <c r="H65" s="5" t="inlineStr">
        <is>
          <t>保険料説明資料</t>
        </is>
      </c>
      <c r="I65" s="23" t="inlineStr">
        <is>
          <t>受託者</t>
        </is>
      </c>
      <c r="J65" s="5" t="inlineStr">
        <is>
          <t>内容確認・庁内説明</t>
        </is>
      </c>
      <c r="K65" s="24" t="n">
        <v>1</v>
      </c>
      <c r="L65" s="25" t="n">
        <v>46419</v>
      </c>
      <c r="M65" s="25" t="n">
        <v>46428</v>
      </c>
      <c r="N65" s="5" t="inlineStr">
        <is>
          <t>4.3.3</t>
        </is>
      </c>
      <c r="O65" s="5" t="inlineStr">
        <is>
          <t>3(3) 保険料の算定</t>
        </is>
      </c>
      <c r="P65" s="23" t="inlineStr">
        <is>
          <t>未着手</t>
        </is>
      </c>
      <c r="Q65" s="5" t="inlineStr">
        <is>
          <t>議会・住民説明での活用を想定</t>
        </is>
      </c>
    </row>
    <row r="66" ht="20" customHeight="1">
      <c r="A66" s="19" t="inlineStr"/>
      <c r="B66" s="19" t="inlineStr">
        <is>
          <t>4.4</t>
        </is>
      </c>
      <c r="C66" s="19" t="n">
        <v>2</v>
      </c>
      <c r="D66" s="20" t="inlineStr">
        <is>
          <t>介護サービス見込量・保険料の推計</t>
        </is>
      </c>
      <c r="E66" s="20" t="inlineStr">
        <is>
          <t>国の指示等に伴う再算定対応</t>
        </is>
      </c>
      <c r="F66" s="20" t="inlineStr"/>
      <c r="G66" s="20" t="inlineStr"/>
      <c r="H66" s="20" t="inlineStr"/>
      <c r="I66" s="19" t="inlineStr"/>
      <c r="J66" s="20" t="inlineStr"/>
      <c r="K66" s="21">
        <f>SUMIF($C$67:$C$67,3,$K$67:$K$67)</f>
        <v/>
      </c>
      <c r="L66" s="22" t="n">
        <v>46419</v>
      </c>
      <c r="M66" s="22" t="n">
        <v>46459</v>
      </c>
      <c r="N66" s="20" t="inlineStr"/>
      <c r="O66" s="20" t="inlineStr">
        <is>
          <t>5 その他</t>
        </is>
      </c>
      <c r="P66" s="19" t="inlineStr"/>
      <c r="Q66" s="20" t="inlineStr"/>
    </row>
    <row r="67" ht="46" customHeight="1">
      <c r="A67" s="23" t="n">
        <v>45</v>
      </c>
      <c r="B67" s="23" t="inlineStr">
        <is>
          <t>4.4.1</t>
        </is>
      </c>
      <c r="C67" s="23" t="n">
        <v>3</v>
      </c>
      <c r="D67" s="5" t="inlineStr">
        <is>
          <t>介護サービス見込量・保険料の推計</t>
        </is>
      </c>
      <c r="E67" s="5" t="inlineStr">
        <is>
          <t>国の指示等に伴う再算定対応</t>
        </is>
      </c>
      <c r="F67" s="5" t="inlineStr">
        <is>
          <t>国の確定情報に基づく見込量・保険料の再算定</t>
        </is>
      </c>
      <c r="G67" s="5" t="inlineStr">
        <is>
          <t>基本指針の告示・報酬改定率の確定等を受け、必要な範囲で見込量・給付費・保険料を再算定し反映</t>
        </is>
      </c>
      <c r="H67" s="5" t="inlineStr">
        <is>
          <t>再算定結果・修正版算定書</t>
        </is>
      </c>
      <c r="I67" s="23" t="inlineStr">
        <is>
          <t>受託者</t>
        </is>
      </c>
      <c r="J67" s="5" t="inlineStr">
        <is>
          <t>協議・確認</t>
        </is>
      </c>
      <c r="K67" s="24" t="n">
        <v>1</v>
      </c>
      <c r="L67" s="25" t="n">
        <v>46419</v>
      </c>
      <c r="M67" s="25" t="n">
        <v>46459</v>
      </c>
      <c r="N67" s="5" t="inlineStr">
        <is>
          <t>4.3.3</t>
        </is>
      </c>
      <c r="O67" s="5" t="inlineStr">
        <is>
          <t>5 その他（国の指示により仕様変更）</t>
        </is>
      </c>
      <c r="P67" s="23" t="inlineStr">
        <is>
          <t>未着手</t>
        </is>
      </c>
      <c r="Q67" s="5" t="inlineStr">
        <is>
          <t>変更が必要な場合は村と協議して決定</t>
        </is>
      </c>
    </row>
    <row r="68" ht="24" customHeight="1">
      <c r="A68" s="43" t="inlineStr"/>
      <c r="B68" s="43" t="inlineStr">
        <is>
          <t>5</t>
        </is>
      </c>
      <c r="C68" s="43" t="n">
        <v>1</v>
      </c>
      <c r="D68" s="44" t="inlineStr">
        <is>
          <t>計画素案の作成</t>
        </is>
      </c>
      <c r="E68" s="44" t="inlineStr"/>
      <c r="F68" s="44" t="inlineStr"/>
      <c r="G68" s="44" t="inlineStr"/>
      <c r="H68" s="44" t="inlineStr"/>
      <c r="I68" s="43" t="inlineStr"/>
      <c r="J68" s="44" t="inlineStr"/>
      <c r="K68" s="45">
        <f>SUMIF($C$69:$C$90,3,$K$69:$K$90)</f>
        <v/>
      </c>
      <c r="L68" s="46" t="n">
        <v>46342</v>
      </c>
      <c r="M68" s="46" t="n">
        <v>46459</v>
      </c>
      <c r="N68" s="44" t="inlineStr"/>
      <c r="O68" s="44" t="inlineStr">
        <is>
          <t>3(4) 計画素案の作成</t>
        </is>
      </c>
      <c r="P68" s="43" t="inlineStr"/>
      <c r="Q68" s="44" t="inlineStr"/>
    </row>
    <row r="69" ht="20" customHeight="1">
      <c r="A69" s="19" t="inlineStr"/>
      <c r="B69" s="19" t="inlineStr">
        <is>
          <t>5.1</t>
        </is>
      </c>
      <c r="C69" s="19" t="n">
        <v>2</v>
      </c>
      <c r="D69" s="20" t="inlineStr">
        <is>
          <t>計画素案の作成</t>
        </is>
      </c>
      <c r="E69" s="20" t="inlineStr">
        <is>
          <t>課題及び施策の方向の整理</t>
        </is>
      </c>
      <c r="F69" s="20" t="inlineStr"/>
      <c r="G69" s="20" t="inlineStr"/>
      <c r="H69" s="20" t="inlineStr"/>
      <c r="I69" s="19" t="inlineStr"/>
      <c r="J69" s="20" t="inlineStr"/>
      <c r="K69" s="21">
        <f>SUMIF($C$70:$C$72,3,$K$70:$K$72)</f>
        <v/>
      </c>
      <c r="L69" s="22" t="n">
        <v>46350</v>
      </c>
      <c r="M69" s="22" t="n">
        <v>46365</v>
      </c>
      <c r="N69" s="20" t="inlineStr"/>
      <c r="O69" s="20" t="inlineStr">
        <is>
          <t>3(4)① 課題及び施策の方向</t>
        </is>
      </c>
      <c r="P69" s="19" t="inlineStr"/>
      <c r="Q69" s="20" t="inlineStr"/>
    </row>
    <row r="70" ht="46" customHeight="1">
      <c r="A70" s="26" t="n">
        <v>46</v>
      </c>
      <c r="B70" s="26" t="inlineStr">
        <is>
          <t>5.1.1</t>
        </is>
      </c>
      <c r="C70" s="26" t="n">
        <v>3</v>
      </c>
      <c r="D70" s="9" t="inlineStr">
        <is>
          <t>計画素案の作成</t>
        </is>
      </c>
      <c r="E70" s="9" t="inlineStr">
        <is>
          <t>課題及び施策の方向の整理</t>
        </is>
      </c>
      <c r="F70" s="9" t="inlineStr">
        <is>
          <t>現状分析・推計結果からの課題抽出</t>
        </is>
      </c>
      <c r="G70" s="9" t="inlineStr">
        <is>
          <t>現状分析・第9期評価・ニーズ調査・推計結果を横断的に整理し、村の高齢者施策の課題を抽出・体系化</t>
        </is>
      </c>
      <c r="H70" s="9" t="inlineStr">
        <is>
          <t>課題整理シート</t>
        </is>
      </c>
      <c r="I70" s="26" t="inlineStr">
        <is>
          <t>受託者</t>
        </is>
      </c>
      <c r="J70" s="9" t="inlineStr">
        <is>
          <t>課題認識の共有</t>
        </is>
      </c>
      <c r="K70" s="27" t="n">
        <v>1</v>
      </c>
      <c r="L70" s="28" t="n">
        <v>46350</v>
      </c>
      <c r="M70" s="28" t="n">
        <v>46360</v>
      </c>
      <c r="N70" s="9" t="inlineStr">
        <is>
          <t>2.4.3</t>
        </is>
      </c>
      <c r="O70" s="9" t="inlineStr">
        <is>
          <t>3(4)① 課題及び施策の方向</t>
        </is>
      </c>
      <c r="P70" s="26" t="inlineStr">
        <is>
          <t>未着手</t>
        </is>
      </c>
      <c r="Q70" s="9" t="inlineStr">
        <is>
          <t>第2回打合せで協議</t>
        </is>
      </c>
    </row>
    <row r="71" ht="46" customHeight="1">
      <c r="A71" s="23" t="n">
        <v>47</v>
      </c>
      <c r="B71" s="23" t="inlineStr">
        <is>
          <t>5.1.2</t>
        </is>
      </c>
      <c r="C71" s="23" t="n">
        <v>3</v>
      </c>
      <c r="D71" s="5" t="inlineStr">
        <is>
          <t>計画素案の作成</t>
        </is>
      </c>
      <c r="E71" s="5" t="inlineStr">
        <is>
          <t>課題及び施策の方向の整理</t>
        </is>
      </c>
      <c r="F71" s="29" t="inlineStr">
        <is>
          <t>基本理念・基本目標・施策の方向の整理</t>
        </is>
      </c>
      <c r="G71" s="5" t="inlineStr">
        <is>
          <t>課題に対応する基本理念、基本目標、施策の柱を整理し、施策体系図として提案</t>
        </is>
      </c>
      <c r="H71" s="5" t="inlineStr">
        <is>
          <t>基本理念・施策体系図（案）</t>
        </is>
      </c>
      <c r="I71" s="23" t="inlineStr">
        <is>
          <t>受託者</t>
        </is>
      </c>
      <c r="J71" s="5" t="inlineStr">
        <is>
          <t>方針決定</t>
        </is>
      </c>
      <c r="K71" s="24" t="n">
        <v>1</v>
      </c>
      <c r="L71" s="25" t="n">
        <v>46356</v>
      </c>
      <c r="M71" s="25" t="n">
        <v>46363</v>
      </c>
      <c r="N71" s="5" t="inlineStr">
        <is>
          <t>5.1.1, 2.4.0</t>
        </is>
      </c>
      <c r="O71" s="5" t="inlineStr">
        <is>
          <t>3(4)① 課題及び施策の方向</t>
        </is>
      </c>
      <c r="P71" s="23" t="inlineStr">
        <is>
          <t>未着手</t>
        </is>
      </c>
      <c r="Q71" s="5" t="inlineStr">
        <is>
          <t>★第9期の理念・目標を継承するか刷新するかの判断が必要。未受領の間は仮置きとし受領後に差替</t>
        </is>
      </c>
    </row>
    <row r="72" ht="46" customHeight="1">
      <c r="A72" s="26" t="n">
        <v>48</v>
      </c>
      <c r="B72" s="26" t="inlineStr">
        <is>
          <t>5.1.3</t>
        </is>
      </c>
      <c r="C72" s="26" t="n">
        <v>3</v>
      </c>
      <c r="D72" s="9" t="inlineStr">
        <is>
          <t>計画素案の作成</t>
        </is>
      </c>
      <c r="E72" s="9" t="inlineStr">
        <is>
          <t>課題及び施策の方向の整理</t>
        </is>
      </c>
      <c r="F72" s="9" t="inlineStr">
        <is>
          <t>総合計画等 関連計画との整合性確認</t>
        </is>
      </c>
      <c r="G72" s="9" t="inlineStr">
        <is>
          <t>村総合計画・地域福祉計画・健康増進計画等と理念・目標・施策の整合を確認し、記述を調整</t>
        </is>
      </c>
      <c r="H72" s="9" t="inlineStr">
        <is>
          <t>関連計画整合性チェック表</t>
        </is>
      </c>
      <c r="I72" s="26" t="inlineStr">
        <is>
          <t>受託者</t>
        </is>
      </c>
      <c r="J72" s="9" t="inlineStr">
        <is>
          <t>関連計画の方針確認</t>
        </is>
      </c>
      <c r="K72" s="27" t="n">
        <v>0.5</v>
      </c>
      <c r="L72" s="28" t="n">
        <v>46356</v>
      </c>
      <c r="M72" s="28" t="n">
        <v>46365</v>
      </c>
      <c r="N72" s="9" t="inlineStr">
        <is>
          <t>1.3.3, 5.1.2</t>
        </is>
      </c>
      <c r="O72" s="9" t="inlineStr">
        <is>
          <t>7 留意事項（総合計画等との整合）</t>
        </is>
      </c>
      <c r="P72" s="26" t="inlineStr">
        <is>
          <t>未着手</t>
        </is>
      </c>
      <c r="Q72" s="9" t="inlineStr">
        <is>
          <t>整合しない箇所は協議のうえ調整</t>
        </is>
      </c>
    </row>
    <row r="73" ht="20" customHeight="1">
      <c r="A73" s="19" t="inlineStr"/>
      <c r="B73" s="19" t="inlineStr">
        <is>
          <t>5.2</t>
        </is>
      </c>
      <c r="C73" s="19" t="n">
        <v>2</v>
      </c>
      <c r="D73" s="20" t="inlineStr">
        <is>
          <t>計画素案の作成</t>
        </is>
      </c>
      <c r="E73" s="20" t="inlineStr">
        <is>
          <t>計画骨子の提案</t>
        </is>
      </c>
      <c r="F73" s="20" t="inlineStr"/>
      <c r="G73" s="20" t="inlineStr"/>
      <c r="H73" s="20" t="inlineStr"/>
      <c r="I73" s="19" t="inlineStr"/>
      <c r="J73" s="20" t="inlineStr"/>
      <c r="K73" s="21">
        <f>SUMIF($C$74:$C$76,3,$K$74:$K$76)</f>
        <v/>
      </c>
      <c r="L73" s="22" t="n">
        <v>46342</v>
      </c>
      <c r="M73" s="22" t="n">
        <v>46366</v>
      </c>
      <c r="N73" s="20" t="inlineStr"/>
      <c r="O73" s="20" t="inlineStr">
        <is>
          <t>3(4)② 計画骨子の提案</t>
        </is>
      </c>
      <c r="P73" s="19" t="inlineStr"/>
      <c r="Q73" s="20" t="inlineStr"/>
    </row>
    <row r="74" ht="46" customHeight="1">
      <c r="A74" s="26" t="n">
        <v>49</v>
      </c>
      <c r="B74" s="26" t="inlineStr">
        <is>
          <t>5.2.1</t>
        </is>
      </c>
      <c r="C74" s="26" t="n">
        <v>3</v>
      </c>
      <c r="D74" s="9" t="inlineStr">
        <is>
          <t>計画素案の作成</t>
        </is>
      </c>
      <c r="E74" s="9" t="inlineStr">
        <is>
          <t>計画骨子の提案</t>
        </is>
      </c>
      <c r="F74" s="30" t="inlineStr">
        <is>
          <t>章立て（目次構成）案の作成</t>
        </is>
      </c>
      <c r="G74" s="9" t="inlineStr">
        <is>
          <t>国の策定指針の記載事項を踏まえた章立て・節構成、ページ配分、掲載図表の案を作成</t>
        </is>
      </c>
      <c r="H74" s="9" t="inlineStr">
        <is>
          <t>計画骨子（目次構成）案</t>
        </is>
      </c>
      <c r="I74" s="26" t="inlineStr">
        <is>
          <t>受託者</t>
        </is>
      </c>
      <c r="J74" s="9" t="inlineStr">
        <is>
          <t>内容確認</t>
        </is>
      </c>
      <c r="K74" s="27" t="n">
        <v>0.5</v>
      </c>
      <c r="L74" s="28" t="n">
        <v>46358</v>
      </c>
      <c r="M74" s="28" t="n">
        <v>46365</v>
      </c>
      <c r="N74" s="9" t="inlineStr">
        <is>
          <t>5.1.2</t>
        </is>
      </c>
      <c r="O74" s="9" t="inlineStr">
        <is>
          <t>3(4)② 計画骨子の提案</t>
        </is>
      </c>
      <c r="P74" s="26" t="inlineStr">
        <is>
          <t>未着手</t>
        </is>
      </c>
      <c r="Q74" s="9" t="inlineStr">
        <is>
          <t>★中間成果物</t>
        </is>
      </c>
    </row>
    <row r="75" ht="46" customHeight="1">
      <c r="A75" s="23" t="n">
        <v>50</v>
      </c>
      <c r="B75" s="23" t="inlineStr">
        <is>
          <t>5.2.2</t>
        </is>
      </c>
      <c r="C75" s="23" t="n">
        <v>3</v>
      </c>
      <c r="D75" s="5" t="inlineStr">
        <is>
          <t>計画素案の作成</t>
        </is>
      </c>
      <c r="E75" s="5" t="inlineStr">
        <is>
          <t>計画骨子の提案</t>
        </is>
      </c>
      <c r="F75" s="5" t="inlineStr">
        <is>
          <t>国の策定指針 記載事項チェックリスト作成</t>
        </is>
      </c>
      <c r="G75" s="5" t="inlineStr">
        <is>
          <t>基本指針で定める記載事項（任意記載事項を含む）を一覧化し、計画本文との対応を管理</t>
        </is>
      </c>
      <c r="H75" s="5" t="inlineStr">
        <is>
          <t>記載事項チェックリスト</t>
        </is>
      </c>
      <c r="I75" s="23" t="inlineStr">
        <is>
          <t>受託者</t>
        </is>
      </c>
      <c r="J75" s="5" t="inlineStr">
        <is>
          <t>－</t>
        </is>
      </c>
      <c r="K75" s="24" t="n">
        <v>0.5</v>
      </c>
      <c r="L75" s="25" t="n">
        <v>46342</v>
      </c>
      <c r="M75" s="25" t="n">
        <v>46353</v>
      </c>
      <c r="N75" s="5" t="inlineStr">
        <is>
          <t>－</t>
        </is>
      </c>
      <c r="O75" s="5" t="inlineStr">
        <is>
          <t>3(4)※ 国の策定指針に従い記載</t>
        </is>
      </c>
      <c r="P75" s="23" t="inlineStr">
        <is>
          <t>未着手</t>
        </is>
      </c>
      <c r="Q75" s="5" t="inlineStr">
        <is>
          <t>記載漏れ防止のため全編で運用</t>
        </is>
      </c>
    </row>
    <row r="76" ht="46" customHeight="1">
      <c r="A76" s="26" t="n">
        <v>51</v>
      </c>
      <c r="B76" s="26" t="inlineStr">
        <is>
          <t>5.2.3</t>
        </is>
      </c>
      <c r="C76" s="26" t="n">
        <v>3</v>
      </c>
      <c r="D76" s="9" t="inlineStr">
        <is>
          <t>計画素案の作成</t>
        </is>
      </c>
      <c r="E76" s="9" t="inlineStr">
        <is>
          <t>計画骨子の提案</t>
        </is>
      </c>
      <c r="F76" s="30" t="inlineStr">
        <is>
          <t>骨子案の提示・確定（第2回打合せ）</t>
        </is>
      </c>
      <c r="G76" s="9" t="inlineStr">
        <is>
          <t>骨子案を提示し、構成・記載レベル・分量を協議のうえ確定</t>
        </is>
      </c>
      <c r="H76" s="9" t="inlineStr">
        <is>
          <t>確定版 計画骨子</t>
        </is>
      </c>
      <c r="I76" s="26" t="inlineStr">
        <is>
          <t>受託者</t>
        </is>
      </c>
      <c r="J76" s="9" t="inlineStr">
        <is>
          <t>出席・決定</t>
        </is>
      </c>
      <c r="K76" s="27" t="n">
        <v>0.5</v>
      </c>
      <c r="L76" s="28" t="n">
        <v>46366</v>
      </c>
      <c r="M76" s="28" t="n">
        <v>46366</v>
      </c>
      <c r="N76" s="9" t="inlineStr">
        <is>
          <t>5.2.1, 5.2.2</t>
        </is>
      </c>
      <c r="O76" s="9" t="inlineStr">
        <is>
          <t>3(4)② 計画骨子の提案</t>
        </is>
      </c>
      <c r="P76" s="26" t="inlineStr">
        <is>
          <t>未着手</t>
        </is>
      </c>
      <c r="Q76" s="9" t="inlineStr">
        <is>
          <t>★マイルストーン</t>
        </is>
      </c>
    </row>
    <row r="77" ht="20" customHeight="1">
      <c r="A77" s="19" t="inlineStr"/>
      <c r="B77" s="19" t="inlineStr">
        <is>
          <t>5.3</t>
        </is>
      </c>
      <c r="C77" s="19" t="n">
        <v>2</v>
      </c>
      <c r="D77" s="20" t="inlineStr">
        <is>
          <t>計画素案の作成</t>
        </is>
      </c>
      <c r="E77" s="20" t="inlineStr">
        <is>
          <t>計画素案の執筆</t>
        </is>
      </c>
      <c r="F77" s="20" t="inlineStr"/>
      <c r="G77" s="20" t="inlineStr"/>
      <c r="H77" s="20" t="inlineStr"/>
      <c r="I77" s="19" t="inlineStr"/>
      <c r="J77" s="20" t="inlineStr"/>
      <c r="K77" s="21">
        <f>SUMIF($C$78:$C$87,3,$K$78:$K$87)</f>
        <v/>
      </c>
      <c r="L77" s="22" t="n">
        <v>46370</v>
      </c>
      <c r="M77" s="22" t="n">
        <v>46428</v>
      </c>
      <c r="N77" s="20" t="inlineStr"/>
      <c r="O77" s="20" t="inlineStr">
        <is>
          <t>3(4)③ 計画素案の作成</t>
        </is>
      </c>
      <c r="P77" s="19" t="inlineStr"/>
      <c r="Q77" s="20" t="inlineStr"/>
    </row>
    <row r="78" ht="46" customHeight="1">
      <c r="A78" s="26" t="n">
        <v>52</v>
      </c>
      <c r="B78" s="26" t="inlineStr">
        <is>
          <t>5.3.1</t>
        </is>
      </c>
      <c r="C78" s="26" t="n">
        <v>3</v>
      </c>
      <c r="D78" s="9" t="inlineStr">
        <is>
          <t>計画素案の作成</t>
        </is>
      </c>
      <c r="E78" s="9" t="inlineStr">
        <is>
          <t>計画素案の執筆</t>
        </is>
      </c>
      <c r="F78" s="9" t="inlineStr">
        <is>
          <t>第1章 計画の策定にあたって</t>
        </is>
      </c>
      <c r="G78" s="9" t="inlineStr">
        <is>
          <t>計画策定の趣旨、法的位置づけ、計画期間（令和9〜11年度）、関連計画との関係、策定体制・経過を執筆</t>
        </is>
      </c>
      <c r="H78" s="9" t="inlineStr">
        <is>
          <t>第1章 原稿</t>
        </is>
      </c>
      <c r="I78" s="26" t="inlineStr">
        <is>
          <t>受託者</t>
        </is>
      </c>
      <c r="J78" s="9" t="inlineStr">
        <is>
          <t>策定体制情報の提供</t>
        </is>
      </c>
      <c r="K78" s="27" t="n">
        <v>0.5</v>
      </c>
      <c r="L78" s="28" t="n">
        <v>46370</v>
      </c>
      <c r="M78" s="28" t="n">
        <v>46381</v>
      </c>
      <c r="N78" s="9" t="inlineStr">
        <is>
          <t>5.2.3</t>
        </is>
      </c>
      <c r="O78" s="9" t="inlineStr">
        <is>
          <t>3(4)③ 計画素案の作成</t>
        </is>
      </c>
      <c r="P78" s="26" t="inlineStr">
        <is>
          <t>未着手</t>
        </is>
      </c>
      <c r="Q78" s="9" t="inlineStr"/>
    </row>
    <row r="79" ht="46" customHeight="1">
      <c r="A79" s="23" t="n">
        <v>53</v>
      </c>
      <c r="B79" s="23" t="inlineStr">
        <is>
          <t>5.3.2</t>
        </is>
      </c>
      <c r="C79" s="23" t="n">
        <v>3</v>
      </c>
      <c r="D79" s="5" t="inlineStr">
        <is>
          <t>計画素案の作成</t>
        </is>
      </c>
      <c r="E79" s="5" t="inlineStr">
        <is>
          <t>計画素案の執筆</t>
        </is>
      </c>
      <c r="F79" s="5" t="inlineStr">
        <is>
          <t>第2章 高齢者を取り巻く現状</t>
        </is>
      </c>
      <c r="G79" s="5" t="inlineStr">
        <is>
          <t>人口・世帯、高齢化の状況、認定者数、給付実績、ニーズ調査結果、将来推計を図表とともに執筆</t>
        </is>
      </c>
      <c r="H79" s="5" t="inlineStr">
        <is>
          <t>第2章 原稿</t>
        </is>
      </c>
      <c r="I79" s="23" t="inlineStr">
        <is>
          <t>受託者</t>
        </is>
      </c>
      <c r="J79" s="5" t="inlineStr">
        <is>
          <t>内容確認</t>
        </is>
      </c>
      <c r="K79" s="24" t="n">
        <v>2</v>
      </c>
      <c r="L79" s="25" t="n">
        <v>46370</v>
      </c>
      <c r="M79" s="25" t="n">
        <v>46402</v>
      </c>
      <c r="N79" s="5" t="inlineStr">
        <is>
          <t>2.4.3, 3.3.1</t>
        </is>
      </c>
      <c r="O79" s="5" t="inlineStr">
        <is>
          <t>3(4)③ 計画素案の作成</t>
        </is>
      </c>
      <c r="P79" s="23" t="inlineStr">
        <is>
          <t>未着手</t>
        </is>
      </c>
      <c r="Q79" s="5" t="inlineStr">
        <is>
          <t>現状分析・推計結果を反映</t>
        </is>
      </c>
    </row>
    <row r="80" ht="46" customHeight="1">
      <c r="A80" s="26" t="n">
        <v>54</v>
      </c>
      <c r="B80" s="26" t="inlineStr">
        <is>
          <t>5.3.3</t>
        </is>
      </c>
      <c r="C80" s="26" t="n">
        <v>3</v>
      </c>
      <c r="D80" s="9" t="inlineStr">
        <is>
          <t>計画素案の作成</t>
        </is>
      </c>
      <c r="E80" s="9" t="inlineStr">
        <is>
          <t>計画素案の執筆</t>
        </is>
      </c>
      <c r="F80" s="9" t="inlineStr">
        <is>
          <t>第3章 第9期計画の評価と課題</t>
        </is>
      </c>
      <c r="G80" s="9" t="inlineStr">
        <is>
          <t>第9期計画の進捗評価結果、達成状況、残された課題を整理して執筆</t>
        </is>
      </c>
      <c r="H80" s="9" t="inlineStr">
        <is>
          <t>第3章 原稿</t>
        </is>
      </c>
      <c r="I80" s="26" t="inlineStr">
        <is>
          <t>受託者</t>
        </is>
      </c>
      <c r="J80" s="9" t="inlineStr">
        <is>
          <t>評価結果の確認</t>
        </is>
      </c>
      <c r="K80" s="27" t="n">
        <v>1</v>
      </c>
      <c r="L80" s="28" t="n">
        <v>46370</v>
      </c>
      <c r="M80" s="28" t="n">
        <v>46395</v>
      </c>
      <c r="N80" s="9" t="inlineStr">
        <is>
          <t>2.4.1, 5.1.1</t>
        </is>
      </c>
      <c r="O80" s="9" t="inlineStr">
        <is>
          <t>3(1)④／3(4)③</t>
        </is>
      </c>
      <c r="P80" s="26" t="inlineStr">
        <is>
          <t>未着手</t>
        </is>
      </c>
      <c r="Q80" s="9" t="inlineStr"/>
    </row>
    <row r="81" ht="46" customHeight="1">
      <c r="A81" s="23" t="n">
        <v>55</v>
      </c>
      <c r="B81" s="23" t="inlineStr">
        <is>
          <t>5.3.4</t>
        </is>
      </c>
      <c r="C81" s="23" t="n">
        <v>3</v>
      </c>
      <c r="D81" s="5" t="inlineStr">
        <is>
          <t>計画素案の作成</t>
        </is>
      </c>
      <c r="E81" s="5" t="inlineStr">
        <is>
          <t>計画素案の執筆</t>
        </is>
      </c>
      <c r="F81" s="5" t="inlineStr">
        <is>
          <t>第4章 計画の基本的な考え方</t>
        </is>
      </c>
      <c r="G81" s="5" t="inlineStr">
        <is>
          <t>基本理念、基本目標、施策体系図、日常生活圏域の設定、地域包括ケアシステムの考え方を執筆</t>
        </is>
      </c>
      <c r="H81" s="5" t="inlineStr">
        <is>
          <t>第4章 原稿</t>
        </is>
      </c>
      <c r="I81" s="23" t="inlineStr">
        <is>
          <t>受託者</t>
        </is>
      </c>
      <c r="J81" s="5" t="inlineStr">
        <is>
          <t>方針確認</t>
        </is>
      </c>
      <c r="K81" s="24" t="n">
        <v>1</v>
      </c>
      <c r="L81" s="25" t="n">
        <v>46377</v>
      </c>
      <c r="M81" s="25" t="n">
        <v>46402</v>
      </c>
      <c r="N81" s="5" t="inlineStr">
        <is>
          <t>5.1.2</t>
        </is>
      </c>
      <c r="O81" s="5" t="inlineStr">
        <is>
          <t>3(4)③ 計画素案の作成</t>
        </is>
      </c>
      <c r="P81" s="23" t="inlineStr">
        <is>
          <t>未着手</t>
        </is>
      </c>
      <c r="Q81" s="5" t="inlineStr"/>
    </row>
    <row r="82" ht="46" customHeight="1">
      <c r="A82" s="26" t="n">
        <v>56</v>
      </c>
      <c r="B82" s="26" t="inlineStr">
        <is>
          <t>5.3.5</t>
        </is>
      </c>
      <c r="C82" s="26" t="n">
        <v>3</v>
      </c>
      <c r="D82" s="9" t="inlineStr">
        <is>
          <t>計画素案の作成</t>
        </is>
      </c>
      <c r="E82" s="9" t="inlineStr">
        <is>
          <t>計画素案の執筆</t>
        </is>
      </c>
      <c r="F82" s="9" t="inlineStr">
        <is>
          <t>第5章 施策の展開</t>
        </is>
      </c>
      <c r="G82" s="9" t="inlineStr">
        <is>
          <t>介護予防・健康づくり、地域包括ケア、在宅医療・介護連携、認知症施策、生活支援体制整備、権利擁護、住まい、災害・感染症対策、介護人材確保等の施策を執筆</t>
        </is>
      </c>
      <c r="H82" s="9" t="inlineStr">
        <is>
          <t>第5章 原稿</t>
        </is>
      </c>
      <c r="I82" s="26" t="inlineStr">
        <is>
          <t>受託者</t>
        </is>
      </c>
      <c r="J82" s="9" t="inlineStr">
        <is>
          <t>各事業の方針・実施内容確認</t>
        </is>
      </c>
      <c r="K82" s="27" t="n">
        <v>3</v>
      </c>
      <c r="L82" s="28" t="n">
        <v>46392</v>
      </c>
      <c r="M82" s="28" t="n">
        <v>46423</v>
      </c>
      <c r="N82" s="9" t="inlineStr">
        <is>
          <t>5.1.2, 5.2.3</t>
        </is>
      </c>
      <c r="O82" s="9" t="inlineStr">
        <is>
          <t>3(4)③ 計画素案の作成</t>
        </is>
      </c>
      <c r="P82" s="26" t="inlineStr">
        <is>
          <t>未着手</t>
        </is>
      </c>
      <c r="Q82" s="9" t="inlineStr">
        <is>
          <t>村単独事業と地域支援事業を体系的に記載</t>
        </is>
      </c>
    </row>
    <row r="83" ht="46" customHeight="1">
      <c r="A83" s="23" t="n">
        <v>57</v>
      </c>
      <c r="B83" s="23" t="inlineStr">
        <is>
          <t>5.3.6</t>
        </is>
      </c>
      <c r="C83" s="23" t="n">
        <v>3</v>
      </c>
      <c r="D83" s="5" t="inlineStr">
        <is>
          <t>計画素案の作成</t>
        </is>
      </c>
      <c r="E83" s="5" t="inlineStr">
        <is>
          <t>計画素案の執筆</t>
        </is>
      </c>
      <c r="F83" s="5" t="inlineStr">
        <is>
          <t>第6章 介護保険事業の見込みと保険料</t>
        </is>
      </c>
      <c r="G83" s="5" t="inlineStr">
        <is>
          <t>サービス見込量、標準給付費、地域支援事業費、第10期介護保険料（所得段階別）を執筆</t>
        </is>
      </c>
      <c r="H83" s="5" t="inlineStr">
        <is>
          <t>第6章 原稿</t>
        </is>
      </c>
      <c r="I83" s="23" t="inlineStr">
        <is>
          <t>受託者</t>
        </is>
      </c>
      <c r="J83" s="5" t="inlineStr">
        <is>
          <t>保険料方針の決定</t>
        </is>
      </c>
      <c r="K83" s="24" t="n">
        <v>1.5</v>
      </c>
      <c r="L83" s="25" t="n">
        <v>46412</v>
      </c>
      <c r="M83" s="25" t="n">
        <v>46427</v>
      </c>
      <c r="N83" s="5" t="inlineStr">
        <is>
          <t>4.1.4, 4.3.3</t>
        </is>
      </c>
      <c r="O83" s="5" t="inlineStr">
        <is>
          <t>3(3)／3(4)③</t>
        </is>
      </c>
      <c r="P83" s="23" t="inlineStr">
        <is>
          <t>未着手</t>
        </is>
      </c>
      <c r="Q83" s="5" t="inlineStr">
        <is>
          <t>保険料は村の方針決定後に確定</t>
        </is>
      </c>
    </row>
    <row r="84" ht="46" customHeight="1">
      <c r="A84" s="26" t="n">
        <v>58</v>
      </c>
      <c r="B84" s="26" t="inlineStr">
        <is>
          <t>5.3.7</t>
        </is>
      </c>
      <c r="C84" s="26" t="n">
        <v>3</v>
      </c>
      <c r="D84" s="9" t="inlineStr">
        <is>
          <t>計画素案の作成</t>
        </is>
      </c>
      <c r="E84" s="9" t="inlineStr">
        <is>
          <t>計画素案の執筆</t>
        </is>
      </c>
      <c r="F84" s="9" t="inlineStr">
        <is>
          <t>第7章 計画の推進体制</t>
        </is>
      </c>
      <c r="G84" s="9" t="inlineStr">
        <is>
          <t>推進体制、関係機関との連携、PDCAによる進行管理、評価指標・目標値の設定方法を執筆</t>
        </is>
      </c>
      <c r="H84" s="9" t="inlineStr">
        <is>
          <t>第7章 原稿</t>
        </is>
      </c>
      <c r="I84" s="26" t="inlineStr">
        <is>
          <t>受託者</t>
        </is>
      </c>
      <c r="J84" s="9" t="inlineStr">
        <is>
          <t>推進体制の確認</t>
        </is>
      </c>
      <c r="K84" s="27" t="n">
        <v>0.5</v>
      </c>
      <c r="L84" s="28" t="n">
        <v>46406</v>
      </c>
      <c r="M84" s="28" t="n">
        <v>46416</v>
      </c>
      <c r="N84" s="9" t="inlineStr">
        <is>
          <t>5.2.3</t>
        </is>
      </c>
      <c r="O84" s="9" t="inlineStr">
        <is>
          <t>3(4)③ 計画素案の作成</t>
        </is>
      </c>
      <c r="P84" s="26" t="inlineStr">
        <is>
          <t>未着手</t>
        </is>
      </c>
      <c r="Q84" s="9" t="inlineStr">
        <is>
          <t>第10期の進捗管理方法を明記</t>
        </is>
      </c>
    </row>
    <row r="85" ht="46" customHeight="1">
      <c r="A85" s="23" t="n">
        <v>59</v>
      </c>
      <c r="B85" s="23" t="inlineStr">
        <is>
          <t>5.3.8</t>
        </is>
      </c>
      <c r="C85" s="23" t="n">
        <v>3</v>
      </c>
      <c r="D85" s="5" t="inlineStr">
        <is>
          <t>計画素案の作成</t>
        </is>
      </c>
      <c r="E85" s="5" t="inlineStr">
        <is>
          <t>計画素案の執筆</t>
        </is>
      </c>
      <c r="F85" s="5" t="inlineStr">
        <is>
          <t>資料編の作成</t>
        </is>
      </c>
      <c r="G85" s="5" t="inlineStr">
        <is>
          <t>策定経過、ニーズ調査結果概要、用語解説、関係法令抜粋、統計資料等を資料編として編集</t>
        </is>
      </c>
      <c r="H85" s="5" t="inlineStr">
        <is>
          <t>資料編 原稿</t>
        </is>
      </c>
      <c r="I85" s="23" t="inlineStr">
        <is>
          <t>受託者</t>
        </is>
      </c>
      <c r="J85" s="5" t="inlineStr">
        <is>
          <t>策定経過情報の提供</t>
        </is>
      </c>
      <c r="K85" s="24" t="n">
        <v>1</v>
      </c>
      <c r="L85" s="25" t="n">
        <v>46406</v>
      </c>
      <c r="M85" s="25" t="n">
        <v>46423</v>
      </c>
      <c r="N85" s="5" t="inlineStr">
        <is>
          <t>5.3.2</t>
        </is>
      </c>
      <c r="O85" s="5" t="inlineStr">
        <is>
          <t>3(4)③ 計画素案の作成</t>
        </is>
      </c>
      <c r="P85" s="23" t="inlineStr">
        <is>
          <t>未着手</t>
        </is>
      </c>
      <c r="Q85" s="5" t="inlineStr"/>
    </row>
    <row r="86" ht="46" customHeight="1">
      <c r="A86" s="26" t="n">
        <v>60</v>
      </c>
      <c r="B86" s="26" t="inlineStr">
        <is>
          <t>5.3.9</t>
        </is>
      </c>
      <c r="C86" s="26" t="n">
        <v>3</v>
      </c>
      <c r="D86" s="9" t="inlineStr">
        <is>
          <t>計画素案の作成</t>
        </is>
      </c>
      <c r="E86" s="9" t="inlineStr">
        <is>
          <t>計画素案の執筆</t>
        </is>
      </c>
      <c r="F86" s="9" t="inlineStr">
        <is>
          <t>図表作成・レイアウト・校正</t>
        </is>
      </c>
      <c r="G86" s="9" t="inlineStr">
        <is>
          <t>図表・グラフの統一デザイン適用、体裁調整、数値・図表番号・用語の整合確認、通読校正</t>
        </is>
      </c>
      <c r="H86" s="9" t="inlineStr">
        <is>
          <t>レイアウト済 素案データ</t>
        </is>
      </c>
      <c r="I86" s="26" t="inlineStr">
        <is>
          <t>受託者</t>
        </is>
      </c>
      <c r="J86" s="9" t="inlineStr">
        <is>
          <t>－</t>
        </is>
      </c>
      <c r="K86" s="27" t="n">
        <v>2</v>
      </c>
      <c r="L86" s="28" t="n">
        <v>46413</v>
      </c>
      <c r="M86" s="28" t="n">
        <v>46427</v>
      </c>
      <c r="N86" s="9" t="inlineStr">
        <is>
          <t>5.3.5, 5.3.6</t>
        </is>
      </c>
      <c r="O86" s="9" t="inlineStr">
        <is>
          <t>3(4)③ 計画素案の作成</t>
        </is>
      </c>
      <c r="P86" s="26" t="inlineStr">
        <is>
          <t>未着手</t>
        </is>
      </c>
      <c r="Q86" s="9" t="inlineStr">
        <is>
          <t>既存のコラム部品ライブラリを活用可</t>
        </is>
      </c>
    </row>
    <row r="87" ht="46" customHeight="1">
      <c r="A87" s="23" t="n">
        <v>61</v>
      </c>
      <c r="B87" s="23" t="inlineStr">
        <is>
          <t>5.3.10</t>
        </is>
      </c>
      <c r="C87" s="23" t="n">
        <v>3</v>
      </c>
      <c r="D87" s="5" t="inlineStr">
        <is>
          <t>計画素案の作成</t>
        </is>
      </c>
      <c r="E87" s="5" t="inlineStr">
        <is>
          <t>計画素案の執筆</t>
        </is>
      </c>
      <c r="F87" s="29" t="inlineStr">
        <is>
          <t>計画素案の提出・協議（第3回打合せ）</t>
        </is>
      </c>
      <c r="G87" s="5" t="inlineStr">
        <is>
          <t>計画素案一式を提出し、内容・表現・分量を協議。修正方針を確認</t>
        </is>
      </c>
      <c r="H87" s="5" t="inlineStr">
        <is>
          <t>計画素案（第1版）</t>
        </is>
      </c>
      <c r="I87" s="23" t="inlineStr">
        <is>
          <t>受託者</t>
        </is>
      </c>
      <c r="J87" s="5" t="inlineStr">
        <is>
          <t>出席・査読</t>
        </is>
      </c>
      <c r="K87" s="24" t="n">
        <v>0.5</v>
      </c>
      <c r="L87" s="25" t="n">
        <v>46428</v>
      </c>
      <c r="M87" s="25" t="n">
        <v>46428</v>
      </c>
      <c r="N87" s="5" t="inlineStr">
        <is>
          <t>5.3.9</t>
        </is>
      </c>
      <c r="O87" s="5" t="inlineStr">
        <is>
          <t>3(4)③ 計画素案の作成</t>
        </is>
      </c>
      <c r="P87" s="23" t="inlineStr">
        <is>
          <t>未着手</t>
        </is>
      </c>
      <c r="Q87" s="5" t="inlineStr">
        <is>
          <t>★マイルストーン／中間成果物</t>
        </is>
      </c>
    </row>
    <row r="88" ht="20" customHeight="1">
      <c r="A88" s="19" t="inlineStr"/>
      <c r="B88" s="19" t="inlineStr">
        <is>
          <t>5.4</t>
        </is>
      </c>
      <c r="C88" s="19" t="n">
        <v>2</v>
      </c>
      <c r="D88" s="20" t="inlineStr">
        <is>
          <t>計画素案の作成</t>
        </is>
      </c>
      <c r="E88" s="20" t="inlineStr">
        <is>
          <t>素案の修正・反映</t>
        </is>
      </c>
      <c r="F88" s="20" t="inlineStr"/>
      <c r="G88" s="20" t="inlineStr"/>
      <c r="H88" s="20" t="inlineStr"/>
      <c r="I88" s="19" t="inlineStr"/>
      <c r="J88" s="20" t="inlineStr"/>
      <c r="K88" s="21">
        <f>SUMIF($C$89:$C$90,3,$K$89:$K$90)</f>
        <v/>
      </c>
      <c r="L88" s="22" t="n">
        <v>46430</v>
      </c>
      <c r="M88" s="22" t="n">
        <v>46459</v>
      </c>
      <c r="N88" s="20" t="inlineStr"/>
      <c r="O88" s="20" t="inlineStr">
        <is>
          <t>3(4)③／7 留意事項</t>
        </is>
      </c>
      <c r="P88" s="19" t="inlineStr"/>
      <c r="Q88" s="20" t="inlineStr"/>
    </row>
    <row r="89" ht="46" customHeight="1">
      <c r="A89" s="23" t="n">
        <v>62</v>
      </c>
      <c r="B89" s="23" t="inlineStr">
        <is>
          <t>5.4.1</t>
        </is>
      </c>
      <c r="C89" s="23" t="n">
        <v>3</v>
      </c>
      <c r="D89" s="5" t="inlineStr">
        <is>
          <t>計画素案の作成</t>
        </is>
      </c>
      <c r="E89" s="5" t="inlineStr">
        <is>
          <t>素案の修正・反映</t>
        </is>
      </c>
      <c r="F89" s="5" t="inlineStr">
        <is>
          <t>村意見の反映・修正</t>
        </is>
      </c>
      <c r="G89" s="5" t="inlineStr">
        <is>
          <t>第3回打合せおよび庁内査読で示された意見を反映し、素案を修正</t>
        </is>
      </c>
      <c r="H89" s="5" t="inlineStr">
        <is>
          <t>計画素案（修正版）</t>
        </is>
      </c>
      <c r="I89" s="23" t="inlineStr">
        <is>
          <t>受託者</t>
        </is>
      </c>
      <c r="J89" s="5" t="inlineStr">
        <is>
          <t>意見の取りまとめ</t>
        </is>
      </c>
      <c r="K89" s="24" t="n">
        <v>1.5</v>
      </c>
      <c r="L89" s="25" t="n">
        <v>46430</v>
      </c>
      <c r="M89" s="25" t="n">
        <v>46451</v>
      </c>
      <c r="N89" s="5" t="inlineStr">
        <is>
          <t>5.3.10</t>
        </is>
      </c>
      <c r="O89" s="5" t="inlineStr">
        <is>
          <t>3(4)③ 計画素案の作成</t>
        </is>
      </c>
      <c r="P89" s="23" t="inlineStr">
        <is>
          <t>未着手</t>
        </is>
      </c>
      <c r="Q89" s="5" t="inlineStr"/>
    </row>
    <row r="90" ht="46" customHeight="1">
      <c r="A90" s="26" t="n">
        <v>63</v>
      </c>
      <c r="B90" s="26" t="inlineStr">
        <is>
          <t>5.4.2</t>
        </is>
      </c>
      <c r="C90" s="26" t="n">
        <v>3</v>
      </c>
      <c r="D90" s="9" t="inlineStr">
        <is>
          <t>計画素案の作成</t>
        </is>
      </c>
      <c r="E90" s="9" t="inlineStr">
        <is>
          <t>素案の修正・反映</t>
        </is>
      </c>
      <c r="F90" s="9" t="inlineStr">
        <is>
          <t>パブリックコメント等の意見反映</t>
        </is>
      </c>
      <c r="G90" s="9" t="inlineStr">
        <is>
          <t>村が実施するパブリックコメント・住民説明等で寄せられた意見への対応案を作成し、計画に反映</t>
        </is>
      </c>
      <c r="H90" s="9" t="inlineStr">
        <is>
          <t>意見対応表／反映版原稿</t>
        </is>
      </c>
      <c r="I90" s="26" t="inlineStr">
        <is>
          <t>受託者</t>
        </is>
      </c>
      <c r="J90" s="9" t="inlineStr">
        <is>
          <t>パブコメの実施・意見提供</t>
        </is>
      </c>
      <c r="K90" s="27" t="n">
        <v>0.5</v>
      </c>
      <c r="L90" s="28" t="n">
        <v>46430</v>
      </c>
      <c r="M90" s="28" t="n">
        <v>46459</v>
      </c>
      <c r="N90" s="9" t="inlineStr">
        <is>
          <t>5.4.1</t>
        </is>
      </c>
      <c r="O90" s="9" t="inlineStr">
        <is>
          <t>7 留意事項（協議）</t>
        </is>
      </c>
      <c r="P90" s="26" t="inlineStr">
        <is>
          <t>未着手</t>
        </is>
      </c>
      <c r="Q90" s="9" t="inlineStr">
        <is>
          <t>パブコメの実施主体・日程は村と協議（仕様書に明記なし）</t>
        </is>
      </c>
    </row>
    <row r="91" ht="24" customHeight="1">
      <c r="A91" s="47" t="inlineStr"/>
      <c r="B91" s="47" t="inlineStr">
        <is>
          <t>6</t>
        </is>
      </c>
      <c r="C91" s="47" t="n">
        <v>1</v>
      </c>
      <c r="D91" s="48" t="inlineStr">
        <is>
          <t>成果品の作成・納品</t>
        </is>
      </c>
      <c r="E91" s="48" t="inlineStr"/>
      <c r="F91" s="48" t="inlineStr"/>
      <c r="G91" s="48" t="inlineStr"/>
      <c r="H91" s="48" t="inlineStr"/>
      <c r="I91" s="47" t="inlineStr"/>
      <c r="J91" s="48" t="inlineStr"/>
      <c r="K91" s="49">
        <f>SUMIF($C$92:$C$98,3,$K$92:$K$98)</f>
        <v/>
      </c>
      <c r="L91" s="50" t="n">
        <v>46454</v>
      </c>
      <c r="M91" s="50" t="n">
        <v>46477</v>
      </c>
      <c r="N91" s="48" t="inlineStr"/>
      <c r="O91" s="48" t="inlineStr">
        <is>
          <t>6 成果品</t>
        </is>
      </c>
      <c r="P91" s="47" t="inlineStr"/>
      <c r="Q91" s="48" t="inlineStr"/>
    </row>
    <row r="92" ht="20" customHeight="1">
      <c r="A92" s="19" t="inlineStr"/>
      <c r="B92" s="19" t="inlineStr">
        <is>
          <t>6.1</t>
        </is>
      </c>
      <c r="C92" s="19" t="n">
        <v>2</v>
      </c>
      <c r="D92" s="20" t="inlineStr">
        <is>
          <t>成果品の作成・納品</t>
        </is>
      </c>
      <c r="E92" s="20" t="inlineStr">
        <is>
          <t>成果品の作成</t>
        </is>
      </c>
      <c r="F92" s="20" t="inlineStr"/>
      <c r="G92" s="20" t="inlineStr"/>
      <c r="H92" s="20" t="inlineStr"/>
      <c r="I92" s="19" t="inlineStr"/>
      <c r="J92" s="20" t="inlineStr"/>
      <c r="K92" s="21">
        <f>SUMIF($C$93:$C$95,3,$K$93:$K$95)</f>
        <v/>
      </c>
      <c r="L92" s="22" t="n">
        <v>46454</v>
      </c>
      <c r="M92" s="22" t="n">
        <v>46472</v>
      </c>
      <c r="N92" s="20" t="inlineStr"/>
      <c r="O92" s="20" t="inlineStr">
        <is>
          <t>6 成果品</t>
        </is>
      </c>
      <c r="P92" s="19" t="inlineStr"/>
      <c r="Q92" s="20" t="inlineStr"/>
    </row>
    <row r="93" ht="46" customHeight="1">
      <c r="A93" s="23" t="n">
        <v>64</v>
      </c>
      <c r="B93" s="23" t="inlineStr">
        <is>
          <t>6.1.1</t>
        </is>
      </c>
      <c r="C93" s="23" t="n">
        <v>3</v>
      </c>
      <c r="D93" s="5" t="inlineStr">
        <is>
          <t>成果品の作成・納品</t>
        </is>
      </c>
      <c r="E93" s="5" t="inlineStr">
        <is>
          <t>成果品の作成</t>
        </is>
      </c>
      <c r="F93" s="5" t="inlineStr">
        <is>
          <t>最終原稿の確定・最終校正</t>
        </is>
      </c>
      <c r="G93" s="5" t="inlineStr">
        <is>
          <t>全編の通し校正（誤字脱字、数値・図表の整合、出典表記、用語統一）を行い最終原稿を確定</t>
        </is>
      </c>
      <c r="H93" s="5" t="inlineStr">
        <is>
          <t>最終原稿</t>
        </is>
      </c>
      <c r="I93" s="23" t="inlineStr">
        <is>
          <t>受託者</t>
        </is>
      </c>
      <c r="J93" s="5" t="inlineStr">
        <is>
          <t>最終確認</t>
        </is>
      </c>
      <c r="K93" s="24" t="n">
        <v>1</v>
      </c>
      <c r="L93" s="25" t="n">
        <v>46454</v>
      </c>
      <c r="M93" s="25" t="n">
        <v>46465</v>
      </c>
      <c r="N93" s="5" t="inlineStr">
        <is>
          <t>5.4.2</t>
        </is>
      </c>
      <c r="O93" s="5" t="inlineStr">
        <is>
          <t>6 成果品</t>
        </is>
      </c>
      <c r="P93" s="23" t="inlineStr">
        <is>
          <t>未着手</t>
        </is>
      </c>
      <c r="Q93" s="5" t="inlineStr"/>
    </row>
    <row r="94" ht="46" customHeight="1">
      <c r="A94" s="26" t="n">
        <v>65</v>
      </c>
      <c r="B94" s="26" t="inlineStr">
        <is>
          <t>6.1.2</t>
        </is>
      </c>
      <c r="C94" s="26" t="n">
        <v>3</v>
      </c>
      <c r="D94" s="9" t="inlineStr">
        <is>
          <t>成果品の作成・納品</t>
        </is>
      </c>
      <c r="E94" s="9" t="inlineStr">
        <is>
          <t>成果品の作成</t>
        </is>
      </c>
      <c r="F94" s="9" t="inlineStr">
        <is>
          <t>成果品データの作成（CD-R収録）</t>
        </is>
      </c>
      <c r="G94" s="9" t="inlineStr">
        <is>
          <t>計画本編・資料編の編集可能データ（Word等）およびPDFを作成し、CD-Rに収録・ラベル作成</t>
        </is>
      </c>
      <c r="H94" s="9" t="inlineStr">
        <is>
          <t>計画（CDデータ）1部</t>
        </is>
      </c>
      <c r="I94" s="26" t="inlineStr">
        <is>
          <t>受託者</t>
        </is>
      </c>
      <c r="J94" s="9" t="inlineStr">
        <is>
          <t>検収</t>
        </is>
      </c>
      <c r="K94" s="27" t="n">
        <v>0.5</v>
      </c>
      <c r="L94" s="28" t="n">
        <v>46463</v>
      </c>
      <c r="M94" s="28" t="n">
        <v>46472</v>
      </c>
      <c r="N94" s="9" t="inlineStr">
        <is>
          <t>6.1.1</t>
        </is>
      </c>
      <c r="O94" s="9" t="inlineStr">
        <is>
          <t>6 成果品（CDデータ 1部）</t>
        </is>
      </c>
      <c r="P94" s="26" t="inlineStr">
        <is>
          <t>未着手</t>
        </is>
      </c>
      <c r="Q94" s="9" t="inlineStr">
        <is>
          <t>著作権は音威子府村に帰属</t>
        </is>
      </c>
    </row>
    <row r="95" ht="46" customHeight="1">
      <c r="A95" s="23" t="n">
        <v>66</v>
      </c>
      <c r="B95" s="23" t="inlineStr">
        <is>
          <t>6.1.3</t>
        </is>
      </c>
      <c r="C95" s="23" t="n">
        <v>3</v>
      </c>
      <c r="D95" s="5" t="inlineStr">
        <is>
          <t>成果品の作成・納品</t>
        </is>
      </c>
      <c r="E95" s="5" t="inlineStr">
        <is>
          <t>成果品の作成</t>
        </is>
      </c>
      <c r="F95" s="5" t="inlineStr">
        <is>
          <t>業務データの整理・収録</t>
        </is>
      </c>
      <c r="G95" s="5" t="inlineStr">
        <is>
          <t>推計データ、集計表、図表の元データ、収集統計、算定シート等を整理し磁気媒体（CD-R）に収録</t>
        </is>
      </c>
      <c r="H95" s="5" t="inlineStr">
        <is>
          <t>業務データ収録媒体（CDデータ）1部</t>
        </is>
      </c>
      <c r="I95" s="23" t="inlineStr">
        <is>
          <t>受託者</t>
        </is>
      </c>
      <c r="J95" s="5" t="inlineStr">
        <is>
          <t>検収</t>
        </is>
      </c>
      <c r="K95" s="24" t="n">
        <v>0.5</v>
      </c>
      <c r="L95" s="25" t="n">
        <v>46463</v>
      </c>
      <c r="M95" s="25" t="n">
        <v>46472</v>
      </c>
      <c r="N95" s="5" t="inlineStr">
        <is>
          <t>6.1.1</t>
        </is>
      </c>
      <c r="O95" s="5" t="inlineStr">
        <is>
          <t>6 成果品（業務データ CDデータ 1部）</t>
        </is>
      </c>
      <c r="P95" s="23" t="inlineStr">
        <is>
          <t>未着手</t>
        </is>
      </c>
      <c r="Q95" s="5" t="inlineStr">
        <is>
          <t>村での更新作業を想定した構成とする</t>
        </is>
      </c>
    </row>
    <row r="96" ht="20" customHeight="1">
      <c r="A96" s="19" t="inlineStr"/>
      <c r="B96" s="19" t="inlineStr">
        <is>
          <t>6.2</t>
        </is>
      </c>
      <c r="C96" s="19" t="n">
        <v>2</v>
      </c>
      <c r="D96" s="20" t="inlineStr">
        <is>
          <t>成果品の作成・納品</t>
        </is>
      </c>
      <c r="E96" s="20" t="inlineStr">
        <is>
          <t>納品・完了手続</t>
        </is>
      </c>
      <c r="F96" s="20" t="inlineStr"/>
      <c r="G96" s="20" t="inlineStr"/>
      <c r="H96" s="20" t="inlineStr"/>
      <c r="I96" s="19" t="inlineStr"/>
      <c r="J96" s="20" t="inlineStr"/>
      <c r="K96" s="21">
        <f>SUMIF($C$97:$C$98,3,$K$97:$K$98)</f>
        <v/>
      </c>
      <c r="L96" s="22" t="n">
        <v>46475</v>
      </c>
      <c r="M96" s="22" t="n">
        <v>46477</v>
      </c>
      <c r="N96" s="20" t="inlineStr"/>
      <c r="O96" s="20" t="inlineStr">
        <is>
          <t>2 委託期間／6 成果品</t>
        </is>
      </c>
      <c r="P96" s="19" t="inlineStr"/>
      <c r="Q96" s="20" t="inlineStr"/>
    </row>
    <row r="97" ht="46" customHeight="1">
      <c r="A97" s="23" t="n">
        <v>67</v>
      </c>
      <c r="B97" s="23" t="inlineStr">
        <is>
          <t>6.2.1</t>
        </is>
      </c>
      <c r="C97" s="23" t="n">
        <v>3</v>
      </c>
      <c r="D97" s="5" t="inlineStr">
        <is>
          <t>成果品の作成・納品</t>
        </is>
      </c>
      <c r="E97" s="5" t="inlineStr">
        <is>
          <t>納品・完了手続</t>
        </is>
      </c>
      <c r="F97" s="29" t="inlineStr">
        <is>
          <t>納品・検査対応</t>
        </is>
      </c>
      <c r="G97" s="5" t="inlineStr">
        <is>
          <t>成果品の納品、業務完了届の提出、検査対応、指摘事項の修正</t>
        </is>
      </c>
      <c r="H97" s="5" t="inlineStr">
        <is>
          <t>業務完了届／検査調書</t>
        </is>
      </c>
      <c r="I97" s="23" t="inlineStr">
        <is>
          <t>受託者</t>
        </is>
      </c>
      <c r="J97" s="5" t="inlineStr">
        <is>
          <t>検査・完了確認</t>
        </is>
      </c>
      <c r="K97" s="24" t="n">
        <v>0.5</v>
      </c>
      <c r="L97" s="25" t="n">
        <v>46475</v>
      </c>
      <c r="M97" s="25" t="n">
        <v>46477</v>
      </c>
      <c r="N97" s="5" t="inlineStr">
        <is>
          <t>6.1.2, 6.1.3</t>
        </is>
      </c>
      <c r="O97" s="5" t="inlineStr">
        <is>
          <t>2 委託期間（令和9年3月31日）</t>
        </is>
      </c>
      <c r="P97" s="23" t="inlineStr">
        <is>
          <t>未着手</t>
        </is>
      </c>
      <c r="Q97" s="5" t="inlineStr">
        <is>
          <t>★マイルストーン／履行期限厳守</t>
        </is>
      </c>
    </row>
    <row r="98" ht="46" customHeight="1">
      <c r="A98" s="26" t="n">
        <v>68</v>
      </c>
      <c r="B98" s="26" t="inlineStr">
        <is>
          <t>6.2.2</t>
        </is>
      </c>
      <c r="C98" s="26" t="n">
        <v>3</v>
      </c>
      <c r="D98" s="9" t="inlineStr">
        <is>
          <t>成果品の作成・納品</t>
        </is>
      </c>
      <c r="E98" s="9" t="inlineStr">
        <is>
          <t>納品・完了手続</t>
        </is>
      </c>
      <c r="F98" s="9" t="inlineStr">
        <is>
          <t>貸与資料・個人情報の返却／消去</t>
        </is>
      </c>
      <c r="G98" s="9" t="inlineStr">
        <is>
          <t>貸与資料の返却、業務上取得した個人情報を含むデータの消去・廃棄と証明書の提出</t>
        </is>
      </c>
      <c r="H98" s="9" t="inlineStr">
        <is>
          <t>資料返却書／データ消去証明</t>
        </is>
      </c>
      <c r="I98" s="26" t="inlineStr">
        <is>
          <t>受託者</t>
        </is>
      </c>
      <c r="J98" s="9" t="inlineStr">
        <is>
          <t>受領確認</t>
        </is>
      </c>
      <c r="K98" s="27" t="n">
        <v>0.3</v>
      </c>
      <c r="L98" s="28" t="n">
        <v>46475</v>
      </c>
      <c r="M98" s="28" t="n">
        <v>46477</v>
      </c>
      <c r="N98" s="9" t="inlineStr">
        <is>
          <t>6.2.1</t>
        </is>
      </c>
      <c r="O98" s="9" t="inlineStr">
        <is>
          <t>7 留意事項（個人情報）</t>
        </is>
      </c>
      <c r="P98" s="26" t="inlineStr">
        <is>
          <t>未着手</t>
        </is>
      </c>
      <c r="Q98" s="9" t="inlineStr">
        <is>
          <t>音威子府村個人情報保護条例を遵守</t>
        </is>
      </c>
    </row>
    <row r="99" ht="24" customHeight="1">
      <c r="A99" s="51" t="inlineStr">
        <is>
          <t>合計（レベル3の作業項目）</t>
        </is>
      </c>
      <c r="B99" s="52" t="n"/>
      <c r="C99" s="52" t="n"/>
      <c r="D99" s="52" t="n"/>
      <c r="E99" s="52" t="n"/>
      <c r="F99" s="52" t="n"/>
      <c r="G99" s="52" t="n"/>
      <c r="H99" s="52" t="n"/>
      <c r="I99" s="52" t="n"/>
      <c r="J99" s="52" t="n"/>
      <c r="K99" s="53">
        <f>SUMIF($C$5:$C$98,3,$K$5:$K$98)</f>
        <v/>
      </c>
      <c r="L99" s="54" t="inlineStr">
        <is>
          <t>人日（1人日＝7.5時間／1人月＝20人日換算）</t>
        </is>
      </c>
      <c r="M99" s="52" t="n"/>
      <c r="N99" s="52" t="n"/>
      <c r="O99" s="52" t="n"/>
      <c r="P99" s="52" t="n"/>
      <c r="Q99" s="52" t="n"/>
    </row>
  </sheetData>
  <autoFilter ref="A4:Q98"/>
  <mergeCells count="5">
    <mergeCell ref="A99:J99"/>
    <mergeCell ref="A3:Q3"/>
    <mergeCell ref="A2:Q2"/>
    <mergeCell ref="A1:Q1"/>
    <mergeCell ref="L99:Q99"/>
  </mergeCells>
  <dataValidations count="1">
    <dataValidation sqref="P5:P98" showDropDown="0" showInputMessage="0" showErrorMessage="0" allowBlank="1" errorTitle="入力値が不正です" error="リストから選択してください" type="list">
      <formula1>"未着手,着手,完了,保留,対象外"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7"/>
  <sheetViews>
    <sheetView showGridLines="0" workbookViewId="0">
      <pane xSplit="6" ySplit="4" topLeftCell="G5"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9" customWidth="1" min="3" max="3"/>
    <col width="8" customWidth="1" min="4" max="4"/>
    <col width="12" customWidth="1" min="5" max="5"/>
    <col width="12"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s>
  <sheetData>
    <row r="1" ht="30" customHeight="1">
      <c r="A1" s="1" t="inlineStr">
        <is>
          <t>実施スケジュール（ガントチャート）　／　音威子府村高齢者福祉計画・第10期介護保険事業計画　策定業務委託</t>
        </is>
      </c>
    </row>
    <row r="2">
      <c r="A2" s="13" t="inlineStr">
        <is>
          <t>期間：契約締結日（令和8年9月1日と仮定）〜令和9年3月31日　半月単位　／　■＝作業期間　◆＝打合せ・提出等のマイルストーン</t>
        </is>
      </c>
    </row>
    <row r="3" ht="20" customHeight="1">
      <c r="A3" s="14" t="inlineStr">
        <is>
          <t>WBS No.</t>
        </is>
      </c>
      <c r="B3" s="14" t="inlineStr">
        <is>
          <t>作業項目</t>
        </is>
      </c>
      <c r="C3" s="14" t="inlineStr">
        <is>
          <t>主担当</t>
        </is>
      </c>
      <c r="D3" s="14" t="inlineStr">
        <is>
          <t>工数
(人日)</t>
        </is>
      </c>
      <c r="E3" s="14" t="inlineStr">
        <is>
          <t>開始予定</t>
        </is>
      </c>
      <c r="F3" s="14" t="inlineStr">
        <is>
          <t>完了予定</t>
        </is>
      </c>
      <c r="G3" s="55" t="inlineStr">
        <is>
          <t>9月</t>
        </is>
      </c>
      <c r="H3" s="6" t="n"/>
      <c r="I3" s="55" t="inlineStr">
        <is>
          <t>10月</t>
        </is>
      </c>
      <c r="J3" s="6" t="n"/>
      <c r="K3" s="55" t="inlineStr">
        <is>
          <t>11月</t>
        </is>
      </c>
      <c r="L3" s="6" t="n"/>
      <c r="M3" s="55" t="inlineStr">
        <is>
          <t>12月</t>
        </is>
      </c>
      <c r="N3" s="6" t="n"/>
      <c r="O3" s="55" t="inlineStr">
        <is>
          <t>1月</t>
        </is>
      </c>
      <c r="P3" s="6" t="n"/>
      <c r="Q3" s="55" t="inlineStr">
        <is>
          <t>2月</t>
        </is>
      </c>
      <c r="R3" s="6" t="n"/>
      <c r="S3" s="55" t="inlineStr">
        <is>
          <t>3月</t>
        </is>
      </c>
      <c r="T3" s="6" t="n"/>
    </row>
    <row r="4" ht="18" customHeight="1">
      <c r="A4" s="6" t="n"/>
      <c r="B4" s="6" t="n"/>
      <c r="C4" s="6" t="n"/>
      <c r="D4" s="6" t="n"/>
      <c r="E4" s="6" t="n"/>
      <c r="F4" s="6" t="n"/>
      <c r="G4" s="56" t="inlineStr">
        <is>
          <t>前半</t>
        </is>
      </c>
      <c r="H4" s="56" t="inlineStr">
        <is>
          <t>後半</t>
        </is>
      </c>
      <c r="I4" s="56" t="inlineStr">
        <is>
          <t>前半</t>
        </is>
      </c>
      <c r="J4" s="56" t="inlineStr">
        <is>
          <t>後半</t>
        </is>
      </c>
      <c r="K4" s="56" t="inlineStr">
        <is>
          <t>前半</t>
        </is>
      </c>
      <c r="L4" s="56" t="inlineStr">
        <is>
          <t>後半</t>
        </is>
      </c>
      <c r="M4" s="56" t="inlineStr">
        <is>
          <t>前半</t>
        </is>
      </c>
      <c r="N4" s="56" t="inlineStr">
        <is>
          <t>後半</t>
        </is>
      </c>
      <c r="O4" s="56" t="inlineStr">
        <is>
          <t>前半</t>
        </is>
      </c>
      <c r="P4" s="56" t="inlineStr">
        <is>
          <t>後半</t>
        </is>
      </c>
      <c r="Q4" s="56" t="inlineStr">
        <is>
          <t>前半</t>
        </is>
      </c>
      <c r="R4" s="56" t="inlineStr">
        <is>
          <t>後半</t>
        </is>
      </c>
      <c r="S4" s="56" t="inlineStr">
        <is>
          <t>前半</t>
        </is>
      </c>
      <c r="T4" s="56" t="inlineStr">
        <is>
          <t>後半</t>
        </is>
      </c>
    </row>
    <row r="5" ht="22" customHeight="1">
      <c r="A5" s="57" t="inlineStr">
        <is>
          <t>1</t>
        </is>
      </c>
      <c r="B5" s="58" t="inlineStr">
        <is>
          <t>業務管理・打合せ</t>
        </is>
      </c>
      <c r="C5" s="57" t="inlineStr"/>
      <c r="D5" s="59" t="n"/>
      <c r="E5" s="60" t="n">
        <v>46266</v>
      </c>
      <c r="F5" s="60" t="n">
        <v>46477</v>
      </c>
      <c r="G5" s="61" t="n"/>
      <c r="H5" s="61" t="n"/>
      <c r="I5" s="61" t="n"/>
      <c r="J5" s="61" t="n"/>
      <c r="K5" s="61" t="n"/>
      <c r="L5" s="61" t="n"/>
      <c r="M5" s="61" t="n"/>
      <c r="N5" s="61" t="n"/>
      <c r="O5" s="61" t="n"/>
      <c r="P5" s="61" t="n"/>
      <c r="Q5" s="61" t="n"/>
      <c r="R5" s="61" t="n"/>
      <c r="S5" s="61" t="n"/>
      <c r="T5" s="61" t="n"/>
    </row>
    <row r="6" ht="18" customHeight="1">
      <c r="A6" s="19" t="inlineStr">
        <is>
          <t>1.1</t>
        </is>
      </c>
      <c r="B6" s="20" t="inlineStr">
        <is>
          <t xml:space="preserve">　業務着手準備</t>
        </is>
      </c>
      <c r="C6" s="19" t="inlineStr"/>
      <c r="D6" s="21" t="n"/>
      <c r="E6" s="62" t="n">
        <v>46266</v>
      </c>
      <c r="F6" s="62" t="n">
        <v>46283</v>
      </c>
      <c r="G6" s="61" t="n"/>
      <c r="H6" s="61" t="n"/>
      <c r="I6" s="63" t="n"/>
      <c r="J6" s="63" t="n"/>
      <c r="K6" s="63" t="n"/>
      <c r="L6" s="63" t="n"/>
      <c r="M6" s="63" t="n"/>
      <c r="N6" s="63" t="n"/>
      <c r="O6" s="63" t="n"/>
      <c r="P6" s="63" t="n"/>
      <c r="Q6" s="63" t="n"/>
      <c r="R6" s="63" t="n"/>
      <c r="S6" s="63" t="n"/>
      <c r="T6" s="63" t="n"/>
    </row>
    <row r="7" ht="17" customHeight="1">
      <c r="A7" s="23" t="inlineStr">
        <is>
          <t>1.1.1</t>
        </is>
      </c>
      <c r="B7" s="5" t="inlineStr">
        <is>
          <t xml:space="preserve">　　契約締結・業務実施体制の確定</t>
        </is>
      </c>
      <c r="C7" s="23" t="inlineStr">
        <is>
          <t>受託者</t>
        </is>
      </c>
      <c r="D7" s="24" t="n">
        <v>0.5</v>
      </c>
      <c r="E7" s="64" t="n">
        <v>46266</v>
      </c>
      <c r="F7" s="64" t="n">
        <v>46269</v>
      </c>
      <c r="G7" s="61" t="n"/>
      <c r="H7" s="63" t="n"/>
      <c r="I7" s="63" t="n"/>
      <c r="J7" s="63" t="n"/>
      <c r="K7" s="63" t="n"/>
      <c r="L7" s="63" t="n"/>
      <c r="M7" s="63" t="n"/>
      <c r="N7" s="63" t="n"/>
      <c r="O7" s="63" t="n"/>
      <c r="P7" s="63" t="n"/>
      <c r="Q7" s="63" t="n"/>
      <c r="R7" s="63" t="n"/>
      <c r="S7" s="63" t="n"/>
      <c r="T7" s="63" t="n"/>
    </row>
    <row r="8" ht="17" customHeight="1">
      <c r="A8" s="26" t="inlineStr">
        <is>
          <t>1.1.2</t>
        </is>
      </c>
      <c r="B8" s="9" t="inlineStr">
        <is>
          <t xml:space="preserve">　　業務実施計画書・詳細工程表の作成</t>
        </is>
      </c>
      <c r="C8" s="26" t="inlineStr">
        <is>
          <t>受託者</t>
        </is>
      </c>
      <c r="D8" s="27" t="n">
        <v>1</v>
      </c>
      <c r="E8" s="65" t="n">
        <v>46266</v>
      </c>
      <c r="F8" s="65" t="n">
        <v>46283</v>
      </c>
      <c r="G8" s="61" t="n"/>
      <c r="H8" s="61" t="n"/>
      <c r="I8" s="66" t="n"/>
      <c r="J8" s="66" t="n"/>
      <c r="K8" s="66" t="n"/>
      <c r="L8" s="66" t="n"/>
      <c r="M8" s="66" t="n"/>
      <c r="N8" s="66" t="n"/>
      <c r="O8" s="66" t="n"/>
      <c r="P8" s="66" t="n"/>
      <c r="Q8" s="66" t="n"/>
      <c r="R8" s="66" t="n"/>
      <c r="S8" s="66" t="n"/>
      <c r="T8" s="66" t="n"/>
    </row>
    <row r="9" ht="17" customHeight="1">
      <c r="A9" s="23" t="inlineStr">
        <is>
          <t>1.1.3</t>
        </is>
      </c>
      <c r="B9" s="5" t="inlineStr">
        <is>
          <t xml:space="preserve">　　【第1回打合せ】キックオフ</t>
        </is>
      </c>
      <c r="C9" s="23" t="inlineStr">
        <is>
          <t>受託者</t>
        </is>
      </c>
      <c r="D9" s="24" t="n">
        <v>1</v>
      </c>
      <c r="E9" s="64" t="n">
        <v>46275</v>
      </c>
      <c r="F9" s="64" t="n">
        <v>46275</v>
      </c>
      <c r="G9" s="67" t="inlineStr">
        <is>
          <t>◆</t>
        </is>
      </c>
      <c r="H9" s="63" t="n"/>
      <c r="I9" s="63" t="n"/>
      <c r="J9" s="63" t="n"/>
      <c r="K9" s="63" t="n"/>
      <c r="L9" s="63" t="n"/>
      <c r="M9" s="63" t="n"/>
      <c r="N9" s="63" t="n"/>
      <c r="O9" s="63" t="n"/>
      <c r="P9" s="63" t="n"/>
      <c r="Q9" s="63" t="n"/>
      <c r="R9" s="63" t="n"/>
      <c r="S9" s="63" t="n"/>
      <c r="T9" s="63" t="n"/>
    </row>
    <row r="10" ht="17" customHeight="1">
      <c r="A10" s="26" t="inlineStr">
        <is>
          <t>1.1.4</t>
        </is>
      </c>
      <c r="B10" s="9" t="inlineStr">
        <is>
          <t xml:space="preserve">　　個人情報・機密情報の取扱手続</t>
        </is>
      </c>
      <c r="C10" s="26" t="inlineStr">
        <is>
          <t>受託者</t>
        </is>
      </c>
      <c r="D10" s="27" t="n">
        <v>0.5</v>
      </c>
      <c r="E10" s="65" t="n">
        <v>46266</v>
      </c>
      <c r="F10" s="65" t="n">
        <v>46276</v>
      </c>
      <c r="G10" s="61" t="n"/>
      <c r="H10" s="66" t="n"/>
      <c r="I10" s="66" t="n"/>
      <c r="J10" s="66" t="n"/>
      <c r="K10" s="66" t="n"/>
      <c r="L10" s="66" t="n"/>
      <c r="M10" s="66" t="n"/>
      <c r="N10" s="66" t="n"/>
      <c r="O10" s="66" t="n"/>
      <c r="P10" s="66" t="n"/>
      <c r="Q10" s="66" t="n"/>
      <c r="R10" s="66" t="n"/>
      <c r="S10" s="66" t="n"/>
      <c r="T10" s="66" t="n"/>
    </row>
    <row r="11" ht="18" customHeight="1">
      <c r="A11" s="19" t="inlineStr">
        <is>
          <t>1.2</t>
        </is>
      </c>
      <c r="B11" s="20" t="inlineStr">
        <is>
          <t xml:space="preserve">　進行管理</t>
        </is>
      </c>
      <c r="C11" s="19" t="inlineStr"/>
      <c r="D11" s="21" t="n"/>
      <c r="E11" s="62" t="n">
        <v>46266</v>
      </c>
      <c r="F11" s="62" t="n">
        <v>46477</v>
      </c>
      <c r="G11" s="61" t="n"/>
      <c r="H11" s="61" t="n"/>
      <c r="I11" s="61" t="n"/>
      <c r="J11" s="61" t="n"/>
      <c r="K11" s="61" t="n"/>
      <c r="L11" s="61" t="n"/>
      <c r="M11" s="61" t="n"/>
      <c r="N11" s="61" t="n"/>
      <c r="O11" s="61" t="n"/>
      <c r="P11" s="61" t="n"/>
      <c r="Q11" s="61" t="n"/>
      <c r="R11" s="61" t="n"/>
      <c r="S11" s="61" t="n"/>
      <c r="T11" s="61" t="n"/>
    </row>
    <row r="12" ht="17" customHeight="1">
      <c r="A12" s="26" t="inlineStr">
        <is>
          <t>1.2.1</t>
        </is>
      </c>
      <c r="B12" s="9" t="inlineStr">
        <is>
          <t xml:space="preserve">　　定例連絡・進捗報告</t>
        </is>
      </c>
      <c r="C12" s="26" t="inlineStr">
        <is>
          <t>受託者</t>
        </is>
      </c>
      <c r="D12" s="27" t="n">
        <v>2</v>
      </c>
      <c r="E12" s="65" t="n">
        <v>46266</v>
      </c>
      <c r="F12" s="65" t="n">
        <v>46477</v>
      </c>
      <c r="G12" s="61" t="n"/>
      <c r="H12" s="61" t="n"/>
      <c r="I12" s="61" t="n"/>
      <c r="J12" s="61" t="n"/>
      <c r="K12" s="61" t="n"/>
      <c r="L12" s="61" t="n"/>
      <c r="M12" s="61" t="n"/>
      <c r="N12" s="61" t="n"/>
      <c r="O12" s="61" t="n"/>
      <c r="P12" s="61" t="n"/>
      <c r="Q12" s="61" t="n"/>
      <c r="R12" s="61" t="n"/>
      <c r="S12" s="61" t="n"/>
      <c r="T12" s="61" t="n"/>
    </row>
    <row r="13" ht="17" customHeight="1">
      <c r="A13" s="23" t="inlineStr">
        <is>
          <t>1.2.2</t>
        </is>
      </c>
      <c r="B13" s="5" t="inlineStr">
        <is>
          <t xml:space="preserve">　　【第2回打合せ】現状分析・骨子報告</t>
        </is>
      </c>
      <c r="C13" s="23" t="inlineStr">
        <is>
          <t>受託者</t>
        </is>
      </c>
      <c r="D13" s="24" t="n">
        <v>1</v>
      </c>
      <c r="E13" s="64" t="n">
        <v>46366</v>
      </c>
      <c r="F13" s="64" t="n">
        <v>46366</v>
      </c>
      <c r="G13" s="63" t="n"/>
      <c r="H13" s="63" t="n"/>
      <c r="I13" s="63" t="n"/>
      <c r="J13" s="63" t="n"/>
      <c r="K13" s="63" t="n"/>
      <c r="L13" s="63" t="n"/>
      <c r="M13" s="67" t="inlineStr">
        <is>
          <t>◆</t>
        </is>
      </c>
      <c r="N13" s="63" t="n"/>
      <c r="O13" s="63" t="n"/>
      <c r="P13" s="63" t="n"/>
      <c r="Q13" s="63" t="n"/>
      <c r="R13" s="63" t="n"/>
      <c r="S13" s="63" t="n"/>
      <c r="T13" s="63" t="n"/>
    </row>
    <row r="14" ht="17" customHeight="1">
      <c r="A14" s="26" t="inlineStr">
        <is>
          <t>1.2.3</t>
        </is>
      </c>
      <c r="B14" s="9" t="inlineStr">
        <is>
          <t xml:space="preserve">　　【第3回打合せ】計画素案・保険料報告</t>
        </is>
      </c>
      <c r="C14" s="26" t="inlineStr">
        <is>
          <t>受託者</t>
        </is>
      </c>
      <c r="D14" s="27" t="n">
        <v>1</v>
      </c>
      <c r="E14" s="65" t="n">
        <v>46428</v>
      </c>
      <c r="F14" s="65" t="n">
        <v>46428</v>
      </c>
      <c r="G14" s="66" t="n"/>
      <c r="H14" s="66" t="n"/>
      <c r="I14" s="66" t="n"/>
      <c r="J14" s="66" t="n"/>
      <c r="K14" s="66" t="n"/>
      <c r="L14" s="66" t="n"/>
      <c r="M14" s="66" t="n"/>
      <c r="N14" s="66" t="n"/>
      <c r="O14" s="66" t="n"/>
      <c r="P14" s="66" t="n"/>
      <c r="Q14" s="67" t="inlineStr">
        <is>
          <t>◆</t>
        </is>
      </c>
      <c r="R14" s="66" t="n"/>
      <c r="S14" s="66" t="n"/>
      <c r="T14" s="66" t="n"/>
    </row>
    <row r="15" ht="17" customHeight="1">
      <c r="A15" s="23" t="inlineStr">
        <is>
          <t>1.2.4</t>
        </is>
      </c>
      <c r="B15" s="5" t="inlineStr">
        <is>
          <t xml:space="preserve">　　国の指示・基本指針変更への対応協議</t>
        </is>
      </c>
      <c r="C15" s="23" t="inlineStr">
        <is>
          <t>受託者</t>
        </is>
      </c>
      <c r="D15" s="24" t="n">
        <v>0.5</v>
      </c>
      <c r="E15" s="64" t="n">
        <v>46266</v>
      </c>
      <c r="F15" s="64" t="n">
        <v>46477</v>
      </c>
      <c r="G15" s="61" t="n"/>
      <c r="H15" s="61" t="n"/>
      <c r="I15" s="61" t="n"/>
      <c r="J15" s="61" t="n"/>
      <c r="K15" s="61" t="n"/>
      <c r="L15" s="61" t="n"/>
      <c r="M15" s="61" t="n"/>
      <c r="N15" s="61" t="n"/>
      <c r="O15" s="61" t="n"/>
      <c r="P15" s="61" t="n"/>
      <c r="Q15" s="61" t="n"/>
      <c r="R15" s="61" t="n"/>
      <c r="S15" s="61" t="n"/>
      <c r="T15" s="61" t="n"/>
    </row>
    <row r="16" ht="18" customHeight="1">
      <c r="A16" s="19" t="inlineStr">
        <is>
          <t>1.3</t>
        </is>
      </c>
      <c r="B16" s="20" t="inlineStr">
        <is>
          <t xml:space="preserve">　資料収集・整理</t>
        </is>
      </c>
      <c r="C16" s="19" t="inlineStr"/>
      <c r="D16" s="21" t="n"/>
      <c r="E16" s="62" t="n">
        <v>46273</v>
      </c>
      <c r="F16" s="62" t="n">
        <v>46310</v>
      </c>
      <c r="G16" s="61" t="n"/>
      <c r="H16" s="61" t="n"/>
      <c r="I16" s="61" t="n"/>
      <c r="J16" s="63" t="n"/>
      <c r="K16" s="63" t="n"/>
      <c r="L16" s="63" t="n"/>
      <c r="M16" s="63" t="n"/>
      <c r="N16" s="63" t="n"/>
      <c r="O16" s="63" t="n"/>
      <c r="P16" s="63" t="n"/>
      <c r="Q16" s="63" t="n"/>
      <c r="R16" s="63" t="n"/>
      <c r="S16" s="63" t="n"/>
      <c r="T16" s="63" t="n"/>
    </row>
    <row r="17" ht="17" customHeight="1">
      <c r="A17" s="23" t="inlineStr">
        <is>
          <t>1.3.1</t>
        </is>
      </c>
      <c r="B17" s="5" t="inlineStr">
        <is>
          <t xml:space="preserve">　　村提供資料の受領・確認</t>
        </is>
      </c>
      <c r="C17" s="23" t="inlineStr">
        <is>
          <t>受託者</t>
        </is>
      </c>
      <c r="D17" s="24" t="n">
        <v>0.5</v>
      </c>
      <c r="E17" s="64" t="n">
        <v>46273</v>
      </c>
      <c r="F17" s="64" t="n">
        <v>46295</v>
      </c>
      <c r="G17" s="61" t="n"/>
      <c r="H17" s="61" t="n"/>
      <c r="I17" s="63" t="n"/>
      <c r="J17" s="63" t="n"/>
      <c r="K17" s="63" t="n"/>
      <c r="L17" s="63" t="n"/>
      <c r="M17" s="63" t="n"/>
      <c r="N17" s="63" t="n"/>
      <c r="O17" s="63" t="n"/>
      <c r="P17" s="63" t="n"/>
      <c r="Q17" s="63" t="n"/>
      <c r="R17" s="63" t="n"/>
      <c r="S17" s="63" t="n"/>
      <c r="T17" s="63" t="n"/>
    </row>
    <row r="18" ht="17" customHeight="1">
      <c r="A18" s="26" t="inlineStr">
        <is>
          <t>1.3.2</t>
        </is>
      </c>
      <c r="B18" s="9" t="inlineStr">
        <is>
          <t xml:space="preserve">　　公表統計・システムデータの収集</t>
        </is>
      </c>
      <c r="C18" s="26" t="inlineStr">
        <is>
          <t>受託者</t>
        </is>
      </c>
      <c r="D18" s="27" t="n">
        <v>1</v>
      </c>
      <c r="E18" s="65" t="n">
        <v>46273</v>
      </c>
      <c r="F18" s="65" t="n">
        <v>46310</v>
      </c>
      <c r="G18" s="61" t="n"/>
      <c r="H18" s="61" t="n"/>
      <c r="I18" s="61" t="n"/>
      <c r="J18" s="66" t="n"/>
      <c r="K18" s="66" t="n"/>
      <c r="L18" s="66" t="n"/>
      <c r="M18" s="66" t="n"/>
      <c r="N18" s="66" t="n"/>
      <c r="O18" s="66" t="n"/>
      <c r="P18" s="66" t="n"/>
      <c r="Q18" s="66" t="n"/>
      <c r="R18" s="66" t="n"/>
      <c r="S18" s="66" t="n"/>
      <c r="T18" s="66" t="n"/>
    </row>
    <row r="19" ht="17" customHeight="1">
      <c r="A19" s="23" t="inlineStr">
        <is>
          <t>1.3.3</t>
        </is>
      </c>
      <c r="B19" s="5" t="inlineStr">
        <is>
          <t xml:space="preserve">　　関連計画・関連資料の収集</t>
        </is>
      </c>
      <c r="C19" s="23" t="inlineStr">
        <is>
          <t>受託者</t>
        </is>
      </c>
      <c r="D19" s="24" t="n">
        <v>0.5</v>
      </c>
      <c r="E19" s="64" t="n">
        <v>46273</v>
      </c>
      <c r="F19" s="64" t="n">
        <v>46310</v>
      </c>
      <c r="G19" s="61" t="n"/>
      <c r="H19" s="61" t="n"/>
      <c r="I19" s="61" t="n"/>
      <c r="J19" s="63" t="n"/>
      <c r="K19" s="63" t="n"/>
      <c r="L19" s="63" t="n"/>
      <c r="M19" s="63" t="n"/>
      <c r="N19" s="63" t="n"/>
      <c r="O19" s="63" t="n"/>
      <c r="P19" s="63" t="n"/>
      <c r="Q19" s="63" t="n"/>
      <c r="R19" s="63" t="n"/>
      <c r="S19" s="63" t="n"/>
      <c r="T19" s="63" t="n"/>
    </row>
    <row r="20" ht="17" customHeight="1">
      <c r="A20" s="26" t="inlineStr">
        <is>
          <t>1.3.4</t>
        </is>
      </c>
      <c r="B20" s="9" t="inlineStr">
        <is>
          <t xml:space="preserve">　　見える化システムデータの棚卸し</t>
        </is>
      </c>
      <c r="C20" s="26" t="inlineStr">
        <is>
          <t>受託者</t>
        </is>
      </c>
      <c r="D20" s="27" t="n">
        <v>1</v>
      </c>
      <c r="E20" s="65" t="n">
        <v>46273</v>
      </c>
      <c r="F20" s="65" t="n">
        <v>46283</v>
      </c>
      <c r="G20" s="61" t="n"/>
      <c r="H20" s="61" t="n"/>
      <c r="I20" s="66" t="n"/>
      <c r="J20" s="66" t="n"/>
      <c r="K20" s="66" t="n"/>
      <c r="L20" s="66" t="n"/>
      <c r="M20" s="66" t="n"/>
      <c r="N20" s="66" t="n"/>
      <c r="O20" s="66" t="n"/>
      <c r="P20" s="66" t="n"/>
      <c r="Q20" s="66" t="n"/>
      <c r="R20" s="66" t="n"/>
      <c r="S20" s="66" t="n"/>
      <c r="T20" s="66" t="n"/>
    </row>
    <row r="21" ht="17" customHeight="1">
      <c r="A21" s="23" t="inlineStr">
        <is>
          <t>1.3.5</t>
        </is>
      </c>
      <c r="B21" s="5" t="inlineStr">
        <is>
          <t xml:space="preserve">　　未取得データの再取得・代替データの確保</t>
        </is>
      </c>
      <c r="C21" s="23" t="inlineStr">
        <is>
          <t>受託者</t>
        </is>
      </c>
      <c r="D21" s="24" t="n">
        <v>1</v>
      </c>
      <c r="E21" s="64" t="n">
        <v>46281</v>
      </c>
      <c r="F21" s="64" t="n">
        <v>46310</v>
      </c>
      <c r="G21" s="63" t="n"/>
      <c r="H21" s="61" t="n"/>
      <c r="I21" s="61" t="n"/>
      <c r="J21" s="63" t="n"/>
      <c r="K21" s="63" t="n"/>
      <c r="L21" s="63" t="n"/>
      <c r="M21" s="63" t="n"/>
      <c r="N21" s="63" t="n"/>
      <c r="O21" s="63" t="n"/>
      <c r="P21" s="63" t="n"/>
      <c r="Q21" s="63" t="n"/>
      <c r="R21" s="63" t="n"/>
      <c r="S21" s="63" t="n"/>
      <c r="T21" s="63" t="n"/>
    </row>
    <row r="22" ht="22" customHeight="1">
      <c r="A22" s="68" t="inlineStr">
        <is>
          <t>2</t>
        </is>
      </c>
      <c r="B22" s="69" t="inlineStr">
        <is>
          <t>現状の評価・分析</t>
        </is>
      </c>
      <c r="C22" s="68" t="inlineStr"/>
      <c r="D22" s="70" t="n"/>
      <c r="E22" s="71" t="n">
        <v>46273</v>
      </c>
      <c r="F22" s="71" t="n">
        <v>46353</v>
      </c>
      <c r="G22" s="72" t="n"/>
      <c r="H22" s="72" t="n"/>
      <c r="I22" s="72" t="n"/>
      <c r="J22" s="72" t="n"/>
      <c r="K22" s="72" t="n"/>
      <c r="L22" s="72" t="n"/>
      <c r="M22" s="63" t="n"/>
      <c r="N22" s="63" t="n"/>
      <c r="O22" s="63" t="n"/>
      <c r="P22" s="63" t="n"/>
      <c r="Q22" s="63" t="n"/>
      <c r="R22" s="63" t="n"/>
      <c r="S22" s="63" t="n"/>
      <c r="T22" s="63" t="n"/>
    </row>
    <row r="23" ht="18" customHeight="1">
      <c r="A23" s="19" t="inlineStr">
        <is>
          <t>2.1</t>
        </is>
      </c>
      <c r="B23" s="20" t="inlineStr">
        <is>
          <t xml:space="preserve">　基礎的資料による現状把握・分析</t>
        </is>
      </c>
      <c r="C23" s="19" t="inlineStr"/>
      <c r="D23" s="21" t="n"/>
      <c r="E23" s="62" t="n">
        <v>46296</v>
      </c>
      <c r="F23" s="62" t="n">
        <v>46325</v>
      </c>
      <c r="G23" s="63" t="n"/>
      <c r="H23" s="63" t="n"/>
      <c r="I23" s="72" t="n"/>
      <c r="J23" s="72" t="n"/>
      <c r="K23" s="63" t="n"/>
      <c r="L23" s="63" t="n"/>
      <c r="M23" s="63" t="n"/>
      <c r="N23" s="63" t="n"/>
      <c r="O23" s="63" t="n"/>
      <c r="P23" s="63" t="n"/>
      <c r="Q23" s="63" t="n"/>
      <c r="R23" s="63" t="n"/>
      <c r="S23" s="63" t="n"/>
      <c r="T23" s="63" t="n"/>
    </row>
    <row r="24" ht="17" customHeight="1">
      <c r="A24" s="26" t="inlineStr">
        <is>
          <t>2.1.1</t>
        </is>
      </c>
      <c r="B24" s="9" t="inlineStr">
        <is>
          <t xml:space="preserve">　　人口・世帯の動向分析</t>
        </is>
      </c>
      <c r="C24" s="26" t="inlineStr">
        <is>
          <t>受託者</t>
        </is>
      </c>
      <c r="D24" s="27" t="n">
        <v>1.5</v>
      </c>
      <c r="E24" s="65" t="n">
        <v>46296</v>
      </c>
      <c r="F24" s="65" t="n">
        <v>46318</v>
      </c>
      <c r="G24" s="66" t="n"/>
      <c r="H24" s="66" t="n"/>
      <c r="I24" s="72" t="n"/>
      <c r="J24" s="72" t="n"/>
      <c r="K24" s="66" t="n"/>
      <c r="L24" s="66" t="n"/>
      <c r="M24" s="66" t="n"/>
      <c r="N24" s="66" t="n"/>
      <c r="O24" s="66" t="n"/>
      <c r="P24" s="66" t="n"/>
      <c r="Q24" s="66" t="n"/>
      <c r="R24" s="66" t="n"/>
      <c r="S24" s="66" t="n"/>
      <c r="T24" s="66" t="n"/>
    </row>
    <row r="25" ht="17" customHeight="1">
      <c r="A25" s="23" t="inlineStr">
        <is>
          <t>2.1.2</t>
        </is>
      </c>
      <c r="B25" s="5" t="inlineStr">
        <is>
          <t xml:space="preserve">　　地域資源・社会基盤の整理</t>
        </is>
      </c>
      <c r="C25" s="23" t="inlineStr">
        <is>
          <t>受託者</t>
        </is>
      </c>
      <c r="D25" s="24" t="n">
        <v>1</v>
      </c>
      <c r="E25" s="64" t="n">
        <v>46296</v>
      </c>
      <c r="F25" s="64" t="n">
        <v>46318</v>
      </c>
      <c r="G25" s="63" t="n"/>
      <c r="H25" s="63" t="n"/>
      <c r="I25" s="72" t="n"/>
      <c r="J25" s="72" t="n"/>
      <c r="K25" s="63" t="n"/>
      <c r="L25" s="63" t="n"/>
      <c r="M25" s="63" t="n"/>
      <c r="N25" s="63" t="n"/>
      <c r="O25" s="63" t="n"/>
      <c r="P25" s="63" t="n"/>
      <c r="Q25" s="63" t="n"/>
      <c r="R25" s="63" t="n"/>
      <c r="S25" s="63" t="n"/>
      <c r="T25" s="63" t="n"/>
    </row>
    <row r="26" ht="17" customHeight="1">
      <c r="A26" s="26" t="inlineStr">
        <is>
          <t>2.1.3</t>
        </is>
      </c>
      <c r="B26" s="9" t="inlineStr">
        <is>
          <t xml:space="preserve">　　北海道・全国・類似団体との比較分析</t>
        </is>
      </c>
      <c r="C26" s="26" t="inlineStr">
        <is>
          <t>受託者</t>
        </is>
      </c>
      <c r="D26" s="27" t="n">
        <v>0.5</v>
      </c>
      <c r="E26" s="65" t="n">
        <v>46308</v>
      </c>
      <c r="F26" s="65" t="n">
        <v>46325</v>
      </c>
      <c r="G26" s="66" t="n"/>
      <c r="H26" s="66" t="n"/>
      <c r="I26" s="72" t="n"/>
      <c r="J26" s="72" t="n"/>
      <c r="K26" s="66" t="n"/>
      <c r="L26" s="66" t="n"/>
      <c r="M26" s="66" t="n"/>
      <c r="N26" s="66" t="n"/>
      <c r="O26" s="66" t="n"/>
      <c r="P26" s="66" t="n"/>
      <c r="Q26" s="66" t="n"/>
      <c r="R26" s="66" t="n"/>
      <c r="S26" s="66" t="n"/>
      <c r="T26" s="66" t="n"/>
    </row>
    <row r="27" ht="18" customHeight="1">
      <c r="A27" s="19" t="inlineStr">
        <is>
          <t>2.2</t>
        </is>
      </c>
      <c r="B27" s="20" t="inlineStr">
        <is>
          <t xml:space="preserve">　高齢者福祉サービス実績の分析</t>
        </is>
      </c>
      <c r="C27" s="19" t="inlineStr"/>
      <c r="D27" s="21" t="n"/>
      <c r="E27" s="62" t="n">
        <v>46296</v>
      </c>
      <c r="F27" s="62" t="n">
        <v>46326</v>
      </c>
      <c r="G27" s="63" t="n"/>
      <c r="H27" s="63" t="n"/>
      <c r="I27" s="72" t="n"/>
      <c r="J27" s="72" t="n"/>
      <c r="K27" s="63" t="n"/>
      <c r="L27" s="63" t="n"/>
      <c r="M27" s="63" t="n"/>
      <c r="N27" s="63" t="n"/>
      <c r="O27" s="63" t="n"/>
      <c r="P27" s="63" t="n"/>
      <c r="Q27" s="63" t="n"/>
      <c r="R27" s="63" t="n"/>
      <c r="S27" s="63" t="n"/>
      <c r="T27" s="63" t="n"/>
    </row>
    <row r="28" ht="17" customHeight="1">
      <c r="A28" s="26" t="inlineStr">
        <is>
          <t>2.2.1</t>
        </is>
      </c>
      <c r="B28" s="9" t="inlineStr">
        <is>
          <t xml:space="preserve">　　高齢者福祉施策（村単独事業）の実績分析</t>
        </is>
      </c>
      <c r="C28" s="26" t="inlineStr">
        <is>
          <t>受託者</t>
        </is>
      </c>
      <c r="D28" s="27" t="n">
        <v>1</v>
      </c>
      <c r="E28" s="65" t="n">
        <v>46296</v>
      </c>
      <c r="F28" s="65" t="n">
        <v>46326</v>
      </c>
      <c r="G28" s="66" t="n"/>
      <c r="H28" s="66" t="n"/>
      <c r="I28" s="72" t="n"/>
      <c r="J28" s="72" t="n"/>
      <c r="K28" s="66" t="n"/>
      <c r="L28" s="66" t="n"/>
      <c r="M28" s="66" t="n"/>
      <c r="N28" s="66" t="n"/>
      <c r="O28" s="66" t="n"/>
      <c r="P28" s="66" t="n"/>
      <c r="Q28" s="66" t="n"/>
      <c r="R28" s="66" t="n"/>
      <c r="S28" s="66" t="n"/>
      <c r="T28" s="66" t="n"/>
    </row>
    <row r="29" ht="17" customHeight="1">
      <c r="A29" s="23" t="inlineStr">
        <is>
          <t>2.2.2</t>
        </is>
      </c>
      <c r="B29" s="5" t="inlineStr">
        <is>
          <t xml:space="preserve">　　介護予防・日常生活支援総合事業の実績分析</t>
        </is>
      </c>
      <c r="C29" s="23" t="inlineStr">
        <is>
          <t>受託者</t>
        </is>
      </c>
      <c r="D29" s="24" t="n">
        <v>1</v>
      </c>
      <c r="E29" s="64" t="n">
        <v>46296</v>
      </c>
      <c r="F29" s="64" t="n">
        <v>46326</v>
      </c>
      <c r="G29" s="63" t="n"/>
      <c r="H29" s="63" t="n"/>
      <c r="I29" s="72" t="n"/>
      <c r="J29" s="72" t="n"/>
      <c r="K29" s="63" t="n"/>
      <c r="L29" s="63" t="n"/>
      <c r="M29" s="63" t="n"/>
      <c r="N29" s="63" t="n"/>
      <c r="O29" s="63" t="n"/>
      <c r="P29" s="63" t="n"/>
      <c r="Q29" s="63" t="n"/>
      <c r="R29" s="63" t="n"/>
      <c r="S29" s="63" t="n"/>
      <c r="T29" s="63" t="n"/>
    </row>
    <row r="30" ht="17" customHeight="1">
      <c r="A30" s="26" t="inlineStr">
        <is>
          <t>2.2.3</t>
        </is>
      </c>
      <c r="B30" s="9" t="inlineStr">
        <is>
          <t xml:space="preserve">　　包括的支援事業・任意事業の実績分析</t>
        </is>
      </c>
      <c r="C30" s="26" t="inlineStr">
        <is>
          <t>受託者</t>
        </is>
      </c>
      <c r="D30" s="27" t="n">
        <v>0.5</v>
      </c>
      <c r="E30" s="65" t="n">
        <v>46308</v>
      </c>
      <c r="F30" s="65" t="n">
        <v>46326</v>
      </c>
      <c r="G30" s="66" t="n"/>
      <c r="H30" s="66" t="n"/>
      <c r="I30" s="72" t="n"/>
      <c r="J30" s="72" t="n"/>
      <c r="K30" s="66" t="n"/>
      <c r="L30" s="66" t="n"/>
      <c r="M30" s="66" t="n"/>
      <c r="N30" s="66" t="n"/>
      <c r="O30" s="66" t="n"/>
      <c r="P30" s="66" t="n"/>
      <c r="Q30" s="66" t="n"/>
      <c r="R30" s="66" t="n"/>
      <c r="S30" s="66" t="n"/>
      <c r="T30" s="66" t="n"/>
    </row>
    <row r="31" ht="18" customHeight="1">
      <c r="A31" s="19" t="inlineStr">
        <is>
          <t>2.3</t>
        </is>
      </c>
      <c r="B31" s="20" t="inlineStr">
        <is>
          <t xml:space="preserve">　介護保険サービス実績の分析</t>
        </is>
      </c>
      <c r="C31" s="19" t="inlineStr"/>
      <c r="D31" s="21" t="n"/>
      <c r="E31" s="62" t="n">
        <v>46296</v>
      </c>
      <c r="F31" s="62" t="n">
        <v>46346</v>
      </c>
      <c r="G31" s="63" t="n"/>
      <c r="H31" s="63" t="n"/>
      <c r="I31" s="72" t="n"/>
      <c r="J31" s="72" t="n"/>
      <c r="K31" s="72" t="n"/>
      <c r="L31" s="72" t="n"/>
      <c r="M31" s="63" t="n"/>
      <c r="N31" s="63" t="n"/>
      <c r="O31" s="63" t="n"/>
      <c r="P31" s="63" t="n"/>
      <c r="Q31" s="63" t="n"/>
      <c r="R31" s="63" t="n"/>
      <c r="S31" s="63" t="n"/>
      <c r="T31" s="63" t="n"/>
    </row>
    <row r="32" ht="17" customHeight="1">
      <c r="A32" s="26" t="inlineStr">
        <is>
          <t>2.3.1</t>
        </is>
      </c>
      <c r="B32" s="9" t="inlineStr">
        <is>
          <t xml:space="preserve">　　要介護認定者数・認定率の推移分析</t>
        </is>
      </c>
      <c r="C32" s="26" t="inlineStr">
        <is>
          <t>受託者</t>
        </is>
      </c>
      <c r="D32" s="27" t="n">
        <v>1.5</v>
      </c>
      <c r="E32" s="65" t="n">
        <v>46296</v>
      </c>
      <c r="F32" s="65" t="n">
        <v>46326</v>
      </c>
      <c r="G32" s="66" t="n"/>
      <c r="H32" s="66" t="n"/>
      <c r="I32" s="72" t="n"/>
      <c r="J32" s="72" t="n"/>
      <c r="K32" s="66" t="n"/>
      <c r="L32" s="66" t="n"/>
      <c r="M32" s="66" t="n"/>
      <c r="N32" s="66" t="n"/>
      <c r="O32" s="66" t="n"/>
      <c r="P32" s="66" t="n"/>
      <c r="Q32" s="66" t="n"/>
      <c r="R32" s="66" t="n"/>
      <c r="S32" s="66" t="n"/>
      <c r="T32" s="66" t="n"/>
    </row>
    <row r="33" ht="17" customHeight="1">
      <c r="A33" s="23" t="inlineStr">
        <is>
          <t>2.3.2</t>
        </is>
      </c>
      <c r="B33" s="5" t="inlineStr">
        <is>
          <t xml:space="preserve">　　サービス種類別給付実績の分析</t>
        </is>
      </c>
      <c r="C33" s="23" t="inlineStr">
        <is>
          <t>受託者</t>
        </is>
      </c>
      <c r="D33" s="24" t="n">
        <v>1.5</v>
      </c>
      <c r="E33" s="64" t="n">
        <v>46301</v>
      </c>
      <c r="F33" s="64" t="n">
        <v>46339</v>
      </c>
      <c r="G33" s="63" t="n"/>
      <c r="H33" s="63" t="n"/>
      <c r="I33" s="72" t="n"/>
      <c r="J33" s="72" t="n"/>
      <c r="K33" s="72" t="n"/>
      <c r="L33" s="63" t="n"/>
      <c r="M33" s="63" t="n"/>
      <c r="N33" s="63" t="n"/>
      <c r="O33" s="63" t="n"/>
      <c r="P33" s="63" t="n"/>
      <c r="Q33" s="63" t="n"/>
      <c r="R33" s="63" t="n"/>
      <c r="S33" s="63" t="n"/>
      <c r="T33" s="63" t="n"/>
    </row>
    <row r="34" ht="17" customHeight="1">
      <c r="A34" s="26" t="inlineStr">
        <is>
          <t>2.3.3</t>
        </is>
      </c>
      <c r="B34" s="9" t="inlineStr">
        <is>
          <t xml:space="preserve">　　受給率・利用率・1人当たり給付費の分析</t>
        </is>
      </c>
      <c r="C34" s="26" t="inlineStr">
        <is>
          <t>受託者</t>
        </is>
      </c>
      <c r="D34" s="27" t="n">
        <v>1</v>
      </c>
      <c r="E34" s="65" t="n">
        <v>46315</v>
      </c>
      <c r="F34" s="65" t="n">
        <v>46339</v>
      </c>
      <c r="G34" s="66" t="n"/>
      <c r="H34" s="66" t="n"/>
      <c r="I34" s="66" t="n"/>
      <c r="J34" s="72" t="n"/>
      <c r="K34" s="72" t="n"/>
      <c r="L34" s="66" t="n"/>
      <c r="M34" s="66" t="n"/>
      <c r="N34" s="66" t="n"/>
      <c r="O34" s="66" t="n"/>
      <c r="P34" s="66" t="n"/>
      <c r="Q34" s="66" t="n"/>
      <c r="R34" s="66" t="n"/>
      <c r="S34" s="66" t="n"/>
      <c r="T34" s="66" t="n"/>
    </row>
    <row r="35" ht="17" customHeight="1">
      <c r="A35" s="23" t="inlineStr">
        <is>
          <t>2.3.4</t>
        </is>
      </c>
      <c r="B35" s="5" t="inlineStr">
        <is>
          <t xml:space="preserve">　　介護保険財政・保険料収納状況の分析</t>
        </is>
      </c>
      <c r="C35" s="23" t="inlineStr">
        <is>
          <t>受託者</t>
        </is>
      </c>
      <c r="D35" s="24" t="n">
        <v>1</v>
      </c>
      <c r="E35" s="64" t="n">
        <v>46315</v>
      </c>
      <c r="F35" s="64" t="n">
        <v>46346</v>
      </c>
      <c r="G35" s="63" t="n"/>
      <c r="H35" s="63" t="n"/>
      <c r="I35" s="63" t="n"/>
      <c r="J35" s="72" t="n"/>
      <c r="K35" s="72" t="n"/>
      <c r="L35" s="72" t="n"/>
      <c r="M35" s="63" t="n"/>
      <c r="N35" s="63" t="n"/>
      <c r="O35" s="63" t="n"/>
      <c r="P35" s="63" t="n"/>
      <c r="Q35" s="63" t="n"/>
      <c r="R35" s="63" t="n"/>
      <c r="S35" s="63" t="n"/>
      <c r="T35" s="63" t="n"/>
    </row>
    <row r="36" ht="18" customHeight="1">
      <c r="A36" s="19" t="inlineStr">
        <is>
          <t>2.4</t>
        </is>
      </c>
      <c r="B36" s="20" t="inlineStr">
        <is>
          <t xml:space="preserve">　現行計画（第9期）の点検・評価</t>
        </is>
      </c>
      <c r="C36" s="19" t="inlineStr"/>
      <c r="D36" s="21" t="n"/>
      <c r="E36" s="62" t="n">
        <v>46273</v>
      </c>
      <c r="F36" s="62" t="n">
        <v>46353</v>
      </c>
      <c r="G36" s="72" t="n"/>
      <c r="H36" s="72" t="n"/>
      <c r="I36" s="72" t="n"/>
      <c r="J36" s="72" t="n"/>
      <c r="K36" s="72" t="n"/>
      <c r="L36" s="72" t="n"/>
      <c r="M36" s="63" t="n"/>
      <c r="N36" s="63" t="n"/>
      <c r="O36" s="63" t="n"/>
      <c r="P36" s="63" t="n"/>
      <c r="Q36" s="63" t="n"/>
      <c r="R36" s="63" t="n"/>
      <c r="S36" s="63" t="n"/>
      <c r="T36" s="63" t="n"/>
    </row>
    <row r="37" ht="17" customHeight="1">
      <c r="A37" s="23" t="inlineStr">
        <is>
          <t>2.4.0</t>
        </is>
      </c>
      <c r="B37" s="5" t="inlineStr">
        <is>
          <t xml:space="preserve">　　【前提】第9期計画本体の受領</t>
        </is>
      </c>
      <c r="C37" s="23" t="inlineStr">
        <is>
          <t>受託者</t>
        </is>
      </c>
      <c r="D37" s="24" t="n">
        <v>0.5</v>
      </c>
      <c r="E37" s="64" t="n">
        <v>46273</v>
      </c>
      <c r="F37" s="64" t="n">
        <v>46297</v>
      </c>
      <c r="G37" s="72" t="n"/>
      <c r="H37" s="72" t="n"/>
      <c r="I37" s="72" t="n"/>
      <c r="J37" s="63" t="n"/>
      <c r="K37" s="63" t="n"/>
      <c r="L37" s="63" t="n"/>
      <c r="M37" s="63" t="n"/>
      <c r="N37" s="63" t="n"/>
      <c r="O37" s="63" t="n"/>
      <c r="P37" s="63" t="n"/>
      <c r="Q37" s="63" t="n"/>
      <c r="R37" s="63" t="n"/>
      <c r="S37" s="63" t="n"/>
      <c r="T37" s="63" t="n"/>
    </row>
    <row r="38" ht="17" customHeight="1">
      <c r="A38" s="26" t="inlineStr">
        <is>
          <t>2.4.1</t>
        </is>
      </c>
      <c r="B38" s="9" t="inlineStr">
        <is>
          <t xml:space="preserve">　　施策・事業別の進捗評価</t>
        </is>
      </c>
      <c r="C38" s="26" t="inlineStr">
        <is>
          <t>受託者</t>
        </is>
      </c>
      <c r="D38" s="27" t="n">
        <v>1.5</v>
      </c>
      <c r="E38" s="65" t="n">
        <v>46328</v>
      </c>
      <c r="F38" s="65" t="n">
        <v>46346</v>
      </c>
      <c r="G38" s="66" t="n"/>
      <c r="H38" s="66" t="n"/>
      <c r="I38" s="66" t="n"/>
      <c r="J38" s="66" t="n"/>
      <c r="K38" s="72" t="n"/>
      <c r="L38" s="72" t="n"/>
      <c r="M38" s="66" t="n"/>
      <c r="N38" s="66" t="n"/>
      <c r="O38" s="66" t="n"/>
      <c r="P38" s="66" t="n"/>
      <c r="Q38" s="66" t="n"/>
      <c r="R38" s="66" t="n"/>
      <c r="S38" s="66" t="n"/>
      <c r="T38" s="66" t="n"/>
    </row>
    <row r="39" ht="17" customHeight="1">
      <c r="A39" s="23" t="inlineStr">
        <is>
          <t>2.4.2</t>
        </is>
      </c>
      <c r="B39" s="5" t="inlineStr">
        <is>
          <t xml:space="preserve">　　介護予防・日常生活圏域ニーズ調査結果の整理・分析</t>
        </is>
      </c>
      <c r="C39" s="23" t="inlineStr">
        <is>
          <t>受託者</t>
        </is>
      </c>
      <c r="D39" s="24" t="n">
        <v>1.5</v>
      </c>
      <c r="E39" s="64" t="n">
        <v>46308</v>
      </c>
      <c r="F39" s="64" t="n">
        <v>46339</v>
      </c>
      <c r="G39" s="63" t="n"/>
      <c r="H39" s="63" t="n"/>
      <c r="I39" s="72" t="n"/>
      <c r="J39" s="72" t="n"/>
      <c r="K39" s="72" t="n"/>
      <c r="L39" s="63" t="n"/>
      <c r="M39" s="63" t="n"/>
      <c r="N39" s="63" t="n"/>
      <c r="O39" s="63" t="n"/>
      <c r="P39" s="63" t="n"/>
      <c r="Q39" s="63" t="n"/>
      <c r="R39" s="63" t="n"/>
      <c r="S39" s="63" t="n"/>
      <c r="T39" s="63" t="n"/>
    </row>
    <row r="40" ht="17" customHeight="1">
      <c r="A40" s="26" t="inlineStr">
        <is>
          <t>2.4.3</t>
        </is>
      </c>
      <c r="B40" s="9" t="inlineStr">
        <is>
          <t xml:space="preserve">　　現状分析・評価の総括資料作成</t>
        </is>
      </c>
      <c r="C40" s="26" t="inlineStr">
        <is>
          <t>受託者</t>
        </is>
      </c>
      <c r="D40" s="27" t="n">
        <v>1</v>
      </c>
      <c r="E40" s="65" t="n">
        <v>46342</v>
      </c>
      <c r="F40" s="65" t="n">
        <v>46353</v>
      </c>
      <c r="G40" s="66" t="n"/>
      <c r="H40" s="66" t="n"/>
      <c r="I40" s="66" t="n"/>
      <c r="J40" s="66" t="n"/>
      <c r="K40" s="66" t="n"/>
      <c r="L40" s="72" t="n"/>
      <c r="M40" s="66" t="n"/>
      <c r="N40" s="66" t="n"/>
      <c r="O40" s="66" t="n"/>
      <c r="P40" s="66" t="n"/>
      <c r="Q40" s="66" t="n"/>
      <c r="R40" s="66" t="n"/>
      <c r="S40" s="66" t="n"/>
      <c r="T40" s="66" t="n"/>
    </row>
    <row r="41" ht="22" customHeight="1">
      <c r="A41" s="73" t="inlineStr">
        <is>
          <t>3</t>
        </is>
      </c>
      <c r="B41" s="74" t="inlineStr">
        <is>
          <t>人口推計・要支援要介護認定者数の推計</t>
        </is>
      </c>
      <c r="C41" s="73" t="inlineStr"/>
      <c r="D41" s="75" t="n"/>
      <c r="E41" s="76" t="n">
        <v>46308</v>
      </c>
      <c r="F41" s="76" t="n">
        <v>46367</v>
      </c>
      <c r="G41" s="63" t="n"/>
      <c r="H41" s="63" t="n"/>
      <c r="I41" s="77" t="n"/>
      <c r="J41" s="77" t="n"/>
      <c r="K41" s="77" t="n"/>
      <c r="L41" s="77" t="n"/>
      <c r="M41" s="77" t="n"/>
      <c r="N41" s="63" t="n"/>
      <c r="O41" s="63" t="n"/>
      <c r="P41" s="63" t="n"/>
      <c r="Q41" s="63" t="n"/>
      <c r="R41" s="63" t="n"/>
      <c r="S41" s="63" t="n"/>
      <c r="T41" s="63" t="n"/>
    </row>
    <row r="42" ht="18" customHeight="1">
      <c r="A42" s="19" t="inlineStr">
        <is>
          <t>3.1</t>
        </is>
      </c>
      <c r="B42" s="20" t="inlineStr">
        <is>
          <t xml:space="preserve">　人口推計</t>
        </is>
      </c>
      <c r="C42" s="19" t="inlineStr"/>
      <c r="D42" s="21" t="n"/>
      <c r="E42" s="62" t="n">
        <v>46308</v>
      </c>
      <c r="F42" s="62" t="n">
        <v>46346</v>
      </c>
      <c r="G42" s="63" t="n"/>
      <c r="H42" s="63" t="n"/>
      <c r="I42" s="77" t="n"/>
      <c r="J42" s="77" t="n"/>
      <c r="K42" s="77" t="n"/>
      <c r="L42" s="77" t="n"/>
      <c r="M42" s="63" t="n"/>
      <c r="N42" s="63" t="n"/>
      <c r="O42" s="63" t="n"/>
      <c r="P42" s="63" t="n"/>
      <c r="Q42" s="63" t="n"/>
      <c r="R42" s="63" t="n"/>
      <c r="S42" s="63" t="n"/>
      <c r="T42" s="63" t="n"/>
    </row>
    <row r="43" ht="17" customHeight="1">
      <c r="A43" s="23" t="inlineStr">
        <is>
          <t>3.1.1</t>
        </is>
      </c>
      <c r="B43" s="5" t="inlineStr">
        <is>
          <t xml:space="preserve">　　推計手法の設定・基準人口の確定</t>
        </is>
      </c>
      <c r="C43" s="23" t="inlineStr">
        <is>
          <t>受託者</t>
        </is>
      </c>
      <c r="D43" s="24" t="n">
        <v>0.5</v>
      </c>
      <c r="E43" s="64" t="n">
        <v>46308</v>
      </c>
      <c r="F43" s="64" t="n">
        <v>46318</v>
      </c>
      <c r="G43" s="63" t="n"/>
      <c r="H43" s="63" t="n"/>
      <c r="I43" s="77" t="n"/>
      <c r="J43" s="77" t="n"/>
      <c r="K43" s="63" t="n"/>
      <c r="L43" s="63" t="n"/>
      <c r="M43" s="63" t="n"/>
      <c r="N43" s="63" t="n"/>
      <c r="O43" s="63" t="n"/>
      <c r="P43" s="63" t="n"/>
      <c r="Q43" s="63" t="n"/>
      <c r="R43" s="63" t="n"/>
      <c r="S43" s="63" t="n"/>
      <c r="T43" s="63" t="n"/>
    </row>
    <row r="44" ht="17" customHeight="1">
      <c r="A44" s="26" t="inlineStr">
        <is>
          <t>3.1.2</t>
        </is>
      </c>
      <c r="B44" s="9" t="inlineStr">
        <is>
          <t xml:space="preserve">　　将来人口推計（令和9年度から10年間程度）</t>
        </is>
      </c>
      <c r="C44" s="26" t="inlineStr">
        <is>
          <t>受託者</t>
        </is>
      </c>
      <c r="D44" s="27" t="n">
        <v>1.5</v>
      </c>
      <c r="E44" s="65" t="n">
        <v>46321</v>
      </c>
      <c r="F44" s="65" t="n">
        <v>46339</v>
      </c>
      <c r="G44" s="66" t="n"/>
      <c r="H44" s="66" t="n"/>
      <c r="I44" s="66" t="n"/>
      <c r="J44" s="77" t="n"/>
      <c r="K44" s="77" t="n"/>
      <c r="L44" s="66" t="n"/>
      <c r="M44" s="66" t="n"/>
      <c r="N44" s="66" t="n"/>
      <c r="O44" s="66" t="n"/>
      <c r="P44" s="66" t="n"/>
      <c r="Q44" s="66" t="n"/>
      <c r="R44" s="66" t="n"/>
      <c r="S44" s="66" t="n"/>
      <c r="T44" s="66" t="n"/>
    </row>
    <row r="45" ht="17" customHeight="1">
      <c r="A45" s="23" t="inlineStr">
        <is>
          <t>3.1.3</t>
        </is>
      </c>
      <c r="B45" s="5" t="inlineStr">
        <is>
          <t xml:space="preserve">　　推計結果の検証・妥当性確認</t>
        </is>
      </c>
      <c r="C45" s="23" t="inlineStr">
        <is>
          <t>受託者</t>
        </is>
      </c>
      <c r="D45" s="24" t="n">
        <v>0.5</v>
      </c>
      <c r="E45" s="64" t="n">
        <v>46335</v>
      </c>
      <c r="F45" s="64" t="n">
        <v>46346</v>
      </c>
      <c r="G45" s="63" t="n"/>
      <c r="H45" s="63" t="n"/>
      <c r="I45" s="63" t="n"/>
      <c r="J45" s="63" t="n"/>
      <c r="K45" s="77" t="n"/>
      <c r="L45" s="77" t="n"/>
      <c r="M45" s="63" t="n"/>
      <c r="N45" s="63" t="n"/>
      <c r="O45" s="63" t="n"/>
      <c r="P45" s="63" t="n"/>
      <c r="Q45" s="63" t="n"/>
      <c r="R45" s="63" t="n"/>
      <c r="S45" s="63" t="n"/>
      <c r="T45" s="63" t="n"/>
    </row>
    <row r="46" ht="18" customHeight="1">
      <c r="A46" s="19" t="inlineStr">
        <is>
          <t>3.2</t>
        </is>
      </c>
      <c r="B46" s="20" t="inlineStr">
        <is>
          <t xml:space="preserve">　要支援・要介護認定者数の推計</t>
        </is>
      </c>
      <c r="C46" s="19" t="inlineStr"/>
      <c r="D46" s="21" t="n"/>
      <c r="E46" s="62" t="n">
        <v>46335</v>
      </c>
      <c r="F46" s="62" t="n">
        <v>46365</v>
      </c>
      <c r="G46" s="63" t="n"/>
      <c r="H46" s="63" t="n"/>
      <c r="I46" s="63" t="n"/>
      <c r="J46" s="63" t="n"/>
      <c r="K46" s="77" t="n"/>
      <c r="L46" s="77" t="n"/>
      <c r="M46" s="77" t="n"/>
      <c r="N46" s="63" t="n"/>
      <c r="O46" s="63" t="n"/>
      <c r="P46" s="63" t="n"/>
      <c r="Q46" s="63" t="n"/>
      <c r="R46" s="63" t="n"/>
      <c r="S46" s="63" t="n"/>
      <c r="T46" s="63" t="n"/>
    </row>
    <row r="47" ht="17" customHeight="1">
      <c r="A47" s="23" t="inlineStr">
        <is>
          <t>3.2.1</t>
        </is>
      </c>
      <c r="B47" s="5" t="inlineStr">
        <is>
          <t xml:space="preserve">　　性・年齢階級別認定率の設定</t>
        </is>
      </c>
      <c r="C47" s="23" t="inlineStr">
        <is>
          <t>受託者</t>
        </is>
      </c>
      <c r="D47" s="24" t="n">
        <v>0.5</v>
      </c>
      <c r="E47" s="64" t="n">
        <v>46335</v>
      </c>
      <c r="F47" s="64" t="n">
        <v>46346</v>
      </c>
      <c r="G47" s="63" t="n"/>
      <c r="H47" s="63" t="n"/>
      <c r="I47" s="63" t="n"/>
      <c r="J47" s="63" t="n"/>
      <c r="K47" s="77" t="n"/>
      <c r="L47" s="77" t="n"/>
      <c r="M47" s="63" t="n"/>
      <c r="N47" s="63" t="n"/>
      <c r="O47" s="63" t="n"/>
      <c r="P47" s="63" t="n"/>
      <c r="Q47" s="63" t="n"/>
      <c r="R47" s="63" t="n"/>
      <c r="S47" s="63" t="n"/>
      <c r="T47" s="63" t="n"/>
    </row>
    <row r="48" ht="17" customHeight="1">
      <c r="A48" s="26" t="inlineStr">
        <is>
          <t>3.2.2</t>
        </is>
      </c>
      <c r="B48" s="9" t="inlineStr">
        <is>
          <t xml:space="preserve">　　各年度の要支援・要介護認定者数の推計</t>
        </is>
      </c>
      <c r="C48" s="26" t="inlineStr">
        <is>
          <t>受託者</t>
        </is>
      </c>
      <c r="D48" s="27" t="n">
        <v>1.5</v>
      </c>
      <c r="E48" s="65" t="n">
        <v>46342</v>
      </c>
      <c r="F48" s="65" t="n">
        <v>46360</v>
      </c>
      <c r="G48" s="66" t="n"/>
      <c r="H48" s="66" t="n"/>
      <c r="I48" s="66" t="n"/>
      <c r="J48" s="66" t="n"/>
      <c r="K48" s="66" t="n"/>
      <c r="L48" s="77" t="n"/>
      <c r="M48" s="77" t="n"/>
      <c r="N48" s="66" t="n"/>
      <c r="O48" s="66" t="n"/>
      <c r="P48" s="66" t="n"/>
      <c r="Q48" s="66" t="n"/>
      <c r="R48" s="66" t="n"/>
      <c r="S48" s="66" t="n"/>
      <c r="T48" s="66" t="n"/>
    </row>
    <row r="49" ht="17" customHeight="1">
      <c r="A49" s="23" t="inlineStr">
        <is>
          <t>3.2.3</t>
        </is>
      </c>
      <c r="B49" s="5" t="inlineStr">
        <is>
          <t xml:space="preserve">　　推計結果の検証・村協議</t>
        </is>
      </c>
      <c r="C49" s="23" t="inlineStr">
        <is>
          <t>受託者</t>
        </is>
      </c>
      <c r="D49" s="24" t="n">
        <v>0.5</v>
      </c>
      <c r="E49" s="64" t="n">
        <v>46357</v>
      </c>
      <c r="F49" s="64" t="n">
        <v>46365</v>
      </c>
      <c r="G49" s="63" t="n"/>
      <c r="H49" s="63" t="n"/>
      <c r="I49" s="63" t="n"/>
      <c r="J49" s="63" t="n"/>
      <c r="K49" s="63" t="n"/>
      <c r="L49" s="63" t="n"/>
      <c r="M49" s="77" t="n"/>
      <c r="N49" s="63" t="n"/>
      <c r="O49" s="63" t="n"/>
      <c r="P49" s="63" t="n"/>
      <c r="Q49" s="63" t="n"/>
      <c r="R49" s="63" t="n"/>
      <c r="S49" s="63" t="n"/>
      <c r="T49" s="63" t="n"/>
    </row>
    <row r="50" ht="18" customHeight="1">
      <c r="A50" s="19" t="inlineStr">
        <is>
          <t>3.3</t>
        </is>
      </c>
      <c r="B50" s="20" t="inlineStr">
        <is>
          <t xml:space="preserve">　推計結果の資料化</t>
        </is>
      </c>
      <c r="C50" s="19" t="inlineStr"/>
      <c r="D50" s="21" t="n"/>
      <c r="E50" s="62" t="n">
        <v>46363</v>
      </c>
      <c r="F50" s="62" t="n">
        <v>46367</v>
      </c>
      <c r="G50" s="63" t="n"/>
      <c r="H50" s="63" t="n"/>
      <c r="I50" s="63" t="n"/>
      <c r="J50" s="63" t="n"/>
      <c r="K50" s="63" t="n"/>
      <c r="L50" s="63" t="n"/>
      <c r="M50" s="77" t="n"/>
      <c r="N50" s="63" t="n"/>
      <c r="O50" s="63" t="n"/>
      <c r="P50" s="63" t="n"/>
      <c r="Q50" s="63" t="n"/>
      <c r="R50" s="63" t="n"/>
      <c r="S50" s="63" t="n"/>
      <c r="T50" s="63" t="n"/>
    </row>
    <row r="51" ht="17" customHeight="1">
      <c r="A51" s="23" t="inlineStr">
        <is>
          <t>3.3.1</t>
        </is>
      </c>
      <c r="B51" s="5" t="inlineStr">
        <is>
          <t xml:space="preserve">　　人口・認定者数推計結果の資料化</t>
        </is>
      </c>
      <c r="C51" s="23" t="inlineStr">
        <is>
          <t>受託者</t>
        </is>
      </c>
      <c r="D51" s="24" t="n">
        <v>1</v>
      </c>
      <c r="E51" s="64" t="n">
        <v>46363</v>
      </c>
      <c r="F51" s="64" t="n">
        <v>46367</v>
      </c>
      <c r="G51" s="63" t="n"/>
      <c r="H51" s="63" t="n"/>
      <c r="I51" s="63" t="n"/>
      <c r="J51" s="63" t="n"/>
      <c r="K51" s="63" t="n"/>
      <c r="L51" s="63" t="n"/>
      <c r="M51" s="77" t="n"/>
      <c r="N51" s="63" t="n"/>
      <c r="O51" s="63" t="n"/>
      <c r="P51" s="63" t="n"/>
      <c r="Q51" s="63" t="n"/>
      <c r="R51" s="63" t="n"/>
      <c r="S51" s="63" t="n"/>
      <c r="T51" s="63" t="n"/>
    </row>
    <row r="52" ht="22" customHeight="1">
      <c r="A52" s="78" t="inlineStr">
        <is>
          <t>4</t>
        </is>
      </c>
      <c r="B52" s="79" t="inlineStr">
        <is>
          <t>介護サービス見込量・保険料の推計</t>
        </is>
      </c>
      <c r="C52" s="78" t="inlineStr"/>
      <c r="D52" s="80" t="n"/>
      <c r="E52" s="81" t="n">
        <v>46357</v>
      </c>
      <c r="F52" s="81" t="n">
        <v>46459</v>
      </c>
      <c r="G52" s="63" t="n"/>
      <c r="H52" s="63" t="n"/>
      <c r="I52" s="63" t="n"/>
      <c r="J52" s="63" t="n"/>
      <c r="K52" s="63" t="n"/>
      <c r="L52" s="63" t="n"/>
      <c r="M52" s="82" t="n"/>
      <c r="N52" s="82" t="n"/>
      <c r="O52" s="82" t="n"/>
      <c r="P52" s="82" t="n"/>
      <c r="Q52" s="82" t="n"/>
      <c r="R52" s="82" t="n"/>
      <c r="S52" s="82" t="n"/>
      <c r="T52" s="63" t="n"/>
    </row>
    <row r="53" ht="18" customHeight="1">
      <c r="A53" s="19" t="inlineStr">
        <is>
          <t>4.1</t>
        </is>
      </c>
      <c r="B53" s="20" t="inlineStr">
        <is>
          <t xml:space="preserve">　介護サービス見込量の推計</t>
        </is>
      </c>
      <c r="C53" s="19" t="inlineStr"/>
      <c r="D53" s="21" t="n"/>
      <c r="E53" s="62" t="n">
        <v>46357</v>
      </c>
      <c r="F53" s="62" t="n">
        <v>46402</v>
      </c>
      <c r="G53" s="63" t="n"/>
      <c r="H53" s="63" t="n"/>
      <c r="I53" s="63" t="n"/>
      <c r="J53" s="63" t="n"/>
      <c r="K53" s="63" t="n"/>
      <c r="L53" s="63" t="n"/>
      <c r="M53" s="82" t="n"/>
      <c r="N53" s="82" t="n"/>
      <c r="O53" s="82" t="n"/>
      <c r="P53" s="63" t="n"/>
      <c r="Q53" s="63" t="n"/>
      <c r="R53" s="63" t="n"/>
      <c r="S53" s="63" t="n"/>
      <c r="T53" s="63" t="n"/>
    </row>
    <row r="54" ht="17" customHeight="1">
      <c r="A54" s="26" t="inlineStr">
        <is>
          <t>4.1.1</t>
        </is>
      </c>
      <c r="B54" s="9" t="inlineStr">
        <is>
          <t xml:space="preserve">　　推計ツールの設定・実績データ投入</t>
        </is>
      </c>
      <c r="C54" s="26" t="inlineStr">
        <is>
          <t>受託者</t>
        </is>
      </c>
      <c r="D54" s="27" t="n">
        <v>1</v>
      </c>
      <c r="E54" s="65" t="n">
        <v>46357</v>
      </c>
      <c r="F54" s="65" t="n">
        <v>46367</v>
      </c>
      <c r="G54" s="66" t="n"/>
      <c r="H54" s="66" t="n"/>
      <c r="I54" s="66" t="n"/>
      <c r="J54" s="66" t="n"/>
      <c r="K54" s="66" t="n"/>
      <c r="L54" s="66" t="n"/>
      <c r="M54" s="82" t="n"/>
      <c r="N54" s="66" t="n"/>
      <c r="O54" s="66" t="n"/>
      <c r="P54" s="66" t="n"/>
      <c r="Q54" s="66" t="n"/>
      <c r="R54" s="66" t="n"/>
      <c r="S54" s="66" t="n"/>
      <c r="T54" s="66" t="n"/>
    </row>
    <row r="55" ht="17" customHeight="1">
      <c r="A55" s="23" t="inlineStr">
        <is>
          <t>4.1.2</t>
        </is>
      </c>
      <c r="B55" s="5" t="inlineStr">
        <is>
          <t xml:space="preserve">　　サービス種類別見込量の推計（令和9〜11年度）</t>
        </is>
      </c>
      <c r="C55" s="23" t="inlineStr">
        <is>
          <t>受託者</t>
        </is>
      </c>
      <c r="D55" s="24" t="n">
        <v>2</v>
      </c>
      <c r="E55" s="64" t="n">
        <v>46363</v>
      </c>
      <c r="F55" s="64" t="n">
        <v>46381</v>
      </c>
      <c r="G55" s="63" t="n"/>
      <c r="H55" s="63" t="n"/>
      <c r="I55" s="63" t="n"/>
      <c r="J55" s="63" t="n"/>
      <c r="K55" s="63" t="n"/>
      <c r="L55" s="63" t="n"/>
      <c r="M55" s="82" t="n"/>
      <c r="N55" s="82" t="n"/>
      <c r="O55" s="63" t="n"/>
      <c r="P55" s="63" t="n"/>
      <c r="Q55" s="63" t="n"/>
      <c r="R55" s="63" t="n"/>
      <c r="S55" s="63" t="n"/>
      <c r="T55" s="63" t="n"/>
    </row>
    <row r="56" ht="17" customHeight="1">
      <c r="A56" s="26" t="inlineStr">
        <is>
          <t>4.1.3</t>
        </is>
      </c>
      <c r="B56" s="9" t="inlineStr">
        <is>
          <t xml:space="preserve">　　ニーズ調査結果・施策方針の反映</t>
        </is>
      </c>
      <c r="C56" s="26" t="inlineStr">
        <is>
          <t>受託者</t>
        </is>
      </c>
      <c r="D56" s="27" t="n">
        <v>1</v>
      </c>
      <c r="E56" s="65" t="n">
        <v>46370</v>
      </c>
      <c r="F56" s="65" t="n">
        <v>46395</v>
      </c>
      <c r="G56" s="66" t="n"/>
      <c r="H56" s="66" t="n"/>
      <c r="I56" s="66" t="n"/>
      <c r="J56" s="66" t="n"/>
      <c r="K56" s="66" t="n"/>
      <c r="L56" s="66" t="n"/>
      <c r="M56" s="82" t="n"/>
      <c r="N56" s="82" t="n"/>
      <c r="O56" s="82" t="n"/>
      <c r="P56" s="66" t="n"/>
      <c r="Q56" s="66" t="n"/>
      <c r="R56" s="66" t="n"/>
      <c r="S56" s="66" t="n"/>
      <c r="T56" s="66" t="n"/>
    </row>
    <row r="57" ht="17" customHeight="1">
      <c r="A57" s="23" t="inlineStr">
        <is>
          <t>4.1.4</t>
        </is>
      </c>
      <c r="B57" s="5" t="inlineStr">
        <is>
          <t xml:space="preserve">　　見込量の妥当性検証・村協議</t>
        </is>
      </c>
      <c r="C57" s="23" t="inlineStr">
        <is>
          <t>受託者</t>
        </is>
      </c>
      <c r="D57" s="24" t="n">
        <v>0.5</v>
      </c>
      <c r="E57" s="64" t="n">
        <v>46393</v>
      </c>
      <c r="F57" s="64" t="n">
        <v>46402</v>
      </c>
      <c r="G57" s="63" t="n"/>
      <c r="H57" s="63" t="n"/>
      <c r="I57" s="63" t="n"/>
      <c r="J57" s="63" t="n"/>
      <c r="K57" s="63" t="n"/>
      <c r="L57" s="63" t="n"/>
      <c r="M57" s="63" t="n"/>
      <c r="N57" s="63" t="n"/>
      <c r="O57" s="82" t="n"/>
      <c r="P57" s="63" t="n"/>
      <c r="Q57" s="63" t="n"/>
      <c r="R57" s="63" t="n"/>
      <c r="S57" s="63" t="n"/>
      <c r="T57" s="63" t="n"/>
    </row>
    <row r="58" ht="18" customHeight="1">
      <c r="A58" s="19" t="inlineStr">
        <is>
          <t>4.2</t>
        </is>
      </c>
      <c r="B58" s="20" t="inlineStr">
        <is>
          <t xml:space="preserve">　給付費・地域支援事業費の見込</t>
        </is>
      </c>
      <c r="C58" s="19" t="inlineStr"/>
      <c r="D58" s="21" t="n"/>
      <c r="E58" s="62" t="n">
        <v>46377</v>
      </c>
      <c r="F58" s="62" t="n">
        <v>46409</v>
      </c>
      <c r="G58" s="63" t="n"/>
      <c r="H58" s="63" t="n"/>
      <c r="I58" s="63" t="n"/>
      <c r="J58" s="63" t="n"/>
      <c r="K58" s="63" t="n"/>
      <c r="L58" s="63" t="n"/>
      <c r="M58" s="63" t="n"/>
      <c r="N58" s="82" t="n"/>
      <c r="O58" s="82" t="n"/>
      <c r="P58" s="82" t="n"/>
      <c r="Q58" s="63" t="n"/>
      <c r="R58" s="63" t="n"/>
      <c r="S58" s="63" t="n"/>
      <c r="T58" s="63" t="n"/>
    </row>
    <row r="59" ht="17" customHeight="1">
      <c r="A59" s="23" t="inlineStr">
        <is>
          <t>4.2.1</t>
        </is>
      </c>
      <c r="B59" s="5" t="inlineStr">
        <is>
          <t xml:space="preserve">　　介護報酬改定等の国の情報の反映</t>
        </is>
      </c>
      <c r="C59" s="23" t="inlineStr">
        <is>
          <t>受託者</t>
        </is>
      </c>
      <c r="D59" s="24" t="n">
        <v>0.5</v>
      </c>
      <c r="E59" s="64" t="n">
        <v>46377</v>
      </c>
      <c r="F59" s="64" t="n">
        <v>46402</v>
      </c>
      <c r="G59" s="63" t="n"/>
      <c r="H59" s="63" t="n"/>
      <c r="I59" s="63" t="n"/>
      <c r="J59" s="63" t="n"/>
      <c r="K59" s="63" t="n"/>
      <c r="L59" s="63" t="n"/>
      <c r="M59" s="63" t="n"/>
      <c r="N59" s="82" t="n"/>
      <c r="O59" s="82" t="n"/>
      <c r="P59" s="63" t="n"/>
      <c r="Q59" s="63" t="n"/>
      <c r="R59" s="63" t="n"/>
      <c r="S59" s="63" t="n"/>
      <c r="T59" s="63" t="n"/>
    </row>
    <row r="60" ht="17" customHeight="1">
      <c r="A60" s="26" t="inlineStr">
        <is>
          <t>4.2.2</t>
        </is>
      </c>
      <c r="B60" s="9" t="inlineStr">
        <is>
          <t xml:space="preserve">　　標準給付費・地域支援事業費の算出</t>
        </is>
      </c>
      <c r="C60" s="26" t="inlineStr">
        <is>
          <t>受託者</t>
        </is>
      </c>
      <c r="D60" s="27" t="n">
        <v>1</v>
      </c>
      <c r="E60" s="65" t="n">
        <v>46393</v>
      </c>
      <c r="F60" s="65" t="n">
        <v>46409</v>
      </c>
      <c r="G60" s="66" t="n"/>
      <c r="H60" s="66" t="n"/>
      <c r="I60" s="66" t="n"/>
      <c r="J60" s="66" t="n"/>
      <c r="K60" s="66" t="n"/>
      <c r="L60" s="66" t="n"/>
      <c r="M60" s="66" t="n"/>
      <c r="N60" s="66" t="n"/>
      <c r="O60" s="82" t="n"/>
      <c r="P60" s="82" t="n"/>
      <c r="Q60" s="66" t="n"/>
      <c r="R60" s="66" t="n"/>
      <c r="S60" s="66" t="n"/>
      <c r="T60" s="66" t="n"/>
    </row>
    <row r="61" ht="18" customHeight="1">
      <c r="A61" s="19" t="inlineStr">
        <is>
          <t>4.3</t>
        </is>
      </c>
      <c r="B61" s="20" t="inlineStr">
        <is>
          <t xml:space="preserve">　第10期介護保険料の算定</t>
        </is>
      </c>
      <c r="C61" s="19" t="inlineStr"/>
      <c r="D61" s="21" t="n"/>
      <c r="E61" s="62" t="n">
        <v>46370</v>
      </c>
      <c r="F61" s="62" t="n">
        <v>46428</v>
      </c>
      <c r="G61" s="63" t="n"/>
      <c r="H61" s="63" t="n"/>
      <c r="I61" s="63" t="n"/>
      <c r="J61" s="63" t="n"/>
      <c r="K61" s="63" t="n"/>
      <c r="L61" s="63" t="n"/>
      <c r="M61" s="82" t="n"/>
      <c r="N61" s="82" t="n"/>
      <c r="O61" s="82" t="n"/>
      <c r="P61" s="82" t="n"/>
      <c r="Q61" s="82" t="n"/>
      <c r="R61" s="63" t="n"/>
      <c r="S61" s="63" t="n"/>
      <c r="T61" s="63" t="n"/>
    </row>
    <row r="62" ht="17" customHeight="1">
      <c r="A62" s="26" t="inlineStr">
        <is>
          <t>4.3.1</t>
        </is>
      </c>
      <c r="B62" s="9" t="inlineStr">
        <is>
          <t xml:space="preserve">　　保険料算定の前提条件整理</t>
        </is>
      </c>
      <c r="C62" s="26" t="inlineStr">
        <is>
          <t>受託者</t>
        </is>
      </c>
      <c r="D62" s="27" t="n">
        <v>0.5</v>
      </c>
      <c r="E62" s="65" t="n">
        <v>46370</v>
      </c>
      <c r="F62" s="65" t="n">
        <v>46395</v>
      </c>
      <c r="G62" s="66" t="n"/>
      <c r="H62" s="66" t="n"/>
      <c r="I62" s="66" t="n"/>
      <c r="J62" s="66" t="n"/>
      <c r="K62" s="66" t="n"/>
      <c r="L62" s="66" t="n"/>
      <c r="M62" s="82" t="n"/>
      <c r="N62" s="82" t="n"/>
      <c r="O62" s="82" t="n"/>
      <c r="P62" s="66" t="n"/>
      <c r="Q62" s="66" t="n"/>
      <c r="R62" s="66" t="n"/>
      <c r="S62" s="66" t="n"/>
      <c r="T62" s="66" t="n"/>
    </row>
    <row r="63" ht="17" customHeight="1">
      <c r="A63" s="23" t="inlineStr">
        <is>
          <t>4.3.2</t>
        </is>
      </c>
      <c r="B63" s="5" t="inlineStr">
        <is>
          <t xml:space="preserve">　　財政シミュレーション（複数パターン）</t>
        </is>
      </c>
      <c r="C63" s="23" t="inlineStr">
        <is>
          <t>受託者</t>
        </is>
      </c>
      <c r="D63" s="24" t="n">
        <v>1.5</v>
      </c>
      <c r="E63" s="64" t="n">
        <v>46399</v>
      </c>
      <c r="F63" s="64" t="n">
        <v>46416</v>
      </c>
      <c r="G63" s="63" t="n"/>
      <c r="H63" s="63" t="n"/>
      <c r="I63" s="63" t="n"/>
      <c r="J63" s="63" t="n"/>
      <c r="K63" s="63" t="n"/>
      <c r="L63" s="63" t="n"/>
      <c r="M63" s="63" t="n"/>
      <c r="N63" s="63" t="n"/>
      <c r="O63" s="82" t="n"/>
      <c r="P63" s="82" t="n"/>
      <c r="Q63" s="63" t="n"/>
      <c r="R63" s="63" t="n"/>
      <c r="S63" s="63" t="n"/>
      <c r="T63" s="63" t="n"/>
    </row>
    <row r="64" ht="17" customHeight="1">
      <c r="A64" s="26" t="inlineStr">
        <is>
          <t>4.3.3</t>
        </is>
      </c>
      <c r="B64" s="9" t="inlineStr">
        <is>
          <t xml:space="preserve">　　保険料基準額・所得段階別保険料の算定</t>
        </is>
      </c>
      <c r="C64" s="26" t="inlineStr">
        <is>
          <t>受託者</t>
        </is>
      </c>
      <c r="D64" s="27" t="n">
        <v>1</v>
      </c>
      <c r="E64" s="65" t="n">
        <v>46412</v>
      </c>
      <c r="F64" s="65" t="n">
        <v>46423</v>
      </c>
      <c r="G64" s="66" t="n"/>
      <c r="H64" s="66" t="n"/>
      <c r="I64" s="66" t="n"/>
      <c r="J64" s="66" t="n"/>
      <c r="K64" s="66" t="n"/>
      <c r="L64" s="66" t="n"/>
      <c r="M64" s="66" t="n"/>
      <c r="N64" s="66" t="n"/>
      <c r="O64" s="66" t="n"/>
      <c r="P64" s="82" t="n"/>
      <c r="Q64" s="82" t="n"/>
      <c r="R64" s="66" t="n"/>
      <c r="S64" s="66" t="n"/>
      <c r="T64" s="66" t="n"/>
    </row>
    <row r="65" ht="17" customHeight="1">
      <c r="A65" s="23" t="inlineStr">
        <is>
          <t>4.3.4</t>
        </is>
      </c>
      <c r="B65" s="5" t="inlineStr">
        <is>
          <t xml:space="preserve">　　算定結果の説明資料作成・村協議</t>
        </is>
      </c>
      <c r="C65" s="23" t="inlineStr">
        <is>
          <t>受託者</t>
        </is>
      </c>
      <c r="D65" s="24" t="n">
        <v>1</v>
      </c>
      <c r="E65" s="64" t="n">
        <v>46419</v>
      </c>
      <c r="F65" s="64" t="n">
        <v>46428</v>
      </c>
      <c r="G65" s="63" t="n"/>
      <c r="H65" s="63" t="n"/>
      <c r="I65" s="63" t="n"/>
      <c r="J65" s="63" t="n"/>
      <c r="K65" s="63" t="n"/>
      <c r="L65" s="63" t="n"/>
      <c r="M65" s="63" t="n"/>
      <c r="N65" s="63" t="n"/>
      <c r="O65" s="63" t="n"/>
      <c r="P65" s="63" t="n"/>
      <c r="Q65" s="82" t="n"/>
      <c r="R65" s="63" t="n"/>
      <c r="S65" s="63" t="n"/>
      <c r="T65" s="63" t="n"/>
    </row>
    <row r="66" ht="18" customHeight="1">
      <c r="A66" s="19" t="inlineStr">
        <is>
          <t>4.4</t>
        </is>
      </c>
      <c r="B66" s="20" t="inlineStr">
        <is>
          <t xml:space="preserve">　国の指示等に伴う再算定対応</t>
        </is>
      </c>
      <c r="C66" s="19" t="inlineStr"/>
      <c r="D66" s="21" t="n"/>
      <c r="E66" s="62" t="n">
        <v>46419</v>
      </c>
      <c r="F66" s="62" t="n">
        <v>46459</v>
      </c>
      <c r="G66" s="63" t="n"/>
      <c r="H66" s="63" t="n"/>
      <c r="I66" s="63" t="n"/>
      <c r="J66" s="63" t="n"/>
      <c r="K66" s="63" t="n"/>
      <c r="L66" s="63" t="n"/>
      <c r="M66" s="63" t="n"/>
      <c r="N66" s="63" t="n"/>
      <c r="O66" s="63" t="n"/>
      <c r="P66" s="63" t="n"/>
      <c r="Q66" s="82" t="n"/>
      <c r="R66" s="82" t="n"/>
      <c r="S66" s="82" t="n"/>
      <c r="T66" s="63" t="n"/>
    </row>
    <row r="67" ht="17" customHeight="1">
      <c r="A67" s="23" t="inlineStr">
        <is>
          <t>4.4.1</t>
        </is>
      </c>
      <c r="B67" s="5" t="inlineStr">
        <is>
          <t xml:space="preserve">　　国の確定情報に基づく見込量・保険料の再算定</t>
        </is>
      </c>
      <c r="C67" s="23" t="inlineStr">
        <is>
          <t>受託者</t>
        </is>
      </c>
      <c r="D67" s="24" t="n">
        <v>1</v>
      </c>
      <c r="E67" s="64" t="n">
        <v>46419</v>
      </c>
      <c r="F67" s="64" t="n">
        <v>46459</v>
      </c>
      <c r="G67" s="63" t="n"/>
      <c r="H67" s="63" t="n"/>
      <c r="I67" s="63" t="n"/>
      <c r="J67" s="63" t="n"/>
      <c r="K67" s="63" t="n"/>
      <c r="L67" s="63" t="n"/>
      <c r="M67" s="63" t="n"/>
      <c r="N67" s="63" t="n"/>
      <c r="O67" s="63" t="n"/>
      <c r="P67" s="63" t="n"/>
      <c r="Q67" s="82" t="n"/>
      <c r="R67" s="82" t="n"/>
      <c r="S67" s="82" t="n"/>
      <c r="T67" s="63" t="n"/>
    </row>
    <row r="68" ht="22" customHeight="1">
      <c r="A68" s="83" t="inlineStr">
        <is>
          <t>5</t>
        </is>
      </c>
      <c r="B68" s="84" t="inlineStr">
        <is>
          <t>計画素案の作成</t>
        </is>
      </c>
      <c r="C68" s="83" t="inlineStr"/>
      <c r="D68" s="85" t="n"/>
      <c r="E68" s="86" t="n">
        <v>46342</v>
      </c>
      <c r="F68" s="86" t="n">
        <v>46459</v>
      </c>
      <c r="G68" s="63" t="n"/>
      <c r="H68" s="63" t="n"/>
      <c r="I68" s="63" t="n"/>
      <c r="J68" s="63" t="n"/>
      <c r="K68" s="63" t="n"/>
      <c r="L68" s="87" t="n"/>
      <c r="M68" s="87" t="n"/>
      <c r="N68" s="87" t="n"/>
      <c r="O68" s="87" t="n"/>
      <c r="P68" s="87" t="n"/>
      <c r="Q68" s="87" t="n"/>
      <c r="R68" s="87" t="n"/>
      <c r="S68" s="87" t="n"/>
      <c r="T68" s="63" t="n"/>
    </row>
    <row r="69" ht="18" customHeight="1">
      <c r="A69" s="19" t="inlineStr">
        <is>
          <t>5.1</t>
        </is>
      </c>
      <c r="B69" s="20" t="inlineStr">
        <is>
          <t xml:space="preserve">　課題及び施策の方向の整理</t>
        </is>
      </c>
      <c r="C69" s="19" t="inlineStr"/>
      <c r="D69" s="21" t="n"/>
      <c r="E69" s="62" t="n">
        <v>46350</v>
      </c>
      <c r="F69" s="62" t="n">
        <v>46365</v>
      </c>
      <c r="G69" s="63" t="n"/>
      <c r="H69" s="63" t="n"/>
      <c r="I69" s="63" t="n"/>
      <c r="J69" s="63" t="n"/>
      <c r="K69" s="63" t="n"/>
      <c r="L69" s="87" t="n"/>
      <c r="M69" s="87" t="n"/>
      <c r="N69" s="63" t="n"/>
      <c r="O69" s="63" t="n"/>
      <c r="P69" s="63" t="n"/>
      <c r="Q69" s="63" t="n"/>
      <c r="R69" s="63" t="n"/>
      <c r="S69" s="63" t="n"/>
      <c r="T69" s="63" t="n"/>
    </row>
    <row r="70" ht="17" customHeight="1">
      <c r="A70" s="26" t="inlineStr">
        <is>
          <t>5.1.1</t>
        </is>
      </c>
      <c r="B70" s="9" t="inlineStr">
        <is>
          <t xml:space="preserve">　　現状分析・推計結果からの課題抽出</t>
        </is>
      </c>
      <c r="C70" s="26" t="inlineStr">
        <is>
          <t>受託者</t>
        </is>
      </c>
      <c r="D70" s="27" t="n">
        <v>1</v>
      </c>
      <c r="E70" s="65" t="n">
        <v>46350</v>
      </c>
      <c r="F70" s="65" t="n">
        <v>46360</v>
      </c>
      <c r="G70" s="66" t="n"/>
      <c r="H70" s="66" t="n"/>
      <c r="I70" s="66" t="n"/>
      <c r="J70" s="66" t="n"/>
      <c r="K70" s="66" t="n"/>
      <c r="L70" s="87" t="n"/>
      <c r="M70" s="87" t="n"/>
      <c r="N70" s="66" t="n"/>
      <c r="O70" s="66" t="n"/>
      <c r="P70" s="66" t="n"/>
      <c r="Q70" s="66" t="n"/>
      <c r="R70" s="66" t="n"/>
      <c r="S70" s="66" t="n"/>
      <c r="T70" s="66" t="n"/>
    </row>
    <row r="71" ht="17" customHeight="1">
      <c r="A71" s="23" t="inlineStr">
        <is>
          <t>5.1.2</t>
        </is>
      </c>
      <c r="B71" s="5" t="inlineStr">
        <is>
          <t xml:space="preserve">　　基本理念・基本目標・施策の方向の整理</t>
        </is>
      </c>
      <c r="C71" s="23" t="inlineStr">
        <is>
          <t>受託者</t>
        </is>
      </c>
      <c r="D71" s="24" t="n">
        <v>1</v>
      </c>
      <c r="E71" s="64" t="n">
        <v>46356</v>
      </c>
      <c r="F71" s="64" t="n">
        <v>46363</v>
      </c>
      <c r="G71" s="63" t="n"/>
      <c r="H71" s="63" t="n"/>
      <c r="I71" s="63" t="n"/>
      <c r="J71" s="63" t="n"/>
      <c r="K71" s="63" t="n"/>
      <c r="L71" s="87" t="n"/>
      <c r="M71" s="87" t="n"/>
      <c r="N71" s="63" t="n"/>
      <c r="O71" s="63" t="n"/>
      <c r="P71" s="63" t="n"/>
      <c r="Q71" s="63" t="n"/>
      <c r="R71" s="63" t="n"/>
      <c r="S71" s="63" t="n"/>
      <c r="T71" s="63" t="n"/>
    </row>
    <row r="72" ht="17" customHeight="1">
      <c r="A72" s="26" t="inlineStr">
        <is>
          <t>5.1.3</t>
        </is>
      </c>
      <c r="B72" s="9" t="inlineStr">
        <is>
          <t xml:space="preserve">　　総合計画等 関連計画との整合性確認</t>
        </is>
      </c>
      <c r="C72" s="26" t="inlineStr">
        <is>
          <t>受託者</t>
        </is>
      </c>
      <c r="D72" s="27" t="n">
        <v>0.5</v>
      </c>
      <c r="E72" s="65" t="n">
        <v>46356</v>
      </c>
      <c r="F72" s="65" t="n">
        <v>46365</v>
      </c>
      <c r="G72" s="66" t="n"/>
      <c r="H72" s="66" t="n"/>
      <c r="I72" s="66" t="n"/>
      <c r="J72" s="66" t="n"/>
      <c r="K72" s="66" t="n"/>
      <c r="L72" s="87" t="n"/>
      <c r="M72" s="87" t="n"/>
      <c r="N72" s="66" t="n"/>
      <c r="O72" s="66" t="n"/>
      <c r="P72" s="66" t="n"/>
      <c r="Q72" s="66" t="n"/>
      <c r="R72" s="66" t="n"/>
      <c r="S72" s="66" t="n"/>
      <c r="T72" s="66" t="n"/>
    </row>
    <row r="73" ht="18" customHeight="1">
      <c r="A73" s="19" t="inlineStr">
        <is>
          <t>5.2</t>
        </is>
      </c>
      <c r="B73" s="20" t="inlineStr">
        <is>
          <t xml:space="preserve">　計画骨子の提案</t>
        </is>
      </c>
      <c r="C73" s="19" t="inlineStr"/>
      <c r="D73" s="21" t="n"/>
      <c r="E73" s="62" t="n">
        <v>46342</v>
      </c>
      <c r="F73" s="62" t="n">
        <v>46366</v>
      </c>
      <c r="G73" s="63" t="n"/>
      <c r="H73" s="63" t="n"/>
      <c r="I73" s="63" t="n"/>
      <c r="J73" s="63" t="n"/>
      <c r="K73" s="63" t="n"/>
      <c r="L73" s="87" t="n"/>
      <c r="M73" s="87" t="n"/>
      <c r="N73" s="63" t="n"/>
      <c r="O73" s="63" t="n"/>
      <c r="P73" s="63" t="n"/>
      <c r="Q73" s="63" t="n"/>
      <c r="R73" s="63" t="n"/>
      <c r="S73" s="63" t="n"/>
      <c r="T73" s="63" t="n"/>
    </row>
    <row r="74" ht="17" customHeight="1">
      <c r="A74" s="26" t="inlineStr">
        <is>
          <t>5.2.1</t>
        </is>
      </c>
      <c r="B74" s="9" t="inlineStr">
        <is>
          <t xml:space="preserve">　　章立て（目次構成）案の作成</t>
        </is>
      </c>
      <c r="C74" s="26" t="inlineStr">
        <is>
          <t>受託者</t>
        </is>
      </c>
      <c r="D74" s="27" t="n">
        <v>0.5</v>
      </c>
      <c r="E74" s="65" t="n">
        <v>46358</v>
      </c>
      <c r="F74" s="65" t="n">
        <v>46365</v>
      </c>
      <c r="G74" s="66" t="n"/>
      <c r="H74" s="66" t="n"/>
      <c r="I74" s="66" t="n"/>
      <c r="J74" s="66" t="n"/>
      <c r="K74" s="66" t="n"/>
      <c r="L74" s="66" t="n"/>
      <c r="M74" s="87" t="n"/>
      <c r="N74" s="66" t="n"/>
      <c r="O74" s="66" t="n"/>
      <c r="P74" s="66" t="n"/>
      <c r="Q74" s="66" t="n"/>
      <c r="R74" s="66" t="n"/>
      <c r="S74" s="66" t="n"/>
      <c r="T74" s="66" t="n"/>
    </row>
    <row r="75" ht="17" customHeight="1">
      <c r="A75" s="23" t="inlineStr">
        <is>
          <t>5.2.2</t>
        </is>
      </c>
      <c r="B75" s="5" t="inlineStr">
        <is>
          <t xml:space="preserve">　　国の策定指針 記載事項チェックリスト作成</t>
        </is>
      </c>
      <c r="C75" s="23" t="inlineStr">
        <is>
          <t>受託者</t>
        </is>
      </c>
      <c r="D75" s="24" t="n">
        <v>0.5</v>
      </c>
      <c r="E75" s="64" t="n">
        <v>46342</v>
      </c>
      <c r="F75" s="64" t="n">
        <v>46353</v>
      </c>
      <c r="G75" s="63" t="n"/>
      <c r="H75" s="63" t="n"/>
      <c r="I75" s="63" t="n"/>
      <c r="J75" s="63" t="n"/>
      <c r="K75" s="63" t="n"/>
      <c r="L75" s="87" t="n"/>
      <c r="M75" s="63" t="n"/>
      <c r="N75" s="63" t="n"/>
      <c r="O75" s="63" t="n"/>
      <c r="P75" s="63" t="n"/>
      <c r="Q75" s="63" t="n"/>
      <c r="R75" s="63" t="n"/>
      <c r="S75" s="63" t="n"/>
      <c r="T75" s="63" t="n"/>
    </row>
    <row r="76" ht="17" customHeight="1">
      <c r="A76" s="26" t="inlineStr">
        <is>
          <t>5.2.3</t>
        </is>
      </c>
      <c r="B76" s="9" t="inlineStr">
        <is>
          <t xml:space="preserve">　　骨子案の提示・確定（第2回打合せ）</t>
        </is>
      </c>
      <c r="C76" s="26" t="inlineStr">
        <is>
          <t>受託者</t>
        </is>
      </c>
      <c r="D76" s="27" t="n">
        <v>0.5</v>
      </c>
      <c r="E76" s="65" t="n">
        <v>46366</v>
      </c>
      <c r="F76" s="65" t="n">
        <v>46366</v>
      </c>
      <c r="G76" s="66" t="n"/>
      <c r="H76" s="66" t="n"/>
      <c r="I76" s="66" t="n"/>
      <c r="J76" s="66" t="n"/>
      <c r="K76" s="66" t="n"/>
      <c r="L76" s="66" t="n"/>
      <c r="M76" s="67" t="inlineStr">
        <is>
          <t>◆</t>
        </is>
      </c>
      <c r="N76" s="66" t="n"/>
      <c r="O76" s="66" t="n"/>
      <c r="P76" s="66" t="n"/>
      <c r="Q76" s="66" t="n"/>
      <c r="R76" s="66" t="n"/>
      <c r="S76" s="66" t="n"/>
      <c r="T76" s="66" t="n"/>
    </row>
    <row r="77" ht="18" customHeight="1">
      <c r="A77" s="19" t="inlineStr">
        <is>
          <t>5.3</t>
        </is>
      </c>
      <c r="B77" s="20" t="inlineStr">
        <is>
          <t xml:space="preserve">　計画素案の執筆</t>
        </is>
      </c>
      <c r="C77" s="19" t="inlineStr"/>
      <c r="D77" s="21" t="n"/>
      <c r="E77" s="62" t="n">
        <v>46370</v>
      </c>
      <c r="F77" s="62" t="n">
        <v>46428</v>
      </c>
      <c r="G77" s="63" t="n"/>
      <c r="H77" s="63" t="n"/>
      <c r="I77" s="63" t="n"/>
      <c r="J77" s="63" t="n"/>
      <c r="K77" s="63" t="n"/>
      <c r="L77" s="63" t="n"/>
      <c r="M77" s="87" t="n"/>
      <c r="N77" s="87" t="n"/>
      <c r="O77" s="87" t="n"/>
      <c r="P77" s="87" t="n"/>
      <c r="Q77" s="87" t="n"/>
      <c r="R77" s="63" t="n"/>
      <c r="S77" s="63" t="n"/>
      <c r="T77" s="63" t="n"/>
    </row>
    <row r="78" ht="17" customHeight="1">
      <c r="A78" s="26" t="inlineStr">
        <is>
          <t>5.3.1</t>
        </is>
      </c>
      <c r="B78" s="9" t="inlineStr">
        <is>
          <t xml:space="preserve">　　第1章 計画の策定にあたって</t>
        </is>
      </c>
      <c r="C78" s="26" t="inlineStr">
        <is>
          <t>受託者</t>
        </is>
      </c>
      <c r="D78" s="27" t="n">
        <v>0.5</v>
      </c>
      <c r="E78" s="65" t="n">
        <v>46370</v>
      </c>
      <c r="F78" s="65" t="n">
        <v>46381</v>
      </c>
      <c r="G78" s="66" t="n"/>
      <c r="H78" s="66" t="n"/>
      <c r="I78" s="66" t="n"/>
      <c r="J78" s="66" t="n"/>
      <c r="K78" s="66" t="n"/>
      <c r="L78" s="66" t="n"/>
      <c r="M78" s="87" t="n"/>
      <c r="N78" s="87" t="n"/>
      <c r="O78" s="66" t="n"/>
      <c r="P78" s="66" t="n"/>
      <c r="Q78" s="66" t="n"/>
      <c r="R78" s="66" t="n"/>
      <c r="S78" s="66" t="n"/>
      <c r="T78" s="66" t="n"/>
    </row>
    <row r="79" ht="17" customHeight="1">
      <c r="A79" s="23" t="inlineStr">
        <is>
          <t>5.3.2</t>
        </is>
      </c>
      <c r="B79" s="5" t="inlineStr">
        <is>
          <t xml:space="preserve">　　第2章 高齢者を取り巻く現状</t>
        </is>
      </c>
      <c r="C79" s="23" t="inlineStr">
        <is>
          <t>受託者</t>
        </is>
      </c>
      <c r="D79" s="24" t="n">
        <v>2</v>
      </c>
      <c r="E79" s="64" t="n">
        <v>46370</v>
      </c>
      <c r="F79" s="64" t="n">
        <v>46402</v>
      </c>
      <c r="G79" s="63" t="n"/>
      <c r="H79" s="63" t="n"/>
      <c r="I79" s="63" t="n"/>
      <c r="J79" s="63" t="n"/>
      <c r="K79" s="63" t="n"/>
      <c r="L79" s="63" t="n"/>
      <c r="M79" s="87" t="n"/>
      <c r="N79" s="87" t="n"/>
      <c r="O79" s="87" t="n"/>
      <c r="P79" s="63" t="n"/>
      <c r="Q79" s="63" t="n"/>
      <c r="R79" s="63" t="n"/>
      <c r="S79" s="63" t="n"/>
      <c r="T79" s="63" t="n"/>
    </row>
    <row r="80" ht="17" customHeight="1">
      <c r="A80" s="26" t="inlineStr">
        <is>
          <t>5.3.3</t>
        </is>
      </c>
      <c r="B80" s="9" t="inlineStr">
        <is>
          <t xml:space="preserve">　　第3章 第9期計画の評価と課題</t>
        </is>
      </c>
      <c r="C80" s="26" t="inlineStr">
        <is>
          <t>受託者</t>
        </is>
      </c>
      <c r="D80" s="27" t="n">
        <v>1</v>
      </c>
      <c r="E80" s="65" t="n">
        <v>46370</v>
      </c>
      <c r="F80" s="65" t="n">
        <v>46395</v>
      </c>
      <c r="G80" s="66" t="n"/>
      <c r="H80" s="66" t="n"/>
      <c r="I80" s="66" t="n"/>
      <c r="J80" s="66" t="n"/>
      <c r="K80" s="66" t="n"/>
      <c r="L80" s="66" t="n"/>
      <c r="M80" s="87" t="n"/>
      <c r="N80" s="87" t="n"/>
      <c r="O80" s="87" t="n"/>
      <c r="P80" s="66" t="n"/>
      <c r="Q80" s="66" t="n"/>
      <c r="R80" s="66" t="n"/>
      <c r="S80" s="66" t="n"/>
      <c r="T80" s="66" t="n"/>
    </row>
    <row r="81" ht="17" customHeight="1">
      <c r="A81" s="23" t="inlineStr">
        <is>
          <t>5.3.4</t>
        </is>
      </c>
      <c r="B81" s="5" t="inlineStr">
        <is>
          <t xml:space="preserve">　　第4章 計画の基本的な考え方</t>
        </is>
      </c>
      <c r="C81" s="23" t="inlineStr">
        <is>
          <t>受託者</t>
        </is>
      </c>
      <c r="D81" s="24" t="n">
        <v>1</v>
      </c>
      <c r="E81" s="64" t="n">
        <v>46377</v>
      </c>
      <c r="F81" s="64" t="n">
        <v>46402</v>
      </c>
      <c r="G81" s="63" t="n"/>
      <c r="H81" s="63" t="n"/>
      <c r="I81" s="63" t="n"/>
      <c r="J81" s="63" t="n"/>
      <c r="K81" s="63" t="n"/>
      <c r="L81" s="63" t="n"/>
      <c r="M81" s="63" t="n"/>
      <c r="N81" s="87" t="n"/>
      <c r="O81" s="87" t="n"/>
      <c r="P81" s="63" t="n"/>
      <c r="Q81" s="63" t="n"/>
      <c r="R81" s="63" t="n"/>
      <c r="S81" s="63" t="n"/>
      <c r="T81" s="63" t="n"/>
    </row>
    <row r="82" ht="17" customHeight="1">
      <c r="A82" s="26" t="inlineStr">
        <is>
          <t>5.3.5</t>
        </is>
      </c>
      <c r="B82" s="9" t="inlineStr">
        <is>
          <t xml:space="preserve">　　第5章 施策の展開</t>
        </is>
      </c>
      <c r="C82" s="26" t="inlineStr">
        <is>
          <t>受託者</t>
        </is>
      </c>
      <c r="D82" s="27" t="n">
        <v>3</v>
      </c>
      <c r="E82" s="65" t="n">
        <v>46392</v>
      </c>
      <c r="F82" s="65" t="n">
        <v>46423</v>
      </c>
      <c r="G82" s="66" t="n"/>
      <c r="H82" s="66" t="n"/>
      <c r="I82" s="66" t="n"/>
      <c r="J82" s="66" t="n"/>
      <c r="K82" s="66" t="n"/>
      <c r="L82" s="66" t="n"/>
      <c r="M82" s="66" t="n"/>
      <c r="N82" s="66" t="n"/>
      <c r="O82" s="87" t="n"/>
      <c r="P82" s="87" t="n"/>
      <c r="Q82" s="87" t="n"/>
      <c r="R82" s="66" t="n"/>
      <c r="S82" s="66" t="n"/>
      <c r="T82" s="66" t="n"/>
    </row>
    <row r="83" ht="17" customHeight="1">
      <c r="A83" s="23" t="inlineStr">
        <is>
          <t>5.3.6</t>
        </is>
      </c>
      <c r="B83" s="5" t="inlineStr">
        <is>
          <t xml:space="preserve">　　第6章 介護保険事業の見込みと保険料</t>
        </is>
      </c>
      <c r="C83" s="23" t="inlineStr">
        <is>
          <t>受託者</t>
        </is>
      </c>
      <c r="D83" s="24" t="n">
        <v>1.5</v>
      </c>
      <c r="E83" s="64" t="n">
        <v>46412</v>
      </c>
      <c r="F83" s="64" t="n">
        <v>46427</v>
      </c>
      <c r="G83" s="63" t="n"/>
      <c r="H83" s="63" t="n"/>
      <c r="I83" s="63" t="n"/>
      <c r="J83" s="63" t="n"/>
      <c r="K83" s="63" t="n"/>
      <c r="L83" s="63" t="n"/>
      <c r="M83" s="63" t="n"/>
      <c r="N83" s="63" t="n"/>
      <c r="O83" s="63" t="n"/>
      <c r="P83" s="87" t="n"/>
      <c r="Q83" s="87" t="n"/>
      <c r="R83" s="63" t="n"/>
      <c r="S83" s="63" t="n"/>
      <c r="T83" s="63" t="n"/>
    </row>
    <row r="84" ht="17" customHeight="1">
      <c r="A84" s="26" t="inlineStr">
        <is>
          <t>5.3.7</t>
        </is>
      </c>
      <c r="B84" s="9" t="inlineStr">
        <is>
          <t xml:space="preserve">　　第7章 計画の推進体制</t>
        </is>
      </c>
      <c r="C84" s="26" t="inlineStr">
        <is>
          <t>受託者</t>
        </is>
      </c>
      <c r="D84" s="27" t="n">
        <v>0.5</v>
      </c>
      <c r="E84" s="65" t="n">
        <v>46406</v>
      </c>
      <c r="F84" s="65" t="n">
        <v>46416</v>
      </c>
      <c r="G84" s="66" t="n"/>
      <c r="H84" s="66" t="n"/>
      <c r="I84" s="66" t="n"/>
      <c r="J84" s="66" t="n"/>
      <c r="K84" s="66" t="n"/>
      <c r="L84" s="66" t="n"/>
      <c r="M84" s="66" t="n"/>
      <c r="N84" s="66" t="n"/>
      <c r="O84" s="66" t="n"/>
      <c r="P84" s="87" t="n"/>
      <c r="Q84" s="66" t="n"/>
      <c r="R84" s="66" t="n"/>
      <c r="S84" s="66" t="n"/>
      <c r="T84" s="66" t="n"/>
    </row>
    <row r="85" ht="17" customHeight="1">
      <c r="A85" s="23" t="inlineStr">
        <is>
          <t>5.3.8</t>
        </is>
      </c>
      <c r="B85" s="5" t="inlineStr">
        <is>
          <t xml:space="preserve">　　資料編の作成</t>
        </is>
      </c>
      <c r="C85" s="23" t="inlineStr">
        <is>
          <t>受託者</t>
        </is>
      </c>
      <c r="D85" s="24" t="n">
        <v>1</v>
      </c>
      <c r="E85" s="64" t="n">
        <v>46406</v>
      </c>
      <c r="F85" s="64" t="n">
        <v>46423</v>
      </c>
      <c r="G85" s="63" t="n"/>
      <c r="H85" s="63" t="n"/>
      <c r="I85" s="63" t="n"/>
      <c r="J85" s="63" t="n"/>
      <c r="K85" s="63" t="n"/>
      <c r="L85" s="63" t="n"/>
      <c r="M85" s="63" t="n"/>
      <c r="N85" s="63" t="n"/>
      <c r="O85" s="63" t="n"/>
      <c r="P85" s="87" t="n"/>
      <c r="Q85" s="87" t="n"/>
      <c r="R85" s="63" t="n"/>
      <c r="S85" s="63" t="n"/>
      <c r="T85" s="63" t="n"/>
    </row>
    <row r="86" ht="17" customHeight="1">
      <c r="A86" s="26" t="inlineStr">
        <is>
          <t>5.3.9</t>
        </is>
      </c>
      <c r="B86" s="9" t="inlineStr">
        <is>
          <t xml:space="preserve">　　図表作成・レイアウト・校正</t>
        </is>
      </c>
      <c r="C86" s="26" t="inlineStr">
        <is>
          <t>受託者</t>
        </is>
      </c>
      <c r="D86" s="27" t="n">
        <v>2</v>
      </c>
      <c r="E86" s="65" t="n">
        <v>46413</v>
      </c>
      <c r="F86" s="65" t="n">
        <v>46427</v>
      </c>
      <c r="G86" s="66" t="n"/>
      <c r="H86" s="66" t="n"/>
      <c r="I86" s="66" t="n"/>
      <c r="J86" s="66" t="n"/>
      <c r="K86" s="66" t="n"/>
      <c r="L86" s="66" t="n"/>
      <c r="M86" s="66" t="n"/>
      <c r="N86" s="66" t="n"/>
      <c r="O86" s="66" t="n"/>
      <c r="P86" s="87" t="n"/>
      <c r="Q86" s="87" t="n"/>
      <c r="R86" s="66" t="n"/>
      <c r="S86" s="66" t="n"/>
      <c r="T86" s="66" t="n"/>
    </row>
    <row r="87" ht="17" customHeight="1">
      <c r="A87" s="23" t="inlineStr">
        <is>
          <t>5.3.10</t>
        </is>
      </c>
      <c r="B87" s="5" t="inlineStr">
        <is>
          <t xml:space="preserve">　　計画素案の提出・協議（第3回打合せ）</t>
        </is>
      </c>
      <c r="C87" s="23" t="inlineStr">
        <is>
          <t>受託者</t>
        </is>
      </c>
      <c r="D87" s="24" t="n">
        <v>0.5</v>
      </c>
      <c r="E87" s="64" t="n">
        <v>46428</v>
      </c>
      <c r="F87" s="64" t="n">
        <v>46428</v>
      </c>
      <c r="G87" s="63" t="n"/>
      <c r="H87" s="63" t="n"/>
      <c r="I87" s="63" t="n"/>
      <c r="J87" s="63" t="n"/>
      <c r="K87" s="63" t="n"/>
      <c r="L87" s="63" t="n"/>
      <c r="M87" s="63" t="n"/>
      <c r="N87" s="63" t="n"/>
      <c r="O87" s="63" t="n"/>
      <c r="P87" s="63" t="n"/>
      <c r="Q87" s="67" t="inlineStr">
        <is>
          <t>◆</t>
        </is>
      </c>
      <c r="R87" s="63" t="n"/>
      <c r="S87" s="63" t="n"/>
      <c r="T87" s="63" t="n"/>
    </row>
    <row r="88" ht="18" customHeight="1">
      <c r="A88" s="19" t="inlineStr">
        <is>
          <t>5.4</t>
        </is>
      </c>
      <c r="B88" s="20" t="inlineStr">
        <is>
          <t xml:space="preserve">　素案の修正・反映</t>
        </is>
      </c>
      <c r="C88" s="19" t="inlineStr"/>
      <c r="D88" s="21" t="n"/>
      <c r="E88" s="62" t="n">
        <v>46430</v>
      </c>
      <c r="F88" s="62" t="n">
        <v>46459</v>
      </c>
      <c r="G88" s="63" t="n"/>
      <c r="H88" s="63" t="n"/>
      <c r="I88" s="63" t="n"/>
      <c r="J88" s="63" t="n"/>
      <c r="K88" s="63" t="n"/>
      <c r="L88" s="63" t="n"/>
      <c r="M88" s="63" t="n"/>
      <c r="N88" s="63" t="n"/>
      <c r="O88" s="63" t="n"/>
      <c r="P88" s="63" t="n"/>
      <c r="Q88" s="87" t="n"/>
      <c r="R88" s="87" t="n"/>
      <c r="S88" s="87" t="n"/>
      <c r="T88" s="63" t="n"/>
    </row>
    <row r="89" ht="17" customHeight="1">
      <c r="A89" s="23" t="inlineStr">
        <is>
          <t>5.4.1</t>
        </is>
      </c>
      <c r="B89" s="5" t="inlineStr">
        <is>
          <t xml:space="preserve">　　村意見の反映・修正</t>
        </is>
      </c>
      <c r="C89" s="23" t="inlineStr">
        <is>
          <t>受託者</t>
        </is>
      </c>
      <c r="D89" s="24" t="n">
        <v>1.5</v>
      </c>
      <c r="E89" s="64" t="n">
        <v>46430</v>
      </c>
      <c r="F89" s="64" t="n">
        <v>46451</v>
      </c>
      <c r="G89" s="63" t="n"/>
      <c r="H89" s="63" t="n"/>
      <c r="I89" s="63" t="n"/>
      <c r="J89" s="63" t="n"/>
      <c r="K89" s="63" t="n"/>
      <c r="L89" s="63" t="n"/>
      <c r="M89" s="63" t="n"/>
      <c r="N89" s="63" t="n"/>
      <c r="O89" s="63" t="n"/>
      <c r="P89" s="63" t="n"/>
      <c r="Q89" s="87" t="n"/>
      <c r="R89" s="87" t="n"/>
      <c r="S89" s="87" t="n"/>
      <c r="T89" s="63" t="n"/>
    </row>
    <row r="90" ht="17" customHeight="1">
      <c r="A90" s="26" t="inlineStr">
        <is>
          <t>5.4.2</t>
        </is>
      </c>
      <c r="B90" s="9" t="inlineStr">
        <is>
          <t xml:space="preserve">　　パブリックコメント等の意見反映</t>
        </is>
      </c>
      <c r="C90" s="26" t="inlineStr">
        <is>
          <t>受託者</t>
        </is>
      </c>
      <c r="D90" s="27" t="n">
        <v>0.5</v>
      </c>
      <c r="E90" s="65" t="n">
        <v>46430</v>
      </c>
      <c r="F90" s="65" t="n">
        <v>46459</v>
      </c>
      <c r="G90" s="66" t="n"/>
      <c r="H90" s="66" t="n"/>
      <c r="I90" s="66" t="n"/>
      <c r="J90" s="66" t="n"/>
      <c r="K90" s="66" t="n"/>
      <c r="L90" s="66" t="n"/>
      <c r="M90" s="66" t="n"/>
      <c r="N90" s="66" t="n"/>
      <c r="O90" s="66" t="n"/>
      <c r="P90" s="66" t="n"/>
      <c r="Q90" s="87" t="n"/>
      <c r="R90" s="87" t="n"/>
      <c r="S90" s="87" t="n"/>
      <c r="T90" s="66" t="n"/>
    </row>
    <row r="91" ht="22" customHeight="1">
      <c r="A91" s="14" t="inlineStr">
        <is>
          <t>6</t>
        </is>
      </c>
      <c r="B91" s="88" t="inlineStr">
        <is>
          <t>成果品の作成・納品</t>
        </is>
      </c>
      <c r="C91" s="14" t="inlineStr"/>
      <c r="D91" s="89" t="n"/>
      <c r="E91" s="90" t="n">
        <v>46454</v>
      </c>
      <c r="F91" s="90" t="n">
        <v>46477</v>
      </c>
      <c r="G91" s="63" t="n"/>
      <c r="H91" s="63" t="n"/>
      <c r="I91" s="63" t="n"/>
      <c r="J91" s="63" t="n"/>
      <c r="K91" s="63" t="n"/>
      <c r="L91" s="63" t="n"/>
      <c r="M91" s="63" t="n"/>
      <c r="N91" s="63" t="n"/>
      <c r="O91" s="63" t="n"/>
      <c r="P91" s="63" t="n"/>
      <c r="Q91" s="63" t="n"/>
      <c r="R91" s="63" t="n"/>
      <c r="S91" s="91" t="n"/>
      <c r="T91" s="91" t="n"/>
    </row>
    <row r="92" ht="18" customHeight="1">
      <c r="A92" s="19" t="inlineStr">
        <is>
          <t>6.1</t>
        </is>
      </c>
      <c r="B92" s="20" t="inlineStr">
        <is>
          <t xml:space="preserve">　成果品の作成</t>
        </is>
      </c>
      <c r="C92" s="19" t="inlineStr"/>
      <c r="D92" s="21" t="n"/>
      <c r="E92" s="62" t="n">
        <v>46454</v>
      </c>
      <c r="F92" s="62" t="n">
        <v>46472</v>
      </c>
      <c r="G92" s="63" t="n"/>
      <c r="H92" s="63" t="n"/>
      <c r="I92" s="63" t="n"/>
      <c r="J92" s="63" t="n"/>
      <c r="K92" s="63" t="n"/>
      <c r="L92" s="63" t="n"/>
      <c r="M92" s="63" t="n"/>
      <c r="N92" s="63" t="n"/>
      <c r="O92" s="63" t="n"/>
      <c r="P92" s="63" t="n"/>
      <c r="Q92" s="63" t="n"/>
      <c r="R92" s="63" t="n"/>
      <c r="S92" s="91" t="n"/>
      <c r="T92" s="91" t="n"/>
    </row>
    <row r="93" ht="17" customHeight="1">
      <c r="A93" s="23" t="inlineStr">
        <is>
          <t>6.1.1</t>
        </is>
      </c>
      <c r="B93" s="5" t="inlineStr">
        <is>
          <t xml:space="preserve">　　最終原稿の確定・最終校正</t>
        </is>
      </c>
      <c r="C93" s="23" t="inlineStr">
        <is>
          <t>受託者</t>
        </is>
      </c>
      <c r="D93" s="24" t="n">
        <v>1</v>
      </c>
      <c r="E93" s="64" t="n">
        <v>46454</v>
      </c>
      <c r="F93" s="64" t="n">
        <v>46465</v>
      </c>
      <c r="G93" s="63" t="n"/>
      <c r="H93" s="63" t="n"/>
      <c r="I93" s="63" t="n"/>
      <c r="J93" s="63" t="n"/>
      <c r="K93" s="63" t="n"/>
      <c r="L93" s="63" t="n"/>
      <c r="M93" s="63" t="n"/>
      <c r="N93" s="63" t="n"/>
      <c r="O93" s="63" t="n"/>
      <c r="P93" s="63" t="n"/>
      <c r="Q93" s="63" t="n"/>
      <c r="R93" s="63" t="n"/>
      <c r="S93" s="91" t="n"/>
      <c r="T93" s="91" t="n"/>
    </row>
    <row r="94" ht="17" customHeight="1">
      <c r="A94" s="26" t="inlineStr">
        <is>
          <t>6.1.2</t>
        </is>
      </c>
      <c r="B94" s="9" t="inlineStr">
        <is>
          <t xml:space="preserve">　　成果品データの作成（CD-R収録）</t>
        </is>
      </c>
      <c r="C94" s="26" t="inlineStr">
        <is>
          <t>受託者</t>
        </is>
      </c>
      <c r="D94" s="27" t="n">
        <v>0.5</v>
      </c>
      <c r="E94" s="65" t="n">
        <v>46463</v>
      </c>
      <c r="F94" s="65" t="n">
        <v>46472</v>
      </c>
      <c r="G94" s="66" t="n"/>
      <c r="H94" s="66" t="n"/>
      <c r="I94" s="66" t="n"/>
      <c r="J94" s="66" t="n"/>
      <c r="K94" s="66" t="n"/>
      <c r="L94" s="66" t="n"/>
      <c r="M94" s="66" t="n"/>
      <c r="N94" s="66" t="n"/>
      <c r="O94" s="66" t="n"/>
      <c r="P94" s="66" t="n"/>
      <c r="Q94" s="66" t="n"/>
      <c r="R94" s="66" t="n"/>
      <c r="S94" s="66" t="n"/>
      <c r="T94" s="91" t="n"/>
    </row>
    <row r="95" ht="17" customHeight="1">
      <c r="A95" s="23" t="inlineStr">
        <is>
          <t>6.1.3</t>
        </is>
      </c>
      <c r="B95" s="5" t="inlineStr">
        <is>
          <t xml:space="preserve">　　業務データの整理・収録</t>
        </is>
      </c>
      <c r="C95" s="23" t="inlineStr">
        <is>
          <t>受託者</t>
        </is>
      </c>
      <c r="D95" s="24" t="n">
        <v>0.5</v>
      </c>
      <c r="E95" s="64" t="n">
        <v>46463</v>
      </c>
      <c r="F95" s="64" t="n">
        <v>46472</v>
      </c>
      <c r="G95" s="63" t="n"/>
      <c r="H95" s="63" t="n"/>
      <c r="I95" s="63" t="n"/>
      <c r="J95" s="63" t="n"/>
      <c r="K95" s="63" t="n"/>
      <c r="L95" s="63" t="n"/>
      <c r="M95" s="63" t="n"/>
      <c r="N95" s="63" t="n"/>
      <c r="O95" s="63" t="n"/>
      <c r="P95" s="63" t="n"/>
      <c r="Q95" s="63" t="n"/>
      <c r="R95" s="63" t="n"/>
      <c r="S95" s="63" t="n"/>
      <c r="T95" s="91" t="n"/>
    </row>
    <row r="96" ht="18" customHeight="1">
      <c r="A96" s="19" t="inlineStr">
        <is>
          <t>6.2</t>
        </is>
      </c>
      <c r="B96" s="20" t="inlineStr">
        <is>
          <t xml:space="preserve">　納品・完了手続</t>
        </is>
      </c>
      <c r="C96" s="19" t="inlineStr"/>
      <c r="D96" s="21" t="n"/>
      <c r="E96" s="62" t="n">
        <v>46475</v>
      </c>
      <c r="F96" s="62" t="n">
        <v>46477</v>
      </c>
      <c r="G96" s="63" t="n"/>
      <c r="H96" s="63" t="n"/>
      <c r="I96" s="63" t="n"/>
      <c r="J96" s="63" t="n"/>
      <c r="K96" s="63" t="n"/>
      <c r="L96" s="63" t="n"/>
      <c r="M96" s="63" t="n"/>
      <c r="N96" s="63" t="n"/>
      <c r="O96" s="63" t="n"/>
      <c r="P96" s="63" t="n"/>
      <c r="Q96" s="63" t="n"/>
      <c r="R96" s="63" t="n"/>
      <c r="S96" s="63" t="n"/>
      <c r="T96" s="91" t="n"/>
    </row>
    <row r="97" ht="17" customHeight="1">
      <c r="A97" s="23" t="inlineStr">
        <is>
          <t>6.2.1</t>
        </is>
      </c>
      <c r="B97" s="5" t="inlineStr">
        <is>
          <t xml:space="preserve">　　納品・検査対応</t>
        </is>
      </c>
      <c r="C97" s="23" t="inlineStr">
        <is>
          <t>受託者</t>
        </is>
      </c>
      <c r="D97" s="24" t="n">
        <v>0.5</v>
      </c>
      <c r="E97" s="64" t="n">
        <v>46475</v>
      </c>
      <c r="F97" s="64" t="n">
        <v>46477</v>
      </c>
      <c r="G97" s="63" t="n"/>
      <c r="H97" s="63" t="n"/>
      <c r="I97" s="63" t="n"/>
      <c r="J97" s="63" t="n"/>
      <c r="K97" s="63" t="n"/>
      <c r="L97" s="63" t="n"/>
      <c r="M97" s="63" t="n"/>
      <c r="N97" s="63" t="n"/>
      <c r="O97" s="63" t="n"/>
      <c r="P97" s="63" t="n"/>
      <c r="Q97" s="63" t="n"/>
      <c r="R97" s="63" t="n"/>
      <c r="S97" s="63" t="n"/>
      <c r="T97" s="91" t="n"/>
    </row>
    <row r="98" ht="17" customHeight="1">
      <c r="A98" s="26" t="inlineStr">
        <is>
          <t>6.2.2</t>
        </is>
      </c>
      <c r="B98" s="9" t="inlineStr">
        <is>
          <t xml:space="preserve">　　貸与資料・個人情報の返却／消去</t>
        </is>
      </c>
      <c r="C98" s="26" t="inlineStr">
        <is>
          <t>受託者</t>
        </is>
      </c>
      <c r="D98" s="27" t="n">
        <v>0.3</v>
      </c>
      <c r="E98" s="65" t="n">
        <v>46475</v>
      </c>
      <c r="F98" s="65" t="n">
        <v>46477</v>
      </c>
      <c r="G98" s="66" t="n"/>
      <c r="H98" s="66" t="n"/>
      <c r="I98" s="66" t="n"/>
      <c r="J98" s="66" t="n"/>
      <c r="K98" s="66" t="n"/>
      <c r="L98" s="66" t="n"/>
      <c r="M98" s="66" t="n"/>
      <c r="N98" s="66" t="n"/>
      <c r="O98" s="66" t="n"/>
      <c r="P98" s="66" t="n"/>
      <c r="Q98" s="66" t="n"/>
      <c r="R98" s="66" t="n"/>
      <c r="S98" s="66" t="n"/>
      <c r="T98" s="91" t="n"/>
    </row>
    <row r="100">
      <c r="A100" s="92" t="inlineStr">
        <is>
          <t>凡例</t>
        </is>
      </c>
    </row>
    <row r="101">
      <c r="A101" s="93" t="n"/>
      <c r="B101" s="94" t="inlineStr">
        <is>
          <t>1. 業務管理・打合せ</t>
        </is>
      </c>
    </row>
    <row r="102">
      <c r="A102" s="95" t="n"/>
      <c r="B102" s="94" t="inlineStr">
        <is>
          <t>2. 現状の評価・分析</t>
        </is>
      </c>
    </row>
    <row r="103">
      <c r="A103" s="96" t="n"/>
      <c r="B103" s="94" t="inlineStr">
        <is>
          <t>3. 人口推計・認定者数推計</t>
        </is>
      </c>
    </row>
    <row r="104">
      <c r="A104" s="97" t="n"/>
      <c r="B104" s="94" t="inlineStr">
        <is>
          <t>4. サービス見込量・保険料の推計</t>
        </is>
      </c>
    </row>
    <row r="105">
      <c r="A105" s="98" t="n"/>
      <c r="B105" s="94" t="inlineStr">
        <is>
          <t>5. 計画素案の作成</t>
        </is>
      </c>
    </row>
    <row r="106">
      <c r="A106" s="52" t="n"/>
      <c r="B106" s="94" t="inlineStr">
        <is>
          <t>6. 成果品の作成・納品</t>
        </is>
      </c>
    </row>
    <row r="107">
      <c r="A107" s="99" t="inlineStr">
        <is>
          <t>◆</t>
        </is>
      </c>
      <c r="B107" s="94" t="inlineStr">
        <is>
          <t>マイルストーン（打合せ・提出・納品）</t>
        </is>
      </c>
    </row>
  </sheetData>
  <mergeCells count="15">
    <mergeCell ref="A1:T1"/>
    <mergeCell ref="O3:P3"/>
    <mergeCell ref="Q3:R3"/>
    <mergeCell ref="C3:C4"/>
    <mergeCell ref="B3:B4"/>
    <mergeCell ref="A3:A4"/>
    <mergeCell ref="E3:E4"/>
    <mergeCell ref="F3:F4"/>
    <mergeCell ref="D3:D4"/>
    <mergeCell ref="A2:T2"/>
    <mergeCell ref="M3:N3"/>
    <mergeCell ref="S3:T3"/>
    <mergeCell ref="G3:H3"/>
    <mergeCell ref="K3:L3"/>
    <mergeCell ref="I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9" customWidth="1" min="1" max="1"/>
    <col width="34" customWidth="1" min="2" max="2"/>
    <col width="18" customWidth="1" min="3" max="3"/>
    <col width="14" customWidth="1" min="4" max="4"/>
    <col width="16" customWidth="1" min="5" max="5"/>
    <col width="46" customWidth="1" min="6" max="6"/>
    <col width="34" customWidth="1" min="7" max="7"/>
  </cols>
  <sheetData>
    <row r="1" ht="30" customHeight="1">
      <c r="A1" s="1" t="inlineStr">
        <is>
          <t>マイルストーン・会議体一覧</t>
        </is>
      </c>
    </row>
    <row r="2">
      <c r="A2" s="13" t="inlineStr">
        <is>
          <t>打合せは仕様書「4 打合せ」に基づき3回程度。受託者側は計画策定担当者本人が出席する。日程は村と協議のうえ確定。</t>
        </is>
      </c>
    </row>
    <row r="4" ht="26" customHeight="1">
      <c r="A4" s="14" t="inlineStr">
        <is>
          <t>No.</t>
        </is>
      </c>
      <c r="B4" s="14" t="inlineStr">
        <is>
          <t>マイルストーン</t>
        </is>
      </c>
      <c r="C4" s="14" t="inlineStr">
        <is>
          <t>予定時期</t>
        </is>
      </c>
      <c r="D4" s="14" t="inlineStr">
        <is>
          <t>WBS No.</t>
        </is>
      </c>
      <c r="E4" s="14" t="inlineStr">
        <is>
          <t>関係者</t>
        </is>
      </c>
      <c r="F4" s="14" t="inlineStr">
        <is>
          <t>達成基準・協議内容</t>
        </is>
      </c>
      <c r="G4" s="14" t="inlineStr">
        <is>
          <t>提出物・成果物</t>
        </is>
      </c>
    </row>
    <row r="5" ht="32" customHeight="1">
      <c r="A5" s="23" t="inlineStr">
        <is>
          <t>M-01</t>
        </is>
      </c>
      <c r="B5" s="5" t="inlineStr">
        <is>
          <t>契約締結・業務着手</t>
        </is>
      </c>
      <c r="C5" s="23" t="inlineStr">
        <is>
          <t>令和8年9月上旬</t>
        </is>
      </c>
      <c r="D5" s="23" t="inlineStr">
        <is>
          <t>1.1.1</t>
        </is>
      </c>
      <c r="E5" s="23" t="inlineStr">
        <is>
          <t>受託者・村</t>
        </is>
      </c>
      <c r="F5" s="5" t="inlineStr">
        <is>
          <t>契約書・仕様書の確認、業務従事者の確定</t>
        </is>
      </c>
      <c r="G5" s="5" t="inlineStr">
        <is>
          <t>－</t>
        </is>
      </c>
    </row>
    <row r="6" ht="32" customHeight="1">
      <c r="A6" s="100" t="inlineStr">
        <is>
          <t>M-02</t>
        </is>
      </c>
      <c r="B6" s="101" t="inlineStr">
        <is>
          <t>【第1回打合せ】キックオフ</t>
        </is>
      </c>
      <c r="C6" s="100" t="inlineStr">
        <is>
          <t>令和8年9月中旬</t>
        </is>
      </c>
      <c r="D6" s="100" t="inlineStr">
        <is>
          <t>1.1.3</t>
        </is>
      </c>
      <c r="E6" s="100" t="inlineStr">
        <is>
          <t>受託者・村</t>
        </is>
      </c>
      <c r="F6" s="102" t="inlineStr">
        <is>
          <t>業務実施計画・工程の協議、論点共有、貸与資料の確認</t>
        </is>
      </c>
      <c r="G6" s="102" t="inlineStr">
        <is>
          <t>第1回打合せ資料／議事録</t>
        </is>
      </c>
    </row>
    <row r="7" ht="32" customHeight="1">
      <c r="A7" s="23" t="inlineStr">
        <is>
          <t>M-03</t>
        </is>
      </c>
      <c r="B7" s="5" t="inlineStr">
        <is>
          <t>貸与資料一式の受領完了</t>
        </is>
      </c>
      <c r="C7" s="23" t="inlineStr">
        <is>
          <t>令和8年9月末</t>
        </is>
      </c>
      <c r="D7" s="23" t="inlineStr">
        <is>
          <t>1.3.1</t>
        </is>
      </c>
      <c r="E7" s="23" t="inlineStr">
        <is>
          <t>村</t>
        </is>
      </c>
      <c r="F7" s="5" t="inlineStr">
        <is>
          <t>分析着手に必要な実績・統計データが揃うこと</t>
        </is>
      </c>
      <c r="G7" s="5" t="inlineStr">
        <is>
          <t>貸与資料リスト（受領済）</t>
        </is>
      </c>
    </row>
    <row r="8" ht="32" customHeight="1">
      <c r="A8" s="26" t="inlineStr">
        <is>
          <t>M-04</t>
        </is>
      </c>
      <c r="B8" s="9" t="inlineStr">
        <is>
          <t>現状分析・第9期評価の完了</t>
        </is>
      </c>
      <c r="C8" s="26" t="inlineStr">
        <is>
          <t>令和8年11月下旬</t>
        </is>
      </c>
      <c r="D8" s="26" t="inlineStr">
        <is>
          <t>2.4.3</t>
        </is>
      </c>
      <c r="E8" s="26" t="inlineStr">
        <is>
          <t>受託者</t>
        </is>
      </c>
      <c r="F8" s="9" t="inlineStr">
        <is>
          <t>現状分析・実績分析・現行計画評価の取りまとめ</t>
        </is>
      </c>
      <c r="G8" s="9" t="inlineStr">
        <is>
          <t>現状分析・評価 中間報告資料</t>
        </is>
      </c>
    </row>
    <row r="9" ht="32" customHeight="1">
      <c r="A9" s="100" t="inlineStr">
        <is>
          <t>M-05</t>
        </is>
      </c>
      <c r="B9" s="101" t="inlineStr">
        <is>
          <t>【第2回打合せ】現状分析・骨子報告</t>
        </is>
      </c>
      <c r="C9" s="100" t="inlineStr">
        <is>
          <t>令和8年12月上旬</t>
        </is>
      </c>
      <c r="D9" s="100" t="inlineStr">
        <is>
          <t>1.2.2／5.2.3</t>
        </is>
      </c>
      <c r="E9" s="100" t="inlineStr">
        <is>
          <t>受託者・村</t>
        </is>
      </c>
      <c r="F9" s="102" t="inlineStr">
        <is>
          <t>課題と施策の方向の協議、計画骨子の確定</t>
        </is>
      </c>
      <c r="G9" s="102" t="inlineStr">
        <is>
          <t>第2回打合せ資料／確定版計画骨子</t>
        </is>
      </c>
    </row>
    <row r="10" ht="32" customHeight="1">
      <c r="A10" s="26" t="inlineStr">
        <is>
          <t>M-06</t>
        </is>
      </c>
      <c r="B10" s="9" t="inlineStr">
        <is>
          <t>人口・要支援要介護認定者数推計の確定</t>
        </is>
      </c>
      <c r="C10" s="26" t="inlineStr">
        <is>
          <t>令和8年12月中旬</t>
        </is>
      </c>
      <c r="D10" s="26" t="inlineStr">
        <is>
          <t>3.3.1</t>
        </is>
      </c>
      <c r="E10" s="26" t="inlineStr">
        <is>
          <t>受託者・村</t>
        </is>
      </c>
      <c r="F10" s="9" t="inlineStr">
        <is>
          <t>推計手法・仮定条件・結果の村確認</t>
        </is>
      </c>
      <c r="G10" s="9" t="inlineStr">
        <is>
          <t>人口・認定者数推計 結果資料</t>
        </is>
      </c>
    </row>
    <row r="11" ht="32" customHeight="1">
      <c r="A11" s="23" t="inlineStr">
        <is>
          <t>M-07</t>
        </is>
      </c>
      <c r="B11" s="5" t="inlineStr">
        <is>
          <t>介護サービス見込量の確定</t>
        </is>
      </c>
      <c r="C11" s="23" t="inlineStr">
        <is>
          <t>令和9年1月中旬</t>
        </is>
      </c>
      <c r="D11" s="23" t="inlineStr">
        <is>
          <t>4.1.4</t>
        </is>
      </c>
      <c r="E11" s="23" t="inlineStr">
        <is>
          <t>受託者・村</t>
        </is>
      </c>
      <c r="F11" s="5" t="inlineStr">
        <is>
          <t>令和9〜11年度のサービス種類別見込量の確定</t>
        </is>
      </c>
      <c r="G11" s="5" t="inlineStr">
        <is>
          <t>サービス見込量推計表</t>
        </is>
      </c>
    </row>
    <row r="12" ht="32" customHeight="1">
      <c r="A12" s="26" t="inlineStr">
        <is>
          <t>M-08</t>
        </is>
      </c>
      <c r="B12" s="9" t="inlineStr">
        <is>
          <t>第10期介護保険料（第1次案）の算定</t>
        </is>
      </c>
      <c r="C12" s="26" t="inlineStr">
        <is>
          <t>令和9年2月上旬</t>
        </is>
      </c>
      <c r="D12" s="26" t="inlineStr">
        <is>
          <t>4.3.3</t>
        </is>
      </c>
      <c r="E12" s="26" t="inlineStr">
        <is>
          <t>受託者・村</t>
        </is>
      </c>
      <c r="F12" s="9" t="inlineStr">
        <is>
          <t>基金取崩し方針の決定、保険料基準額の算定</t>
        </is>
      </c>
      <c r="G12" s="9" t="inlineStr">
        <is>
          <t>第10期介護保険料算定書</t>
        </is>
      </c>
    </row>
    <row r="13" ht="32" customHeight="1">
      <c r="A13" s="100" t="inlineStr">
        <is>
          <t>M-09</t>
        </is>
      </c>
      <c r="B13" s="101" t="inlineStr">
        <is>
          <t>【第3回打合せ】計画素案・保険料報告</t>
        </is>
      </c>
      <c r="C13" s="100" t="inlineStr">
        <is>
          <t>令和9年2月中旬</t>
        </is>
      </c>
      <c r="D13" s="100" t="inlineStr">
        <is>
          <t>1.2.3</t>
        </is>
      </c>
      <c r="E13" s="100" t="inlineStr">
        <is>
          <t>受託者・村</t>
        </is>
      </c>
      <c r="F13" s="102" t="inlineStr">
        <is>
          <t>計画素案および保険料算定結果の報告・協議</t>
        </is>
      </c>
      <c r="G13" s="102" t="inlineStr">
        <is>
          <t>第3回打合せ資料／議事録</t>
        </is>
      </c>
    </row>
    <row r="14" ht="32" customHeight="1">
      <c r="A14" s="26" t="inlineStr">
        <is>
          <t>M-10</t>
        </is>
      </c>
      <c r="B14" s="9" t="inlineStr">
        <is>
          <t>計画素案の提出</t>
        </is>
      </c>
      <c r="C14" s="26" t="inlineStr">
        <is>
          <t>令和9年2月中旬</t>
        </is>
      </c>
      <c r="D14" s="26" t="inlineStr">
        <is>
          <t>5.3.10</t>
        </is>
      </c>
      <c r="E14" s="26" t="inlineStr">
        <is>
          <t>受託者</t>
        </is>
      </c>
      <c r="F14" s="9" t="inlineStr">
        <is>
          <t>国の策定指針の記載事項を満たした素案の提出</t>
        </is>
      </c>
      <c r="G14" s="9" t="inlineStr">
        <is>
          <t>計画素案（第1版）</t>
        </is>
      </c>
    </row>
    <row r="15" ht="32" customHeight="1">
      <c r="A15" s="23" t="inlineStr">
        <is>
          <t>M-11</t>
        </is>
      </c>
      <c r="B15" s="5" t="inlineStr">
        <is>
          <t>住民意見等の反映完了</t>
        </is>
      </c>
      <c r="C15" s="23" t="inlineStr">
        <is>
          <t>令和9年3月中旬</t>
        </is>
      </c>
      <c r="D15" s="23" t="inlineStr">
        <is>
          <t>5.4.2</t>
        </is>
      </c>
      <c r="E15" s="23" t="inlineStr">
        <is>
          <t>受託者・村</t>
        </is>
      </c>
      <c r="F15" s="5" t="inlineStr">
        <is>
          <t>パブリックコメント等の意見への対応（村実施分）</t>
        </is>
      </c>
      <c r="G15" s="5" t="inlineStr">
        <is>
          <t>意見対応表／反映版原稿</t>
        </is>
      </c>
    </row>
    <row r="16" ht="32" customHeight="1">
      <c r="A16" s="26" t="inlineStr">
        <is>
          <t>M-12</t>
        </is>
      </c>
      <c r="B16" s="9" t="inlineStr">
        <is>
          <t>成果品の納品・検査</t>
        </is>
      </c>
      <c r="C16" s="26" t="inlineStr">
        <is>
          <t>令和9年3月31日</t>
        </is>
      </c>
      <c r="D16" s="26" t="inlineStr">
        <is>
          <t>6.2.1</t>
        </is>
      </c>
      <c r="E16" s="26" t="inlineStr">
        <is>
          <t>受託者・村</t>
        </is>
      </c>
      <c r="F16" s="9" t="inlineStr">
        <is>
          <t>履行期限。計画（CD）1部・業務データ（CD）1部の納品</t>
        </is>
      </c>
      <c r="G16" s="9" t="inlineStr">
        <is>
          <t>計画CD／業務データCD／業務完了届</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38" customWidth="1" min="3" max="3"/>
    <col width="12" customWidth="1" min="4" max="4"/>
    <col width="18" customWidth="1" min="5" max="5"/>
    <col width="16" customWidth="1" min="6" max="6"/>
    <col width="44" customWidth="1" min="7" max="7"/>
  </cols>
  <sheetData>
    <row r="1" ht="30" customHeight="1">
      <c r="A1" s="1" t="inlineStr">
        <is>
          <t>成果物・提出物一覧</t>
        </is>
      </c>
    </row>
    <row r="2">
      <c r="A2" s="13" t="inlineStr">
        <is>
          <t>仕様書「6 成果品」に定める最終成果品のほか、業務進行上必要となる中間成果物・管理資料を整理したもの。</t>
        </is>
      </c>
    </row>
    <row r="4" ht="26" customHeight="1">
      <c r="A4" s="14" t="inlineStr">
        <is>
          <t>区分</t>
        </is>
      </c>
      <c r="B4" s="14" t="inlineStr">
        <is>
          <t>名称</t>
        </is>
      </c>
      <c r="C4" s="14" t="inlineStr">
        <is>
          <t>形式</t>
        </is>
      </c>
      <c r="D4" s="14" t="inlineStr">
        <is>
          <t>部数・数量</t>
        </is>
      </c>
      <c r="E4" s="14" t="inlineStr">
        <is>
          <t>提出時期</t>
        </is>
      </c>
      <c r="F4" s="14" t="inlineStr">
        <is>
          <t>WBS No.</t>
        </is>
      </c>
      <c r="G4" s="14" t="inlineStr">
        <is>
          <t>備考・根拠</t>
        </is>
      </c>
    </row>
    <row r="5" ht="30" customHeight="1">
      <c r="A5" s="103" t="inlineStr">
        <is>
          <t>最終成果品</t>
        </is>
      </c>
      <c r="B5" s="104" t="inlineStr">
        <is>
          <t>高齢者福祉計画・第10期介護保険事業計画</t>
        </is>
      </c>
      <c r="C5" s="105" t="inlineStr">
        <is>
          <t>CD-R（Word/Excel等の編集可能データ＋PDF）</t>
        </is>
      </c>
      <c r="D5" s="103" t="inlineStr">
        <is>
          <t>1部</t>
        </is>
      </c>
      <c r="E5" s="103" t="inlineStr">
        <is>
          <t>令和9年3月31日</t>
        </is>
      </c>
      <c r="F5" s="103" t="inlineStr">
        <is>
          <t>6.1.2</t>
        </is>
      </c>
      <c r="G5" s="105" t="inlineStr">
        <is>
          <t>仕様書「6 成果品」／著作権は音威子府村に帰属</t>
        </is>
      </c>
    </row>
    <row r="6" ht="30" customHeight="1">
      <c r="A6" s="103" t="inlineStr">
        <is>
          <t>最終成果品</t>
        </is>
      </c>
      <c r="B6" s="104" t="inlineStr">
        <is>
          <t>業務データ収録の磁気媒体</t>
        </is>
      </c>
      <c r="C6" s="105" t="inlineStr">
        <is>
          <t>CD-R（推計データ・集計表・図表元データ等）</t>
        </is>
      </c>
      <c r="D6" s="103" t="inlineStr">
        <is>
          <t>1部</t>
        </is>
      </c>
      <c r="E6" s="103" t="inlineStr">
        <is>
          <t>令和9年3月31日</t>
        </is>
      </c>
      <c r="F6" s="103" t="inlineStr">
        <is>
          <t>6.1.3</t>
        </is>
      </c>
      <c r="G6" s="105" t="inlineStr">
        <is>
          <t>仕様書「6 成果品」／村での更新作業を想定した構成</t>
        </is>
      </c>
    </row>
    <row r="7" ht="30" customHeight="1">
      <c r="A7" s="23" t="inlineStr">
        <is>
          <t>中間成果物</t>
        </is>
      </c>
      <c r="B7" s="5" t="inlineStr">
        <is>
          <t>業務実施計画書・詳細工程表（本WBS）</t>
        </is>
      </c>
      <c r="C7" s="5" t="inlineStr">
        <is>
          <t>電子データ</t>
        </is>
      </c>
      <c r="D7" s="23" t="inlineStr">
        <is>
          <t>1式</t>
        </is>
      </c>
      <c r="E7" s="23" t="inlineStr">
        <is>
          <t>令和8年9月中旬</t>
        </is>
      </c>
      <c r="F7" s="23" t="inlineStr">
        <is>
          <t>1.1.2</t>
        </is>
      </c>
      <c r="G7" s="5" t="inlineStr">
        <is>
          <t>第1回打合せで協議・確定</t>
        </is>
      </c>
    </row>
    <row r="8" ht="30" customHeight="1">
      <c r="A8" s="26" t="inlineStr">
        <is>
          <t>中間成果物</t>
        </is>
      </c>
      <c r="B8" s="9" t="inlineStr">
        <is>
          <t>貸与資料リスト（依頼票）</t>
        </is>
      </c>
      <c r="C8" s="9" t="inlineStr">
        <is>
          <t>電子データ</t>
        </is>
      </c>
      <c r="D8" s="26" t="inlineStr">
        <is>
          <t>1式</t>
        </is>
      </c>
      <c r="E8" s="26" t="inlineStr">
        <is>
          <t>令和8年9月上旬</t>
        </is>
      </c>
      <c r="F8" s="26" t="inlineStr">
        <is>
          <t>1.3.1</t>
        </is>
      </c>
      <c r="G8" s="9" t="inlineStr">
        <is>
          <t>契約後2週間以内に提示</t>
        </is>
      </c>
    </row>
    <row r="9" ht="30" customHeight="1">
      <c r="A9" s="23" t="inlineStr">
        <is>
          <t>中間成果物</t>
        </is>
      </c>
      <c r="B9" s="5" t="inlineStr">
        <is>
          <t>現状分析・評価 中間報告資料</t>
        </is>
      </c>
      <c r="C9" s="5" t="inlineStr">
        <is>
          <t>電子データ（PowerPoint/PDF等）</t>
        </is>
      </c>
      <c r="D9" s="23" t="inlineStr">
        <is>
          <t>1式</t>
        </is>
      </c>
      <c r="E9" s="23" t="inlineStr">
        <is>
          <t>令和8年11月下旬</t>
        </is>
      </c>
      <c r="F9" s="23" t="inlineStr">
        <is>
          <t>2.4.3</t>
        </is>
      </c>
      <c r="G9" s="5" t="inlineStr">
        <is>
          <t>第2回打合せ資料</t>
        </is>
      </c>
    </row>
    <row r="10" ht="30" customHeight="1">
      <c r="A10" s="26" t="inlineStr">
        <is>
          <t>中間成果物</t>
        </is>
      </c>
      <c r="B10" s="9" t="inlineStr">
        <is>
          <t>人口・要支援要介護認定者数 推計結果資料</t>
        </is>
      </c>
      <c r="C10" s="9" t="inlineStr">
        <is>
          <t>電子データ（Excel＋図表）</t>
        </is>
      </c>
      <c r="D10" s="26" t="inlineStr">
        <is>
          <t>1式</t>
        </is>
      </c>
      <c r="E10" s="26" t="inlineStr">
        <is>
          <t>令和8年12月中旬</t>
        </is>
      </c>
      <c r="F10" s="26" t="inlineStr">
        <is>
          <t>3.3.1</t>
        </is>
      </c>
      <c r="G10" s="9" t="inlineStr">
        <is>
          <t>推計条件・仮定値を明記</t>
        </is>
      </c>
    </row>
    <row r="11" ht="30" customHeight="1">
      <c r="A11" s="23" t="inlineStr">
        <is>
          <t>中間成果物</t>
        </is>
      </c>
      <c r="B11" s="5" t="inlineStr">
        <is>
          <t>介護サービス見込量 推計表</t>
        </is>
      </c>
      <c r="C11" s="5" t="inlineStr">
        <is>
          <t>電子データ（Excel）</t>
        </is>
      </c>
      <c r="D11" s="23" t="inlineStr">
        <is>
          <t>1式</t>
        </is>
      </c>
      <c r="E11" s="23" t="inlineStr">
        <is>
          <t>令和9年1月中旬</t>
        </is>
      </c>
      <c r="F11" s="23" t="inlineStr">
        <is>
          <t>4.1.2</t>
        </is>
      </c>
      <c r="G11" s="5" t="inlineStr">
        <is>
          <t>サービス種類別・年度別（令和9〜11年度）</t>
        </is>
      </c>
    </row>
    <row r="12" ht="30" customHeight="1">
      <c r="A12" s="26" t="inlineStr">
        <is>
          <t>中間成果物</t>
        </is>
      </c>
      <c r="B12" s="9" t="inlineStr">
        <is>
          <t>第10期介護保険料 算定書・財政シミュレーション</t>
        </is>
      </c>
      <c r="C12" s="9" t="inlineStr">
        <is>
          <t>電子データ（Excel）</t>
        </is>
      </c>
      <c r="D12" s="26" t="inlineStr">
        <is>
          <t>1式</t>
        </is>
      </c>
      <c r="E12" s="26" t="inlineStr">
        <is>
          <t>令和9年2月上旬</t>
        </is>
      </c>
      <c r="F12" s="26" t="inlineStr">
        <is>
          <t>4.3.2／4.3.3</t>
        </is>
      </c>
      <c r="G12" s="9" t="inlineStr">
        <is>
          <t>複数パターンの比較を含む</t>
        </is>
      </c>
    </row>
    <row r="13" ht="30" customHeight="1">
      <c r="A13" s="23" t="inlineStr">
        <is>
          <t>中間成果物</t>
        </is>
      </c>
      <c r="B13" s="5" t="inlineStr">
        <is>
          <t>計画骨子（目次構成）案</t>
        </is>
      </c>
      <c r="C13" s="5" t="inlineStr">
        <is>
          <t>電子データ</t>
        </is>
      </c>
      <c r="D13" s="23" t="inlineStr">
        <is>
          <t>1式</t>
        </is>
      </c>
      <c r="E13" s="23" t="inlineStr">
        <is>
          <t>令和8年12月上旬</t>
        </is>
      </c>
      <c r="F13" s="23" t="inlineStr">
        <is>
          <t>5.2.1</t>
        </is>
      </c>
      <c r="G13" s="5" t="inlineStr">
        <is>
          <t>国の策定指針の記載事項チェックリストを添付</t>
        </is>
      </c>
    </row>
    <row r="14" ht="30" customHeight="1">
      <c r="A14" s="26" t="inlineStr">
        <is>
          <t>中間成果物</t>
        </is>
      </c>
      <c r="B14" s="9" t="inlineStr">
        <is>
          <t>計画素案（第0版・たたき台）</t>
        </is>
      </c>
      <c r="C14" s="9" t="inlineStr">
        <is>
          <t>電子データ（Word）</t>
        </is>
      </c>
      <c r="D14" s="26" t="inlineStr">
        <is>
          <t>1式</t>
        </is>
      </c>
      <c r="E14" s="26" t="inlineStr">
        <is>
          <t>令和8年9月</t>
        </is>
      </c>
      <c r="F14" s="26" t="inlineStr">
        <is>
          <t>5.3</t>
        </is>
      </c>
      <c r="G14" s="9" t="inlineStr">
        <is>
          <t>★第9期計画未受領のため理念・目標・第3章は仮置き。『【要差替】』箇所あり</t>
        </is>
      </c>
    </row>
    <row r="15" ht="30" customHeight="1">
      <c r="A15" s="23" t="inlineStr">
        <is>
          <t>中間成果物</t>
        </is>
      </c>
      <c r="B15" s="5" t="inlineStr">
        <is>
          <t>計画素案（第1版）</t>
        </is>
      </c>
      <c r="C15" s="5" t="inlineStr">
        <is>
          <t>電子データ（Word/PDF）</t>
        </is>
      </c>
      <c r="D15" s="23" t="inlineStr">
        <is>
          <t>1式</t>
        </is>
      </c>
      <c r="E15" s="23" t="inlineStr">
        <is>
          <t>令和9年2月中旬</t>
        </is>
      </c>
      <c r="F15" s="23" t="inlineStr">
        <is>
          <t>5.3.10</t>
        </is>
      </c>
      <c r="G15" s="5" t="inlineStr">
        <is>
          <t>第3回打合せで提出・協議</t>
        </is>
      </c>
    </row>
    <row r="16" ht="30" customHeight="1">
      <c r="A16" s="26" t="inlineStr">
        <is>
          <t>中間成果物</t>
        </is>
      </c>
      <c r="B16" s="9" t="inlineStr">
        <is>
          <t>計画素案（修正版）</t>
        </is>
      </c>
      <c r="C16" s="9" t="inlineStr">
        <is>
          <t>電子データ（Word/PDF）</t>
        </is>
      </c>
      <c r="D16" s="26" t="inlineStr">
        <is>
          <t>1式</t>
        </is>
      </c>
      <c r="E16" s="26" t="inlineStr">
        <is>
          <t>令和9年3月上旬</t>
        </is>
      </c>
      <c r="F16" s="26" t="inlineStr">
        <is>
          <t>5.4.1</t>
        </is>
      </c>
      <c r="G16" s="9" t="inlineStr">
        <is>
          <t>村意見を反映</t>
        </is>
      </c>
    </row>
    <row r="17" ht="30" customHeight="1">
      <c r="A17" s="23" t="inlineStr">
        <is>
          <t>中間成果物</t>
        </is>
      </c>
      <c r="B17" s="5" t="inlineStr">
        <is>
          <t>打合せ議事録</t>
        </is>
      </c>
      <c r="C17" s="5" t="inlineStr">
        <is>
          <t>電子データ</t>
        </is>
      </c>
      <c r="D17" s="23" t="inlineStr">
        <is>
          <t>3回分</t>
        </is>
      </c>
      <c r="E17" s="23" t="inlineStr">
        <is>
          <t>各打合せ後1週間以内</t>
        </is>
      </c>
      <c r="F17" s="23" t="inlineStr">
        <is>
          <t>1.1.3／1.2.2／1.2.3</t>
        </is>
      </c>
      <c r="G17" s="5" t="inlineStr">
        <is>
          <t>決定事項・宿題事項を明記</t>
        </is>
      </c>
    </row>
    <row r="18" ht="30" customHeight="1">
      <c r="A18" s="26" t="inlineStr">
        <is>
          <t>管理資料</t>
        </is>
      </c>
      <c r="B18" s="9" t="inlineStr">
        <is>
          <t>進捗報告メモ</t>
        </is>
      </c>
      <c r="C18" s="9" t="inlineStr">
        <is>
          <t>電子データ（メール等）</t>
        </is>
      </c>
      <c r="D18" s="26" t="inlineStr">
        <is>
          <t>月1回程度</t>
        </is>
      </c>
      <c r="E18" s="26" t="inlineStr">
        <is>
          <t>毎月</t>
        </is>
      </c>
      <c r="F18" s="26" t="inlineStr">
        <is>
          <t>1.2.1</t>
        </is>
      </c>
      <c r="G18" s="9" t="inlineStr">
        <is>
          <t>対面打合せ3回を補完</t>
        </is>
      </c>
    </row>
    <row r="19" ht="30" customHeight="1">
      <c r="A19" s="23" t="inlineStr">
        <is>
          <t>管理資料</t>
        </is>
      </c>
      <c r="B19" s="5" t="inlineStr">
        <is>
          <t>個人情報取扱いに関する誓約書・データ消去証明</t>
        </is>
      </c>
      <c r="C19" s="5" t="inlineStr">
        <is>
          <t>書面／電子データ</t>
        </is>
      </c>
      <c r="D19" s="23" t="inlineStr">
        <is>
          <t>各1式</t>
        </is>
      </c>
      <c r="E19" s="23" t="inlineStr">
        <is>
          <t>着手時／完了時</t>
        </is>
      </c>
      <c r="F19" s="23" t="inlineStr">
        <is>
          <t>1.1.4／6.2.2</t>
        </is>
      </c>
      <c r="G19" s="5" t="inlineStr">
        <is>
          <t>音威子府村個人情報保護条例を遵守</t>
        </is>
      </c>
    </row>
  </sheetData>
  <autoFilter ref="A4:G19"/>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20" customWidth="1" min="1" max="1"/>
    <col width="7" customWidth="1" min="2" max="2"/>
    <col width="38" customWidth="1" min="3" max="3"/>
    <col width="44" customWidth="1" min="4" max="4"/>
    <col width="48" customWidth="1" min="5" max="5"/>
    <col width="12" customWidth="1" min="6" max="6"/>
  </cols>
  <sheetData>
    <row r="1" ht="30" customHeight="1">
      <c r="A1" s="1" t="inlineStr">
        <is>
          <t>推計作業の手順・使用データ（仕様書 3(2)(3) の詳細展開）</t>
        </is>
      </c>
    </row>
    <row r="2">
      <c r="A2" s="13" t="inlineStr">
        <is>
          <t>仕様書に定める「人口推計・要支援要介護認定者数の推計」および「介護サービス見込量、保険料の推計」の作業手順を分解したもの。国の基本指針・推計ツールの公開状況により手順は適宜見直す。</t>
        </is>
      </c>
    </row>
    <row r="4" ht="26" customHeight="1">
      <c r="A4" s="14" t="inlineStr">
        <is>
          <t>工程</t>
        </is>
      </c>
      <c r="B4" s="14" t="inlineStr">
        <is>
          <t>No.</t>
        </is>
      </c>
      <c r="C4" s="14" t="inlineStr">
        <is>
          <t>手順</t>
        </is>
      </c>
      <c r="D4" s="14" t="inlineStr">
        <is>
          <t>使用データ・ツール</t>
        </is>
      </c>
      <c r="E4" s="14" t="inlineStr">
        <is>
          <t>留意点</t>
        </is>
      </c>
      <c r="F4" s="14" t="inlineStr">
        <is>
          <t>WBS No.</t>
        </is>
      </c>
    </row>
    <row r="5" ht="30" customHeight="1">
      <c r="A5" s="74" t="inlineStr">
        <is>
          <t>Ⅰ. 人口推計</t>
        </is>
      </c>
      <c r="B5" s="23" t="inlineStr">
        <is>
          <t>1</t>
        </is>
      </c>
      <c r="C5" s="5" t="inlineStr">
        <is>
          <t>基準人口の設定</t>
        </is>
      </c>
      <c r="D5" s="5" t="inlineStr">
        <is>
          <t>住民基本台帳人口（各年10月1日現在、男女・5歳階級別）／国勢調査</t>
        </is>
      </c>
      <c r="E5" s="5" t="inlineStr">
        <is>
          <t>住基と国勢調査の差異を確認し、どちらを基準とするか村と合意する</t>
        </is>
      </c>
      <c r="F5" s="23" t="inlineStr">
        <is>
          <t>3.1.1</t>
        </is>
      </c>
    </row>
    <row r="6" ht="30" customHeight="1">
      <c r="A6" s="9" t="inlineStr"/>
      <c r="B6" s="26" t="inlineStr">
        <is>
          <t>2</t>
        </is>
      </c>
      <c r="C6" s="9" t="inlineStr">
        <is>
          <t>生残率・純移動率の仮定値設定</t>
        </is>
      </c>
      <c r="D6" s="9" t="inlineStr">
        <is>
          <t>社人研「日本の地域別将来推計人口」の仮定値／直近の人口動態実績</t>
        </is>
      </c>
      <c r="E6" s="9" t="inlineStr">
        <is>
          <t>小規模自治体は年変動が大きいため、複数年平均で平滑化する</t>
        </is>
      </c>
      <c r="F6" s="26" t="inlineStr">
        <is>
          <t>3.1.1</t>
        </is>
      </c>
    </row>
    <row r="7" ht="30" customHeight="1">
      <c r="A7" s="5" t="inlineStr"/>
      <c r="B7" s="23" t="inlineStr">
        <is>
          <t>3</t>
        </is>
      </c>
      <c r="C7" s="5" t="inlineStr">
        <is>
          <t>出生仮定の設定（子ども女性比・0-4歳性比）</t>
        </is>
      </c>
      <c r="D7" s="5" t="inlineStr">
        <is>
          <t>人口動態統計（出生数）／住基</t>
        </is>
      </c>
      <c r="E7" s="5" t="inlineStr">
        <is>
          <t>出生数が極少の年があるため、実績の単純外挿は避ける</t>
        </is>
      </c>
      <c r="F7" s="23" t="inlineStr">
        <is>
          <t>3.1.1</t>
        </is>
      </c>
    </row>
    <row r="8" ht="30" customHeight="1">
      <c r="A8" s="9" t="inlineStr"/>
      <c r="B8" s="26" t="inlineStr">
        <is>
          <t>4</t>
        </is>
      </c>
      <c r="C8" s="9" t="inlineStr">
        <is>
          <t>コーホート要因法による将来人口推計</t>
        </is>
      </c>
      <c r="D8" s="9" t="inlineStr">
        <is>
          <t>推計シート（Excel）／社人研仮定値</t>
        </is>
      </c>
      <c r="E8" s="9" t="inlineStr">
        <is>
          <t>令和9年度〜令和18年度（10年間程度）を男女5歳階級別に推計</t>
        </is>
      </c>
      <c r="F8" s="26" t="inlineStr">
        <is>
          <t>3.1.2</t>
        </is>
      </c>
    </row>
    <row r="9" ht="30" customHeight="1">
      <c r="A9" s="5" t="inlineStr"/>
      <c r="B9" s="23" t="inlineStr">
        <is>
          <t>5</t>
        </is>
      </c>
      <c r="C9" s="5" t="inlineStr">
        <is>
          <t>高齢者人口・高齢化率の算出</t>
        </is>
      </c>
      <c r="D9" s="5" t="inlineStr">
        <is>
          <t>推計結果</t>
        </is>
      </c>
      <c r="E9" s="5" t="inlineStr">
        <is>
          <t>65〜74歳／75歳以上、高齢化率、後期高齢者割合を年度別に整理</t>
        </is>
      </c>
      <c r="F9" s="23" t="inlineStr">
        <is>
          <t>3.1.2</t>
        </is>
      </c>
    </row>
    <row r="10" ht="30" customHeight="1">
      <c r="A10" s="9" t="inlineStr"/>
      <c r="B10" s="26" t="inlineStr">
        <is>
          <t>6</t>
        </is>
      </c>
      <c r="C10" s="9" t="inlineStr">
        <is>
          <t>推計結果の検証</t>
        </is>
      </c>
      <c r="D10" s="9" t="inlineStr">
        <is>
          <t>社人研推計値／過去10年の実績トレンド</t>
        </is>
      </c>
      <c r="E10" s="9" t="inlineStr">
        <is>
          <t>乖離が大きい場合は仮定値を再設定し、根拠を記録に残す</t>
        </is>
      </c>
      <c r="F10" s="26" t="inlineStr">
        <is>
          <t>3.1.3</t>
        </is>
      </c>
    </row>
    <row r="11" ht="30" customHeight="1">
      <c r="A11" s="74" t="inlineStr">
        <is>
          <t>Ⅱ. 認定者数推計</t>
        </is>
      </c>
      <c r="B11" s="23" t="inlineStr">
        <is>
          <t>1</t>
        </is>
      </c>
      <c r="C11" s="5" t="inlineStr">
        <is>
          <t>認定者数実績の整理</t>
        </is>
      </c>
      <c r="D11" s="5" t="inlineStr">
        <is>
          <t>介護保険事業状況報告／村の認定データ（要支援1〜要介護5・性・年齢階級別）</t>
        </is>
      </c>
      <c r="E11" s="5" t="inlineStr">
        <is>
          <t>直近5年分。年度末（3月末）現在で統一する</t>
        </is>
      </c>
      <c r="F11" s="23" t="inlineStr">
        <is>
          <t>3.2.1</t>
        </is>
      </c>
    </row>
    <row r="12" ht="30" customHeight="1">
      <c r="A12" s="9" t="inlineStr"/>
      <c r="B12" s="26" t="inlineStr">
        <is>
          <t>2</t>
        </is>
      </c>
      <c r="C12" s="9" t="inlineStr">
        <is>
          <t>性・年齢階級別認定率の算出</t>
        </is>
      </c>
      <c r="D12" s="9" t="inlineStr">
        <is>
          <t>認定者数実績 ÷ 該当年齢階級人口</t>
        </is>
      </c>
      <c r="E12" s="9" t="inlineStr">
        <is>
          <t>第1号（65歳以上）・第2号（40〜64歳）を区分して算出</t>
        </is>
      </c>
      <c r="F12" s="26" t="inlineStr">
        <is>
          <t>3.2.1</t>
        </is>
      </c>
    </row>
    <row r="13" ht="30" customHeight="1">
      <c r="A13" s="5" t="inlineStr"/>
      <c r="B13" s="23" t="inlineStr">
        <is>
          <t>3</t>
        </is>
      </c>
      <c r="C13" s="5" t="inlineStr">
        <is>
          <t>将来の認定率仮定の設定</t>
        </is>
      </c>
      <c r="D13" s="5" t="inlineStr">
        <is>
          <t>国の基本指針／直近実績／北海道平均</t>
        </is>
      </c>
      <c r="E13" s="5" t="inlineStr">
        <is>
          <t>直近実績固定を基本とし、傾向が明確な場合のみトレンドを反映</t>
        </is>
      </c>
      <c r="F13" s="23" t="inlineStr">
        <is>
          <t>3.2.1</t>
        </is>
      </c>
    </row>
    <row r="14" ht="30" customHeight="1">
      <c r="A14" s="9" t="inlineStr"/>
      <c r="B14" s="26" t="inlineStr">
        <is>
          <t>4</t>
        </is>
      </c>
      <c r="C14" s="9" t="inlineStr">
        <is>
          <t>各年度の認定者数の推計</t>
        </is>
      </c>
      <c r="D14" s="9" t="inlineStr">
        <is>
          <t>将来人口 × 認定率</t>
        </is>
      </c>
      <c r="E14" s="9" t="inlineStr">
        <is>
          <t>令和9〜11年度（第10期）に加え、中長期年次の要否を国の指針で確認</t>
        </is>
      </c>
      <c r="F14" s="26" t="inlineStr">
        <is>
          <t>3.2.2</t>
        </is>
      </c>
    </row>
    <row r="15" ht="30" customHeight="1">
      <c r="A15" s="5" t="inlineStr"/>
      <c r="B15" s="23" t="inlineStr">
        <is>
          <t>5</t>
        </is>
      </c>
      <c r="C15" s="5" t="inlineStr">
        <is>
          <t>推計結果の検証・確定</t>
        </is>
      </c>
      <c r="D15" s="5" t="inlineStr">
        <is>
          <t>認定調査・審査会の運用状況／施設整備予定</t>
        </is>
      </c>
      <c r="E15" s="5" t="inlineStr">
        <is>
          <t>村担当課の実務感覚と照合し、必要に応じて補正する</t>
        </is>
      </c>
      <c r="F15" s="23" t="inlineStr">
        <is>
          <t>3.2.3</t>
        </is>
      </c>
    </row>
    <row r="16" ht="30" customHeight="1">
      <c r="A16" s="79" t="inlineStr">
        <is>
          <t>Ⅲ. サービス見込量推計</t>
        </is>
      </c>
      <c r="B16" s="26" t="inlineStr">
        <is>
          <t>1</t>
        </is>
      </c>
      <c r="C16" s="9" t="inlineStr">
        <is>
          <t>推計ツールへのデータ投入</t>
        </is>
      </c>
      <c r="D16" s="9" t="inlineStr">
        <is>
          <t>地域包括ケア「見える化」システム等の推計ツール</t>
        </is>
      </c>
      <c r="E16" s="9" t="inlineStr">
        <is>
          <t>国の最新版ツールの公開時期を確認。公開前は暫定シートで先行作業</t>
        </is>
      </c>
      <c r="F16" s="26" t="inlineStr">
        <is>
          <t>4.1.1</t>
        </is>
      </c>
    </row>
    <row r="17" ht="30" customHeight="1">
      <c r="A17" s="5" t="inlineStr"/>
      <c r="B17" s="23" t="inlineStr">
        <is>
          <t>2</t>
        </is>
      </c>
      <c r="C17" s="5" t="inlineStr">
        <is>
          <t>サービス種類別の受給率・利用量の設定</t>
        </is>
      </c>
      <c r="D17" s="5" t="inlineStr">
        <is>
          <t>給付実績（国保連データ・事業状況報告）</t>
        </is>
      </c>
      <c r="E17" s="5" t="inlineStr">
        <is>
          <t>小規模ゆえ1人の増減で率が大きく振れる。実人数ベースでも確認する</t>
        </is>
      </c>
      <c r="F17" s="23" t="inlineStr">
        <is>
          <t>4.1.2</t>
        </is>
      </c>
    </row>
    <row r="18" ht="30" customHeight="1">
      <c r="A18" s="9" t="inlineStr"/>
      <c r="B18" s="26" t="inlineStr">
        <is>
          <t>3</t>
        </is>
      </c>
      <c r="C18" s="9" t="inlineStr">
        <is>
          <t>施設・居住系サービスの整備方針の反映</t>
        </is>
      </c>
      <c r="D18" s="9" t="inlineStr">
        <is>
          <t>村・北海道の整備方針／既存施設の定員</t>
        </is>
      </c>
      <c r="E18" s="9" t="inlineStr">
        <is>
          <t>圏域外（近隣市町村）の施設利用分を明示的に見込む</t>
        </is>
      </c>
      <c r="F18" s="26" t="inlineStr">
        <is>
          <t>4.1.2</t>
        </is>
      </c>
    </row>
    <row r="19" ht="30" customHeight="1">
      <c r="A19" s="5" t="inlineStr"/>
      <c r="B19" s="23" t="inlineStr">
        <is>
          <t>4</t>
        </is>
      </c>
      <c r="C19" s="5" t="inlineStr">
        <is>
          <t>総合事業・地域支援事業の見込量設定</t>
        </is>
      </c>
      <c r="D19" s="5" t="inlineStr">
        <is>
          <t>総合事業実績／地域支援事業実施計画</t>
        </is>
      </c>
      <c r="E19" s="5" t="inlineStr">
        <is>
          <t>上限額（事業費の枠）との整合を確認する</t>
        </is>
      </c>
      <c r="F19" s="23" t="inlineStr">
        <is>
          <t>4.1.2</t>
        </is>
      </c>
    </row>
    <row r="20" ht="30" customHeight="1">
      <c r="A20" s="9" t="inlineStr"/>
      <c r="B20" s="26" t="inlineStr">
        <is>
          <t>5</t>
        </is>
      </c>
      <c r="C20" s="9" t="inlineStr">
        <is>
          <t>ニーズ調査結果・施策方針の反映</t>
        </is>
      </c>
      <c r="D20" s="9" t="inlineStr">
        <is>
          <t>介護予防・日常生活圏域ニーズ調査（令和8年度村実施）</t>
        </is>
      </c>
      <c r="E20" s="9" t="inlineStr">
        <is>
          <t>介護予防強化等の施策効果をどこまで見込むか村と合意する</t>
        </is>
      </c>
      <c r="F20" s="26" t="inlineStr">
        <is>
          <t>4.1.3</t>
        </is>
      </c>
    </row>
    <row r="21" ht="30" customHeight="1">
      <c r="A21" s="5" t="inlineStr"/>
      <c r="B21" s="23" t="inlineStr">
        <is>
          <t>6</t>
        </is>
      </c>
      <c r="C21" s="5" t="inlineStr">
        <is>
          <t>見込量の妥当性検証</t>
        </is>
      </c>
      <c r="D21" s="5" t="inlineStr">
        <is>
          <t>過去トレンド／北海道平均／事業所の供給力</t>
        </is>
      </c>
      <c r="E21" s="5" t="inlineStr">
        <is>
          <t>供給力を超える見込みは実現可能性の観点から再検討する</t>
        </is>
      </c>
      <c r="F21" s="23" t="inlineStr">
        <is>
          <t>4.1.4</t>
        </is>
      </c>
    </row>
    <row r="22" ht="30" customHeight="1">
      <c r="A22" s="79" t="inlineStr">
        <is>
          <t>Ⅳ. 給付費・保険料算定</t>
        </is>
      </c>
      <c r="B22" s="26" t="inlineStr">
        <is>
          <t>1</t>
        </is>
      </c>
      <c r="C22" s="9" t="inlineStr">
        <is>
          <t>標準給付費見込額の算出</t>
        </is>
      </c>
      <c r="D22" s="9" t="inlineStr">
        <is>
          <t>見込量 × 単位数単価 × 介護報酬改定率</t>
        </is>
      </c>
      <c r="E22" s="9" t="inlineStr">
        <is>
          <t>改定率未確定の段階は暫定値（前提を明記）で算定する</t>
        </is>
      </c>
      <c r="F22" s="26" t="inlineStr">
        <is>
          <t>4.2.2</t>
        </is>
      </c>
    </row>
    <row r="23" ht="30" customHeight="1">
      <c r="A23" s="5" t="inlineStr"/>
      <c r="B23" s="23" t="inlineStr">
        <is>
          <t>2</t>
        </is>
      </c>
      <c r="C23" s="5" t="inlineStr">
        <is>
          <t>特定入所者介護サービス費等の加算</t>
        </is>
      </c>
      <c r="D23" s="5" t="inlineStr">
        <is>
          <t>補足給付・高額介護サービス費・審査支払手数料の実績</t>
        </is>
      </c>
      <c r="E23" s="5" t="inlineStr">
        <is>
          <t>実績ベースで見込み、制度改正の影響を確認する</t>
        </is>
      </c>
      <c r="F23" s="23" t="inlineStr">
        <is>
          <t>4.2.2</t>
        </is>
      </c>
    </row>
    <row r="24" ht="30" customHeight="1">
      <c r="A24" s="9" t="inlineStr"/>
      <c r="B24" s="26" t="inlineStr">
        <is>
          <t>3</t>
        </is>
      </c>
      <c r="C24" s="9" t="inlineStr">
        <is>
          <t>地域支援事業費の見込</t>
        </is>
      </c>
      <c r="D24" s="9" t="inlineStr">
        <is>
          <t>総合事業・包括的支援事業・任意事業の事業費</t>
        </is>
      </c>
      <c r="E24" s="9" t="inlineStr">
        <is>
          <t>上限額の算定式に沿って確認する</t>
        </is>
      </c>
      <c r="F24" s="26" t="inlineStr">
        <is>
          <t>4.2.2</t>
        </is>
      </c>
    </row>
    <row r="25" ht="30" customHeight="1">
      <c r="A25" s="5" t="inlineStr"/>
      <c r="B25" s="23" t="inlineStr">
        <is>
          <t>4</t>
        </is>
      </c>
      <c r="C25" s="5" t="inlineStr">
        <is>
          <t>算定前提条件の設定</t>
        </is>
      </c>
      <c r="D25" s="5" t="inlineStr">
        <is>
          <t>第1号被保険者負担割合／調整交付金交付割合／予定収納率／所得段階別被保険者数</t>
        </is>
      </c>
      <c r="E25" s="5" t="inlineStr">
        <is>
          <t>国の基本指針で示される割合を反映。確定前は暫定値とする</t>
        </is>
      </c>
      <c r="F25" s="23" t="inlineStr">
        <is>
          <t>4.3.1</t>
        </is>
      </c>
    </row>
    <row r="26" ht="30" customHeight="1">
      <c r="A26" s="9" t="inlineStr"/>
      <c r="B26" s="26" t="inlineStr">
        <is>
          <t>5</t>
        </is>
      </c>
      <c r="C26" s="9" t="inlineStr">
        <is>
          <t>介護給付費準備基金の取崩し方針の検討</t>
        </is>
      </c>
      <c r="D26" s="9" t="inlineStr">
        <is>
          <t>基金残高推移／第9期の収支実績</t>
        </is>
      </c>
      <c r="E26" s="9" t="inlineStr">
        <is>
          <t>取崩し額を変えた複数パターン（3案程度）を提示し村が方針決定</t>
        </is>
      </c>
      <c r="F26" s="26" t="inlineStr">
        <is>
          <t>4.3.2</t>
        </is>
      </c>
    </row>
    <row r="27" ht="30" customHeight="1">
      <c r="A27" s="5" t="inlineStr"/>
      <c r="B27" s="23" t="inlineStr">
        <is>
          <t>6</t>
        </is>
      </c>
      <c r="C27" s="5" t="inlineStr">
        <is>
          <t>保険料収納必要額・基準額の算出</t>
        </is>
      </c>
      <c r="D27" s="5" t="inlineStr">
        <is>
          <t>標準給付費＋地域支援事業費 − 各種公費・調整交付金 − 基金取崩し</t>
        </is>
      </c>
      <c r="E27" s="5" t="inlineStr">
        <is>
          <t>第9期基準額との比較・増減要因を必ず整理する</t>
        </is>
      </c>
      <c r="F27" s="23" t="inlineStr">
        <is>
          <t>4.3.3</t>
        </is>
      </c>
    </row>
    <row r="28" ht="30" customHeight="1">
      <c r="A28" s="9" t="inlineStr"/>
      <c r="B28" s="26" t="inlineStr">
        <is>
          <t>7</t>
        </is>
      </c>
      <c r="C28" s="9" t="inlineStr">
        <is>
          <t>所得段階別保険料額の設定</t>
        </is>
      </c>
      <c r="D28" s="9" t="inlineStr">
        <is>
          <t>国の標準段階・乗率／村独自段階の要否</t>
        </is>
      </c>
      <c r="E28" s="9" t="inlineStr">
        <is>
          <t>多段階化の要否は村の被保険者構成を踏まえて協議する</t>
        </is>
      </c>
      <c r="F28" s="26" t="inlineStr">
        <is>
          <t>4.3.3</t>
        </is>
      </c>
    </row>
    <row r="29" ht="30" customHeight="1">
      <c r="A29" s="5" t="inlineStr"/>
      <c r="B29" s="23" t="inlineStr">
        <is>
          <t>8</t>
        </is>
      </c>
      <c r="C29" s="5" t="inlineStr">
        <is>
          <t>算定結果の説明資料化</t>
        </is>
      </c>
      <c r="D29" s="5" t="inlineStr">
        <is>
          <t>算定書・比較表・グラフ</t>
        </is>
      </c>
      <c r="E29" s="5" t="inlineStr">
        <is>
          <t>議会・住民説明に耐える根拠の明示（前提条件を必ず併記）</t>
        </is>
      </c>
      <c r="F29" s="23" t="inlineStr">
        <is>
          <t>4.3.4</t>
        </is>
      </c>
    </row>
    <row r="30" ht="30" customHeight="1">
      <c r="A30" s="9" t="inlineStr"/>
      <c r="B30" s="26" t="inlineStr">
        <is>
          <t>9</t>
        </is>
      </c>
      <c r="C30" s="9" t="inlineStr">
        <is>
          <t>国の確定情報に基づく再算定</t>
        </is>
      </c>
      <c r="D30" s="9" t="inlineStr">
        <is>
          <t>基本指針の告示／介護報酬改定率の確定値</t>
        </is>
      </c>
      <c r="E30" s="9" t="inlineStr">
        <is>
          <t>確定が年度末にずれ込む場合、再算定の要否を村と協議（仕様書5）</t>
        </is>
      </c>
      <c r="F30" s="26" t="inlineStr">
        <is>
          <t>4.4.1</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18" customWidth="1" min="3" max="3"/>
    <col width="22" customWidth="1" min="4" max="4"/>
    <col width="26" customWidth="1" min="5" max="5"/>
    <col width="18" customWidth="1" min="6" max="6"/>
    <col width="16" customWidth="1" min="7" max="7"/>
    <col width="12" customWidth="1" min="8" max="8"/>
  </cols>
  <sheetData>
    <row r="1" ht="30" customHeight="1">
      <c r="A1" s="1" t="inlineStr">
        <is>
          <t>必要資料リスト（貸与依頼票）</t>
        </is>
      </c>
    </row>
    <row r="2">
      <c r="A2" s="13" t="inlineStr">
        <is>
          <t>契約後2週間以内に村へ提示し、資料の授受状況を管理する。個人情報を含む資料は原則として個人が特定されない集計値で受領し、音威子府村個人情報保護条例に基づき取り扱う。</t>
        </is>
      </c>
    </row>
    <row r="4" ht="26" customHeight="1">
      <c r="A4" s="14" t="inlineStr">
        <is>
          <t>区分</t>
        </is>
      </c>
      <c r="B4" s="14" t="inlineStr">
        <is>
          <t>資料名</t>
        </is>
      </c>
      <c r="C4" s="14" t="inlineStr">
        <is>
          <t>対象期間・粒度</t>
        </is>
      </c>
      <c r="D4" s="14" t="inlineStr">
        <is>
          <t>入手先</t>
        </is>
      </c>
      <c r="E4" s="14" t="inlineStr">
        <is>
          <t>個人情報の取扱い</t>
        </is>
      </c>
      <c r="F4" s="14" t="inlineStr">
        <is>
          <t>提出期限目安</t>
        </is>
      </c>
      <c r="G4" s="14" t="inlineStr">
        <is>
          <t>用途（WBS No.）</t>
        </is>
      </c>
      <c r="H4" s="14" t="inlineStr">
        <is>
          <t>受領状況</t>
        </is>
      </c>
    </row>
    <row r="5" ht="28" customHeight="1">
      <c r="A5" s="23" t="inlineStr">
        <is>
          <t>計画</t>
        </is>
      </c>
      <c r="B5" s="5" t="inlineStr">
        <is>
          <t>第9期高齢者福祉計画・介護保険事業計画（本編・資料編）</t>
        </is>
      </c>
      <c r="C5" s="23" t="inlineStr">
        <is>
          <t>現行計画一式</t>
        </is>
      </c>
      <c r="D5" s="5" t="inlineStr">
        <is>
          <t>村</t>
        </is>
      </c>
      <c r="E5" s="5" t="inlineStr">
        <is>
          <t>なし</t>
        </is>
      </c>
      <c r="F5" s="23" t="inlineStr">
        <is>
          <t>令和8年9月中旬</t>
        </is>
      </c>
      <c r="G5" s="23" t="inlineStr">
        <is>
          <t>2.4.1／5.2.1</t>
        </is>
      </c>
      <c r="H5" s="23" t="inlineStr">
        <is>
          <t>未依頼</t>
        </is>
      </c>
    </row>
    <row r="6" ht="28" customHeight="1">
      <c r="A6" s="26" t="inlineStr">
        <is>
          <t>計画</t>
        </is>
      </c>
      <c r="B6" s="9" t="inlineStr">
        <is>
          <t>第9期計画の進捗管理・評価資料（事業別実績、目標値と実績）</t>
        </is>
      </c>
      <c r="C6" s="26" t="inlineStr">
        <is>
          <t>令和6〜8年度</t>
        </is>
      </c>
      <c r="D6" s="9" t="inlineStr">
        <is>
          <t>村</t>
        </is>
      </c>
      <c r="E6" s="9" t="inlineStr">
        <is>
          <t>なし</t>
        </is>
      </c>
      <c r="F6" s="26" t="inlineStr">
        <is>
          <t>令和8年9月末</t>
        </is>
      </c>
      <c r="G6" s="26" t="inlineStr">
        <is>
          <t>2.4.1</t>
        </is>
      </c>
      <c r="H6" s="26" t="inlineStr">
        <is>
          <t>未依頼</t>
        </is>
      </c>
    </row>
    <row r="7" ht="28" customHeight="1">
      <c r="A7" s="23" t="inlineStr">
        <is>
          <t>計画</t>
        </is>
      </c>
      <c r="B7" s="5" t="inlineStr">
        <is>
          <t>村総合計画、地域福祉計画、健康増進計画等の関連計画</t>
        </is>
      </c>
      <c r="C7" s="23" t="inlineStr">
        <is>
          <t>現行計画一式</t>
        </is>
      </c>
      <c r="D7" s="5" t="inlineStr">
        <is>
          <t>村</t>
        </is>
      </c>
      <c r="E7" s="5" t="inlineStr">
        <is>
          <t>なし</t>
        </is>
      </c>
      <c r="F7" s="23" t="inlineStr">
        <is>
          <t>令和8年9月末</t>
        </is>
      </c>
      <c r="G7" s="23" t="inlineStr">
        <is>
          <t>1.3.3／5.1.3</t>
        </is>
      </c>
      <c r="H7" s="23" t="inlineStr">
        <is>
          <t>未依頼</t>
        </is>
      </c>
    </row>
    <row r="8" ht="28" customHeight="1">
      <c r="A8" s="26" t="inlineStr">
        <is>
          <t>人口</t>
        </is>
      </c>
      <c r="B8" s="9" t="inlineStr">
        <is>
          <t>住民基本台帳人口（男女・5歳階級別、各年10月1日現在）</t>
        </is>
      </c>
      <c r="C8" s="26" t="inlineStr">
        <is>
          <t>直近10年</t>
        </is>
      </c>
      <c r="D8" s="9" t="inlineStr">
        <is>
          <t>村</t>
        </is>
      </c>
      <c r="E8" s="9" t="inlineStr">
        <is>
          <t>なし（集計値）</t>
        </is>
      </c>
      <c r="F8" s="26" t="inlineStr">
        <is>
          <t>令和8年9月末</t>
        </is>
      </c>
      <c r="G8" s="26" t="inlineStr">
        <is>
          <t>2.1.1／3.1.1</t>
        </is>
      </c>
      <c r="H8" s="26" t="inlineStr">
        <is>
          <t>未依頼</t>
        </is>
      </c>
    </row>
    <row r="9" ht="28" customHeight="1">
      <c r="A9" s="23" t="inlineStr">
        <is>
          <t>人口</t>
        </is>
      </c>
      <c r="B9" s="5" t="inlineStr">
        <is>
          <t>人口動態（出生・死亡・転入・転出）</t>
        </is>
      </c>
      <c r="C9" s="23" t="inlineStr">
        <is>
          <t>直近10年</t>
        </is>
      </c>
      <c r="D9" s="5" t="inlineStr">
        <is>
          <t>村</t>
        </is>
      </c>
      <c r="E9" s="5" t="inlineStr">
        <is>
          <t>なし（集計値）</t>
        </is>
      </c>
      <c r="F9" s="23" t="inlineStr">
        <is>
          <t>令和8年9月末</t>
        </is>
      </c>
      <c r="G9" s="23" t="inlineStr">
        <is>
          <t>3.1.1</t>
        </is>
      </c>
      <c r="H9" s="23" t="inlineStr">
        <is>
          <t>未依頼</t>
        </is>
      </c>
    </row>
    <row r="10" ht="28" customHeight="1">
      <c r="A10" s="26" t="inlineStr">
        <is>
          <t>人口</t>
        </is>
      </c>
      <c r="B10" s="9" t="inlineStr">
        <is>
          <t>世帯数、高齢者単身世帯・高齢者のみ世帯の状況</t>
        </is>
      </c>
      <c r="C10" s="26" t="inlineStr">
        <is>
          <t>直近5年</t>
        </is>
      </c>
      <c r="D10" s="9" t="inlineStr">
        <is>
          <t>村</t>
        </is>
      </c>
      <c r="E10" s="9" t="inlineStr">
        <is>
          <t>なし（集計値）</t>
        </is>
      </c>
      <c r="F10" s="26" t="inlineStr">
        <is>
          <t>令和8年9月末</t>
        </is>
      </c>
      <c r="G10" s="26" t="inlineStr">
        <is>
          <t>2.1.1</t>
        </is>
      </c>
      <c r="H10" s="26" t="inlineStr">
        <is>
          <t>未依頼</t>
        </is>
      </c>
    </row>
    <row r="11" ht="28" customHeight="1">
      <c r="A11" s="23" t="inlineStr">
        <is>
          <t>人口</t>
        </is>
      </c>
      <c r="B11" s="5" t="inlineStr">
        <is>
          <t>国勢調査結果（人口・世帯・就業等）</t>
        </is>
      </c>
      <c r="C11" s="23" t="inlineStr">
        <is>
          <t>直近2回</t>
        </is>
      </c>
      <c r="D11" s="5" t="inlineStr">
        <is>
          <t>総務省（公表）</t>
        </is>
      </c>
      <c r="E11" s="5" t="inlineStr">
        <is>
          <t>なし</t>
        </is>
      </c>
      <c r="F11" s="23" t="inlineStr">
        <is>
          <t>－</t>
        </is>
      </c>
      <c r="G11" s="23" t="inlineStr">
        <is>
          <t>2.1.1</t>
        </is>
      </c>
      <c r="H11" s="23" t="inlineStr">
        <is>
          <t>未依頼</t>
        </is>
      </c>
    </row>
    <row r="12" ht="28" customHeight="1">
      <c r="A12" s="26" t="inlineStr">
        <is>
          <t>人口</t>
        </is>
      </c>
      <c r="B12" s="9" t="inlineStr">
        <is>
          <t>日本の地域別将来推計人口</t>
        </is>
      </c>
      <c r="C12" s="26" t="inlineStr">
        <is>
          <t>最新版</t>
        </is>
      </c>
      <c r="D12" s="9" t="inlineStr">
        <is>
          <t>社人研（公表）</t>
        </is>
      </c>
      <c r="E12" s="9" t="inlineStr">
        <is>
          <t>なし</t>
        </is>
      </c>
      <c r="F12" s="26" t="inlineStr">
        <is>
          <t>－</t>
        </is>
      </c>
      <c r="G12" s="26" t="inlineStr">
        <is>
          <t>3.1.1／3.1.3</t>
        </is>
      </c>
      <c r="H12" s="26" t="inlineStr">
        <is>
          <t>未依頼</t>
        </is>
      </c>
    </row>
    <row r="13" ht="28" customHeight="1">
      <c r="A13" s="23" t="inlineStr">
        <is>
          <t>介護</t>
        </is>
      </c>
      <c r="B13" s="5" t="inlineStr">
        <is>
          <t>要介護認定者数（要支援1〜要介護5、性・年齢階級別、年度末現在）</t>
        </is>
      </c>
      <c r="C13" s="23" t="inlineStr">
        <is>
          <t>直近5年</t>
        </is>
      </c>
      <c r="D13" s="5" t="inlineStr">
        <is>
          <t>村</t>
        </is>
      </c>
      <c r="E13" s="5" t="inlineStr">
        <is>
          <t>なし（集計値）</t>
        </is>
      </c>
      <c r="F13" s="23" t="inlineStr">
        <is>
          <t>令和8年9月末</t>
        </is>
      </c>
      <c r="G13" s="23" t="inlineStr">
        <is>
          <t>2.3.1／3.2.1</t>
        </is>
      </c>
      <c r="H13" s="23" t="inlineStr">
        <is>
          <t>未依頼</t>
        </is>
      </c>
    </row>
    <row r="14" ht="28" customHeight="1">
      <c r="A14" s="26" t="inlineStr">
        <is>
          <t>介護</t>
        </is>
      </c>
      <c r="B14" s="9" t="inlineStr">
        <is>
          <t>介護給付費実績（サービス種類別・月次／年次、受給者数・回数・給付費）</t>
        </is>
      </c>
      <c r="C14" s="26" t="inlineStr">
        <is>
          <t>直近5年</t>
        </is>
      </c>
      <c r="D14" s="9" t="inlineStr">
        <is>
          <t>村（国保連データ）</t>
        </is>
      </c>
      <c r="E14" s="9" t="inlineStr">
        <is>
          <t>なし（集計値）</t>
        </is>
      </c>
      <c r="F14" s="26" t="inlineStr">
        <is>
          <t>令和8年9月末</t>
        </is>
      </c>
      <c r="G14" s="26" t="inlineStr">
        <is>
          <t>2.3.2／4.1.1</t>
        </is>
      </c>
      <c r="H14" s="26" t="inlineStr">
        <is>
          <t>未依頼</t>
        </is>
      </c>
    </row>
    <row r="15" ht="28" customHeight="1">
      <c r="A15" s="23" t="inlineStr">
        <is>
          <t>介護</t>
        </is>
      </c>
      <c r="B15" s="5" t="inlineStr">
        <is>
          <t>介護保険事業状況報告（月報・年報）</t>
        </is>
      </c>
      <c r="C15" s="23" t="inlineStr">
        <is>
          <t>直近5年</t>
        </is>
      </c>
      <c r="D15" s="5" t="inlineStr">
        <is>
          <t>村／厚労省（公表）</t>
        </is>
      </c>
      <c r="E15" s="5" t="inlineStr">
        <is>
          <t>なし</t>
        </is>
      </c>
      <c r="F15" s="23" t="inlineStr">
        <is>
          <t>令和8年9月末</t>
        </is>
      </c>
      <c r="G15" s="23" t="inlineStr">
        <is>
          <t>2.3.2</t>
        </is>
      </c>
      <c r="H15" s="23" t="inlineStr">
        <is>
          <t>未依頼</t>
        </is>
      </c>
    </row>
    <row r="16" ht="28" customHeight="1">
      <c r="A16" s="26" t="inlineStr">
        <is>
          <t>介護</t>
        </is>
      </c>
      <c r="B16" s="9" t="inlineStr">
        <is>
          <t>介護保険特別会計 決算・予算（歳入歳出）</t>
        </is>
      </c>
      <c r="C16" s="26" t="inlineStr">
        <is>
          <t>直近5年</t>
        </is>
      </c>
      <c r="D16" s="9" t="inlineStr">
        <is>
          <t>村</t>
        </is>
      </c>
      <c r="E16" s="9" t="inlineStr">
        <is>
          <t>なし</t>
        </is>
      </c>
      <c r="F16" s="26" t="inlineStr">
        <is>
          <t>令和8年10月上旬</t>
        </is>
      </c>
      <c r="G16" s="26" t="inlineStr">
        <is>
          <t>2.3.4／4.3.1</t>
        </is>
      </c>
      <c r="H16" s="26" t="inlineStr">
        <is>
          <t>未依頼</t>
        </is>
      </c>
    </row>
    <row r="17" ht="28" customHeight="1">
      <c r="A17" s="23" t="inlineStr">
        <is>
          <t>介護</t>
        </is>
      </c>
      <c r="B17" s="5" t="inlineStr">
        <is>
          <t>介護給付費準備基金の残高推移・積立取崩実績</t>
        </is>
      </c>
      <c r="C17" s="23" t="inlineStr">
        <is>
          <t>直近5年</t>
        </is>
      </c>
      <c r="D17" s="5" t="inlineStr">
        <is>
          <t>村</t>
        </is>
      </c>
      <c r="E17" s="5" t="inlineStr">
        <is>
          <t>なし</t>
        </is>
      </c>
      <c r="F17" s="23" t="inlineStr">
        <is>
          <t>令和8年10月上旬</t>
        </is>
      </c>
      <c r="G17" s="23" t="inlineStr">
        <is>
          <t>2.3.4／4.3.2</t>
        </is>
      </c>
      <c r="H17" s="23" t="inlineStr">
        <is>
          <t>未依頼</t>
        </is>
      </c>
    </row>
    <row r="18" ht="28" customHeight="1">
      <c r="A18" s="26" t="inlineStr">
        <is>
          <t>介護</t>
        </is>
      </c>
      <c r="B18" s="9" t="inlineStr">
        <is>
          <t>第9期保険料の所得段階別被保険者数・保険料額・収納率</t>
        </is>
      </c>
      <c r="C18" s="26" t="inlineStr">
        <is>
          <t>令和6〜8年度</t>
        </is>
      </c>
      <c r="D18" s="9" t="inlineStr">
        <is>
          <t>村</t>
        </is>
      </c>
      <c r="E18" s="9" t="inlineStr">
        <is>
          <t>なし（集計値）</t>
        </is>
      </c>
      <c r="F18" s="26" t="inlineStr">
        <is>
          <t>令和8年10月上旬</t>
        </is>
      </c>
      <c r="G18" s="26" t="inlineStr">
        <is>
          <t>2.3.4／4.3.1</t>
        </is>
      </c>
      <c r="H18" s="26" t="inlineStr">
        <is>
          <t>未依頼</t>
        </is>
      </c>
    </row>
    <row r="19" ht="28" customHeight="1">
      <c r="A19" s="23" t="inlineStr">
        <is>
          <t>介護</t>
        </is>
      </c>
      <c r="B19" s="5" t="inlineStr">
        <is>
          <t>介護保険事業所・施設一覧（村内・近隣市町村、定員・稼働状況）</t>
        </is>
      </c>
      <c r="C19" s="23" t="inlineStr">
        <is>
          <t>現況</t>
        </is>
      </c>
      <c r="D19" s="5" t="inlineStr">
        <is>
          <t>村／北海道</t>
        </is>
      </c>
      <c r="E19" s="5" t="inlineStr">
        <is>
          <t>なし</t>
        </is>
      </c>
      <c r="F19" s="23" t="inlineStr">
        <is>
          <t>令和8年10月上旬</t>
        </is>
      </c>
      <c r="G19" s="23" t="inlineStr">
        <is>
          <t>2.1.2／4.1.2</t>
        </is>
      </c>
      <c r="H19" s="23" t="inlineStr">
        <is>
          <t>未依頼</t>
        </is>
      </c>
    </row>
    <row r="20" ht="28" customHeight="1">
      <c r="A20" s="26" t="inlineStr">
        <is>
          <t>福祉</t>
        </is>
      </c>
      <c r="B20" s="9" t="inlineStr">
        <is>
          <t>高齢者福祉サービス（村単独事業）の利用実績・事業費</t>
        </is>
      </c>
      <c r="C20" s="26" t="inlineStr">
        <is>
          <t>直近5年</t>
        </is>
      </c>
      <c r="D20" s="9" t="inlineStr">
        <is>
          <t>村</t>
        </is>
      </c>
      <c r="E20" s="9" t="inlineStr">
        <is>
          <t>なし（集計値）</t>
        </is>
      </c>
      <c r="F20" s="26" t="inlineStr">
        <is>
          <t>令和8年9月末</t>
        </is>
      </c>
      <c r="G20" s="26" t="inlineStr">
        <is>
          <t>2.2.1</t>
        </is>
      </c>
      <c r="H20" s="26" t="inlineStr">
        <is>
          <t>未依頼</t>
        </is>
      </c>
    </row>
    <row r="21" ht="28" customHeight="1">
      <c r="A21" s="23" t="inlineStr">
        <is>
          <t>福祉</t>
        </is>
      </c>
      <c r="B21" s="5" t="inlineStr">
        <is>
          <t>介護予防・日常生活支援総合事業の実施状況・事業費</t>
        </is>
      </c>
      <c r="C21" s="23" t="inlineStr">
        <is>
          <t>直近5年</t>
        </is>
      </c>
      <c r="D21" s="5" t="inlineStr">
        <is>
          <t>村</t>
        </is>
      </c>
      <c r="E21" s="5" t="inlineStr">
        <is>
          <t>なし（集計値）</t>
        </is>
      </c>
      <c r="F21" s="23" t="inlineStr">
        <is>
          <t>令和8年9月末</t>
        </is>
      </c>
      <c r="G21" s="23" t="inlineStr">
        <is>
          <t>2.2.2</t>
        </is>
      </c>
      <c r="H21" s="23" t="inlineStr">
        <is>
          <t>未依頼</t>
        </is>
      </c>
    </row>
    <row r="22" ht="28" customHeight="1">
      <c r="A22" s="26" t="inlineStr">
        <is>
          <t>福祉</t>
        </is>
      </c>
      <c r="B22" s="9" t="inlineStr">
        <is>
          <t>包括的支援事業・任意事業の実施状況（地域包括支援センター運営状況）</t>
        </is>
      </c>
      <c r="C22" s="26" t="inlineStr">
        <is>
          <t>直近5年</t>
        </is>
      </c>
      <c r="D22" s="9" t="inlineStr">
        <is>
          <t>村</t>
        </is>
      </c>
      <c r="E22" s="9" t="inlineStr">
        <is>
          <t>なし（集計値）</t>
        </is>
      </c>
      <c r="F22" s="26" t="inlineStr">
        <is>
          <t>令和8年9月末</t>
        </is>
      </c>
      <c r="G22" s="26" t="inlineStr">
        <is>
          <t>2.2.3</t>
        </is>
      </c>
      <c r="H22" s="26" t="inlineStr">
        <is>
          <t>未依頼</t>
        </is>
      </c>
    </row>
    <row r="23" ht="28" customHeight="1">
      <c r="A23" s="23" t="inlineStr">
        <is>
          <t>福祉</t>
        </is>
      </c>
      <c r="B23" s="5" t="inlineStr">
        <is>
          <t>在宅医療・介護連携、認知症施策、生活支援体制整備の取組状況</t>
        </is>
      </c>
      <c r="C23" s="23" t="inlineStr">
        <is>
          <t>現況</t>
        </is>
      </c>
      <c r="D23" s="5" t="inlineStr">
        <is>
          <t>村</t>
        </is>
      </c>
      <c r="E23" s="5" t="inlineStr">
        <is>
          <t>なし</t>
        </is>
      </c>
      <c r="F23" s="23" t="inlineStr">
        <is>
          <t>令和8年10月上旬</t>
        </is>
      </c>
      <c r="G23" s="23" t="inlineStr">
        <is>
          <t>2.2.3／5.3.5</t>
        </is>
      </c>
      <c r="H23" s="23" t="inlineStr">
        <is>
          <t>未依頼</t>
        </is>
      </c>
    </row>
    <row r="24" ht="28" customHeight="1">
      <c r="A24" s="26" t="inlineStr">
        <is>
          <t>調査</t>
        </is>
      </c>
      <c r="B24" s="9" t="inlineStr">
        <is>
          <t>介護予防・日常生活圏域ニーズ調査 集計データ（令和8年度実施分）</t>
        </is>
      </c>
      <c r="C24" s="26" t="inlineStr">
        <is>
          <t>令和8年度</t>
        </is>
      </c>
      <c r="D24" s="9" t="inlineStr">
        <is>
          <t>村</t>
        </is>
      </c>
      <c r="E24" s="9" t="inlineStr">
        <is>
          <t>個人が特定されない集計値で受領</t>
        </is>
      </c>
      <c r="F24" s="26" t="inlineStr">
        <is>
          <t>令和8年10月中旬</t>
        </is>
      </c>
      <c r="G24" s="26" t="inlineStr">
        <is>
          <t>2.4.2／4.1.3</t>
        </is>
      </c>
      <c r="H24" s="26" t="inlineStr">
        <is>
          <t>未依頼</t>
        </is>
      </c>
    </row>
    <row r="25" ht="28" customHeight="1">
      <c r="A25" s="23" t="inlineStr">
        <is>
          <t>調査</t>
        </is>
      </c>
      <c r="B25" s="5" t="inlineStr">
        <is>
          <t>同 調査票・実施概要（対象者数・回収数・回収率）</t>
        </is>
      </c>
      <c r="C25" s="23" t="inlineStr">
        <is>
          <t>令和8年度</t>
        </is>
      </c>
      <c r="D25" s="5" t="inlineStr">
        <is>
          <t>村</t>
        </is>
      </c>
      <c r="E25" s="5" t="inlineStr">
        <is>
          <t>なし</t>
        </is>
      </c>
      <c r="F25" s="23" t="inlineStr">
        <is>
          <t>令和8年10月中旬</t>
        </is>
      </c>
      <c r="G25" s="23" t="inlineStr">
        <is>
          <t>2.4.2</t>
        </is>
      </c>
      <c r="H25" s="23" t="inlineStr">
        <is>
          <t>未依頼</t>
        </is>
      </c>
    </row>
    <row r="26" ht="28" customHeight="1">
      <c r="A26" s="26" t="inlineStr">
        <is>
          <t>体制</t>
        </is>
      </c>
      <c r="B26" s="9" t="inlineStr">
        <is>
          <t>村の組織図・策定体制、庁内会議・協議会等の設置状況</t>
        </is>
      </c>
      <c r="C26" s="26" t="inlineStr">
        <is>
          <t>現況</t>
        </is>
      </c>
      <c r="D26" s="9" t="inlineStr">
        <is>
          <t>村</t>
        </is>
      </c>
      <c r="E26" s="9" t="inlineStr">
        <is>
          <t>なし</t>
        </is>
      </c>
      <c r="F26" s="26" t="inlineStr">
        <is>
          <t>令和8年9月中旬</t>
        </is>
      </c>
      <c r="G26" s="26" t="inlineStr">
        <is>
          <t>5.3.1／5.3.7</t>
        </is>
      </c>
      <c r="H26" s="26" t="inlineStr">
        <is>
          <t>未依頼</t>
        </is>
      </c>
    </row>
    <row r="27" ht="28" customHeight="1">
      <c r="A27" s="23" t="inlineStr">
        <is>
          <t>体制</t>
        </is>
      </c>
      <c r="B27" s="5" t="inlineStr">
        <is>
          <t>計画策定・議決に関する想定スケジュール（議会日程、パブコメ日程）</t>
        </is>
      </c>
      <c r="C27" s="23" t="inlineStr">
        <is>
          <t>令和8〜9年度</t>
        </is>
      </c>
      <c r="D27" s="5" t="inlineStr">
        <is>
          <t>村</t>
        </is>
      </c>
      <c r="E27" s="5" t="inlineStr">
        <is>
          <t>なし</t>
        </is>
      </c>
      <c r="F27" s="23" t="inlineStr">
        <is>
          <t>令和8年9月中旬</t>
        </is>
      </c>
      <c r="G27" s="23" t="inlineStr">
        <is>
          <t>1.1.2／5.4.2</t>
        </is>
      </c>
      <c r="H27" s="23" t="inlineStr">
        <is>
          <t>未依頼</t>
        </is>
      </c>
    </row>
    <row r="28" ht="28" customHeight="1">
      <c r="A28" s="26" t="inlineStr">
        <is>
          <t>国</t>
        </is>
      </c>
      <c r="B28" s="9" t="inlineStr">
        <is>
          <t>国の基本指針・関係通知・Q&amp;A（第10期関係）</t>
        </is>
      </c>
      <c r="C28" s="26" t="inlineStr">
        <is>
          <t>随時</t>
        </is>
      </c>
      <c r="D28" s="9" t="inlineStr">
        <is>
          <t>厚生労働省（公表）</t>
        </is>
      </c>
      <c r="E28" s="9" t="inlineStr">
        <is>
          <t>なし</t>
        </is>
      </c>
      <c r="F28" s="26" t="inlineStr">
        <is>
          <t>－</t>
        </is>
      </c>
      <c r="G28" s="26" t="inlineStr">
        <is>
          <t>1.2.4／5.2.2</t>
        </is>
      </c>
      <c r="H28" s="26" t="inlineStr">
        <is>
          <t>未依頼</t>
        </is>
      </c>
    </row>
    <row r="29" ht="28" customHeight="1">
      <c r="A29" s="23" t="inlineStr">
        <is>
          <t>国</t>
        </is>
      </c>
      <c r="B29" s="5" t="inlineStr">
        <is>
          <t>地域包括ケア「見える化」システム データ・推計ツール</t>
        </is>
      </c>
      <c r="C29" s="23" t="inlineStr">
        <is>
          <t>最新版</t>
        </is>
      </c>
      <c r="D29" s="5" t="inlineStr">
        <is>
          <t>厚生労働省</t>
        </is>
      </c>
      <c r="E29" s="5" t="inlineStr">
        <is>
          <t>なし</t>
        </is>
      </c>
      <c r="F29" s="23" t="inlineStr">
        <is>
          <t>－</t>
        </is>
      </c>
      <c r="G29" s="23" t="inlineStr">
        <is>
          <t>2.1.3／4.1.1</t>
        </is>
      </c>
      <c r="H29" s="23" t="inlineStr">
        <is>
          <t>未依頼</t>
        </is>
      </c>
    </row>
  </sheetData>
  <autoFilter ref="A4:H29"/>
  <mergeCells count="2">
    <mergeCell ref="A2:G2"/>
    <mergeCell ref="A1:G1"/>
  </mergeCells>
  <dataValidations count="1">
    <dataValidation sqref="H5:H29" showDropDown="0" showInputMessage="0" showErrorMessage="0" allowBlank="1" type="list">
      <formula1>"未依頼,依頼済,受領済,一部受領,対象外"</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10" customWidth="1" min="1" max="1"/>
    <col width="42" customWidth="1" min="2" max="2"/>
    <col width="12" customWidth="1" min="3" max="3"/>
    <col width="14" customWidth="1" min="4" max="4"/>
    <col width="16" customWidth="1" min="5" max="5"/>
    <col width="20" customWidth="1" min="6" max="6"/>
    <col width="44" customWidth="1" min="7" max="7"/>
  </cols>
  <sheetData>
    <row r="1" ht="30" customHeight="1">
      <c r="A1" s="1" t="inlineStr">
        <is>
          <t>役割分担表（RACI）</t>
        </is>
      </c>
    </row>
    <row r="2">
      <c r="A2" s="13" t="inlineStr">
        <is>
          <t>仕様書「7 留意事項」に基づき、村担当課と緊密な連携を図りながら業務を遂行する。決定を要する事項（施策方針・保険料水準・基金取崩し等）は村が決定し、受託者は根拠と選択肢を提示する。</t>
        </is>
      </c>
    </row>
    <row r="4" ht="30" customHeight="1">
      <c r="A4" s="14" t="inlineStr">
        <is>
          <t>WBS No.</t>
        </is>
      </c>
      <c r="B4" s="14" t="inlineStr">
        <is>
          <t>作業</t>
        </is>
      </c>
      <c r="C4" s="14" t="inlineStr">
        <is>
          <t>受託者</t>
        </is>
      </c>
      <c r="D4" s="14" t="inlineStr">
        <is>
          <t>村担当課</t>
        </is>
      </c>
      <c r="E4" s="14" t="inlineStr">
        <is>
          <t>村庁内関係課</t>
        </is>
      </c>
      <c r="F4" s="14" t="inlineStr">
        <is>
          <t>国・北海道／関係機関</t>
        </is>
      </c>
      <c r="G4" s="14" t="inlineStr">
        <is>
          <t>備考</t>
        </is>
      </c>
    </row>
    <row r="5" ht="24" customHeight="1">
      <c r="A5" s="23" t="inlineStr">
        <is>
          <t>1.1.2</t>
        </is>
      </c>
      <c r="B5" s="5" t="inlineStr">
        <is>
          <t>業務実施計画書・工程表の作成</t>
        </is>
      </c>
      <c r="C5" s="106" t="inlineStr">
        <is>
          <t>R</t>
        </is>
      </c>
      <c r="D5" s="83" t="inlineStr">
        <is>
          <t>A</t>
        </is>
      </c>
      <c r="E5" s="107" t="inlineStr">
        <is>
          <t>I</t>
        </is>
      </c>
      <c r="F5" s="23" t="inlineStr">
        <is>
          <t>－</t>
        </is>
      </c>
      <c r="G5" s="5" t="inlineStr">
        <is>
          <t>村の承認をもって確定</t>
        </is>
      </c>
    </row>
    <row r="6" ht="24" customHeight="1">
      <c r="A6" s="26" t="inlineStr">
        <is>
          <t>1.1.3</t>
        </is>
      </c>
      <c r="B6" s="9" t="inlineStr">
        <is>
          <t>第1回打合せ（キックオフ）</t>
        </is>
      </c>
      <c r="C6" s="106" t="inlineStr">
        <is>
          <t>R</t>
        </is>
      </c>
      <c r="D6" s="83" t="inlineStr">
        <is>
          <t>A</t>
        </is>
      </c>
      <c r="E6" s="78" t="inlineStr">
        <is>
          <t>C</t>
        </is>
      </c>
      <c r="F6" s="26" t="inlineStr">
        <is>
          <t>－</t>
        </is>
      </c>
      <c r="G6" s="9" t="inlineStr">
        <is>
          <t>計画策定担当者本人が出席</t>
        </is>
      </c>
    </row>
    <row r="7" ht="24" customHeight="1">
      <c r="A7" s="23" t="inlineStr">
        <is>
          <t>1.1.4</t>
        </is>
      </c>
      <c r="B7" s="5" t="inlineStr">
        <is>
          <t>個人情報の取扱手続</t>
        </is>
      </c>
      <c r="C7" s="106" t="inlineStr">
        <is>
          <t>R</t>
        </is>
      </c>
      <c r="D7" s="83" t="inlineStr">
        <is>
          <t>A</t>
        </is>
      </c>
      <c r="E7" s="107" t="inlineStr">
        <is>
          <t>I</t>
        </is>
      </c>
      <c r="F7" s="23" t="inlineStr">
        <is>
          <t>－</t>
        </is>
      </c>
      <c r="G7" s="5" t="inlineStr">
        <is>
          <t>音威子府村個人情報保護条例に基づく</t>
        </is>
      </c>
    </row>
    <row r="8" ht="24" customHeight="1">
      <c r="A8" s="26" t="inlineStr">
        <is>
          <t>1.3.1</t>
        </is>
      </c>
      <c r="B8" s="9" t="inlineStr">
        <is>
          <t>貸与資料の提供</t>
        </is>
      </c>
      <c r="C8" s="78" t="inlineStr">
        <is>
          <t>C</t>
        </is>
      </c>
      <c r="D8" s="106" t="inlineStr">
        <is>
          <t>R/A</t>
        </is>
      </c>
      <c r="E8" s="78" t="inlineStr">
        <is>
          <t>C</t>
        </is>
      </c>
      <c r="F8" s="26" t="inlineStr">
        <is>
          <t>－</t>
        </is>
      </c>
      <c r="G8" s="9" t="inlineStr">
        <is>
          <t>資料抽出は村、リスト作成は受託者</t>
        </is>
      </c>
    </row>
    <row r="9" ht="24" customHeight="1">
      <c r="A9" s="23" t="inlineStr">
        <is>
          <t>1.3.2</t>
        </is>
      </c>
      <c r="B9" s="5" t="inlineStr">
        <is>
          <t>公表統計・システムデータの収集</t>
        </is>
      </c>
      <c r="C9" s="106" t="inlineStr">
        <is>
          <t>R/A</t>
        </is>
      </c>
      <c r="D9" s="107" t="inlineStr">
        <is>
          <t>I</t>
        </is>
      </c>
      <c r="E9" s="23" t="inlineStr">
        <is>
          <t>－</t>
        </is>
      </c>
      <c r="F9" s="78" t="inlineStr">
        <is>
          <t>C</t>
        </is>
      </c>
      <c r="G9" s="5" t="inlineStr">
        <is>
          <t>見える化システム等</t>
        </is>
      </c>
    </row>
    <row r="10" ht="24" customHeight="1">
      <c r="A10" s="26" t="inlineStr">
        <is>
          <t>2.1</t>
        </is>
      </c>
      <c r="B10" s="9" t="inlineStr">
        <is>
          <t>現状把握・分析</t>
        </is>
      </c>
      <c r="C10" s="106" t="inlineStr">
        <is>
          <t>R/A</t>
        </is>
      </c>
      <c r="D10" s="78" t="inlineStr">
        <is>
          <t>C</t>
        </is>
      </c>
      <c r="E10" s="107" t="inlineStr">
        <is>
          <t>I</t>
        </is>
      </c>
      <c r="F10" s="26" t="inlineStr">
        <is>
          <t>－</t>
        </is>
      </c>
      <c r="G10" s="9" t="inlineStr">
        <is>
          <t>村は地域事情の情報提供</t>
        </is>
      </c>
    </row>
    <row r="11" ht="24" customHeight="1">
      <c r="A11" s="23" t="inlineStr">
        <is>
          <t>2.2</t>
        </is>
      </c>
      <c r="B11" s="5" t="inlineStr">
        <is>
          <t>高齢者福祉サービス実績の分析</t>
        </is>
      </c>
      <c r="C11" s="106" t="inlineStr">
        <is>
          <t>R</t>
        </is>
      </c>
      <c r="D11" s="83" t="inlineStr">
        <is>
          <t>A</t>
        </is>
      </c>
      <c r="E11" s="78" t="inlineStr">
        <is>
          <t>C</t>
        </is>
      </c>
      <c r="F11" s="23" t="inlineStr">
        <is>
          <t>－</t>
        </is>
      </c>
      <c r="G11" s="5" t="inlineStr">
        <is>
          <t>事業実績の確定は村</t>
        </is>
      </c>
    </row>
    <row r="12" ht="24" customHeight="1">
      <c r="A12" s="26" t="inlineStr">
        <is>
          <t>2.3</t>
        </is>
      </c>
      <c r="B12" s="9" t="inlineStr">
        <is>
          <t>介護保険サービス実績の分析</t>
        </is>
      </c>
      <c r="C12" s="106" t="inlineStr">
        <is>
          <t>R</t>
        </is>
      </c>
      <c r="D12" s="83" t="inlineStr">
        <is>
          <t>A</t>
        </is>
      </c>
      <c r="E12" s="78" t="inlineStr">
        <is>
          <t>C</t>
        </is>
      </c>
      <c r="F12" s="26" t="inlineStr">
        <is>
          <t>－</t>
        </is>
      </c>
      <c r="G12" s="9" t="inlineStr">
        <is>
          <t>給付データの提供は村</t>
        </is>
      </c>
    </row>
    <row r="13" ht="24" customHeight="1">
      <c r="A13" s="23" t="inlineStr">
        <is>
          <t>2.4.1</t>
        </is>
      </c>
      <c r="B13" s="5" t="inlineStr">
        <is>
          <t>第9期計画の進捗評価</t>
        </is>
      </c>
      <c r="C13" s="106" t="inlineStr">
        <is>
          <t>R</t>
        </is>
      </c>
      <c r="D13" s="83" t="inlineStr">
        <is>
          <t>A</t>
        </is>
      </c>
      <c r="E13" s="78" t="inlineStr">
        <is>
          <t>C</t>
        </is>
      </c>
      <c r="F13" s="23" t="inlineStr">
        <is>
          <t>－</t>
        </is>
      </c>
      <c r="G13" s="5" t="inlineStr">
        <is>
          <t>各事業の自己評価は村が実施</t>
        </is>
      </c>
    </row>
    <row r="14" ht="24" customHeight="1">
      <c r="A14" s="26" t="inlineStr">
        <is>
          <t>2.4.2</t>
        </is>
      </c>
      <c r="B14" s="9" t="inlineStr">
        <is>
          <t>ニーズ調査結果の分析</t>
        </is>
      </c>
      <c r="C14" s="106" t="inlineStr">
        <is>
          <t>R</t>
        </is>
      </c>
      <c r="D14" s="83" t="inlineStr">
        <is>
          <t>A</t>
        </is>
      </c>
      <c r="E14" s="107" t="inlineStr">
        <is>
          <t>I</t>
        </is>
      </c>
      <c r="F14" s="26" t="inlineStr">
        <is>
          <t>－</t>
        </is>
      </c>
      <c r="G14" s="9" t="inlineStr">
        <is>
          <t>調査の実施・集計は村（業務範囲外）</t>
        </is>
      </c>
    </row>
    <row r="15" ht="24" customHeight="1">
      <c r="A15" s="23" t="inlineStr">
        <is>
          <t>3.1</t>
        </is>
      </c>
      <c r="B15" s="5" t="inlineStr">
        <is>
          <t>人口推計</t>
        </is>
      </c>
      <c r="C15" s="106" t="inlineStr">
        <is>
          <t>R/A</t>
        </is>
      </c>
      <c r="D15" s="78" t="inlineStr">
        <is>
          <t>C</t>
        </is>
      </c>
      <c r="E15" s="107" t="inlineStr">
        <is>
          <t>I</t>
        </is>
      </c>
      <c r="F15" s="78" t="inlineStr">
        <is>
          <t>C</t>
        </is>
      </c>
      <c r="G15" s="5" t="inlineStr">
        <is>
          <t>社人研仮定値を参照</t>
        </is>
      </c>
    </row>
    <row r="16" ht="24" customHeight="1">
      <c r="A16" s="26" t="inlineStr">
        <is>
          <t>3.2</t>
        </is>
      </c>
      <c r="B16" s="9" t="inlineStr">
        <is>
          <t>要支援要介護認定者数の推計</t>
        </is>
      </c>
      <c r="C16" s="106" t="inlineStr">
        <is>
          <t>R</t>
        </is>
      </c>
      <c r="D16" s="83" t="inlineStr">
        <is>
          <t>A</t>
        </is>
      </c>
      <c r="E16" s="107" t="inlineStr">
        <is>
          <t>I</t>
        </is>
      </c>
      <c r="F16" s="78" t="inlineStr">
        <is>
          <t>C</t>
        </is>
      </c>
      <c r="G16" s="9" t="inlineStr">
        <is>
          <t>国の基本指針に従う</t>
        </is>
      </c>
    </row>
    <row r="17" ht="24" customHeight="1">
      <c r="A17" s="23" t="inlineStr">
        <is>
          <t>4.1</t>
        </is>
      </c>
      <c r="B17" s="5" t="inlineStr">
        <is>
          <t>介護サービス見込量の推計</t>
        </is>
      </c>
      <c r="C17" s="106" t="inlineStr">
        <is>
          <t>R</t>
        </is>
      </c>
      <c r="D17" s="83" t="inlineStr">
        <is>
          <t>A</t>
        </is>
      </c>
      <c r="E17" s="78" t="inlineStr">
        <is>
          <t>C</t>
        </is>
      </c>
      <c r="F17" s="78" t="inlineStr">
        <is>
          <t>C</t>
        </is>
      </c>
      <c r="G17" s="5" t="inlineStr">
        <is>
          <t>施策方針の決定は村</t>
        </is>
      </c>
    </row>
    <row r="18" ht="24" customHeight="1">
      <c r="A18" s="26" t="inlineStr">
        <is>
          <t>4.2</t>
        </is>
      </c>
      <c r="B18" s="9" t="inlineStr">
        <is>
          <t>給付費・地域支援事業費の見込</t>
        </is>
      </c>
      <c r="C18" s="106" t="inlineStr">
        <is>
          <t>R</t>
        </is>
      </c>
      <c r="D18" s="83" t="inlineStr">
        <is>
          <t>A</t>
        </is>
      </c>
      <c r="E18" s="78" t="inlineStr">
        <is>
          <t>C</t>
        </is>
      </c>
      <c r="F18" s="107" t="inlineStr">
        <is>
          <t>I</t>
        </is>
      </c>
      <c r="G18" s="9" t="inlineStr">
        <is>
          <t>国の改定情報を反映</t>
        </is>
      </c>
    </row>
    <row r="19" ht="24" customHeight="1">
      <c r="A19" s="23" t="inlineStr">
        <is>
          <t>4.3.2</t>
        </is>
      </c>
      <c r="B19" s="5" t="inlineStr">
        <is>
          <t>財政シミュレーション（基金取崩し）</t>
        </is>
      </c>
      <c r="C19" s="106" t="inlineStr">
        <is>
          <t>R</t>
        </is>
      </c>
      <c r="D19" s="83" t="inlineStr">
        <is>
          <t>A</t>
        </is>
      </c>
      <c r="E19" s="78" t="inlineStr">
        <is>
          <t>C</t>
        </is>
      </c>
      <c r="F19" s="107" t="inlineStr">
        <is>
          <t>I</t>
        </is>
      </c>
      <c r="G19" s="5" t="inlineStr">
        <is>
          <t>取崩し方針の決定は村</t>
        </is>
      </c>
    </row>
    <row r="20" ht="24" customHeight="1">
      <c r="A20" s="26" t="inlineStr">
        <is>
          <t>4.3.3</t>
        </is>
      </c>
      <c r="B20" s="9" t="inlineStr">
        <is>
          <t>第10期介護保険料の算定</t>
        </is>
      </c>
      <c r="C20" s="106" t="inlineStr">
        <is>
          <t>R</t>
        </is>
      </c>
      <c r="D20" s="83" t="inlineStr">
        <is>
          <t>A</t>
        </is>
      </c>
      <c r="E20" s="78" t="inlineStr">
        <is>
          <t>C</t>
        </is>
      </c>
      <c r="F20" s="107" t="inlineStr">
        <is>
          <t>I</t>
        </is>
      </c>
      <c r="G20" s="9" t="inlineStr">
        <is>
          <t>保険料水準の決定は村</t>
        </is>
      </c>
    </row>
    <row r="21" ht="24" customHeight="1">
      <c r="A21" s="23" t="inlineStr">
        <is>
          <t>4.4.1</t>
        </is>
      </c>
      <c r="B21" s="5" t="inlineStr">
        <is>
          <t>国の確定情報に基づく再算定</t>
        </is>
      </c>
      <c r="C21" s="106" t="inlineStr">
        <is>
          <t>R</t>
        </is>
      </c>
      <c r="D21" s="83" t="inlineStr">
        <is>
          <t>A</t>
        </is>
      </c>
      <c r="E21" s="107" t="inlineStr">
        <is>
          <t>I</t>
        </is>
      </c>
      <c r="F21" s="78" t="inlineStr">
        <is>
          <t>C</t>
        </is>
      </c>
      <c r="G21" s="5" t="inlineStr">
        <is>
          <t>仕様変更が必要な場合は協議（仕様書5）</t>
        </is>
      </c>
    </row>
    <row r="22" ht="24" customHeight="1">
      <c r="A22" s="26" t="inlineStr">
        <is>
          <t>5.1</t>
        </is>
      </c>
      <c r="B22" s="9" t="inlineStr">
        <is>
          <t>課題整理・施策の方向の提案</t>
        </is>
      </c>
      <c r="C22" s="106" t="inlineStr">
        <is>
          <t>R</t>
        </is>
      </c>
      <c r="D22" s="83" t="inlineStr">
        <is>
          <t>A</t>
        </is>
      </c>
      <c r="E22" s="78" t="inlineStr">
        <is>
          <t>C</t>
        </is>
      </c>
      <c r="F22" s="26" t="inlineStr">
        <is>
          <t>－</t>
        </is>
      </c>
      <c r="G22" s="9" t="inlineStr">
        <is>
          <t>方針決定は村</t>
        </is>
      </c>
    </row>
    <row r="23" ht="24" customHeight="1">
      <c r="A23" s="23" t="inlineStr">
        <is>
          <t>5.2</t>
        </is>
      </c>
      <c r="B23" s="5" t="inlineStr">
        <is>
          <t>計画骨子の提案</t>
        </is>
      </c>
      <c r="C23" s="106" t="inlineStr">
        <is>
          <t>R</t>
        </is>
      </c>
      <c r="D23" s="83" t="inlineStr">
        <is>
          <t>A</t>
        </is>
      </c>
      <c r="E23" s="78" t="inlineStr">
        <is>
          <t>C</t>
        </is>
      </c>
      <c r="F23" s="23" t="inlineStr">
        <is>
          <t>－</t>
        </is>
      </c>
      <c r="G23" s="5" t="inlineStr">
        <is>
          <t>国の策定指針に従う</t>
        </is>
      </c>
    </row>
    <row r="24" ht="24" customHeight="1">
      <c r="A24" s="26" t="inlineStr">
        <is>
          <t>5.3</t>
        </is>
      </c>
      <c r="B24" s="9" t="inlineStr">
        <is>
          <t>計画素案の執筆</t>
        </is>
      </c>
      <c r="C24" s="106" t="inlineStr">
        <is>
          <t>R</t>
        </is>
      </c>
      <c r="D24" s="83" t="inlineStr">
        <is>
          <t>A</t>
        </is>
      </c>
      <c r="E24" s="78" t="inlineStr">
        <is>
          <t>C</t>
        </is>
      </c>
      <c r="F24" s="107" t="inlineStr">
        <is>
          <t>I</t>
        </is>
      </c>
      <c r="G24" s="9" t="inlineStr">
        <is>
          <t>各施策の内容確認は関係課</t>
        </is>
      </c>
    </row>
    <row r="25" ht="24" customHeight="1">
      <c r="A25" s="23" t="inlineStr">
        <is>
          <t>5.4.2</t>
        </is>
      </c>
      <c r="B25" s="5" t="inlineStr">
        <is>
          <t>パブリックコメント等の意見反映</t>
        </is>
      </c>
      <c r="C25" s="106" t="inlineStr">
        <is>
          <t>R</t>
        </is>
      </c>
      <c r="D25" s="83" t="inlineStr">
        <is>
          <t>A</t>
        </is>
      </c>
      <c r="E25" s="78" t="inlineStr">
        <is>
          <t>C</t>
        </is>
      </c>
      <c r="F25" s="23" t="inlineStr">
        <is>
          <t>－</t>
        </is>
      </c>
      <c r="G25" s="5" t="inlineStr">
        <is>
          <t>パブコメの実施は村</t>
        </is>
      </c>
    </row>
    <row r="26" ht="24" customHeight="1">
      <c r="A26" s="26" t="inlineStr">
        <is>
          <t>6.1</t>
        </is>
      </c>
      <c r="B26" s="9" t="inlineStr">
        <is>
          <t>成果品データの作成</t>
        </is>
      </c>
      <c r="C26" s="106" t="inlineStr">
        <is>
          <t>R/A</t>
        </is>
      </c>
      <c r="D26" s="78" t="inlineStr">
        <is>
          <t>C</t>
        </is>
      </c>
      <c r="E26" s="26" t="inlineStr">
        <is>
          <t>－</t>
        </is>
      </c>
      <c r="F26" s="26" t="inlineStr">
        <is>
          <t>－</t>
        </is>
      </c>
      <c r="G26" s="9" t="inlineStr">
        <is>
          <t>著作権は村に帰属</t>
        </is>
      </c>
    </row>
    <row r="27" ht="24" customHeight="1">
      <c r="A27" s="23" t="inlineStr">
        <is>
          <t>6.2.1</t>
        </is>
      </c>
      <c r="B27" s="5" t="inlineStr">
        <is>
          <t>納品・検査</t>
        </is>
      </c>
      <c r="C27" s="106" t="inlineStr">
        <is>
          <t>R</t>
        </is>
      </c>
      <c r="D27" s="83" t="inlineStr">
        <is>
          <t>A</t>
        </is>
      </c>
      <c r="E27" s="107" t="inlineStr">
        <is>
          <t>I</t>
        </is>
      </c>
      <c r="F27" s="23" t="inlineStr">
        <is>
          <t>－</t>
        </is>
      </c>
      <c r="G27" s="5" t="inlineStr">
        <is>
          <t>履行期限：令和9年3月31日</t>
        </is>
      </c>
    </row>
    <row r="28" ht="24" customHeight="1">
      <c r="A28" s="26" t="inlineStr">
        <is>
          <t>－</t>
        </is>
      </c>
      <c r="B28" s="9" t="inlineStr">
        <is>
          <t>計画の議決・公表</t>
        </is>
      </c>
      <c r="C28" s="78" t="inlineStr">
        <is>
          <t>C</t>
        </is>
      </c>
      <c r="D28" s="106" t="inlineStr">
        <is>
          <t>R/A</t>
        </is>
      </c>
      <c r="E28" s="78" t="inlineStr">
        <is>
          <t>C</t>
        </is>
      </c>
      <c r="F28" s="107" t="inlineStr">
        <is>
          <t>I</t>
        </is>
      </c>
      <c r="G28" s="9" t="inlineStr">
        <is>
          <t>業務範囲外（村が実施）</t>
        </is>
      </c>
    </row>
    <row r="29" ht="24" customHeight="1">
      <c r="A29" s="23" t="inlineStr">
        <is>
          <t>－</t>
        </is>
      </c>
      <c r="B29" s="5" t="inlineStr">
        <is>
          <t>介護保険条例の改正（保険料）</t>
        </is>
      </c>
      <c r="C29" s="78" t="inlineStr">
        <is>
          <t>C</t>
        </is>
      </c>
      <c r="D29" s="106" t="inlineStr">
        <is>
          <t>R/A</t>
        </is>
      </c>
      <c r="E29" s="78" t="inlineStr">
        <is>
          <t>C</t>
        </is>
      </c>
      <c r="F29" s="107" t="inlineStr">
        <is>
          <t>I</t>
        </is>
      </c>
      <c r="G29" s="5" t="inlineStr">
        <is>
          <t>業務範囲外（村が実施。算定根拠は受託者が提供）</t>
        </is>
      </c>
    </row>
    <row r="31">
      <c r="A31" s="3" t="inlineStr">
        <is>
          <t>凡例</t>
        </is>
      </c>
    </row>
    <row r="32">
      <c r="A32" s="108" t="inlineStr">
        <is>
          <t>R</t>
        </is>
      </c>
      <c r="B32" s="5" t="inlineStr">
        <is>
          <t>Responsible：実行責任者（実際に作業を行う）</t>
        </is>
      </c>
      <c r="C32" s="6" t="n"/>
      <c r="D32" s="6" t="n"/>
      <c r="E32" s="6" t="n"/>
      <c r="F32" s="6" t="n"/>
      <c r="G32" s="6" t="n"/>
    </row>
    <row r="33">
      <c r="A33" s="109" t="inlineStr">
        <is>
          <t>A</t>
        </is>
      </c>
      <c r="B33" s="5" t="inlineStr">
        <is>
          <t>Accountable：説明責任者（成果を承認・決定する）</t>
        </is>
      </c>
      <c r="C33" s="6" t="n"/>
      <c r="D33" s="6" t="n"/>
      <c r="E33" s="6" t="n"/>
      <c r="F33" s="6" t="n"/>
      <c r="G33" s="6" t="n"/>
    </row>
    <row r="34">
      <c r="A34" s="110" t="inlineStr">
        <is>
          <t>C</t>
        </is>
      </c>
      <c r="B34" s="5" t="inlineStr">
        <is>
          <t>Consulted：協議先（事前に意見を求める）</t>
        </is>
      </c>
      <c r="C34" s="6" t="n"/>
      <c r="D34" s="6" t="n"/>
      <c r="E34" s="6" t="n"/>
      <c r="F34" s="6" t="n"/>
      <c r="G34" s="6" t="n"/>
    </row>
    <row r="35">
      <c r="A35" s="111" t="inlineStr">
        <is>
          <t>I</t>
        </is>
      </c>
      <c r="B35" s="5" t="inlineStr">
        <is>
          <t>Informed：報告先（結果を共有する）</t>
        </is>
      </c>
      <c r="C35" s="6" t="n"/>
      <c r="D35" s="6" t="n"/>
      <c r="E35" s="6" t="n"/>
      <c r="F35" s="6" t="n"/>
      <c r="G35" s="6" t="n"/>
    </row>
  </sheetData>
  <mergeCells count="7">
    <mergeCell ref="B34:G34"/>
    <mergeCell ref="A1:G1"/>
    <mergeCell ref="A31:G31"/>
    <mergeCell ref="B32:G32"/>
    <mergeCell ref="B35:G35"/>
    <mergeCell ref="A2:G2"/>
    <mergeCell ref="B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46" customWidth="1" min="3" max="3"/>
    <col width="30" customWidth="1" min="4" max="4"/>
    <col width="10" customWidth="1" min="5" max="5"/>
    <col width="10" customWidth="1" min="6" max="6"/>
    <col width="56" customWidth="1" min="7" max="7"/>
    <col width="14" customWidth="1" min="8" max="8"/>
    <col width="18" customWidth="1" min="9" max="9"/>
  </cols>
  <sheetData>
    <row r="1" ht="30" customHeight="1">
      <c r="A1" s="1" t="inlineStr">
        <is>
          <t>リスク・課題管理表</t>
        </is>
      </c>
    </row>
    <row r="2">
      <c r="A2" s="13" t="inlineStr">
        <is>
          <t>業務遂行上想定されるリスクと対応方針。発生時は速やかに村と協議のうえ対応する（仕様書「7 留意事項」）。</t>
        </is>
      </c>
    </row>
    <row r="4" ht="30" customHeight="1">
      <c r="A4" s="14" t="inlineStr">
        <is>
          <t>No.</t>
        </is>
      </c>
      <c r="B4" s="14" t="inlineStr">
        <is>
          <t>区分</t>
        </is>
      </c>
      <c r="C4" s="14" t="inlineStr">
        <is>
          <t>リスク内容</t>
        </is>
      </c>
      <c r="D4" s="14" t="inlineStr">
        <is>
          <t>想定される影響</t>
        </is>
      </c>
      <c r="E4" s="14" t="inlineStr">
        <is>
          <t>発生可能性</t>
        </is>
      </c>
      <c r="F4" s="14" t="inlineStr">
        <is>
          <t>影響度</t>
        </is>
      </c>
      <c r="G4" s="14" t="inlineStr">
        <is>
          <t>対応方針</t>
        </is>
      </c>
      <c r="H4" s="14" t="inlineStr">
        <is>
          <t>主担当</t>
        </is>
      </c>
      <c r="I4" s="14" t="inlineStr">
        <is>
          <t>監視タイミング</t>
        </is>
      </c>
    </row>
    <row r="5" ht="46" customHeight="1">
      <c r="A5" s="23" t="inlineStr">
        <is>
          <t>R-01</t>
        </is>
      </c>
      <c r="B5" s="23" t="inlineStr">
        <is>
          <t>スケジュール</t>
        </is>
      </c>
      <c r="C5" s="5" t="inlineStr">
        <is>
          <t>国の基本指針の告示や介護報酬改定率の決定が年度末にずれ込み、保険料が確定できない</t>
        </is>
      </c>
      <c r="D5" s="5" t="inlineStr">
        <is>
          <t>計画素案の第6章が確定せず、納期に影響</t>
        </is>
      </c>
      <c r="E5" s="83" t="inlineStr">
        <is>
          <t>高</t>
        </is>
      </c>
      <c r="F5" s="83" t="inlineStr">
        <is>
          <t>大</t>
        </is>
      </c>
      <c r="G5" s="5" t="inlineStr">
        <is>
          <t>暫定値で算定し、確定後に差し替えられるよう算定シートをパラメータ化。仕様書5に基づき村と協議（WBS 4.4.1）</t>
        </is>
      </c>
      <c r="H5" s="23" t="inlineStr">
        <is>
          <t>受託者</t>
        </is>
      </c>
      <c r="I5" s="23" t="inlineStr">
        <is>
          <t>毎月／国通知の公表時</t>
        </is>
      </c>
    </row>
    <row r="6" ht="46" customHeight="1">
      <c r="A6" s="26" t="inlineStr">
        <is>
          <t>R-02</t>
        </is>
      </c>
      <c r="B6" s="26" t="inlineStr">
        <is>
          <t>スケジュール</t>
        </is>
      </c>
      <c r="C6" s="9" t="inlineStr">
        <is>
          <t>村からの貸与資料の提供が遅れ、分析着手が後ろ倒しになる</t>
        </is>
      </c>
      <c r="D6" s="9" t="inlineStr">
        <is>
          <t>現状分析・推計工程が圧迫される</t>
        </is>
      </c>
      <c r="E6" s="78" t="inlineStr">
        <is>
          <t>中</t>
        </is>
      </c>
      <c r="F6" s="83" t="inlineStr">
        <is>
          <t>大</t>
        </is>
      </c>
      <c r="G6" s="9" t="inlineStr">
        <is>
          <t>契約後2週間以内に必要資料リストを提示し、提出期限目安を明示。受領状況を『06_必要資料リスト』で管理</t>
        </is>
      </c>
      <c r="H6" s="26" t="inlineStr">
        <is>
          <t>受託者・村</t>
        </is>
      </c>
      <c r="I6" s="26" t="inlineStr">
        <is>
          <t>毎月</t>
        </is>
      </c>
    </row>
    <row r="7" ht="46" customHeight="1">
      <c r="A7" s="23" t="inlineStr">
        <is>
          <t>R-03</t>
        </is>
      </c>
      <c r="B7" s="23" t="inlineStr">
        <is>
          <t>品質</t>
        </is>
      </c>
      <c r="C7" s="5" t="inlineStr">
        <is>
          <t>小規模自治体のため給付実績・認定者数の年変動が大きく、推計値が不安定になる</t>
        </is>
      </c>
      <c r="D7" s="5" t="inlineStr">
        <is>
          <t>見込量・保険料が過大／過小になる</t>
        </is>
      </c>
      <c r="E7" s="83" t="inlineStr">
        <is>
          <t>高</t>
        </is>
      </c>
      <c r="F7" s="83" t="inlineStr">
        <is>
          <t>大</t>
        </is>
      </c>
      <c r="G7" s="5" t="inlineStr">
        <is>
          <t>複数年平均による平滑化、実人数ベースの併用、複数シナリオ（3案程度）の提示により幅を示す</t>
        </is>
      </c>
      <c r="H7" s="23" t="inlineStr">
        <is>
          <t>受託者</t>
        </is>
      </c>
      <c r="I7" s="23" t="inlineStr">
        <is>
          <t>推計工程（R8.10〜R9.1）</t>
        </is>
      </c>
    </row>
    <row r="8" ht="46" customHeight="1">
      <c r="A8" s="26" t="inlineStr">
        <is>
          <t>R-04</t>
        </is>
      </c>
      <c r="B8" s="26" t="inlineStr">
        <is>
          <t>品質</t>
        </is>
      </c>
      <c r="C8" s="9" t="inlineStr">
        <is>
          <t>村内のサービス事業所が限られ、近隣市町村の資源に依存している</t>
        </is>
      </c>
      <c r="D8" s="9" t="inlineStr">
        <is>
          <t>見込量が供給力と乖離する</t>
        </is>
      </c>
      <c r="E8" s="78" t="inlineStr">
        <is>
          <t>中</t>
        </is>
      </c>
      <c r="F8" s="78" t="inlineStr">
        <is>
          <t>中</t>
        </is>
      </c>
      <c r="G8" s="9" t="inlineStr">
        <is>
          <t>圏域外利用の実績を明示的に分解して推計。近隣市町村・北海道の整備方針を確認して反映</t>
        </is>
      </c>
      <c r="H8" s="26" t="inlineStr">
        <is>
          <t>受託者・村</t>
        </is>
      </c>
      <c r="I8" s="26" t="inlineStr">
        <is>
          <t>WBS 4.1.2〜4.1.4</t>
        </is>
      </c>
    </row>
    <row r="9" ht="46" customHeight="1">
      <c r="A9" s="23" t="inlineStr">
        <is>
          <t>R-05</t>
        </is>
      </c>
      <c r="B9" s="23" t="inlineStr">
        <is>
          <t>品質</t>
        </is>
      </c>
      <c r="C9" s="5" t="inlineStr">
        <is>
          <t>ニーズ調査の回収数が少なく、統計的な信頼性が限られる</t>
        </is>
      </c>
      <c r="D9" s="5" t="inlineStr">
        <is>
          <t>調査結果に基づく施策立案の根拠が弱くなる</t>
        </is>
      </c>
      <c r="E9" s="78" t="inlineStr">
        <is>
          <t>中</t>
        </is>
      </c>
      <c r="F9" s="78" t="inlineStr">
        <is>
          <t>中</t>
        </is>
      </c>
      <c r="G9" s="5" t="inlineStr">
        <is>
          <t>経年比較・北海道平均との比較で補完し、自由記述等の定性情報を併用。限界を計画本文に明記</t>
        </is>
      </c>
      <c r="H9" s="23" t="inlineStr">
        <is>
          <t>受託者</t>
        </is>
      </c>
      <c r="I9" s="23" t="inlineStr">
        <is>
          <t>WBS 2.4.2</t>
        </is>
      </c>
    </row>
    <row r="10" ht="46" customHeight="1">
      <c r="A10" s="26" t="inlineStr">
        <is>
          <t>R-06</t>
        </is>
      </c>
      <c r="B10" s="26" t="inlineStr">
        <is>
          <t>コミュニケーション</t>
        </is>
      </c>
      <c r="C10" s="9" t="inlineStr">
        <is>
          <t>対面打合せが3回程度に限られ、認識齟齬が生じる</t>
        </is>
      </c>
      <c r="D10" s="9" t="inlineStr">
        <is>
          <t>手戻り・修正工数の増大</t>
        </is>
      </c>
      <c r="E10" s="78" t="inlineStr">
        <is>
          <t>中</t>
        </is>
      </c>
      <c r="F10" s="78" t="inlineStr">
        <is>
          <t>中</t>
        </is>
      </c>
      <c r="G10" s="9" t="inlineStr">
        <is>
          <t>月1回程度のメール・Web会議による中間確認を実施（WBS 1.2.1）。議事録で決定事項を明文化</t>
        </is>
      </c>
      <c r="H10" s="26" t="inlineStr">
        <is>
          <t>受託者</t>
        </is>
      </c>
      <c r="I10" s="26" t="inlineStr">
        <is>
          <t>毎月</t>
        </is>
      </c>
    </row>
    <row r="11" ht="46" customHeight="1">
      <c r="A11" s="23" t="inlineStr">
        <is>
          <t>R-07</t>
        </is>
      </c>
      <c r="B11" s="23" t="inlineStr">
        <is>
          <t>スケジュール</t>
        </is>
      </c>
      <c r="C11" s="5" t="inlineStr">
        <is>
          <t>議会日程・パブリックコメント日程が前倒しとなる</t>
        </is>
      </c>
      <c r="D11" s="5" t="inlineStr">
        <is>
          <t>素案完成が間に合わない</t>
        </is>
      </c>
      <c r="E11" s="78" t="inlineStr">
        <is>
          <t>中</t>
        </is>
      </c>
      <c r="F11" s="83" t="inlineStr">
        <is>
          <t>大</t>
        </is>
      </c>
      <c r="G11" s="5" t="inlineStr">
        <is>
          <t>第1回打合せで議会・パブコメ日程を確認し工程に反映。素案は令和9年1月中旬完成を目標に前倒し管理</t>
        </is>
      </c>
      <c r="H11" s="23" t="inlineStr">
        <is>
          <t>受託者・村</t>
        </is>
      </c>
      <c r="I11" s="23" t="inlineStr">
        <is>
          <t>第1回打合せ／毎月</t>
        </is>
      </c>
    </row>
    <row r="12" ht="46" customHeight="1">
      <c r="A12" s="26" t="inlineStr">
        <is>
          <t>R-08</t>
        </is>
      </c>
      <c r="B12" s="26" t="inlineStr">
        <is>
          <t>情報管理</t>
        </is>
      </c>
      <c r="C12" s="9" t="inlineStr">
        <is>
          <t>個人情報を含むデータの授受・保管におけるリスク</t>
        </is>
      </c>
      <c r="D12" s="9" t="inlineStr">
        <is>
          <t>条例違反・情報漏えい</t>
        </is>
      </c>
      <c r="E12" s="106" t="inlineStr">
        <is>
          <t>低</t>
        </is>
      </c>
      <c r="F12" s="83" t="inlineStr">
        <is>
          <t>大</t>
        </is>
      </c>
      <c r="G12" s="9" t="inlineStr">
        <is>
          <t>個人が特定されない集計値での受領を原則とし、やむを得ない場合は暗号化・持出制限・アクセス権限管理を実施。完了時にデータ消去証明を提出（WBS 1.1.4／6.2.2）</t>
        </is>
      </c>
      <c r="H12" s="26" t="inlineStr">
        <is>
          <t>受託者</t>
        </is>
      </c>
      <c r="I12" s="26" t="inlineStr">
        <is>
          <t>常時</t>
        </is>
      </c>
    </row>
    <row r="13" ht="46" customHeight="1">
      <c r="A13" s="23" t="inlineStr">
        <is>
          <t>R-09</t>
        </is>
      </c>
      <c r="B13" s="23" t="inlineStr">
        <is>
          <t>体制</t>
        </is>
      </c>
      <c r="C13" s="5" t="inlineStr">
        <is>
          <t>業務従事者の不稼働（傷病等）により進捗が停滞する</t>
        </is>
      </c>
      <c r="D13" s="5" t="inlineStr">
        <is>
          <t>納期遅延</t>
        </is>
      </c>
      <c r="E13" s="106" t="inlineStr">
        <is>
          <t>低</t>
        </is>
      </c>
      <c r="F13" s="83" t="inlineStr">
        <is>
          <t>大</t>
        </is>
      </c>
      <c r="G13" s="5" t="inlineStr">
        <is>
          <t>社内の代替要員・レビュー体制を確保。再委託が必要となる場合は事前に村の承諾を得る（仕様書7）</t>
        </is>
      </c>
      <c r="H13" s="23" t="inlineStr">
        <is>
          <t>受託者</t>
        </is>
      </c>
      <c r="I13" s="23" t="inlineStr">
        <is>
          <t>常時</t>
        </is>
      </c>
    </row>
    <row r="14" ht="46" customHeight="1">
      <c r="A14" s="26" t="inlineStr">
        <is>
          <t>R-10</t>
        </is>
      </c>
      <c r="B14" s="26" t="inlineStr">
        <is>
          <t>スケジュール</t>
        </is>
      </c>
      <c r="C14" s="9" t="inlineStr">
        <is>
          <t>冬季の積雪・交通事情により現地打合せが実施できない</t>
        </is>
      </c>
      <c r="D14" s="9" t="inlineStr">
        <is>
          <t>打合せの延期・工程遅延</t>
        </is>
      </c>
      <c r="E14" s="78" t="inlineStr">
        <is>
          <t>中</t>
        </is>
      </c>
      <c r="F14" s="106" t="inlineStr">
        <is>
          <t>小</t>
        </is>
      </c>
      <c r="G14" s="9" t="inlineStr">
        <is>
          <t>Web会議の併用を第1回打合せで合意しておく。現地訪問は必要最小限に集約</t>
        </is>
      </c>
      <c r="H14" s="26" t="inlineStr">
        <is>
          <t>受託者・村</t>
        </is>
      </c>
      <c r="I14" s="26" t="inlineStr">
        <is>
          <t>R8.12〜R9.3</t>
        </is>
      </c>
    </row>
    <row r="15" ht="46" customHeight="1">
      <c r="A15" s="23" t="inlineStr">
        <is>
          <t>R-11</t>
        </is>
      </c>
      <c r="B15" s="23" t="inlineStr">
        <is>
          <t>スコープ</t>
        </is>
      </c>
      <c r="C15" s="5" t="inlineStr">
        <is>
          <t>国の指針改定により推計対象年次や記載事項が追加される</t>
        </is>
      </c>
      <c r="D15" s="5" t="inlineStr">
        <is>
          <t>作業量の増加</t>
        </is>
      </c>
      <c r="E15" s="78" t="inlineStr">
        <is>
          <t>中</t>
        </is>
      </c>
      <c r="F15" s="78" t="inlineStr">
        <is>
          <t>中</t>
        </is>
      </c>
      <c r="G15" s="5" t="inlineStr">
        <is>
          <t>仕様書5に基づき村と協議して対応方針を決定。原則として国の指示を遵守</t>
        </is>
      </c>
      <c r="H15" s="23" t="inlineStr">
        <is>
          <t>受託者・村</t>
        </is>
      </c>
      <c r="I15" s="23" t="inlineStr">
        <is>
          <t>国通知の公表時</t>
        </is>
      </c>
    </row>
    <row r="16" ht="46" customHeight="1">
      <c r="A16" s="26" t="inlineStr">
        <is>
          <t>R-13</t>
        </is>
      </c>
      <c r="B16" s="26" t="inlineStr">
        <is>
          <t>スケジュール</t>
        </is>
      </c>
      <c r="C16" s="9" t="inlineStr">
        <is>
          <t>第9期計画（前回計画）が未受領で、基本理念・基本目標・施策体系および第9期の評価が確定できない</t>
        </is>
      </c>
      <c r="D16" s="9" t="inlineStr">
        <is>
          <t>第3章・第4章が書けず、第5章の施策構成も固まらない。素案全体が手戻りとなる</t>
        </is>
      </c>
      <c r="E16" s="83" t="inlineStr">
        <is>
          <t>高</t>
        </is>
      </c>
      <c r="F16" s="83" t="inlineStr">
        <is>
          <t>大</t>
        </is>
      </c>
      <c r="G16" s="9" t="inlineStr">
        <is>
          <t>第9期計画の提供を最優先で依頼（WBS 2.4.0）。受領までは仮置きで執筆し、該当箇所に『【要差替：第9期計画受領後】』を明記して機械的に抽出できるようにする。受領後に一括差替</t>
        </is>
      </c>
      <c r="H16" s="26" t="inlineStr">
        <is>
          <t>受託者・村</t>
        </is>
      </c>
      <c r="I16" s="26" t="inlineStr">
        <is>
          <t>毎週／受領まで</t>
        </is>
      </c>
    </row>
    <row r="17" ht="46" customHeight="1">
      <c r="A17" s="23" t="inlineStr">
        <is>
          <t>R-14</t>
        </is>
      </c>
      <c r="B17" s="23" t="inlineStr">
        <is>
          <t>品質</t>
        </is>
      </c>
      <c r="C17" s="5" t="inlineStr">
        <is>
          <t>見える化システムの在宅医療系（L16〜L28）90ファイルが空振りで、認知症・総合事業も欠測または更新停止</t>
        </is>
      </c>
      <c r="D17" s="5" t="inlineStr">
        <is>
          <t>第5章（在宅医療・介護連携、認知症施策、介護予防）の現状記述の根拠が不足</t>
        </is>
      </c>
      <c r="E17" s="83" t="inlineStr">
        <is>
          <t>高</t>
        </is>
      </c>
      <c r="F17" s="78" t="inlineStr">
        <is>
          <t>中</t>
        </is>
      </c>
      <c r="G17" s="5" t="inlineStr">
        <is>
          <t>二次医療圏単位での再取得または北海道の医療計画等で代替。認知症・総合事業は村実績で補完（WBS 1.3.5）</t>
        </is>
      </c>
      <c r="H17" s="23" t="inlineStr">
        <is>
          <t>受託者・村</t>
        </is>
      </c>
      <c r="I17" s="23" t="inlineStr">
        <is>
          <t>第1回打合せ／毎月</t>
        </is>
      </c>
    </row>
    <row r="18" ht="46" customHeight="1">
      <c r="A18" s="26" t="inlineStr">
        <is>
          <t>R-15</t>
        </is>
      </c>
      <c r="B18" s="26" t="inlineStr">
        <is>
          <t>品質</t>
        </is>
      </c>
      <c r="C18" s="9" t="inlineStr">
        <is>
          <t>見える化システムの35ファイルが音威子府村のみの出力で管内他団体と比較できない</t>
        </is>
      </c>
      <c r="D18" s="9" t="inlineStr">
        <is>
          <t>近隣比較の図表が作れず、保険料水準や認定率の位置づけを説明できない</t>
        </is>
      </c>
      <c r="E18" s="78" t="inlineStr">
        <is>
          <t>中</t>
        </is>
      </c>
      <c r="F18" s="78" t="inlineStr">
        <is>
          <t>中</t>
        </is>
      </c>
      <c r="G18" s="9" t="inlineStr">
        <is>
          <t>比較地域を指定して再出力（WBS 1.3.5）。特にC1（保険料）は議会・住民説明で必要</t>
        </is>
      </c>
      <c r="H18" s="26" t="inlineStr">
        <is>
          <t>受託者</t>
        </is>
      </c>
      <c r="I18" s="26" t="inlineStr">
        <is>
          <t>令和8年9月中</t>
        </is>
      </c>
    </row>
    <row r="19" ht="46" customHeight="1">
      <c r="A19" s="23" t="inlineStr">
        <is>
          <t>R-12</t>
        </is>
      </c>
      <c r="B19" s="23" t="inlineStr">
        <is>
          <t>品質</t>
        </is>
      </c>
      <c r="C19" s="5" t="inlineStr">
        <is>
          <t>関連計画（総合計画等）との整合が取れていない記述が生じる</t>
        </is>
      </c>
      <c r="D19" s="5" t="inlineStr">
        <is>
          <t>計画間の齟齬</t>
        </is>
      </c>
      <c r="E19" s="106" t="inlineStr">
        <is>
          <t>低</t>
        </is>
      </c>
      <c r="F19" s="78" t="inlineStr">
        <is>
          <t>中</t>
        </is>
      </c>
      <c r="G19" s="5" t="inlineStr">
        <is>
          <t>関連計画整合性チェック表により章ごとに確認（WBS 5.1.3）。齟齬は村と協議のうえ調整</t>
        </is>
      </c>
      <c r="H19" s="23" t="inlineStr">
        <is>
          <t>受託者</t>
        </is>
      </c>
      <c r="I19" s="23" t="inlineStr">
        <is>
          <t>WBS 5.3 執筆時</t>
        </is>
      </c>
    </row>
  </sheetData>
  <autoFilter ref="A4:I19"/>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62" customWidth="1" min="3" max="3"/>
    <col width="32" customWidth="1" min="4" max="4"/>
    <col width="44" customWidth="1" min="5" max="5"/>
  </cols>
  <sheetData>
    <row r="1" ht="30" customHeight="1">
      <c r="A1" s="1" t="inlineStr">
        <is>
          <t>スコープ管理表（業務範囲の整理）</t>
        </is>
      </c>
    </row>
    <row r="2">
      <c r="A2" s="13" t="inlineStr">
        <is>
          <t>仕様書の記載から業務範囲を整理したもの。「要協議」の項目は第1回打合せで取扱いを確認する（仕様書「7 留意事項」：仕様書に定めのない事項や疑義が生じた場合は都度協議のうえ決定）。</t>
        </is>
      </c>
    </row>
    <row r="4" ht="26" customHeight="1">
      <c r="A4" s="14" t="inlineStr">
        <is>
          <t>区分</t>
        </is>
      </c>
      <c r="B4" s="14" t="inlineStr">
        <is>
          <t>項目</t>
        </is>
      </c>
      <c r="C4" s="14" t="inlineStr">
        <is>
          <t>内容</t>
        </is>
      </c>
      <c r="D4" s="14" t="inlineStr">
        <is>
          <t>仕様書の根拠</t>
        </is>
      </c>
      <c r="E4" s="14" t="inlineStr">
        <is>
          <t>備考・対応</t>
        </is>
      </c>
    </row>
    <row r="5" ht="34" customHeight="1">
      <c r="A5" s="106" t="inlineStr">
        <is>
          <t>含む</t>
        </is>
      </c>
      <c r="B5" s="5" t="inlineStr">
        <is>
          <t>現状の評価・分析</t>
        </is>
      </c>
      <c r="C5" s="5" t="inlineStr">
        <is>
          <t>統計資料による現状把握・分析、高齢者福祉サービス実績分析、介護保険サービス実績分析、現行計画の点検・評価</t>
        </is>
      </c>
      <c r="D5" s="5" t="inlineStr">
        <is>
          <t>仕様書 3(1)</t>
        </is>
      </c>
      <c r="E5" s="5" t="inlineStr">
        <is>
          <t>WBS 2</t>
        </is>
      </c>
    </row>
    <row r="6" ht="34" customHeight="1">
      <c r="A6" s="106" t="inlineStr">
        <is>
          <t>含む</t>
        </is>
      </c>
      <c r="B6" s="9" t="inlineStr">
        <is>
          <t>人口推計</t>
        </is>
      </c>
      <c r="C6" s="9" t="inlineStr">
        <is>
          <t>令和9年から10年間程度の将来人口推計</t>
        </is>
      </c>
      <c r="D6" s="9" t="inlineStr">
        <is>
          <t>仕様書 3(2)</t>
        </is>
      </c>
      <c r="E6" s="9" t="inlineStr">
        <is>
          <t>WBS 3.1</t>
        </is>
      </c>
    </row>
    <row r="7" ht="34" customHeight="1">
      <c r="A7" s="106" t="inlineStr">
        <is>
          <t>含む</t>
        </is>
      </c>
      <c r="B7" s="5" t="inlineStr">
        <is>
          <t>要支援要介護認定者数の推計</t>
        </is>
      </c>
      <c r="C7" s="5" t="inlineStr">
        <is>
          <t>国の基本指針に従った各年度の認定者数推計</t>
        </is>
      </c>
      <c r="D7" s="5" t="inlineStr">
        <is>
          <t>仕様書 3(2)</t>
        </is>
      </c>
      <c r="E7" s="5" t="inlineStr">
        <is>
          <t>WBS 3.2</t>
        </is>
      </c>
    </row>
    <row r="8" ht="34" customHeight="1">
      <c r="A8" s="106" t="inlineStr">
        <is>
          <t>含む</t>
        </is>
      </c>
      <c r="B8" s="9" t="inlineStr">
        <is>
          <t>介護サービス見込量の推計</t>
        </is>
      </c>
      <c r="C8" s="9" t="inlineStr">
        <is>
          <t>推計ツール等による令和11年度までの各年度・サービス種類ごとの見込量推計</t>
        </is>
      </c>
      <c r="D8" s="9" t="inlineStr">
        <is>
          <t>仕様書 3(3)</t>
        </is>
      </c>
      <c r="E8" s="9" t="inlineStr">
        <is>
          <t>WBS 4.1</t>
        </is>
      </c>
    </row>
    <row r="9" ht="34" customHeight="1">
      <c r="A9" s="106" t="inlineStr">
        <is>
          <t>含む</t>
        </is>
      </c>
      <c r="B9" s="5" t="inlineStr">
        <is>
          <t>介護保険料の算定</t>
        </is>
      </c>
      <c r="C9" s="5" t="inlineStr">
        <is>
          <t>計画期間内の見込量に基づく第10期介護保険料の算定</t>
        </is>
      </c>
      <c r="D9" s="5" t="inlineStr">
        <is>
          <t>仕様書 3(3)</t>
        </is>
      </c>
      <c r="E9" s="5" t="inlineStr">
        <is>
          <t>WBS 4.3</t>
        </is>
      </c>
    </row>
    <row r="10" ht="34" customHeight="1">
      <c r="A10" s="106" t="inlineStr">
        <is>
          <t>含む</t>
        </is>
      </c>
      <c r="B10" s="9" t="inlineStr">
        <is>
          <t>ニーズ調査結果の反映</t>
        </is>
      </c>
      <c r="C10" s="9" t="inlineStr">
        <is>
          <t>令和8年度に村が実施した介護予防・日常生活圏域ニーズ調査結果の計画への反映</t>
        </is>
      </c>
      <c r="D10" s="9" t="inlineStr">
        <is>
          <t>仕様書 3(3)</t>
        </is>
      </c>
      <c r="E10" s="9" t="inlineStr">
        <is>
          <t>WBS 2.4.2／4.1.3</t>
        </is>
      </c>
    </row>
    <row r="11" ht="34" customHeight="1">
      <c r="A11" s="106" t="inlineStr">
        <is>
          <t>含む</t>
        </is>
      </c>
      <c r="B11" s="5" t="inlineStr">
        <is>
          <t>計画素案の作成</t>
        </is>
      </c>
      <c r="C11" s="5" t="inlineStr">
        <is>
          <t>課題・施策の方向の整理、計画骨子の提案、計画素案の作成（国の策定指針に従った記載）</t>
        </is>
      </c>
      <c r="D11" s="5" t="inlineStr">
        <is>
          <t>仕様書 3(4)</t>
        </is>
      </c>
      <c r="E11" s="5" t="inlineStr">
        <is>
          <t>WBS 5</t>
        </is>
      </c>
    </row>
    <row r="12" ht="34" customHeight="1">
      <c r="A12" s="106" t="inlineStr">
        <is>
          <t>含む</t>
        </is>
      </c>
      <c r="B12" s="9" t="inlineStr">
        <is>
          <t>打合せ</t>
        </is>
      </c>
      <c r="C12" s="9" t="inlineStr">
        <is>
          <t>3回程度。受託者側は計画策定担当者本人が出席</t>
        </is>
      </c>
      <c r="D12" s="9" t="inlineStr">
        <is>
          <t>仕様書 4</t>
        </is>
      </c>
      <c r="E12" s="9" t="inlineStr">
        <is>
          <t>WBS 1.1.3／1.2.2／1.2.3</t>
        </is>
      </c>
    </row>
    <row r="13" ht="34" customHeight="1">
      <c r="A13" s="106" t="inlineStr">
        <is>
          <t>含む</t>
        </is>
      </c>
      <c r="B13" s="5" t="inlineStr">
        <is>
          <t>成果品の作成・納品</t>
        </is>
      </c>
      <c r="C13" s="5" t="inlineStr">
        <is>
          <t>計画（CDデータ）1部、業務データ収録の磁気媒体（CDデータ）1部</t>
        </is>
      </c>
      <c r="D13" s="5" t="inlineStr">
        <is>
          <t>仕様書 6</t>
        </is>
      </c>
      <c r="E13" s="5" t="inlineStr">
        <is>
          <t>WBS 6</t>
        </is>
      </c>
    </row>
    <row r="14" ht="34" customHeight="1">
      <c r="A14" s="106" t="inlineStr">
        <is>
          <t>含む</t>
        </is>
      </c>
      <c r="B14" s="9" t="inlineStr">
        <is>
          <t>関連計画との整合性確保</t>
        </is>
      </c>
      <c r="C14" s="9" t="inlineStr">
        <is>
          <t>村総合計画等の関連計画との整合を図る</t>
        </is>
      </c>
      <c r="D14" s="9" t="inlineStr">
        <is>
          <t>仕様書 7</t>
        </is>
      </c>
      <c r="E14" s="9" t="inlineStr">
        <is>
          <t>WBS 5.1.3</t>
        </is>
      </c>
    </row>
    <row r="15" ht="34" customHeight="1">
      <c r="A15" s="107" t="inlineStr">
        <is>
          <t>含まない</t>
        </is>
      </c>
      <c r="B15" s="5" t="inlineStr">
        <is>
          <t>ニーズ調査の実施・集計</t>
        </is>
      </c>
      <c r="C15" s="5" t="inlineStr">
        <is>
          <t>調査票設計、対象者抽出、発送・回収、データ入力・集計は業務範囲外（令和8年度に村が実施済み）</t>
        </is>
      </c>
      <c r="D15" s="5" t="inlineStr">
        <is>
          <t>仕様書 3(3)「今年度実施した」との記載</t>
        </is>
      </c>
      <c r="E15" s="5" t="inlineStr">
        <is>
          <t>結果データの提供を受けて反映</t>
        </is>
      </c>
    </row>
    <row r="16" ht="34" customHeight="1">
      <c r="A16" s="107" t="inlineStr">
        <is>
          <t>含まない</t>
        </is>
      </c>
      <c r="B16" s="9" t="inlineStr">
        <is>
          <t>印刷・製本</t>
        </is>
      </c>
      <c r="C16" s="9" t="inlineStr">
        <is>
          <t>成果品はCDデータのみ。冊子の印刷・製本は仕様書に記載なし</t>
        </is>
      </c>
      <c r="D16" s="9" t="inlineStr">
        <is>
          <t>仕様書 6 成果品</t>
        </is>
      </c>
      <c r="E16" s="9" t="inlineStr">
        <is>
          <t>必要な場合は別途協議</t>
        </is>
      </c>
    </row>
    <row r="17" ht="34" customHeight="1">
      <c r="A17" s="107" t="inlineStr">
        <is>
          <t>含まない</t>
        </is>
      </c>
      <c r="B17" s="5" t="inlineStr">
        <is>
          <t>計画の議決・公表手続</t>
        </is>
      </c>
      <c r="C17" s="5" t="inlineStr">
        <is>
          <t>議会議決、計画の公表・ホームページ掲載等の行政手続</t>
        </is>
      </c>
      <c r="D17" s="5" t="inlineStr">
        <is>
          <t>－</t>
        </is>
      </c>
      <c r="E17" s="5" t="inlineStr">
        <is>
          <t>村が実施</t>
        </is>
      </c>
    </row>
    <row r="18" ht="34" customHeight="1">
      <c r="A18" s="107" t="inlineStr">
        <is>
          <t>含まない</t>
        </is>
      </c>
      <c r="B18" s="9" t="inlineStr">
        <is>
          <t>介護保険条例の改正案作成</t>
        </is>
      </c>
      <c r="C18" s="9" t="inlineStr">
        <is>
          <t>保険料改定に伴う条例改正案の作成・法制執務</t>
        </is>
      </c>
      <c r="D18" s="9" t="inlineStr">
        <is>
          <t>－</t>
        </is>
      </c>
      <c r="E18" s="9" t="inlineStr">
        <is>
          <t>村が実施（算定根拠は受託者が提供）</t>
        </is>
      </c>
    </row>
    <row r="19" ht="34" customHeight="1">
      <c r="A19" s="78" t="inlineStr">
        <is>
          <t>要協議</t>
        </is>
      </c>
      <c r="B19" s="5" t="inlineStr">
        <is>
          <t>計画策定委員会等の設置・運営</t>
        </is>
      </c>
      <c r="C19" s="5" t="inlineStr">
        <is>
          <t>策定委員会・協議体を設置する場合の会議運営、委員名簿作成、会議録作成</t>
        </is>
      </c>
      <c r="D19" s="5" t="inlineStr">
        <is>
          <t>仕様書に記載なし</t>
        </is>
      </c>
      <c r="E19" s="5" t="inlineStr">
        <is>
          <t>設置の要否・受託者の関与範囲を第1回打合せで確認</t>
        </is>
      </c>
    </row>
    <row r="20" ht="34" customHeight="1">
      <c r="A20" s="78" t="inlineStr">
        <is>
          <t>要協議</t>
        </is>
      </c>
      <c r="B20" s="9" t="inlineStr">
        <is>
          <t>パブリックコメントの実施</t>
        </is>
      </c>
      <c r="C20" s="9" t="inlineStr">
        <is>
          <t>実施要領作成、意見募集の運営。WBSでは意見反映のみを計上</t>
        </is>
      </c>
      <c r="D20" s="9" t="inlineStr">
        <is>
          <t>仕様書に記載なし</t>
        </is>
      </c>
      <c r="E20" s="9" t="inlineStr">
        <is>
          <t>実施主体・日程・支援範囲を協議（WBS 5.4.2）</t>
        </is>
      </c>
    </row>
    <row r="21" ht="34" customHeight="1">
      <c r="A21" s="78" t="inlineStr">
        <is>
          <t>要協議</t>
        </is>
      </c>
      <c r="B21" s="5" t="inlineStr">
        <is>
          <t>住民説明会・議会説明</t>
        </is>
      </c>
      <c r="C21" s="5" t="inlineStr">
        <is>
          <t>説明会資料の作成・説明員としての出席</t>
        </is>
      </c>
      <c r="D21" s="5" t="inlineStr">
        <is>
          <t>仕様書に記載なし</t>
        </is>
      </c>
      <c r="E21" s="5" t="inlineStr">
        <is>
          <t>必要な場合は別途協議</t>
        </is>
      </c>
    </row>
    <row r="22" ht="34" customHeight="1">
      <c r="A22" s="78" t="inlineStr">
        <is>
          <t>要協議</t>
        </is>
      </c>
      <c r="B22" s="9" t="inlineStr">
        <is>
          <t>中長期推計（令和22年度等）の対象年次</t>
        </is>
      </c>
      <c r="C22" s="9" t="inlineStr">
        <is>
          <t>国の基本指針が中長期の推計を求める場合の追加推計</t>
        </is>
      </c>
      <c r="D22" s="9" t="inlineStr">
        <is>
          <t>仕様書 3(2)「10年間程度」</t>
        </is>
      </c>
      <c r="E22" s="9" t="inlineStr">
        <is>
          <t>国の指針確定後に対象年次を協議（WBS 3.1.3）</t>
        </is>
      </c>
    </row>
    <row r="23" ht="34" customHeight="1">
      <c r="A23" s="78" t="inlineStr">
        <is>
          <t>要協議</t>
        </is>
      </c>
      <c r="B23" s="5" t="inlineStr">
        <is>
          <t>国の指示に伴う仕様変更</t>
        </is>
      </c>
      <c r="C23" s="5" t="inlineStr">
        <is>
          <t>国の指示により本仕様を変更する必要が生じた場合の対応</t>
        </is>
      </c>
      <c r="D23" s="5" t="inlineStr">
        <is>
          <t>仕様書 5 その他</t>
        </is>
      </c>
      <c r="E23" s="5" t="inlineStr">
        <is>
          <t>委託者・受託者の協議により決定。原則として国の指示を遵守</t>
        </is>
      </c>
    </row>
    <row r="24" ht="34" customHeight="1">
      <c r="A24" s="78" t="inlineStr">
        <is>
          <t>要協議</t>
        </is>
      </c>
      <c r="B24" s="9" t="inlineStr">
        <is>
          <t>再委託</t>
        </is>
      </c>
      <c r="C24" s="9" t="inlineStr">
        <is>
          <t>業務の全部または主要な部分の第三者への再委託</t>
        </is>
      </c>
      <c r="D24" s="9" t="inlineStr">
        <is>
          <t>仕様書 7 留意事項</t>
        </is>
      </c>
      <c r="E24" s="9" t="inlineStr">
        <is>
          <t>予定なし。必要が生じた場合は事前に村の承諾を得る</t>
        </is>
      </c>
    </row>
  </sheetData>
  <autoFilter ref="A4:E24"/>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7"/>
  <sheetViews>
    <sheetView showGridLines="0" workbookViewId="0">
      <selection activeCell="A1" sqref="A1"/>
    </sheetView>
  </sheetViews>
  <sheetFormatPr baseColWidth="8" defaultRowHeight="15"/>
  <cols>
    <col width="10" customWidth="1" min="1" max="1"/>
    <col width="34" customWidth="1" min="2" max="2"/>
    <col width="30" customWidth="1" min="3" max="3"/>
    <col width="12" customWidth="1" min="4" max="4"/>
    <col width="12" customWidth="1" min="5" max="5"/>
    <col width="14" customWidth="1" min="6" max="6"/>
    <col width="40" customWidth="1" min="7" max="7"/>
  </cols>
  <sheetData>
    <row r="1" ht="30" customHeight="1">
      <c r="A1" s="1" t="inlineStr">
        <is>
          <t>工数集計（『01_WBS』シートと連動）</t>
        </is>
      </c>
    </row>
    <row r="2">
      <c r="A2" s="13" t="inlineStr">
        <is>
          <t>工数はレベル3の作業項目に付した見積値の合計。1人日＝7.5時間、1人月＝20人日で換算。契約・体制の確定後に見直す。</t>
        </is>
      </c>
    </row>
    <row r="4">
      <c r="A4" s="3" t="inlineStr">
        <is>
          <t>1. 大分類別工数</t>
        </is>
      </c>
    </row>
    <row r="5">
      <c r="A5" s="14" t="inlineStr">
        <is>
          <t>区分</t>
        </is>
      </c>
      <c r="B5" s="14" t="inlineStr">
        <is>
          <t>大分類</t>
        </is>
      </c>
      <c r="C5" s="14" t="inlineStr">
        <is>
          <t>対象WBS</t>
        </is>
      </c>
      <c r="D5" s="14" t="inlineStr">
        <is>
          <t>工数(人日)</t>
        </is>
      </c>
      <c r="E5" s="14" t="inlineStr">
        <is>
          <t>構成比</t>
        </is>
      </c>
      <c r="F5" s="14" t="inlineStr">
        <is>
          <t>人月換算</t>
        </is>
      </c>
      <c r="G5" s="14" t="inlineStr">
        <is>
          <t>主な内容</t>
        </is>
      </c>
    </row>
    <row r="6" ht="24" customHeight="1">
      <c r="A6" s="57" t="inlineStr">
        <is>
          <t>1</t>
        </is>
      </c>
      <c r="B6" s="9" t="inlineStr">
        <is>
          <t>1. 業務管理・打合せ</t>
        </is>
      </c>
      <c r="C6" s="26" t="inlineStr">
        <is>
          <t>1.1〜</t>
        </is>
      </c>
      <c r="D6" s="27">
        <f>SUMPRODUCT(('01_WBS'!$C$5:$C$98=3)*(LEFT('01_WBS'!$B$5:$B$98,1)="1")*'01_WBS'!$K$5:$K$98)</f>
        <v/>
      </c>
      <c r="E6" s="112">
        <f>IFERROR(D6/SUMIF('01_WBS'!$C$5:$C$98,3,'01_WBS'!$K$5:$K$98),0)</f>
        <v/>
      </c>
      <c r="F6" s="113">
        <f>ROUND(D6/20,2)</f>
        <v/>
      </c>
      <c r="G6" s="9" t="inlineStr">
        <is>
          <t>業務実施計画、打合せ3回、進行管理、資料収集</t>
        </is>
      </c>
    </row>
    <row r="7" ht="24" customHeight="1">
      <c r="A7" s="68" t="inlineStr">
        <is>
          <t>2</t>
        </is>
      </c>
      <c r="B7" s="5" t="inlineStr">
        <is>
          <t>2. 現状の評価・分析</t>
        </is>
      </c>
      <c r="C7" s="23" t="inlineStr">
        <is>
          <t>2.1〜</t>
        </is>
      </c>
      <c r="D7" s="24">
        <f>SUMPRODUCT(('01_WBS'!$C$5:$C$98=3)*(LEFT('01_WBS'!$B$5:$B$98,1)="2")*'01_WBS'!$K$5:$K$98)</f>
        <v/>
      </c>
      <c r="E7" s="114">
        <f>IFERROR(D7/SUMIF('01_WBS'!$C$5:$C$98,3,'01_WBS'!$K$5:$K$98),0)</f>
        <v/>
      </c>
      <c r="F7" s="115">
        <f>ROUND(D7/20,2)</f>
        <v/>
      </c>
      <c r="G7" s="5" t="inlineStr">
        <is>
          <t>現状把握、高齢者福祉・介護保険サービス実績分析、第9期計画の点検評価</t>
        </is>
      </c>
    </row>
    <row r="8" ht="24" customHeight="1">
      <c r="A8" s="73" t="inlineStr">
        <is>
          <t>3</t>
        </is>
      </c>
      <c r="B8" s="9" t="inlineStr">
        <is>
          <t>3. 人口推計・認定者数推計</t>
        </is>
      </c>
      <c r="C8" s="26" t="inlineStr">
        <is>
          <t>3.1〜</t>
        </is>
      </c>
      <c r="D8" s="27">
        <f>SUMPRODUCT(('01_WBS'!$C$5:$C$98=3)*(LEFT('01_WBS'!$B$5:$B$98,1)="3")*'01_WBS'!$K$5:$K$98)</f>
        <v/>
      </c>
      <c r="E8" s="112">
        <f>IFERROR(D8/SUMIF('01_WBS'!$C$5:$C$98,3,'01_WBS'!$K$5:$K$98),0)</f>
        <v/>
      </c>
      <c r="F8" s="113">
        <f>ROUND(D8/20,2)</f>
        <v/>
      </c>
      <c r="G8" s="9" t="inlineStr">
        <is>
          <t>コーホート要因法による人口推計、要支援要介護認定者数の推計</t>
        </is>
      </c>
    </row>
    <row r="9" ht="24" customHeight="1">
      <c r="A9" s="78" t="inlineStr">
        <is>
          <t>4</t>
        </is>
      </c>
      <c r="B9" s="5" t="inlineStr">
        <is>
          <t>4. サービス見込量・保険料の推計</t>
        </is>
      </c>
      <c r="C9" s="23" t="inlineStr">
        <is>
          <t>4.1〜</t>
        </is>
      </c>
      <c r="D9" s="24">
        <f>SUMPRODUCT(('01_WBS'!$C$5:$C$98=3)*(LEFT('01_WBS'!$B$5:$B$98,1)="4")*'01_WBS'!$K$5:$K$98)</f>
        <v/>
      </c>
      <c r="E9" s="114">
        <f>IFERROR(D9/SUMIF('01_WBS'!$C$5:$C$98,3,'01_WBS'!$K$5:$K$98),0)</f>
        <v/>
      </c>
      <c r="F9" s="115">
        <f>ROUND(D9/20,2)</f>
        <v/>
      </c>
      <c r="G9" s="5" t="inlineStr">
        <is>
          <t>サービス種類別見込量、標準給付費、第10期介護保険料の算定</t>
        </is>
      </c>
    </row>
    <row r="10" ht="24" customHeight="1">
      <c r="A10" s="83" t="inlineStr">
        <is>
          <t>5</t>
        </is>
      </c>
      <c r="B10" s="9" t="inlineStr">
        <is>
          <t>5. 計画素案の作成</t>
        </is>
      </c>
      <c r="C10" s="26" t="inlineStr">
        <is>
          <t>5.1〜</t>
        </is>
      </c>
      <c r="D10" s="27">
        <f>SUMPRODUCT(('01_WBS'!$C$5:$C$98=3)*(LEFT('01_WBS'!$B$5:$B$98,1)="5")*'01_WBS'!$K$5:$K$98)</f>
        <v/>
      </c>
      <c r="E10" s="112">
        <f>IFERROR(D10/SUMIF('01_WBS'!$C$5:$C$98,3,'01_WBS'!$K$5:$K$98),0)</f>
        <v/>
      </c>
      <c r="F10" s="113">
        <f>ROUND(D10/20,2)</f>
        <v/>
      </c>
      <c r="G10" s="9" t="inlineStr">
        <is>
          <t>課題整理、計画骨子、計画素案の執筆・修正</t>
        </is>
      </c>
    </row>
    <row r="11" ht="24" customHeight="1">
      <c r="A11" s="14" t="inlineStr">
        <is>
          <t>6</t>
        </is>
      </c>
      <c r="B11" s="5" t="inlineStr">
        <is>
          <t>6. 成果品の作成・納品</t>
        </is>
      </c>
      <c r="C11" s="23" t="inlineStr">
        <is>
          <t>6.1〜</t>
        </is>
      </c>
      <c r="D11" s="24">
        <f>SUMPRODUCT(('01_WBS'!$C$5:$C$98=3)*(LEFT('01_WBS'!$B$5:$B$98,1)="6")*'01_WBS'!$K$5:$K$98)</f>
        <v/>
      </c>
      <c r="E11" s="114">
        <f>IFERROR(D11/SUMIF('01_WBS'!$C$5:$C$98,3,'01_WBS'!$K$5:$K$98),0)</f>
        <v/>
      </c>
      <c r="F11" s="115">
        <f>ROUND(D11/20,2)</f>
        <v/>
      </c>
      <c r="G11" s="5" t="inlineStr">
        <is>
          <t>最終校正、CDデータ作成、納品・検査対応</t>
        </is>
      </c>
    </row>
    <row r="12" ht="24" customHeight="1">
      <c r="A12" s="116" t="inlineStr">
        <is>
          <t>合計</t>
        </is>
      </c>
      <c r="B12" s="55" t="n"/>
      <c r="C12" s="55" t="n"/>
      <c r="D12" s="117">
        <f>SUM(D6:D11)</f>
        <v/>
      </c>
      <c r="E12" s="118">
        <f>SUM(E6:E11)</f>
        <v/>
      </c>
      <c r="F12" s="119">
        <f>SUM(F6:F11)</f>
        <v/>
      </c>
      <c r="G12" s="120">
        <f>IF(ROUND(D12-SUMIF('01_WBS'!$C$5:$C$98,3,'01_WBS'!$K$5:$K$98),4)=0,"01_WBS の合計と一致","要確認：01_WBSと不一致")</f>
        <v/>
      </c>
    </row>
    <row r="14">
      <c r="A14" s="3" t="inlineStr">
        <is>
          <t>2. 中分類別工数</t>
        </is>
      </c>
    </row>
    <row r="15">
      <c r="A15" s="14" t="inlineStr">
        <is>
          <t>WBS No.</t>
        </is>
      </c>
      <c r="B15" s="14" t="inlineStr">
        <is>
          <t>大分類</t>
        </is>
      </c>
      <c r="C15" s="14" t="inlineStr">
        <is>
          <t>中分類</t>
        </is>
      </c>
      <c r="D15" s="14" t="inlineStr">
        <is>
          <t>工数(人日)</t>
        </is>
      </c>
      <c r="E15" s="14" t="inlineStr">
        <is>
          <t>構成比</t>
        </is>
      </c>
      <c r="F15" s="14" t="inlineStr">
        <is>
          <t>開始予定</t>
        </is>
      </c>
      <c r="G15" s="14" t="inlineStr">
        <is>
          <t>完了予定</t>
        </is>
      </c>
    </row>
    <row r="16" ht="22" customHeight="1">
      <c r="A16" s="26" t="inlineStr">
        <is>
          <t>1.1</t>
        </is>
      </c>
      <c r="B16" s="9" t="inlineStr">
        <is>
          <t>業務管理・打合せ</t>
        </is>
      </c>
      <c r="C16" s="9" t="inlineStr">
        <is>
          <t>業務着手準備</t>
        </is>
      </c>
      <c r="D16" s="27">
        <f>'01_WBS'!$K$6</f>
        <v/>
      </c>
      <c r="E16" s="112">
        <f>IFERROR(D16/SUMIF('01_WBS'!$C$5:$C$98,3,'01_WBS'!$K$5:$K$98),0)</f>
        <v/>
      </c>
      <c r="F16" s="28" t="n">
        <v>46266</v>
      </c>
      <c r="G16" s="28" t="n">
        <v>46283</v>
      </c>
    </row>
    <row r="17" ht="22" customHeight="1">
      <c r="A17" s="23" t="inlineStr">
        <is>
          <t>1.2</t>
        </is>
      </c>
      <c r="B17" s="5" t="inlineStr">
        <is>
          <t>業務管理・打合せ</t>
        </is>
      </c>
      <c r="C17" s="5" t="inlineStr">
        <is>
          <t>進行管理</t>
        </is>
      </c>
      <c r="D17" s="24">
        <f>'01_WBS'!$K$11</f>
        <v/>
      </c>
      <c r="E17" s="114">
        <f>IFERROR(D17/SUMIF('01_WBS'!$C$5:$C$98,3,'01_WBS'!$K$5:$K$98),0)</f>
        <v/>
      </c>
      <c r="F17" s="25" t="n">
        <v>46266</v>
      </c>
      <c r="G17" s="25" t="n">
        <v>46477</v>
      </c>
    </row>
    <row r="18" ht="22" customHeight="1">
      <c r="A18" s="26" t="inlineStr">
        <is>
          <t>1.3</t>
        </is>
      </c>
      <c r="B18" s="9" t="inlineStr">
        <is>
          <t>業務管理・打合せ</t>
        </is>
      </c>
      <c r="C18" s="9" t="inlineStr">
        <is>
          <t>資料収集・整理</t>
        </is>
      </c>
      <c r="D18" s="27">
        <f>'01_WBS'!$K$16</f>
        <v/>
      </c>
      <c r="E18" s="112">
        <f>IFERROR(D18/SUMIF('01_WBS'!$C$5:$C$98,3,'01_WBS'!$K$5:$K$98),0)</f>
        <v/>
      </c>
      <c r="F18" s="28" t="n">
        <v>46273</v>
      </c>
      <c r="G18" s="28" t="n">
        <v>46310</v>
      </c>
    </row>
    <row r="19" ht="22" customHeight="1">
      <c r="A19" s="23" t="inlineStr">
        <is>
          <t>2.1</t>
        </is>
      </c>
      <c r="B19" s="5" t="inlineStr">
        <is>
          <t>現状の評価・分析</t>
        </is>
      </c>
      <c r="C19" s="5" t="inlineStr">
        <is>
          <t>基礎的資料による現状把握・分析</t>
        </is>
      </c>
      <c r="D19" s="24">
        <f>'01_WBS'!$K$23</f>
        <v/>
      </c>
      <c r="E19" s="114">
        <f>IFERROR(D19/SUMIF('01_WBS'!$C$5:$C$98,3,'01_WBS'!$K$5:$K$98),0)</f>
        <v/>
      </c>
      <c r="F19" s="25" t="n">
        <v>46296</v>
      </c>
      <c r="G19" s="25" t="n">
        <v>46325</v>
      </c>
    </row>
    <row r="20" ht="22" customHeight="1">
      <c r="A20" s="26" t="inlineStr">
        <is>
          <t>2.2</t>
        </is>
      </c>
      <c r="B20" s="9" t="inlineStr">
        <is>
          <t>現状の評価・分析</t>
        </is>
      </c>
      <c r="C20" s="9" t="inlineStr">
        <is>
          <t>高齢者福祉サービス実績の分析</t>
        </is>
      </c>
      <c r="D20" s="27">
        <f>'01_WBS'!$K$27</f>
        <v/>
      </c>
      <c r="E20" s="112">
        <f>IFERROR(D20/SUMIF('01_WBS'!$C$5:$C$98,3,'01_WBS'!$K$5:$K$98),0)</f>
        <v/>
      </c>
      <c r="F20" s="28" t="n">
        <v>46296</v>
      </c>
      <c r="G20" s="28" t="n">
        <v>46326</v>
      </c>
    </row>
    <row r="21" ht="22" customHeight="1">
      <c r="A21" s="23" t="inlineStr">
        <is>
          <t>2.3</t>
        </is>
      </c>
      <c r="B21" s="5" t="inlineStr">
        <is>
          <t>現状の評価・分析</t>
        </is>
      </c>
      <c r="C21" s="5" t="inlineStr">
        <is>
          <t>介護保険サービス実績の分析</t>
        </is>
      </c>
      <c r="D21" s="24">
        <f>'01_WBS'!$K$31</f>
        <v/>
      </c>
      <c r="E21" s="114">
        <f>IFERROR(D21/SUMIF('01_WBS'!$C$5:$C$98,3,'01_WBS'!$K$5:$K$98),0)</f>
        <v/>
      </c>
      <c r="F21" s="25" t="n">
        <v>46296</v>
      </c>
      <c r="G21" s="25" t="n">
        <v>46346</v>
      </c>
    </row>
    <row r="22" ht="22" customHeight="1">
      <c r="A22" s="26" t="inlineStr">
        <is>
          <t>2.4</t>
        </is>
      </c>
      <c r="B22" s="9" t="inlineStr">
        <is>
          <t>現状の評価・分析</t>
        </is>
      </c>
      <c r="C22" s="9" t="inlineStr">
        <is>
          <t>現行計画（第9期）の点検・評価</t>
        </is>
      </c>
      <c r="D22" s="27">
        <f>'01_WBS'!$K$36</f>
        <v/>
      </c>
      <c r="E22" s="112">
        <f>IFERROR(D22/SUMIF('01_WBS'!$C$5:$C$98,3,'01_WBS'!$K$5:$K$98),0)</f>
        <v/>
      </c>
      <c r="F22" s="28" t="n">
        <v>46273</v>
      </c>
      <c r="G22" s="28" t="n">
        <v>46353</v>
      </c>
    </row>
    <row r="23" ht="22" customHeight="1">
      <c r="A23" s="23" t="inlineStr">
        <is>
          <t>3.1</t>
        </is>
      </c>
      <c r="B23" s="5" t="inlineStr">
        <is>
          <t>人口推計・要支援要介護認定者数の推計</t>
        </is>
      </c>
      <c r="C23" s="5" t="inlineStr">
        <is>
          <t>人口推計</t>
        </is>
      </c>
      <c r="D23" s="24">
        <f>'01_WBS'!$K$42</f>
        <v/>
      </c>
      <c r="E23" s="114">
        <f>IFERROR(D23/SUMIF('01_WBS'!$C$5:$C$98,3,'01_WBS'!$K$5:$K$98),0)</f>
        <v/>
      </c>
      <c r="F23" s="25" t="n">
        <v>46308</v>
      </c>
      <c r="G23" s="25" t="n">
        <v>46346</v>
      </c>
    </row>
    <row r="24" ht="22" customHeight="1">
      <c r="A24" s="26" t="inlineStr">
        <is>
          <t>3.2</t>
        </is>
      </c>
      <c r="B24" s="9" t="inlineStr">
        <is>
          <t>人口推計・要支援要介護認定者数の推計</t>
        </is>
      </c>
      <c r="C24" s="9" t="inlineStr">
        <is>
          <t>要支援・要介護認定者数の推計</t>
        </is>
      </c>
      <c r="D24" s="27">
        <f>'01_WBS'!$K$46</f>
        <v/>
      </c>
      <c r="E24" s="112">
        <f>IFERROR(D24/SUMIF('01_WBS'!$C$5:$C$98,3,'01_WBS'!$K$5:$K$98),0)</f>
        <v/>
      </c>
      <c r="F24" s="28" t="n">
        <v>46335</v>
      </c>
      <c r="G24" s="28" t="n">
        <v>46365</v>
      </c>
    </row>
    <row r="25" ht="22" customHeight="1">
      <c r="A25" s="23" t="inlineStr">
        <is>
          <t>3.3</t>
        </is>
      </c>
      <c r="B25" s="5" t="inlineStr">
        <is>
          <t>人口推計・要支援要介護認定者数の推計</t>
        </is>
      </c>
      <c r="C25" s="5" t="inlineStr">
        <is>
          <t>推計結果の資料化</t>
        </is>
      </c>
      <c r="D25" s="24">
        <f>'01_WBS'!$K$50</f>
        <v/>
      </c>
      <c r="E25" s="114">
        <f>IFERROR(D25/SUMIF('01_WBS'!$C$5:$C$98,3,'01_WBS'!$K$5:$K$98),0)</f>
        <v/>
      </c>
      <c r="F25" s="25" t="n">
        <v>46363</v>
      </c>
      <c r="G25" s="25" t="n">
        <v>46367</v>
      </c>
    </row>
    <row r="26" ht="22" customHeight="1">
      <c r="A26" s="26" t="inlineStr">
        <is>
          <t>4.1</t>
        </is>
      </c>
      <c r="B26" s="9" t="inlineStr">
        <is>
          <t>介護サービス見込量・保険料の推計</t>
        </is>
      </c>
      <c r="C26" s="9" t="inlineStr">
        <is>
          <t>介護サービス見込量の推計</t>
        </is>
      </c>
      <c r="D26" s="27">
        <f>'01_WBS'!$K$53</f>
        <v/>
      </c>
      <c r="E26" s="112">
        <f>IFERROR(D26/SUMIF('01_WBS'!$C$5:$C$98,3,'01_WBS'!$K$5:$K$98),0)</f>
        <v/>
      </c>
      <c r="F26" s="28" t="n">
        <v>46357</v>
      </c>
      <c r="G26" s="28" t="n">
        <v>46402</v>
      </c>
    </row>
    <row r="27" ht="22" customHeight="1">
      <c r="A27" s="23" t="inlineStr">
        <is>
          <t>4.2</t>
        </is>
      </c>
      <c r="B27" s="5" t="inlineStr">
        <is>
          <t>介護サービス見込量・保険料の推計</t>
        </is>
      </c>
      <c r="C27" s="5" t="inlineStr">
        <is>
          <t>給付費・地域支援事業費の見込</t>
        </is>
      </c>
      <c r="D27" s="24">
        <f>'01_WBS'!$K$58</f>
        <v/>
      </c>
      <c r="E27" s="114">
        <f>IFERROR(D27/SUMIF('01_WBS'!$C$5:$C$98,3,'01_WBS'!$K$5:$K$98),0)</f>
        <v/>
      </c>
      <c r="F27" s="25" t="n">
        <v>46377</v>
      </c>
      <c r="G27" s="25" t="n">
        <v>46409</v>
      </c>
    </row>
    <row r="28" ht="22" customHeight="1">
      <c r="A28" s="26" t="inlineStr">
        <is>
          <t>4.3</t>
        </is>
      </c>
      <c r="B28" s="9" t="inlineStr">
        <is>
          <t>介護サービス見込量・保険料の推計</t>
        </is>
      </c>
      <c r="C28" s="9" t="inlineStr">
        <is>
          <t>第10期介護保険料の算定</t>
        </is>
      </c>
      <c r="D28" s="27">
        <f>'01_WBS'!$K$61</f>
        <v/>
      </c>
      <c r="E28" s="112">
        <f>IFERROR(D28/SUMIF('01_WBS'!$C$5:$C$98,3,'01_WBS'!$K$5:$K$98),0)</f>
        <v/>
      </c>
      <c r="F28" s="28" t="n">
        <v>46370</v>
      </c>
      <c r="G28" s="28" t="n">
        <v>46428</v>
      </c>
    </row>
    <row r="29" ht="22" customHeight="1">
      <c r="A29" s="23" t="inlineStr">
        <is>
          <t>4.4</t>
        </is>
      </c>
      <c r="B29" s="5" t="inlineStr">
        <is>
          <t>介護サービス見込量・保険料の推計</t>
        </is>
      </c>
      <c r="C29" s="5" t="inlineStr">
        <is>
          <t>国の指示等に伴う再算定対応</t>
        </is>
      </c>
      <c r="D29" s="24">
        <f>'01_WBS'!$K$66</f>
        <v/>
      </c>
      <c r="E29" s="114">
        <f>IFERROR(D29/SUMIF('01_WBS'!$C$5:$C$98,3,'01_WBS'!$K$5:$K$98),0)</f>
        <v/>
      </c>
      <c r="F29" s="25" t="n">
        <v>46419</v>
      </c>
      <c r="G29" s="25" t="n">
        <v>46459</v>
      </c>
    </row>
    <row r="30" ht="22" customHeight="1">
      <c r="A30" s="26" t="inlineStr">
        <is>
          <t>5.1</t>
        </is>
      </c>
      <c r="B30" s="9" t="inlineStr">
        <is>
          <t>計画素案の作成</t>
        </is>
      </c>
      <c r="C30" s="9" t="inlineStr">
        <is>
          <t>課題及び施策の方向の整理</t>
        </is>
      </c>
      <c r="D30" s="27">
        <f>'01_WBS'!$K$69</f>
        <v/>
      </c>
      <c r="E30" s="112">
        <f>IFERROR(D30/SUMIF('01_WBS'!$C$5:$C$98,3,'01_WBS'!$K$5:$K$98),0)</f>
        <v/>
      </c>
      <c r="F30" s="28" t="n">
        <v>46350</v>
      </c>
      <c r="G30" s="28" t="n">
        <v>46365</v>
      </c>
    </row>
    <row r="31" ht="22" customHeight="1">
      <c r="A31" s="23" t="inlineStr">
        <is>
          <t>5.2</t>
        </is>
      </c>
      <c r="B31" s="5" t="inlineStr">
        <is>
          <t>計画素案の作成</t>
        </is>
      </c>
      <c r="C31" s="5" t="inlineStr">
        <is>
          <t>計画骨子の提案</t>
        </is>
      </c>
      <c r="D31" s="24">
        <f>'01_WBS'!$K$73</f>
        <v/>
      </c>
      <c r="E31" s="114">
        <f>IFERROR(D31/SUMIF('01_WBS'!$C$5:$C$98,3,'01_WBS'!$K$5:$K$98),0)</f>
        <v/>
      </c>
      <c r="F31" s="25" t="n">
        <v>46342</v>
      </c>
      <c r="G31" s="25" t="n">
        <v>46366</v>
      </c>
    </row>
    <row r="32" ht="22" customHeight="1">
      <c r="A32" s="26" t="inlineStr">
        <is>
          <t>5.3</t>
        </is>
      </c>
      <c r="B32" s="9" t="inlineStr">
        <is>
          <t>計画素案の作成</t>
        </is>
      </c>
      <c r="C32" s="9" t="inlineStr">
        <is>
          <t>計画素案の執筆</t>
        </is>
      </c>
      <c r="D32" s="27">
        <f>'01_WBS'!$K$77</f>
        <v/>
      </c>
      <c r="E32" s="112">
        <f>IFERROR(D32/SUMIF('01_WBS'!$C$5:$C$98,3,'01_WBS'!$K$5:$K$98),0)</f>
        <v/>
      </c>
      <c r="F32" s="28" t="n">
        <v>46370</v>
      </c>
      <c r="G32" s="28" t="n">
        <v>46428</v>
      </c>
    </row>
    <row r="33" ht="22" customHeight="1">
      <c r="A33" s="23" t="inlineStr">
        <is>
          <t>5.4</t>
        </is>
      </c>
      <c r="B33" s="5" t="inlineStr">
        <is>
          <t>計画素案の作成</t>
        </is>
      </c>
      <c r="C33" s="5" t="inlineStr">
        <is>
          <t>素案の修正・反映</t>
        </is>
      </c>
      <c r="D33" s="24">
        <f>'01_WBS'!$K$88</f>
        <v/>
      </c>
      <c r="E33" s="114">
        <f>IFERROR(D33/SUMIF('01_WBS'!$C$5:$C$98,3,'01_WBS'!$K$5:$K$98),0)</f>
        <v/>
      </c>
      <c r="F33" s="25" t="n">
        <v>46430</v>
      </c>
      <c r="G33" s="25" t="n">
        <v>46459</v>
      </c>
    </row>
    <row r="34" ht="22" customHeight="1">
      <c r="A34" s="26" t="inlineStr">
        <is>
          <t>6.1</t>
        </is>
      </c>
      <c r="B34" s="9" t="inlineStr">
        <is>
          <t>成果品の作成・納品</t>
        </is>
      </c>
      <c r="C34" s="9" t="inlineStr">
        <is>
          <t>成果品の作成</t>
        </is>
      </c>
      <c r="D34" s="27">
        <f>'01_WBS'!$K$92</f>
        <v/>
      </c>
      <c r="E34" s="112">
        <f>IFERROR(D34/SUMIF('01_WBS'!$C$5:$C$98,3,'01_WBS'!$K$5:$K$98),0)</f>
        <v/>
      </c>
      <c r="F34" s="28" t="n">
        <v>46454</v>
      </c>
      <c r="G34" s="28" t="n">
        <v>46472</v>
      </c>
    </row>
    <row r="35" ht="22" customHeight="1">
      <c r="A35" s="23" t="inlineStr">
        <is>
          <t>6.2</t>
        </is>
      </c>
      <c r="B35" s="5" t="inlineStr">
        <is>
          <t>成果品の作成・納品</t>
        </is>
      </c>
      <c r="C35" s="5" t="inlineStr">
        <is>
          <t>納品・完了手続</t>
        </is>
      </c>
      <c r="D35" s="24">
        <f>'01_WBS'!$K$96</f>
        <v/>
      </c>
      <c r="E35" s="114">
        <f>IFERROR(D35/SUMIF('01_WBS'!$C$5:$C$98,3,'01_WBS'!$K$5:$K$98),0)</f>
        <v/>
      </c>
      <c r="F35" s="25" t="n">
        <v>46475</v>
      </c>
      <c r="G35" s="25" t="n">
        <v>46477</v>
      </c>
    </row>
    <row r="37">
      <c r="A37" s="13" t="inlineStr">
        <is>
          <t>※ 工数は仕様書の記載事項から想定した見積値であり、契約金額・要員計画の確定後に実績に合わせて更新すること。</t>
        </is>
      </c>
    </row>
  </sheetData>
  <mergeCells count="6">
    <mergeCell ref="A14:G14"/>
    <mergeCell ref="A1:G1"/>
    <mergeCell ref="A4:G4"/>
    <mergeCell ref="A2:G2"/>
    <mergeCell ref="A12:C12"/>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2026-09-09T04:31:16Z</dcterms:created>
  <dcterms:modified xsi:type="dcterms:W3CDTF">2026-09-09T04:31:17Z</dcterms:modified>
</cp:coreProperties>
</file>