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worksheets/sheet12.xml" ContentType="application/vnd.openxmlformats-officedocument.spreadsheetml.worksheet+xml"/>
  <Override PartName="/xl/drawings/drawing10.xml" ContentType="application/vnd.openxmlformats-officedocument.drawing+xml"/>
  <Override PartName="/xl/worksheets/sheet13.xml" ContentType="application/vnd.openxmlformats-officedocument.spreadsheetml.worksheet+xml"/>
  <Override PartName="/xl/drawings/drawing11.xml" ContentType="application/vnd.openxmlformats-officedocument.drawing+xml"/>
  <Override PartName="/xl/worksheets/sheet14.xml" ContentType="application/vnd.openxmlformats-officedocument.spreadsheetml.worksheet+xml"/>
  <Override PartName="/xl/drawings/drawing12.xml" ContentType="application/vnd.openxmlformats-officedocument.drawing+xml"/>
  <Override PartName="/xl/worksheets/sheet15.xml" ContentType="application/vnd.openxmlformats-officedocument.spreadsheetml.worksheet+xml"/>
  <Override PartName="/xl/drawings/drawing13.xml" ContentType="application/vnd.openxmlformats-officedocument.drawing+xml"/>
  <Override PartName="/xl/worksheets/sheet16.xml" ContentType="application/vnd.openxmlformats-officedocument.spreadsheetml.worksheet+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3" fontId="2" fillId="0" borderId="1" applyAlignment="1" pivotButton="0" quotePrefix="0" xfId="0">
      <alignment horizontal="right" vertical="center"/>
    </xf>
    <xf numFmtId="3" fontId="2" fillId="5"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0" fontId="6" fillId="0" borderId="0" pivotButton="0" quotePrefix="0" xfId="0"/>
    <xf numFmtId="3" fontId="7" fillId="0"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人口の推移（大雪地区広域連合）</a:t>
            </a:r>
          </a:p>
        </rich>
      </tx>
    </title>
    <plotArea>
      <barChart>
        <barDir val="col"/>
        <grouping val="stacked"/>
        <ser>
          <idx val="0"/>
          <order val="0"/>
          <tx>
            <strRef>
              <f>'01_人口推移'!A5</f>
            </strRef>
          </tx>
          <spPr>
            <a:solidFill xmlns:a="http://schemas.openxmlformats.org/drawingml/2006/main">
              <a:srgbClr val="000000"/>
            </a:solidFill>
            <a:ln xmlns:a="http://schemas.openxmlformats.org/drawingml/2006/main" w="6350">
              <a:solidFill>
                <a:srgbClr val="000000"/>
              </a:solidFill>
              <a:prstDash val="solid"/>
            </a:ln>
          </spPr>
          <cat>
            <numRef>
              <f>'01_人口推移'!$B$4:$P$4</f>
            </numRef>
          </cat>
          <val>
            <numRef>
              <f>'01_人口推移'!$B$5:$P$5</f>
            </numRef>
          </val>
        </ser>
        <ser>
          <idx val="1"/>
          <order val="1"/>
          <tx>
            <strRef>
              <f>'01_人口推移'!A6</f>
            </strRef>
          </tx>
          <spPr>
            <a:solidFill xmlns:a="http://schemas.openxmlformats.org/drawingml/2006/main">
              <a:srgbClr val="404040"/>
            </a:solidFill>
            <a:ln xmlns:a="http://schemas.openxmlformats.org/drawingml/2006/main" w="6350">
              <a:solidFill>
                <a:srgbClr val="000000"/>
              </a:solidFill>
              <a:prstDash val="solid"/>
            </a:ln>
          </spPr>
          <cat>
            <numRef>
              <f>'01_人口推移'!$B$4:$P$4</f>
            </numRef>
          </cat>
          <val>
            <numRef>
              <f>'01_人口推移'!$B$6:$P$6</f>
            </numRef>
          </val>
        </ser>
        <ser>
          <idx val="2"/>
          <order val="2"/>
          <tx>
            <strRef>
              <f>'01_人口推移'!A7</f>
            </strRef>
          </tx>
          <spPr>
            <a:solidFill xmlns:a="http://schemas.openxmlformats.org/drawingml/2006/main">
              <a:srgbClr val="737373"/>
            </a:solidFill>
            <a:ln xmlns:a="http://schemas.openxmlformats.org/drawingml/2006/main" w="6350">
              <a:solidFill>
                <a:srgbClr val="000000"/>
              </a:solidFill>
              <a:prstDash val="solid"/>
            </a:ln>
          </spPr>
          <cat>
            <numRef>
              <f>'01_人口推移'!$B$4:$P$4</f>
            </numRef>
          </cat>
          <val>
            <numRef>
              <f>'01_人口推移'!$B$7:$P$7</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title>
    <plotArea>
      <lineChart>
        <grouping val="standard"/>
        <ser>
          <idx val="0"/>
          <order val="0"/>
          <tx>
            <strRef>
              <f>'02_高齢化率推移'!A5</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'02_高齢化率推移'!$B$4:$P$4</f>
            </numRef>
          </cat>
          <val>
            <numRef>
              <f>'02_高齢化率推移'!$B$5:$P$5</f>
            </numRef>
          </val>
          <smooth val="0"/>
        </ser>
        <ser>
          <idx val="1"/>
          <order val="1"/>
          <tx>
            <strRef>
              <f>'02_高齢化率推移'!A6</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'02_高齢化率推移'!$B$4:$P$4</f>
            </numRef>
          </cat>
          <val>
            <numRef>
              <f>'02_高齢化率推移'!$B$6:$P$6</f>
            </numRef>
          </val>
          <smooth val="0"/>
        </ser>
        <ser>
          <idx val="2"/>
          <order val="2"/>
          <tx>
            <strRef>
              <f>'02_高齢化率推移'!A7</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'02_高齢化率推移'!$B$4:$P$4</f>
            </numRef>
          </cat>
          <val>
            <numRef>
              <f>'02_高齢化率推移'!$B$7:$P$7</f>
            </numRef>
          </val>
          <smooth val="0"/>
        </ser>
        <ser>
          <idx val="3"/>
          <order val="3"/>
          <tx>
            <strRef>
              <f>'02_高齢化率推移'!A8</f>
            </strRef>
          </tx>
          <spPr>
            <a:ln xmlns:a="http://schemas.openxmlformats.org/drawingml/2006/main" w="22225">
              <a:solidFill>
                <a:srgbClr val="000000"/>
              </a:solidFill>
              <a:prstDash val="dashDot"/>
            </a:ln>
          </spPr>
          <marker>
            <symbol val="diamond"/>
            <size val="6"/>
            <spPr>
              <a:solidFill xmlns:a="http://schemas.openxmlformats.org/drawingml/2006/main">
                <a:srgbClr val="A6A6A6"/>
              </a:solidFill>
              <a:ln xmlns:a="http://schemas.openxmlformats.org/drawingml/2006/main" w="6350">
                <a:solidFill>
                  <a:srgbClr val="000000"/>
                </a:solidFill>
                <a:prstDash val="solid"/>
              </a:ln>
            </spPr>
          </marker>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cat>
            <numRef>
              <f>'03_高齢者世帯'!$A$25:$A$30</f>
            </numRef>
          </cat>
          <val>
            <numRef>
              <f>'03_高齢者世帯'!$B$25:$B$30</f>
            </numRef>
          </val>
        </ser>
        <ser>
          <idx val="1"/>
          <order val="1"/>
          <tx>
            <strRef>
              <f>'03_高齢者世帯'!C24</f>
            </strRef>
          </tx>
          <spPr>
            <a:solidFill xmlns:a="http://schemas.openxmlformats.org/drawingml/2006/main">
              <a:srgbClr val="404040"/>
            </a:solidFill>
            <a:ln xmlns:a="http://schemas.openxmlformats.org/drawingml/2006/main" w="6350">
              <a:solidFill>
                <a:srgbClr val="000000"/>
              </a:solidFill>
              <a:prstDash val="solid"/>
            </a:ln>
          </spPr>
          <cat>
            <numRef>
              <f>'03_高齢者世帯'!$A$25:$A$30</f>
            </numRef>
          </cat>
          <val>
            <numRef>
              <f>'03_高齢者世帯'!$C$25:$C$30</f>
            </numRef>
          </val>
        </ser>
        <ser>
          <idx val="2"/>
          <order val="2"/>
          <tx>
            <strRef>
              <f>'03_高齢者世帯'!D24</f>
            </strRef>
          </tx>
          <spPr>
            <a:solidFill xmlns:a="http://schemas.openxmlformats.org/drawingml/2006/main">
              <a:srgbClr val="737373"/>
            </a:solidFill>
            <a:ln xmlns:a="http://schemas.openxmlformats.org/drawingml/2006/main" w="6350">
              <a:solidFill>
                <a:srgbClr val="000000"/>
              </a:solidFill>
              <a:prstDash val="solid"/>
            </a:ln>
          </spPr>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cat>
            <numRef>
              <f>'03_高齢者世帯'!$B$5:$D$5</f>
            </numRef>
          </cat>
          <val>
            <numRef>
              <f>'03_高齢者世帯'!$B$14:$D$14</f>
            </numRef>
          </val>
        </ser>
        <ser>
          <idx val="1"/>
          <order val="1"/>
          <tx>
            <strRef>
              <f>'03_高齢者世帯'!A18</f>
            </strRef>
          </tx>
          <spPr>
            <a:solidFill xmlns:a="http://schemas.openxmlformats.org/drawingml/2006/main">
              <a:srgbClr val="737373"/>
            </a:solidFill>
            <a:ln xmlns:a="http://schemas.openxmlformats.org/drawingml/2006/main" w="6350">
              <a:solidFill>
                <a:srgbClr val="000000"/>
              </a:solidFill>
              <a:prstDash val="solid"/>
            </a:ln>
          </spPr>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cat>
            <numRef>
              <f>'04_認定者数推移'!$B$4:$P$4</f>
            </numRef>
          </cat>
          <val>
            <numRef>
              <f>'04_認定者数推移'!$B$5:$P$5</f>
            </numRef>
          </val>
        </ser>
        <ser>
          <idx val="1"/>
          <order val="1"/>
          <tx>
            <strRef>
              <f>'04_認定者数推移'!A6</f>
            </strRef>
          </tx>
          <spPr>
            <a:solidFill xmlns:a="http://schemas.openxmlformats.org/drawingml/2006/main">
              <a:srgbClr val="262626"/>
            </a:solidFill>
            <a:ln xmlns:a="http://schemas.openxmlformats.org/drawingml/2006/main" w="6350">
              <a:solidFill>
                <a:srgbClr val="000000"/>
              </a:solidFill>
              <a:prstDash val="solid"/>
            </a:ln>
          </spPr>
          <cat>
            <numRef>
              <f>'04_認定者数推移'!$B$4:$P$4</f>
            </numRef>
          </cat>
          <val>
            <numRef>
              <f>'04_認定者数推移'!$B$6:$P$6</f>
            </numRef>
          </val>
        </ser>
        <ser>
          <idx val="2"/>
          <order val="2"/>
          <tx>
            <strRef>
              <f>'04_認定者数推移'!A7</f>
            </strRef>
          </tx>
          <spPr>
            <a:solidFill xmlns:a="http://schemas.openxmlformats.org/drawingml/2006/main">
              <a:srgbClr val="404040"/>
            </a:solidFill>
            <a:ln xmlns:a="http://schemas.openxmlformats.org/drawingml/2006/main" w="6350">
              <a:solidFill>
                <a:srgbClr val="000000"/>
              </a:solidFill>
              <a:prstDash val="solid"/>
            </a:ln>
          </spPr>
          <cat>
            <numRef>
              <f>'04_認定者数推移'!$B$4:$P$4</f>
            </numRef>
          </cat>
          <val>
            <numRef>
              <f>'04_認定者数推移'!$B$7:$P$7</f>
            </numRef>
          </val>
        </ser>
        <ser>
          <idx val="3"/>
          <order val="3"/>
          <tx>
            <strRef>
              <f>'04_認定者数推移'!A8</f>
            </strRef>
          </tx>
          <spPr>
            <a:solidFill xmlns:a="http://schemas.openxmlformats.org/drawingml/2006/main">
              <a:srgbClr val="595959"/>
            </a:solidFill>
            <a:ln xmlns:a="http://schemas.openxmlformats.org/drawingml/2006/main" w="6350">
              <a:solidFill>
                <a:srgbClr val="000000"/>
              </a:solidFill>
              <a:prstDash val="solid"/>
            </a:ln>
          </spPr>
          <cat>
            <numRef>
              <f>'04_認定者数推移'!$B$4:$P$4</f>
            </numRef>
          </cat>
          <val>
            <numRef>
              <f>'04_認定者数推移'!$B$8:$P$8</f>
            </numRef>
          </val>
        </ser>
        <ser>
          <idx val="4"/>
          <order val="4"/>
          <tx>
            <strRef>
              <f>'04_認定者数推移'!A9</f>
            </strRef>
          </tx>
          <spPr>
            <a:solidFill xmlns:a="http://schemas.openxmlformats.org/drawingml/2006/main">
              <a:srgbClr val="737373"/>
            </a:solidFill>
            <a:ln xmlns:a="http://schemas.openxmlformats.org/drawingml/2006/main" w="6350">
              <a:solidFill>
                <a:srgbClr val="000000"/>
              </a:solidFill>
              <a:prstDash val="solid"/>
            </a:ln>
          </spPr>
          <cat>
            <numRef>
              <f>'04_認定者数推移'!$B$4:$P$4</f>
            </numRef>
          </cat>
          <val>
            <numRef>
              <f>'04_認定者数推移'!$B$9:$P$9</f>
            </numRef>
          </val>
        </ser>
        <ser>
          <idx val="5"/>
          <order val="5"/>
          <tx>
            <strRef>
              <f>'04_認定者数推移'!A10</f>
            </strRef>
          </tx>
          <spPr>
            <a:solidFill xmlns:a="http://schemas.openxmlformats.org/drawingml/2006/main">
              <a:srgbClr val="8C8C8C"/>
            </a:solidFill>
            <a:ln xmlns:a="http://schemas.openxmlformats.org/drawingml/2006/main" w="6350">
              <a:solidFill>
                <a:srgbClr val="000000"/>
              </a:solidFill>
              <a:prstDash val="solid"/>
            </a:ln>
          </spPr>
          <cat>
            <numRef>
              <f>'04_認定者数推移'!$B$4:$P$4</f>
            </numRef>
          </cat>
          <val>
            <numRef>
              <f>'04_認定者数推移'!$B$10:$P$10</f>
            </numRef>
          </val>
        </ser>
        <ser>
          <idx val="6"/>
          <order val="6"/>
          <tx>
            <strRef>
              <f>'04_認定者数推移'!A11</f>
            </strRef>
          </tx>
          <spPr>
            <a:solidFill xmlns:a="http://schemas.openxmlformats.org/drawingml/2006/main">
              <a:srgbClr val="A6A6A6"/>
            </a:solidFill>
            <a:ln xmlns:a="http://schemas.openxmlformats.org/drawingml/2006/main" w="6350">
              <a:solidFill>
                <a:srgbClr val="000000"/>
              </a:solidFill>
              <a:prstDash val="solid"/>
            </a:ln>
          </spPr>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cat>
            <numRef>
              <f>'05_認定者割合'!$A$5:$A$10</f>
            </numRef>
          </cat>
          <val>
            <numRef>
              <f>'05_認定者割合'!$B$5:$B$10</f>
            </numRef>
          </val>
        </ser>
        <ser>
          <idx val="1"/>
          <order val="1"/>
          <tx>
            <strRef>
              <f>'05_認定者割合'!C4</f>
            </strRef>
          </tx>
          <spPr>
            <a:solidFill xmlns:a="http://schemas.openxmlformats.org/drawingml/2006/main">
              <a:srgbClr val="404040"/>
            </a:solidFill>
            <a:ln xmlns:a="http://schemas.openxmlformats.org/drawingml/2006/main" w="6350">
              <a:solidFill>
                <a:srgbClr val="000000"/>
              </a:solidFill>
              <a:prstDash val="solid"/>
            </a:ln>
          </spPr>
          <cat>
            <numRef>
              <f>'05_認定者割合'!$A$5:$A$10</f>
            </numRef>
          </cat>
          <val>
            <numRef>
              <f>'05_認定者割合'!$C$5:$C$10</f>
            </numRef>
          </val>
        </ser>
        <ser>
          <idx val="2"/>
          <order val="2"/>
          <tx>
            <strRef>
              <f>'05_認定者割合'!D4</f>
            </strRef>
          </tx>
          <spPr>
            <a:solidFill xmlns:a="http://schemas.openxmlformats.org/drawingml/2006/main">
              <a:srgbClr val="737373"/>
            </a:solidFill>
            <a:ln xmlns:a="http://schemas.openxmlformats.org/drawingml/2006/main" w="6350">
              <a:solidFill>
                <a:srgbClr val="000000"/>
              </a:solidFill>
              <a:prstDash val="solid"/>
            </a:ln>
          </spPr>
          <cat>
            <numRef>
              <f>'05_認定者割合'!$A$5:$A$10</f>
            </numRef>
          </cat>
          <val>
            <numRef>
              <f>'05_認定者割合'!$D$5:$D$10</f>
            </numRef>
          </val>
        </ser>
        <ser>
          <idx val="3"/>
          <order val="3"/>
          <tx>
            <strRef>
              <f>'05_認定者割合'!E4</f>
            </strRef>
          </tx>
          <spPr>
            <a:solidFill xmlns:a="http://schemas.openxmlformats.org/drawingml/2006/main">
              <a:srgbClr val="A6A6A6"/>
            </a:solidFill>
            <a:ln xmlns:a="http://schemas.openxmlformats.org/drawingml/2006/main" w="6350">
              <a:solidFill>
                <a:srgbClr val="000000"/>
              </a:solidFill>
              <a:prstDash val="solid"/>
            </a:ln>
          </spPr>
          <cat>
            <numRef>
              <f>'05_認定者割合'!$A$5:$A$10</f>
            </numRef>
          </cat>
          <val>
            <numRef>
              <f>'05_認定者割合'!$E$5:$E$10</f>
            </numRef>
          </val>
        </ser>
        <ser>
          <idx val="4"/>
          <order val="4"/>
          <tx>
            <strRef>
              <f>'05_認定者割合'!F4</f>
            </strRef>
          </tx>
          <spPr>
            <a:solidFill xmlns:a="http://schemas.openxmlformats.org/drawingml/2006/main">
              <a:srgbClr val="D9D9D9"/>
            </a:solidFill>
            <a:ln xmlns:a="http://schemas.openxmlformats.org/drawingml/2006/main" w="6350">
              <a:solidFill>
                <a:srgbClr val="000000"/>
              </a:solidFill>
              <a:prstDash val="solid"/>
            </a:ln>
          </spPr>
          <cat>
            <numRef>
              <f>'05_認定者割合'!$A$5:$A$10</f>
            </numRef>
          </cat>
          <val>
            <numRef>
              <f>'05_認定者割合'!$F$5:$F$10</f>
            </numRef>
          </val>
        </ser>
        <ser>
          <idx val="5"/>
          <order val="5"/>
          <tx>
            <strRef>
              <f>'05_認定者割合'!G4</f>
            </strRef>
          </tx>
          <spPr>
            <a:solidFill xmlns:a="http://schemas.openxmlformats.org/drawingml/2006/main">
              <a:srgbClr val="F2F2F2"/>
            </a:solidFill>
            <a:ln xmlns:a="http://schemas.openxmlformats.org/drawingml/2006/main" w="6350">
              <a:solidFill>
                <a:srgbClr val="000000"/>
              </a:solidFill>
              <a:prstDash val="solid"/>
            </a:ln>
          </spPr>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title>
    <plotArea>
      <lineChart>
        <grouping val="standard"/>
        <ser>
          <idx val="0"/>
          <order val="0"/>
          <tx>
            <strRef>
              <f>'06_出現率推移'!A6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'06_出現率推移'!$B$5:$P$5</f>
            </numRef>
          </cat>
          <val>
            <numRef>
              <f>'06_出現率推移'!$B$6:$P$6</f>
            </numRef>
          </val>
          <smooth val="0"/>
        </ser>
        <ser>
          <idx val="1"/>
          <order val="1"/>
          <tx>
            <strRef>
              <f>'06_出現率推移'!A7</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'06_出現率推移'!$B$5:$P$5</f>
            </numRef>
          </cat>
          <val>
            <numRef>
              <f>'06_出現率推移'!$B$7:$P$7</f>
            </numRef>
          </val>
          <smooth val="0"/>
        </ser>
        <ser>
          <idx val="2"/>
          <order val="2"/>
          <tx>
            <strRef>
              <f>'06_出現率推移'!A8</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title>
    <plotArea>
      <lineChart>
        <grouping val="standard"/>
        <ser>
          <idx val="0"/>
          <order val="0"/>
          <tx>
            <strRef>
              <f>'06_出現率推移'!A12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'06_出現率推移'!$B$11:$P$11</f>
            </numRef>
          </cat>
          <val>
            <numRef>
              <f>'06_出現率推移'!$B$12:$P$12</f>
            </numRef>
          </val>
          <smooth val="0"/>
        </ser>
        <ser>
          <idx val="1"/>
          <order val="1"/>
          <tx>
            <strRef>
              <f>'06_出現率推移'!A13</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'06_出現率推移'!$B$11:$P$11</f>
            </numRef>
          </cat>
          <val>
            <numRef>
              <f>'06_出現率推移'!$B$13:$P$13</f>
            </numRef>
          </val>
          <smooth val="0"/>
        </ser>
        <ser>
          <idx val="2"/>
          <order val="2"/>
          <tx>
            <strRef>
              <f>'06_出現率推移'!A14</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title>
    <plotArea>
      <barChart>
        <barDir val="col"/>
        <grouping val="clustered"/>
        <ser>
          <idx val="0"/>
          <order val="0"/>
          <tx>
            <strRef>
              <f>'06_出現率推移'!B41</f>
            </strRef>
          </tx>
          <spPr>
            <a:solidFill xmlns:a="http://schemas.openxmlformats.org/drawingml/2006/main">
              <a:srgbClr val="A6A6A6"/>
            </a:solidFill>
            <a:ln xmlns:a="http://schemas.openxmlformats.org/drawingml/2006/main" w="6350">
              <a:solidFill>
                <a:srgbClr val="000000"/>
              </a:solidFill>
              <a:prstDash val="solid"/>
            </a:ln>
          </spPr>
          <cat>
            <numRef>
              <f>'06_出現率推移'!$A$42:$A$65</f>
            </numRef>
          </cat>
          <val>
            <numRef>
              <f>'06_出現率推移'!$B$42:$B$65</f>
            </numRef>
          </val>
        </ser>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solidFill xmlns:a="http://schemas.openxmlformats.org/drawingml/2006/main">
              <a:srgbClr val="262626"/>
            </a:solid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40404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solidFill xmlns:a="http://schemas.openxmlformats.org/drawingml/2006/main">
              <a:srgbClr val="595959"/>
            </a:solid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737373"/>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solidFill xmlns:a="http://schemas.openxmlformats.org/drawingml/2006/main">
              <a:srgbClr val="8C8C8C"/>
            </a:solid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A6A6A6"/>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solidFill xmlns:a="http://schemas.openxmlformats.org/drawingml/2006/main">
              <a:srgbClr val="404040"/>
            </a:solid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737373"/>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title>
    <plotArea>
      <barChart>
        <barDir val="col"/>
        <grouping val="clustered"/>
        <ser>
          <idx val="0"/>
          <order val="0"/>
          <tx>
            <strRef>
              <f>'08_ニーズ調査データ'!$B$6</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'08_ニーズ調査データ'!$E$6:$J$6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title>
    <plotArea>
      <barChart>
        <barDir val="col"/>
        <grouping val="clustered"/>
        <ser>
          <idx val="0"/>
          <order val="0"/>
          <tx>
            <strRef>
              <f>'08_ニーズ調査データ'!$B$29</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'08_ニーズ調査データ'!$D$29:$G$29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title>
    <plotArea>
      <barChart>
        <barDir val="col"/>
        <grouping val="clustered"/>
        <ser>
          <idx val="0"/>
          <order val="0"/>
          <tx>
            <strRef>
              <f>'08_ニーズ調査データ'!$B$7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'08_ニーズ調査データ'!$E$7:$J$7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title>
    <plotArea>
      <barChart>
        <barDir val="col"/>
        <grouping val="clustered"/>
        <ser>
          <idx val="0"/>
          <order val="0"/>
          <tx>
            <strRef>
              <f>'08_ニーズ調査データ'!$B$30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'08_ニーズ調査データ'!$D$30:$G$30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title>
    <plotArea>
      <barChart>
        <barDir val="col"/>
        <grouping val="clustered"/>
        <ser>
          <idx val="0"/>
          <order val="0"/>
          <tx>
            <strRef>
              <f>'08_ニーズ調査データ'!$B$8</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'08_ニーズ調査データ'!$E$8:$J$8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title>
    <plotArea>
      <barChart>
        <barDir val="col"/>
        <grouping val="clustered"/>
        <ser>
          <idx val="0"/>
          <order val="0"/>
          <tx>
            <strRef>
              <f>'08_ニーズ調査データ'!$B$31</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'08_ニーズ調査データ'!$D$31:$G$31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title>
    <plotArea>
      <barChart>
        <barDir val="col"/>
        <grouping val="clustered"/>
        <ser>
          <idx val="0"/>
          <order val="0"/>
          <tx>
            <strRef>
              <f>'08_ニーズ調査データ'!$B$9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'08_ニーズ調査データ'!$E$9:$J$9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title>
    <plotArea>
      <barChart>
        <barDir val="col"/>
        <grouping val="clustered"/>
        <ser>
          <idx val="0"/>
          <order val="0"/>
          <tx>
            <strRef>
              <f>'08_ニーズ調査データ'!$B$32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'08_ニーズ調査データ'!$D$32:$G$32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title>
    <plotArea>
      <barChart>
        <barDir val="col"/>
        <grouping val="clustered"/>
        <ser>
          <idx val="0"/>
          <order val="0"/>
          <tx>
            <strRef>
              <f>'08_ニーズ調査データ'!$B$10</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'08_ニーズ調査データ'!$E$10:$J$10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title>
    <plotArea>
      <barChart>
        <barDir val="col"/>
        <grouping val="clustered"/>
        <ser>
          <idx val="0"/>
          <order val="0"/>
          <tx>
            <strRef>
              <f>'08_ニーズ調査データ'!$B$33</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'08_ニーズ調査データ'!$D$33:$G$33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title>
    <plotArea>
      <barChart>
        <barDir val="col"/>
        <grouping val="clustered"/>
        <ser>
          <idx val="0"/>
          <order val="0"/>
          <tx>
            <strRef>
              <f>'08_ニーズ調査データ'!$B$11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'08_ニーズ調査データ'!$E$11:$J$11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title>
    <plotArea>
      <barChart>
        <barDir val="col"/>
        <grouping val="clustered"/>
        <ser>
          <idx val="0"/>
          <order val="0"/>
          <tx>
            <strRef>
              <f>'08_ニーズ調査データ'!$B$34</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'08_ニーズ調査データ'!$D$34:$G$34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title>
    <plotArea>
      <barChart>
        <barDir val="col"/>
        <grouping val="clustered"/>
        <ser>
          <idx val="0"/>
          <order val="0"/>
          <tx>
            <strRef>
              <f>'08_ニーズ調査データ'!$B$12</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'08_ニーズ調査データ'!$E$12:$J$12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title>
    <plotArea>
      <barChart>
        <barDir val="col"/>
        <grouping val="clustered"/>
        <ser>
          <idx val="0"/>
          <order val="0"/>
          <tx>
            <strRef>
              <f>'08_ニーズ調査データ'!$B$35</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'08_ニーズ調査データ'!$D$35:$G$35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title>
    <plotArea>
      <barChart>
        <barDir val="col"/>
        <grouping val="clustered"/>
        <ser>
          <idx val="0"/>
          <order val="0"/>
          <tx>
            <strRef>
              <f>'08_ニーズ調査データ'!$B$13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'08_ニーズ調査データ'!$E$13:$J$13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title>
    <plotArea>
      <barChart>
        <barDir val="col"/>
        <grouping val="clustered"/>
        <ser>
          <idx val="0"/>
          <order val="0"/>
          <tx>
            <strRef>
              <f>'08_ニーズ調査データ'!$B$36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'08_ニーズ調査データ'!$D$36:$G$36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title>
    <plotArea>
      <barChart>
        <barDir val="col"/>
        <grouping val="clustered"/>
        <ser>
          <idx val="0"/>
          <order val="0"/>
          <tx>
            <strRef>
              <f>'08_ニーズ調査データ'!$B$14</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'08_ニーズ調査データ'!$E$14:$J$14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title>
    <plotArea>
      <barChart>
        <barDir val="col"/>
        <grouping val="clustered"/>
        <ser>
          <idx val="0"/>
          <order val="0"/>
          <tx>
            <strRef>
              <f>'08_ニーズ調査データ'!$B$37</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'08_ニーズ調査データ'!$D$37:$G$37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title>
    <plotArea>
      <barChart>
        <barDir val="col"/>
        <grouping val="clustered"/>
        <ser>
          <idx val="0"/>
          <order val="0"/>
          <tx>
            <strRef>
              <f>'08_ニーズ調査データ'!$B$15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'08_ニーズ調査データ'!$E$15:$J$15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title>
    <plotArea>
      <barChart>
        <barDir val="col"/>
        <grouping val="clustered"/>
        <ser>
          <idx val="0"/>
          <order val="0"/>
          <tx>
            <strRef>
              <f>'08_ニーズ調査データ'!$B$38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'08_ニーズ調査データ'!$D$38:$G$38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title>
    <plotArea>
      <barChart>
        <barDir val="col"/>
        <grouping val="clustered"/>
        <ser>
          <idx val="0"/>
          <order val="0"/>
          <tx>
            <strRef>
              <f>'08_ニーズ調査データ'!$B$16</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'08_ニーズ調査データ'!$E$16:$J$16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title>
    <plotArea>
      <barChart>
        <barDir val="col"/>
        <grouping val="clustered"/>
        <ser>
          <idx val="0"/>
          <order val="0"/>
          <tx>
            <strRef>
              <f>'08_ニーズ調査データ'!$B$39</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'08_ニーズ調査データ'!$D$39:$G$39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title>
    <plotArea>
      <barChart>
        <barDir val="col"/>
        <grouping val="clustered"/>
        <ser>
          <idx val="0"/>
          <order val="0"/>
          <tx>
            <strRef>
              <f>'08_ニーズ調査データ'!$B$17</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'08_ニーズ調査データ'!$E$17:$J$17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title>
    <plotArea>
      <barChart>
        <barDir val="col"/>
        <grouping val="clustered"/>
        <ser>
          <idx val="0"/>
          <order val="0"/>
          <tx>
            <strRef>
              <f>'08_ニーズ調査データ'!$B$40</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'08_ニーズ調査データ'!$D$40:$G$40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title>
    <plotArea>
      <barChart>
        <barDir val="col"/>
        <grouping val="clustered"/>
        <ser>
          <idx val="0"/>
          <order val="0"/>
          <tx>
            <strRef>
              <f>'08_ニーズ調査データ'!$B$18</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'08_ニーズ調査データ'!$E$18:$J$18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title>
    <plotArea>
      <barChart>
        <barDir val="col"/>
        <grouping val="clustered"/>
        <ser>
          <idx val="0"/>
          <order val="0"/>
          <tx>
            <strRef>
              <f>'08_ニーズ調査データ'!$B$41</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'08_ニーズ調査データ'!$D$41:$G$41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title>
    <plotArea>
      <barChart>
        <barDir val="col"/>
        <grouping val="clustered"/>
        <ser>
          <idx val="0"/>
          <order val="0"/>
          <tx>
            <strRef>
              <f>'08_ニーズ調査データ'!$B$19</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'08_ニーズ調査データ'!$E$19:$J$19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title>
    <plotArea>
      <barChart>
        <barDir val="col"/>
        <grouping val="clustered"/>
        <ser>
          <idx val="0"/>
          <order val="0"/>
          <tx>
            <strRef>
              <f>'08_ニーズ調査データ'!$B$42</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'08_ニーズ調査データ'!$D$42:$G$42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title>
    <plotArea>
      <barChart>
        <barDir val="col"/>
        <grouping val="clustered"/>
        <ser>
          <idx val="0"/>
          <order val="0"/>
          <tx>
            <strRef>
              <f>'08_ニーズ調査データ'!$B$20</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'08_ニーズ調査データ'!$E$20:$J$20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title>
    <plotArea>
      <barChart>
        <barDir val="col"/>
        <grouping val="clustered"/>
        <ser>
          <idx val="0"/>
          <order val="0"/>
          <tx>
            <strRef>
              <f>'08_ニーズ調査データ'!$B$43</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'08_ニーズ調査データ'!$D$43:$G$43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title>
    <plotArea>
      <barChart>
        <barDir val="col"/>
        <grouping val="clustered"/>
        <ser>
          <idx val="0"/>
          <order val="0"/>
          <tx>
            <strRef>
              <f>'08_ニーズ調査データ'!$B$21</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'08_ニーズ調査データ'!$E$21:$J$21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title>
    <plotArea>
      <barChart>
        <barDir val="col"/>
        <grouping val="clustered"/>
        <ser>
          <idx val="0"/>
          <order val="0"/>
          <tx>
            <strRef>
              <f>'08_ニーズ調査データ'!$B$44</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'08_ニーズ調査データ'!$D$44:$G$44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title>
    <plotArea>
      <barChart>
        <barDir val="col"/>
        <grouping val="clustered"/>
        <ser>
          <idx val="0"/>
          <order val="0"/>
          <tx>
            <strRef>
              <f>'08_ニーズ調査データ'!$B$22</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'08_ニーズ調査データ'!$E$22:$J$22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title>
    <plotArea>
      <barChart>
        <barDir val="col"/>
        <grouping val="clustered"/>
        <ser>
          <idx val="0"/>
          <order val="0"/>
          <tx>
            <strRef>
              <f>'08_ニーズ調査データ'!$B$45</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'08_ニーズ調査データ'!$D$45:$G$45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title>
    <plotArea>
      <barChart>
        <barDir val="col"/>
        <grouping val="clustered"/>
        <ser>
          <idx val="0"/>
          <order val="0"/>
          <tx>
            <strRef>
              <f>'08_ニーズ調査データ'!$B$23</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'08_ニーズ調査データ'!$E$23:$J$23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title>
    <plotArea>
      <barChart>
        <barDir val="col"/>
        <grouping val="clustered"/>
        <ser>
          <idx val="0"/>
          <order val="0"/>
          <tx>
            <strRef>
              <f>'08_ニーズ調査データ'!$B$46</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'08_ニーズ調査データ'!$D$46:$G$46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title>
    <plotArea>
      <barChart>
        <barDir val="col"/>
        <grouping val="clustered"/>
        <ser>
          <idx val="0"/>
          <order val="0"/>
          <tx>
            <strRef>
              <f>'08_ニーズ調査データ'!$B$24</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'08_ニーズ調査データ'!$E$24:$J$24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title>
    <plotArea>
      <barChart>
        <barDir val="col"/>
        <grouping val="clustered"/>
        <ser>
          <idx val="0"/>
          <order val="0"/>
          <tx>
            <strRef>
              <f>'08_ニーズ調査データ'!$B$47</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'08_ニーズ調査データ'!$D$47:$G$47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title>
    <plotArea>
      <barChart>
        <barDir val="col"/>
        <grouping val="clustered"/>
        <ser>
          <idx val="0"/>
          <order val="0"/>
          <tx>
            <strRef>
              <f>'08_ニーズ調査データ'!$B$25</f>
            </strRef>
          </tx>
          <spPr>
            <a:solidFill xmlns:a="http://schemas.openxmlformats.org/drawingml/2006/main">
              <a:srgbClr val="737373"/>
            </a:solidFill>
            <a:ln xmlns:a="http://schemas.openxmlformats.org/drawingml/2006/main" w="6350">
              <a:solidFill>
                <a:srgbClr val="000000"/>
              </a:solidFill>
              <a:prstDash val="solid"/>
            </a:ln>
          </spPr>
          <cat>
            <numRef>
              <f>'08_ニーズ調査データ'!$E$5:$J$5</f>
            </numRef>
          </cat>
          <val>
            <numRef>
              <f>'08_ニーズ調査データ'!$E$25:$J$25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title>
    <plotArea>
      <barChart>
        <barDir val="col"/>
        <grouping val="clustered"/>
        <ser>
          <idx val="0"/>
          <order val="0"/>
          <tx>
            <strRef>
              <f>'08_ニーズ調査データ'!$B$48</f>
            </strRef>
          </tx>
          <spPr>
            <a:solidFill xmlns:a="http://schemas.openxmlformats.org/drawingml/2006/main">
              <a:srgbClr val="A6A6A6"/>
            </a:solidFill>
            <a:ln xmlns:a="http://schemas.openxmlformats.org/drawingml/2006/main" w="6350">
              <a:solidFill>
                <a:srgbClr val="000000"/>
              </a:solidFill>
              <a:prstDash val="solid"/>
            </a:ln>
          </spPr>
          <cat>
            <numRef>
              <f>'08_ニーズ調査データ'!$D$28:$G$28</f>
            </numRef>
          </cat>
          <val>
            <numRef>
              <f>'08_ニーズ調査データ'!$D$48:$G$48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title>
    <plotArea>
      <barChart>
        <barDir val="bar"/>
        <grouping val="clustered"/>
        <ser>
          <idx val="0"/>
          <order val="0"/>
          <tx>
            <strRef>
              <f>'09_ニーズ調査グラフ'!B345</f>
            </strRef>
          </tx>
          <spPr>
            <a:solidFill xmlns:a="http://schemas.openxmlformats.org/drawingml/2006/main">
              <a:srgbClr val="D9D9D9"/>
            </a:solidFill>
            <a:ln xmlns:a="http://schemas.openxmlformats.org/drawingml/2006/main" w="6350">
              <a:solidFill>
                <a:srgbClr val="000000"/>
              </a:solidFill>
              <a:prstDash val="solid"/>
            </a:ln>
          </spPr>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404040"/>
            </a:solidFill>
            <a:ln xmlns:a="http://schemas.openxmlformats.org/drawingml/2006/main" w="6350">
              <a:solidFill>
                <a:srgbClr val="000000"/>
              </a:solidFill>
              <a:prstDash val="solid"/>
            </a:ln>
          </spPr>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title>
    <plotArea>
      <barChart>
        <barDir val="bar"/>
        <grouping val="clustered"/>
        <ser>
          <idx val="0"/>
          <order val="0"/>
          <tx>
            <strRef>
              <f>'10_在宅介護実態調査'!B5</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'10_在宅介護実態調査'!$A$6:$A$9</f>
            </numRef>
          </cat>
          <val>
            <numRef>
              <f>'10_在宅介護実態調査'!$B$6:$B$9</f>
            </numRef>
          </val>
        </ser>
        <ser>
          <idx val="1"/>
          <order val="1"/>
          <tx>
            <strRef>
              <f>'10_在宅介護実態調査'!C5</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title>
    <plotArea>
      <barChart>
        <barDir val="bar"/>
        <grouping val="clustered"/>
        <ser>
          <idx val="0"/>
          <order val="0"/>
          <tx>
            <strRef>
              <f>'10_在宅介護実態調査'!B14</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'10_在宅介護実態調査'!$A$15:$A$20</f>
            </numRef>
          </cat>
          <val>
            <numRef>
              <f>'10_在宅介護実態調査'!$B$15:$B$20</f>
            </numRef>
          </val>
        </ser>
        <ser>
          <idx val="1"/>
          <order val="1"/>
          <tx>
            <strRef>
              <f>'10_在宅介護実態調査'!C14</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title>
    <plotArea>
      <barChart>
        <barDir val="bar"/>
        <grouping val="clustered"/>
        <ser>
          <idx val="0"/>
          <order val="0"/>
          <tx>
            <strRef>
              <f>'10_在宅介護実態調査'!B25</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'10_在宅介護実態調査'!$A$26:$A$42</f>
            </numRef>
          </cat>
          <val>
            <numRef>
              <f>'10_在宅介護実態調査'!$B$26:$B$42</f>
            </numRef>
          </val>
        </ser>
        <ser>
          <idx val="1"/>
          <order val="1"/>
          <tx>
            <strRef>
              <f>'10_在宅介護実態調査'!C25</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title>
    <plotArea>
      <barChart>
        <barDir val="bar"/>
        <grouping val="clustered"/>
        <ser>
          <idx val="0"/>
          <order val="0"/>
          <tx>
            <strRef>
              <f>'10_在宅介護実態調査'!B47</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'10_在宅介護実態調査'!$A$48:$A$54</f>
            </numRef>
          </cat>
          <val>
            <numRef>
              <f>'10_在宅介護実態調査'!$B$48:$B$54</f>
            </numRef>
          </val>
        </ser>
        <ser>
          <idx val="1"/>
          <order val="1"/>
          <tx>
            <strRef>
              <f>'10_在宅介護実態調査'!C47</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title>
    <plotArea>
      <barChart>
        <barDir val="bar"/>
        <grouping val="clustered"/>
        <ser>
          <idx val="0"/>
          <order val="0"/>
          <tx>
            <strRef>
              <f>'10_在宅介護実態調査'!B59</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'10_在宅介護実態調査'!$A$60:$A$71</f>
            </numRef>
          </cat>
          <val>
            <numRef>
              <f>'10_在宅介護実態調査'!$B$60:$B$71</f>
            </numRef>
          </val>
        </ser>
        <ser>
          <idx val="1"/>
          <order val="1"/>
          <tx>
            <strRef>
              <f>'10_在宅介護実態調査'!C59</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title>
    <plotArea>
      <barChart>
        <barDir val="bar"/>
        <grouping val="clustered"/>
        <ser>
          <idx val="0"/>
          <order val="0"/>
          <tx>
            <strRef>
              <f>'10_在宅介護実態調査'!B76</f>
            </strRef>
          </tx>
          <spPr>
            <a:solidFill xmlns:a="http://schemas.openxmlformats.org/drawingml/2006/main">
              <a:srgbClr val="404040"/>
            </a:solidFill>
            <a:ln xmlns:a="http://schemas.openxmlformats.org/drawingml/2006/main" w="6350">
              <a:solidFill>
                <a:srgbClr val="000000"/>
              </a:solidFill>
              <a:prstDash val="solid"/>
            </a:ln>
          </spPr>
          <cat>
            <numRef>
              <f>'10_在宅介護実態調査'!$A$77:$A$80</f>
            </numRef>
          </cat>
          <val>
            <numRef>
              <f>'10_在宅介護実態調査'!$B$77:$B$80</f>
            </numRef>
          </val>
        </ser>
        <ser>
          <idx val="1"/>
          <order val="1"/>
          <tx>
            <strRef>
              <f>'10_在宅介護実態調査'!C76</f>
            </strRef>
          </tx>
          <spPr>
            <a:solidFill xmlns:a="http://schemas.openxmlformats.org/drawingml/2006/main">
              <a:srgbClr val="D9D9D9"/>
            </a:solidFill>
            <a:ln xmlns:a="http://schemas.openxmlformats.org/drawingml/2006/main" w="6350">
              <a:solidFill>
                <a:srgbClr val="000000"/>
              </a:solidFill>
              <a:prstDash val="solid"/>
            </a:ln>
          </spPr>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title>
    <plotArea>
      <barChart>
        <barDir val="bar"/>
        <grouping val="clustered"/>
        <ser>
          <idx val="0"/>
          <order val="0"/>
          <tx>
            <strRef>
              <f>'11_居所変更実態調査'!E5</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'11_居所変更実態調査'!$A$6:$A$13</f>
            </numRef>
          </cat>
          <val>
            <numRef>
              <f>'11_居所変更実態調査'!$E$6:$E$13</f>
            </numRef>
          </val>
        </ser>
        <ser>
          <idx val="1"/>
          <order val="1"/>
          <tx>
            <strRef>
              <f>'11_居所変更実態調査'!F5</f>
            </strRef>
          </tx>
          <spPr>
            <a:solidFill xmlns:a="http://schemas.openxmlformats.org/drawingml/2006/main">
              <a:srgbClr val="D9D9D9"/>
            </a:solidFill>
            <a:ln xmlns:a="http://schemas.openxmlformats.org/drawingml/2006/main" w="6350">
              <a:solidFill>
                <a:srgbClr val="000000"/>
              </a:solidFill>
              <a:prstDash val="solid"/>
            </a:ln>
          </spPr>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solidFill xmlns:a="http://schemas.openxmlformats.org/drawingml/2006/main">
              <a:srgbClr val="262626"/>
            </a:solid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solidFill xmlns:a="http://schemas.openxmlformats.org/drawingml/2006/main">
              <a:srgbClr val="595959"/>
            </a:solid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737373"/>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solidFill xmlns:a="http://schemas.openxmlformats.org/drawingml/2006/main">
              <a:srgbClr val="8C8C8C"/>
            </a:solid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A6A6A6"/>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solidFill xmlns:a="http://schemas.openxmlformats.org/drawingml/2006/main">
              <a:srgbClr val="D9D9D9"/>
            </a:solid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title>
    <plotArea>
      <barChart>
        <barDir val="bar"/>
        <grouping val="clustered"/>
        <ser>
          <idx val="0"/>
          <order val="0"/>
          <tx>
            <strRef>
              <f>'11_居所変更実態調査'!B31</f>
            </strRef>
          </tx>
          <spPr>
            <a:solidFill xmlns:a="http://schemas.openxmlformats.org/drawingml/2006/main">
              <a:srgbClr val="404040"/>
            </a:solidFill>
            <a:ln xmlns:a="http://schemas.openxmlformats.org/drawingml/2006/main" w="6350">
              <a:solidFill>
                <a:srgbClr val="000000"/>
              </a:solidFill>
              <a:prstDash val="solid"/>
            </a:ln>
          </spPr>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title>
    <plotArea>
      <barChart>
        <barDir val="bar"/>
        <grouping val="clustered"/>
        <ser>
          <idx val="0"/>
          <order val="0"/>
          <tx>
            <strRef>
              <f>'12_在宅生活改善調査'!B16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'12_在宅生活改善調査'!$A$17:$A$25</f>
            </numRef>
          </cat>
          <val>
            <numRef>
              <f>'12_在宅生活改善調査'!$B$17:$B$25</f>
            </numRef>
          </val>
        </ser>
        <ser>
          <idx val="1"/>
          <order val="1"/>
          <tx>
            <strRef>
              <f>'12_在宅生活改善調査'!C16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title>
    <plotArea>
      <barChart>
        <barDir val="bar"/>
        <grouping val="clustered"/>
        <ser>
          <idx val="0"/>
          <order val="0"/>
          <tx>
            <strRef>
              <f>'12_在宅生活改善調査'!B30</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'12_在宅生活改善調査'!$A$31:$A$38</f>
            </numRef>
          </cat>
          <val>
            <numRef>
              <f>'12_在宅生活改善調査'!$B$31:$B$38</f>
            </numRef>
          </val>
        </ser>
        <ser>
          <idx val="1"/>
          <order val="1"/>
          <tx>
            <strRef>
              <f>'12_在宅生活改善調査'!C30</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'12_在宅生活改善調査'!$A$31:$A$38</f>
            </numRef>
          </cat>
          <val>
            <numRef>
              <f>'12_在宅生活改善調査'!$C$31:$C$38</f>
            </numRef>
          </val>
        </ser>
        <ser>
          <idx val="2"/>
          <order val="2"/>
          <tx>
            <strRef>
              <f>'12_在宅生活改善調査'!D30</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title>
    <plotArea>
      <barChart>
        <barDir val="bar"/>
        <grouping val="clustered"/>
        <ser>
          <idx val="0"/>
          <order val="0"/>
          <tx>
            <strRef>
              <f>'12_在宅生活改善調査'!B30</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'12_在宅生活改善調査'!$A$31:$A$38</f>
            </numRef>
          </cat>
          <val>
            <numRef>
              <f>'12_在宅生活改善調査'!$B$31:$B$38</f>
            </numRef>
          </val>
        </ser>
        <ser>
          <idx val="1"/>
          <order val="1"/>
          <tx>
            <strRef>
              <f>'12_在宅生活改善調査'!E30</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title>
    <plotArea>
      <barChart>
        <barDir val="bar"/>
        <grouping val="clustered"/>
        <ser>
          <idx val="0"/>
          <order val="0"/>
          <tx>
            <strRef>
              <f>'12_在宅生活改善調査'!B43</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'12_在宅生活改善調査'!$A$44:$A$51</f>
            </numRef>
          </cat>
          <val>
            <numRef>
              <f>'12_在宅生活改善調査'!$B$44:$B$51</f>
            </numRef>
          </val>
        </ser>
        <ser>
          <idx val="1"/>
          <order val="1"/>
          <tx>
            <strRef>
              <f>'12_在宅生活改善調査'!C43</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'12_在宅生活改善調査'!$A$44:$A$51</f>
            </numRef>
          </cat>
          <val>
            <numRef>
              <f>'12_在宅生活改善調査'!$C$44:$C$51</f>
            </numRef>
          </val>
        </ser>
        <ser>
          <idx val="2"/>
          <order val="2"/>
          <tx>
            <strRef>
              <f>'12_在宅生活改善調査'!D43</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title>
    <plotArea>
      <barChart>
        <barDir val="bar"/>
        <grouping val="clustered"/>
        <ser>
          <idx val="0"/>
          <order val="0"/>
          <tx>
            <strRef>
              <f>'12_在宅生活改善調査'!B43</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'12_在宅生活改善調査'!$A$44:$A$51</f>
            </numRef>
          </cat>
          <val>
            <numRef>
              <f>'12_在宅生活改善調査'!$B$44:$B$51</f>
            </numRef>
          </val>
        </ser>
        <ser>
          <idx val="1"/>
          <order val="1"/>
          <tx>
            <strRef>
              <f>'12_在宅生活改善調査'!E43</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title>
    <plotArea>
      <barChart>
        <barDir val="bar"/>
        <grouping val="clustered"/>
        <ser>
          <idx val="0"/>
          <order val="0"/>
          <tx>
            <strRef>
              <f>'12_在宅生活改善調査'!B56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'12_在宅生活改善調査'!$A$57:$A$65</f>
            </numRef>
          </cat>
          <val>
            <numRef>
              <f>'12_在宅生活改善調査'!$B$57:$B$65</f>
            </numRef>
          </val>
        </ser>
        <ser>
          <idx val="1"/>
          <order val="1"/>
          <tx>
            <strRef>
              <f>'12_在宅生活改善調査'!C56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'12_在宅生活改善調査'!$A$57:$A$65</f>
            </numRef>
          </cat>
          <val>
            <numRef>
              <f>'12_在宅生活改善調査'!$C$57:$C$65</f>
            </numRef>
          </val>
        </ser>
        <ser>
          <idx val="2"/>
          <order val="2"/>
          <tx>
            <strRef>
              <f>'12_在宅生活改善調査'!D56</f>
            </strRef>
          </tx>
          <spPr>
            <a:solidFill xmlns:a="http://schemas.openxmlformats.org/drawingml/2006/main">
              <a:srgbClr val="A6A6A6"/>
            </a:solidFill>
            <a:ln xmlns:a="http://schemas.openxmlformats.org/drawingml/2006/main" w="6350">
              <a:solidFill>
                <a:srgbClr val="000000"/>
              </a:solidFill>
              <a:prstDash val="solid"/>
            </a:ln>
          </spPr>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title>
    <plotArea>
      <barChart>
        <barDir val="bar"/>
        <grouping val="clustered"/>
        <ser>
          <idx val="0"/>
          <order val="0"/>
          <tx>
            <strRef>
              <f>'12_在宅生活改善調査'!B56</f>
            </strRef>
          </tx>
          <spPr>
            <a:solidFill xmlns:a="http://schemas.openxmlformats.org/drawingml/2006/main">
              <a:srgbClr val="404040"/>
            </a:solidFill>
            <a:ln xmlns:a="http://schemas.openxmlformats.org/drawingml/2006/main" w="6350">
              <a:solidFill>
                <a:srgbClr val="000000"/>
              </a:solidFill>
              <a:prstDash val="solid"/>
            </a:ln>
          </spPr>
          <cat>
            <numRef>
              <f>'12_在宅生活改善調査'!$A$57:$A$65</f>
            </numRef>
          </cat>
          <val>
            <numRef>
              <f>'12_在宅生活改善調査'!$B$57:$B$65</f>
            </numRef>
          </val>
        </ser>
        <ser>
          <idx val="1"/>
          <order val="1"/>
          <tx>
            <strRef>
              <f>'12_在宅生活改善調査'!E56</f>
            </strRef>
          </tx>
          <spPr>
            <a:solidFill xmlns:a="http://schemas.openxmlformats.org/drawingml/2006/main">
              <a:srgbClr val="D9D9D9"/>
            </a:solidFill>
            <a:ln xmlns:a="http://schemas.openxmlformats.org/drawingml/2006/main" w="6350">
              <a:solidFill>
                <a:srgbClr val="000000"/>
              </a:solidFill>
              <a:prstDash val="solid"/>
            </a:ln>
          </spPr>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title>
    <plotArea>
      <barChart>
        <barDir val="bar"/>
        <grouping val="clustered"/>
        <ser>
          <idx val="0"/>
          <order val="0"/>
          <tx>
            <strRef>
              <f>'13_介護人材実態調査'!B12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'13_介護人材実態調査'!$A$13:$A$14</f>
            </numRef>
          </cat>
          <val>
            <numRef>
              <f>'13_介護人材実態調査'!$B$13:$B$14</f>
            </numRef>
          </val>
        </ser>
        <ser>
          <idx val="1"/>
          <order val="1"/>
          <tx>
            <strRef>
              <f>'13_介護人材実態調査'!C12</f>
            </strRef>
          </tx>
          <spPr>
            <a:solidFill xmlns:a="http://schemas.openxmlformats.org/drawingml/2006/main">
              <a:srgbClr val="D9D9D9"/>
            </a:solidFill>
            <a:ln xmlns:a="http://schemas.openxmlformats.org/drawingml/2006/main" w="6350">
              <a:solidFill>
                <a:srgbClr val="000000"/>
              </a:solidFill>
              <a:prstDash val="solid"/>
            </a:ln>
          </spPr>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title>
    <plotArea>
      <barChart>
        <barDir val="bar"/>
        <grouping val="clustered"/>
        <ser>
          <idx val="0"/>
          <order val="0"/>
          <tx>
            <strRef>
              <f>'13_介護人材実態調査'!B20</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title>
    <plotArea>
      <barChart>
        <barDir val="bar"/>
        <grouping val="clustered"/>
        <ser>
          <idx val="0"/>
          <order val="0"/>
          <tx>
            <strRef>
              <f>'13_介護人材実態調査'!B26</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'13_介護人材実態調査'!$A$33:$A$35</f>
            </numRef>
          </cat>
          <val>
            <numRef>
              <f>'13_介護人材実態調査'!$B$33:$B$35</f>
            </numRef>
          </val>
        </ser>
        <ser>
          <idx val="1"/>
          <order val="1"/>
          <tx>
            <strRef>
              <f>'13_介護人材実態調査'!C32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'13_介護人材実態調査'!$A$33:$A$35</f>
            </numRef>
          </cat>
          <val>
            <numRef>
              <f>'13_介護人材実態調査'!$C$33:$C$35</f>
            </numRef>
          </val>
        </ser>
        <ser>
          <idx val="2"/>
          <order val="2"/>
          <tx>
            <strRef>
              <f>'13_介護人材実態調査'!D32</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'13_介護人材実態調査'!$A$33:$A$35</f>
            </numRef>
          </cat>
          <val>
            <numRef>
              <f>'13_介護人材実態調査'!$D$33:$D$35</f>
            </numRef>
          </val>
        </ser>
        <ser>
          <idx val="3"/>
          <order val="3"/>
          <tx>
            <strRef>
              <f>'13_介護人材実態調査'!E32</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'13_介護人材実態調査'!$A$41:$A$43</f>
            </numRef>
          </cat>
          <val>
            <numRef>
              <f>'13_介護人材実態調査'!$B$41:$B$43</f>
            </numRef>
          </val>
        </ser>
        <ser>
          <idx val="1"/>
          <order val="1"/>
          <tx>
            <strRef>
              <f>'13_介護人材実態調査'!C40</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'13_介護人材実態調査'!$A$41:$A$43</f>
            </numRef>
          </cat>
          <val>
            <numRef>
              <f>'13_介護人材実態調査'!$C$41:$C$43</f>
            </numRef>
          </val>
        </ser>
        <ser>
          <idx val="2"/>
          <order val="2"/>
          <tx>
            <strRef>
              <f>'13_介護人材実態調査'!D40</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'13_介護人材実態調査'!$A$41:$A$43</f>
            </numRef>
          </cat>
          <val>
            <numRef>
              <f>'13_介護人材実態調査'!$D$41:$D$43</f>
            </numRef>
          </val>
        </ser>
        <ser>
          <idx val="3"/>
          <order val="3"/>
          <tx>
            <strRef>
              <f>'13_介護人材実態調査'!E40</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'13_介護人材実態調査'!$A$41:$A$43</f>
            </numRef>
          </cat>
          <val>
            <numRef>
              <f>'13_介護人材実態調査'!$E$41:$E$43</f>
            </numRef>
          </val>
        </ser>
        <ser>
          <idx val="4"/>
          <order val="4"/>
          <tx>
            <strRef>
              <f>'13_介護人材実態調査'!F40</f>
            </strRef>
          </tx>
          <spPr>
            <a:solidFill xmlns:a="http://schemas.openxmlformats.org/drawingml/2006/main">
              <a:srgbClr val="D9D9D9"/>
            </a:solidFill>
            <a:ln xmlns:a="http://schemas.openxmlformats.org/drawingml/2006/main" w="6350">
              <a:solidFill>
                <a:srgbClr val="000000"/>
              </a:solidFill>
              <a:prstDash val="solid"/>
            </a:ln>
          </spPr>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'13_介護人材実態調査'!$A$66:$A$68</f>
            </numRef>
          </cat>
          <val>
            <numRef>
              <f>'13_介護人材実態調査'!$B$66:$B$68</f>
            </numRef>
          </val>
        </ser>
        <ser>
          <idx val="1"/>
          <order val="1"/>
          <tx>
            <strRef>
              <f>'13_介護人材実態調査'!C65</f>
            </strRef>
          </tx>
          <spPr>
            <a:solidFill xmlns:a="http://schemas.openxmlformats.org/drawingml/2006/main">
              <a:srgbClr val="262626"/>
            </a:solidFill>
            <a:ln xmlns:a="http://schemas.openxmlformats.org/drawingml/2006/main" w="6350">
              <a:solidFill>
                <a:srgbClr val="000000"/>
              </a:solidFill>
              <a:prstDash val="solid"/>
            </a:ln>
          </spPr>
          <cat>
            <numRef>
              <f>'13_介護人材実態調査'!$A$66:$A$68</f>
            </numRef>
          </cat>
          <val>
            <numRef>
              <f>'13_介護人材実態調査'!$C$66:$C$68</f>
            </numRef>
          </val>
        </ser>
        <ser>
          <idx val="2"/>
          <order val="2"/>
          <tx>
            <strRef>
              <f>'13_介護人材実態調査'!D65</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'13_介護人材実態調査'!$A$66:$A$68</f>
            </numRef>
          </cat>
          <val>
            <numRef>
              <f>'13_介護人材実態調査'!$D$66:$D$68</f>
            </numRef>
          </val>
        </ser>
        <ser>
          <idx val="3"/>
          <order val="3"/>
          <tx>
            <strRef>
              <f>'13_介護人材実態調査'!E65</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'13_介護人材実態調査'!$A$66:$A$68</f>
            </numRef>
          </cat>
          <val>
            <numRef>
              <f>'13_介護人材実態調査'!$E$66:$E$68</f>
            </numRef>
          </val>
        </ser>
        <ser>
          <idx val="4"/>
          <order val="4"/>
          <tx>
            <strRef>
              <f>'13_介護人材実態調査'!F65</f>
            </strRef>
          </tx>
          <spPr>
            <a:solidFill xmlns:a="http://schemas.openxmlformats.org/drawingml/2006/main">
              <a:srgbClr val="8C8C8C"/>
            </a:solidFill>
            <a:ln xmlns:a="http://schemas.openxmlformats.org/drawingml/2006/main" w="6350">
              <a:solidFill>
                <a:srgbClr val="000000"/>
              </a:solidFill>
              <a:prstDash val="solid"/>
            </a:ln>
          </spPr>
          <cat>
            <numRef>
              <f>'13_介護人材実態調査'!$A$66:$A$68</f>
            </numRef>
          </cat>
          <val>
            <numRef>
              <f>'13_介護人材実態調査'!$F$66:$F$68</f>
            </numRef>
          </val>
        </ser>
        <ser>
          <idx val="5"/>
          <order val="5"/>
          <tx>
            <strRef>
              <f>'13_介護人材実態調査'!G65</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title>
    <plotArea>
      <barChart>
        <barDir val="bar"/>
        <grouping val="clustered"/>
        <ser>
          <idx val="0"/>
          <order val="0"/>
          <tx>
            <strRef>
              <f>'13_介護人材実態調査'!B71</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'13_介護人材実態調査'!$A$72:$A$74</f>
            </numRef>
          </cat>
          <val>
            <numRef>
              <f>'13_介護人材実態調査'!$B$72:$B$74</f>
            </numRef>
          </val>
        </ser>
        <ser>
          <idx val="1"/>
          <order val="1"/>
          <tx>
            <strRef>
              <f>'13_介護人材実態調査'!C71</f>
            </strRef>
          </tx>
          <spPr>
            <a:solidFill xmlns:a="http://schemas.openxmlformats.org/drawingml/2006/main">
              <a:srgbClr val="D9D9D9"/>
            </a:solidFill>
            <a:ln xmlns:a="http://schemas.openxmlformats.org/drawingml/2006/main" w="6350">
              <a:solidFill>
                <a:srgbClr val="000000"/>
              </a:solidFill>
              <a:prstDash val="solid"/>
            </a:ln>
          </spPr>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title>
    <plotArea>
      <barChart>
        <barDir val="bar"/>
        <grouping val="clustered"/>
        <ser>
          <idx val="0"/>
          <order val="0"/>
          <tx>
            <strRef>
              <f>'13_介護人材実態調査'!B79</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'13_介護人材実態調査'!$A$93:$A$94</f>
            </numRef>
          </cat>
          <val>
            <numRef>
              <f>'13_介護人材実態調査'!$B$93:$B$94</f>
            </numRef>
          </val>
        </ser>
        <ser>
          <idx val="1"/>
          <order val="1"/>
          <tx>
            <strRef>
              <f>'13_介護人材実態調査'!C92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'13_介護人材実態調査'!$A$93:$A$94</f>
            </numRef>
          </cat>
          <val>
            <numRef>
              <f>'13_介護人材実態調査'!$C$93:$C$94</f>
            </numRef>
          </val>
        </ser>
        <ser>
          <idx val="2"/>
          <order val="2"/>
          <tx>
            <strRef>
              <f>'13_介護人材実態調査'!D92</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title>
    <plotArea>
      <barChart>
        <barDir val="bar"/>
        <grouping val="clustered"/>
        <ser>
          <idx val="0"/>
          <order val="0"/>
          <tx>
            <strRef>
              <f>'13_介護人材実態調査'!B99</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737373"/>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solidFill xmlns:a="http://schemas.openxmlformats.org/drawingml/2006/main">
              <a:srgbClr val="A6A6A6"/>
            </a:solid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title>
    <plotArea>
      <barChart>
        <barDir val="bar"/>
        <grouping val="clustered"/>
        <ser>
          <idx val="0"/>
          <order val="0"/>
          <tx>
            <strRef>
              <f>'13_介護人材実態調査'!B132</f>
            </strRef>
          </tx>
          <spPr>
            <a:solidFill xmlns:a="http://schemas.openxmlformats.org/drawingml/2006/main">
              <a:srgbClr val="404040"/>
            </a:solidFill>
            <a:ln xmlns:a="http://schemas.openxmlformats.org/drawingml/2006/main" w="6350">
              <a:solidFill>
                <a:srgbClr val="000000"/>
              </a:solidFill>
              <a:prstDash val="solid"/>
            </a:ln>
          </spPr>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title>
        <majorTickMark val="none"/>
        <minorTickMark val="none"/>
        <spPr>
          <a:ln xmlns:a="http://schemas.openxmlformats.org/drawingml/2006/main" w="6350">
            <a:solidFill>
              <a:srgbClr val="000000"/>
            </a:solidFill>
            <a:prstDash val="solid"/>
          </a:ln>
        </sp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solidFill xmlns:a="http://schemas.openxmlformats.org/drawingml/2006/main">
              <a:srgbClr val="262626"/>
            </a:solid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40404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solidFill xmlns:a="http://schemas.openxmlformats.org/drawingml/2006/main">
              <a:srgbClr val="595959"/>
            </a:solid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737373"/>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solidFill xmlns:a="http://schemas.openxmlformats.org/drawingml/2006/main">
              <a:srgbClr val="8C8C8C"/>
            </a:solid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title>
    <plotArea>
      <lineChart>
        <grouping val="standard"/>
        <ser>
          <idx val="0"/>
          <order val="0"/>
          <tx>
            <strRef>
              <f>'14_年齢構成と85歳以上'!A16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'14_年齢構成と85歳以上'!$B$15:$I$15</f>
            </numRef>
          </cat>
          <val>
            <numRef>
              <f>'14_年齢構成と85歳以上'!$B$17:$I$17</f>
            </numRef>
          </val>
        </ser>
        <ser>
          <idx val="1"/>
          <order val="1"/>
          <tx>
            <strRef>
              <f>'14_年齢構成と85歳以上'!A18</f>
            </strRef>
          </tx>
          <spPr>
            <a:solidFill xmlns:a="http://schemas.openxmlformats.org/drawingml/2006/main">
              <a:srgbClr val="404040"/>
            </a:solidFill>
            <a:ln xmlns:a="http://schemas.openxmlformats.org/drawingml/2006/main" w="6350">
              <a:solidFill>
                <a:srgbClr val="000000"/>
              </a:solidFill>
              <a:prstDash val="solid"/>
            </a:ln>
          </spPr>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title>
    <plotArea>
      <lineChart>
        <grouping val="standard"/>
        <ser>
          <idx val="0"/>
          <order val="0"/>
          <tx>
            <strRef>
              <f>'15_サービス利用強度'!A6</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'15_サービス利用強度'!$B$5:$M$5</f>
            </numRef>
          </cat>
          <val>
            <numRef>
              <f>'15_サービス利用強度'!$B$6:$M$6</f>
            </numRef>
          </val>
          <smooth val="0"/>
        </ser>
        <ser>
          <idx val="1"/>
          <order val="1"/>
          <tx>
            <strRef>
              <f>'15_サービス利用強度'!A7</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'15_サービス利用強度'!$B$5:$M$5</f>
            </numRef>
          </cat>
          <val>
            <numRef>
              <f>'15_サービス利用強度'!$B$7:$M$7</f>
            </numRef>
          </val>
          <smooth val="0"/>
        </ser>
        <ser>
          <idx val="2"/>
          <order val="2"/>
          <tx>
            <strRef>
              <f>'15_サービス利用強度'!A8</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title>
    <plotArea>
      <lineChart>
        <grouping val="standard"/>
        <ser>
          <idx val="0"/>
          <order val="0"/>
          <tx>
            <strRef>
              <f>'15_サービス利用強度'!A12</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'15_サービス利用強度'!$B$11:$M$11</f>
            </numRef>
          </cat>
          <val>
            <numRef>
              <f>'15_サービス利用強度'!$B$12:$M$12</f>
            </numRef>
          </val>
          <smooth val="0"/>
        </ser>
        <ser>
          <idx val="1"/>
          <order val="1"/>
          <tx>
            <strRef>
              <f>'15_サービス利用強度'!A13</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'15_サービス利用強度'!$B$11:$M$11</f>
            </numRef>
          </cat>
          <val>
            <numRef>
              <f>'15_サービス利用強度'!$B$13:$M$13</f>
            </numRef>
          </val>
          <smooth val="0"/>
        </ser>
        <ser>
          <idx val="2"/>
          <order val="2"/>
          <tx>
            <strRef>
              <f>'15_サービス利用強度'!A14</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title>
    <plotArea>
      <lineChart>
        <grouping val="standard"/>
        <ser>
          <idx val="0"/>
          <order val="0"/>
          <tx>
            <strRef>
              <f>'15_サービス利用強度'!A18</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'15_サービス利用強度'!$B$17:$M$17</f>
            </numRef>
          </cat>
          <val>
            <numRef>
              <f>'15_サービス利用強度'!$B$18:$M$18</f>
            </numRef>
          </val>
          <smooth val="0"/>
        </ser>
        <ser>
          <idx val="1"/>
          <order val="1"/>
          <tx>
            <strRef>
              <f>'15_サービス利用強度'!A19</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'15_サービス利用強度'!$B$17:$M$17</f>
            </numRef>
          </cat>
          <val>
            <numRef>
              <f>'15_サービス利用強度'!$B$19:$M$19</f>
            </numRef>
          </val>
          <smooth val="0"/>
        </ser>
        <ser>
          <idx val="2"/>
          <order val="2"/>
          <tx>
            <strRef>
              <f>'15_サービス利用強度'!A20</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title>
    <plotArea>
      <lineChart>
        <grouping val="standard"/>
        <ser>
          <idx val="0"/>
          <order val="0"/>
          <tx>
            <strRef>
              <f>'15_サービス利用強度'!A24</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'15_サービス利用強度'!$B$23:$M$23</f>
            </numRef>
          </cat>
          <val>
            <numRef>
              <f>'15_サービス利用強度'!$B$24:$M$24</f>
            </numRef>
          </val>
          <smooth val="0"/>
        </ser>
        <ser>
          <idx val="1"/>
          <order val="1"/>
          <tx>
            <strRef>
              <f>'15_サービス利用強度'!A25</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'15_サービス利用強度'!$B$23:$M$23</f>
            </numRef>
          </cat>
          <val>
            <numRef>
              <f>'15_サービス利用強度'!$B$25:$M$25</f>
            </numRef>
          </val>
          <smooth val="0"/>
        </ser>
        <ser>
          <idx val="2"/>
          <order val="2"/>
          <tx>
            <strRef>
              <f>'15_サービス利用強度'!A26</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title>
    <plotArea>
      <lineChart>
        <grouping val="standard"/>
        <ser>
          <idx val="0"/>
          <order val="0"/>
          <tx>
            <strRef>
              <f>'15_サービス利用強度'!A30</f>
            </strRef>
          </tx>
          <spPr>
            <a:ln xmlns:a="http://schemas.openxmlformats.org/drawingml/2006/main" w="22225">
              <a:solidFill>
                <a:srgbClr val="000000"/>
              </a:solidFill>
              <a:prstDash val="solid"/>
            </a:ln>
          </spPr>
          <marker>
            <symbol val="circle"/>
            <size val="6"/>
            <spPr>
              <a:solidFill xmlns:a="http://schemas.openxmlformats.org/drawingml/2006/main">
                <a:srgbClr val="000000"/>
              </a:solidFill>
              <a:ln xmlns:a="http://schemas.openxmlformats.org/drawingml/2006/main" w="6350">
                <a:solidFill>
                  <a:srgbClr val="000000"/>
                </a:solidFill>
                <a:prstDash val="solid"/>
              </a:ln>
            </spPr>
          </marker>
          <cat>
            <numRef>
              <f>'15_サービス利用強度'!$B$29:$M$29</f>
            </numRef>
          </cat>
          <val>
            <numRef>
              <f>'15_サービス利用強度'!$B$30:$M$30</f>
            </numRef>
          </val>
          <smooth val="0"/>
        </ser>
        <ser>
          <idx val="1"/>
          <order val="1"/>
          <tx>
            <strRef>
              <f>'15_サービス利用強度'!A31</f>
            </strRef>
          </tx>
          <spPr>
            <a:ln xmlns:a="http://schemas.openxmlformats.org/drawingml/2006/main" w="22225">
              <a:solidFill>
                <a:srgbClr val="000000"/>
              </a:solidFill>
              <a:prstDash val="dash"/>
            </a:ln>
          </spPr>
          <marker>
            <symbol val="square"/>
            <size val="6"/>
            <spPr>
              <a:solidFill xmlns:a="http://schemas.openxmlformats.org/drawingml/2006/main">
                <a:srgbClr val="404040"/>
              </a:solidFill>
              <a:ln xmlns:a="http://schemas.openxmlformats.org/drawingml/2006/main" w="6350">
                <a:solidFill>
                  <a:srgbClr val="000000"/>
                </a:solidFill>
                <a:prstDash val="solid"/>
              </a:ln>
            </spPr>
          </marker>
          <cat>
            <numRef>
              <f>'15_サービス利用強度'!$B$29:$M$29</f>
            </numRef>
          </cat>
          <val>
            <numRef>
              <f>'15_サービス利用強度'!$B$31:$M$31</f>
            </numRef>
          </val>
          <smooth val="0"/>
        </ser>
        <ser>
          <idx val="2"/>
          <order val="2"/>
          <tx>
            <strRef>
              <f>'15_サービス利用強度'!A32</f>
            </strRef>
          </tx>
          <spPr>
            <a:ln xmlns:a="http://schemas.openxmlformats.org/drawingml/2006/main" w="22225">
              <a:solidFill>
                <a:srgbClr val="000000"/>
              </a:solidFill>
              <a:prstDash val="sysDot"/>
            </a:ln>
          </spPr>
          <marker>
            <symbol val="triangle"/>
            <size val="6"/>
            <spPr>
              <a:solidFill xmlns:a="http://schemas.openxmlformats.org/drawingml/2006/main">
                <a:srgbClr val="737373"/>
              </a:solidFill>
              <a:ln xmlns:a="http://schemas.openxmlformats.org/drawingml/2006/main" w="6350">
                <a:solidFill>
                  <a:srgbClr val="000000"/>
                </a:solidFill>
                <a:prstDash val="solid"/>
              </a:ln>
            </spPr>
          </marker>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title>
        <majorTickMark val="none"/>
        <minorTickMark val="none"/>
        <spPr>
          <a:ln xmlns:a="http://schemas.openxmlformats.org/drawingml/2006/main" w="6350">
            <a:solidFill>
              <a:srgbClr val="000000"/>
            </a:solidFill>
            <a:prstDash val="solid"/>
          </a:ln>
        </spPr>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 Type="http://schemas.openxmlformats.org/officeDocument/2006/relationships/chart" Target="/xl/charts/chart4.xml" Id="rId2"/></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 Type="http://schemas.openxmlformats.org/officeDocument/2006/relationships/chart" Target="/xl/charts/chart8.xml" Id="rId2"/><Relationship Type="http://schemas.openxmlformats.org/officeDocument/2006/relationships/chart" Target="/xl/charts/chart9.xml" Id="rId3"/></Relationships>
</file>

<file path=xl/drawings/_rels/drawing7.xml.rels><Relationships xmlns="http://schemas.openxmlformats.org/package/2006/relationships"><Relationship Type="http://schemas.openxmlformats.org/officeDocument/2006/relationships/chart" Target="/xl/charts/chart10.xml" Id="rId1"/><Relationship Type="http://schemas.openxmlformats.org/officeDocument/2006/relationships/chart" Target="/xl/charts/chart11.xml" Id="rId2"/></Relationships>
</file>

<file path=xl/drawings/_rels/drawing8.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 Type="http://schemas.openxmlformats.org/officeDocument/2006/relationships/chart" Target="/xl/charts/chart14.xml" Id="rId3"/><Relationship Type="http://schemas.openxmlformats.org/officeDocument/2006/relationships/chart" Target="/xl/charts/chart15.xml" Id="rId4"/><Relationship Type="http://schemas.openxmlformats.org/officeDocument/2006/relationships/chart" Target="/xl/charts/chart16.xml" Id="rId5"/><Relationship Type="http://schemas.openxmlformats.org/officeDocument/2006/relationships/chart" Target="/xl/charts/chart17.xml" Id="rId6"/><Relationship Type="http://schemas.openxmlformats.org/officeDocument/2006/relationships/chart" Target="/xl/charts/chart18.xml" Id="rId7"/><Relationship Type="http://schemas.openxmlformats.org/officeDocument/2006/relationships/chart" Target="/xl/charts/chart19.xml" Id="rId8"/><Relationship Type="http://schemas.openxmlformats.org/officeDocument/2006/relationships/chart" Target="/xl/charts/chart20.xml" Id="rId9"/><Relationship Type="http://schemas.openxmlformats.org/officeDocument/2006/relationships/chart" Target="/xl/charts/chart21.xml" Id="rId10"/><Relationship Type="http://schemas.openxmlformats.org/officeDocument/2006/relationships/chart" Target="/xl/charts/chart22.xml" Id="rId11"/><Relationship Type="http://schemas.openxmlformats.org/officeDocument/2006/relationships/chart" Target="/xl/charts/chart23.xml" Id="rId12"/><Relationship Type="http://schemas.openxmlformats.org/officeDocument/2006/relationships/chart" Target="/xl/charts/chart24.xml" Id="rId13"/><Relationship Type="http://schemas.openxmlformats.org/officeDocument/2006/relationships/chart" Target="/xl/charts/chart25.xml" Id="rId14"/><Relationship Type="http://schemas.openxmlformats.org/officeDocument/2006/relationships/chart" Target="/xl/charts/chart26.xml" Id="rId15"/><Relationship Type="http://schemas.openxmlformats.org/officeDocument/2006/relationships/chart" Target="/xl/charts/chart27.xml" Id="rId16"/><Relationship Type="http://schemas.openxmlformats.org/officeDocument/2006/relationships/chart" Target="/xl/charts/chart28.xml" Id="rId17"/><Relationship Type="http://schemas.openxmlformats.org/officeDocument/2006/relationships/chart" Target="/xl/charts/chart29.xml" Id="rId18"/><Relationship Type="http://schemas.openxmlformats.org/officeDocument/2006/relationships/chart" Target="/xl/charts/chart30.xml" Id="rId19"/><Relationship Type="http://schemas.openxmlformats.org/officeDocument/2006/relationships/chart" Target="/xl/charts/chart31.xml" Id="rId20"/><Relationship Type="http://schemas.openxmlformats.org/officeDocument/2006/relationships/chart" Target="/xl/charts/chart32.xml" Id="rId21"/><Relationship Type="http://schemas.openxmlformats.org/officeDocument/2006/relationships/chart" Target="/xl/charts/chart33.xml" Id="rId22"/><Relationship Type="http://schemas.openxmlformats.org/officeDocument/2006/relationships/chart" Target="/xl/charts/chart34.xml" Id="rId23"/><Relationship Type="http://schemas.openxmlformats.org/officeDocument/2006/relationships/chart" Target="/xl/charts/chart35.xml" Id="rId24"/><Relationship Type="http://schemas.openxmlformats.org/officeDocument/2006/relationships/chart" Target="/xl/charts/chart36.xml" Id="rId25"/><Relationship Type="http://schemas.openxmlformats.org/officeDocument/2006/relationships/chart" Target="/xl/charts/chart37.xml" Id="rId26"/><Relationship Type="http://schemas.openxmlformats.org/officeDocument/2006/relationships/chart" Target="/xl/charts/chart38.xml" Id="rId27"/><Relationship Type="http://schemas.openxmlformats.org/officeDocument/2006/relationships/chart" Target="/xl/charts/chart39.xml" Id="rId28"/><Relationship Type="http://schemas.openxmlformats.org/officeDocument/2006/relationships/chart" Target="/xl/charts/chart40.xml" Id="rId29"/><Relationship Type="http://schemas.openxmlformats.org/officeDocument/2006/relationships/chart" Target="/xl/charts/chart41.xml" Id="rId30"/><Relationship Type="http://schemas.openxmlformats.org/officeDocument/2006/relationships/chart" Target="/xl/charts/chart42.xml" Id="rId31"/><Relationship Type="http://schemas.openxmlformats.org/officeDocument/2006/relationships/chart" Target="/xl/charts/chart43.xml" Id="rId32"/><Relationship Type="http://schemas.openxmlformats.org/officeDocument/2006/relationships/chart" Target="/xl/charts/chart44.xml" Id="rId33"/><Relationship Type="http://schemas.openxmlformats.org/officeDocument/2006/relationships/chart" Target="/xl/charts/chart45.xml" Id="rId34"/><Relationship Type="http://schemas.openxmlformats.org/officeDocument/2006/relationships/chart" Target="/xl/charts/chart46.xml" Id="rId35"/><Relationship Type="http://schemas.openxmlformats.org/officeDocument/2006/relationships/chart" Target="/xl/charts/chart47.xml" Id="rId36"/><Relationship Type="http://schemas.openxmlformats.org/officeDocument/2006/relationships/chart" Target="/xl/charts/chart48.xml" Id="rId37"/><Relationship Type="http://schemas.openxmlformats.org/officeDocument/2006/relationships/chart" Target="/xl/charts/chart49.xml" Id="rId38"/><Relationship Type="http://schemas.openxmlformats.org/officeDocument/2006/relationships/chart" Target="/xl/charts/chart50.xml" Id="rId39"/><Relationship Type="http://schemas.openxmlformats.org/officeDocument/2006/relationships/chart" Target="/xl/charts/chart51.xml" Id="rId40"/><Relationship Type="http://schemas.openxmlformats.org/officeDocument/2006/relationships/chart" Target="/xl/charts/chart52.xml" Id="rId41"/></Relationships>
</file>

<file path=xl/drawings/_rels/drawing9.xml.rels><Relationships xmlns="http://schemas.openxmlformats.org/package/2006/relationships"><Relationship Type="http://schemas.openxmlformats.org/officeDocument/2006/relationships/chart" Target="/xl/charts/chart53.xml" Id="rId1"/><Relationship Type="http://schemas.openxmlformats.org/officeDocument/2006/relationships/chart" Target="/xl/charts/chart54.xml" Id="rId2"/><Relationship Type="http://schemas.openxmlformats.org/officeDocument/2006/relationships/chart" Target="/xl/charts/chart55.xml" Id="rId3"/><Relationship Type="http://schemas.openxmlformats.org/officeDocument/2006/relationships/chart" Target="/xl/charts/chart56.xml" Id="rId4"/><Relationship Type="http://schemas.openxmlformats.org/officeDocument/2006/relationships/chart" Target="/xl/charts/chart57.xml" Id="rId5"/><Relationship Type="http://schemas.openxmlformats.org/officeDocument/2006/relationships/chart" Target="/xl/charts/chart58.xml" Id="rId6"/></Relationships>
</file>

<file path=xl/drawings/_rels/drawing10.xml.rels><Relationships xmlns="http://schemas.openxmlformats.org/package/2006/relationships"><Relationship Type="http://schemas.openxmlformats.org/officeDocument/2006/relationships/chart" Target="/xl/charts/chart59.xml" Id="rId1"/><Relationship Type="http://schemas.openxmlformats.org/officeDocument/2006/relationships/chart" Target="/xl/charts/chart60.xml" Id="rId2"/><Relationship Type="http://schemas.openxmlformats.org/officeDocument/2006/relationships/chart" Target="/xl/charts/chart61.xml" Id="rId3"/></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 Type="http://schemas.openxmlformats.org/officeDocument/2006/relationships/chart" Target="/xl/charts/chart65.xml" Id="rId4"/><Relationship Type="http://schemas.openxmlformats.org/officeDocument/2006/relationships/chart" Target="/xl/charts/chart66.xml" Id="rId5"/><Relationship Type="http://schemas.openxmlformats.org/officeDocument/2006/relationships/chart" Target="/xl/charts/chart67.xml" Id="rId6"/><Relationship Type="http://schemas.openxmlformats.org/officeDocument/2006/relationships/chart" Target="/xl/charts/chart68.xml" Id="rId7"/></Relationships>
</file>

<file path=xl/drawings/_rels/drawing12.xml.rels><Relationships xmlns="http://schemas.openxmlformats.org/package/2006/relationships"><Relationship Type="http://schemas.openxmlformats.org/officeDocument/2006/relationships/chart" Target="/xl/charts/chart69.xml" Id="rId1"/><Relationship Type="http://schemas.openxmlformats.org/officeDocument/2006/relationships/chart" Target="/xl/charts/chart70.xml" Id="rId2"/><Relationship Type="http://schemas.openxmlformats.org/officeDocument/2006/relationships/chart" Target="/xl/charts/chart71.xml" Id="rId3"/><Relationship Type="http://schemas.openxmlformats.org/officeDocument/2006/relationships/chart" Target="/xl/charts/chart72.xml" Id="rId4"/><Relationship Type="http://schemas.openxmlformats.org/officeDocument/2006/relationships/chart" Target="/xl/charts/chart73.xml" Id="rId5"/><Relationship Type="http://schemas.openxmlformats.org/officeDocument/2006/relationships/chart" Target="/xl/charts/chart74.xml" Id="rId6"/><Relationship Type="http://schemas.openxmlformats.org/officeDocument/2006/relationships/chart" Target="/xl/charts/chart75.xml" Id="rId7"/><Relationship Type="http://schemas.openxmlformats.org/officeDocument/2006/relationships/chart" Target="/xl/charts/chart76.xml" Id="rId8"/><Relationship Type="http://schemas.openxmlformats.org/officeDocument/2006/relationships/chart" Target="/xl/charts/chart77.xml" Id="rId9"/><Relationship Type="http://schemas.openxmlformats.org/officeDocument/2006/relationships/chart" Target="/xl/charts/chart78.xml" Id="rId10"/><Relationship Type="http://schemas.openxmlformats.org/officeDocument/2006/relationships/chart" Target="/xl/charts/chart79.xml" Id="rId11"/><Relationship Type="http://schemas.openxmlformats.org/officeDocument/2006/relationships/chart" Target="/xl/charts/chart80.xml" Id="rId12"/><Relationship Type="http://schemas.openxmlformats.org/officeDocument/2006/relationships/chart" Target="/xl/charts/chart81.xml" Id="rId13"/><Relationship Type="http://schemas.openxmlformats.org/officeDocument/2006/relationships/chart" Target="/xl/charts/chart82.xml" Id="rId14"/></Relationships>
</file>

<file path=xl/drawings/_rels/drawing13.xml.rels><Relationships xmlns="http://schemas.openxmlformats.org/package/2006/relationships"><Relationship Type="http://schemas.openxmlformats.org/officeDocument/2006/relationships/chart" Target="/xl/charts/chart83.xml" Id="rId1"/><Relationship Type="http://schemas.openxmlformats.org/officeDocument/2006/relationships/chart" Target="/xl/charts/chart84.xml" Id="rId2"/><Relationship Type="http://schemas.openxmlformats.org/officeDocument/2006/relationships/chart" Target="/xl/charts/chart85.xml" Id="rId3"/></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 Type="http://schemas.openxmlformats.org/officeDocument/2006/relationships/chart" Target="/xl/charts/chart89.xml" Id="rId4"/><Relationship Type="http://schemas.openxmlformats.org/officeDocument/2006/relationships/chart" Target="/xl/charts/chart90.xml" Id="rId5"/></Relationships>
</file>

<file path=xl/drawings/drawing1.xml><?xml version="1.0" encoding="utf-8"?>
<wsDr xmlns="http://schemas.openxmlformats.org/drawingml/2006/spreadsheetDrawing">
  <oneCellAnchor>
    <from>
      <col>0</col>
      <colOff>0</colOff>
      <row>13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0</col>
      <colOff>0</colOff>
      <row>12</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47</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4.xml><?xml version="1.0" encoding="utf-8"?>
<wsDr xmlns="http://schemas.openxmlformats.org/drawingml/2006/spreadsheetDrawing">
  <oneCellAnchor>
    <from>
      <col>0</col>
      <colOff>0</colOff>
      <row>15</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936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93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9.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0.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1.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125</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2.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19</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35</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51</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65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79</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98</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112</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128</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149</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163</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179</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198</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217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3.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47</row>
      <rowOff>0</rowOff>
    </from>
    <ext cx="792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4.xml><?xml version="1.0" encoding="utf-8"?>
<wsDr xmlns="http://schemas.openxmlformats.org/drawingml/2006/spreadsheetDrawing">
  <oneCellAnchor>
    <from>
      <col>15</col>
      <colOff>0</colOff>
      <row>3</row>
      <rowOff>0</rowOff>
    </from>
    <ext cx="792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792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9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7920000" cy="360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792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10.xml.rels><Relationships xmlns="http://schemas.openxmlformats.org/package/2006/relationships"><Relationship Type="http://schemas.openxmlformats.org/officeDocument/2006/relationships/drawing" Target="/xl/drawings/drawing8.xml" Id="rId1"/></Relationships>
</file>

<file path=xl/worksheets/_rels/sheet11.xml.rels><Relationships xmlns="http://schemas.openxmlformats.org/package/2006/relationships"><Relationship Type="http://schemas.openxmlformats.org/officeDocument/2006/relationships/drawing" Target="/xl/drawings/drawing9.xml" Id="rId1"/></Relationships>
</file>

<file path=xl/worksheets/_rels/sheet12.xml.rels><Relationships xmlns="http://schemas.openxmlformats.org/package/2006/relationships"><Relationship Type="http://schemas.openxmlformats.org/officeDocument/2006/relationships/drawing" Target="/xl/drawings/drawing10.xml" Id="rId1"/></Relationships>
</file>

<file path=xl/worksheets/_rels/sheet13.xml.rels><Relationships xmlns="http://schemas.openxmlformats.org/package/2006/relationships"><Relationship Type="http://schemas.openxmlformats.org/officeDocument/2006/relationships/drawing" Target="/xl/drawings/drawing11.xml" Id="rId1"/></Relationships>
</file>

<file path=xl/worksheets/_rels/sheet14.xml.rels><Relationships xmlns="http://schemas.openxmlformats.org/package/2006/relationships"><Relationship Type="http://schemas.openxmlformats.org/officeDocument/2006/relationships/drawing" Target="/xl/drawings/drawing12.xml" Id="rId1"/></Relationships>
</file>

<file path=xl/worksheets/_rels/sheet15.xml.rels><Relationships xmlns="http://schemas.openxmlformats.org/package/2006/relationships"><Relationship Type="http://schemas.openxmlformats.org/officeDocument/2006/relationships/drawing" Target="/xl/drawings/drawing13.xml" Id="rId1"/></Relationships>
</file>

<file path=xl/worksheets/_rels/sheet16.xml.rels><Relationships xmlns="http://schemas.openxmlformats.org/package/2006/relationships"><Relationship Type="http://schemas.openxmlformats.org/officeDocument/2006/relationships/drawing" Target="/xl/drawings/drawing14.xml" Id="rId1"/></Relationships>
</file>

<file path=xl/worksheets/sheet1.xml><?xml version="1.0" encoding="utf-8"?>
<worksheet xmlns="http://schemas.openxmlformats.org/spreadsheetml/2006/main">
  <sheetPr>
    <outlinePr summaryBelow="1" summaryRight="1"/>
    <pageSetUpPr/>
  </sheetPr>
  <dimension ref="A1:M47"/>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10</v>
      </c>
      <c r="B20" s="7" t="inlineStr">
        <is>
          <t>10_在宅介護実態調査</t>
        </is>
      </c>
      <c r="C20" s="7" t="inlineStr">
        <is>
          <t>世帯類型・介護頻度・介護内容・離職・必要な支援・施設検討（令和2年度との比較）</t>
        </is>
      </c>
      <c r="D20" s="7" t="inlineStr">
        <is>
          <t>第9期計画 第2章第4節1／令和5年5月25日～6月30日・認定調査員の聞き取り</t>
        </is>
      </c>
      <c r="E20" s="7" t="inlineStr">
        <is>
          <t>第10期調査の集計受領後に差替え</t>
        </is>
      </c>
    </row>
    <row r="21">
      <c r="A21" s="6" t="n">
        <v>11</v>
      </c>
      <c r="B21" s="7" t="inlineStr">
        <is>
          <t>11_居所変更実態調査</t>
        </is>
      </c>
      <c r="C21" s="7" t="inlineStr">
        <is>
          <t>居所変更・死亡の割合／要介護度別人数／変更理由</t>
        </is>
      </c>
      <c r="D21" s="7" t="inlineStr">
        <is>
          <t>第9期計画 第2章第4節2／令和5年5月25日送付・21施設回答</t>
        </is>
      </c>
      <c r="E21" s="7" t="inlineStr">
        <is>
          <t>第10期調査の集計受領後に差替え</t>
        </is>
      </c>
    </row>
    <row r="22">
      <c r="A22" s="6" t="n">
        <v>12</v>
      </c>
      <c r="B22" s="7" t="inlineStr">
        <is>
          <t>12_在宅生活改善調査</t>
        </is>
      </c>
      <c r="C22" s="7" t="inlineStr">
        <is>
          <t>利用者の属性／本人の状態・意向／家族等介護者の意向・負担</t>
        </is>
      </c>
      <c r="D22" s="7" t="inlineStr">
        <is>
          <t>第9期計画 第2章第4節3／令和5年5月25日送付・12事業所91人</t>
        </is>
      </c>
      <c r="E22" s="7" t="inlineStr">
        <is>
          <t>第10期調査の集計受領後に差替え</t>
        </is>
      </c>
    </row>
    <row r="23">
      <c r="A23" s="6" t="n">
        <v>13</v>
      </c>
      <c r="B23" s="7" t="inlineStr">
        <is>
          <t>13_介護人材実態調査</t>
        </is>
      </c>
      <c r="C23" s="7" t="inlineStr">
        <is>
          <t>職員数・男女比・就業形態・開設後経過年数・年齢構成・在職年数・直前の職場・資格・採用離職・勤務時間</t>
        </is>
      </c>
      <c r="D23" s="7" t="inlineStr">
        <is>
          <t>第9期計画 第2章第5節／令和5年5月25日送付・27施設405人</t>
        </is>
      </c>
      <c r="E23" s="7" t="inlineStr">
        <is>
          <t>第10期事業所実態調査の集計受領後に差替え</t>
        </is>
      </c>
    </row>
    <row r="25">
      <c r="A25" s="3" t="inlineStr">
        <is>
          <t>3　作図上の凡例（白黒）</t>
        </is>
      </c>
    </row>
    <row r="26">
      <c r="A26" s="5" t="inlineStr">
        <is>
          <t>No.</t>
        </is>
      </c>
      <c r="B26" s="5" t="inlineStr">
        <is>
          <t>要素</t>
        </is>
      </c>
      <c r="C26" s="5" t="inlineStr">
        <is>
          <t>表現</t>
        </is>
      </c>
      <c r="D26" s="5" t="inlineStr">
        <is>
          <t>備考</t>
        </is>
      </c>
      <c r="E26" s="5" t="inlineStr"/>
    </row>
    <row r="27">
      <c r="A27" s="6" t="n">
        <v>1</v>
      </c>
      <c r="B27" s="7" t="inlineStr">
        <is>
          <t>積上げ棒・横棒</t>
        </is>
      </c>
      <c r="C27" s="7" t="inlineStr">
        <is>
          <t>黒→濃灰→中灰→淡灰→白の順に塗り分け、輪郭は黒</t>
        </is>
      </c>
      <c r="D27" s="7" t="inlineStr">
        <is>
          <t>5系列までは塗りのみで判別可能</t>
        </is>
      </c>
    </row>
    <row r="28">
      <c r="A28" s="6" t="n">
        <v>2</v>
      </c>
      <c r="B28" s="7" t="inlineStr">
        <is>
          <t>折れ線</t>
        </is>
      </c>
      <c r="C28" s="7" t="inlineStr">
        <is>
          <t>すべて黒線。実線／破線／点線／一点鎖線で系列を区別</t>
        </is>
      </c>
      <c r="D28" s="7" t="inlineStr">
        <is>
          <t>マーカーは○△□◇で重複を回避</t>
        </is>
      </c>
    </row>
    <row r="29">
      <c r="A29" s="6" t="n">
        <v>3</v>
      </c>
      <c r="B29" s="7" t="inlineStr">
        <is>
          <t>目盛線</t>
        </is>
      </c>
      <c r="C29" s="7" t="inlineStr">
        <is>
          <t>非表示。軸線のみ黒で表示</t>
        </is>
      </c>
      <c r="D29" s="7" t="inlineStr">
        <is>
          <t>1色印刷時の視認性を優先</t>
        </is>
      </c>
    </row>
    <row r="30">
      <c r="A30" s="6" t="n">
        <v>4</v>
      </c>
      <c r="B30" s="7" t="inlineStr">
        <is>
          <t>凡例</t>
        </is>
      </c>
      <c r="C30" s="7" t="inlineStr">
        <is>
          <t>グラフ下部に配置</t>
        </is>
      </c>
      <c r="D30" s="7" t="inlineStr">
        <is>
          <t>第9期計画の体裁を踏襲</t>
        </is>
      </c>
    </row>
    <row r="31">
      <c r="A31" s="6" t="n">
        <v>5</v>
      </c>
      <c r="B31" s="7" t="inlineStr">
        <is>
          <t>入力欄</t>
        </is>
      </c>
      <c r="C31" s="7" t="inlineStr">
        <is>
          <t>淡黄色。R6・R7実績など未受領の値</t>
        </is>
      </c>
      <c r="D31" s="7" t="inlineStr">
        <is>
          <t>受領後に上書きするとグラフに反映</t>
        </is>
      </c>
    </row>
    <row r="33">
      <c r="A33" s="3" t="inlineStr">
        <is>
          <t>4　作図にあたり確認が必要な事項</t>
        </is>
      </c>
    </row>
    <row r="34">
      <c r="A34" s="5" t="inlineStr">
        <is>
          <t>No.</t>
        </is>
      </c>
      <c r="B34" s="5" t="inlineStr">
        <is>
          <t>事項</t>
        </is>
      </c>
      <c r="C34" s="5" t="inlineStr">
        <is>
          <t>内容</t>
        </is>
      </c>
      <c r="D34" s="5" t="inlineStr">
        <is>
          <t>対応</t>
        </is>
      </c>
      <c r="E34" s="5" t="inlineStr"/>
    </row>
    <row r="35">
      <c r="A35" s="6" t="n">
        <v>1</v>
      </c>
      <c r="B35" s="7" t="inlineStr">
        <is>
          <t>人口の年齢区分</t>
        </is>
      </c>
      <c r="C35" s="7" t="inlineStr">
        <is>
          <t>第9期計画のグラフは0～39歳／40～64歳／65～74歳／75歳以上の4区分だが、計画本体のPDFから0～39歳・40～64歳の確定値を復元できなかった</t>
        </is>
      </c>
      <c r="D35" s="7" t="inlineStr">
        <is>
          <t>本図表集は0～64歳（総人口－65歳以上）／65～74歳／75歳以上の3区分で作図。4区分にする場合は住民基本台帳の元データが必要</t>
        </is>
      </c>
      <c r="E35" s="7" t="inlineStr">
        <is>
          <t>広域連合へ照会</t>
        </is>
      </c>
    </row>
    <row r="36">
      <c r="A36" s="6" t="n">
        <v>2</v>
      </c>
      <c r="B36" s="7" t="inlineStr">
        <is>
          <t>リスク点数の単位</t>
        </is>
      </c>
      <c r="C36" s="7" t="inlineStr">
        <is>
          <t>第9期計画 第2章第3節⑨は「当広域連合全体で15.8％」と記載しているが、実際は要支援・要介護リスク評価尺度による平均点（72,099点÷4,560人＝15.8点）</t>
        </is>
      </c>
      <c r="D36" s="7" t="inlineStr">
        <is>
          <t>本図表集では「点」として作図。第10期では単位表記を修正</t>
        </is>
      </c>
      <c r="E36" s="7" t="inlineStr">
        <is>
          <t>第10期計画で修正</t>
        </is>
      </c>
    </row>
    <row r="37">
      <c r="A37" s="6" t="n">
        <v>3</v>
      </c>
      <c r="B37" s="7" t="inlineStr">
        <is>
          <t>認定者数と出現率の基準月</t>
        </is>
      </c>
      <c r="C37" s="7" t="inlineStr">
        <is>
          <t>第9期計画は各年9月分、素案第9稿の直近値（認定者1,984人・21.8％）はR8年3月末</t>
        </is>
      </c>
      <c r="D37" s="7" t="inlineStr">
        <is>
          <t>基準月が異なるため同一系列に接続していない。R6～R8は9月分を受領して追加</t>
        </is>
      </c>
      <c r="E37" s="7" t="inlineStr">
        <is>
          <t>広域連合へ照会</t>
        </is>
      </c>
    </row>
    <row r="38">
      <c r="A38" s="6" t="n">
        <v>4</v>
      </c>
      <c r="B38" s="7" t="inlineStr">
        <is>
          <t>総給付費の定義</t>
        </is>
      </c>
      <c r="C38" s="7" t="inlineStr">
        <is>
          <t>第9期計画 第2章第2節の総給付費（R5 2,794,391千円）と、素案第9稿の保険給付費R5決算（2,940.4百万円）は定義が異なる</t>
        </is>
      </c>
      <c r="D38" s="7" t="inlineStr">
        <is>
          <t>別系列として併記。計画掲載時はいずれかに統一</t>
        </is>
      </c>
      <c r="E38" s="7" t="inlineStr">
        <is>
          <t>第10期計画で整理</t>
        </is>
      </c>
    </row>
    <row r="39">
      <c r="A39" s="6" t="n">
        <v>11</v>
      </c>
      <c r="B39" s="7" t="inlineStr">
        <is>
          <t>人口統計の基準</t>
        </is>
      </c>
      <c r="C39" s="7" t="inlineStr">
        <is>
          <t>第9期計画の図1・図2は住民基本台帳（各年10月1日）、14シートと素案第6章の推計は国勢調査＋社人研推計。令和5年で総人口が382人、高齢化率が1.1ポイント異なる</t>
        </is>
      </c>
      <c r="D39" s="7" t="inlineStr">
        <is>
          <t>01・02シートは住民基本台帳、14シートは国勢調査・社人研で作図し接続していない。第10期で採用基準を統一する</t>
        </is>
      </c>
      <c r="E39" s="7" t="inlineStr">
        <is>
          <t>広域連合と協議（修正指示書C-7）</t>
        </is>
      </c>
    </row>
    <row r="40">
      <c r="A40" s="6" t="n">
        <v>12</v>
      </c>
      <c r="B40" s="7" t="inlineStr">
        <is>
          <t>高齢夫婦世帯数</t>
        </is>
      </c>
      <c r="C40" s="7" t="inlineStr">
        <is>
          <t>見える化A8（H27 1,615・R2 1,773世帯）と第9期計画（同1,697・1,950世帯）が一致しない。一般世帯・高齢者を含む世帯・高齢独居世帯の3系列は完全に一致</t>
        </is>
      </c>
      <c r="D40" s="7" t="inlineStr">
        <is>
          <t>03シートは第9期計画の値を掲載。定義差の確認後に差替え</t>
        </is>
      </c>
      <c r="E40" s="7" t="inlineStr">
        <is>
          <t>広域連合へ照会（修正指示書C-6）</t>
        </is>
      </c>
    </row>
    <row r="41">
      <c r="A41" s="6" t="n">
        <v>13</v>
      </c>
      <c r="B41" s="7" t="inlineStr">
        <is>
          <t>町別データ</t>
        </is>
      </c>
      <c r="C41" s="7" t="inlineStr">
        <is>
          <t>受領した見える化データは広域連合・北海道・全国の3系列のみで町別の内訳がない</t>
        </is>
      </c>
      <c r="D41" s="7" t="inlineStr">
        <is>
          <t>02・03・06シートの町別値は第9期計画の掲載値のまま。町別データの受領後に更新</t>
        </is>
      </c>
      <c r="E41" s="7" t="inlineStr">
        <is>
          <t>広域連合へ照会（修正指示書C-8）</t>
        </is>
      </c>
    </row>
    <row r="42">
      <c r="A42" s="6" t="n">
        <v>5</v>
      </c>
      <c r="B42" s="7" t="inlineStr">
        <is>
          <t>ニーズ調査の基準</t>
        </is>
      </c>
      <c r="C42" s="7" t="inlineStr">
        <is>
          <t>掲載値は令和4年11月実施の第9期調査。第10期調査は実施済だが集計未受領</t>
        </is>
      </c>
      <c r="D42" s="7" t="inlineStr">
        <is>
          <t>第10期調査の集計受領後に全面差替え。設問・判定ロジックの一致を確認</t>
        </is>
      </c>
      <c r="E42" s="7" t="inlineStr">
        <is>
          <t>広域連合・3町へ照会</t>
        </is>
      </c>
    </row>
    <row r="43">
      <c r="A43" s="6" t="n">
        <v>6</v>
      </c>
      <c r="B43" s="7" t="inlineStr">
        <is>
          <t>在宅介護実態調査の回答数</t>
        </is>
      </c>
      <c r="C43" s="7" t="inlineStr">
        <is>
          <t>第9期計画に回収結果の表が掲載されているが本文から数値を復元できなかった。令和5年度の掲載値はすべて1/37の倍数で整合するため回答37人と判断（対象は65歳以上の要介護認定者79人）</t>
        </is>
      </c>
      <c r="D43" s="7" t="inlineStr">
        <is>
          <t>10シートに推定値として記載。回収票数・回収率は原資料で確認する</t>
        </is>
      </c>
      <c r="E43" s="7" t="inlineStr">
        <is>
          <t>広域連合へ照会</t>
        </is>
      </c>
    </row>
    <row r="44">
      <c r="A44" s="6" t="n">
        <v>7</v>
      </c>
      <c r="B44" s="7" t="inlineStr">
        <is>
          <t>居所変更実態調査の施設数</t>
        </is>
      </c>
      <c r="C44" s="7" t="inlineStr">
        <is>
          <t>回答施設の内訳（住宅型有料4・軽費1・サ高住0・GH5・特定施設2・老健3・特養2・地密特養3）の合計は20だが、第9期計画は「合計21」と記載</t>
        </is>
      </c>
      <c r="D44" s="7" t="inlineStr">
        <is>
          <t>11シートに原典どおり記載し差異を注記。内訳の欠落か合計の誤りかを確認</t>
        </is>
      </c>
      <c r="E44" s="7" t="inlineStr">
        <is>
          <t>広域連合へ照会</t>
        </is>
      </c>
    </row>
    <row r="45">
      <c r="A45" s="6" t="n">
        <v>8</v>
      </c>
      <c r="B45" s="7" t="inlineStr">
        <is>
          <t>介護人材実態調査の就業形態</t>
        </is>
      </c>
      <c r="C45" s="7" t="inlineStr">
        <is>
          <t>第9期計画 第2章第5節(1)④の本文は「施設・居住系サービスの正規職員が33.8％」とするが、グラフ値では正規職員（男）31.9＋正規職員（女）45.1＝77.0％であり、33.8％は男性職員の割合（31.9＋1.9）と一致する</t>
        </is>
      </c>
      <c r="D45" s="7" t="inlineStr">
        <is>
          <t>13シートはグラフ値どおり作図し、本文との差異を注記。第10期では正規職員割合と男性割合を区別して記載</t>
        </is>
      </c>
      <c r="E45" s="7" t="inlineStr">
        <is>
          <t>第10期計画で修正</t>
        </is>
      </c>
    </row>
    <row r="46">
      <c r="A46" s="6" t="n">
        <v>9</v>
      </c>
      <c r="B46" s="7" t="inlineStr">
        <is>
          <t>介護人材実態調査の職員数の分母</t>
        </is>
      </c>
      <c r="C46" s="7" t="inlineStr">
        <is>
          <t>職員総数421人、男女内訳の合計403人、該当者数405人と3種類の数値があり、1事業所あたり平均人数も405÷27＝15.0人で本文の16.0人と一致しない</t>
        </is>
      </c>
      <c r="D46" s="7" t="inlineStr">
        <is>
          <t>13シートは原典の3種類をそのまま併記し、比率算定の分母を明示。第10期では集計基準を統一</t>
        </is>
      </c>
      <c r="E46" s="7" t="inlineStr">
        <is>
          <t>第10期計画で整理</t>
        </is>
      </c>
    </row>
    <row r="47">
      <c r="A47" s="6" t="n">
        <v>10</v>
      </c>
      <c r="B47" s="7" t="inlineStr">
        <is>
          <t>直前の職場の一部区分</t>
        </is>
      </c>
      <c r="C47" s="7" t="inlineStr">
        <is>
          <t>第9期計画 第2章第5節(3)④のうち「訪問介護・入浴、夜間対応型」「小多機、看多機、定期巡回」の2区分は原典の図から数値を復元できなかった（他6区分の合計91.1％との差8.9％＝5人分）</t>
        </is>
      </c>
      <c r="D47" s="7" t="inlineStr">
        <is>
          <t>13シートで淡黄色の入力欄とし、原資料で確認のうえ入力する</t>
        </is>
      </c>
      <c r="E47"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t>
        </is>
      </c>
    </row>
    <row r="2" ht="16" customHeight="1">
      <c r="A2" s="2" t="inlineStr">
        <is>
          <t>資料：住民基本台帳 各年10月1日現在（第9期計画 第2章第1節1）／令和6～8年は淡黄色欄に入力すると連動</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0～64歳</t>
        </is>
      </c>
      <c r="B5" s="8">
        <f>B9-B6-B7</f>
        <v/>
      </c>
      <c r="C5" s="8">
        <f>C9-C6-C7</f>
        <v/>
      </c>
      <c r="D5" s="8">
        <f>D9-D6-D7</f>
        <v/>
      </c>
      <c r="E5" s="8">
        <f>E9-E6-E7</f>
        <v/>
      </c>
      <c r="F5" s="8">
        <f>F9-F6-F7</f>
        <v/>
      </c>
      <c r="G5" s="8">
        <f>G9-G6-G7</f>
        <v/>
      </c>
      <c r="H5" s="8">
        <f>H9-H6-H7</f>
        <v/>
      </c>
      <c r="I5" s="8">
        <f>I9-I6-I7</f>
        <v/>
      </c>
      <c r="J5" s="8">
        <f>J9-J6-J7</f>
        <v/>
      </c>
      <c r="K5" s="8">
        <f>K9-K6-K7</f>
        <v/>
      </c>
      <c r="L5" s="8">
        <f>L9-L6-L7</f>
        <v/>
      </c>
      <c r="M5" s="8">
        <f>M9-M6-M7</f>
        <v/>
      </c>
      <c r="N5" s="8">
        <f>N9-N6-N7</f>
        <v/>
      </c>
      <c r="O5" s="8">
        <f>O9-O6-O7</f>
        <v/>
      </c>
      <c r="P5" s="8">
        <f>P9-P6-P7</f>
        <v/>
      </c>
    </row>
    <row r="6">
      <c r="A6" s="6" t="inlineStr">
        <is>
          <t>65～74歳</t>
        </is>
      </c>
      <c r="B6" s="8" t="n">
        <v>3744</v>
      </c>
      <c r="C6" s="8" t="n">
        <v>3862</v>
      </c>
      <c r="D6" s="8" t="n">
        <v>4032</v>
      </c>
      <c r="E6" s="8" t="n">
        <v>4119</v>
      </c>
      <c r="F6" s="8" t="n">
        <v>4183</v>
      </c>
      <c r="G6" s="8" t="n">
        <v>4166</v>
      </c>
      <c r="H6" s="8" t="n">
        <v>4210</v>
      </c>
      <c r="I6" s="8" t="n">
        <v>4215</v>
      </c>
      <c r="J6" s="8" t="n">
        <v>4269</v>
      </c>
      <c r="K6" s="8" t="n">
        <v>4233</v>
      </c>
      <c r="L6" s="8" t="n">
        <v>4165</v>
      </c>
      <c r="M6" s="8" t="n">
        <v>3986</v>
      </c>
      <c r="N6" s="9" t="n"/>
      <c r="O6" s="9" t="n"/>
      <c r="P6" s="9" t="n"/>
    </row>
    <row r="7">
      <c r="A7" s="6" t="inlineStr">
        <is>
          <t>75歳以上</t>
        </is>
      </c>
      <c r="B7" s="8" t="n">
        <v>4398</v>
      </c>
      <c r="C7" s="8" t="n">
        <v>4491</v>
      </c>
      <c r="D7" s="8" t="n">
        <v>4578</v>
      </c>
      <c r="E7" s="8" t="n">
        <v>4667</v>
      </c>
      <c r="F7" s="8" t="n">
        <v>4768</v>
      </c>
      <c r="G7" s="8" t="n">
        <v>4865</v>
      </c>
      <c r="H7" s="8" t="n">
        <v>4933</v>
      </c>
      <c r="I7" s="8" t="n">
        <v>5006</v>
      </c>
      <c r="J7" s="8" t="n">
        <v>5014</v>
      </c>
      <c r="K7" s="8" t="n">
        <v>5039</v>
      </c>
      <c r="L7" s="8" t="n">
        <v>5109</v>
      </c>
      <c r="M7" s="8" t="n">
        <v>5205</v>
      </c>
      <c r="N7" s="9" t="n"/>
      <c r="O7" s="9" t="n"/>
      <c r="P7" s="9" t="n"/>
    </row>
    <row r="8">
      <c r="A8" s="6" t="inlineStr">
        <is>
          <t>65歳以上（再掲）</t>
        </is>
      </c>
      <c r="B8" s="8" t="n">
        <v>8142</v>
      </c>
      <c r="C8" s="8" t="n">
        <v>8353</v>
      </c>
      <c r="D8" s="8" t="n">
        <v>8610</v>
      </c>
      <c r="E8" s="8" t="n">
        <v>8786</v>
      </c>
      <c r="F8" s="8" t="n">
        <v>8951</v>
      </c>
      <c r="G8" s="8" t="n">
        <v>9031</v>
      </c>
      <c r="H8" s="8" t="n">
        <v>9143</v>
      </c>
      <c r="I8" s="8" t="n">
        <v>9221</v>
      </c>
      <c r="J8" s="8" t="n">
        <v>9283</v>
      </c>
      <c r="K8" s="8" t="n">
        <v>9272</v>
      </c>
      <c r="L8" s="8" t="n">
        <v>9274</v>
      </c>
      <c r="M8" s="8" t="n">
        <v>9191</v>
      </c>
      <c r="N8" s="9" t="n"/>
      <c r="O8" s="9" t="n"/>
      <c r="P8" s="9" t="n"/>
    </row>
    <row r="9">
      <c r="A9" s="6" t="inlineStr">
        <is>
          <t>総人口</t>
        </is>
      </c>
      <c r="B9" s="8" t="n">
        <v>28635</v>
      </c>
      <c r="C9" s="8" t="n">
        <v>28668</v>
      </c>
      <c r="D9" s="8" t="n">
        <v>28800</v>
      </c>
      <c r="E9" s="8" t="n">
        <v>28950</v>
      </c>
      <c r="F9" s="8" t="n">
        <v>28904</v>
      </c>
      <c r="G9" s="8" t="n">
        <v>28929</v>
      </c>
      <c r="H9" s="8" t="n">
        <v>28827</v>
      </c>
      <c r="I9" s="8" t="n">
        <v>28624</v>
      </c>
      <c r="J9" s="8" t="n">
        <v>28288</v>
      </c>
      <c r="K9" s="8" t="n">
        <v>28247</v>
      </c>
      <c r="L9" s="8" t="n">
        <v>28138</v>
      </c>
      <c r="M9" s="8" t="n">
        <v>27887</v>
      </c>
      <c r="N9" s="9" t="n"/>
      <c r="O9" s="9" t="n"/>
      <c r="P9" s="9" t="n"/>
    </row>
    <row r="10" ht="26" customHeight="1">
      <c r="A10" s="4" t="inlineStr">
        <is>
          <t>注1）0～64歳は「総人口－65歳以上」で算出。第9期計画のグラフは0～39歳／40～64歳に分けているが、計画本体から確定値を復元できなかったため3区分としている（00_凡例・出典 4-1）。注2）65歳以上は65～74歳と75歳以上の合計。令和6～8年（淡黄色欄）は住民基本台帳の実績受領後に入力する。</t>
        </is>
      </c>
    </row>
  </sheetData>
  <mergeCells count="3">
    <mergeCell ref="A1:P1"/>
    <mergeCell ref="A10:M10"/>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0" t="n">
        <v>28.4</v>
      </c>
      <c r="C5" s="10" t="n">
        <v>29.1</v>
      </c>
      <c r="D5" s="10" t="n">
        <v>29.9</v>
      </c>
      <c r="E5" s="10" t="n">
        <v>30.3</v>
      </c>
      <c r="F5" s="10" t="n">
        <v>31</v>
      </c>
      <c r="G5" s="10" t="n">
        <v>31.2</v>
      </c>
      <c r="H5" s="10" t="n">
        <v>31.7</v>
      </c>
      <c r="I5" s="10" t="n">
        <v>32.2</v>
      </c>
      <c r="J5" s="10" t="n">
        <v>32.8</v>
      </c>
      <c r="K5" s="10" t="n">
        <v>32.8</v>
      </c>
      <c r="L5" s="10" t="n">
        <v>33</v>
      </c>
      <c r="M5" s="10" t="n">
        <v>33</v>
      </c>
      <c r="N5" s="11" t="n"/>
      <c r="O5" s="11" t="n"/>
      <c r="P5" s="11" t="n"/>
    </row>
    <row r="6">
      <c r="A6" s="6" t="inlineStr">
        <is>
          <t>東川町</t>
        </is>
      </c>
      <c r="B6" s="10" t="n">
        <v>28.7</v>
      </c>
      <c r="C6" s="10" t="n">
        <v>29.7</v>
      </c>
      <c r="D6" s="10" t="n">
        <v>31.1</v>
      </c>
      <c r="E6" s="10" t="n">
        <v>31.5</v>
      </c>
      <c r="F6" s="10" t="n">
        <v>32.1</v>
      </c>
      <c r="G6" s="10" t="n">
        <v>32</v>
      </c>
      <c r="H6" s="10" t="n">
        <v>32.2</v>
      </c>
      <c r="I6" s="10" t="n">
        <v>32.1</v>
      </c>
      <c r="J6" s="10" t="n">
        <v>32.8</v>
      </c>
      <c r="K6" s="10" t="n">
        <v>32.3</v>
      </c>
      <c r="L6" s="10" t="n">
        <v>31.8</v>
      </c>
      <c r="M6" s="10" t="n">
        <v>31.4</v>
      </c>
      <c r="N6" s="11" t="n"/>
      <c r="O6" s="11" t="n"/>
      <c r="P6" s="11" t="n"/>
    </row>
    <row r="7">
      <c r="A7" s="6" t="inlineStr">
        <is>
          <t>美瑛町</t>
        </is>
      </c>
      <c r="B7" s="10" t="n">
        <v>33.6</v>
      </c>
      <c r="C7" s="10" t="n">
        <v>34.4</v>
      </c>
      <c r="D7" s="10" t="n">
        <v>35.2</v>
      </c>
      <c r="E7" s="10" t="n">
        <v>35.9</v>
      </c>
      <c r="F7" s="10" t="n">
        <v>36.5</v>
      </c>
      <c r="G7" s="10" t="n">
        <v>36.7</v>
      </c>
      <c r="H7" s="10" t="n">
        <v>37.3</v>
      </c>
      <c r="I7" s="10" t="n">
        <v>37.9</v>
      </c>
      <c r="J7" s="10" t="n">
        <v>38.4</v>
      </c>
      <c r="K7" s="10" t="n">
        <v>38.6</v>
      </c>
      <c r="L7" s="10" t="n">
        <v>38.7</v>
      </c>
      <c r="M7" s="10" t="n">
        <v>38.8</v>
      </c>
      <c r="N7" s="11" t="n"/>
      <c r="O7" s="11" t="n"/>
      <c r="P7" s="11" t="n"/>
    </row>
    <row r="8">
      <c r="A8" s="6" t="inlineStr">
        <is>
          <t>東神楽町</t>
        </is>
      </c>
      <c r="B8" s="10" t="n">
        <v>22.5</v>
      </c>
      <c r="C8" s="10" t="n">
        <v>23</v>
      </c>
      <c r="D8" s="10" t="n">
        <v>23.4</v>
      </c>
      <c r="E8" s="10" t="n">
        <v>23.8</v>
      </c>
      <c r="F8" s="10" t="n">
        <v>24.5</v>
      </c>
      <c r="G8" s="10" t="n">
        <v>25.2</v>
      </c>
      <c r="H8" s="10" t="n">
        <v>25.8</v>
      </c>
      <c r="I8" s="10" t="n">
        <v>26.7</v>
      </c>
      <c r="J8" s="10" t="n">
        <v>27.4</v>
      </c>
      <c r="K8" s="10" t="n">
        <v>27.7</v>
      </c>
      <c r="L8" s="10" t="n">
        <v>28.4</v>
      </c>
      <c r="M8" s="10" t="n">
        <v>28.7</v>
      </c>
      <c r="N8" s="11" t="n"/>
      <c r="O8" s="11" t="n"/>
      <c r="P8" s="11"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12"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8" t="n">
        <v>10536</v>
      </c>
      <c r="C6" s="8" t="n">
        <v>11050</v>
      </c>
      <c r="D6" s="8" t="n">
        <v>11426</v>
      </c>
    </row>
    <row r="7">
      <c r="A7" s="6" t="inlineStr">
        <is>
          <t xml:space="preserve">　東川町</t>
        </is>
      </c>
      <c r="B7" s="8" t="n">
        <v>2965</v>
      </c>
      <c r="C7" s="8" t="n">
        <v>3132</v>
      </c>
      <c r="D7" s="8" t="n">
        <v>3391</v>
      </c>
    </row>
    <row r="8">
      <c r="A8" s="6" t="inlineStr">
        <is>
          <t xml:space="preserve">　美瑛町</t>
        </is>
      </c>
      <c r="B8" s="8" t="n">
        <v>4289</v>
      </c>
      <c r="C8" s="8" t="n">
        <v>4274</v>
      </c>
      <c r="D8" s="8" t="n">
        <v>4205</v>
      </c>
    </row>
    <row r="9">
      <c r="A9" s="6" t="inlineStr">
        <is>
          <t xml:space="preserve">　東神楽町</t>
        </is>
      </c>
      <c r="B9" s="8" t="n">
        <v>3282</v>
      </c>
      <c r="C9" s="8" t="n">
        <v>3644</v>
      </c>
      <c r="D9" s="8" t="n">
        <v>3830</v>
      </c>
    </row>
    <row r="10">
      <c r="A10" s="6" t="inlineStr">
        <is>
          <t>高齢者を含む世帯　広域連合</t>
        </is>
      </c>
      <c r="B10" s="8" t="n">
        <v>4885</v>
      </c>
      <c r="C10" s="8" t="n">
        <v>5318</v>
      </c>
      <c r="D10" s="8" t="n">
        <v>5622</v>
      </c>
    </row>
    <row r="11">
      <c r="A11" s="6" t="inlineStr">
        <is>
          <t xml:space="preserve">　東川町</t>
        </is>
      </c>
      <c r="B11" s="8" t="n">
        <v>1316</v>
      </c>
      <c r="C11" s="8" t="n">
        <v>1506</v>
      </c>
      <c r="D11" s="8" t="n">
        <v>1620</v>
      </c>
    </row>
    <row r="12">
      <c r="A12" s="6" t="inlineStr">
        <is>
          <t xml:space="preserve">　美瑛町</t>
        </is>
      </c>
      <c r="B12" s="8" t="n">
        <v>2330</v>
      </c>
      <c r="C12" s="8" t="n">
        <v>2341</v>
      </c>
      <c r="D12" s="8" t="n">
        <v>2353</v>
      </c>
    </row>
    <row r="13">
      <c r="A13" s="6" t="inlineStr">
        <is>
          <t xml:space="preserve">　東神楽町</t>
        </is>
      </c>
      <c r="B13" s="8" t="n">
        <v>1239</v>
      </c>
      <c r="C13" s="8" t="n">
        <v>1471</v>
      </c>
      <c r="D13" s="8" t="n">
        <v>1649</v>
      </c>
    </row>
    <row r="14">
      <c r="A14" s="6" t="inlineStr">
        <is>
          <t>高齢者夫婦世帯　広域連合</t>
        </is>
      </c>
      <c r="B14" s="8" t="n">
        <v>1461</v>
      </c>
      <c r="C14" s="8" t="n">
        <v>1697</v>
      </c>
      <c r="D14" s="8" t="n">
        <v>1950</v>
      </c>
    </row>
    <row r="15">
      <c r="A15" s="6" t="inlineStr">
        <is>
          <t xml:space="preserve">　東川町</t>
        </is>
      </c>
      <c r="B15" s="8" t="n">
        <v>387</v>
      </c>
      <c r="C15" s="8" t="n">
        <v>504</v>
      </c>
      <c r="D15" s="8" t="n">
        <v>596</v>
      </c>
    </row>
    <row r="16">
      <c r="A16" s="6" t="inlineStr">
        <is>
          <t xml:space="preserve">　美瑛町</t>
        </is>
      </c>
      <c r="B16" s="8" t="n">
        <v>667</v>
      </c>
      <c r="C16" s="8" t="n">
        <v>739</v>
      </c>
      <c r="D16" s="8" t="n">
        <v>743</v>
      </c>
    </row>
    <row r="17">
      <c r="A17" s="6" t="inlineStr">
        <is>
          <t xml:space="preserve">　東神楽町</t>
        </is>
      </c>
      <c r="B17" s="8" t="n">
        <v>407</v>
      </c>
      <c r="C17" s="8" t="n">
        <v>454</v>
      </c>
      <c r="D17" s="8" t="n">
        <v>611</v>
      </c>
    </row>
    <row r="18">
      <c r="A18" s="6" t="inlineStr">
        <is>
          <t>高齢者単身世帯　広域連合</t>
        </is>
      </c>
      <c r="B18" s="8" t="n">
        <v>1076</v>
      </c>
      <c r="C18" s="8" t="n">
        <v>1331</v>
      </c>
      <c r="D18" s="8" t="n">
        <v>1638</v>
      </c>
    </row>
    <row r="19">
      <c r="A19" s="6" t="inlineStr">
        <is>
          <t xml:space="preserve">　東川町</t>
        </is>
      </c>
      <c r="B19" s="8" t="n">
        <v>295</v>
      </c>
      <c r="C19" s="8" t="n">
        <v>363</v>
      </c>
      <c r="D19" s="8" t="n">
        <v>490</v>
      </c>
    </row>
    <row r="20">
      <c r="A20" s="6" t="inlineStr">
        <is>
          <t xml:space="preserve">　美瑛町</t>
        </is>
      </c>
      <c r="B20" s="8" t="n">
        <v>531</v>
      </c>
      <c r="C20" s="8" t="n">
        <v>653</v>
      </c>
      <c r="D20" s="8" t="n">
        <v>714</v>
      </c>
    </row>
    <row r="21">
      <c r="A21" s="6" t="inlineStr">
        <is>
          <t xml:space="preserve">　東神楽町</t>
        </is>
      </c>
      <c r="B21" s="8" t="n">
        <v>250</v>
      </c>
      <c r="C21" s="8" t="n">
        <v>315</v>
      </c>
      <c r="D21" s="8" t="n">
        <v>434</v>
      </c>
    </row>
    <row r="23">
      <c r="A23" s="12"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0" t="n">
        <v>29.9</v>
      </c>
      <c r="C25" s="10" t="n">
        <v>22</v>
      </c>
      <c r="D25" s="10" t="n">
        <v>48.1</v>
      </c>
    </row>
    <row r="26">
      <c r="A26" s="6" t="inlineStr">
        <is>
          <t>広域連合（平成27年）</t>
        </is>
      </c>
      <c r="B26" s="10" t="n">
        <v>31.9</v>
      </c>
      <c r="C26" s="10" t="n">
        <v>25</v>
      </c>
      <c r="D26" s="10" t="n">
        <v>43.1</v>
      </c>
    </row>
    <row r="27">
      <c r="A27" s="6" t="inlineStr">
        <is>
          <t>広域連合（令和2年）</t>
        </is>
      </c>
      <c r="B27" s="10" t="n">
        <v>34.7</v>
      </c>
      <c r="C27" s="10" t="n">
        <v>29.1</v>
      </c>
      <c r="D27" s="10" t="n">
        <v>36.2</v>
      </c>
    </row>
    <row r="28">
      <c r="A28" s="6" t="inlineStr">
        <is>
          <t>東川町（令和2年）</t>
        </is>
      </c>
      <c r="B28" s="10" t="n">
        <v>36.8</v>
      </c>
      <c r="C28" s="10" t="n">
        <v>30.2</v>
      </c>
      <c r="D28" s="10" t="n">
        <v>33</v>
      </c>
    </row>
    <row r="29">
      <c r="A29" s="6" t="inlineStr">
        <is>
          <t>美瑛町（令和2年）</t>
        </is>
      </c>
      <c r="B29" s="10" t="n">
        <v>31.6</v>
      </c>
      <c r="C29" s="10" t="n">
        <v>30.3</v>
      </c>
      <c r="D29" s="10" t="n">
        <v>38.1</v>
      </c>
    </row>
    <row r="30">
      <c r="A30" s="6" t="inlineStr">
        <is>
          <t>東神楽町（令和2年）</t>
        </is>
      </c>
      <c r="B30" s="10" t="n">
        <v>37.1</v>
      </c>
      <c r="C30" s="10" t="n">
        <v>26.3</v>
      </c>
      <c r="D30" s="10"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sheetData>
  <mergeCells count="3">
    <mergeCell ref="A1:J1"/>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8" t="n">
        <v>169</v>
      </c>
      <c r="C5" s="8" t="n">
        <v>221</v>
      </c>
      <c r="D5" s="8" t="n">
        <v>264</v>
      </c>
      <c r="E5" s="8" t="n">
        <v>325</v>
      </c>
      <c r="F5" s="8" t="n">
        <v>297</v>
      </c>
      <c r="G5" s="8" t="n">
        <v>274</v>
      </c>
      <c r="H5" s="8" t="n">
        <v>289</v>
      </c>
      <c r="I5" s="8" t="n">
        <v>275</v>
      </c>
      <c r="J5" s="8" t="n">
        <v>271</v>
      </c>
      <c r="K5" s="8" t="n">
        <v>254</v>
      </c>
      <c r="L5" s="8" t="n">
        <v>239</v>
      </c>
      <c r="M5" s="8" t="n">
        <v>248</v>
      </c>
      <c r="N5" s="9" t="n"/>
      <c r="O5" s="9" t="n"/>
      <c r="P5" s="9" t="n"/>
    </row>
    <row r="6">
      <c r="A6" s="6" t="inlineStr">
        <is>
          <t>要支援2</t>
        </is>
      </c>
      <c r="B6" s="8" t="n">
        <v>243</v>
      </c>
      <c r="C6" s="8" t="n">
        <v>270</v>
      </c>
      <c r="D6" s="8" t="n">
        <v>282</v>
      </c>
      <c r="E6" s="8" t="n">
        <v>288</v>
      </c>
      <c r="F6" s="8" t="n">
        <v>263</v>
      </c>
      <c r="G6" s="8" t="n">
        <v>268</v>
      </c>
      <c r="H6" s="8" t="n">
        <v>256</v>
      </c>
      <c r="I6" s="8" t="n">
        <v>295</v>
      </c>
      <c r="J6" s="8" t="n">
        <v>302</v>
      </c>
      <c r="K6" s="8" t="n">
        <v>300</v>
      </c>
      <c r="L6" s="8" t="n">
        <v>313</v>
      </c>
      <c r="M6" s="8" t="n">
        <v>285</v>
      </c>
      <c r="N6" s="9" t="n"/>
      <c r="O6" s="9" t="n"/>
      <c r="P6" s="9" t="n"/>
    </row>
    <row r="7">
      <c r="A7" s="6" t="inlineStr">
        <is>
          <t>要介護1</t>
        </is>
      </c>
      <c r="B7" s="8" t="n">
        <v>336</v>
      </c>
      <c r="C7" s="8" t="n">
        <v>354</v>
      </c>
      <c r="D7" s="8" t="n">
        <v>396</v>
      </c>
      <c r="E7" s="8" t="n">
        <v>410</v>
      </c>
      <c r="F7" s="8" t="n">
        <v>415</v>
      </c>
      <c r="G7" s="8" t="n">
        <v>420</v>
      </c>
      <c r="H7" s="8" t="n">
        <v>447</v>
      </c>
      <c r="I7" s="8" t="n">
        <v>438</v>
      </c>
      <c r="J7" s="8" t="n">
        <v>424</v>
      </c>
      <c r="K7" s="8" t="n">
        <v>482</v>
      </c>
      <c r="L7" s="8" t="n">
        <v>470</v>
      </c>
      <c r="M7" s="8" t="n">
        <v>492</v>
      </c>
      <c r="N7" s="9" t="n"/>
      <c r="O7" s="9" t="n"/>
      <c r="P7" s="9" t="n"/>
    </row>
    <row r="8">
      <c r="A8" s="6" t="inlineStr">
        <is>
          <t>要介護2</t>
        </is>
      </c>
      <c r="B8" s="8" t="n">
        <v>283</v>
      </c>
      <c r="C8" s="8" t="n">
        <v>274</v>
      </c>
      <c r="D8" s="8" t="n">
        <v>301</v>
      </c>
      <c r="E8" s="8" t="n">
        <v>315</v>
      </c>
      <c r="F8" s="8" t="n">
        <v>306</v>
      </c>
      <c r="G8" s="8" t="n">
        <v>323</v>
      </c>
      <c r="H8" s="8" t="n">
        <v>320</v>
      </c>
      <c r="I8" s="8" t="n">
        <v>315</v>
      </c>
      <c r="J8" s="8" t="n">
        <v>323</v>
      </c>
      <c r="K8" s="8" t="n">
        <v>320</v>
      </c>
      <c r="L8" s="8" t="n">
        <v>350</v>
      </c>
      <c r="M8" s="8" t="n">
        <v>329</v>
      </c>
      <c r="N8" s="9" t="n"/>
      <c r="O8" s="9" t="n"/>
      <c r="P8" s="9" t="n"/>
    </row>
    <row r="9">
      <c r="A9" s="6" t="inlineStr">
        <is>
          <t>要介護3</t>
        </is>
      </c>
      <c r="B9" s="8" t="n">
        <v>222</v>
      </c>
      <c r="C9" s="8" t="n">
        <v>223</v>
      </c>
      <c r="D9" s="8" t="n">
        <v>196</v>
      </c>
      <c r="E9" s="8" t="n">
        <v>198</v>
      </c>
      <c r="F9" s="8" t="n">
        <v>220</v>
      </c>
      <c r="G9" s="8" t="n">
        <v>250</v>
      </c>
      <c r="H9" s="8" t="n">
        <v>228</v>
      </c>
      <c r="I9" s="8" t="n">
        <v>235</v>
      </c>
      <c r="J9" s="8" t="n">
        <v>237</v>
      </c>
      <c r="K9" s="8" t="n">
        <v>224</v>
      </c>
      <c r="L9" s="8" t="n">
        <v>229</v>
      </c>
      <c r="M9" s="8" t="n">
        <v>247</v>
      </c>
      <c r="N9" s="9" t="n"/>
      <c r="O9" s="9" t="n"/>
      <c r="P9" s="9" t="n"/>
    </row>
    <row r="10">
      <c r="A10" s="6" t="inlineStr">
        <is>
          <t>要介護4</t>
        </is>
      </c>
      <c r="B10" s="8" t="n">
        <v>175</v>
      </c>
      <c r="C10" s="8" t="n">
        <v>191</v>
      </c>
      <c r="D10" s="8" t="n">
        <v>190</v>
      </c>
      <c r="E10" s="8" t="n">
        <v>198</v>
      </c>
      <c r="F10" s="8" t="n">
        <v>211</v>
      </c>
      <c r="G10" s="8" t="n">
        <v>195</v>
      </c>
      <c r="H10" s="8" t="n">
        <v>182</v>
      </c>
      <c r="I10" s="8" t="n">
        <v>209</v>
      </c>
      <c r="J10" s="8" t="n">
        <v>210</v>
      </c>
      <c r="K10" s="8" t="n">
        <v>232</v>
      </c>
      <c r="L10" s="8" t="n">
        <v>213</v>
      </c>
      <c r="M10" s="8" t="n">
        <v>222</v>
      </c>
      <c r="N10" s="9" t="n"/>
      <c r="O10" s="9" t="n"/>
      <c r="P10" s="9" t="n"/>
    </row>
    <row r="11">
      <c r="A11" s="6" t="inlineStr">
        <is>
          <t>要介護5</t>
        </is>
      </c>
      <c r="B11" s="8" t="n">
        <v>181</v>
      </c>
      <c r="C11" s="8" t="n">
        <v>198</v>
      </c>
      <c r="D11" s="8" t="n">
        <v>188</v>
      </c>
      <c r="E11" s="8" t="n">
        <v>170</v>
      </c>
      <c r="F11" s="8" t="n">
        <v>177</v>
      </c>
      <c r="G11" s="8" t="n">
        <v>170</v>
      </c>
      <c r="H11" s="8" t="n">
        <v>179</v>
      </c>
      <c r="I11" s="8" t="n">
        <v>161</v>
      </c>
      <c r="J11" s="8" t="n">
        <v>154</v>
      </c>
      <c r="K11" s="8" t="n">
        <v>158</v>
      </c>
      <c r="L11" s="8" t="n">
        <v>158</v>
      </c>
      <c r="M11" s="8" t="n">
        <v>153</v>
      </c>
      <c r="N11" s="9" t="n"/>
      <c r="O11" s="9" t="n"/>
      <c r="P11" s="9" t="n"/>
    </row>
    <row r="12">
      <c r="A12" s="6" t="inlineStr">
        <is>
          <t>合計</t>
        </is>
      </c>
      <c r="B12" s="13">
        <f>SUM(B5:B11)</f>
        <v/>
      </c>
      <c r="C12" s="13">
        <f>SUM(C5:C11)</f>
        <v/>
      </c>
      <c r="D12" s="13">
        <f>SUM(D5:D11)</f>
        <v/>
      </c>
      <c r="E12" s="13">
        <f>SUM(E5:E11)</f>
        <v/>
      </c>
      <c r="F12" s="13">
        <f>SUM(F5:F11)</f>
        <v/>
      </c>
      <c r="G12" s="13">
        <f>SUM(G5:G11)</f>
        <v/>
      </c>
      <c r="H12" s="13">
        <f>SUM(H5:H11)</f>
        <v/>
      </c>
      <c r="I12" s="13">
        <f>SUM(I5:I11)</f>
        <v/>
      </c>
      <c r="J12" s="13">
        <f>SUM(J5:J11)</f>
        <v/>
      </c>
      <c r="K12" s="13">
        <f>SUM(K5:K11)</f>
        <v/>
      </c>
      <c r="L12" s="13">
        <f>SUM(L5:L11)</f>
        <v/>
      </c>
      <c r="M12" s="13">
        <f>SUM(M5:M11)</f>
        <v/>
      </c>
      <c r="N12" s="13">
        <f>SUM(N5:N11)</f>
        <v/>
      </c>
      <c r="O12" s="13">
        <f>SUM(O5:O11)</f>
        <v/>
      </c>
      <c r="P12" s="13">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0" t="n">
        <v>14.2</v>
      </c>
      <c r="C5" s="10" t="n">
        <v>13.9</v>
      </c>
      <c r="D5" s="10" t="n">
        <v>20.7</v>
      </c>
      <c r="E5" s="10" t="n">
        <v>16.7</v>
      </c>
      <c r="F5" s="10" t="n">
        <v>13.2</v>
      </c>
      <c r="G5" s="10" t="n">
        <v>12.7</v>
      </c>
      <c r="H5" s="10" t="n">
        <v>8.5</v>
      </c>
    </row>
    <row r="6">
      <c r="A6" s="6" t="inlineStr">
        <is>
          <t>北海道</t>
        </is>
      </c>
      <c r="B6" s="10" t="n">
        <v>18.4</v>
      </c>
      <c r="C6" s="10" t="n">
        <v>14.6</v>
      </c>
      <c r="D6" s="10" t="n">
        <v>23.1</v>
      </c>
      <c r="E6" s="10" t="n">
        <v>15.7</v>
      </c>
      <c r="F6" s="10" t="n">
        <v>10.6</v>
      </c>
      <c r="G6" s="10" t="n">
        <v>10.4</v>
      </c>
      <c r="H6" s="10" t="n">
        <v>7.2</v>
      </c>
    </row>
    <row r="7">
      <c r="A7" s="6" t="inlineStr">
        <is>
          <t>広域連合</t>
        </is>
      </c>
      <c r="B7" s="10" t="n">
        <v>12.6</v>
      </c>
      <c r="C7" s="10" t="n">
        <v>14.4</v>
      </c>
      <c r="D7" s="10" t="n">
        <v>24.9</v>
      </c>
      <c r="E7" s="10" t="n">
        <v>16.6</v>
      </c>
      <c r="F7" s="10" t="n">
        <v>12.5</v>
      </c>
      <c r="G7" s="10" t="n">
        <v>11.2</v>
      </c>
      <c r="H7" s="10" t="n">
        <v>7.7</v>
      </c>
    </row>
    <row r="8">
      <c r="A8" s="6" t="inlineStr">
        <is>
          <t>東川町</t>
        </is>
      </c>
      <c r="B8" s="10" t="n">
        <v>9.9</v>
      </c>
      <c r="C8" s="10" t="n">
        <v>14.8</v>
      </c>
      <c r="D8" s="10" t="n">
        <v>23.4</v>
      </c>
      <c r="E8" s="10" t="n">
        <v>18.1</v>
      </c>
      <c r="F8" s="10" t="n">
        <v>11.7</v>
      </c>
      <c r="G8" s="10" t="n">
        <v>13.1</v>
      </c>
      <c r="H8" s="10" t="n">
        <v>9.1</v>
      </c>
    </row>
    <row r="9">
      <c r="A9" s="6" t="inlineStr">
        <is>
          <t>美瑛町</t>
        </is>
      </c>
      <c r="B9" s="10" t="n">
        <v>14.2</v>
      </c>
      <c r="C9" s="10" t="n">
        <v>14.7</v>
      </c>
      <c r="D9" s="10" t="n">
        <v>23.6</v>
      </c>
      <c r="E9" s="10" t="n">
        <v>16.3</v>
      </c>
      <c r="F9" s="10" t="n">
        <v>14.3</v>
      </c>
      <c r="G9" s="10" t="n">
        <v>10.4</v>
      </c>
      <c r="H9" s="10" t="n">
        <v>6.4</v>
      </c>
    </row>
    <row r="10">
      <c r="A10" s="6" t="inlineStr">
        <is>
          <t>東神楽町</t>
        </is>
      </c>
      <c r="B10" s="10" t="n">
        <v>12.5</v>
      </c>
      <c r="C10" s="10" t="n">
        <v>13.6</v>
      </c>
      <c r="D10" s="10" t="n">
        <v>28.7</v>
      </c>
      <c r="E10" s="10" t="n">
        <v>15.7</v>
      </c>
      <c r="F10" s="10" t="n">
        <v>10.2</v>
      </c>
      <c r="G10" s="10" t="n">
        <v>10.7</v>
      </c>
      <c r="H10" s="10"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12"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0" t="n">
        <v>19.3</v>
      </c>
      <c r="C6" s="10" t="n">
        <v>20.2</v>
      </c>
      <c r="D6" s="10" t="n">
        <v>20.6</v>
      </c>
      <c r="E6" s="10" t="n">
        <v>21.2</v>
      </c>
      <c r="F6" s="10" t="n">
        <v>20.7</v>
      </c>
      <c r="G6" s="10" t="n">
        <v>20.7</v>
      </c>
      <c r="H6" s="10" t="n">
        <v>20.5</v>
      </c>
      <c r="I6" s="10" t="n">
        <v>20.7</v>
      </c>
      <c r="J6" s="10" t="n">
        <v>20.5</v>
      </c>
      <c r="K6" s="10" t="n">
        <v>21</v>
      </c>
      <c r="L6" s="10" t="n">
        <v>21.1</v>
      </c>
      <c r="M6" s="10" t="n">
        <v>21.2</v>
      </c>
      <c r="N6" s="11" t="n"/>
      <c r="O6" s="11" t="n"/>
      <c r="P6" s="11" t="n"/>
    </row>
    <row r="7">
      <c r="A7" s="6" t="inlineStr">
        <is>
          <t>北海道</t>
        </is>
      </c>
      <c r="B7" s="10" t="n">
        <v>18.5</v>
      </c>
      <c r="C7" s="10" t="n">
        <v>18.9</v>
      </c>
      <c r="D7" s="10" t="n">
        <v>19.2</v>
      </c>
      <c r="E7" s="10" t="n">
        <v>19.4</v>
      </c>
      <c r="F7" s="10" t="n">
        <v>19.5</v>
      </c>
      <c r="G7" s="10" t="n">
        <v>19.5</v>
      </c>
      <c r="H7" s="10" t="n">
        <v>19.7</v>
      </c>
      <c r="I7" s="10" t="n">
        <v>20</v>
      </c>
      <c r="J7" s="10" t="n">
        <v>20.2</v>
      </c>
      <c r="K7" s="10" t="n">
        <v>20.4</v>
      </c>
      <c r="L7" s="10" t="n">
        <v>20.6</v>
      </c>
      <c r="M7" s="10" t="n">
        <v>20.8</v>
      </c>
      <c r="N7" s="11" t="n"/>
      <c r="O7" s="11" t="n"/>
      <c r="P7" s="11" t="n"/>
    </row>
    <row r="8">
      <c r="A8" s="6" t="inlineStr">
        <is>
          <t>全国</t>
        </is>
      </c>
      <c r="B8" s="10" t="n">
        <v>17.5</v>
      </c>
      <c r="C8" s="10" t="n">
        <v>17.8</v>
      </c>
      <c r="D8" s="10" t="n">
        <v>17.9</v>
      </c>
      <c r="E8" s="10" t="n">
        <v>18</v>
      </c>
      <c r="F8" s="10" t="n">
        <v>18</v>
      </c>
      <c r="G8" s="10" t="n">
        <v>18.1</v>
      </c>
      <c r="H8" s="10" t="n">
        <v>18.3</v>
      </c>
      <c r="I8" s="10" t="n">
        <v>18.5</v>
      </c>
      <c r="J8" s="10" t="n">
        <v>18.6</v>
      </c>
      <c r="K8" s="10" t="n">
        <v>18.8</v>
      </c>
      <c r="L8" s="10" t="n">
        <v>19.1</v>
      </c>
      <c r="M8" s="10" t="n">
        <v>19.3</v>
      </c>
      <c r="N8" s="11" t="n"/>
      <c r="O8" s="11" t="n"/>
      <c r="P8" s="11" t="n"/>
    </row>
    <row r="10">
      <c r="A10" s="12"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0" t="n">
        <v>18.7</v>
      </c>
      <c r="C12" s="10" t="n">
        <v>19.8</v>
      </c>
      <c r="D12" s="10" t="n">
        <v>19.2</v>
      </c>
      <c r="E12" s="10" t="n">
        <v>19.1</v>
      </c>
      <c r="F12" s="10" t="n">
        <v>17.5</v>
      </c>
      <c r="G12" s="10" t="n">
        <v>17.8</v>
      </c>
      <c r="H12" s="10" t="n">
        <v>18.4</v>
      </c>
      <c r="I12" s="10" t="n">
        <v>18.6</v>
      </c>
      <c r="J12" s="10" t="n">
        <v>19.4</v>
      </c>
      <c r="K12" s="10" t="n">
        <v>19.6</v>
      </c>
      <c r="L12" s="10" t="n">
        <v>19.9</v>
      </c>
      <c r="M12" s="10" t="n">
        <v>20.5</v>
      </c>
      <c r="N12" s="11" t="n"/>
      <c r="O12" s="11" t="n"/>
      <c r="P12" s="11" t="n"/>
    </row>
    <row r="13">
      <c r="A13" s="6" t="inlineStr">
        <is>
          <t>美瑛町</t>
        </is>
      </c>
      <c r="B13" s="10" t="n">
        <v>19.3</v>
      </c>
      <c r="C13" s="10" t="n">
        <v>20.6</v>
      </c>
      <c r="D13" s="10" t="n">
        <v>21.8</v>
      </c>
      <c r="E13" s="10" t="n">
        <v>23</v>
      </c>
      <c r="F13" s="10" t="n">
        <v>22.9</v>
      </c>
      <c r="G13" s="10" t="n">
        <v>23.3</v>
      </c>
      <c r="H13" s="10" t="n">
        <v>22.8</v>
      </c>
      <c r="I13" s="10" t="n">
        <v>23.2</v>
      </c>
      <c r="J13" s="10" t="n">
        <v>22.7</v>
      </c>
      <c r="K13" s="10" t="n">
        <v>23.4</v>
      </c>
      <c r="L13" s="10" t="n">
        <v>23.5</v>
      </c>
      <c r="M13" s="10" t="n">
        <v>24</v>
      </c>
      <c r="N13" s="11" t="n"/>
      <c r="O13" s="11" t="n"/>
      <c r="P13" s="11" t="n"/>
    </row>
    <row r="14">
      <c r="A14" s="6" t="inlineStr">
        <is>
          <t>東神楽町</t>
        </is>
      </c>
      <c r="B14" s="10" t="n">
        <v>19.8</v>
      </c>
      <c r="C14" s="10" t="n">
        <v>19.9</v>
      </c>
      <c r="D14" s="10" t="n">
        <v>20.3</v>
      </c>
      <c r="E14" s="10" t="n">
        <v>20.8</v>
      </c>
      <c r="F14" s="10" t="n">
        <v>20.7</v>
      </c>
      <c r="G14" s="10" t="n">
        <v>19.9</v>
      </c>
      <c r="H14" s="10" t="n">
        <v>19.3</v>
      </c>
      <c r="I14" s="10" t="n">
        <v>19.3</v>
      </c>
      <c r="J14" s="10" t="n">
        <v>18.5</v>
      </c>
      <c r="K14" s="10" t="n">
        <v>19.1</v>
      </c>
      <c r="L14" s="10" t="n">
        <v>18.9</v>
      </c>
      <c r="M14" s="10" t="n">
        <v>18.2</v>
      </c>
      <c r="N14" s="11" t="n"/>
      <c r="O14" s="11" t="n"/>
      <c r="P14" s="11" t="n"/>
    </row>
    <row r="40">
      <c r="A40" s="12" t="inlineStr">
        <is>
          <t>（3）出現率の比較（令和5年 上川総合振興局管内）</t>
        </is>
      </c>
    </row>
    <row r="41">
      <c r="A41" s="5" t="inlineStr">
        <is>
          <t>区分</t>
        </is>
      </c>
      <c r="B41" s="5" t="inlineStr">
        <is>
          <t>出現率</t>
        </is>
      </c>
    </row>
    <row r="42">
      <c r="A42" s="6" t="inlineStr">
        <is>
          <t>全国</t>
        </is>
      </c>
      <c r="B42" s="10" t="n">
        <v>19.3</v>
      </c>
    </row>
    <row r="43">
      <c r="A43" s="6" t="inlineStr">
        <is>
          <t>北海道</t>
        </is>
      </c>
      <c r="B43" s="10" t="n">
        <v>20.8</v>
      </c>
    </row>
    <row r="44">
      <c r="A44" s="6" t="inlineStr">
        <is>
          <t>上川総合振興局管内</t>
        </is>
      </c>
      <c r="B44" s="10" t="n">
        <v>21.2</v>
      </c>
    </row>
    <row r="45">
      <c r="A45" s="6" t="inlineStr">
        <is>
          <t>当麻町</t>
        </is>
      </c>
      <c r="B45" s="10" t="n">
        <v>23.8</v>
      </c>
    </row>
    <row r="46">
      <c r="A46" s="6" t="inlineStr">
        <is>
          <t>旭川市</t>
        </is>
      </c>
      <c r="B46" s="10" t="n">
        <v>21.8</v>
      </c>
    </row>
    <row r="47">
      <c r="A47" s="6" t="inlineStr">
        <is>
          <t>中川町</t>
        </is>
      </c>
      <c r="B47" s="10" t="n">
        <v>21.5</v>
      </c>
    </row>
    <row r="48">
      <c r="A48" s="6" t="inlineStr">
        <is>
          <t>比布町</t>
        </is>
      </c>
      <c r="B48" s="10" t="n">
        <v>21.4</v>
      </c>
    </row>
    <row r="49">
      <c r="A49" s="6" t="inlineStr">
        <is>
          <t>大雪地区広域連合</t>
        </is>
      </c>
      <c r="B49" s="10" t="n">
        <v>21.2</v>
      </c>
    </row>
    <row r="50">
      <c r="A50" s="6" t="inlineStr">
        <is>
          <t>和寒町</t>
        </is>
      </c>
      <c r="B50" s="10" t="n">
        <v>21.2</v>
      </c>
    </row>
    <row r="51">
      <c r="A51" s="6" t="inlineStr">
        <is>
          <t>上川町</t>
        </is>
      </c>
      <c r="B51" s="10" t="n">
        <v>20.6</v>
      </c>
    </row>
    <row r="52">
      <c r="A52" s="6" t="inlineStr">
        <is>
          <t>名寄市</t>
        </is>
      </c>
      <c r="B52" s="10" t="n">
        <v>20.5</v>
      </c>
    </row>
    <row r="53">
      <c r="A53" s="6" t="inlineStr">
        <is>
          <t>幌加内町</t>
        </is>
      </c>
      <c r="B53" s="10" t="n">
        <v>20.2</v>
      </c>
    </row>
    <row r="54">
      <c r="A54" s="6" t="inlineStr">
        <is>
          <t>愛別町</t>
        </is>
      </c>
      <c r="B54" s="10" t="n">
        <v>20.2</v>
      </c>
    </row>
    <row r="55">
      <c r="A55" s="6" t="inlineStr">
        <is>
          <t>富良野市</t>
        </is>
      </c>
      <c r="B55" s="10" t="n">
        <v>19.8</v>
      </c>
    </row>
    <row r="56">
      <c r="A56" s="6" t="inlineStr">
        <is>
          <t>中富良野町</t>
        </is>
      </c>
      <c r="B56" s="10" t="n">
        <v>19.4</v>
      </c>
    </row>
    <row r="57">
      <c r="A57" s="6" t="inlineStr">
        <is>
          <t>南富良野町</t>
        </is>
      </c>
      <c r="B57" s="10" t="n">
        <v>19.3</v>
      </c>
    </row>
    <row r="58">
      <c r="A58" s="6" t="inlineStr">
        <is>
          <t>美深町</t>
        </is>
      </c>
      <c r="B58" s="10" t="n">
        <v>19.2</v>
      </c>
    </row>
    <row r="59">
      <c r="A59" s="6" t="inlineStr">
        <is>
          <t>鷹栖町</t>
        </is>
      </c>
      <c r="B59" s="10" t="n">
        <v>18.7</v>
      </c>
    </row>
    <row r="60">
      <c r="A60" s="6" t="inlineStr">
        <is>
          <t>士別市</t>
        </is>
      </c>
      <c r="B60" s="10" t="n">
        <v>18.7</v>
      </c>
    </row>
    <row r="61">
      <c r="A61" s="6" t="inlineStr">
        <is>
          <t>剣淵町</t>
        </is>
      </c>
      <c r="B61" s="10" t="n">
        <v>17.7</v>
      </c>
    </row>
    <row r="62">
      <c r="A62" s="6" t="inlineStr">
        <is>
          <t>下川町</t>
        </is>
      </c>
      <c r="B62" s="10" t="n">
        <v>17.3</v>
      </c>
    </row>
    <row r="63">
      <c r="A63" s="6" t="inlineStr">
        <is>
          <t>占冠村</t>
        </is>
      </c>
      <c r="B63" s="10" t="n">
        <v>17.2</v>
      </c>
    </row>
    <row r="64">
      <c r="A64" s="6" t="inlineStr">
        <is>
          <t>上富良野町</t>
        </is>
      </c>
      <c r="B64" s="10" t="n">
        <v>16.1</v>
      </c>
    </row>
    <row r="65">
      <c r="A65" s="6" t="inlineStr">
        <is>
          <t>音威子府村</t>
        </is>
      </c>
      <c r="B65" s="10"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12"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8" t="n">
        <v>836496</v>
      </c>
      <c r="C6" s="8" t="n">
        <v>872021</v>
      </c>
      <c r="D6" s="8" t="n">
        <v>896194</v>
      </c>
      <c r="E6" s="9" t="n"/>
      <c r="F6" s="9" t="n"/>
      <c r="G6" s="9" t="n"/>
    </row>
    <row r="7">
      <c r="A7" s="6" t="inlineStr">
        <is>
          <t>地域密着型サービス</t>
        </is>
      </c>
      <c r="B7" s="8" t="n">
        <v>765808</v>
      </c>
      <c r="C7" s="8" t="n">
        <v>718778</v>
      </c>
      <c r="D7" s="8" t="n">
        <v>743018</v>
      </c>
      <c r="E7" s="9" t="n"/>
      <c r="F7" s="9" t="n"/>
      <c r="G7" s="9" t="n"/>
    </row>
    <row r="8">
      <c r="A8" s="6" t="inlineStr">
        <is>
          <t>施設サービス</t>
        </is>
      </c>
      <c r="B8" s="8" t="n">
        <v>973845</v>
      </c>
      <c r="C8" s="8" t="n">
        <v>924985</v>
      </c>
      <c r="D8" s="8" t="n">
        <v>941503</v>
      </c>
      <c r="E8" s="9" t="n"/>
      <c r="F8" s="9" t="n"/>
      <c r="G8" s="9" t="n"/>
    </row>
    <row r="9">
      <c r="A9" s="6" t="inlineStr">
        <is>
          <t>居宅介護支援</t>
        </is>
      </c>
      <c r="B9" s="8" t="n">
        <v>111147</v>
      </c>
      <c r="C9" s="8" t="n">
        <v>115959</v>
      </c>
      <c r="D9" s="8" t="n">
        <v>115772</v>
      </c>
      <c r="E9" s="9" t="n"/>
      <c r="F9" s="9" t="n"/>
      <c r="G9" s="9" t="n"/>
    </row>
    <row r="10">
      <c r="A10" s="6" t="inlineStr">
        <is>
          <t>介護予防サービス</t>
        </is>
      </c>
      <c r="B10" s="8" t="n">
        <v>68592</v>
      </c>
      <c r="C10" s="8" t="n">
        <v>64733</v>
      </c>
      <c r="D10" s="8" t="n">
        <v>66451</v>
      </c>
      <c r="E10" s="9" t="n"/>
      <c r="F10" s="9" t="n"/>
      <c r="G10" s="9" t="n"/>
    </row>
    <row r="11">
      <c r="A11" s="6" t="inlineStr">
        <is>
          <t>地域密着型介護予防サービス</t>
        </is>
      </c>
      <c r="B11" s="8" t="n">
        <v>25160</v>
      </c>
      <c r="C11" s="8" t="n">
        <v>22391</v>
      </c>
      <c r="D11" s="8" t="n">
        <v>19802</v>
      </c>
      <c r="E11" s="9" t="n"/>
      <c r="F11" s="9" t="n"/>
      <c r="G11" s="9" t="n"/>
    </row>
    <row r="12">
      <c r="A12" s="6" t="inlineStr">
        <is>
          <t>介護予防支援</t>
        </is>
      </c>
      <c r="B12" s="8" t="n">
        <v>12766</v>
      </c>
      <c r="C12" s="8" t="n">
        <v>12144</v>
      </c>
      <c r="D12" s="8" t="n">
        <v>11653</v>
      </c>
      <c r="E12" s="9" t="n"/>
      <c r="F12" s="9" t="n"/>
      <c r="G12" s="9" t="n"/>
    </row>
    <row r="13">
      <c r="A13" s="6" t="inlineStr">
        <is>
          <t>合計</t>
        </is>
      </c>
      <c r="B13" s="13">
        <f>SUM(B6:B12)</f>
        <v/>
      </c>
      <c r="C13" s="13">
        <f>SUM(C6:C12)</f>
        <v/>
      </c>
      <c r="D13" s="13">
        <f>SUM(D6:D12)</f>
        <v/>
      </c>
      <c r="E13" s="13">
        <f>SUM(E6:E12)</f>
        <v/>
      </c>
      <c r="F13" s="13">
        <f>SUM(F6:F12)</f>
        <v/>
      </c>
      <c r="G13" s="13">
        <f>SUM(G6:G12)</f>
        <v/>
      </c>
    </row>
    <row r="15">
      <c r="A15" s="12"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8" t="n">
        <v>1191892</v>
      </c>
      <c r="C17" s="8" t="n">
        <v>1218034</v>
      </c>
      <c r="D17" s="8" t="n">
        <v>1250603</v>
      </c>
      <c r="E17" s="9" t="n"/>
      <c r="F17" s="9" t="n"/>
      <c r="G17" s="9" t="n"/>
    </row>
    <row r="18">
      <c r="A18" s="6" t="inlineStr">
        <is>
          <t>居住系サービス</t>
        </is>
      </c>
      <c r="B18" s="8" t="n">
        <v>436392</v>
      </c>
      <c r="C18" s="8" t="n">
        <v>399288</v>
      </c>
      <c r="D18" s="8" t="n">
        <v>414922</v>
      </c>
      <c r="E18" s="9" t="n"/>
      <c r="F18" s="9" t="n"/>
      <c r="G18" s="9" t="n"/>
    </row>
    <row r="19">
      <c r="A19" s="6" t="inlineStr">
        <is>
          <t>施設サービス</t>
        </is>
      </c>
      <c r="B19" s="8" t="n">
        <v>1165530</v>
      </c>
      <c r="C19" s="8" t="n">
        <v>1113689</v>
      </c>
      <c r="D19" s="8" t="n">
        <v>1128866</v>
      </c>
      <c r="E19" s="9" t="n"/>
      <c r="F19" s="9" t="n"/>
      <c r="G19" s="9" t="n"/>
    </row>
    <row r="20">
      <c r="A20" s="6" t="inlineStr">
        <is>
          <t>総給付費</t>
        </is>
      </c>
      <c r="B20" s="13">
        <f>SUM(B17:B19)</f>
        <v/>
      </c>
      <c r="C20" s="13">
        <f>SUM(C17:C19)</f>
        <v/>
      </c>
      <c r="D20" s="13">
        <f>SUM(D17:D19)</f>
        <v/>
      </c>
      <c r="E20" s="13">
        <f>SUM(E17:E19)</f>
        <v/>
      </c>
      <c r="F20" s="13">
        <f>SUM(F17:F19)</f>
        <v/>
      </c>
      <c r="G20" s="13">
        <f>SUM(G17:G19)</f>
        <v/>
      </c>
    </row>
    <row r="22">
      <c r="A22" s="12"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8" t="n">
        <v>98828508</v>
      </c>
      <c r="C24" s="8" t="n">
        <v>100020350</v>
      </c>
      <c r="D24" s="8" t="n">
        <v>106455000</v>
      </c>
      <c r="E24" s="9" t="n"/>
      <c r="F24" s="9" t="n"/>
      <c r="G24" s="9" t="n"/>
    </row>
    <row r="25">
      <c r="A25" s="6" t="inlineStr">
        <is>
          <t>包括的支援事業（センター運営）及び任意事業費</t>
        </is>
      </c>
      <c r="B25" s="8" t="n">
        <v>67884572</v>
      </c>
      <c r="C25" s="8" t="n">
        <v>71189693</v>
      </c>
      <c r="D25" s="8" t="n">
        <v>65532000</v>
      </c>
      <c r="E25" s="9" t="n"/>
      <c r="F25" s="9" t="n"/>
      <c r="G25" s="9" t="n"/>
    </row>
    <row r="26">
      <c r="A26" s="6" t="inlineStr">
        <is>
          <t>包括的支援事業（社会保障充実分）</t>
        </is>
      </c>
      <c r="B26" s="8" t="n">
        <v>12746280</v>
      </c>
      <c r="C26" s="8" t="n">
        <v>15365016</v>
      </c>
      <c r="D26" s="8" t="n">
        <v>18387000</v>
      </c>
      <c r="E26" s="9" t="n"/>
      <c r="F26" s="9" t="n"/>
      <c r="G26" s="9" t="n"/>
    </row>
    <row r="27">
      <c r="A27" s="6" t="inlineStr">
        <is>
          <t>地域支援事業費 合計</t>
        </is>
      </c>
      <c r="B27" s="13">
        <f>SUM(B24:B26)</f>
        <v/>
      </c>
      <c r="C27" s="13">
        <f>SUM(C24:C26)</f>
        <v/>
      </c>
      <c r="D27" s="13">
        <f>SUM(D24:D26)</f>
        <v/>
      </c>
      <c r="E27" s="13">
        <f>SUM(E24:E26)</f>
        <v/>
      </c>
      <c r="F27" s="13">
        <f>SUM(F24:F26)</f>
        <v/>
      </c>
      <c r="G27" s="13">
        <f>SUM(G24:G26)</f>
        <v/>
      </c>
    </row>
    <row r="29">
      <c r="A29" s="12"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49"/>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12"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0" t="inlineStr">
        <is>
          <t>フレイルあり割合（基本チェックリスト8項目以上）</t>
        </is>
      </c>
      <c r="C6" s="10" t="inlineStr">
        <is>
          <t>％</t>
        </is>
      </c>
      <c r="D6" s="8" t="n">
        <v>4719</v>
      </c>
      <c r="E6" s="10" t="n">
        <v>19.1</v>
      </c>
      <c r="F6" s="10" t="n">
        <v>11.8</v>
      </c>
      <c r="G6" s="10" t="n">
        <v>13</v>
      </c>
      <c r="H6" s="10" t="n">
        <v>18</v>
      </c>
      <c r="I6" s="10" t="n">
        <v>26.3</v>
      </c>
      <c r="J6" s="10" t="n">
        <v>38.7</v>
      </c>
    </row>
    <row r="7">
      <c r="A7" s="6" t="inlineStr">
        <is>
          <t>②</t>
        </is>
      </c>
      <c r="B7" s="10" t="inlineStr">
        <is>
          <t>運動機能低下者割合（基本チェックリスト）</t>
        </is>
      </c>
      <c r="C7" s="10" t="inlineStr">
        <is>
          <t>％</t>
        </is>
      </c>
      <c r="D7" s="8" t="n">
        <v>4670</v>
      </c>
      <c r="E7" s="10" t="n">
        <v>9.1</v>
      </c>
      <c r="F7" s="10" t="n">
        <v>4</v>
      </c>
      <c r="G7" s="10" t="n">
        <v>5.6</v>
      </c>
      <c r="H7" s="10" t="n">
        <v>8.5</v>
      </c>
      <c r="I7" s="10" t="n">
        <v>14.3</v>
      </c>
      <c r="J7" s="10" t="n">
        <v>20.4</v>
      </c>
    </row>
    <row r="8">
      <c r="A8" s="6" t="inlineStr">
        <is>
          <t>③</t>
        </is>
      </c>
      <c r="B8" s="10" t="inlineStr">
        <is>
          <t>1年間の転倒あり割合</t>
        </is>
      </c>
      <c r="C8" s="10" t="inlineStr">
        <is>
          <t>％</t>
        </is>
      </c>
      <c r="D8" s="8" t="n">
        <v>4656</v>
      </c>
      <c r="E8" s="10" t="n">
        <v>35.5</v>
      </c>
      <c r="F8" s="10" t="n">
        <v>33.5</v>
      </c>
      <c r="G8" s="10" t="n">
        <v>29.1</v>
      </c>
      <c r="H8" s="10" t="n">
        <v>38</v>
      </c>
      <c r="I8" s="10" t="n">
        <v>37</v>
      </c>
      <c r="J8" s="10" t="n">
        <v>45.3</v>
      </c>
    </row>
    <row r="9">
      <c r="A9" s="6" t="inlineStr">
        <is>
          <t>④</t>
        </is>
      </c>
      <c r="B9" s="10" t="inlineStr">
        <is>
          <t>物忘れが多い者の割合</t>
        </is>
      </c>
      <c r="C9" s="10" t="inlineStr">
        <is>
          <t>％</t>
        </is>
      </c>
      <c r="D9" s="8" t="n">
        <v>4598</v>
      </c>
      <c r="E9" s="10" t="n">
        <v>41.3</v>
      </c>
      <c r="F9" s="10" t="n">
        <v>34.8</v>
      </c>
      <c r="G9" s="10" t="n">
        <v>38.7</v>
      </c>
      <c r="H9" s="10" t="n">
        <v>41.9</v>
      </c>
      <c r="I9" s="10" t="n">
        <v>46.6</v>
      </c>
      <c r="J9" s="10" t="n">
        <v>50.5</v>
      </c>
    </row>
    <row r="10">
      <c r="A10" s="6" t="inlineStr">
        <is>
          <t>⑤</t>
        </is>
      </c>
      <c r="B10" s="10" t="inlineStr">
        <is>
          <t>閉じこもり者割合</t>
        </is>
      </c>
      <c r="C10" s="10" t="inlineStr">
        <is>
          <t>％</t>
        </is>
      </c>
      <c r="D10" s="8" t="n">
        <v>4651</v>
      </c>
      <c r="E10" s="10" t="n">
        <v>8.5</v>
      </c>
      <c r="F10" s="10" t="n">
        <v>3.7</v>
      </c>
      <c r="G10" s="10" t="n">
        <v>5</v>
      </c>
      <c r="H10" s="10" t="n">
        <v>8.199999999999999</v>
      </c>
      <c r="I10" s="10" t="n">
        <v>13.4</v>
      </c>
      <c r="J10" s="10" t="n">
        <v>19.1</v>
      </c>
    </row>
    <row r="11">
      <c r="A11" s="6" t="inlineStr">
        <is>
          <t>⑥</t>
        </is>
      </c>
      <c r="B11" s="10" t="inlineStr">
        <is>
          <t>うつ割合（基本チェックリスト）</t>
        </is>
      </c>
      <c r="C11" s="10" t="inlineStr">
        <is>
          <t>％</t>
        </is>
      </c>
      <c r="D11" s="8" t="n">
        <v>4619</v>
      </c>
      <c r="E11" s="10" t="n">
        <v>28.2</v>
      </c>
      <c r="F11" s="10" t="n">
        <v>23.8</v>
      </c>
      <c r="G11" s="10" t="n">
        <v>23.9</v>
      </c>
      <c r="H11" s="10" t="n">
        <v>28.7</v>
      </c>
      <c r="I11" s="10" t="n">
        <v>30.8</v>
      </c>
      <c r="J11" s="10" t="n">
        <v>41.2</v>
      </c>
    </row>
    <row r="12">
      <c r="A12" s="6" t="inlineStr">
        <is>
          <t>⑦</t>
        </is>
      </c>
      <c r="B12" s="10" t="inlineStr">
        <is>
          <t>口腔機能低下者割合（基本チェックリスト）</t>
        </is>
      </c>
      <c r="C12" s="10" t="inlineStr">
        <is>
          <t>％</t>
        </is>
      </c>
      <c r="D12" s="8" t="n">
        <v>4671</v>
      </c>
      <c r="E12" s="10" t="n">
        <v>24.7</v>
      </c>
      <c r="F12" s="10" t="n">
        <v>18.4</v>
      </c>
      <c r="G12" s="10" t="n">
        <v>20.7</v>
      </c>
      <c r="H12" s="10" t="n">
        <v>26</v>
      </c>
      <c r="I12" s="10" t="n">
        <v>29.9</v>
      </c>
      <c r="J12" s="10" t="n">
        <v>34.7</v>
      </c>
    </row>
    <row r="13">
      <c r="A13" s="6" t="inlineStr">
        <is>
          <t>⑧</t>
        </is>
      </c>
      <c r="B13" s="10" t="inlineStr">
        <is>
          <t>低栄養の傾向割合（BMI18.5未満）</t>
        </is>
      </c>
      <c r="C13" s="10" t="inlineStr">
        <is>
          <t>％</t>
        </is>
      </c>
      <c r="D13" s="8" t="n">
        <v>4528</v>
      </c>
      <c r="E13" s="10" t="n">
        <v>7.4</v>
      </c>
      <c r="F13" s="10" t="n">
        <v>5.9</v>
      </c>
      <c r="G13" s="10" t="n">
        <v>6.2</v>
      </c>
      <c r="H13" s="10" t="n">
        <v>7.7</v>
      </c>
      <c r="I13" s="10" t="n">
        <v>9</v>
      </c>
      <c r="J13" s="10" t="n">
        <v>9.699999999999999</v>
      </c>
    </row>
    <row r="14">
      <c r="A14" s="6" t="inlineStr">
        <is>
          <t>⑨</t>
        </is>
      </c>
      <c r="B14" s="10" t="inlineStr">
        <is>
          <t>要支援・要介護リスク点数（平均点）</t>
        </is>
      </c>
      <c r="C14" s="10" t="inlineStr">
        <is>
          <t>点</t>
        </is>
      </c>
      <c r="D14" s="8" t="n">
        <v>4729</v>
      </c>
      <c r="E14" s="10" t="n">
        <v>16.4</v>
      </c>
      <c r="F14" s="10" t="n">
        <v>5.1</v>
      </c>
      <c r="G14" s="10" t="n">
        <v>11.9</v>
      </c>
      <c r="H14" s="10" t="n">
        <v>18.5</v>
      </c>
      <c r="I14" s="10" t="n">
        <v>25.1</v>
      </c>
      <c r="J14" s="10" t="n">
        <v>30</v>
      </c>
    </row>
    <row r="15">
      <c r="A15" s="6" t="inlineStr">
        <is>
          <t>⑩</t>
        </is>
      </c>
      <c r="B15" s="10" t="inlineStr">
        <is>
          <t>認知機能低下者割合（基本チェックリスト）</t>
        </is>
      </c>
      <c r="C15" s="10" t="inlineStr">
        <is>
          <t>％</t>
        </is>
      </c>
      <c r="D15" s="8" t="n">
        <v>4680</v>
      </c>
      <c r="E15" s="10" t="n">
        <v>34.7</v>
      </c>
      <c r="F15" s="10" t="n">
        <v>31.4</v>
      </c>
      <c r="G15" s="10" t="n">
        <v>32.6</v>
      </c>
      <c r="H15" s="10" t="n">
        <v>31.9</v>
      </c>
      <c r="I15" s="10" t="n">
        <v>38</v>
      </c>
      <c r="J15" s="10" t="n">
        <v>47.5</v>
      </c>
    </row>
    <row r="16">
      <c r="A16" s="6" t="inlineStr">
        <is>
          <t>⑪</t>
        </is>
      </c>
      <c r="B16" s="10" t="inlineStr">
        <is>
          <t>IADL（自立度）低下者（1項目以上）割合</t>
        </is>
      </c>
      <c r="C16" s="10" t="inlineStr">
        <is>
          <t>％</t>
        </is>
      </c>
      <c r="D16" s="8" t="n">
        <v>4683</v>
      </c>
      <c r="E16" s="10" t="n">
        <v>9.800000000000001</v>
      </c>
      <c r="F16" s="10" t="n">
        <v>4.8</v>
      </c>
      <c r="G16" s="10" t="n">
        <v>5.1</v>
      </c>
      <c r="H16" s="10" t="n">
        <v>9.1</v>
      </c>
      <c r="I16" s="10" t="n">
        <v>14.9</v>
      </c>
      <c r="J16" s="10" t="n">
        <v>23.4</v>
      </c>
    </row>
    <row r="17">
      <c r="A17" s="6" t="inlineStr">
        <is>
          <t>⑫</t>
        </is>
      </c>
      <c r="B17" s="10" t="inlineStr">
        <is>
          <t>幸福感がある者の割合（8/10点以上）</t>
        </is>
      </c>
      <c r="C17" s="10" t="inlineStr">
        <is>
          <t>％</t>
        </is>
      </c>
      <c r="D17" s="8" t="n">
        <v>4571</v>
      </c>
      <c r="E17" s="10" t="n">
        <v>50.6</v>
      </c>
      <c r="F17" s="10" t="n">
        <v>51.2</v>
      </c>
      <c r="G17" s="10" t="n">
        <v>48.7</v>
      </c>
      <c r="H17" s="10" t="n">
        <v>48.5</v>
      </c>
      <c r="I17" s="10" t="n">
        <v>51.5</v>
      </c>
      <c r="J17" s="10" t="n">
        <v>57.9</v>
      </c>
    </row>
    <row r="18">
      <c r="A18" s="6" t="inlineStr">
        <is>
          <t>⑬</t>
        </is>
      </c>
      <c r="B18" s="10" t="inlineStr">
        <is>
          <t>就労していない者の割合</t>
        </is>
      </c>
      <c r="C18" s="10" t="inlineStr">
        <is>
          <t>％</t>
        </is>
      </c>
      <c r="D18" s="8" t="n">
        <v>4274</v>
      </c>
      <c r="E18" s="10" t="n">
        <v>54.9</v>
      </c>
      <c r="F18" s="10" t="n">
        <v>33.7</v>
      </c>
      <c r="G18" s="10" t="n">
        <v>50</v>
      </c>
      <c r="H18" s="10" t="n">
        <v>61.7</v>
      </c>
      <c r="I18" s="10" t="n">
        <v>69.2</v>
      </c>
      <c r="J18" s="10" t="n">
        <v>74.40000000000001</v>
      </c>
    </row>
    <row r="19">
      <c r="A19" s="6" t="inlineStr">
        <is>
          <t>⑭</t>
        </is>
      </c>
      <c r="B19" s="10" t="inlineStr">
        <is>
          <t>ボランティア参加者（月1回以上）割合</t>
        </is>
      </c>
      <c r="C19" s="10" t="inlineStr">
        <is>
          <t>％</t>
        </is>
      </c>
      <c r="D19" s="8" t="n">
        <v>4524</v>
      </c>
      <c r="E19" s="10" t="n">
        <v>10.7</v>
      </c>
      <c r="F19" s="10" t="n">
        <v>8</v>
      </c>
      <c r="G19" s="10" t="n">
        <v>10.7</v>
      </c>
      <c r="H19" s="10" t="n">
        <v>11</v>
      </c>
      <c r="I19" s="10" t="n">
        <v>11.8</v>
      </c>
      <c r="J19" s="10" t="n">
        <v>13.8</v>
      </c>
    </row>
    <row r="20">
      <c r="A20" s="6" t="inlineStr">
        <is>
          <t>⑮</t>
        </is>
      </c>
      <c r="B20" s="10" t="inlineStr">
        <is>
          <t>スポーツの会参加者（月1回以上）割合</t>
        </is>
      </c>
      <c r="C20" s="10" t="inlineStr">
        <is>
          <t>％</t>
        </is>
      </c>
      <c r="D20" s="8" t="n">
        <v>4537</v>
      </c>
      <c r="E20" s="10" t="n">
        <v>20.7</v>
      </c>
      <c r="F20" s="10" t="n">
        <v>16.1</v>
      </c>
      <c r="G20" s="10" t="n">
        <v>19</v>
      </c>
      <c r="H20" s="10" t="n">
        <v>20.4</v>
      </c>
      <c r="I20" s="10" t="n">
        <v>27.5</v>
      </c>
      <c r="J20" s="10" t="n">
        <v>23.8</v>
      </c>
    </row>
    <row r="21">
      <c r="A21" s="6" t="inlineStr">
        <is>
          <t>⑯</t>
        </is>
      </c>
      <c r="B21" s="10" t="inlineStr">
        <is>
          <t>趣味の会参加者（月1回以上）割合</t>
        </is>
      </c>
      <c r="C21" s="10" t="inlineStr">
        <is>
          <t>％</t>
        </is>
      </c>
      <c r="D21" s="8" t="n">
        <v>4533</v>
      </c>
      <c r="E21" s="10" t="n">
        <v>20.2</v>
      </c>
      <c r="F21" s="10" t="n">
        <v>13.8</v>
      </c>
      <c r="G21" s="10" t="n">
        <v>18.7</v>
      </c>
      <c r="H21" s="10" t="n">
        <v>21.4</v>
      </c>
      <c r="I21" s="10" t="n">
        <v>26.1</v>
      </c>
      <c r="J21" s="10" t="n">
        <v>24.4</v>
      </c>
    </row>
    <row r="22">
      <c r="A22" s="6" t="inlineStr">
        <is>
          <t>⑰</t>
        </is>
      </c>
      <c r="B22" s="10" t="inlineStr">
        <is>
          <t>学習・教養サークル参加者（月1回以上）割合</t>
        </is>
      </c>
      <c r="C22" s="10" t="inlineStr">
        <is>
          <t>％</t>
        </is>
      </c>
      <c r="D22" s="8" t="n">
        <v>4535</v>
      </c>
      <c r="E22" s="10" t="n">
        <v>6</v>
      </c>
      <c r="F22" s="10" t="n">
        <v>3.3</v>
      </c>
      <c r="G22" s="10" t="n">
        <v>5.2</v>
      </c>
      <c r="H22" s="10" t="n">
        <v>6.3</v>
      </c>
      <c r="I22" s="10" t="n">
        <v>7.8</v>
      </c>
      <c r="J22" s="10" t="n">
        <v>9.699999999999999</v>
      </c>
    </row>
    <row r="23">
      <c r="A23" s="6" t="inlineStr">
        <is>
          <t>⑱</t>
        </is>
      </c>
      <c r="B23" s="10" t="inlineStr">
        <is>
          <t>通いの場参加者（月1回以上）割合</t>
        </is>
      </c>
      <c r="C23" s="10" t="inlineStr">
        <is>
          <t>％</t>
        </is>
      </c>
      <c r="D23" s="8" t="n">
        <v>4559</v>
      </c>
      <c r="E23" s="10" t="n">
        <v>8.800000000000001</v>
      </c>
      <c r="F23" s="10" t="n">
        <v>4.1</v>
      </c>
      <c r="G23" s="10" t="n">
        <v>6.4</v>
      </c>
      <c r="H23" s="10" t="n">
        <v>8.5</v>
      </c>
      <c r="I23" s="10" t="n">
        <v>13.1</v>
      </c>
      <c r="J23" s="10" t="n">
        <v>17.6</v>
      </c>
    </row>
    <row r="24">
      <c r="A24" s="6" t="inlineStr">
        <is>
          <t>⑲</t>
        </is>
      </c>
      <c r="B24" s="10" t="inlineStr">
        <is>
          <t>特技や経験を他者に伝える活動参加者（月1回以上）割合</t>
        </is>
      </c>
      <c r="C24" s="10" t="inlineStr">
        <is>
          <t>％</t>
        </is>
      </c>
      <c r="D24" s="8" t="n">
        <v>4531</v>
      </c>
      <c r="E24" s="10" t="n">
        <v>5</v>
      </c>
      <c r="F24" s="10" t="n">
        <v>4.9</v>
      </c>
      <c r="G24" s="10" t="n">
        <v>4.2</v>
      </c>
      <c r="H24" s="10" t="n">
        <v>5.2</v>
      </c>
      <c r="I24" s="10" t="n">
        <v>5.9</v>
      </c>
      <c r="J24" s="10" t="n">
        <v>5.6</v>
      </c>
    </row>
    <row r="25">
      <c r="A25" s="6" t="inlineStr">
        <is>
          <t>⑳</t>
        </is>
      </c>
      <c r="B25" s="10" t="inlineStr">
        <is>
          <t>友人知人と会う頻度が高い（月1回以上）者の割合</t>
        </is>
      </c>
      <c r="C25" s="10" t="inlineStr">
        <is>
          <t>％</t>
        </is>
      </c>
      <c r="D25" s="8" t="n">
        <v>4602</v>
      </c>
      <c r="E25" s="10" t="n">
        <v>63</v>
      </c>
      <c r="F25" s="10" t="n">
        <v>56.6</v>
      </c>
      <c r="G25" s="10" t="n">
        <v>62.8</v>
      </c>
      <c r="H25" s="10" t="n">
        <v>66.3</v>
      </c>
      <c r="I25" s="10" t="n">
        <v>67.5</v>
      </c>
      <c r="J25" s="10" t="n">
        <v>60.6</v>
      </c>
    </row>
    <row r="27">
      <c r="A27" s="12"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0" t="inlineStr">
        <is>
          <t>フレイルあり割合（基本チェックリスト8項目以上）</t>
        </is>
      </c>
      <c r="C29" s="10" t="inlineStr">
        <is>
          <t>％</t>
        </is>
      </c>
      <c r="D29" s="10" t="n">
        <v>19.1</v>
      </c>
      <c r="E29" s="10" t="n">
        <v>17</v>
      </c>
      <c r="F29" s="10" t="n">
        <v>18.4</v>
      </c>
      <c r="G29" s="10" t="n">
        <v>21.6</v>
      </c>
      <c r="H29" s="10" t="n">
        <v>18.5</v>
      </c>
      <c r="I29" s="16">
        <f>IF(H29="","-",D29-H29)</f>
        <v/>
      </c>
      <c r="J29" s="10" t="inlineStr">
        <is>
          <t>有意でない</t>
        </is>
      </c>
    </row>
    <row r="30">
      <c r="A30" s="6" t="inlineStr">
        <is>
          <t>②</t>
        </is>
      </c>
      <c r="B30" s="10" t="inlineStr">
        <is>
          <t>運動機能低下者割合（基本チェックリスト）</t>
        </is>
      </c>
      <c r="C30" s="10" t="inlineStr">
        <is>
          <t>％</t>
        </is>
      </c>
      <c r="D30" s="10" t="n">
        <v>9.1</v>
      </c>
      <c r="E30" s="10" t="n">
        <v>8.199999999999999</v>
      </c>
      <c r="F30" s="10" t="n">
        <v>9</v>
      </c>
      <c r="G30" s="10" t="n">
        <v>10.1</v>
      </c>
      <c r="H30" s="10" t="n">
        <v>9.699999999999999</v>
      </c>
      <c r="I30" s="16">
        <f>IF(H30="","-",D30-H30)</f>
        <v/>
      </c>
      <c r="J30" s="10" t="inlineStr">
        <is>
          <t>有意でない</t>
        </is>
      </c>
    </row>
    <row r="31">
      <c r="A31" s="6" t="inlineStr">
        <is>
          <t>③</t>
        </is>
      </c>
      <c r="B31" s="10" t="inlineStr">
        <is>
          <t>1年間の転倒あり割合</t>
        </is>
      </c>
      <c r="C31" s="10" t="inlineStr">
        <is>
          <t>％</t>
        </is>
      </c>
      <c r="D31" s="10" t="n">
        <v>35.5</v>
      </c>
      <c r="E31" s="10" t="n">
        <v>32.6</v>
      </c>
      <c r="F31" s="10" t="n">
        <v>34</v>
      </c>
      <c r="G31" s="10" t="n">
        <v>39.3</v>
      </c>
      <c r="H31" s="10" t="n">
        <v>32.9</v>
      </c>
      <c r="I31" s="16">
        <f>IF(H31="","-",D31-H31)</f>
        <v/>
      </c>
      <c r="J31" s="17" t="inlineStr">
        <is>
          <t>有意</t>
        </is>
      </c>
    </row>
    <row r="32">
      <c r="A32" s="6" t="inlineStr">
        <is>
          <t>④</t>
        </is>
      </c>
      <c r="B32" s="10" t="inlineStr">
        <is>
          <t>物忘れが多い者の割合</t>
        </is>
      </c>
      <c r="C32" s="10" t="inlineStr">
        <is>
          <t>％</t>
        </is>
      </c>
      <c r="D32" s="10" t="n">
        <v>41.3</v>
      </c>
      <c r="E32" s="10" t="n">
        <v>39.5</v>
      </c>
      <c r="F32" s="10" t="n">
        <v>40.3</v>
      </c>
      <c r="G32" s="10" t="n">
        <v>43.9</v>
      </c>
      <c r="H32" s="10" t="n">
        <v>43.4</v>
      </c>
      <c r="I32" s="16">
        <f>IF(H32="","-",D32-H32)</f>
        <v/>
      </c>
      <c r="J32" s="17" t="inlineStr">
        <is>
          <t>有意</t>
        </is>
      </c>
    </row>
    <row r="33">
      <c r="A33" s="6" t="inlineStr">
        <is>
          <t>⑤</t>
        </is>
      </c>
      <c r="B33" s="10" t="inlineStr">
        <is>
          <t>閉じこもり者割合</t>
        </is>
      </c>
      <c r="C33" s="10" t="inlineStr">
        <is>
          <t>％</t>
        </is>
      </c>
      <c r="D33" s="10" t="n">
        <v>8.5</v>
      </c>
      <c r="E33" s="10" t="n">
        <v>7.2</v>
      </c>
      <c r="F33" s="10" t="n">
        <v>8.6</v>
      </c>
      <c r="G33" s="10" t="n">
        <v>9.699999999999999</v>
      </c>
      <c r="H33" s="10" t="n">
        <v>6.7</v>
      </c>
      <c r="I33" s="16">
        <f>IF(H33="","-",D33-H33)</f>
        <v/>
      </c>
      <c r="J33" s="17" t="inlineStr">
        <is>
          <t>有意</t>
        </is>
      </c>
    </row>
    <row r="34">
      <c r="A34" s="6" t="inlineStr">
        <is>
          <t>⑥</t>
        </is>
      </c>
      <c r="B34" s="10" t="inlineStr">
        <is>
          <t>うつ割合（基本チェックリスト）</t>
        </is>
      </c>
      <c r="C34" s="10" t="inlineStr">
        <is>
          <t>％</t>
        </is>
      </c>
      <c r="D34" s="10" t="n">
        <v>28.2</v>
      </c>
      <c r="E34" s="10" t="n">
        <v>26.8</v>
      </c>
      <c r="F34" s="10" t="n">
        <v>25</v>
      </c>
      <c r="G34" s="10" t="n">
        <v>32.1</v>
      </c>
      <c r="H34" s="10" t="n">
        <v>28.9</v>
      </c>
      <c r="I34" s="16">
        <f>IF(H34="","-",D34-H34)</f>
        <v/>
      </c>
      <c r="J34" s="10" t="inlineStr">
        <is>
          <t>有意でない</t>
        </is>
      </c>
    </row>
    <row r="35">
      <c r="A35" s="6" t="inlineStr">
        <is>
          <t>⑦</t>
        </is>
      </c>
      <c r="B35" s="10" t="inlineStr">
        <is>
          <t>口腔機能低下者割合（基本チェックリスト）</t>
        </is>
      </c>
      <c r="C35" s="10" t="inlineStr">
        <is>
          <t>％</t>
        </is>
      </c>
      <c r="D35" s="10" t="n">
        <v>24.7</v>
      </c>
      <c r="E35" s="10" t="n">
        <v>21.5</v>
      </c>
      <c r="F35" s="10" t="n">
        <v>24.8</v>
      </c>
      <c r="G35" s="10" t="n">
        <v>27.5</v>
      </c>
      <c r="H35" s="10" t="n">
        <v>23.4</v>
      </c>
      <c r="I35" s="16">
        <f>IF(H35="","-",D35-H35)</f>
        <v/>
      </c>
      <c r="J35" s="10" t="inlineStr">
        <is>
          <t>有意でない</t>
        </is>
      </c>
    </row>
    <row r="36">
      <c r="A36" s="6" t="inlineStr">
        <is>
          <t>⑧</t>
        </is>
      </c>
      <c r="B36" s="10" t="inlineStr">
        <is>
          <t>低栄養の傾向割合（BMI18.5未満）</t>
        </is>
      </c>
      <c r="C36" s="10" t="inlineStr">
        <is>
          <t>％</t>
        </is>
      </c>
      <c r="D36" s="10" t="n">
        <v>7.4</v>
      </c>
      <c r="E36" s="10" t="n">
        <v>6.7</v>
      </c>
      <c r="F36" s="10" t="n">
        <v>8.1</v>
      </c>
      <c r="G36" s="10" t="n">
        <v>7.3</v>
      </c>
      <c r="H36" s="10" t="n">
        <v>6</v>
      </c>
      <c r="I36" s="16">
        <f>IF(H36="","-",D36-H36)</f>
        <v/>
      </c>
      <c r="J36" s="17" t="inlineStr">
        <is>
          <t>有意</t>
        </is>
      </c>
    </row>
    <row r="37">
      <c r="A37" s="6" t="inlineStr">
        <is>
          <t>⑨</t>
        </is>
      </c>
      <c r="B37" s="10" t="inlineStr">
        <is>
          <t>要支援・要介護リスク点数（平均点）</t>
        </is>
      </c>
      <c r="C37" s="10" t="inlineStr">
        <is>
          <t>点</t>
        </is>
      </c>
      <c r="D37" s="10" t="n">
        <v>16.4</v>
      </c>
      <c r="E37" s="10" t="n">
        <v>15.5</v>
      </c>
      <c r="F37" s="10" t="n">
        <v>17</v>
      </c>
      <c r="G37" s="10" t="n">
        <v>16.9</v>
      </c>
      <c r="H37" s="10" t="n">
        <v>15.8</v>
      </c>
      <c r="I37" s="16">
        <f>IF(H37="","-",D37-H37)</f>
        <v/>
      </c>
      <c r="J37" s="10" t="inlineStr">
        <is>
          <t>有意でない</t>
        </is>
      </c>
    </row>
    <row r="38">
      <c r="A38" s="6" t="inlineStr">
        <is>
          <t>⑩</t>
        </is>
      </c>
      <c r="B38" s="10" t="inlineStr">
        <is>
          <t>認知機能低下者割合（基本チェックリスト）</t>
        </is>
      </c>
      <c r="C38" s="10" t="inlineStr">
        <is>
          <t>％</t>
        </is>
      </c>
      <c r="D38" s="10" t="n">
        <v>34.7</v>
      </c>
      <c r="E38" s="10" t="n">
        <v>34.9</v>
      </c>
      <c r="F38" s="10" t="n">
        <v>34.6</v>
      </c>
      <c r="G38" s="10" t="n">
        <v>34.7</v>
      </c>
      <c r="H38" s="10" t="n">
        <v>34.5</v>
      </c>
      <c r="I38" s="16">
        <f>IF(H38="","-",D38-H38)</f>
        <v/>
      </c>
      <c r="J38" s="10" t="inlineStr">
        <is>
          <t>有意でない</t>
        </is>
      </c>
    </row>
    <row r="39">
      <c r="A39" s="6" t="inlineStr">
        <is>
          <t>⑪</t>
        </is>
      </c>
      <c r="B39" s="10" t="inlineStr">
        <is>
          <t>IADL（自立度）低下者（1項目以上）割合</t>
        </is>
      </c>
      <c r="C39" s="10" t="inlineStr">
        <is>
          <t>％</t>
        </is>
      </c>
      <c r="D39" s="10" t="n">
        <v>9.800000000000001</v>
      </c>
      <c r="E39" s="10" t="n">
        <v>9.800000000000001</v>
      </c>
      <c r="F39" s="10" t="n">
        <v>10.1</v>
      </c>
      <c r="G39" s="10" t="n">
        <v>9.4</v>
      </c>
      <c r="H39" s="10" t="n">
        <v>9.800000000000001</v>
      </c>
      <c r="I39" s="16">
        <f>IF(H39="","-",D39-H39)</f>
        <v/>
      </c>
      <c r="J39" s="10" t="inlineStr">
        <is>
          <t>有意でない</t>
        </is>
      </c>
    </row>
    <row r="40">
      <c r="A40" s="6" t="inlineStr">
        <is>
          <t>⑫</t>
        </is>
      </c>
      <c r="B40" s="10" t="inlineStr">
        <is>
          <t>幸福感がある者の割合（8/10点以上）</t>
        </is>
      </c>
      <c r="C40" s="10" t="inlineStr">
        <is>
          <t>％</t>
        </is>
      </c>
      <c r="D40" s="10" t="n">
        <v>50.6</v>
      </c>
      <c r="E40" s="10" t="n">
        <v>51</v>
      </c>
      <c r="F40" s="10" t="n">
        <v>51.9</v>
      </c>
      <c r="G40" s="10" t="n">
        <v>49.2</v>
      </c>
      <c r="H40" s="10" t="n"/>
      <c r="I40" s="16">
        <f>IF(H40="","-",D40-H40)</f>
        <v/>
      </c>
      <c r="J40" s="10" t="inlineStr">
        <is>
          <t>第9期に該当なし</t>
        </is>
      </c>
    </row>
    <row r="41">
      <c r="A41" s="6" t="inlineStr">
        <is>
          <t>⑬</t>
        </is>
      </c>
      <c r="B41" s="10" t="inlineStr">
        <is>
          <t>就労していない者の割合</t>
        </is>
      </c>
      <c r="C41" s="10" t="inlineStr">
        <is>
          <t>％</t>
        </is>
      </c>
      <c r="D41" s="10" t="n">
        <v>54.9</v>
      </c>
      <c r="E41" s="10" t="n">
        <v>56.8</v>
      </c>
      <c r="F41" s="10" t="n">
        <v>55.6</v>
      </c>
      <c r="G41" s="10" t="n">
        <v>52.6</v>
      </c>
      <c r="H41" s="10" t="n"/>
      <c r="I41" s="16">
        <f>IF(H41="","-",D41-H41)</f>
        <v/>
      </c>
      <c r="J41" s="10" t="inlineStr">
        <is>
          <t>第9期に該当なし</t>
        </is>
      </c>
    </row>
    <row r="42">
      <c r="A42" s="6" t="inlineStr">
        <is>
          <t>⑭</t>
        </is>
      </c>
      <c r="B42" s="10" t="inlineStr">
        <is>
          <t>ボランティア参加者（月1回以上）割合</t>
        </is>
      </c>
      <c r="C42" s="10" t="inlineStr">
        <is>
          <t>％</t>
        </is>
      </c>
      <c r="D42" s="10" t="n">
        <v>10.7</v>
      </c>
      <c r="E42" s="10" t="n">
        <v>9.300000000000001</v>
      </c>
      <c r="F42" s="10" t="n">
        <v>13</v>
      </c>
      <c r="G42" s="10" t="n">
        <v>10.2</v>
      </c>
      <c r="H42" s="10" t="n">
        <v>9</v>
      </c>
      <c r="I42" s="16">
        <f>IF(H42="","-",D42-H42)</f>
        <v/>
      </c>
      <c r="J42" s="17" t="inlineStr">
        <is>
          <t>有意</t>
        </is>
      </c>
    </row>
    <row r="43">
      <c r="A43" s="6" t="inlineStr">
        <is>
          <t>⑮</t>
        </is>
      </c>
      <c r="B43" s="10" t="inlineStr">
        <is>
          <t>スポーツの会参加者（月1回以上）割合</t>
        </is>
      </c>
      <c r="C43" s="10" t="inlineStr">
        <is>
          <t>％</t>
        </is>
      </c>
      <c r="D43" s="10" t="n">
        <v>20.7</v>
      </c>
      <c r="E43" s="10" t="n">
        <v>21</v>
      </c>
      <c r="F43" s="10" t="n">
        <v>21.6</v>
      </c>
      <c r="G43" s="10" t="n">
        <v>19.6</v>
      </c>
      <c r="H43" s="10" t="n"/>
      <c r="I43" s="16">
        <f>IF(H43="","-",D43-H43)</f>
        <v/>
      </c>
      <c r="J43" s="10" t="inlineStr">
        <is>
          <t>第9期に該当なし</t>
        </is>
      </c>
    </row>
    <row r="44">
      <c r="A44" s="6" t="inlineStr">
        <is>
          <t>⑯</t>
        </is>
      </c>
      <c r="B44" s="10" t="inlineStr">
        <is>
          <t>趣味の会参加者（月1回以上）割合</t>
        </is>
      </c>
      <c r="C44" s="10" t="inlineStr">
        <is>
          <t>％</t>
        </is>
      </c>
      <c r="D44" s="10" t="n">
        <v>20.2</v>
      </c>
      <c r="E44" s="10" t="n">
        <v>20.4</v>
      </c>
      <c r="F44" s="10" t="n">
        <v>21.4</v>
      </c>
      <c r="G44" s="10" t="n">
        <v>18.9</v>
      </c>
      <c r="H44" s="10" t="n"/>
      <c r="I44" s="16">
        <f>IF(H44="","-",D44-H44)</f>
        <v/>
      </c>
      <c r="J44" s="10" t="inlineStr">
        <is>
          <t>第9期に該当なし</t>
        </is>
      </c>
    </row>
    <row r="45">
      <c r="A45" s="6" t="inlineStr">
        <is>
          <t>⑰</t>
        </is>
      </c>
      <c r="B45" s="10" t="inlineStr">
        <is>
          <t>学習・教養サークル参加者（月1回以上）割合</t>
        </is>
      </c>
      <c r="C45" s="10" t="inlineStr">
        <is>
          <t>％</t>
        </is>
      </c>
      <c r="D45" s="10" t="n">
        <v>6</v>
      </c>
      <c r="E45" s="10" t="n">
        <v>5.4</v>
      </c>
      <c r="F45" s="10" t="n">
        <v>6.8</v>
      </c>
      <c r="G45" s="10" t="n">
        <v>5.9</v>
      </c>
      <c r="H45" s="10" t="n"/>
      <c r="I45" s="16">
        <f>IF(H45="","-",D45-H45)</f>
        <v/>
      </c>
      <c r="J45" s="10" t="inlineStr">
        <is>
          <t>第9期に該当なし</t>
        </is>
      </c>
    </row>
    <row r="46">
      <c r="A46" s="6" t="inlineStr">
        <is>
          <t>⑱</t>
        </is>
      </c>
      <c r="B46" s="10" t="inlineStr">
        <is>
          <t>通いの場参加者（月1回以上）割合</t>
        </is>
      </c>
      <c r="C46" s="10" t="inlineStr">
        <is>
          <t>％</t>
        </is>
      </c>
      <c r="D46" s="10" t="n">
        <v>8.800000000000001</v>
      </c>
      <c r="E46" s="10" t="n">
        <v>7.5</v>
      </c>
      <c r="F46" s="10" t="n">
        <v>9.300000000000001</v>
      </c>
      <c r="G46" s="10" t="n">
        <v>9.5</v>
      </c>
      <c r="H46" s="10" t="n">
        <v>7.3</v>
      </c>
      <c r="I46" s="16">
        <f>IF(H46="","-",D46-H46)</f>
        <v/>
      </c>
      <c r="J46" s="17" t="inlineStr">
        <is>
          <t>有意</t>
        </is>
      </c>
    </row>
    <row r="47">
      <c r="A47" s="6" t="inlineStr">
        <is>
          <t>⑲</t>
        </is>
      </c>
      <c r="B47" s="10" t="inlineStr">
        <is>
          <t>特技や経験を他者に伝える活動参加者（月1回以上）割合</t>
        </is>
      </c>
      <c r="C47" s="10" t="inlineStr">
        <is>
          <t>％</t>
        </is>
      </c>
      <c r="D47" s="10" t="n">
        <v>5</v>
      </c>
      <c r="E47" s="10" t="n">
        <v>3.8</v>
      </c>
      <c r="F47" s="10" t="n">
        <v>6.4</v>
      </c>
      <c r="G47" s="10" t="n">
        <v>5</v>
      </c>
      <c r="H47" s="10" t="n"/>
      <c r="I47" s="16">
        <f>IF(H47="","-",D47-H47)</f>
        <v/>
      </c>
      <c r="J47" s="10" t="inlineStr">
        <is>
          <t>第9期に該当なし</t>
        </is>
      </c>
    </row>
    <row r="48">
      <c r="A48" s="6" t="inlineStr">
        <is>
          <t>⑳</t>
        </is>
      </c>
      <c r="B48" s="10" t="inlineStr">
        <is>
          <t>友人知人と会う頻度が高い（月1回以上）者の割合</t>
        </is>
      </c>
      <c r="C48" s="10" t="inlineStr">
        <is>
          <t>％</t>
        </is>
      </c>
      <c r="D48" s="10" t="n">
        <v>63</v>
      </c>
      <c r="E48" s="10" t="n">
        <v>60.1</v>
      </c>
      <c r="F48" s="10" t="n">
        <v>63.1</v>
      </c>
      <c r="G48" s="10" t="n">
        <v>65.5</v>
      </c>
      <c r="H48" s="10" t="n">
        <v>64.3</v>
      </c>
      <c r="I48" s="16">
        <f>IF(H48="","-",D48-H48)</f>
        <v/>
      </c>
      <c r="J48" s="10"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sheetData>
  <mergeCells count="3">
    <mergeCell ref="A2:M2"/>
    <mergeCell ref="A49:M49"/>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12"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0" t="n">
        <v>18.5</v>
      </c>
      <c r="C346" s="10" t="n">
        <v>19.1</v>
      </c>
    </row>
    <row r="347">
      <c r="A347" s="6" t="inlineStr">
        <is>
          <t>運動機能低下者割合（基本チェックリスト）</t>
        </is>
      </c>
      <c r="B347" s="10" t="n">
        <v>9.699999999999999</v>
      </c>
      <c r="C347" s="10" t="n">
        <v>9.1</v>
      </c>
    </row>
    <row r="348">
      <c r="A348" s="6" t="inlineStr">
        <is>
          <t>1年間の転倒あり割合</t>
        </is>
      </c>
      <c r="B348" s="10" t="n">
        <v>32.9</v>
      </c>
      <c r="C348" s="10" t="n">
        <v>35.5</v>
      </c>
    </row>
    <row r="349">
      <c r="A349" s="6" t="inlineStr">
        <is>
          <t>物忘れが多い者の割合</t>
        </is>
      </c>
      <c r="B349" s="10" t="n">
        <v>43.4</v>
      </c>
      <c r="C349" s="10" t="n">
        <v>41.3</v>
      </c>
    </row>
    <row r="350">
      <c r="A350" s="6" t="inlineStr">
        <is>
          <t>閉じこもり者割合</t>
        </is>
      </c>
      <c r="B350" s="10" t="n">
        <v>6.7</v>
      </c>
      <c r="C350" s="10" t="n">
        <v>8.5</v>
      </c>
    </row>
    <row r="351">
      <c r="A351" s="6" t="inlineStr">
        <is>
          <t>うつ割合（基本チェックリスト）</t>
        </is>
      </c>
      <c r="B351" s="10" t="n">
        <v>28.9</v>
      </c>
      <c r="C351" s="10" t="n">
        <v>28.2</v>
      </c>
    </row>
    <row r="352">
      <c r="A352" s="6" t="inlineStr">
        <is>
          <t>口腔機能低下者割合（基本チェックリスト）</t>
        </is>
      </c>
      <c r="B352" s="10" t="n">
        <v>23.4</v>
      </c>
      <c r="C352" s="10" t="n">
        <v>24.7</v>
      </c>
    </row>
    <row r="353">
      <c r="A353" s="6" t="inlineStr">
        <is>
          <t>低栄養の傾向割合（BMI18.5未満）</t>
        </is>
      </c>
      <c r="B353" s="10" t="n">
        <v>6</v>
      </c>
      <c r="C353" s="10" t="n">
        <v>7.4</v>
      </c>
    </row>
    <row r="354">
      <c r="A354" s="6" t="inlineStr">
        <is>
          <t>要支援・要介護リスク点数（平均点）</t>
        </is>
      </c>
      <c r="B354" s="10" t="n">
        <v>15.8</v>
      </c>
      <c r="C354" s="10" t="n">
        <v>16.4</v>
      </c>
    </row>
    <row r="355">
      <c r="A355" s="6" t="inlineStr">
        <is>
          <t>認知機能低下者割合（基本チェックリスト）</t>
        </is>
      </c>
      <c r="B355" s="10" t="n">
        <v>34.5</v>
      </c>
      <c r="C355" s="10" t="n">
        <v>34.7</v>
      </c>
    </row>
    <row r="356">
      <c r="A356" s="6" t="inlineStr">
        <is>
          <t>IADL（自立度）低下者（1項目以上）割合</t>
        </is>
      </c>
      <c r="B356" s="10" t="n">
        <v>9.800000000000001</v>
      </c>
      <c r="C356" s="10" t="n">
        <v>9.800000000000001</v>
      </c>
    </row>
    <row r="357">
      <c r="A357" s="6" t="inlineStr">
        <is>
          <t>ボランティア参加者（月1回以上）割合</t>
        </is>
      </c>
      <c r="B357" s="10" t="n">
        <v>9</v>
      </c>
      <c r="C357" s="10" t="n">
        <v>10.7</v>
      </c>
    </row>
    <row r="358">
      <c r="A358" s="6" t="inlineStr">
        <is>
          <t>通いの場参加者（月1回以上）割合</t>
        </is>
      </c>
      <c r="B358" s="10" t="n">
        <v>7.3</v>
      </c>
      <c r="C358" s="10" t="n">
        <v>8.800000000000001</v>
      </c>
    </row>
    <row r="359">
      <c r="A359" s="6" t="inlineStr">
        <is>
          <t>友人知人と会う頻度が高い（月1回以上）者の割合</t>
        </is>
      </c>
      <c r="B359" s="10" t="n">
        <v>64.3</v>
      </c>
      <c r="C359" s="10"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12" t="inlineStr">
        <is>
          <t>① 世帯類型</t>
        </is>
      </c>
    </row>
    <row r="5">
      <c r="A5" s="5" t="inlineStr">
        <is>
          <t>区分</t>
        </is>
      </c>
      <c r="B5" s="5" t="inlineStr">
        <is>
          <t>令和5年度</t>
        </is>
      </c>
      <c r="C5" s="5" t="inlineStr">
        <is>
          <t>令和2年度</t>
        </is>
      </c>
    </row>
    <row r="6">
      <c r="A6" s="6" t="inlineStr">
        <is>
          <t>単身世帯</t>
        </is>
      </c>
      <c r="B6" s="10" t="n">
        <v>24.3</v>
      </c>
      <c r="C6" s="10" t="n">
        <v>26.3</v>
      </c>
    </row>
    <row r="7">
      <c r="A7" s="6" t="inlineStr">
        <is>
          <t>夫婦のみ世帯</t>
        </is>
      </c>
      <c r="B7" s="10" t="n">
        <v>18.9</v>
      </c>
      <c r="C7" s="10" t="n">
        <v>26.3</v>
      </c>
    </row>
    <row r="8">
      <c r="A8" s="6" t="inlineStr">
        <is>
          <t>その他</t>
        </is>
      </c>
      <c r="B8" s="10" t="n">
        <v>54.1</v>
      </c>
      <c r="C8" s="10" t="n">
        <v>47.4</v>
      </c>
    </row>
    <row r="9">
      <c r="A9" s="6" t="inlineStr">
        <is>
          <t>無回答</t>
        </is>
      </c>
      <c r="B9" s="10" t="n">
        <v>2.7</v>
      </c>
      <c r="C9" s="10"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12" t="inlineStr">
        <is>
          <t>② 家族等による介護の頻度</t>
        </is>
      </c>
    </row>
    <row r="14">
      <c r="A14" s="5" t="inlineStr">
        <is>
          <t>区分</t>
        </is>
      </c>
      <c r="B14" s="5" t="inlineStr">
        <is>
          <t>令和5年度</t>
        </is>
      </c>
      <c r="C14" s="5" t="inlineStr">
        <is>
          <t>令和2年度</t>
        </is>
      </c>
    </row>
    <row r="15">
      <c r="A15" s="6" t="inlineStr">
        <is>
          <t>ない</t>
        </is>
      </c>
      <c r="B15" s="10" t="n">
        <v>18.9</v>
      </c>
      <c r="C15" s="10" t="n">
        <v>11.8</v>
      </c>
    </row>
    <row r="16">
      <c r="A16" s="6" t="inlineStr">
        <is>
          <t>家族・親族の介護はあるが、週に1日よりも少ない</t>
        </is>
      </c>
      <c r="B16" s="10" t="n">
        <v>10.8</v>
      </c>
      <c r="C16" s="10" t="n">
        <v>10.5</v>
      </c>
    </row>
    <row r="17">
      <c r="A17" s="6" t="inlineStr">
        <is>
          <t>週に1～2日ある</t>
        </is>
      </c>
      <c r="B17" s="10" t="n">
        <v>13.5</v>
      </c>
      <c r="C17" s="10" t="n">
        <v>9.199999999999999</v>
      </c>
    </row>
    <row r="18">
      <c r="A18" s="6" t="inlineStr">
        <is>
          <t>週に3～4日ある</t>
        </is>
      </c>
      <c r="B18" s="10" t="n">
        <v>0</v>
      </c>
      <c r="C18" s="10" t="n">
        <v>0</v>
      </c>
    </row>
    <row r="19">
      <c r="A19" s="6" t="inlineStr">
        <is>
          <t>ほぼ毎日ある</t>
        </is>
      </c>
      <c r="B19" s="10" t="n">
        <v>56.8</v>
      </c>
      <c r="C19" s="10" t="n">
        <v>63.2</v>
      </c>
    </row>
    <row r="20">
      <c r="A20" s="6" t="inlineStr">
        <is>
          <t>無回答</t>
        </is>
      </c>
      <c r="B20" s="10" t="n">
        <v>0</v>
      </c>
      <c r="C20" s="10" t="n">
        <v>5.3</v>
      </c>
    </row>
    <row r="22" ht="26" customHeight="1">
      <c r="A22" s="4" t="inlineStr">
        <is>
          <t>注）令和2年度の無回答5.3％は、他5区分の合計94.7％との差から復元した値。「ほぼ毎日ある」は56.8％で令和2年度から6.4ポイント減少している。</t>
        </is>
      </c>
    </row>
    <row r="24">
      <c r="A24" s="12"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0" t="n">
        <v>21.6</v>
      </c>
      <c r="C26" s="10" t="n">
        <v>25</v>
      </c>
    </row>
    <row r="27">
      <c r="A27" s="6" t="inlineStr">
        <is>
          <t>夜間の排泄</t>
        </is>
      </c>
      <c r="B27" s="10" t="n">
        <v>16.2</v>
      </c>
      <c r="C27" s="10" t="n">
        <v>18.8</v>
      </c>
    </row>
    <row r="28">
      <c r="A28" s="6" t="inlineStr">
        <is>
          <t>食事の介助（食べる時）</t>
        </is>
      </c>
      <c r="B28" s="10" t="n">
        <v>10.8</v>
      </c>
      <c r="C28" s="10" t="n">
        <v>12.5</v>
      </c>
    </row>
    <row r="29">
      <c r="A29" s="6" t="inlineStr">
        <is>
          <t>入浴・洗身</t>
        </is>
      </c>
      <c r="B29" s="10" t="n">
        <v>21.6</v>
      </c>
      <c r="C29" s="10" t="n">
        <v>25</v>
      </c>
    </row>
    <row r="30">
      <c r="A30" s="6" t="inlineStr">
        <is>
          <t>身だしなみ（洗顔・歯磨き等）</t>
        </is>
      </c>
      <c r="B30" s="10" t="n">
        <v>24.3</v>
      </c>
      <c r="C30" s="10" t="n">
        <v>28.1</v>
      </c>
    </row>
    <row r="31">
      <c r="A31" s="6" t="inlineStr">
        <is>
          <t>衣服の着脱</t>
        </is>
      </c>
      <c r="B31" s="10" t="n">
        <v>27</v>
      </c>
      <c r="C31" s="10" t="n">
        <v>31.3</v>
      </c>
    </row>
    <row r="32">
      <c r="A32" s="6" t="inlineStr">
        <is>
          <t>屋内の移乗・移動</t>
        </is>
      </c>
      <c r="B32" s="10" t="n">
        <v>16.2</v>
      </c>
      <c r="C32" s="10" t="n">
        <v>18.8</v>
      </c>
    </row>
    <row r="33">
      <c r="A33" s="6" t="inlineStr">
        <is>
          <t>外出の付き添い、送迎等</t>
        </is>
      </c>
      <c r="B33" s="10" t="n">
        <v>67.59999999999999</v>
      </c>
      <c r="C33" s="10" t="n">
        <v>78.09999999999999</v>
      </c>
    </row>
    <row r="34">
      <c r="A34" s="6" t="inlineStr">
        <is>
          <t>服薬</t>
        </is>
      </c>
      <c r="B34" s="10" t="n">
        <v>35.1</v>
      </c>
      <c r="C34" s="10" t="n">
        <v>40.6</v>
      </c>
    </row>
    <row r="35">
      <c r="A35" s="6" t="inlineStr">
        <is>
          <t>認知症状への対応</t>
        </is>
      </c>
      <c r="B35" s="10" t="n">
        <v>18.9</v>
      </c>
      <c r="C35" s="10" t="n">
        <v>21.9</v>
      </c>
    </row>
    <row r="36">
      <c r="A36" s="6" t="inlineStr">
        <is>
          <t>医療面での対応（経管栄養、ストーマ等）</t>
        </is>
      </c>
      <c r="B36" s="10" t="n">
        <v>2.7</v>
      </c>
      <c r="C36" s="10" t="n">
        <v>3.1</v>
      </c>
    </row>
    <row r="37">
      <c r="A37" s="6" t="inlineStr">
        <is>
          <t>食事の準備（調理等）</t>
        </is>
      </c>
      <c r="B37" s="10" t="n">
        <v>62.2</v>
      </c>
      <c r="C37" s="10" t="n">
        <v>71.90000000000001</v>
      </c>
    </row>
    <row r="38">
      <c r="A38" s="6" t="inlineStr">
        <is>
          <t>その他の家事（掃除、洗濯、買い物等）</t>
        </is>
      </c>
      <c r="B38" s="10" t="n">
        <v>73</v>
      </c>
      <c r="C38" s="10" t="n">
        <v>84.40000000000001</v>
      </c>
    </row>
    <row r="39">
      <c r="A39" s="6" t="inlineStr">
        <is>
          <t>金銭管理や生活面に必要な諸手続き</t>
        </is>
      </c>
      <c r="B39" s="10" t="n">
        <v>59.5</v>
      </c>
      <c r="C39" s="10" t="n">
        <v>68.8</v>
      </c>
    </row>
    <row r="40">
      <c r="A40" s="6" t="inlineStr">
        <is>
          <t>その他</t>
        </is>
      </c>
      <c r="B40" s="10" t="n">
        <v>5.4</v>
      </c>
      <c r="C40" s="10" t="n">
        <v>6.3</v>
      </c>
    </row>
    <row r="41">
      <c r="A41" s="6" t="inlineStr">
        <is>
          <t>わからない</t>
        </is>
      </c>
      <c r="B41" s="10" t="n">
        <v>0</v>
      </c>
      <c r="C41" s="10" t="n">
        <v>0</v>
      </c>
    </row>
    <row r="42">
      <c r="A42" s="6" t="inlineStr">
        <is>
          <t>無回答</t>
        </is>
      </c>
      <c r="B42" s="10" t="n">
        <v>13.5</v>
      </c>
      <c r="C42" s="11"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12"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0" t="n">
        <v>2.7</v>
      </c>
      <c r="C48" s="10" t="n">
        <v>1.5</v>
      </c>
    </row>
    <row r="49">
      <c r="A49" s="6" t="inlineStr">
        <is>
          <t>主な介護者以外の家族・親族が仕事を辞めた（転職除く）</t>
        </is>
      </c>
      <c r="B49" s="10" t="n">
        <v>0</v>
      </c>
      <c r="C49" s="10" t="n">
        <v>1.5</v>
      </c>
    </row>
    <row r="50">
      <c r="A50" s="6" t="inlineStr">
        <is>
          <t>主な介護者が転職した</t>
        </is>
      </c>
      <c r="B50" s="10" t="n">
        <v>2.7</v>
      </c>
      <c r="C50" s="10" t="n">
        <v>1.5</v>
      </c>
    </row>
    <row r="51">
      <c r="A51" s="6" t="inlineStr">
        <is>
          <t>主な介護者以外の家族・親族が転職した</t>
        </is>
      </c>
      <c r="B51" s="10" t="n">
        <v>0</v>
      </c>
      <c r="C51" s="10" t="n">
        <v>0</v>
      </c>
    </row>
    <row r="52">
      <c r="A52" s="6" t="inlineStr">
        <is>
          <t>介護のために仕事を辞めた家族・親族はいない</t>
        </is>
      </c>
      <c r="B52" s="10" t="n">
        <v>75.7</v>
      </c>
      <c r="C52" s="10" t="n">
        <v>83.59999999999999</v>
      </c>
    </row>
    <row r="53">
      <c r="A53" s="6" t="inlineStr">
        <is>
          <t>わからない</t>
        </is>
      </c>
      <c r="B53" s="10" t="n">
        <v>0</v>
      </c>
      <c r="C53" s="10" t="n">
        <v>0</v>
      </c>
    </row>
    <row r="54">
      <c r="A54" s="6" t="inlineStr">
        <is>
          <t>無回答</t>
        </is>
      </c>
      <c r="B54" s="10" t="n">
        <v>18.9</v>
      </c>
      <c r="C54" s="10"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12"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0" t="n">
        <v>13.5</v>
      </c>
      <c r="C60" s="10" t="n">
        <v>17.1</v>
      </c>
    </row>
    <row r="61">
      <c r="A61" s="6" t="inlineStr">
        <is>
          <t>調理</t>
        </is>
      </c>
      <c r="B61" s="10" t="n">
        <v>13.5</v>
      </c>
      <c r="C61" s="10" t="n">
        <v>14.5</v>
      </c>
    </row>
    <row r="62">
      <c r="A62" s="6" t="inlineStr">
        <is>
          <t>掃除・洗濯</t>
        </is>
      </c>
      <c r="B62" s="10" t="n">
        <v>21.6</v>
      </c>
      <c r="C62" s="10" t="n">
        <v>15.8</v>
      </c>
    </row>
    <row r="63">
      <c r="A63" s="6" t="inlineStr">
        <is>
          <t>買い物（宅配は含まない）</t>
        </is>
      </c>
      <c r="B63" s="10" t="n">
        <v>16.2</v>
      </c>
      <c r="C63" s="10" t="n">
        <v>13.2</v>
      </c>
    </row>
    <row r="64">
      <c r="A64" s="6" t="inlineStr">
        <is>
          <t>ゴミ出し</t>
        </is>
      </c>
      <c r="B64" s="10" t="n">
        <v>16.2</v>
      </c>
      <c r="C64" s="10" t="n">
        <v>13.2</v>
      </c>
    </row>
    <row r="65">
      <c r="A65" s="6" t="inlineStr">
        <is>
          <t>外出同行（通院、買い物など）</t>
        </is>
      </c>
      <c r="B65" s="10" t="n">
        <v>37.8</v>
      </c>
      <c r="C65" s="10" t="n">
        <v>21.1</v>
      </c>
    </row>
    <row r="66">
      <c r="A66" s="6" t="inlineStr">
        <is>
          <t>移送サービス（介護・福祉等）</t>
        </is>
      </c>
      <c r="B66" s="10" t="n">
        <v>18.9</v>
      </c>
      <c r="C66" s="10" t="n">
        <v>18.4</v>
      </c>
    </row>
    <row r="67">
      <c r="A67" s="6" t="inlineStr">
        <is>
          <t>見守り、声かけ</t>
        </is>
      </c>
      <c r="B67" s="10" t="n">
        <v>16.2</v>
      </c>
      <c r="C67" s="10" t="n">
        <v>18.4</v>
      </c>
    </row>
    <row r="68">
      <c r="A68" s="6" t="inlineStr">
        <is>
          <t>サロンなどの定期的な通いの場</t>
        </is>
      </c>
      <c r="B68" s="10" t="n">
        <v>5.4</v>
      </c>
      <c r="C68" s="10" t="n">
        <v>18.4</v>
      </c>
    </row>
    <row r="69">
      <c r="A69" s="6" t="inlineStr">
        <is>
          <t>その他</t>
        </is>
      </c>
      <c r="B69" s="10" t="n">
        <v>16.2</v>
      </c>
      <c r="C69" s="10" t="n">
        <v>2.7</v>
      </c>
    </row>
    <row r="70">
      <c r="A70" s="6" t="inlineStr">
        <is>
          <t>特になし</t>
        </is>
      </c>
      <c r="B70" s="10" t="n">
        <v>27</v>
      </c>
      <c r="C70" s="10" t="n">
        <v>43.4</v>
      </c>
    </row>
    <row r="71">
      <c r="A71" s="6" t="inlineStr">
        <is>
          <t>無回答</t>
        </is>
      </c>
      <c r="B71" s="10" t="n">
        <v>10.8</v>
      </c>
      <c r="C71" s="10"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12"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0" t="n">
        <v>73</v>
      </c>
      <c r="C77" s="10" t="n">
        <v>82.90000000000001</v>
      </c>
    </row>
    <row r="78">
      <c r="A78" s="6" t="inlineStr">
        <is>
          <t>入所・入居を検討している</t>
        </is>
      </c>
      <c r="B78" s="10" t="n">
        <v>13.5</v>
      </c>
      <c r="C78" s="10" t="n">
        <v>11.8</v>
      </c>
    </row>
    <row r="79">
      <c r="A79" s="6" t="inlineStr">
        <is>
          <t>すでに入所・入居申し込みをしている</t>
        </is>
      </c>
      <c r="B79" s="10" t="n">
        <v>13.5</v>
      </c>
      <c r="C79" s="10" t="n">
        <v>5.3</v>
      </c>
    </row>
    <row r="80">
      <c r="A80" s="6" t="inlineStr">
        <is>
          <t>無回答</t>
        </is>
      </c>
      <c r="B80" s="10" t="n">
        <v>0</v>
      </c>
      <c r="C80" s="10"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12"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8" t="n">
        <v>34</v>
      </c>
      <c r="C6" s="8" t="n">
        <v>3</v>
      </c>
      <c r="D6" s="8">
        <f>B6+C6</f>
        <v/>
      </c>
      <c r="E6" s="10">
        <f>IF($D6=0,"-",B6/$D6*100)</f>
        <v/>
      </c>
      <c r="F6" s="10">
        <f>IF($D6=0,"-",C6/$D6*100)</f>
        <v/>
      </c>
    </row>
    <row r="7">
      <c r="A7" s="6" t="inlineStr">
        <is>
          <t>軽費老人ホーム</t>
        </is>
      </c>
      <c r="B7" s="8" t="n">
        <v>9</v>
      </c>
      <c r="C7" s="8" t="n">
        <v>3</v>
      </c>
      <c r="D7" s="8">
        <f>B7+C7</f>
        <v/>
      </c>
      <c r="E7" s="10">
        <f>IF($D7=0,"-",B7/$D7*100)</f>
        <v/>
      </c>
      <c r="F7" s="10">
        <f>IF($D7=0,"-",C7/$D7*100)</f>
        <v/>
      </c>
    </row>
    <row r="8">
      <c r="A8" s="6" t="inlineStr">
        <is>
          <t>グループホーム</t>
        </is>
      </c>
      <c r="B8" s="8" t="n">
        <v>15</v>
      </c>
      <c r="C8" s="8" t="n">
        <v>5</v>
      </c>
      <c r="D8" s="8">
        <f>B8+C8</f>
        <v/>
      </c>
      <c r="E8" s="10">
        <f>IF($D8=0,"-",B8/$D8*100)</f>
        <v/>
      </c>
      <c r="F8" s="10">
        <f>IF($D8=0,"-",C8/$D8*100)</f>
        <v/>
      </c>
    </row>
    <row r="9">
      <c r="A9" s="6" t="inlineStr">
        <is>
          <t>特定施設</t>
        </is>
      </c>
      <c r="B9" s="8" t="n">
        <v>13</v>
      </c>
      <c r="C9" s="8" t="n">
        <v>20</v>
      </c>
      <c r="D9" s="8">
        <f>B9+C9</f>
        <v/>
      </c>
      <c r="E9" s="10">
        <f>IF($D9=0,"-",B9/$D9*100)</f>
        <v/>
      </c>
      <c r="F9" s="10">
        <f>IF($D9=0,"-",C9/$D9*100)</f>
        <v/>
      </c>
    </row>
    <row r="10">
      <c r="A10" s="6" t="inlineStr">
        <is>
          <t>介護老人保健施設</t>
        </is>
      </c>
      <c r="B10" s="8" t="n">
        <v>91</v>
      </c>
      <c r="C10" s="8" t="n">
        <v>6</v>
      </c>
      <c r="D10" s="8">
        <f>B10+C10</f>
        <v/>
      </c>
      <c r="E10" s="10">
        <f>IF($D10=0,"-",B10/$D10*100)</f>
        <v/>
      </c>
      <c r="F10" s="10">
        <f>IF($D10=0,"-",C10/$D10*100)</f>
        <v/>
      </c>
    </row>
    <row r="11">
      <c r="A11" s="6" t="inlineStr">
        <is>
          <t>特別養護老人ホーム</t>
        </is>
      </c>
      <c r="B11" s="8" t="n">
        <v>41</v>
      </c>
      <c r="C11" s="8" t="n">
        <v>13</v>
      </c>
      <c r="D11" s="8">
        <f>B11+C11</f>
        <v/>
      </c>
      <c r="E11" s="10">
        <f>IF($D11=0,"-",B11/$D11*100)</f>
        <v/>
      </c>
      <c r="F11" s="10">
        <f>IF($D11=0,"-",C11/$D11*100)</f>
        <v/>
      </c>
    </row>
    <row r="12">
      <c r="A12" s="6" t="inlineStr">
        <is>
          <t>地域密着型特別養護老人ホーム</t>
        </is>
      </c>
      <c r="B12" s="8" t="n">
        <v>25</v>
      </c>
      <c r="C12" s="8" t="n">
        <v>6</v>
      </c>
      <c r="D12" s="8">
        <f>B12+C12</f>
        <v/>
      </c>
      <c r="E12" s="10">
        <f>IF($D12=0,"-",B12/$D12*100)</f>
        <v/>
      </c>
      <c r="F12" s="10">
        <f>IF($D12=0,"-",C12/$D12*100)</f>
        <v/>
      </c>
    </row>
    <row r="13">
      <c r="A13" s="6" t="inlineStr">
        <is>
          <t>合計</t>
        </is>
      </c>
      <c r="B13" s="13">
        <f>SUM(B6:B12)</f>
        <v/>
      </c>
      <c r="C13" s="13">
        <f>SUM(C6:C12)</f>
        <v/>
      </c>
      <c r="D13" s="8">
        <f>B13+C13</f>
        <v/>
      </c>
      <c r="E13" s="10">
        <f>IF($D13=0,"-",B13/$D13*100)</f>
        <v/>
      </c>
      <c r="F13" s="10">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12"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8" t="n">
        <v>0</v>
      </c>
      <c r="C19" s="8" t="n">
        <v>2</v>
      </c>
      <c r="D19" s="8" t="n">
        <v>4</v>
      </c>
      <c r="E19" s="8" t="n">
        <v>3</v>
      </c>
      <c r="F19" s="8" t="n">
        <v>1</v>
      </c>
      <c r="G19" s="8" t="n">
        <v>6</v>
      </c>
      <c r="H19" s="8" t="n">
        <v>6</v>
      </c>
      <c r="I19" s="8" t="n">
        <v>12</v>
      </c>
      <c r="J19" s="8" t="n">
        <v>0</v>
      </c>
      <c r="K19" s="8">
        <f>SUM(B19:J19)</f>
        <v/>
      </c>
    </row>
    <row r="20">
      <c r="A20" s="6" t="inlineStr">
        <is>
          <t>軽費老人ホーム</t>
        </is>
      </c>
      <c r="B20" s="8" t="n">
        <v>2</v>
      </c>
      <c r="C20" s="8" t="n">
        <v>1</v>
      </c>
      <c r="D20" s="8" t="n">
        <v>0</v>
      </c>
      <c r="E20" s="8" t="n">
        <v>3</v>
      </c>
      <c r="F20" s="8" t="n">
        <v>1</v>
      </c>
      <c r="G20" s="8" t="n">
        <v>2</v>
      </c>
      <c r="H20" s="8" t="n">
        <v>0</v>
      </c>
      <c r="I20" s="8" t="n">
        <v>0</v>
      </c>
      <c r="J20" s="8" t="n">
        <v>0</v>
      </c>
      <c r="K20" s="8">
        <f>SUM(B20:J20)</f>
        <v/>
      </c>
    </row>
    <row r="21">
      <c r="A21" s="6" t="inlineStr">
        <is>
          <t>グループホーム</t>
        </is>
      </c>
      <c r="B21" s="8" t="n">
        <v>0</v>
      </c>
      <c r="C21" s="8" t="n">
        <v>0</v>
      </c>
      <c r="D21" s="8" t="n">
        <v>0</v>
      </c>
      <c r="E21" s="8" t="n">
        <v>1</v>
      </c>
      <c r="F21" s="8" t="n">
        <v>2</v>
      </c>
      <c r="G21" s="8" t="n">
        <v>2</v>
      </c>
      <c r="H21" s="8" t="n">
        <v>2</v>
      </c>
      <c r="I21" s="8" t="n">
        <v>8</v>
      </c>
      <c r="J21" s="8" t="n">
        <v>0</v>
      </c>
      <c r="K21" s="8">
        <f>SUM(B21:J21)</f>
        <v/>
      </c>
    </row>
    <row r="22">
      <c r="A22" s="6" t="inlineStr">
        <is>
          <t>特定施設</t>
        </is>
      </c>
      <c r="B22" s="8" t="n">
        <v>0</v>
      </c>
      <c r="C22" s="8" t="n">
        <v>2</v>
      </c>
      <c r="D22" s="8" t="n">
        <v>3</v>
      </c>
      <c r="E22" s="8" t="n">
        <v>2</v>
      </c>
      <c r="F22" s="8" t="n">
        <v>2</v>
      </c>
      <c r="G22" s="8" t="n">
        <v>3</v>
      </c>
      <c r="H22" s="8" t="n">
        <v>1</v>
      </c>
      <c r="I22" s="8" t="n">
        <v>0</v>
      </c>
      <c r="J22" s="8" t="n">
        <v>0</v>
      </c>
      <c r="K22" s="8">
        <f>SUM(B22:J22)</f>
        <v/>
      </c>
    </row>
    <row r="23">
      <c r="A23" s="6" t="inlineStr">
        <is>
          <t>介護老人保健施設</t>
        </is>
      </c>
      <c r="B23" s="8" t="n">
        <v>0</v>
      </c>
      <c r="C23" s="8" t="n">
        <v>0</v>
      </c>
      <c r="D23" s="8" t="n">
        <v>0</v>
      </c>
      <c r="E23" s="8" t="n">
        <v>12</v>
      </c>
      <c r="F23" s="8" t="n">
        <v>13</v>
      </c>
      <c r="G23" s="8" t="n">
        <v>26</v>
      </c>
      <c r="H23" s="8" t="n">
        <v>22</v>
      </c>
      <c r="I23" s="8" t="n">
        <v>18</v>
      </c>
      <c r="J23" s="8" t="n">
        <v>0</v>
      </c>
      <c r="K23" s="8">
        <f>SUM(B23:J23)</f>
        <v/>
      </c>
    </row>
    <row r="24">
      <c r="A24" s="6" t="inlineStr">
        <is>
          <t>特別養護老人ホーム</t>
        </is>
      </c>
      <c r="B24" s="8" t="n">
        <v>0</v>
      </c>
      <c r="C24" s="8" t="n">
        <v>0</v>
      </c>
      <c r="D24" s="8" t="n">
        <v>0</v>
      </c>
      <c r="E24" s="8" t="n">
        <v>1</v>
      </c>
      <c r="F24" s="8" t="n">
        <v>1</v>
      </c>
      <c r="G24" s="8" t="n">
        <v>13</v>
      </c>
      <c r="H24" s="8" t="n">
        <v>9</v>
      </c>
      <c r="I24" s="8" t="n">
        <v>17</v>
      </c>
      <c r="J24" s="8" t="n">
        <v>0</v>
      </c>
      <c r="K24" s="8">
        <f>SUM(B24:J24)</f>
        <v/>
      </c>
    </row>
    <row r="25">
      <c r="A25" s="6" t="inlineStr">
        <is>
          <t>地域密着型特別養護老人ホーム</t>
        </is>
      </c>
      <c r="B25" s="8" t="n">
        <v>0</v>
      </c>
      <c r="C25" s="8" t="n">
        <v>0</v>
      </c>
      <c r="D25" s="8" t="n">
        <v>0</v>
      </c>
      <c r="E25" s="8" t="n">
        <v>1</v>
      </c>
      <c r="F25" s="8" t="n">
        <v>2</v>
      </c>
      <c r="G25" s="8" t="n">
        <v>8</v>
      </c>
      <c r="H25" s="8" t="n">
        <v>7</v>
      </c>
      <c r="I25" s="8" t="n">
        <v>7</v>
      </c>
      <c r="J25" s="8" t="n">
        <v>0</v>
      </c>
      <c r="K25" s="8">
        <f>SUM(B25:J25)</f>
        <v/>
      </c>
    </row>
    <row r="26">
      <c r="A26" s="6" t="inlineStr">
        <is>
          <t>合計</t>
        </is>
      </c>
      <c r="B26" s="13">
        <f>SUM(B19:B25)</f>
        <v/>
      </c>
      <c r="C26" s="13">
        <f>SUM(C19:C25)</f>
        <v/>
      </c>
      <c r="D26" s="13">
        <f>SUM(D19:D25)</f>
        <v/>
      </c>
      <c r="E26" s="13">
        <f>SUM(E19:E25)</f>
        <v/>
      </c>
      <c r="F26" s="13">
        <f>SUM(F19:F25)</f>
        <v/>
      </c>
      <c r="G26" s="13">
        <f>SUM(G19:G25)</f>
        <v/>
      </c>
      <c r="H26" s="13">
        <f>SUM(H19:H25)</f>
        <v/>
      </c>
      <c r="I26" s="13">
        <f>SUM(I19:I25)</f>
        <v/>
      </c>
      <c r="J26" s="13">
        <f>SUM(J19:J25)</f>
        <v/>
      </c>
      <c r="K26" s="13">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12" t="inlineStr">
        <is>
          <t>③ 居所変更した理由（21施設・単位：件）</t>
        </is>
      </c>
    </row>
    <row r="31">
      <c r="A31" s="5" t="inlineStr">
        <is>
          <t>区分</t>
        </is>
      </c>
      <c r="B31" s="5" t="inlineStr">
        <is>
          <t>件数</t>
        </is>
      </c>
    </row>
    <row r="32">
      <c r="A32" s="6" t="inlineStr">
        <is>
          <t>必要な支援の発生・増大</t>
        </is>
      </c>
      <c r="B32" s="8" t="n">
        <v>2</v>
      </c>
    </row>
    <row r="33">
      <c r="A33" s="6" t="inlineStr">
        <is>
          <t>必要な身体介護の発生・増大</t>
        </is>
      </c>
      <c r="B33" s="8" t="n">
        <v>5</v>
      </c>
    </row>
    <row r="34">
      <c r="A34" s="6" t="inlineStr">
        <is>
          <t>認知症の症状の悪化</t>
        </is>
      </c>
      <c r="B34" s="8" t="n">
        <v>7</v>
      </c>
    </row>
    <row r="35">
      <c r="A35" s="6" t="inlineStr">
        <is>
          <t>医療的ケア・医療処置の必要性の高まり</t>
        </is>
      </c>
      <c r="B35" s="8" t="n">
        <v>19</v>
      </c>
    </row>
    <row r="36">
      <c r="A36" s="6" t="inlineStr">
        <is>
          <t>上記以外の状態像が悪化</t>
        </is>
      </c>
      <c r="B36" s="8" t="n">
        <v>8</v>
      </c>
    </row>
    <row r="37">
      <c r="A37" s="6" t="inlineStr">
        <is>
          <t>状態等の改善</t>
        </is>
      </c>
      <c r="B37" s="8" t="n">
        <v>5</v>
      </c>
    </row>
    <row r="38">
      <c r="A38" s="6" t="inlineStr">
        <is>
          <t>必要な居宅サービスを望まなかったため</t>
        </is>
      </c>
      <c r="B38" s="8" t="n">
        <v>1</v>
      </c>
    </row>
    <row r="39">
      <c r="A39" s="6" t="inlineStr">
        <is>
          <t>費用負担が重くなった</t>
        </is>
      </c>
      <c r="B39" s="8" t="n">
        <v>4</v>
      </c>
    </row>
    <row r="40">
      <c r="A40" s="6" t="inlineStr">
        <is>
          <t>その他</t>
        </is>
      </c>
      <c r="B40" s="8"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12" t="inlineStr">
        <is>
          <t>（参考）回答者の要介護度別内訳（単位：人）</t>
        </is>
      </c>
    </row>
    <row r="5">
      <c r="A5" s="5" t="inlineStr">
        <is>
          <t>要介護度</t>
        </is>
      </c>
      <c r="B5" s="5" t="inlineStr">
        <is>
          <t>該当者数</t>
        </is>
      </c>
    </row>
    <row r="6">
      <c r="A6" s="6" t="inlineStr">
        <is>
          <t>要支援1</t>
        </is>
      </c>
      <c r="B6" s="8" t="n">
        <v>0</v>
      </c>
    </row>
    <row r="7">
      <c r="A7" s="6" t="inlineStr">
        <is>
          <t>要支援2</t>
        </is>
      </c>
      <c r="B7" s="8" t="n">
        <v>7</v>
      </c>
    </row>
    <row r="8">
      <c r="A8" s="6" t="inlineStr">
        <is>
          <t>要介護1</t>
        </is>
      </c>
      <c r="B8" s="8" t="n">
        <v>31</v>
      </c>
    </row>
    <row r="9">
      <c r="A9" s="6" t="inlineStr">
        <is>
          <t>要介護2</t>
        </is>
      </c>
      <c r="B9" s="8" t="n">
        <v>18</v>
      </c>
    </row>
    <row r="10">
      <c r="A10" s="6" t="inlineStr">
        <is>
          <t>要介護3</t>
        </is>
      </c>
      <c r="B10" s="8" t="n">
        <v>12</v>
      </c>
    </row>
    <row r="11">
      <c r="A11" s="6" t="inlineStr">
        <is>
          <t>要介護4</t>
        </is>
      </c>
      <c r="B11" s="8" t="n">
        <v>15</v>
      </c>
    </row>
    <row r="12">
      <c r="A12" s="6" t="inlineStr">
        <is>
          <t>要介護5</t>
        </is>
      </c>
      <c r="B12" s="8" t="n">
        <v>8</v>
      </c>
    </row>
    <row r="13">
      <c r="A13" s="6" t="inlineStr">
        <is>
          <t>合計</t>
        </is>
      </c>
      <c r="B13" s="13">
        <f>SUM(B6:B12)</f>
        <v/>
      </c>
    </row>
    <row r="15">
      <c r="A15" s="12"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0" t="n">
        <v>46.7</v>
      </c>
      <c r="C17" s="10" t="n">
        <v>27.1</v>
      </c>
    </row>
    <row r="18">
      <c r="A18" s="6" t="inlineStr">
        <is>
          <t>夫婦のみ世帯</t>
        </is>
      </c>
      <c r="B18" s="10" t="n">
        <v>13.3</v>
      </c>
      <c r="C18" s="10" t="n">
        <v>25.9</v>
      </c>
    </row>
    <row r="19">
      <c r="A19" s="6" t="inlineStr">
        <is>
          <t>単身の子供との同居</t>
        </is>
      </c>
      <c r="B19" s="10" t="n">
        <v>0</v>
      </c>
      <c r="C19" s="10" t="n">
        <v>11.1</v>
      </c>
    </row>
    <row r="20">
      <c r="A20" s="6" t="inlineStr">
        <is>
          <t>その他世帯</t>
        </is>
      </c>
      <c r="B20" s="10" t="n">
        <v>26.7</v>
      </c>
      <c r="C20" s="10" t="n">
        <v>22.4</v>
      </c>
    </row>
    <row r="21">
      <c r="A21" s="6" t="inlineStr">
        <is>
          <t>自宅等（持ち家）</t>
        </is>
      </c>
      <c r="B21" s="10" t="n">
        <v>62.2</v>
      </c>
      <c r="C21" s="10" t="n">
        <v>77.7</v>
      </c>
    </row>
    <row r="22">
      <c r="A22" s="6" t="inlineStr">
        <is>
          <t>自宅等（借家）</t>
        </is>
      </c>
      <c r="B22" s="10" t="n">
        <v>6.7</v>
      </c>
      <c r="C22" s="10" t="n">
        <v>4.9</v>
      </c>
    </row>
    <row r="23">
      <c r="A23" s="6" t="inlineStr">
        <is>
          <t>サ高住・住宅型有料・軽費</t>
        </is>
      </c>
      <c r="B23" s="10" t="n">
        <v>17.8</v>
      </c>
      <c r="C23" s="10" t="n">
        <v>4.9</v>
      </c>
    </row>
    <row r="24">
      <c r="A24" s="6" t="inlineStr">
        <is>
          <t>要介護2以下</t>
        </is>
      </c>
      <c r="B24" s="10" t="n">
        <v>53.3</v>
      </c>
      <c r="C24" s="10" t="n">
        <v>48.1</v>
      </c>
    </row>
    <row r="25">
      <c r="A25" s="6" t="inlineStr">
        <is>
          <t>要介護3以上</t>
        </is>
      </c>
      <c r="B25" s="10" t="n">
        <v>33.4</v>
      </c>
      <c r="C25" s="10"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12"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0" t="n">
        <v>48.9</v>
      </c>
      <c r="C31" s="10" t="n">
        <v>55.6</v>
      </c>
      <c r="D31" s="10" t="n">
        <v>38.9</v>
      </c>
      <c r="E31" s="10" t="n">
        <v>46.9</v>
      </c>
    </row>
    <row r="32">
      <c r="A32" s="6" t="inlineStr">
        <is>
          <t>必要な身体介護の増大</t>
        </is>
      </c>
      <c r="B32" s="10" t="n">
        <v>51.1</v>
      </c>
      <c r="C32" s="10" t="n">
        <v>40.7</v>
      </c>
      <c r="D32" s="10" t="n">
        <v>66.7</v>
      </c>
      <c r="E32" s="10" t="n">
        <v>61.7</v>
      </c>
    </row>
    <row r="33">
      <c r="A33" s="6" t="inlineStr">
        <is>
          <t>認知症の症状の悪化</t>
        </is>
      </c>
      <c r="B33" s="10" t="n">
        <v>66.7</v>
      </c>
      <c r="C33" s="10" t="n">
        <v>74.09999999999999</v>
      </c>
      <c r="D33" s="10" t="n">
        <v>55.6</v>
      </c>
      <c r="E33" s="10" t="n">
        <v>63</v>
      </c>
    </row>
    <row r="34">
      <c r="A34" s="6" t="inlineStr">
        <is>
          <t>医療的ケア・医療処置の必要性の高まり</t>
        </is>
      </c>
      <c r="B34" s="10" t="n">
        <v>8.9</v>
      </c>
      <c r="C34" s="10" t="n">
        <v>7.4</v>
      </c>
      <c r="D34" s="10" t="n">
        <v>11.1</v>
      </c>
      <c r="E34" s="10" t="n">
        <v>24.7</v>
      </c>
    </row>
    <row r="35">
      <c r="A35" s="6" t="inlineStr">
        <is>
          <t>その他、本人の状態等の悪化</t>
        </is>
      </c>
      <c r="B35" s="10" t="n">
        <v>22.2</v>
      </c>
      <c r="C35" s="10" t="n">
        <v>25.9</v>
      </c>
      <c r="D35" s="10" t="n">
        <v>16.7</v>
      </c>
      <c r="E35" s="10" t="n">
        <v>17.3</v>
      </c>
    </row>
    <row r="36">
      <c r="A36" s="6" t="inlineStr">
        <is>
          <t>本人の状態等の改善</t>
        </is>
      </c>
      <c r="B36" s="10" t="n">
        <v>4.4</v>
      </c>
      <c r="C36" s="10" t="n">
        <v>3.7</v>
      </c>
      <c r="D36" s="10" t="n">
        <v>5.6</v>
      </c>
      <c r="E36" s="10" t="n">
        <v>0</v>
      </c>
    </row>
    <row r="37">
      <c r="A37" s="6" t="inlineStr">
        <is>
          <t>その他</t>
        </is>
      </c>
      <c r="B37" s="10" t="n">
        <v>4.4</v>
      </c>
      <c r="C37" s="10" t="n">
        <v>0</v>
      </c>
      <c r="D37" s="10" t="n">
        <v>11.1</v>
      </c>
      <c r="E37" s="10" t="n">
        <v>0</v>
      </c>
    </row>
    <row r="38">
      <c r="A38" s="6" t="inlineStr">
        <is>
          <t>無回答</t>
        </is>
      </c>
      <c r="B38" s="10" t="n">
        <v>0</v>
      </c>
      <c r="C38" s="10" t="n">
        <v>0</v>
      </c>
      <c r="D38" s="10" t="n">
        <v>0</v>
      </c>
      <c r="E38" s="10"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12"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0" t="n">
        <v>15.6</v>
      </c>
      <c r="C44" s="10" t="n">
        <v>18.5</v>
      </c>
      <c r="D44" s="10" t="n">
        <v>11.1</v>
      </c>
      <c r="E44" s="10" t="n">
        <v>32.1</v>
      </c>
    </row>
    <row r="45">
      <c r="A45" s="6" t="inlineStr">
        <is>
          <t>生活の不安が大きいから</t>
        </is>
      </c>
      <c r="B45" s="10" t="n">
        <v>33.3</v>
      </c>
      <c r="C45" s="10" t="n">
        <v>33.3</v>
      </c>
      <c r="D45" s="10" t="n">
        <v>33.3</v>
      </c>
      <c r="E45" s="10" t="n">
        <v>29.6</v>
      </c>
    </row>
    <row r="46">
      <c r="A46" s="6" t="inlineStr">
        <is>
          <t>居住環境が不便だから</t>
        </is>
      </c>
      <c r="B46" s="10" t="n">
        <v>8.9</v>
      </c>
      <c r="C46" s="10" t="n">
        <v>7.4</v>
      </c>
      <c r="D46" s="10" t="n">
        <v>11.1</v>
      </c>
      <c r="E46" s="10" t="n">
        <v>9.9</v>
      </c>
    </row>
    <row r="47">
      <c r="A47" s="6" t="inlineStr">
        <is>
          <t>本人が介護者の負担軽減を望むから</t>
        </is>
      </c>
      <c r="B47" s="10" t="n">
        <v>2.2</v>
      </c>
      <c r="C47" s="10" t="n">
        <v>0</v>
      </c>
      <c r="D47" s="10" t="n">
        <v>5.6</v>
      </c>
      <c r="E47" s="10" t="n">
        <v>4.9</v>
      </c>
    </row>
    <row r="48">
      <c r="A48" s="6" t="inlineStr">
        <is>
          <t>負担費用が重いから</t>
        </is>
      </c>
      <c r="B48" s="10" t="n">
        <v>8.9</v>
      </c>
      <c r="C48" s="10" t="n">
        <v>11.1</v>
      </c>
      <c r="D48" s="10" t="n">
        <v>5.6</v>
      </c>
      <c r="E48" s="10" t="n">
        <v>6.2</v>
      </c>
    </row>
    <row r="49">
      <c r="A49" s="6" t="inlineStr">
        <is>
          <t>その他、本人の意向等があるから</t>
        </is>
      </c>
      <c r="B49" s="10" t="n">
        <v>11.1</v>
      </c>
      <c r="C49" s="10" t="n">
        <v>3.7</v>
      </c>
      <c r="D49" s="10" t="n">
        <v>22.2</v>
      </c>
      <c r="E49" s="10" t="n">
        <v>23.5</v>
      </c>
    </row>
    <row r="50">
      <c r="A50" s="6" t="inlineStr">
        <is>
          <t>その他</t>
        </is>
      </c>
      <c r="B50" s="10" t="n">
        <v>35.6</v>
      </c>
      <c r="C50" s="10" t="n">
        <v>40.7</v>
      </c>
      <c r="D50" s="10" t="n">
        <v>27.8</v>
      </c>
      <c r="E50" s="10" t="n">
        <v>25.9</v>
      </c>
    </row>
    <row r="51">
      <c r="A51" s="6" t="inlineStr">
        <is>
          <t>無回答</t>
        </is>
      </c>
      <c r="B51" s="10" t="n">
        <v>0</v>
      </c>
      <c r="C51" s="10" t="n">
        <v>0</v>
      </c>
      <c r="D51" s="10" t="n">
        <v>0</v>
      </c>
      <c r="E51" s="10"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12"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0" t="n">
        <v>51.1</v>
      </c>
      <c r="C57" s="10" t="n">
        <v>44.4</v>
      </c>
      <c r="D57" s="10" t="n">
        <v>61.1</v>
      </c>
      <c r="E57" s="10" t="n">
        <v>66.7</v>
      </c>
    </row>
    <row r="58">
      <c r="A58" s="6" t="inlineStr">
        <is>
          <t>介護者が、一部の居宅サービスの利用を望まないから</t>
        </is>
      </c>
      <c r="B58" s="10" t="n">
        <v>6.7</v>
      </c>
      <c r="C58" s="10" t="n">
        <v>3.7</v>
      </c>
      <c r="D58" s="10" t="n">
        <v>11.1</v>
      </c>
      <c r="E58" s="10" t="n">
        <v>17.3</v>
      </c>
    </row>
    <row r="59">
      <c r="A59" s="6" t="inlineStr">
        <is>
          <t>家族等の介護等技術では対応が困難</t>
        </is>
      </c>
      <c r="B59" s="10" t="n">
        <v>26.7</v>
      </c>
      <c r="C59" s="10" t="n">
        <v>11.1</v>
      </c>
      <c r="D59" s="10" t="n">
        <v>50</v>
      </c>
      <c r="E59" s="10" t="n">
        <v>34.6</v>
      </c>
    </row>
    <row r="60">
      <c r="A60" s="6" t="inlineStr">
        <is>
          <t>費用負担が重いから</t>
        </is>
      </c>
      <c r="B60" s="10" t="n">
        <v>11.1</v>
      </c>
      <c r="C60" s="10" t="n">
        <v>7.4</v>
      </c>
      <c r="D60" s="10" t="n">
        <v>16.7</v>
      </c>
      <c r="E60" s="10" t="n">
        <v>12.3</v>
      </c>
    </row>
    <row r="61">
      <c r="A61" s="6" t="inlineStr">
        <is>
          <t>家族等の就労継続が困難になり始めたから</t>
        </is>
      </c>
      <c r="B61" s="10" t="n">
        <v>8.9</v>
      </c>
      <c r="C61" s="10" t="n">
        <v>3.7</v>
      </c>
      <c r="D61" s="10" t="n">
        <v>16.7</v>
      </c>
      <c r="E61" s="10" t="n">
        <v>17.3</v>
      </c>
    </row>
    <row r="62">
      <c r="A62" s="6" t="inlineStr">
        <is>
          <t>本人と家族等の関係性に課題があるから</t>
        </is>
      </c>
      <c r="B62" s="10" t="n">
        <v>20</v>
      </c>
      <c r="C62" s="10" t="n">
        <v>22.2</v>
      </c>
      <c r="D62" s="10" t="n">
        <v>16.7</v>
      </c>
      <c r="E62" s="10" t="n">
        <v>19.8</v>
      </c>
    </row>
    <row r="63">
      <c r="A63" s="6" t="inlineStr">
        <is>
          <t>その他、家族等介護者の意向等があるから</t>
        </is>
      </c>
      <c r="B63" s="10" t="n">
        <v>20</v>
      </c>
      <c r="C63" s="10" t="n">
        <v>18.5</v>
      </c>
      <c r="D63" s="10" t="n">
        <v>22.2</v>
      </c>
      <c r="E63" s="10" t="n">
        <v>23.5</v>
      </c>
    </row>
    <row r="64">
      <c r="A64" s="6" t="inlineStr">
        <is>
          <t>その他</t>
        </is>
      </c>
      <c r="B64" s="10" t="n">
        <v>13.3</v>
      </c>
      <c r="C64" s="10" t="n">
        <v>18.5</v>
      </c>
      <c r="D64" s="10" t="n">
        <v>5.6</v>
      </c>
      <c r="E64" s="10" t="n">
        <v>3.7</v>
      </c>
    </row>
    <row r="65">
      <c r="A65" s="6" t="inlineStr">
        <is>
          <t>無回答</t>
        </is>
      </c>
      <c r="B65" s="10" t="n">
        <v>2.2</v>
      </c>
      <c r="C65" s="10" t="n">
        <v>0</v>
      </c>
      <c r="D65" s="10" t="n">
        <v>5.6</v>
      </c>
      <c r="E65" s="10"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12" t="inlineStr">
        <is>
          <t>（参考）回答事業所の内訳（単位：施設）</t>
        </is>
      </c>
    </row>
    <row r="5">
      <c r="A5" s="5" t="inlineStr">
        <is>
          <t>サービス種別</t>
        </is>
      </c>
      <c r="B5" s="5" t="inlineStr">
        <is>
          <t>施設数</t>
        </is>
      </c>
    </row>
    <row r="6">
      <c r="A6" s="6" t="inlineStr">
        <is>
          <t>施設・居住系サービス</t>
        </is>
      </c>
      <c r="B6" s="8" t="n">
        <v>18</v>
      </c>
    </row>
    <row r="7">
      <c r="A7" s="6" t="inlineStr">
        <is>
          <t>通所系サービス</t>
        </is>
      </c>
      <c r="B7" s="8" t="n">
        <v>3</v>
      </c>
    </row>
    <row r="8">
      <c r="A8" s="6" t="inlineStr">
        <is>
          <t>不明</t>
        </is>
      </c>
      <c r="B8" s="8" t="n">
        <v>6</v>
      </c>
    </row>
    <row r="9">
      <c r="A9" s="6" t="inlineStr">
        <is>
          <t>合計</t>
        </is>
      </c>
      <c r="B9" s="13">
        <f>SUM(B6:B8)</f>
        <v/>
      </c>
    </row>
    <row r="11">
      <c r="A11" s="12"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8" t="n">
        <v>134</v>
      </c>
      <c r="C13" s="8" t="n">
        <v>174</v>
      </c>
      <c r="D13" s="8">
        <f>B13+C13</f>
        <v/>
      </c>
    </row>
    <row r="14">
      <c r="A14" s="6" t="inlineStr">
        <is>
          <t>非正規職員</t>
        </is>
      </c>
      <c r="B14" s="8" t="n">
        <v>8</v>
      </c>
      <c r="C14" s="8" t="n">
        <v>87</v>
      </c>
      <c r="D14" s="8">
        <f>B14+C14</f>
        <v/>
      </c>
    </row>
    <row r="15">
      <c r="A15" s="6" t="inlineStr">
        <is>
          <t>合計</t>
        </is>
      </c>
      <c r="B15" s="13">
        <f>SUM(B13:B14)</f>
        <v/>
      </c>
      <c r="C15" s="13">
        <f>SUM(C13:C14)</f>
        <v/>
      </c>
      <c r="D15" s="13">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12" t="inlineStr">
        <is>
          <t>（1）② 男女比較（該当者405人）</t>
        </is>
      </c>
    </row>
    <row r="20">
      <c r="A20" s="5" t="inlineStr">
        <is>
          <t>区分</t>
        </is>
      </c>
      <c r="B20" s="5" t="inlineStr">
        <is>
          <t>構成比</t>
        </is>
      </c>
    </row>
    <row r="21">
      <c r="A21" s="6" t="inlineStr">
        <is>
          <t>男性</t>
        </is>
      </c>
      <c r="B21" s="10" t="n">
        <v>35.3</v>
      </c>
    </row>
    <row r="22">
      <c r="A22" s="6" t="inlineStr">
        <is>
          <t>女性</t>
        </is>
      </c>
      <c r="B22" s="10" t="n">
        <v>64.40000000000001</v>
      </c>
    </row>
    <row r="23">
      <c r="A23" s="6" t="inlineStr">
        <is>
          <t>無回答</t>
        </is>
      </c>
      <c r="B23" s="10" t="n">
        <v>0.2</v>
      </c>
    </row>
    <row r="25">
      <c r="A25" s="12" t="inlineStr">
        <is>
          <t>（1）③ 就業形態比較（該当者405人）</t>
        </is>
      </c>
    </row>
    <row r="26">
      <c r="A26" s="5" t="inlineStr">
        <is>
          <t>区分</t>
        </is>
      </c>
      <c r="B26" s="5" t="inlineStr">
        <is>
          <t>構成比</t>
        </is>
      </c>
    </row>
    <row r="27">
      <c r="A27" s="6" t="inlineStr">
        <is>
          <t>正規社員</t>
        </is>
      </c>
      <c r="B27" s="10" t="n">
        <v>76.3</v>
      </c>
    </row>
    <row r="28">
      <c r="A28" s="6" t="inlineStr">
        <is>
          <t>非正規社員</t>
        </is>
      </c>
      <c r="B28" s="10" t="n">
        <v>23.5</v>
      </c>
    </row>
    <row r="29">
      <c r="A29" s="6" t="inlineStr">
        <is>
          <t>無回答</t>
        </is>
      </c>
      <c r="B29" s="10" t="n">
        <v>0.2</v>
      </c>
    </row>
    <row r="31">
      <c r="A31" s="12"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0" t="n">
        <v>31.2</v>
      </c>
      <c r="C33" s="10" t="n">
        <v>43.6</v>
      </c>
      <c r="D33" s="10" t="n">
        <v>1.8</v>
      </c>
      <c r="E33" s="10" t="n">
        <v>23.4</v>
      </c>
      <c r="F33" s="18">
        <f>B33+C33</f>
        <v/>
      </c>
      <c r="G33" s="18">
        <f>B33+D33</f>
        <v/>
      </c>
      <c r="H33" s="10" t="n">
        <v>16</v>
      </c>
    </row>
    <row r="34">
      <c r="A34" s="6" t="inlineStr">
        <is>
          <t>施設・居住系サービス</t>
        </is>
      </c>
      <c r="B34" s="10" t="n">
        <v>31.9</v>
      </c>
      <c r="C34" s="10" t="n">
        <v>45.1</v>
      </c>
      <c r="D34" s="10" t="n">
        <v>1.9</v>
      </c>
      <c r="E34" s="10" t="n">
        <v>21.1</v>
      </c>
      <c r="F34" s="18">
        <f>B34+C34</f>
        <v/>
      </c>
      <c r="G34" s="18">
        <f>B34+D34</f>
        <v/>
      </c>
      <c r="H34" s="10" t="n">
        <v>17.6</v>
      </c>
    </row>
    <row r="35">
      <c r="A35" s="6" t="inlineStr">
        <is>
          <t>通所系サービス</t>
        </is>
      </c>
      <c r="B35" s="10" t="n">
        <v>20</v>
      </c>
      <c r="C35" s="10" t="n">
        <v>20</v>
      </c>
      <c r="D35" s="10" t="n">
        <v>0</v>
      </c>
      <c r="E35" s="10" t="n">
        <v>60</v>
      </c>
      <c r="F35" s="18">
        <f>B35+C35</f>
        <v/>
      </c>
      <c r="G35" s="18">
        <f>B35+D35</f>
        <v/>
      </c>
      <c r="H35" s="10"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12"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0" t="n">
        <v>3.7</v>
      </c>
      <c r="C41" s="10" t="n">
        <v>14.8</v>
      </c>
      <c r="D41" s="10" t="n">
        <v>37</v>
      </c>
      <c r="E41" s="10" t="n">
        <v>29.6</v>
      </c>
      <c r="F41" s="10" t="n">
        <v>14.8</v>
      </c>
      <c r="G41" s="10" t="inlineStr">
        <is>
          <t>19年3か月</t>
        </is>
      </c>
    </row>
    <row r="42">
      <c r="A42" s="6" t="inlineStr">
        <is>
          <t>施設・居住系サービス</t>
        </is>
      </c>
      <c r="B42" s="10" t="n">
        <v>0</v>
      </c>
      <c r="C42" s="10" t="n">
        <v>16.7</v>
      </c>
      <c r="D42" s="10" t="n">
        <v>44.4</v>
      </c>
      <c r="E42" s="10" t="n">
        <v>27.8</v>
      </c>
      <c r="F42" s="10" t="n">
        <v>11.1</v>
      </c>
      <c r="G42" s="10" t="inlineStr">
        <is>
          <t>19年8か月</t>
        </is>
      </c>
    </row>
    <row r="43">
      <c r="A43" s="6" t="inlineStr">
        <is>
          <t>通所系サービス</t>
        </is>
      </c>
      <c r="B43" s="10" t="n">
        <v>0</v>
      </c>
      <c r="C43" s="10" t="n">
        <v>0</v>
      </c>
      <c r="D43" s="10" t="n">
        <v>0</v>
      </c>
      <c r="E43" s="10" t="n">
        <v>66.7</v>
      </c>
      <c r="F43" s="10" t="n">
        <v>33.3</v>
      </c>
      <c r="G43" s="10"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12" t="inlineStr">
        <is>
          <t>（3）① 全職員の年齢構成・在職年数（総数）</t>
        </is>
      </c>
    </row>
    <row r="48">
      <c r="A48" s="5" t="inlineStr">
        <is>
          <t>年代</t>
        </is>
      </c>
      <c r="B48" s="5" t="inlineStr">
        <is>
          <t>人数（人）</t>
        </is>
      </c>
      <c r="C48" s="5" t="inlineStr">
        <is>
          <t>構成比（％）</t>
        </is>
      </c>
    </row>
    <row r="49">
      <c r="A49" s="6" t="inlineStr">
        <is>
          <t>20歳未満</t>
        </is>
      </c>
      <c r="B49" s="8" t="n">
        <v>5</v>
      </c>
      <c r="C49" s="10">
        <f>B49/$B$56*100</f>
        <v/>
      </c>
    </row>
    <row r="50">
      <c r="A50" s="6" t="inlineStr">
        <is>
          <t>20代</t>
        </is>
      </c>
      <c r="B50" s="8" t="n">
        <v>71</v>
      </c>
      <c r="C50" s="10">
        <f>B50/$B$56*100</f>
        <v/>
      </c>
    </row>
    <row r="51">
      <c r="A51" s="6" t="inlineStr">
        <is>
          <t>30代</t>
        </is>
      </c>
      <c r="B51" s="8" t="n">
        <v>82</v>
      </c>
      <c r="C51" s="10">
        <f>B51/$B$56*100</f>
        <v/>
      </c>
    </row>
    <row r="52">
      <c r="A52" s="6" t="inlineStr">
        <is>
          <t>40代</t>
        </is>
      </c>
      <c r="B52" s="8" t="n">
        <v>107</v>
      </c>
      <c r="C52" s="10">
        <f>B52/$B$56*100</f>
        <v/>
      </c>
    </row>
    <row r="53">
      <c r="A53" s="6" t="inlineStr">
        <is>
          <t>50代</t>
        </is>
      </c>
      <c r="B53" s="8" t="n">
        <v>81</v>
      </c>
      <c r="C53" s="10">
        <f>B53/$B$56*100</f>
        <v/>
      </c>
    </row>
    <row r="54">
      <c r="A54" s="6" t="inlineStr">
        <is>
          <t>60代</t>
        </is>
      </c>
      <c r="B54" s="8" t="n">
        <v>51</v>
      </c>
      <c r="C54" s="10">
        <f>B54/$B$56*100</f>
        <v/>
      </c>
    </row>
    <row r="55">
      <c r="A55" s="6" t="inlineStr">
        <is>
          <t>70代以上</t>
        </is>
      </c>
      <c r="B55" s="8" t="n">
        <v>8</v>
      </c>
      <c r="C55" s="10">
        <f>B55/$B$56*100</f>
        <v/>
      </c>
    </row>
    <row r="56">
      <c r="A56" s="6" t="inlineStr">
        <is>
          <t>合計</t>
        </is>
      </c>
      <c r="B56" s="13">
        <f>SUM(B49:B55)</f>
        <v/>
      </c>
      <c r="C56" s="10">
        <f>B56/$B$56*100</f>
        <v/>
      </c>
    </row>
    <row r="58">
      <c r="A58" s="5" t="inlineStr">
        <is>
          <t>在職年数</t>
        </is>
      </c>
      <c r="B58" s="5" t="inlineStr">
        <is>
          <t>人数（人）</t>
        </is>
      </c>
      <c r="C58" s="5" t="inlineStr">
        <is>
          <t>構成比（％）</t>
        </is>
      </c>
    </row>
    <row r="59">
      <c r="A59" s="6" t="inlineStr">
        <is>
          <t>1年未満</t>
        </is>
      </c>
      <c r="B59" s="8" t="n">
        <v>56</v>
      </c>
      <c r="C59" s="10">
        <f>B59/$B$62*100</f>
        <v/>
      </c>
    </row>
    <row r="60">
      <c r="A60" s="6" t="inlineStr">
        <is>
          <t>1年以上</t>
        </is>
      </c>
      <c r="B60" s="8" t="n">
        <v>345</v>
      </c>
      <c r="C60" s="10">
        <f>B60/$B$62*100</f>
        <v/>
      </c>
    </row>
    <row r="61">
      <c r="A61" s="6" t="inlineStr">
        <is>
          <t>無回答</t>
        </is>
      </c>
      <c r="B61" s="8" t="n">
        <v>4</v>
      </c>
      <c r="C61" s="10">
        <f>B61/$B$62*100</f>
        <v/>
      </c>
    </row>
    <row r="62">
      <c r="A62" s="6" t="inlineStr">
        <is>
          <t>合計</t>
        </is>
      </c>
      <c r="B62" s="13">
        <f>SUM(B59:B61)</f>
        <v/>
      </c>
      <c r="C62" s="10">
        <f>B62/$B$62*100</f>
        <v/>
      </c>
    </row>
    <row r="64">
      <c r="A64" s="12"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0" t="n">
        <v>1.5</v>
      </c>
      <c r="C66" s="10" t="n">
        <v>17.8</v>
      </c>
      <c r="D66" s="10" t="n">
        <v>18.6</v>
      </c>
      <c r="E66" s="10" t="n">
        <v>26.9</v>
      </c>
      <c r="F66" s="10" t="n">
        <v>20.1</v>
      </c>
      <c r="G66" s="10" t="n">
        <v>13</v>
      </c>
      <c r="H66" s="10" t="n">
        <v>2.1</v>
      </c>
    </row>
    <row r="67">
      <c r="A67" s="6" t="inlineStr">
        <is>
          <t>施設・居住系サービス</t>
        </is>
      </c>
      <c r="B67" s="10" t="n">
        <v>1.6</v>
      </c>
      <c r="C67" s="10" t="n">
        <v>17.9</v>
      </c>
      <c r="D67" s="10" t="n">
        <v>18.2</v>
      </c>
      <c r="E67" s="10" t="n">
        <v>26.4</v>
      </c>
      <c r="F67" s="10" t="n">
        <v>20.1</v>
      </c>
      <c r="G67" s="10" t="n">
        <v>13.5</v>
      </c>
      <c r="H67" s="10" t="n">
        <v>2.2</v>
      </c>
    </row>
    <row r="68">
      <c r="A68" s="6" t="inlineStr">
        <is>
          <t>通所系サービス</t>
        </is>
      </c>
      <c r="B68" s="10" t="n">
        <v>0</v>
      </c>
      <c r="C68" s="10" t="n">
        <v>15</v>
      </c>
      <c r="D68" s="10" t="n">
        <v>25</v>
      </c>
      <c r="E68" s="10" t="n">
        <v>35</v>
      </c>
      <c r="F68" s="10" t="n">
        <v>20</v>
      </c>
      <c r="G68" s="10" t="n">
        <v>5</v>
      </c>
      <c r="H68" s="10" t="n">
        <v>0</v>
      </c>
    </row>
    <row r="70">
      <c r="A70" s="12"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0" t="n">
        <v>15.2</v>
      </c>
      <c r="C72" s="10" t="n">
        <v>84.8</v>
      </c>
    </row>
    <row r="73">
      <c r="A73" s="6" t="inlineStr">
        <is>
          <t>施設・居住系サービス</t>
        </is>
      </c>
      <c r="B73" s="10" t="n">
        <v>14.9</v>
      </c>
      <c r="C73" s="10" t="n">
        <v>85.09999999999999</v>
      </c>
    </row>
    <row r="74">
      <c r="A74" s="6" t="inlineStr">
        <is>
          <t>通所系サービス</t>
        </is>
      </c>
      <c r="B74" s="10" t="n">
        <v>20</v>
      </c>
      <c r="C74" s="10"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12"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0" t="n">
        <v>16.1</v>
      </c>
    </row>
    <row r="81">
      <c r="A81" s="6" t="inlineStr">
        <is>
          <t>介護以外の職場</t>
        </is>
      </c>
      <c r="B81" s="10" t="n">
        <v>26.8</v>
      </c>
    </row>
    <row r="82">
      <c r="A82" s="6" t="inlineStr">
        <is>
          <t>特養、老健、療養型・介護医療院、ショートステイ、グループホーム、特定施設</t>
        </is>
      </c>
      <c r="B82" s="10" t="n">
        <v>37.5</v>
      </c>
    </row>
    <row r="83">
      <c r="A83" s="6" t="inlineStr">
        <is>
          <t>訪問介護・入浴、夜間対応型</t>
        </is>
      </c>
      <c r="B83" s="11" t="n"/>
    </row>
    <row r="84">
      <c r="A84" s="6" t="inlineStr">
        <is>
          <t>小多機、看多機、定期巡回</t>
        </is>
      </c>
      <c r="B84" s="11" t="n"/>
    </row>
    <row r="85">
      <c r="A85" s="6" t="inlineStr">
        <is>
          <t>通所介護、通所リハ、認知症デイ</t>
        </is>
      </c>
      <c r="B85" s="10" t="n">
        <v>1.8</v>
      </c>
    </row>
    <row r="86">
      <c r="A86" s="6" t="inlineStr">
        <is>
          <t>住宅型有料、サ高住（特定施設以外）</t>
        </is>
      </c>
      <c r="B86" s="10" t="n">
        <v>7.1</v>
      </c>
    </row>
    <row r="87">
      <c r="A87" s="6" t="inlineStr">
        <is>
          <t>その他の介護サービス</t>
        </is>
      </c>
      <c r="B87" s="10"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12"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0" t="n">
        <v>28.1</v>
      </c>
      <c r="C93" s="10" t="n">
        <v>62.5</v>
      </c>
      <c r="D93" s="10" t="n">
        <v>9.4</v>
      </c>
    </row>
    <row r="94">
      <c r="A94" s="6" t="inlineStr">
        <is>
          <t>法人・グループ</t>
        </is>
      </c>
      <c r="B94" s="10" t="n">
        <v>25</v>
      </c>
      <c r="C94" s="10" t="n">
        <v>65.59999999999999</v>
      </c>
      <c r="D94" s="10"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12" t="inlineStr">
        <is>
          <t>（4）資格の取得・研修の修了の状況（単位：％）</t>
        </is>
      </c>
    </row>
    <row r="99">
      <c r="A99" s="5" t="inlineStr">
        <is>
          <t>区分</t>
        </is>
      </c>
      <c r="B99" s="5" t="inlineStr">
        <is>
          <t>構成比</t>
        </is>
      </c>
    </row>
    <row r="100">
      <c r="A100" s="6" t="inlineStr">
        <is>
          <t>介護福祉士（認定介護福祉士含む）</t>
        </is>
      </c>
      <c r="B100" s="10" t="n">
        <v>64</v>
      </c>
    </row>
    <row r="101">
      <c r="A101" s="6" t="inlineStr">
        <is>
          <t>介護職員実務者研修修了、または(旧)介護職員基礎研修修了、または(旧)ヘルパー1級</t>
        </is>
      </c>
      <c r="B101" s="10" t="n">
        <v>3</v>
      </c>
    </row>
    <row r="102">
      <c r="A102" s="6" t="inlineStr">
        <is>
          <t>介護職員初任者研修修了、または(旧)ヘルパー2級</t>
        </is>
      </c>
      <c r="B102" s="10" t="n">
        <v>13.6</v>
      </c>
    </row>
    <row r="103">
      <c r="A103" s="6" t="inlineStr">
        <is>
          <t>上記のいずれも該当しない</t>
        </is>
      </c>
      <c r="B103" s="10" t="n">
        <v>19.5</v>
      </c>
    </row>
    <row r="105">
      <c r="A105" s="12" t="inlineStr">
        <is>
          <t>（5）① 過去1年間の採用者数・離職者数（単位：人）</t>
        </is>
      </c>
    </row>
    <row r="106">
      <c r="A106" s="5" t="inlineStr">
        <is>
          <t>区分</t>
        </is>
      </c>
      <c r="B106" s="5" t="inlineStr">
        <is>
          <t>人数</t>
        </is>
      </c>
    </row>
    <row r="107">
      <c r="A107" s="6" t="inlineStr">
        <is>
          <t>過去1年の介護職員の採用者数</t>
        </is>
      </c>
      <c r="B107" s="8" t="n">
        <v>80</v>
      </c>
    </row>
    <row r="108">
      <c r="A108" s="6" t="inlineStr">
        <is>
          <t>過去1年の介護職員の離職者数</t>
        </is>
      </c>
      <c r="B108" s="8" t="n">
        <v>74</v>
      </c>
    </row>
    <row r="110">
      <c r="A110" s="12"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8" t="n">
        <v>42</v>
      </c>
      <c r="C112" s="8" t="n">
        <v>15</v>
      </c>
      <c r="D112" s="8" t="n">
        <v>42</v>
      </c>
      <c r="E112" s="8" t="n">
        <v>15</v>
      </c>
    </row>
    <row r="113">
      <c r="A113" s="6" t="inlineStr">
        <is>
          <t>通所系サービス</t>
        </is>
      </c>
      <c r="B113" s="8" t="n">
        <v>4</v>
      </c>
      <c r="C113" s="8" t="n">
        <v>3</v>
      </c>
      <c r="D113" s="8" t="n">
        <v>3</v>
      </c>
      <c r="E113" s="8" t="n">
        <v>4</v>
      </c>
    </row>
    <row r="114">
      <c r="A114" s="6" t="inlineStr">
        <is>
          <t>無回答</t>
        </is>
      </c>
      <c r="B114" s="8" t="n">
        <v>6</v>
      </c>
      <c r="C114" s="8" t="n">
        <v>2</v>
      </c>
      <c r="D114" s="8" t="n">
        <v>8</v>
      </c>
      <c r="E114" s="8" t="n">
        <v>0</v>
      </c>
    </row>
    <row r="115">
      <c r="A115" s="6" t="inlineStr">
        <is>
          <t>合計</t>
        </is>
      </c>
      <c r="B115" s="13">
        <f>SUM(B112:B114)</f>
        <v/>
      </c>
      <c r="C115" s="13">
        <f>SUM(C112:C114)</f>
        <v/>
      </c>
      <c r="D115" s="13">
        <f>SUM(D112:D114)</f>
        <v/>
      </c>
      <c r="E115" s="13">
        <f>SUM(E112:E114)</f>
        <v/>
      </c>
    </row>
    <row r="117">
      <c r="A117" s="12"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8" t="n">
        <v>3</v>
      </c>
      <c r="C119" s="8" t="n">
        <v>0</v>
      </c>
      <c r="D119" s="8" t="n">
        <v>1</v>
      </c>
      <c r="E119" s="8" t="n">
        <v>0</v>
      </c>
    </row>
    <row r="120">
      <c r="A120" s="6" t="inlineStr">
        <is>
          <t>20代</t>
        </is>
      </c>
      <c r="B120" s="8" t="n">
        <v>19</v>
      </c>
      <c r="C120" s="8" t="n">
        <v>4</v>
      </c>
      <c r="D120" s="8" t="n">
        <v>13</v>
      </c>
      <c r="E120" s="8" t="n">
        <v>2</v>
      </c>
    </row>
    <row r="121">
      <c r="A121" s="6" t="inlineStr">
        <is>
          <t>30代</t>
        </is>
      </c>
      <c r="B121" s="8" t="n">
        <v>11</v>
      </c>
      <c r="C121" s="8" t="n">
        <v>3</v>
      </c>
      <c r="D121" s="8" t="n">
        <v>10</v>
      </c>
      <c r="E121" s="8" t="n">
        <v>1</v>
      </c>
    </row>
    <row r="122">
      <c r="A122" s="6" t="inlineStr">
        <is>
          <t>40代</t>
        </is>
      </c>
      <c r="B122" s="8" t="n">
        <v>7</v>
      </c>
      <c r="C122" s="8" t="n">
        <v>6</v>
      </c>
      <c r="D122" s="8" t="n">
        <v>10</v>
      </c>
      <c r="E122" s="8" t="n">
        <v>8</v>
      </c>
    </row>
    <row r="123">
      <c r="A123" s="6" t="inlineStr">
        <is>
          <t>50代</t>
        </is>
      </c>
      <c r="B123" s="8" t="n">
        <v>8</v>
      </c>
      <c r="C123" s="8" t="n">
        <v>4</v>
      </c>
      <c r="D123" s="8" t="n">
        <v>12</v>
      </c>
      <c r="E123" s="8" t="n">
        <v>4</v>
      </c>
    </row>
    <row r="124">
      <c r="A124" s="6" t="inlineStr">
        <is>
          <t>60代</t>
        </is>
      </c>
      <c r="B124" s="8" t="n">
        <v>4</v>
      </c>
      <c r="C124" s="8" t="n">
        <v>3</v>
      </c>
      <c r="D124" s="8" t="n">
        <v>6</v>
      </c>
      <c r="E124" s="8" t="n">
        <v>4</v>
      </c>
    </row>
    <row r="125">
      <c r="A125" s="6" t="inlineStr">
        <is>
          <t>70代以上</t>
        </is>
      </c>
      <c r="B125" s="8" t="n">
        <v>0</v>
      </c>
      <c r="C125" s="8" t="n">
        <v>0</v>
      </c>
      <c r="D125" s="8" t="n">
        <v>0</v>
      </c>
      <c r="E125" s="8" t="n">
        <v>3</v>
      </c>
    </row>
    <row r="126">
      <c r="A126" s="6" t="inlineStr">
        <is>
          <t>合計</t>
        </is>
      </c>
      <c r="B126" s="13">
        <f>SUM(B119:B125)</f>
        <v/>
      </c>
      <c r="C126" s="13">
        <f>SUM(C119:C125)</f>
        <v/>
      </c>
      <c r="D126" s="13">
        <f>SUM(D119:D125)</f>
        <v/>
      </c>
      <c r="E126" s="13">
        <f>SUM(E119:E125)</f>
        <v/>
      </c>
    </row>
    <row r="127">
      <c r="A127" s="19" t="inlineStr">
        <is>
          <t>30代以下の正規採用者が正規採用者に占める割合（％）</t>
        </is>
      </c>
      <c r="B127" s="20">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12" t="inlineStr">
        <is>
          <t>（6）過去1週間の勤務時間（単位：％）</t>
        </is>
      </c>
    </row>
    <row r="132">
      <c r="A132" s="5" t="inlineStr">
        <is>
          <t>区分</t>
        </is>
      </c>
      <c r="B132" s="5" t="inlineStr">
        <is>
          <t>構成比</t>
        </is>
      </c>
    </row>
    <row r="133">
      <c r="A133" s="6" t="inlineStr">
        <is>
          <t>5時間未満</t>
        </is>
      </c>
      <c r="B133" s="10" t="n">
        <v>1.5</v>
      </c>
    </row>
    <row r="134">
      <c r="A134" s="6" t="inlineStr">
        <is>
          <t>5時間以上10時間未満</t>
        </is>
      </c>
      <c r="B134" s="10" t="n">
        <v>2.7</v>
      </c>
    </row>
    <row r="135">
      <c r="A135" s="6" t="inlineStr">
        <is>
          <t>10時間以上15時間未満</t>
        </is>
      </c>
      <c r="B135" s="10" t="n">
        <v>3</v>
      </c>
    </row>
    <row r="136">
      <c r="A136" s="6" t="inlineStr">
        <is>
          <t>15時間以上20時間未満</t>
        </is>
      </c>
      <c r="B136" s="10" t="n">
        <v>3</v>
      </c>
    </row>
    <row r="137">
      <c r="A137" s="6" t="inlineStr">
        <is>
          <t>20時間以上25時間未満</t>
        </is>
      </c>
      <c r="B137" s="10" t="n">
        <v>7.4</v>
      </c>
    </row>
    <row r="138">
      <c r="A138" s="6" t="inlineStr">
        <is>
          <t>25時間以上30時間未満</t>
        </is>
      </c>
      <c r="B138" s="10" t="n">
        <v>1.7</v>
      </c>
    </row>
    <row r="139">
      <c r="A139" s="6" t="inlineStr">
        <is>
          <t>30時間以上35時間未満</t>
        </is>
      </c>
      <c r="B139" s="10" t="n">
        <v>9.1</v>
      </c>
    </row>
    <row r="140">
      <c r="A140" s="6" t="inlineStr">
        <is>
          <t>35時間以上40時間未満</t>
        </is>
      </c>
      <c r="B140" s="10" t="n">
        <v>11.6</v>
      </c>
    </row>
    <row r="141">
      <c r="A141" s="6" t="inlineStr">
        <is>
          <t>40時間以上45時間未満</t>
        </is>
      </c>
      <c r="B141" s="10" t="n">
        <v>46.9</v>
      </c>
    </row>
    <row r="142">
      <c r="A142" s="6" t="inlineStr">
        <is>
          <t>45時間以上50時間未満</t>
        </is>
      </c>
      <c r="B142" s="10" t="n">
        <v>4.9</v>
      </c>
    </row>
    <row r="143">
      <c r="A143" s="6" t="inlineStr">
        <is>
          <t>50時間以上</t>
        </is>
      </c>
      <c r="B143" s="10" t="n">
        <v>0.7</v>
      </c>
    </row>
    <row r="144">
      <c r="A144" s="6" t="inlineStr">
        <is>
          <t>不明</t>
        </is>
      </c>
      <c r="B144" s="10"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12"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8" t="n">
        <v>2289</v>
      </c>
      <c r="C6" s="8" t="n">
        <v>2062</v>
      </c>
      <c r="D6" s="8" t="n">
        <v>1673</v>
      </c>
      <c r="E6" s="8" t="n">
        <v>1784</v>
      </c>
      <c r="F6" s="8" t="n">
        <v>1884</v>
      </c>
      <c r="G6" s="8" t="n">
        <v>2082</v>
      </c>
      <c r="H6" s="8" t="n">
        <v>1778</v>
      </c>
      <c r="I6" s="8" t="n">
        <v>1548</v>
      </c>
    </row>
    <row r="7">
      <c r="A7" s="6" t="inlineStr">
        <is>
          <t>70～74歳</t>
        </is>
      </c>
      <c r="B7" s="8" t="n">
        <v>1843</v>
      </c>
      <c r="C7" s="8" t="n">
        <v>2208</v>
      </c>
      <c r="D7" s="8" t="n">
        <v>1949</v>
      </c>
      <c r="E7" s="8" t="n">
        <v>1589</v>
      </c>
      <c r="F7" s="8" t="n">
        <v>1701</v>
      </c>
      <c r="G7" s="8" t="n">
        <v>1803</v>
      </c>
      <c r="H7" s="8" t="n">
        <v>1998</v>
      </c>
      <c r="I7" s="8" t="n">
        <v>1713</v>
      </c>
    </row>
    <row r="8">
      <c r="A8" s="6" t="inlineStr">
        <is>
          <t>75～79歳</t>
        </is>
      </c>
      <c r="B8" s="8" t="n">
        <v>1700</v>
      </c>
      <c r="C8" s="8" t="n">
        <v>1702</v>
      </c>
      <c r="D8" s="8" t="n">
        <v>2044</v>
      </c>
      <c r="E8" s="8" t="n">
        <v>1815</v>
      </c>
      <c r="F8" s="8" t="n">
        <v>1482</v>
      </c>
      <c r="G8" s="8" t="n">
        <v>1592</v>
      </c>
      <c r="H8" s="8" t="n">
        <v>1695</v>
      </c>
      <c r="I8" s="8" t="n">
        <v>1884</v>
      </c>
    </row>
    <row r="9">
      <c r="A9" s="6" t="inlineStr">
        <is>
          <t>80～84歳</t>
        </is>
      </c>
      <c r="B9" s="8" t="n">
        <v>1496</v>
      </c>
      <c r="C9" s="8" t="n">
        <v>1488</v>
      </c>
      <c r="D9" s="8" t="n">
        <v>1490</v>
      </c>
      <c r="E9" s="8" t="n">
        <v>1843</v>
      </c>
      <c r="F9" s="8" t="n">
        <v>1638</v>
      </c>
      <c r="G9" s="8" t="n">
        <v>1346</v>
      </c>
      <c r="H9" s="8" t="n">
        <v>1455</v>
      </c>
      <c r="I9" s="8" t="n">
        <v>1560</v>
      </c>
    </row>
    <row r="10">
      <c r="A10" s="6" t="inlineStr">
        <is>
          <t>85～89歳</t>
        </is>
      </c>
      <c r="B10" s="8" t="n">
        <v>998</v>
      </c>
      <c r="C10" s="8" t="n">
        <v>1157</v>
      </c>
      <c r="D10" s="8" t="n">
        <v>1164</v>
      </c>
      <c r="E10" s="8" t="n">
        <v>1182</v>
      </c>
      <c r="F10" s="8" t="n">
        <v>1512</v>
      </c>
      <c r="G10" s="8" t="n">
        <v>1339</v>
      </c>
      <c r="H10" s="8" t="n">
        <v>1110</v>
      </c>
      <c r="I10" s="8" t="n">
        <v>1212</v>
      </c>
    </row>
    <row r="11">
      <c r="A11" s="6" t="inlineStr">
        <is>
          <t>90歳以上</t>
        </is>
      </c>
      <c r="B11" s="8" t="n">
        <v>629</v>
      </c>
      <c r="C11" s="8" t="n">
        <v>820</v>
      </c>
      <c r="D11" s="8" t="n">
        <v>1003</v>
      </c>
      <c r="E11" s="8" t="n">
        <v>1097</v>
      </c>
      <c r="F11" s="8" t="n">
        <v>1161</v>
      </c>
      <c r="G11" s="8" t="n">
        <v>1471</v>
      </c>
      <c r="H11" s="8" t="n">
        <v>1486</v>
      </c>
      <c r="I11" s="8" t="n">
        <v>1322</v>
      </c>
    </row>
    <row r="12">
      <c r="A12" s="6" t="inlineStr">
        <is>
          <t>合計</t>
        </is>
      </c>
      <c r="B12" s="13">
        <f>SUM(B6:B11)</f>
        <v/>
      </c>
      <c r="C12" s="13">
        <f>SUM(C6:C11)</f>
        <v/>
      </c>
      <c r="D12" s="13">
        <f>SUM(D6:D11)</f>
        <v/>
      </c>
      <c r="E12" s="13">
        <f>SUM(E6:E11)</f>
        <v/>
      </c>
      <c r="F12" s="13">
        <f>SUM(F6:F11)</f>
        <v/>
      </c>
      <c r="G12" s="13">
        <f>SUM(G6:G11)</f>
        <v/>
      </c>
      <c r="H12" s="13">
        <f>SUM(H6:H11)</f>
        <v/>
      </c>
      <c r="I12" s="13">
        <f>SUM(I6:I11)</f>
        <v/>
      </c>
    </row>
    <row r="14">
      <c r="A14" s="12"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8">
        <f>B10+B11</f>
        <v/>
      </c>
      <c r="C16" s="8">
        <f>C10+C11</f>
        <v/>
      </c>
      <c r="D16" s="8">
        <f>D10+D11</f>
        <v/>
      </c>
      <c r="E16" s="8">
        <f>E10+E11</f>
        <v/>
      </c>
      <c r="F16" s="8">
        <f>F10+F11</f>
        <v/>
      </c>
      <c r="G16" s="8">
        <f>G10+G11</f>
        <v/>
      </c>
      <c r="H16" s="8">
        <f>H10+H11</f>
        <v/>
      </c>
      <c r="I16" s="8">
        <f>I10+I11</f>
        <v/>
      </c>
    </row>
    <row r="17">
      <c r="A17" s="6" t="inlineStr">
        <is>
          <t>前期高齢者（65～74歳）</t>
        </is>
      </c>
      <c r="B17" s="8" t="n">
        <v>4132</v>
      </c>
      <c r="C17" s="8" t="n">
        <v>4270</v>
      </c>
      <c r="D17" s="8" t="n">
        <v>3622</v>
      </c>
      <c r="E17" s="8" t="n">
        <v>3373</v>
      </c>
      <c r="F17" s="8" t="n">
        <v>3585</v>
      </c>
      <c r="G17" s="8" t="n">
        <v>3885</v>
      </c>
      <c r="H17" s="8" t="n">
        <v>3776</v>
      </c>
      <c r="I17" s="8" t="n">
        <v>3261</v>
      </c>
    </row>
    <row r="18">
      <c r="A18" s="6" t="inlineStr">
        <is>
          <t>後期高齢者（75歳以上）</t>
        </is>
      </c>
      <c r="B18" s="8" t="n">
        <v>4823</v>
      </c>
      <c r="C18" s="8" t="n">
        <v>5167</v>
      </c>
      <c r="D18" s="8" t="n">
        <v>5701</v>
      </c>
      <c r="E18" s="8" t="n">
        <v>5937</v>
      </c>
      <c r="F18" s="8" t="n">
        <v>5793</v>
      </c>
      <c r="G18" s="8" t="n">
        <v>5748</v>
      </c>
      <c r="H18" s="8" t="n">
        <v>5746</v>
      </c>
      <c r="I18" s="8"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12"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0" t="n">
        <v>22.1</v>
      </c>
      <c r="C6" s="10" t="n">
        <v>22.7</v>
      </c>
      <c r="D6" s="10" t="n">
        <v>25.5</v>
      </c>
      <c r="E6" s="10" t="n">
        <v>32.2</v>
      </c>
      <c r="F6" s="10" t="n">
        <v>38.8</v>
      </c>
      <c r="G6" s="10" t="n">
        <v>39.7</v>
      </c>
      <c r="H6" s="10" t="n">
        <v>42.4</v>
      </c>
      <c r="I6" s="10" t="n">
        <v>44.7</v>
      </c>
      <c r="J6" s="10" t="n">
        <v>45.6</v>
      </c>
      <c r="K6" s="10" t="n">
        <v>47</v>
      </c>
      <c r="L6" s="10" t="n">
        <v>50.9</v>
      </c>
      <c r="M6" s="10" t="n">
        <v>55.4</v>
      </c>
    </row>
    <row r="7">
      <c r="A7" s="6" t="inlineStr">
        <is>
          <t>北海道</t>
        </is>
      </c>
      <c r="B7" s="10" t="n">
        <v>13.4</v>
      </c>
      <c r="C7" s="10" t="n">
        <v>14.4</v>
      </c>
      <c r="D7" s="10" t="n">
        <v>15.6</v>
      </c>
      <c r="E7" s="10" t="n">
        <v>19.6</v>
      </c>
      <c r="F7" s="10" t="n">
        <v>23.4</v>
      </c>
      <c r="G7" s="10" t="n">
        <v>23.9</v>
      </c>
      <c r="H7" s="10" t="n">
        <v>25.2</v>
      </c>
      <c r="I7" s="10" t="n">
        <v>25.9</v>
      </c>
      <c r="J7" s="10" t="n">
        <v>26.4</v>
      </c>
      <c r="K7" s="10" t="n">
        <v>27.3</v>
      </c>
      <c r="L7" s="10" t="n">
        <v>28.7</v>
      </c>
      <c r="M7" s="10" t="n">
        <v>29.9</v>
      </c>
    </row>
    <row r="8">
      <c r="A8" s="6" t="inlineStr">
        <is>
          <t>全国</t>
        </is>
      </c>
      <c r="B8" s="10" t="n">
        <v>14.6</v>
      </c>
      <c r="C8" s="10" t="n">
        <v>15.4</v>
      </c>
      <c r="D8" s="10" t="n">
        <v>16.8</v>
      </c>
      <c r="E8" s="10" t="n">
        <v>20.9</v>
      </c>
      <c r="F8" s="10" t="n">
        <v>23.6</v>
      </c>
      <c r="G8" s="10" t="n">
        <v>24</v>
      </c>
      <c r="H8" s="10" t="n">
        <v>25.1</v>
      </c>
      <c r="I8" s="10" t="n">
        <v>25.6</v>
      </c>
      <c r="J8" s="10" t="n">
        <v>26.2</v>
      </c>
      <c r="K8" s="10" t="n">
        <v>27.2</v>
      </c>
      <c r="L8" s="10" t="n">
        <v>28.4</v>
      </c>
      <c r="M8" s="10" t="n">
        <v>29.7</v>
      </c>
    </row>
    <row r="10">
      <c r="A10" s="12"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0" t="n">
        <v>6.2</v>
      </c>
      <c r="C12" s="10" t="n">
        <v>7.2</v>
      </c>
      <c r="D12" s="10" t="n">
        <v>8.5</v>
      </c>
      <c r="E12" s="10" t="n">
        <v>9.5</v>
      </c>
      <c r="F12" s="10" t="n">
        <v>7.2</v>
      </c>
      <c r="G12" s="10" t="n">
        <v>11.6</v>
      </c>
      <c r="H12" s="10" t="n">
        <v>9.1</v>
      </c>
      <c r="I12" s="10" t="n">
        <v>8.5</v>
      </c>
      <c r="J12" s="10" t="n">
        <v>7.9</v>
      </c>
      <c r="K12" s="10" t="n">
        <v>7.5</v>
      </c>
      <c r="L12" s="10" t="n">
        <v>7.8</v>
      </c>
      <c r="M12" s="10" t="n">
        <v>8</v>
      </c>
    </row>
    <row r="13">
      <c r="A13" s="6" t="inlineStr">
        <is>
          <t>北海道</t>
        </is>
      </c>
      <c r="B13" s="10" t="n">
        <v>6.2</v>
      </c>
      <c r="C13" s="10" t="n">
        <v>6.3</v>
      </c>
      <c r="D13" s="10" t="n">
        <v>6.5</v>
      </c>
      <c r="E13" s="10" t="n">
        <v>6.7</v>
      </c>
      <c r="F13" s="10" t="n">
        <v>6.7</v>
      </c>
      <c r="G13" s="10" t="n">
        <v>6.7</v>
      </c>
      <c r="H13" s="10" t="n">
        <v>6.7</v>
      </c>
      <c r="I13" s="10" t="n">
        <v>6.6</v>
      </c>
      <c r="J13" s="10" t="n">
        <v>6.6</v>
      </c>
      <c r="K13" s="10" t="n">
        <v>6.7</v>
      </c>
      <c r="L13" s="10" t="n">
        <v>6.7</v>
      </c>
      <c r="M13" s="10" t="n">
        <v>6.7</v>
      </c>
    </row>
    <row r="14">
      <c r="A14" s="6" t="inlineStr">
        <is>
          <t>全国</t>
        </is>
      </c>
      <c r="B14" s="10" t="n">
        <v>8</v>
      </c>
      <c r="C14" s="10" t="n">
        <v>8.300000000000001</v>
      </c>
      <c r="D14" s="10" t="n">
        <v>8.5</v>
      </c>
      <c r="E14" s="10" t="n">
        <v>8.6</v>
      </c>
      <c r="F14" s="10" t="n">
        <v>8.699999999999999</v>
      </c>
      <c r="G14" s="10" t="n">
        <v>8.699999999999999</v>
      </c>
      <c r="H14" s="10" t="n">
        <v>8.800000000000001</v>
      </c>
      <c r="I14" s="10" t="n">
        <v>8.9</v>
      </c>
      <c r="J14" s="10" t="n">
        <v>8.9</v>
      </c>
      <c r="K14" s="10" t="n">
        <v>9</v>
      </c>
      <c r="L14" s="10" t="n">
        <v>9</v>
      </c>
      <c r="M14" s="10" t="n">
        <v>9.1</v>
      </c>
    </row>
    <row r="16">
      <c r="A16" s="12"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0" t="n">
        <v>5.2</v>
      </c>
      <c r="C18" s="10" t="n">
        <v>5</v>
      </c>
      <c r="D18" s="10" t="n">
        <v>3.9</v>
      </c>
      <c r="E18" s="10" t="n">
        <v>5.4</v>
      </c>
      <c r="F18" s="10" t="n">
        <v>8.9</v>
      </c>
      <c r="G18" s="10" t="n">
        <v>8.9</v>
      </c>
      <c r="H18" s="10" t="n">
        <v>9.699999999999999</v>
      </c>
      <c r="I18" s="10" t="n">
        <v>9.699999999999999</v>
      </c>
      <c r="J18" s="10" t="n">
        <v>9.6</v>
      </c>
      <c r="K18" s="10" t="n">
        <v>9.6</v>
      </c>
      <c r="L18" s="10" t="n">
        <v>9.4</v>
      </c>
      <c r="M18" s="10" t="n">
        <v>8.800000000000001</v>
      </c>
    </row>
    <row r="19">
      <c r="A19" s="6" t="inlineStr">
        <is>
          <t>北海道</t>
        </is>
      </c>
      <c r="B19" s="10" t="n">
        <v>5.2</v>
      </c>
      <c r="C19" s="10" t="n">
        <v>5.2</v>
      </c>
      <c r="D19" s="10" t="n">
        <v>4.6</v>
      </c>
      <c r="E19" s="10" t="n">
        <v>6</v>
      </c>
      <c r="F19" s="10" t="n">
        <v>8.1</v>
      </c>
      <c r="G19" s="10" t="n">
        <v>8.199999999999999</v>
      </c>
      <c r="H19" s="10" t="n">
        <v>8.199999999999999</v>
      </c>
      <c r="I19" s="10" t="n">
        <v>8.300000000000001</v>
      </c>
      <c r="J19" s="10" t="n">
        <v>8</v>
      </c>
      <c r="K19" s="10" t="n">
        <v>8.199999999999999</v>
      </c>
      <c r="L19" s="10" t="n">
        <v>8.1</v>
      </c>
      <c r="M19" s="10" t="n">
        <v>8.1</v>
      </c>
    </row>
    <row r="20">
      <c r="A20" s="6" t="inlineStr">
        <is>
          <t>全国</t>
        </is>
      </c>
      <c r="B20" s="10" t="n">
        <v>7.4</v>
      </c>
      <c r="C20" s="10" t="n">
        <v>7.6</v>
      </c>
      <c r="D20" s="10" t="n">
        <v>7.5</v>
      </c>
      <c r="E20" s="10" t="n">
        <v>9.199999999999999</v>
      </c>
      <c r="F20" s="10" t="n">
        <v>10.6</v>
      </c>
      <c r="G20" s="10" t="n">
        <v>10.7</v>
      </c>
      <c r="H20" s="10" t="n">
        <v>10.9</v>
      </c>
      <c r="I20" s="10" t="n">
        <v>11</v>
      </c>
      <c r="J20" s="10" t="n">
        <v>10.7</v>
      </c>
      <c r="K20" s="10" t="n">
        <v>10.8</v>
      </c>
      <c r="L20" s="10" t="n">
        <v>10.7</v>
      </c>
      <c r="M20" s="10" t="n">
        <v>10.7</v>
      </c>
    </row>
    <row r="22">
      <c r="A22" s="12"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0" t="n">
        <v>5</v>
      </c>
      <c r="C24" s="10" t="n">
        <v>4.7</v>
      </c>
      <c r="D24" s="10" t="n">
        <v>4.6</v>
      </c>
      <c r="E24" s="10" t="n">
        <v>4.4</v>
      </c>
      <c r="F24" s="10" t="n">
        <v>4.5</v>
      </c>
      <c r="G24" s="10" t="n">
        <v>4.6</v>
      </c>
      <c r="H24" s="10" t="n">
        <v>4.8</v>
      </c>
      <c r="I24" s="10" t="n">
        <v>4.8</v>
      </c>
      <c r="J24" s="10" t="n">
        <v>4.4</v>
      </c>
      <c r="K24" s="10" t="n">
        <v>4.8</v>
      </c>
      <c r="L24" s="10" t="n">
        <v>4.6</v>
      </c>
      <c r="M24" s="10" t="n">
        <v>5</v>
      </c>
    </row>
    <row r="25">
      <c r="A25" s="6" t="inlineStr">
        <is>
          <t>北海道</t>
        </is>
      </c>
      <c r="B25" s="10" t="n">
        <v>5.4</v>
      </c>
      <c r="C25" s="10" t="n">
        <v>5.4</v>
      </c>
      <c r="D25" s="10" t="n">
        <v>5.4</v>
      </c>
      <c r="E25" s="10" t="n">
        <v>5.3</v>
      </c>
      <c r="F25" s="10" t="n">
        <v>5.2</v>
      </c>
      <c r="G25" s="10" t="n">
        <v>5.1</v>
      </c>
      <c r="H25" s="10" t="n">
        <v>5</v>
      </c>
      <c r="I25" s="10" t="n">
        <v>5</v>
      </c>
      <c r="J25" s="10" t="n">
        <v>4.8</v>
      </c>
      <c r="K25" s="10" t="n">
        <v>4.9</v>
      </c>
      <c r="L25" s="10" t="n">
        <v>4.8</v>
      </c>
      <c r="M25" s="10" t="n">
        <v>4.8</v>
      </c>
    </row>
    <row r="26">
      <c r="A26" s="6" t="inlineStr">
        <is>
          <t>全国</t>
        </is>
      </c>
      <c r="B26" s="10" t="n">
        <v>6.4</v>
      </c>
      <c r="C26" s="10" t="n">
        <v>6.4</v>
      </c>
      <c r="D26" s="10" t="n">
        <v>6.3</v>
      </c>
      <c r="E26" s="10" t="n">
        <v>6.2</v>
      </c>
      <c r="F26" s="10" t="n">
        <v>6.1</v>
      </c>
      <c r="G26" s="10" t="n">
        <v>5.9</v>
      </c>
      <c r="H26" s="10" t="n">
        <v>5.9</v>
      </c>
      <c r="I26" s="10" t="n">
        <v>5.9</v>
      </c>
      <c r="J26" s="10" t="n">
        <v>5.7</v>
      </c>
      <c r="K26" s="10" t="n">
        <v>5.7</v>
      </c>
      <c r="L26" s="10" t="n">
        <v>5.6</v>
      </c>
      <c r="M26" s="10" t="n">
        <v>5.6</v>
      </c>
    </row>
    <row r="28">
      <c r="A28" s="12"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0" t="n"/>
      <c r="C30" s="10" t="n"/>
      <c r="D30" s="10" t="n">
        <v>6.9</v>
      </c>
      <c r="E30" s="10" t="n">
        <v>6.8</v>
      </c>
      <c r="F30" s="10" t="n">
        <v>6.8</v>
      </c>
      <c r="G30" s="10" t="n">
        <v>6.8</v>
      </c>
      <c r="H30" s="10" t="n">
        <v>6.6</v>
      </c>
      <c r="I30" s="10" t="n">
        <v>6.9</v>
      </c>
      <c r="J30" s="10" t="n">
        <v>6.8</v>
      </c>
      <c r="K30" s="10" t="n">
        <v>6.9</v>
      </c>
      <c r="L30" s="10" t="n">
        <v>7.1</v>
      </c>
      <c r="M30" s="10" t="n">
        <v>7.9</v>
      </c>
    </row>
    <row r="31">
      <c r="A31" s="6" t="inlineStr">
        <is>
          <t>北海道</t>
        </is>
      </c>
      <c r="B31" s="10" t="n"/>
      <c r="C31" s="10" t="n"/>
      <c r="D31" s="10" t="n">
        <v>7.9</v>
      </c>
      <c r="E31" s="10" t="n">
        <v>8</v>
      </c>
      <c r="F31" s="10" t="n">
        <v>7.9</v>
      </c>
      <c r="G31" s="10" t="n">
        <v>8</v>
      </c>
      <c r="H31" s="10" t="n">
        <v>8.1</v>
      </c>
      <c r="I31" s="10" t="n">
        <v>8.1</v>
      </c>
      <c r="J31" s="10" t="n">
        <v>7.9</v>
      </c>
      <c r="K31" s="10" t="n">
        <v>7.9</v>
      </c>
      <c r="L31" s="10" t="n">
        <v>7.9</v>
      </c>
      <c r="M31" s="10" t="n">
        <v>7.8</v>
      </c>
    </row>
    <row r="32">
      <c r="A32" s="6" t="inlineStr">
        <is>
          <t>全国</t>
        </is>
      </c>
      <c r="B32" s="10" t="n"/>
      <c r="C32" s="10" t="n"/>
      <c r="D32" s="10" t="n">
        <v>9.6</v>
      </c>
      <c r="E32" s="10" t="n">
        <v>9.6</v>
      </c>
      <c r="F32" s="10" t="n">
        <v>9.5</v>
      </c>
      <c r="G32" s="10" t="n">
        <v>9.5</v>
      </c>
      <c r="H32" s="10" t="n">
        <v>9.699999999999999</v>
      </c>
      <c r="I32" s="10" t="n">
        <v>9.699999999999999</v>
      </c>
      <c r="J32" s="10" t="n">
        <v>9.4</v>
      </c>
      <c r="K32" s="10" t="n">
        <v>9.4</v>
      </c>
      <c r="L32" s="10" t="n">
        <v>9.199999999999999</v>
      </c>
      <c r="M32" s="10"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2026-07-28T08:47:50Z</dcterms:created>
  <dcterms:modified xmlns:dcterms="http://purl.org/dc/terms/" xmlns:xsi="http://www.w3.org/2001/XMLSchema-instance" xsi:type="dcterms:W3CDTF">2026-07-28T08:47:50Z</dcterms:modified>
</cp:coreProperties>
</file>