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worksheets/sheet12.xml" ContentType="application/vnd.openxmlformats-officedocument.spreadsheetml.worksheet+xml"/>
  <Override PartName="/xl/drawings/drawing11.xml" ContentType="application/vnd.openxmlformats-officedocument.drawing+xml"/>
  <Override PartName="/xl/worksheets/sheet13.xml" ContentType="application/vnd.openxmlformats-officedocument.spreadsheetml.worksheet+xml"/>
  <Override PartName="/xl/drawings/drawing12.xml" ContentType="application/vnd.openxmlformats-officedocument.drawing+xml"/>
  <Override PartName="/xl/worksheets/sheet14.xml" ContentType="application/vnd.openxmlformats-officedocument.spreadsheetml.worksheet+xml"/>
  <Override PartName="/xl/drawings/drawing13.xml" ContentType="application/vnd.openxmlformats-officedocument.drawing+xml"/>
  <Override PartName="/xl/worksheets/sheet15.xml" ContentType="application/vnd.openxmlformats-officedocument.spreadsheetml.worksheet+xml"/>
  <Override PartName="/xl/drawings/drawing14.xml" ContentType="application/vnd.openxmlformats-officedocument.drawing+xml"/>
  <Override PartName="/xl/worksheets/sheet16.xml" ContentType="application/vnd.openxmlformats-officedocument.spreadsheetml.worksheet+xml"/>
  <Override PartName="/xl/drawings/drawing15.xml" ContentType="application/vnd.openxmlformats-officedocument.drawing+xml"/>
  <Override PartName="/xl/worksheets/sheet17.xml" ContentType="application/vnd.openxmlformats-officedocument.spreadsheetml.worksheet+xml"/>
  <Override PartName="/xl/drawings/drawing16.xml" ContentType="application/vnd.openxmlformats-officedocument.drawing+xml"/>
  <Override PartName="/xl/worksheets/sheet18.xml" ContentType="application/vnd.openxmlformats-officedocument.spreadsheetml.worksheet+xml"/>
  <Override PartName="/xl/drawings/drawing17.xml" ContentType="application/vnd.openxmlformats-officedocument.drawing+xml"/>
  <Override PartName="/xl/worksheets/sheet19.xml" ContentType="application/vnd.openxmlformats-officedocument.spreadsheetml.worksheet+xml"/>
  <Override PartName="/xl/drawings/drawing18.xml" ContentType="application/vnd.openxmlformats-officedocument.drawing+xml"/>
  <Override PartName="/xl/worksheets/sheet20.xml" ContentType="application/vnd.openxmlformats-officedocument.spreadsheetml.worksheet+xml"/>
  <Override PartName="/xl/drawings/drawing19.xml" ContentType="application/vnd.openxmlformats-officedocument.drawing+xml"/>
  <Override PartName="/xl/worksheets/sheet21.xml" ContentType="application/vnd.openxmlformats-officedocument.spreadsheetml.worksheet+xml"/>
  <Override PartName="/xl/drawings/drawing20.xml" ContentType="application/vnd.openxmlformats-officedocument.drawing+xml"/>
  <Override PartName="/xl/worksheets/sheet22.xml" ContentType="application/vnd.openxmlformats-officedocument.spreadsheetml.worksheet+xml"/>
  <Override PartName="/xl/drawings/drawing21.xml" ContentType="application/vnd.openxmlformats-officedocument.drawing+xml"/>
  <Override PartName="/xl/worksheets/sheet23.xml" ContentType="application/vnd.openxmlformats-officedocument.spreadsheetml.worksheet+xml"/>
  <Override PartName="/xl/drawings/drawing22.xml" ContentType="application/vnd.openxmlformats-officedocument.drawing+xml"/>
  <Override PartName="/xl/worksheets/sheet24.xml" ContentType="application/vnd.openxmlformats-officedocument.spreadsheetml.worksheet+xml"/>
  <Override PartName="/xl/drawings/drawing23.xml" ContentType="application/vnd.openxmlformats-officedocument.drawing+xml"/>
  <Override PartName="/xl/worksheets/sheet25.xml" ContentType="application/vnd.openxmlformats-officedocument.spreadsheetml.worksheet+xml"/>
  <Override PartName="/xl/drawings/drawing24.xml" ContentType="application/vnd.openxmlformats-officedocument.drawing+xml"/>
  <Override PartName="/xl/worksheets/sheet26.xml" ContentType="application/vnd.openxmlformats-officedocument.spreadsheetml.worksheet+xml"/>
  <Override PartName="/xl/drawings/drawing25.xml" ContentType="application/vnd.openxmlformats-officedocument.drawing+xml"/>
  <Override PartName="/xl/worksheets/sheet27.xml" ContentType="application/vnd.openxmlformats-officedocument.spreadsheetml.worksheet+xml"/>
  <Override PartName="/xl/drawings/drawing26.xml" ContentType="application/vnd.openxmlformats-officedocument.drawing+xml"/>
  <Override PartName="/xl/worksheets/sheet28.xml" ContentType="application/vnd.openxmlformats-officedocument.spreadsheetml.worksheet+xml"/>
  <Override PartName="/xl/drawings/drawing27.xml" ContentType="application/vnd.openxmlformats-officedocument.drawing+xml"/>
  <Override PartName="/xl/worksheets/sheet29.xml" ContentType="application/vnd.openxmlformats-officedocument.spreadsheetml.worksheet+xml"/>
  <Override PartName="/xl/drawings/drawing28.xml" ContentType="application/vnd.openxmlformats-officedocument.drawing+xml"/>
  <Override PartName="/xl/worksheets/sheet30.xml" ContentType="application/vnd.openxmlformats-officedocument.spreadsheetml.worksheet+xml"/>
  <Override PartName="/xl/drawings/drawing29.xml" ContentType="application/vnd.openxmlformats-officedocument.drawing+xml"/>
  <Override PartName="/xl/worksheets/sheet31.xml" ContentType="application/vnd.openxmlformats-officedocument.spreadsheetml.worksheet+xml"/>
  <Override PartName="/xl/drawings/drawing30.xml" ContentType="application/vnd.openxmlformats-officedocument.drawing+xml"/>
  <Override PartName="/xl/worksheets/sheet32.xml" ContentType="application/vnd.openxmlformats-officedocument.spreadsheetml.worksheet+xml"/>
  <Override PartName="/xl/drawings/drawing31.xml" ContentType="application/vnd.openxmlformats-officedocument.drawing+xml"/>
  <Override PartName="/xl/worksheets/sheet3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88.xml" ContentType="application/vnd.openxmlformats-officedocument.drawingml.chart+xml"/>
  <Override PartName="/xl/charts/chart89.xml" ContentType="application/vnd.openxmlformats-officedocument.drawingml.chart+xml"/>
  <Override PartName="/xl/charts/chart90.xml" ContentType="application/vnd.openxmlformats-officedocument.drawingml.chart+xml"/>
  <Override PartName="/xl/charts/chart91.xml" ContentType="application/vnd.openxmlformats-officedocument.drawingml.chart+xml"/>
  <Override PartName="/xl/charts/chart92.xml" ContentType="application/vnd.openxmlformats-officedocument.drawingml.chart+xml"/>
  <Override PartName="/xl/charts/chart93.xml" ContentType="application/vnd.openxmlformats-officedocument.drawingml.chart+xml"/>
  <Override PartName="/xl/charts/chart94.xml" ContentType="application/vnd.openxmlformats-officedocument.drawingml.chart+xml"/>
  <Override PartName="/xl/charts/chart95.xml" ContentType="application/vnd.openxmlformats-officedocument.drawingml.chart+xml"/>
  <Override PartName="/xl/charts/chart96.xml" ContentType="application/vnd.openxmlformats-officedocument.drawingml.chart+xml"/>
  <Override PartName="/xl/charts/chart97.xml" ContentType="application/vnd.openxmlformats-officedocument.drawingml.chart+xml"/>
  <Override PartName="/xl/charts/chart98.xml" ContentType="application/vnd.openxmlformats-officedocument.drawingml.chart+xml"/>
  <Override PartName="/xl/charts/chart99.xml" ContentType="application/vnd.openxmlformats-officedocument.drawingml.chart+xml"/>
  <Override PartName="/xl/charts/chart100.xml" ContentType="application/vnd.openxmlformats-officedocument.drawingml.chart+xml"/>
  <Override PartName="/xl/charts/chart101.xml" ContentType="application/vnd.openxmlformats-officedocument.drawingml.chart+xml"/>
  <Override PartName="/xl/charts/chart102.xml" ContentType="application/vnd.openxmlformats-officedocument.drawingml.chart+xml"/>
  <Override PartName="/xl/charts/chart103.xml" ContentType="application/vnd.openxmlformats-officedocument.drawingml.chart+xml"/>
  <Override PartName="/xl/charts/chart104.xml" ContentType="application/vnd.openxmlformats-officedocument.drawingml.chart+xml"/>
  <Override PartName="/xl/charts/chart105.xml" ContentType="application/vnd.openxmlformats-officedocument.drawingml.chart+xml"/>
  <Override PartName="/xl/charts/chart106.xml" ContentType="application/vnd.openxmlformats-officedocument.drawingml.chart+xml"/>
  <Override PartName="/xl/charts/chart107.xml" ContentType="application/vnd.openxmlformats-officedocument.drawingml.chart+xml"/>
  <Override PartName="/xl/charts/chart108.xml" ContentType="application/vnd.openxmlformats-officedocument.drawingml.chart+xml"/>
  <Override PartName="/xl/charts/chart109.xml" ContentType="application/vnd.openxmlformats-officedocument.drawingml.chart+xml"/>
  <Override PartName="/xl/charts/chart110.xml" ContentType="application/vnd.openxmlformats-officedocument.drawingml.chart+xml"/>
  <Override PartName="/xl/charts/chart111.xml" ContentType="application/vnd.openxmlformats-officedocument.drawingml.chart+xml"/>
  <Override PartName="/xl/charts/chart112.xml" ContentType="application/vnd.openxmlformats-officedocument.drawingml.chart+xml"/>
  <Override PartName="/xl/charts/chart113.xml" ContentType="application/vnd.openxmlformats-officedocument.drawingml.chart+xml"/>
  <Override PartName="/xl/charts/chart114.xml" ContentType="application/vnd.openxmlformats-officedocument.drawingml.chart+xml"/>
  <Override PartName="/xl/charts/chart115.xml" ContentType="application/vnd.openxmlformats-officedocument.drawingml.chart+xml"/>
  <Override PartName="/xl/charts/chart116.xml" ContentType="application/vnd.openxmlformats-officedocument.drawingml.chart+xml"/>
  <Override PartName="/xl/charts/chart117.xml" ContentType="application/vnd.openxmlformats-officedocument.drawingml.chart+xml"/>
  <Override PartName="/xl/charts/chart118.xml" ContentType="application/vnd.openxmlformats-officedocument.drawingml.chart+xml"/>
  <Override PartName="/xl/charts/chart119.xml" ContentType="application/vnd.openxmlformats-officedocument.drawingml.chart+xml"/>
  <Override PartName="/xl/charts/chart120.xml" ContentType="application/vnd.openxmlformats-officedocument.drawingml.chart+xml"/>
  <Override PartName="/xl/charts/chart121.xml" ContentType="application/vnd.openxmlformats-officedocument.drawingml.chart+xml"/>
  <Override PartName="/xl/charts/chart122.xml" ContentType="application/vnd.openxmlformats-officedocument.drawingml.chart+xml"/>
  <Override PartName="/xl/charts/chart123.xml" ContentType="application/vnd.openxmlformats-officedocument.drawingml.chart+xml"/>
  <Override PartName="/xl/charts/chart124.xml" ContentType="application/vnd.openxmlformats-officedocument.drawingml.chart+xml"/>
  <Override PartName="/xl/charts/chart125.xml" ContentType="application/vnd.openxmlformats-officedocument.drawingml.chart+xml"/>
  <Override PartName="/xl/charts/chart126.xml" ContentType="application/vnd.openxmlformats-officedocument.drawingml.chart+xml"/>
  <Override PartName="/xl/charts/chart127.xml" ContentType="application/vnd.openxmlformats-officedocument.drawingml.chart+xml"/>
  <Override PartName="/xl/charts/chart128.xml" ContentType="application/vnd.openxmlformats-officedocument.drawingml.chart+xml"/>
  <Override PartName="/xl/charts/chart129.xml" ContentType="application/vnd.openxmlformats-officedocument.drawingml.chart+xml"/>
  <Override PartName="/xl/charts/chart130.xml" ContentType="application/vnd.openxmlformats-officedocument.drawingml.chart+xml"/>
  <Override PartName="/xl/charts/chart131.xml" ContentType="application/vnd.openxmlformats-officedocument.drawingml.chart+xml"/>
  <Override PartName="/xl/charts/chart132.xml" ContentType="application/vnd.openxmlformats-officedocument.drawingml.chart+xml"/>
  <Override PartName="/xl/charts/chart13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凡例・出典" sheetId="1" state="visible" r:id="rId1"/>
    <sheet xmlns:r="http://schemas.openxmlformats.org/officeDocument/2006/relationships" name="01_人口推移" sheetId="2" state="visible" r:id="rId2"/>
    <sheet xmlns:r="http://schemas.openxmlformats.org/officeDocument/2006/relationships" name="02_高齢化率推移" sheetId="3" state="visible" r:id="rId3"/>
    <sheet xmlns:r="http://schemas.openxmlformats.org/officeDocument/2006/relationships" name="03_高齢者世帯" sheetId="4" state="visible" r:id="rId4"/>
    <sheet xmlns:r="http://schemas.openxmlformats.org/officeDocument/2006/relationships" name="04_認定者数推移" sheetId="5" state="visible" r:id="rId5"/>
    <sheet xmlns:r="http://schemas.openxmlformats.org/officeDocument/2006/relationships" name="05_認定者割合" sheetId="6" state="visible" r:id="rId6"/>
    <sheet xmlns:r="http://schemas.openxmlformats.org/officeDocument/2006/relationships" name="06_出現率推移" sheetId="7" state="visible" r:id="rId7"/>
    <sheet xmlns:r="http://schemas.openxmlformats.org/officeDocument/2006/relationships" name="07_給付費推移" sheetId="8" state="visible" r:id="rId8"/>
    <sheet xmlns:r="http://schemas.openxmlformats.org/officeDocument/2006/relationships" name="08_ニーズ調査データ" sheetId="9" state="visible" r:id="rId9"/>
    <sheet xmlns:r="http://schemas.openxmlformats.org/officeDocument/2006/relationships" name="09_ニーズ調査グラフ" sheetId="10" state="visible" r:id="rId10"/>
    <sheet xmlns:r="http://schemas.openxmlformats.org/officeDocument/2006/relationships" name="10_在宅介護実態調査" sheetId="11" state="visible" r:id="rId11"/>
    <sheet xmlns:r="http://schemas.openxmlformats.org/officeDocument/2006/relationships" name="11_居所変更実態調査" sheetId="12" state="visible" r:id="rId12"/>
    <sheet xmlns:r="http://schemas.openxmlformats.org/officeDocument/2006/relationships" name="12_在宅生活改善調査" sheetId="13" state="visible" r:id="rId13"/>
    <sheet xmlns:r="http://schemas.openxmlformats.org/officeDocument/2006/relationships" name="13_介護人材実態調査" sheetId="14" state="visible" r:id="rId14"/>
    <sheet xmlns:r="http://schemas.openxmlformats.org/officeDocument/2006/relationships" name="14_年齢構成と85歳以上" sheetId="15" state="visible" r:id="rId15"/>
    <sheet xmlns:r="http://schemas.openxmlformats.org/officeDocument/2006/relationships" name="15_サービス利用強度" sheetId="16" state="visible" r:id="rId16"/>
    <sheet xmlns:r="http://schemas.openxmlformats.org/officeDocument/2006/relationships" name="16_町別将来推計" sheetId="17" state="visible" r:id="rId17"/>
    <sheet xmlns:r="http://schemas.openxmlformats.org/officeDocument/2006/relationships" name="17_担い手の推移" sheetId="18" state="visible" r:id="rId18"/>
    <sheet xmlns:r="http://schemas.openxmlformats.org/officeDocument/2006/relationships" name="18_受給率・利用率" sheetId="19" state="visible" r:id="rId19"/>
    <sheet xmlns:r="http://schemas.openxmlformats.org/officeDocument/2006/relationships" name="19_給付月額の比較" sheetId="20" state="visible" r:id="rId20"/>
    <sheet xmlns:r="http://schemas.openxmlformats.org/officeDocument/2006/relationships" name="20_第9期の達成状況" sheetId="21" state="visible" r:id="rId21"/>
    <sheet xmlns:r="http://schemas.openxmlformats.org/officeDocument/2006/relationships" name="21_受給率と定員" sheetId="22" state="visible" r:id="rId22"/>
    <sheet xmlns:r="http://schemas.openxmlformats.org/officeDocument/2006/relationships" name="22_サービス別給付動向" sheetId="23" state="visible" r:id="rId23"/>
    <sheet xmlns:r="http://schemas.openxmlformats.org/officeDocument/2006/relationships" name="23_上川中部圏域比較" sheetId="24" state="visible" r:id="rId24"/>
    <sheet xmlns:r="http://schemas.openxmlformats.org/officeDocument/2006/relationships" name="24_通いの場_総合事業" sheetId="25" state="visible" r:id="rId25"/>
    <sheet xmlns:r="http://schemas.openxmlformats.org/officeDocument/2006/relationships" name="25_事業所数の推移" sheetId="26" state="visible" r:id="rId26"/>
    <sheet xmlns:r="http://schemas.openxmlformats.org/officeDocument/2006/relationships" name="26_従事者数の推移" sheetId="27" state="visible" r:id="rId27"/>
    <sheet xmlns:r="http://schemas.openxmlformats.org/officeDocument/2006/relationships" name="27_交付金評価" sheetId="28" state="visible" r:id="rId28"/>
    <sheet xmlns:r="http://schemas.openxmlformats.org/officeDocument/2006/relationships" name="28_特定地域と地域指定" sheetId="29" state="visible" r:id="rId29"/>
    <sheet xmlns:r="http://schemas.openxmlformats.org/officeDocument/2006/relationships" name="29_美瑛町の交通" sheetId="30" state="visible" r:id="rId30"/>
    <sheet xmlns:r="http://schemas.openxmlformats.org/officeDocument/2006/relationships" name="30_保険料の分析" sheetId="31" state="visible" r:id="rId31"/>
    <sheet xmlns:r="http://schemas.openxmlformats.org/officeDocument/2006/relationships" name="31_KPIのデータ源" sheetId="32" state="visible" r:id="rId32"/>
    <sheet xmlns:r="http://schemas.openxmlformats.org/officeDocument/2006/relationships" name="32_図表番号一覧" sheetId="33" state="visible" r:id="rId33"/>
  </sheets>
  <definedNames>
    <definedName name="_xlnm._FilterDatabase" localSheetId="32" hidden="1">'32_図表番号一覧'!$A$13:$I$146</definedName>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0;0.0"/>
    <numFmt numFmtId="167" formatCode="0.000"/>
    <numFmt numFmtId="168" formatCode="#,##0.000"/>
  </numFmts>
  <fonts count="8">
    <font>
      <name val="Calibri"/>
      <family val="2"/>
      <color theme="1"/>
      <sz val="11"/>
      <scheme val="minor"/>
    </font>
    <font>
      <name val="Carlito"/>
      <b val="1"/>
      <color rgb="00FFFFFF"/>
      <sz val="14"/>
    </font>
    <font>
      <name val="Carlito"/>
      <sz val="9"/>
    </font>
    <font>
      <name val="Carlito"/>
      <b val="1"/>
      <sz val="11"/>
    </font>
    <font>
      <name val="Carlito"/>
      <i val="1"/>
      <sz val="8"/>
    </font>
    <font>
      <name val="Carlito"/>
      <b val="1"/>
      <color rgb="00FFFFFF"/>
      <sz val="9"/>
    </font>
    <font>
      <name val="Carlito"/>
      <b val="1"/>
      <sz val="10"/>
    </font>
    <font>
      <name val="Carlito"/>
      <b val="1"/>
      <sz val="9"/>
    </font>
  </fonts>
  <fills count="8">
    <fill>
      <patternFill/>
    </fill>
    <fill>
      <patternFill patternType="gray125"/>
    </fill>
    <fill>
      <patternFill patternType="solid"/>
    </fill>
    <fill>
      <patternFill patternType="solid">
        <fgColor rgb="00F2F2F2"/>
      </patternFill>
    </fill>
    <fill>
      <patternFill patternType="solid">
        <fgColor rgb="00404040"/>
      </patternFill>
    </fill>
    <fill>
      <patternFill patternType="solid">
        <fgColor rgb="00FFF2CC"/>
      </patternFill>
    </fill>
    <fill>
      <patternFill patternType="solid">
        <fgColor rgb="00FCE4D6"/>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2" borderId="0" pivotButton="0" quotePrefix="0" xfId="0"/>
    <xf numFmtId="0" fontId="2" fillId="3" borderId="0" pivotButton="0" quotePrefix="0" xfId="0"/>
    <xf numFmtId="0" fontId="3" fillId="0" borderId="0" pivotButton="0" quotePrefix="0" xfId="0"/>
    <xf numFmtId="0" fontId="4" fillId="0" borderId="0" applyAlignment="1" pivotButton="0" quotePrefix="0" xfId="0">
      <alignment vertical="top" wrapText="1"/>
    </xf>
    <xf numFmtId="0" fontId="5" fillId="4" borderId="1" applyAlignment="1" pivotButton="0" quotePrefix="0" xfId="0">
      <alignment horizontal="center" vertical="center" wrapText="1"/>
    </xf>
    <xf numFmtId="0" fontId="2" fillId="0" borderId="1" applyAlignment="1" pivotButton="0" quotePrefix="0" xfId="0">
      <alignment horizontal="left" vertical="center"/>
    </xf>
    <xf numFmtId="0" fontId="2" fillId="0" borderId="1" applyAlignment="1" pivotButton="0" quotePrefix="0" xfId="0">
      <alignment horizontal="right" vertical="center"/>
    </xf>
    <xf numFmtId="0" fontId="6" fillId="0" borderId="0" pivotButton="0" quotePrefix="0" xfId="0"/>
    <xf numFmtId="3" fontId="2" fillId="0" borderId="1" applyAlignment="1" pivotButton="0" quotePrefix="0" xfId="0">
      <alignment horizontal="right" vertical="center"/>
    </xf>
    <xf numFmtId="3" fontId="2" fillId="5" borderId="1" applyAlignment="1" pivotButton="0" quotePrefix="0" xfId="0">
      <alignment horizontal="right" vertical="center"/>
    </xf>
    <xf numFmtId="3" fontId="7" fillId="0" borderId="1" applyAlignment="1" pivotButton="0" quotePrefix="0" xfId="0">
      <alignment horizontal="right" vertical="center"/>
    </xf>
    <xf numFmtId="164" fontId="2" fillId="0" borderId="1" applyAlignment="1" pivotButton="0" quotePrefix="0" xfId="0">
      <alignment horizontal="right" vertical="center"/>
    </xf>
    <xf numFmtId="164" fontId="2" fillId="5" borderId="1" applyAlignment="1" pivotButton="0" quotePrefix="0" xfId="0">
      <alignment horizontal="right" vertical="center"/>
    </xf>
    <xf numFmtId="165" fontId="2" fillId="0" borderId="1" applyAlignment="1" pivotButton="0" quotePrefix="0" xfId="0">
      <alignment horizontal="right" vertical="center"/>
    </xf>
    <xf numFmtId="165" fontId="7" fillId="0" borderId="1" applyAlignment="1" pivotButton="0" quotePrefix="0" xfId="0">
      <alignment horizontal="right" vertical="center"/>
    </xf>
    <xf numFmtId="166" fontId="2" fillId="0" borderId="1" applyAlignment="1" pivotButton="0" quotePrefix="0" xfId="0">
      <alignment horizontal="right" vertical="center"/>
    </xf>
    <xf numFmtId="164" fontId="2" fillId="6" borderId="1" applyAlignment="1" pivotButton="0" quotePrefix="0" xfId="0">
      <alignment horizontal="right" vertical="center"/>
    </xf>
    <xf numFmtId="0" fontId="7" fillId="7" borderId="1" applyAlignment="1" pivotButton="0" quotePrefix="0" xfId="0">
      <alignment horizontal="left" vertical="center"/>
    </xf>
    <xf numFmtId="164" fontId="7" fillId="7" borderId="1" applyAlignment="1" pivotButton="0" quotePrefix="0" xfId="0">
      <alignment horizontal="right" vertical="center"/>
    </xf>
    <xf numFmtId="3" fontId="7" fillId="7" borderId="1" applyAlignment="1" pivotButton="0" quotePrefix="0" xfId="0">
      <alignment horizontal="right" vertical="center"/>
    </xf>
    <xf numFmtId="164" fontId="7" fillId="0" borderId="1" applyAlignment="1" pivotButton="0" quotePrefix="0" xfId="0">
      <alignment horizontal="right" vertical="center"/>
    </xf>
    <xf numFmtId="0" fontId="7" fillId="0" borderId="0" pivotButton="0" quotePrefix="0" xfId="0"/>
    <xf numFmtId="164" fontId="7" fillId="7" borderId="0" pivotButton="0" quotePrefix="0" xfId="0"/>
    <xf numFmtId="2" fontId="7" fillId="0" borderId="1" applyAlignment="1" pivotButton="0" quotePrefix="0" xfId="0">
      <alignment horizontal="right" vertical="center"/>
    </xf>
    <xf numFmtId="2" fontId="2" fillId="0" borderId="1" applyAlignment="1" pivotButton="0" quotePrefix="0" xfId="0">
      <alignment horizontal="right" vertical="center"/>
    </xf>
    <xf numFmtId="167" fontId="2" fillId="0" borderId="1" applyAlignment="1" pivotButton="0" quotePrefix="0" xfId="0">
      <alignment horizontal="right" vertical="center"/>
    </xf>
    <xf numFmtId="4" fontId="2" fillId="0" borderId="1" applyAlignment="1" pivotButton="0" quotePrefix="0" xfId="0">
      <alignment horizontal="right" vertical="center"/>
    </xf>
    <xf numFmtId="168" fontId="2" fillId="0" borderId="1" applyAlignment="1" pivotButton="0" quotePrefix="0" xfId="0">
      <alignment horizontal="right" vertical="center"/>
    </xf>
    <xf numFmtId="0" fontId="2" fillId="0" borderId="1" applyAlignment="1" pivotButton="0" quotePrefix="0" xfId="0">
      <alignment horizontal="left" vertical="top" wrapText="1"/>
    </xf>
    <xf numFmtId="0" fontId="2" fillId="0"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styles" Target="styles.xml" Id="rId34"/><Relationship Type="http://schemas.openxmlformats.org/officeDocument/2006/relationships/theme" Target="theme/theme1.xml" Id="rId3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人口の推移（年齢4区分・大雪地区広域連合）</a:t>
            </a:r>
          </a:p>
        </rich>
      </tx>
      <overlay val="0"/>
    </title>
    <plotArea>
      <barChart>
        <barDir val="col"/>
        <grouping val="stacked"/>
        <ser>
          <idx val="0"/>
          <order val="0"/>
          <tx>
            <strRef>
              <f>'01_人口推移'!A6</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'01_人口推移'!$B$5:$P$5</f>
            </numRef>
          </cat>
          <val>
            <numRef>
              <f>'01_人口推移'!$B$6:$P$6</f>
            </numRef>
          </val>
        </ser>
        <ser>
          <idx val="1"/>
          <order val="1"/>
          <tx>
            <strRef>
              <f>'01_人口推移'!A7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'01_人口推移'!$B$5:$P$5</f>
            </numRef>
          </cat>
          <val>
            <numRef>
              <f>'01_人口推移'!$B$7:$P$7</f>
            </numRef>
          </val>
        </ser>
        <ser>
          <idx val="2"/>
          <order val="2"/>
          <tx>
            <strRef>
              <f>'01_人口推移'!A8</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'01_人口推移'!$B$5:$P$5</f>
            </numRef>
          </cat>
          <val>
            <numRef>
              <f>'01_人口推移'!$B$8:$P$8</f>
            </numRef>
          </val>
        </ser>
        <ser>
          <idx val="3"/>
          <order val="3"/>
          <tx>
            <strRef>
              <f>'01_人口推移'!A9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'01_人口推移'!$B$5:$P$5</f>
            </numRef>
          </cat>
          <val>
            <numRef>
              <f>'01_人口推移'!$B$9:$P$9</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町別総人口の推移</a:t>
            </a:r>
          </a:p>
        </rich>
      </tx>
      <overlay val="0"/>
    </title>
    <plotArea>
      <lineChart>
        <grouping val="standard"/>
        <ser>
          <idx val="0"/>
          <order val="0"/>
          <tx>
            <strRef>
              <f>'01_人口推移'!A15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'01_人口推移'!$B$14:$P$14</f>
            </numRef>
          </cat>
          <val>
            <numRef>
              <f>'01_人口推移'!$B$15:$P$15</f>
            </numRef>
          </val>
          <smooth val="0"/>
        </ser>
        <ser>
          <idx val="1"/>
          <order val="1"/>
          <tx>
            <strRef>
              <f>'01_人口推移'!A16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'01_人口推移'!$B$14:$P$14</f>
            </numRef>
          </cat>
          <val>
            <numRef>
              <f>'01_人口推移'!$B$16:$P$16</f>
            </numRef>
          </val>
          <smooth val="0"/>
        </ser>
        <ser>
          <idx val="2"/>
          <order val="2"/>
          <tx>
            <strRef>
              <f>'01_人口推移'!A17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'01_人口推移'!$B$14:$P$14</f>
            </numRef>
          </cat>
          <val>
            <numRef>
              <f>'01_人口推移'!$B$17:$P$17</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高齢化率の推移</a:t>
            </a:r>
          </a:p>
        </rich>
      </tx>
      <overlay val="0"/>
    </title>
    <plotArea>
      <lineChart>
        <grouping val="standard"/>
        <ser>
          <idx val="0"/>
          <order val="0"/>
          <tx>
            <strRef>
              <f>'02_高齢化率推移'!A5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'02_高齢化率推移'!$B$4:$P$4</f>
            </numRef>
          </cat>
          <val>
            <numRef>
              <f>'02_高齢化率推移'!$B$5:$P$5</f>
            </numRef>
          </val>
          <smooth val="0"/>
        </ser>
        <ser>
          <idx val="1"/>
          <order val="1"/>
          <tx>
            <strRef>
              <f>'02_高齢化率推移'!A6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'02_高齢化率推移'!$B$4:$P$4</f>
            </numRef>
          </cat>
          <val>
            <numRef>
              <f>'02_高齢化率推移'!$B$6:$P$6</f>
            </numRef>
          </val>
          <smooth val="0"/>
        </ser>
        <ser>
          <idx val="2"/>
          <order val="2"/>
          <tx>
            <strRef>
              <f>'02_高齢化率推移'!A7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'02_高齢化率推移'!$B$4:$P$4</f>
            </numRef>
          </cat>
          <val>
            <numRef>
              <f>'02_高齢化率推移'!$B$7:$P$7</f>
            </numRef>
          </val>
          <smooth val="0"/>
        </ser>
        <ser>
          <idx val="3"/>
          <order val="3"/>
          <tx>
            <strRef>
              <f>'02_高齢化率推移'!A8</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'02_高齢化率推移'!$B$4:$P$4</f>
            </numRef>
          </cat>
          <val>
            <numRef>
              <f>'02_高齢化率推移'!$B$8:$P$8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42"/>
          <min val="20"/>
        </scaling>
        <delete val="0"/>
        <axPos val="l"/>
        <title>
          <tx>
            <rich>
              <a:bodyPr xmlns:a="http://schemas.openxmlformats.org/drawingml/2006/main"/>
              <a:p xmlns:a="http://schemas.openxmlformats.org/drawingml/2006/main">
                <a:pPr>
                  <a:defRPr/>
                </a:pPr>
                <a:r>
                  <a:t>高齢化率（％）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高齢者を含む世帯の構成割合</a:t>
            </a:r>
          </a:p>
        </rich>
      </tx>
      <overlay val="0"/>
    </title>
    <plotArea>
      <barChart>
        <barDir val="bar"/>
        <grouping val="percentStacked"/>
        <ser>
          <idx val="0"/>
          <order val="0"/>
          <tx>
            <strRef>
              <f>'03_高齢者世帯'!B24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'03_高齢者世帯'!$A$25:$A$30</f>
            </numRef>
          </cat>
          <val>
            <numRef>
              <f>'03_高齢者世帯'!$B$25:$B$30</f>
            </numRef>
          </val>
        </ser>
        <ser>
          <idx val="1"/>
          <order val="1"/>
          <tx>
            <strRef>
              <f>'03_高齢者世帯'!C24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'03_高齢者世帯'!$A$25:$A$30</f>
            </numRef>
          </cat>
          <val>
            <numRef>
              <f>'03_高齢者世帯'!$C$25:$C$30</f>
            </numRef>
          </val>
        </ser>
        <ser>
          <idx val="2"/>
          <order val="2"/>
          <tx>
            <strRef>
              <f>'03_高齢者世帯'!D24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'03_高齢者世帯'!$A$25:$A$30</f>
            </numRef>
          </cat>
          <val>
            <numRef>
              <f>'03_高齢者世帯'!$D$25:$D$30</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高齢夫婦世帯数の定義差（町別）</a:t>
            </a:r>
          </a:p>
        </rich>
      </tx>
      <overlay val="0"/>
    </title>
    <plotArea>
      <barChart>
        <barDir val="col"/>
        <grouping val="clustered"/>
        <ser>
          <idx val="0"/>
          <order val="0"/>
          <tx>
            <strRef>
              <f>'03_高齢者世帯'!A44</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'03_高齢者世帯'!$B$44:$D$44</f>
            </numRef>
          </val>
        </ser>
        <ser>
          <idx val="1"/>
          <order val="1"/>
          <tx>
            <strRef>
              <f>'03_高齢者世帯'!A45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'03_高齢者世帯'!$B$45:$D$45</f>
            </numRef>
          </val>
        </ser>
        <ser>
          <idx val="2"/>
          <order val="2"/>
          <tx>
            <strRef>
              <f>'03_高齢者世帯'!A46</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'03_高齢者世帯'!$B$46:$D$46</f>
            </numRef>
          </val>
        </ser>
        <ser>
          <idx val="3"/>
          <order val="3"/>
          <tx>
            <strRef>
              <f>'03_高齢者世帯'!A47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'03_高齢者世帯'!$B$47:$D$47</f>
            </numRef>
          </val>
        </ser>
        <ser>
          <idx val="4"/>
          <order val="4"/>
          <tx>
            <strRef>
              <f>'03_高齢者世帯'!A48</f>
            </strRef>
          </tx>
          <spPr>
            <a:solidFill xmlns:a="http://schemas.openxmlformats.org/drawingml/2006/main">
              <a:srgbClr val="C8C8C8"/>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'03_高齢者世帯'!$B$48:$D$48</f>
            </numRef>
          </val>
        </ser>
        <ser>
          <idx val="5"/>
          <order val="5"/>
          <tx>
            <strRef>
              <f>'03_高齢者世帯'!A49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'03_高齢者世帯'!$B$49:$D$49</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世帯数（世帯）</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高齢者夫婦世帯・高齢者単身世帯の推移（広域連合）</a:t>
            </a:r>
          </a:p>
        </rich>
      </tx>
      <overlay val="0"/>
    </title>
    <plotArea>
      <barChart>
        <barDir val="col"/>
        <grouping val="clustered"/>
        <ser>
          <idx val="0"/>
          <order val="0"/>
          <tx>
            <strRef>
              <f>'03_高齢者世帯'!A14</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'03_高齢者世帯'!$B$5:$D$5</f>
            </numRef>
          </cat>
          <val>
            <numRef>
              <f>'03_高齢者世帯'!$B$14:$D$14</f>
            </numRef>
          </val>
        </ser>
        <ser>
          <idx val="1"/>
          <order val="1"/>
          <tx>
            <strRef>
              <f>'03_高齢者世帯'!A18</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'03_高齢者世帯'!$B$5:$D$5</f>
            </numRef>
          </cat>
          <val>
            <numRef>
              <f>'03_高齢者世帯'!$B$18:$D$18</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世帯数（世帯）</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認定者数の推移（要介護度別）</a:t>
            </a:r>
          </a:p>
        </rich>
      </tx>
      <overlay val="0"/>
    </title>
    <plotArea>
      <barChart>
        <barDir val="col"/>
        <grouping val="stacked"/>
        <ser>
          <idx val="0"/>
          <order val="0"/>
          <tx>
            <strRef>
              <f>'04_認定者数推移'!A5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'04_認定者数推移'!$B$4:$P$4</f>
            </numRef>
          </cat>
          <val>
            <numRef>
              <f>'04_認定者数推移'!$B$5:$P$5</f>
            </numRef>
          </val>
        </ser>
        <ser>
          <idx val="1"/>
          <order val="1"/>
          <tx>
            <strRef>
              <f>'04_認定者数推移'!A6</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'04_認定者数推移'!$B$6:$P$6</f>
            </numRef>
          </val>
        </ser>
        <ser>
          <idx val="2"/>
          <order val="2"/>
          <tx>
            <strRef>
              <f>'04_認定者数推移'!A7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'04_認定者数推移'!$B$4:$P$4</f>
            </numRef>
          </cat>
          <val>
            <numRef>
              <f>'04_認定者数推移'!$B$7:$P$7</f>
            </numRef>
          </val>
        </ser>
        <ser>
          <idx val="3"/>
          <order val="3"/>
          <tx>
            <strRef>
              <f>'04_認定者数推移'!A8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'04_認定者数推移'!$B$8:$P$8</f>
            </numRef>
          </val>
        </ser>
        <ser>
          <idx val="4"/>
          <order val="4"/>
          <tx>
            <strRef>
              <f>'04_認定者数推移'!A9</f>
            </strRef>
          </tx>
          <spPr>
            <a:solidFill xmlns:a="http://schemas.openxmlformats.org/drawingml/2006/main">
              <a:srgbClr val="C8C8C8"/>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'04_認定者数推移'!$B$9:$P$9</f>
            </numRef>
          </val>
        </ser>
        <ser>
          <idx val="5"/>
          <order val="5"/>
          <tx>
            <strRef>
              <f>'04_認定者数推移'!A10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'04_認定者数推移'!$B$10:$P$10</f>
            </numRef>
          </val>
        </ser>
        <ser>
          <idx val="6"/>
          <order val="6"/>
          <tx>
            <strRef>
              <f>'04_認定者数推移'!A11</f>
            </strRef>
          </tx>
          <spPr>
            <a:solidFill xmlns:a="http://schemas.openxmlformats.org/drawingml/2006/main">
              <a:srgbClr val="FFFFFF"/>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'04_認定者数推移'!$B$11:$P$11</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認定者数（人）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認定者割合の比較（令和5年9月）</a:t>
            </a:r>
          </a:p>
        </rich>
      </tx>
      <overlay val="0"/>
    </title>
    <plotArea>
      <barChart>
        <barDir val="bar"/>
        <grouping val="percentStacked"/>
        <ser>
          <idx val="0"/>
          <order val="0"/>
          <tx>
            <strRef>
              <f>'05_認定者割合'!B4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'05_認定者割合'!$A$5:$A$10</f>
            </numRef>
          </cat>
          <val>
            <numRef>
              <f>'05_認定者割合'!$B$5:$B$10</f>
            </numRef>
          </val>
        </ser>
        <ser>
          <idx val="1"/>
          <order val="1"/>
          <tx>
            <strRef>
              <f>'05_認定者割合'!C4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'05_認定者割合'!$C$5:$C$10</f>
            </numRef>
          </val>
        </ser>
        <ser>
          <idx val="2"/>
          <order val="2"/>
          <tx>
            <strRef>
              <f>'05_認定者割合'!D4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'05_認定者割合'!$A$5:$A$10</f>
            </numRef>
          </cat>
          <val>
            <numRef>
              <f>'05_認定者割合'!$D$5:$D$10</f>
            </numRef>
          </val>
        </ser>
        <ser>
          <idx val="3"/>
          <order val="3"/>
          <tx>
            <strRef>
              <f>'05_認定者割合'!E4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'05_認定者割合'!$E$5:$E$10</f>
            </numRef>
          </val>
        </ser>
        <ser>
          <idx val="4"/>
          <order val="4"/>
          <tx>
            <strRef>
              <f>'05_認定者割合'!F4</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'05_認定者割合'!$F$5:$F$10</f>
            </numRef>
          </val>
        </ser>
        <ser>
          <idx val="5"/>
          <order val="5"/>
          <tx>
            <strRef>
              <f>'05_認定者割合'!G4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'05_認定者割合'!$G$5:$G$10</f>
            </numRef>
          </val>
        </ser>
        <ser>
          <idx val="6"/>
          <order val="6"/>
          <tx>
            <strRef>
              <f>'05_認定者割合'!H4</f>
            </strRef>
          </tx>
          <spPr>
            <a:solidFill xmlns:a="http://schemas.openxmlformats.org/drawingml/2006/main">
              <a:srgbClr val="FFFFFF"/>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'05_認定者割合'!$H$5:$H$10</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出現率の推移</a:t>
            </a:r>
          </a:p>
        </rich>
      </tx>
      <overlay val="0"/>
    </title>
    <plotArea>
      <lineChart>
        <grouping val="standard"/>
        <ser>
          <idx val="0"/>
          <order val="0"/>
          <tx>
            <strRef>
              <f>'06_出現率推移'!A6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'06_出現率推移'!$B$5:$P$5</f>
            </numRef>
          </cat>
          <val>
            <numRef>
              <f>'06_出現率推移'!$B$6:$P$6</f>
            </numRef>
          </val>
          <smooth val="0"/>
        </ser>
        <ser>
          <idx val="1"/>
          <order val="1"/>
          <tx>
            <strRef>
              <f>'06_出現率推移'!A7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'06_出現率推移'!$B$5:$P$5</f>
            </numRef>
          </cat>
          <val>
            <numRef>
              <f>'06_出現率推移'!$B$7:$P$7</f>
            </numRef>
          </val>
          <smooth val="0"/>
        </ser>
        <ser>
          <idx val="2"/>
          <order val="2"/>
          <tx>
            <strRef>
              <f>'06_出現率推移'!A8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'06_出現率推移'!$B$5:$P$5</f>
            </numRef>
          </cat>
          <val>
            <numRef>
              <f>'06_出現率推移'!$B$8:$P$8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3"/>
          <min val="15"/>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a:pPr>
            <a:r>
              <a:t>町別出現率の推移</a:t>
            </a:r>
          </a:p>
        </rich>
      </tx>
      <overlay val="0"/>
    </title>
    <plotArea>
      <lineChart>
        <grouping val="standard"/>
        <ser>
          <idx val="0"/>
          <order val="0"/>
          <tx>
            <strRef>
              <f>'06_出現率推移'!A12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'06_出現率推移'!$B$11:$P$11</f>
            </numRef>
          </cat>
          <val>
            <numRef>
              <f>'06_出現率推移'!$B$12:$P$12</f>
            </numRef>
          </val>
          <smooth val="0"/>
        </ser>
        <ser>
          <idx val="1"/>
          <order val="1"/>
          <tx>
            <strRef>
              <f>'06_出現率推移'!A13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'06_出現率推移'!$B$11:$P$11</f>
            </numRef>
          </cat>
          <val>
            <numRef>
              <f>'06_出現率推移'!$B$13:$P$13</f>
            </numRef>
          </val>
          <smooth val="0"/>
        </ser>
        <ser>
          <idx val="2"/>
          <order val="2"/>
          <tx>
            <strRef>
              <f>'06_出現率推移'!A14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'06_出現率推移'!$B$11:$P$11</f>
            </numRef>
          </cat>
          <val>
            <numRef>
              <f>'06_出現率推移'!$B$14:$P$14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6"/>
          <min val="15"/>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a:pPr>
            <a:r>
              <a:t>出現率の比較（令和5年 上川総合振興局管内）</a:t>
            </a:r>
          </a:p>
        </rich>
      </tx>
      <overlay val="0"/>
    </title>
    <plotArea>
      <barChart>
        <barDir val="col"/>
        <grouping val="clustered"/>
        <ser>
          <idx val="0"/>
          <order val="0"/>
          <tx>
            <strRef>
              <f>'06_出現率推移'!B41</f>
            </strRef>
          </tx>
          <spPr>
            <a:solidFill xmlns:a="http://schemas.openxmlformats.org/drawingml/2006/main">
              <a:srgbClr val="C8C8C8"/>
            </a:solidFill>
            <a:ln xmlns:a="http://schemas.openxmlformats.org/drawingml/2006/main" w="6350">
              <a:solidFill>
                <a:srgbClr val="000000"/>
              </a:solidFill>
              <a:prstDash val="solid"/>
            </a:ln>
          </spPr>
          <cat>
            <numRef>
              <f>'06_出現率推移'!$A$42:$A$65</f>
            </numRef>
          </cat>
          <val>
            <numRef>
              <f>'06_出現率推移'!$B$42:$B$65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4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2700000" vert="horz"/>
          <a:p xmlns:a="http://schemas.openxmlformats.org/drawingml/2006/main">
            <a:pPr>
              <a:defRPr sz="750"/>
            </a:pPr>
            <a:endParaRPr sz="75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750"/>
            </a:pPr>
            <a:endParaRPr sz="750"/>
          </a:p>
        </txPr>
        <crossAx val="10"/>
      </valAx>
    </plotArea>
    <plotVisOnly val="1"/>
    <dispBlanksAs val="gap"/>
  </chart>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a:pPr>
            <a:r>
              <a:t>サービス区分別給付費の推移</a:t>
            </a:r>
          </a:p>
        </rich>
      </tx>
      <overlay val="0"/>
    </title>
    <plotArea>
      <barChart>
        <barDir val="col"/>
        <grouping val="stacked"/>
        <ser>
          <idx val="0"/>
          <order val="0"/>
          <tx>
            <strRef>
              <f>'07_給付費推移'!A6</f>
            </strRef>
          </tx>
          <spPr>
            <a:solidFill xmlns:a="http://schemas.openxmlformats.org/drawingml/2006/main">
              <a:srgbClr val="000000"/>
            </a:solidFill>
            <a:ln xmlns:a="http://schemas.openxmlformats.org/drawingml/2006/main" w="6350">
              <a:solidFill>
                <a:srgbClr val="000000"/>
              </a:solidFill>
              <a:prstDash val="solid"/>
            </a:ln>
          </spPr>
          <cat>
            <numRef>
              <f>'07_給付費推移'!$B$5:$G$5</f>
            </numRef>
          </cat>
          <val>
            <numRef>
              <f>'07_給付費推移'!$B$6:$G$6</f>
            </numRef>
          </val>
        </ser>
        <ser>
          <idx val="1"/>
          <order val="1"/>
          <tx>
            <strRef>
              <f>'07_給付費推移'!A7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'07_給付費推移'!$B$7:$G$7</f>
            </numRef>
          </val>
        </ser>
        <ser>
          <idx val="2"/>
          <order val="2"/>
          <tx>
            <strRef>
              <f>'07_給付費推移'!A8</f>
            </strRef>
          </tx>
          <spPr>
            <a:solidFill xmlns:a="http://schemas.openxmlformats.org/drawingml/2006/main">
              <a:srgbClr val="808080"/>
            </a:solidFill>
            <a:ln xmlns:a="http://schemas.openxmlformats.org/drawingml/2006/main" w="6350">
              <a:solidFill>
                <a:srgbClr val="000000"/>
              </a:solidFill>
              <a:prstDash val="solid"/>
            </a:ln>
          </spPr>
          <cat>
            <numRef>
              <f>'07_給付費推移'!$B$5:$G$5</f>
            </numRef>
          </cat>
          <val>
            <numRef>
              <f>'07_給付費推移'!$B$8:$G$8</f>
            </numRef>
          </val>
        </ser>
        <ser>
          <idx val="3"/>
          <order val="3"/>
          <tx>
            <strRef>
              <f>'07_給付費推移'!A9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'07_給付費推移'!$B$9:$G$9</f>
            </numRef>
          </val>
        </ser>
        <ser>
          <idx val="4"/>
          <order val="4"/>
          <tx>
            <strRef>
              <f>'07_給付費推移'!A10</f>
            </strRef>
          </tx>
          <spPr>
            <a:solidFill xmlns:a="http://schemas.openxmlformats.org/drawingml/2006/main">
              <a:srgbClr val="C8C8C8"/>
            </a:solidFill>
            <a:ln xmlns:a="http://schemas.openxmlformats.org/drawingml/2006/main" w="6350">
              <a:solidFill>
                <a:srgbClr val="000000"/>
              </a:solidFill>
              <a:prstDash val="solid"/>
            </a:ln>
          </spPr>
          <cat>
            <numRef>
              <f>'07_給付費推移'!$B$5:$G$5</f>
            </numRef>
          </cat>
          <val>
            <numRef>
              <f>'07_給付費推移'!$B$10:$G$10</f>
            </numRef>
          </val>
        </ser>
        <ser>
          <idx val="5"/>
          <order val="5"/>
          <tx>
            <strRef>
              <f>'07_給付費推移'!A11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'07_給付費推移'!$B$11:$G$11</f>
            </numRef>
          </val>
        </ser>
        <ser>
          <idx val="6"/>
          <order val="6"/>
          <tx>
            <strRef>
              <f>'07_給付費推移'!A12</f>
            </strRef>
          </tx>
          <spPr>
            <a:solidFill xmlns:a="http://schemas.openxmlformats.org/drawingml/2006/main">
              <a:srgbClr val="FFFFFF"/>
            </a:solidFill>
            <a:ln xmlns:a="http://schemas.openxmlformats.org/drawingml/2006/main" w="6350">
              <a:solidFill>
                <a:srgbClr val="000000"/>
              </a:solidFill>
              <a:prstDash val="solid"/>
            </a:ln>
          </spPr>
          <cat>
            <numRef>
              <f>'07_給付費推移'!$B$5:$G$5</f>
            </numRef>
          </cat>
          <val>
            <numRef>
              <f>'07_給付費推移'!$B$12:$G$12</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給付費（千円）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a:pPr>
            <a:r>
              <a:t>給付費の中長期見通し（自然体推計）</a:t>
            </a:r>
          </a:p>
        </rich>
      </tx>
      <overlay val="0"/>
    </title>
    <plotArea>
      <barChart>
        <barDir val="col"/>
        <grouping val="stacked"/>
        <ser>
          <idx val="0"/>
          <order val="0"/>
          <tx>
            <strRef>
              <f>'07_給付費推移'!A31</f>
            </strRef>
          </tx>
          <spPr>
            <a:solidFill xmlns:a="http://schemas.openxmlformats.org/drawingml/2006/main">
              <a:srgbClr val="000000"/>
            </a:solidFill>
            <a:ln xmlns:a="http://schemas.openxmlformats.org/drawingml/2006/main" w="6350">
              <a:solidFill>
                <a:srgbClr val="000000"/>
              </a:solidFill>
              <a:prstDash val="solid"/>
            </a:ln>
          </spPr>
          <cat>
            <numRef>
              <f>'07_給付費推移'!$B$30:$F$30</f>
            </numRef>
          </cat>
          <val>
            <numRef>
              <f>'07_給付費推移'!$B$31:$F$31</f>
            </numRef>
          </val>
        </ser>
        <ser>
          <idx val="1"/>
          <order val="1"/>
          <tx>
            <strRef>
              <f>'07_給付費推移'!A32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'07_給付費推移'!$B$30:$F$30</f>
            </numRef>
          </cat>
          <val>
            <numRef>
              <f>'07_給付費推移'!$B$32:$F$32</f>
            </numRef>
          </val>
        </ser>
        <ser>
          <idx val="2"/>
          <order val="2"/>
          <tx>
            <strRef>
              <f>'07_給付費推移'!A33</f>
            </strRef>
          </tx>
          <spPr>
            <a:solidFill xmlns:a="http://schemas.openxmlformats.org/drawingml/2006/main">
              <a:srgbClr val="808080"/>
            </a:solidFill>
            <a:ln xmlns:a="http://schemas.openxmlformats.org/drawingml/2006/main" w="6350">
              <a:solidFill>
                <a:srgbClr val="000000"/>
              </a:solidFill>
              <a:prstDash val="solid"/>
            </a:ln>
          </spPr>
          <cat>
            <numRef>
              <f>'07_給付費推移'!$B$30:$F$30</f>
            </numRef>
          </cat>
          <val>
            <numRef>
              <f>'07_給付費推移'!$B$33:$F$33</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給付費（百万円）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4.xml><?xml version="1.0" encoding="utf-8"?>
<chartSpace xmlns="http://schemas.openxmlformats.org/drawingml/2006/chart">
  <chart>
    <title>
      <tx>
        <rich>
          <a:bodyPr xmlns:a="http://schemas.openxmlformats.org/drawingml/2006/main"/>
          <a:p xmlns:a="http://schemas.openxmlformats.org/drawingml/2006/main">
            <a:pPr>
              <a:defRPr/>
            </a:pPr>
            <a:r>
              <a:t>社会参加の合成指標（年齢階級別・広域連合）</a:t>
            </a:r>
          </a:p>
        </rich>
      </tx>
      <overlay val="0"/>
    </title>
    <plotArea>
      <barChart>
        <barDir val="col"/>
        <grouping val="clustered"/>
        <ser>
          <idx val="0"/>
          <order val="0"/>
          <tx>
            <strRef>
              <f>'08_ニーズ調査データ'!A63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'08_ニーズ調査データ'!$B$62:$G$62</f>
            </numRef>
          </cat>
          <val>
            <numRef>
              <f>'08_ニーズ調査データ'!$B$63:$G$63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5.xml><?xml version="1.0" encoding="utf-8"?>
<chartSpace xmlns="http://schemas.openxmlformats.org/drawingml/2006/chart">
  <chart>
    <title>
      <tx>
        <rich>
          <a:bodyPr xmlns:a="http://schemas.openxmlformats.org/drawingml/2006/main"/>
          <a:p xmlns:a="http://schemas.openxmlformats.org/drawingml/2006/main">
            <a:pPr>
              <a:defRPr/>
            </a:pPr>
            <a:r>
              <a:t>① フレイルあり割合（基本チェックリスト8項目以上）（年齢階級別）</a:t>
            </a:r>
          </a:p>
        </rich>
      </tx>
      <overlay val="0"/>
    </title>
    <plotArea>
      <barChart>
        <barDir val="col"/>
        <grouping val="clustered"/>
        <ser>
          <idx val="0"/>
          <order val="0"/>
          <tx>
            <strRef>
              <f>'08_ニーズ調査データ'!$B$6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'08_ニーズ調査データ'!$E$6:$J$6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6.xml><?xml version="1.0" encoding="utf-8"?>
<chartSpace xmlns="http://schemas.openxmlformats.org/drawingml/2006/chart">
  <chart>
    <title>
      <tx>
        <rich>
          <a:bodyPr xmlns:a="http://schemas.openxmlformats.org/drawingml/2006/main"/>
          <a:p xmlns:a="http://schemas.openxmlformats.org/drawingml/2006/main">
            <a:pPr>
              <a:defRPr/>
            </a:pPr>
            <a:r>
              <a:t>① フレイルあり割合（基本チェックリスト8項目以上）（町別）</a:t>
            </a:r>
          </a:p>
        </rich>
      </tx>
      <overlay val="0"/>
    </title>
    <plotArea>
      <barChart>
        <barDir val="col"/>
        <grouping val="clustered"/>
        <ser>
          <idx val="0"/>
          <order val="0"/>
          <tx>
            <strRef>
              <f>'08_ニーズ調査データ'!$B$29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'08_ニーズ調査データ'!$D$29:$G$29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7.xml><?xml version="1.0" encoding="utf-8"?>
<chartSpace xmlns="http://schemas.openxmlformats.org/drawingml/2006/chart">
  <chart>
    <title>
      <tx>
        <rich>
          <a:bodyPr xmlns:a="http://schemas.openxmlformats.org/drawingml/2006/main"/>
          <a:p xmlns:a="http://schemas.openxmlformats.org/drawingml/2006/main">
            <a:pPr>
              <a:defRPr/>
            </a:pPr>
            <a:r>
              <a:t>② 運動機能低下者割合（基本チェックリスト）（年齢階級別）</a:t>
            </a:r>
          </a:p>
        </rich>
      </tx>
      <overlay val="0"/>
    </title>
    <plotArea>
      <barChart>
        <barDir val="col"/>
        <grouping val="clustered"/>
        <ser>
          <idx val="0"/>
          <order val="0"/>
          <tx>
            <strRef>
              <f>'08_ニーズ調査データ'!$B$7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'08_ニーズ調査データ'!$E$7:$J$7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8.xml><?xml version="1.0" encoding="utf-8"?>
<chartSpace xmlns="http://schemas.openxmlformats.org/drawingml/2006/chart">
  <chart>
    <title>
      <tx>
        <rich>
          <a:bodyPr xmlns:a="http://schemas.openxmlformats.org/drawingml/2006/main"/>
          <a:p xmlns:a="http://schemas.openxmlformats.org/drawingml/2006/main">
            <a:pPr>
              <a:defRPr/>
            </a:pPr>
            <a:r>
              <a:t>② 運動機能低下者割合（基本チェックリスト）（町別）</a:t>
            </a:r>
          </a:p>
        </rich>
      </tx>
      <overlay val="0"/>
    </title>
    <plotArea>
      <barChart>
        <barDir val="col"/>
        <grouping val="clustered"/>
        <ser>
          <idx val="0"/>
          <order val="0"/>
          <tx>
            <strRef>
              <f>'08_ニーズ調査データ'!$B$30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'08_ニーズ調査データ'!$D$30:$G$30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9.xml><?xml version="1.0" encoding="utf-8"?>
<chartSpace xmlns="http://schemas.openxmlformats.org/drawingml/2006/chart">
  <chart>
    <title>
      <tx>
        <rich>
          <a:bodyPr xmlns:a="http://schemas.openxmlformats.org/drawingml/2006/main"/>
          <a:p xmlns:a="http://schemas.openxmlformats.org/drawingml/2006/main">
            <a:pPr>
              <a:defRPr/>
            </a:pPr>
            <a:r>
              <a:t>③ 1年間の転倒あり割合（年齢階級別）</a:t>
            </a:r>
          </a:p>
        </rich>
      </tx>
      <overlay val="0"/>
    </title>
    <plotArea>
      <barChart>
        <barDir val="col"/>
        <grouping val="clustered"/>
        <ser>
          <idx val="0"/>
          <order val="0"/>
          <tx>
            <strRef>
              <f>'08_ニーズ調査データ'!$B$8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'08_ニーズ調査データ'!$E$8:$J$8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0.xml><?xml version="1.0" encoding="utf-8"?>
<chartSpace xmlns="http://schemas.openxmlformats.org/drawingml/2006/chart">
  <chart>
    <title>
      <tx>
        <rich>
          <a:bodyPr xmlns:a="http://schemas.openxmlformats.org/drawingml/2006/main"/>
          <a:p xmlns:a="http://schemas.openxmlformats.org/drawingml/2006/main">
            <a:pPr>
              <a:defRPr/>
            </a:pPr>
            <a:r>
              <a:t>③ 1年間の転倒あり割合（町別）</a:t>
            </a:r>
          </a:p>
        </rich>
      </tx>
      <overlay val="0"/>
    </title>
    <plotArea>
      <barChart>
        <barDir val="col"/>
        <grouping val="clustered"/>
        <ser>
          <idx val="0"/>
          <order val="0"/>
          <tx>
            <strRef>
              <f>'08_ニーズ調査データ'!$B$31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'08_ニーズ調査データ'!$D$31:$G$31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1.xml><?xml version="1.0" encoding="utf-8"?>
<chartSpace xmlns="http://schemas.openxmlformats.org/drawingml/2006/chart">
  <chart>
    <title>
      <tx>
        <rich>
          <a:bodyPr xmlns:a="http://schemas.openxmlformats.org/drawingml/2006/main"/>
          <a:p xmlns:a="http://schemas.openxmlformats.org/drawingml/2006/main">
            <a:pPr>
              <a:defRPr/>
            </a:pPr>
            <a:r>
              <a:t>④ 物忘れが多い者の割合（年齢階級別）</a:t>
            </a:r>
          </a:p>
        </rich>
      </tx>
      <overlay val="0"/>
    </title>
    <plotArea>
      <barChart>
        <barDir val="col"/>
        <grouping val="clustered"/>
        <ser>
          <idx val="0"/>
          <order val="0"/>
          <tx>
            <strRef>
              <f>'08_ニーズ調査データ'!$B$9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'08_ニーズ調査データ'!$E$9:$J$9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2.xml><?xml version="1.0" encoding="utf-8"?>
<chartSpace xmlns="http://schemas.openxmlformats.org/drawingml/2006/chart">
  <chart>
    <title>
      <tx>
        <rich>
          <a:bodyPr xmlns:a="http://schemas.openxmlformats.org/drawingml/2006/main"/>
          <a:p xmlns:a="http://schemas.openxmlformats.org/drawingml/2006/main">
            <a:pPr>
              <a:defRPr/>
            </a:pPr>
            <a:r>
              <a:t>④ 物忘れが多い者の割合（町別）</a:t>
            </a:r>
          </a:p>
        </rich>
      </tx>
      <overlay val="0"/>
    </title>
    <plotArea>
      <barChart>
        <barDir val="col"/>
        <grouping val="clustered"/>
        <ser>
          <idx val="0"/>
          <order val="0"/>
          <tx>
            <strRef>
              <f>'08_ニーズ調査データ'!$B$32</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'08_ニーズ調査データ'!$D$32:$G$32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3.xml><?xml version="1.0" encoding="utf-8"?>
<chartSpace xmlns="http://schemas.openxmlformats.org/drawingml/2006/chart">
  <chart>
    <title>
      <tx>
        <rich>
          <a:bodyPr xmlns:a="http://schemas.openxmlformats.org/drawingml/2006/main"/>
          <a:p xmlns:a="http://schemas.openxmlformats.org/drawingml/2006/main">
            <a:pPr>
              <a:defRPr/>
            </a:pPr>
            <a:r>
              <a:t>⑤ 閉じこもり者割合（年齢階級別）</a:t>
            </a:r>
          </a:p>
        </rich>
      </tx>
      <overlay val="0"/>
    </title>
    <plotArea>
      <barChart>
        <barDir val="col"/>
        <grouping val="clustered"/>
        <ser>
          <idx val="0"/>
          <order val="0"/>
          <tx>
            <strRef>
              <f>'08_ニーズ調査データ'!$B$10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'08_ニーズ調査データ'!$E$10:$J$10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4.xml><?xml version="1.0" encoding="utf-8"?>
<chartSpace xmlns="http://schemas.openxmlformats.org/drawingml/2006/chart">
  <chart>
    <title>
      <tx>
        <rich>
          <a:bodyPr xmlns:a="http://schemas.openxmlformats.org/drawingml/2006/main"/>
          <a:p xmlns:a="http://schemas.openxmlformats.org/drawingml/2006/main">
            <a:pPr>
              <a:defRPr/>
            </a:pPr>
            <a:r>
              <a:t>⑤ 閉じこもり者割合（町別）</a:t>
            </a:r>
          </a:p>
        </rich>
      </tx>
      <overlay val="0"/>
    </title>
    <plotArea>
      <barChart>
        <barDir val="col"/>
        <grouping val="clustered"/>
        <ser>
          <idx val="0"/>
          <order val="0"/>
          <tx>
            <strRef>
              <f>'08_ニーズ調査データ'!$B$33</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'08_ニーズ調査データ'!$D$33:$G$33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5.xml><?xml version="1.0" encoding="utf-8"?>
<chartSpace xmlns="http://schemas.openxmlformats.org/drawingml/2006/chart">
  <chart>
    <title>
      <tx>
        <rich>
          <a:bodyPr xmlns:a="http://schemas.openxmlformats.org/drawingml/2006/main"/>
          <a:p xmlns:a="http://schemas.openxmlformats.org/drawingml/2006/main">
            <a:pPr>
              <a:defRPr/>
            </a:pPr>
            <a:r>
              <a:t>⑥ うつ割合（基本チェックリスト）（年齢階級別）</a:t>
            </a:r>
          </a:p>
        </rich>
      </tx>
      <overlay val="0"/>
    </title>
    <plotArea>
      <barChart>
        <barDir val="col"/>
        <grouping val="clustered"/>
        <ser>
          <idx val="0"/>
          <order val="0"/>
          <tx>
            <strRef>
              <f>'08_ニーズ調査データ'!$B$11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'08_ニーズ調査データ'!$E$11:$J$11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6.xml><?xml version="1.0" encoding="utf-8"?>
<chartSpace xmlns="http://schemas.openxmlformats.org/drawingml/2006/chart">
  <chart>
    <title>
      <tx>
        <rich>
          <a:bodyPr xmlns:a="http://schemas.openxmlformats.org/drawingml/2006/main"/>
          <a:p xmlns:a="http://schemas.openxmlformats.org/drawingml/2006/main">
            <a:pPr>
              <a:defRPr/>
            </a:pPr>
            <a:r>
              <a:t>⑥ うつ割合（基本チェックリスト）（町別）</a:t>
            </a:r>
          </a:p>
        </rich>
      </tx>
      <overlay val="0"/>
    </title>
    <plotArea>
      <barChart>
        <barDir val="col"/>
        <grouping val="clustered"/>
        <ser>
          <idx val="0"/>
          <order val="0"/>
          <tx>
            <strRef>
              <f>'08_ニーズ調査データ'!$B$34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'08_ニーズ調査データ'!$D$34:$G$34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7.xml><?xml version="1.0" encoding="utf-8"?>
<chartSpace xmlns="http://schemas.openxmlformats.org/drawingml/2006/chart">
  <chart>
    <title>
      <tx>
        <rich>
          <a:bodyPr xmlns:a="http://schemas.openxmlformats.org/drawingml/2006/main"/>
          <a:p xmlns:a="http://schemas.openxmlformats.org/drawingml/2006/main">
            <a:pPr>
              <a:defRPr/>
            </a:pPr>
            <a:r>
              <a:t>⑦ 口腔機能低下者割合（基本チェックリスト）（年齢階級別）</a:t>
            </a:r>
          </a:p>
        </rich>
      </tx>
      <overlay val="0"/>
    </title>
    <plotArea>
      <barChart>
        <barDir val="col"/>
        <grouping val="clustered"/>
        <ser>
          <idx val="0"/>
          <order val="0"/>
          <tx>
            <strRef>
              <f>'08_ニーズ調査データ'!$B$12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'08_ニーズ調査データ'!$E$12:$J$12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8.xml><?xml version="1.0" encoding="utf-8"?>
<chartSpace xmlns="http://schemas.openxmlformats.org/drawingml/2006/chart">
  <chart>
    <title>
      <tx>
        <rich>
          <a:bodyPr xmlns:a="http://schemas.openxmlformats.org/drawingml/2006/main"/>
          <a:p xmlns:a="http://schemas.openxmlformats.org/drawingml/2006/main">
            <a:pPr>
              <a:defRPr/>
            </a:pPr>
            <a:r>
              <a:t>⑦ 口腔機能低下者割合（基本チェックリスト）（町別）</a:t>
            </a:r>
          </a:p>
        </rich>
      </tx>
      <overlay val="0"/>
    </title>
    <plotArea>
      <barChart>
        <barDir val="col"/>
        <grouping val="clustered"/>
        <ser>
          <idx val="0"/>
          <order val="0"/>
          <tx>
            <strRef>
              <f>'08_ニーズ調査データ'!$B$35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'08_ニーズ調査データ'!$D$35:$G$35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9.xml><?xml version="1.0" encoding="utf-8"?>
<chartSpace xmlns="http://schemas.openxmlformats.org/drawingml/2006/chart">
  <chart>
    <title>
      <tx>
        <rich>
          <a:bodyPr xmlns:a="http://schemas.openxmlformats.org/drawingml/2006/main"/>
          <a:p xmlns:a="http://schemas.openxmlformats.org/drawingml/2006/main">
            <a:pPr>
              <a:defRPr/>
            </a:pPr>
            <a:r>
              <a:t>⑧ 低栄養の傾向割合（BMI18.5未満）（年齢階級別）</a:t>
            </a:r>
          </a:p>
        </rich>
      </tx>
      <overlay val="0"/>
    </title>
    <plotArea>
      <barChart>
        <barDir val="col"/>
        <grouping val="clustered"/>
        <ser>
          <idx val="0"/>
          <order val="0"/>
          <tx>
            <strRef>
              <f>'08_ニーズ調査データ'!$B$13</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'08_ニーズ調査データ'!$E$13:$J$13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0.xml><?xml version="1.0" encoding="utf-8"?>
<chartSpace xmlns="http://schemas.openxmlformats.org/drawingml/2006/chart">
  <chart>
    <title>
      <tx>
        <rich>
          <a:bodyPr xmlns:a="http://schemas.openxmlformats.org/drawingml/2006/main"/>
          <a:p xmlns:a="http://schemas.openxmlformats.org/drawingml/2006/main">
            <a:pPr>
              <a:defRPr/>
            </a:pPr>
            <a:r>
              <a:t>⑧ 低栄養の傾向割合（BMI18.5未満）（町別）</a:t>
            </a:r>
          </a:p>
        </rich>
      </tx>
      <overlay val="0"/>
    </title>
    <plotArea>
      <barChart>
        <barDir val="col"/>
        <grouping val="clustered"/>
        <ser>
          <idx val="0"/>
          <order val="0"/>
          <tx>
            <strRef>
              <f>'08_ニーズ調査データ'!$B$36</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'08_ニーズ調査データ'!$D$36:$G$36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1.xml><?xml version="1.0" encoding="utf-8"?>
<chartSpace xmlns="http://schemas.openxmlformats.org/drawingml/2006/chart">
  <chart>
    <title>
      <tx>
        <rich>
          <a:bodyPr xmlns:a="http://schemas.openxmlformats.org/drawingml/2006/main"/>
          <a:p xmlns:a="http://schemas.openxmlformats.org/drawingml/2006/main">
            <a:pPr>
              <a:defRPr/>
            </a:pPr>
            <a:r>
              <a:t>⑨ 要支援・要介護リスク点数（平均点）（年齢階級別）</a:t>
            </a:r>
          </a:p>
        </rich>
      </tx>
      <overlay val="0"/>
    </title>
    <plotArea>
      <barChart>
        <barDir val="col"/>
        <grouping val="clustered"/>
        <ser>
          <idx val="0"/>
          <order val="0"/>
          <tx>
            <strRef>
              <f>'08_ニーズ調査データ'!$B$14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'08_ニーズ調査データ'!$E$14:$J$14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平均点（点）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2.xml><?xml version="1.0" encoding="utf-8"?>
<chartSpace xmlns="http://schemas.openxmlformats.org/drawingml/2006/chart">
  <chart>
    <title>
      <tx>
        <rich>
          <a:bodyPr xmlns:a="http://schemas.openxmlformats.org/drawingml/2006/main"/>
          <a:p xmlns:a="http://schemas.openxmlformats.org/drawingml/2006/main">
            <a:pPr>
              <a:defRPr/>
            </a:pPr>
            <a:r>
              <a:t>⑨ 要支援・要介護リスク点数（平均点）（町別）</a:t>
            </a:r>
          </a:p>
        </rich>
      </tx>
      <overlay val="0"/>
    </title>
    <plotArea>
      <barChart>
        <barDir val="col"/>
        <grouping val="clustered"/>
        <ser>
          <idx val="0"/>
          <order val="0"/>
          <tx>
            <strRef>
              <f>'08_ニーズ調査データ'!$B$37</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'08_ニーズ調査データ'!$D$37:$G$37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平均点（点）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3.xml><?xml version="1.0" encoding="utf-8"?>
<chartSpace xmlns="http://schemas.openxmlformats.org/drawingml/2006/chart">
  <chart>
    <title>
      <tx>
        <rich>
          <a:bodyPr xmlns:a="http://schemas.openxmlformats.org/drawingml/2006/main"/>
          <a:p xmlns:a="http://schemas.openxmlformats.org/drawingml/2006/main">
            <a:pPr>
              <a:defRPr/>
            </a:pPr>
            <a:r>
              <a:t>⑩ 認知機能低下者割合（基本チェックリスト）（年齢階級別）</a:t>
            </a:r>
          </a:p>
        </rich>
      </tx>
      <overlay val="0"/>
    </title>
    <plotArea>
      <barChart>
        <barDir val="col"/>
        <grouping val="clustered"/>
        <ser>
          <idx val="0"/>
          <order val="0"/>
          <tx>
            <strRef>
              <f>'08_ニーズ調査データ'!$B$15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'08_ニーズ調査データ'!$E$15:$J$15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4.xml><?xml version="1.0" encoding="utf-8"?>
<chartSpace xmlns="http://schemas.openxmlformats.org/drawingml/2006/chart">
  <chart>
    <title>
      <tx>
        <rich>
          <a:bodyPr xmlns:a="http://schemas.openxmlformats.org/drawingml/2006/main"/>
          <a:p xmlns:a="http://schemas.openxmlformats.org/drawingml/2006/main">
            <a:pPr>
              <a:defRPr/>
            </a:pPr>
            <a:r>
              <a:t>⑩ 認知機能低下者割合（基本チェックリスト）（町別）</a:t>
            </a:r>
          </a:p>
        </rich>
      </tx>
      <overlay val="0"/>
    </title>
    <plotArea>
      <barChart>
        <barDir val="col"/>
        <grouping val="clustered"/>
        <ser>
          <idx val="0"/>
          <order val="0"/>
          <tx>
            <strRef>
              <f>'08_ニーズ調査データ'!$B$38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'08_ニーズ調査データ'!$D$38:$G$38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5.xml><?xml version="1.0" encoding="utf-8"?>
<chartSpace xmlns="http://schemas.openxmlformats.org/drawingml/2006/chart">
  <chart>
    <title>
      <tx>
        <rich>
          <a:bodyPr xmlns:a="http://schemas.openxmlformats.org/drawingml/2006/main"/>
          <a:p xmlns:a="http://schemas.openxmlformats.org/drawingml/2006/main">
            <a:pPr>
              <a:defRPr/>
            </a:pPr>
            <a:r>
              <a:t>⑪ IADL（自立度）低下者（1項目以上）割合（年齢階級別）</a:t>
            </a:r>
          </a:p>
        </rich>
      </tx>
      <overlay val="0"/>
    </title>
    <plotArea>
      <barChart>
        <barDir val="col"/>
        <grouping val="clustered"/>
        <ser>
          <idx val="0"/>
          <order val="0"/>
          <tx>
            <strRef>
              <f>'08_ニーズ調査データ'!$B$16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'08_ニーズ調査データ'!$E$16:$J$16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6.xml><?xml version="1.0" encoding="utf-8"?>
<chartSpace xmlns="http://schemas.openxmlformats.org/drawingml/2006/chart">
  <chart>
    <title>
      <tx>
        <rich>
          <a:bodyPr xmlns:a="http://schemas.openxmlformats.org/drawingml/2006/main"/>
          <a:p xmlns:a="http://schemas.openxmlformats.org/drawingml/2006/main">
            <a:pPr>
              <a:defRPr/>
            </a:pPr>
            <a:r>
              <a:t>⑪ IADL（自立度）低下者（1項目以上）割合（町別）</a:t>
            </a:r>
          </a:p>
        </rich>
      </tx>
      <overlay val="0"/>
    </title>
    <plotArea>
      <barChart>
        <barDir val="col"/>
        <grouping val="clustered"/>
        <ser>
          <idx val="0"/>
          <order val="0"/>
          <tx>
            <strRef>
              <f>'08_ニーズ調査データ'!$B$39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'08_ニーズ調査データ'!$D$39:$G$39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7.xml><?xml version="1.0" encoding="utf-8"?>
<chartSpace xmlns="http://schemas.openxmlformats.org/drawingml/2006/chart">
  <chart>
    <title>
      <tx>
        <rich>
          <a:bodyPr xmlns:a="http://schemas.openxmlformats.org/drawingml/2006/main"/>
          <a:p xmlns:a="http://schemas.openxmlformats.org/drawingml/2006/main">
            <a:pPr>
              <a:defRPr/>
            </a:pPr>
            <a:r>
              <a:t>⑫ 幸福感がある者の割合（8/10点以上）（年齢階級別）</a:t>
            </a:r>
          </a:p>
        </rich>
      </tx>
      <overlay val="0"/>
    </title>
    <plotArea>
      <barChart>
        <barDir val="col"/>
        <grouping val="clustered"/>
        <ser>
          <idx val="0"/>
          <order val="0"/>
          <tx>
            <strRef>
              <f>'08_ニーズ調査データ'!$B$17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'08_ニーズ調査データ'!$E$17:$J$17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8.xml><?xml version="1.0" encoding="utf-8"?>
<chartSpace xmlns="http://schemas.openxmlformats.org/drawingml/2006/chart">
  <chart>
    <title>
      <tx>
        <rich>
          <a:bodyPr xmlns:a="http://schemas.openxmlformats.org/drawingml/2006/main"/>
          <a:p xmlns:a="http://schemas.openxmlformats.org/drawingml/2006/main">
            <a:pPr>
              <a:defRPr/>
            </a:pPr>
            <a:r>
              <a:t>⑫ 幸福感がある者の割合（8/10点以上）（町別）</a:t>
            </a:r>
          </a:p>
        </rich>
      </tx>
      <overlay val="0"/>
    </title>
    <plotArea>
      <barChart>
        <barDir val="col"/>
        <grouping val="clustered"/>
        <ser>
          <idx val="0"/>
          <order val="0"/>
          <tx>
            <strRef>
              <f>'08_ニーズ調査データ'!$B$40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'08_ニーズ調査データ'!$D$40:$G$40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9.xml><?xml version="1.0" encoding="utf-8"?>
<chartSpace xmlns="http://schemas.openxmlformats.org/drawingml/2006/chart">
  <chart>
    <title>
      <tx>
        <rich>
          <a:bodyPr xmlns:a="http://schemas.openxmlformats.org/drawingml/2006/main"/>
          <a:p xmlns:a="http://schemas.openxmlformats.org/drawingml/2006/main">
            <a:pPr>
              <a:defRPr/>
            </a:pPr>
            <a:r>
              <a:t>⑬ 就労していない者の割合（年齢階級別）</a:t>
            </a:r>
          </a:p>
        </rich>
      </tx>
      <overlay val="0"/>
    </title>
    <plotArea>
      <barChart>
        <barDir val="col"/>
        <grouping val="clustered"/>
        <ser>
          <idx val="0"/>
          <order val="0"/>
          <tx>
            <strRef>
              <f>'08_ニーズ調査データ'!$B$18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'08_ニーズ調査データ'!$E$18:$J$18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0.xml><?xml version="1.0" encoding="utf-8"?>
<chartSpace xmlns="http://schemas.openxmlformats.org/drawingml/2006/chart">
  <chart>
    <title>
      <tx>
        <rich>
          <a:bodyPr xmlns:a="http://schemas.openxmlformats.org/drawingml/2006/main"/>
          <a:p xmlns:a="http://schemas.openxmlformats.org/drawingml/2006/main">
            <a:pPr>
              <a:defRPr/>
            </a:pPr>
            <a:r>
              <a:t>⑬ 就労していない者の割合（町別）</a:t>
            </a:r>
          </a:p>
        </rich>
      </tx>
      <overlay val="0"/>
    </title>
    <plotArea>
      <barChart>
        <barDir val="col"/>
        <grouping val="clustered"/>
        <ser>
          <idx val="0"/>
          <order val="0"/>
          <tx>
            <strRef>
              <f>'08_ニーズ調査データ'!$B$41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'08_ニーズ調査データ'!$D$41:$G$41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1.xml><?xml version="1.0" encoding="utf-8"?>
<chartSpace xmlns="http://schemas.openxmlformats.org/drawingml/2006/chart">
  <chart>
    <title>
      <tx>
        <rich>
          <a:bodyPr xmlns:a="http://schemas.openxmlformats.org/drawingml/2006/main"/>
          <a:p xmlns:a="http://schemas.openxmlformats.org/drawingml/2006/main">
            <a:pPr>
              <a:defRPr/>
            </a:pPr>
            <a:r>
              <a:t>⑭ ボランティア参加者（月1回以上）割合（年齢階級別）</a:t>
            </a:r>
          </a:p>
        </rich>
      </tx>
      <overlay val="0"/>
    </title>
    <plotArea>
      <barChart>
        <barDir val="col"/>
        <grouping val="clustered"/>
        <ser>
          <idx val="0"/>
          <order val="0"/>
          <tx>
            <strRef>
              <f>'08_ニーズ調査データ'!$B$19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'08_ニーズ調査データ'!$E$19:$J$19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2.xml><?xml version="1.0" encoding="utf-8"?>
<chartSpace xmlns="http://schemas.openxmlformats.org/drawingml/2006/chart">
  <chart>
    <title>
      <tx>
        <rich>
          <a:bodyPr xmlns:a="http://schemas.openxmlformats.org/drawingml/2006/main"/>
          <a:p xmlns:a="http://schemas.openxmlformats.org/drawingml/2006/main">
            <a:pPr>
              <a:defRPr/>
            </a:pPr>
            <a:r>
              <a:t>⑭ ボランティア参加者（月1回以上）割合（町別）</a:t>
            </a:r>
          </a:p>
        </rich>
      </tx>
      <overlay val="0"/>
    </title>
    <plotArea>
      <barChart>
        <barDir val="col"/>
        <grouping val="clustered"/>
        <ser>
          <idx val="0"/>
          <order val="0"/>
          <tx>
            <strRef>
              <f>'08_ニーズ調査データ'!$B$42</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'08_ニーズ調査データ'!$D$42:$G$42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3.xml><?xml version="1.0" encoding="utf-8"?>
<chartSpace xmlns="http://schemas.openxmlformats.org/drawingml/2006/chart">
  <chart>
    <title>
      <tx>
        <rich>
          <a:bodyPr xmlns:a="http://schemas.openxmlformats.org/drawingml/2006/main"/>
          <a:p xmlns:a="http://schemas.openxmlformats.org/drawingml/2006/main">
            <a:pPr>
              <a:defRPr/>
            </a:pPr>
            <a:r>
              <a:t>⑮ スポーツの会参加者（月1回以上）割合（年齢階級別）</a:t>
            </a:r>
          </a:p>
        </rich>
      </tx>
      <overlay val="0"/>
    </title>
    <plotArea>
      <barChart>
        <barDir val="col"/>
        <grouping val="clustered"/>
        <ser>
          <idx val="0"/>
          <order val="0"/>
          <tx>
            <strRef>
              <f>'08_ニーズ調査データ'!$B$20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'08_ニーズ調査データ'!$E$20:$J$20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4.xml><?xml version="1.0" encoding="utf-8"?>
<chartSpace xmlns="http://schemas.openxmlformats.org/drawingml/2006/chart">
  <chart>
    <title>
      <tx>
        <rich>
          <a:bodyPr xmlns:a="http://schemas.openxmlformats.org/drawingml/2006/main"/>
          <a:p xmlns:a="http://schemas.openxmlformats.org/drawingml/2006/main">
            <a:pPr>
              <a:defRPr/>
            </a:pPr>
            <a:r>
              <a:t>⑮ スポーツの会参加者（月1回以上）割合（町別）</a:t>
            </a:r>
          </a:p>
        </rich>
      </tx>
      <overlay val="0"/>
    </title>
    <plotArea>
      <barChart>
        <barDir val="col"/>
        <grouping val="clustered"/>
        <ser>
          <idx val="0"/>
          <order val="0"/>
          <tx>
            <strRef>
              <f>'08_ニーズ調査データ'!$B$43</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'08_ニーズ調査データ'!$D$43:$G$43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5.xml><?xml version="1.0" encoding="utf-8"?>
<chartSpace xmlns="http://schemas.openxmlformats.org/drawingml/2006/chart">
  <chart>
    <title>
      <tx>
        <rich>
          <a:bodyPr xmlns:a="http://schemas.openxmlformats.org/drawingml/2006/main"/>
          <a:p xmlns:a="http://schemas.openxmlformats.org/drawingml/2006/main">
            <a:pPr>
              <a:defRPr/>
            </a:pPr>
            <a:r>
              <a:t>⑯ 趣味の会参加者（月1回以上）割合（年齢階級別）</a:t>
            </a:r>
          </a:p>
        </rich>
      </tx>
      <overlay val="0"/>
    </title>
    <plotArea>
      <barChart>
        <barDir val="col"/>
        <grouping val="clustered"/>
        <ser>
          <idx val="0"/>
          <order val="0"/>
          <tx>
            <strRef>
              <f>'08_ニーズ調査データ'!$B$21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'08_ニーズ調査データ'!$E$21:$J$21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6.xml><?xml version="1.0" encoding="utf-8"?>
<chartSpace xmlns="http://schemas.openxmlformats.org/drawingml/2006/chart">
  <chart>
    <title>
      <tx>
        <rich>
          <a:bodyPr xmlns:a="http://schemas.openxmlformats.org/drawingml/2006/main"/>
          <a:p xmlns:a="http://schemas.openxmlformats.org/drawingml/2006/main">
            <a:pPr>
              <a:defRPr/>
            </a:pPr>
            <a:r>
              <a:t>⑯ 趣味の会参加者（月1回以上）割合（町別）</a:t>
            </a:r>
          </a:p>
        </rich>
      </tx>
      <overlay val="0"/>
    </title>
    <plotArea>
      <barChart>
        <barDir val="col"/>
        <grouping val="clustered"/>
        <ser>
          <idx val="0"/>
          <order val="0"/>
          <tx>
            <strRef>
              <f>'08_ニーズ調査データ'!$B$44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'08_ニーズ調査データ'!$D$44:$G$44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7.xml><?xml version="1.0" encoding="utf-8"?>
<chartSpace xmlns="http://schemas.openxmlformats.org/drawingml/2006/chart">
  <chart>
    <title>
      <tx>
        <rich>
          <a:bodyPr xmlns:a="http://schemas.openxmlformats.org/drawingml/2006/main"/>
          <a:p xmlns:a="http://schemas.openxmlformats.org/drawingml/2006/main">
            <a:pPr>
              <a:defRPr/>
            </a:pPr>
            <a:r>
              <a:t>⑰ 学習・教養サークル参加者（月1回以上）割合（年齢階級別）</a:t>
            </a:r>
          </a:p>
        </rich>
      </tx>
      <overlay val="0"/>
    </title>
    <plotArea>
      <barChart>
        <barDir val="col"/>
        <grouping val="clustered"/>
        <ser>
          <idx val="0"/>
          <order val="0"/>
          <tx>
            <strRef>
              <f>'08_ニーズ調査データ'!$B$22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'08_ニーズ調査データ'!$E$22:$J$22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8.xml><?xml version="1.0" encoding="utf-8"?>
<chartSpace xmlns="http://schemas.openxmlformats.org/drawingml/2006/chart">
  <chart>
    <title>
      <tx>
        <rich>
          <a:bodyPr xmlns:a="http://schemas.openxmlformats.org/drawingml/2006/main"/>
          <a:p xmlns:a="http://schemas.openxmlformats.org/drawingml/2006/main">
            <a:pPr>
              <a:defRPr/>
            </a:pPr>
            <a:r>
              <a:t>⑰ 学習・教養サークル参加者（月1回以上）割合（町別）</a:t>
            </a:r>
          </a:p>
        </rich>
      </tx>
      <overlay val="0"/>
    </title>
    <plotArea>
      <barChart>
        <barDir val="col"/>
        <grouping val="clustered"/>
        <ser>
          <idx val="0"/>
          <order val="0"/>
          <tx>
            <strRef>
              <f>'08_ニーズ調査データ'!$B$45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'08_ニーズ調査データ'!$D$45:$G$45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9.xml><?xml version="1.0" encoding="utf-8"?>
<chartSpace xmlns="http://schemas.openxmlformats.org/drawingml/2006/chart">
  <chart>
    <title>
      <tx>
        <rich>
          <a:bodyPr xmlns:a="http://schemas.openxmlformats.org/drawingml/2006/main"/>
          <a:p xmlns:a="http://schemas.openxmlformats.org/drawingml/2006/main">
            <a:pPr>
              <a:defRPr/>
            </a:pPr>
            <a:r>
              <a:t>⑱ 通いの場参加者（月1回以上）割合（年齢階級別）</a:t>
            </a:r>
          </a:p>
        </rich>
      </tx>
      <overlay val="0"/>
    </title>
    <plotArea>
      <barChart>
        <barDir val="col"/>
        <grouping val="clustered"/>
        <ser>
          <idx val="0"/>
          <order val="0"/>
          <tx>
            <strRef>
              <f>'08_ニーズ調査データ'!$B$23</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'08_ニーズ調査データ'!$E$23:$J$23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0.xml><?xml version="1.0" encoding="utf-8"?>
<chartSpace xmlns="http://schemas.openxmlformats.org/drawingml/2006/chart">
  <chart>
    <title>
      <tx>
        <rich>
          <a:bodyPr xmlns:a="http://schemas.openxmlformats.org/drawingml/2006/main"/>
          <a:p xmlns:a="http://schemas.openxmlformats.org/drawingml/2006/main">
            <a:pPr>
              <a:defRPr/>
            </a:pPr>
            <a:r>
              <a:t>⑱ 通いの場参加者（月1回以上）割合（町別）</a:t>
            </a:r>
          </a:p>
        </rich>
      </tx>
      <overlay val="0"/>
    </title>
    <plotArea>
      <barChart>
        <barDir val="col"/>
        <grouping val="clustered"/>
        <ser>
          <idx val="0"/>
          <order val="0"/>
          <tx>
            <strRef>
              <f>'08_ニーズ調査データ'!$B$46</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'08_ニーズ調査データ'!$D$46:$G$46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1.xml><?xml version="1.0" encoding="utf-8"?>
<chartSpace xmlns="http://schemas.openxmlformats.org/drawingml/2006/chart">
  <chart>
    <title>
      <tx>
        <rich>
          <a:bodyPr xmlns:a="http://schemas.openxmlformats.org/drawingml/2006/main"/>
          <a:p xmlns:a="http://schemas.openxmlformats.org/drawingml/2006/main">
            <a:pPr>
              <a:defRPr/>
            </a:pPr>
            <a:r>
              <a:t>⑲ 特技や経験を他者に伝える活動参加者（月1回以上）割合（年齢階級別）</a:t>
            </a:r>
          </a:p>
        </rich>
      </tx>
      <overlay val="0"/>
    </title>
    <plotArea>
      <barChart>
        <barDir val="col"/>
        <grouping val="clustered"/>
        <ser>
          <idx val="0"/>
          <order val="0"/>
          <tx>
            <strRef>
              <f>'08_ニーズ調査データ'!$B$24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'08_ニーズ調査データ'!$E$24:$J$24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2.xml><?xml version="1.0" encoding="utf-8"?>
<chartSpace xmlns="http://schemas.openxmlformats.org/drawingml/2006/chart">
  <chart>
    <title>
      <tx>
        <rich>
          <a:bodyPr xmlns:a="http://schemas.openxmlformats.org/drawingml/2006/main"/>
          <a:p xmlns:a="http://schemas.openxmlformats.org/drawingml/2006/main">
            <a:pPr>
              <a:defRPr/>
            </a:pPr>
            <a:r>
              <a:t>⑲ 特技や経験を他者に伝える活動参加者（月1回以上）割合（町別）</a:t>
            </a:r>
          </a:p>
        </rich>
      </tx>
      <overlay val="0"/>
    </title>
    <plotArea>
      <barChart>
        <barDir val="col"/>
        <grouping val="clustered"/>
        <ser>
          <idx val="0"/>
          <order val="0"/>
          <tx>
            <strRef>
              <f>'08_ニーズ調査データ'!$B$47</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'08_ニーズ調査データ'!$D$47:$G$47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3.xml><?xml version="1.0" encoding="utf-8"?>
<chartSpace xmlns="http://schemas.openxmlformats.org/drawingml/2006/chart">
  <chart>
    <title>
      <tx>
        <rich>
          <a:bodyPr xmlns:a="http://schemas.openxmlformats.org/drawingml/2006/main"/>
          <a:p xmlns:a="http://schemas.openxmlformats.org/drawingml/2006/main">
            <a:pPr>
              <a:defRPr/>
            </a:pPr>
            <a:r>
              <a:t>⑳ 友人知人と会う頻度が高い（月1回以上）者の割合（年齢階級別）</a:t>
            </a:r>
          </a:p>
        </rich>
      </tx>
      <overlay val="0"/>
    </title>
    <plotArea>
      <barChart>
        <barDir val="col"/>
        <grouping val="clustered"/>
        <ser>
          <idx val="0"/>
          <order val="0"/>
          <tx>
            <strRef>
              <f>'08_ニーズ調査データ'!$B$25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'08_ニーズ調査データ'!$E$25:$J$25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4.xml><?xml version="1.0" encoding="utf-8"?>
<chartSpace xmlns="http://schemas.openxmlformats.org/drawingml/2006/chart">
  <chart>
    <title>
      <tx>
        <rich>
          <a:bodyPr xmlns:a="http://schemas.openxmlformats.org/drawingml/2006/main"/>
          <a:p xmlns:a="http://schemas.openxmlformats.org/drawingml/2006/main">
            <a:pPr>
              <a:defRPr/>
            </a:pPr>
            <a:r>
              <a:t>⑳ 友人知人と会う頻度が高い（月1回以上）者の割合（町別）</a:t>
            </a:r>
          </a:p>
        </rich>
      </tx>
      <overlay val="0"/>
    </title>
    <plotArea>
      <barChart>
        <barDir val="col"/>
        <grouping val="clustered"/>
        <ser>
          <idx val="0"/>
          <order val="0"/>
          <tx>
            <strRef>
              <f>'08_ニーズ調査データ'!$B$48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'08_ニーズ調査データ'!$D$48:$G$48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5.xml><?xml version="1.0" encoding="utf-8"?>
<chartSpace xmlns="http://schemas.openxmlformats.org/drawingml/2006/chart">
  <chart>
    <title>
      <tx>
        <rich>
          <a:bodyPr xmlns:a="http://schemas.openxmlformats.org/drawingml/2006/main"/>
          <a:p xmlns:a="http://schemas.openxmlformats.org/drawingml/2006/main">
            <a:pPr>
              <a:defRPr/>
            </a:pPr>
            <a:r>
              <a:t>令和4年→令和7年の変化（広域連合）</a:t>
            </a:r>
          </a:p>
        </rich>
      </tx>
      <overlay val="0"/>
    </title>
    <plotArea>
      <barChart>
        <barDir val="bar"/>
        <grouping val="clustered"/>
        <ser>
          <idx val="0"/>
          <order val="0"/>
          <tx>
            <strRef>
              <f>'09_ニーズ調査グラフ'!B345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'09_ニーズ調査グラフ'!$A$346:$A$359</f>
            </numRef>
          </cat>
          <val>
            <numRef>
              <f>'09_ニーズ調査グラフ'!$B$346:$B$359</f>
            </numRef>
          </val>
        </ser>
        <ser>
          <idx val="1"/>
          <order val="1"/>
          <tx>
            <strRef>
              <f>'09_ニーズ調査グラフ'!C345</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'09_ニーズ調査グラフ'!$A$346:$A$359</f>
            </numRef>
          </cat>
          <val>
            <numRef>
              <f>'09_ニーズ調査グラフ'!$C$346:$C$359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6.xml><?xml version="1.0" encoding="utf-8"?>
<chartSpace xmlns="http://schemas.openxmlformats.org/drawingml/2006/chart">
  <chart>
    <title>
      <tx>
        <rich>
          <a:bodyPr xmlns:a="http://schemas.openxmlformats.org/drawingml/2006/main"/>
          <a:p xmlns:a="http://schemas.openxmlformats.org/drawingml/2006/main">
            <a:pPr>
              <a:defRPr/>
            </a:pPr>
            <a:r>
              <a:t>① 世帯類型</a:t>
            </a:r>
          </a:p>
        </rich>
      </tx>
      <overlay val="0"/>
    </title>
    <plotArea>
      <barChart>
        <barDir val="bar"/>
        <grouping val="clustered"/>
        <ser>
          <idx val="0"/>
          <order val="0"/>
          <tx>
            <strRef>
              <f>'10_在宅介護実態調査'!B5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'10_在宅介護実態調査'!$A$6:$A$9</f>
            </numRef>
          </cat>
          <val>
            <numRef>
              <f>'10_在宅介護実態調査'!$B$6:$B$9</f>
            </numRef>
          </val>
        </ser>
        <ser>
          <idx val="1"/>
          <order val="1"/>
          <tx>
            <strRef>
              <f>'10_在宅介護実態調査'!C5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'10_在宅介護実態調査'!$A$6:$A$9</f>
            </numRef>
          </cat>
          <val>
            <numRef>
              <f>'10_在宅介護実態調査'!$C$6:$C$9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7.xml><?xml version="1.0" encoding="utf-8"?>
<chartSpace xmlns="http://schemas.openxmlformats.org/drawingml/2006/chart">
  <chart>
    <title>
      <tx>
        <rich>
          <a:bodyPr xmlns:a="http://schemas.openxmlformats.org/drawingml/2006/main"/>
          <a:p xmlns:a="http://schemas.openxmlformats.org/drawingml/2006/main">
            <a:pPr>
              <a:defRPr/>
            </a:pPr>
            <a:r>
              <a:t>② 家族等による介護の頻度</a:t>
            </a:r>
          </a:p>
        </rich>
      </tx>
      <overlay val="0"/>
    </title>
    <plotArea>
      <barChart>
        <barDir val="bar"/>
        <grouping val="clustered"/>
        <ser>
          <idx val="0"/>
          <order val="0"/>
          <tx>
            <strRef>
              <f>'10_在宅介護実態調査'!B14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'10_在宅介護実態調査'!$A$15:$A$20</f>
            </numRef>
          </cat>
          <val>
            <numRef>
              <f>'10_在宅介護実態調査'!$B$15:$B$20</f>
            </numRef>
          </val>
        </ser>
        <ser>
          <idx val="1"/>
          <order val="1"/>
          <tx>
            <strRef>
              <f>'10_在宅介護実態調査'!C14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'10_在宅介護実態調査'!$A$15:$A$20</f>
            </numRef>
          </cat>
          <val>
            <numRef>
              <f>'10_在宅介護実態調査'!$C$15:$C$20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8.xml><?xml version="1.0" encoding="utf-8"?>
<chartSpace xmlns="http://schemas.openxmlformats.org/drawingml/2006/chart">
  <chart>
    <title>
      <tx>
        <rich>
          <a:bodyPr xmlns:a="http://schemas.openxmlformats.org/drawingml/2006/main"/>
          <a:p xmlns:a="http://schemas.openxmlformats.org/drawingml/2006/main">
            <a:pPr>
              <a:defRPr/>
            </a:pPr>
            <a:r>
              <a:t>③ 主な介護者が行っている介護（複数回答）</a:t>
            </a:r>
          </a:p>
        </rich>
      </tx>
      <overlay val="0"/>
    </title>
    <plotArea>
      <barChart>
        <barDir val="bar"/>
        <grouping val="clustered"/>
        <ser>
          <idx val="0"/>
          <order val="0"/>
          <tx>
            <strRef>
              <f>'10_在宅介護実態調査'!B25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'10_在宅介護実態調査'!$A$26:$A$42</f>
            </numRef>
          </cat>
          <val>
            <numRef>
              <f>'10_在宅介護実態調査'!$B$26:$B$42</f>
            </numRef>
          </val>
        </ser>
        <ser>
          <idx val="1"/>
          <order val="1"/>
          <tx>
            <strRef>
              <f>'10_在宅介護実態調査'!C25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'10_在宅介護実態調査'!$A$26:$A$42</f>
            </numRef>
          </cat>
          <val>
            <numRef>
              <f>'10_在宅介護実態調査'!$C$26:$C$42</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9.xml><?xml version="1.0" encoding="utf-8"?>
<chartSpace xmlns="http://schemas.openxmlformats.org/drawingml/2006/chart">
  <chart>
    <title>
      <tx>
        <rich>
          <a:bodyPr xmlns:a="http://schemas.openxmlformats.org/drawingml/2006/main"/>
          <a:p xmlns:a="http://schemas.openxmlformats.org/drawingml/2006/main">
            <a:pPr>
              <a:defRPr/>
            </a:pPr>
            <a:r>
              <a:t>④ 介護のための離職の有無</a:t>
            </a:r>
          </a:p>
        </rich>
      </tx>
      <overlay val="0"/>
    </title>
    <plotArea>
      <barChart>
        <barDir val="bar"/>
        <grouping val="clustered"/>
        <ser>
          <idx val="0"/>
          <order val="0"/>
          <tx>
            <strRef>
              <f>'10_在宅介護実態調査'!B47</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'10_在宅介護実態調査'!$A$48:$A$54</f>
            </numRef>
          </cat>
          <val>
            <numRef>
              <f>'10_在宅介護実態調査'!$B$48:$B$54</f>
            </numRef>
          </val>
        </ser>
        <ser>
          <idx val="1"/>
          <order val="1"/>
          <tx>
            <strRef>
              <f>'10_在宅介護実態調査'!C47</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'10_在宅介護実態調査'!$A$48:$A$54</f>
            </numRef>
          </cat>
          <val>
            <numRef>
              <f>'10_在宅介護実態調査'!$C$48:$C$54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0.xml><?xml version="1.0" encoding="utf-8"?>
<chartSpace xmlns="http://schemas.openxmlformats.org/drawingml/2006/chart">
  <chart>
    <title>
      <tx>
        <rich>
          <a:bodyPr xmlns:a="http://schemas.openxmlformats.org/drawingml/2006/main"/>
          <a:p xmlns:a="http://schemas.openxmlformats.org/drawingml/2006/main">
            <a:pPr>
              <a:defRPr/>
            </a:pPr>
            <a:r>
              <a:t>⑤ 在宅生活の継続のために充実が必要な支援・サービス</a:t>
            </a:r>
          </a:p>
        </rich>
      </tx>
      <overlay val="0"/>
    </title>
    <plotArea>
      <barChart>
        <barDir val="bar"/>
        <grouping val="clustered"/>
        <ser>
          <idx val="0"/>
          <order val="0"/>
          <tx>
            <strRef>
              <f>'10_在宅介護実態調査'!B59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'10_在宅介護実態調査'!$A$60:$A$71</f>
            </numRef>
          </cat>
          <val>
            <numRef>
              <f>'10_在宅介護実態調査'!$B$60:$B$71</f>
            </numRef>
          </val>
        </ser>
        <ser>
          <idx val="1"/>
          <order val="1"/>
          <tx>
            <strRef>
              <f>'10_在宅介護実態調査'!C59</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'10_在宅介護実態調査'!$A$60:$A$71</f>
            </numRef>
          </cat>
          <val>
            <numRef>
              <f>'10_在宅介護実態調査'!$C$60:$C$71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1.xml><?xml version="1.0" encoding="utf-8"?>
<chartSpace xmlns="http://schemas.openxmlformats.org/drawingml/2006/chart">
  <chart>
    <title>
      <tx>
        <rich>
          <a:bodyPr xmlns:a="http://schemas.openxmlformats.org/drawingml/2006/main"/>
          <a:p xmlns:a="http://schemas.openxmlformats.org/drawingml/2006/main">
            <a:pPr>
              <a:defRPr/>
            </a:pPr>
            <a:r>
              <a:t>⑥ 施設等検討の状況</a:t>
            </a:r>
          </a:p>
        </rich>
      </tx>
      <overlay val="0"/>
    </title>
    <plotArea>
      <barChart>
        <barDir val="bar"/>
        <grouping val="clustered"/>
        <ser>
          <idx val="0"/>
          <order val="0"/>
          <tx>
            <strRef>
              <f>'10_在宅介護実態調査'!B76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'10_在宅介護実態調査'!$A$77:$A$80</f>
            </numRef>
          </cat>
          <val>
            <numRef>
              <f>'10_在宅介護実態調査'!$B$77:$B$80</f>
            </numRef>
          </val>
        </ser>
        <ser>
          <idx val="1"/>
          <order val="1"/>
          <tx>
            <strRef>
              <f>'10_在宅介護実態調査'!C76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'10_在宅介護実態調査'!$A$77:$A$80</f>
            </numRef>
          </cat>
          <val>
            <numRef>
              <f>'10_在宅介護実態調査'!$C$77:$C$80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2.xml><?xml version="1.0" encoding="utf-8"?>
<chartSpace xmlns="http://schemas.openxmlformats.org/drawingml/2006/chart">
  <chart>
    <title>
      <tx>
        <rich>
          <a:bodyPr xmlns:a="http://schemas.openxmlformats.org/drawingml/2006/main"/>
          <a:p xmlns:a="http://schemas.openxmlformats.org/drawingml/2006/main">
            <a:pPr>
              <a:defRPr/>
            </a:pPr>
            <a:r>
              <a:t>① 退居・退所者に占める居所変更・死亡の割合（施設別）</a:t>
            </a:r>
          </a:p>
        </rich>
      </tx>
      <overlay val="0"/>
    </title>
    <plotArea>
      <barChart>
        <barDir val="bar"/>
        <grouping val="clustered"/>
        <ser>
          <idx val="0"/>
          <order val="0"/>
          <tx>
            <strRef>
              <f>'11_居所変更実態調査'!E5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'11_居所変更実態調査'!$A$6:$A$13</f>
            </numRef>
          </cat>
          <val>
            <numRef>
              <f>'11_居所変更実態調査'!$E$6:$E$13</f>
            </numRef>
          </val>
        </ser>
        <ser>
          <idx val="1"/>
          <order val="1"/>
          <tx>
            <strRef>
              <f>'11_居所変更実態調査'!F5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'11_居所変更実態調査'!$A$6:$A$13</f>
            </numRef>
          </cat>
          <val>
            <numRef>
              <f>'11_居所変更実態調査'!$F$6:$F$13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3.xml><?xml version="1.0" encoding="utf-8"?>
<chartSpace xmlns="http://schemas.openxmlformats.org/drawingml/2006/chart">
  <chart>
    <title>
      <tx>
        <rich>
          <a:bodyPr xmlns:a="http://schemas.openxmlformats.org/drawingml/2006/main"/>
          <a:p xmlns:a="http://schemas.openxmlformats.org/drawingml/2006/main">
            <a:pPr>
              <a:defRPr/>
            </a:pPr>
            <a:r>
              <a:t>② 居所変更した人の要支援・要介護度（施設別）</a:t>
            </a:r>
          </a:p>
        </rich>
      </tx>
      <overlay val="0"/>
    </title>
    <plotArea>
      <barChart>
        <barDir val="col"/>
        <grouping val="stacked"/>
        <ser>
          <idx val="0"/>
          <order val="0"/>
          <tx>
            <strRef>
              <f>'11_居所変更実態調査'!B18</f>
            </strRef>
          </tx>
          <spPr>
            <a:solidFill xmlns:a="http://schemas.openxmlformats.org/drawingml/2006/main">
              <a:srgbClr val="000000"/>
            </a:solidFill>
            <a:ln xmlns:a="http://schemas.openxmlformats.org/drawingml/2006/main" w="6350">
              <a:solidFill>
                <a:srgbClr val="000000"/>
              </a:solidFill>
              <a:prstDash val="solid"/>
            </a:ln>
          </spPr>
          <cat>
            <numRef>
              <f>'11_居所変更実態調査'!$A$19:$A$25</f>
            </numRef>
          </cat>
          <val>
            <numRef>
              <f>'11_居所変更実態調査'!$B$19:$B$25</f>
            </numRef>
          </val>
        </ser>
        <ser>
          <idx val="1"/>
          <order val="1"/>
          <tx>
            <strRef>
              <f>'11_居所変更実態調査'!C18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'11_居所変更実態調査'!$C$19:$C$25</f>
            </numRef>
          </val>
        </ser>
        <ser>
          <idx val="2"/>
          <order val="2"/>
          <tx>
            <strRef>
              <f>'11_居所変更実態調査'!D18</f>
            </strRef>
          </tx>
          <spPr>
            <a:solidFill xmlns:a="http://schemas.openxmlformats.org/drawingml/2006/main">
              <a:srgbClr val="808080"/>
            </a:solidFill>
            <a:ln xmlns:a="http://schemas.openxmlformats.org/drawingml/2006/main" w="6350">
              <a:solidFill>
                <a:srgbClr val="000000"/>
              </a:solidFill>
              <a:prstDash val="solid"/>
            </a:ln>
          </spPr>
          <cat>
            <numRef>
              <f>'11_居所変更実態調査'!$A$19:$A$25</f>
            </numRef>
          </cat>
          <val>
            <numRef>
              <f>'11_居所変更実態調査'!$D$19:$D$25</f>
            </numRef>
          </val>
        </ser>
        <ser>
          <idx val="3"/>
          <order val="3"/>
          <tx>
            <strRef>
              <f>'11_居所変更実態調査'!E18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'11_居所変更実態調査'!$E$19:$E$25</f>
            </numRef>
          </val>
        </ser>
        <ser>
          <idx val="4"/>
          <order val="4"/>
          <tx>
            <strRef>
              <f>'11_居所変更実態調査'!F18</f>
            </strRef>
          </tx>
          <spPr>
            <a:solidFill xmlns:a="http://schemas.openxmlformats.org/drawingml/2006/main">
              <a:srgbClr val="C8C8C8"/>
            </a:solidFill>
            <a:ln xmlns:a="http://schemas.openxmlformats.org/drawingml/2006/main" w="6350">
              <a:solidFill>
                <a:srgbClr val="000000"/>
              </a:solidFill>
              <a:prstDash val="solid"/>
            </a:ln>
          </spPr>
          <cat>
            <numRef>
              <f>'11_居所変更実態調査'!$A$19:$A$25</f>
            </numRef>
          </cat>
          <val>
            <numRef>
              <f>'11_居所変更実態調査'!$F$19:$F$25</f>
            </numRef>
          </val>
        </ser>
        <ser>
          <idx val="5"/>
          <order val="5"/>
          <tx>
            <strRef>
              <f>'11_居所変更実態調査'!G18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'11_居所変更実態調査'!$G$19:$G$25</f>
            </numRef>
          </val>
        </ser>
        <ser>
          <idx val="6"/>
          <order val="6"/>
          <tx>
            <strRef>
              <f>'11_居所変更実態調査'!H18</f>
            </strRef>
          </tx>
          <spPr>
            <a:solidFill xmlns:a="http://schemas.openxmlformats.org/drawingml/2006/main">
              <a:srgbClr val="FFFFFF"/>
            </a:solidFill>
            <a:ln xmlns:a="http://schemas.openxmlformats.org/drawingml/2006/main" w="6350">
              <a:solidFill>
                <a:srgbClr val="000000"/>
              </a:solidFill>
              <a:prstDash val="solid"/>
            </a:ln>
          </spPr>
          <cat>
            <numRef>
              <f>'11_居所変更実態調査'!$A$19:$A$25</f>
            </numRef>
          </cat>
          <val>
            <numRef>
              <f>'11_居所変更実態調査'!$H$19:$H$25</f>
            </numRef>
          </val>
        </ser>
        <ser>
          <idx val="7"/>
          <order val="7"/>
          <tx>
            <strRef>
              <f>'11_居所変更実態調査'!I18</f>
            </strRef>
          </tx>
          <spPr>
            <a:pattFill xmlns:a="http://schemas.openxmlformats.org/drawingml/2006/main" prst="dkHorz">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'11_居所変更実態調査'!$I$19:$I$25</f>
            </numRef>
          </val>
        </ser>
        <ser>
          <idx val="8"/>
          <order val="8"/>
          <tx>
            <strRef>
              <f>'11_居所変更実態調査'!J18</f>
            </strRef>
          </tx>
          <spPr>
            <a:pattFill xmlns:a="http://schemas.openxmlformats.org/drawingml/2006/main" prst="ltUpDiag">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'11_居所変更実態調査'!$J$19:$J$25</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4.xml><?xml version="1.0" encoding="utf-8"?>
<chartSpace xmlns="http://schemas.openxmlformats.org/drawingml/2006/chart">
  <chart>
    <title>
      <tx>
        <rich>
          <a:bodyPr xmlns:a="http://schemas.openxmlformats.org/drawingml/2006/main"/>
          <a:p xmlns:a="http://schemas.openxmlformats.org/drawingml/2006/main">
            <a:pPr>
              <a:defRPr/>
            </a:pPr>
            <a:r>
              <a:t>③ 居所変更した理由（21施設）</a:t>
            </a:r>
          </a:p>
        </rich>
      </tx>
      <overlay val="0"/>
    </title>
    <plotArea>
      <barChart>
        <barDir val="bar"/>
        <grouping val="clustered"/>
        <ser>
          <idx val="0"/>
          <order val="0"/>
          <tx>
            <strRef>
              <f>'11_居所変更実態調査'!B31</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'11_居所変更実態調査'!$A$32:$A$40</f>
            </numRef>
          </cat>
          <val>
            <numRef>
              <f>'11_居所変更実態調査'!$B$32:$B$40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件数（件）</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65.xml><?xml version="1.0" encoding="utf-8"?>
<chartSpace xmlns="http://schemas.openxmlformats.org/drawingml/2006/chart">
  <chart>
    <title>
      <tx>
        <rich>
          <a:bodyPr xmlns:a="http://schemas.openxmlformats.org/drawingml/2006/main"/>
          <a:p xmlns:a="http://schemas.openxmlformats.org/drawingml/2006/main">
            <a:pPr>
              <a:defRPr/>
            </a:pPr>
            <a:r>
              <a:t>① 生活の維持が難しくなっている利用者の属性</a:t>
            </a:r>
          </a:p>
        </rich>
      </tx>
      <overlay val="0"/>
    </title>
    <plotArea>
      <barChart>
        <barDir val="bar"/>
        <grouping val="clustered"/>
        <ser>
          <idx val="0"/>
          <order val="0"/>
          <tx>
            <strRef>
              <f>'12_在宅生活改善調査'!B16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'12_在宅生活改善調査'!$A$17:$A$25</f>
            </numRef>
          </cat>
          <val>
            <numRef>
              <f>'12_在宅生活改善調査'!$B$17:$B$25</f>
            </numRef>
          </val>
        </ser>
        <ser>
          <idx val="1"/>
          <order val="1"/>
          <tx>
            <strRef>
              <f>'12_在宅生活改善調査'!C16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'12_在宅生活改善調査'!$A$17:$A$25</f>
            </numRef>
          </cat>
          <val>
            <numRef>
              <f>'12_在宅生活改善調査'!$C$17:$C$25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6.xml><?xml version="1.0" encoding="utf-8"?>
<chartSpace xmlns="http://schemas.openxmlformats.org/drawingml/2006/chart">
  <chart>
    <title>
      <tx>
        <rich>
          <a:bodyPr xmlns:a="http://schemas.openxmlformats.org/drawingml/2006/main"/>
          <a:p xmlns:a="http://schemas.openxmlformats.org/drawingml/2006/main">
            <a:pPr>
              <a:defRPr/>
            </a:pPr>
            <a:r>
              <a:t>② 本人の状態に属する理由（要介護度別）</a:t>
            </a:r>
          </a:p>
        </rich>
      </tx>
      <overlay val="0"/>
    </title>
    <plotArea>
      <barChart>
        <barDir val="bar"/>
        <grouping val="clustered"/>
        <ser>
          <idx val="0"/>
          <order val="0"/>
          <tx>
            <strRef>
              <f>'12_在宅生活改善調査'!B30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'12_在宅生活改善調査'!$B$31:$B$38</f>
            </numRef>
          </val>
        </ser>
        <ser>
          <idx val="1"/>
          <order val="1"/>
          <tx>
            <strRef>
              <f>'12_在宅生活改善調査'!C30</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'12_在宅生活改善調査'!$C$31:$C$38</f>
            </numRef>
          </val>
        </ser>
        <ser>
          <idx val="2"/>
          <order val="2"/>
          <tx>
            <strRef>
              <f>'12_在宅生活改善調査'!D30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'12_在宅生活改善調査'!$D$31:$D$38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7.xml><?xml version="1.0" encoding="utf-8"?>
<chartSpace xmlns="http://schemas.openxmlformats.org/drawingml/2006/chart">
  <chart>
    <title>
      <tx>
        <rich>
          <a:bodyPr xmlns:a="http://schemas.openxmlformats.org/drawingml/2006/main"/>
          <a:p xmlns:a="http://schemas.openxmlformats.org/drawingml/2006/main">
            <a:pPr>
              <a:defRPr/>
            </a:pPr>
            <a:r>
              <a:t>② 本人の状態に属する理由（令和2年度との比較）</a:t>
            </a:r>
          </a:p>
        </rich>
      </tx>
      <overlay val="0"/>
    </title>
    <plotArea>
      <barChart>
        <barDir val="bar"/>
        <grouping val="clustered"/>
        <ser>
          <idx val="0"/>
          <order val="0"/>
          <tx>
            <strRef>
              <f>'12_在宅生活改善調査'!B30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'12_在宅生活改善調査'!$B$31:$B$38</f>
            </numRef>
          </val>
        </ser>
        <ser>
          <idx val="1"/>
          <order val="1"/>
          <tx>
            <strRef>
              <f>'12_在宅生活改善調査'!E30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'12_在宅生活改善調査'!$E$31:$E$38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8.xml><?xml version="1.0" encoding="utf-8"?>
<chartSpace xmlns="http://schemas.openxmlformats.org/drawingml/2006/chart">
  <chart>
    <title>
      <tx>
        <rich>
          <a:bodyPr xmlns:a="http://schemas.openxmlformats.org/drawingml/2006/main"/>
          <a:p xmlns:a="http://schemas.openxmlformats.org/drawingml/2006/main">
            <a:pPr>
              <a:defRPr/>
            </a:pPr>
            <a:r>
              <a:t>③ 本人の意向に属する理由（要介護度別）</a:t>
            </a:r>
          </a:p>
        </rich>
      </tx>
      <overlay val="0"/>
    </title>
    <plotArea>
      <barChart>
        <barDir val="bar"/>
        <grouping val="clustered"/>
        <ser>
          <idx val="0"/>
          <order val="0"/>
          <tx>
            <strRef>
              <f>'12_在宅生活改善調査'!B43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'12_在宅生活改善調査'!$B$44:$B$51</f>
            </numRef>
          </val>
        </ser>
        <ser>
          <idx val="1"/>
          <order val="1"/>
          <tx>
            <strRef>
              <f>'12_在宅生活改善調査'!C43</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'12_在宅生活改善調査'!$C$44:$C$51</f>
            </numRef>
          </val>
        </ser>
        <ser>
          <idx val="2"/>
          <order val="2"/>
          <tx>
            <strRef>
              <f>'12_在宅生活改善調査'!D43</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'12_在宅生活改善調査'!$D$44:$D$51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9.xml><?xml version="1.0" encoding="utf-8"?>
<chartSpace xmlns="http://schemas.openxmlformats.org/drawingml/2006/chart">
  <chart>
    <title>
      <tx>
        <rich>
          <a:bodyPr xmlns:a="http://schemas.openxmlformats.org/drawingml/2006/main"/>
          <a:p xmlns:a="http://schemas.openxmlformats.org/drawingml/2006/main">
            <a:pPr>
              <a:defRPr/>
            </a:pPr>
            <a:r>
              <a:t>③ 本人の意向に属する理由（令和2年度との比較）</a:t>
            </a:r>
          </a:p>
        </rich>
      </tx>
      <overlay val="0"/>
    </title>
    <plotArea>
      <barChart>
        <barDir val="bar"/>
        <grouping val="clustered"/>
        <ser>
          <idx val="0"/>
          <order val="0"/>
          <tx>
            <strRef>
              <f>'12_在宅生活改善調査'!B43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'12_在宅生活改善調査'!$B$44:$B$51</f>
            </numRef>
          </val>
        </ser>
        <ser>
          <idx val="1"/>
          <order val="1"/>
          <tx>
            <strRef>
              <f>'12_在宅生活改善調査'!E43</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'12_在宅生活改善調査'!$E$44:$E$51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0.xml><?xml version="1.0" encoding="utf-8"?>
<chartSpace xmlns="http://schemas.openxmlformats.org/drawingml/2006/chart">
  <chart>
    <title>
      <tx>
        <rich>
          <a:bodyPr xmlns:a="http://schemas.openxmlformats.org/drawingml/2006/main"/>
          <a:p xmlns:a="http://schemas.openxmlformats.org/drawingml/2006/main">
            <a:pPr>
              <a:defRPr/>
            </a:pPr>
            <a:r>
              <a:t>④ 家族等介護者の意向・負担等（要介護度別）</a:t>
            </a:r>
          </a:p>
        </rich>
      </tx>
      <overlay val="0"/>
    </title>
    <plotArea>
      <barChart>
        <barDir val="bar"/>
        <grouping val="clustered"/>
        <ser>
          <idx val="0"/>
          <order val="0"/>
          <tx>
            <strRef>
              <f>'12_在宅生活改善調査'!B56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'12_在宅生活改善調査'!$B$57:$B$65</f>
            </numRef>
          </val>
        </ser>
        <ser>
          <idx val="1"/>
          <order val="1"/>
          <tx>
            <strRef>
              <f>'12_在宅生活改善調査'!C56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'12_在宅生活改善調査'!$C$57:$C$65</f>
            </numRef>
          </val>
        </ser>
        <ser>
          <idx val="2"/>
          <order val="2"/>
          <tx>
            <strRef>
              <f>'12_在宅生活改善調査'!D56</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'12_在宅生活改善調査'!$D$57:$D$65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1.xml><?xml version="1.0" encoding="utf-8"?>
<chartSpace xmlns="http://schemas.openxmlformats.org/drawingml/2006/chart">
  <chart>
    <title>
      <tx>
        <rich>
          <a:bodyPr xmlns:a="http://schemas.openxmlformats.org/drawingml/2006/main"/>
          <a:p xmlns:a="http://schemas.openxmlformats.org/drawingml/2006/main">
            <a:pPr>
              <a:defRPr/>
            </a:pPr>
            <a:r>
              <a:t>④ 家族等介護者の意向・負担等（令和2年度との比較）</a:t>
            </a:r>
          </a:p>
        </rich>
      </tx>
      <overlay val="0"/>
    </title>
    <plotArea>
      <barChart>
        <barDir val="bar"/>
        <grouping val="clustered"/>
        <ser>
          <idx val="0"/>
          <order val="0"/>
          <tx>
            <strRef>
              <f>'12_在宅生活改善調査'!B56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'12_在宅生活改善調査'!$B$57:$B$65</f>
            </numRef>
          </val>
        </ser>
        <ser>
          <idx val="1"/>
          <order val="1"/>
          <tx>
            <strRef>
              <f>'12_在宅生活改善調査'!E56</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'12_在宅生活改善調査'!$E$57:$E$65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2.xml><?xml version="1.0" encoding="utf-8"?>
<chartSpace xmlns="http://schemas.openxmlformats.org/drawingml/2006/chart">
  <chart>
    <title>
      <tx>
        <rich>
          <a:bodyPr xmlns:a="http://schemas.openxmlformats.org/drawingml/2006/main"/>
          <a:p xmlns:a="http://schemas.openxmlformats.org/drawingml/2006/main">
            <a:pPr>
              <a:defRPr/>
            </a:pPr>
            <a:r>
              <a:t>（1）① 事業所の職員数（就業形態別・男女別）</a:t>
            </a:r>
          </a:p>
        </rich>
      </tx>
      <overlay val="0"/>
    </title>
    <plotArea>
      <barChart>
        <barDir val="bar"/>
        <grouping val="clustered"/>
        <ser>
          <idx val="0"/>
          <order val="0"/>
          <tx>
            <strRef>
              <f>'13_介護人材実態調査'!B12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'13_介護人材実態調査'!$A$13:$A$14</f>
            </numRef>
          </cat>
          <val>
            <numRef>
              <f>'13_介護人材実態調査'!$B$13:$B$14</f>
            </numRef>
          </val>
        </ser>
        <ser>
          <idx val="1"/>
          <order val="1"/>
          <tx>
            <strRef>
              <f>'13_介護人材実態調査'!C12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'13_介護人材実態調査'!$A$13:$A$14</f>
            </numRef>
          </cat>
          <val>
            <numRef>
              <f>'13_介護人材実態調査'!$C$13:$C$14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3.xml><?xml version="1.0" encoding="utf-8"?>
<chartSpace xmlns="http://schemas.openxmlformats.org/drawingml/2006/chart">
  <chart>
    <title>
      <tx>
        <rich>
          <a:bodyPr xmlns:a="http://schemas.openxmlformats.org/drawingml/2006/main"/>
          <a:p xmlns:a="http://schemas.openxmlformats.org/drawingml/2006/main">
            <a:pPr>
              <a:defRPr/>
            </a:pPr>
            <a:r>
              <a:t>（1）② 男女比較</a:t>
            </a:r>
          </a:p>
        </rich>
      </tx>
      <overlay val="0"/>
    </title>
    <plotArea>
      <barChart>
        <barDir val="bar"/>
        <grouping val="clustered"/>
        <ser>
          <idx val="0"/>
          <order val="0"/>
          <tx>
            <strRef>
              <f>'13_介護人材実態調査'!B20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'13_介護人材実態調査'!$A$21:$A$23</f>
            </numRef>
          </cat>
          <val>
            <numRef>
              <f>'13_介護人材実態調査'!$B$21:$B$23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4.xml><?xml version="1.0" encoding="utf-8"?>
<chartSpace xmlns="http://schemas.openxmlformats.org/drawingml/2006/chart">
  <chart>
    <title>
      <tx>
        <rich>
          <a:bodyPr xmlns:a="http://schemas.openxmlformats.org/drawingml/2006/main"/>
          <a:p xmlns:a="http://schemas.openxmlformats.org/drawingml/2006/main">
            <a:pPr>
              <a:defRPr/>
            </a:pPr>
            <a:r>
              <a:t>（1）③ 就業形態比較</a:t>
            </a:r>
          </a:p>
        </rich>
      </tx>
      <overlay val="0"/>
    </title>
    <plotArea>
      <barChart>
        <barDir val="bar"/>
        <grouping val="clustered"/>
        <ser>
          <idx val="0"/>
          <order val="0"/>
          <tx>
            <strRef>
              <f>'13_介護人材実態調査'!B26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'13_介護人材実態調査'!$A$27:$A$29</f>
            </numRef>
          </cat>
          <val>
            <numRef>
              <f>'13_介護人材実態調査'!$B$27:$B$29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5.xml><?xml version="1.0" encoding="utf-8"?>
<chartSpace xmlns="http://schemas.openxmlformats.org/drawingml/2006/chart">
  <chart>
    <title>
      <tx>
        <rich>
          <a:bodyPr xmlns:a="http://schemas.openxmlformats.org/drawingml/2006/main"/>
          <a:p xmlns:a="http://schemas.openxmlformats.org/drawingml/2006/main">
            <a:pPr>
              <a:defRPr/>
            </a:pPr>
            <a:r>
              <a:t>（1）④ 全職員の就業形態（サービス系列別）</a:t>
            </a:r>
          </a:p>
        </rich>
      </tx>
      <overlay val="0"/>
    </title>
    <plotArea>
      <barChart>
        <barDir val="bar"/>
        <grouping val="percentStacked"/>
        <ser>
          <idx val="0"/>
          <order val="0"/>
          <tx>
            <strRef>
              <f>'13_介護人材実態調査'!B32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'13_介護人材実態調査'!$A$33:$A$35</f>
            </numRef>
          </cat>
          <val>
            <numRef>
              <f>'13_介護人材実態調査'!$B$33:$B$35</f>
            </numRef>
          </val>
        </ser>
        <ser>
          <idx val="1"/>
          <order val="1"/>
          <tx>
            <strRef>
              <f>'13_介護人材実態調査'!C32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'13_介護人材実態調査'!$A$33:$A$35</f>
            </numRef>
          </cat>
          <val>
            <numRef>
              <f>'13_介護人材実態調査'!$C$33:$C$35</f>
            </numRef>
          </val>
        </ser>
        <ser>
          <idx val="2"/>
          <order val="2"/>
          <tx>
            <strRef>
              <f>'13_介護人材実態調査'!D32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'13_介護人材実態調査'!$A$33:$A$35</f>
            </numRef>
          </cat>
          <val>
            <numRef>
              <f>'13_介護人材実態調査'!$D$33:$D$35</f>
            </numRef>
          </val>
        </ser>
        <ser>
          <idx val="3"/>
          <order val="3"/>
          <tx>
            <strRef>
              <f>'13_介護人材実態調査'!E32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'13_介護人材実態調査'!$A$33:$A$35</f>
            </numRef>
          </cat>
          <val>
            <numRef>
              <f>'13_介護人材実態調査'!$E$33:$E$35</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6.xml><?xml version="1.0" encoding="utf-8"?>
<chartSpace xmlns="http://schemas.openxmlformats.org/drawingml/2006/chart">
  <chart>
    <title>
      <tx>
        <rich>
          <a:bodyPr xmlns:a="http://schemas.openxmlformats.org/drawingml/2006/main"/>
          <a:p xmlns:a="http://schemas.openxmlformats.org/drawingml/2006/main">
            <a:pPr>
              <a:defRPr/>
            </a:pPr>
            <a:r>
              <a:t>（2）事業所の開設後経過年数（サービス系列別）</a:t>
            </a:r>
          </a:p>
        </rich>
      </tx>
      <overlay val="0"/>
    </title>
    <plotArea>
      <barChart>
        <barDir val="bar"/>
        <grouping val="percentStacked"/>
        <ser>
          <idx val="0"/>
          <order val="0"/>
          <tx>
            <strRef>
              <f>'13_介護人材実態調査'!B40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'13_介護人材実態調査'!$A$41:$A$43</f>
            </numRef>
          </cat>
          <val>
            <numRef>
              <f>'13_介護人材実態調査'!$B$41:$B$43</f>
            </numRef>
          </val>
        </ser>
        <ser>
          <idx val="1"/>
          <order val="1"/>
          <tx>
            <strRef>
              <f>'13_介護人材実態調査'!C40</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'13_介護人材実態調査'!$C$41:$C$43</f>
            </numRef>
          </val>
        </ser>
        <ser>
          <idx val="2"/>
          <order val="2"/>
          <tx>
            <strRef>
              <f>'13_介護人材実態調査'!D40</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'13_介護人材実態調査'!$A$41:$A$43</f>
            </numRef>
          </cat>
          <val>
            <numRef>
              <f>'13_介護人材実態調査'!$D$41:$D$43</f>
            </numRef>
          </val>
        </ser>
        <ser>
          <idx val="3"/>
          <order val="3"/>
          <tx>
            <strRef>
              <f>'13_介護人材実態調査'!E40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'13_介護人材実態調査'!$E$41:$E$43</f>
            </numRef>
          </val>
        </ser>
        <ser>
          <idx val="4"/>
          <order val="4"/>
          <tx>
            <strRef>
              <f>'13_介護人材実態調査'!F40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'13_介護人材実態調査'!$F$41:$F$43</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7.xml><?xml version="1.0" encoding="utf-8"?>
<chartSpace xmlns="http://schemas.openxmlformats.org/drawingml/2006/chart">
  <chart>
    <title>
      <tx>
        <rich>
          <a:bodyPr xmlns:a="http://schemas.openxmlformats.org/drawingml/2006/main"/>
          <a:p xmlns:a="http://schemas.openxmlformats.org/drawingml/2006/main">
            <a:pPr>
              <a:defRPr/>
            </a:pPr>
            <a:r>
              <a:t>（3）① 全職員の年齢構成（総数）</a:t>
            </a:r>
          </a:p>
        </rich>
      </tx>
      <overlay val="0"/>
    </title>
    <plotArea>
      <barChart>
        <barDir val="col"/>
        <grouping val="clustered"/>
        <ser>
          <idx val="0"/>
          <order val="0"/>
          <tx>
            <strRef>
              <f>'13_介護人材実態調査'!B48</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'13_介護人材実態調査'!$A$49:$A$55</f>
            </numRef>
          </cat>
          <val>
            <numRef>
              <f>'13_介護人材実態調査'!$B$49:$B$55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8.xml><?xml version="1.0" encoding="utf-8"?>
<chartSpace xmlns="http://schemas.openxmlformats.org/drawingml/2006/chart">
  <chart>
    <title>
      <tx>
        <rich>
          <a:bodyPr xmlns:a="http://schemas.openxmlformats.org/drawingml/2006/main"/>
          <a:p xmlns:a="http://schemas.openxmlformats.org/drawingml/2006/main">
            <a:pPr>
              <a:defRPr/>
            </a:pPr>
            <a:r>
              <a:t>（3）② 全職員の年齢構成（サービス系列別）</a:t>
            </a:r>
          </a:p>
        </rich>
      </tx>
      <overlay val="0"/>
    </title>
    <plotArea>
      <barChart>
        <barDir val="bar"/>
        <grouping val="percentStacked"/>
        <ser>
          <idx val="0"/>
          <order val="0"/>
          <tx>
            <strRef>
              <f>'13_介護人材実態調査'!B65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'13_介護人材実態調査'!$A$66:$A$68</f>
            </numRef>
          </cat>
          <val>
            <numRef>
              <f>'13_介護人材実態調査'!$B$66:$B$68</f>
            </numRef>
          </val>
        </ser>
        <ser>
          <idx val="1"/>
          <order val="1"/>
          <tx>
            <strRef>
              <f>'13_介護人材実態調査'!C65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'13_介護人材実態調査'!$C$66:$C$68</f>
            </numRef>
          </val>
        </ser>
        <ser>
          <idx val="2"/>
          <order val="2"/>
          <tx>
            <strRef>
              <f>'13_介護人材実態調査'!D65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'13_介護人材実態調査'!$A$66:$A$68</f>
            </numRef>
          </cat>
          <val>
            <numRef>
              <f>'13_介護人材実態調査'!$D$66:$D$68</f>
            </numRef>
          </val>
        </ser>
        <ser>
          <idx val="3"/>
          <order val="3"/>
          <tx>
            <strRef>
              <f>'13_介護人材実態調査'!E65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'13_介護人材実態調査'!$E$66:$E$68</f>
            </numRef>
          </val>
        </ser>
        <ser>
          <idx val="4"/>
          <order val="4"/>
          <tx>
            <strRef>
              <f>'13_介護人材実態調査'!F65</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'13_介護人材実態調査'!$F$66:$F$68</f>
            </numRef>
          </val>
        </ser>
        <ser>
          <idx val="5"/>
          <order val="5"/>
          <tx>
            <strRef>
              <f>'13_介護人材実態調査'!G65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'13_介護人材実態調査'!$G$66:$G$68</f>
            </numRef>
          </val>
        </ser>
        <ser>
          <idx val="6"/>
          <order val="6"/>
          <tx>
            <strRef>
              <f>'13_介護人材実態調査'!H65</f>
            </strRef>
          </tx>
          <spPr>
            <a:solidFill xmlns:a="http://schemas.openxmlformats.org/drawingml/2006/main">
              <a:srgbClr val="FFFFFF"/>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'13_介護人材実態調査'!$H$66:$H$68</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9.xml><?xml version="1.0" encoding="utf-8"?>
<chartSpace xmlns="http://schemas.openxmlformats.org/drawingml/2006/chart">
  <chart>
    <title>
      <tx>
        <rich>
          <a:bodyPr xmlns:a="http://schemas.openxmlformats.org/drawingml/2006/main"/>
          <a:p xmlns:a="http://schemas.openxmlformats.org/drawingml/2006/main">
            <a:pPr>
              <a:defRPr/>
            </a:pPr>
            <a:r>
              <a:t>（3）③ 全職員の在職年数（サービス系列別）</a:t>
            </a:r>
          </a:p>
        </rich>
      </tx>
      <overlay val="0"/>
    </title>
    <plotArea>
      <barChart>
        <barDir val="bar"/>
        <grouping val="clustered"/>
        <ser>
          <idx val="0"/>
          <order val="0"/>
          <tx>
            <strRef>
              <f>'13_介護人材実態調査'!B71</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'13_介護人材実態調査'!$A$72:$A$74</f>
            </numRef>
          </cat>
          <val>
            <numRef>
              <f>'13_介護人材実態調査'!$B$72:$B$74</f>
            </numRef>
          </val>
        </ser>
        <ser>
          <idx val="1"/>
          <order val="1"/>
          <tx>
            <strRef>
              <f>'13_介護人材実態調査'!C71</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'13_介護人材実態調査'!$A$72:$A$74</f>
            </numRef>
          </cat>
          <val>
            <numRef>
              <f>'13_介護人材実態調査'!$C$72:$C$74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0.xml><?xml version="1.0" encoding="utf-8"?>
<chartSpace xmlns="http://schemas.openxmlformats.org/drawingml/2006/chart">
  <chart>
    <title>
      <tx>
        <rich>
          <a:bodyPr xmlns:a="http://schemas.openxmlformats.org/drawingml/2006/main"/>
          <a:p xmlns:a="http://schemas.openxmlformats.org/drawingml/2006/main">
            <a:pPr>
              <a:defRPr/>
            </a:pPr>
            <a:r>
              <a:t>（3）④ 直前の職場（在職1年未満）</a:t>
            </a:r>
          </a:p>
        </rich>
      </tx>
      <overlay val="0"/>
    </title>
    <plotArea>
      <barChart>
        <barDir val="bar"/>
        <grouping val="clustered"/>
        <ser>
          <idx val="0"/>
          <order val="0"/>
          <tx>
            <strRef>
              <f>'13_介護人材実態調査'!B79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'13_介護人材実態調査'!$A$80:$A$87</f>
            </numRef>
          </cat>
          <val>
            <numRef>
              <f>'13_介護人材実態調査'!$B$80:$B$87</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1.xml><?xml version="1.0" encoding="utf-8"?>
<chartSpace xmlns="http://schemas.openxmlformats.org/drawingml/2006/chart">
  <chart>
    <title>
      <tx>
        <rich>
          <a:bodyPr xmlns:a="http://schemas.openxmlformats.org/drawingml/2006/main"/>
          <a:p xmlns:a="http://schemas.openxmlformats.org/drawingml/2006/main">
            <a:pPr>
              <a:defRPr/>
            </a:pPr>
            <a:r>
              <a:t>（3）④ 直前が介護の職場だった方の内訳</a:t>
            </a:r>
          </a:p>
        </rich>
      </tx>
      <overlay val="0"/>
    </title>
    <plotArea>
      <barChart>
        <barDir val="bar"/>
        <grouping val="percentStacked"/>
        <ser>
          <idx val="0"/>
          <order val="0"/>
          <tx>
            <strRef>
              <f>'13_介護人材実態調査'!B92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'13_介護人材実態調査'!$A$93:$A$94</f>
            </numRef>
          </cat>
          <val>
            <numRef>
              <f>'13_介護人材実態調査'!$B$93:$B$94</f>
            </numRef>
          </val>
        </ser>
        <ser>
          <idx val="1"/>
          <order val="1"/>
          <tx>
            <strRef>
              <f>'13_介護人材実態調査'!C92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'13_介護人材実態調査'!$A$93:$A$94</f>
            </numRef>
          </cat>
          <val>
            <numRef>
              <f>'13_介護人材実態調査'!$C$93:$C$94</f>
            </numRef>
          </val>
        </ser>
        <ser>
          <idx val="2"/>
          <order val="2"/>
          <tx>
            <strRef>
              <f>'13_介護人材実態調査'!D92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'13_介護人材実態調査'!$A$93:$A$94</f>
            </numRef>
          </cat>
          <val>
            <numRef>
              <f>'13_介護人材実態調査'!$D$93:$D$94</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2.xml><?xml version="1.0" encoding="utf-8"?>
<chartSpace xmlns="http://schemas.openxmlformats.org/drawingml/2006/chart">
  <chart>
    <title>
      <tx>
        <rich>
          <a:bodyPr xmlns:a="http://schemas.openxmlformats.org/drawingml/2006/main"/>
          <a:p xmlns:a="http://schemas.openxmlformats.org/drawingml/2006/main">
            <a:pPr>
              <a:defRPr/>
            </a:pPr>
            <a:r>
              <a:t>（4）資格の取得・研修の修了の状況</a:t>
            </a:r>
          </a:p>
        </rich>
      </tx>
      <overlay val="0"/>
    </title>
    <plotArea>
      <barChart>
        <barDir val="bar"/>
        <grouping val="clustered"/>
        <ser>
          <idx val="0"/>
          <order val="0"/>
          <tx>
            <strRef>
              <f>'13_介護人材実態調査'!B99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'13_介護人材実態調査'!$A$100:$A$103</f>
            </numRef>
          </cat>
          <val>
            <numRef>
              <f>'13_介護人材実態調査'!$B$100:$B$103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3.xml><?xml version="1.0" encoding="utf-8"?>
<chartSpace xmlns="http://schemas.openxmlformats.org/drawingml/2006/chart">
  <chart>
    <title>
      <tx>
        <rich>
          <a:bodyPr xmlns:a="http://schemas.openxmlformats.org/drawingml/2006/main"/>
          <a:p xmlns:a="http://schemas.openxmlformats.org/drawingml/2006/main">
            <a:pPr>
              <a:defRPr/>
            </a:pPr>
            <a:r>
              <a:t>（5）② サービス別の採用者数・退職者数</a:t>
            </a:r>
          </a:p>
        </rich>
      </tx>
      <overlay val="0"/>
    </title>
    <plotArea>
      <barChart>
        <barDir val="col"/>
        <grouping val="clustered"/>
        <ser>
          <idx val="0"/>
          <order val="0"/>
          <tx>
            <strRef>
              <f>'13_介護人材実態調査'!B111</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'13_介護人材実態調査'!$A$112:$A$114</f>
            </numRef>
          </cat>
          <val>
            <numRef>
              <f>'13_介護人材実態調査'!$B$112:$B$114</f>
            </numRef>
          </val>
        </ser>
        <ser>
          <idx val="1"/>
          <order val="1"/>
          <tx>
            <strRef>
              <f>'13_介護人材実態調査'!C111</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'13_介護人材実態調査'!$A$112:$A$114</f>
            </numRef>
          </cat>
          <val>
            <numRef>
              <f>'13_介護人材実態調査'!$C$112:$C$114</f>
            </numRef>
          </val>
        </ser>
        <ser>
          <idx val="2"/>
          <order val="2"/>
          <tx>
            <strRef>
              <f>'13_介護人材実態調査'!D111</f>
            </strRef>
          </tx>
          <spPr>
            <a:solidFill xmlns:a="http://schemas.openxmlformats.org/drawingml/2006/main">
              <a:srgbClr val="808080"/>
            </a:solidFill>
            <a:ln xmlns:a="http://schemas.openxmlformats.org/drawingml/2006/main" w="6350">
              <a:solidFill>
                <a:srgbClr val="000000"/>
              </a:solidFill>
              <a:prstDash val="solid"/>
            </a:ln>
          </spPr>
          <cat>
            <numRef>
              <f>'13_介護人材実態調査'!$A$112:$A$114</f>
            </numRef>
          </cat>
          <val>
            <numRef>
              <f>'13_介護人材実態調査'!$D$112:$D$114</f>
            </numRef>
          </val>
        </ser>
        <ser>
          <idx val="3"/>
          <order val="3"/>
          <tx>
            <strRef>
              <f>'13_介護人材実態調査'!E111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'13_介護人材実態調査'!$A$112:$A$114</f>
            </numRef>
          </cat>
          <val>
            <numRef>
              <f>'13_介護人材実態調査'!$E$112:$E$114</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4.xml><?xml version="1.0" encoding="utf-8"?>
<chartSpace xmlns="http://schemas.openxmlformats.org/drawingml/2006/chart">
  <chart>
    <title>
      <tx>
        <rich>
          <a:bodyPr xmlns:a="http://schemas.openxmlformats.org/drawingml/2006/main"/>
          <a:p xmlns:a="http://schemas.openxmlformats.org/drawingml/2006/main">
            <a:pPr>
              <a:defRPr/>
            </a:pPr>
            <a:r>
              <a:t>（5）③ 年齢別の採用者数・退職者数</a:t>
            </a:r>
          </a:p>
        </rich>
      </tx>
      <overlay val="0"/>
    </title>
    <plotArea>
      <barChart>
        <barDir val="col"/>
        <grouping val="clustered"/>
        <ser>
          <idx val="0"/>
          <order val="0"/>
          <tx>
            <strRef>
              <f>'13_介護人材実態調査'!B118</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'13_介護人材実態調査'!$A$119:$A$125</f>
            </numRef>
          </cat>
          <val>
            <numRef>
              <f>'13_介護人材実態調査'!$B$119:$B$125</f>
            </numRef>
          </val>
        </ser>
        <ser>
          <idx val="1"/>
          <order val="1"/>
          <tx>
            <strRef>
              <f>'13_介護人材実態調査'!C118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'13_介護人材実態調査'!$A$119:$A$125</f>
            </numRef>
          </cat>
          <val>
            <numRef>
              <f>'13_介護人材実態調査'!$C$119:$C$125</f>
            </numRef>
          </val>
        </ser>
        <ser>
          <idx val="2"/>
          <order val="2"/>
          <tx>
            <strRef>
              <f>'13_介護人材実態調査'!D118</f>
            </strRef>
          </tx>
          <spPr>
            <a:solidFill xmlns:a="http://schemas.openxmlformats.org/drawingml/2006/main">
              <a:srgbClr val="808080"/>
            </a:solidFill>
            <a:ln xmlns:a="http://schemas.openxmlformats.org/drawingml/2006/main" w="6350">
              <a:solidFill>
                <a:srgbClr val="000000"/>
              </a:solidFill>
              <a:prstDash val="solid"/>
            </a:ln>
          </spPr>
          <cat>
            <numRef>
              <f>'13_介護人材実態調査'!$A$119:$A$125</f>
            </numRef>
          </cat>
          <val>
            <numRef>
              <f>'13_介護人材実態調査'!$D$119:$D$125</f>
            </numRef>
          </val>
        </ser>
        <ser>
          <idx val="3"/>
          <order val="3"/>
          <tx>
            <strRef>
              <f>'13_介護人材実態調査'!E118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'13_介護人材実態調査'!$A$119:$A$125</f>
            </numRef>
          </cat>
          <val>
            <numRef>
              <f>'13_介護人材実態調査'!$E$119:$E$125</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5.xml><?xml version="1.0" encoding="utf-8"?>
<chartSpace xmlns="http://schemas.openxmlformats.org/drawingml/2006/chart">
  <chart>
    <title>
      <tx>
        <rich>
          <a:bodyPr xmlns:a="http://schemas.openxmlformats.org/drawingml/2006/main"/>
          <a:p xmlns:a="http://schemas.openxmlformats.org/drawingml/2006/main">
            <a:pPr>
              <a:defRPr/>
            </a:pPr>
            <a:r>
              <a:t>（6）過去1週間の勤務時間</a:t>
            </a:r>
          </a:p>
        </rich>
      </tx>
      <overlay val="0"/>
    </title>
    <plotArea>
      <barChart>
        <barDir val="bar"/>
        <grouping val="clustered"/>
        <ser>
          <idx val="0"/>
          <order val="0"/>
          <tx>
            <strRef>
              <f>'13_介護人材実態調査'!B132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'13_介護人材実態調査'!$A$133:$A$144</f>
            </numRef>
          </cat>
          <val>
            <numRef>
              <f>'13_介護人材実態調査'!$B$133:$B$144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6.xml><?xml version="1.0" encoding="utf-8"?>
<chartSpace xmlns="http://schemas.openxmlformats.org/drawingml/2006/chart">
  <chart>
    <title>
      <tx>
        <rich>
          <a:bodyPr xmlns:a="http://schemas.openxmlformats.org/drawingml/2006/main"/>
          <a:p xmlns:a="http://schemas.openxmlformats.org/drawingml/2006/main">
            <a:pPr>
              <a:defRPr/>
            </a:pPr>
            <a:r>
              <a:t>高齢者の年齢構成（5歳階級別）の推移</a:t>
            </a:r>
          </a:p>
        </rich>
      </tx>
      <overlay val="0"/>
    </title>
    <plotArea>
      <barChart>
        <barDir val="col"/>
        <grouping val="stacked"/>
        <ser>
          <idx val="0"/>
          <order val="0"/>
          <tx>
            <strRef>
              <f>'14_年齢構成と85歳以上'!A6</f>
            </strRef>
          </tx>
          <spPr>
            <a:solidFill xmlns:a="http://schemas.openxmlformats.org/drawingml/2006/main">
              <a:srgbClr val="000000"/>
            </a:solidFill>
            <a:ln xmlns:a="http://schemas.openxmlformats.org/drawingml/2006/main" w="6350">
              <a:solidFill>
                <a:srgbClr val="000000"/>
              </a:solidFill>
              <a:prstDash val="solid"/>
            </a:ln>
          </spPr>
          <cat>
            <numRef>
              <f>'14_年齢構成と85歳以上'!$B$5:$I$5</f>
            </numRef>
          </cat>
          <val>
            <numRef>
              <f>'14_年齢構成と85歳以上'!$B$6:$I$6</f>
            </numRef>
          </val>
        </ser>
        <ser>
          <idx val="1"/>
          <order val="1"/>
          <tx>
            <strRef>
              <f>'14_年齢構成と85歳以上'!A7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'14_年齢構成と85歳以上'!$B$7:$I$7</f>
            </numRef>
          </val>
        </ser>
        <ser>
          <idx val="2"/>
          <order val="2"/>
          <tx>
            <strRef>
              <f>'14_年齢構成と85歳以上'!A8</f>
            </strRef>
          </tx>
          <spPr>
            <a:solidFill xmlns:a="http://schemas.openxmlformats.org/drawingml/2006/main">
              <a:srgbClr val="808080"/>
            </a:solidFill>
            <a:ln xmlns:a="http://schemas.openxmlformats.org/drawingml/2006/main" w="6350">
              <a:solidFill>
                <a:srgbClr val="000000"/>
              </a:solidFill>
              <a:prstDash val="solid"/>
            </a:ln>
          </spPr>
          <cat>
            <numRef>
              <f>'14_年齢構成と85歳以上'!$B$5:$I$5</f>
            </numRef>
          </cat>
          <val>
            <numRef>
              <f>'14_年齢構成と85歳以上'!$B$8:$I$8</f>
            </numRef>
          </val>
        </ser>
        <ser>
          <idx val="3"/>
          <order val="3"/>
          <tx>
            <strRef>
              <f>'14_年齢構成と85歳以上'!A9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'14_年齢構成と85歳以上'!$B$9:$I$9</f>
            </numRef>
          </val>
        </ser>
        <ser>
          <idx val="4"/>
          <order val="4"/>
          <tx>
            <strRef>
              <f>'14_年齢構成と85歳以上'!A10</f>
            </strRef>
          </tx>
          <spPr>
            <a:solidFill xmlns:a="http://schemas.openxmlformats.org/drawingml/2006/main">
              <a:srgbClr val="C8C8C8"/>
            </a:solidFill>
            <a:ln xmlns:a="http://schemas.openxmlformats.org/drawingml/2006/main" w="6350">
              <a:solidFill>
                <a:srgbClr val="000000"/>
              </a:solidFill>
              <a:prstDash val="solid"/>
            </a:ln>
          </spPr>
          <cat>
            <numRef>
              <f>'14_年齢構成と85歳以上'!$B$5:$I$5</f>
            </numRef>
          </cat>
          <val>
            <numRef>
              <f>'14_年齢構成と85歳以上'!$B$10:$I$10</f>
            </numRef>
          </val>
        </ser>
        <ser>
          <idx val="5"/>
          <order val="5"/>
          <tx>
            <strRef>
              <f>'14_年齢構成と85歳以上'!A11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'14_年齢構成と85歳以上'!$B$11:$I$11</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7.xml><?xml version="1.0" encoding="utf-8"?>
<chartSpace xmlns="http://schemas.openxmlformats.org/drawingml/2006/chart">
  <chart>
    <title>
      <tx>
        <rich>
          <a:bodyPr xmlns:a="http://schemas.openxmlformats.org/drawingml/2006/main"/>
          <a:p xmlns:a="http://schemas.openxmlformats.org/drawingml/2006/main">
            <a:pPr>
              <a:defRPr/>
            </a:pPr>
            <a:r>
              <a:t>85歳以上人口の推移</a:t>
            </a:r>
          </a:p>
        </rich>
      </tx>
      <overlay val="0"/>
    </title>
    <plotArea>
      <lineChart>
        <grouping val="standard"/>
        <ser>
          <idx val="0"/>
          <order val="0"/>
          <tx>
            <strRef>
              <f>'14_年齢構成と85歳以上'!A16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'14_年齢構成と85歳以上'!$B$15:$I$15</f>
            </numRef>
          </cat>
          <val>
            <numRef>
              <f>'14_年齢構成と85歳以上'!$B$16:$I$16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8.xml><?xml version="1.0" encoding="utf-8"?>
<chartSpace xmlns="http://schemas.openxmlformats.org/drawingml/2006/chart">
  <chart>
    <title>
      <tx>
        <rich>
          <a:bodyPr xmlns:a="http://schemas.openxmlformats.org/drawingml/2006/main"/>
          <a:p xmlns:a="http://schemas.openxmlformats.org/drawingml/2006/main">
            <a:pPr>
              <a:defRPr/>
            </a:pPr>
            <a:r>
              <a:t>前期・後期別高齢者数の推移</a:t>
            </a:r>
          </a:p>
        </rich>
      </tx>
      <overlay val="0"/>
    </title>
    <plotArea>
      <barChart>
        <barDir val="col"/>
        <grouping val="stacked"/>
        <ser>
          <idx val="0"/>
          <order val="0"/>
          <tx>
            <strRef>
              <f>'14_年齢構成と85歳以上'!A17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'14_年齢構成と85歳以上'!$B$15:$I$15</f>
            </numRef>
          </cat>
          <val>
            <numRef>
              <f>'14_年齢構成と85歳以上'!$B$17:$I$17</f>
            </numRef>
          </val>
        </ser>
        <ser>
          <idx val="1"/>
          <order val="1"/>
          <tx>
            <strRef>
              <f>'14_年齢構成と85歳以上'!A18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'14_年齢構成と85歳以上'!$B$15:$I$15</f>
            </numRef>
          </cat>
          <val>
            <numRef>
              <f>'14_年齢構成と85歳以上'!$B$18:$I$18</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9.xml><?xml version="1.0" encoding="utf-8"?>
<chartSpace xmlns="http://schemas.openxmlformats.org/drawingml/2006/chart">
  <chart>
    <title>
      <tx>
        <rich>
          <a:bodyPr xmlns:a="http://schemas.openxmlformats.org/drawingml/2006/main"/>
          <a:p xmlns:a="http://schemas.openxmlformats.org/drawingml/2006/main">
            <a:pPr>
              <a:defRPr/>
            </a:pPr>
            <a:r>
              <a:t>訪問介護（回）　受給者1人あたり利用日数・回数の推移</a:t>
            </a:r>
          </a:p>
        </rich>
      </tx>
      <overlay val="0"/>
    </title>
    <plotArea>
      <lineChart>
        <grouping val="standard"/>
        <ser>
          <idx val="0"/>
          <order val="0"/>
          <tx>
            <strRef>
              <f>'15_サービス利用強度'!A6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'15_サービス利用強度'!$B$5:$M$5</f>
            </numRef>
          </cat>
          <val>
            <numRef>
              <f>'15_サービス利用強度'!$B$6:$M$6</f>
            </numRef>
          </val>
          <smooth val="0"/>
        </ser>
        <ser>
          <idx val="1"/>
          <order val="1"/>
          <tx>
            <strRef>
              <f>'15_サービス利用強度'!A7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'15_サービス利用強度'!$B$5:$M$5</f>
            </numRef>
          </cat>
          <val>
            <numRef>
              <f>'15_サービス利用強度'!$B$7:$M$7</f>
            </numRef>
          </val>
          <smooth val="0"/>
        </ser>
        <ser>
          <idx val="2"/>
          <order val="2"/>
          <tx>
            <strRef>
              <f>'15_サービス利用強度'!A8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'15_サービス利用強度'!$B$5:$M$5</f>
            </numRef>
          </cat>
          <val>
            <numRef>
              <f>'15_サービス利用強度'!$B$8:$M$8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回</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0.xml><?xml version="1.0" encoding="utf-8"?>
<chartSpace xmlns="http://schemas.openxmlformats.org/drawingml/2006/chart">
  <chart>
    <title>
      <tx>
        <rich>
          <a:bodyPr xmlns:a="http://schemas.openxmlformats.org/drawingml/2006/main"/>
          <a:p xmlns:a="http://schemas.openxmlformats.org/drawingml/2006/main">
            <a:pPr>
              <a:defRPr/>
            </a:pPr>
            <a:r>
              <a:t>訪問看護（回）　受給者1人あたり利用日数・回数の推移</a:t>
            </a:r>
          </a:p>
        </rich>
      </tx>
      <overlay val="0"/>
    </title>
    <plotArea>
      <lineChart>
        <grouping val="standard"/>
        <ser>
          <idx val="0"/>
          <order val="0"/>
          <tx>
            <strRef>
              <f>'15_サービス利用強度'!A12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'15_サービス利用強度'!$B$11:$M$11</f>
            </numRef>
          </cat>
          <val>
            <numRef>
              <f>'15_サービス利用強度'!$B$12:$M$12</f>
            </numRef>
          </val>
          <smooth val="0"/>
        </ser>
        <ser>
          <idx val="1"/>
          <order val="1"/>
          <tx>
            <strRef>
              <f>'15_サービス利用強度'!A13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'15_サービス利用強度'!$B$11:$M$11</f>
            </numRef>
          </cat>
          <val>
            <numRef>
              <f>'15_サービス利用強度'!$B$13:$M$13</f>
            </numRef>
          </val>
          <smooth val="0"/>
        </ser>
        <ser>
          <idx val="2"/>
          <order val="2"/>
          <tx>
            <strRef>
              <f>'15_サービス利用強度'!A14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'15_サービス利用強度'!$B$11:$M$11</f>
            </numRef>
          </cat>
          <val>
            <numRef>
              <f>'15_サービス利用強度'!$B$14:$M$14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回</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1.xml><?xml version="1.0" encoding="utf-8"?>
<chartSpace xmlns="http://schemas.openxmlformats.org/drawingml/2006/chart">
  <chart>
    <title>
      <tx>
        <rich>
          <a:bodyPr xmlns:a="http://schemas.openxmlformats.org/drawingml/2006/main"/>
          <a:p xmlns:a="http://schemas.openxmlformats.org/drawingml/2006/main">
            <a:pPr>
              <a:defRPr/>
            </a:pPr>
            <a:r>
              <a:t>通所介護（日）　受給者1人あたり利用日数・回数の推移</a:t>
            </a:r>
          </a:p>
        </rich>
      </tx>
      <overlay val="0"/>
    </title>
    <plotArea>
      <lineChart>
        <grouping val="standard"/>
        <ser>
          <idx val="0"/>
          <order val="0"/>
          <tx>
            <strRef>
              <f>'15_サービス利用強度'!A18</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'15_サービス利用強度'!$B$17:$M$17</f>
            </numRef>
          </cat>
          <val>
            <numRef>
              <f>'15_サービス利用強度'!$B$18:$M$18</f>
            </numRef>
          </val>
          <smooth val="0"/>
        </ser>
        <ser>
          <idx val="1"/>
          <order val="1"/>
          <tx>
            <strRef>
              <f>'15_サービス利用強度'!A19</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'15_サービス利用強度'!$B$17:$M$17</f>
            </numRef>
          </cat>
          <val>
            <numRef>
              <f>'15_サービス利用強度'!$B$19:$M$19</f>
            </numRef>
          </val>
          <smooth val="0"/>
        </ser>
        <ser>
          <idx val="2"/>
          <order val="2"/>
          <tx>
            <strRef>
              <f>'15_サービス利用強度'!A20</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'15_サービス利用強度'!$B$17:$M$17</f>
            </numRef>
          </cat>
          <val>
            <numRef>
              <f>'15_サービス利用強度'!$B$20:$M$20</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2.xml><?xml version="1.0" encoding="utf-8"?>
<chartSpace xmlns="http://schemas.openxmlformats.org/drawingml/2006/chart">
  <chart>
    <title>
      <tx>
        <rich>
          <a:bodyPr xmlns:a="http://schemas.openxmlformats.org/drawingml/2006/main"/>
          <a:p xmlns:a="http://schemas.openxmlformats.org/drawingml/2006/main">
            <a:pPr>
              <a:defRPr/>
            </a:pPr>
            <a:r>
              <a:t>通所リハビリテーション（日）　受給者1人あたり利用日数・回数の推移</a:t>
            </a:r>
          </a:p>
        </rich>
      </tx>
      <overlay val="0"/>
    </title>
    <plotArea>
      <lineChart>
        <grouping val="standard"/>
        <ser>
          <idx val="0"/>
          <order val="0"/>
          <tx>
            <strRef>
              <f>'15_サービス利用強度'!A24</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'15_サービス利用強度'!$B$23:$M$23</f>
            </numRef>
          </cat>
          <val>
            <numRef>
              <f>'15_サービス利用強度'!$B$24:$M$24</f>
            </numRef>
          </val>
          <smooth val="0"/>
        </ser>
        <ser>
          <idx val="1"/>
          <order val="1"/>
          <tx>
            <strRef>
              <f>'15_サービス利用強度'!A25</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'15_サービス利用強度'!$B$23:$M$23</f>
            </numRef>
          </cat>
          <val>
            <numRef>
              <f>'15_サービス利用強度'!$B$25:$M$25</f>
            </numRef>
          </val>
          <smooth val="0"/>
        </ser>
        <ser>
          <idx val="2"/>
          <order val="2"/>
          <tx>
            <strRef>
              <f>'15_サービス利用強度'!A26</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'15_サービス利用強度'!$B$23:$M$23</f>
            </numRef>
          </cat>
          <val>
            <numRef>
              <f>'15_サービス利用強度'!$B$26:$M$26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3.xml><?xml version="1.0" encoding="utf-8"?>
<chartSpace xmlns="http://schemas.openxmlformats.org/drawingml/2006/chart">
  <chart>
    <title>
      <tx>
        <rich>
          <a:bodyPr xmlns:a="http://schemas.openxmlformats.org/drawingml/2006/main"/>
          <a:p xmlns:a="http://schemas.openxmlformats.org/drawingml/2006/main">
            <a:pPr>
              <a:defRPr/>
            </a:pPr>
            <a:r>
              <a:t>地域密着型通所介護（日）　受給者1人あたり利用日数・回数の推移</a:t>
            </a:r>
          </a:p>
        </rich>
      </tx>
      <overlay val="0"/>
    </title>
    <plotArea>
      <lineChart>
        <grouping val="standard"/>
        <ser>
          <idx val="0"/>
          <order val="0"/>
          <tx>
            <strRef>
              <f>'15_サービス利用強度'!A30</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'15_サービス利用強度'!$B$29:$M$29</f>
            </numRef>
          </cat>
          <val>
            <numRef>
              <f>'15_サービス利用強度'!$B$30:$M$30</f>
            </numRef>
          </val>
          <smooth val="0"/>
        </ser>
        <ser>
          <idx val="1"/>
          <order val="1"/>
          <tx>
            <strRef>
              <f>'15_サービス利用強度'!A31</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'15_サービス利用強度'!$B$29:$M$29</f>
            </numRef>
          </cat>
          <val>
            <numRef>
              <f>'15_サービス利用強度'!$B$31:$M$31</f>
            </numRef>
          </val>
          <smooth val="0"/>
        </ser>
        <ser>
          <idx val="2"/>
          <order val="2"/>
          <tx>
            <strRef>
              <f>'15_サービス利用強度'!A32</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'15_サービス利用強度'!$B$29:$M$29</f>
            </numRef>
          </cat>
          <val>
            <numRef>
              <f>'15_サービス利用強度'!$B$32:$M$32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4.xml><?xml version="1.0" encoding="utf-8"?>
<chartSpace xmlns="http://schemas.openxmlformats.org/drawingml/2006/chart">
  <chart>
    <title>
      <tx>
        <rich>
          <a:bodyPr xmlns:a="http://schemas.openxmlformats.org/drawingml/2006/main"/>
          <a:p xmlns:a="http://schemas.openxmlformats.org/drawingml/2006/main">
            <a:pPr>
              <a:defRPr/>
            </a:pPr>
            <a:r>
              <a:t>町別総人口の推移と将来推計</a:t>
            </a:r>
          </a:p>
        </rich>
      </tx>
      <overlay val="0"/>
    </title>
    <plotArea>
      <lineChart>
        <grouping val="standard"/>
        <ser>
          <idx val="0"/>
          <order val="0"/>
          <tx>
            <strRef>
              <f>'16_町別将来推計'!A6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'16_町別将来推計'!$B$5:$L$5</f>
            </numRef>
          </cat>
          <val>
            <numRef>
              <f>'16_町別将来推計'!$B$6:$L$6</f>
            </numRef>
          </val>
          <smooth val="0"/>
        </ser>
        <ser>
          <idx val="1"/>
          <order val="1"/>
          <tx>
            <strRef>
              <f>'16_町別将来推計'!A7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'16_町別将来推計'!$B$5:$L$5</f>
            </numRef>
          </cat>
          <val>
            <numRef>
              <f>'16_町別将来推計'!$B$7:$L$7</f>
            </numRef>
          </val>
          <smooth val="0"/>
        </ser>
        <ser>
          <idx val="2"/>
          <order val="2"/>
          <tx>
            <strRef>
              <f>'16_町別将来推計'!A8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'16_町別将来推計'!$B$5:$L$5</f>
            </numRef>
          </cat>
          <val>
            <numRef>
              <f>'16_町別将来推計'!$B$8:$L$8</f>
            </numRef>
          </val>
          <smooth val="0"/>
        </ser>
        <ser>
          <idx val="3"/>
          <order val="3"/>
          <tx>
            <strRef>
              <f>'16_町別将来推計'!A9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'16_町別将来推計'!$B$5:$L$5</f>
            </numRef>
          </cat>
          <val>
            <numRef>
              <f>'16_町別将来推計'!$B$9:$L$9</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5.xml><?xml version="1.0" encoding="utf-8"?>
<chartSpace xmlns="http://schemas.openxmlformats.org/drawingml/2006/chart">
  <chart>
    <title>
      <tx>
        <rich>
          <a:bodyPr xmlns:a="http://schemas.openxmlformats.org/drawingml/2006/main"/>
          <a:p xmlns:a="http://schemas.openxmlformats.org/drawingml/2006/main">
            <a:pPr>
              <a:defRPr/>
            </a:pPr>
            <a:r>
              <a:t>町別高齢化率の推移と将来推計</a:t>
            </a:r>
          </a:p>
        </rich>
      </tx>
      <overlay val="0"/>
    </title>
    <plotArea>
      <lineChart>
        <grouping val="standard"/>
        <ser>
          <idx val="0"/>
          <order val="0"/>
          <tx>
            <strRef>
              <f>'16_町別将来推計'!A13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'16_町別将来推計'!$B$12:$L$12</f>
            </numRef>
          </cat>
          <val>
            <numRef>
              <f>'16_町別将来推計'!$B$13:$L$13</f>
            </numRef>
          </val>
          <smooth val="0"/>
        </ser>
        <ser>
          <idx val="1"/>
          <order val="1"/>
          <tx>
            <strRef>
              <f>'16_町別将来推計'!A14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'16_町別将来推計'!$B$12:$L$12</f>
            </numRef>
          </cat>
          <val>
            <numRef>
              <f>'16_町別将来推計'!$B$14:$L$14</f>
            </numRef>
          </val>
          <smooth val="0"/>
        </ser>
        <ser>
          <idx val="2"/>
          <order val="2"/>
          <tx>
            <strRef>
              <f>'16_町別将来推計'!A15</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'16_町別将来推計'!$B$12:$L$12</f>
            </numRef>
          </cat>
          <val>
            <numRef>
              <f>'16_町別将来推計'!$B$15:$L$15</f>
            </numRef>
          </val>
          <smooth val="0"/>
        </ser>
        <ser>
          <idx val="3"/>
          <order val="3"/>
          <tx>
            <strRef>
              <f>'16_町別将来推計'!A16</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'16_町別将来推計'!$B$12:$L$12</f>
            </numRef>
          </cat>
          <val>
            <numRef>
              <f>'16_町別将来推計'!$B$16:$L$16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52"/>
          <min val="15"/>
        </scaling>
        <delete val="0"/>
        <axPos val="l"/>
        <title>
          <tx>
            <rich>
              <a:bodyPr xmlns:a="http://schemas.openxmlformats.org/drawingml/2006/main"/>
              <a:p xmlns:a="http://schemas.openxmlformats.org/drawingml/2006/main">
                <a:pPr>
                  <a:defRPr/>
                </a:pPr>
                <a:r>
                  <a:t>高齢化率（％）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6.xml><?xml version="1.0" encoding="utf-8"?>
<chartSpace xmlns="http://schemas.openxmlformats.org/drawingml/2006/chart">
  <chart>
    <title>
      <tx>
        <rich>
          <a:bodyPr xmlns:a="http://schemas.openxmlformats.org/drawingml/2006/main"/>
          <a:p xmlns:a="http://schemas.openxmlformats.org/drawingml/2006/main">
            <a:pPr>
              <a:defRPr/>
            </a:pPr>
            <a:r>
              <a:t>高齢者1人あたり現役世代数の推移と将来推計</a:t>
            </a:r>
          </a:p>
        </rich>
      </tx>
      <overlay val="0"/>
    </title>
    <plotArea>
      <lineChart>
        <grouping val="standard"/>
        <ser>
          <idx val="0"/>
          <order val="0"/>
          <tx>
            <strRef>
              <f>'17_担い手の推移'!A5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'17_担い手の推移'!$B$4:$L$4</f>
            </numRef>
          </cat>
          <val>
            <numRef>
              <f>'17_担い手の推移'!$B$5:$L$5</f>
            </numRef>
          </val>
          <smooth val="0"/>
        </ser>
        <ser>
          <idx val="1"/>
          <order val="1"/>
          <tx>
            <strRef>
              <f>'17_担い手の推移'!A6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'17_担い手の推移'!$B$4:$L$4</f>
            </numRef>
          </cat>
          <val>
            <numRef>
              <f>'17_担い手の推移'!$B$6:$L$6</f>
            </numRef>
          </val>
          <smooth val="0"/>
        </ser>
        <ser>
          <idx val="2"/>
          <order val="2"/>
          <tx>
            <strRef>
              <f>'17_担い手の推移'!A7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'17_担い手の推移'!$B$4:$L$4</f>
            </numRef>
          </cat>
          <val>
            <numRef>
              <f>'17_担い手の推移'!$B$7:$L$7</f>
            </numRef>
          </val>
          <smooth val="0"/>
        </ser>
        <ser>
          <idx val="3"/>
          <order val="3"/>
          <tx>
            <strRef>
              <f>'17_担い手の推移'!A8</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'17_担い手の推移'!$B$4:$L$4</f>
            </numRef>
          </cat>
          <val>
            <numRef>
              <f>'17_担い手の推移'!$B$8:$L$8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3.6"/>
          <min val="0.5"/>
        </scaling>
        <delete val="0"/>
        <axPos val="l"/>
        <title>
          <tx>
            <rich>
              <a:bodyPr xmlns:a="http://schemas.openxmlformats.org/drawingml/2006/main"/>
              <a:p xmlns:a="http://schemas.openxmlformats.org/drawingml/2006/main">
                <a:pPr>
                  <a:defRPr/>
                </a:pPr>
                <a:r>
                  <a:t>現役世代数（人）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7.xml><?xml version="1.0" encoding="utf-8"?>
<chartSpace xmlns="http://schemas.openxmlformats.org/drawingml/2006/chart">
  <chart>
    <title>
      <tx>
        <rich>
          <a:bodyPr xmlns:a="http://schemas.openxmlformats.org/drawingml/2006/main"/>
          <a:p xmlns:a="http://schemas.openxmlformats.org/drawingml/2006/main">
            <a:pPr>
              <a:defRPr/>
            </a:pPr>
            <a:r>
              <a:t>介護サービス利用率の推移（大雪地区広域連合）</a:t>
            </a:r>
          </a:p>
        </rich>
      </tx>
      <overlay val="0"/>
    </title>
    <plotArea>
      <lineChart>
        <grouping val="standard"/>
        <ser>
          <idx val="0"/>
          <order val="0"/>
          <tx>
            <strRef>
              <f>'18_受給率・利用率'!A6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'18_受給率・利用率'!$B$5:$L$5</f>
            </numRef>
          </cat>
          <val>
            <numRef>
              <f>'18_受給率・利用率'!$B$6:$L$6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5"/>
          <min val="70"/>
        </scaling>
        <delete val="0"/>
        <axPos val="l"/>
        <title>
          <tx>
            <rich>
              <a:bodyPr xmlns:a="http://schemas.openxmlformats.org/drawingml/2006/main"/>
              <a:p xmlns:a="http://schemas.openxmlformats.org/drawingml/2006/main">
                <a:pPr>
                  <a:defRPr/>
                </a:pPr>
                <a:r>
                  <a:t>利用率（％）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8.xml><?xml version="1.0" encoding="utf-8"?>
<chartSpace xmlns="http://schemas.openxmlformats.org/drawingml/2006/chart">
  <chart>
    <title>
      <tx>
        <rich>
          <a:bodyPr xmlns:a="http://schemas.openxmlformats.org/drawingml/2006/main"/>
          <a:p xmlns:a="http://schemas.openxmlformats.org/drawingml/2006/main">
            <a:pPr>
              <a:defRPr/>
            </a:pPr>
            <a:r>
              <a:t>在宅・居住系サービス利用者割合の推移</a:t>
            </a:r>
          </a:p>
        </rich>
      </tx>
      <overlay val="0"/>
    </title>
    <plotArea>
      <lineChart>
        <grouping val="standard"/>
        <ser>
          <idx val="0"/>
          <order val="0"/>
          <tx>
            <strRef>
              <f>'18_受給率・利用率'!A12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'18_受給率・利用率'!$B$11:$M$11</f>
            </numRef>
          </cat>
          <val>
            <numRef>
              <f>'18_受給率・利用率'!$B$12:$M$12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0"/>
          <min val="70"/>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9.xml><?xml version="1.0" encoding="utf-8"?>
<chartSpace xmlns="http://schemas.openxmlformats.org/drawingml/2006/chart">
  <chart>
    <title>
      <tx>
        <rich>
          <a:bodyPr xmlns:a="http://schemas.openxmlformats.org/drawingml/2006/main"/>
          <a:p xmlns:a="http://schemas.openxmlformats.org/drawingml/2006/main">
            <a:pPr>
              <a:defRPr/>
            </a:pPr>
            <a:r>
              <a:t>施設・居住系サービス受給率の推移（全国・北海道との比較）</a:t>
            </a:r>
          </a:p>
        </rich>
      </tx>
      <overlay val="0"/>
    </title>
    <plotArea>
      <lineChart>
        <grouping val="standard"/>
        <ser>
          <idx val="0"/>
          <order val="0"/>
          <tx>
            <strRef>
              <f>'18_受給率・利用率'!A16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'18_受給率・利用率'!$B$15:$M$15</f>
            </numRef>
          </cat>
          <val>
            <numRef>
              <f>'18_受給率・利用率'!$B$16:$M$16</f>
            </numRef>
          </val>
          <smooth val="0"/>
        </ser>
        <ser>
          <idx val="1"/>
          <order val="1"/>
          <tx>
            <strRef>
              <f>'18_受給率・利用率'!A17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'18_受給率・利用率'!$B$15:$M$15</f>
            </numRef>
          </cat>
          <val>
            <numRef>
              <f>'18_受給率・利用率'!$B$17:$M$17</f>
            </numRef>
          </val>
          <smooth val="0"/>
        </ser>
        <ser>
          <idx val="2"/>
          <order val="2"/>
          <tx>
            <strRef>
              <f>'18_受給率・利用率'!A18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'18_受給率・利用率'!$B$15:$M$15</f>
            </numRef>
          </cat>
          <val>
            <numRef>
              <f>'18_受給率・利用率'!$B$18:$M$18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6.5"/>
          <min val="3.5"/>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0.xml><?xml version="1.0" encoding="utf-8"?>
<chartSpace xmlns="http://schemas.openxmlformats.org/drawingml/2006/chart">
  <chart>
    <title>
      <tx>
        <rich>
          <a:bodyPr xmlns:a="http://schemas.openxmlformats.org/drawingml/2006/main"/>
          <a:p xmlns:a="http://schemas.openxmlformats.org/drawingml/2006/main">
            <a:pPr>
              <a:defRPr/>
            </a:pPr>
            <a:r>
              <a:t>第1号被保険者1人あたり給付月額（在宅サービス）</a:t>
            </a:r>
          </a:p>
        </rich>
      </tx>
      <overlay val="0"/>
    </title>
    <plotArea>
      <lineChart>
        <grouping val="standard"/>
        <ser>
          <idx val="0"/>
          <order val="0"/>
          <tx>
            <strRef>
              <f>'19_給付月額の比較'!A6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'19_給付月額の比較'!$B$5:$M$5</f>
            </numRef>
          </cat>
          <val>
            <numRef>
              <f>'19_給付月額の比較'!$B$6:$M$6</f>
            </numRef>
          </val>
          <smooth val="0"/>
        </ser>
        <ser>
          <idx val="1"/>
          <order val="1"/>
          <tx>
            <strRef>
              <f>'19_給付月額の比較'!A7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'19_給付月額の比較'!$B$5:$M$5</f>
            </numRef>
          </cat>
          <val>
            <numRef>
              <f>'19_給付月額の比較'!$B$7:$M$7</f>
            </numRef>
          </val>
          <smooth val="0"/>
        </ser>
        <ser>
          <idx val="2"/>
          <order val="2"/>
          <tx>
            <strRef>
              <f>'19_給付月額の比較'!A8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'19_給付月額の比較'!$B$5:$M$5</f>
            </numRef>
          </cat>
          <val>
            <numRef>
              <f>'19_給付月額の比較'!$B$8:$M$8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1.xml><?xml version="1.0" encoding="utf-8"?>
<chartSpace xmlns="http://schemas.openxmlformats.org/drawingml/2006/chart">
  <chart>
    <title>
      <tx>
        <rich>
          <a:bodyPr xmlns:a="http://schemas.openxmlformats.org/drawingml/2006/main"/>
          <a:p xmlns:a="http://schemas.openxmlformats.org/drawingml/2006/main">
            <a:pPr>
              <a:defRPr/>
            </a:pPr>
            <a:r>
              <a:t>第1号被保険者1人あたり給付月額（施設および居住系サービス）</a:t>
            </a:r>
          </a:p>
        </rich>
      </tx>
      <overlay val="0"/>
    </title>
    <plotArea>
      <lineChart>
        <grouping val="standard"/>
        <ser>
          <idx val="0"/>
          <order val="0"/>
          <tx>
            <strRef>
              <f>'19_給付月額の比較'!A12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'19_給付月額の比較'!$B$11:$M$11</f>
            </numRef>
          </cat>
          <val>
            <numRef>
              <f>'19_給付月額の比較'!$B$12:$M$12</f>
            </numRef>
          </val>
          <smooth val="0"/>
        </ser>
        <ser>
          <idx val="1"/>
          <order val="1"/>
          <tx>
            <strRef>
              <f>'19_給付月額の比較'!A13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'19_給付月額の比較'!$B$11:$M$11</f>
            </numRef>
          </cat>
          <val>
            <numRef>
              <f>'19_給付月額の比較'!$B$13:$M$13</f>
            </numRef>
          </val>
          <smooth val="0"/>
        </ser>
        <ser>
          <idx val="2"/>
          <order val="2"/>
          <tx>
            <strRef>
              <f>'19_給付月額の比較'!A14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'19_給付月額の比較'!$B$11:$M$11</f>
            </numRef>
          </cat>
          <val>
            <numRef>
              <f>'19_給付月額の比較'!$B$14:$M$14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2.xml><?xml version="1.0" encoding="utf-8"?>
<chartSpace xmlns="http://schemas.openxmlformats.org/drawingml/2006/chart">
  <chart>
    <title>
      <tx>
        <rich>
          <a:bodyPr xmlns:a="http://schemas.openxmlformats.org/drawingml/2006/main"/>
          <a:p xmlns:a="http://schemas.openxmlformats.org/drawingml/2006/main">
            <a:pPr>
              <a:defRPr/>
            </a:pPr>
            <a:r>
              <a:t>受給者1人あたり給付月額の比較（令和7年度）</a:t>
            </a:r>
          </a:p>
        </rich>
      </tx>
      <overlay val="0"/>
    </title>
    <plotArea>
      <barChart>
        <barDir val="col"/>
        <grouping val="clustered"/>
        <ser>
          <idx val="0"/>
          <order val="0"/>
          <tx>
            <strRef>
              <f>'19_給付月額の比較'!B17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'19_給付月額の比較'!$B$18:$B$21</f>
            </numRef>
          </val>
        </ser>
        <ser>
          <idx val="1"/>
          <order val="1"/>
          <tx>
            <strRef>
              <f>'19_給付月額の比較'!C17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'19_給付月額の比較'!$C$18:$C$21</f>
            </numRef>
          </val>
        </ser>
        <ser>
          <idx val="2"/>
          <order val="2"/>
          <tx>
            <strRef>
              <f>'19_給付月額の比較'!D17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'19_給付月額の比較'!$D$18:$D$21</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3.xml><?xml version="1.0" encoding="utf-8"?>
<chartSpace xmlns="http://schemas.openxmlformats.org/drawingml/2006/chart">
  <chart>
    <title>
      <tx>
        <rich>
          <a:bodyPr xmlns:a="http://schemas.openxmlformats.org/drawingml/2006/main"/>
          <a:p xmlns:a="http://schemas.openxmlformats.org/drawingml/2006/main">
            <a:pPr>
              <a:defRPr/>
            </a:pPr>
            <a:r>
              <a:t>認定率の推移と第9期目標</a:t>
            </a:r>
          </a:p>
        </rich>
      </tx>
      <overlay val="0"/>
    </title>
    <plotArea>
      <lineChart>
        <grouping val="standard"/>
        <ser>
          <idx val="0"/>
          <order val="0"/>
          <tx>
            <strRef>
              <f>'20_第9期の達成状況'!A13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'20_第9期の達成状況'!$B$12:$F$12</f>
            </numRef>
          </cat>
          <val>
            <numRef>
              <f>'20_第9期の達成状況'!$B$13:$F$13</f>
            </numRef>
          </val>
          <smooth val="0"/>
        </ser>
        <ser>
          <idx val="1"/>
          <order val="1"/>
          <tx>
            <strRef>
              <f>'20_第9期の達成状況'!A14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'20_第9期の達成状況'!$B$12:$F$12</f>
            </numRef>
          </cat>
          <val>
            <numRef>
              <f>'20_第9期の達成状況'!$B$14:$F$14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3"/>
          <min val="5"/>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4.xml><?xml version="1.0" encoding="utf-8"?>
<chartSpace xmlns="http://schemas.openxmlformats.org/drawingml/2006/chart">
  <chart>
    <title>
      <tx>
        <rich>
          <a:bodyPr xmlns:a="http://schemas.openxmlformats.org/drawingml/2006/main"/>
          <a:p xmlns:a="http://schemas.openxmlformats.org/drawingml/2006/main">
            <a:pPr>
              <a:defRPr/>
            </a:pPr>
            <a:r>
              <a:t>保険給付費・地域支援事業費の決算推移</a:t>
            </a:r>
          </a:p>
        </rich>
      </tx>
      <overlay val="0"/>
    </title>
    <plotArea>
      <barChart>
        <barDir val="col"/>
        <grouping val="clustered"/>
        <ser>
          <idx val="0"/>
          <order val="0"/>
          <tx>
            <strRef>
              <f>'20_第9期の達成状況'!A27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'20_第9期の達成状況'!$B$26:$F$26</f>
            </numRef>
          </cat>
          <val>
            <numRef>
              <f>'20_第9期の達成状況'!$B$27:$F$27</f>
            </numRef>
          </val>
        </ser>
        <ser>
          <idx val="1"/>
          <order val="1"/>
          <tx>
            <strRef>
              <f>'20_第9期の達成状況'!A28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'20_第9期の達成状況'!$B$26:$F$26</f>
            </numRef>
          </cat>
          <val>
            <numRef>
              <f>'20_第9期の達成状況'!$B$28:$F$28</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決算額（千円）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5.xml><?xml version="1.0" encoding="utf-8"?>
<chartSpace xmlns="http://schemas.openxmlformats.org/drawingml/2006/chart">
  <chart>
    <title>
      <tx>
        <rich>
          <a:bodyPr xmlns:a="http://schemas.openxmlformats.org/drawingml/2006/main"/>
          <a:p xmlns:a="http://schemas.openxmlformats.org/drawingml/2006/main">
            <a:pPr>
              <a:defRPr/>
            </a:pPr>
            <a:r>
              <a:t>受給率の内訳（令和7年）</a:t>
            </a:r>
          </a:p>
        </rich>
      </tx>
      <overlay val="0"/>
    </title>
    <plotArea>
      <barChart>
        <barDir val="col"/>
        <grouping val="clustered"/>
        <ser>
          <idx val="0"/>
          <order val="0"/>
          <tx>
            <strRef>
              <f>'21_受給率と定員'!B5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'21_受給率と定員'!$B$6:$B$7</f>
            </numRef>
          </val>
        </ser>
        <ser>
          <idx val="1"/>
          <order val="1"/>
          <tx>
            <strRef>
              <f>'21_受給率と定員'!C5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'21_受給率と定員'!$C$6:$C$7</f>
            </numRef>
          </val>
        </ser>
        <ser>
          <idx val="2"/>
          <order val="2"/>
          <tx>
            <strRef>
              <f>'21_受給率と定員'!D5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'21_受給率と定員'!$D$6:$D$7</f>
            </numRef>
          </val>
        </ser>
        <gapWidth val="7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6.xml><?xml version="1.0" encoding="utf-8"?>
<chartSpace xmlns="http://schemas.openxmlformats.org/drawingml/2006/chart">
  <chart>
    <title>
      <tx>
        <rich>
          <a:bodyPr xmlns:a="http://schemas.openxmlformats.org/drawingml/2006/main"/>
          <a:p xmlns:a="http://schemas.openxmlformats.org/drawingml/2006/main">
            <a:pPr>
              <a:defRPr/>
            </a:pPr>
            <a:r>
              <a:t>施設および居住系サービス受給率の推移</a:t>
            </a:r>
          </a:p>
        </rich>
      </tx>
      <overlay val="0"/>
    </title>
    <plotArea>
      <lineChart>
        <grouping val="standard"/>
        <ser>
          <idx val="0"/>
          <order val="0"/>
          <tx>
            <strRef>
              <f>'21_受給率と定員'!A12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'21_受給率と定員'!$B$11:$M$11</f>
            </numRef>
          </cat>
          <val>
            <numRef>
              <f>'21_受給率と定員'!$B$12:$M$12</f>
            </numRef>
          </val>
          <smooth val="0"/>
        </ser>
        <ser>
          <idx val="1"/>
          <order val="1"/>
          <tx>
            <strRef>
              <f>'21_受給率と定員'!A13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'21_受給率と定員'!$B$11:$M$11</f>
            </numRef>
          </cat>
          <val>
            <numRef>
              <f>'21_受給率と定員'!$B$13:$M$13</f>
            </numRef>
          </val>
          <smooth val="0"/>
        </ser>
        <ser>
          <idx val="2"/>
          <order val="2"/>
          <tx>
            <strRef>
              <f>'21_受給率と定員'!A14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'21_受給率と定員'!$B$11:$M$11</f>
            </numRef>
          </cat>
          <val>
            <numRef>
              <f>'21_受給率と定員'!$B$14:$M$14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6.5"/>
          <min val="3.5"/>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7.xml><?xml version="1.0" encoding="utf-8"?>
<chartSpace xmlns="http://schemas.openxmlformats.org/drawingml/2006/chart">
  <chart>
    <title>
      <tx>
        <rich>
          <a:bodyPr xmlns:a="http://schemas.openxmlformats.org/drawingml/2006/main"/>
          <a:p xmlns:a="http://schemas.openxmlformats.org/drawingml/2006/main">
            <a:pPr>
              <a:defRPr/>
            </a:pPr>
            <a:r>
              <a:t>要支援・要介護者1人あたり定員の推移</a:t>
            </a:r>
          </a:p>
        </rich>
      </tx>
      <overlay val="0"/>
    </title>
    <plotArea>
      <lineChart>
        <grouping val="standard"/>
        <ser>
          <idx val="0"/>
          <order val="0"/>
          <tx>
            <strRef>
              <f>'21_受給率と定員'!A19</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'21_受給率と定員'!$B$19:$L$19</f>
            </numRef>
          </val>
          <smooth val="0"/>
        </ser>
        <ser>
          <idx val="1"/>
          <order val="1"/>
          <tx>
            <strRef>
              <f>'21_受給率と定員'!A20</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'21_受給率と定員'!$B$18:$L$18</f>
            </numRef>
          </cat>
          <val>
            <numRef>
              <f>'21_受給率と定員'!$B$20:$L$20</f>
            </numRef>
          </val>
          <smooth val="0"/>
        </ser>
        <ser>
          <idx val="2"/>
          <order val="2"/>
          <tx>
            <strRef>
              <f>'21_受給率と定員'!A21</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'21_受給率と定員'!$B$21:$L$21</f>
            </numRef>
          </val>
          <smooth val="0"/>
        </ser>
        <ser>
          <idx val="3"/>
          <order val="3"/>
          <tx>
            <strRef>
              <f>'21_受給率と定員'!A22</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'21_受給率と定員'!$B$18:$L$18</f>
            </numRef>
          </cat>
          <val>
            <numRef>
              <f>'21_受給率と定員'!$B$22:$L$22</f>
            </numRef>
          </val>
          <smooth val="0"/>
        </ser>
        <ser>
          <idx val="4"/>
          <order val="4"/>
          <tx>
            <strRef>
              <f>'21_受給率と定員'!A23</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'21_受給率と定員'!$B$23:$L$23</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0.14"/>
          <min val="0"/>
        </scaling>
        <delete val="0"/>
        <axPos val="l"/>
        <title>
          <tx>
            <rich>
              <a:bodyPr xmlns:a="http://schemas.openxmlformats.org/drawingml/2006/main"/>
              <a:p xmlns:a="http://schemas.openxmlformats.org/drawingml/2006/main">
                <a:pPr>
                  <a:defRPr/>
                </a:pPr>
                <a:r>
                  <a:t>定員（人）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8.xml><?xml version="1.0" encoding="utf-8"?>
<chartSpace xmlns="http://schemas.openxmlformats.org/drawingml/2006/chart">
  <chart>
    <title>
      <tx>
        <rich>
          <a:bodyPr xmlns:a="http://schemas.openxmlformats.org/drawingml/2006/main"/>
          <a:p xmlns:a="http://schemas.openxmlformats.org/drawingml/2006/main">
            <a:pPr>
              <a:defRPr/>
            </a:pPr>
            <a:r>
              <a:t>要支援・要介護者1人あたり定員の推移（区分計）</a:t>
            </a:r>
          </a:p>
        </rich>
      </tx>
      <overlay val="0"/>
    </title>
    <plotArea>
      <lineChart>
        <grouping val="standard"/>
        <ser>
          <idx val="0"/>
          <order val="0"/>
          <tx>
            <strRef>
              <f>'21_受給率と定員'!A26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'21_受給率と定員'!$B$25:$L$25</f>
            </numRef>
          </cat>
          <val>
            <numRef>
              <f>'21_受給率と定員'!$B$26:$L$26</f>
            </numRef>
          </val>
          <smooth val="0"/>
        </ser>
        <ser>
          <idx val="1"/>
          <order val="1"/>
          <tx>
            <strRef>
              <f>'21_受給率と定員'!A27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'21_受給率と定員'!$B$25:$L$25</f>
            </numRef>
          </cat>
          <val>
            <numRef>
              <f>'21_受給率と定員'!$B$27:$L$27</f>
            </numRef>
          </val>
          <smooth val="0"/>
        </ser>
        <ser>
          <idx val="2"/>
          <order val="2"/>
          <tx>
            <strRef>
              <f>'21_受給率と定員'!A28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'21_受給率と定員'!$B$25:$L$25</f>
            </numRef>
          </cat>
          <val>
            <numRef>
              <f>'21_受給率と定員'!$B$28:$L$28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0.32"/>
          <min val="0.1"/>
        </scaling>
        <delete val="0"/>
        <axPos val="l"/>
        <title>
          <tx>
            <rich>
              <a:bodyPr xmlns:a="http://schemas.openxmlformats.org/drawingml/2006/main"/>
              <a:p xmlns:a="http://schemas.openxmlformats.org/drawingml/2006/main">
                <a:pPr>
                  <a:defRPr/>
                </a:pPr>
                <a:r>
                  <a:t>定員（人）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9.xml><?xml version="1.0" encoding="utf-8"?>
<chartSpace xmlns="http://schemas.openxmlformats.org/drawingml/2006/chart">
  <chart>
    <title>
      <tx>
        <rich>
          <a:bodyPr xmlns:a="http://schemas.openxmlformats.org/drawingml/2006/main"/>
          <a:p xmlns:a="http://schemas.openxmlformats.org/drawingml/2006/main">
            <a:pPr>
              <a:defRPr/>
            </a:pPr>
            <a:r>
              <a:t>受給率の推移（施設サービス・要介護度別）</a:t>
            </a:r>
          </a:p>
        </rich>
      </tx>
      <overlay val="0"/>
    </title>
    <plotArea>
      <lineChart>
        <grouping val="standard"/>
        <ser>
          <idx val="0"/>
          <order val="0"/>
          <tx>
            <strRef>
              <f>'21_受給率と定員'!A32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'21_受給率と定員'!$B$32:$M$32</f>
            </numRef>
          </val>
          <smooth val="0"/>
        </ser>
        <ser>
          <idx val="1"/>
          <order val="1"/>
          <tx>
            <strRef>
              <f>'21_受給率と定員'!A33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'21_受給率と定員'!$B$31:$M$31</f>
            </numRef>
          </cat>
          <val>
            <numRef>
              <f>'21_受給率と定員'!$B$33:$M$33</f>
            </numRef>
          </val>
          <smooth val="0"/>
        </ser>
        <ser>
          <idx val="2"/>
          <order val="2"/>
          <tx>
            <strRef>
              <f>'21_受給率と定員'!A34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'21_受給率と定員'!$B$34:$M$34</f>
            </numRef>
          </val>
          <smooth val="0"/>
        </ser>
        <ser>
          <idx val="3"/>
          <order val="3"/>
          <tx>
            <strRef>
              <f>'21_受給率と定員'!A35</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'21_受給率と定員'!$B$31:$M$31</f>
            </numRef>
          </cat>
          <val>
            <numRef>
              <f>'21_受給率と定員'!$B$35:$M$35</f>
            </numRef>
          </val>
          <smooth val="0"/>
        </ser>
        <ser>
          <idx val="4"/>
          <order val="4"/>
          <tx>
            <strRef>
              <f>'21_受給率と定員'!A36</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'21_受給率と定員'!$B$36:$M$36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1.4"/>
          <min val="0"/>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0.xml><?xml version="1.0" encoding="utf-8"?>
<chartSpace xmlns="http://schemas.openxmlformats.org/drawingml/2006/chart">
  <chart>
    <title>
      <tx>
        <rich>
          <a:bodyPr xmlns:a="http://schemas.openxmlformats.org/drawingml/2006/main"/>
          <a:p xmlns:a="http://schemas.openxmlformats.org/drawingml/2006/main">
            <a:pPr>
              <a:defRPr/>
            </a:pPr>
            <a:r>
              <a:t>受給率の推移（在宅サービス・要介護度別）</a:t>
            </a:r>
          </a:p>
        </rich>
      </tx>
      <overlay val="0"/>
    </title>
    <plotArea>
      <lineChart>
        <grouping val="standard"/>
        <ser>
          <idx val="0"/>
          <order val="0"/>
          <tx>
            <strRef>
              <f>'21_受給率と定員'!A39</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'21_受給率と定員'!$B$39:$M$39</f>
            </numRef>
          </val>
          <smooth val="0"/>
        </ser>
        <ser>
          <idx val="1"/>
          <order val="1"/>
          <tx>
            <strRef>
              <f>'21_受給率と定員'!A40</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'21_受給率と定員'!$B$40:$M$40</f>
            </numRef>
          </val>
          <smooth val="0"/>
        </ser>
        <ser>
          <idx val="2"/>
          <order val="2"/>
          <tx>
            <strRef>
              <f>'21_受給率と定員'!A41</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'21_受給率と定員'!$B$41:$M$41</f>
            </numRef>
          </val>
          <smooth val="0"/>
        </ser>
        <ser>
          <idx val="3"/>
          <order val="3"/>
          <tx>
            <strRef>
              <f>'21_受給率と定員'!A42</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'21_受給率と定員'!$B$42:$M$42</f>
            </numRef>
          </val>
          <smooth val="0"/>
        </ser>
        <ser>
          <idx val="4"/>
          <order val="4"/>
          <tx>
            <strRef>
              <f>'21_受給率と定員'!A43</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'21_受給率と定員'!$B$43:$M$43</f>
            </numRef>
          </val>
          <smooth val="0"/>
        </ser>
        <ser>
          <idx val="5"/>
          <order val="5"/>
          <tx>
            <strRef>
              <f>'21_受給率と定員'!A44</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'21_受給率と定員'!$B$44:$M$44</f>
            </numRef>
          </val>
          <smooth val="0"/>
        </ser>
        <ser>
          <idx val="6"/>
          <order val="6"/>
          <tx>
            <strRef>
              <f>'21_受給率と定員'!A45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'21_受給率と定員'!$B$45:$M$45</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4"/>
          <min val="0"/>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1.xml><?xml version="1.0" encoding="utf-8"?>
<chartSpace xmlns="http://schemas.openxmlformats.org/drawingml/2006/chart">
  <chart>
    <title>
      <tx>
        <rich>
          <a:bodyPr xmlns:a="http://schemas.openxmlformats.org/drawingml/2006/main"/>
          <a:p xmlns:a="http://schemas.openxmlformats.org/drawingml/2006/main">
            <a:pPr>
              <a:defRPr/>
            </a:pPr>
            <a:r>
              <a:t>年齢層別にみた認定率の推移</a:t>
            </a:r>
          </a:p>
        </rich>
      </tx>
      <overlay val="0"/>
    </title>
    <plotArea>
      <lineChart>
        <grouping val="standard"/>
        <ser>
          <idx val="0"/>
          <order val="0"/>
          <tx>
            <strRef>
              <f>'21_受給率と定員'!A50</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'21_受給率と定員'!$B$49:$G$49</f>
            </numRef>
          </cat>
          <val>
            <numRef>
              <f>'21_受給率と定員'!$B$50:$G$50</f>
            </numRef>
          </val>
          <smooth val="0"/>
        </ser>
        <ser>
          <idx val="1"/>
          <order val="1"/>
          <tx>
            <strRef>
              <f>'21_受給率と定員'!A51</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'21_受給率と定員'!$B$49:$G$49</f>
            </numRef>
          </cat>
          <val>
            <numRef>
              <f>'21_受給率と定員'!$B$51:$G$51</f>
            </numRef>
          </val>
          <smooth val="0"/>
        </ser>
        <ser>
          <idx val="2"/>
          <order val="2"/>
          <tx>
            <strRef>
              <f>'21_受給率と定員'!A52</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'21_受給率と定員'!$B$49:$G$49</f>
            </numRef>
          </cat>
          <val>
            <numRef>
              <f>'21_受給率と定員'!$B$52:$G$52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70"/>
          <min val="15"/>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2.xml><?xml version="1.0" encoding="utf-8"?>
<chartSpace xmlns="http://schemas.openxmlformats.org/drawingml/2006/chart">
  <chart>
    <title>
      <tx>
        <rich>
          <a:bodyPr xmlns:a="http://schemas.openxmlformats.org/drawingml/2006/main"/>
          <a:p xmlns:a="http://schemas.openxmlformats.org/drawingml/2006/main">
            <a:pPr>
              <a:defRPr/>
            </a:pPr>
            <a:r>
              <a:t>平成30年度→令和7年度の増減率</a:t>
            </a:r>
          </a:p>
        </rich>
      </tx>
      <overlay val="0"/>
    </title>
    <plotArea>
      <barChart>
        <barDir val="bar"/>
        <grouping val="percentStacked"/>
        <ser>
          <idx val="0"/>
          <order val="0"/>
          <tx>
            <strRef>
              <f>'22_サービス別給付動向'!B23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'22_サービス別給付動向'!$A$24:$A$36</f>
            </numRef>
          </cat>
          <val>
            <numRef>
              <f>'22_サービス別給付動向'!$B$24:$B$36</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3.xml><?xml version="1.0" encoding="utf-8"?>
<chartSpace xmlns="http://schemas.openxmlformats.org/drawingml/2006/chart">
  <chart>
    <title>
      <tx>
        <rich>
          <a:bodyPr xmlns:a="http://schemas.openxmlformats.org/drawingml/2006/main"/>
          <a:p xmlns:a="http://schemas.openxmlformats.org/drawingml/2006/main">
            <a:pPr>
              <a:defRPr/>
            </a:pPr>
            <a:r>
              <a:t>圏域内市町村の高齢化率と75歳以上割合（令和2年）</a:t>
            </a:r>
          </a:p>
        </rich>
      </tx>
      <overlay val="0"/>
    </title>
    <plotArea>
      <barChart>
        <barDir val="col"/>
        <grouping val="clustered"/>
        <ser>
          <idx val="0"/>
          <order val="0"/>
          <tx>
            <strRef>
              <f>'23_上川中部圏域比較'!D5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'23_上川中部圏域比較'!$A$6:$A$16</f>
            </numRef>
          </cat>
          <val>
            <numRef>
              <f>'23_上川中部圏域比較'!$D$6:$D$16</f>
            </numRef>
          </val>
        </ser>
        <ser>
          <idx val="1"/>
          <order val="1"/>
          <tx>
            <strRef>
              <f>'23_上川中部圏域比較'!E5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'23_上川中部圏域比較'!$A$6:$A$16</f>
            </numRef>
          </cat>
          <val>
            <numRef>
              <f>'23_上川中部圏域比較'!$E$6:$E$16</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4.xml><?xml version="1.0" encoding="utf-8"?>
<chartSpace xmlns="http://schemas.openxmlformats.org/drawingml/2006/chart">
  <chart>
    <title>
      <tx>
        <rich>
          <a:bodyPr xmlns:a="http://schemas.openxmlformats.org/drawingml/2006/main"/>
          <a:p xmlns:a="http://schemas.openxmlformats.org/drawingml/2006/main">
            <a:pPr>
              <a:defRPr/>
            </a:pPr>
            <a:r>
              <a:t>調整済み第1号1人あたり給付月額（北海道との比較）</a:t>
            </a:r>
          </a:p>
        </rich>
      </tx>
      <overlay val="0"/>
    </title>
    <plotArea>
      <barChart>
        <barDir val="col"/>
        <grouping val="clustered"/>
        <ser>
          <idx val="0"/>
          <order val="0"/>
          <tx>
            <strRef>
              <f>'23_上川中部圏域比較'!B20</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'23_上川中部圏域比較'!$A$22:$A$23</f>
            </numRef>
          </cat>
          <val>
            <numRef>
              <f>'23_上川中部圏域比較'!$B$21:$B$23</f>
            </numRef>
          </val>
        </ser>
        <ser>
          <idx val="1"/>
          <order val="1"/>
          <tx>
            <strRef>
              <f>'23_上川中部圏域比較'!C20</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'23_上川中部圏域比較'!$A$22:$A$23</f>
            </numRef>
          </cat>
          <val>
            <numRef>
              <f>'23_上川中部圏域比較'!$C$21:$C$23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5.xml><?xml version="1.0" encoding="utf-8"?>
<chartSpace xmlns="http://schemas.openxmlformats.org/drawingml/2006/chart">
  <chart>
    <title>
      <tx>
        <rich>
          <a:bodyPr xmlns:a="http://schemas.openxmlformats.org/drawingml/2006/main"/>
          <a:p xmlns:a="http://schemas.openxmlformats.org/drawingml/2006/main">
            <a:pPr>
              <a:defRPr/>
            </a:pPr>
            <a:r>
              <a:t>24時間対応サービスの圏域見込量</a:t>
            </a:r>
          </a:p>
        </rich>
      </tx>
      <overlay val="0"/>
    </title>
    <plotArea>
      <barChart>
        <barDir val="col"/>
        <grouping val="clustered"/>
        <ser>
          <idx val="0"/>
          <order val="0"/>
          <tx>
            <strRef>
              <f>'23_上川中部圏域比較'!B27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'23_上川中部圏域比較'!$B$28:$B$30</f>
            </numRef>
          </val>
        </ser>
        <ser>
          <idx val="1"/>
          <order val="1"/>
          <tx>
            <strRef>
              <f>'23_上川中部圏域比較'!C27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'23_上川中部圏域比較'!$C$28:$C$30</f>
            </numRef>
          </val>
        </ser>
        <ser>
          <idx val="2"/>
          <order val="2"/>
          <tx>
            <strRef>
              <f>'23_上川中部圏域比較'!D27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'23_上川中部圏域比較'!$D$28:$D$30</f>
            </numRef>
          </val>
        </ser>
        <ser>
          <idx val="3"/>
          <order val="3"/>
          <tx>
            <strRef>
              <f>'23_上川中部圏域比較'!E27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'23_上川中部圏域比較'!$E$28:$E$30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利用者数（人／月）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6.xml><?xml version="1.0" encoding="utf-8"?>
<chartSpace xmlns="http://schemas.openxmlformats.org/drawingml/2006/chart">
  <chart>
    <title>
      <tx>
        <rich>
          <a:bodyPr xmlns:a="http://schemas.openxmlformats.org/drawingml/2006/main"/>
          <a:p xmlns:a="http://schemas.openxmlformats.org/drawingml/2006/main">
            <a:pPr>
              <a:defRPr/>
            </a:pPr>
            <a:r>
              <a:t>月1回以上の通いの場の参加率</a:t>
            </a:r>
          </a:p>
        </rich>
      </tx>
      <overlay val="0"/>
    </title>
    <plotArea>
      <lineChart>
        <grouping val="standard"/>
        <ser>
          <idx val="0"/>
          <order val="0"/>
          <tx>
            <strRef>
              <f>'24_通いの場_総合事業'!A6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'24_通いの場_総合事業'!$B$5:$I$5</f>
            </numRef>
          </cat>
          <val>
            <numRef>
              <f>'24_通いの場_総合事業'!$B$6:$I$6</f>
            </numRef>
          </val>
          <smooth val="0"/>
        </ser>
        <ser>
          <idx val="1"/>
          <order val="1"/>
          <tx>
            <strRef>
              <f>'24_通いの場_総合事業'!A7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'24_通いの場_総合事業'!$B$5:$I$5</f>
            </numRef>
          </cat>
          <val>
            <numRef>
              <f>'24_通いの場_総合事業'!$B$7:$I$7</f>
            </numRef>
          </val>
          <smooth val="0"/>
        </ser>
        <ser>
          <idx val="2"/>
          <order val="2"/>
          <tx>
            <strRef>
              <f>'24_通いの場_総合事業'!A8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'24_通いの場_総合事業'!$B$5:$I$5</f>
            </numRef>
          </cat>
          <val>
            <numRef>
              <f>'24_通いの場_総合事業'!$B$8:$I$8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
          <min val="0"/>
        </scaling>
        <delete val="0"/>
        <axPos val="l"/>
        <title>
          <tx>
            <rich>
              <a:bodyPr xmlns:a="http://schemas.openxmlformats.org/drawingml/2006/main"/>
              <a:p xmlns:a="http://schemas.openxmlformats.org/drawingml/2006/main">
                <a:pPr>
                  <a:defRPr/>
                </a:pPr>
                <a:r>
                  <a:t>参加率（％）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7.xml><?xml version="1.0" encoding="utf-8"?>
<chartSpace xmlns="http://schemas.openxmlformats.org/drawingml/2006/chart">
  <chart>
    <title>
      <tx>
        <rich>
          <a:bodyPr xmlns:a="http://schemas.openxmlformats.org/drawingml/2006/main"/>
          <a:p xmlns:a="http://schemas.openxmlformats.org/drawingml/2006/main">
            <a:pPr>
              <a:defRPr/>
            </a:pPr>
            <a:r>
              <a:t>週1回以上の通いの場の参加率</a:t>
            </a:r>
          </a:p>
        </rich>
      </tx>
      <overlay val="0"/>
    </title>
    <plotArea>
      <lineChart>
        <grouping val="standard"/>
        <ser>
          <idx val="0"/>
          <order val="0"/>
          <tx>
            <strRef>
              <f>'24_通いの場_総合事業'!A13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'24_通いの場_総合事業'!$B$12:$I$12</f>
            </numRef>
          </cat>
          <val>
            <numRef>
              <f>'24_通いの場_総合事業'!$B$13:$I$13</f>
            </numRef>
          </val>
          <smooth val="0"/>
        </ser>
        <ser>
          <idx val="1"/>
          <order val="1"/>
          <tx>
            <strRef>
              <f>'24_通いの場_総合事業'!A14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'24_通いの場_総合事業'!$B$12:$I$12</f>
            </numRef>
          </cat>
          <val>
            <numRef>
              <f>'24_通いの場_総合事業'!$B$14:$I$14</f>
            </numRef>
          </val>
          <smooth val="0"/>
        </ser>
        <ser>
          <idx val="2"/>
          <order val="2"/>
          <tx>
            <strRef>
              <f>'24_通いの場_総合事業'!A15</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'24_通いの場_総合事業'!$B$12:$I$12</f>
            </numRef>
          </cat>
          <val>
            <numRef>
              <f>'24_通いの場_総合事業'!$B$15:$I$15</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3"/>
          <min val="0"/>
        </scaling>
        <delete val="0"/>
        <axPos val="l"/>
        <title>
          <tx>
            <rich>
              <a:bodyPr xmlns:a="http://schemas.openxmlformats.org/drawingml/2006/main"/>
              <a:p xmlns:a="http://schemas.openxmlformats.org/drawingml/2006/main">
                <a:pPr>
                  <a:defRPr/>
                </a:pPr>
                <a:r>
                  <a:t>参加率（％）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8.xml><?xml version="1.0" encoding="utf-8"?>
<chartSpace xmlns="http://schemas.openxmlformats.org/drawingml/2006/chart">
  <chart>
    <title>
      <tx>
        <rich>
          <a:bodyPr xmlns:a="http://schemas.openxmlformats.org/drawingml/2006/main"/>
          <a:p xmlns:a="http://schemas.openxmlformats.org/drawingml/2006/main">
            <a:pPr>
              <a:defRPr/>
            </a:pPr>
            <a:r>
              <a:t>65歳以上1万人あたりの週1回以上の通いの場の箇所数（令和2年度）</a:t>
            </a:r>
          </a:p>
        </rich>
      </tx>
      <overlay val="0"/>
    </title>
    <plotArea>
      <barChart>
        <barDir val="col"/>
        <grouping val="clustered"/>
        <ser>
          <idx val="0"/>
          <order val="0"/>
          <tx>
            <strRef>
              <f>'24_通いの場_総合事業'!D24</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'24_通いの場_総合事業'!$A$25:$A$27</f>
            </numRef>
          </cat>
          <val>
            <numRef>
              <f>'24_通いの場_総合事業'!$D$25:$D$27</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箇所数</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19.xml><?xml version="1.0" encoding="utf-8"?>
<chartSpace xmlns="http://schemas.openxmlformats.org/drawingml/2006/chart">
  <chart>
    <title>
      <tx>
        <rich>
          <a:bodyPr xmlns:a="http://schemas.openxmlformats.org/drawingml/2006/main"/>
          <a:p xmlns:a="http://schemas.openxmlformats.org/drawingml/2006/main">
            <a:pPr>
              <a:defRPr/>
            </a:pPr>
            <a:r>
              <a:t>増減のあったサービスの事業所数の推移</a:t>
            </a:r>
          </a:p>
        </rich>
      </tx>
      <overlay val="0"/>
    </title>
    <plotArea>
      <lineChart>
        <grouping val="standard"/>
        <ser>
          <idx val="0"/>
          <order val="0"/>
          <tx>
            <strRef>
              <f>'25_事業所数の推移'!A6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'25_事業所数の推移'!$B$6:$I$6</f>
            </numRef>
          </val>
          <smooth val="0"/>
        </ser>
        <ser>
          <idx val="1"/>
          <order val="1"/>
          <tx>
            <strRef>
              <f>'25_事業所数の推移'!A7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'25_事業所数の推移'!$B$7:$I$7</f>
            </numRef>
          </val>
          <smooth val="0"/>
        </ser>
        <ser>
          <idx val="2"/>
          <order val="2"/>
          <tx>
            <strRef>
              <f>'25_事業所数の推移'!A8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'25_事業所数の推移'!$B$8:$I$8</f>
            </numRef>
          </val>
          <smooth val="0"/>
        </ser>
        <ser>
          <idx val="3"/>
          <order val="3"/>
          <tx>
            <strRef>
              <f>'25_事業所数の推移'!A9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'25_事業所数の推移'!$B$9:$I$9</f>
            </numRef>
          </val>
          <smooth val="0"/>
        </ser>
        <ser>
          <idx val="4"/>
          <order val="4"/>
          <tx>
            <strRef>
              <f>'25_事業所数の推移'!A10</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'25_事業所数の推移'!$B$10:$I$10</f>
            </numRef>
          </val>
          <smooth val="0"/>
        </ser>
        <ser>
          <idx val="5"/>
          <order val="5"/>
          <tx>
            <strRef>
              <f>'25_事業所数の推移'!A11</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'25_事業所数の推移'!$B$11:$I$11</f>
            </numRef>
          </val>
          <smooth val="0"/>
        </ser>
        <ser>
          <idx val="6"/>
          <order val="6"/>
          <tx>
            <strRef>
              <f>'25_事業所数の推移'!A12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'25_事業所数の推移'!$B$12:$I$12</f>
            </numRef>
          </val>
          <smooth val="0"/>
        </ser>
        <ser>
          <idx val="7"/>
          <order val="7"/>
          <tx>
            <strRef>
              <f>'25_事業所数の推移'!A13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'25_事業所数の推移'!$B$13:$I$13</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14"/>
          <min val="0"/>
        </scaling>
        <delete val="0"/>
        <axPos val="l"/>
        <title>
          <tx>
            <rich>
              <a:bodyPr xmlns:a="http://schemas.openxmlformats.org/drawingml/2006/main"/>
              <a:p xmlns:a="http://schemas.openxmlformats.org/drawingml/2006/main">
                <a:pPr>
                  <a:defRPr/>
                </a:pPr>
                <a:r>
                  <a:t>事業所数（箇所）</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0.xml><?xml version="1.0" encoding="utf-8"?>
<chartSpace xmlns="http://schemas.openxmlformats.org/drawingml/2006/chart">
  <chart>
    <title>
      <tx>
        <rich>
          <a:bodyPr xmlns:a="http://schemas.openxmlformats.org/drawingml/2006/main"/>
          <a:p xmlns:a="http://schemas.openxmlformats.org/drawingml/2006/main">
            <a:pPr>
              <a:defRPr/>
            </a:pPr>
            <a:r>
              <a:t>域内に事業所が存在しないサービス（令和6年度・人口10万対）</a:t>
            </a:r>
          </a:p>
        </rich>
      </tx>
      <overlay val="0"/>
    </title>
    <plotArea>
      <barChart>
        <barDir val="col"/>
        <grouping val="clustered"/>
        <ser>
          <idx val="0"/>
          <order val="0"/>
          <tx>
            <strRef>
              <f>'25_事業所数の推移'!B17</f>
            </strRef>
          </tx>
          <spPr>
            <a:solidFill xmlns:a="http://schemas.openxmlformats.org/drawingml/2006/main">
              <a:srgbClr val="000000"/>
            </a:solidFill>
            <a:ln xmlns:a="http://schemas.openxmlformats.org/drawingml/2006/main" w="6350">
              <a:solidFill>
                <a:srgbClr val="000000"/>
              </a:solidFill>
              <a:prstDash val="solid"/>
            </a:ln>
          </spPr>
          <cat>
            <numRef>
              <f>'25_事業所数の推移'!$A$18:$A$28</f>
            </numRef>
          </cat>
          <val>
            <numRef>
              <f>'25_事業所数の推移'!$B$18:$B$28</f>
            </numRef>
          </val>
        </ser>
        <ser>
          <idx val="1"/>
          <order val="1"/>
          <tx>
            <strRef>
              <f>'25_事業所数の推移'!C17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'25_事業所数の推移'!$A$18:$A$28</f>
            </numRef>
          </cat>
          <val>
            <numRef>
              <f>'25_事業所数の推移'!$C$18:$C$28</f>
            </numRef>
          </val>
        </ser>
        <ser>
          <idx val="2"/>
          <order val="2"/>
          <tx>
            <strRef>
              <f>'25_事業所数の推移'!D17</f>
            </strRef>
          </tx>
          <spPr>
            <a:solidFill xmlns:a="http://schemas.openxmlformats.org/drawingml/2006/main">
              <a:srgbClr val="808080"/>
            </a:solidFill>
            <a:ln xmlns:a="http://schemas.openxmlformats.org/drawingml/2006/main" w="6350">
              <a:solidFill>
                <a:srgbClr val="000000"/>
              </a:solidFill>
              <a:prstDash val="solid"/>
            </a:ln>
          </spPr>
          <cat>
            <numRef>
              <f>'25_事業所数の推移'!$A$18:$A$28</f>
            </numRef>
          </cat>
          <val>
            <numRef>
              <f>'25_事業所数の推移'!$D$18:$D$28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事業所数（人口10万対）</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1.xml><?xml version="1.0" encoding="utf-8"?>
<chartSpace xmlns="http://schemas.openxmlformats.org/drawingml/2006/chart">
  <chart>
    <title>
      <tx>
        <rich>
          <a:bodyPr xmlns:a="http://schemas.openxmlformats.org/drawingml/2006/main"/>
          <a:p xmlns:a="http://schemas.openxmlformats.org/drawingml/2006/main">
            <a:pPr>
              <a:defRPr/>
            </a:pPr>
            <a:r>
              <a:t>人口10万対の事業所数　大雪／全国（令和6年度）</a:t>
            </a:r>
          </a:p>
        </rich>
      </tx>
      <overlay val="0"/>
    </title>
    <plotArea>
      <barChart>
        <barDir val="col"/>
        <grouping val="clustered"/>
        <ser>
          <idx val="0"/>
          <order val="0"/>
          <tx>
            <strRef>
              <f>'25_事業所数の推移'!E32</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'25_事業所数の推移'!$A$33:$A$45</f>
            </numRef>
          </cat>
          <val>
            <numRef>
              <f>'25_事業所数の推移'!$E$33:$E$45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全国＝1.00</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22.xml><?xml version="1.0" encoding="utf-8"?>
<chartSpace xmlns="http://schemas.openxmlformats.org/drawingml/2006/chart">
  <chart>
    <title>
      <tx>
        <rich>
          <a:bodyPr xmlns:a="http://schemas.openxmlformats.org/drawingml/2006/main"/>
          <a:p xmlns:a="http://schemas.openxmlformats.org/drawingml/2006/main">
            <a:pPr>
              <a:defRPr/>
            </a:pPr>
            <a:r>
              <a:t>サービス別の従事者数の推移</a:t>
            </a:r>
          </a:p>
        </rich>
      </tx>
      <overlay val="0"/>
    </title>
    <plotArea>
      <lineChart>
        <grouping val="standard"/>
        <ser>
          <idx val="0"/>
          <order val="0"/>
          <tx>
            <strRef>
              <f>'26_従事者数の推移'!A6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'26_従事者数の推移'!$B$5:$H$5</f>
            </numRef>
          </cat>
          <val>
            <numRef>
              <f>'26_従事者数の推移'!$B$6:$H$6</f>
            </numRef>
          </val>
          <smooth val="0"/>
        </ser>
        <ser>
          <idx val="1"/>
          <order val="1"/>
          <tx>
            <strRef>
              <f>'26_従事者数の推移'!A7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'26_従事者数の推移'!$B$5:$H$5</f>
            </numRef>
          </cat>
          <val>
            <numRef>
              <f>'26_従事者数の推移'!$B$7:$H$7</f>
            </numRef>
          </val>
          <smooth val="0"/>
        </ser>
        <ser>
          <idx val="2"/>
          <order val="2"/>
          <tx>
            <strRef>
              <f>'26_従事者数の推移'!A8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'26_従事者数の推移'!$B$5:$H$5</f>
            </numRef>
          </cat>
          <val>
            <numRef>
              <f>'26_従事者数の推移'!$B$8:$H$8</f>
            </numRef>
          </val>
          <smooth val="0"/>
        </ser>
        <ser>
          <idx val="3"/>
          <order val="3"/>
          <tx>
            <strRef>
              <f>'26_従事者数の推移'!A9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'26_従事者数の推移'!$B$5:$H$5</f>
            </numRef>
          </cat>
          <val>
            <numRef>
              <f>'26_従事者数の推移'!$B$9:$H$9</f>
            </numRef>
          </val>
          <smooth val="0"/>
        </ser>
        <ser>
          <idx val="4"/>
          <order val="4"/>
          <tx>
            <strRef>
              <f>'26_従事者数の推移'!A10</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'26_従事者数の推移'!$B$5:$H$5</f>
            </numRef>
          </cat>
          <val>
            <numRef>
              <f>'26_従事者数の推移'!$B$10:$H$10</f>
            </numRef>
          </val>
          <smooth val="0"/>
        </ser>
        <ser>
          <idx val="5"/>
          <order val="5"/>
          <tx>
            <strRef>
              <f>'26_従事者数の推移'!A11</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'26_従事者数の推移'!$B$5:$H$5</f>
            </numRef>
          </cat>
          <val>
            <numRef>
              <f>'26_従事者数の推移'!$B$11:$H$11</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in val="0"/>
        </scaling>
        <delete val="0"/>
        <axPos val="l"/>
        <title>
          <tx>
            <rich>
              <a:bodyPr xmlns:a="http://schemas.openxmlformats.org/drawingml/2006/main"/>
              <a:p xmlns:a="http://schemas.openxmlformats.org/drawingml/2006/main">
                <a:pPr>
                  <a:defRPr/>
                </a:pPr>
                <a:r>
                  <a:t>従事者数（人）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3.xml><?xml version="1.0" encoding="utf-8"?>
<chartSpace xmlns="http://schemas.openxmlformats.org/drawingml/2006/chart">
  <chart>
    <title>
      <tx>
        <rich>
          <a:bodyPr xmlns:a="http://schemas.openxmlformats.org/drawingml/2006/main"/>
          <a:p xmlns:a="http://schemas.openxmlformats.org/drawingml/2006/main">
            <a:pPr>
              <a:defRPr/>
            </a:pPr>
            <a:r>
              <a:t>従事者数（認定者1万対）の比較（令和6年度）</a:t>
            </a:r>
          </a:p>
        </rich>
      </tx>
      <overlay val="0"/>
    </title>
    <plotArea>
      <barChart>
        <barDir val="col"/>
        <grouping val="clustered"/>
        <ser>
          <idx val="0"/>
          <order val="0"/>
          <tx>
            <strRef>
              <f>'26_従事者数の推移'!B15</f>
            </strRef>
          </tx>
          <spPr>
            <a:solidFill xmlns:a="http://schemas.openxmlformats.org/drawingml/2006/main">
              <a:srgbClr val="000000"/>
            </a:solidFill>
            <a:ln xmlns:a="http://schemas.openxmlformats.org/drawingml/2006/main" w="6350">
              <a:solidFill>
                <a:srgbClr val="000000"/>
              </a:solidFill>
              <a:prstDash val="solid"/>
            </a:ln>
          </spPr>
          <cat>
            <numRef>
              <f>'26_従事者数の推移'!$A$16:$A$21</f>
            </numRef>
          </cat>
          <val>
            <numRef>
              <f>'26_従事者数の推移'!$B$16:$B$21</f>
            </numRef>
          </val>
        </ser>
        <ser>
          <idx val="1"/>
          <order val="1"/>
          <tx>
            <strRef>
              <f>'26_従事者数の推移'!C15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'26_従事者数の推移'!$A$16:$A$21</f>
            </numRef>
          </cat>
          <val>
            <numRef>
              <f>'26_従事者数の推移'!$C$16:$C$21</f>
            </numRef>
          </val>
        </ser>
        <ser>
          <idx val="2"/>
          <order val="2"/>
          <tx>
            <strRef>
              <f>'26_従事者数の推移'!D15</f>
            </strRef>
          </tx>
          <spPr>
            <a:solidFill xmlns:a="http://schemas.openxmlformats.org/drawingml/2006/main">
              <a:srgbClr val="808080"/>
            </a:solidFill>
            <a:ln xmlns:a="http://schemas.openxmlformats.org/drawingml/2006/main" w="6350">
              <a:solidFill>
                <a:srgbClr val="000000"/>
              </a:solidFill>
              <a:prstDash val="solid"/>
            </a:ln>
          </spPr>
          <cat>
            <numRef>
              <f>'26_従事者数の推移'!$A$16:$A$21</f>
            </numRef>
          </cat>
          <val>
            <numRef>
              <f>'26_従事者数の推移'!$D$16:$D$21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従事者数（認定者1万対）</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4.xml><?xml version="1.0" encoding="utf-8"?>
<chartSpace xmlns="http://schemas.openxmlformats.org/drawingml/2006/chart">
  <chart>
    <title>
      <tx>
        <rich>
          <a:bodyPr xmlns:a="http://schemas.openxmlformats.org/drawingml/2006/main"/>
          <a:p xmlns:a="http://schemas.openxmlformats.org/drawingml/2006/main">
            <a:pPr>
              <a:defRPr/>
            </a:pPr>
            <a:r>
              <a:t>職種別の従事者数の推移（介護老人福祉施設）</a:t>
            </a:r>
          </a:p>
        </rich>
      </tx>
      <overlay val="0"/>
    </title>
    <plotArea>
      <lineChart>
        <grouping val="standard"/>
        <ser>
          <idx val="0"/>
          <order val="0"/>
          <tx>
            <strRef>
              <f>'26_従事者数の推移'!A26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'26_従事者数の推移'!$B$25:$H$25</f>
            </numRef>
          </cat>
          <val>
            <numRef>
              <f>'26_従事者数の推移'!$B$26:$H$26</f>
            </numRef>
          </val>
          <smooth val="0"/>
        </ser>
        <ser>
          <idx val="1"/>
          <order val="1"/>
          <tx>
            <strRef>
              <f>'26_従事者数の推移'!A27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'26_従事者数の推移'!$B$25:$H$25</f>
            </numRef>
          </cat>
          <val>
            <numRef>
              <f>'26_従事者数の推移'!$B$27:$H$27</f>
            </numRef>
          </val>
          <smooth val="0"/>
        </ser>
        <ser>
          <idx val="2"/>
          <order val="2"/>
          <tx>
            <strRef>
              <f>'26_従事者数の推移'!A28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'26_従事者数の推移'!$B$25:$H$25</f>
            </numRef>
          </cat>
          <val>
            <numRef>
              <f>'26_従事者数の推移'!$B$28:$H$28</f>
            </numRef>
          </val>
          <smooth val="0"/>
        </ser>
        <ser>
          <idx val="3"/>
          <order val="3"/>
          <tx>
            <strRef>
              <f>'26_従事者数の推移'!A29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'26_従事者数の推移'!$B$25:$H$25</f>
            </numRef>
          </cat>
          <val>
            <numRef>
              <f>'26_従事者数の推移'!$B$29:$H$29</f>
            </numRef>
          </val>
          <smooth val="0"/>
        </ser>
        <ser>
          <idx val="4"/>
          <order val="4"/>
          <tx>
            <strRef>
              <f>'26_従事者数の推移'!A30</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'26_従事者数の推移'!$B$25:$H$25</f>
            </numRef>
          </cat>
          <val>
            <numRef>
              <f>'26_従事者数の推移'!$B$30:$H$30</f>
            </numRef>
          </val>
          <smooth val="0"/>
        </ser>
        <ser>
          <idx val="5"/>
          <order val="5"/>
          <tx>
            <strRef>
              <f>'26_従事者数の推移'!A31</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'26_従事者数の推移'!$B$25:$H$25</f>
            </numRef>
          </cat>
          <val>
            <numRef>
              <f>'26_従事者数の推移'!$B$31:$H$31</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90"/>
          <min val="0"/>
        </scaling>
        <delete val="0"/>
        <axPos val="l"/>
        <title>
          <tx>
            <rich>
              <a:bodyPr xmlns:a="http://schemas.openxmlformats.org/drawingml/2006/main"/>
              <a:p xmlns:a="http://schemas.openxmlformats.org/drawingml/2006/main">
                <a:pPr>
                  <a:defRPr/>
                </a:pPr>
                <a:r>
                  <a:t>従事者数（人）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5.xml><?xml version="1.0" encoding="utf-8"?>
<chartSpace xmlns="http://schemas.openxmlformats.org/drawingml/2006/chart">
  <chart>
    <title>
      <tx>
        <rich>
          <a:bodyPr xmlns:a="http://schemas.openxmlformats.org/drawingml/2006/main"/>
          <a:p xmlns:a="http://schemas.openxmlformats.org/drawingml/2006/main">
            <a:pPr>
              <a:defRPr/>
            </a:pPr>
            <a:r>
              <a:t>保険者機能強化推進交付金等の総合得点（令和5年調査）</a:t>
            </a:r>
          </a:p>
        </rich>
      </tx>
      <overlay val="0"/>
    </title>
    <plotArea>
      <barChart>
        <barDir val="col"/>
        <grouping val="clustered"/>
        <ser>
          <idx val="0"/>
          <order val="0"/>
          <tx>
            <strRef>
              <f>'27_交付金評価'!B5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'27_交付金評価'!$A$6:$A$8</f>
            </numRef>
          </cat>
          <val>
            <numRef>
              <f>'27_交付金評価'!$B$6:$B$8</f>
            </numRef>
          </val>
        </ser>
        <ser>
          <idx val="1"/>
          <order val="1"/>
          <tx>
            <strRef>
              <f>'27_交付金評価'!C5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'27_交付金評価'!$A$6:$A$8</f>
            </numRef>
          </cat>
          <val>
            <numRef>
              <f>'27_交付金評価'!$C$6:$C$8</f>
            </numRef>
          </val>
        </ser>
        <ser>
          <idx val="2"/>
          <order val="2"/>
          <tx>
            <strRef>
              <f>'27_交付金評価'!D5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'27_交付金評価'!$A$6:$A$8</f>
            </numRef>
          </cat>
          <val>
            <numRef>
              <f>'27_交付金評価'!$D$6:$D$8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得点（点）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6.xml><?xml version="1.0" encoding="utf-8"?>
<chartSpace xmlns="http://schemas.openxmlformats.org/drawingml/2006/chart">
  <chart>
    <title>
      <tx>
        <rich>
          <a:bodyPr xmlns:a="http://schemas.openxmlformats.org/drawingml/2006/main"/>
          <a:p xmlns:a="http://schemas.openxmlformats.org/drawingml/2006/main">
            <a:pPr>
              <a:defRPr/>
            </a:pPr>
            <a:r>
              <a:t>指標群別の得点（令和5年調査）</a:t>
            </a:r>
          </a:p>
        </rich>
      </tx>
      <overlay val="0"/>
    </title>
    <plotArea>
      <barChart>
        <barDir val="col"/>
        <grouping val="clustered"/>
        <ser>
          <idx val="0"/>
          <order val="0"/>
          <tx>
            <strRef>
              <f>'27_交付金評価'!B12</f>
            </strRef>
          </tx>
          <spPr>
            <a:solidFill xmlns:a="http://schemas.openxmlformats.org/drawingml/2006/main">
              <a:srgbClr val="000000"/>
            </a:solidFill>
            <a:ln xmlns:a="http://schemas.openxmlformats.org/drawingml/2006/main" w="6350">
              <a:solidFill>
                <a:srgbClr val="000000"/>
              </a:solidFill>
              <a:prstDash val="solid"/>
            </a:ln>
          </spPr>
          <cat>
            <numRef>
              <f>'27_交付金評価'!$A$13:$A$18</f>
            </numRef>
          </cat>
          <val>
            <numRef>
              <f>'27_交付金評価'!$B$13:$B$18</f>
            </numRef>
          </val>
        </ser>
        <ser>
          <idx val="1"/>
          <order val="1"/>
          <tx>
            <strRef>
              <f>'27_交付金評価'!C12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'27_交付金評価'!$A$13:$A$18</f>
            </numRef>
          </cat>
          <val>
            <numRef>
              <f>'27_交付金評価'!$C$13:$C$18</f>
            </numRef>
          </val>
        </ser>
        <ser>
          <idx val="2"/>
          <order val="2"/>
          <tx>
            <strRef>
              <f>'27_交付金評価'!D12</f>
            </strRef>
          </tx>
          <spPr>
            <a:solidFill xmlns:a="http://schemas.openxmlformats.org/drawingml/2006/main">
              <a:srgbClr val="808080"/>
            </a:solidFill>
            <a:ln xmlns:a="http://schemas.openxmlformats.org/drawingml/2006/main" w="6350">
              <a:solidFill>
                <a:srgbClr val="000000"/>
              </a:solidFill>
              <a:prstDash val="solid"/>
            </a:ln>
          </spPr>
          <cat>
            <numRef>
              <f>'27_交付金評価'!$A$13:$A$18</f>
            </numRef>
          </cat>
          <val>
            <numRef>
              <f>'27_交付金評価'!$D$13:$D$18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得点（点）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7.xml><?xml version="1.0" encoding="utf-8"?>
<chartSpace xmlns="http://schemas.openxmlformats.org/drawingml/2006/chart">
  <chart>
    <title>
      <tx>
        <rich>
          <a:bodyPr xmlns:a="http://schemas.openxmlformats.org/drawingml/2006/main"/>
          <a:p xmlns:a="http://schemas.openxmlformats.org/drawingml/2006/main">
            <a:pPr>
              <a:defRPr/>
            </a:pPr>
            <a:r>
              <a:t>目標別の得点　大雪／全国（令和5年調査）</a:t>
            </a:r>
          </a:p>
        </rich>
      </tx>
      <overlay val="0"/>
    </title>
    <plotArea>
      <barChart>
        <barDir val="col"/>
        <grouping val="clustered"/>
        <ser>
          <idx val="0"/>
          <order val="0"/>
          <tx>
            <strRef>
              <f>'27_交付金評価'!E22</f>
            </strRef>
          </tx>
          <spPr>
            <a:solidFill xmlns:a="http://schemas.openxmlformats.org/drawingml/2006/main">
              <a:srgbClr val="000000"/>
            </a:solidFill>
            <a:ln xmlns:a="http://schemas.openxmlformats.org/drawingml/2006/main" w="6350">
              <a:solidFill>
                <a:srgbClr val="000000"/>
              </a:solidFill>
              <a:prstDash val="solid"/>
            </a:ln>
          </spPr>
          <dLbls>
            <numFmt formatCode="#,##0.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'27_交付金評価'!$A$23:$A$29</f>
            </numRef>
          </cat>
          <val>
            <numRef>
              <f>'27_交付金評価'!$E$23:$E$29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全国＝1.000</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28.xml><?xml version="1.0" encoding="utf-8"?>
<chartSpace xmlns="http://schemas.openxmlformats.org/drawingml/2006/chart">
  <chart>
    <title>
      <tx>
        <rich>
          <a:bodyPr xmlns:a="http://schemas.openxmlformats.org/drawingml/2006/main"/>
          <a:p xmlns:a="http://schemas.openxmlformats.org/drawingml/2006/main">
            <a:pPr>
              <a:defRPr/>
            </a:pPr>
            <a:r>
              <a:t>性・年齢調整済み要介護2以上認定率（令和5年調査）</a:t>
            </a:r>
          </a:p>
        </rich>
      </tx>
      <overlay val="0"/>
    </title>
    <plotArea>
      <barChart>
        <barDir val="col"/>
        <grouping val="clustered"/>
        <ser>
          <idx val="0"/>
          <order val="0"/>
          <tx>
            <strRef>
              <f>'27_交付金評価'!B33</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'27_交付金評価'!$A$34:$A$36</f>
            </numRef>
          </cat>
          <val>
            <numRef>
              <f>'27_交付金評価'!$B$34:$B$36</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29.xml><?xml version="1.0" encoding="utf-8"?>
<chartSpace xmlns="http://schemas.openxmlformats.org/drawingml/2006/chart">
  <chart>
    <title>
      <tx>
        <rich>
          <a:bodyPr xmlns:a="http://schemas.openxmlformats.org/drawingml/2006/main"/>
          <a:p xmlns:a="http://schemas.openxmlformats.org/drawingml/2006/main">
            <a:pPr>
              <a:defRPr/>
            </a:pPr>
            <a:r>
              <a:t>75歳以上人口密度（人／km²）</a:t>
            </a:r>
          </a:p>
        </rich>
      </tx>
      <overlay val="0"/>
    </title>
    <plotArea>
      <barChart>
        <barDir val="col"/>
        <grouping val="clustered"/>
        <ser>
          <idx val="0"/>
          <order val="0"/>
          <tx>
            <strRef>
              <f>'28_特定地域と地域指定'!E12</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'28_特定地域と地域指定'!$A$13:$A$15</f>
            </numRef>
          </cat>
          <val>
            <numRef>
              <f>'28_特定地域と地域指定'!$E$13:$E$15</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人／km²</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0.xml><?xml version="1.0" encoding="utf-8"?>
<chartSpace xmlns="http://schemas.openxmlformats.org/drawingml/2006/chart">
  <chart>
    <title>
      <tx>
        <rich>
          <a:bodyPr xmlns:a="http://schemas.openxmlformats.org/drawingml/2006/main"/>
          <a:p xmlns:a="http://schemas.openxmlformats.org/drawingml/2006/main">
            <a:pPr>
              <a:defRPr/>
            </a:pPr>
            <a:r>
              <a:t>スクールバス路線別乗車人員（令和2年度）</a:t>
            </a:r>
          </a:p>
        </rich>
      </tx>
      <overlay val="0"/>
    </title>
    <plotArea>
      <barChart>
        <barDir val="col"/>
        <grouping val="clustered"/>
        <ser>
          <idx val="0"/>
          <order val="0"/>
          <tx>
            <strRef>
              <f>'29_美瑛町の交通'!E5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'29_美瑛町の交通'!$A$6:$A$13</f>
            </numRef>
          </cat>
          <val>
            <numRef>
              <f>'29_美瑛町の交通'!$E$6:$E$13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人／年</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1.xml><?xml version="1.0" encoding="utf-8"?>
<chartSpace xmlns="http://schemas.openxmlformats.org/drawingml/2006/chart">
  <chart>
    <title>
      <tx>
        <rich>
          <a:bodyPr xmlns:a="http://schemas.openxmlformats.org/drawingml/2006/main"/>
          <a:p xmlns:a="http://schemas.openxmlformats.org/drawingml/2006/main">
            <a:pPr>
              <a:defRPr/>
            </a:pPr>
            <a:r>
              <a:t>必要保険料月額と条例上の基準額（第9期）</a:t>
            </a:r>
          </a:p>
        </rich>
      </tx>
      <overlay val="0"/>
    </title>
    <plotArea>
      <barChart>
        <barDir val="col"/>
        <grouping val="clustered"/>
        <ser>
          <idx val="0"/>
          <order val="0"/>
          <tx>
            <strRef>
              <f>'30_保険料の分析'!B5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'30_保険料の分析'!$A$6:$A$7</f>
            </numRef>
          </cat>
          <val>
            <numRef>
              <f>'30_保険料の分析'!$B$6:$B$7</f>
            </numRef>
          </val>
        </ser>
        <ser>
          <idx val="1"/>
          <order val="1"/>
          <tx>
            <strRef>
              <f>'30_保険料の分析'!C5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'30_保険料の分析'!$A$6:$A$7</f>
            </numRef>
          </cat>
          <val>
            <numRef>
              <f>'30_保険料の分析'!$C$6:$C$7</f>
            </numRef>
          </val>
        </ser>
        <gapWidth val="7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2.xml><?xml version="1.0" encoding="utf-8"?>
<chartSpace xmlns="http://schemas.openxmlformats.org/drawingml/2006/chart">
  <chart>
    <title>
      <tx>
        <rich>
          <a:bodyPr xmlns:a="http://schemas.openxmlformats.org/drawingml/2006/main"/>
          <a:p xmlns:a="http://schemas.openxmlformats.org/drawingml/2006/main">
            <a:pPr>
              <a:defRPr/>
            </a:pPr>
            <a:r>
              <a:t>上川管内21保険者の第9期保険料基準額（月額）</a:t>
            </a:r>
          </a:p>
        </rich>
      </tx>
      <overlay val="0"/>
    </title>
    <plotArea>
      <barChart>
        <barDir val="col"/>
        <grouping val="clustered"/>
        <ser>
          <idx val="0"/>
          <order val="0"/>
          <tx>
            <strRef>
              <f>'30_保険料の分析'!B11</f>
            </strRef>
          </tx>
          <spPr>
            <a:solidFill xmlns:a="http://schemas.openxmlformats.org/drawingml/2006/main">
              <a:srgbClr val="000000"/>
            </a:solidFill>
            <a:ln xmlns:a="http://schemas.openxmlformats.org/drawingml/2006/main" w="6350">
              <a:solidFill>
                <a:srgbClr val="000000"/>
              </a:solidFill>
              <a:prstDash val="solid"/>
            </a:ln>
          </spPr>
          <cat>
            <numRef>
              <f>'30_保険料の分析'!$A$12:$A$32</f>
            </numRef>
          </cat>
          <val>
            <numRef>
              <f>'30_保険料の分析'!$B$12:$B$32</f>
            </numRef>
          </val>
        </ser>
        <gapWidth val="4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3.xml><?xml version="1.0" encoding="utf-8"?>
<chartSpace xmlns="http://schemas.openxmlformats.org/drawingml/2006/chart">
  <chart>
    <title>
      <tx>
        <rich>
          <a:bodyPr xmlns:a="http://schemas.openxmlformats.org/drawingml/2006/main"/>
          <a:p xmlns:a="http://schemas.openxmlformats.org/drawingml/2006/main">
            <a:pPr>
              <a:defRPr/>
            </a:pPr>
            <a:r>
              <a:t>代表KPI16項目のデータ源の確保状況</a:t>
            </a:r>
          </a:p>
        </rich>
      </tx>
      <overlay val="0"/>
    </title>
    <plotArea>
      <barChart>
        <barDir val="col"/>
        <grouping val="clustered"/>
        <ser>
          <idx val="0"/>
          <order val="0"/>
          <tx>
            <strRef>
              <f>'31_KPIのデータ源'!B5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'31_KPIのデータ源'!$A$6:$A$10</f>
            </numRef>
          </cat>
          <val>
            <numRef>
              <f>'31_KPIのデータ源'!$B$6:$B$10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30"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項目数</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_rels/drawing3.xml.rels><Relationships xmlns="http://schemas.openxmlformats.org/package/2006/relationships"><Relationship Type="http://schemas.openxmlformats.org/officeDocument/2006/relationships/chart" Target="/xl/charts/chart4.xml" Id="rId1"/><Relationship Type="http://schemas.openxmlformats.org/officeDocument/2006/relationships/chart" Target="/xl/charts/chart5.xml" Id="rId2"/><Relationship Type="http://schemas.openxmlformats.org/officeDocument/2006/relationships/chart" Target="/xl/charts/chart6.xml" Id="rId3"/></Relationships>
</file>

<file path=xl/drawings/_rels/drawing4.xml.rels><Relationships xmlns="http://schemas.openxmlformats.org/package/2006/relationships"><Relationship Type="http://schemas.openxmlformats.org/officeDocument/2006/relationships/chart" Target="/xl/charts/chart7.xml" Id="rId1"/></Relationships>
</file>

<file path=xl/drawings/_rels/drawing5.xml.rels><Relationships xmlns="http://schemas.openxmlformats.org/package/2006/relationships"><Relationship Type="http://schemas.openxmlformats.org/officeDocument/2006/relationships/chart" Target="/xl/charts/chart8.xml" Id="rId1"/></Relationships>
</file>

<file path=xl/drawings/_rels/drawing6.xml.rels><Relationships xmlns="http://schemas.openxmlformats.org/package/2006/relationships"><Relationship Type="http://schemas.openxmlformats.org/officeDocument/2006/relationships/chart" Target="/xl/charts/chart9.xml" Id="rId1"/><Relationship Type="http://schemas.openxmlformats.org/officeDocument/2006/relationships/chart" Target="/xl/charts/chart10.xml" Id="rId2"/><Relationship Type="http://schemas.openxmlformats.org/officeDocument/2006/relationships/chart" Target="/xl/charts/chart11.xml" Id="rId3"/></Relationships>
</file>

<file path=xl/drawings/_rels/drawing7.xml.rels><Relationships xmlns="http://schemas.openxmlformats.org/package/2006/relationships"><Relationship Type="http://schemas.openxmlformats.org/officeDocument/2006/relationships/chart" Target="/xl/charts/chart12.xml" Id="rId1"/><Relationship Type="http://schemas.openxmlformats.org/officeDocument/2006/relationships/chart" Target="/xl/charts/chart13.xml" Id="rId2"/></Relationships>
</file>

<file path=xl/drawings/_rels/drawing8.xml.rels><Relationships xmlns="http://schemas.openxmlformats.org/package/2006/relationships"><Relationship Type="http://schemas.openxmlformats.org/officeDocument/2006/relationships/chart" Target="/xl/charts/chart14.xml" Id="rId1"/></Relationships>
</file>

<file path=xl/drawings/_rels/drawing9.xml.rels><Relationships xmlns="http://schemas.openxmlformats.org/package/2006/relationships"><Relationship Type="http://schemas.openxmlformats.org/officeDocument/2006/relationships/chart" Target="/xl/charts/chart15.xml" Id="rId1"/><Relationship Type="http://schemas.openxmlformats.org/officeDocument/2006/relationships/chart" Target="/xl/charts/chart16.xml" Id="rId2"/><Relationship Type="http://schemas.openxmlformats.org/officeDocument/2006/relationships/chart" Target="/xl/charts/chart17.xml" Id="rId3"/><Relationship Type="http://schemas.openxmlformats.org/officeDocument/2006/relationships/chart" Target="/xl/charts/chart18.xml" Id="rId4"/><Relationship Type="http://schemas.openxmlformats.org/officeDocument/2006/relationships/chart" Target="/xl/charts/chart19.xml" Id="rId5"/><Relationship Type="http://schemas.openxmlformats.org/officeDocument/2006/relationships/chart" Target="/xl/charts/chart20.xml" Id="rId6"/><Relationship Type="http://schemas.openxmlformats.org/officeDocument/2006/relationships/chart" Target="/xl/charts/chart21.xml" Id="rId7"/><Relationship Type="http://schemas.openxmlformats.org/officeDocument/2006/relationships/chart" Target="/xl/charts/chart22.xml" Id="rId8"/><Relationship Type="http://schemas.openxmlformats.org/officeDocument/2006/relationships/chart" Target="/xl/charts/chart23.xml" Id="rId9"/><Relationship Type="http://schemas.openxmlformats.org/officeDocument/2006/relationships/chart" Target="/xl/charts/chart24.xml" Id="rId10"/><Relationship Type="http://schemas.openxmlformats.org/officeDocument/2006/relationships/chart" Target="/xl/charts/chart25.xml" Id="rId11"/><Relationship Type="http://schemas.openxmlformats.org/officeDocument/2006/relationships/chart" Target="/xl/charts/chart26.xml" Id="rId12"/><Relationship Type="http://schemas.openxmlformats.org/officeDocument/2006/relationships/chart" Target="/xl/charts/chart27.xml" Id="rId13"/><Relationship Type="http://schemas.openxmlformats.org/officeDocument/2006/relationships/chart" Target="/xl/charts/chart28.xml" Id="rId14"/><Relationship Type="http://schemas.openxmlformats.org/officeDocument/2006/relationships/chart" Target="/xl/charts/chart29.xml" Id="rId15"/><Relationship Type="http://schemas.openxmlformats.org/officeDocument/2006/relationships/chart" Target="/xl/charts/chart30.xml" Id="rId16"/><Relationship Type="http://schemas.openxmlformats.org/officeDocument/2006/relationships/chart" Target="/xl/charts/chart31.xml" Id="rId17"/><Relationship Type="http://schemas.openxmlformats.org/officeDocument/2006/relationships/chart" Target="/xl/charts/chart32.xml" Id="rId18"/><Relationship Type="http://schemas.openxmlformats.org/officeDocument/2006/relationships/chart" Target="/xl/charts/chart33.xml" Id="rId19"/><Relationship Type="http://schemas.openxmlformats.org/officeDocument/2006/relationships/chart" Target="/xl/charts/chart34.xml" Id="rId20"/><Relationship Type="http://schemas.openxmlformats.org/officeDocument/2006/relationships/chart" Target="/xl/charts/chart35.xml" Id="rId21"/><Relationship Type="http://schemas.openxmlformats.org/officeDocument/2006/relationships/chart" Target="/xl/charts/chart36.xml" Id="rId22"/><Relationship Type="http://schemas.openxmlformats.org/officeDocument/2006/relationships/chart" Target="/xl/charts/chart37.xml" Id="rId23"/><Relationship Type="http://schemas.openxmlformats.org/officeDocument/2006/relationships/chart" Target="/xl/charts/chart38.xml" Id="rId24"/><Relationship Type="http://schemas.openxmlformats.org/officeDocument/2006/relationships/chart" Target="/xl/charts/chart39.xml" Id="rId25"/><Relationship Type="http://schemas.openxmlformats.org/officeDocument/2006/relationships/chart" Target="/xl/charts/chart40.xml" Id="rId26"/><Relationship Type="http://schemas.openxmlformats.org/officeDocument/2006/relationships/chart" Target="/xl/charts/chart41.xml" Id="rId27"/><Relationship Type="http://schemas.openxmlformats.org/officeDocument/2006/relationships/chart" Target="/xl/charts/chart42.xml" Id="rId28"/><Relationship Type="http://schemas.openxmlformats.org/officeDocument/2006/relationships/chart" Target="/xl/charts/chart43.xml" Id="rId29"/><Relationship Type="http://schemas.openxmlformats.org/officeDocument/2006/relationships/chart" Target="/xl/charts/chart44.xml" Id="rId30"/><Relationship Type="http://schemas.openxmlformats.org/officeDocument/2006/relationships/chart" Target="/xl/charts/chart45.xml" Id="rId31"/><Relationship Type="http://schemas.openxmlformats.org/officeDocument/2006/relationships/chart" Target="/xl/charts/chart46.xml" Id="rId32"/><Relationship Type="http://schemas.openxmlformats.org/officeDocument/2006/relationships/chart" Target="/xl/charts/chart47.xml" Id="rId33"/><Relationship Type="http://schemas.openxmlformats.org/officeDocument/2006/relationships/chart" Target="/xl/charts/chart48.xml" Id="rId34"/><Relationship Type="http://schemas.openxmlformats.org/officeDocument/2006/relationships/chart" Target="/xl/charts/chart49.xml" Id="rId35"/><Relationship Type="http://schemas.openxmlformats.org/officeDocument/2006/relationships/chart" Target="/xl/charts/chart50.xml" Id="rId36"/><Relationship Type="http://schemas.openxmlformats.org/officeDocument/2006/relationships/chart" Target="/xl/charts/chart51.xml" Id="rId37"/><Relationship Type="http://schemas.openxmlformats.org/officeDocument/2006/relationships/chart" Target="/xl/charts/chart52.xml" Id="rId38"/><Relationship Type="http://schemas.openxmlformats.org/officeDocument/2006/relationships/chart" Target="/xl/charts/chart53.xml" Id="rId39"/><Relationship Type="http://schemas.openxmlformats.org/officeDocument/2006/relationships/chart" Target="/xl/charts/chart54.xml" Id="rId40"/><Relationship Type="http://schemas.openxmlformats.org/officeDocument/2006/relationships/chart" Target="/xl/charts/chart55.xml" Id="rId41"/></Relationships>
</file>

<file path=xl/drawings/_rels/drawing10.xml.rels><Relationships xmlns="http://schemas.openxmlformats.org/package/2006/relationships"><Relationship Type="http://schemas.openxmlformats.org/officeDocument/2006/relationships/chart" Target="/xl/charts/chart56.xml" Id="rId1"/><Relationship Type="http://schemas.openxmlformats.org/officeDocument/2006/relationships/chart" Target="/xl/charts/chart57.xml" Id="rId2"/><Relationship Type="http://schemas.openxmlformats.org/officeDocument/2006/relationships/chart" Target="/xl/charts/chart58.xml" Id="rId3"/><Relationship Type="http://schemas.openxmlformats.org/officeDocument/2006/relationships/chart" Target="/xl/charts/chart59.xml" Id="rId4"/><Relationship Type="http://schemas.openxmlformats.org/officeDocument/2006/relationships/chart" Target="/xl/charts/chart60.xml" Id="rId5"/><Relationship Type="http://schemas.openxmlformats.org/officeDocument/2006/relationships/chart" Target="/xl/charts/chart61.xml" Id="rId6"/></Relationships>
</file>

<file path=xl/drawings/_rels/drawing11.xml.rels><Relationships xmlns="http://schemas.openxmlformats.org/package/2006/relationships"><Relationship Type="http://schemas.openxmlformats.org/officeDocument/2006/relationships/chart" Target="/xl/charts/chart62.xml" Id="rId1"/><Relationship Type="http://schemas.openxmlformats.org/officeDocument/2006/relationships/chart" Target="/xl/charts/chart63.xml" Id="rId2"/><Relationship Type="http://schemas.openxmlformats.org/officeDocument/2006/relationships/chart" Target="/xl/charts/chart64.xml" Id="rId3"/></Relationships>
</file>

<file path=xl/drawings/_rels/drawing12.xml.rels><Relationships xmlns="http://schemas.openxmlformats.org/package/2006/relationships"><Relationship Type="http://schemas.openxmlformats.org/officeDocument/2006/relationships/chart" Target="/xl/charts/chart65.xml" Id="rId1"/><Relationship Type="http://schemas.openxmlformats.org/officeDocument/2006/relationships/chart" Target="/xl/charts/chart66.xml" Id="rId2"/><Relationship Type="http://schemas.openxmlformats.org/officeDocument/2006/relationships/chart" Target="/xl/charts/chart67.xml" Id="rId3"/><Relationship Type="http://schemas.openxmlformats.org/officeDocument/2006/relationships/chart" Target="/xl/charts/chart68.xml" Id="rId4"/><Relationship Type="http://schemas.openxmlformats.org/officeDocument/2006/relationships/chart" Target="/xl/charts/chart69.xml" Id="rId5"/><Relationship Type="http://schemas.openxmlformats.org/officeDocument/2006/relationships/chart" Target="/xl/charts/chart70.xml" Id="rId6"/><Relationship Type="http://schemas.openxmlformats.org/officeDocument/2006/relationships/chart" Target="/xl/charts/chart71.xml" Id="rId7"/></Relationships>
</file>

<file path=xl/drawings/_rels/drawing13.xml.rels><Relationships xmlns="http://schemas.openxmlformats.org/package/2006/relationships"><Relationship Type="http://schemas.openxmlformats.org/officeDocument/2006/relationships/chart" Target="/xl/charts/chart72.xml" Id="rId1"/><Relationship Type="http://schemas.openxmlformats.org/officeDocument/2006/relationships/chart" Target="/xl/charts/chart73.xml" Id="rId2"/><Relationship Type="http://schemas.openxmlformats.org/officeDocument/2006/relationships/chart" Target="/xl/charts/chart74.xml" Id="rId3"/><Relationship Type="http://schemas.openxmlformats.org/officeDocument/2006/relationships/chart" Target="/xl/charts/chart75.xml" Id="rId4"/><Relationship Type="http://schemas.openxmlformats.org/officeDocument/2006/relationships/chart" Target="/xl/charts/chart76.xml" Id="rId5"/><Relationship Type="http://schemas.openxmlformats.org/officeDocument/2006/relationships/chart" Target="/xl/charts/chart77.xml" Id="rId6"/><Relationship Type="http://schemas.openxmlformats.org/officeDocument/2006/relationships/chart" Target="/xl/charts/chart78.xml" Id="rId7"/><Relationship Type="http://schemas.openxmlformats.org/officeDocument/2006/relationships/chart" Target="/xl/charts/chart79.xml" Id="rId8"/><Relationship Type="http://schemas.openxmlformats.org/officeDocument/2006/relationships/chart" Target="/xl/charts/chart80.xml" Id="rId9"/><Relationship Type="http://schemas.openxmlformats.org/officeDocument/2006/relationships/chart" Target="/xl/charts/chart81.xml" Id="rId10"/><Relationship Type="http://schemas.openxmlformats.org/officeDocument/2006/relationships/chart" Target="/xl/charts/chart82.xml" Id="rId11"/><Relationship Type="http://schemas.openxmlformats.org/officeDocument/2006/relationships/chart" Target="/xl/charts/chart83.xml" Id="rId12"/><Relationship Type="http://schemas.openxmlformats.org/officeDocument/2006/relationships/chart" Target="/xl/charts/chart84.xml" Id="rId13"/><Relationship Type="http://schemas.openxmlformats.org/officeDocument/2006/relationships/chart" Target="/xl/charts/chart85.xml" Id="rId14"/></Relationships>
</file>

<file path=xl/drawings/_rels/drawing14.xml.rels><Relationships xmlns="http://schemas.openxmlformats.org/package/2006/relationships"><Relationship Type="http://schemas.openxmlformats.org/officeDocument/2006/relationships/chart" Target="/xl/charts/chart86.xml" Id="rId1"/><Relationship Type="http://schemas.openxmlformats.org/officeDocument/2006/relationships/chart" Target="/xl/charts/chart87.xml" Id="rId2"/><Relationship Type="http://schemas.openxmlformats.org/officeDocument/2006/relationships/chart" Target="/xl/charts/chart88.xml" Id="rId3"/></Relationships>
</file>

<file path=xl/drawings/_rels/drawing15.xml.rels><Relationships xmlns="http://schemas.openxmlformats.org/package/2006/relationships"><Relationship Type="http://schemas.openxmlformats.org/officeDocument/2006/relationships/chart" Target="/xl/charts/chart89.xml" Id="rId1"/><Relationship Type="http://schemas.openxmlformats.org/officeDocument/2006/relationships/chart" Target="/xl/charts/chart90.xml" Id="rId2"/><Relationship Type="http://schemas.openxmlformats.org/officeDocument/2006/relationships/chart" Target="/xl/charts/chart91.xml" Id="rId3"/><Relationship Type="http://schemas.openxmlformats.org/officeDocument/2006/relationships/chart" Target="/xl/charts/chart92.xml" Id="rId4"/><Relationship Type="http://schemas.openxmlformats.org/officeDocument/2006/relationships/chart" Target="/xl/charts/chart93.xml" Id="rId5"/></Relationships>
</file>

<file path=xl/drawings/_rels/drawing16.xml.rels><Relationships xmlns="http://schemas.openxmlformats.org/package/2006/relationships"><Relationship Type="http://schemas.openxmlformats.org/officeDocument/2006/relationships/chart" Target="/xl/charts/chart94.xml" Id="rId1"/><Relationship Type="http://schemas.openxmlformats.org/officeDocument/2006/relationships/chart" Target="/xl/charts/chart95.xml" Id="rId2"/></Relationships>
</file>

<file path=xl/drawings/_rels/drawing17.xml.rels><Relationships xmlns="http://schemas.openxmlformats.org/package/2006/relationships"><Relationship Type="http://schemas.openxmlformats.org/officeDocument/2006/relationships/chart" Target="/xl/charts/chart96.xml" Id="rId1"/></Relationships>
</file>

<file path=xl/drawings/_rels/drawing18.xml.rels><Relationships xmlns="http://schemas.openxmlformats.org/package/2006/relationships"><Relationship Type="http://schemas.openxmlformats.org/officeDocument/2006/relationships/chart" Target="/xl/charts/chart97.xml" Id="rId1"/><Relationship Type="http://schemas.openxmlformats.org/officeDocument/2006/relationships/chart" Target="/xl/charts/chart98.xml" Id="rId2"/><Relationship Type="http://schemas.openxmlformats.org/officeDocument/2006/relationships/chart" Target="/xl/charts/chart99.xml" Id="rId3"/></Relationships>
</file>

<file path=xl/drawings/_rels/drawing19.xml.rels><Relationships xmlns="http://schemas.openxmlformats.org/package/2006/relationships"><Relationship Type="http://schemas.openxmlformats.org/officeDocument/2006/relationships/chart" Target="/xl/charts/chart100.xml" Id="rId1"/><Relationship Type="http://schemas.openxmlformats.org/officeDocument/2006/relationships/chart" Target="/xl/charts/chart101.xml" Id="rId2"/><Relationship Type="http://schemas.openxmlformats.org/officeDocument/2006/relationships/chart" Target="/xl/charts/chart102.xml" Id="rId3"/></Relationships>
</file>

<file path=xl/drawings/_rels/drawing20.xml.rels><Relationships xmlns="http://schemas.openxmlformats.org/package/2006/relationships"><Relationship Type="http://schemas.openxmlformats.org/officeDocument/2006/relationships/chart" Target="/xl/charts/chart103.xml" Id="rId1"/><Relationship Type="http://schemas.openxmlformats.org/officeDocument/2006/relationships/chart" Target="/xl/charts/chart104.xml" Id="rId2"/></Relationships>
</file>

<file path=xl/drawings/_rels/drawing21.xml.rels><Relationships xmlns="http://schemas.openxmlformats.org/package/2006/relationships"><Relationship Type="http://schemas.openxmlformats.org/officeDocument/2006/relationships/chart" Target="/xl/charts/chart105.xml" Id="rId1"/><Relationship Type="http://schemas.openxmlformats.org/officeDocument/2006/relationships/chart" Target="/xl/charts/chart106.xml" Id="rId2"/><Relationship Type="http://schemas.openxmlformats.org/officeDocument/2006/relationships/chart" Target="/xl/charts/chart107.xml" Id="rId3"/><Relationship Type="http://schemas.openxmlformats.org/officeDocument/2006/relationships/chart" Target="/xl/charts/chart108.xml" Id="rId4"/><Relationship Type="http://schemas.openxmlformats.org/officeDocument/2006/relationships/chart" Target="/xl/charts/chart109.xml" Id="rId5"/><Relationship Type="http://schemas.openxmlformats.org/officeDocument/2006/relationships/chart" Target="/xl/charts/chart110.xml" Id="rId6"/><Relationship Type="http://schemas.openxmlformats.org/officeDocument/2006/relationships/chart" Target="/xl/charts/chart111.xml" Id="rId7"/></Relationships>
</file>

<file path=xl/drawings/_rels/drawing22.xml.rels><Relationships xmlns="http://schemas.openxmlformats.org/package/2006/relationships"><Relationship Type="http://schemas.openxmlformats.org/officeDocument/2006/relationships/chart" Target="/xl/charts/chart112.xml" Id="rId1"/></Relationships>
</file>

<file path=xl/drawings/_rels/drawing23.xml.rels><Relationships xmlns="http://schemas.openxmlformats.org/package/2006/relationships"><Relationship Type="http://schemas.openxmlformats.org/officeDocument/2006/relationships/chart" Target="/xl/charts/chart113.xml" Id="rId1"/><Relationship Type="http://schemas.openxmlformats.org/officeDocument/2006/relationships/chart" Target="/xl/charts/chart114.xml" Id="rId2"/><Relationship Type="http://schemas.openxmlformats.org/officeDocument/2006/relationships/chart" Target="/xl/charts/chart115.xml" Id="rId3"/></Relationships>
</file>

<file path=xl/drawings/_rels/drawing24.xml.rels><Relationships xmlns="http://schemas.openxmlformats.org/package/2006/relationships"><Relationship Type="http://schemas.openxmlformats.org/officeDocument/2006/relationships/chart" Target="/xl/charts/chart116.xml" Id="rId1"/><Relationship Type="http://schemas.openxmlformats.org/officeDocument/2006/relationships/chart" Target="/xl/charts/chart117.xml" Id="rId2"/><Relationship Type="http://schemas.openxmlformats.org/officeDocument/2006/relationships/chart" Target="/xl/charts/chart118.xml" Id="rId3"/></Relationships>
</file>

<file path=xl/drawings/_rels/drawing25.xml.rels><Relationships xmlns="http://schemas.openxmlformats.org/package/2006/relationships"><Relationship Type="http://schemas.openxmlformats.org/officeDocument/2006/relationships/chart" Target="/xl/charts/chart119.xml" Id="rId1"/><Relationship Type="http://schemas.openxmlformats.org/officeDocument/2006/relationships/chart" Target="/xl/charts/chart120.xml" Id="rId2"/><Relationship Type="http://schemas.openxmlformats.org/officeDocument/2006/relationships/chart" Target="/xl/charts/chart121.xml" Id="rId3"/></Relationships>
</file>

<file path=xl/drawings/_rels/drawing26.xml.rels><Relationships xmlns="http://schemas.openxmlformats.org/package/2006/relationships"><Relationship Type="http://schemas.openxmlformats.org/officeDocument/2006/relationships/chart" Target="/xl/charts/chart122.xml" Id="rId1"/><Relationship Type="http://schemas.openxmlformats.org/officeDocument/2006/relationships/chart" Target="/xl/charts/chart123.xml" Id="rId2"/><Relationship Type="http://schemas.openxmlformats.org/officeDocument/2006/relationships/chart" Target="/xl/charts/chart124.xml" Id="rId3"/></Relationships>
</file>

<file path=xl/drawings/_rels/drawing27.xml.rels><Relationships xmlns="http://schemas.openxmlformats.org/package/2006/relationships"><Relationship Type="http://schemas.openxmlformats.org/officeDocument/2006/relationships/chart" Target="/xl/charts/chart125.xml" Id="rId1"/><Relationship Type="http://schemas.openxmlformats.org/officeDocument/2006/relationships/chart" Target="/xl/charts/chart126.xml" Id="rId2"/><Relationship Type="http://schemas.openxmlformats.org/officeDocument/2006/relationships/chart" Target="/xl/charts/chart127.xml" Id="rId3"/><Relationship Type="http://schemas.openxmlformats.org/officeDocument/2006/relationships/chart" Target="/xl/charts/chart128.xml" Id="rId4"/></Relationships>
</file>

<file path=xl/drawings/_rels/drawing28.xml.rels><Relationships xmlns="http://schemas.openxmlformats.org/package/2006/relationships"><Relationship Type="http://schemas.openxmlformats.org/officeDocument/2006/relationships/chart" Target="/xl/charts/chart129.xml" Id="rId1"/></Relationships>
</file>

<file path=xl/drawings/_rels/drawing29.xml.rels><Relationships xmlns="http://schemas.openxmlformats.org/package/2006/relationships"><Relationship Type="http://schemas.openxmlformats.org/officeDocument/2006/relationships/chart" Target="/xl/charts/chart130.xml" Id="rId1"/></Relationships>
</file>

<file path=xl/drawings/_rels/drawing30.xml.rels><Relationships xmlns="http://schemas.openxmlformats.org/package/2006/relationships"><Relationship Type="http://schemas.openxmlformats.org/officeDocument/2006/relationships/chart" Target="/xl/charts/chart131.xml" Id="rId1"/><Relationship Type="http://schemas.openxmlformats.org/officeDocument/2006/relationships/chart" Target="/xl/charts/chart132.xml" Id="rId2"/></Relationships>
</file>

<file path=xl/drawings/_rels/drawing31.xml.rels><Relationships xmlns="http://schemas.openxmlformats.org/package/2006/relationships"><Relationship Type="http://schemas.openxmlformats.org/officeDocument/2006/relationships/chart" Target="/xl/charts/chart133.xml" Id="rId1"/></Relationships>
</file>

<file path=xl/drawings/drawing1.xml><?xml version="1.0" encoding="utf-8"?>
<wsDr xmlns="http://schemas.openxmlformats.org/drawingml/2006/spreadsheetDrawing">
  <oneCellAnchor>
    <from>
      <col>17</col>
      <colOff>0</colOff>
      <row>3</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17</col>
      <colOff>0</colOff>
      <row>30</row>
      <rowOff>0</rowOff>
    </from>
    <ext cx="1008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0</col>
      <colOff>0</colOff>
      <row>12</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5</col>
      <colOff>0</colOff>
      <row>23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16</col>
      <colOff>0</colOff>
      <row>32</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47</row>
      <rowOff>0</rowOff>
    </from>
    <ext cx="504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4.xml><?xml version="1.0" encoding="utf-8"?>
<wsDr xmlns="http://schemas.openxmlformats.org/drawingml/2006/spreadsheetDrawing">
  <oneCellAnchor>
    <from>
      <col>0</col>
      <colOff>0</colOff>
      <row>15</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0</col>
      <colOff>0</colOff>
      <row>13</row>
      <rowOff>0</rowOff>
    </from>
    <ext cx="864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17</col>
      <colOff>0</colOff>
      <row>4</row>
      <rowOff>0</rowOff>
    </from>
    <ext cx="1008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17</col>
      <colOff>0</colOff>
      <row>27</row>
      <rowOff>0</rowOff>
    </from>
    <ext cx="1008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17</col>
      <colOff>0</colOff>
      <row>50</row>
      <rowOff>0</rowOff>
    </from>
    <ext cx="93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7.xml><?xml version="1.0" encoding="utf-8"?>
<wsDr xmlns="http://schemas.openxmlformats.org/drawingml/2006/spreadsheetDrawing">
  <oneCellAnchor>
    <from>
      <col>9</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26</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8.xml><?xml version="1.0" encoding="utf-8"?>
<wsDr xmlns="http://schemas.openxmlformats.org/drawingml/2006/spreadsheetDrawing">
  <oneCellAnchor>
    <from>
      <col>12</col>
      <colOff>0</colOff>
      <row>50</row>
      <rowOff>0</rowOff>
    </from>
    <ext cx="720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9.xml><?xml version="1.0" encoding="utf-8"?>
<wsDr xmlns="http://schemas.openxmlformats.org/drawingml/2006/spreadsheetDrawing">
  <oneCellAnchor>
    <from>
      <col>0</col>
      <colOff>0</colOff>
      <row>3</row>
      <rowOff>0</rowOff>
    </from>
    <ext cx="46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3</row>
      <rowOff>0</rowOff>
    </from>
    <ext cx="468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20</row>
      <rowOff>0</rowOff>
    </from>
    <ext cx="468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20</row>
      <rowOff>0</rowOff>
    </from>
    <ext cx="468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37</row>
      <rowOff>0</rowOff>
    </from>
    <ext cx="468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37</row>
      <rowOff>0</rowOff>
    </from>
    <ext cx="468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0</col>
      <colOff>0</colOff>
      <row>54</row>
      <rowOff>0</rowOff>
    </from>
    <ext cx="468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54</row>
      <rowOff>0</rowOff>
    </from>
    <ext cx="468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0</col>
      <colOff>0</colOff>
      <row>71</row>
      <rowOff>0</rowOff>
    </from>
    <ext cx="468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9</col>
      <colOff>0</colOff>
      <row>71</row>
      <rowOff>0</rowOff>
    </from>
    <ext cx="468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0</col>
      <colOff>0</colOff>
      <row>88</row>
      <rowOff>0</rowOff>
    </from>
    <ext cx="468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9</col>
      <colOff>0</colOff>
      <row>88</row>
      <rowOff>0</rowOff>
    </from>
    <ext cx="468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0</col>
      <colOff>0</colOff>
      <row>105</row>
      <rowOff>0</rowOff>
    </from>
    <ext cx="468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9</col>
      <colOff>0</colOff>
      <row>105</row>
      <rowOff>0</rowOff>
    </from>
    <ext cx="468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0</col>
      <colOff>0</colOff>
      <row>122</row>
      <rowOff>0</rowOff>
    </from>
    <ext cx="468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9</col>
      <colOff>0</colOff>
      <row>122</row>
      <rowOff>0</rowOff>
    </from>
    <ext cx="468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0</col>
      <colOff>0</colOff>
      <row>139</row>
      <rowOff>0</rowOff>
    </from>
    <ext cx="468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9</col>
      <colOff>0</colOff>
      <row>139</row>
      <rowOff>0</rowOff>
    </from>
    <ext cx="468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0</col>
      <colOff>0</colOff>
      <row>156</row>
      <rowOff>0</rowOff>
    </from>
    <ext cx="468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9</col>
      <colOff>0</colOff>
      <row>156</row>
      <rowOff>0</rowOff>
    </from>
    <ext cx="468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0</col>
      <colOff>0</colOff>
      <row>173</row>
      <rowOff>0</rowOff>
    </from>
    <ext cx="468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9</col>
      <colOff>0</colOff>
      <row>173</row>
      <rowOff>0</rowOff>
    </from>
    <ext cx="468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0</col>
      <colOff>0</colOff>
      <row>190</row>
      <rowOff>0</rowOff>
    </from>
    <ext cx="468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9</col>
      <colOff>0</colOff>
      <row>190</row>
      <rowOff>0</rowOff>
    </from>
    <ext cx="468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0</col>
      <colOff>0</colOff>
      <row>207</row>
      <rowOff>0</rowOff>
    </from>
    <ext cx="468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9</col>
      <colOff>0</colOff>
      <row>207</row>
      <rowOff>0</rowOff>
    </from>
    <ext cx="468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0</col>
      <colOff>0</colOff>
      <row>224</row>
      <rowOff>0</rowOff>
    </from>
    <ext cx="468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9</col>
      <colOff>0</colOff>
      <row>224</row>
      <rowOff>0</rowOff>
    </from>
    <ext cx="468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0</col>
      <colOff>0</colOff>
      <row>241</row>
      <rowOff>0</rowOff>
    </from>
    <ext cx="468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9</col>
      <colOff>0</colOff>
      <row>241</row>
      <rowOff>0</rowOff>
    </from>
    <ext cx="468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0</col>
      <colOff>0</colOff>
      <row>258</row>
      <rowOff>0</rowOff>
    </from>
    <ext cx="468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9</col>
      <colOff>0</colOff>
      <row>258</row>
      <rowOff>0</rowOff>
    </from>
    <ext cx="468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0</col>
      <colOff>0</colOff>
      <row>275</row>
      <rowOff>0</rowOff>
    </from>
    <ext cx="468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oneCellAnchor>
    <from>
      <col>9</col>
      <colOff>0</colOff>
      <row>275</row>
      <rowOff>0</rowOff>
    </from>
    <ext cx="4680000" cy="2880000"/>
    <graphicFrame>
      <nvGraphicFramePr>
        <cNvPr id="34" name="Chart 3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4"/>
        </a:graphicData>
      </a:graphic>
    </graphicFrame>
    <clientData/>
  </oneCellAnchor>
  <oneCellAnchor>
    <from>
      <col>0</col>
      <colOff>0</colOff>
      <row>292</row>
      <rowOff>0</rowOff>
    </from>
    <ext cx="4680000" cy="2880000"/>
    <graphicFrame>
      <nvGraphicFramePr>
        <cNvPr id="35" name="Chart 3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5"/>
        </a:graphicData>
      </a:graphic>
    </graphicFrame>
    <clientData/>
  </oneCellAnchor>
  <oneCellAnchor>
    <from>
      <col>9</col>
      <colOff>0</colOff>
      <row>292</row>
      <rowOff>0</rowOff>
    </from>
    <ext cx="4680000" cy="2880000"/>
    <graphicFrame>
      <nvGraphicFramePr>
        <cNvPr id="36" name="Chart 3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6"/>
        </a:graphicData>
      </a:graphic>
    </graphicFrame>
    <clientData/>
  </oneCellAnchor>
  <oneCellAnchor>
    <from>
      <col>0</col>
      <colOff>0</colOff>
      <row>309</row>
      <rowOff>0</rowOff>
    </from>
    <ext cx="4680000" cy="2880000"/>
    <graphicFrame>
      <nvGraphicFramePr>
        <cNvPr id="37" name="Chart 3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7"/>
        </a:graphicData>
      </a:graphic>
    </graphicFrame>
    <clientData/>
  </oneCellAnchor>
  <oneCellAnchor>
    <from>
      <col>9</col>
      <colOff>0</colOff>
      <row>309</row>
      <rowOff>0</rowOff>
    </from>
    <ext cx="4680000" cy="2880000"/>
    <graphicFrame>
      <nvGraphicFramePr>
        <cNvPr id="38" name="Chart 3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8"/>
        </a:graphicData>
      </a:graphic>
    </graphicFrame>
    <clientData/>
  </oneCellAnchor>
  <oneCellAnchor>
    <from>
      <col>0</col>
      <colOff>0</colOff>
      <row>326</row>
      <rowOff>0</rowOff>
    </from>
    <ext cx="4680000" cy="2880000"/>
    <graphicFrame>
      <nvGraphicFramePr>
        <cNvPr id="39" name="Chart 3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9"/>
        </a:graphicData>
      </a:graphic>
    </graphicFrame>
    <clientData/>
  </oneCellAnchor>
  <oneCellAnchor>
    <from>
      <col>9</col>
      <colOff>0</colOff>
      <row>326</row>
      <rowOff>0</rowOff>
    </from>
    <ext cx="4680000" cy="2880000"/>
    <graphicFrame>
      <nvGraphicFramePr>
        <cNvPr id="40" name="Chart 4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0"/>
        </a:graphicData>
      </a:graphic>
    </graphicFrame>
    <clientData/>
  </oneCellAnchor>
  <oneCellAnchor>
    <from>
      <col>5</col>
      <colOff>0</colOff>
      <row>343</row>
      <rowOff>0</rowOff>
    </from>
    <ext cx="7200000" cy="5364000"/>
    <graphicFrame>
      <nvGraphicFramePr>
        <cNvPr id="41" name="Chart 4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1"/>
        </a:graphicData>
      </a:graphic>
    </graphicFrame>
    <clientData/>
  </oneCellAnchor>
</wsDr>
</file>

<file path=xl/drawings/drawing10.xml><?xml version="1.0" encoding="utf-8"?>
<wsDr xmlns="http://schemas.openxmlformats.org/drawingml/2006/spreadsheetDrawing">
  <oneCellAnchor>
    <from>
      <col>4</col>
      <colOff>0</colOff>
      <row>3</row>
      <rowOff>0</rowOff>
    </from>
    <ext cx="720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22</row>
      <rowOff>0</rowOff>
    </from>
    <ext cx="7200000" cy="291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44</row>
      <rowOff>0</rowOff>
    </from>
    <ext cx="7200000" cy="628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79</row>
      <rowOff>0</rowOff>
    </from>
    <ext cx="7200000" cy="3221999"/>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0</colOff>
      <row>99</row>
      <rowOff>0</rowOff>
    </from>
    <ext cx="7200000" cy="475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127</row>
      <rowOff>0</rowOff>
    </from>
    <ext cx="7200000" cy="252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drawings/drawing11.xml><?xml version="1.0" encoding="utf-8"?>
<wsDr xmlns="http://schemas.openxmlformats.org/drawingml/2006/spreadsheetDrawing">
  <oneCellAnchor>
    <from>
      <col>12</col>
      <colOff>0</colOff>
      <row>3</row>
      <rowOff>0</rowOff>
    </from>
    <ext cx="7200000" cy="3528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12</col>
      <colOff>0</colOff>
      <row>24</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12</col>
      <colOff>0</colOff>
      <row>47</row>
      <rowOff>0</rowOff>
    </from>
    <ext cx="7200000" cy="3833999"/>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2.xml><?xml version="1.0" encoding="utf-8"?>
<wsDr xmlns="http://schemas.openxmlformats.org/drawingml/2006/spreadsheetDrawing">
  <oneCellAnchor>
    <from>
      <col>7</col>
      <colOff>0</colOff>
      <row>3</row>
      <rowOff>0</rowOff>
    </from>
    <ext cx="7200000" cy="3833999"/>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25</row>
      <rowOff>0</rowOff>
    </from>
    <ext cx="7200000" cy="3528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720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65</row>
      <rowOff>0</rowOff>
    </from>
    <ext cx="7200000" cy="3528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7</col>
      <colOff>0</colOff>
      <row>85</row>
      <rowOff>0</rowOff>
    </from>
    <ext cx="7200000" cy="360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7</col>
      <colOff>0</colOff>
      <row>105</row>
      <rowOff>0</rowOff>
    </from>
    <ext cx="7200000" cy="3833999"/>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7</col>
      <colOff>0</colOff>
      <row>129</row>
      <rowOff>0</rowOff>
    </from>
    <ext cx="7200000" cy="360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13.xml><?xml version="1.0" encoding="utf-8"?>
<wsDr xmlns="http://schemas.openxmlformats.org/drawingml/2006/spreadsheetDrawing">
  <oneCellAnchor>
    <from>
      <col>9</col>
      <colOff>0</colOff>
      <row>3</row>
      <rowOff>0</rowOff>
    </from>
    <ext cx="612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21</row>
      <rowOff>0</rowOff>
    </from>
    <ext cx="720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9</col>
      <colOff>0</colOff>
      <row>39</row>
      <rowOff>0</rowOff>
    </from>
    <ext cx="7200000" cy="25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57</row>
      <rowOff>0</rowOff>
    </from>
    <ext cx="7200000"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9</col>
      <colOff>0</colOff>
      <row>75</row>
      <rowOff>0</rowOff>
    </from>
    <ext cx="7200000" cy="223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93</row>
      <rowOff>0</rowOff>
    </from>
    <ext cx="5760000" cy="324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9</col>
      <colOff>0</colOff>
      <row>113</row>
      <rowOff>0</rowOff>
    </from>
    <ext cx="7200000" cy="2232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131</row>
      <rowOff>0</rowOff>
    </from>
    <ext cx="7200000" cy="252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9</col>
      <colOff>0</colOff>
      <row>149</row>
      <rowOff>0</rowOff>
    </from>
    <ext cx="7200000" cy="3528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9</col>
      <colOff>0</colOff>
      <row>171</row>
      <rowOff>0</rowOff>
    </from>
    <ext cx="6480000" cy="216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9</col>
      <colOff>0</colOff>
      <row>189</row>
      <rowOff>0</rowOff>
    </from>
    <ext cx="7200000" cy="252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9</col>
      <colOff>0</colOff>
      <row>207</row>
      <rowOff>0</rowOff>
    </from>
    <ext cx="6120000" cy="324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9</col>
      <colOff>0</colOff>
      <row>227</row>
      <rowOff>0</rowOff>
    </from>
    <ext cx="6120000" cy="324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9</col>
      <colOff>0</colOff>
      <row>247</row>
      <rowOff>0</rowOff>
    </from>
    <ext cx="7200000" cy="4752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wsDr>
</file>

<file path=xl/drawings/drawing14.xml><?xml version="1.0" encoding="utf-8"?>
<wsDr xmlns="http://schemas.openxmlformats.org/drawingml/2006/spreadsheetDrawing">
  <oneCellAnchor>
    <from>
      <col>11</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11</col>
      <colOff>0</colOff>
      <row>29</row>
      <rowOff>0</rowOff>
    </from>
    <ext cx="864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11</col>
      <colOff>0</colOff>
      <row>55</row>
      <rowOff>0</rowOff>
    </from>
    <ext cx="864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5.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24</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45</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15</col>
      <colOff>0</colOff>
      <row>66</row>
      <rowOff>0</rowOff>
    </from>
    <ext cx="864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15</col>
      <colOff>0</colOff>
      <row>87</row>
      <rowOff>0</rowOff>
    </from>
    <ext cx="864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drawings/drawing16.xml><?xml version="1.0" encoding="utf-8"?>
<wsDr xmlns="http://schemas.openxmlformats.org/drawingml/2006/spreadsheetDrawing">
  <oneCellAnchor>
    <from>
      <col>13</col>
      <colOff>0</colOff>
      <row>3</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936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17.xml><?xml version="1.0" encoding="utf-8"?>
<wsDr xmlns="http://schemas.openxmlformats.org/drawingml/2006/spreadsheetDrawing">
  <oneCellAnchor>
    <from>
      <col>13</col>
      <colOff>0</colOff>
      <row>3</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8.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9.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0.xml><?xml version="1.0" encoding="utf-8"?>
<wsDr xmlns="http://schemas.openxmlformats.org/drawingml/2006/spreadsheetDrawing">
  <oneCellAnchor>
    <from>
      <col>8</col>
      <colOff>0</colOff>
      <row>3</row>
      <rowOff>0</rowOff>
    </from>
    <ext cx="792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25</row>
      <rowOff>0</rowOff>
    </from>
    <ext cx="792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1.xml><?xml version="1.0" encoding="utf-8"?>
<wsDr xmlns="http://schemas.openxmlformats.org/drawingml/2006/spreadsheetDrawing">
  <oneCellAnchor>
    <from>
      <col>15</col>
      <colOff>0</colOff>
      <row>3</row>
      <rowOff>0</rowOff>
    </from>
    <ext cx="54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21</row>
      <rowOff>0</rowOff>
    </from>
    <ext cx="756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45</row>
      <rowOff>0</rowOff>
    </from>
    <ext cx="75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15</col>
      <colOff>0</colOff>
      <row>69</row>
      <rowOff>0</rowOff>
    </from>
    <ext cx="756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15</col>
      <colOff>0</colOff>
      <row>93</row>
      <rowOff>0</rowOff>
    </from>
    <ext cx="756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15</col>
      <colOff>0</colOff>
      <row>117</row>
      <rowOff>0</rowOff>
    </from>
    <ext cx="7560000" cy="396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15</col>
      <colOff>0</colOff>
      <row>141</row>
      <rowOff>0</rowOff>
    </from>
    <ext cx="7560000" cy="396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22.xml><?xml version="1.0" encoding="utf-8"?>
<wsDr xmlns="http://schemas.openxmlformats.org/drawingml/2006/spreadsheetDrawing">
  <oneCellAnchor>
    <from>
      <col>15</col>
      <colOff>0</colOff>
      <row>3</row>
      <rowOff>0</rowOff>
    </from>
    <ext cx="64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3.xml><?xml version="1.0" encoding="utf-8"?>
<wsDr xmlns="http://schemas.openxmlformats.org/drawingml/2006/spreadsheetDrawing">
  <oneCellAnchor>
    <from>
      <col>13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25</row>
      <rowOff>0</rowOff>
    </from>
    <ext cx="5760000" cy="36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47</row>
      <rowOff>0</rowOff>
    </from>
    <ext cx="612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4.xml><?xml version="1.0" encoding="utf-8"?>
<wsDr xmlns="http://schemas.openxmlformats.org/drawingml/2006/spreadsheetDrawing">
  <oneCellAnchor>
    <from>
      <col>15</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504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5.xml><?xml version="1.0" encoding="utf-8"?>
<wsDr xmlns="http://schemas.openxmlformats.org/drawingml/2006/spreadsheetDrawing">
  <oneCellAnchor>
    <from>
      <col>13</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29</row>
      <rowOff>0</rowOff>
    </from>
    <ext cx="792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55</row>
      <rowOff>0</rowOff>
    </from>
    <ext cx="792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6.xml><?xml version="1.0" encoding="utf-8"?>
<wsDr xmlns="http://schemas.openxmlformats.org/drawingml/2006/spreadsheetDrawing">
  <oneCellAnchor>
    <from>
      <col>13</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29</row>
      <rowOff>0</rowOff>
    </from>
    <ext cx="792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55</row>
      <rowOff>0</rowOff>
    </from>
    <ext cx="792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7.xml><?xml version="1.0" encoding="utf-8"?>
<wsDr xmlns="http://schemas.openxmlformats.org/drawingml/2006/spreadsheetDrawing">
  <oneCellAnchor>
    <from>
      <col>13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51</row>
      <rowOff>0</rowOff>
    </from>
    <ext cx="720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75</row>
      <rowOff>0</rowOff>
    </from>
    <ext cx="504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8.xml><?xml version="1.0" encoding="utf-8"?>
<wsDr xmlns="http://schemas.openxmlformats.org/drawingml/2006/spreadsheetDrawing">
  <oneCellAnchor>
    <from>
      <col>13</col>
      <colOff>0</colOff>
      <row>3</row>
      <rowOff>0</rowOff>
    </from>
    <ext cx="50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9.xml><?xml version="1.0" encoding="utf-8"?>
<wsDr xmlns="http://schemas.openxmlformats.org/drawingml/2006/spreadsheetDrawing">
  <oneCellAnchor>
    <from>
      <col>13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0.xml><?xml version="1.0" encoding="utf-8"?>
<wsDr xmlns="http://schemas.openxmlformats.org/drawingml/2006/spreadsheetDrawing">
  <oneCellAnchor>
    <from>
      <col>13</col>
      <colOff>0</colOff>
      <row>3</row>
      <rowOff>0</rowOff>
    </from>
    <ext cx="50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792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1.xml><?xml version="1.0" encoding="utf-8"?>
<wsDr xmlns="http://schemas.openxmlformats.org/drawingml/2006/spreadsheetDrawing">
  <oneCellAnchor>
    <from>
      <col>13</col>
      <colOff>0</colOff>
      <row>3</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s>
</file>

<file path=xl/worksheets/_rels/sheet10.xml.rels><Relationships xmlns="http://schemas.openxmlformats.org/package/2006/relationships"><Relationship Type="http://schemas.openxmlformats.org/officeDocument/2006/relationships/drawing" Target="/xl/drawings/drawing9.xml" Id="rId1"/></Relationships>
</file>

<file path=xl/worksheets/_rels/sheet11.xml.rels><Relationships xmlns="http://schemas.openxmlformats.org/package/2006/relationships"><Relationship Type="http://schemas.openxmlformats.org/officeDocument/2006/relationships/drawing" Target="/xl/drawings/drawing10.xml" Id="rId1"/></Relationships>
</file>

<file path=xl/worksheets/_rels/sheet12.xml.rels><Relationships xmlns="http://schemas.openxmlformats.org/package/2006/relationships"><Relationship Type="http://schemas.openxmlformats.org/officeDocument/2006/relationships/drawing" Target="/xl/drawings/drawing11.xml" Id="rId1"/></Relationships>
</file>

<file path=xl/worksheets/_rels/sheet13.xml.rels><Relationships xmlns="http://schemas.openxmlformats.org/package/2006/relationships"><Relationship Type="http://schemas.openxmlformats.org/officeDocument/2006/relationships/drawing" Target="/xl/drawings/drawing12.xml" Id="rId1"/></Relationships>
</file>

<file path=xl/worksheets/_rels/sheet14.xml.rels><Relationships xmlns="http://schemas.openxmlformats.org/package/2006/relationships"><Relationship Type="http://schemas.openxmlformats.org/officeDocument/2006/relationships/drawing" Target="/xl/drawings/drawing13.xml" Id="rId1"/></Relationships>
</file>

<file path=xl/worksheets/_rels/sheet15.xml.rels><Relationships xmlns="http://schemas.openxmlformats.org/package/2006/relationships"><Relationship Type="http://schemas.openxmlformats.org/officeDocument/2006/relationships/drawing" Target="/xl/drawings/drawing14.xml" Id="rId1"/></Relationships>
</file>

<file path=xl/worksheets/_rels/sheet16.xml.rels><Relationships xmlns="http://schemas.openxmlformats.org/package/2006/relationships"><Relationship Type="http://schemas.openxmlformats.org/officeDocument/2006/relationships/drawing" Target="/xl/drawings/drawing15.xml" Id="rId1"/></Relationships>
</file>

<file path=xl/worksheets/_rels/sheet17.xml.rels><Relationships xmlns="http://schemas.openxmlformats.org/package/2006/relationships"><Relationship Type="http://schemas.openxmlformats.org/officeDocument/2006/relationships/drawing" Target="/xl/drawings/drawing16.xml" Id="rId1"/></Relationships>
</file>

<file path=xl/worksheets/_rels/sheet18.xml.rels><Relationships xmlns="http://schemas.openxmlformats.org/package/2006/relationships"><Relationship Type="http://schemas.openxmlformats.org/officeDocument/2006/relationships/drawing" Target="/xl/drawings/drawing17.xml" Id="rId1"/></Relationships>
</file>

<file path=xl/worksheets/_rels/sheet19.xml.rels><Relationships xmlns="http://schemas.openxmlformats.org/package/2006/relationships"><Relationship Type="http://schemas.openxmlformats.org/officeDocument/2006/relationships/drawing" Target="/xl/drawings/drawing18.xml" Id="rId1"/></Relationships>
</file>

<file path=xl/worksheets/_rels/sheet20.xml.rels><Relationships xmlns="http://schemas.openxmlformats.org/package/2006/relationships"><Relationship Type="http://schemas.openxmlformats.org/officeDocument/2006/relationships/drawing" Target="/xl/drawings/drawing19.xml" Id="rId1"/></Relationships>
</file>

<file path=xl/worksheets/_rels/sheet21.xml.rels><Relationships xmlns="http://schemas.openxmlformats.org/package/2006/relationships"><Relationship Type="http://schemas.openxmlformats.org/officeDocument/2006/relationships/drawing" Target="/xl/drawings/drawing20.xml" Id="rId1"/></Relationships>
</file>

<file path=xl/worksheets/_rels/sheet22.xml.rels><Relationships xmlns="http://schemas.openxmlformats.org/package/2006/relationships"><Relationship Type="http://schemas.openxmlformats.org/officeDocument/2006/relationships/drawing" Target="/xl/drawings/drawing21.xml" Id="rId1"/></Relationships>
</file>

<file path=xl/worksheets/_rels/sheet23.xml.rels><Relationships xmlns="http://schemas.openxmlformats.org/package/2006/relationships"><Relationship Type="http://schemas.openxmlformats.org/officeDocument/2006/relationships/drawing" Target="/xl/drawings/drawing22.xml" Id="rId1"/></Relationships>
</file>

<file path=xl/worksheets/_rels/sheet24.xml.rels><Relationships xmlns="http://schemas.openxmlformats.org/package/2006/relationships"><Relationship Type="http://schemas.openxmlformats.org/officeDocument/2006/relationships/drawing" Target="/xl/drawings/drawing23.xml" Id="rId1"/></Relationships>
</file>

<file path=xl/worksheets/_rels/sheet25.xml.rels><Relationships xmlns="http://schemas.openxmlformats.org/package/2006/relationships"><Relationship Type="http://schemas.openxmlformats.org/officeDocument/2006/relationships/drawing" Target="/xl/drawings/drawing24.xml" Id="rId1"/></Relationships>
</file>

<file path=xl/worksheets/_rels/sheet26.xml.rels><Relationships xmlns="http://schemas.openxmlformats.org/package/2006/relationships"><Relationship Type="http://schemas.openxmlformats.org/officeDocument/2006/relationships/drawing" Target="/xl/drawings/drawing25.xml" Id="rId1"/></Relationships>
</file>

<file path=xl/worksheets/_rels/sheet27.xml.rels><Relationships xmlns="http://schemas.openxmlformats.org/package/2006/relationships"><Relationship Type="http://schemas.openxmlformats.org/officeDocument/2006/relationships/drawing" Target="/xl/drawings/drawing26.xml" Id="rId1"/></Relationships>
</file>

<file path=xl/worksheets/_rels/sheet28.xml.rels><Relationships xmlns="http://schemas.openxmlformats.org/package/2006/relationships"><Relationship Type="http://schemas.openxmlformats.org/officeDocument/2006/relationships/drawing" Target="/xl/drawings/drawing27.xml" Id="rId1"/></Relationships>
</file>

<file path=xl/worksheets/_rels/sheet29.xml.rels><Relationships xmlns="http://schemas.openxmlformats.org/package/2006/relationships"><Relationship Type="http://schemas.openxmlformats.org/officeDocument/2006/relationships/drawing" Target="/xl/drawings/drawing28.xml" Id="rId1"/></Relationships>
</file>

<file path=xl/worksheets/_rels/sheet30.xml.rels><Relationships xmlns="http://schemas.openxmlformats.org/package/2006/relationships"><Relationship Type="http://schemas.openxmlformats.org/officeDocument/2006/relationships/drawing" Target="/xl/drawings/drawing29.xml" Id="rId1"/></Relationships>
</file>

<file path=xl/worksheets/_rels/sheet31.xml.rels><Relationships xmlns="http://schemas.openxmlformats.org/package/2006/relationships"><Relationship Type="http://schemas.openxmlformats.org/officeDocument/2006/relationships/drawing" Target="/xl/drawings/drawing30.xml" Id="rId1"/></Relationships>
</file>

<file path=xl/worksheets/_rels/sheet32.xml.rels><Relationships xmlns="http://schemas.openxmlformats.org/package/2006/relationships"><Relationship Type="http://schemas.openxmlformats.org/officeDocument/2006/relationships/drawing" Target="/xl/drawings/drawing31.xml" Id="rId1"/></Relationships>
</file>

<file path=xl/worksheets/sheet1.xml><?xml version="1.0" encoding="utf-8"?>
<worksheet xmlns="http://schemas.openxmlformats.org/spreadsheetml/2006/main">
  <sheetPr>
    <outlinePr summaryBelow="1" summaryRight="1"/>
    <pageSetUpPr/>
  </sheetPr>
  <dimension ref="A1:M54"/>
  <sheetViews>
    <sheetView workbookViewId="0">
      <selection activeCell="A1" sqref="A1"/>
    </sheetView>
  </sheetViews>
  <sheetFormatPr baseColWidth="8" defaultRowHeight="15"/>
  <cols>
    <col width="6" customWidth="1" min="1" max="1"/>
    <col width="26" customWidth="1" min="2" max="2"/>
    <col width="34" customWidth="1" min="3" max="3"/>
    <col width="44" customWidth="1" min="4" max="4"/>
    <col width="30" customWidth="1" min="5" max="5"/>
  </cols>
  <sheetData>
    <row r="1" ht="24" customHeight="1">
      <c r="A1" s="1" t="inlineStr">
        <is>
          <t>第10期介護保険事業計画 図表集（白黒レイアウト）</t>
        </is>
      </c>
    </row>
    <row r="2" ht="16" customHeight="1">
      <c r="A2" s="2" t="inlineStr">
        <is>
          <t>令和8（2026）年7月28日作成／第9期計画の図表構成・体裁（パターン塗り、マーカー形状、データラベル）に準拠し、確認済みの数値のみで作図</t>
        </is>
      </c>
    </row>
    <row r="4">
      <c r="A4" s="3" t="inlineStr">
        <is>
          <t>1　本図表集の考え方</t>
        </is>
      </c>
    </row>
    <row r="5" ht="26" customHeight="1">
      <c r="A5" s="4" t="inlineStr">
        <is>
          <t>第9期介護保険事業計画（令和6年3月）の図表構成をそのまま踏襲し、白黒印刷（本文1色）を前提としたグレースケール・線種・マーカーで作図しています。数値は第9期計画本体及び第10期計画素案第9稿に掲載された見える化データのみを使用し、推測値・補間値は使用していません。令和6・7年度の実績は未受領のため、該当セルは淡黄色の入力欄としています。</t>
        </is>
      </c>
    </row>
    <row r="7">
      <c r="A7" s="3" t="inlineStr">
        <is>
          <t>2　シート構成と出典</t>
        </is>
      </c>
    </row>
    <row r="8">
      <c r="A8" s="5" t="inlineStr">
        <is>
          <t>No.</t>
        </is>
      </c>
      <c r="B8" s="5" t="inlineStr">
        <is>
          <t>シート</t>
        </is>
      </c>
      <c r="C8" s="5" t="inlineStr">
        <is>
          <t>図表</t>
        </is>
      </c>
      <c r="D8" s="5" t="inlineStr">
        <is>
          <t>出典・基準時点</t>
        </is>
      </c>
      <c r="E8" s="5" t="inlineStr">
        <is>
          <t>更新時の差替え</t>
        </is>
      </c>
    </row>
    <row r="9">
      <c r="A9" s="6" t="n">
        <v>1</v>
      </c>
      <c r="B9" s="7" t="inlineStr">
        <is>
          <t>01_人口推移</t>
        </is>
      </c>
      <c r="C9" s="7" t="inlineStr">
        <is>
          <t>人口の推移（広域連合）</t>
        </is>
      </c>
      <c r="D9" s="7" t="inlineStr">
        <is>
          <t>第9期計画 第2章第1節1／住民基本台帳 各年10月1日</t>
        </is>
      </c>
      <c r="E9" s="7" t="inlineStr">
        <is>
          <t>R6～R8実績を追加</t>
        </is>
      </c>
    </row>
    <row r="10">
      <c r="A10" s="6" t="n">
        <v>2</v>
      </c>
      <c r="B10" s="7" t="inlineStr">
        <is>
          <t>02_高齢化率推移</t>
        </is>
      </c>
      <c r="C10" s="7" t="inlineStr">
        <is>
          <t>高齢化率の推移（広域連合・3町）</t>
        </is>
      </c>
      <c r="D10" s="7" t="inlineStr">
        <is>
          <t>第9期計画 第2章第1節1／住民基本台帳 各年10月1日</t>
        </is>
      </c>
      <c r="E10" s="7" t="inlineStr">
        <is>
          <t>R6～R8実績を追加</t>
        </is>
      </c>
    </row>
    <row r="11">
      <c r="A11" s="6" t="n">
        <v>3</v>
      </c>
      <c r="B11" s="7" t="inlineStr">
        <is>
          <t>03_高齢者世帯</t>
        </is>
      </c>
      <c r="C11" s="7" t="inlineStr">
        <is>
          <t>高齢者を含む世帯／構成割合</t>
        </is>
      </c>
      <c r="D11" s="7" t="inlineStr">
        <is>
          <t>第9期計画 第2章第1節2／国勢調査（H22・H27・R2）</t>
        </is>
      </c>
      <c r="E11" s="7" t="inlineStr">
        <is>
          <t>令和7年国勢調査の公表後に更新</t>
        </is>
      </c>
    </row>
    <row r="12">
      <c r="A12" s="6" t="n">
        <v>4</v>
      </c>
      <c r="B12" s="7" t="inlineStr">
        <is>
          <t>04_認定者数推移</t>
        </is>
      </c>
      <c r="C12" s="7" t="inlineStr">
        <is>
          <t>認定者数の推移（要介護度別）</t>
        </is>
      </c>
      <c r="D12" s="7" t="inlineStr">
        <is>
          <t>第9期計画 第2章第1節3／介護保険事業状況報告 各年9月分</t>
        </is>
      </c>
      <c r="E12" s="7" t="inlineStr">
        <is>
          <t>R6～R8の9月分を追加</t>
        </is>
      </c>
    </row>
    <row r="13">
      <c r="A13" s="6" t="n">
        <v>5</v>
      </c>
      <c r="B13" s="7" t="inlineStr">
        <is>
          <t>05_認定者割合</t>
        </is>
      </c>
      <c r="C13" s="7" t="inlineStr">
        <is>
          <t>認定者割合の比較（全国・道・3町）</t>
        </is>
      </c>
      <c r="D13" s="7" t="inlineStr">
        <is>
          <t>第9期計画 第2章第1節3／介護保険事業状況報告 令和5年9月分</t>
        </is>
      </c>
      <c r="E13" s="7" t="inlineStr">
        <is>
          <t>最新年9月分で更新</t>
        </is>
      </c>
    </row>
    <row r="14">
      <c r="A14" s="6" t="n">
        <v>6</v>
      </c>
      <c r="B14" s="7" t="inlineStr">
        <is>
          <t>06_出現率推移</t>
        </is>
      </c>
      <c r="C14" s="7" t="inlineStr">
        <is>
          <t>出現率の推移／上川管内比較</t>
        </is>
      </c>
      <c r="D14" s="7" t="inlineStr">
        <is>
          <t>第9期計画 第2章第1節3／介護保険事業状況報告 各年9月分</t>
        </is>
      </c>
      <c r="E14" s="7" t="inlineStr">
        <is>
          <t>R6～R8を追加。管内比較は最新年で更新</t>
        </is>
      </c>
    </row>
    <row r="15">
      <c r="A15" s="6" t="n">
        <v>7</v>
      </c>
      <c r="B15" s="7" t="inlineStr">
        <is>
          <t>07_給付費推移</t>
        </is>
      </c>
      <c r="C15" s="7" t="inlineStr">
        <is>
          <t>サービス区分別給付費／地域支援事業費／中長期推計</t>
        </is>
      </c>
      <c r="D15" s="7" t="inlineStr">
        <is>
          <t>第9期計画 第2章第2節（見える化 R6.1.18参照）／素案第9稿 表39</t>
        </is>
      </c>
      <c r="E15" s="7" t="inlineStr">
        <is>
          <t>R6～R8実績の受領後に更新</t>
        </is>
      </c>
    </row>
    <row r="16">
      <c r="A16" s="6" t="n">
        <v>8</v>
      </c>
      <c r="B16" s="7" t="inlineStr">
        <is>
          <t>08_ニーズ調査データ</t>
        </is>
      </c>
      <c r="C16" s="7" t="inlineStr">
        <is>
          <t>介護予防・日常生活圏域ニーズ調査 14指標の集計値</t>
        </is>
      </c>
      <c r="D16" s="7" t="inlineStr">
        <is>
          <t>第9期計画 第2章第3節／令和4年11月調査（回収4,626票・63.9％）</t>
        </is>
      </c>
      <c r="E16" s="7" t="inlineStr">
        <is>
          <t>第10期ニーズ調査の集計受領後に全面差替え</t>
        </is>
      </c>
    </row>
    <row r="17">
      <c r="A17" s="6" t="n">
        <v>9</v>
      </c>
      <c r="B17" s="7" t="inlineStr">
        <is>
          <t>09_ニーズ調査グラフ</t>
        </is>
      </c>
      <c r="C17" s="7" t="inlineStr">
        <is>
          <t>同上の年齢階級別・町別グラフ</t>
        </is>
      </c>
      <c r="D17" s="7" t="inlineStr">
        <is>
          <t>同上</t>
        </is>
      </c>
      <c r="E17" s="7" t="inlineStr">
        <is>
          <t>同上</t>
        </is>
      </c>
    </row>
    <row r="18">
      <c r="A18" s="6" t="n">
        <v>14</v>
      </c>
      <c r="B18" s="7" t="inlineStr">
        <is>
          <t>14_年齢構成と85歳以上</t>
        </is>
      </c>
      <c r="C18" s="7" t="inlineStr">
        <is>
          <t>高齢者の年齢構成（5歳階級別）・85歳以上人口・前期後期別の推移</t>
        </is>
      </c>
      <c r="D18" s="7" t="inlineStr">
        <is>
          <t>見える化A3・A4（国勢調査＋社人研推計、取得日 令和8年7月22日）</t>
        </is>
      </c>
      <c r="E18" s="7" t="inlineStr">
        <is>
          <t>見える化の再出力時に更新</t>
        </is>
      </c>
    </row>
    <row r="19">
      <c r="A19" s="6" t="n">
        <v>15</v>
      </c>
      <c r="B19" s="7" t="inlineStr">
        <is>
          <t>15_サービス利用強度</t>
        </is>
      </c>
      <c r="C19" s="7" t="inlineStr">
        <is>
          <t>受給者1人あたり利用日数・回数の推移（5サービス・全国／北海道比較）</t>
        </is>
      </c>
      <c r="D19" s="7" t="inlineStr">
        <is>
          <t>見える化D31-a〜j（H26〜R7、R7はR8年1月サービス提供分まで）</t>
        </is>
      </c>
      <c r="E19" s="7" t="inlineStr">
        <is>
          <t>見える化の再出力時に更新</t>
        </is>
      </c>
    </row>
    <row r="20">
      <c r="A20" s="6" t="n">
        <v>16</v>
      </c>
      <c r="B20" s="7" t="inlineStr">
        <is>
          <t>16_町別将来推計</t>
        </is>
      </c>
      <c r="C20" s="7" t="inlineStr">
        <is>
          <t>町別の総人口・高齢化率の推移と将来推計（2000〜2050年）</t>
        </is>
      </c>
      <c r="D20" s="7" t="inlineStr">
        <is>
          <t>見える化A1・A2（国勢調査＋社人研推計、取得日 令和8年7月）</t>
        </is>
      </c>
      <c r="E20" s="7" t="inlineStr">
        <is>
          <t>見える化の再出力時に更新</t>
        </is>
      </c>
    </row>
    <row r="21">
      <c r="A21" s="6" t="n">
        <v>17</v>
      </c>
      <c r="B21" s="7" t="inlineStr">
        <is>
          <t>17_担い手の推移</t>
        </is>
      </c>
      <c r="C21" s="7" t="inlineStr">
        <is>
          <t>高齢者1人あたり現役世代数（15〜64歳÷65歳以上）の町別推移</t>
        </is>
      </c>
      <c r="D21" s="7" t="inlineStr">
        <is>
          <t>見える化A9（同上）</t>
        </is>
      </c>
      <c r="E21" s="7" t="inlineStr">
        <is>
          <t>同上</t>
        </is>
      </c>
    </row>
    <row r="22">
      <c r="A22" s="6" t="n">
        <v>18</v>
      </c>
      <c r="B22" s="7" t="inlineStr">
        <is>
          <t>18_受給率・利用率</t>
        </is>
      </c>
      <c r="C22" s="7" t="inlineStr">
        <is>
          <t>介護サービス利用率、在宅・居住系サービス利用者割合、施設・居住系の受給率</t>
        </is>
      </c>
      <c r="D22" s="7" t="inlineStr">
        <is>
          <t>見える化D38・D41-a・D42（H26〜R7）</t>
        </is>
      </c>
      <c r="E22" s="7" t="inlineStr">
        <is>
          <t>見える化の再出力時に更新</t>
        </is>
      </c>
    </row>
    <row r="23">
      <c r="A23" s="6" t="n">
        <v>19</v>
      </c>
      <c r="B23" s="7" t="inlineStr">
        <is>
          <t>19_給付月額の比較</t>
        </is>
      </c>
      <c r="C23" s="7" t="inlineStr">
        <is>
          <t>第1号被保険者1人あたり・受給者1人あたりの給付月額（全国／北海道比較）</t>
        </is>
      </c>
      <c r="D23" s="7" t="inlineStr">
        <is>
          <t>見える化D6-a・D6-b・D17-a〜k（H18〜R7）</t>
        </is>
      </c>
      <c r="E23" s="7" t="inlineStr">
        <is>
          <t>同上</t>
        </is>
      </c>
    </row>
    <row r="24">
      <c r="A24" s="6" t="n">
        <v>20</v>
      </c>
      <c r="B24" s="7" t="inlineStr">
        <is>
          <t>20_第9期の達成状況</t>
        </is>
      </c>
      <c r="C24" s="7" t="inlineStr">
        <is>
          <t>第9期計画の代表KPI4項目・給付費・地域支援事業費の計画値と実績</t>
        </is>
      </c>
      <c r="D24" s="7" t="inlineStr">
        <is>
          <t>第9期計画 第1章第6節・第6章／見える化B4-a・D48-b・D48-c／令和7年度JAGES調査</t>
        </is>
      </c>
      <c r="E24" s="7" t="inlineStr">
        <is>
          <t>令和6〜8年度の事業実績の受領後に確定</t>
        </is>
      </c>
    </row>
    <row r="25">
      <c r="A25" s="6" t="n">
        <v>10</v>
      </c>
      <c r="B25" s="7" t="inlineStr">
        <is>
          <t>10_在宅介護実態調査</t>
        </is>
      </c>
      <c r="C25" s="7" t="inlineStr">
        <is>
          <t>世帯類型・介護頻度・介護内容・離職・必要な支援・施設検討（令和2年度との比較）</t>
        </is>
      </c>
      <c r="D25" s="7" t="inlineStr">
        <is>
          <t>第9期計画 第2章第4節1／令和5年5月25日～6月30日・認定調査員の聞き取り</t>
        </is>
      </c>
      <c r="E25" s="7" t="inlineStr">
        <is>
          <t>第10期調査の集計受領後に差替え</t>
        </is>
      </c>
    </row>
    <row r="26">
      <c r="A26" s="6" t="n">
        <v>11</v>
      </c>
      <c r="B26" s="7" t="inlineStr">
        <is>
          <t>11_居所変更実態調査</t>
        </is>
      </c>
      <c r="C26" s="7" t="inlineStr">
        <is>
          <t>居所変更・死亡の割合／要介護度別人数／変更理由</t>
        </is>
      </c>
      <c r="D26" s="7" t="inlineStr">
        <is>
          <t>第9期計画 第2章第4節2／令和5年5月25日送付・21施設回答</t>
        </is>
      </c>
      <c r="E26" s="7" t="inlineStr">
        <is>
          <t>第10期調査の集計受領後に差替え</t>
        </is>
      </c>
    </row>
    <row r="27">
      <c r="A27" s="6" t="n">
        <v>12</v>
      </c>
      <c r="B27" s="7" t="inlineStr">
        <is>
          <t>12_在宅生活改善調査</t>
        </is>
      </c>
      <c r="C27" s="7" t="inlineStr">
        <is>
          <t>利用者の属性／本人の状態・意向／家族等介護者の意向・負担</t>
        </is>
      </c>
      <c r="D27" s="7" t="inlineStr">
        <is>
          <t>第9期計画 第2章第4節3／令和5年5月25日送付・12事業所91人</t>
        </is>
      </c>
      <c r="E27" s="7" t="inlineStr">
        <is>
          <t>第10期調査の集計受領後に差替え</t>
        </is>
      </c>
    </row>
    <row r="28">
      <c r="A28" s="6" t="n">
        <v>13</v>
      </c>
      <c r="B28" s="7" t="inlineStr">
        <is>
          <t>13_介護人材実態調査</t>
        </is>
      </c>
      <c r="C28" s="7" t="inlineStr">
        <is>
          <t>職員数・男女比・就業形態・開設後経過年数・年齢構成・在職年数・直前の職場・資格・採用離職・勤務時間</t>
        </is>
      </c>
      <c r="D28" s="7" t="inlineStr">
        <is>
          <t>第9期計画 第2章第5節／令和5年5月25日送付・27施設405人</t>
        </is>
      </c>
      <c r="E28" s="7" t="inlineStr">
        <is>
          <t>第10期事業所実態調査の集計受領後に差替え</t>
        </is>
      </c>
    </row>
    <row r="30">
      <c r="A30" s="3" t="inlineStr">
        <is>
          <t>3　作図上の凡例（1色印刷対応）</t>
        </is>
      </c>
    </row>
    <row r="31">
      <c r="A31" s="5" t="inlineStr">
        <is>
          <t>No.</t>
        </is>
      </c>
      <c r="B31" s="5" t="inlineStr">
        <is>
          <t>要素</t>
        </is>
      </c>
      <c r="C31" s="5" t="inlineStr">
        <is>
          <t>表現</t>
        </is>
      </c>
      <c r="D31" s="5" t="inlineStr">
        <is>
          <t>備考</t>
        </is>
      </c>
      <c r="E31" s="5" t="inlineStr"/>
    </row>
    <row r="32">
      <c r="A32" s="6" t="n">
        <v>1</v>
      </c>
      <c r="B32" s="7" t="inlineStr">
        <is>
          <t>積上げ棒・横棒</t>
        </is>
      </c>
      <c r="C32" s="7" t="inlineStr">
        <is>
          <t>ベタ塗り（黒・中間グレー・淡グレー・白）とパターン（格子／太斜線／ドット／横縞／細斜線）を交互に配置</t>
        </is>
      </c>
      <c r="D32" s="7" t="inlineStr">
        <is>
          <t>第9期計画と同じ体裁。1色印刷でも隣接系列を判別できるよう、濃淡と柄の両方で区別している</t>
        </is>
      </c>
    </row>
    <row r="33">
      <c r="A33" s="6" t="n">
        <v>2</v>
      </c>
      <c r="B33" s="7" t="inlineStr">
        <is>
          <t>折れ線</t>
        </is>
      </c>
      <c r="C33" s="7" t="inlineStr">
        <is>
          <t>すべて黒線。実線／破線／点線／一点鎖線で系列を区別</t>
        </is>
      </c>
      <c r="D33" s="7" t="inlineStr">
        <is>
          <t>マーカーは■（1系列目）▲（2系列目）●（3系列目）◆（4系列目）×（5系列目）。塗りは黒と白を交互にして重なりを回避</t>
        </is>
      </c>
    </row>
    <row r="34">
      <c r="A34" s="6" t="n">
        <v>3</v>
      </c>
      <c r="B34" s="7" t="inlineStr">
        <is>
          <t>データラベル</t>
        </is>
      </c>
      <c r="C34" s="7" t="inlineStr">
        <is>
          <t>主要グラフに数値を表示。積上げは中央、単独棒は外側、折れ線は系列ごとに上下へ振り分け</t>
        </is>
      </c>
      <c r="D34" s="7" t="inlineStr">
        <is>
          <t>文字色は塗りに応じて切替え。黒ベタ・中間グレーの系列は白抜き文字、パターン塗り（格子・斜線・ドット・横縞）は柄の上で白文字が消えるため白の下地を敷いた黒文字、淡グレー・白の系列は黒文字。フォントは7.5〜8ポイント</t>
        </is>
      </c>
    </row>
    <row r="35">
      <c r="A35" s="6" t="n">
        <v>4</v>
      </c>
      <c r="B35" s="7" t="inlineStr">
        <is>
          <t>目盛線</t>
        </is>
      </c>
      <c r="C35" s="7" t="inlineStr">
        <is>
          <t>非表示。軸線のみ黒で表示</t>
        </is>
      </c>
      <c r="D35" s="7" t="inlineStr">
        <is>
          <t>1色印刷時の視認性を優先</t>
        </is>
      </c>
    </row>
    <row r="36">
      <c r="A36" s="6" t="n">
        <v>5</v>
      </c>
      <c r="B36" s="7" t="inlineStr">
        <is>
          <t>凡例</t>
        </is>
      </c>
      <c r="C36" s="7" t="inlineStr">
        <is>
          <t>グラフ下部に配置し、プロット領域と重ならないよう設定</t>
        </is>
      </c>
      <c r="D36" s="7" t="inlineStr">
        <is>
          <t>タイトル・軸タイトルも重なり回避を設定済み</t>
        </is>
      </c>
    </row>
    <row r="37">
      <c r="A37" s="6" t="n">
        <v>6</v>
      </c>
      <c r="B37" s="7" t="inlineStr">
        <is>
          <t>カテゴリ名が多い場合</t>
        </is>
      </c>
      <c r="C37" s="7" t="inlineStr">
        <is>
          <t>軸ラベルを45度回転して表示</t>
        </is>
      </c>
      <c r="D37" s="7" t="inlineStr">
        <is>
          <t>出現率の管内比較（24区分）等</t>
        </is>
      </c>
    </row>
    <row r="38">
      <c r="A38" s="6" t="n">
        <v>7</v>
      </c>
      <c r="B38" s="7" t="inlineStr">
        <is>
          <t>入力欄</t>
        </is>
      </c>
      <c r="C38" s="7" t="inlineStr">
        <is>
          <t>淡黄色。R6・R7実績など未受領の値</t>
        </is>
      </c>
      <c r="D38" s="7" t="inlineStr">
        <is>
          <t>受領後に上書きするとグラフに反映</t>
        </is>
      </c>
    </row>
    <row r="40">
      <c r="A40" s="3" t="inlineStr">
        <is>
          <t>4　作図にあたり確認が必要な事項</t>
        </is>
      </c>
    </row>
    <row r="41">
      <c r="A41" s="5" t="inlineStr">
        <is>
          <t>No.</t>
        </is>
      </c>
      <c r="B41" s="5" t="inlineStr">
        <is>
          <t>事項</t>
        </is>
      </c>
      <c r="C41" s="5" t="inlineStr">
        <is>
          <t>内容</t>
        </is>
      </c>
      <c r="D41" s="5" t="inlineStr">
        <is>
          <t>対応</t>
        </is>
      </c>
      <c r="E41" s="5" t="inlineStr"/>
    </row>
    <row r="42">
      <c r="A42" s="6" t="n">
        <v>1</v>
      </c>
      <c r="B42" s="7" t="inlineStr">
        <is>
          <t>人口の年齢区分</t>
        </is>
      </c>
      <c r="C42" s="7" t="inlineStr">
        <is>
          <t>【解決】第9期計画 第2章第1節1の掲載表から0～39歳・40～64歳および町別人口を復元した。全12年で4区分の合計＝総人口、65～74歳＋75歳以上＝65歳以上、3町の合計＝総人口がすべて一致</t>
        </is>
      </c>
      <c r="D42" s="7" t="inlineStr">
        <is>
          <t>01シートを第9期計画と同じ年齢4区分で作図。町別総人口と町別0～39歳・40～64歳（平成24年・令和5年）も掲載</t>
        </is>
      </c>
      <c r="E42" s="7" t="inlineStr">
        <is>
          <t>対応済み。中間年の町別年齢別は原データ受領後に補う</t>
        </is>
      </c>
    </row>
    <row r="43">
      <c r="A43" s="6" t="n">
        <v>2</v>
      </c>
      <c r="B43" s="7" t="inlineStr">
        <is>
          <t>リスク点数の単位</t>
        </is>
      </c>
      <c r="C43" s="7" t="inlineStr">
        <is>
          <t>第9期計画 第2章第3節⑨は「当広域連合全体で15.8％」と記載しているが、実際は要支援・要介護リスク評価尺度による平均点（72,099点÷4,560人＝15.8点）</t>
        </is>
      </c>
      <c r="D43" s="7" t="inlineStr">
        <is>
          <t>本図表集では「点」として作図。第10期では単位表記を修正</t>
        </is>
      </c>
      <c r="E43" s="7" t="inlineStr">
        <is>
          <t>第10期計画で修正</t>
        </is>
      </c>
    </row>
    <row r="44">
      <c r="A44" s="6" t="n">
        <v>3</v>
      </c>
      <c r="B44" s="7" t="inlineStr">
        <is>
          <t>認定者数と出現率の基準月</t>
        </is>
      </c>
      <c r="C44" s="7" t="inlineStr">
        <is>
          <t>第9期計画は各年9月分、素案第9稿の直近値（認定者1,984人・21.8％）はR8年3月末</t>
        </is>
      </c>
      <c r="D44" s="7" t="inlineStr">
        <is>
          <t>基準月が異なるため同一系列に接続していない。R6～R8は9月分を受領して追加</t>
        </is>
      </c>
      <c r="E44" s="7" t="inlineStr">
        <is>
          <t>広域連合へ照会</t>
        </is>
      </c>
    </row>
    <row r="45">
      <c r="A45" s="6" t="n">
        <v>4</v>
      </c>
      <c r="B45" s="7" t="inlineStr">
        <is>
          <t>総給付費の定義</t>
        </is>
      </c>
      <c r="C45" s="7" t="inlineStr">
        <is>
          <t>第9期計画 第2章第2節の総給付費（R5 2,794,391千円）と、素案第9稿の保険給付費R5決算（2,940.4百万円）は定義が異なる</t>
        </is>
      </c>
      <c r="D45" s="7" t="inlineStr">
        <is>
          <t>別系列として併記。計画掲載時はいずれかに統一</t>
        </is>
      </c>
      <c r="E45" s="7" t="inlineStr">
        <is>
          <t>第10期計画で整理</t>
        </is>
      </c>
    </row>
    <row r="46">
      <c r="A46" s="6" t="n">
        <v>11</v>
      </c>
      <c r="B46" s="7" t="inlineStr">
        <is>
          <t>人口統計の基準</t>
        </is>
      </c>
      <c r="C46" s="7" t="inlineStr">
        <is>
          <t>第9期計画の図1・図2は住民基本台帳（各年10月1日）、14シートと素案第6章の推計は国勢調査＋社人研推計。令和5年で総人口が382人、高齢化率が1.1ポイント異なる</t>
        </is>
      </c>
      <c r="D46" s="7" t="inlineStr">
        <is>
          <t>01・02シートは住民基本台帳、14シートは国勢調査・社人研で作図し接続していない。第10期で採用基準を統一する</t>
        </is>
      </c>
      <c r="E46" s="7" t="inlineStr">
        <is>
          <t>広域連合と協議（修正指示書C-7）</t>
        </is>
      </c>
    </row>
    <row r="47">
      <c r="A47" s="6" t="n">
        <v>12</v>
      </c>
      <c r="B47" s="7" t="inlineStr">
        <is>
          <t>高齢夫婦世帯数</t>
        </is>
      </c>
      <c r="C47" s="7" t="inlineStr">
        <is>
          <t>見える化A8（H27 1,615・R2 1,773世帯）と第9期計画（同1,697・1,950世帯）が一致しない。一般世帯・高齢者を含む世帯・高齢独居世帯の3系列は完全に一致</t>
        </is>
      </c>
      <c r="D47" s="7" t="inlineStr">
        <is>
          <t>03シートは第9期計画の値を掲載。定義差の確認後に差替え</t>
        </is>
      </c>
      <c r="E47" s="7" t="inlineStr">
        <is>
          <t>広域連合へ照会（修正指示書C-6）</t>
        </is>
      </c>
    </row>
    <row r="48">
      <c r="A48" s="6" t="n">
        <v>13</v>
      </c>
      <c r="B48" s="7" t="inlineStr">
        <is>
          <t>町別データ</t>
        </is>
      </c>
      <c r="C48" s="7" t="inlineStr">
        <is>
          <t>受領した見える化データは広域連合・北海道・全国の3系列のみで町別の内訳がない</t>
        </is>
      </c>
      <c r="D48" s="7" t="inlineStr">
        <is>
          <t>02・03・06シートの町別値は第9期計画の掲載値のまま。町別データの受領後に更新</t>
        </is>
      </c>
      <c r="E48" s="7" t="inlineStr">
        <is>
          <t>広域連合へ照会（修正指示書C-8）</t>
        </is>
      </c>
    </row>
    <row r="49">
      <c r="A49" s="6" t="n">
        <v>5</v>
      </c>
      <c r="B49" s="7" t="inlineStr">
        <is>
          <t>ニーズ調査の基準</t>
        </is>
      </c>
      <c r="C49" s="7" t="inlineStr">
        <is>
          <t>掲載値は令和4年11月実施の第9期調査。第10期調査は実施済だが集計未受領</t>
        </is>
      </c>
      <c r="D49" s="7" t="inlineStr">
        <is>
          <t>第10期調査の集計受領後に全面差替え。設問・判定ロジックの一致を確認</t>
        </is>
      </c>
      <c r="E49" s="7" t="inlineStr">
        <is>
          <t>広域連合・3町へ照会</t>
        </is>
      </c>
    </row>
    <row r="50">
      <c r="A50" s="6" t="n">
        <v>6</v>
      </c>
      <c r="B50" s="7" t="inlineStr">
        <is>
          <t>在宅介護実態調査の回答数</t>
        </is>
      </c>
      <c r="C50" s="7" t="inlineStr">
        <is>
          <t>第9期計画に回収結果の表が掲載されているが本文から数値を復元できなかった。令和5年度の掲載値はすべて1/37の倍数で整合するため回答37人と判断（対象は65歳以上の要介護認定者79人）</t>
        </is>
      </c>
      <c r="D50" s="7" t="inlineStr">
        <is>
          <t>10シートに推定値として記載。回収票数・回収率は原資料で確認する</t>
        </is>
      </c>
      <c r="E50" s="7" t="inlineStr">
        <is>
          <t>広域連合へ照会</t>
        </is>
      </c>
    </row>
    <row r="51">
      <c r="A51" s="6" t="n">
        <v>7</v>
      </c>
      <c r="B51" s="7" t="inlineStr">
        <is>
          <t>居所変更実態調査の施設数</t>
        </is>
      </c>
      <c r="C51" s="7" t="inlineStr">
        <is>
          <t>回答施設の内訳（住宅型有料4・軽費1・サ高住0・GH5・特定施設2・老健3・特養2・地密特養3）の合計は20だが、第9期計画は「合計21」と記載</t>
        </is>
      </c>
      <c r="D51" s="7" t="inlineStr">
        <is>
          <t>11シートに原典どおり記載し差異を注記。内訳の欠落か合計の誤りかを確認</t>
        </is>
      </c>
      <c r="E51" s="7" t="inlineStr">
        <is>
          <t>広域連合へ照会</t>
        </is>
      </c>
    </row>
    <row r="52">
      <c r="A52" s="6" t="n">
        <v>8</v>
      </c>
      <c r="B52" s="7" t="inlineStr">
        <is>
          <t>介護人材実態調査の就業形態</t>
        </is>
      </c>
      <c r="C52" s="7" t="inlineStr">
        <is>
          <t>第9期計画 第2章第5節(1)④の本文は「施設・居住系サービスの正規職員が33.8％」とするが、グラフ値では正規職員（男）31.9＋正規職員（女）45.1＝77.0％であり、33.8％は男性職員の割合（31.9＋1.9）と一致する</t>
        </is>
      </c>
      <c r="D52" s="7" t="inlineStr">
        <is>
          <t>13シートはグラフ値どおり作図し、本文との差異を注記。第10期では正規職員割合と男性割合を区別して記載</t>
        </is>
      </c>
      <c r="E52" s="7" t="inlineStr">
        <is>
          <t>第10期計画で修正</t>
        </is>
      </c>
    </row>
    <row r="53">
      <c r="A53" s="6" t="n">
        <v>9</v>
      </c>
      <c r="B53" s="7" t="inlineStr">
        <is>
          <t>介護人材実態調査の職員数の分母</t>
        </is>
      </c>
      <c r="C53" s="7" t="inlineStr">
        <is>
          <t>職員総数421人、男女内訳の合計403人、該当者数405人と3種類の数値があり、1事業所あたり平均人数も405÷27＝15.0人で本文の16.0人と一致しない</t>
        </is>
      </c>
      <c r="D53" s="7" t="inlineStr">
        <is>
          <t>13シートは原典の3種類をそのまま併記し、比率算定の分母を明示。第10期では集計基準を統一</t>
        </is>
      </c>
      <c r="E53" s="7" t="inlineStr">
        <is>
          <t>第10期計画で整理</t>
        </is>
      </c>
    </row>
    <row r="54">
      <c r="A54" s="6" t="n">
        <v>10</v>
      </c>
      <c r="B54" s="7" t="inlineStr">
        <is>
          <t>直前の職場の一部区分</t>
        </is>
      </c>
      <c r="C54" s="7" t="inlineStr">
        <is>
          <t>第9期計画 第2章第5節(3)④のうち「訪問介護・入浴、夜間対応型」「小多機、看多機、定期巡回」の2区分は原典の図から数値を復元できなかった（他6区分の合計91.1％との差8.9％＝5人分）</t>
        </is>
      </c>
      <c r="D54" s="7" t="inlineStr">
        <is>
          <t>13シートで淡黄色の入力欄とし、原資料で確認のうえ入力する</t>
        </is>
      </c>
      <c r="E54" s="7" t="inlineStr">
        <is>
          <t>広域連合へ照会</t>
        </is>
      </c>
    </row>
  </sheetData>
  <mergeCells count="3">
    <mergeCell ref="A2:H2"/>
    <mergeCell ref="A5:M5"/>
    <mergeCell ref="A1:H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7"/>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図1　人口の推移（大雪地区広域連合・構成3町）</t>
        </is>
      </c>
    </row>
    <row r="2" ht="16" customHeight="1">
      <c r="A2" s="2" t="inlineStr">
        <is>
          <t>資料：住民基本台帳 各年10月1日現在（第9期計画 第2章第1節1）／単位：人／令和6～8年は淡黄色欄に入力すると連動</t>
        </is>
      </c>
    </row>
    <row r="4">
      <c r="A4" s="8" t="inlineStr">
        <is>
          <t>（1）年齢4区分別人口（大雪地区広域連合）</t>
        </is>
      </c>
    </row>
    <row r="5">
      <c r="A5" s="5" t="inlineStr">
        <is>
          <t>区分</t>
        </is>
      </c>
      <c r="B5" s="5" t="inlineStr">
        <is>
          <t>平成24年</t>
        </is>
      </c>
      <c r="C5" s="5" t="inlineStr">
        <is>
          <t>平成25年</t>
        </is>
      </c>
      <c r="D5" s="5" t="inlineStr">
        <is>
          <t>平成26年</t>
        </is>
      </c>
      <c r="E5" s="5" t="inlineStr">
        <is>
          <t>平成27年</t>
        </is>
      </c>
      <c r="F5" s="5" t="inlineStr">
        <is>
          <t>平成28年</t>
        </is>
      </c>
      <c r="G5" s="5" t="inlineStr">
        <is>
          <t>平成29年</t>
        </is>
      </c>
      <c r="H5" s="5" t="inlineStr">
        <is>
          <t>平成30年</t>
        </is>
      </c>
      <c r="I5" s="5" t="inlineStr">
        <is>
          <t>令和元年</t>
        </is>
      </c>
      <c r="J5" s="5" t="inlineStr">
        <is>
          <t>令和2年</t>
        </is>
      </c>
      <c r="K5" s="5" t="inlineStr">
        <is>
          <t>令和3年</t>
        </is>
      </c>
      <c r="L5" s="5" t="inlineStr">
        <is>
          <t>令和4年</t>
        </is>
      </c>
      <c r="M5" s="5" t="inlineStr">
        <is>
          <t>令和5年</t>
        </is>
      </c>
      <c r="N5" s="5" t="inlineStr">
        <is>
          <t>令和6年</t>
        </is>
      </c>
      <c r="O5" s="5" t="inlineStr">
        <is>
          <t>令和7年</t>
        </is>
      </c>
      <c r="P5" s="5" t="inlineStr">
        <is>
          <t>令和8年</t>
        </is>
      </c>
    </row>
    <row r="6">
      <c r="A6" s="6" t="inlineStr">
        <is>
          <t>0～39歳</t>
        </is>
      </c>
      <c r="B6" s="9" t="n">
        <v>10590</v>
      </c>
      <c r="C6" s="9" t="n">
        <v>10483</v>
      </c>
      <c r="D6" s="9" t="n">
        <v>10450</v>
      </c>
      <c r="E6" s="9" t="n">
        <v>10458</v>
      </c>
      <c r="F6" s="9" t="n">
        <v>10324</v>
      </c>
      <c r="G6" s="9" t="n">
        <v>10309</v>
      </c>
      <c r="H6" s="9" t="n">
        <v>10144</v>
      </c>
      <c r="I6" s="9" t="n">
        <v>9924</v>
      </c>
      <c r="J6" s="9" t="n">
        <v>9572</v>
      </c>
      <c r="K6" s="9" t="n">
        <v>9525</v>
      </c>
      <c r="L6" s="9" t="n">
        <v>9421</v>
      </c>
      <c r="M6" s="9" t="n">
        <v>9248</v>
      </c>
      <c r="N6" s="10" t="n"/>
      <c r="O6" s="10" t="n"/>
      <c r="P6" s="10" t="n"/>
    </row>
    <row r="7">
      <c r="A7" s="6" t="inlineStr">
        <is>
          <t>40～64歳</t>
        </is>
      </c>
      <c r="B7" s="9" t="n">
        <v>9903</v>
      </c>
      <c r="C7" s="9" t="n">
        <v>9832</v>
      </c>
      <c r="D7" s="9" t="n">
        <v>9740</v>
      </c>
      <c r="E7" s="9" t="n">
        <v>9706</v>
      </c>
      <c r="F7" s="9" t="n">
        <v>9629</v>
      </c>
      <c r="G7" s="9" t="n">
        <v>9589</v>
      </c>
      <c r="H7" s="9" t="n">
        <v>9540</v>
      </c>
      <c r="I7" s="9" t="n">
        <v>9479</v>
      </c>
      <c r="J7" s="9" t="n">
        <v>9433</v>
      </c>
      <c r="K7" s="9" t="n">
        <v>9450</v>
      </c>
      <c r="L7" s="9" t="n">
        <v>9443</v>
      </c>
      <c r="M7" s="9" t="n">
        <v>9448</v>
      </c>
      <c r="N7" s="10" t="n"/>
      <c r="O7" s="10" t="n"/>
      <c r="P7" s="10" t="n"/>
    </row>
    <row r="8">
      <c r="A8" s="6" t="inlineStr">
        <is>
          <t>65～74歳</t>
        </is>
      </c>
      <c r="B8" s="9" t="n">
        <v>3744</v>
      </c>
      <c r="C8" s="9" t="n">
        <v>3862</v>
      </c>
      <c r="D8" s="9" t="n">
        <v>4032</v>
      </c>
      <c r="E8" s="9" t="n">
        <v>4119</v>
      </c>
      <c r="F8" s="9" t="n">
        <v>4183</v>
      </c>
      <c r="G8" s="9" t="n">
        <v>4166</v>
      </c>
      <c r="H8" s="9" t="n">
        <v>4210</v>
      </c>
      <c r="I8" s="9" t="n">
        <v>4215</v>
      </c>
      <c r="J8" s="9" t="n">
        <v>4269</v>
      </c>
      <c r="K8" s="9" t="n">
        <v>4233</v>
      </c>
      <c r="L8" s="9" t="n">
        <v>4165</v>
      </c>
      <c r="M8" s="9" t="n">
        <v>3986</v>
      </c>
      <c r="N8" s="10" t="n"/>
      <c r="O8" s="10" t="n"/>
      <c r="P8" s="10" t="n"/>
    </row>
    <row r="9">
      <c r="A9" s="6" t="inlineStr">
        <is>
          <t>75歳以上</t>
        </is>
      </c>
      <c r="B9" s="9" t="n">
        <v>4398</v>
      </c>
      <c r="C9" s="9" t="n">
        <v>4491</v>
      </c>
      <c r="D9" s="9" t="n">
        <v>4578</v>
      </c>
      <c r="E9" s="9" t="n">
        <v>4667</v>
      </c>
      <c r="F9" s="9" t="n">
        <v>4768</v>
      </c>
      <c r="G9" s="9" t="n">
        <v>4865</v>
      </c>
      <c r="H9" s="9" t="n">
        <v>4933</v>
      </c>
      <c r="I9" s="9" t="n">
        <v>5006</v>
      </c>
      <c r="J9" s="9" t="n">
        <v>5014</v>
      </c>
      <c r="K9" s="9" t="n">
        <v>5039</v>
      </c>
      <c r="L9" s="9" t="n">
        <v>5109</v>
      </c>
      <c r="M9" s="9" t="n">
        <v>5205</v>
      </c>
      <c r="N9" s="10" t="n"/>
      <c r="O9" s="10" t="n"/>
      <c r="P9" s="10" t="n"/>
    </row>
    <row r="10">
      <c r="A10" s="6" t="inlineStr">
        <is>
          <t>65歳以上（再掲）</t>
        </is>
      </c>
      <c r="B10" s="9">
        <f>B8+B9</f>
        <v/>
      </c>
      <c r="C10" s="9">
        <f>C8+C9</f>
        <v/>
      </c>
      <c r="D10" s="9">
        <f>D8+D9</f>
        <v/>
      </c>
      <c r="E10" s="9">
        <f>E8+E9</f>
        <v/>
      </c>
      <c r="F10" s="9">
        <f>F8+F9</f>
        <v/>
      </c>
      <c r="G10" s="9">
        <f>G8+G9</f>
        <v/>
      </c>
      <c r="H10" s="9">
        <f>H8+H9</f>
        <v/>
      </c>
      <c r="I10" s="9">
        <f>I8+I9</f>
        <v/>
      </c>
      <c r="J10" s="9">
        <f>J8+J9</f>
        <v/>
      </c>
      <c r="K10" s="9">
        <f>K8+K9</f>
        <v/>
      </c>
      <c r="L10" s="9">
        <f>L8+L9</f>
        <v/>
      </c>
      <c r="M10" s="9">
        <f>M8+M9</f>
        <v/>
      </c>
      <c r="N10" s="9">
        <f>N8+N9</f>
        <v/>
      </c>
      <c r="O10" s="9">
        <f>O8+O9</f>
        <v/>
      </c>
      <c r="P10" s="9">
        <f>P8+P9</f>
        <v/>
      </c>
    </row>
    <row r="11">
      <c r="A11" s="6" t="inlineStr">
        <is>
          <t>総人口</t>
        </is>
      </c>
      <c r="B11" s="11">
        <f>SUM(B6:B9)</f>
        <v/>
      </c>
      <c r="C11" s="11">
        <f>SUM(C6:C9)</f>
        <v/>
      </c>
      <c r="D11" s="11">
        <f>SUM(D6:D9)</f>
        <v/>
      </c>
      <c r="E11" s="11">
        <f>SUM(E6:E9)</f>
        <v/>
      </c>
      <c r="F11" s="11">
        <f>SUM(F6:F9)</f>
        <v/>
      </c>
      <c r="G11" s="11">
        <f>SUM(G6:G9)</f>
        <v/>
      </c>
      <c r="H11" s="11">
        <f>SUM(H6:H9)</f>
        <v/>
      </c>
      <c r="I11" s="11">
        <f>SUM(I6:I9)</f>
        <v/>
      </c>
      <c r="J11" s="11">
        <f>SUM(J6:J9)</f>
        <v/>
      </c>
      <c r="K11" s="11">
        <f>SUM(K6:K9)</f>
        <v/>
      </c>
      <c r="L11" s="11">
        <f>SUM(L6:L9)</f>
        <v/>
      </c>
      <c r="M11" s="11">
        <f>SUM(M6:M9)</f>
        <v/>
      </c>
      <c r="N11" s="11">
        <f>SUM(N6:N9)</f>
        <v/>
      </c>
      <c r="O11" s="11">
        <f>SUM(O6:O9)</f>
        <v/>
      </c>
      <c r="P11" s="11">
        <f>SUM(P6:P9)</f>
        <v/>
      </c>
    </row>
    <row r="13">
      <c r="A13" s="8" t="inlineStr">
        <is>
          <t>（2）町別総人口</t>
        </is>
      </c>
    </row>
    <row r="14">
      <c r="A14" s="5" t="inlineStr">
        <is>
          <t>区分</t>
        </is>
      </c>
      <c r="B14" s="5" t="inlineStr">
        <is>
          <t>平成24年</t>
        </is>
      </c>
      <c r="C14" s="5" t="inlineStr">
        <is>
          <t>平成25年</t>
        </is>
      </c>
      <c r="D14" s="5" t="inlineStr">
        <is>
          <t>平成26年</t>
        </is>
      </c>
      <c r="E14" s="5" t="inlineStr">
        <is>
          <t>平成27年</t>
        </is>
      </c>
      <c r="F14" s="5" t="inlineStr">
        <is>
          <t>平成28年</t>
        </is>
      </c>
      <c r="G14" s="5" t="inlineStr">
        <is>
          <t>平成29年</t>
        </is>
      </c>
      <c r="H14" s="5" t="inlineStr">
        <is>
          <t>平成30年</t>
        </is>
      </c>
      <c r="I14" s="5" t="inlineStr">
        <is>
          <t>令和元年</t>
        </is>
      </c>
      <c r="J14" s="5" t="inlineStr">
        <is>
          <t>令和2年</t>
        </is>
      </c>
      <c r="K14" s="5" t="inlineStr">
        <is>
          <t>令和3年</t>
        </is>
      </c>
      <c r="L14" s="5" t="inlineStr">
        <is>
          <t>令和4年</t>
        </is>
      </c>
      <c r="M14" s="5" t="inlineStr">
        <is>
          <t>令和5年</t>
        </is>
      </c>
      <c r="N14" s="5" t="inlineStr">
        <is>
          <t>令和6年</t>
        </is>
      </c>
      <c r="O14" s="5" t="inlineStr">
        <is>
          <t>令和7年</t>
        </is>
      </c>
      <c r="P14" s="5" t="inlineStr">
        <is>
          <t>令和8年</t>
        </is>
      </c>
    </row>
    <row r="15">
      <c r="A15" s="6" t="inlineStr">
        <is>
          <t>東川町</t>
        </is>
      </c>
      <c r="B15" s="9" t="n">
        <v>7952</v>
      </c>
      <c r="C15" s="9" t="n">
        <v>7944</v>
      </c>
      <c r="D15" s="9" t="n">
        <v>7946</v>
      </c>
      <c r="E15" s="9" t="n">
        <v>8115</v>
      </c>
      <c r="F15" s="9" t="n">
        <v>8130</v>
      </c>
      <c r="G15" s="9" t="n">
        <v>8312</v>
      </c>
      <c r="H15" s="9" t="n">
        <v>8406</v>
      </c>
      <c r="I15" s="9" t="n">
        <v>8373</v>
      </c>
      <c r="J15" s="9" t="n">
        <v>8295</v>
      </c>
      <c r="K15" s="9" t="n">
        <v>8428</v>
      </c>
      <c r="L15" s="9" t="n">
        <v>8542</v>
      </c>
      <c r="M15" s="9" t="n">
        <v>8558</v>
      </c>
      <c r="N15" s="10" t="n"/>
      <c r="O15" s="10" t="n"/>
      <c r="P15" s="10" t="n"/>
    </row>
    <row r="16">
      <c r="A16" s="6" t="inlineStr">
        <is>
          <t>美瑛町</t>
        </is>
      </c>
      <c r="B16" s="9" t="n">
        <v>10832</v>
      </c>
      <c r="C16" s="9" t="n">
        <v>10726</v>
      </c>
      <c r="D16" s="9" t="n">
        <v>10654</v>
      </c>
      <c r="E16" s="9" t="n">
        <v>10492</v>
      </c>
      <c r="F16" s="9" t="n">
        <v>10375</v>
      </c>
      <c r="G16" s="9" t="n">
        <v>10233</v>
      </c>
      <c r="H16" s="9" t="n">
        <v>10092</v>
      </c>
      <c r="I16" s="9" t="n">
        <v>9960</v>
      </c>
      <c r="J16" s="9" t="n">
        <v>9821</v>
      </c>
      <c r="K16" s="9" t="n">
        <v>9678</v>
      </c>
      <c r="L16" s="9" t="n">
        <v>9617</v>
      </c>
      <c r="M16" s="9" t="n">
        <v>9475</v>
      </c>
      <c r="N16" s="10" t="n"/>
      <c r="O16" s="10" t="n"/>
      <c r="P16" s="10" t="n"/>
    </row>
    <row r="17">
      <c r="A17" s="6" t="inlineStr">
        <is>
          <t>東神楽町</t>
        </is>
      </c>
      <c r="B17" s="9" t="n">
        <v>9851</v>
      </c>
      <c r="C17" s="9" t="n">
        <v>9998</v>
      </c>
      <c r="D17" s="9" t="n">
        <v>10200</v>
      </c>
      <c r="E17" s="9" t="n">
        <v>10343</v>
      </c>
      <c r="F17" s="9" t="n">
        <v>10399</v>
      </c>
      <c r="G17" s="9" t="n">
        <v>10384</v>
      </c>
      <c r="H17" s="9" t="n">
        <v>10329</v>
      </c>
      <c r="I17" s="9" t="n">
        <v>10291</v>
      </c>
      <c r="J17" s="9" t="n">
        <v>10172</v>
      </c>
      <c r="K17" s="9" t="n">
        <v>10141</v>
      </c>
      <c r="L17" s="9" t="n">
        <v>9979</v>
      </c>
      <c r="M17" s="9" t="n">
        <v>9854</v>
      </c>
      <c r="N17" s="10" t="n"/>
      <c r="O17" s="10" t="n"/>
      <c r="P17" s="10" t="n"/>
    </row>
    <row r="18">
      <c r="A18" s="6" t="inlineStr">
        <is>
          <t>広域連合 計</t>
        </is>
      </c>
      <c r="B18" s="11">
        <f>SUM(B15:B17)</f>
        <v/>
      </c>
      <c r="C18" s="11">
        <f>SUM(C15:C17)</f>
        <v/>
      </c>
      <c r="D18" s="11">
        <f>SUM(D15:D17)</f>
        <v/>
      </c>
      <c r="E18" s="11">
        <f>SUM(E15:E17)</f>
        <v/>
      </c>
      <c r="F18" s="11">
        <f>SUM(F15:F17)</f>
        <v/>
      </c>
      <c r="G18" s="11">
        <f>SUM(G15:G17)</f>
        <v/>
      </c>
      <c r="H18" s="11">
        <f>SUM(H15:H17)</f>
        <v/>
      </c>
      <c r="I18" s="11">
        <f>SUM(I15:I17)</f>
        <v/>
      </c>
      <c r="J18" s="11">
        <f>SUM(J15:J17)</f>
        <v/>
      </c>
      <c r="K18" s="11">
        <f>SUM(K15:K17)</f>
        <v/>
      </c>
      <c r="L18" s="11">
        <f>SUM(L15:L17)</f>
        <v/>
      </c>
      <c r="M18" s="11">
        <f>SUM(M15:M17)</f>
        <v/>
      </c>
      <c r="N18" s="11">
        <f>SUM(N15:N17)</f>
        <v/>
      </c>
      <c r="O18" s="11">
        <f>SUM(O15:O17)</f>
        <v/>
      </c>
      <c r="P18" s="11">
        <f>SUM(P15:P17)</f>
        <v/>
      </c>
    </row>
    <row r="20">
      <c r="A20" s="8" t="inlineStr">
        <is>
          <t>（3）町別 0～39歳・40～64歳人口（平成24年・令和5年）</t>
        </is>
      </c>
    </row>
    <row r="21">
      <c r="A21" s="5" t="inlineStr">
        <is>
          <t>区分</t>
        </is>
      </c>
      <c r="B21" s="5" t="inlineStr">
        <is>
          <t>平成24年 0～39歳</t>
        </is>
      </c>
      <c r="C21" s="5" t="inlineStr">
        <is>
          <t>令和5年 0～39歳</t>
        </is>
      </c>
      <c r="D21" s="5" t="inlineStr">
        <is>
          <t>平成24年 40～64歳</t>
        </is>
      </c>
      <c r="E21" s="5" t="inlineStr">
        <is>
          <t>令和5年 40～64歳</t>
        </is>
      </c>
    </row>
    <row r="22">
      <c r="A22" s="6" t="inlineStr">
        <is>
          <t>東川町</t>
        </is>
      </c>
      <c r="B22" s="9" t="n">
        <v>2978</v>
      </c>
      <c r="C22" s="9" t="n">
        <v>3110</v>
      </c>
      <c r="D22" s="9" t="n">
        <v>2689</v>
      </c>
      <c r="E22" s="9" t="n">
        <v>2765</v>
      </c>
    </row>
    <row r="23">
      <c r="A23" s="6" t="inlineStr">
        <is>
          <t>美瑛町</t>
        </is>
      </c>
      <c r="B23" s="9" t="n">
        <v>3514</v>
      </c>
      <c r="C23" s="9" t="n">
        <v>2674</v>
      </c>
      <c r="D23" s="9" t="n">
        <v>3681</v>
      </c>
      <c r="E23" s="9" t="n">
        <v>3126</v>
      </c>
    </row>
    <row r="24">
      <c r="A24" s="6" t="inlineStr">
        <is>
          <t>東神楽町</t>
        </is>
      </c>
      <c r="B24" s="9" t="n">
        <v>4098</v>
      </c>
      <c r="C24" s="9" t="n">
        <v>3464</v>
      </c>
      <c r="D24" s="9" t="n">
        <v>3533</v>
      </c>
      <c r="E24" s="9" t="n">
        <v>3557</v>
      </c>
    </row>
    <row r="25">
      <c r="A25" s="6" t="inlineStr">
        <is>
          <t>広域連合 計</t>
        </is>
      </c>
      <c r="B25" s="11">
        <f>SUM(B22:B24)</f>
        <v/>
      </c>
      <c r="C25" s="11">
        <f>SUM(C22:C24)</f>
        <v/>
      </c>
      <c r="D25" s="11">
        <f>SUM(D22:D24)</f>
        <v/>
      </c>
      <c r="E25" s="11">
        <f>SUM(E22:E24)</f>
        <v/>
      </c>
    </row>
    <row r="27" ht="26" customHeight="1">
      <c r="A27" s="4" t="inlineStr">
        <is>
          <t>注1）年齢4区分と町別人口は第9期計画 第2章第1節1の掲載表から復元した。全12年について「0～39歳＋40～64歳＋65～74歳＋75歳以上＝総人口」「65～74歳＋75歳以上＝65歳以上」「東川町＋美瑛町＋東神楽町＝総人口」がすべて一致することを確認している。注2）町別の高齢化率も逆算で一致する（令和5年：東川町2,683÷8,558＝31.4％、美瑛町3,675÷9,475＝38.8％、東神楽町2,833÷9,854＝28.7％）。注3）（3）は計画に平成24年と令和5年のみ掲載されているため2時点としている。中間年は原データの受領後に補う。注4）令和6～8年（淡黄色欄）は住民基本台帳の実績受領後に入力する。</t>
        </is>
      </c>
    </row>
  </sheetData>
  <mergeCells count="3">
    <mergeCell ref="A27:M27"/>
    <mergeCell ref="A1:P1"/>
    <mergeCell ref="A2:P2"/>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9"/>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図2　高齢化率の推移（広域連合・構成3町）</t>
        </is>
      </c>
    </row>
    <row r="2" ht="16" customHeight="1">
      <c r="A2" s="2" t="inlineStr">
        <is>
          <t>資料：住民基本台帳 各年10月1日現在（第9期計画 第2章第1節1）／単位：％</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広域連合</t>
        </is>
      </c>
      <c r="B5" s="12" t="n">
        <v>28.4</v>
      </c>
      <c r="C5" s="12" t="n">
        <v>29.1</v>
      </c>
      <c r="D5" s="12" t="n">
        <v>29.9</v>
      </c>
      <c r="E5" s="12" t="n">
        <v>30.3</v>
      </c>
      <c r="F5" s="12" t="n">
        <v>31</v>
      </c>
      <c r="G5" s="12" t="n">
        <v>31.2</v>
      </c>
      <c r="H5" s="12" t="n">
        <v>31.7</v>
      </c>
      <c r="I5" s="12" t="n">
        <v>32.2</v>
      </c>
      <c r="J5" s="12" t="n">
        <v>32.8</v>
      </c>
      <c r="K5" s="12" t="n">
        <v>32.8</v>
      </c>
      <c r="L5" s="12" t="n">
        <v>33</v>
      </c>
      <c r="M5" s="12" t="n">
        <v>33</v>
      </c>
      <c r="N5" s="13" t="n"/>
      <c r="O5" s="13" t="n"/>
      <c r="P5" s="13" t="n"/>
    </row>
    <row r="6">
      <c r="A6" s="6" t="inlineStr">
        <is>
          <t>東川町</t>
        </is>
      </c>
      <c r="B6" s="12" t="n">
        <v>28.7</v>
      </c>
      <c r="C6" s="12" t="n">
        <v>29.7</v>
      </c>
      <c r="D6" s="12" t="n">
        <v>31.1</v>
      </c>
      <c r="E6" s="12" t="n">
        <v>31.5</v>
      </c>
      <c r="F6" s="12" t="n">
        <v>32.1</v>
      </c>
      <c r="G6" s="12" t="n">
        <v>32</v>
      </c>
      <c r="H6" s="12" t="n">
        <v>32.2</v>
      </c>
      <c r="I6" s="12" t="n">
        <v>32.1</v>
      </c>
      <c r="J6" s="12" t="n">
        <v>32.8</v>
      </c>
      <c r="K6" s="12" t="n">
        <v>32.3</v>
      </c>
      <c r="L6" s="12" t="n">
        <v>31.8</v>
      </c>
      <c r="M6" s="12" t="n">
        <v>31.4</v>
      </c>
      <c r="N6" s="13" t="n"/>
      <c r="O6" s="13" t="n"/>
      <c r="P6" s="13" t="n"/>
    </row>
    <row r="7">
      <c r="A7" s="6" t="inlineStr">
        <is>
          <t>美瑛町</t>
        </is>
      </c>
      <c r="B7" s="12" t="n">
        <v>33.6</v>
      </c>
      <c r="C7" s="12" t="n">
        <v>34.4</v>
      </c>
      <c r="D7" s="12" t="n">
        <v>35.2</v>
      </c>
      <c r="E7" s="12" t="n">
        <v>35.9</v>
      </c>
      <c r="F7" s="12" t="n">
        <v>36.5</v>
      </c>
      <c r="G7" s="12" t="n">
        <v>36.7</v>
      </c>
      <c r="H7" s="12" t="n">
        <v>37.3</v>
      </c>
      <c r="I7" s="12" t="n">
        <v>37.9</v>
      </c>
      <c r="J7" s="12" t="n">
        <v>38.4</v>
      </c>
      <c r="K7" s="12" t="n">
        <v>38.6</v>
      </c>
      <c r="L7" s="12" t="n">
        <v>38.7</v>
      </c>
      <c r="M7" s="12" t="n">
        <v>38.8</v>
      </c>
      <c r="N7" s="13" t="n"/>
      <c r="O7" s="13" t="n"/>
      <c r="P7" s="13" t="n"/>
    </row>
    <row r="8">
      <c r="A8" s="6" t="inlineStr">
        <is>
          <t>東神楽町</t>
        </is>
      </c>
      <c r="B8" s="12" t="n">
        <v>22.5</v>
      </c>
      <c r="C8" s="12" t="n">
        <v>23</v>
      </c>
      <c r="D8" s="12" t="n">
        <v>23.4</v>
      </c>
      <c r="E8" s="12" t="n">
        <v>23.8</v>
      </c>
      <c r="F8" s="12" t="n">
        <v>24.5</v>
      </c>
      <c r="G8" s="12" t="n">
        <v>25.2</v>
      </c>
      <c r="H8" s="12" t="n">
        <v>25.8</v>
      </c>
      <c r="I8" s="12" t="n">
        <v>26.7</v>
      </c>
      <c r="J8" s="12" t="n">
        <v>27.4</v>
      </c>
      <c r="K8" s="12" t="n">
        <v>27.7</v>
      </c>
      <c r="L8" s="12" t="n">
        <v>28.4</v>
      </c>
      <c r="M8" s="12" t="n">
        <v>28.7</v>
      </c>
      <c r="N8" s="13" t="n"/>
      <c r="O8" s="13" t="n"/>
      <c r="P8" s="13" t="n"/>
    </row>
    <row r="9" ht="26" customHeight="1">
      <c r="A9" s="4" t="inlineStr">
        <is>
          <t>注）東川町の高齢化率は令和2年の32.8％をピークに緩やかな下降傾向、美瑛町・東神楽町は上昇傾向で推移している（第9期計画 第2章第1節1）。令和6～8年（淡黄色欄）は実績受領後に入力する。</t>
        </is>
      </c>
    </row>
  </sheetData>
  <mergeCells count="3">
    <mergeCell ref="A1:P1"/>
    <mergeCell ref="A9:M9"/>
    <mergeCell ref="A2:P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M50"/>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ht="24" customHeight="1">
      <c r="A1" s="1" t="inlineStr">
        <is>
          <t>図3　高齢者を含む世帯の状況</t>
        </is>
      </c>
    </row>
    <row r="2" ht="16" customHeight="1">
      <c r="A2" s="2" t="inlineStr">
        <is>
          <t>資料：国勢調査（平成22年・平成27年・令和2年）（第9期計画 第2章第1節2）／単位：世帯・％</t>
        </is>
      </c>
    </row>
    <row r="4">
      <c r="A4" s="8" t="inlineStr">
        <is>
          <t>（1）世帯数</t>
        </is>
      </c>
    </row>
    <row r="5">
      <c r="A5" s="5" t="inlineStr">
        <is>
          <t>区分</t>
        </is>
      </c>
      <c r="B5" s="5" t="inlineStr">
        <is>
          <t>平成22年</t>
        </is>
      </c>
      <c r="C5" s="5" t="inlineStr">
        <is>
          <t>平成27年</t>
        </is>
      </c>
      <c r="D5" s="5" t="inlineStr">
        <is>
          <t>令和2年</t>
        </is>
      </c>
    </row>
    <row r="6">
      <c r="A6" s="6" t="inlineStr">
        <is>
          <t>一般世帯　広域連合</t>
        </is>
      </c>
      <c r="B6" s="9" t="n">
        <v>10536</v>
      </c>
      <c r="C6" s="9" t="n">
        <v>11050</v>
      </c>
      <c r="D6" s="9" t="n">
        <v>11426</v>
      </c>
    </row>
    <row r="7">
      <c r="A7" s="6" t="inlineStr">
        <is>
          <t xml:space="preserve">　東川町</t>
        </is>
      </c>
      <c r="B7" s="9" t="n">
        <v>2965</v>
      </c>
      <c r="C7" s="9" t="n">
        <v>3132</v>
      </c>
      <c r="D7" s="9" t="n">
        <v>3391</v>
      </c>
    </row>
    <row r="8">
      <c r="A8" s="6" t="inlineStr">
        <is>
          <t xml:space="preserve">　美瑛町</t>
        </is>
      </c>
      <c r="B8" s="9" t="n">
        <v>4289</v>
      </c>
      <c r="C8" s="9" t="n">
        <v>4274</v>
      </c>
      <c r="D8" s="9" t="n">
        <v>4205</v>
      </c>
    </row>
    <row r="9">
      <c r="A9" s="6" t="inlineStr">
        <is>
          <t xml:space="preserve">　東神楽町</t>
        </is>
      </c>
      <c r="B9" s="9" t="n">
        <v>3282</v>
      </c>
      <c r="C9" s="9" t="n">
        <v>3644</v>
      </c>
      <c r="D9" s="9" t="n">
        <v>3830</v>
      </c>
    </row>
    <row r="10">
      <c r="A10" s="6" t="inlineStr">
        <is>
          <t>高齢者を含む世帯　広域連合</t>
        </is>
      </c>
      <c r="B10" s="9" t="n">
        <v>4885</v>
      </c>
      <c r="C10" s="9" t="n">
        <v>5318</v>
      </c>
      <c r="D10" s="9" t="n">
        <v>5622</v>
      </c>
    </row>
    <row r="11">
      <c r="A11" s="6" t="inlineStr">
        <is>
          <t xml:space="preserve">　東川町</t>
        </is>
      </c>
      <c r="B11" s="9" t="n">
        <v>1316</v>
      </c>
      <c r="C11" s="9" t="n">
        <v>1506</v>
      </c>
      <c r="D11" s="9" t="n">
        <v>1620</v>
      </c>
    </row>
    <row r="12">
      <c r="A12" s="6" t="inlineStr">
        <is>
          <t xml:space="preserve">　美瑛町</t>
        </is>
      </c>
      <c r="B12" s="9" t="n">
        <v>2330</v>
      </c>
      <c r="C12" s="9" t="n">
        <v>2341</v>
      </c>
      <c r="D12" s="9" t="n">
        <v>2353</v>
      </c>
    </row>
    <row r="13">
      <c r="A13" s="6" t="inlineStr">
        <is>
          <t xml:space="preserve">　東神楽町</t>
        </is>
      </c>
      <c r="B13" s="9" t="n">
        <v>1239</v>
      </c>
      <c r="C13" s="9" t="n">
        <v>1471</v>
      </c>
      <c r="D13" s="9" t="n">
        <v>1649</v>
      </c>
    </row>
    <row r="14">
      <c r="A14" s="6" t="inlineStr">
        <is>
          <t>高齢者夫婦世帯　広域連合</t>
        </is>
      </c>
      <c r="B14" s="9" t="n">
        <v>1461</v>
      </c>
      <c r="C14" s="9" t="n">
        <v>1697</v>
      </c>
      <c r="D14" s="9" t="n">
        <v>1950</v>
      </c>
    </row>
    <row r="15">
      <c r="A15" s="6" t="inlineStr">
        <is>
          <t xml:space="preserve">　東川町</t>
        </is>
      </c>
      <c r="B15" s="9" t="n">
        <v>387</v>
      </c>
      <c r="C15" s="9" t="n">
        <v>504</v>
      </c>
      <c r="D15" s="9" t="n">
        <v>596</v>
      </c>
    </row>
    <row r="16">
      <c r="A16" s="6" t="inlineStr">
        <is>
          <t xml:space="preserve">　美瑛町</t>
        </is>
      </c>
      <c r="B16" s="9" t="n">
        <v>667</v>
      </c>
      <c r="C16" s="9" t="n">
        <v>739</v>
      </c>
      <c r="D16" s="9" t="n">
        <v>743</v>
      </c>
    </row>
    <row r="17">
      <c r="A17" s="6" t="inlineStr">
        <is>
          <t xml:space="preserve">　東神楽町</t>
        </is>
      </c>
      <c r="B17" s="9" t="n">
        <v>407</v>
      </c>
      <c r="C17" s="9" t="n">
        <v>454</v>
      </c>
      <c r="D17" s="9" t="n">
        <v>611</v>
      </c>
    </row>
    <row r="18">
      <c r="A18" s="6" t="inlineStr">
        <is>
          <t>高齢者単身世帯　広域連合</t>
        </is>
      </c>
      <c r="B18" s="9" t="n">
        <v>1076</v>
      </c>
      <c r="C18" s="9" t="n">
        <v>1331</v>
      </c>
      <c r="D18" s="9" t="n">
        <v>1638</v>
      </c>
    </row>
    <row r="19">
      <c r="A19" s="6" t="inlineStr">
        <is>
          <t xml:space="preserve">　東川町</t>
        </is>
      </c>
      <c r="B19" s="9" t="n">
        <v>295</v>
      </c>
      <c r="C19" s="9" t="n">
        <v>363</v>
      </c>
      <c r="D19" s="9" t="n">
        <v>490</v>
      </c>
    </row>
    <row r="20">
      <c r="A20" s="6" t="inlineStr">
        <is>
          <t xml:space="preserve">　美瑛町</t>
        </is>
      </c>
      <c r="B20" s="9" t="n">
        <v>531</v>
      </c>
      <c r="C20" s="9" t="n">
        <v>653</v>
      </c>
      <c r="D20" s="9" t="n">
        <v>714</v>
      </c>
    </row>
    <row r="21">
      <c r="A21" s="6" t="inlineStr">
        <is>
          <t xml:space="preserve">　東神楽町</t>
        </is>
      </c>
      <c r="B21" s="9" t="n">
        <v>250</v>
      </c>
      <c r="C21" s="9" t="n">
        <v>315</v>
      </c>
      <c r="D21" s="9" t="n">
        <v>434</v>
      </c>
    </row>
    <row r="23">
      <c r="A23" s="8" t="inlineStr">
        <is>
          <t>（2）高齢者を含む世帯の構成割合</t>
        </is>
      </c>
    </row>
    <row r="24">
      <c r="A24" s="5" t="inlineStr">
        <is>
          <t>区分</t>
        </is>
      </c>
      <c r="B24" s="5" t="inlineStr">
        <is>
          <t>高齢者夫婦世帯</t>
        </is>
      </c>
      <c r="C24" s="5" t="inlineStr">
        <is>
          <t>高齢者単身世帯</t>
        </is>
      </c>
      <c r="D24" s="5" t="inlineStr">
        <is>
          <t>その他の高齢者を含む世帯</t>
        </is>
      </c>
    </row>
    <row r="25">
      <c r="A25" s="6" t="inlineStr">
        <is>
          <t>広域連合（平成22年）</t>
        </is>
      </c>
      <c r="B25" s="12" t="n">
        <v>29.9</v>
      </c>
      <c r="C25" s="12" t="n">
        <v>22</v>
      </c>
      <c r="D25" s="12" t="n">
        <v>48.1</v>
      </c>
    </row>
    <row r="26">
      <c r="A26" s="6" t="inlineStr">
        <is>
          <t>広域連合（平成27年）</t>
        </is>
      </c>
      <c r="B26" s="12" t="n">
        <v>31.9</v>
      </c>
      <c r="C26" s="12" t="n">
        <v>25</v>
      </c>
      <c r="D26" s="12" t="n">
        <v>43.1</v>
      </c>
    </row>
    <row r="27">
      <c r="A27" s="6" t="inlineStr">
        <is>
          <t>広域連合（令和2年）</t>
        </is>
      </c>
      <c r="B27" s="12" t="n">
        <v>34.7</v>
      </c>
      <c r="C27" s="12" t="n">
        <v>29.1</v>
      </c>
      <c r="D27" s="12" t="n">
        <v>36.2</v>
      </c>
    </row>
    <row r="28">
      <c r="A28" s="6" t="inlineStr">
        <is>
          <t>東川町（令和2年）</t>
        </is>
      </c>
      <c r="B28" s="12" t="n">
        <v>36.8</v>
      </c>
      <c r="C28" s="12" t="n">
        <v>30.2</v>
      </c>
      <c r="D28" s="12" t="n">
        <v>33</v>
      </c>
    </row>
    <row r="29">
      <c r="A29" s="6" t="inlineStr">
        <is>
          <t>美瑛町（令和2年）</t>
        </is>
      </c>
      <c r="B29" s="12" t="n">
        <v>31.6</v>
      </c>
      <c r="C29" s="12" t="n">
        <v>30.3</v>
      </c>
      <c r="D29" s="12" t="n">
        <v>38.1</v>
      </c>
    </row>
    <row r="30">
      <c r="A30" s="6" t="inlineStr">
        <is>
          <t>東神楽町（令和2年）</t>
        </is>
      </c>
      <c r="B30" s="12" t="n">
        <v>37.1</v>
      </c>
      <c r="C30" s="12" t="n">
        <v>26.3</v>
      </c>
      <c r="D30" s="12" t="n">
        <v>36.6</v>
      </c>
    </row>
    <row r="31" ht="26" customHeight="1">
      <c r="A31" s="4" t="inlineStr">
        <is>
          <t>注）構成割合は「高齢者を含む世帯」に占める割合。令和2年では高齢者単身世帯の割合は美瑛町が30.3％と最も高く、高齢者夫婦世帯の割合は東神楽町が37.1％と最も高い（第9期計画 第2章第1節2）。次回は令和7年国勢調査の公表後に更新する。</t>
        </is>
      </c>
    </row>
    <row r="33">
      <c r="A33" s="8" t="inlineStr">
        <is>
          <t>（3）町別世帯数（見える化A5〜A8）と高齢夫婦世帯の定義差</t>
        </is>
      </c>
    </row>
    <row r="34">
      <c r="A34" s="5" t="inlineStr">
        <is>
          <t>区分</t>
        </is>
      </c>
      <c r="B34" s="5" t="inlineStr">
        <is>
          <t>平成22年</t>
        </is>
      </c>
      <c r="C34" s="5" t="inlineStr">
        <is>
          <t>平成27年</t>
        </is>
      </c>
      <c r="D34" s="5" t="inlineStr">
        <is>
          <t>令和2年</t>
        </is>
      </c>
    </row>
    <row r="35">
      <c r="A35" s="6" t="inlineStr">
        <is>
          <t>一般世帯　東川町</t>
        </is>
      </c>
      <c r="B35" s="9" t="n">
        <v>2965</v>
      </c>
      <c r="C35" s="9" t="n">
        <v>3132</v>
      </c>
      <c r="D35" s="9" t="n">
        <v>3391</v>
      </c>
    </row>
    <row r="36">
      <c r="A36" s="6" t="inlineStr">
        <is>
          <t xml:space="preserve">　美瑛町</t>
        </is>
      </c>
      <c r="B36" s="9" t="n">
        <v>4289</v>
      </c>
      <c r="C36" s="9" t="n">
        <v>4274</v>
      </c>
      <c r="D36" s="9" t="n">
        <v>4205</v>
      </c>
    </row>
    <row r="37">
      <c r="A37" s="6" t="inlineStr">
        <is>
          <t xml:space="preserve">　東神楽町</t>
        </is>
      </c>
      <c r="B37" s="9" t="n">
        <v>3282</v>
      </c>
      <c r="C37" s="9" t="n">
        <v>3644</v>
      </c>
      <c r="D37" s="9" t="n">
        <v>3830</v>
      </c>
    </row>
    <row r="38">
      <c r="A38" s="6" t="inlineStr">
        <is>
          <t>高齢者を含む世帯　東川町</t>
        </is>
      </c>
      <c r="B38" s="9" t="n">
        <v>1316</v>
      </c>
      <c r="C38" s="9" t="n">
        <v>1506</v>
      </c>
      <c r="D38" s="9" t="n">
        <v>1620</v>
      </c>
    </row>
    <row r="39">
      <c r="A39" s="6" t="inlineStr">
        <is>
          <t xml:space="preserve">　美瑛町</t>
        </is>
      </c>
      <c r="B39" s="9" t="n">
        <v>2330</v>
      </c>
      <c r="C39" s="9" t="n">
        <v>2341</v>
      </c>
      <c r="D39" s="9" t="n">
        <v>2353</v>
      </c>
    </row>
    <row r="40">
      <c r="A40" s="6" t="inlineStr">
        <is>
          <t xml:space="preserve">　東神楽町</t>
        </is>
      </c>
      <c r="B40" s="9" t="n">
        <v>1239</v>
      </c>
      <c r="C40" s="9" t="n">
        <v>1471</v>
      </c>
      <c r="D40" s="9" t="n">
        <v>1649</v>
      </c>
    </row>
    <row r="41">
      <c r="A41" s="6" t="inlineStr">
        <is>
          <t>高齢独居世帯　東川町</t>
        </is>
      </c>
      <c r="B41" s="9" t="n">
        <v>295</v>
      </c>
      <c r="C41" s="9" t="n">
        <v>363</v>
      </c>
      <c r="D41" s="9" t="n">
        <v>490</v>
      </c>
    </row>
    <row r="42">
      <c r="A42" s="6" t="inlineStr">
        <is>
          <t xml:space="preserve">　美瑛町</t>
        </is>
      </c>
      <c r="B42" s="9" t="n">
        <v>531</v>
      </c>
      <c r="C42" s="9" t="n">
        <v>653</v>
      </c>
      <c r="D42" s="9" t="n">
        <v>714</v>
      </c>
    </row>
    <row r="43">
      <c r="A43" s="6" t="inlineStr">
        <is>
          <t xml:space="preserve">　東神楽町</t>
        </is>
      </c>
      <c r="B43" s="9" t="n">
        <v>250</v>
      </c>
      <c r="C43" s="9" t="n">
        <v>315</v>
      </c>
      <c r="D43" s="9" t="n">
        <v>434</v>
      </c>
    </row>
    <row r="44">
      <c r="A44" s="6" t="inlineStr">
        <is>
          <t>高齢夫婦世帯（見える化）　東川町</t>
        </is>
      </c>
      <c r="B44" s="9" t="n">
        <v>387</v>
      </c>
      <c r="C44" s="9" t="n">
        <v>504</v>
      </c>
      <c r="D44" s="9" t="n">
        <v>554</v>
      </c>
    </row>
    <row r="45">
      <c r="A45" s="6" t="inlineStr">
        <is>
          <t xml:space="preserve">　美瑛町</t>
        </is>
      </c>
      <c r="B45" s="9" t="n">
        <v>667</v>
      </c>
      <c r="C45" s="9" t="n">
        <v>657</v>
      </c>
      <c r="D45" s="9" t="n">
        <v>676</v>
      </c>
    </row>
    <row r="46">
      <c r="A46" s="6" t="inlineStr">
        <is>
          <t xml:space="preserve">　東神楽町</t>
        </is>
      </c>
      <c r="B46" s="9" t="n">
        <v>407</v>
      </c>
      <c r="C46" s="9" t="n">
        <v>454</v>
      </c>
      <c r="D46" s="9" t="n">
        <v>543</v>
      </c>
    </row>
    <row r="47">
      <c r="A47" s="6" t="inlineStr">
        <is>
          <t>高齢者夫婦世帯（第9期計画）　東川町</t>
        </is>
      </c>
      <c r="B47" s="9" t="n">
        <v>387</v>
      </c>
      <c r="C47" s="9" t="n">
        <v>504</v>
      </c>
      <c r="D47" s="9" t="n">
        <v>596</v>
      </c>
    </row>
    <row r="48">
      <c r="A48" s="6" t="inlineStr">
        <is>
          <t xml:space="preserve">　美瑛町</t>
        </is>
      </c>
      <c r="B48" s="9" t="n">
        <v>667</v>
      </c>
      <c r="C48" s="9" t="n">
        <v>739</v>
      </c>
      <c r="D48" s="9" t="n">
        <v>743</v>
      </c>
    </row>
    <row r="49">
      <c r="A49" s="6" t="inlineStr">
        <is>
          <t xml:space="preserve">　東神楽町</t>
        </is>
      </c>
      <c r="B49" s="9" t="n">
        <v>407</v>
      </c>
      <c r="C49" s="9" t="n">
        <v>454</v>
      </c>
      <c r="D49" s="9" t="n">
        <v>611</v>
      </c>
    </row>
    <row r="50" ht="26" customHeight="1">
      <c r="A50" s="4" t="inlineStr">
        <is>
          <t>注）一般世帯・高齢者を含む世帯・高齢独居世帯は、見える化A5〜A7と第9期計画の掲載値が町別まで完全に一致する。一方、高齢夫婦世帯のみ平成27年で82世帯、令和2年で177世帯の差があり、差は時点とともに拡大する。見える化の「高齢夫婦世帯」と第9期計画の「高齢者夫婦世帯」の定義差（夫婦双方が65歳以上か、いずれか一方が65歳以上か）によるものとみられる。第10期で採用する定義を決定する必要がある（修正指示書C-6）。</t>
        </is>
      </c>
    </row>
  </sheetData>
  <mergeCells count="4">
    <mergeCell ref="A1:J1"/>
    <mergeCell ref="A50:M50"/>
    <mergeCell ref="A31:M31"/>
    <mergeCell ref="A2:J2"/>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P13"/>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図4　要介護（要支援）認定者数の推移（大雪地区広域連合）</t>
        </is>
      </c>
    </row>
    <row r="2" ht="16" customHeight="1">
      <c r="A2" s="2" t="inlineStr">
        <is>
          <t>資料：介護保険事業状況報告 各年9月分（第9期計画 第2章第1節3）／単位：人</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要支援1</t>
        </is>
      </c>
      <c r="B5" s="9" t="n">
        <v>169</v>
      </c>
      <c r="C5" s="9" t="n">
        <v>221</v>
      </c>
      <c r="D5" s="9" t="n">
        <v>264</v>
      </c>
      <c r="E5" s="9" t="n">
        <v>325</v>
      </c>
      <c r="F5" s="9" t="n">
        <v>297</v>
      </c>
      <c r="G5" s="9" t="n">
        <v>274</v>
      </c>
      <c r="H5" s="9" t="n">
        <v>289</v>
      </c>
      <c r="I5" s="9" t="n">
        <v>275</v>
      </c>
      <c r="J5" s="9" t="n">
        <v>271</v>
      </c>
      <c r="K5" s="9" t="n">
        <v>254</v>
      </c>
      <c r="L5" s="9" t="n">
        <v>239</v>
      </c>
      <c r="M5" s="9" t="n">
        <v>248</v>
      </c>
      <c r="N5" s="10" t="n"/>
      <c r="O5" s="10" t="n"/>
      <c r="P5" s="10" t="n"/>
    </row>
    <row r="6">
      <c r="A6" s="6" t="inlineStr">
        <is>
          <t>要支援2</t>
        </is>
      </c>
      <c r="B6" s="9" t="n">
        <v>243</v>
      </c>
      <c r="C6" s="9" t="n">
        <v>270</v>
      </c>
      <c r="D6" s="9" t="n">
        <v>282</v>
      </c>
      <c r="E6" s="9" t="n">
        <v>288</v>
      </c>
      <c r="F6" s="9" t="n">
        <v>263</v>
      </c>
      <c r="G6" s="9" t="n">
        <v>268</v>
      </c>
      <c r="H6" s="9" t="n">
        <v>256</v>
      </c>
      <c r="I6" s="9" t="n">
        <v>295</v>
      </c>
      <c r="J6" s="9" t="n">
        <v>302</v>
      </c>
      <c r="K6" s="9" t="n">
        <v>300</v>
      </c>
      <c r="L6" s="9" t="n">
        <v>313</v>
      </c>
      <c r="M6" s="9" t="n">
        <v>285</v>
      </c>
      <c r="N6" s="10" t="n"/>
      <c r="O6" s="10" t="n"/>
      <c r="P6" s="10" t="n"/>
    </row>
    <row r="7">
      <c r="A7" s="6" t="inlineStr">
        <is>
          <t>要介護1</t>
        </is>
      </c>
      <c r="B7" s="9" t="n">
        <v>336</v>
      </c>
      <c r="C7" s="9" t="n">
        <v>354</v>
      </c>
      <c r="D7" s="9" t="n">
        <v>396</v>
      </c>
      <c r="E7" s="9" t="n">
        <v>410</v>
      </c>
      <c r="F7" s="9" t="n">
        <v>415</v>
      </c>
      <c r="G7" s="9" t="n">
        <v>420</v>
      </c>
      <c r="H7" s="9" t="n">
        <v>447</v>
      </c>
      <c r="I7" s="9" t="n">
        <v>438</v>
      </c>
      <c r="J7" s="9" t="n">
        <v>424</v>
      </c>
      <c r="K7" s="9" t="n">
        <v>482</v>
      </c>
      <c r="L7" s="9" t="n">
        <v>470</v>
      </c>
      <c r="M7" s="9" t="n">
        <v>492</v>
      </c>
      <c r="N7" s="10" t="n"/>
      <c r="O7" s="10" t="n"/>
      <c r="P7" s="10" t="n"/>
    </row>
    <row r="8">
      <c r="A8" s="6" t="inlineStr">
        <is>
          <t>要介護2</t>
        </is>
      </c>
      <c r="B8" s="9" t="n">
        <v>283</v>
      </c>
      <c r="C8" s="9" t="n">
        <v>274</v>
      </c>
      <c r="D8" s="9" t="n">
        <v>301</v>
      </c>
      <c r="E8" s="9" t="n">
        <v>315</v>
      </c>
      <c r="F8" s="9" t="n">
        <v>306</v>
      </c>
      <c r="G8" s="9" t="n">
        <v>323</v>
      </c>
      <c r="H8" s="9" t="n">
        <v>320</v>
      </c>
      <c r="I8" s="9" t="n">
        <v>315</v>
      </c>
      <c r="J8" s="9" t="n">
        <v>323</v>
      </c>
      <c r="K8" s="9" t="n">
        <v>320</v>
      </c>
      <c r="L8" s="9" t="n">
        <v>350</v>
      </c>
      <c r="M8" s="9" t="n">
        <v>329</v>
      </c>
      <c r="N8" s="10" t="n"/>
      <c r="O8" s="10" t="n"/>
      <c r="P8" s="10" t="n"/>
    </row>
    <row r="9">
      <c r="A9" s="6" t="inlineStr">
        <is>
          <t>要介護3</t>
        </is>
      </c>
      <c r="B9" s="9" t="n">
        <v>222</v>
      </c>
      <c r="C9" s="9" t="n">
        <v>223</v>
      </c>
      <c r="D9" s="9" t="n">
        <v>196</v>
      </c>
      <c r="E9" s="9" t="n">
        <v>198</v>
      </c>
      <c r="F9" s="9" t="n">
        <v>220</v>
      </c>
      <c r="G9" s="9" t="n">
        <v>250</v>
      </c>
      <c r="H9" s="9" t="n">
        <v>228</v>
      </c>
      <c r="I9" s="9" t="n">
        <v>235</v>
      </c>
      <c r="J9" s="9" t="n">
        <v>237</v>
      </c>
      <c r="K9" s="9" t="n">
        <v>224</v>
      </c>
      <c r="L9" s="9" t="n">
        <v>229</v>
      </c>
      <c r="M9" s="9" t="n">
        <v>247</v>
      </c>
      <c r="N9" s="10" t="n"/>
      <c r="O9" s="10" t="n"/>
      <c r="P9" s="10" t="n"/>
    </row>
    <row r="10">
      <c r="A10" s="6" t="inlineStr">
        <is>
          <t>要介護4</t>
        </is>
      </c>
      <c r="B10" s="9" t="n">
        <v>175</v>
      </c>
      <c r="C10" s="9" t="n">
        <v>191</v>
      </c>
      <c r="D10" s="9" t="n">
        <v>190</v>
      </c>
      <c r="E10" s="9" t="n">
        <v>198</v>
      </c>
      <c r="F10" s="9" t="n">
        <v>211</v>
      </c>
      <c r="G10" s="9" t="n">
        <v>195</v>
      </c>
      <c r="H10" s="9" t="n">
        <v>182</v>
      </c>
      <c r="I10" s="9" t="n">
        <v>209</v>
      </c>
      <c r="J10" s="9" t="n">
        <v>210</v>
      </c>
      <c r="K10" s="9" t="n">
        <v>232</v>
      </c>
      <c r="L10" s="9" t="n">
        <v>213</v>
      </c>
      <c r="M10" s="9" t="n">
        <v>222</v>
      </c>
      <c r="N10" s="10" t="n"/>
      <c r="O10" s="10" t="n"/>
      <c r="P10" s="10" t="n"/>
    </row>
    <row r="11">
      <c r="A11" s="6" t="inlineStr">
        <is>
          <t>要介護5</t>
        </is>
      </c>
      <c r="B11" s="9" t="n">
        <v>181</v>
      </c>
      <c r="C11" s="9" t="n">
        <v>198</v>
      </c>
      <c r="D11" s="9" t="n">
        <v>188</v>
      </c>
      <c r="E11" s="9" t="n">
        <v>170</v>
      </c>
      <c r="F11" s="9" t="n">
        <v>177</v>
      </c>
      <c r="G11" s="9" t="n">
        <v>170</v>
      </c>
      <c r="H11" s="9" t="n">
        <v>179</v>
      </c>
      <c r="I11" s="9" t="n">
        <v>161</v>
      </c>
      <c r="J11" s="9" t="n">
        <v>154</v>
      </c>
      <c r="K11" s="9" t="n">
        <v>158</v>
      </c>
      <c r="L11" s="9" t="n">
        <v>158</v>
      </c>
      <c r="M11" s="9" t="n">
        <v>153</v>
      </c>
      <c r="N11" s="10" t="n"/>
      <c r="O11" s="10" t="n"/>
      <c r="P11" s="10" t="n"/>
    </row>
    <row r="12">
      <c r="A12" s="6" t="inlineStr">
        <is>
          <t>合計</t>
        </is>
      </c>
      <c r="B12" s="11">
        <f>SUM(B5:B11)</f>
        <v/>
      </c>
      <c r="C12" s="11">
        <f>SUM(C5:C11)</f>
        <v/>
      </c>
      <c r="D12" s="11">
        <f>SUM(D5:D11)</f>
        <v/>
      </c>
      <c r="E12" s="11">
        <f>SUM(E5:E11)</f>
        <v/>
      </c>
      <c r="F12" s="11">
        <f>SUM(F5:F11)</f>
        <v/>
      </c>
      <c r="G12" s="11">
        <f>SUM(G5:G11)</f>
        <v/>
      </c>
      <c r="H12" s="11">
        <f>SUM(H5:H11)</f>
        <v/>
      </c>
      <c r="I12" s="11">
        <f>SUM(I5:I11)</f>
        <v/>
      </c>
      <c r="J12" s="11">
        <f>SUM(J5:J11)</f>
        <v/>
      </c>
      <c r="K12" s="11">
        <f>SUM(K5:K11)</f>
        <v/>
      </c>
      <c r="L12" s="11">
        <f>SUM(L5:L11)</f>
        <v/>
      </c>
      <c r="M12" s="11">
        <f>SUM(M5:M11)</f>
        <v/>
      </c>
      <c r="N12" s="11">
        <f>SUM(N5:N11)</f>
        <v/>
      </c>
      <c r="O12" s="11">
        <f>SUM(O5:O11)</f>
        <v/>
      </c>
      <c r="P12" s="11">
        <f>SUM(P5:P11)</f>
        <v/>
      </c>
    </row>
    <row r="13" ht="26" customHeight="1">
      <c r="A13" s="4" t="inlineStr">
        <is>
          <t>注）第1号・第2号被保険者の合計。令和5年の合計1,976人は第9期計画の記載と一致する。要支援1～要介護4は増加傾向、要介護5は減少傾向で推移している（第9期計画 第2章第1節3）。令和6～8年（淡黄色欄）は各年9月分の実績受領後に入力する。</t>
        </is>
      </c>
    </row>
  </sheetData>
  <mergeCells count="3">
    <mergeCell ref="A1:P1"/>
    <mergeCell ref="A13:M13"/>
    <mergeCell ref="A2:P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16" customWidth="1" min="1" max="1"/>
    <col width="11" customWidth="1" min="2" max="2"/>
    <col width="11" customWidth="1" min="3" max="3"/>
    <col width="11" customWidth="1" min="4" max="4"/>
    <col width="11" customWidth="1" min="5" max="5"/>
    <col width="11" customWidth="1" min="6" max="6"/>
    <col width="11" customWidth="1" min="7" max="7"/>
    <col width="11" customWidth="1" min="8" max="8"/>
  </cols>
  <sheetData>
    <row r="1" ht="24" customHeight="1">
      <c r="A1" s="1" t="inlineStr">
        <is>
          <t>図5　認定者割合の比較（令和5年9月）</t>
        </is>
      </c>
    </row>
    <row r="2" ht="16" customHeight="1">
      <c r="A2" s="2" t="inlineStr">
        <is>
          <t>資料：介護保険事業状況報告 令和5年9月分（第9期計画 第2章第1節3）／単位：％</t>
        </is>
      </c>
    </row>
    <row r="4">
      <c r="A4" s="5" t="inlineStr">
        <is>
          <t>区分</t>
        </is>
      </c>
      <c r="B4" s="5" t="inlineStr">
        <is>
          <t>要支援1</t>
        </is>
      </c>
      <c r="C4" s="5" t="inlineStr">
        <is>
          <t>要支援2</t>
        </is>
      </c>
      <c r="D4" s="5" t="inlineStr">
        <is>
          <t>要介護1</t>
        </is>
      </c>
      <c r="E4" s="5" t="inlineStr">
        <is>
          <t>要介護2</t>
        </is>
      </c>
      <c r="F4" s="5" t="inlineStr">
        <is>
          <t>要介護3</t>
        </is>
      </c>
      <c r="G4" s="5" t="inlineStr">
        <is>
          <t>要介護4</t>
        </is>
      </c>
      <c r="H4" s="5" t="inlineStr">
        <is>
          <t>要介護5</t>
        </is>
      </c>
    </row>
    <row r="5">
      <c r="A5" s="6" t="inlineStr">
        <is>
          <t>全国</t>
        </is>
      </c>
      <c r="B5" s="12" t="n">
        <v>14.2</v>
      </c>
      <c r="C5" s="12" t="n">
        <v>13.9</v>
      </c>
      <c r="D5" s="12" t="n">
        <v>20.7</v>
      </c>
      <c r="E5" s="12" t="n">
        <v>16.7</v>
      </c>
      <c r="F5" s="12" t="n">
        <v>13.2</v>
      </c>
      <c r="G5" s="12" t="n">
        <v>12.7</v>
      </c>
      <c r="H5" s="12" t="n">
        <v>8.5</v>
      </c>
    </row>
    <row r="6">
      <c r="A6" s="6" t="inlineStr">
        <is>
          <t>北海道</t>
        </is>
      </c>
      <c r="B6" s="12" t="n">
        <v>18.4</v>
      </c>
      <c r="C6" s="12" t="n">
        <v>14.6</v>
      </c>
      <c r="D6" s="12" t="n">
        <v>23.1</v>
      </c>
      <c r="E6" s="12" t="n">
        <v>15.7</v>
      </c>
      <c r="F6" s="12" t="n">
        <v>10.6</v>
      </c>
      <c r="G6" s="12" t="n">
        <v>10.4</v>
      </c>
      <c r="H6" s="12" t="n">
        <v>7.2</v>
      </c>
    </row>
    <row r="7">
      <c r="A7" s="6" t="inlineStr">
        <is>
          <t>広域連合</t>
        </is>
      </c>
      <c r="B7" s="12" t="n">
        <v>12.6</v>
      </c>
      <c r="C7" s="12" t="n">
        <v>14.4</v>
      </c>
      <c r="D7" s="12" t="n">
        <v>24.9</v>
      </c>
      <c r="E7" s="12" t="n">
        <v>16.6</v>
      </c>
      <c r="F7" s="12" t="n">
        <v>12.5</v>
      </c>
      <c r="G7" s="12" t="n">
        <v>11.2</v>
      </c>
      <c r="H7" s="12" t="n">
        <v>7.7</v>
      </c>
    </row>
    <row r="8">
      <c r="A8" s="6" t="inlineStr">
        <is>
          <t>東川町</t>
        </is>
      </c>
      <c r="B8" s="12" t="n">
        <v>9.9</v>
      </c>
      <c r="C8" s="12" t="n">
        <v>14.8</v>
      </c>
      <c r="D8" s="12" t="n">
        <v>23.4</v>
      </c>
      <c r="E8" s="12" t="n">
        <v>18.1</v>
      </c>
      <c r="F8" s="12" t="n">
        <v>11.7</v>
      </c>
      <c r="G8" s="12" t="n">
        <v>13.1</v>
      </c>
      <c r="H8" s="12" t="n">
        <v>9.1</v>
      </c>
    </row>
    <row r="9">
      <c r="A9" s="6" t="inlineStr">
        <is>
          <t>美瑛町</t>
        </is>
      </c>
      <c r="B9" s="12" t="n">
        <v>14.2</v>
      </c>
      <c r="C9" s="12" t="n">
        <v>14.7</v>
      </c>
      <c r="D9" s="12" t="n">
        <v>23.6</v>
      </c>
      <c r="E9" s="12" t="n">
        <v>16.3</v>
      </c>
      <c r="F9" s="12" t="n">
        <v>14.3</v>
      </c>
      <c r="G9" s="12" t="n">
        <v>10.4</v>
      </c>
      <c r="H9" s="12" t="n">
        <v>6.4</v>
      </c>
    </row>
    <row r="10">
      <c r="A10" s="6" t="inlineStr">
        <is>
          <t>東神楽町</t>
        </is>
      </c>
      <c r="B10" s="12" t="n">
        <v>12.5</v>
      </c>
      <c r="C10" s="12" t="n">
        <v>13.6</v>
      </c>
      <c r="D10" s="12" t="n">
        <v>28.7</v>
      </c>
      <c r="E10" s="12" t="n">
        <v>15.7</v>
      </c>
      <c r="F10" s="12" t="n">
        <v>10.2</v>
      </c>
      <c r="G10" s="12" t="n">
        <v>10.7</v>
      </c>
      <c r="H10" s="12" t="n">
        <v>8.6</v>
      </c>
    </row>
    <row r="11" ht="26" customHeight="1">
      <c r="A11" s="4" t="inlineStr">
        <is>
          <t>注）東川町は「要支援1」の割合が9.9％と全国・北海道・他町より低く、美瑛町は「要支援1」14.2％と「要介護3」14.3％が他町より高い。東神楽町は「要介護1」の割合が28.7％と全国・北海道・他町より高い（第9期計画 第2章第1節3）。</t>
        </is>
      </c>
    </row>
  </sheetData>
  <mergeCells count="3">
    <mergeCell ref="A11:M11"/>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P66"/>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図6　要支援・要介護認定者の出現率</t>
        </is>
      </c>
    </row>
    <row r="2" ht="16" customHeight="1">
      <c r="A2" s="2" t="inlineStr">
        <is>
          <t>資料：介護保険事業状況報告 各年9月分（第9期計画 第2章第1節3）／出現率＝第1号認定者数÷第1号被保険者数・単位：％</t>
        </is>
      </c>
    </row>
    <row r="4">
      <c r="A4" s="8" t="inlineStr">
        <is>
          <t>（1）出現率の推移（全国・北海道との比較）</t>
        </is>
      </c>
    </row>
    <row r="5">
      <c r="A5" s="5" t="inlineStr">
        <is>
          <t>区分</t>
        </is>
      </c>
      <c r="B5" s="5" t="inlineStr">
        <is>
          <t>平成24年</t>
        </is>
      </c>
      <c r="C5" s="5" t="inlineStr">
        <is>
          <t>平成25年</t>
        </is>
      </c>
      <c r="D5" s="5" t="inlineStr">
        <is>
          <t>平成26年</t>
        </is>
      </c>
      <c r="E5" s="5" t="inlineStr">
        <is>
          <t>平成27年</t>
        </is>
      </c>
      <c r="F5" s="5" t="inlineStr">
        <is>
          <t>平成28年</t>
        </is>
      </c>
      <c r="G5" s="5" t="inlineStr">
        <is>
          <t>平成29年</t>
        </is>
      </c>
      <c r="H5" s="5" t="inlineStr">
        <is>
          <t>平成30年</t>
        </is>
      </c>
      <c r="I5" s="5" t="inlineStr">
        <is>
          <t>令和元年</t>
        </is>
      </c>
      <c r="J5" s="5" t="inlineStr">
        <is>
          <t>令和2年</t>
        </is>
      </c>
      <c r="K5" s="5" t="inlineStr">
        <is>
          <t>令和3年</t>
        </is>
      </c>
      <c r="L5" s="5" t="inlineStr">
        <is>
          <t>令和4年</t>
        </is>
      </c>
      <c r="M5" s="5" t="inlineStr">
        <is>
          <t>令和5年</t>
        </is>
      </c>
      <c r="N5" s="5" t="inlineStr">
        <is>
          <t>令和6年</t>
        </is>
      </c>
      <c r="O5" s="5" t="inlineStr">
        <is>
          <t>令和7年</t>
        </is>
      </c>
      <c r="P5" s="5" t="inlineStr">
        <is>
          <t>令和8年</t>
        </is>
      </c>
    </row>
    <row r="6">
      <c r="A6" s="6" t="inlineStr">
        <is>
          <t>広域連合</t>
        </is>
      </c>
      <c r="B6" s="12" t="n">
        <v>19.3</v>
      </c>
      <c r="C6" s="12" t="n">
        <v>20.2</v>
      </c>
      <c r="D6" s="12" t="n">
        <v>20.6</v>
      </c>
      <c r="E6" s="12" t="n">
        <v>21.2</v>
      </c>
      <c r="F6" s="12" t="n">
        <v>20.7</v>
      </c>
      <c r="G6" s="12" t="n">
        <v>20.7</v>
      </c>
      <c r="H6" s="12" t="n">
        <v>20.5</v>
      </c>
      <c r="I6" s="12" t="n">
        <v>20.7</v>
      </c>
      <c r="J6" s="12" t="n">
        <v>20.5</v>
      </c>
      <c r="K6" s="12" t="n">
        <v>21</v>
      </c>
      <c r="L6" s="12" t="n">
        <v>21.1</v>
      </c>
      <c r="M6" s="12" t="n">
        <v>21.2</v>
      </c>
      <c r="N6" s="13" t="n"/>
      <c r="O6" s="13" t="n"/>
      <c r="P6" s="13" t="n"/>
    </row>
    <row r="7">
      <c r="A7" s="6" t="inlineStr">
        <is>
          <t>北海道</t>
        </is>
      </c>
      <c r="B7" s="12" t="n">
        <v>18.5</v>
      </c>
      <c r="C7" s="12" t="n">
        <v>18.9</v>
      </c>
      <c r="D7" s="12" t="n">
        <v>19.2</v>
      </c>
      <c r="E7" s="12" t="n">
        <v>19.4</v>
      </c>
      <c r="F7" s="12" t="n">
        <v>19.5</v>
      </c>
      <c r="G7" s="12" t="n">
        <v>19.5</v>
      </c>
      <c r="H7" s="12" t="n">
        <v>19.7</v>
      </c>
      <c r="I7" s="12" t="n">
        <v>20</v>
      </c>
      <c r="J7" s="12" t="n">
        <v>20.2</v>
      </c>
      <c r="K7" s="12" t="n">
        <v>20.4</v>
      </c>
      <c r="L7" s="12" t="n">
        <v>20.6</v>
      </c>
      <c r="M7" s="12" t="n">
        <v>20.8</v>
      </c>
      <c r="N7" s="13" t="n"/>
      <c r="O7" s="13" t="n"/>
      <c r="P7" s="13" t="n"/>
    </row>
    <row r="8">
      <c r="A8" s="6" t="inlineStr">
        <is>
          <t>全国</t>
        </is>
      </c>
      <c r="B8" s="12" t="n">
        <v>17.5</v>
      </c>
      <c r="C8" s="12" t="n">
        <v>17.8</v>
      </c>
      <c r="D8" s="12" t="n">
        <v>17.9</v>
      </c>
      <c r="E8" s="12" t="n">
        <v>18</v>
      </c>
      <c r="F8" s="12" t="n">
        <v>18</v>
      </c>
      <c r="G8" s="12" t="n">
        <v>18.1</v>
      </c>
      <c r="H8" s="12" t="n">
        <v>18.3</v>
      </c>
      <c r="I8" s="12" t="n">
        <v>18.5</v>
      </c>
      <c r="J8" s="12" t="n">
        <v>18.6</v>
      </c>
      <c r="K8" s="12" t="n">
        <v>18.8</v>
      </c>
      <c r="L8" s="12" t="n">
        <v>19.1</v>
      </c>
      <c r="M8" s="12" t="n">
        <v>19.3</v>
      </c>
      <c r="N8" s="13" t="n"/>
      <c r="O8" s="13" t="n"/>
      <c r="P8" s="13" t="n"/>
    </row>
    <row r="10">
      <c r="A10" s="8" t="inlineStr">
        <is>
          <t>（2）町別出現率の推移</t>
        </is>
      </c>
    </row>
    <row r="11">
      <c r="A11" s="5" t="inlineStr">
        <is>
          <t>区分</t>
        </is>
      </c>
      <c r="B11" s="5" t="inlineStr">
        <is>
          <t>平成24年</t>
        </is>
      </c>
      <c r="C11" s="5" t="inlineStr">
        <is>
          <t>平成25年</t>
        </is>
      </c>
      <c r="D11" s="5" t="inlineStr">
        <is>
          <t>平成26年</t>
        </is>
      </c>
      <c r="E11" s="5" t="inlineStr">
        <is>
          <t>平成27年</t>
        </is>
      </c>
      <c r="F11" s="5" t="inlineStr">
        <is>
          <t>平成28年</t>
        </is>
      </c>
      <c r="G11" s="5" t="inlineStr">
        <is>
          <t>平成29年</t>
        </is>
      </c>
      <c r="H11" s="5" t="inlineStr">
        <is>
          <t>平成30年</t>
        </is>
      </c>
      <c r="I11" s="5" t="inlineStr">
        <is>
          <t>令和元年</t>
        </is>
      </c>
      <c r="J11" s="5" t="inlineStr">
        <is>
          <t>令和2年</t>
        </is>
      </c>
      <c r="K11" s="5" t="inlineStr">
        <is>
          <t>令和3年</t>
        </is>
      </c>
      <c r="L11" s="5" t="inlineStr">
        <is>
          <t>令和4年</t>
        </is>
      </c>
      <c r="M11" s="5" t="inlineStr">
        <is>
          <t>令和5年</t>
        </is>
      </c>
      <c r="N11" s="5" t="inlineStr">
        <is>
          <t>令和6年</t>
        </is>
      </c>
      <c r="O11" s="5" t="inlineStr">
        <is>
          <t>令和7年</t>
        </is>
      </c>
      <c r="P11" s="5" t="inlineStr">
        <is>
          <t>令和8年</t>
        </is>
      </c>
    </row>
    <row r="12">
      <c r="A12" s="6" t="inlineStr">
        <is>
          <t>東川町</t>
        </is>
      </c>
      <c r="B12" s="12" t="n">
        <v>18.7</v>
      </c>
      <c r="C12" s="12" t="n">
        <v>19.8</v>
      </c>
      <c r="D12" s="12" t="n">
        <v>19.2</v>
      </c>
      <c r="E12" s="12" t="n">
        <v>19.1</v>
      </c>
      <c r="F12" s="12" t="n">
        <v>17.5</v>
      </c>
      <c r="G12" s="12" t="n">
        <v>17.8</v>
      </c>
      <c r="H12" s="12" t="n">
        <v>18.4</v>
      </c>
      <c r="I12" s="12" t="n">
        <v>18.6</v>
      </c>
      <c r="J12" s="12" t="n">
        <v>19.4</v>
      </c>
      <c r="K12" s="12" t="n">
        <v>19.6</v>
      </c>
      <c r="L12" s="12" t="n">
        <v>19.9</v>
      </c>
      <c r="M12" s="12" t="n">
        <v>20.5</v>
      </c>
      <c r="N12" s="13" t="n"/>
      <c r="O12" s="13" t="n"/>
      <c r="P12" s="13" t="n"/>
    </row>
    <row r="13">
      <c r="A13" s="6" t="inlineStr">
        <is>
          <t>美瑛町</t>
        </is>
      </c>
      <c r="B13" s="12" t="n">
        <v>19.3</v>
      </c>
      <c r="C13" s="12" t="n">
        <v>20.6</v>
      </c>
      <c r="D13" s="12" t="n">
        <v>21.8</v>
      </c>
      <c r="E13" s="12" t="n">
        <v>23</v>
      </c>
      <c r="F13" s="12" t="n">
        <v>22.9</v>
      </c>
      <c r="G13" s="12" t="n">
        <v>23.3</v>
      </c>
      <c r="H13" s="12" t="n">
        <v>22.8</v>
      </c>
      <c r="I13" s="12" t="n">
        <v>23.2</v>
      </c>
      <c r="J13" s="12" t="n">
        <v>22.7</v>
      </c>
      <c r="K13" s="12" t="n">
        <v>23.4</v>
      </c>
      <c r="L13" s="12" t="n">
        <v>23.5</v>
      </c>
      <c r="M13" s="12" t="n">
        <v>24</v>
      </c>
      <c r="N13" s="13" t="n"/>
      <c r="O13" s="13" t="n"/>
      <c r="P13" s="13" t="n"/>
    </row>
    <row r="14">
      <c r="A14" s="6" t="inlineStr">
        <is>
          <t>東神楽町</t>
        </is>
      </c>
      <c r="B14" s="12" t="n">
        <v>19.8</v>
      </c>
      <c r="C14" s="12" t="n">
        <v>19.9</v>
      </c>
      <c r="D14" s="12" t="n">
        <v>20.3</v>
      </c>
      <c r="E14" s="12" t="n">
        <v>20.8</v>
      </c>
      <c r="F14" s="12" t="n">
        <v>20.7</v>
      </c>
      <c r="G14" s="12" t="n">
        <v>19.9</v>
      </c>
      <c r="H14" s="12" t="n">
        <v>19.3</v>
      </c>
      <c r="I14" s="12" t="n">
        <v>19.3</v>
      </c>
      <c r="J14" s="12" t="n">
        <v>18.5</v>
      </c>
      <c r="K14" s="12" t="n">
        <v>19.1</v>
      </c>
      <c r="L14" s="12" t="n">
        <v>18.9</v>
      </c>
      <c r="M14" s="12" t="n">
        <v>18.2</v>
      </c>
      <c r="N14" s="13" t="n"/>
      <c r="O14" s="13" t="n"/>
      <c r="P14" s="13" t="n"/>
    </row>
    <row r="40">
      <c r="A40" s="8" t="inlineStr">
        <is>
          <t>（3）出現率の比較（令和5年 上川総合振興局管内）</t>
        </is>
      </c>
    </row>
    <row r="41">
      <c r="A41" s="5" t="inlineStr">
        <is>
          <t>区分</t>
        </is>
      </c>
      <c r="B41" s="5" t="inlineStr">
        <is>
          <t>出現率</t>
        </is>
      </c>
    </row>
    <row r="42">
      <c r="A42" s="6" t="inlineStr">
        <is>
          <t>全国</t>
        </is>
      </c>
      <c r="B42" s="12" t="n">
        <v>19.3</v>
      </c>
    </row>
    <row r="43">
      <c r="A43" s="6" t="inlineStr">
        <is>
          <t>北海道</t>
        </is>
      </c>
      <c r="B43" s="12" t="n">
        <v>20.8</v>
      </c>
    </row>
    <row r="44">
      <c r="A44" s="6" t="inlineStr">
        <is>
          <t>上川総合振興局管内</t>
        </is>
      </c>
      <c r="B44" s="12" t="n">
        <v>21.2</v>
      </c>
    </row>
    <row r="45">
      <c r="A45" s="6" t="inlineStr">
        <is>
          <t>当麻町</t>
        </is>
      </c>
      <c r="B45" s="12" t="n">
        <v>23.8</v>
      </c>
    </row>
    <row r="46">
      <c r="A46" s="6" t="inlineStr">
        <is>
          <t>旭川市</t>
        </is>
      </c>
      <c r="B46" s="12" t="n">
        <v>21.8</v>
      </c>
    </row>
    <row r="47">
      <c r="A47" s="6" t="inlineStr">
        <is>
          <t>中川町</t>
        </is>
      </c>
      <c r="B47" s="12" t="n">
        <v>21.5</v>
      </c>
    </row>
    <row r="48">
      <c r="A48" s="6" t="inlineStr">
        <is>
          <t>比布町</t>
        </is>
      </c>
      <c r="B48" s="12" t="n">
        <v>21.4</v>
      </c>
    </row>
    <row r="49">
      <c r="A49" s="6" t="inlineStr">
        <is>
          <t>大雪地区広域連合</t>
        </is>
      </c>
      <c r="B49" s="12" t="n">
        <v>21.2</v>
      </c>
    </row>
    <row r="50">
      <c r="A50" s="6" t="inlineStr">
        <is>
          <t>和寒町</t>
        </is>
      </c>
      <c r="B50" s="12" t="n">
        <v>21.2</v>
      </c>
    </row>
    <row r="51">
      <c r="A51" s="6" t="inlineStr">
        <is>
          <t>上川町</t>
        </is>
      </c>
      <c r="B51" s="12" t="n">
        <v>20.6</v>
      </c>
    </row>
    <row r="52">
      <c r="A52" s="6" t="inlineStr">
        <is>
          <t>名寄市</t>
        </is>
      </c>
      <c r="B52" s="12" t="n">
        <v>20.5</v>
      </c>
    </row>
    <row r="53">
      <c r="A53" s="6" t="inlineStr">
        <is>
          <t>幌加内町</t>
        </is>
      </c>
      <c r="B53" s="12" t="n">
        <v>20.2</v>
      </c>
    </row>
    <row r="54">
      <c r="A54" s="6" t="inlineStr">
        <is>
          <t>愛別町</t>
        </is>
      </c>
      <c r="B54" s="12" t="n">
        <v>20.2</v>
      </c>
    </row>
    <row r="55">
      <c r="A55" s="6" t="inlineStr">
        <is>
          <t>富良野市</t>
        </is>
      </c>
      <c r="B55" s="12" t="n">
        <v>19.8</v>
      </c>
    </row>
    <row r="56">
      <c r="A56" s="6" t="inlineStr">
        <is>
          <t>中富良野町</t>
        </is>
      </c>
      <c r="B56" s="12" t="n">
        <v>19.4</v>
      </c>
    </row>
    <row r="57">
      <c r="A57" s="6" t="inlineStr">
        <is>
          <t>南富良野町</t>
        </is>
      </c>
      <c r="B57" s="12" t="n">
        <v>19.3</v>
      </c>
    </row>
    <row r="58">
      <c r="A58" s="6" t="inlineStr">
        <is>
          <t>美深町</t>
        </is>
      </c>
      <c r="B58" s="12" t="n">
        <v>19.2</v>
      </c>
    </row>
    <row r="59">
      <c r="A59" s="6" t="inlineStr">
        <is>
          <t>鷹栖町</t>
        </is>
      </c>
      <c r="B59" s="12" t="n">
        <v>18.7</v>
      </c>
    </row>
    <row r="60">
      <c r="A60" s="6" t="inlineStr">
        <is>
          <t>士別市</t>
        </is>
      </c>
      <c r="B60" s="12" t="n">
        <v>18.7</v>
      </c>
    </row>
    <row r="61">
      <c r="A61" s="6" t="inlineStr">
        <is>
          <t>剣淵町</t>
        </is>
      </c>
      <c r="B61" s="12" t="n">
        <v>17.7</v>
      </c>
    </row>
    <row r="62">
      <c r="A62" s="6" t="inlineStr">
        <is>
          <t>下川町</t>
        </is>
      </c>
      <c r="B62" s="12" t="n">
        <v>17.3</v>
      </c>
    </row>
    <row r="63">
      <c r="A63" s="6" t="inlineStr">
        <is>
          <t>占冠村</t>
        </is>
      </c>
      <c r="B63" s="12" t="n">
        <v>17.2</v>
      </c>
    </row>
    <row r="64">
      <c r="A64" s="6" t="inlineStr">
        <is>
          <t>上富良野町</t>
        </is>
      </c>
      <c r="B64" s="12" t="n">
        <v>16.1</v>
      </c>
    </row>
    <row r="65">
      <c r="A65" s="6" t="inlineStr">
        <is>
          <t>音威子府村</t>
        </is>
      </c>
      <c r="B65" s="12" t="n">
        <v>10.8</v>
      </c>
    </row>
    <row r="66" ht="26" customHeight="1">
      <c r="A66" s="4" t="inlineStr">
        <is>
          <t>注）当広域連合の出現率は全国・北海道を上回って推移し、平成25年以降は20％を超えている。上川総合振興局管内の保険者では高い方から5番目（第9期計画 第2章第1節3）。</t>
        </is>
      </c>
    </row>
  </sheetData>
  <mergeCells count="3">
    <mergeCell ref="A1:P1"/>
    <mergeCell ref="A66:M66"/>
    <mergeCell ref="A2:P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M36"/>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ht="24" customHeight="1">
      <c r="A1" s="1" t="inlineStr">
        <is>
          <t>図7　介護給付費等の推移</t>
        </is>
      </c>
    </row>
    <row r="2" ht="16" customHeight="1">
      <c r="A2" s="2" t="inlineStr">
        <is>
          <t>資料：第9期計画 第2章第2節（見える化システム 令和6年1月18日参照）／素案第9稿 表39（自然体推計）</t>
        </is>
      </c>
    </row>
    <row r="4">
      <c r="A4" s="8" t="inlineStr">
        <is>
          <t>（1）サービス区分別給付費（実績・単位：千円）</t>
        </is>
      </c>
    </row>
    <row r="5">
      <c r="A5" s="5" t="inlineStr">
        <is>
          <t>区分</t>
        </is>
      </c>
      <c r="B5" s="5" t="inlineStr">
        <is>
          <t>令和3年度</t>
        </is>
      </c>
      <c r="C5" s="5" t="inlineStr">
        <is>
          <t>令和4年度</t>
        </is>
      </c>
      <c r="D5" s="5" t="inlineStr">
        <is>
          <t>令和5年度</t>
        </is>
      </c>
      <c r="E5" s="5" t="inlineStr">
        <is>
          <t>令和6年度</t>
        </is>
      </c>
      <c r="F5" s="5" t="inlineStr">
        <is>
          <t>令和7年度</t>
        </is>
      </c>
      <c r="G5" s="5" t="inlineStr">
        <is>
          <t>令和8年度</t>
        </is>
      </c>
    </row>
    <row r="6">
      <c r="A6" s="6" t="inlineStr">
        <is>
          <t>居宅サービス</t>
        </is>
      </c>
      <c r="B6" s="9" t="n">
        <v>836496</v>
      </c>
      <c r="C6" s="9" t="n">
        <v>872021</v>
      </c>
      <c r="D6" s="9" t="n">
        <v>896194</v>
      </c>
      <c r="E6" s="10" t="n"/>
      <c r="F6" s="10" t="n"/>
      <c r="G6" s="10" t="n"/>
    </row>
    <row r="7">
      <c r="A7" s="6" t="inlineStr">
        <is>
          <t>地域密着型サービス</t>
        </is>
      </c>
      <c r="B7" s="9" t="n">
        <v>765808</v>
      </c>
      <c r="C7" s="9" t="n">
        <v>718778</v>
      </c>
      <c r="D7" s="9" t="n">
        <v>743018</v>
      </c>
      <c r="E7" s="10" t="n"/>
      <c r="F7" s="10" t="n"/>
      <c r="G7" s="10" t="n"/>
    </row>
    <row r="8">
      <c r="A8" s="6" t="inlineStr">
        <is>
          <t>施設サービス</t>
        </is>
      </c>
      <c r="B8" s="9" t="n">
        <v>973845</v>
      </c>
      <c r="C8" s="9" t="n">
        <v>924985</v>
      </c>
      <c r="D8" s="9" t="n">
        <v>941503</v>
      </c>
      <c r="E8" s="10" t="n"/>
      <c r="F8" s="10" t="n"/>
      <c r="G8" s="10" t="n"/>
    </row>
    <row r="9">
      <c r="A9" s="6" t="inlineStr">
        <is>
          <t>居宅介護支援</t>
        </is>
      </c>
      <c r="B9" s="9" t="n">
        <v>111147</v>
      </c>
      <c r="C9" s="9" t="n">
        <v>115959</v>
      </c>
      <c r="D9" s="9" t="n">
        <v>115772</v>
      </c>
      <c r="E9" s="10" t="n"/>
      <c r="F9" s="10" t="n"/>
      <c r="G9" s="10" t="n"/>
    </row>
    <row r="10">
      <c r="A10" s="6" t="inlineStr">
        <is>
          <t>介護予防サービス</t>
        </is>
      </c>
      <c r="B10" s="9" t="n">
        <v>68592</v>
      </c>
      <c r="C10" s="9" t="n">
        <v>64733</v>
      </c>
      <c r="D10" s="9" t="n">
        <v>66451</v>
      </c>
      <c r="E10" s="10" t="n"/>
      <c r="F10" s="10" t="n"/>
      <c r="G10" s="10" t="n"/>
    </row>
    <row r="11">
      <c r="A11" s="6" t="inlineStr">
        <is>
          <t>地域密着型介護予防サービス</t>
        </is>
      </c>
      <c r="B11" s="9" t="n">
        <v>25160</v>
      </c>
      <c r="C11" s="9" t="n">
        <v>22391</v>
      </c>
      <c r="D11" s="9" t="n">
        <v>19802</v>
      </c>
      <c r="E11" s="10" t="n"/>
      <c r="F11" s="10" t="n"/>
      <c r="G11" s="10" t="n"/>
    </row>
    <row r="12">
      <c r="A12" s="6" t="inlineStr">
        <is>
          <t>介護予防支援</t>
        </is>
      </c>
      <c r="B12" s="9" t="n">
        <v>12766</v>
      </c>
      <c r="C12" s="9" t="n">
        <v>12144</v>
      </c>
      <c r="D12" s="9" t="n">
        <v>11653</v>
      </c>
      <c r="E12" s="10" t="n"/>
      <c r="F12" s="10" t="n"/>
      <c r="G12" s="10" t="n"/>
    </row>
    <row r="13">
      <c r="A13" s="6" t="inlineStr">
        <is>
          <t>合計</t>
        </is>
      </c>
      <c r="B13" s="11">
        <f>SUM(B6:B12)</f>
        <v/>
      </c>
      <c r="C13" s="11">
        <f>SUM(C6:C12)</f>
        <v/>
      </c>
      <c r="D13" s="11">
        <f>SUM(D6:D12)</f>
        <v/>
      </c>
      <c r="E13" s="11">
        <f>SUM(E6:E12)</f>
        <v/>
      </c>
      <c r="F13" s="11">
        <f>SUM(F6:F12)</f>
        <v/>
      </c>
      <c r="G13" s="11">
        <f>SUM(G6:G12)</f>
        <v/>
      </c>
    </row>
    <row r="15">
      <c r="A15" s="8" t="inlineStr">
        <is>
          <t>（2）総給付費（在宅・居住系・施設別／実績・単位：千円）</t>
        </is>
      </c>
    </row>
    <row r="16">
      <c r="A16" s="5" t="inlineStr">
        <is>
          <t>区分</t>
        </is>
      </c>
      <c r="B16" s="5" t="inlineStr">
        <is>
          <t>令和3年度</t>
        </is>
      </c>
      <c r="C16" s="5" t="inlineStr">
        <is>
          <t>令和4年度</t>
        </is>
      </c>
      <c r="D16" s="5" t="inlineStr">
        <is>
          <t>令和5年度</t>
        </is>
      </c>
      <c r="E16" s="5" t="inlineStr">
        <is>
          <t>令和6年度</t>
        </is>
      </c>
      <c r="F16" s="5" t="inlineStr">
        <is>
          <t>令和7年度</t>
        </is>
      </c>
      <c r="G16" s="5" t="inlineStr">
        <is>
          <t>令和8年度</t>
        </is>
      </c>
    </row>
    <row r="17">
      <c r="A17" s="6" t="inlineStr">
        <is>
          <t>在宅サービス</t>
        </is>
      </c>
      <c r="B17" s="9" t="n">
        <v>1191892</v>
      </c>
      <c r="C17" s="9" t="n">
        <v>1218034</v>
      </c>
      <c r="D17" s="9" t="n">
        <v>1250603</v>
      </c>
      <c r="E17" s="10" t="n"/>
      <c r="F17" s="10" t="n"/>
      <c r="G17" s="10" t="n"/>
    </row>
    <row r="18">
      <c r="A18" s="6" t="inlineStr">
        <is>
          <t>居住系サービス</t>
        </is>
      </c>
      <c r="B18" s="9" t="n">
        <v>436392</v>
      </c>
      <c r="C18" s="9" t="n">
        <v>399288</v>
      </c>
      <c r="D18" s="9" t="n">
        <v>414922</v>
      </c>
      <c r="E18" s="10" t="n"/>
      <c r="F18" s="10" t="n"/>
      <c r="G18" s="10" t="n"/>
    </row>
    <row r="19">
      <c r="A19" s="6" t="inlineStr">
        <is>
          <t>施設サービス</t>
        </is>
      </c>
      <c r="B19" s="9" t="n">
        <v>1165530</v>
      </c>
      <c r="C19" s="9" t="n">
        <v>1113689</v>
      </c>
      <c r="D19" s="9" t="n">
        <v>1128866</v>
      </c>
      <c r="E19" s="10" t="n"/>
      <c r="F19" s="10" t="n"/>
      <c r="G19" s="10" t="n"/>
    </row>
    <row r="20">
      <c r="A20" s="6" t="inlineStr">
        <is>
          <t>総給付費</t>
        </is>
      </c>
      <c r="B20" s="11">
        <f>SUM(B17:B19)</f>
        <v/>
      </c>
      <c r="C20" s="11">
        <f>SUM(C17:C19)</f>
        <v/>
      </c>
      <c r="D20" s="11">
        <f>SUM(D17:D19)</f>
        <v/>
      </c>
      <c r="E20" s="11">
        <f>SUM(E17:E19)</f>
        <v/>
      </c>
      <c r="F20" s="11">
        <f>SUM(F17:F19)</f>
        <v/>
      </c>
      <c r="G20" s="11">
        <f>SUM(G17:G19)</f>
        <v/>
      </c>
    </row>
    <row r="22">
      <c r="A22" s="8" t="inlineStr">
        <is>
          <t>（3）地域支援事業費（実績・単位：円）</t>
        </is>
      </c>
    </row>
    <row r="23">
      <c r="A23" s="5" t="inlineStr">
        <is>
          <t>区分</t>
        </is>
      </c>
      <c r="B23" s="5" t="inlineStr">
        <is>
          <t>令和3年度</t>
        </is>
      </c>
      <c r="C23" s="5" t="inlineStr">
        <is>
          <t>令和4年度</t>
        </is>
      </c>
      <c r="D23" s="5" t="inlineStr">
        <is>
          <t>令和5年度</t>
        </is>
      </c>
      <c r="E23" s="5" t="inlineStr">
        <is>
          <t>令和6年度</t>
        </is>
      </c>
      <c r="F23" s="5" t="inlineStr">
        <is>
          <t>令和7年度</t>
        </is>
      </c>
      <c r="G23" s="5" t="inlineStr">
        <is>
          <t>令和8年度</t>
        </is>
      </c>
    </row>
    <row r="24">
      <c r="A24" s="6" t="inlineStr">
        <is>
          <t>介護予防・日常生活支援総合事業費</t>
        </is>
      </c>
      <c r="B24" s="9" t="n">
        <v>98828508</v>
      </c>
      <c r="C24" s="9" t="n">
        <v>100020350</v>
      </c>
      <c r="D24" s="9" t="n">
        <v>106455000</v>
      </c>
      <c r="E24" s="10" t="n"/>
      <c r="F24" s="10" t="n"/>
      <c r="G24" s="10" t="n"/>
    </row>
    <row r="25">
      <c r="A25" s="6" t="inlineStr">
        <is>
          <t>包括的支援事業（センター運営）及び任意事業費</t>
        </is>
      </c>
      <c r="B25" s="9" t="n">
        <v>67884572</v>
      </c>
      <c r="C25" s="9" t="n">
        <v>71189693</v>
      </c>
      <c r="D25" s="9" t="n">
        <v>65532000</v>
      </c>
      <c r="E25" s="10" t="n"/>
      <c r="F25" s="10" t="n"/>
      <c r="G25" s="10" t="n"/>
    </row>
    <row r="26">
      <c r="A26" s="6" t="inlineStr">
        <is>
          <t>包括的支援事業（社会保障充実分）</t>
        </is>
      </c>
      <c r="B26" s="9" t="n">
        <v>12746280</v>
      </c>
      <c r="C26" s="9" t="n">
        <v>15365016</v>
      </c>
      <c r="D26" s="9" t="n">
        <v>18387000</v>
      </c>
      <c r="E26" s="10" t="n"/>
      <c r="F26" s="10" t="n"/>
      <c r="G26" s="10" t="n"/>
    </row>
    <row r="27">
      <c r="A27" s="6" t="inlineStr">
        <is>
          <t>地域支援事業費 合計</t>
        </is>
      </c>
      <c r="B27" s="11">
        <f>SUM(B24:B26)</f>
        <v/>
      </c>
      <c r="C27" s="11">
        <f>SUM(C24:C26)</f>
        <v/>
      </c>
      <c r="D27" s="11">
        <f>SUM(D24:D26)</f>
        <v/>
      </c>
      <c r="E27" s="11">
        <f>SUM(E24:E26)</f>
        <v/>
      </c>
      <c r="F27" s="11">
        <f>SUM(F24:F26)</f>
        <v/>
      </c>
      <c r="G27" s="11">
        <f>SUM(G24:G26)</f>
        <v/>
      </c>
    </row>
    <row r="29">
      <c r="A29" s="8" t="inlineStr">
        <is>
          <t>（4）給付費の中長期見通し（自然体推計・参考／単位：百万円）</t>
        </is>
      </c>
    </row>
    <row r="30">
      <c r="A30" s="5" t="inlineStr">
        <is>
          <t>区分</t>
        </is>
      </c>
      <c r="B30" s="5" t="inlineStr">
        <is>
          <t>令和9年度</t>
        </is>
      </c>
      <c r="C30" s="5" t="inlineStr">
        <is>
          <t>令和10年度</t>
        </is>
      </c>
      <c r="D30" s="5" t="inlineStr">
        <is>
          <t>令和11年度</t>
        </is>
      </c>
      <c r="E30" s="5" t="inlineStr">
        <is>
          <t>令和17年度</t>
        </is>
      </c>
      <c r="F30" s="5" t="inlineStr">
        <is>
          <t>令和22年度</t>
        </is>
      </c>
    </row>
    <row r="31">
      <c r="A31" s="6" t="inlineStr">
        <is>
          <t>居宅サービス</t>
        </is>
      </c>
      <c r="B31" s="14" t="n">
        <v>1537.4</v>
      </c>
      <c r="C31" s="14" t="n">
        <v>1559.6</v>
      </c>
      <c r="D31" s="14" t="n">
        <v>1589.9</v>
      </c>
      <c r="E31" s="14" t="n">
        <v>1652.4</v>
      </c>
      <c r="F31" s="14" t="n">
        <v>1738.6</v>
      </c>
    </row>
    <row r="32">
      <c r="A32" s="6" t="inlineStr">
        <is>
          <t>居住系サービス</t>
        </is>
      </c>
      <c r="B32" s="14" t="n">
        <v>380.6</v>
      </c>
      <c r="C32" s="14" t="n">
        <v>391.9</v>
      </c>
      <c r="D32" s="14" t="n">
        <v>391.9</v>
      </c>
      <c r="E32" s="14" t="n">
        <v>423.7</v>
      </c>
      <c r="F32" s="14" t="n">
        <v>441.5</v>
      </c>
    </row>
    <row r="33">
      <c r="A33" s="6" t="inlineStr">
        <is>
          <t>施設サービス</t>
        </is>
      </c>
      <c r="B33" s="14" t="n">
        <v>1138.7</v>
      </c>
      <c r="C33" s="14" t="n">
        <v>1138.7</v>
      </c>
      <c r="D33" s="14" t="n">
        <v>1138.7</v>
      </c>
      <c r="E33" s="14" t="n">
        <v>1265.5</v>
      </c>
      <c r="F33" s="14" t="n">
        <v>1312.4</v>
      </c>
    </row>
    <row r="34">
      <c r="A34" s="6" t="inlineStr">
        <is>
          <t>合計</t>
        </is>
      </c>
      <c r="B34" s="15">
        <f>SUM(B31:B33)</f>
        <v/>
      </c>
      <c r="C34" s="15">
        <f>SUM(C31:C33)</f>
        <v/>
      </c>
      <c r="D34" s="15">
        <f>SUM(D31:D33)</f>
        <v/>
      </c>
      <c r="E34" s="15">
        <f>SUM(E31:E33)</f>
        <v/>
      </c>
      <c r="F34" s="15">
        <f>SUM(F31:F33)</f>
        <v/>
      </c>
    </row>
    <row r="36" ht="26" customHeight="1">
      <c r="A36" s="4" t="inlineStr">
        <is>
          <t>注1）（1）～（3）は第9期計画 第2章第2節の掲載値（見える化システム 令和6年1月18日参照）。令和6～8年度（淡黄色欄）は実績受領後に入力する。注2）（2）の総給付費は（1）の介護給付費と介護予防給付費の合計に相当し、令和5年度は2,794,391千円（在宅・居住系・施設の3区分で再集計した値）。素案第9稿に記載の保険給付費 令和5年度決算2,940.4百万円とは定義が異なるため、同一系列に接続していない（00_凡例・出典 4-4）。注3）（1）の合計（令和5年度2,794,393千円）と（2）の総給付費（同2,794,391千円）には2千円の差がある。これは第9期計画の介護予防給付費の合計欄（令和4年度99,267千円・令和5年度97,905千円）に内訳との±1千円の端数差があるためで、本図表集では内訳を原典どおり掲載し合計を数式で算出している。計画掲載時はいずれかに統一する。注4）（4）は素案第9稿 表39の自然体推計値で、報酬改定・供給制約・政策効果は未反映の参考値。採用値ではない。</t>
        </is>
      </c>
    </row>
  </sheetData>
  <mergeCells count="3">
    <mergeCell ref="A1:I1"/>
    <mergeCell ref="A36:M36"/>
    <mergeCell ref="A2:I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M66"/>
  <sheetViews>
    <sheetView workbookViewId="0">
      <selection activeCell="A1" sqref="A1"/>
    </sheetView>
  </sheetViews>
  <sheetFormatPr baseColWidth="8" defaultRowHeight="15"/>
  <cols>
    <col width="6" customWidth="1" min="1" max="1"/>
    <col width="34" customWidth="1" min="2" max="2"/>
    <col width="9" customWidth="1" min="3" max="3"/>
    <col width="9" customWidth="1" min="4" max="4"/>
    <col width="9" customWidth="1" min="5" max="5"/>
    <col width="9" customWidth="1" min="6" max="6"/>
    <col width="9" customWidth="1" min="7" max="7"/>
    <col width="9" customWidth="1" min="8" max="8"/>
    <col width="9" customWidth="1" min="9" max="9"/>
    <col width="11" customWidth="1" min="10" max="10"/>
    <col width="11" customWidth="1" min="11" max="11"/>
    <col width="11" customWidth="1" min="12" max="12"/>
    <col width="11" customWidth="1" min="13" max="13"/>
  </cols>
  <sheetData>
    <row r="1" ht="24" customHeight="1">
      <c r="A1" s="1" t="inlineStr">
        <is>
          <t>図8　健康とくらしの調査（JAGES調査）結果概要</t>
        </is>
      </c>
    </row>
    <row r="2" ht="16" customHeight="1">
      <c r="A2" s="2" t="inlineStr">
        <is>
          <t>資料：令和7年度 健康とくらしの調査（3-19大雪地区広域連合）／令和7年11月17日〜12月8日実施・65歳以上7,121人対象・回収4,798票（67.4％）・集計4,729票／単位：％（リスク点数のみ点）</t>
        </is>
      </c>
    </row>
    <row r="4">
      <c r="A4" s="8" t="inlineStr">
        <is>
          <t>（1）年齢階級別（大雪地区広域連合）</t>
        </is>
      </c>
    </row>
    <row r="5">
      <c r="A5" s="5" t="inlineStr">
        <is>
          <t>No.</t>
        </is>
      </c>
      <c r="B5" s="5" t="inlineStr">
        <is>
          <t>指標</t>
        </is>
      </c>
      <c r="C5" s="5" t="inlineStr">
        <is>
          <t>単位</t>
        </is>
      </c>
      <c r="D5" s="5" t="inlineStr">
        <is>
          <t>サンプル数</t>
        </is>
      </c>
      <c r="E5" s="5" t="inlineStr">
        <is>
          <t>全体</t>
        </is>
      </c>
      <c r="F5" s="5" t="inlineStr">
        <is>
          <t>65～69歳</t>
        </is>
      </c>
      <c r="G5" s="5" t="inlineStr">
        <is>
          <t>70～74歳</t>
        </is>
      </c>
      <c r="H5" s="5" t="inlineStr">
        <is>
          <t>75～79歳</t>
        </is>
      </c>
      <c r="I5" s="5" t="inlineStr">
        <is>
          <t>80～84歳</t>
        </is>
      </c>
      <c r="J5" s="5" t="inlineStr">
        <is>
          <t>85歳以上</t>
        </is>
      </c>
    </row>
    <row r="6">
      <c r="A6" s="6" t="inlineStr">
        <is>
          <t>①</t>
        </is>
      </c>
      <c r="B6" s="12" t="inlineStr">
        <is>
          <t>フレイルあり割合（基本チェックリスト8項目以上）</t>
        </is>
      </c>
      <c r="C6" s="12" t="inlineStr">
        <is>
          <t>％</t>
        </is>
      </c>
      <c r="D6" s="9" t="n">
        <v>4719</v>
      </c>
      <c r="E6" s="12" t="n">
        <v>19.1</v>
      </c>
      <c r="F6" s="12" t="n">
        <v>11.8</v>
      </c>
      <c r="G6" s="12" t="n">
        <v>13</v>
      </c>
      <c r="H6" s="12" t="n">
        <v>18</v>
      </c>
      <c r="I6" s="12" t="n">
        <v>26.3</v>
      </c>
      <c r="J6" s="12" t="n">
        <v>38.7</v>
      </c>
    </row>
    <row r="7">
      <c r="A7" s="6" t="inlineStr">
        <is>
          <t>②</t>
        </is>
      </c>
      <c r="B7" s="12" t="inlineStr">
        <is>
          <t>運動機能低下者割合（基本チェックリスト）</t>
        </is>
      </c>
      <c r="C7" s="12" t="inlineStr">
        <is>
          <t>％</t>
        </is>
      </c>
      <c r="D7" s="9" t="n">
        <v>4670</v>
      </c>
      <c r="E7" s="12" t="n">
        <v>9.1</v>
      </c>
      <c r="F7" s="12" t="n">
        <v>4</v>
      </c>
      <c r="G7" s="12" t="n">
        <v>5.6</v>
      </c>
      <c r="H7" s="12" t="n">
        <v>8.5</v>
      </c>
      <c r="I7" s="12" t="n">
        <v>14.3</v>
      </c>
      <c r="J7" s="12" t="n">
        <v>20.4</v>
      </c>
    </row>
    <row r="8">
      <c r="A8" s="6" t="inlineStr">
        <is>
          <t>③</t>
        </is>
      </c>
      <c r="B8" s="12" t="inlineStr">
        <is>
          <t>1年間の転倒あり割合</t>
        </is>
      </c>
      <c r="C8" s="12" t="inlineStr">
        <is>
          <t>％</t>
        </is>
      </c>
      <c r="D8" s="9" t="n">
        <v>4656</v>
      </c>
      <c r="E8" s="12" t="n">
        <v>35.5</v>
      </c>
      <c r="F8" s="12" t="n">
        <v>33.5</v>
      </c>
      <c r="G8" s="12" t="n">
        <v>29.1</v>
      </c>
      <c r="H8" s="12" t="n">
        <v>38</v>
      </c>
      <c r="I8" s="12" t="n">
        <v>37</v>
      </c>
      <c r="J8" s="12" t="n">
        <v>45.3</v>
      </c>
    </row>
    <row r="9">
      <c r="A9" s="6" t="inlineStr">
        <is>
          <t>④</t>
        </is>
      </c>
      <c r="B9" s="12" t="inlineStr">
        <is>
          <t>物忘れが多い者の割合</t>
        </is>
      </c>
      <c r="C9" s="12" t="inlineStr">
        <is>
          <t>％</t>
        </is>
      </c>
      <c r="D9" s="9" t="n">
        <v>4598</v>
      </c>
      <c r="E9" s="12" t="n">
        <v>41.3</v>
      </c>
      <c r="F9" s="12" t="n">
        <v>34.8</v>
      </c>
      <c r="G9" s="12" t="n">
        <v>38.7</v>
      </c>
      <c r="H9" s="12" t="n">
        <v>41.9</v>
      </c>
      <c r="I9" s="12" t="n">
        <v>46.6</v>
      </c>
      <c r="J9" s="12" t="n">
        <v>50.5</v>
      </c>
    </row>
    <row r="10">
      <c r="A10" s="6" t="inlineStr">
        <is>
          <t>⑤</t>
        </is>
      </c>
      <c r="B10" s="12" t="inlineStr">
        <is>
          <t>閉じこもり者割合</t>
        </is>
      </c>
      <c r="C10" s="12" t="inlineStr">
        <is>
          <t>％</t>
        </is>
      </c>
      <c r="D10" s="9" t="n">
        <v>4651</v>
      </c>
      <c r="E10" s="12" t="n">
        <v>8.5</v>
      </c>
      <c r="F10" s="12" t="n">
        <v>3.7</v>
      </c>
      <c r="G10" s="12" t="n">
        <v>5</v>
      </c>
      <c r="H10" s="12" t="n">
        <v>8.199999999999999</v>
      </c>
      <c r="I10" s="12" t="n">
        <v>13.4</v>
      </c>
      <c r="J10" s="12" t="n">
        <v>19.1</v>
      </c>
    </row>
    <row r="11">
      <c r="A11" s="6" t="inlineStr">
        <is>
          <t>⑥</t>
        </is>
      </c>
      <c r="B11" s="12" t="inlineStr">
        <is>
          <t>うつ割合（基本チェックリスト）</t>
        </is>
      </c>
      <c r="C11" s="12" t="inlineStr">
        <is>
          <t>％</t>
        </is>
      </c>
      <c r="D11" s="9" t="n">
        <v>4619</v>
      </c>
      <c r="E11" s="12" t="n">
        <v>28.2</v>
      </c>
      <c r="F11" s="12" t="n">
        <v>23.8</v>
      </c>
      <c r="G11" s="12" t="n">
        <v>23.9</v>
      </c>
      <c r="H11" s="12" t="n">
        <v>28.7</v>
      </c>
      <c r="I11" s="12" t="n">
        <v>30.8</v>
      </c>
      <c r="J11" s="12" t="n">
        <v>41.2</v>
      </c>
    </row>
    <row r="12">
      <c r="A12" s="6" t="inlineStr">
        <is>
          <t>⑦</t>
        </is>
      </c>
      <c r="B12" s="12" t="inlineStr">
        <is>
          <t>口腔機能低下者割合（基本チェックリスト）</t>
        </is>
      </c>
      <c r="C12" s="12" t="inlineStr">
        <is>
          <t>％</t>
        </is>
      </c>
      <c r="D12" s="9" t="n">
        <v>4671</v>
      </c>
      <c r="E12" s="12" t="n">
        <v>24.7</v>
      </c>
      <c r="F12" s="12" t="n">
        <v>18.4</v>
      </c>
      <c r="G12" s="12" t="n">
        <v>20.7</v>
      </c>
      <c r="H12" s="12" t="n">
        <v>26</v>
      </c>
      <c r="I12" s="12" t="n">
        <v>29.9</v>
      </c>
      <c r="J12" s="12" t="n">
        <v>34.7</v>
      </c>
    </row>
    <row r="13">
      <c r="A13" s="6" t="inlineStr">
        <is>
          <t>⑧</t>
        </is>
      </c>
      <c r="B13" s="12" t="inlineStr">
        <is>
          <t>低栄養の傾向割合（BMI18.5未満）</t>
        </is>
      </c>
      <c r="C13" s="12" t="inlineStr">
        <is>
          <t>％</t>
        </is>
      </c>
      <c r="D13" s="9" t="n">
        <v>4528</v>
      </c>
      <c r="E13" s="12" t="n">
        <v>7.4</v>
      </c>
      <c r="F13" s="12" t="n">
        <v>5.9</v>
      </c>
      <c r="G13" s="12" t="n">
        <v>6.2</v>
      </c>
      <c r="H13" s="12" t="n">
        <v>7.7</v>
      </c>
      <c r="I13" s="12" t="n">
        <v>9</v>
      </c>
      <c r="J13" s="12" t="n">
        <v>9.699999999999999</v>
      </c>
    </row>
    <row r="14">
      <c r="A14" s="6" t="inlineStr">
        <is>
          <t>⑨</t>
        </is>
      </c>
      <c r="B14" s="12" t="inlineStr">
        <is>
          <t>要支援・要介護リスク点数（平均点）</t>
        </is>
      </c>
      <c r="C14" s="12" t="inlineStr">
        <is>
          <t>点</t>
        </is>
      </c>
      <c r="D14" s="9" t="n">
        <v>4729</v>
      </c>
      <c r="E14" s="12" t="n">
        <v>16.4</v>
      </c>
      <c r="F14" s="12" t="n">
        <v>5.1</v>
      </c>
      <c r="G14" s="12" t="n">
        <v>11.9</v>
      </c>
      <c r="H14" s="12" t="n">
        <v>18.5</v>
      </c>
      <c r="I14" s="12" t="n">
        <v>25.1</v>
      </c>
      <c r="J14" s="12" t="n">
        <v>30</v>
      </c>
    </row>
    <row r="15">
      <c r="A15" s="6" t="inlineStr">
        <is>
          <t>⑩</t>
        </is>
      </c>
      <c r="B15" s="12" t="inlineStr">
        <is>
          <t>認知機能低下者割合（基本チェックリスト）</t>
        </is>
      </c>
      <c r="C15" s="12" t="inlineStr">
        <is>
          <t>％</t>
        </is>
      </c>
      <c r="D15" s="9" t="n">
        <v>4680</v>
      </c>
      <c r="E15" s="12" t="n">
        <v>34.7</v>
      </c>
      <c r="F15" s="12" t="n">
        <v>31.4</v>
      </c>
      <c r="G15" s="12" t="n">
        <v>32.6</v>
      </c>
      <c r="H15" s="12" t="n">
        <v>31.9</v>
      </c>
      <c r="I15" s="12" t="n">
        <v>38</v>
      </c>
      <c r="J15" s="12" t="n">
        <v>47.5</v>
      </c>
    </row>
    <row r="16">
      <c r="A16" s="6" t="inlineStr">
        <is>
          <t>⑪</t>
        </is>
      </c>
      <c r="B16" s="12" t="inlineStr">
        <is>
          <t>IADL（自立度）低下者（1項目以上）割合</t>
        </is>
      </c>
      <c r="C16" s="12" t="inlineStr">
        <is>
          <t>％</t>
        </is>
      </c>
      <c r="D16" s="9" t="n">
        <v>4683</v>
      </c>
      <c r="E16" s="12" t="n">
        <v>9.800000000000001</v>
      </c>
      <c r="F16" s="12" t="n">
        <v>4.8</v>
      </c>
      <c r="G16" s="12" t="n">
        <v>5.1</v>
      </c>
      <c r="H16" s="12" t="n">
        <v>9.1</v>
      </c>
      <c r="I16" s="12" t="n">
        <v>14.9</v>
      </c>
      <c r="J16" s="12" t="n">
        <v>23.4</v>
      </c>
    </row>
    <row r="17">
      <c r="A17" s="6" t="inlineStr">
        <is>
          <t>⑫</t>
        </is>
      </c>
      <c r="B17" s="12" t="inlineStr">
        <is>
          <t>幸福感がある者の割合（8/10点以上）</t>
        </is>
      </c>
      <c r="C17" s="12" t="inlineStr">
        <is>
          <t>％</t>
        </is>
      </c>
      <c r="D17" s="9" t="n">
        <v>4571</v>
      </c>
      <c r="E17" s="12" t="n">
        <v>50.6</v>
      </c>
      <c r="F17" s="12" t="n">
        <v>51.2</v>
      </c>
      <c r="G17" s="12" t="n">
        <v>48.7</v>
      </c>
      <c r="H17" s="12" t="n">
        <v>48.5</v>
      </c>
      <c r="I17" s="12" t="n">
        <v>51.5</v>
      </c>
      <c r="J17" s="12" t="n">
        <v>57.9</v>
      </c>
    </row>
    <row r="18">
      <c r="A18" s="6" t="inlineStr">
        <is>
          <t>⑬</t>
        </is>
      </c>
      <c r="B18" s="12" t="inlineStr">
        <is>
          <t>就労していない者の割合</t>
        </is>
      </c>
      <c r="C18" s="12" t="inlineStr">
        <is>
          <t>％</t>
        </is>
      </c>
      <c r="D18" s="9" t="n">
        <v>4274</v>
      </c>
      <c r="E18" s="12" t="n">
        <v>54.9</v>
      </c>
      <c r="F18" s="12" t="n">
        <v>33.7</v>
      </c>
      <c r="G18" s="12" t="n">
        <v>50</v>
      </c>
      <c r="H18" s="12" t="n">
        <v>61.7</v>
      </c>
      <c r="I18" s="12" t="n">
        <v>69.2</v>
      </c>
      <c r="J18" s="12" t="n">
        <v>74.40000000000001</v>
      </c>
    </row>
    <row r="19">
      <c r="A19" s="6" t="inlineStr">
        <is>
          <t>⑭</t>
        </is>
      </c>
      <c r="B19" s="12" t="inlineStr">
        <is>
          <t>ボランティア参加者（月1回以上）割合</t>
        </is>
      </c>
      <c r="C19" s="12" t="inlineStr">
        <is>
          <t>％</t>
        </is>
      </c>
      <c r="D19" s="9" t="n">
        <v>4524</v>
      </c>
      <c r="E19" s="12" t="n">
        <v>10.7</v>
      </c>
      <c r="F19" s="12" t="n">
        <v>8</v>
      </c>
      <c r="G19" s="12" t="n">
        <v>10.7</v>
      </c>
      <c r="H19" s="12" t="n">
        <v>11</v>
      </c>
      <c r="I19" s="12" t="n">
        <v>11.8</v>
      </c>
      <c r="J19" s="12" t="n">
        <v>13.8</v>
      </c>
    </row>
    <row r="20">
      <c r="A20" s="6" t="inlineStr">
        <is>
          <t>⑮</t>
        </is>
      </c>
      <c r="B20" s="12" t="inlineStr">
        <is>
          <t>スポーツの会参加者（月1回以上）割合</t>
        </is>
      </c>
      <c r="C20" s="12" t="inlineStr">
        <is>
          <t>％</t>
        </is>
      </c>
      <c r="D20" s="9" t="n">
        <v>4537</v>
      </c>
      <c r="E20" s="12" t="n">
        <v>20.7</v>
      </c>
      <c r="F20" s="12" t="n">
        <v>16.1</v>
      </c>
      <c r="G20" s="12" t="n">
        <v>19</v>
      </c>
      <c r="H20" s="12" t="n">
        <v>20.4</v>
      </c>
      <c r="I20" s="12" t="n">
        <v>27.5</v>
      </c>
      <c r="J20" s="12" t="n">
        <v>23.8</v>
      </c>
    </row>
    <row r="21">
      <c r="A21" s="6" t="inlineStr">
        <is>
          <t>⑯</t>
        </is>
      </c>
      <c r="B21" s="12" t="inlineStr">
        <is>
          <t>趣味の会参加者（月1回以上）割合</t>
        </is>
      </c>
      <c r="C21" s="12" t="inlineStr">
        <is>
          <t>％</t>
        </is>
      </c>
      <c r="D21" s="9" t="n">
        <v>4533</v>
      </c>
      <c r="E21" s="12" t="n">
        <v>20.2</v>
      </c>
      <c r="F21" s="12" t="n">
        <v>13.8</v>
      </c>
      <c r="G21" s="12" t="n">
        <v>18.7</v>
      </c>
      <c r="H21" s="12" t="n">
        <v>21.4</v>
      </c>
      <c r="I21" s="12" t="n">
        <v>26.1</v>
      </c>
      <c r="J21" s="12" t="n">
        <v>24.4</v>
      </c>
    </row>
    <row r="22">
      <c r="A22" s="6" t="inlineStr">
        <is>
          <t>⑰</t>
        </is>
      </c>
      <c r="B22" s="12" t="inlineStr">
        <is>
          <t>学習・教養サークル参加者（月1回以上）割合</t>
        </is>
      </c>
      <c r="C22" s="12" t="inlineStr">
        <is>
          <t>％</t>
        </is>
      </c>
      <c r="D22" s="9" t="n">
        <v>4535</v>
      </c>
      <c r="E22" s="12" t="n">
        <v>6</v>
      </c>
      <c r="F22" s="12" t="n">
        <v>3.3</v>
      </c>
      <c r="G22" s="12" t="n">
        <v>5.2</v>
      </c>
      <c r="H22" s="12" t="n">
        <v>6.3</v>
      </c>
      <c r="I22" s="12" t="n">
        <v>7.8</v>
      </c>
      <c r="J22" s="12" t="n">
        <v>9.699999999999999</v>
      </c>
    </row>
    <row r="23">
      <c r="A23" s="6" t="inlineStr">
        <is>
          <t>⑱</t>
        </is>
      </c>
      <c r="B23" s="12" t="inlineStr">
        <is>
          <t>通いの場参加者（月1回以上）割合</t>
        </is>
      </c>
      <c r="C23" s="12" t="inlineStr">
        <is>
          <t>％</t>
        </is>
      </c>
      <c r="D23" s="9" t="n">
        <v>4559</v>
      </c>
      <c r="E23" s="12" t="n">
        <v>8.800000000000001</v>
      </c>
      <c r="F23" s="12" t="n">
        <v>4.1</v>
      </c>
      <c r="G23" s="12" t="n">
        <v>6.4</v>
      </c>
      <c r="H23" s="12" t="n">
        <v>8.5</v>
      </c>
      <c r="I23" s="12" t="n">
        <v>13.1</v>
      </c>
      <c r="J23" s="12" t="n">
        <v>17.6</v>
      </c>
    </row>
    <row r="24">
      <c r="A24" s="6" t="inlineStr">
        <is>
          <t>⑲</t>
        </is>
      </c>
      <c r="B24" s="12" t="inlineStr">
        <is>
          <t>特技や経験を他者に伝える活動参加者（月1回以上）割合</t>
        </is>
      </c>
      <c r="C24" s="12" t="inlineStr">
        <is>
          <t>％</t>
        </is>
      </c>
      <c r="D24" s="9" t="n">
        <v>4531</v>
      </c>
      <c r="E24" s="12" t="n">
        <v>5</v>
      </c>
      <c r="F24" s="12" t="n">
        <v>4.9</v>
      </c>
      <c r="G24" s="12" t="n">
        <v>4.2</v>
      </c>
      <c r="H24" s="12" t="n">
        <v>5.2</v>
      </c>
      <c r="I24" s="12" t="n">
        <v>5.9</v>
      </c>
      <c r="J24" s="12" t="n">
        <v>5.6</v>
      </c>
    </row>
    <row r="25">
      <c r="A25" s="6" t="inlineStr">
        <is>
          <t>⑳</t>
        </is>
      </c>
      <c r="B25" s="12" t="inlineStr">
        <is>
          <t>友人知人と会う頻度が高い（月1回以上）者の割合</t>
        </is>
      </c>
      <c r="C25" s="12" t="inlineStr">
        <is>
          <t>％</t>
        </is>
      </c>
      <c r="D25" s="9" t="n">
        <v>4602</v>
      </c>
      <c r="E25" s="12" t="n">
        <v>63</v>
      </c>
      <c r="F25" s="12" t="n">
        <v>56.6</v>
      </c>
      <c r="G25" s="12" t="n">
        <v>62.8</v>
      </c>
      <c r="H25" s="12" t="n">
        <v>66.3</v>
      </c>
      <c r="I25" s="12" t="n">
        <v>67.5</v>
      </c>
      <c r="J25" s="12" t="n">
        <v>60.6</v>
      </c>
    </row>
    <row r="27">
      <c r="A27" s="8" t="inlineStr">
        <is>
          <t>（2）町別（全年齢）と令和4年との比較</t>
        </is>
      </c>
    </row>
    <row r="28">
      <c r="A28" s="5" t="inlineStr">
        <is>
          <t>No.</t>
        </is>
      </c>
      <c r="B28" s="5" t="inlineStr">
        <is>
          <t>指標</t>
        </is>
      </c>
      <c r="C28" s="5" t="inlineStr">
        <is>
          <t>単位</t>
        </is>
      </c>
      <c r="D28" s="5" t="inlineStr">
        <is>
          <t>広域連合</t>
        </is>
      </c>
      <c r="E28" s="5" t="inlineStr">
        <is>
          <t>東神楽町</t>
        </is>
      </c>
      <c r="F28" s="5" t="inlineStr">
        <is>
          <t>東川町</t>
        </is>
      </c>
      <c r="G28" s="5" t="inlineStr">
        <is>
          <t>美瑛町</t>
        </is>
      </c>
      <c r="H28" s="5" t="inlineStr">
        <is>
          <t>令和4年（広域連合）</t>
        </is>
      </c>
      <c r="I28" s="5" t="inlineStr">
        <is>
          <t>差</t>
        </is>
      </c>
      <c r="J28" s="5" t="inlineStr">
        <is>
          <t>統計的判定</t>
        </is>
      </c>
    </row>
    <row r="29">
      <c r="A29" s="6" t="inlineStr">
        <is>
          <t>①</t>
        </is>
      </c>
      <c r="B29" s="12" t="inlineStr">
        <is>
          <t>フレイルあり割合（基本チェックリスト8項目以上）</t>
        </is>
      </c>
      <c r="C29" s="12" t="inlineStr">
        <is>
          <t>％</t>
        </is>
      </c>
      <c r="D29" s="12" t="n">
        <v>19.1</v>
      </c>
      <c r="E29" s="12" t="n">
        <v>17</v>
      </c>
      <c r="F29" s="12" t="n">
        <v>18.4</v>
      </c>
      <c r="G29" s="12" t="n">
        <v>21.6</v>
      </c>
      <c r="H29" s="12" t="n">
        <v>18.5</v>
      </c>
      <c r="I29" s="16">
        <f>IF(H29="","-",D29-H29)</f>
        <v/>
      </c>
      <c r="J29" s="12" t="inlineStr">
        <is>
          <t>有意でない</t>
        </is>
      </c>
    </row>
    <row r="30">
      <c r="A30" s="6" t="inlineStr">
        <is>
          <t>②</t>
        </is>
      </c>
      <c r="B30" s="12" t="inlineStr">
        <is>
          <t>運動機能低下者割合（基本チェックリスト）</t>
        </is>
      </c>
      <c r="C30" s="12" t="inlineStr">
        <is>
          <t>％</t>
        </is>
      </c>
      <c r="D30" s="12" t="n">
        <v>9.1</v>
      </c>
      <c r="E30" s="12" t="n">
        <v>8.199999999999999</v>
      </c>
      <c r="F30" s="12" t="n">
        <v>9</v>
      </c>
      <c r="G30" s="12" t="n">
        <v>10.1</v>
      </c>
      <c r="H30" s="12" t="n">
        <v>9.699999999999999</v>
      </c>
      <c r="I30" s="16">
        <f>IF(H30="","-",D30-H30)</f>
        <v/>
      </c>
      <c r="J30" s="12" t="inlineStr">
        <is>
          <t>有意でない</t>
        </is>
      </c>
    </row>
    <row r="31">
      <c r="A31" s="6" t="inlineStr">
        <is>
          <t>③</t>
        </is>
      </c>
      <c r="B31" s="12" t="inlineStr">
        <is>
          <t>1年間の転倒あり割合</t>
        </is>
      </c>
      <c r="C31" s="12" t="inlineStr">
        <is>
          <t>％</t>
        </is>
      </c>
      <c r="D31" s="12" t="n">
        <v>35.5</v>
      </c>
      <c r="E31" s="12" t="n">
        <v>32.6</v>
      </c>
      <c r="F31" s="12" t="n">
        <v>34</v>
      </c>
      <c r="G31" s="12" t="n">
        <v>39.3</v>
      </c>
      <c r="H31" s="12" t="n">
        <v>32.9</v>
      </c>
      <c r="I31" s="16">
        <f>IF(H31="","-",D31-H31)</f>
        <v/>
      </c>
      <c r="J31" s="17" t="inlineStr">
        <is>
          <t>有意</t>
        </is>
      </c>
    </row>
    <row r="32">
      <c r="A32" s="6" t="inlineStr">
        <is>
          <t>④</t>
        </is>
      </c>
      <c r="B32" s="12" t="inlineStr">
        <is>
          <t>物忘れが多い者の割合</t>
        </is>
      </c>
      <c r="C32" s="12" t="inlineStr">
        <is>
          <t>％</t>
        </is>
      </c>
      <c r="D32" s="12" t="n">
        <v>41.3</v>
      </c>
      <c r="E32" s="12" t="n">
        <v>39.5</v>
      </c>
      <c r="F32" s="12" t="n">
        <v>40.3</v>
      </c>
      <c r="G32" s="12" t="n">
        <v>43.9</v>
      </c>
      <c r="H32" s="12" t="n">
        <v>43.4</v>
      </c>
      <c r="I32" s="16">
        <f>IF(H32="","-",D32-H32)</f>
        <v/>
      </c>
      <c r="J32" s="17" t="inlineStr">
        <is>
          <t>有意</t>
        </is>
      </c>
    </row>
    <row r="33">
      <c r="A33" s="6" t="inlineStr">
        <is>
          <t>⑤</t>
        </is>
      </c>
      <c r="B33" s="12" t="inlineStr">
        <is>
          <t>閉じこもり者割合</t>
        </is>
      </c>
      <c r="C33" s="12" t="inlineStr">
        <is>
          <t>％</t>
        </is>
      </c>
      <c r="D33" s="12" t="n">
        <v>8.5</v>
      </c>
      <c r="E33" s="12" t="n">
        <v>7.2</v>
      </c>
      <c r="F33" s="12" t="n">
        <v>8.6</v>
      </c>
      <c r="G33" s="12" t="n">
        <v>9.699999999999999</v>
      </c>
      <c r="H33" s="12" t="n">
        <v>6.7</v>
      </c>
      <c r="I33" s="16">
        <f>IF(H33="","-",D33-H33)</f>
        <v/>
      </c>
      <c r="J33" s="17" t="inlineStr">
        <is>
          <t>有意</t>
        </is>
      </c>
    </row>
    <row r="34">
      <c r="A34" s="6" t="inlineStr">
        <is>
          <t>⑥</t>
        </is>
      </c>
      <c r="B34" s="12" t="inlineStr">
        <is>
          <t>うつ割合（基本チェックリスト）</t>
        </is>
      </c>
      <c r="C34" s="12" t="inlineStr">
        <is>
          <t>％</t>
        </is>
      </c>
      <c r="D34" s="12" t="n">
        <v>28.2</v>
      </c>
      <c r="E34" s="12" t="n">
        <v>26.8</v>
      </c>
      <c r="F34" s="12" t="n">
        <v>25</v>
      </c>
      <c r="G34" s="12" t="n">
        <v>32.1</v>
      </c>
      <c r="H34" s="12" t="n">
        <v>28.9</v>
      </c>
      <c r="I34" s="16">
        <f>IF(H34="","-",D34-H34)</f>
        <v/>
      </c>
      <c r="J34" s="12" t="inlineStr">
        <is>
          <t>有意でない</t>
        </is>
      </c>
    </row>
    <row r="35">
      <c r="A35" s="6" t="inlineStr">
        <is>
          <t>⑦</t>
        </is>
      </c>
      <c r="B35" s="12" t="inlineStr">
        <is>
          <t>口腔機能低下者割合（基本チェックリスト）</t>
        </is>
      </c>
      <c r="C35" s="12" t="inlineStr">
        <is>
          <t>％</t>
        </is>
      </c>
      <c r="D35" s="12" t="n">
        <v>24.7</v>
      </c>
      <c r="E35" s="12" t="n">
        <v>21.5</v>
      </c>
      <c r="F35" s="12" t="n">
        <v>24.8</v>
      </c>
      <c r="G35" s="12" t="n">
        <v>27.5</v>
      </c>
      <c r="H35" s="12" t="n">
        <v>23.4</v>
      </c>
      <c r="I35" s="16">
        <f>IF(H35="","-",D35-H35)</f>
        <v/>
      </c>
      <c r="J35" s="12" t="inlineStr">
        <is>
          <t>有意でない</t>
        </is>
      </c>
    </row>
    <row r="36">
      <c r="A36" s="6" t="inlineStr">
        <is>
          <t>⑧</t>
        </is>
      </c>
      <c r="B36" s="12" t="inlineStr">
        <is>
          <t>低栄養の傾向割合（BMI18.5未満）</t>
        </is>
      </c>
      <c r="C36" s="12" t="inlineStr">
        <is>
          <t>％</t>
        </is>
      </c>
      <c r="D36" s="12" t="n">
        <v>7.4</v>
      </c>
      <c r="E36" s="12" t="n">
        <v>6.7</v>
      </c>
      <c r="F36" s="12" t="n">
        <v>8.1</v>
      </c>
      <c r="G36" s="12" t="n">
        <v>7.3</v>
      </c>
      <c r="H36" s="12" t="n">
        <v>6</v>
      </c>
      <c r="I36" s="16">
        <f>IF(H36="","-",D36-H36)</f>
        <v/>
      </c>
      <c r="J36" s="17" t="inlineStr">
        <is>
          <t>有意</t>
        </is>
      </c>
    </row>
    <row r="37">
      <c r="A37" s="6" t="inlineStr">
        <is>
          <t>⑨</t>
        </is>
      </c>
      <c r="B37" s="12" t="inlineStr">
        <is>
          <t>要支援・要介護リスク点数（平均点）</t>
        </is>
      </c>
      <c r="C37" s="12" t="inlineStr">
        <is>
          <t>点</t>
        </is>
      </c>
      <c r="D37" s="12" t="n">
        <v>16.4</v>
      </c>
      <c r="E37" s="12" t="n">
        <v>15.5</v>
      </c>
      <c r="F37" s="12" t="n">
        <v>17</v>
      </c>
      <c r="G37" s="12" t="n">
        <v>16.9</v>
      </c>
      <c r="H37" s="12" t="n">
        <v>15.8</v>
      </c>
      <c r="I37" s="16">
        <f>IF(H37="","-",D37-H37)</f>
        <v/>
      </c>
      <c r="J37" s="12" t="inlineStr">
        <is>
          <t>有意でない</t>
        </is>
      </c>
    </row>
    <row r="38">
      <c r="A38" s="6" t="inlineStr">
        <is>
          <t>⑩</t>
        </is>
      </c>
      <c r="B38" s="12" t="inlineStr">
        <is>
          <t>認知機能低下者割合（基本チェックリスト）</t>
        </is>
      </c>
      <c r="C38" s="12" t="inlineStr">
        <is>
          <t>％</t>
        </is>
      </c>
      <c r="D38" s="12" t="n">
        <v>34.7</v>
      </c>
      <c r="E38" s="12" t="n">
        <v>34.9</v>
      </c>
      <c r="F38" s="12" t="n">
        <v>34.6</v>
      </c>
      <c r="G38" s="12" t="n">
        <v>34.7</v>
      </c>
      <c r="H38" s="12" t="n">
        <v>34.5</v>
      </c>
      <c r="I38" s="16">
        <f>IF(H38="","-",D38-H38)</f>
        <v/>
      </c>
      <c r="J38" s="12" t="inlineStr">
        <is>
          <t>有意でない</t>
        </is>
      </c>
    </row>
    <row r="39">
      <c r="A39" s="6" t="inlineStr">
        <is>
          <t>⑪</t>
        </is>
      </c>
      <c r="B39" s="12" t="inlineStr">
        <is>
          <t>IADL（自立度）低下者（1項目以上）割合</t>
        </is>
      </c>
      <c r="C39" s="12" t="inlineStr">
        <is>
          <t>％</t>
        </is>
      </c>
      <c r="D39" s="12" t="n">
        <v>9.800000000000001</v>
      </c>
      <c r="E39" s="12" t="n">
        <v>9.800000000000001</v>
      </c>
      <c r="F39" s="12" t="n">
        <v>10.1</v>
      </c>
      <c r="G39" s="12" t="n">
        <v>9.4</v>
      </c>
      <c r="H39" s="12" t="n">
        <v>9.800000000000001</v>
      </c>
      <c r="I39" s="16">
        <f>IF(H39="","-",D39-H39)</f>
        <v/>
      </c>
      <c r="J39" s="12" t="inlineStr">
        <is>
          <t>有意でない</t>
        </is>
      </c>
    </row>
    <row r="40">
      <c r="A40" s="6" t="inlineStr">
        <is>
          <t>⑫</t>
        </is>
      </c>
      <c r="B40" s="12" t="inlineStr">
        <is>
          <t>幸福感がある者の割合（8/10点以上）</t>
        </is>
      </c>
      <c r="C40" s="12" t="inlineStr">
        <is>
          <t>％</t>
        </is>
      </c>
      <c r="D40" s="12" t="n">
        <v>50.6</v>
      </c>
      <c r="E40" s="12" t="n">
        <v>51</v>
      </c>
      <c r="F40" s="12" t="n">
        <v>51.9</v>
      </c>
      <c r="G40" s="12" t="n">
        <v>49.2</v>
      </c>
      <c r="H40" s="12" t="n"/>
      <c r="I40" s="16">
        <f>IF(H40="","-",D40-H40)</f>
        <v/>
      </c>
      <c r="J40" s="12" t="inlineStr">
        <is>
          <t>第9期に該当なし</t>
        </is>
      </c>
    </row>
    <row r="41">
      <c r="A41" s="6" t="inlineStr">
        <is>
          <t>⑬</t>
        </is>
      </c>
      <c r="B41" s="12" t="inlineStr">
        <is>
          <t>就労していない者の割合</t>
        </is>
      </c>
      <c r="C41" s="12" t="inlineStr">
        <is>
          <t>％</t>
        </is>
      </c>
      <c r="D41" s="12" t="n">
        <v>54.9</v>
      </c>
      <c r="E41" s="12" t="n">
        <v>56.8</v>
      </c>
      <c r="F41" s="12" t="n">
        <v>55.6</v>
      </c>
      <c r="G41" s="12" t="n">
        <v>52.6</v>
      </c>
      <c r="H41" s="12" t="n"/>
      <c r="I41" s="16">
        <f>IF(H41="","-",D41-H41)</f>
        <v/>
      </c>
      <c r="J41" s="12" t="inlineStr">
        <is>
          <t>第9期に該当なし</t>
        </is>
      </c>
    </row>
    <row r="42">
      <c r="A42" s="6" t="inlineStr">
        <is>
          <t>⑭</t>
        </is>
      </c>
      <c r="B42" s="12" t="inlineStr">
        <is>
          <t>ボランティア参加者（月1回以上）割合</t>
        </is>
      </c>
      <c r="C42" s="12" t="inlineStr">
        <is>
          <t>％</t>
        </is>
      </c>
      <c r="D42" s="12" t="n">
        <v>10.7</v>
      </c>
      <c r="E42" s="12" t="n">
        <v>9.300000000000001</v>
      </c>
      <c r="F42" s="12" t="n">
        <v>13</v>
      </c>
      <c r="G42" s="12" t="n">
        <v>10.2</v>
      </c>
      <c r="H42" s="12" t="n">
        <v>9</v>
      </c>
      <c r="I42" s="16">
        <f>IF(H42="","-",D42-H42)</f>
        <v/>
      </c>
      <c r="J42" s="17" t="inlineStr">
        <is>
          <t>有意</t>
        </is>
      </c>
    </row>
    <row r="43">
      <c r="A43" s="6" t="inlineStr">
        <is>
          <t>⑮</t>
        </is>
      </c>
      <c r="B43" s="12" t="inlineStr">
        <is>
          <t>スポーツの会参加者（月1回以上）割合</t>
        </is>
      </c>
      <c r="C43" s="12" t="inlineStr">
        <is>
          <t>％</t>
        </is>
      </c>
      <c r="D43" s="12" t="n">
        <v>20.7</v>
      </c>
      <c r="E43" s="12" t="n">
        <v>21</v>
      </c>
      <c r="F43" s="12" t="n">
        <v>21.6</v>
      </c>
      <c r="G43" s="12" t="n">
        <v>19.6</v>
      </c>
      <c r="H43" s="12" t="n"/>
      <c r="I43" s="16">
        <f>IF(H43="","-",D43-H43)</f>
        <v/>
      </c>
      <c r="J43" s="12" t="inlineStr">
        <is>
          <t>第9期に該当なし</t>
        </is>
      </c>
    </row>
    <row r="44">
      <c r="A44" s="6" t="inlineStr">
        <is>
          <t>⑯</t>
        </is>
      </c>
      <c r="B44" s="12" t="inlineStr">
        <is>
          <t>趣味の会参加者（月1回以上）割合</t>
        </is>
      </c>
      <c r="C44" s="12" t="inlineStr">
        <is>
          <t>％</t>
        </is>
      </c>
      <c r="D44" s="12" t="n">
        <v>20.2</v>
      </c>
      <c r="E44" s="12" t="n">
        <v>20.4</v>
      </c>
      <c r="F44" s="12" t="n">
        <v>21.4</v>
      </c>
      <c r="G44" s="12" t="n">
        <v>18.9</v>
      </c>
      <c r="H44" s="12" t="n"/>
      <c r="I44" s="16">
        <f>IF(H44="","-",D44-H44)</f>
        <v/>
      </c>
      <c r="J44" s="12" t="inlineStr">
        <is>
          <t>第9期に該当なし</t>
        </is>
      </c>
    </row>
    <row r="45">
      <c r="A45" s="6" t="inlineStr">
        <is>
          <t>⑰</t>
        </is>
      </c>
      <c r="B45" s="12" t="inlineStr">
        <is>
          <t>学習・教養サークル参加者（月1回以上）割合</t>
        </is>
      </c>
      <c r="C45" s="12" t="inlineStr">
        <is>
          <t>％</t>
        </is>
      </c>
      <c r="D45" s="12" t="n">
        <v>6</v>
      </c>
      <c r="E45" s="12" t="n">
        <v>5.4</v>
      </c>
      <c r="F45" s="12" t="n">
        <v>6.8</v>
      </c>
      <c r="G45" s="12" t="n">
        <v>5.9</v>
      </c>
      <c r="H45" s="12" t="n"/>
      <c r="I45" s="16">
        <f>IF(H45="","-",D45-H45)</f>
        <v/>
      </c>
      <c r="J45" s="12" t="inlineStr">
        <is>
          <t>第9期に該当なし</t>
        </is>
      </c>
    </row>
    <row r="46">
      <c r="A46" s="6" t="inlineStr">
        <is>
          <t>⑱</t>
        </is>
      </c>
      <c r="B46" s="12" t="inlineStr">
        <is>
          <t>通いの場参加者（月1回以上）割合</t>
        </is>
      </c>
      <c r="C46" s="12" t="inlineStr">
        <is>
          <t>％</t>
        </is>
      </c>
      <c r="D46" s="12" t="n">
        <v>8.800000000000001</v>
      </c>
      <c r="E46" s="12" t="n">
        <v>7.5</v>
      </c>
      <c r="F46" s="12" t="n">
        <v>9.300000000000001</v>
      </c>
      <c r="G46" s="12" t="n">
        <v>9.5</v>
      </c>
      <c r="H46" s="12" t="n">
        <v>7.3</v>
      </c>
      <c r="I46" s="16">
        <f>IF(H46="","-",D46-H46)</f>
        <v/>
      </c>
      <c r="J46" s="17" t="inlineStr">
        <is>
          <t>有意</t>
        </is>
      </c>
    </row>
    <row r="47">
      <c r="A47" s="6" t="inlineStr">
        <is>
          <t>⑲</t>
        </is>
      </c>
      <c r="B47" s="12" t="inlineStr">
        <is>
          <t>特技や経験を他者に伝える活動参加者（月1回以上）割合</t>
        </is>
      </c>
      <c r="C47" s="12" t="inlineStr">
        <is>
          <t>％</t>
        </is>
      </c>
      <c r="D47" s="12" t="n">
        <v>5</v>
      </c>
      <c r="E47" s="12" t="n">
        <v>3.8</v>
      </c>
      <c r="F47" s="12" t="n">
        <v>6.4</v>
      </c>
      <c r="G47" s="12" t="n">
        <v>5</v>
      </c>
      <c r="H47" s="12" t="n"/>
      <c r="I47" s="16">
        <f>IF(H47="","-",D47-H47)</f>
        <v/>
      </c>
      <c r="J47" s="12" t="inlineStr">
        <is>
          <t>第9期に該当なし</t>
        </is>
      </c>
    </row>
    <row r="48">
      <c r="A48" s="6" t="inlineStr">
        <is>
          <t>⑳</t>
        </is>
      </c>
      <c r="B48" s="12" t="inlineStr">
        <is>
          <t>友人知人と会う頻度が高い（月1回以上）者の割合</t>
        </is>
      </c>
      <c r="C48" s="12" t="inlineStr">
        <is>
          <t>％</t>
        </is>
      </c>
      <c r="D48" s="12" t="n">
        <v>63</v>
      </c>
      <c r="E48" s="12" t="n">
        <v>60.1</v>
      </c>
      <c r="F48" s="12" t="n">
        <v>63.1</v>
      </c>
      <c r="G48" s="12" t="n">
        <v>65.5</v>
      </c>
      <c r="H48" s="12" t="n">
        <v>64.3</v>
      </c>
      <c r="I48" s="16">
        <f>IF(H48="","-",D48-H48)</f>
        <v/>
      </c>
      <c r="J48" s="12" t="inlineStr">
        <is>
          <t>有意でない</t>
        </is>
      </c>
    </row>
    <row r="49" ht="26" customHeight="1">
      <c r="A49" s="4" t="inlineStr">
        <is>
          <t>注1）令和7年度 健康とくらしの調査（JAGES調査）の集計値。令和4年（広域連合）は第9期計画 第2章第3節の掲載値で、指標定義（基本チェックリストの該当項目数等）は両年で一致する。注2）統計的判定は2標本の母比率の差の検定（両側・正規近似、有意水準5％）による。「有意」は③1年間の転倒あり、④物忘れが多い、⑤閉じこもり、⑧低栄養の傾向、⑭ボランティア参加、⑱通いの場参加の6指標。①フレイル（＋0.6pt）、⑦口腔機能低下（＋1.3pt）、⑳友人知人と会う（－1.3pt）等は統計的な差が確認できない。注3）⑨は第9期計画に「15.8％」と記載されているが、令和7年度報告書では「16.4点」と単位が明示されている。注4）⑫⑬⑮⑯⑰⑲は令和7年度調査で新設された指標であり、第9期に対応する値がない。</t>
        </is>
      </c>
    </row>
    <row r="51">
      <c r="A51" s="8" t="inlineStr">
        <is>
          <t>（3）社会参加の合成指標（KPI H05の候補・個票データから算出）</t>
        </is>
      </c>
    </row>
    <row r="52">
      <c r="A52" s="5" t="inlineStr">
        <is>
          <t>区分</t>
        </is>
      </c>
      <c r="B52" s="5" t="inlineStr">
        <is>
          <t>広域連合</t>
        </is>
      </c>
      <c r="C52" s="5" t="inlineStr">
        <is>
          <t>東神楽町</t>
        </is>
      </c>
      <c r="D52" s="5" t="inlineStr">
        <is>
          <t>東川町</t>
        </is>
      </c>
      <c r="E52" s="5" t="inlineStr">
        <is>
          <t>美瑛町</t>
        </is>
      </c>
      <c r="F52" s="5" t="inlineStr">
        <is>
          <t>該当数（人）</t>
        </is>
      </c>
      <c r="G52" s="5" t="inlineStr">
        <is>
          <t>分母（人）</t>
        </is>
      </c>
    </row>
    <row r="53">
      <c r="A53" s="6" t="inlineStr">
        <is>
          <t>通いの場</t>
        </is>
      </c>
      <c r="B53" s="12" t="n">
        <v>8.800000000000001</v>
      </c>
      <c r="C53" s="12" t="n">
        <v>7.5</v>
      </c>
      <c r="D53" s="12" t="n">
        <v>9.300000000000001</v>
      </c>
      <c r="E53" s="12" t="n">
        <v>9.5</v>
      </c>
      <c r="F53" s="9" t="n">
        <v>400</v>
      </c>
      <c r="G53" s="9" t="n">
        <v>4559</v>
      </c>
    </row>
    <row r="54">
      <c r="A54" s="6" t="inlineStr">
        <is>
          <t>スポーツの会</t>
        </is>
      </c>
      <c r="B54" s="12" t="n">
        <v>20.7</v>
      </c>
      <c r="C54" s="12" t="n">
        <v>21</v>
      </c>
      <c r="D54" s="12" t="n">
        <v>21.6</v>
      </c>
      <c r="E54" s="12" t="n">
        <v>19.6</v>
      </c>
      <c r="F54" s="9" t="n">
        <v>937</v>
      </c>
      <c r="G54" s="9" t="n">
        <v>4537</v>
      </c>
    </row>
    <row r="55">
      <c r="A55" s="6" t="inlineStr">
        <is>
          <t>趣味の会</t>
        </is>
      </c>
      <c r="B55" s="12" t="n">
        <v>20.2</v>
      </c>
      <c r="C55" s="12" t="n">
        <v>20.4</v>
      </c>
      <c r="D55" s="12" t="n">
        <v>21.4</v>
      </c>
      <c r="E55" s="12" t="n">
        <v>18.9</v>
      </c>
      <c r="F55" s="9" t="n">
        <v>915</v>
      </c>
      <c r="G55" s="9" t="n">
        <v>4533</v>
      </c>
    </row>
    <row r="56">
      <c r="A56" s="6" t="inlineStr">
        <is>
          <t>ボランティア</t>
        </is>
      </c>
      <c r="B56" s="12" t="n">
        <v>10.7</v>
      </c>
      <c r="C56" s="12" t="n">
        <v>9.300000000000001</v>
      </c>
      <c r="D56" s="12" t="n">
        <v>13</v>
      </c>
      <c r="E56" s="12" t="n">
        <v>10.2</v>
      </c>
      <c r="F56" s="9" t="n">
        <v>485</v>
      </c>
      <c r="G56" s="9" t="n">
        <v>4524</v>
      </c>
    </row>
    <row r="57">
      <c r="A57" s="6" t="inlineStr">
        <is>
          <t>学習・教養サークル</t>
        </is>
      </c>
      <c r="B57" s="12" t="n">
        <v>6</v>
      </c>
      <c r="C57" s="12" t="n">
        <v>5.4</v>
      </c>
      <c r="D57" s="12" t="n">
        <v>6.8</v>
      </c>
      <c r="E57" s="12" t="n">
        <v>5.9</v>
      </c>
      <c r="F57" s="9" t="n">
        <v>272</v>
      </c>
      <c r="G57" s="9" t="n">
        <v>4535</v>
      </c>
    </row>
    <row r="58">
      <c r="A58" s="6" t="inlineStr">
        <is>
          <t>特技や経験を他者に伝える活動</t>
        </is>
      </c>
      <c r="B58" s="12" t="n">
        <v>5</v>
      </c>
      <c r="C58" s="12" t="n">
        <v>3.8</v>
      </c>
      <c r="D58" s="12" t="n">
        <v>6.4</v>
      </c>
      <c r="E58" s="12" t="n">
        <v>5</v>
      </c>
      <c r="F58" s="9" t="n">
        <v>228</v>
      </c>
      <c r="G58" s="9" t="n">
        <v>4531</v>
      </c>
    </row>
    <row r="59">
      <c r="A59" s="18" t="inlineStr">
        <is>
          <t>【合成】6区分のいずれかに月1回以上参加</t>
        </is>
      </c>
      <c r="B59" s="19" t="n">
        <v>36</v>
      </c>
      <c r="C59" s="19" t="n">
        <v>34.8</v>
      </c>
      <c r="D59" s="19" t="n">
        <v>38.2</v>
      </c>
      <c r="E59" s="19" t="n">
        <v>35.4</v>
      </c>
      <c r="F59" s="20" t="n">
        <v>1661</v>
      </c>
      <c r="G59" s="20" t="n">
        <v>4611</v>
      </c>
    </row>
    <row r="61">
      <c r="A61" s="8" t="inlineStr">
        <is>
          <t>（4）合成指標の年齢階級別（広域連合）</t>
        </is>
      </c>
    </row>
    <row r="62">
      <c r="A62" s="5" t="inlineStr">
        <is>
          <t>区分</t>
        </is>
      </c>
      <c r="B62" s="5" t="inlineStr">
        <is>
          <t>全体</t>
        </is>
      </c>
      <c r="C62" s="5" t="inlineStr">
        <is>
          <t>65～69歳</t>
        </is>
      </c>
      <c r="D62" s="5" t="inlineStr">
        <is>
          <t>70～74歳</t>
        </is>
      </c>
      <c r="E62" s="5" t="inlineStr">
        <is>
          <t>75～79歳</t>
        </is>
      </c>
      <c r="F62" s="5" t="inlineStr">
        <is>
          <t>80～84歳</t>
        </is>
      </c>
      <c r="G62" s="5" t="inlineStr">
        <is>
          <t>85歳以上</t>
        </is>
      </c>
    </row>
    <row r="63">
      <c r="A63" s="6" t="inlineStr">
        <is>
          <t>合成指標（6区分いずれか）</t>
        </is>
      </c>
      <c r="B63" s="14" t="n">
        <v>36</v>
      </c>
      <c r="C63" s="14" t="n">
        <v>28.9</v>
      </c>
      <c r="D63" s="14" t="n">
        <v>35.2</v>
      </c>
      <c r="E63" s="14" t="n">
        <v>36.3</v>
      </c>
      <c r="F63" s="14" t="n">
        <v>43.1</v>
      </c>
      <c r="G63" s="14" t="n">
        <v>40.3</v>
      </c>
    </row>
    <row r="64">
      <c r="A64" s="6" t="inlineStr">
        <is>
          <t>該当数（人）</t>
        </is>
      </c>
      <c r="B64" s="14" t="n">
        <v>1661</v>
      </c>
      <c r="C64" s="14" t="n">
        <v>275</v>
      </c>
      <c r="D64" s="14" t="n">
        <v>416</v>
      </c>
      <c r="E64" s="14" t="n">
        <v>443</v>
      </c>
      <c r="F64" s="14" t="n">
        <v>324</v>
      </c>
      <c r="G64" s="14" t="n">
        <v>203</v>
      </c>
    </row>
    <row r="65">
      <c r="A65" s="6" t="inlineStr">
        <is>
          <t>分母（人）</t>
        </is>
      </c>
      <c r="B65" s="14" t="n">
        <v>4611</v>
      </c>
      <c r="C65" s="14" t="n">
        <v>953</v>
      </c>
      <c r="D65" s="14" t="n">
        <v>1182</v>
      </c>
      <c r="E65" s="14" t="n">
        <v>1221</v>
      </c>
      <c r="F65" s="14" t="n">
        <v>751</v>
      </c>
      <c r="G65" s="14" t="n">
        <v>504</v>
      </c>
    </row>
    <row r="66" ht="26" customHeight="1">
      <c r="A66" s="4" t="inlineStr">
        <is>
          <t>注）個票データ（KK_2025_CSV）から算出。6区分の単独割合はすべて報告書の公表値と完全に一致することを確認している。合成指標は6区分のいずれかに月1回以上参加した人の割合で、全区分が無回答の票は分母から除外した（分母4,611人）。第9期の通いの場参加率7.3％を継承する場合は「通いの場」8.8％、社会参加の広がりを捉える場合は合成指標36.0％を採用する。年齢階級別では65〜69歳28.9％に対し80〜84歳43.1％と高齢層のほうが高く、通いの場単独（65〜69歳4.1％→80〜84歳13.1％）と同じ傾向を示す。</t>
        </is>
      </c>
    </row>
  </sheetData>
  <mergeCells count="4">
    <mergeCell ref="A2:M2"/>
    <mergeCell ref="A49:M49"/>
    <mergeCell ref="A1:M1"/>
    <mergeCell ref="A66:M66"/>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T359"/>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s>
  <sheetData>
    <row r="1" ht="24" customHeight="1">
      <c r="A1" s="1" t="inlineStr">
        <is>
          <t>図8-2　健康とくらしの調査 結果概要（グラフ）</t>
        </is>
      </c>
    </row>
    <row r="2" ht="16" customHeight="1">
      <c r="A2" s="2" t="inlineStr">
        <is>
          <t>08_ニーズ調査データ を参照。左列＝年齢階級別（広域連合）、右列＝町別（全年齢）</t>
        </is>
      </c>
    </row>
    <row r="344">
      <c r="A344" s="8" t="inlineStr">
        <is>
          <t>令和4年→令和7年の比較</t>
        </is>
      </c>
    </row>
    <row r="345">
      <c r="A345" s="5" t="inlineStr">
        <is>
          <t>指標</t>
        </is>
      </c>
      <c r="B345" s="5" t="inlineStr">
        <is>
          <t>令和4年</t>
        </is>
      </c>
      <c r="C345" s="5" t="inlineStr">
        <is>
          <t>令和7年</t>
        </is>
      </c>
    </row>
    <row r="346">
      <c r="A346" s="6" t="inlineStr">
        <is>
          <t>フレイルあり割合（基本チェックリスト8項目以上）</t>
        </is>
      </c>
      <c r="B346" s="12" t="n">
        <v>18.5</v>
      </c>
      <c r="C346" s="12" t="n">
        <v>19.1</v>
      </c>
    </row>
    <row r="347">
      <c r="A347" s="6" t="inlineStr">
        <is>
          <t>運動機能低下者割合（基本チェックリスト）</t>
        </is>
      </c>
      <c r="B347" s="12" t="n">
        <v>9.699999999999999</v>
      </c>
      <c r="C347" s="12" t="n">
        <v>9.1</v>
      </c>
    </row>
    <row r="348">
      <c r="A348" s="6" t="inlineStr">
        <is>
          <t>1年間の転倒あり割合</t>
        </is>
      </c>
      <c r="B348" s="12" t="n">
        <v>32.9</v>
      </c>
      <c r="C348" s="12" t="n">
        <v>35.5</v>
      </c>
    </row>
    <row r="349">
      <c r="A349" s="6" t="inlineStr">
        <is>
          <t>物忘れが多い者の割合</t>
        </is>
      </c>
      <c r="B349" s="12" t="n">
        <v>43.4</v>
      </c>
      <c r="C349" s="12" t="n">
        <v>41.3</v>
      </c>
    </row>
    <row r="350">
      <c r="A350" s="6" t="inlineStr">
        <is>
          <t>閉じこもり者割合</t>
        </is>
      </c>
      <c r="B350" s="12" t="n">
        <v>6.7</v>
      </c>
      <c r="C350" s="12" t="n">
        <v>8.5</v>
      </c>
    </row>
    <row r="351">
      <c r="A351" s="6" t="inlineStr">
        <is>
          <t>うつ割合（基本チェックリスト）</t>
        </is>
      </c>
      <c r="B351" s="12" t="n">
        <v>28.9</v>
      </c>
      <c r="C351" s="12" t="n">
        <v>28.2</v>
      </c>
    </row>
    <row r="352">
      <c r="A352" s="6" t="inlineStr">
        <is>
          <t>口腔機能低下者割合（基本チェックリスト）</t>
        </is>
      </c>
      <c r="B352" s="12" t="n">
        <v>23.4</v>
      </c>
      <c r="C352" s="12" t="n">
        <v>24.7</v>
      </c>
    </row>
    <row r="353">
      <c r="A353" s="6" t="inlineStr">
        <is>
          <t>低栄養の傾向割合（BMI18.5未満）</t>
        </is>
      </c>
      <c r="B353" s="12" t="n">
        <v>6</v>
      </c>
      <c r="C353" s="12" t="n">
        <v>7.4</v>
      </c>
    </row>
    <row r="354">
      <c r="A354" s="6" t="inlineStr">
        <is>
          <t>要支援・要介護リスク点数（平均点）</t>
        </is>
      </c>
      <c r="B354" s="12" t="n">
        <v>15.8</v>
      </c>
      <c r="C354" s="12" t="n">
        <v>16.4</v>
      </c>
    </row>
    <row r="355">
      <c r="A355" s="6" t="inlineStr">
        <is>
          <t>認知機能低下者割合（基本チェックリスト）</t>
        </is>
      </c>
      <c r="B355" s="12" t="n">
        <v>34.5</v>
      </c>
      <c r="C355" s="12" t="n">
        <v>34.7</v>
      </c>
    </row>
    <row r="356">
      <c r="A356" s="6" t="inlineStr">
        <is>
          <t>IADL（自立度）低下者（1項目以上）割合</t>
        </is>
      </c>
      <c r="B356" s="12" t="n">
        <v>9.800000000000001</v>
      </c>
      <c r="C356" s="12" t="n">
        <v>9.800000000000001</v>
      </c>
    </row>
    <row r="357">
      <c r="A357" s="6" t="inlineStr">
        <is>
          <t>ボランティア参加者（月1回以上）割合</t>
        </is>
      </c>
      <c r="B357" s="12" t="n">
        <v>9</v>
      </c>
      <c r="C357" s="12" t="n">
        <v>10.7</v>
      </c>
    </row>
    <row r="358">
      <c r="A358" s="6" t="inlineStr">
        <is>
          <t>通いの場参加者（月1回以上）割合</t>
        </is>
      </c>
      <c r="B358" s="12" t="n">
        <v>7.3</v>
      </c>
      <c r="C358" s="12" t="n">
        <v>8.800000000000001</v>
      </c>
    </row>
    <row r="359">
      <c r="A359" s="6" t="inlineStr">
        <is>
          <t>友人知人と会う頻度が高い（月1回以上）者の割合</t>
        </is>
      </c>
      <c r="B359" s="12" t="n">
        <v>64.3</v>
      </c>
      <c r="C359" s="12" t="n">
        <v>63</v>
      </c>
    </row>
  </sheetData>
  <mergeCells count="2">
    <mergeCell ref="A1:T1"/>
    <mergeCell ref="A2:T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M82"/>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s>
  <sheetData>
    <row r="1" ht="24" customHeight="1">
      <c r="A1" s="1" t="inlineStr">
        <is>
          <t>図9　在宅介護実態調査 結果概要</t>
        </is>
      </c>
    </row>
    <row r="2" ht="16" customHeight="1">
      <c r="A2" s="2" t="inlineStr">
        <is>
          <t>資料：第9期計画 第2章第4節1／令和5年5月25日～6月30日・認定調査員の聞き取り・回答37人（推定）／令和2年度調査との比較・単位：％</t>
        </is>
      </c>
    </row>
    <row r="4">
      <c r="A4" s="8" t="inlineStr">
        <is>
          <t>① 世帯類型</t>
        </is>
      </c>
    </row>
    <row r="5">
      <c r="A5" s="5" t="inlineStr">
        <is>
          <t>区分</t>
        </is>
      </c>
      <c r="B5" s="5" t="inlineStr">
        <is>
          <t>令和5年度</t>
        </is>
      </c>
      <c r="C5" s="5" t="inlineStr">
        <is>
          <t>令和2年度</t>
        </is>
      </c>
    </row>
    <row r="6">
      <c r="A6" s="6" t="inlineStr">
        <is>
          <t>単身世帯</t>
        </is>
      </c>
      <c r="B6" s="12" t="n">
        <v>24.3</v>
      </c>
      <c r="C6" s="12" t="n">
        <v>26.3</v>
      </c>
    </row>
    <row r="7">
      <c r="A7" s="6" t="inlineStr">
        <is>
          <t>夫婦のみ世帯</t>
        </is>
      </c>
      <c r="B7" s="12" t="n">
        <v>18.9</v>
      </c>
      <c r="C7" s="12" t="n">
        <v>26.3</v>
      </c>
    </row>
    <row r="8">
      <c r="A8" s="6" t="inlineStr">
        <is>
          <t>その他</t>
        </is>
      </c>
      <c r="B8" s="12" t="n">
        <v>54.1</v>
      </c>
      <c r="C8" s="12" t="n">
        <v>47.4</v>
      </c>
    </row>
    <row r="9">
      <c r="A9" s="6" t="inlineStr">
        <is>
          <t>無回答</t>
        </is>
      </c>
      <c r="B9" s="12" t="n">
        <v>2.7</v>
      </c>
      <c r="C9" s="12" t="n">
        <v>0</v>
      </c>
    </row>
    <row r="11" ht="26" customHeight="1">
      <c r="A11" s="4" t="inlineStr">
        <is>
          <t>注）令和2年度の無回答0.0％は、単身26.3＋夫婦のみ26.3＋その他47.4＝100.0％となることから復元した値。「夫婦のみ世帯」が7.4ポイント減少、「その他」が6.7ポイント増加している（第9期計画 第2章第4節1）。</t>
        </is>
      </c>
    </row>
    <row r="13">
      <c r="A13" s="8" t="inlineStr">
        <is>
          <t>② 家族等による介護の頻度</t>
        </is>
      </c>
    </row>
    <row r="14">
      <c r="A14" s="5" t="inlineStr">
        <is>
          <t>区分</t>
        </is>
      </c>
      <c r="B14" s="5" t="inlineStr">
        <is>
          <t>令和5年度</t>
        </is>
      </c>
      <c r="C14" s="5" t="inlineStr">
        <is>
          <t>令和2年度</t>
        </is>
      </c>
    </row>
    <row r="15">
      <c r="A15" s="6" t="inlineStr">
        <is>
          <t>ない</t>
        </is>
      </c>
      <c r="B15" s="12" t="n">
        <v>18.9</v>
      </c>
      <c r="C15" s="12" t="n">
        <v>11.8</v>
      </c>
    </row>
    <row r="16">
      <c r="A16" s="6" t="inlineStr">
        <is>
          <t>家族・親族の介護はあるが、週に1日よりも少ない</t>
        </is>
      </c>
      <c r="B16" s="12" t="n">
        <v>10.8</v>
      </c>
      <c r="C16" s="12" t="n">
        <v>10.5</v>
      </c>
    </row>
    <row r="17">
      <c r="A17" s="6" t="inlineStr">
        <is>
          <t>週に1～2日ある</t>
        </is>
      </c>
      <c r="B17" s="12" t="n">
        <v>13.5</v>
      </c>
      <c r="C17" s="12" t="n">
        <v>9.199999999999999</v>
      </c>
    </row>
    <row r="18">
      <c r="A18" s="6" t="inlineStr">
        <is>
          <t>週に3～4日ある</t>
        </is>
      </c>
      <c r="B18" s="12" t="n">
        <v>0</v>
      </c>
      <c r="C18" s="12" t="n">
        <v>0</v>
      </c>
    </row>
    <row r="19">
      <c r="A19" s="6" t="inlineStr">
        <is>
          <t>ほぼ毎日ある</t>
        </is>
      </c>
      <c r="B19" s="12" t="n">
        <v>56.8</v>
      </c>
      <c r="C19" s="12" t="n">
        <v>63.2</v>
      </c>
    </row>
    <row r="20">
      <c r="A20" s="6" t="inlineStr">
        <is>
          <t>無回答</t>
        </is>
      </c>
      <c r="B20" s="12" t="n">
        <v>0</v>
      </c>
      <c r="C20" s="12" t="n">
        <v>5.3</v>
      </c>
    </row>
    <row r="22" ht="26" customHeight="1">
      <c r="A22" s="4" t="inlineStr">
        <is>
          <t>注）令和2年度の無回答5.3％は、他5区分の合計94.7％との差から復元した値。「ほぼ毎日ある」は56.8％で令和2年度から6.4ポイント減少している。</t>
        </is>
      </c>
    </row>
    <row r="24">
      <c r="A24" s="8" t="inlineStr">
        <is>
          <t>③ 主な介護者が行っている介護（複数回答）</t>
        </is>
      </c>
    </row>
    <row r="25">
      <c r="A25" s="5" t="inlineStr">
        <is>
          <t>区分</t>
        </is>
      </c>
      <c r="B25" s="5" t="inlineStr">
        <is>
          <t>令和5年度</t>
        </is>
      </c>
      <c r="C25" s="5" t="inlineStr">
        <is>
          <t>令和2年度</t>
        </is>
      </c>
    </row>
    <row r="26">
      <c r="A26" s="6" t="inlineStr">
        <is>
          <t>日中の排泄</t>
        </is>
      </c>
      <c r="B26" s="12" t="n">
        <v>21.6</v>
      </c>
      <c r="C26" s="12" t="n">
        <v>25</v>
      </c>
    </row>
    <row r="27">
      <c r="A27" s="6" t="inlineStr">
        <is>
          <t>夜間の排泄</t>
        </is>
      </c>
      <c r="B27" s="12" t="n">
        <v>16.2</v>
      </c>
      <c r="C27" s="12" t="n">
        <v>18.8</v>
      </c>
    </row>
    <row r="28">
      <c r="A28" s="6" t="inlineStr">
        <is>
          <t>食事の介助（食べる時）</t>
        </is>
      </c>
      <c r="B28" s="12" t="n">
        <v>10.8</v>
      </c>
      <c r="C28" s="12" t="n">
        <v>12.5</v>
      </c>
    </row>
    <row r="29">
      <c r="A29" s="6" t="inlineStr">
        <is>
          <t>入浴・洗身</t>
        </is>
      </c>
      <c r="B29" s="12" t="n">
        <v>21.6</v>
      </c>
      <c r="C29" s="12" t="n">
        <v>25</v>
      </c>
    </row>
    <row r="30">
      <c r="A30" s="6" t="inlineStr">
        <is>
          <t>身だしなみ（洗顔・歯磨き等）</t>
        </is>
      </c>
      <c r="B30" s="12" t="n">
        <v>24.3</v>
      </c>
      <c r="C30" s="12" t="n">
        <v>28.1</v>
      </c>
    </row>
    <row r="31">
      <c r="A31" s="6" t="inlineStr">
        <is>
          <t>衣服の着脱</t>
        </is>
      </c>
      <c r="B31" s="12" t="n">
        <v>27</v>
      </c>
      <c r="C31" s="12" t="n">
        <v>31.3</v>
      </c>
    </row>
    <row r="32">
      <c r="A32" s="6" t="inlineStr">
        <is>
          <t>屋内の移乗・移動</t>
        </is>
      </c>
      <c r="B32" s="12" t="n">
        <v>16.2</v>
      </c>
      <c r="C32" s="12" t="n">
        <v>18.8</v>
      </c>
    </row>
    <row r="33">
      <c r="A33" s="6" t="inlineStr">
        <is>
          <t>外出の付き添い、送迎等</t>
        </is>
      </c>
      <c r="B33" s="12" t="n">
        <v>67.59999999999999</v>
      </c>
      <c r="C33" s="12" t="n">
        <v>78.09999999999999</v>
      </c>
    </row>
    <row r="34">
      <c r="A34" s="6" t="inlineStr">
        <is>
          <t>服薬</t>
        </is>
      </c>
      <c r="B34" s="12" t="n">
        <v>35.1</v>
      </c>
      <c r="C34" s="12" t="n">
        <v>40.6</v>
      </c>
    </row>
    <row r="35">
      <c r="A35" s="6" t="inlineStr">
        <is>
          <t>認知症状への対応</t>
        </is>
      </c>
      <c r="B35" s="12" t="n">
        <v>18.9</v>
      </c>
      <c r="C35" s="12" t="n">
        <v>21.9</v>
      </c>
    </row>
    <row r="36">
      <c r="A36" s="6" t="inlineStr">
        <is>
          <t>医療面での対応（経管栄養、ストーマ等）</t>
        </is>
      </c>
      <c r="B36" s="12" t="n">
        <v>2.7</v>
      </c>
      <c r="C36" s="12" t="n">
        <v>3.1</v>
      </c>
    </row>
    <row r="37">
      <c r="A37" s="6" t="inlineStr">
        <is>
          <t>食事の準備（調理等）</t>
        </is>
      </c>
      <c r="B37" s="12" t="n">
        <v>62.2</v>
      </c>
      <c r="C37" s="12" t="n">
        <v>71.90000000000001</v>
      </c>
    </row>
    <row r="38">
      <c r="A38" s="6" t="inlineStr">
        <is>
          <t>その他の家事（掃除、洗濯、買い物等）</t>
        </is>
      </c>
      <c r="B38" s="12" t="n">
        <v>73</v>
      </c>
      <c r="C38" s="12" t="n">
        <v>84.40000000000001</v>
      </c>
    </row>
    <row r="39">
      <c r="A39" s="6" t="inlineStr">
        <is>
          <t>金銭管理や生活面に必要な諸手続き</t>
        </is>
      </c>
      <c r="B39" s="12" t="n">
        <v>59.5</v>
      </c>
      <c r="C39" s="12" t="n">
        <v>68.8</v>
      </c>
    </row>
    <row r="40">
      <c r="A40" s="6" t="inlineStr">
        <is>
          <t>その他</t>
        </is>
      </c>
      <c r="B40" s="12" t="n">
        <v>5.4</v>
      </c>
      <c r="C40" s="12" t="n">
        <v>6.3</v>
      </c>
    </row>
    <row r="41">
      <c r="A41" s="6" t="inlineStr">
        <is>
          <t>わからない</t>
        </is>
      </c>
      <c r="B41" s="12" t="n">
        <v>0</v>
      </c>
      <c r="C41" s="12" t="n">
        <v>0</v>
      </c>
    </row>
    <row r="42">
      <c r="A42" s="6" t="inlineStr">
        <is>
          <t>無回答</t>
        </is>
      </c>
      <c r="B42" s="12" t="n">
        <v>13.5</v>
      </c>
      <c r="C42" s="13" t="n"/>
    </row>
    <row r="44" ht="26" customHeight="1">
      <c r="A44" s="4" t="inlineStr">
        <is>
          <t>注）複数回答のため合計は100％にならない。令和2年度の「無回答」（淡黄色欄）は原典から数値を復元できなかったため未記載。「その他の家事（掃除、洗濯、買い物等）」は73.0％で最も高いが、令和2年度から11.4ポイント減少している。</t>
        </is>
      </c>
    </row>
    <row r="46">
      <c r="A46" s="8" t="inlineStr">
        <is>
          <t>④ 介護のための離職の有無</t>
        </is>
      </c>
    </row>
    <row r="47">
      <c r="A47" s="5" t="inlineStr">
        <is>
          <t>区分</t>
        </is>
      </c>
      <c r="B47" s="5" t="inlineStr">
        <is>
          <t>令和5年度</t>
        </is>
      </c>
      <c r="C47" s="5" t="inlineStr">
        <is>
          <t>令和2年度</t>
        </is>
      </c>
    </row>
    <row r="48">
      <c r="A48" s="6" t="inlineStr">
        <is>
          <t>主な介護者が仕事を辞めた（転職除く）</t>
        </is>
      </c>
      <c r="B48" s="12" t="n">
        <v>2.7</v>
      </c>
      <c r="C48" s="12" t="n">
        <v>1.5</v>
      </c>
    </row>
    <row r="49">
      <c r="A49" s="6" t="inlineStr">
        <is>
          <t>主な介護者以外の家族・親族が仕事を辞めた（転職除く）</t>
        </is>
      </c>
      <c r="B49" s="12" t="n">
        <v>0</v>
      </c>
      <c r="C49" s="12" t="n">
        <v>1.5</v>
      </c>
    </row>
    <row r="50">
      <c r="A50" s="6" t="inlineStr">
        <is>
          <t>主な介護者が転職した</t>
        </is>
      </c>
      <c r="B50" s="12" t="n">
        <v>2.7</v>
      </c>
      <c r="C50" s="12" t="n">
        <v>1.5</v>
      </c>
    </row>
    <row r="51">
      <c r="A51" s="6" t="inlineStr">
        <is>
          <t>主な介護者以外の家族・親族が転職した</t>
        </is>
      </c>
      <c r="B51" s="12" t="n">
        <v>0</v>
      </c>
      <c r="C51" s="12" t="n">
        <v>0</v>
      </c>
    </row>
    <row r="52">
      <c r="A52" s="6" t="inlineStr">
        <is>
          <t>介護のために仕事を辞めた家族・親族はいない</t>
        </is>
      </c>
      <c r="B52" s="12" t="n">
        <v>75.7</v>
      </c>
      <c r="C52" s="12" t="n">
        <v>83.59999999999999</v>
      </c>
    </row>
    <row r="53">
      <c r="A53" s="6" t="inlineStr">
        <is>
          <t>わからない</t>
        </is>
      </c>
      <c r="B53" s="12" t="n">
        <v>0</v>
      </c>
      <c r="C53" s="12" t="n">
        <v>0</v>
      </c>
    </row>
    <row r="54">
      <c r="A54" s="6" t="inlineStr">
        <is>
          <t>無回答</t>
        </is>
      </c>
      <c r="B54" s="12" t="n">
        <v>18.9</v>
      </c>
      <c r="C54" s="12" t="n">
        <v>11.9</v>
      </c>
    </row>
    <row r="56" ht="26" customHeight="1">
      <c r="A56" s="4" t="inlineStr">
        <is>
          <t>注）「介護のために仕事を辞めた家族・親族はいない」は75.7％で最も高いが、令和2年度から7.9ポイント減少している。介護離職（主な介護者・それ以外の家族親族が仕事を辞めた）は合計2.7％にとどまる。</t>
        </is>
      </c>
    </row>
    <row r="58">
      <c r="A58" s="8" t="inlineStr">
        <is>
          <t>⑤ 在宅生活の継続のために充実が必要な支援・サービス（複数回答）</t>
        </is>
      </c>
    </row>
    <row r="59">
      <c r="A59" s="5" t="inlineStr">
        <is>
          <t>区分</t>
        </is>
      </c>
      <c r="B59" s="5" t="inlineStr">
        <is>
          <t>令和5年度</t>
        </is>
      </c>
      <c r="C59" s="5" t="inlineStr">
        <is>
          <t>令和2年度</t>
        </is>
      </c>
    </row>
    <row r="60">
      <c r="A60" s="6" t="inlineStr">
        <is>
          <t>配食</t>
        </is>
      </c>
      <c r="B60" s="12" t="n">
        <v>13.5</v>
      </c>
      <c r="C60" s="12" t="n">
        <v>17.1</v>
      </c>
    </row>
    <row r="61">
      <c r="A61" s="6" t="inlineStr">
        <is>
          <t>調理</t>
        </is>
      </c>
      <c r="B61" s="12" t="n">
        <v>13.5</v>
      </c>
      <c r="C61" s="12" t="n">
        <v>14.5</v>
      </c>
    </row>
    <row r="62">
      <c r="A62" s="6" t="inlineStr">
        <is>
          <t>掃除・洗濯</t>
        </is>
      </c>
      <c r="B62" s="12" t="n">
        <v>21.6</v>
      </c>
      <c r="C62" s="12" t="n">
        <v>15.8</v>
      </c>
    </row>
    <row r="63">
      <c r="A63" s="6" t="inlineStr">
        <is>
          <t>買い物（宅配は含まない）</t>
        </is>
      </c>
      <c r="B63" s="12" t="n">
        <v>16.2</v>
      </c>
      <c r="C63" s="12" t="n">
        <v>13.2</v>
      </c>
    </row>
    <row r="64">
      <c r="A64" s="6" t="inlineStr">
        <is>
          <t>ゴミ出し</t>
        </is>
      </c>
      <c r="B64" s="12" t="n">
        <v>16.2</v>
      </c>
      <c r="C64" s="12" t="n">
        <v>13.2</v>
      </c>
    </row>
    <row r="65">
      <c r="A65" s="6" t="inlineStr">
        <is>
          <t>外出同行（通院、買い物など）</t>
        </is>
      </c>
      <c r="B65" s="12" t="n">
        <v>37.8</v>
      </c>
      <c r="C65" s="12" t="n">
        <v>21.1</v>
      </c>
    </row>
    <row r="66">
      <c r="A66" s="6" t="inlineStr">
        <is>
          <t>移送サービス（介護・福祉等）</t>
        </is>
      </c>
      <c r="B66" s="12" t="n">
        <v>18.9</v>
      </c>
      <c r="C66" s="12" t="n">
        <v>18.4</v>
      </c>
    </row>
    <row r="67">
      <c r="A67" s="6" t="inlineStr">
        <is>
          <t>見守り、声かけ</t>
        </is>
      </c>
      <c r="B67" s="12" t="n">
        <v>16.2</v>
      </c>
      <c r="C67" s="12" t="n">
        <v>18.4</v>
      </c>
    </row>
    <row r="68">
      <c r="A68" s="6" t="inlineStr">
        <is>
          <t>サロンなどの定期的な通いの場</t>
        </is>
      </c>
      <c r="B68" s="12" t="n">
        <v>5.4</v>
      </c>
      <c r="C68" s="12" t="n">
        <v>18.4</v>
      </c>
    </row>
    <row r="69">
      <c r="A69" s="6" t="inlineStr">
        <is>
          <t>その他</t>
        </is>
      </c>
      <c r="B69" s="12" t="n">
        <v>16.2</v>
      </c>
      <c r="C69" s="12" t="n">
        <v>2.7</v>
      </c>
    </row>
    <row r="70">
      <c r="A70" s="6" t="inlineStr">
        <is>
          <t>特になし</t>
        </is>
      </c>
      <c r="B70" s="12" t="n">
        <v>27</v>
      </c>
      <c r="C70" s="12" t="n">
        <v>43.4</v>
      </c>
    </row>
    <row r="71">
      <c r="A71" s="6" t="inlineStr">
        <is>
          <t>無回答</t>
        </is>
      </c>
      <c r="B71" s="12" t="n">
        <v>10.8</v>
      </c>
      <c r="C71" s="12" t="n">
        <v>10</v>
      </c>
    </row>
    <row r="73" ht="26" customHeight="1">
      <c r="A73" s="4" t="inlineStr">
        <is>
          <t>注）「外出同行（通院、買い物など）」が37.8％で最も高く、令和2年度から16.7ポイント上昇している。一方「特になし」は43.4％から27.0％へ減少しており、支援ニーズの顕在化がうかがえる。</t>
        </is>
      </c>
    </row>
    <row r="75">
      <c r="A75" s="8" t="inlineStr">
        <is>
          <t>⑥ 施設等検討の状況</t>
        </is>
      </c>
    </row>
    <row r="76">
      <c r="A76" s="5" t="inlineStr">
        <is>
          <t>区分</t>
        </is>
      </c>
      <c r="B76" s="5" t="inlineStr">
        <is>
          <t>令和5年度</t>
        </is>
      </c>
      <c r="C76" s="5" t="inlineStr">
        <is>
          <t>令和2年度</t>
        </is>
      </c>
    </row>
    <row r="77">
      <c r="A77" s="6" t="inlineStr">
        <is>
          <t>入所・入居は検討していない</t>
        </is>
      </c>
      <c r="B77" s="12" t="n">
        <v>73</v>
      </c>
      <c r="C77" s="12" t="n">
        <v>82.90000000000001</v>
      </c>
    </row>
    <row r="78">
      <c r="A78" s="6" t="inlineStr">
        <is>
          <t>入所・入居を検討している</t>
        </is>
      </c>
      <c r="B78" s="12" t="n">
        <v>13.5</v>
      </c>
      <c r="C78" s="12" t="n">
        <v>11.8</v>
      </c>
    </row>
    <row r="79">
      <c r="A79" s="6" t="inlineStr">
        <is>
          <t>すでに入所・入居申し込みをしている</t>
        </is>
      </c>
      <c r="B79" s="12" t="n">
        <v>13.5</v>
      </c>
      <c r="C79" s="12" t="n">
        <v>5.3</v>
      </c>
    </row>
    <row r="80">
      <c r="A80" s="6" t="inlineStr">
        <is>
          <t>無回答</t>
        </is>
      </c>
      <c r="B80" s="12" t="n">
        <v>0</v>
      </c>
      <c r="C80" s="12" t="n">
        <v>0</v>
      </c>
    </row>
    <row r="82" ht="26" customHeight="1">
      <c r="A82" s="4" t="inlineStr">
        <is>
          <t>注）「入所・入居は検討していない」は73.0％で最も高いが令和2年度から9.9ポイント減少し、「すでに入所・入居申し込みをしている」が8.2ポイント上昇している。</t>
        </is>
      </c>
    </row>
  </sheetData>
  <mergeCells count="8">
    <mergeCell ref="A44:M44"/>
    <mergeCell ref="A2:H2"/>
    <mergeCell ref="A22:M22"/>
    <mergeCell ref="A56:M56"/>
    <mergeCell ref="A1:H1"/>
    <mergeCell ref="A73:M73"/>
    <mergeCell ref="A11:M11"/>
    <mergeCell ref="A82:M82"/>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M42"/>
  <sheetViews>
    <sheetView workbookViewId="0">
      <selection activeCell="A1" sqref="A1"/>
    </sheetView>
  </sheetViews>
  <sheetFormatPr baseColWidth="8" defaultRowHeight="15"/>
  <cols>
    <col width="30"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s>
  <sheetData>
    <row r="1" ht="24" customHeight="1">
      <c r="A1" s="1" t="inlineStr">
        <is>
          <t>図10　居所変更実態調査 結果概要</t>
        </is>
      </c>
    </row>
    <row r="2" ht="16" customHeight="1">
      <c r="A2" s="2" t="inlineStr">
        <is>
          <t>資料：第9期計画 第2章第4節2／令和5年5月25日に施設・居住系サービスの管理者へ書面送付・21施設回答／過去1年間に居所を変更又は死亡した利用者</t>
        </is>
      </c>
    </row>
    <row r="4">
      <c r="A4" s="8" t="inlineStr">
        <is>
          <t>① 過去1年間の退居・退所者に占める居所変更・死亡</t>
        </is>
      </c>
    </row>
    <row r="5">
      <c r="A5" s="5" t="inlineStr">
        <is>
          <t>区分</t>
        </is>
      </c>
      <c r="B5" s="5" t="inlineStr">
        <is>
          <t>居所変更（件）</t>
        </is>
      </c>
      <c r="C5" s="5" t="inlineStr">
        <is>
          <t>死亡（件）</t>
        </is>
      </c>
      <c r="D5" s="5" t="inlineStr">
        <is>
          <t>合計（件）</t>
        </is>
      </c>
      <c r="E5" s="5" t="inlineStr">
        <is>
          <t>居所変更（％）</t>
        </is>
      </c>
      <c r="F5" s="5" t="inlineStr">
        <is>
          <t>死亡（％）</t>
        </is>
      </c>
    </row>
    <row r="6">
      <c r="A6" s="6" t="inlineStr">
        <is>
          <t>住宅型有料老人ホーム</t>
        </is>
      </c>
      <c r="B6" s="9" t="n">
        <v>34</v>
      </c>
      <c r="C6" s="9" t="n">
        <v>3</v>
      </c>
      <c r="D6" s="9">
        <f>B6+C6</f>
        <v/>
      </c>
      <c r="E6" s="12">
        <f>IF($D6=0,"-",B6/$D6*100)</f>
        <v/>
      </c>
      <c r="F6" s="12">
        <f>IF($D6=0,"-",C6/$D6*100)</f>
        <v/>
      </c>
    </row>
    <row r="7">
      <c r="A7" s="6" t="inlineStr">
        <is>
          <t>軽費老人ホーム</t>
        </is>
      </c>
      <c r="B7" s="9" t="n">
        <v>9</v>
      </c>
      <c r="C7" s="9" t="n">
        <v>3</v>
      </c>
      <c r="D7" s="9">
        <f>B7+C7</f>
        <v/>
      </c>
      <c r="E7" s="12">
        <f>IF($D7=0,"-",B7/$D7*100)</f>
        <v/>
      </c>
      <c r="F7" s="12">
        <f>IF($D7=0,"-",C7/$D7*100)</f>
        <v/>
      </c>
    </row>
    <row r="8">
      <c r="A8" s="6" t="inlineStr">
        <is>
          <t>グループホーム</t>
        </is>
      </c>
      <c r="B8" s="9" t="n">
        <v>15</v>
      </c>
      <c r="C8" s="9" t="n">
        <v>5</v>
      </c>
      <c r="D8" s="9">
        <f>B8+C8</f>
        <v/>
      </c>
      <c r="E8" s="12">
        <f>IF($D8=0,"-",B8/$D8*100)</f>
        <v/>
      </c>
      <c r="F8" s="12">
        <f>IF($D8=0,"-",C8/$D8*100)</f>
        <v/>
      </c>
    </row>
    <row r="9">
      <c r="A9" s="6" t="inlineStr">
        <is>
          <t>特定施設</t>
        </is>
      </c>
      <c r="B9" s="9" t="n">
        <v>13</v>
      </c>
      <c r="C9" s="9" t="n">
        <v>20</v>
      </c>
      <c r="D9" s="9">
        <f>B9+C9</f>
        <v/>
      </c>
      <c r="E9" s="12">
        <f>IF($D9=0,"-",B9/$D9*100)</f>
        <v/>
      </c>
      <c r="F9" s="12">
        <f>IF($D9=0,"-",C9/$D9*100)</f>
        <v/>
      </c>
    </row>
    <row r="10">
      <c r="A10" s="6" t="inlineStr">
        <is>
          <t>介護老人保健施設</t>
        </is>
      </c>
      <c r="B10" s="9" t="n">
        <v>91</v>
      </c>
      <c r="C10" s="9" t="n">
        <v>6</v>
      </c>
      <c r="D10" s="9">
        <f>B10+C10</f>
        <v/>
      </c>
      <c r="E10" s="12">
        <f>IF($D10=0,"-",B10/$D10*100)</f>
        <v/>
      </c>
      <c r="F10" s="12">
        <f>IF($D10=0,"-",C10/$D10*100)</f>
        <v/>
      </c>
    </row>
    <row r="11">
      <c r="A11" s="6" t="inlineStr">
        <is>
          <t>特別養護老人ホーム</t>
        </is>
      </c>
      <c r="B11" s="9" t="n">
        <v>41</v>
      </c>
      <c r="C11" s="9" t="n">
        <v>13</v>
      </c>
      <c r="D11" s="9">
        <f>B11+C11</f>
        <v/>
      </c>
      <c r="E11" s="12">
        <f>IF($D11=0,"-",B11/$D11*100)</f>
        <v/>
      </c>
      <c r="F11" s="12">
        <f>IF($D11=0,"-",C11/$D11*100)</f>
        <v/>
      </c>
    </row>
    <row r="12">
      <c r="A12" s="6" t="inlineStr">
        <is>
          <t>地域密着型特別養護老人ホーム</t>
        </is>
      </c>
      <c r="B12" s="9" t="n">
        <v>25</v>
      </c>
      <c r="C12" s="9" t="n">
        <v>6</v>
      </c>
      <c r="D12" s="9">
        <f>B12+C12</f>
        <v/>
      </c>
      <c r="E12" s="12">
        <f>IF($D12=0,"-",B12/$D12*100)</f>
        <v/>
      </c>
      <c r="F12" s="12">
        <f>IF($D12=0,"-",C12/$D12*100)</f>
        <v/>
      </c>
    </row>
    <row r="13">
      <c r="A13" s="6" t="inlineStr">
        <is>
          <t>合計</t>
        </is>
      </c>
      <c r="B13" s="11">
        <f>SUM(B6:B12)</f>
        <v/>
      </c>
      <c r="C13" s="11">
        <f>SUM(C6:C12)</f>
        <v/>
      </c>
      <c r="D13" s="9">
        <f>B13+C13</f>
        <v/>
      </c>
      <c r="E13" s="12">
        <f>IF($D13=0,"-",B13/$D13*100)</f>
        <v/>
      </c>
      <c r="F13" s="12">
        <f>IF($D13=0,"-",C13/$D13*100)</f>
        <v/>
      </c>
    </row>
    <row r="15" ht="26" customHeight="1">
      <c r="A15" s="4" t="inlineStr">
        <is>
          <t>注）各施設の合計では80.3％が「居所変更」、19.7％が「死亡」。介護老人保健施設は「居所変更」が93.8％と高く、特定施設は「死亡」が60.6％と高い（第9期計画 第2章第4節2）。なお回答施設の内訳（住宅型有料4・軽費1・サ高住0・GH5・特定施設2・老健3・特養2・地密特養3）の合計は20だが、第9期計画は「合計21」と記載しており差異がある（00_凡例・出典 4-7）。</t>
        </is>
      </c>
    </row>
    <row r="17">
      <c r="A17" s="8" t="inlineStr">
        <is>
          <t>② 居所変更した人の要支援・要介護度（施設別・単位：人）</t>
        </is>
      </c>
    </row>
    <row r="18">
      <c r="A18" s="5" t="inlineStr">
        <is>
          <t>区分</t>
        </is>
      </c>
      <c r="B18" s="5" t="inlineStr">
        <is>
          <t>自立</t>
        </is>
      </c>
      <c r="C18" s="5" t="inlineStr">
        <is>
          <t>要支援1</t>
        </is>
      </c>
      <c r="D18" s="5" t="inlineStr">
        <is>
          <t>要支援2</t>
        </is>
      </c>
      <c r="E18" s="5" t="inlineStr">
        <is>
          <t>要介護1</t>
        </is>
      </c>
      <c r="F18" s="5" t="inlineStr">
        <is>
          <t>要介護2</t>
        </is>
      </c>
      <c r="G18" s="5" t="inlineStr">
        <is>
          <t>要介護3</t>
        </is>
      </c>
      <c r="H18" s="5" t="inlineStr">
        <is>
          <t>要介護4</t>
        </is>
      </c>
      <c r="I18" s="5" t="inlineStr">
        <is>
          <t>要介護5</t>
        </is>
      </c>
      <c r="J18" s="5" t="inlineStr">
        <is>
          <t>申請中</t>
        </is>
      </c>
      <c r="K18" s="5" t="inlineStr">
        <is>
          <t>合計</t>
        </is>
      </c>
    </row>
    <row r="19">
      <c r="A19" s="6" t="inlineStr">
        <is>
          <t>住宅型有料老人ホーム</t>
        </is>
      </c>
      <c r="B19" s="9" t="n">
        <v>0</v>
      </c>
      <c r="C19" s="9" t="n">
        <v>2</v>
      </c>
      <c r="D19" s="9" t="n">
        <v>4</v>
      </c>
      <c r="E19" s="9" t="n">
        <v>3</v>
      </c>
      <c r="F19" s="9" t="n">
        <v>1</v>
      </c>
      <c r="G19" s="9" t="n">
        <v>6</v>
      </c>
      <c r="H19" s="9" t="n">
        <v>6</v>
      </c>
      <c r="I19" s="9" t="n">
        <v>12</v>
      </c>
      <c r="J19" s="9" t="n">
        <v>0</v>
      </c>
      <c r="K19" s="9">
        <f>SUM(B19:J19)</f>
        <v/>
      </c>
    </row>
    <row r="20">
      <c r="A20" s="6" t="inlineStr">
        <is>
          <t>軽費老人ホーム</t>
        </is>
      </c>
      <c r="B20" s="9" t="n">
        <v>2</v>
      </c>
      <c r="C20" s="9" t="n">
        <v>1</v>
      </c>
      <c r="D20" s="9" t="n">
        <v>0</v>
      </c>
      <c r="E20" s="9" t="n">
        <v>3</v>
      </c>
      <c r="F20" s="9" t="n">
        <v>1</v>
      </c>
      <c r="G20" s="9" t="n">
        <v>2</v>
      </c>
      <c r="H20" s="9" t="n">
        <v>0</v>
      </c>
      <c r="I20" s="9" t="n">
        <v>0</v>
      </c>
      <c r="J20" s="9" t="n">
        <v>0</v>
      </c>
      <c r="K20" s="9">
        <f>SUM(B20:J20)</f>
        <v/>
      </c>
    </row>
    <row r="21">
      <c r="A21" s="6" t="inlineStr">
        <is>
          <t>グループホーム</t>
        </is>
      </c>
      <c r="B21" s="9" t="n">
        <v>0</v>
      </c>
      <c r="C21" s="9" t="n">
        <v>0</v>
      </c>
      <c r="D21" s="9" t="n">
        <v>0</v>
      </c>
      <c r="E21" s="9" t="n">
        <v>1</v>
      </c>
      <c r="F21" s="9" t="n">
        <v>2</v>
      </c>
      <c r="G21" s="9" t="n">
        <v>2</v>
      </c>
      <c r="H21" s="9" t="n">
        <v>2</v>
      </c>
      <c r="I21" s="9" t="n">
        <v>8</v>
      </c>
      <c r="J21" s="9" t="n">
        <v>0</v>
      </c>
      <c r="K21" s="9">
        <f>SUM(B21:J21)</f>
        <v/>
      </c>
    </row>
    <row r="22">
      <c r="A22" s="6" t="inlineStr">
        <is>
          <t>特定施設</t>
        </is>
      </c>
      <c r="B22" s="9" t="n">
        <v>0</v>
      </c>
      <c r="C22" s="9" t="n">
        <v>2</v>
      </c>
      <c r="D22" s="9" t="n">
        <v>3</v>
      </c>
      <c r="E22" s="9" t="n">
        <v>2</v>
      </c>
      <c r="F22" s="9" t="n">
        <v>2</v>
      </c>
      <c r="G22" s="9" t="n">
        <v>3</v>
      </c>
      <c r="H22" s="9" t="n">
        <v>1</v>
      </c>
      <c r="I22" s="9" t="n">
        <v>0</v>
      </c>
      <c r="J22" s="9" t="n">
        <v>0</v>
      </c>
      <c r="K22" s="9">
        <f>SUM(B22:J22)</f>
        <v/>
      </c>
    </row>
    <row r="23">
      <c r="A23" s="6" t="inlineStr">
        <is>
          <t>介護老人保健施設</t>
        </is>
      </c>
      <c r="B23" s="9" t="n">
        <v>0</v>
      </c>
      <c r="C23" s="9" t="n">
        <v>0</v>
      </c>
      <c r="D23" s="9" t="n">
        <v>0</v>
      </c>
      <c r="E23" s="9" t="n">
        <v>12</v>
      </c>
      <c r="F23" s="9" t="n">
        <v>13</v>
      </c>
      <c r="G23" s="9" t="n">
        <v>26</v>
      </c>
      <c r="H23" s="9" t="n">
        <v>22</v>
      </c>
      <c r="I23" s="9" t="n">
        <v>18</v>
      </c>
      <c r="J23" s="9" t="n">
        <v>0</v>
      </c>
      <c r="K23" s="9">
        <f>SUM(B23:J23)</f>
        <v/>
      </c>
    </row>
    <row r="24">
      <c r="A24" s="6" t="inlineStr">
        <is>
          <t>特別養護老人ホーム</t>
        </is>
      </c>
      <c r="B24" s="9" t="n">
        <v>0</v>
      </c>
      <c r="C24" s="9" t="n">
        <v>0</v>
      </c>
      <c r="D24" s="9" t="n">
        <v>0</v>
      </c>
      <c r="E24" s="9" t="n">
        <v>1</v>
      </c>
      <c r="F24" s="9" t="n">
        <v>1</v>
      </c>
      <c r="G24" s="9" t="n">
        <v>13</v>
      </c>
      <c r="H24" s="9" t="n">
        <v>9</v>
      </c>
      <c r="I24" s="9" t="n">
        <v>17</v>
      </c>
      <c r="J24" s="9" t="n">
        <v>0</v>
      </c>
      <c r="K24" s="9">
        <f>SUM(B24:J24)</f>
        <v/>
      </c>
    </row>
    <row r="25">
      <c r="A25" s="6" t="inlineStr">
        <is>
          <t>地域密着型特別養護老人ホーム</t>
        </is>
      </c>
      <c r="B25" s="9" t="n">
        <v>0</v>
      </c>
      <c r="C25" s="9" t="n">
        <v>0</v>
      </c>
      <c r="D25" s="9" t="n">
        <v>0</v>
      </c>
      <c r="E25" s="9" t="n">
        <v>1</v>
      </c>
      <c r="F25" s="9" t="n">
        <v>2</v>
      </c>
      <c r="G25" s="9" t="n">
        <v>8</v>
      </c>
      <c r="H25" s="9" t="n">
        <v>7</v>
      </c>
      <c r="I25" s="9" t="n">
        <v>7</v>
      </c>
      <c r="J25" s="9" t="n">
        <v>0</v>
      </c>
      <c r="K25" s="9">
        <f>SUM(B25:J25)</f>
        <v/>
      </c>
    </row>
    <row r="26">
      <c r="A26" s="6" t="inlineStr">
        <is>
          <t>合計</t>
        </is>
      </c>
      <c r="B26" s="11">
        <f>SUM(B19:B25)</f>
        <v/>
      </c>
      <c r="C26" s="11">
        <f>SUM(C19:C25)</f>
        <v/>
      </c>
      <c r="D26" s="11">
        <f>SUM(D19:D25)</f>
        <v/>
      </c>
      <c r="E26" s="11">
        <f>SUM(E19:E25)</f>
        <v/>
      </c>
      <c r="F26" s="11">
        <f>SUM(F19:F25)</f>
        <v/>
      </c>
      <c r="G26" s="11">
        <f>SUM(G19:G25)</f>
        <v/>
      </c>
      <c r="H26" s="11">
        <f>SUM(H19:H25)</f>
        <v/>
      </c>
      <c r="I26" s="11">
        <f>SUM(I19:I25)</f>
        <v/>
      </c>
      <c r="J26" s="11">
        <f>SUM(J19:J25)</f>
        <v/>
      </c>
      <c r="K26" s="11">
        <f>SUM(B26:J26)</f>
        <v/>
      </c>
    </row>
    <row r="28" ht="26" customHeight="1">
      <c r="A28" s="4" t="inlineStr">
        <is>
          <t>注）軽費老人ホームの「－」表記は0として集計している。合計では「要介護5」が62人と最も多く、次いで「要介護3」60人、「要介護4」47人となっている（第9期計画 第2章第4節2）。</t>
        </is>
      </c>
    </row>
    <row r="30">
      <c r="A30" s="8" t="inlineStr">
        <is>
          <t>③ 居所変更した理由（21施設・単位：件）</t>
        </is>
      </c>
    </row>
    <row r="31">
      <c r="A31" s="5" t="inlineStr">
        <is>
          <t>区分</t>
        </is>
      </c>
      <c r="B31" s="5" t="inlineStr">
        <is>
          <t>件数</t>
        </is>
      </c>
    </row>
    <row r="32">
      <c r="A32" s="6" t="inlineStr">
        <is>
          <t>必要な支援の発生・増大</t>
        </is>
      </c>
      <c r="B32" s="9" t="n">
        <v>2</v>
      </c>
    </row>
    <row r="33">
      <c r="A33" s="6" t="inlineStr">
        <is>
          <t>必要な身体介護の発生・増大</t>
        </is>
      </c>
      <c r="B33" s="9" t="n">
        <v>5</v>
      </c>
    </row>
    <row r="34">
      <c r="A34" s="6" t="inlineStr">
        <is>
          <t>認知症の症状の悪化</t>
        </is>
      </c>
      <c r="B34" s="9" t="n">
        <v>7</v>
      </c>
    </row>
    <row r="35">
      <c r="A35" s="6" t="inlineStr">
        <is>
          <t>医療的ケア・医療処置の必要性の高まり</t>
        </is>
      </c>
      <c r="B35" s="9" t="n">
        <v>19</v>
      </c>
    </row>
    <row r="36">
      <c r="A36" s="6" t="inlineStr">
        <is>
          <t>上記以外の状態像が悪化</t>
        </is>
      </c>
      <c r="B36" s="9" t="n">
        <v>8</v>
      </c>
    </row>
    <row r="37">
      <c r="A37" s="6" t="inlineStr">
        <is>
          <t>状態等の改善</t>
        </is>
      </c>
      <c r="B37" s="9" t="n">
        <v>5</v>
      </c>
    </row>
    <row r="38">
      <c r="A38" s="6" t="inlineStr">
        <is>
          <t>必要な居宅サービスを望まなかったため</t>
        </is>
      </c>
      <c r="B38" s="9" t="n">
        <v>1</v>
      </c>
    </row>
    <row r="39">
      <c r="A39" s="6" t="inlineStr">
        <is>
          <t>費用負担が重くなった</t>
        </is>
      </c>
      <c r="B39" s="9" t="n">
        <v>4</v>
      </c>
    </row>
    <row r="40">
      <c r="A40" s="6" t="inlineStr">
        <is>
          <t>その他</t>
        </is>
      </c>
      <c r="B40" s="9" t="n">
        <v>10</v>
      </c>
    </row>
    <row r="42" ht="26" customHeight="1">
      <c r="A42" s="4" t="inlineStr">
        <is>
          <t>注）上位3つは「医療的ケア・医療処置の必要性の高まり」19件、「その他」10件、「上記以外の状態像が悪化」8件。一方で「状態等の改善」も5件あり、より良い方向への転換もみられる（第9期計画 第2章第4節2）。</t>
        </is>
      </c>
    </row>
  </sheetData>
  <mergeCells count="5">
    <mergeCell ref="A28:M28"/>
    <mergeCell ref="A2:K2"/>
    <mergeCell ref="A15:M15"/>
    <mergeCell ref="A1:K1"/>
    <mergeCell ref="A42:M42"/>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M67"/>
  <sheetViews>
    <sheetView workbookViewId="0">
      <selection activeCell="A1" sqref="A1"/>
    </sheetView>
  </sheetViews>
  <sheetFormatPr baseColWidth="8" defaultRowHeight="15"/>
  <cols>
    <col width="44" customWidth="1" min="1" max="1"/>
    <col width="12" customWidth="1" min="2" max="2"/>
    <col width="14" customWidth="1" min="3" max="3"/>
    <col width="14" customWidth="1" min="4" max="4"/>
    <col width="14" customWidth="1" min="5" max="5"/>
    <col width="12" customWidth="1" min="6" max="6"/>
    <col width="12" customWidth="1" min="7" max="7"/>
  </cols>
  <sheetData>
    <row r="1" ht="24" customHeight="1">
      <c r="A1" s="1" t="inlineStr">
        <is>
          <t>図11　在宅生活改善調査 結果概要</t>
        </is>
      </c>
    </row>
    <row r="2" ht="16" customHeight="1">
      <c r="A2" s="2" t="inlineStr">
        <is>
          <t>資料：第9期計画 第2章第4節3／令和5年5月25日に居宅介護支援事業所のケアマネジャーへ書面送付・12事業所91人／自宅等から居所を変更した利用者・単位：％</t>
        </is>
      </c>
    </row>
    <row r="4">
      <c r="A4" s="8" t="inlineStr">
        <is>
          <t>（参考）回答者の要介護度別内訳（単位：人）</t>
        </is>
      </c>
    </row>
    <row r="5">
      <c r="A5" s="5" t="inlineStr">
        <is>
          <t>要介護度</t>
        </is>
      </c>
      <c r="B5" s="5" t="inlineStr">
        <is>
          <t>該当者数</t>
        </is>
      </c>
    </row>
    <row r="6">
      <c r="A6" s="6" t="inlineStr">
        <is>
          <t>要支援1</t>
        </is>
      </c>
      <c r="B6" s="9" t="n">
        <v>0</v>
      </c>
    </row>
    <row r="7">
      <c r="A7" s="6" t="inlineStr">
        <is>
          <t>要支援2</t>
        </is>
      </c>
      <c r="B7" s="9" t="n">
        <v>7</v>
      </c>
    </row>
    <row r="8">
      <c r="A8" s="6" t="inlineStr">
        <is>
          <t>要介護1</t>
        </is>
      </c>
      <c r="B8" s="9" t="n">
        <v>31</v>
      </c>
    </row>
    <row r="9">
      <c r="A9" s="6" t="inlineStr">
        <is>
          <t>要介護2</t>
        </is>
      </c>
      <c r="B9" s="9" t="n">
        <v>18</v>
      </c>
    </row>
    <row r="10">
      <c r="A10" s="6" t="inlineStr">
        <is>
          <t>要介護3</t>
        </is>
      </c>
      <c r="B10" s="9" t="n">
        <v>12</v>
      </c>
    </row>
    <row r="11">
      <c r="A11" s="6" t="inlineStr">
        <is>
          <t>要介護4</t>
        </is>
      </c>
      <c r="B11" s="9" t="n">
        <v>15</v>
      </c>
    </row>
    <row r="12">
      <c r="A12" s="6" t="inlineStr">
        <is>
          <t>要介護5</t>
        </is>
      </c>
      <c r="B12" s="9" t="n">
        <v>8</v>
      </c>
    </row>
    <row r="13">
      <c r="A13" s="6" t="inlineStr">
        <is>
          <t>合計</t>
        </is>
      </c>
      <c r="B13" s="11">
        <f>SUM(B6:B12)</f>
        <v/>
      </c>
    </row>
    <row r="15">
      <c r="A15" s="8" t="inlineStr">
        <is>
          <t>① 在宅での生活の維持が難しくなっている利用者の属性</t>
        </is>
      </c>
    </row>
    <row r="16">
      <c r="A16" s="5" t="inlineStr">
        <is>
          <t>区分</t>
        </is>
      </c>
      <c r="B16" s="5" t="inlineStr">
        <is>
          <t>令和5年度</t>
        </is>
      </c>
      <c r="C16" s="5" t="inlineStr">
        <is>
          <t>令和2年度</t>
        </is>
      </c>
    </row>
    <row r="17">
      <c r="A17" s="6" t="inlineStr">
        <is>
          <t>独居</t>
        </is>
      </c>
      <c r="B17" s="12" t="n">
        <v>46.7</v>
      </c>
      <c r="C17" s="12" t="n">
        <v>27.1</v>
      </c>
    </row>
    <row r="18">
      <c r="A18" s="6" t="inlineStr">
        <is>
          <t>夫婦のみ世帯</t>
        </is>
      </c>
      <c r="B18" s="12" t="n">
        <v>13.3</v>
      </c>
      <c r="C18" s="12" t="n">
        <v>25.9</v>
      </c>
    </row>
    <row r="19">
      <c r="A19" s="6" t="inlineStr">
        <is>
          <t>単身の子供との同居</t>
        </is>
      </c>
      <c r="B19" s="12" t="n">
        <v>0</v>
      </c>
      <c r="C19" s="12" t="n">
        <v>11.1</v>
      </c>
    </row>
    <row r="20">
      <c r="A20" s="6" t="inlineStr">
        <is>
          <t>その他世帯</t>
        </is>
      </c>
      <c r="B20" s="12" t="n">
        <v>26.7</v>
      </c>
      <c r="C20" s="12" t="n">
        <v>22.4</v>
      </c>
    </row>
    <row r="21">
      <c r="A21" s="6" t="inlineStr">
        <is>
          <t>自宅等（持ち家）</t>
        </is>
      </c>
      <c r="B21" s="12" t="n">
        <v>62.2</v>
      </c>
      <c r="C21" s="12" t="n">
        <v>77.7</v>
      </c>
    </row>
    <row r="22">
      <c r="A22" s="6" t="inlineStr">
        <is>
          <t>自宅等（借家）</t>
        </is>
      </c>
      <c r="B22" s="12" t="n">
        <v>6.7</v>
      </c>
      <c r="C22" s="12" t="n">
        <v>4.9</v>
      </c>
    </row>
    <row r="23">
      <c r="A23" s="6" t="inlineStr">
        <is>
          <t>サ高住・住宅型有料・軽費</t>
        </is>
      </c>
      <c r="B23" s="12" t="n">
        <v>17.8</v>
      </c>
      <c r="C23" s="12" t="n">
        <v>4.9</v>
      </c>
    </row>
    <row r="24">
      <c r="A24" s="6" t="inlineStr">
        <is>
          <t>要介護2以下</t>
        </is>
      </c>
      <c r="B24" s="12" t="n">
        <v>53.3</v>
      </c>
      <c r="C24" s="12" t="n">
        <v>48.1</v>
      </c>
    </row>
    <row r="25">
      <c r="A25" s="6" t="inlineStr">
        <is>
          <t>要介護3以上</t>
        </is>
      </c>
      <c r="B25" s="12" t="n">
        <v>33.4</v>
      </c>
      <c r="C25" s="12" t="n">
        <v>39.4</v>
      </c>
    </row>
    <row r="27" ht="26" customHeight="1">
      <c r="A27" s="4" t="inlineStr">
        <is>
          <t>注）「独居」が19.6ポイント増加、「自宅等（持ち家）」が15.5ポイント減少、「サ高住・住宅型有料老人ホーム・軽費老人ホーム」が12.9ポイント増加している（第9期計画 第2章第4節3）。世帯類型・居所・要介護度の各区分は無回答等を含むため合計は100％にならない。</t>
        </is>
      </c>
    </row>
    <row r="29">
      <c r="A29" s="8" t="inlineStr">
        <is>
          <t>② 生活の維持が難しくなっている理由（本人の状態に属する理由）</t>
        </is>
      </c>
    </row>
    <row r="30">
      <c r="A30" s="5" t="inlineStr">
        <is>
          <t>区分</t>
        </is>
      </c>
      <c r="B30" s="5" t="inlineStr">
        <is>
          <t>合計（令和5年度）</t>
        </is>
      </c>
      <c r="C30" s="5" t="inlineStr">
        <is>
          <t>要支援1～要介護2</t>
        </is>
      </c>
      <c r="D30" s="5" t="inlineStr">
        <is>
          <t>要介護3～要介護5</t>
        </is>
      </c>
      <c r="E30" s="5" t="inlineStr">
        <is>
          <t>合計（令和2年度）</t>
        </is>
      </c>
    </row>
    <row r="31">
      <c r="A31" s="6" t="inlineStr">
        <is>
          <t>必要な生活支援の発生・増大</t>
        </is>
      </c>
      <c r="B31" s="12" t="n">
        <v>48.9</v>
      </c>
      <c r="C31" s="12" t="n">
        <v>55.6</v>
      </c>
      <c r="D31" s="12" t="n">
        <v>38.9</v>
      </c>
      <c r="E31" s="12" t="n">
        <v>46.9</v>
      </c>
    </row>
    <row r="32">
      <c r="A32" s="6" t="inlineStr">
        <is>
          <t>必要な身体介護の増大</t>
        </is>
      </c>
      <c r="B32" s="12" t="n">
        <v>51.1</v>
      </c>
      <c r="C32" s="12" t="n">
        <v>40.7</v>
      </c>
      <c r="D32" s="12" t="n">
        <v>66.7</v>
      </c>
      <c r="E32" s="12" t="n">
        <v>61.7</v>
      </c>
    </row>
    <row r="33">
      <c r="A33" s="6" t="inlineStr">
        <is>
          <t>認知症の症状の悪化</t>
        </is>
      </c>
      <c r="B33" s="12" t="n">
        <v>66.7</v>
      </c>
      <c r="C33" s="12" t="n">
        <v>74.09999999999999</v>
      </c>
      <c r="D33" s="12" t="n">
        <v>55.6</v>
      </c>
      <c r="E33" s="12" t="n">
        <v>63</v>
      </c>
    </row>
    <row r="34">
      <c r="A34" s="6" t="inlineStr">
        <is>
          <t>医療的ケア・医療処置の必要性の高まり</t>
        </is>
      </c>
      <c r="B34" s="12" t="n">
        <v>8.9</v>
      </c>
      <c r="C34" s="12" t="n">
        <v>7.4</v>
      </c>
      <c r="D34" s="12" t="n">
        <v>11.1</v>
      </c>
      <c r="E34" s="12" t="n">
        <v>24.7</v>
      </c>
    </row>
    <row r="35">
      <c r="A35" s="6" t="inlineStr">
        <is>
          <t>その他、本人の状態等の悪化</t>
        </is>
      </c>
      <c r="B35" s="12" t="n">
        <v>22.2</v>
      </c>
      <c r="C35" s="12" t="n">
        <v>25.9</v>
      </c>
      <c r="D35" s="12" t="n">
        <v>16.7</v>
      </c>
      <c r="E35" s="12" t="n">
        <v>17.3</v>
      </c>
    </row>
    <row r="36">
      <c r="A36" s="6" t="inlineStr">
        <is>
          <t>本人の状態等の改善</t>
        </is>
      </c>
      <c r="B36" s="12" t="n">
        <v>4.4</v>
      </c>
      <c r="C36" s="12" t="n">
        <v>3.7</v>
      </c>
      <c r="D36" s="12" t="n">
        <v>5.6</v>
      </c>
      <c r="E36" s="12" t="n">
        <v>0</v>
      </c>
    </row>
    <row r="37">
      <c r="A37" s="6" t="inlineStr">
        <is>
          <t>その他</t>
        </is>
      </c>
      <c r="B37" s="12" t="n">
        <v>4.4</v>
      </c>
      <c r="C37" s="12" t="n">
        <v>0</v>
      </c>
      <c r="D37" s="12" t="n">
        <v>11.1</v>
      </c>
      <c r="E37" s="12" t="n">
        <v>0</v>
      </c>
    </row>
    <row r="38">
      <c r="A38" s="6" t="inlineStr">
        <is>
          <t>無回答</t>
        </is>
      </c>
      <c r="B38" s="12" t="n">
        <v>0</v>
      </c>
      <c r="C38" s="12" t="n">
        <v>0</v>
      </c>
      <c r="D38" s="12" t="n">
        <v>0</v>
      </c>
      <c r="E38" s="12" t="n">
        <v>0</v>
      </c>
    </row>
    <row r="40" ht="26" customHeight="1">
      <c r="A40" s="4" t="inlineStr">
        <is>
          <t>注）合計では「認知症の症状の悪化」が66.7％と最も高い一方、要介護3～要介護5では「必要な身体介護の増大」が66.7％と最も高い。令和2年度と比べ「必要な身体介護の増大」は10.6ポイント減少している（第9期計画 第2章第4節3）。</t>
        </is>
      </c>
    </row>
    <row r="42">
      <c r="A42" s="8" t="inlineStr">
        <is>
          <t>③ 生活の維持が難しくなっている理由（本人の意向に属する理由）</t>
        </is>
      </c>
    </row>
    <row r="43">
      <c r="A43" s="5" t="inlineStr">
        <is>
          <t>区分</t>
        </is>
      </c>
      <c r="B43" s="5" t="inlineStr">
        <is>
          <t>合計（令和5年度）</t>
        </is>
      </c>
      <c r="C43" s="5" t="inlineStr">
        <is>
          <t>要支援1～要介護2</t>
        </is>
      </c>
      <c r="D43" s="5" t="inlineStr">
        <is>
          <t>要介護3～要介護5</t>
        </is>
      </c>
      <c r="E43" s="5" t="inlineStr">
        <is>
          <t>合計（令和2年度）</t>
        </is>
      </c>
    </row>
    <row r="44">
      <c r="A44" s="6" t="inlineStr">
        <is>
          <t>本人が、一部の居宅サービスの利用を望まないから</t>
        </is>
      </c>
      <c r="B44" s="12" t="n">
        <v>15.6</v>
      </c>
      <c r="C44" s="12" t="n">
        <v>18.5</v>
      </c>
      <c r="D44" s="12" t="n">
        <v>11.1</v>
      </c>
      <c r="E44" s="12" t="n">
        <v>32.1</v>
      </c>
    </row>
    <row r="45">
      <c r="A45" s="6" t="inlineStr">
        <is>
          <t>生活の不安が大きいから</t>
        </is>
      </c>
      <c r="B45" s="12" t="n">
        <v>33.3</v>
      </c>
      <c r="C45" s="12" t="n">
        <v>33.3</v>
      </c>
      <c r="D45" s="12" t="n">
        <v>33.3</v>
      </c>
      <c r="E45" s="12" t="n">
        <v>29.6</v>
      </c>
    </row>
    <row r="46">
      <c r="A46" s="6" t="inlineStr">
        <is>
          <t>居住環境が不便だから</t>
        </is>
      </c>
      <c r="B46" s="12" t="n">
        <v>8.9</v>
      </c>
      <c r="C46" s="12" t="n">
        <v>7.4</v>
      </c>
      <c r="D46" s="12" t="n">
        <v>11.1</v>
      </c>
      <c r="E46" s="12" t="n">
        <v>9.9</v>
      </c>
    </row>
    <row r="47">
      <c r="A47" s="6" t="inlineStr">
        <is>
          <t>本人が介護者の負担軽減を望むから</t>
        </is>
      </c>
      <c r="B47" s="12" t="n">
        <v>2.2</v>
      </c>
      <c r="C47" s="12" t="n">
        <v>0</v>
      </c>
      <c r="D47" s="12" t="n">
        <v>5.6</v>
      </c>
      <c r="E47" s="12" t="n">
        <v>4.9</v>
      </c>
    </row>
    <row r="48">
      <c r="A48" s="6" t="inlineStr">
        <is>
          <t>負担費用が重いから</t>
        </is>
      </c>
      <c r="B48" s="12" t="n">
        <v>8.9</v>
      </c>
      <c r="C48" s="12" t="n">
        <v>11.1</v>
      </c>
      <c r="D48" s="12" t="n">
        <v>5.6</v>
      </c>
      <c r="E48" s="12" t="n">
        <v>6.2</v>
      </c>
    </row>
    <row r="49">
      <c r="A49" s="6" t="inlineStr">
        <is>
          <t>その他、本人の意向等があるから</t>
        </is>
      </c>
      <c r="B49" s="12" t="n">
        <v>11.1</v>
      </c>
      <c r="C49" s="12" t="n">
        <v>3.7</v>
      </c>
      <c r="D49" s="12" t="n">
        <v>22.2</v>
      </c>
      <c r="E49" s="12" t="n">
        <v>23.5</v>
      </c>
    </row>
    <row r="50">
      <c r="A50" s="6" t="inlineStr">
        <is>
          <t>その他</t>
        </is>
      </c>
      <c r="B50" s="12" t="n">
        <v>35.6</v>
      </c>
      <c r="C50" s="12" t="n">
        <v>40.7</v>
      </c>
      <c r="D50" s="12" t="n">
        <v>27.8</v>
      </c>
      <c r="E50" s="12" t="n">
        <v>25.9</v>
      </c>
    </row>
    <row r="51">
      <c r="A51" s="6" t="inlineStr">
        <is>
          <t>無回答</t>
        </is>
      </c>
      <c r="B51" s="12" t="n">
        <v>0</v>
      </c>
      <c r="C51" s="12" t="n">
        <v>0</v>
      </c>
      <c r="D51" s="12" t="n">
        <v>0</v>
      </c>
      <c r="E51" s="12" t="n">
        <v>3.7</v>
      </c>
    </row>
    <row r="53" ht="26" customHeight="1">
      <c r="A53" s="4" t="inlineStr">
        <is>
          <t>注）合計では「その他」が35.6％と最も高い一方、要介護3～要介護5では「生活の不安が大きいから」が最も高い。令和2年度と比べ「本人が、一部の居宅サービスの利用を望まないから」が16.5ポイント減少、「その他」が9.7ポイント増加している。</t>
        </is>
      </c>
    </row>
    <row r="55">
      <c r="A55" s="8" t="inlineStr">
        <is>
          <t>④ 生活の維持が難しくなっている理由（家族等介護者の意向・負担等に属する理由）</t>
        </is>
      </c>
    </row>
    <row r="56">
      <c r="A56" s="5" t="inlineStr">
        <is>
          <t>区分</t>
        </is>
      </c>
      <c r="B56" s="5" t="inlineStr">
        <is>
          <t>合計（令和5年度）</t>
        </is>
      </c>
      <c r="C56" s="5" t="inlineStr">
        <is>
          <t>要支援1～要介護2</t>
        </is>
      </c>
      <c r="D56" s="5" t="inlineStr">
        <is>
          <t>要介護3～要介護5</t>
        </is>
      </c>
      <c r="E56" s="5" t="inlineStr">
        <is>
          <t>合計（令和2年度）</t>
        </is>
      </c>
    </row>
    <row r="57">
      <c r="A57" s="6" t="inlineStr">
        <is>
          <t>介護者の介護に係る不安・負担量の増大</t>
        </is>
      </c>
      <c r="B57" s="12" t="n">
        <v>51.1</v>
      </c>
      <c r="C57" s="12" t="n">
        <v>44.4</v>
      </c>
      <c r="D57" s="12" t="n">
        <v>61.1</v>
      </c>
      <c r="E57" s="12" t="n">
        <v>66.7</v>
      </c>
    </row>
    <row r="58">
      <c r="A58" s="6" t="inlineStr">
        <is>
          <t>介護者が、一部の居宅サービスの利用を望まないから</t>
        </is>
      </c>
      <c r="B58" s="12" t="n">
        <v>6.7</v>
      </c>
      <c r="C58" s="12" t="n">
        <v>3.7</v>
      </c>
      <c r="D58" s="12" t="n">
        <v>11.1</v>
      </c>
      <c r="E58" s="12" t="n">
        <v>17.3</v>
      </c>
    </row>
    <row r="59">
      <c r="A59" s="6" t="inlineStr">
        <is>
          <t>家族等の介護等技術では対応が困難</t>
        </is>
      </c>
      <c r="B59" s="12" t="n">
        <v>26.7</v>
      </c>
      <c r="C59" s="12" t="n">
        <v>11.1</v>
      </c>
      <c r="D59" s="12" t="n">
        <v>50</v>
      </c>
      <c r="E59" s="12" t="n">
        <v>34.6</v>
      </c>
    </row>
    <row r="60">
      <c r="A60" s="6" t="inlineStr">
        <is>
          <t>費用負担が重いから</t>
        </is>
      </c>
      <c r="B60" s="12" t="n">
        <v>11.1</v>
      </c>
      <c r="C60" s="12" t="n">
        <v>7.4</v>
      </c>
      <c r="D60" s="12" t="n">
        <v>16.7</v>
      </c>
      <c r="E60" s="12" t="n">
        <v>12.3</v>
      </c>
    </row>
    <row r="61">
      <c r="A61" s="6" t="inlineStr">
        <is>
          <t>家族等の就労継続が困難になり始めたから</t>
        </is>
      </c>
      <c r="B61" s="12" t="n">
        <v>8.9</v>
      </c>
      <c r="C61" s="12" t="n">
        <v>3.7</v>
      </c>
      <c r="D61" s="12" t="n">
        <v>16.7</v>
      </c>
      <c r="E61" s="12" t="n">
        <v>17.3</v>
      </c>
    </row>
    <row r="62">
      <c r="A62" s="6" t="inlineStr">
        <is>
          <t>本人と家族等の関係性に課題があるから</t>
        </is>
      </c>
      <c r="B62" s="12" t="n">
        <v>20</v>
      </c>
      <c r="C62" s="12" t="n">
        <v>22.2</v>
      </c>
      <c r="D62" s="12" t="n">
        <v>16.7</v>
      </c>
      <c r="E62" s="12" t="n">
        <v>19.8</v>
      </c>
    </row>
    <row r="63">
      <c r="A63" s="6" t="inlineStr">
        <is>
          <t>その他、家族等介護者の意向等があるから</t>
        </is>
      </c>
      <c r="B63" s="12" t="n">
        <v>20</v>
      </c>
      <c r="C63" s="12" t="n">
        <v>18.5</v>
      </c>
      <c r="D63" s="12" t="n">
        <v>22.2</v>
      </c>
      <c r="E63" s="12" t="n">
        <v>23.5</v>
      </c>
    </row>
    <row r="64">
      <c r="A64" s="6" t="inlineStr">
        <is>
          <t>その他</t>
        </is>
      </c>
      <c r="B64" s="12" t="n">
        <v>13.3</v>
      </c>
      <c r="C64" s="12" t="n">
        <v>18.5</v>
      </c>
      <c r="D64" s="12" t="n">
        <v>5.6</v>
      </c>
      <c r="E64" s="12" t="n">
        <v>3.7</v>
      </c>
    </row>
    <row r="65">
      <c r="A65" s="6" t="inlineStr">
        <is>
          <t>無回答</t>
        </is>
      </c>
      <c r="B65" s="12" t="n">
        <v>2.2</v>
      </c>
      <c r="C65" s="12" t="n">
        <v>0</v>
      </c>
      <c r="D65" s="12" t="n">
        <v>5.6</v>
      </c>
      <c r="E65" s="12" t="n">
        <v>3.7</v>
      </c>
    </row>
    <row r="67" ht="26" customHeight="1">
      <c r="A67" s="4" t="inlineStr">
        <is>
          <t>注）いずれの介護度でも「介護者の介護に係る不安・負担量の増大」が最も高い。要支援1～要介護2では「本人と家族等の関係性に課題があるから」、要介護3～要介護5では「家族等の介護等技術では対応が困難」が次いで高い。令和2年度と比べ「介護者の介護に係る不安・負担量の増大」は15.6ポイント減少している（第9期計画 第2章第4節3）。②～④はいずれも複数回答のため合計は100％にならない。</t>
        </is>
      </c>
    </row>
  </sheetData>
  <mergeCells count="6">
    <mergeCell ref="A27:M27"/>
    <mergeCell ref="A67:M67"/>
    <mergeCell ref="A2:H2"/>
    <mergeCell ref="A40:M40"/>
    <mergeCell ref="A53:M53"/>
    <mergeCell ref="A1:H1"/>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M146"/>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ht="24" customHeight="1">
      <c r="A1" s="1" t="inlineStr">
        <is>
          <t>図12　介護人材実態調査 結果概要</t>
        </is>
      </c>
    </row>
    <row r="2" ht="16" customHeight="1">
      <c r="A2" s="2" t="inlineStr">
        <is>
          <t>資料：第9期計画 第2章第5節／令和5年5月25日に施設系サービスの管理者へ書面送付・27施設回答（該当職員405人）／対象35事業所・回収率77.1％</t>
        </is>
      </c>
    </row>
    <row r="4">
      <c r="A4" s="8" t="inlineStr">
        <is>
          <t>（参考）回答事業所の内訳（単位：施設）</t>
        </is>
      </c>
    </row>
    <row r="5">
      <c r="A5" s="5" t="inlineStr">
        <is>
          <t>サービス種別</t>
        </is>
      </c>
      <c r="B5" s="5" t="inlineStr">
        <is>
          <t>施設数</t>
        </is>
      </c>
    </row>
    <row r="6">
      <c r="A6" s="6" t="inlineStr">
        <is>
          <t>施設・居住系サービス</t>
        </is>
      </c>
      <c r="B6" s="9" t="n">
        <v>18</v>
      </c>
    </row>
    <row r="7">
      <c r="A7" s="6" t="inlineStr">
        <is>
          <t>通所系サービス</t>
        </is>
      </c>
      <c r="B7" s="9" t="n">
        <v>3</v>
      </c>
    </row>
    <row r="8">
      <c r="A8" s="6" t="inlineStr">
        <is>
          <t>不明</t>
        </is>
      </c>
      <c r="B8" s="9" t="n">
        <v>6</v>
      </c>
    </row>
    <row r="9">
      <c r="A9" s="6" t="inlineStr">
        <is>
          <t>合計</t>
        </is>
      </c>
      <c r="B9" s="11">
        <f>SUM(B6:B8)</f>
        <v/>
      </c>
    </row>
    <row r="11">
      <c r="A11" s="8" t="inlineStr">
        <is>
          <t>（1）① 事業所の職員数（単位：人）</t>
        </is>
      </c>
    </row>
    <row r="12">
      <c r="A12" s="5" t="inlineStr">
        <is>
          <t>区分</t>
        </is>
      </c>
      <c r="B12" s="5" t="inlineStr">
        <is>
          <t>男性</t>
        </is>
      </c>
      <c r="C12" s="5" t="inlineStr">
        <is>
          <t>女性</t>
        </is>
      </c>
      <c r="D12" s="5" t="inlineStr">
        <is>
          <t>合計</t>
        </is>
      </c>
    </row>
    <row r="13">
      <c r="A13" s="6" t="inlineStr">
        <is>
          <t>正規職員</t>
        </is>
      </c>
      <c r="B13" s="9" t="n">
        <v>134</v>
      </c>
      <c r="C13" s="9" t="n">
        <v>174</v>
      </c>
      <c r="D13" s="9">
        <f>B13+C13</f>
        <v/>
      </c>
    </row>
    <row r="14">
      <c r="A14" s="6" t="inlineStr">
        <is>
          <t>非正規職員</t>
        </is>
      </c>
      <c r="B14" s="9" t="n">
        <v>8</v>
      </c>
      <c r="C14" s="9" t="n">
        <v>87</v>
      </c>
      <c r="D14" s="9">
        <f>B14+C14</f>
        <v/>
      </c>
    </row>
    <row r="15">
      <c r="A15" s="6" t="inlineStr">
        <is>
          <t>合計</t>
        </is>
      </c>
      <c r="B15" s="11">
        <f>SUM(B13:B14)</f>
        <v/>
      </c>
      <c r="C15" s="11">
        <f>SUM(C13:C14)</f>
        <v/>
      </c>
      <c r="D15" s="11">
        <f>B15+C15</f>
        <v/>
      </c>
    </row>
    <row r="17" ht="26" customHeight="1">
      <c r="A17" s="4" t="inlineStr">
        <is>
          <t>注）第9期計画には職員総数（正規325・非正規96・計421人）、男女内訳の合計403人、該当者数405人の3種類が併記されている。本表は男女内訳（403人）を掲載。原典の注記のとおり「施設に所属している介護職員が未記入の人は除いており、合計が総数と一致しない」。1事業所あたり平均人数も405÷27＝15.0人で本文の16.0人と一致しない（00_凡例・出典 4-9）。</t>
        </is>
      </c>
    </row>
    <row r="19">
      <c r="A19" s="8" t="inlineStr">
        <is>
          <t>（1）② 男女比較（該当者405人）</t>
        </is>
      </c>
    </row>
    <row r="20">
      <c r="A20" s="5" t="inlineStr">
        <is>
          <t>区分</t>
        </is>
      </c>
      <c r="B20" s="5" t="inlineStr">
        <is>
          <t>構成比</t>
        </is>
      </c>
    </row>
    <row r="21">
      <c r="A21" s="6" t="inlineStr">
        <is>
          <t>男性</t>
        </is>
      </c>
      <c r="B21" s="12" t="n">
        <v>35.3</v>
      </c>
    </row>
    <row r="22">
      <c r="A22" s="6" t="inlineStr">
        <is>
          <t>女性</t>
        </is>
      </c>
      <c r="B22" s="12" t="n">
        <v>64.40000000000001</v>
      </c>
    </row>
    <row r="23">
      <c r="A23" s="6" t="inlineStr">
        <is>
          <t>無回答</t>
        </is>
      </c>
      <c r="B23" s="12" t="n">
        <v>0.2</v>
      </c>
    </row>
    <row r="25">
      <c r="A25" s="8" t="inlineStr">
        <is>
          <t>（1）③ 就業形態比較（該当者405人）</t>
        </is>
      </c>
    </row>
    <row r="26">
      <c r="A26" s="5" t="inlineStr">
        <is>
          <t>区分</t>
        </is>
      </c>
      <c r="B26" s="5" t="inlineStr">
        <is>
          <t>構成比</t>
        </is>
      </c>
    </row>
    <row r="27">
      <c r="A27" s="6" t="inlineStr">
        <is>
          <t>正規社員</t>
        </is>
      </c>
      <c r="B27" s="12" t="n">
        <v>76.3</v>
      </c>
    </row>
    <row r="28">
      <c r="A28" s="6" t="inlineStr">
        <is>
          <t>非正規社員</t>
        </is>
      </c>
      <c r="B28" s="12" t="n">
        <v>23.5</v>
      </c>
    </row>
    <row r="29">
      <c r="A29" s="6" t="inlineStr">
        <is>
          <t>無回答</t>
        </is>
      </c>
      <c r="B29" s="12" t="n">
        <v>0.2</v>
      </c>
    </row>
    <row r="31">
      <c r="A31" s="8" t="inlineStr">
        <is>
          <t>（1）④ 全職員の就業形態（介護保険サービス系列別・単位：％）</t>
        </is>
      </c>
    </row>
    <row r="32">
      <c r="A32" s="5" t="inlineStr">
        <is>
          <t>区分</t>
        </is>
      </c>
      <c r="B32" s="5" t="inlineStr">
        <is>
          <t>正規職員（男）</t>
        </is>
      </c>
      <c r="C32" s="5" t="inlineStr">
        <is>
          <t>正規職員（女）</t>
        </is>
      </c>
      <c r="D32" s="5" t="inlineStr">
        <is>
          <t>非正規職員（男）</t>
        </is>
      </c>
      <c r="E32" s="5" t="inlineStr">
        <is>
          <t>非正規職員（女）</t>
        </is>
      </c>
      <c r="F32" s="5" t="inlineStr">
        <is>
          <t>正規職員 計</t>
        </is>
      </c>
      <c r="G32" s="5" t="inlineStr">
        <is>
          <t>男性 計</t>
        </is>
      </c>
      <c r="H32" s="5" t="inlineStr">
        <is>
          <t>平均人数（人）</t>
        </is>
      </c>
    </row>
    <row r="33">
      <c r="A33" s="6" t="inlineStr">
        <is>
          <t>全体</t>
        </is>
      </c>
      <c r="B33" s="12" t="n">
        <v>31.2</v>
      </c>
      <c r="C33" s="12" t="n">
        <v>43.6</v>
      </c>
      <c r="D33" s="12" t="n">
        <v>1.8</v>
      </c>
      <c r="E33" s="12" t="n">
        <v>23.4</v>
      </c>
      <c r="F33" s="21">
        <f>B33+C33</f>
        <v/>
      </c>
      <c r="G33" s="21">
        <f>B33+D33</f>
        <v/>
      </c>
      <c r="H33" s="12" t="n">
        <v>16</v>
      </c>
    </row>
    <row r="34">
      <c r="A34" s="6" t="inlineStr">
        <is>
          <t>施設・居住系サービス</t>
        </is>
      </c>
      <c r="B34" s="12" t="n">
        <v>31.9</v>
      </c>
      <c r="C34" s="12" t="n">
        <v>45.1</v>
      </c>
      <c r="D34" s="12" t="n">
        <v>1.9</v>
      </c>
      <c r="E34" s="12" t="n">
        <v>21.1</v>
      </c>
      <c r="F34" s="21">
        <f>B34+C34</f>
        <v/>
      </c>
      <c r="G34" s="21">
        <f>B34+D34</f>
        <v/>
      </c>
      <c r="H34" s="12" t="n">
        <v>17.6</v>
      </c>
    </row>
    <row r="35">
      <c r="A35" s="6" t="inlineStr">
        <is>
          <t>通所系サービス</t>
        </is>
      </c>
      <c r="B35" s="12" t="n">
        <v>20</v>
      </c>
      <c r="C35" s="12" t="n">
        <v>20</v>
      </c>
      <c r="D35" s="12" t="n">
        <v>0</v>
      </c>
      <c r="E35" s="12" t="n">
        <v>60</v>
      </c>
      <c r="F35" s="21">
        <f>B35+C35</f>
        <v/>
      </c>
      <c r="G35" s="21">
        <f>B35+D35</f>
        <v/>
      </c>
      <c r="H35" s="12" t="n">
        <v>6.7</v>
      </c>
    </row>
    <row r="37" ht="26" customHeight="1">
      <c r="A37" s="4" t="inlineStr">
        <is>
          <t>注）第9期計画の本文は「施設・居住系サービスの正規職員が33.8％」とするが、グラフ値では正規職員計は77.0％であり、33.8％は男性職員の割合（31.9＋1.9）と一致する。「通所系サービスの正規職員は40.0％」は正規職員計（20.0＋20.0）と一致する。本表はグラフ値どおり掲載し、正規職員計・男性計を数式で併記した（00_凡例・出典 4-8）。</t>
        </is>
      </c>
    </row>
    <row r="39">
      <c r="A39" s="8" t="inlineStr">
        <is>
          <t>（2）事業所の開設後経過年数（介護保険サービス系列別・単位：％）</t>
        </is>
      </c>
    </row>
    <row r="40">
      <c r="A40" s="5" t="inlineStr">
        <is>
          <t>区分</t>
        </is>
      </c>
      <c r="B40" s="5" t="inlineStr">
        <is>
          <t>5年未満</t>
        </is>
      </c>
      <c r="C40" s="5" t="inlineStr">
        <is>
          <t>5年以上10年未満</t>
        </is>
      </c>
      <c r="D40" s="5" t="inlineStr">
        <is>
          <t>10年以上20年未満</t>
        </is>
      </c>
      <c r="E40" s="5" t="inlineStr">
        <is>
          <t>20年以上30年未満</t>
        </is>
      </c>
      <c r="F40" s="5" t="inlineStr">
        <is>
          <t>30年以上</t>
        </is>
      </c>
      <c r="G40" s="5" t="inlineStr">
        <is>
          <t>平均経過年数</t>
        </is>
      </c>
    </row>
    <row r="41">
      <c r="A41" s="6" t="inlineStr">
        <is>
          <t>全体</t>
        </is>
      </c>
      <c r="B41" s="12" t="n">
        <v>3.7</v>
      </c>
      <c r="C41" s="12" t="n">
        <v>14.8</v>
      </c>
      <c r="D41" s="12" t="n">
        <v>37</v>
      </c>
      <c r="E41" s="12" t="n">
        <v>29.6</v>
      </c>
      <c r="F41" s="12" t="n">
        <v>14.8</v>
      </c>
      <c r="G41" s="12" t="inlineStr">
        <is>
          <t>19年3か月</t>
        </is>
      </c>
    </row>
    <row r="42">
      <c r="A42" s="6" t="inlineStr">
        <is>
          <t>施設・居住系サービス</t>
        </is>
      </c>
      <c r="B42" s="12" t="n">
        <v>0</v>
      </c>
      <c r="C42" s="12" t="n">
        <v>16.7</v>
      </c>
      <c r="D42" s="12" t="n">
        <v>44.4</v>
      </c>
      <c r="E42" s="12" t="n">
        <v>27.8</v>
      </c>
      <c r="F42" s="12" t="n">
        <v>11.1</v>
      </c>
      <c r="G42" s="12" t="inlineStr">
        <is>
          <t>19年8か月</t>
        </is>
      </c>
    </row>
    <row r="43">
      <c r="A43" s="6" t="inlineStr">
        <is>
          <t>通所系サービス</t>
        </is>
      </c>
      <c r="B43" s="12" t="n">
        <v>0</v>
      </c>
      <c r="C43" s="12" t="n">
        <v>0</v>
      </c>
      <c r="D43" s="12" t="n">
        <v>0</v>
      </c>
      <c r="E43" s="12" t="n">
        <v>66.7</v>
      </c>
      <c r="F43" s="12" t="n">
        <v>33.3</v>
      </c>
      <c r="G43" s="12" t="inlineStr">
        <is>
          <t>25年7か月</t>
        </is>
      </c>
    </row>
    <row r="45" ht="26" customHeight="1">
      <c r="A45" s="4" t="inlineStr">
        <is>
          <t>注）全体では「10年以上20年未満」が37.0％で最も高く、次いで「20年以上30年未満」29.6％。通所系サービスは「20年以上30年未満」66.7％、「30年以上」33.3％で、平均経過年数25年7か月と長い。施設・居住系の「5年未満」0.0％は他4区分の合計100.0％から復元した値。</t>
        </is>
      </c>
    </row>
    <row r="47">
      <c r="A47" s="8" t="inlineStr">
        <is>
          <t>（3）① 全職員の年齢構成・在職年数（総数）</t>
        </is>
      </c>
    </row>
    <row r="48">
      <c r="A48" s="5" t="inlineStr">
        <is>
          <t>年代</t>
        </is>
      </c>
      <c r="B48" s="5" t="inlineStr">
        <is>
          <t>人数（人）</t>
        </is>
      </c>
      <c r="C48" s="5" t="inlineStr">
        <is>
          <t>構成比（％）</t>
        </is>
      </c>
    </row>
    <row r="49">
      <c r="A49" s="6" t="inlineStr">
        <is>
          <t>20歳未満</t>
        </is>
      </c>
      <c r="B49" s="9" t="n">
        <v>5</v>
      </c>
      <c r="C49" s="12">
        <f>B49/$B$56*100</f>
        <v/>
      </c>
    </row>
    <row r="50">
      <c r="A50" s="6" t="inlineStr">
        <is>
          <t>20代</t>
        </is>
      </c>
      <c r="B50" s="9" t="n">
        <v>71</v>
      </c>
      <c r="C50" s="12">
        <f>B50/$B$56*100</f>
        <v/>
      </c>
    </row>
    <row r="51">
      <c r="A51" s="6" t="inlineStr">
        <is>
          <t>30代</t>
        </is>
      </c>
      <c r="B51" s="9" t="n">
        <v>82</v>
      </c>
      <c r="C51" s="12">
        <f>B51/$B$56*100</f>
        <v/>
      </c>
    </row>
    <row r="52">
      <c r="A52" s="6" t="inlineStr">
        <is>
          <t>40代</t>
        </is>
      </c>
      <c r="B52" s="9" t="n">
        <v>107</v>
      </c>
      <c r="C52" s="12">
        <f>B52/$B$56*100</f>
        <v/>
      </c>
    </row>
    <row r="53">
      <c r="A53" s="6" t="inlineStr">
        <is>
          <t>50代</t>
        </is>
      </c>
      <c r="B53" s="9" t="n">
        <v>81</v>
      </c>
      <c r="C53" s="12">
        <f>B53/$B$56*100</f>
        <v/>
      </c>
    </row>
    <row r="54">
      <c r="A54" s="6" t="inlineStr">
        <is>
          <t>60代</t>
        </is>
      </c>
      <c r="B54" s="9" t="n">
        <v>51</v>
      </c>
      <c r="C54" s="12">
        <f>B54/$B$56*100</f>
        <v/>
      </c>
    </row>
    <row r="55">
      <c r="A55" s="6" t="inlineStr">
        <is>
          <t>70代以上</t>
        </is>
      </c>
      <c r="B55" s="9" t="n">
        <v>8</v>
      </c>
      <c r="C55" s="12">
        <f>B55/$B$56*100</f>
        <v/>
      </c>
    </row>
    <row r="56">
      <c r="A56" s="6" t="inlineStr">
        <is>
          <t>合計</t>
        </is>
      </c>
      <c r="B56" s="11">
        <f>SUM(B49:B55)</f>
        <v/>
      </c>
      <c r="C56" s="12">
        <f>B56/$B$56*100</f>
        <v/>
      </c>
    </row>
    <row r="58">
      <c r="A58" s="5" t="inlineStr">
        <is>
          <t>在職年数</t>
        </is>
      </c>
      <c r="B58" s="5" t="inlineStr">
        <is>
          <t>人数（人）</t>
        </is>
      </c>
      <c r="C58" s="5" t="inlineStr">
        <is>
          <t>構成比（％）</t>
        </is>
      </c>
    </row>
    <row r="59">
      <c r="A59" s="6" t="inlineStr">
        <is>
          <t>1年未満</t>
        </is>
      </c>
      <c r="B59" s="9" t="n">
        <v>56</v>
      </c>
      <c r="C59" s="12">
        <f>B59/$B$62*100</f>
        <v/>
      </c>
    </row>
    <row r="60">
      <c r="A60" s="6" t="inlineStr">
        <is>
          <t>1年以上</t>
        </is>
      </c>
      <c r="B60" s="9" t="n">
        <v>345</v>
      </c>
      <c r="C60" s="12">
        <f>B60/$B$62*100</f>
        <v/>
      </c>
    </row>
    <row r="61">
      <c r="A61" s="6" t="inlineStr">
        <is>
          <t>無回答</t>
        </is>
      </c>
      <c r="B61" s="9" t="n">
        <v>4</v>
      </c>
      <c r="C61" s="12">
        <f>B61/$B$62*100</f>
        <v/>
      </c>
    </row>
    <row r="62">
      <c r="A62" s="6" t="inlineStr">
        <is>
          <t>合計</t>
        </is>
      </c>
      <c r="B62" s="11">
        <f>SUM(B59:B61)</f>
        <v/>
      </c>
      <c r="C62" s="12">
        <f>B62/$B$62*100</f>
        <v/>
      </c>
    </row>
    <row r="64">
      <c r="A64" s="8" t="inlineStr">
        <is>
          <t>（3）② 全職員の年齢構成（介護保険サービス系列別・単位：％）</t>
        </is>
      </c>
    </row>
    <row r="65">
      <c r="A65" s="5" t="inlineStr">
        <is>
          <t>区分</t>
        </is>
      </c>
      <c r="B65" s="5" t="inlineStr">
        <is>
          <t>20歳未満</t>
        </is>
      </c>
      <c r="C65" s="5" t="inlineStr">
        <is>
          <t>20代</t>
        </is>
      </c>
      <c r="D65" s="5" t="inlineStr">
        <is>
          <t>30代</t>
        </is>
      </c>
      <c r="E65" s="5" t="inlineStr">
        <is>
          <t>40代</t>
        </is>
      </c>
      <c r="F65" s="5" t="inlineStr">
        <is>
          <t>50代</t>
        </is>
      </c>
      <c r="G65" s="5" t="inlineStr">
        <is>
          <t>60代</t>
        </is>
      </c>
      <c r="H65" s="5" t="inlineStr">
        <is>
          <t>70代以上</t>
        </is>
      </c>
    </row>
    <row r="66">
      <c r="A66" s="6" t="inlineStr">
        <is>
          <t>全体</t>
        </is>
      </c>
      <c r="B66" s="12" t="n">
        <v>1.5</v>
      </c>
      <c r="C66" s="12" t="n">
        <v>17.8</v>
      </c>
      <c r="D66" s="12" t="n">
        <v>18.6</v>
      </c>
      <c r="E66" s="12" t="n">
        <v>26.9</v>
      </c>
      <c r="F66" s="12" t="n">
        <v>20.1</v>
      </c>
      <c r="G66" s="12" t="n">
        <v>13</v>
      </c>
      <c r="H66" s="12" t="n">
        <v>2.1</v>
      </c>
    </row>
    <row r="67">
      <c r="A67" s="6" t="inlineStr">
        <is>
          <t>施設・居住系サービス</t>
        </is>
      </c>
      <c r="B67" s="12" t="n">
        <v>1.6</v>
      </c>
      <c r="C67" s="12" t="n">
        <v>17.9</v>
      </c>
      <c r="D67" s="12" t="n">
        <v>18.2</v>
      </c>
      <c r="E67" s="12" t="n">
        <v>26.4</v>
      </c>
      <c r="F67" s="12" t="n">
        <v>20.1</v>
      </c>
      <c r="G67" s="12" t="n">
        <v>13.5</v>
      </c>
      <c r="H67" s="12" t="n">
        <v>2.2</v>
      </c>
    </row>
    <row r="68">
      <c r="A68" s="6" t="inlineStr">
        <is>
          <t>通所系サービス</t>
        </is>
      </c>
      <c r="B68" s="12" t="n">
        <v>0</v>
      </c>
      <c r="C68" s="12" t="n">
        <v>15</v>
      </c>
      <c r="D68" s="12" t="n">
        <v>25</v>
      </c>
      <c r="E68" s="12" t="n">
        <v>35</v>
      </c>
      <c r="F68" s="12" t="n">
        <v>20</v>
      </c>
      <c r="G68" s="12" t="n">
        <v>5</v>
      </c>
      <c r="H68" s="12" t="n">
        <v>0</v>
      </c>
    </row>
    <row r="70">
      <c r="A70" s="8" t="inlineStr">
        <is>
          <t>（3）③ 全職員の在職年数（介護保険サービス系列別・単位：％）</t>
        </is>
      </c>
    </row>
    <row r="71">
      <c r="A71" s="5" t="inlineStr">
        <is>
          <t>区分</t>
        </is>
      </c>
      <c r="B71" s="5" t="inlineStr">
        <is>
          <t>1年未満</t>
        </is>
      </c>
      <c r="C71" s="5" t="inlineStr">
        <is>
          <t>1年以上</t>
        </is>
      </c>
    </row>
    <row r="72">
      <c r="A72" s="6" t="inlineStr">
        <is>
          <t>全体</t>
        </is>
      </c>
      <c r="B72" s="12" t="n">
        <v>15.2</v>
      </c>
      <c r="C72" s="12" t="n">
        <v>84.8</v>
      </c>
    </row>
    <row r="73">
      <c r="A73" s="6" t="inlineStr">
        <is>
          <t>施設・居住系サービス</t>
        </is>
      </c>
      <c r="B73" s="12" t="n">
        <v>14.9</v>
      </c>
      <c r="C73" s="12" t="n">
        <v>85.09999999999999</v>
      </c>
    </row>
    <row r="74">
      <c r="A74" s="6" t="inlineStr">
        <is>
          <t>通所系サービス</t>
        </is>
      </c>
      <c r="B74" s="12" t="n">
        <v>20</v>
      </c>
      <c r="C74" s="12" t="n">
        <v>80</v>
      </c>
    </row>
    <row r="76" ht="26" customHeight="1">
      <c r="A76" s="4" t="inlineStr">
        <is>
          <t>注）全体では「40代」が26.9％で最も高く、次いで「50代」20.1％。全てのサービス系列で「20歳未満」が最も少ない。在職年数は全てのサービス系列で「1年以上」が80％を超えている（第9期計画 第2章第5節(3)）。</t>
        </is>
      </c>
    </row>
    <row r="78">
      <c r="A78" s="8" t="inlineStr">
        <is>
          <t>（3）④ 現在の施設等に勤務する直前の職場（在職1年未満の56人・単位：％）</t>
        </is>
      </c>
    </row>
    <row r="79">
      <c r="A79" s="5" t="inlineStr">
        <is>
          <t>区分</t>
        </is>
      </c>
      <c r="B79" s="5" t="inlineStr">
        <is>
          <t>構成比</t>
        </is>
      </c>
    </row>
    <row r="80">
      <c r="A80" s="6" t="inlineStr">
        <is>
          <t>現在の職場が初めての勤務先</t>
        </is>
      </c>
      <c r="B80" s="12" t="n">
        <v>16.1</v>
      </c>
    </row>
    <row r="81">
      <c r="A81" s="6" t="inlineStr">
        <is>
          <t>介護以外の職場</t>
        </is>
      </c>
      <c r="B81" s="12" t="n">
        <v>26.8</v>
      </c>
    </row>
    <row r="82">
      <c r="A82" s="6" t="inlineStr">
        <is>
          <t>特養、老健、療養型・介護医療院、ショートステイ、グループホーム、特定施設</t>
        </is>
      </c>
      <c r="B82" s="12" t="n">
        <v>37.5</v>
      </c>
    </row>
    <row r="83">
      <c r="A83" s="6" t="inlineStr">
        <is>
          <t>訪問介護・入浴、夜間対応型</t>
        </is>
      </c>
      <c r="B83" s="13" t="n"/>
    </row>
    <row r="84">
      <c r="A84" s="6" t="inlineStr">
        <is>
          <t>小多機、看多機、定期巡回</t>
        </is>
      </c>
      <c r="B84" s="13" t="n"/>
    </row>
    <row r="85">
      <c r="A85" s="6" t="inlineStr">
        <is>
          <t>通所介護、通所リハ、認知症デイ</t>
        </is>
      </c>
      <c r="B85" s="12" t="n">
        <v>1.8</v>
      </c>
    </row>
    <row r="86">
      <c r="A86" s="6" t="inlineStr">
        <is>
          <t>住宅型有料、サ高住（特定施設以外）</t>
        </is>
      </c>
      <c r="B86" s="12" t="n">
        <v>7.1</v>
      </c>
    </row>
    <row r="87">
      <c r="A87" s="6" t="inlineStr">
        <is>
          <t>その他の介護サービス</t>
        </is>
      </c>
      <c r="B87" s="12" t="n">
        <v>1.8</v>
      </c>
    </row>
    <row r="89" ht="26" customHeight="1">
      <c r="A89" s="4" t="inlineStr">
        <is>
          <t>注）「特養、老健、療養型・介護医療院、ショートステイ、グループホーム、特定施設」が37.5％で最も多く、次いで「介護以外の職場」26.8％。「現在の職場が初めての勤務先」16.1％と合わせると42.9％が介護職未経験からの入職。淡黄色の2区分は原典の図から数値を復元できなかった（他6区分の合計91.1％との差8.9％＝5人分・00_凡例・出典 4-10）。</t>
        </is>
      </c>
    </row>
    <row r="91">
      <c r="A91" s="8" t="inlineStr">
        <is>
          <t>（3）④ 直前が介護の職場だった方の内訳（32人・単位：％）</t>
        </is>
      </c>
    </row>
    <row r="92">
      <c r="A92" s="5" t="inlineStr">
        <is>
          <t>区分</t>
        </is>
      </c>
      <c r="B92" s="5" t="inlineStr">
        <is>
          <t>同一</t>
        </is>
      </c>
      <c r="C92" s="5" t="inlineStr">
        <is>
          <t>別</t>
        </is>
      </c>
      <c r="D92" s="5" t="inlineStr">
        <is>
          <t>無回答</t>
        </is>
      </c>
    </row>
    <row r="93">
      <c r="A93" s="6" t="inlineStr">
        <is>
          <t>市区町村</t>
        </is>
      </c>
      <c r="B93" s="12" t="n">
        <v>28.1</v>
      </c>
      <c r="C93" s="12" t="n">
        <v>62.5</v>
      </c>
      <c r="D93" s="12" t="n">
        <v>9.4</v>
      </c>
    </row>
    <row r="94">
      <c r="A94" s="6" t="inlineStr">
        <is>
          <t>法人・グループ</t>
        </is>
      </c>
      <c r="B94" s="12" t="n">
        <v>25</v>
      </c>
      <c r="C94" s="12" t="n">
        <v>65.59999999999999</v>
      </c>
      <c r="D94" s="12" t="n">
        <v>9.4</v>
      </c>
    </row>
    <row r="96" ht="26" customHeight="1">
      <c r="A96" s="4" t="inlineStr">
        <is>
          <t>注）直前の職場が介護の職場だった方のうち、市区町村は「別の市区町村内」62.5％が「同一の市区町村内」28.1％を上回り、法人も「別の法人・グループ」65.6％が「同一の法人・グループ」25.0％を上回る。圏域外・法人外からの人材流入が中心。</t>
        </is>
      </c>
    </row>
    <row r="98">
      <c r="A98" s="8" t="inlineStr">
        <is>
          <t>（4）資格の取得・研修の修了の状況（単位：％）</t>
        </is>
      </c>
    </row>
    <row r="99">
      <c r="A99" s="5" t="inlineStr">
        <is>
          <t>区分</t>
        </is>
      </c>
      <c r="B99" s="5" t="inlineStr">
        <is>
          <t>構成比</t>
        </is>
      </c>
    </row>
    <row r="100">
      <c r="A100" s="6" t="inlineStr">
        <is>
          <t>介護福祉士（認定介護福祉士含む）</t>
        </is>
      </c>
      <c r="B100" s="12" t="n">
        <v>64</v>
      </c>
    </row>
    <row r="101">
      <c r="A101" s="6" t="inlineStr">
        <is>
          <t>介護職員実務者研修修了、または(旧)介護職員基礎研修修了、または(旧)ヘルパー1級</t>
        </is>
      </c>
      <c r="B101" s="12" t="n">
        <v>3</v>
      </c>
    </row>
    <row r="102">
      <c r="A102" s="6" t="inlineStr">
        <is>
          <t>介護職員初任者研修修了、または(旧)ヘルパー2級</t>
        </is>
      </c>
      <c r="B102" s="12" t="n">
        <v>13.6</v>
      </c>
    </row>
    <row r="103">
      <c r="A103" s="6" t="inlineStr">
        <is>
          <t>上記のいずれも該当しない</t>
        </is>
      </c>
      <c r="B103" s="12" t="n">
        <v>19.5</v>
      </c>
    </row>
    <row r="105">
      <c r="A105" s="8" t="inlineStr">
        <is>
          <t>（5）① 過去1年間の採用者数・離職者数（単位：人）</t>
        </is>
      </c>
    </row>
    <row r="106">
      <c r="A106" s="5" t="inlineStr">
        <is>
          <t>区分</t>
        </is>
      </c>
      <c r="B106" s="5" t="inlineStr">
        <is>
          <t>人数</t>
        </is>
      </c>
    </row>
    <row r="107">
      <c r="A107" s="6" t="inlineStr">
        <is>
          <t>過去1年の介護職員の採用者数</t>
        </is>
      </c>
      <c r="B107" s="9" t="n">
        <v>80</v>
      </c>
    </row>
    <row r="108">
      <c r="A108" s="6" t="inlineStr">
        <is>
          <t>過去1年の介護職員の離職者数</t>
        </is>
      </c>
      <c r="B108" s="9" t="n">
        <v>74</v>
      </c>
    </row>
    <row r="110">
      <c r="A110" s="8" t="inlineStr">
        <is>
          <t>（5）② サービス別の採用者数・退職者数（単位：人）</t>
        </is>
      </c>
    </row>
    <row r="111">
      <c r="A111" s="5" t="inlineStr">
        <is>
          <t>区分</t>
        </is>
      </c>
      <c r="B111" s="5" t="inlineStr">
        <is>
          <t>採用（正規）</t>
        </is>
      </c>
      <c r="C111" s="5" t="inlineStr">
        <is>
          <t>採用（非正規）</t>
        </is>
      </c>
      <c r="D111" s="5" t="inlineStr">
        <is>
          <t>退職（正規）</t>
        </is>
      </c>
      <c r="E111" s="5" t="inlineStr">
        <is>
          <t>退職（非正規）</t>
        </is>
      </c>
    </row>
    <row r="112">
      <c r="A112" s="6" t="inlineStr">
        <is>
          <t>施設・居住系サービス</t>
        </is>
      </c>
      <c r="B112" s="9" t="n">
        <v>42</v>
      </c>
      <c r="C112" s="9" t="n">
        <v>15</v>
      </c>
      <c r="D112" s="9" t="n">
        <v>42</v>
      </c>
      <c r="E112" s="9" t="n">
        <v>15</v>
      </c>
    </row>
    <row r="113">
      <c r="A113" s="6" t="inlineStr">
        <is>
          <t>通所系サービス</t>
        </is>
      </c>
      <c r="B113" s="9" t="n">
        <v>4</v>
      </c>
      <c r="C113" s="9" t="n">
        <v>3</v>
      </c>
      <c r="D113" s="9" t="n">
        <v>3</v>
      </c>
      <c r="E113" s="9" t="n">
        <v>4</v>
      </c>
    </row>
    <row r="114">
      <c r="A114" s="6" t="inlineStr">
        <is>
          <t>無回答</t>
        </is>
      </c>
      <c r="B114" s="9" t="n">
        <v>6</v>
      </c>
      <c r="C114" s="9" t="n">
        <v>2</v>
      </c>
      <c r="D114" s="9" t="n">
        <v>8</v>
      </c>
      <c r="E114" s="9" t="n">
        <v>0</v>
      </c>
    </row>
    <row r="115">
      <c r="A115" s="6" t="inlineStr">
        <is>
          <t>合計</t>
        </is>
      </c>
      <c r="B115" s="11">
        <f>SUM(B112:B114)</f>
        <v/>
      </c>
      <c r="C115" s="11">
        <f>SUM(C112:C114)</f>
        <v/>
      </c>
      <c r="D115" s="11">
        <f>SUM(D112:D114)</f>
        <v/>
      </c>
      <c r="E115" s="11">
        <f>SUM(E112:E114)</f>
        <v/>
      </c>
    </row>
    <row r="117">
      <c r="A117" s="8" t="inlineStr">
        <is>
          <t>（5）③ 年齢別の採用者数・退職者数（単位：人）</t>
        </is>
      </c>
    </row>
    <row r="118">
      <c r="A118" s="5" t="inlineStr">
        <is>
          <t>区分</t>
        </is>
      </c>
      <c r="B118" s="5" t="inlineStr">
        <is>
          <t>採用（正規）</t>
        </is>
      </c>
      <c r="C118" s="5" t="inlineStr">
        <is>
          <t>採用（非正規）</t>
        </is>
      </c>
      <c r="D118" s="5" t="inlineStr">
        <is>
          <t>退職（正規）</t>
        </is>
      </c>
      <c r="E118" s="5" t="inlineStr">
        <is>
          <t>退職（非正規）</t>
        </is>
      </c>
    </row>
    <row r="119">
      <c r="A119" s="6" t="inlineStr">
        <is>
          <t>20歳未満</t>
        </is>
      </c>
      <c r="B119" s="9" t="n">
        <v>3</v>
      </c>
      <c r="C119" s="9" t="n">
        <v>0</v>
      </c>
      <c r="D119" s="9" t="n">
        <v>1</v>
      </c>
      <c r="E119" s="9" t="n">
        <v>0</v>
      </c>
    </row>
    <row r="120">
      <c r="A120" s="6" t="inlineStr">
        <is>
          <t>20代</t>
        </is>
      </c>
      <c r="B120" s="9" t="n">
        <v>19</v>
      </c>
      <c r="C120" s="9" t="n">
        <v>4</v>
      </c>
      <c r="D120" s="9" t="n">
        <v>13</v>
      </c>
      <c r="E120" s="9" t="n">
        <v>2</v>
      </c>
    </row>
    <row r="121">
      <c r="A121" s="6" t="inlineStr">
        <is>
          <t>30代</t>
        </is>
      </c>
      <c r="B121" s="9" t="n">
        <v>11</v>
      </c>
      <c r="C121" s="9" t="n">
        <v>3</v>
      </c>
      <c r="D121" s="9" t="n">
        <v>10</v>
      </c>
      <c r="E121" s="9" t="n">
        <v>1</v>
      </c>
    </row>
    <row r="122">
      <c r="A122" s="6" t="inlineStr">
        <is>
          <t>40代</t>
        </is>
      </c>
      <c r="B122" s="9" t="n">
        <v>7</v>
      </c>
      <c r="C122" s="9" t="n">
        <v>6</v>
      </c>
      <c r="D122" s="9" t="n">
        <v>10</v>
      </c>
      <c r="E122" s="9" t="n">
        <v>8</v>
      </c>
    </row>
    <row r="123">
      <c r="A123" s="6" t="inlineStr">
        <is>
          <t>50代</t>
        </is>
      </c>
      <c r="B123" s="9" t="n">
        <v>8</v>
      </c>
      <c r="C123" s="9" t="n">
        <v>4</v>
      </c>
      <c r="D123" s="9" t="n">
        <v>12</v>
      </c>
      <c r="E123" s="9" t="n">
        <v>4</v>
      </c>
    </row>
    <row r="124">
      <c r="A124" s="6" t="inlineStr">
        <is>
          <t>60代</t>
        </is>
      </c>
      <c r="B124" s="9" t="n">
        <v>4</v>
      </c>
      <c r="C124" s="9" t="n">
        <v>3</v>
      </c>
      <c r="D124" s="9" t="n">
        <v>6</v>
      </c>
      <c r="E124" s="9" t="n">
        <v>4</v>
      </c>
    </row>
    <row r="125">
      <c r="A125" s="6" t="inlineStr">
        <is>
          <t>70代以上</t>
        </is>
      </c>
      <c r="B125" s="9" t="n">
        <v>0</v>
      </c>
      <c r="C125" s="9" t="n">
        <v>0</v>
      </c>
      <c r="D125" s="9" t="n">
        <v>0</v>
      </c>
      <c r="E125" s="9" t="n">
        <v>3</v>
      </c>
    </row>
    <row r="126">
      <c r="A126" s="6" t="inlineStr">
        <is>
          <t>合計</t>
        </is>
      </c>
      <c r="B126" s="11">
        <f>SUM(B119:B125)</f>
        <v/>
      </c>
      <c r="C126" s="11">
        <f>SUM(C119:C125)</f>
        <v/>
      </c>
      <c r="D126" s="11">
        <f>SUM(D119:D125)</f>
        <v/>
      </c>
      <c r="E126" s="11">
        <f>SUM(E119:E125)</f>
        <v/>
      </c>
    </row>
    <row r="127">
      <c r="A127" s="22" t="inlineStr">
        <is>
          <t>30代以下の正規採用者が正規採用者に占める割合（％）</t>
        </is>
      </c>
      <c r="B127" s="23">
        <f>SUM(B119:B121)/B126*100</f>
        <v/>
      </c>
    </row>
    <row r="129" ht="26" customHeight="1">
      <c r="A129" s="4" t="inlineStr">
        <is>
          <t>注）（5）②の退職者合計（正規53・非正規19）と（5）③の退職者合計（正規52・非正規22）は一致しない。原典の注記のとおり、内訳が不明な人を除いているため①の80人・74人とも一致しない。30代以下の正規採用者は33人で正規採用者52人の63.5％を占め、第9期計画 第2章第6節4の記載と一致する。</t>
        </is>
      </c>
    </row>
    <row r="131">
      <c r="A131" s="8" t="inlineStr">
        <is>
          <t>（6）過去1週間の勤務時間（単位：％）</t>
        </is>
      </c>
    </row>
    <row r="132">
      <c r="A132" s="5" t="inlineStr">
        <is>
          <t>区分</t>
        </is>
      </c>
      <c r="B132" s="5" t="inlineStr">
        <is>
          <t>構成比</t>
        </is>
      </c>
    </row>
    <row r="133">
      <c r="A133" s="6" t="inlineStr">
        <is>
          <t>5時間未満</t>
        </is>
      </c>
      <c r="B133" s="12" t="n">
        <v>1.5</v>
      </c>
    </row>
    <row r="134">
      <c r="A134" s="6" t="inlineStr">
        <is>
          <t>5時間以上10時間未満</t>
        </is>
      </c>
      <c r="B134" s="12" t="n">
        <v>2.7</v>
      </c>
    </row>
    <row r="135">
      <c r="A135" s="6" t="inlineStr">
        <is>
          <t>10時間以上15時間未満</t>
        </is>
      </c>
      <c r="B135" s="12" t="n">
        <v>3</v>
      </c>
    </row>
    <row r="136">
      <c r="A136" s="6" t="inlineStr">
        <is>
          <t>15時間以上20時間未満</t>
        </is>
      </c>
      <c r="B136" s="12" t="n">
        <v>3</v>
      </c>
    </row>
    <row r="137">
      <c r="A137" s="6" t="inlineStr">
        <is>
          <t>20時間以上25時間未満</t>
        </is>
      </c>
      <c r="B137" s="12" t="n">
        <v>7.4</v>
      </c>
    </row>
    <row r="138">
      <c r="A138" s="6" t="inlineStr">
        <is>
          <t>25時間以上30時間未満</t>
        </is>
      </c>
      <c r="B138" s="12" t="n">
        <v>1.7</v>
      </c>
    </row>
    <row r="139">
      <c r="A139" s="6" t="inlineStr">
        <is>
          <t>30時間以上35時間未満</t>
        </is>
      </c>
      <c r="B139" s="12" t="n">
        <v>9.1</v>
      </c>
    </row>
    <row r="140">
      <c r="A140" s="6" t="inlineStr">
        <is>
          <t>35時間以上40時間未満</t>
        </is>
      </c>
      <c r="B140" s="12" t="n">
        <v>11.6</v>
      </c>
    </row>
    <row r="141">
      <c r="A141" s="6" t="inlineStr">
        <is>
          <t>40時間以上45時間未満</t>
        </is>
      </c>
      <c r="B141" s="12" t="n">
        <v>46.9</v>
      </c>
    </row>
    <row r="142">
      <c r="A142" s="6" t="inlineStr">
        <is>
          <t>45時間以上50時間未満</t>
        </is>
      </c>
      <c r="B142" s="12" t="n">
        <v>4.9</v>
      </c>
    </row>
    <row r="143">
      <c r="A143" s="6" t="inlineStr">
        <is>
          <t>50時間以上</t>
        </is>
      </c>
      <c r="B143" s="12" t="n">
        <v>0.7</v>
      </c>
    </row>
    <row r="144">
      <c r="A144" s="6" t="inlineStr">
        <is>
          <t>不明</t>
        </is>
      </c>
      <c r="B144" s="12" t="n">
        <v>7.4</v>
      </c>
    </row>
    <row r="146" ht="26" customHeight="1">
      <c r="A146" s="4" t="inlineStr">
        <is>
          <t>注）「40時間以上45時間未満」が46.9％で最も高く、次いで「35時間以上40時間未満」11.6％。一方で30時間未満が19.3％を占めており、短時間勤務者の比率が高い（第9期計画 第2章第5節(6)）。</t>
        </is>
      </c>
    </row>
  </sheetData>
  <mergeCells count="10">
    <mergeCell ref="A76:M76"/>
    <mergeCell ref="A45:M45"/>
    <mergeCell ref="A37:M37"/>
    <mergeCell ref="A89:M89"/>
    <mergeCell ref="A2:H2"/>
    <mergeCell ref="A17:M17"/>
    <mergeCell ref="A146:M146"/>
    <mergeCell ref="A1:H1"/>
    <mergeCell ref="A96:M96"/>
    <mergeCell ref="A129:M129"/>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s>
  <sheetData>
    <row r="1" ht="24" customHeight="1">
      <c r="A1" s="1" t="inlineStr">
        <is>
          <t>図13　高齢者の年齢構成と85歳以上人口の推移</t>
        </is>
      </c>
    </row>
    <row r="2" ht="16" customHeight="1">
      <c r="A2" s="2" t="inlineStr">
        <is>
          <t>資料：地域包括ケア「見える化」システム A3・A4（総務省国勢調査＋国立社会保障・人口問題研究所推計／取得日 令和8年7月22日）／単位：人。第9期計画の図1・図2は住民基本台帳ベースで基準が異なる（00_凡例・出典 4-11）</t>
        </is>
      </c>
    </row>
    <row r="4">
      <c r="A4" s="8" t="inlineStr">
        <is>
          <t>（1）高齢者の年齢構成（5歳階級別）</t>
        </is>
      </c>
    </row>
    <row r="5">
      <c r="A5" s="5" t="inlineStr">
        <is>
          <t>区分</t>
        </is>
      </c>
      <c r="B5" s="5" t="inlineStr">
        <is>
          <t>2015年</t>
        </is>
      </c>
      <c r="C5" s="5" t="inlineStr">
        <is>
          <t>2020年</t>
        </is>
      </c>
      <c r="D5" s="5" t="inlineStr">
        <is>
          <t>2025年</t>
        </is>
      </c>
      <c r="E5" s="5" t="inlineStr">
        <is>
          <t>2030年</t>
        </is>
      </c>
      <c r="F5" s="5" t="inlineStr">
        <is>
          <t>2035年</t>
        </is>
      </c>
      <c r="G5" s="5" t="inlineStr">
        <is>
          <t>2040年</t>
        </is>
      </c>
      <c r="H5" s="5" t="inlineStr">
        <is>
          <t>2045年</t>
        </is>
      </c>
      <c r="I5" s="5" t="inlineStr">
        <is>
          <t>2050年</t>
        </is>
      </c>
    </row>
    <row r="6">
      <c r="A6" s="6" t="inlineStr">
        <is>
          <t>65～69歳</t>
        </is>
      </c>
      <c r="B6" s="9" t="n">
        <v>2289</v>
      </c>
      <c r="C6" s="9" t="n">
        <v>2062</v>
      </c>
      <c r="D6" s="9" t="n">
        <v>1673</v>
      </c>
      <c r="E6" s="9" t="n">
        <v>1784</v>
      </c>
      <c r="F6" s="9" t="n">
        <v>1884</v>
      </c>
      <c r="G6" s="9" t="n">
        <v>2082</v>
      </c>
      <c r="H6" s="9" t="n">
        <v>1778</v>
      </c>
      <c r="I6" s="9" t="n">
        <v>1548</v>
      </c>
    </row>
    <row r="7">
      <c r="A7" s="6" t="inlineStr">
        <is>
          <t>70～74歳</t>
        </is>
      </c>
      <c r="B7" s="9" t="n">
        <v>1843</v>
      </c>
      <c r="C7" s="9" t="n">
        <v>2208</v>
      </c>
      <c r="D7" s="9" t="n">
        <v>1949</v>
      </c>
      <c r="E7" s="9" t="n">
        <v>1589</v>
      </c>
      <c r="F7" s="9" t="n">
        <v>1701</v>
      </c>
      <c r="G7" s="9" t="n">
        <v>1803</v>
      </c>
      <c r="H7" s="9" t="n">
        <v>1998</v>
      </c>
      <c r="I7" s="9" t="n">
        <v>1713</v>
      </c>
    </row>
    <row r="8">
      <c r="A8" s="6" t="inlineStr">
        <is>
          <t>75～79歳</t>
        </is>
      </c>
      <c r="B8" s="9" t="n">
        <v>1700</v>
      </c>
      <c r="C8" s="9" t="n">
        <v>1702</v>
      </c>
      <c r="D8" s="9" t="n">
        <v>2044</v>
      </c>
      <c r="E8" s="9" t="n">
        <v>1815</v>
      </c>
      <c r="F8" s="9" t="n">
        <v>1482</v>
      </c>
      <c r="G8" s="9" t="n">
        <v>1592</v>
      </c>
      <c r="H8" s="9" t="n">
        <v>1695</v>
      </c>
      <c r="I8" s="9" t="n">
        <v>1884</v>
      </c>
    </row>
    <row r="9">
      <c r="A9" s="6" t="inlineStr">
        <is>
          <t>80～84歳</t>
        </is>
      </c>
      <c r="B9" s="9" t="n">
        <v>1496</v>
      </c>
      <c r="C9" s="9" t="n">
        <v>1488</v>
      </c>
      <c r="D9" s="9" t="n">
        <v>1490</v>
      </c>
      <c r="E9" s="9" t="n">
        <v>1843</v>
      </c>
      <c r="F9" s="9" t="n">
        <v>1638</v>
      </c>
      <c r="G9" s="9" t="n">
        <v>1346</v>
      </c>
      <c r="H9" s="9" t="n">
        <v>1455</v>
      </c>
      <c r="I9" s="9" t="n">
        <v>1560</v>
      </c>
    </row>
    <row r="10">
      <c r="A10" s="6" t="inlineStr">
        <is>
          <t>85～89歳</t>
        </is>
      </c>
      <c r="B10" s="9" t="n">
        <v>998</v>
      </c>
      <c r="C10" s="9" t="n">
        <v>1157</v>
      </c>
      <c r="D10" s="9" t="n">
        <v>1164</v>
      </c>
      <c r="E10" s="9" t="n">
        <v>1182</v>
      </c>
      <c r="F10" s="9" t="n">
        <v>1512</v>
      </c>
      <c r="G10" s="9" t="n">
        <v>1339</v>
      </c>
      <c r="H10" s="9" t="n">
        <v>1110</v>
      </c>
      <c r="I10" s="9" t="n">
        <v>1212</v>
      </c>
    </row>
    <row r="11">
      <c r="A11" s="6" t="inlineStr">
        <is>
          <t>90歳以上</t>
        </is>
      </c>
      <c r="B11" s="9" t="n">
        <v>629</v>
      </c>
      <c r="C11" s="9" t="n">
        <v>820</v>
      </c>
      <c r="D11" s="9" t="n">
        <v>1003</v>
      </c>
      <c r="E11" s="9" t="n">
        <v>1097</v>
      </c>
      <c r="F11" s="9" t="n">
        <v>1161</v>
      </c>
      <c r="G11" s="9" t="n">
        <v>1471</v>
      </c>
      <c r="H11" s="9" t="n">
        <v>1486</v>
      </c>
      <c r="I11" s="9" t="n">
        <v>1322</v>
      </c>
    </row>
    <row r="12">
      <c r="A12" s="6" t="inlineStr">
        <is>
          <t>合計</t>
        </is>
      </c>
      <c r="B12" s="11">
        <f>SUM(B6:B11)</f>
        <v/>
      </c>
      <c r="C12" s="11">
        <f>SUM(C6:C11)</f>
        <v/>
      </c>
      <c r="D12" s="11">
        <f>SUM(D6:D11)</f>
        <v/>
      </c>
      <c r="E12" s="11">
        <f>SUM(E6:E11)</f>
        <v/>
      </c>
      <c r="F12" s="11">
        <f>SUM(F6:F11)</f>
        <v/>
      </c>
      <c r="G12" s="11">
        <f>SUM(G6:G11)</f>
        <v/>
      </c>
      <c r="H12" s="11">
        <f>SUM(H6:H11)</f>
        <v/>
      </c>
      <c r="I12" s="11">
        <f>SUM(I6:I11)</f>
        <v/>
      </c>
    </row>
    <row r="14">
      <c r="A14" s="8" t="inlineStr">
        <is>
          <t>（2）85歳以上人口・前期後期別高齢者数</t>
        </is>
      </c>
    </row>
    <row r="15">
      <c r="A15" s="5" t="inlineStr">
        <is>
          <t>区分</t>
        </is>
      </c>
      <c r="B15" s="5" t="inlineStr">
        <is>
          <t>2015年</t>
        </is>
      </c>
      <c r="C15" s="5" t="inlineStr">
        <is>
          <t>2020年</t>
        </is>
      </c>
      <c r="D15" s="5" t="inlineStr">
        <is>
          <t>2025年</t>
        </is>
      </c>
      <c r="E15" s="5" t="inlineStr">
        <is>
          <t>2030年</t>
        </is>
      </c>
      <c r="F15" s="5" t="inlineStr">
        <is>
          <t>2035年</t>
        </is>
      </c>
      <c r="G15" s="5" t="inlineStr">
        <is>
          <t>2040年</t>
        </is>
      </c>
      <c r="H15" s="5" t="inlineStr">
        <is>
          <t>2045年</t>
        </is>
      </c>
      <c r="I15" s="5" t="inlineStr">
        <is>
          <t>2050年</t>
        </is>
      </c>
    </row>
    <row r="16">
      <c r="A16" s="6" t="inlineStr">
        <is>
          <t>85歳以上（再掲）</t>
        </is>
      </c>
      <c r="B16" s="9">
        <f>B10+B11</f>
        <v/>
      </c>
      <c r="C16" s="9">
        <f>C10+C11</f>
        <v/>
      </c>
      <c r="D16" s="9">
        <f>D10+D11</f>
        <v/>
      </c>
      <c r="E16" s="9">
        <f>E10+E11</f>
        <v/>
      </c>
      <c r="F16" s="9">
        <f>F10+F11</f>
        <v/>
      </c>
      <c r="G16" s="9">
        <f>G10+G11</f>
        <v/>
      </c>
      <c r="H16" s="9">
        <f>H10+H11</f>
        <v/>
      </c>
      <c r="I16" s="9">
        <f>I10+I11</f>
        <v/>
      </c>
    </row>
    <row r="17">
      <c r="A17" s="6" t="inlineStr">
        <is>
          <t>前期高齢者（65～74歳）</t>
        </is>
      </c>
      <c r="B17" s="9" t="n">
        <v>4132</v>
      </c>
      <c r="C17" s="9" t="n">
        <v>4270</v>
      </c>
      <c r="D17" s="9" t="n">
        <v>3622</v>
      </c>
      <c r="E17" s="9" t="n">
        <v>3373</v>
      </c>
      <c r="F17" s="9" t="n">
        <v>3585</v>
      </c>
      <c r="G17" s="9" t="n">
        <v>3885</v>
      </c>
      <c r="H17" s="9" t="n">
        <v>3776</v>
      </c>
      <c r="I17" s="9" t="n">
        <v>3261</v>
      </c>
    </row>
    <row r="18">
      <c r="A18" s="6" t="inlineStr">
        <is>
          <t>後期高齢者（75歳以上）</t>
        </is>
      </c>
      <c r="B18" s="9" t="n">
        <v>4823</v>
      </c>
      <c r="C18" s="9" t="n">
        <v>5167</v>
      </c>
      <c r="D18" s="9" t="n">
        <v>5701</v>
      </c>
      <c r="E18" s="9" t="n">
        <v>5937</v>
      </c>
      <c r="F18" s="9" t="n">
        <v>5793</v>
      </c>
      <c r="G18" s="9" t="n">
        <v>5748</v>
      </c>
      <c r="H18" s="9" t="n">
        <v>5746</v>
      </c>
      <c r="I18" s="9" t="n">
        <v>5978</v>
      </c>
    </row>
    <row r="20" ht="26" customHeight="1">
      <c r="A20" s="4" t="inlineStr">
        <is>
          <t>注1）85歳以上は「85～89歳」と「90歳以上」の合計。2035年2,673人・2040年2,810人・2050年2,534人は第10期計画素案第9稿 表8（令和17・22・32年度）の掲載値と一致する。注2）総人口が減少する一方、85歳以上人口は2040年まで増加し2015年比で1.7倍となる。90歳以上は629人から1,471人へ2.3倍に増加する。注3）本表は国勢調査・社人研推計ベース。第9期計画の図1・図2（住民基本台帳ベース）とは基準が異なるため接続していない。</t>
        </is>
      </c>
    </row>
  </sheetData>
  <mergeCells count="3">
    <mergeCell ref="A20:M20"/>
    <mergeCell ref="A1:J1"/>
    <mergeCell ref="A2:J2"/>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N34"/>
  <sheetViews>
    <sheetView workbookViewId="0">
      <selection activeCell="A1" sqref="A1"/>
    </sheetView>
  </sheetViews>
  <sheetFormatPr baseColWidth="8" defaultRowHeight="15"/>
  <cols>
    <col width="22"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s>
  <sheetData>
    <row r="1" ht="24" customHeight="1">
      <c r="A1" s="1" t="inlineStr">
        <is>
          <t>図14　受給者1人あたり利用日数・回数の推移</t>
        </is>
      </c>
    </row>
    <row r="2" ht="16" customHeight="1">
      <c r="A2" s="2" t="inlineStr">
        <is>
          <t>資料：地域包括ケア「見える化」システム D31-a〜j（取得日 令和8年7月22日）／R6は令和7年2月、R7は令和8年1月のサービス提供分まで／単位：訪問系は回、通所系は日</t>
        </is>
      </c>
    </row>
    <row r="4">
      <c r="A4" s="8" t="inlineStr">
        <is>
          <t>訪問介護（回）</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c r="M5" s="5" t="inlineStr">
        <is>
          <t>R7</t>
        </is>
      </c>
    </row>
    <row r="6">
      <c r="A6" s="6" t="inlineStr">
        <is>
          <t>大雪地区広域連合</t>
        </is>
      </c>
      <c r="B6" s="12" t="n">
        <v>22.1</v>
      </c>
      <c r="C6" s="12" t="n">
        <v>22.7</v>
      </c>
      <c r="D6" s="12" t="n">
        <v>25.5</v>
      </c>
      <c r="E6" s="12" t="n">
        <v>32.2</v>
      </c>
      <c r="F6" s="12" t="n">
        <v>38.8</v>
      </c>
      <c r="G6" s="12" t="n">
        <v>39.7</v>
      </c>
      <c r="H6" s="12" t="n">
        <v>42.4</v>
      </c>
      <c r="I6" s="12" t="n">
        <v>44.7</v>
      </c>
      <c r="J6" s="12" t="n">
        <v>45.6</v>
      </c>
      <c r="K6" s="12" t="n">
        <v>47</v>
      </c>
      <c r="L6" s="12" t="n">
        <v>50.9</v>
      </c>
      <c r="M6" s="12" t="n">
        <v>55.4</v>
      </c>
    </row>
    <row r="7">
      <c r="A7" s="6" t="inlineStr">
        <is>
          <t>北海道</t>
        </is>
      </c>
      <c r="B7" s="12" t="n">
        <v>13.4</v>
      </c>
      <c r="C7" s="12" t="n">
        <v>14.4</v>
      </c>
      <c r="D7" s="12" t="n">
        <v>15.6</v>
      </c>
      <c r="E7" s="12" t="n">
        <v>19.6</v>
      </c>
      <c r="F7" s="12" t="n">
        <v>23.4</v>
      </c>
      <c r="G7" s="12" t="n">
        <v>23.9</v>
      </c>
      <c r="H7" s="12" t="n">
        <v>25.2</v>
      </c>
      <c r="I7" s="12" t="n">
        <v>25.9</v>
      </c>
      <c r="J7" s="12" t="n">
        <v>26.4</v>
      </c>
      <c r="K7" s="12" t="n">
        <v>27.3</v>
      </c>
      <c r="L7" s="12" t="n">
        <v>28.7</v>
      </c>
      <c r="M7" s="12" t="n">
        <v>29.9</v>
      </c>
    </row>
    <row r="8">
      <c r="A8" s="6" t="inlineStr">
        <is>
          <t>全国</t>
        </is>
      </c>
      <c r="B8" s="12" t="n">
        <v>14.6</v>
      </c>
      <c r="C8" s="12" t="n">
        <v>15.4</v>
      </c>
      <c r="D8" s="12" t="n">
        <v>16.8</v>
      </c>
      <c r="E8" s="12" t="n">
        <v>20.9</v>
      </c>
      <c r="F8" s="12" t="n">
        <v>23.6</v>
      </c>
      <c r="G8" s="12" t="n">
        <v>24</v>
      </c>
      <c r="H8" s="12" t="n">
        <v>25.1</v>
      </c>
      <c r="I8" s="12" t="n">
        <v>25.6</v>
      </c>
      <c r="J8" s="12" t="n">
        <v>26.2</v>
      </c>
      <c r="K8" s="12" t="n">
        <v>27.2</v>
      </c>
      <c r="L8" s="12" t="n">
        <v>28.4</v>
      </c>
      <c r="M8" s="12" t="n">
        <v>29.7</v>
      </c>
    </row>
    <row r="10">
      <c r="A10" s="8" t="inlineStr">
        <is>
          <t>訪問看護（回）</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12" t="n">
        <v>6.2</v>
      </c>
      <c r="C12" s="12" t="n">
        <v>7.2</v>
      </c>
      <c r="D12" s="12" t="n">
        <v>8.5</v>
      </c>
      <c r="E12" s="12" t="n">
        <v>9.5</v>
      </c>
      <c r="F12" s="12" t="n">
        <v>7.2</v>
      </c>
      <c r="G12" s="12" t="n">
        <v>11.6</v>
      </c>
      <c r="H12" s="12" t="n">
        <v>9.1</v>
      </c>
      <c r="I12" s="12" t="n">
        <v>8.5</v>
      </c>
      <c r="J12" s="12" t="n">
        <v>7.9</v>
      </c>
      <c r="K12" s="12" t="n">
        <v>7.5</v>
      </c>
      <c r="L12" s="12" t="n">
        <v>7.8</v>
      </c>
      <c r="M12" s="12" t="n">
        <v>8</v>
      </c>
    </row>
    <row r="13">
      <c r="A13" s="6" t="inlineStr">
        <is>
          <t>北海道</t>
        </is>
      </c>
      <c r="B13" s="12" t="n">
        <v>6.2</v>
      </c>
      <c r="C13" s="12" t="n">
        <v>6.3</v>
      </c>
      <c r="D13" s="12" t="n">
        <v>6.5</v>
      </c>
      <c r="E13" s="12" t="n">
        <v>6.7</v>
      </c>
      <c r="F13" s="12" t="n">
        <v>6.7</v>
      </c>
      <c r="G13" s="12" t="n">
        <v>6.7</v>
      </c>
      <c r="H13" s="12" t="n">
        <v>6.7</v>
      </c>
      <c r="I13" s="12" t="n">
        <v>6.6</v>
      </c>
      <c r="J13" s="12" t="n">
        <v>6.6</v>
      </c>
      <c r="K13" s="12" t="n">
        <v>6.7</v>
      </c>
      <c r="L13" s="12" t="n">
        <v>6.7</v>
      </c>
      <c r="M13" s="12" t="n">
        <v>6.7</v>
      </c>
    </row>
    <row r="14">
      <c r="A14" s="6" t="inlineStr">
        <is>
          <t>全国</t>
        </is>
      </c>
      <c r="B14" s="12" t="n">
        <v>8</v>
      </c>
      <c r="C14" s="12" t="n">
        <v>8.300000000000001</v>
      </c>
      <c r="D14" s="12" t="n">
        <v>8.5</v>
      </c>
      <c r="E14" s="12" t="n">
        <v>8.6</v>
      </c>
      <c r="F14" s="12" t="n">
        <v>8.699999999999999</v>
      </c>
      <c r="G14" s="12" t="n">
        <v>8.699999999999999</v>
      </c>
      <c r="H14" s="12" t="n">
        <v>8.800000000000001</v>
      </c>
      <c r="I14" s="12" t="n">
        <v>8.9</v>
      </c>
      <c r="J14" s="12" t="n">
        <v>8.9</v>
      </c>
      <c r="K14" s="12" t="n">
        <v>9</v>
      </c>
      <c r="L14" s="12" t="n">
        <v>9</v>
      </c>
      <c r="M14" s="12" t="n">
        <v>9.1</v>
      </c>
    </row>
    <row r="16">
      <c r="A16" s="8" t="inlineStr">
        <is>
          <t>通所介護（日）</t>
        </is>
      </c>
    </row>
    <row r="17">
      <c r="A17" s="5" t="inlineStr">
        <is>
          <t>区分</t>
        </is>
      </c>
      <c r="B17" s="5" t="inlineStr">
        <is>
          <t>H26</t>
        </is>
      </c>
      <c r="C17" s="5" t="inlineStr">
        <is>
          <t>H27</t>
        </is>
      </c>
      <c r="D17" s="5" t="inlineStr">
        <is>
          <t>H28</t>
        </is>
      </c>
      <c r="E17" s="5" t="inlineStr">
        <is>
          <t>H29</t>
        </is>
      </c>
      <c r="F17" s="5" t="inlineStr">
        <is>
          <t>H30</t>
        </is>
      </c>
      <c r="G17" s="5" t="inlineStr">
        <is>
          <t>R元</t>
        </is>
      </c>
      <c r="H17" s="5" t="inlineStr">
        <is>
          <t>R2</t>
        </is>
      </c>
      <c r="I17" s="5" t="inlineStr">
        <is>
          <t>R3</t>
        </is>
      </c>
      <c r="J17" s="5" t="inlineStr">
        <is>
          <t>R4</t>
        </is>
      </c>
      <c r="K17" s="5" t="inlineStr">
        <is>
          <t>R5</t>
        </is>
      </c>
      <c r="L17" s="5" t="inlineStr">
        <is>
          <t>R6</t>
        </is>
      </c>
      <c r="M17" s="5" t="inlineStr">
        <is>
          <t>R7</t>
        </is>
      </c>
    </row>
    <row r="18">
      <c r="A18" s="6" t="inlineStr">
        <is>
          <t>大雪地区広域連合</t>
        </is>
      </c>
      <c r="B18" s="12" t="n">
        <v>5.2</v>
      </c>
      <c r="C18" s="12" t="n">
        <v>5</v>
      </c>
      <c r="D18" s="12" t="n">
        <v>3.9</v>
      </c>
      <c r="E18" s="12" t="n">
        <v>5.4</v>
      </c>
      <c r="F18" s="12" t="n">
        <v>8.9</v>
      </c>
      <c r="G18" s="12" t="n">
        <v>8.9</v>
      </c>
      <c r="H18" s="12" t="n">
        <v>9.699999999999999</v>
      </c>
      <c r="I18" s="12" t="n">
        <v>9.699999999999999</v>
      </c>
      <c r="J18" s="12" t="n">
        <v>9.6</v>
      </c>
      <c r="K18" s="12" t="n">
        <v>9.6</v>
      </c>
      <c r="L18" s="12" t="n">
        <v>9.4</v>
      </c>
      <c r="M18" s="12" t="n">
        <v>8.800000000000001</v>
      </c>
    </row>
    <row r="19">
      <c r="A19" s="6" t="inlineStr">
        <is>
          <t>北海道</t>
        </is>
      </c>
      <c r="B19" s="12" t="n">
        <v>5.2</v>
      </c>
      <c r="C19" s="12" t="n">
        <v>5.2</v>
      </c>
      <c r="D19" s="12" t="n">
        <v>4.6</v>
      </c>
      <c r="E19" s="12" t="n">
        <v>6</v>
      </c>
      <c r="F19" s="12" t="n">
        <v>8.1</v>
      </c>
      <c r="G19" s="12" t="n">
        <v>8.199999999999999</v>
      </c>
      <c r="H19" s="12" t="n">
        <v>8.199999999999999</v>
      </c>
      <c r="I19" s="12" t="n">
        <v>8.300000000000001</v>
      </c>
      <c r="J19" s="12" t="n">
        <v>8</v>
      </c>
      <c r="K19" s="12" t="n">
        <v>8.199999999999999</v>
      </c>
      <c r="L19" s="12" t="n">
        <v>8.1</v>
      </c>
      <c r="M19" s="12" t="n">
        <v>8.1</v>
      </c>
    </row>
    <row r="20">
      <c r="A20" s="6" t="inlineStr">
        <is>
          <t>全国</t>
        </is>
      </c>
      <c r="B20" s="12" t="n">
        <v>7.4</v>
      </c>
      <c r="C20" s="12" t="n">
        <v>7.6</v>
      </c>
      <c r="D20" s="12" t="n">
        <v>7.5</v>
      </c>
      <c r="E20" s="12" t="n">
        <v>9.199999999999999</v>
      </c>
      <c r="F20" s="12" t="n">
        <v>10.6</v>
      </c>
      <c r="G20" s="12" t="n">
        <v>10.7</v>
      </c>
      <c r="H20" s="12" t="n">
        <v>10.9</v>
      </c>
      <c r="I20" s="12" t="n">
        <v>11</v>
      </c>
      <c r="J20" s="12" t="n">
        <v>10.7</v>
      </c>
      <c r="K20" s="12" t="n">
        <v>10.8</v>
      </c>
      <c r="L20" s="12" t="n">
        <v>10.7</v>
      </c>
      <c r="M20" s="12" t="n">
        <v>10.7</v>
      </c>
    </row>
    <row r="22">
      <c r="A22" s="8" t="inlineStr">
        <is>
          <t>通所リハビリテーション（日）</t>
        </is>
      </c>
    </row>
    <row r="23">
      <c r="A23" s="5" t="inlineStr">
        <is>
          <t>区分</t>
        </is>
      </c>
      <c r="B23" s="5" t="inlineStr">
        <is>
          <t>H26</t>
        </is>
      </c>
      <c r="C23" s="5" t="inlineStr">
        <is>
          <t>H27</t>
        </is>
      </c>
      <c r="D23" s="5" t="inlineStr">
        <is>
          <t>H28</t>
        </is>
      </c>
      <c r="E23" s="5" t="inlineStr">
        <is>
          <t>H29</t>
        </is>
      </c>
      <c r="F23" s="5" t="inlineStr">
        <is>
          <t>H30</t>
        </is>
      </c>
      <c r="G23" s="5" t="inlineStr">
        <is>
          <t>R元</t>
        </is>
      </c>
      <c r="H23" s="5" t="inlineStr">
        <is>
          <t>R2</t>
        </is>
      </c>
      <c r="I23" s="5" t="inlineStr">
        <is>
          <t>R3</t>
        </is>
      </c>
      <c r="J23" s="5" t="inlineStr">
        <is>
          <t>R4</t>
        </is>
      </c>
      <c r="K23" s="5" t="inlineStr">
        <is>
          <t>R5</t>
        </is>
      </c>
      <c r="L23" s="5" t="inlineStr">
        <is>
          <t>R6</t>
        </is>
      </c>
      <c r="M23" s="5" t="inlineStr">
        <is>
          <t>R7</t>
        </is>
      </c>
    </row>
    <row r="24">
      <c r="A24" s="6" t="inlineStr">
        <is>
          <t>大雪地区広域連合</t>
        </is>
      </c>
      <c r="B24" s="12" t="n">
        <v>5</v>
      </c>
      <c r="C24" s="12" t="n">
        <v>4.7</v>
      </c>
      <c r="D24" s="12" t="n">
        <v>4.6</v>
      </c>
      <c r="E24" s="12" t="n">
        <v>4.4</v>
      </c>
      <c r="F24" s="12" t="n">
        <v>4.5</v>
      </c>
      <c r="G24" s="12" t="n">
        <v>4.6</v>
      </c>
      <c r="H24" s="12" t="n">
        <v>4.8</v>
      </c>
      <c r="I24" s="12" t="n">
        <v>4.8</v>
      </c>
      <c r="J24" s="12" t="n">
        <v>4.4</v>
      </c>
      <c r="K24" s="12" t="n">
        <v>4.8</v>
      </c>
      <c r="L24" s="12" t="n">
        <v>4.6</v>
      </c>
      <c r="M24" s="12" t="n">
        <v>5</v>
      </c>
    </row>
    <row r="25">
      <c r="A25" s="6" t="inlineStr">
        <is>
          <t>北海道</t>
        </is>
      </c>
      <c r="B25" s="12" t="n">
        <v>5.4</v>
      </c>
      <c r="C25" s="12" t="n">
        <v>5.4</v>
      </c>
      <c r="D25" s="12" t="n">
        <v>5.4</v>
      </c>
      <c r="E25" s="12" t="n">
        <v>5.3</v>
      </c>
      <c r="F25" s="12" t="n">
        <v>5.2</v>
      </c>
      <c r="G25" s="12" t="n">
        <v>5.1</v>
      </c>
      <c r="H25" s="12" t="n">
        <v>5</v>
      </c>
      <c r="I25" s="12" t="n">
        <v>5</v>
      </c>
      <c r="J25" s="12" t="n">
        <v>4.8</v>
      </c>
      <c r="K25" s="12" t="n">
        <v>4.9</v>
      </c>
      <c r="L25" s="12" t="n">
        <v>4.8</v>
      </c>
      <c r="M25" s="12" t="n">
        <v>4.8</v>
      </c>
    </row>
    <row r="26">
      <c r="A26" s="6" t="inlineStr">
        <is>
          <t>全国</t>
        </is>
      </c>
      <c r="B26" s="12" t="n">
        <v>6.4</v>
      </c>
      <c r="C26" s="12" t="n">
        <v>6.4</v>
      </c>
      <c r="D26" s="12" t="n">
        <v>6.3</v>
      </c>
      <c r="E26" s="12" t="n">
        <v>6.2</v>
      </c>
      <c r="F26" s="12" t="n">
        <v>6.1</v>
      </c>
      <c r="G26" s="12" t="n">
        <v>5.9</v>
      </c>
      <c r="H26" s="12" t="n">
        <v>5.9</v>
      </c>
      <c r="I26" s="12" t="n">
        <v>5.9</v>
      </c>
      <c r="J26" s="12" t="n">
        <v>5.7</v>
      </c>
      <c r="K26" s="12" t="n">
        <v>5.7</v>
      </c>
      <c r="L26" s="12" t="n">
        <v>5.6</v>
      </c>
      <c r="M26" s="12" t="n">
        <v>5.6</v>
      </c>
    </row>
    <row r="28">
      <c r="A28" s="8" t="inlineStr">
        <is>
          <t>地域密着型通所介護（日）</t>
        </is>
      </c>
    </row>
    <row r="29">
      <c r="A29" s="5" t="inlineStr">
        <is>
          <t>区分</t>
        </is>
      </c>
      <c r="B29" s="5" t="inlineStr">
        <is>
          <t>H26</t>
        </is>
      </c>
      <c r="C29" s="5" t="inlineStr">
        <is>
          <t>H27</t>
        </is>
      </c>
      <c r="D29" s="5" t="inlineStr">
        <is>
          <t>H28</t>
        </is>
      </c>
      <c r="E29" s="5" t="inlineStr">
        <is>
          <t>H29</t>
        </is>
      </c>
      <c r="F29" s="5" t="inlineStr">
        <is>
          <t>H30</t>
        </is>
      </c>
      <c r="G29" s="5" t="inlineStr">
        <is>
          <t>R元</t>
        </is>
      </c>
      <c r="H29" s="5" t="inlineStr">
        <is>
          <t>R2</t>
        </is>
      </c>
      <c r="I29" s="5" t="inlineStr">
        <is>
          <t>R3</t>
        </is>
      </c>
      <c r="J29" s="5" t="inlineStr">
        <is>
          <t>R4</t>
        </is>
      </c>
      <c r="K29" s="5" t="inlineStr">
        <is>
          <t>R5</t>
        </is>
      </c>
      <c r="L29" s="5" t="inlineStr">
        <is>
          <t>R6</t>
        </is>
      </c>
      <c r="M29" s="5" t="inlineStr">
        <is>
          <t>R7</t>
        </is>
      </c>
    </row>
    <row r="30">
      <c r="A30" s="6" t="inlineStr">
        <is>
          <t>大雪地区広域連合</t>
        </is>
      </c>
      <c r="B30" s="12" t="n"/>
      <c r="C30" s="12" t="n"/>
      <c r="D30" s="12" t="n">
        <v>6.9</v>
      </c>
      <c r="E30" s="12" t="n">
        <v>6.8</v>
      </c>
      <c r="F30" s="12" t="n">
        <v>6.8</v>
      </c>
      <c r="G30" s="12" t="n">
        <v>6.8</v>
      </c>
      <c r="H30" s="12" t="n">
        <v>6.6</v>
      </c>
      <c r="I30" s="12" t="n">
        <v>6.9</v>
      </c>
      <c r="J30" s="12" t="n">
        <v>6.8</v>
      </c>
      <c r="K30" s="12" t="n">
        <v>6.9</v>
      </c>
      <c r="L30" s="12" t="n">
        <v>7.1</v>
      </c>
      <c r="M30" s="12" t="n">
        <v>7.9</v>
      </c>
    </row>
    <row r="31">
      <c r="A31" s="6" t="inlineStr">
        <is>
          <t>北海道</t>
        </is>
      </c>
      <c r="B31" s="12" t="n"/>
      <c r="C31" s="12" t="n"/>
      <c r="D31" s="12" t="n">
        <v>7.9</v>
      </c>
      <c r="E31" s="12" t="n">
        <v>8</v>
      </c>
      <c r="F31" s="12" t="n">
        <v>7.9</v>
      </c>
      <c r="G31" s="12" t="n">
        <v>8</v>
      </c>
      <c r="H31" s="12" t="n">
        <v>8.1</v>
      </c>
      <c r="I31" s="12" t="n">
        <v>8.1</v>
      </c>
      <c r="J31" s="12" t="n">
        <v>7.9</v>
      </c>
      <c r="K31" s="12" t="n">
        <v>7.9</v>
      </c>
      <c r="L31" s="12" t="n">
        <v>7.9</v>
      </c>
      <c r="M31" s="12" t="n">
        <v>7.8</v>
      </c>
    </row>
    <row r="32">
      <c r="A32" s="6" t="inlineStr">
        <is>
          <t>全国</t>
        </is>
      </c>
      <c r="B32" s="12" t="n"/>
      <c r="C32" s="12" t="n"/>
      <c r="D32" s="12" t="n">
        <v>9.6</v>
      </c>
      <c r="E32" s="12" t="n">
        <v>9.6</v>
      </c>
      <c r="F32" s="12" t="n">
        <v>9.5</v>
      </c>
      <c r="G32" s="12" t="n">
        <v>9.5</v>
      </c>
      <c r="H32" s="12" t="n">
        <v>9.699999999999999</v>
      </c>
      <c r="I32" s="12" t="n">
        <v>9.699999999999999</v>
      </c>
      <c r="J32" s="12" t="n">
        <v>9.4</v>
      </c>
      <c r="K32" s="12" t="n">
        <v>9.4</v>
      </c>
      <c r="L32" s="12" t="n">
        <v>9.199999999999999</v>
      </c>
      <c r="M32" s="12" t="n">
        <v>9.199999999999999</v>
      </c>
    </row>
    <row r="34" ht="26" customHeight="1">
      <c r="A34" s="4" t="inlineStr">
        <is>
          <t>注1）R7列（令和8年1月サービス提供分まで）の値は第10期計画素案第9稿 表5の掲載値と一致する。注2）訪問介護は平成26年度22.1回から令和7年度55.4回へ2.5倍に増加し、北海道（13.4→29.9回・2.2倍）を上回る伸びで推移している。令和7年度は北海道の1.85倍であり、需要特性、提供体制、算定・集計範囲の要因分解が必要である。注3）通所介護・通所リハビリテーション・地域密着型通所介護はいずれも全国を下回って推移している。</t>
        </is>
      </c>
    </row>
  </sheetData>
  <mergeCells count="3">
    <mergeCell ref="A2:N2"/>
    <mergeCell ref="A34:M34"/>
    <mergeCell ref="A1:N1"/>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s>
  <sheetData>
    <row r="1" ht="24" customHeight="1">
      <c r="A1" s="1" t="inlineStr">
        <is>
          <t>図15　町別の総人口・高齢化率の推移と将来推計</t>
        </is>
      </c>
    </row>
    <row r="2" ht="16" customHeight="1">
      <c r="A2" s="2" t="inlineStr">
        <is>
          <t>資料：地域包括ケア「見える化」システム A1・A2（総務省国勢調査＋国立社会保障・人口問題研究所「日本の地域別将来推計人口」）／2020年までが実績、2025年以降は推計</t>
        </is>
      </c>
    </row>
    <row r="4">
      <c r="A4" s="8" t="inlineStr">
        <is>
          <t>（1）総人口（単位：人）</t>
        </is>
      </c>
    </row>
    <row r="5">
      <c r="A5" s="5" t="inlineStr">
        <is>
          <t>区分</t>
        </is>
      </c>
      <c r="B5" s="5" t="inlineStr">
        <is>
          <t>2000年</t>
        </is>
      </c>
      <c r="C5" s="5" t="inlineStr">
        <is>
          <t>2005年</t>
        </is>
      </c>
      <c r="D5" s="5" t="inlineStr">
        <is>
          <t>2010年</t>
        </is>
      </c>
      <c r="E5" s="5" t="inlineStr">
        <is>
          <t>2015年</t>
        </is>
      </c>
      <c r="F5" s="5" t="inlineStr">
        <is>
          <t>2020年</t>
        </is>
      </c>
      <c r="G5" s="5" t="inlineStr">
        <is>
          <t>2025年</t>
        </is>
      </c>
      <c r="H5" s="5" t="inlineStr">
        <is>
          <t>2030年</t>
        </is>
      </c>
      <c r="I5" s="5" t="inlineStr">
        <is>
          <t>2035年</t>
        </is>
      </c>
      <c r="J5" s="5" t="inlineStr">
        <is>
          <t>2040年</t>
        </is>
      </c>
      <c r="K5" s="5" t="inlineStr">
        <is>
          <t>2045年</t>
        </is>
      </c>
      <c r="L5" s="5" t="inlineStr">
        <is>
          <t>2050年</t>
        </is>
      </c>
    </row>
    <row r="6">
      <c r="A6" s="6" t="inlineStr">
        <is>
          <t>大雪地区広域連合</t>
        </is>
      </c>
      <c r="B6" s="9" t="n">
        <v>27700</v>
      </c>
      <c r="C6" s="9" t="n">
        <v>28523</v>
      </c>
      <c r="D6" s="9" t="n">
        <v>28107</v>
      </c>
      <c r="E6" s="9" t="n">
        <v>28636</v>
      </c>
      <c r="F6" s="9" t="n">
        <v>28109</v>
      </c>
      <c r="G6" s="9" t="n">
        <v>27102</v>
      </c>
      <c r="H6" s="9" t="n">
        <v>25969</v>
      </c>
      <c r="I6" s="9" t="n">
        <v>24778</v>
      </c>
      <c r="J6" s="9" t="n">
        <v>23582</v>
      </c>
      <c r="K6" s="9" t="n">
        <v>22332</v>
      </c>
      <c r="L6" s="9" t="n">
        <v>21058</v>
      </c>
    </row>
    <row r="7">
      <c r="A7" s="6" t="inlineStr">
        <is>
          <t>東川町</t>
        </is>
      </c>
      <c r="B7" s="9" t="n">
        <v>7671</v>
      </c>
      <c r="C7" s="9" t="n">
        <v>7701</v>
      </c>
      <c r="D7" s="9" t="n">
        <v>7859</v>
      </c>
      <c r="E7" s="9" t="n">
        <v>8111</v>
      </c>
      <c r="F7" s="9" t="n">
        <v>8314</v>
      </c>
      <c r="G7" s="9" t="n">
        <v>8213</v>
      </c>
      <c r="H7" s="9" t="n">
        <v>8059</v>
      </c>
      <c r="I7" s="9" t="n">
        <v>7849</v>
      </c>
      <c r="J7" s="9" t="n">
        <v>7607</v>
      </c>
      <c r="K7" s="9" t="n">
        <v>7339</v>
      </c>
      <c r="L7" s="9" t="n">
        <v>7088</v>
      </c>
    </row>
    <row r="8">
      <c r="A8" s="6" t="inlineStr">
        <is>
          <t>美瑛町</t>
        </is>
      </c>
      <c r="B8" s="9" t="n">
        <v>11902</v>
      </c>
      <c r="C8" s="9" t="n">
        <v>11628</v>
      </c>
      <c r="D8" s="9" t="n">
        <v>10956</v>
      </c>
      <c r="E8" s="9" t="n">
        <v>10292</v>
      </c>
      <c r="F8" s="9" t="n">
        <v>9668</v>
      </c>
      <c r="G8" s="9" t="n">
        <v>8893</v>
      </c>
      <c r="H8" s="9" t="n">
        <v>8160</v>
      </c>
      <c r="I8" s="9" t="n">
        <v>7476</v>
      </c>
      <c r="J8" s="9" t="n">
        <v>6851</v>
      </c>
      <c r="K8" s="9" t="n">
        <v>6258</v>
      </c>
      <c r="L8" s="9" t="n">
        <v>5681</v>
      </c>
    </row>
    <row r="9">
      <c r="A9" s="6" t="inlineStr">
        <is>
          <t>東神楽町</t>
        </is>
      </c>
      <c r="B9" s="9" t="n">
        <v>8127</v>
      </c>
      <c r="C9" s="9" t="n">
        <v>9194</v>
      </c>
      <c r="D9" s="9" t="n">
        <v>9292</v>
      </c>
      <c r="E9" s="9" t="n">
        <v>10233</v>
      </c>
      <c r="F9" s="9" t="n">
        <v>10127</v>
      </c>
      <c r="G9" s="9" t="n">
        <v>9996</v>
      </c>
      <c r="H9" s="9" t="n">
        <v>9750</v>
      </c>
      <c r="I9" s="9" t="n">
        <v>9453</v>
      </c>
      <c r="J9" s="9" t="n">
        <v>9124</v>
      </c>
      <c r="K9" s="9" t="n">
        <v>8735</v>
      </c>
      <c r="L9" s="9" t="n">
        <v>8289</v>
      </c>
    </row>
    <row r="11">
      <c r="A11" s="8" t="inlineStr">
        <is>
          <t>（2）高齢化率（単位：％）</t>
        </is>
      </c>
    </row>
    <row r="12">
      <c r="A12" s="5" t="inlineStr">
        <is>
          <t>区分</t>
        </is>
      </c>
      <c r="B12" s="5" t="inlineStr">
        <is>
          <t>2000年</t>
        </is>
      </c>
      <c r="C12" s="5" t="inlineStr">
        <is>
          <t>2005年</t>
        </is>
      </c>
      <c r="D12" s="5" t="inlineStr">
        <is>
          <t>2010年</t>
        </is>
      </c>
      <c r="E12" s="5" t="inlineStr">
        <is>
          <t>2015年</t>
        </is>
      </c>
      <c r="F12" s="5" t="inlineStr">
        <is>
          <t>2020年</t>
        </is>
      </c>
      <c r="G12" s="5" t="inlineStr">
        <is>
          <t>2025年</t>
        </is>
      </c>
      <c r="H12" s="5" t="inlineStr">
        <is>
          <t>2030年</t>
        </is>
      </c>
      <c r="I12" s="5" t="inlineStr">
        <is>
          <t>2035年</t>
        </is>
      </c>
      <c r="J12" s="5" t="inlineStr">
        <is>
          <t>2040年</t>
        </is>
      </c>
      <c r="K12" s="5" t="inlineStr">
        <is>
          <t>2045年</t>
        </is>
      </c>
      <c r="L12" s="5" t="inlineStr">
        <is>
          <t>2050年</t>
        </is>
      </c>
    </row>
    <row r="13">
      <c r="A13" s="6" t="inlineStr">
        <is>
          <t>大雪地区広域連合</t>
        </is>
      </c>
      <c r="B13" s="12" t="n">
        <v>23.3</v>
      </c>
      <c r="C13" s="12" t="n">
        <v>25.6</v>
      </c>
      <c r="D13" s="12" t="n">
        <v>28.3</v>
      </c>
      <c r="E13" s="12" t="n">
        <v>31.3</v>
      </c>
      <c r="F13" s="12" t="n">
        <v>33.6</v>
      </c>
      <c r="G13" s="12" t="n">
        <v>34.4</v>
      </c>
      <c r="H13" s="12" t="n">
        <v>35.9</v>
      </c>
      <c r="I13" s="12" t="n">
        <v>37.8</v>
      </c>
      <c r="J13" s="12" t="n">
        <v>40.8</v>
      </c>
      <c r="K13" s="12" t="n">
        <v>42.6</v>
      </c>
      <c r="L13" s="12" t="n">
        <v>43.9</v>
      </c>
    </row>
    <row r="14">
      <c r="A14" s="6" t="inlineStr">
        <is>
          <t>東川町</t>
        </is>
      </c>
      <c r="B14" s="12" t="n">
        <v>23.2</v>
      </c>
      <c r="C14" s="12" t="n">
        <v>25.5</v>
      </c>
      <c r="D14" s="12" t="n">
        <v>28</v>
      </c>
      <c r="E14" s="12" t="n">
        <v>32.1</v>
      </c>
      <c r="F14" s="12" t="n">
        <v>33.2</v>
      </c>
      <c r="G14" s="12" t="n">
        <v>32.9</v>
      </c>
      <c r="H14" s="12" t="n">
        <v>33.4</v>
      </c>
      <c r="I14" s="12" t="n">
        <v>34.6</v>
      </c>
      <c r="J14" s="12" t="n">
        <v>37.3</v>
      </c>
      <c r="K14" s="12" t="n">
        <v>39.1</v>
      </c>
      <c r="L14" s="12" t="n">
        <v>40.1</v>
      </c>
    </row>
    <row r="15">
      <c r="A15" s="6" t="inlineStr">
        <is>
          <t>美瑛町</t>
        </is>
      </c>
      <c r="B15" s="12" t="n">
        <v>26.5</v>
      </c>
      <c r="C15" s="12" t="n">
        <v>30.6</v>
      </c>
      <c r="D15" s="12" t="n">
        <v>33.5</v>
      </c>
      <c r="E15" s="12" t="n">
        <v>36.3</v>
      </c>
      <c r="F15" s="12" t="n">
        <v>38.8</v>
      </c>
      <c r="G15" s="12" t="n">
        <v>39.4</v>
      </c>
      <c r="H15" s="12" t="n">
        <v>40.8</v>
      </c>
      <c r="I15" s="12" t="n">
        <v>42.4</v>
      </c>
      <c r="J15" s="12" t="n">
        <v>45.1</v>
      </c>
      <c r="K15" s="12" t="n">
        <v>46.4</v>
      </c>
      <c r="L15" s="12" t="n">
        <v>47.5</v>
      </c>
    </row>
    <row r="16">
      <c r="A16" s="6" t="inlineStr">
        <is>
          <t>東神楽町</t>
        </is>
      </c>
      <c r="B16" s="12" t="n">
        <v>18.6</v>
      </c>
      <c r="C16" s="12" t="n">
        <v>19.6</v>
      </c>
      <c r="D16" s="12" t="n">
        <v>22.5</v>
      </c>
      <c r="E16" s="12" t="n">
        <v>25.6</v>
      </c>
      <c r="F16" s="12" t="n">
        <v>28.9</v>
      </c>
      <c r="G16" s="12" t="n">
        <v>31.2</v>
      </c>
      <c r="H16" s="12" t="n">
        <v>33.7</v>
      </c>
      <c r="I16" s="12" t="n">
        <v>36.9</v>
      </c>
      <c r="J16" s="12" t="n">
        <v>40.6</v>
      </c>
      <c r="K16" s="12" t="n">
        <v>42.9</v>
      </c>
      <c r="L16" s="12" t="n">
        <v>44.7</v>
      </c>
    </row>
    <row r="18">
      <c r="A18" s="8" t="inlineStr">
        <is>
          <t>（3）2020年から2050年の変化</t>
        </is>
      </c>
    </row>
    <row r="19">
      <c r="A19" s="5" t="inlineStr">
        <is>
          <t>区分</t>
        </is>
      </c>
      <c r="B19" s="5" t="inlineStr">
        <is>
          <t>総人口2020年</t>
        </is>
      </c>
      <c r="C19" s="5" t="inlineStr">
        <is>
          <t>総人口2050年</t>
        </is>
      </c>
      <c r="D19" s="5" t="inlineStr">
        <is>
          <t>増減数</t>
        </is>
      </c>
      <c r="E19" s="5" t="inlineStr">
        <is>
          <t>増減率（％）</t>
        </is>
      </c>
      <c r="F19" s="5" t="inlineStr">
        <is>
          <t>高齢化率2020年</t>
        </is>
      </c>
      <c r="G19" s="5" t="inlineStr">
        <is>
          <t>高齢化率2050年</t>
        </is>
      </c>
      <c r="H19" s="5" t="inlineStr">
        <is>
          <t>増減（ポイント）</t>
        </is>
      </c>
    </row>
    <row r="20">
      <c r="A20" s="6" t="inlineStr">
        <is>
          <t>大雪地区広域連合</t>
        </is>
      </c>
      <c r="B20" s="9" t="n">
        <v>28109</v>
      </c>
      <c r="C20" s="9" t="n">
        <v>21058</v>
      </c>
      <c r="D20" s="9">
        <f>C20-B20</f>
        <v/>
      </c>
      <c r="E20" s="12">
        <f>(C20-B20)/B20*100</f>
        <v/>
      </c>
      <c r="F20" s="12" t="n">
        <v>33.6</v>
      </c>
      <c r="G20" s="12" t="n">
        <v>43.9</v>
      </c>
      <c r="H20" s="12">
        <f>G20-F20</f>
        <v/>
      </c>
    </row>
    <row r="21">
      <c r="A21" s="6" t="inlineStr">
        <is>
          <t>東川町</t>
        </is>
      </c>
      <c r="B21" s="9" t="n">
        <v>8314</v>
      </c>
      <c r="C21" s="9" t="n">
        <v>7088</v>
      </c>
      <c r="D21" s="9">
        <f>C21-B21</f>
        <v/>
      </c>
      <c r="E21" s="12">
        <f>(C21-B21)/B21*100</f>
        <v/>
      </c>
      <c r="F21" s="12" t="n">
        <v>33.2</v>
      </c>
      <c r="G21" s="12" t="n">
        <v>40.1</v>
      </c>
      <c r="H21" s="12">
        <f>G21-F21</f>
        <v/>
      </c>
    </row>
    <row r="22">
      <c r="A22" s="6" t="inlineStr">
        <is>
          <t>美瑛町</t>
        </is>
      </c>
      <c r="B22" s="9" t="n">
        <v>9668</v>
      </c>
      <c r="C22" s="9" t="n">
        <v>5681</v>
      </c>
      <c r="D22" s="9">
        <f>C22-B22</f>
        <v/>
      </c>
      <c r="E22" s="12">
        <f>(C22-B22)/B22*100</f>
        <v/>
      </c>
      <c r="F22" s="12" t="n">
        <v>38.8</v>
      </c>
      <c r="G22" s="12" t="n">
        <v>47.5</v>
      </c>
      <c r="H22" s="12">
        <f>G22-F22</f>
        <v/>
      </c>
    </row>
    <row r="23">
      <c r="A23" s="6" t="inlineStr">
        <is>
          <t>東神楽町</t>
        </is>
      </c>
      <c r="B23" s="9" t="n">
        <v>10127</v>
      </c>
      <c r="C23" s="9" t="n">
        <v>8289</v>
      </c>
      <c r="D23" s="9">
        <f>C23-B23</f>
        <v/>
      </c>
      <c r="E23" s="12">
        <f>(C23-B23)/B23*100</f>
        <v/>
      </c>
      <c r="F23" s="12" t="n">
        <v>28.9</v>
      </c>
      <c r="G23" s="12" t="n">
        <v>44.7</v>
      </c>
      <c r="H23" s="12">
        <f>G23-F23</f>
        <v/>
      </c>
    </row>
    <row r="25" ht="26" customHeight="1">
      <c r="A25" s="4" t="inlineStr">
        <is>
          <t>注1）2020年までが国勢調査の実績、2025年以降は国立社会保障・人口問題研究所の推計。第9期計画 第2章第1節1の図1・図2は住民基本台帳ベースであり、基準が異なるため接続していない（修正指示書C-7）。注2）2020年から2050年にかけて、総人口は美瑛町が41.2％減と最も大きく減少する一方、東川町は14.8％減にとどまる。高齢化率は東神楽町が15.8ポイント上昇と最も伸びが大きく、2050年には美瑛町47.5％・東神楽町44.7％・東川町40.1％となる。注3）東神楽町は2000年の高齢化率18.6％から2050年44.7％へ26.1ポイント上昇し、3町で最も変化が急である。</t>
        </is>
      </c>
    </row>
  </sheetData>
  <mergeCells count="3">
    <mergeCell ref="A25:M25"/>
    <mergeCell ref="A2:L2"/>
    <mergeCell ref="A1:L1"/>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M10"/>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s>
  <sheetData>
    <row r="1" ht="24" customHeight="1">
      <c r="A1" s="1" t="inlineStr">
        <is>
          <t>図16　高齢者1人あたり現役世代数の推移と将来推計</t>
        </is>
      </c>
    </row>
    <row r="2" ht="16" customHeight="1">
      <c r="A2" s="2" t="inlineStr">
        <is>
          <t>資料：地域包括ケア「見える化」システム A9（15〜64歳人口÷65歳以上人口）／2020年までが実績、2025年以降は推計／単位：人</t>
        </is>
      </c>
    </row>
    <row r="4">
      <c r="A4" s="5" t="inlineStr">
        <is>
          <t>区分</t>
        </is>
      </c>
      <c r="B4" s="5" t="inlineStr">
        <is>
          <t>2000年</t>
        </is>
      </c>
      <c r="C4" s="5" t="inlineStr">
        <is>
          <t>2005年</t>
        </is>
      </c>
      <c r="D4" s="5" t="inlineStr">
        <is>
          <t>2010年</t>
        </is>
      </c>
      <c r="E4" s="5" t="inlineStr">
        <is>
          <t>2015年</t>
        </is>
      </c>
      <c r="F4" s="5" t="inlineStr">
        <is>
          <t>2020年</t>
        </is>
      </c>
      <c r="G4" s="5" t="inlineStr">
        <is>
          <t>2025年</t>
        </is>
      </c>
      <c r="H4" s="5" t="inlineStr">
        <is>
          <t>2030年</t>
        </is>
      </c>
      <c r="I4" s="5" t="inlineStr">
        <is>
          <t>2035年</t>
        </is>
      </c>
      <c r="J4" s="5" t="inlineStr">
        <is>
          <t>2040年</t>
        </is>
      </c>
      <c r="K4" s="5" t="inlineStr">
        <is>
          <t>2045年</t>
        </is>
      </c>
      <c r="L4" s="5" t="inlineStr">
        <is>
          <t>2050年</t>
        </is>
      </c>
    </row>
    <row r="5">
      <c r="A5" s="6" t="inlineStr">
        <is>
          <t>大雪地区広域連合</t>
        </is>
      </c>
      <c r="B5" s="12" t="n">
        <v>2.7</v>
      </c>
      <c r="C5" s="12" t="n">
        <v>2.3</v>
      </c>
      <c r="D5" s="12" t="n">
        <v>2</v>
      </c>
      <c r="E5" s="12" t="n">
        <v>1.8</v>
      </c>
      <c r="F5" s="12" t="n">
        <v>1.6</v>
      </c>
      <c r="G5" s="12" t="n">
        <v>1.6</v>
      </c>
      <c r="H5" s="12" t="n">
        <v>1.5</v>
      </c>
      <c r="I5" s="12" t="n">
        <v>1.4</v>
      </c>
      <c r="J5" s="12" t="n">
        <v>1.2</v>
      </c>
      <c r="K5" s="12" t="n">
        <v>1.1</v>
      </c>
      <c r="L5" s="12" t="n">
        <v>1</v>
      </c>
    </row>
    <row r="6">
      <c r="A6" s="6" t="inlineStr">
        <is>
          <t>東川町</t>
        </is>
      </c>
      <c r="B6" s="12" t="n">
        <v>2.7</v>
      </c>
      <c r="C6" s="12" t="n">
        <v>2.4</v>
      </c>
      <c r="D6" s="12" t="n">
        <v>2.1</v>
      </c>
      <c r="E6" s="12" t="n">
        <v>1.7</v>
      </c>
      <c r="F6" s="12" t="n">
        <v>1.6</v>
      </c>
      <c r="G6" s="12" t="n">
        <v>1.7</v>
      </c>
      <c r="H6" s="12" t="n">
        <v>1.6</v>
      </c>
      <c r="I6" s="12" t="n">
        <v>1.6</v>
      </c>
      <c r="J6" s="12" t="n">
        <v>1.4</v>
      </c>
      <c r="K6" s="12" t="n">
        <v>1.3</v>
      </c>
      <c r="L6" s="12" t="n">
        <v>1.2</v>
      </c>
    </row>
    <row r="7">
      <c r="A7" s="6" t="inlineStr">
        <is>
          <t>美瑛町</t>
        </is>
      </c>
      <c r="B7" s="12" t="n">
        <v>2.3</v>
      </c>
      <c r="C7" s="12" t="n">
        <v>1.9</v>
      </c>
      <c r="D7" s="12" t="n">
        <v>1.6</v>
      </c>
      <c r="E7" s="12" t="n">
        <v>1.5</v>
      </c>
      <c r="F7" s="12" t="n">
        <v>1.3</v>
      </c>
      <c r="G7" s="12" t="n">
        <v>1.3</v>
      </c>
      <c r="H7" s="12" t="n">
        <v>1.3</v>
      </c>
      <c r="I7" s="12" t="n">
        <v>1.2</v>
      </c>
      <c r="J7" s="12" t="n">
        <v>1</v>
      </c>
      <c r="K7" s="12" t="n">
        <v>1</v>
      </c>
      <c r="L7" s="12" t="n">
        <v>0.9</v>
      </c>
    </row>
    <row r="8">
      <c r="A8" s="6" t="inlineStr">
        <is>
          <t>東神楽町</t>
        </is>
      </c>
      <c r="B8" s="12" t="n">
        <v>3.4</v>
      </c>
      <c r="C8" s="12" t="n">
        <v>3.2</v>
      </c>
      <c r="D8" s="12" t="n">
        <v>2.7</v>
      </c>
      <c r="E8" s="12" t="n">
        <v>2.3</v>
      </c>
      <c r="F8" s="12" t="n">
        <v>1.9</v>
      </c>
      <c r="G8" s="12" t="n">
        <v>1.8</v>
      </c>
      <c r="H8" s="12" t="n">
        <v>1.6</v>
      </c>
      <c r="I8" s="12" t="n">
        <v>1.4</v>
      </c>
      <c r="J8" s="12" t="n">
        <v>1.2</v>
      </c>
      <c r="K8" s="12" t="n">
        <v>1.1</v>
      </c>
      <c r="L8" s="12" t="n">
        <v>1</v>
      </c>
    </row>
    <row r="10" ht="26" customHeight="1">
      <c r="A10" s="4" t="inlineStr">
        <is>
          <t>注1）高齢者1人を何人の現役世代（15〜64歳）で支えるかを示す。値が小さいほど支え手が少ない。注2）広域連合全体では2000年2.7人から2040年1.2人、2050年1.0人へ低下する。美瑛町は2040年に1.0人、2050年には0.9人となり、現役世代より高齢者が多い状態になる。注3）東神楽町は2000年3.4人と3町で最も余裕があったが、2050年1.0人まで低下し、低下幅（2.4人）が3町で最も大きい。注4）第10期計画では、サービス見込量を需要側だけで決めず、この担い手の減少を前提とした供給可能量・人材確保・共同化・代替提供の検討が必要となる（素案 第1章第3節「実行可能性」の視点）。</t>
        </is>
      </c>
    </row>
  </sheetData>
  <mergeCells count="3">
    <mergeCell ref="A2:L2"/>
    <mergeCell ref="A1:L1"/>
    <mergeCell ref="A10:M10"/>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cols>
    <col width="22"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s>
  <sheetData>
    <row r="1" ht="24" customHeight="1">
      <c r="A1" s="1" t="inlineStr">
        <is>
          <t>図17　介護サービスの利用率・受給率</t>
        </is>
      </c>
    </row>
    <row r="2" ht="16" customHeight="1">
      <c r="A2" s="2" t="inlineStr">
        <is>
          <t>資料：地域包括ケア「見える化」システム D38・D41-a・D42（取得日 令和8年7月）／単位：％</t>
        </is>
      </c>
    </row>
    <row r="4">
      <c r="A4" s="8" t="inlineStr">
        <is>
          <t>（1）介護サービス利用率（認定者に占める受給者の割合）</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row>
    <row r="6">
      <c r="A6" s="6" t="inlineStr">
        <is>
          <t>介護サービス利用率</t>
        </is>
      </c>
      <c r="B6" s="14" t="n">
        <v>76.90000000000001</v>
      </c>
      <c r="C6" s="14" t="n">
        <v>80</v>
      </c>
      <c r="D6" s="14" t="n">
        <v>82.2</v>
      </c>
      <c r="E6" s="14" t="n">
        <v>77.8</v>
      </c>
      <c r="F6" s="14" t="n">
        <v>76.09999999999999</v>
      </c>
      <c r="G6" s="14" t="n">
        <v>76</v>
      </c>
      <c r="H6" s="14" t="n">
        <v>77.59999999999999</v>
      </c>
      <c r="I6" s="14" t="n">
        <v>78.40000000000001</v>
      </c>
      <c r="J6" s="14" t="n">
        <v>75.90000000000001</v>
      </c>
      <c r="K6" s="14" t="n">
        <v>75.3</v>
      </c>
      <c r="L6" s="14" t="n">
        <v>74.3</v>
      </c>
    </row>
    <row r="7">
      <c r="A7" s="6" t="inlineStr">
        <is>
          <t>合計認定者数（人）</t>
        </is>
      </c>
      <c r="B7" s="14" t="n">
        <v>1835</v>
      </c>
      <c r="C7" s="14" t="n">
        <v>1869</v>
      </c>
      <c r="D7" s="14" t="n">
        <v>1842</v>
      </c>
      <c r="E7" s="14" t="n">
        <v>1882</v>
      </c>
      <c r="F7" s="14" t="n">
        <v>1859</v>
      </c>
      <c r="G7" s="14" t="n">
        <v>1901</v>
      </c>
      <c r="H7" s="14" t="n">
        <v>1878</v>
      </c>
      <c r="I7" s="14" t="n">
        <v>1903</v>
      </c>
      <c r="J7" s="14" t="n">
        <v>1921</v>
      </c>
      <c r="K7" s="14" t="n">
        <v>1931</v>
      </c>
      <c r="L7" s="14" t="n">
        <v>1962</v>
      </c>
    </row>
    <row r="8">
      <c r="A8" s="6" t="inlineStr">
        <is>
          <t>合計受給者数（人）</t>
        </is>
      </c>
      <c r="B8" s="14" t="n">
        <v>1411</v>
      </c>
      <c r="C8" s="14" t="n">
        <v>1496</v>
      </c>
      <c r="D8" s="14" t="n">
        <v>1515</v>
      </c>
      <c r="E8" s="14" t="n">
        <v>1465</v>
      </c>
      <c r="F8" s="14" t="n">
        <v>1414</v>
      </c>
      <c r="G8" s="14" t="n">
        <v>1444</v>
      </c>
      <c r="H8" s="14" t="n">
        <v>1457</v>
      </c>
      <c r="I8" s="14" t="n">
        <v>1492</v>
      </c>
      <c r="J8" s="14" t="n">
        <v>1458</v>
      </c>
      <c r="K8" s="14" t="n">
        <v>1455</v>
      </c>
      <c r="L8" s="14" t="n">
        <v>1458</v>
      </c>
    </row>
    <row r="10">
      <c r="A10" s="8" t="inlineStr">
        <is>
          <t>（2）在宅・居住系サービス利用者割合（受給者に占める割合）</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在宅・居住系サービス利用者割合</t>
        </is>
      </c>
      <c r="B12" s="12" t="n">
        <v>73.3</v>
      </c>
      <c r="C12" s="12" t="n">
        <v>74.2</v>
      </c>
      <c r="D12" s="12" t="n">
        <v>75</v>
      </c>
      <c r="E12" s="12" t="n">
        <v>74.7</v>
      </c>
      <c r="F12" s="12" t="n">
        <v>74.3</v>
      </c>
      <c r="G12" s="12" t="n">
        <v>74.8</v>
      </c>
      <c r="H12" s="12" t="n">
        <v>75.09999999999999</v>
      </c>
      <c r="I12" s="12" t="n">
        <v>76.09999999999999</v>
      </c>
      <c r="J12" s="12" t="n">
        <v>76.8</v>
      </c>
      <c r="K12" s="12" t="n">
        <v>76.09999999999999</v>
      </c>
      <c r="L12" s="12" t="n">
        <v>76</v>
      </c>
      <c r="M12" s="12" t="n">
        <v>77.5</v>
      </c>
    </row>
    <row r="14">
      <c r="A14" s="8" t="inlineStr">
        <is>
          <t>（3）施設および居住系サービスの受給率（第1号被保険者に占める割合・年度平均）</t>
        </is>
      </c>
    </row>
    <row r="15">
      <c r="A15" s="5" t="inlineStr">
        <is>
          <t>区分</t>
        </is>
      </c>
      <c r="B15" s="5" t="inlineStr">
        <is>
          <t>H26</t>
        </is>
      </c>
      <c r="C15" s="5" t="inlineStr">
        <is>
          <t>H27</t>
        </is>
      </c>
      <c r="D15" s="5" t="inlineStr">
        <is>
          <t>H28</t>
        </is>
      </c>
      <c r="E15" s="5" t="inlineStr">
        <is>
          <t>H29</t>
        </is>
      </c>
      <c r="F15" s="5" t="inlineStr">
        <is>
          <t>H30</t>
        </is>
      </c>
      <c r="G15" s="5" t="inlineStr">
        <is>
          <t>R元</t>
        </is>
      </c>
      <c r="H15" s="5" t="inlineStr">
        <is>
          <t>R2</t>
        </is>
      </c>
      <c r="I15" s="5" t="inlineStr">
        <is>
          <t>R3</t>
        </is>
      </c>
      <c r="J15" s="5" t="inlineStr">
        <is>
          <t>R4</t>
        </is>
      </c>
      <c r="K15" s="5" t="inlineStr">
        <is>
          <t>R5</t>
        </is>
      </c>
      <c r="L15" s="5" t="inlineStr">
        <is>
          <t>R6</t>
        </is>
      </c>
      <c r="M15" s="5" t="inlineStr">
        <is>
          <t>R7</t>
        </is>
      </c>
    </row>
    <row r="16">
      <c r="A16" s="6" t="inlineStr">
        <is>
          <t>大雪地区広域連合</t>
        </is>
      </c>
      <c r="B16" s="12" t="n">
        <v>6</v>
      </c>
      <c r="C16" s="12" t="n">
        <v>6.1</v>
      </c>
      <c r="D16" s="12" t="n">
        <v>6</v>
      </c>
      <c r="E16" s="12" t="n">
        <v>5.8</v>
      </c>
      <c r="F16" s="12" t="n">
        <v>5.6</v>
      </c>
      <c r="G16" s="12" t="n">
        <v>5.7</v>
      </c>
      <c r="H16" s="12" t="n">
        <v>5.8</v>
      </c>
      <c r="I16" s="12" t="n">
        <v>5.7</v>
      </c>
      <c r="J16" s="12" t="n">
        <v>5.6</v>
      </c>
      <c r="K16" s="12" t="n">
        <v>5.3</v>
      </c>
      <c r="L16" s="12" t="n">
        <v>5.4</v>
      </c>
      <c r="M16" s="12" t="n">
        <v>5.3</v>
      </c>
    </row>
    <row r="17">
      <c r="A17" s="6" t="inlineStr">
        <is>
          <t>北海道</t>
        </is>
      </c>
      <c r="B17" s="12" t="n">
        <v>4.7</v>
      </c>
      <c r="C17" s="12" t="n">
        <v>4.6</v>
      </c>
      <c r="D17" s="12" t="n">
        <v>4.5</v>
      </c>
      <c r="E17" s="12" t="n">
        <v>4.5</v>
      </c>
      <c r="F17" s="12" t="n">
        <v>4.5</v>
      </c>
      <c r="G17" s="12" t="n">
        <v>4.5</v>
      </c>
      <c r="H17" s="12" t="n">
        <v>4.5</v>
      </c>
      <c r="I17" s="12" t="n">
        <v>4.4</v>
      </c>
      <c r="J17" s="12" t="n">
        <v>4.4</v>
      </c>
      <c r="K17" s="12" t="n">
        <v>4.4</v>
      </c>
      <c r="L17" s="12" t="n">
        <v>4.4</v>
      </c>
      <c r="M17" s="12" t="n">
        <v>4.5</v>
      </c>
    </row>
    <row r="18">
      <c r="A18" s="6" t="inlineStr">
        <is>
          <t>全国</t>
        </is>
      </c>
      <c r="B18" s="12" t="n">
        <v>4.1</v>
      </c>
      <c r="C18" s="12" t="n">
        <v>4</v>
      </c>
      <c r="D18" s="12" t="n">
        <v>4</v>
      </c>
      <c r="E18" s="12" t="n">
        <v>4.1</v>
      </c>
      <c r="F18" s="12" t="n">
        <v>4.1</v>
      </c>
      <c r="G18" s="12" t="n">
        <v>4.1</v>
      </c>
      <c r="H18" s="12" t="n">
        <v>4.2</v>
      </c>
      <c r="I18" s="12" t="n">
        <v>4.2</v>
      </c>
      <c r="J18" s="12" t="n">
        <v>4.2</v>
      </c>
      <c r="K18" s="12" t="n">
        <v>4.2</v>
      </c>
      <c r="L18" s="12" t="n">
        <v>4.2</v>
      </c>
      <c r="M18" s="12" t="n">
        <v>4.3</v>
      </c>
    </row>
    <row r="20" ht="26" customHeight="1">
      <c r="A20" s="4" t="inlineStr">
        <is>
          <t>注1）（1）介護サービス利用率は令和6年度74.3％で、平成28年度の82.2％から7.9ポイント低下している。認定者は1,842人から1,962人へ増えた一方、受給者は1,515人から1,458人へ減っており、認定を受けても利用に至らない層が拡大している可能性がある。需要減か供給制約かの判別が必要である（修正指示書A-7）。注2）（3）施設・居住系サービスの受給率は令和7年度5.3％で、北海道4.5％の1.18倍、全国4.3％の1.23倍。平成27年度の6.1％からは低下しているが、依然として全国水準を上回る。注3）（3）は月次データの年度平均。原データは月別のため、年度の取り方により小数第1位が変動する。</t>
        </is>
      </c>
    </row>
  </sheetData>
  <mergeCells count="3">
    <mergeCell ref="A20:M20"/>
    <mergeCell ref="A2:M2"/>
    <mergeCell ref="A1:M1"/>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M2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図18　給付月額の比較（全国・北海道との対比）</t>
        </is>
      </c>
    </row>
    <row r="2" ht="16" customHeight="1">
      <c r="A2" s="2" t="inlineStr">
        <is>
          <t>資料：地域包括ケア「見える化」システム D6-a・D6-b・D17-a〜k（取得日 令和8年7月）／単位：円</t>
        </is>
      </c>
    </row>
    <row r="4">
      <c r="A4" s="8" t="inlineStr">
        <is>
          <t>（1）第1号被保険者1人あたり給付月額（在宅サービス）</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c r="M5" s="5" t="inlineStr">
        <is>
          <t>R7</t>
        </is>
      </c>
    </row>
    <row r="6">
      <c r="A6" s="6" t="inlineStr">
        <is>
          <t>大雪地区広域連合</t>
        </is>
      </c>
      <c r="B6" s="9" t="n">
        <v>9620</v>
      </c>
      <c r="C6" s="9" t="n">
        <v>9699</v>
      </c>
      <c r="D6" s="9" t="n">
        <v>10051</v>
      </c>
      <c r="E6" s="9" t="n">
        <v>10258</v>
      </c>
      <c r="F6" s="9" t="n">
        <v>9840</v>
      </c>
      <c r="G6" s="9" t="n">
        <v>10068</v>
      </c>
      <c r="H6" s="9" t="n">
        <v>9991</v>
      </c>
      <c r="I6" s="9" t="n">
        <v>10743</v>
      </c>
      <c r="J6" s="9" t="n">
        <v>11020</v>
      </c>
      <c r="K6" s="9" t="n">
        <v>11342</v>
      </c>
      <c r="L6" s="9" t="n">
        <v>11429</v>
      </c>
      <c r="M6" s="9" t="n">
        <v>12558</v>
      </c>
    </row>
    <row r="7">
      <c r="A7" s="6" t="inlineStr">
        <is>
          <t>北海道</t>
        </is>
      </c>
      <c r="B7" s="9" t="n">
        <v>8869</v>
      </c>
      <c r="C7" s="9" t="n">
        <v>9083</v>
      </c>
      <c r="D7" s="9" t="n">
        <v>9298</v>
      </c>
      <c r="E7" s="9" t="n">
        <v>9284</v>
      </c>
      <c r="F7" s="9" t="n">
        <v>9051</v>
      </c>
      <c r="G7" s="9" t="n">
        <v>9407</v>
      </c>
      <c r="H7" s="9" t="n">
        <v>9592</v>
      </c>
      <c r="I7" s="9" t="n">
        <v>9948</v>
      </c>
      <c r="J7" s="9" t="n">
        <v>10164</v>
      </c>
      <c r="K7" s="9" t="n">
        <v>10618</v>
      </c>
      <c r="L7" s="9" t="n">
        <v>10966</v>
      </c>
      <c r="M7" s="9" t="n">
        <v>11276</v>
      </c>
    </row>
    <row r="8">
      <c r="A8" s="6" t="inlineStr">
        <is>
          <t>全国</t>
        </is>
      </c>
      <c r="B8" s="9" t="n">
        <v>11225</v>
      </c>
      <c r="C8" s="9" t="n">
        <v>11282</v>
      </c>
      <c r="D8" s="9" t="n">
        <v>11295</v>
      </c>
      <c r="E8" s="9" t="n">
        <v>11320</v>
      </c>
      <c r="F8" s="9" t="n">
        <v>11262</v>
      </c>
      <c r="G8" s="9" t="n">
        <v>11531</v>
      </c>
      <c r="H8" s="9" t="n">
        <v>11712</v>
      </c>
      <c r="I8" s="9" t="n">
        <v>12107</v>
      </c>
      <c r="J8" s="9" t="n">
        <v>12308</v>
      </c>
      <c r="K8" s="9" t="n">
        <v>12778</v>
      </c>
      <c r="L8" s="9" t="n">
        <v>13183</v>
      </c>
      <c r="M8" s="9" t="n">
        <v>13635</v>
      </c>
    </row>
    <row r="10">
      <c r="A10" s="8" t="inlineStr">
        <is>
          <t>（2）第1号被保険者1人あたり給付月額（施設および居住系サービス）</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9" t="n">
        <v>14683</v>
      </c>
      <c r="C12" s="9" t="n">
        <v>14485</v>
      </c>
      <c r="D12" s="9" t="n">
        <v>14121</v>
      </c>
      <c r="E12" s="9" t="n">
        <v>13975</v>
      </c>
      <c r="F12" s="9" t="n">
        <v>14104</v>
      </c>
      <c r="G12" s="9" t="n">
        <v>14201</v>
      </c>
      <c r="H12" s="9" t="n">
        <v>14647</v>
      </c>
      <c r="I12" s="9" t="n">
        <v>14440</v>
      </c>
      <c r="J12" s="9" t="n">
        <v>13688</v>
      </c>
      <c r="K12" s="9" t="n">
        <v>13938</v>
      </c>
      <c r="L12" s="9" t="n">
        <v>14218</v>
      </c>
      <c r="M12" s="9" t="n">
        <v>14327</v>
      </c>
    </row>
    <row r="13">
      <c r="A13" s="6" t="inlineStr">
        <is>
          <t>北海道</t>
        </is>
      </c>
      <c r="B13" s="9" t="n">
        <v>11105</v>
      </c>
      <c r="C13" s="9" t="n">
        <v>10737</v>
      </c>
      <c r="D13" s="9" t="n">
        <v>10514</v>
      </c>
      <c r="E13" s="9" t="n">
        <v>10562</v>
      </c>
      <c r="F13" s="9" t="n">
        <v>10688</v>
      </c>
      <c r="G13" s="9" t="n">
        <v>10897</v>
      </c>
      <c r="H13" s="9" t="n">
        <v>11069</v>
      </c>
      <c r="I13" s="9" t="n">
        <v>11161</v>
      </c>
      <c r="J13" s="9" t="n">
        <v>11195</v>
      </c>
      <c r="K13" s="9" t="n">
        <v>11370</v>
      </c>
      <c r="L13" s="9" t="n">
        <v>11690</v>
      </c>
      <c r="M13" s="9" t="n">
        <v>11904</v>
      </c>
    </row>
    <row r="14">
      <c r="A14" s="6" t="inlineStr">
        <is>
          <t>全国</t>
        </is>
      </c>
      <c r="B14" s="9" t="n">
        <v>9920</v>
      </c>
      <c r="C14" s="9" t="n">
        <v>9779</v>
      </c>
      <c r="D14" s="9" t="n">
        <v>9709</v>
      </c>
      <c r="E14" s="9" t="n">
        <v>9912</v>
      </c>
      <c r="F14" s="9" t="n">
        <v>10151</v>
      </c>
      <c r="G14" s="9" t="n">
        <v>10393</v>
      </c>
      <c r="H14" s="9" t="n">
        <v>10633</v>
      </c>
      <c r="I14" s="9" t="n">
        <v>10758</v>
      </c>
      <c r="J14" s="9" t="n">
        <v>10863</v>
      </c>
      <c r="K14" s="9" t="n">
        <v>11082</v>
      </c>
      <c r="L14" s="9" t="n">
        <v>11502</v>
      </c>
      <c r="M14" s="9" t="n">
        <v>11773</v>
      </c>
    </row>
    <row r="16">
      <c r="A16" s="8" t="inlineStr">
        <is>
          <t>（3）受給者1人あたり給付月額（令和7年度・主要サービス）</t>
        </is>
      </c>
    </row>
    <row r="17">
      <c r="A17" s="5" t="inlineStr">
        <is>
          <t>サービス</t>
        </is>
      </c>
      <c r="B17" s="5" t="inlineStr">
        <is>
          <t>大雪地区広域連合</t>
        </is>
      </c>
      <c r="C17" s="5" t="inlineStr">
        <is>
          <t>北海道</t>
        </is>
      </c>
      <c r="D17" s="5" t="inlineStr">
        <is>
          <t>全国</t>
        </is>
      </c>
      <c r="E17" s="5" t="inlineStr">
        <is>
          <t>大雪／北海道</t>
        </is>
      </c>
      <c r="F17" s="5" t="inlineStr">
        <is>
          <t>大雪／全国</t>
        </is>
      </c>
    </row>
    <row r="18">
      <c r="A18" s="6" t="inlineStr">
        <is>
          <t>訪問介護</t>
        </is>
      </c>
      <c r="B18" s="9" t="n">
        <v>133685</v>
      </c>
      <c r="C18" s="9" t="n">
        <v>84606</v>
      </c>
      <c r="D18" s="9" t="n">
        <v>86541</v>
      </c>
      <c r="E18" s="24">
        <f>B18/C18</f>
        <v/>
      </c>
      <c r="F18" s="24">
        <f>B18/D18</f>
        <v/>
      </c>
    </row>
    <row r="19">
      <c r="A19" s="6" t="inlineStr">
        <is>
          <t>訪問看護</t>
        </is>
      </c>
      <c r="B19" s="9" t="n">
        <v>37385</v>
      </c>
      <c r="C19" s="9" t="n">
        <v>36323</v>
      </c>
      <c r="D19" s="9" t="n">
        <v>41701</v>
      </c>
      <c r="E19" s="24">
        <f>B19/C19</f>
        <v/>
      </c>
      <c r="F19" s="24">
        <f>B19/D19</f>
        <v/>
      </c>
    </row>
    <row r="20">
      <c r="A20" s="6" t="inlineStr">
        <is>
          <t>通所介護</t>
        </is>
      </c>
      <c r="B20" s="9" t="n">
        <v>62688</v>
      </c>
      <c r="C20" s="9" t="n">
        <v>58316</v>
      </c>
      <c r="D20" s="9" t="n">
        <v>84875</v>
      </c>
      <c r="E20" s="24">
        <f>B20/C20</f>
        <v/>
      </c>
      <c r="F20" s="24">
        <f>B20/D20</f>
        <v/>
      </c>
    </row>
    <row r="21">
      <c r="A21" s="6" t="inlineStr">
        <is>
          <t>特定施設入居者生活介護</t>
        </is>
      </c>
      <c r="B21" s="9" t="n">
        <v>173249</v>
      </c>
      <c r="C21" s="9" t="n">
        <v>174488</v>
      </c>
      <c r="D21" s="9" t="n">
        <v>191986</v>
      </c>
      <c r="E21" s="24">
        <f>B21/C21</f>
        <v/>
      </c>
      <c r="F21" s="24">
        <f>B21/D21</f>
        <v/>
      </c>
    </row>
    <row r="23" ht="26" customHeight="1">
      <c r="A23" s="4" t="inlineStr">
        <is>
          <t>注1）在宅サービスの1人あたり給付月額は令和7年度12,558円で、北海道11,276円を上回るが全国13,635円は下回る。注2）施設・居住系サービスは14,327円で、北海道11,904円の1.20倍、全国11,773円の1.22倍と一貫して高い。在宅と施設・居住系の合計26,885円は素案第9稿 第2章第1節の掲載値と一致する。注3）（3）訪問介護は受給者1人あたり133,685円で、北海道の1.58倍、全国の1.54倍。受給者1人あたり利用回数も北海道の1.85倍（55.4回対29.9回・15シート参照）であり、利用量と単価の双方が突出している。需要特性、提供体制、算定・集計範囲の要因分解が必要である（素案 表5の重点論点）。注4）通所介護は62,688円で全国84,875円の0.74倍と低く、サービス種別によって全国との位置関係が逆転する。</t>
        </is>
      </c>
    </row>
  </sheetData>
  <mergeCells count="3">
    <mergeCell ref="A2:M2"/>
    <mergeCell ref="A1:M1"/>
    <mergeCell ref="A23:M23"/>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M30"/>
  <sheetViews>
    <sheetView workbookViewId="0">
      <selection activeCell="A1" sqref="A1"/>
    </sheetView>
  </sheetViews>
  <sheetFormatPr baseColWidth="8" defaultRowHeight="15"/>
  <cols>
    <col width="28" customWidth="1" min="1" max="1"/>
    <col width="13" customWidth="1" min="2" max="2"/>
    <col width="13" customWidth="1" min="3" max="3"/>
    <col width="13" customWidth="1" min="4" max="4"/>
    <col width="13" customWidth="1" min="5" max="5"/>
    <col width="13" customWidth="1" min="6" max="6"/>
    <col width="20" customWidth="1" min="7" max="7"/>
  </cols>
  <sheetData>
    <row r="1" ht="24" customHeight="1">
      <c r="A1" s="1" t="inlineStr">
        <is>
          <t>図19　第9期計画の達成状況（代表KPI・給付費）</t>
        </is>
      </c>
    </row>
    <row r="2" ht="16" customHeight="1">
      <c r="A2" s="2" t="inlineStr">
        <is>
          <t>資料：第9期計画 第1章第6節（数値目標）・第6章／見える化B4-a・D48-b・D48-c／令和7年度 健康とくらしの調査／令和6〜8年度の事業実績は未受領のため淡黄色欄</t>
        </is>
      </c>
    </row>
    <row r="4">
      <c r="A4" s="8" t="inlineStr">
        <is>
          <t>（1）代表KPI4項目の目標と実績</t>
        </is>
      </c>
    </row>
    <row r="5">
      <c r="A5" s="5" t="inlineStr">
        <is>
          <t>指標</t>
        </is>
      </c>
      <c r="B5" s="5" t="inlineStr">
        <is>
          <t>基準値</t>
        </is>
      </c>
      <c r="C5" s="5" t="inlineStr">
        <is>
          <t>R6目標</t>
        </is>
      </c>
      <c r="D5" s="5" t="inlineStr">
        <is>
          <t>R7目標</t>
        </is>
      </c>
      <c r="E5" s="5" t="inlineStr">
        <is>
          <t>R8目標</t>
        </is>
      </c>
      <c r="F5" s="5" t="inlineStr">
        <is>
          <t>直近実績</t>
        </is>
      </c>
      <c r="G5" s="5" t="inlineStr">
        <is>
          <t>評価</t>
        </is>
      </c>
    </row>
    <row r="6">
      <c r="A6" s="6" t="inlineStr">
        <is>
          <t>① 要介護認定率（未調整）</t>
        </is>
      </c>
      <c r="B6" s="12" t="n">
        <v>20.8</v>
      </c>
      <c r="C6" s="12" t="n">
        <v>20.8</v>
      </c>
      <c r="D6" s="12" t="n">
        <v>20.8</v>
      </c>
      <c r="E6" s="12" t="n">
        <v>20.8</v>
      </c>
      <c r="F6" s="12" t="n"/>
      <c r="G6" s="12" t="inlineStr">
        <is>
          <t>実績は3月末基準のため別掲（下表）</t>
        </is>
      </c>
    </row>
    <row r="7">
      <c r="A7" s="6" t="inlineStr">
        <is>
          <t>② 重度要介護認定率（要介護3以上）</t>
        </is>
      </c>
      <c r="B7" s="12" t="n">
        <v>6.7</v>
      </c>
      <c r="C7" s="12" t="n">
        <v>6.6</v>
      </c>
      <c r="D7" s="12" t="n">
        <v>6.5</v>
      </c>
      <c r="E7" s="12" t="n">
        <v>6.4</v>
      </c>
      <c r="F7" s="12" t="n"/>
      <c r="G7" s="12" t="inlineStr">
        <is>
          <t>実績6.2〜6.3％で目標を下回る</t>
        </is>
      </c>
    </row>
    <row r="8">
      <c r="A8" s="6" t="inlineStr">
        <is>
          <t>③ フレイル該当割合</t>
        </is>
      </c>
      <c r="B8" s="12" t="n">
        <v>18.5</v>
      </c>
      <c r="C8" s="12" t="n"/>
      <c r="D8" s="12" t="n">
        <v>18</v>
      </c>
      <c r="E8" s="12" t="n"/>
      <c r="F8" s="12" t="n">
        <v>19.1</v>
      </c>
      <c r="G8" s="12" t="inlineStr">
        <is>
          <t>令和7年度調査19.1％で目標未達</t>
        </is>
      </c>
    </row>
    <row r="9">
      <c r="A9" s="6" t="inlineStr">
        <is>
          <t>④ 通いの場参加率（月1回以上）</t>
        </is>
      </c>
      <c r="B9" s="12" t="n">
        <v>7.3</v>
      </c>
      <c r="C9" s="12" t="n">
        <v>8</v>
      </c>
      <c r="D9" s="12" t="n">
        <v>9</v>
      </c>
      <c r="E9" s="12" t="n">
        <v>10</v>
      </c>
      <c r="F9" s="12" t="n">
        <v>8.800000000000001</v>
      </c>
      <c r="G9" s="12" t="inlineStr">
        <is>
          <t>令和7年度調査8.8％。R7目標9.0％に0.2pt不足</t>
        </is>
      </c>
    </row>
    <row r="11">
      <c r="A11" s="8" t="inlineStr">
        <is>
          <t>（2）認定率の実績（見える化・各年3月末基準）</t>
        </is>
      </c>
    </row>
    <row r="12">
      <c r="A12" s="5" t="inlineStr">
        <is>
          <t>区分</t>
        </is>
      </c>
      <c r="B12" s="5" t="inlineStr">
        <is>
          <t>R4年3月末</t>
        </is>
      </c>
      <c r="C12" s="5" t="inlineStr">
        <is>
          <t>R5年3月末</t>
        </is>
      </c>
      <c r="D12" s="5" t="inlineStr">
        <is>
          <t>R6年3月末</t>
        </is>
      </c>
      <c r="E12" s="5" t="inlineStr">
        <is>
          <t>R7年3月末</t>
        </is>
      </c>
      <c r="F12" s="5" t="inlineStr">
        <is>
          <t>R8年3月末</t>
        </is>
      </c>
      <c r="G12" s="5" t="inlineStr">
        <is>
          <t>第9期目標</t>
        </is>
      </c>
    </row>
    <row r="13">
      <c r="A13" s="6" t="inlineStr">
        <is>
          <t>合計認定率</t>
        </is>
      </c>
      <c r="B13" s="14" t="n">
        <v>20.6</v>
      </c>
      <c r="C13" s="14" t="n">
        <v>20.9</v>
      </c>
      <c r="D13" s="14" t="n">
        <v>21.2</v>
      </c>
      <c r="E13" s="14" t="n">
        <v>21.4</v>
      </c>
      <c r="F13" s="14" t="n">
        <v>21.8</v>
      </c>
      <c r="G13" s="14" t="n">
        <v>20.8</v>
      </c>
    </row>
    <row r="14">
      <c r="A14" s="6" t="inlineStr">
        <is>
          <t>要介護3以上（重度）</t>
        </is>
      </c>
      <c r="B14" s="14" t="n">
        <v>6.3</v>
      </c>
      <c r="C14" s="14" t="n">
        <v>6.3</v>
      </c>
      <c r="D14" s="14" t="n">
        <v>6.2</v>
      </c>
      <c r="E14" s="14" t="n">
        <v>6.3</v>
      </c>
      <c r="F14" s="14" t="n">
        <v>6.3</v>
      </c>
      <c r="G14" s="14" t="n">
        <v>6.4</v>
      </c>
    </row>
    <row r="15">
      <c r="A15" s="6" t="inlineStr">
        <is>
          <t>第1号被保険者数（人）</t>
        </is>
      </c>
      <c r="B15" s="14" t="n">
        <v>9245</v>
      </c>
      <c r="C15" s="14" t="n">
        <v>9211</v>
      </c>
      <c r="D15" s="14" t="n">
        <v>9130</v>
      </c>
      <c r="E15" s="14" t="n">
        <v>9158</v>
      </c>
      <c r="F15" s="14" t="n">
        <v>9090</v>
      </c>
      <c r="G15" s="14" t="n"/>
    </row>
    <row r="16">
      <c r="A16" s="6" t="inlineStr">
        <is>
          <t>合計認定者数（人）</t>
        </is>
      </c>
      <c r="B16" s="14" t="n">
        <v>1903</v>
      </c>
      <c r="C16" s="14" t="n">
        <v>1921</v>
      </c>
      <c r="D16" s="14" t="n">
        <v>1931</v>
      </c>
      <c r="E16" s="14" t="n">
        <v>1962</v>
      </c>
      <c r="F16" s="14" t="n">
        <v>1984</v>
      </c>
      <c r="G16" s="14" t="n"/>
    </row>
    <row r="18">
      <c r="A18" s="8" t="inlineStr">
        <is>
          <t>（3）給付費の計画値と実績（単位：千円）</t>
        </is>
      </c>
    </row>
    <row r="19">
      <c r="A19" s="5" t="inlineStr">
        <is>
          <t>区分</t>
        </is>
      </c>
      <c r="B19" s="5" t="inlineStr">
        <is>
          <t>R6計画</t>
        </is>
      </c>
      <c r="C19" s="5" t="inlineStr">
        <is>
          <t>R6実績</t>
        </is>
      </c>
      <c r="D19" s="5" t="inlineStr">
        <is>
          <t>R7計画</t>
        </is>
      </c>
      <c r="E19" s="5" t="inlineStr">
        <is>
          <t>R7実績</t>
        </is>
      </c>
      <c r="F19" s="5" t="inlineStr">
        <is>
          <t>R8計画</t>
        </is>
      </c>
      <c r="G19" s="5" t="inlineStr">
        <is>
          <t>R8実績</t>
        </is>
      </c>
    </row>
    <row r="20">
      <c r="A20" s="6" t="inlineStr">
        <is>
          <t>標準給付費見込額</t>
        </is>
      </c>
      <c r="B20" s="9" t="n">
        <v>3127780</v>
      </c>
      <c r="C20" s="10" t="n"/>
      <c r="D20" s="9" t="n">
        <v>3184593</v>
      </c>
      <c r="E20" s="10" t="n"/>
      <c r="F20" s="9" t="n">
        <v>3206838</v>
      </c>
      <c r="G20" s="10" t="n"/>
    </row>
    <row r="21">
      <c r="A21" s="6" t="inlineStr">
        <is>
          <t>総給付費（保険給付費）</t>
        </is>
      </c>
      <c r="B21" s="9" t="n">
        <v>2924324</v>
      </c>
      <c r="C21" s="10" t="n"/>
      <c r="D21" s="9" t="n">
        <v>2979919</v>
      </c>
      <c r="E21" s="10" t="n"/>
      <c r="F21" s="9" t="n">
        <v>3000991</v>
      </c>
      <c r="G21" s="10" t="n"/>
    </row>
    <row r="22">
      <c r="A22" s="6" t="inlineStr">
        <is>
          <t>地域支援事業費</t>
        </is>
      </c>
      <c r="B22" s="9" t="n">
        <v>197886</v>
      </c>
      <c r="C22" s="10" t="n"/>
      <c r="D22" s="9" t="n">
        <v>197886</v>
      </c>
      <c r="E22" s="10" t="n"/>
      <c r="F22" s="9" t="n">
        <v>197886</v>
      </c>
      <c r="G22" s="10" t="n"/>
    </row>
    <row r="23">
      <c r="A23" s="6" t="inlineStr">
        <is>
          <t>合計（標準給付費＋地域支援事業費）</t>
        </is>
      </c>
      <c r="B23" s="11">
        <f>B20+B22</f>
        <v/>
      </c>
      <c r="C23" s="11">
        <f>C20+C22</f>
        <v/>
      </c>
      <c r="D23" s="11">
        <f>D20+D22</f>
        <v/>
      </c>
      <c r="E23" s="11">
        <f>E20+E22</f>
        <v/>
      </c>
      <c r="F23" s="11">
        <f>F20+F22</f>
        <v/>
      </c>
      <c r="G23" s="11">
        <f>G20+G22</f>
        <v/>
      </c>
    </row>
    <row r="25">
      <c r="A25" s="8" t="inlineStr">
        <is>
          <t>（4）参考：保険給付費・地域支援事業費の決算推移（単位：千円）</t>
        </is>
      </c>
    </row>
    <row r="26">
      <c r="A26" s="5" t="inlineStr">
        <is>
          <t>区分</t>
        </is>
      </c>
      <c r="B26" s="5" t="inlineStr">
        <is>
          <t>R元年度</t>
        </is>
      </c>
      <c r="C26" s="5" t="inlineStr">
        <is>
          <t>R2年度</t>
        </is>
      </c>
      <c r="D26" s="5" t="inlineStr">
        <is>
          <t>R3年度</t>
        </is>
      </c>
      <c r="E26" s="5" t="inlineStr">
        <is>
          <t>R4年度</t>
        </is>
      </c>
      <c r="F26" s="5" t="inlineStr">
        <is>
          <t>R5年度</t>
        </is>
      </c>
      <c r="G26" s="5" t="inlineStr">
        <is>
          <t>R6年度以降</t>
        </is>
      </c>
    </row>
    <row r="27">
      <c r="A27" s="6" t="inlineStr">
        <is>
          <t>保険給付費（決算）</t>
        </is>
      </c>
      <c r="B27" s="9" t="n">
        <v>2886092</v>
      </c>
      <c r="C27" s="9" t="n">
        <v>2941727</v>
      </c>
      <c r="D27" s="9" t="n">
        <v>2992042</v>
      </c>
      <c r="E27" s="9" t="n">
        <v>2907204</v>
      </c>
      <c r="F27" s="9" t="n">
        <v>2940409</v>
      </c>
      <c r="G27" s="10" t="n"/>
    </row>
    <row r="28">
      <c r="A28" s="6" t="inlineStr">
        <is>
          <t>地域支援事業費（決算）</t>
        </is>
      </c>
      <c r="B28" s="9" t="n">
        <v>176434</v>
      </c>
      <c r="C28" s="9" t="n">
        <v>183357</v>
      </c>
      <c r="D28" s="9" t="n">
        <v>177286</v>
      </c>
      <c r="E28" s="9" t="n">
        <v>182136</v>
      </c>
      <c r="F28" s="9" t="n">
        <v>177517</v>
      </c>
      <c r="G28" s="10" t="n"/>
    </row>
    <row r="30" ht="26" customHeight="1">
      <c r="A30" s="4" t="inlineStr">
        <is>
          <t>注1）①要介護認定率は第9期計画が各年9月分を基準としているのに対し、見える化の公表値は各年3月末基準であるため、（2）に別掲した。令和8年3月末の21.8％は目標20.8％を1.0ポイント上回っており未達である。注2）②重度要介護認定率は見える化の要介護3〜5の認定率を合計した値で、令和8年3月末6.3％。第9期目標（R8 6.4％）を下回っており達成の見込みである。注3）③フレイル該当割合は令和7年度 健康とくらしの調査で19.1％。第9期目標（R7 18.0％）に対し1.1ポイント未達。ただし基準値18.5％との差0.6ポイントは統計的に有意ではない（08シート参照）。注4）④通いの場参加率は同調査で8.8％。基準値7.3％から1.5ポイント上昇し、この変化は統計的に有意である。R7目標9.0％には0.2ポイント届かず、R8目標10.0％の達成は難しい見通しである。注5）（3）の実績欄と（4）のR6年度以降は、令和6〜8年度の決算・事業実績の受領後に入力する（修正指示書 最優先項目）。注6）（4）の決算値は見える化D48-b・D48-cによる。第9期計画 第2章第2節の給付費（見える化の給付実績ベース）とは集計範囲が異なるため直接比較しない。</t>
        </is>
      </c>
    </row>
  </sheetData>
  <mergeCells count="3">
    <mergeCell ref="A30:M30"/>
    <mergeCell ref="A2:H2"/>
    <mergeCell ref="A1:H1"/>
  </mergeCell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N5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s>
  <sheetData>
    <row r="1" ht="24" customHeight="1">
      <c r="A1" s="1" t="inlineStr">
        <is>
          <t>図20　受給率の内訳と要支援・要介護者1人あたり定員</t>
        </is>
      </c>
    </row>
    <row r="2" ht="16" customHeight="1">
      <c r="A2" s="2" t="inlineStr">
        <is>
          <t>出典：見える化D41（令和7年・地域別）、D41-a（平成26年4月〜令和8年1月の月次を年度平均に集計）、D28・D29・D30（介護サービス情報公表システム及び月報）。受給率の分母は第1号被保険者数。</t>
        </is>
      </c>
    </row>
    <row r="4">
      <c r="A4" s="8" t="inlineStr">
        <is>
          <t>（1）受給率の内訳（令和7年・％。分母は第1号被保険者数）</t>
        </is>
      </c>
    </row>
    <row r="5">
      <c r="A5" s="5" t="inlineStr">
        <is>
          <t>区分</t>
        </is>
      </c>
      <c r="B5" s="5" t="inlineStr">
        <is>
          <t>全国</t>
        </is>
      </c>
      <c r="C5" s="5" t="inlineStr">
        <is>
          <t>北海道</t>
        </is>
      </c>
      <c r="D5" s="5" t="inlineStr">
        <is>
          <t>大雪地区広域連合</t>
        </is>
      </c>
    </row>
    <row r="6">
      <c r="A6" s="6" t="inlineStr">
        <is>
          <t>在宅サービス</t>
        </is>
      </c>
      <c r="B6" s="12" t="n">
        <v>11</v>
      </c>
      <c r="C6" s="12" t="n">
        <v>10.3</v>
      </c>
      <c r="D6" s="12" t="n">
        <v>11.2</v>
      </c>
    </row>
    <row r="7">
      <c r="A7" s="6" t="inlineStr">
        <is>
          <t>施設および居住系サービス</t>
        </is>
      </c>
      <c r="B7" s="12" t="n">
        <v>4.3</v>
      </c>
      <c r="C7" s="12" t="n">
        <v>4.5</v>
      </c>
      <c r="D7" s="12" t="n">
        <v>5.3</v>
      </c>
    </row>
    <row r="8" ht="26" customHeight="1">
      <c r="A8" s="4" t="inlineStr">
        <is>
          <t>注）大雪の合計16.5％は全国15.3％の1.078倍で、見える化D49の地域差指数「受給率1.08」を再現する。在宅は全国比1.02とほぼ同水準で、超過分はほぼ全て施設および居住系に由来する。</t>
        </is>
      </c>
    </row>
    <row r="10">
      <c r="A10" s="8" t="inlineStr">
        <is>
          <t>（2）施設および居住系サービス受給率の推移（年度平均・％）</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25" t="n">
        <v>6.02</v>
      </c>
      <c r="C12" s="25" t="n">
        <v>6.1</v>
      </c>
      <c r="D12" s="25" t="n">
        <v>5.92</v>
      </c>
      <c r="E12" s="25" t="n">
        <v>5.72</v>
      </c>
      <c r="F12" s="25" t="n">
        <v>5.66</v>
      </c>
      <c r="G12" s="25" t="n">
        <v>5.72</v>
      </c>
      <c r="H12" s="25" t="n">
        <v>5.72</v>
      </c>
      <c r="I12" s="25" t="n">
        <v>5.6</v>
      </c>
      <c r="J12" s="25" t="n">
        <v>5.28</v>
      </c>
      <c r="K12" s="25" t="n">
        <v>5.39</v>
      </c>
      <c r="L12" s="25" t="n">
        <v>5.31</v>
      </c>
      <c r="M12" s="25" t="n">
        <v>5.25</v>
      </c>
    </row>
    <row r="13">
      <c r="A13" s="6" t="inlineStr">
        <is>
          <t>北海道</t>
        </is>
      </c>
      <c r="B13" s="25" t="n">
        <v>4.66</v>
      </c>
      <c r="C13" s="25" t="n">
        <v>4.57</v>
      </c>
      <c r="D13" s="25" t="n">
        <v>4.5</v>
      </c>
      <c r="E13" s="25" t="n">
        <v>4.47</v>
      </c>
      <c r="F13" s="25" t="n">
        <v>4.49</v>
      </c>
      <c r="G13" s="25" t="n">
        <v>4.48</v>
      </c>
      <c r="H13" s="25" t="n">
        <v>4.47</v>
      </c>
      <c r="I13" s="25" t="n">
        <v>4.44</v>
      </c>
      <c r="J13" s="25" t="n">
        <v>4.41</v>
      </c>
      <c r="K13" s="25" t="n">
        <v>4.44</v>
      </c>
      <c r="L13" s="25" t="n">
        <v>4.46</v>
      </c>
      <c r="M13" s="25" t="n">
        <v>4.49</v>
      </c>
    </row>
    <row r="14">
      <c r="A14" s="6" t="inlineStr">
        <is>
          <t>全国</t>
        </is>
      </c>
      <c r="B14" s="25" t="n">
        <v>4.04</v>
      </c>
      <c r="C14" s="25" t="n">
        <v>4.04</v>
      </c>
      <c r="D14" s="25" t="n">
        <v>4.03</v>
      </c>
      <c r="E14" s="25" t="n">
        <v>4.08</v>
      </c>
      <c r="F14" s="25" t="n">
        <v>4.1</v>
      </c>
      <c r="G14" s="25" t="n">
        <v>4.15</v>
      </c>
      <c r="H14" s="25" t="n">
        <v>4.19</v>
      </c>
      <c r="I14" s="25" t="n">
        <v>4.18</v>
      </c>
      <c r="J14" s="25" t="n">
        <v>4.19</v>
      </c>
      <c r="K14" s="25" t="n">
        <v>4.2</v>
      </c>
      <c r="L14" s="25" t="n">
        <v>4.26</v>
      </c>
      <c r="M14" s="25" t="n">
        <v>4.3</v>
      </c>
    </row>
    <row r="15" ht="26" customHeight="1">
      <c r="A15" s="4" t="inlineStr">
        <is>
          <t>注）大雪は平成27年度6.10％をピークに0.85ポイント低下し、全国は平成28年度4.03％から0.27ポイント上昇した。全国との差は平成26年度1.98ポイントから令和7年度0.95ポイントへ半減している。令和7年度は令和8年1月サービス提供分までの10か月平均。</t>
        </is>
      </c>
    </row>
    <row r="17">
      <c r="A17" s="8" t="inlineStr">
        <is>
          <t>（3）要支援・要介護者1人あたり定員の推移（人）</t>
        </is>
      </c>
    </row>
    <row r="18">
      <c r="A18" s="5" t="inlineStr">
        <is>
          <t>サービス</t>
        </is>
      </c>
      <c r="B18" s="5" t="inlineStr">
        <is>
          <t>H27</t>
        </is>
      </c>
      <c r="C18" s="5" t="inlineStr">
        <is>
          <t>H28</t>
        </is>
      </c>
      <c r="D18" s="5" t="inlineStr">
        <is>
          <t>H29</t>
        </is>
      </c>
      <c r="E18" s="5" t="inlineStr">
        <is>
          <t>H30</t>
        </is>
      </c>
      <c r="F18" s="5" t="inlineStr">
        <is>
          <t>R元</t>
        </is>
      </c>
      <c r="G18" s="5" t="inlineStr">
        <is>
          <t>R2</t>
        </is>
      </c>
      <c r="H18" s="5" t="inlineStr">
        <is>
          <t>R3</t>
        </is>
      </c>
      <c r="I18" s="5" t="inlineStr">
        <is>
          <t>R4</t>
        </is>
      </c>
      <c r="J18" s="5" t="inlineStr">
        <is>
          <t>R5</t>
        </is>
      </c>
      <c r="K18" s="5" t="inlineStr">
        <is>
          <t>R6</t>
        </is>
      </c>
      <c r="L18" s="5" t="inlineStr">
        <is>
          <t>R7</t>
        </is>
      </c>
    </row>
    <row r="19">
      <c r="A19" s="6" t="inlineStr">
        <is>
          <t>介護老人福祉施設</t>
        </is>
      </c>
      <c r="B19" s="26" t="n">
        <v>0.104</v>
      </c>
      <c r="C19" s="26" t="n">
        <v>0.094</v>
      </c>
      <c r="D19" s="26" t="n">
        <v>0.124</v>
      </c>
      <c r="E19" s="26" t="n">
        <v>0.126</v>
      </c>
      <c r="F19" s="26" t="n">
        <v>0.123</v>
      </c>
      <c r="G19" s="26" t="n">
        <v>0.08500000000000001</v>
      </c>
      <c r="H19" s="26" t="n">
        <v>0.08400000000000001</v>
      </c>
      <c r="I19" s="26" t="n">
        <v>0.083</v>
      </c>
      <c r="J19" s="26" t="n">
        <v>0.083</v>
      </c>
      <c r="K19" s="26" t="n">
        <v>0.082</v>
      </c>
      <c r="L19" s="26" t="n">
        <v>0.082</v>
      </c>
    </row>
    <row r="20">
      <c r="A20" s="6" t="inlineStr">
        <is>
          <t>介護老人保健施設</t>
        </is>
      </c>
      <c r="B20" s="26" t="n">
        <v>0.128</v>
      </c>
      <c r="C20" s="26" t="n">
        <v>0.13</v>
      </c>
      <c r="D20" s="26" t="n">
        <v>0.128</v>
      </c>
      <c r="E20" s="26" t="n">
        <v>0.129</v>
      </c>
      <c r="F20" s="26" t="n">
        <v>0.126</v>
      </c>
      <c r="G20" s="26" t="n">
        <v>0.128</v>
      </c>
      <c r="H20" s="26" t="n">
        <v>0.126</v>
      </c>
      <c r="I20" s="26" t="n">
        <v>0.125</v>
      </c>
      <c r="J20" s="26" t="n">
        <v>0.124</v>
      </c>
      <c r="K20" s="26" t="n">
        <v>0.122</v>
      </c>
      <c r="L20" s="26" t="n">
        <v>0.123</v>
      </c>
    </row>
    <row r="21">
      <c r="A21" s="6" t="inlineStr">
        <is>
          <t>地域密着型介護老人福祉施設</t>
        </is>
      </c>
      <c r="B21" s="26" t="n"/>
      <c r="C21" s="26" t="n"/>
      <c r="D21" s="26" t="n"/>
      <c r="E21" s="26" t="n">
        <v>0.033</v>
      </c>
      <c r="F21" s="26" t="n">
        <v>0.033</v>
      </c>
      <c r="G21" s="26" t="n">
        <v>0.033</v>
      </c>
      <c r="H21" s="26" t="n">
        <v>0.033</v>
      </c>
      <c r="I21" s="26" t="n">
        <v>0.032</v>
      </c>
      <c r="J21" s="26" t="n">
        <v>0.032</v>
      </c>
      <c r="K21" s="26" t="n">
        <v>0.032</v>
      </c>
      <c r="L21" s="26" t="n">
        <v>0.032</v>
      </c>
    </row>
    <row r="22">
      <c r="A22" s="6" t="inlineStr">
        <is>
          <t>特定施設入居者生活介護</t>
        </is>
      </c>
      <c r="B22" s="26" t="n">
        <v>0.083</v>
      </c>
      <c r="C22" s="26" t="n">
        <v>0.08500000000000001</v>
      </c>
      <c r="D22" s="26" t="n">
        <v>0.083</v>
      </c>
      <c r="E22" s="26" t="n">
        <v>0.08400000000000001</v>
      </c>
      <c r="F22" s="26" t="n">
        <v>0.082</v>
      </c>
      <c r="G22" s="26" t="n">
        <v>0.083</v>
      </c>
      <c r="H22" s="26" t="n">
        <v>0.082</v>
      </c>
      <c r="I22" s="26" t="n">
        <v>0.082</v>
      </c>
      <c r="J22" s="26" t="n">
        <v>0.081</v>
      </c>
      <c r="K22" s="26" t="n">
        <v>0.08</v>
      </c>
      <c r="L22" s="26" t="n">
        <v>0.08</v>
      </c>
    </row>
    <row r="23">
      <c r="A23" s="6" t="inlineStr">
        <is>
          <t>認知症対応型共同生活介護</t>
        </is>
      </c>
      <c r="B23" s="26" t="n">
        <v>0.051</v>
      </c>
      <c r="C23" s="26" t="n">
        <v>0.062</v>
      </c>
      <c r="D23" s="26" t="n">
        <v>0.061</v>
      </c>
      <c r="E23" s="26" t="n">
        <v>0.062</v>
      </c>
      <c r="F23" s="26" t="n">
        <v>0.06</v>
      </c>
      <c r="G23" s="26" t="n">
        <v>0.061</v>
      </c>
      <c r="H23" s="26" t="n">
        <v>0.061</v>
      </c>
      <c r="I23" s="26" t="n">
        <v>0.052</v>
      </c>
      <c r="J23" s="26" t="n">
        <v>0.051</v>
      </c>
      <c r="K23" s="26" t="n">
        <v>0.05</v>
      </c>
      <c r="L23" s="26" t="n">
        <v>0.051</v>
      </c>
    </row>
    <row r="25">
      <c r="A25" s="5" t="inlineStr">
        <is>
          <t>区分</t>
        </is>
      </c>
      <c r="B25" s="5" t="inlineStr">
        <is>
          <t>H27</t>
        </is>
      </c>
      <c r="C25" s="5" t="inlineStr">
        <is>
          <t>H28</t>
        </is>
      </c>
      <c r="D25" s="5" t="inlineStr">
        <is>
          <t>H29</t>
        </is>
      </c>
      <c r="E25" s="5" t="inlineStr">
        <is>
          <t>H30</t>
        </is>
      </c>
      <c r="F25" s="5" t="inlineStr">
        <is>
          <t>R元</t>
        </is>
      </c>
      <c r="G25" s="5" t="inlineStr">
        <is>
          <t>R2</t>
        </is>
      </c>
      <c r="H25" s="5" t="inlineStr">
        <is>
          <t>R3</t>
        </is>
      </c>
      <c r="I25" s="5" t="inlineStr">
        <is>
          <t>R4</t>
        </is>
      </c>
      <c r="J25" s="5" t="inlineStr">
        <is>
          <t>R5</t>
        </is>
      </c>
      <c r="K25" s="5" t="inlineStr">
        <is>
          <t>R6</t>
        </is>
      </c>
      <c r="L25" s="5" t="inlineStr">
        <is>
          <t>R7</t>
        </is>
      </c>
    </row>
    <row r="26">
      <c r="A26" s="6" t="inlineStr">
        <is>
          <t>施設サービス計</t>
        </is>
      </c>
      <c r="B26" s="26" t="n">
        <v>0.232</v>
      </c>
      <c r="C26" s="26" t="n">
        <v>0.225</v>
      </c>
      <c r="D26" s="26" t="n">
        <v>0.252</v>
      </c>
      <c r="E26" s="26" t="n">
        <v>0.288</v>
      </c>
      <c r="F26" s="26" t="n">
        <v>0.282</v>
      </c>
      <c r="G26" s="26" t="n">
        <v>0.246</v>
      </c>
      <c r="H26" s="26" t="n">
        <v>0.243</v>
      </c>
      <c r="I26" s="26" t="n">
        <v>0.24</v>
      </c>
      <c r="J26" s="26" t="n">
        <v>0.239</v>
      </c>
      <c r="K26" s="26" t="n">
        <v>0.235</v>
      </c>
      <c r="L26" s="26" t="n">
        <v>0.237</v>
      </c>
    </row>
    <row r="27">
      <c r="A27" s="6" t="inlineStr">
        <is>
          <t>居住系サービス計</t>
        </is>
      </c>
      <c r="B27" s="26" t="n">
        <v>0.135</v>
      </c>
      <c r="C27" s="26" t="n">
        <v>0.147</v>
      </c>
      <c r="D27" s="26" t="n">
        <v>0.144</v>
      </c>
      <c r="E27" s="26" t="n">
        <v>0.146</v>
      </c>
      <c r="F27" s="26" t="n">
        <v>0.143</v>
      </c>
      <c r="G27" s="26" t="n">
        <v>0.144</v>
      </c>
      <c r="H27" s="26" t="n">
        <v>0.143</v>
      </c>
      <c r="I27" s="26" t="n">
        <v>0.134</v>
      </c>
      <c r="J27" s="26" t="n">
        <v>0.132</v>
      </c>
      <c r="K27" s="26" t="n">
        <v>0.13</v>
      </c>
      <c r="L27" s="26" t="n">
        <v>0.131</v>
      </c>
    </row>
    <row r="28">
      <c r="A28" s="6" t="inlineStr">
        <is>
          <t>通所系サービス計</t>
        </is>
      </c>
      <c r="B28" s="26" t="n">
        <v>0.14</v>
      </c>
      <c r="C28" s="26" t="n">
        <v>0.156</v>
      </c>
      <c r="D28" s="26" t="n">
        <v>0.147</v>
      </c>
      <c r="E28" s="26" t="n">
        <v>0.148</v>
      </c>
      <c r="F28" s="26" t="n">
        <v>0.145</v>
      </c>
      <c r="G28" s="26" t="n">
        <v>0.141</v>
      </c>
      <c r="H28" s="26" t="n">
        <v>0.141</v>
      </c>
      <c r="I28" s="26" t="n">
        <v>0.15</v>
      </c>
      <c r="J28" s="26" t="n">
        <v>0.15</v>
      </c>
      <c r="K28" s="26" t="n">
        <v>0.143</v>
      </c>
      <c r="L28" s="26" t="n">
        <v>0.144</v>
      </c>
    </row>
    <row r="29" ht="26" customHeight="1">
      <c r="A29" s="4" t="inlineStr">
        <is>
          <t>注1）定員そのものが変わらなくても認定者が増えれば低下する。実数の推移は06シート（定員）を参照。注2）施設サービス計は平成30年度0.288人から令和7年度0.237人へ17.7％減、うち介護老人福祉施設は34.9％減。居住系サービス計は10.3％減。注3）介護療養型医療施設・介護医療院・地域密着型特定施設入居者生活介護は当圏域に事業所がない。</t>
        </is>
      </c>
    </row>
    <row r="30">
      <c r="A30" s="8" t="inlineStr">
        <is>
          <t>（4）要介護度別の受給率の推移（％。分母は第1号被保険者数）</t>
        </is>
      </c>
    </row>
    <row r="31">
      <c r="A31" s="5" t="inlineStr">
        <is>
          <t>施設サービス</t>
        </is>
      </c>
      <c r="B31" s="5" t="inlineStr">
        <is>
          <t>H26</t>
        </is>
      </c>
      <c r="C31" s="5" t="inlineStr">
        <is>
          <t>H27</t>
        </is>
      </c>
      <c r="D31" s="5" t="inlineStr">
        <is>
          <t>H28</t>
        </is>
      </c>
      <c r="E31" s="5" t="inlineStr">
        <is>
          <t>H29</t>
        </is>
      </c>
      <c r="F31" s="5" t="inlineStr">
        <is>
          <t>H30</t>
        </is>
      </c>
      <c r="G31" s="5" t="inlineStr">
        <is>
          <t>R元</t>
        </is>
      </c>
      <c r="H31" s="5" t="inlineStr">
        <is>
          <t>R2</t>
        </is>
      </c>
      <c r="I31" s="5" t="inlineStr">
        <is>
          <t>R3</t>
        </is>
      </c>
      <c r="J31" s="5" t="inlineStr">
        <is>
          <t>R4</t>
        </is>
      </c>
      <c r="K31" s="5" t="inlineStr">
        <is>
          <t>R5</t>
        </is>
      </c>
      <c r="L31" s="5" t="inlineStr">
        <is>
          <t>R6</t>
        </is>
      </c>
      <c r="M31" s="5" t="inlineStr">
        <is>
          <t>R7</t>
        </is>
      </c>
    </row>
    <row r="32">
      <c r="A32" s="6" t="inlineStr">
        <is>
          <t>要介護1</t>
        </is>
      </c>
      <c r="B32" s="12" t="n">
        <v>0.4</v>
      </c>
      <c r="C32" s="12" t="n">
        <v>0.4</v>
      </c>
      <c r="D32" s="12" t="n">
        <v>0.4</v>
      </c>
      <c r="E32" s="12" t="n">
        <v>0.3</v>
      </c>
      <c r="F32" s="12" t="n">
        <v>0.4</v>
      </c>
      <c r="G32" s="12" t="n">
        <v>0.3</v>
      </c>
      <c r="H32" s="12" t="n">
        <v>0.3</v>
      </c>
      <c r="I32" s="12" t="n">
        <v>0.4</v>
      </c>
      <c r="J32" s="12" t="n">
        <v>0.3</v>
      </c>
      <c r="K32" s="12" t="n">
        <v>0.5</v>
      </c>
      <c r="L32" s="12" t="n">
        <v>0.5</v>
      </c>
      <c r="M32" s="12" t="n">
        <v>0.4</v>
      </c>
    </row>
    <row r="33">
      <c r="A33" s="6" t="inlineStr">
        <is>
          <t>要介護2</t>
        </is>
      </c>
      <c r="B33" s="12" t="n">
        <v>0.7</v>
      </c>
      <c r="C33" s="12" t="n">
        <v>0.8</v>
      </c>
      <c r="D33" s="12" t="n">
        <v>0.7</v>
      </c>
      <c r="E33" s="12" t="n">
        <v>0.7</v>
      </c>
      <c r="F33" s="12" t="n">
        <v>0.7</v>
      </c>
      <c r="G33" s="12" t="n">
        <v>0.7</v>
      </c>
      <c r="H33" s="12" t="n">
        <v>0.7</v>
      </c>
      <c r="I33" s="12" t="n">
        <v>0.6</v>
      </c>
      <c r="J33" s="12" t="n">
        <v>0.6</v>
      </c>
      <c r="K33" s="12" t="n">
        <v>0.7</v>
      </c>
      <c r="L33" s="12" t="n">
        <v>0.8</v>
      </c>
      <c r="M33" s="12" t="n">
        <v>0.7</v>
      </c>
    </row>
    <row r="34">
      <c r="A34" s="6" t="inlineStr">
        <is>
          <t>要介護3</t>
        </is>
      </c>
      <c r="B34" s="12" t="n">
        <v>0.9</v>
      </c>
      <c r="C34" s="12" t="n">
        <v>1</v>
      </c>
      <c r="D34" s="12" t="n">
        <v>1</v>
      </c>
      <c r="E34" s="12" t="n">
        <v>1</v>
      </c>
      <c r="F34" s="12" t="n">
        <v>0.9</v>
      </c>
      <c r="G34" s="12" t="n">
        <v>1</v>
      </c>
      <c r="H34" s="12" t="n">
        <v>1.1</v>
      </c>
      <c r="I34" s="12" t="n">
        <v>1.1</v>
      </c>
      <c r="J34" s="12" t="n">
        <v>1</v>
      </c>
      <c r="K34" s="12" t="n">
        <v>0.9</v>
      </c>
      <c r="L34" s="12" t="n">
        <v>0.9</v>
      </c>
      <c r="M34" s="12" t="n">
        <v>0.9</v>
      </c>
    </row>
    <row r="35">
      <c r="A35" s="6" t="inlineStr">
        <is>
          <t>要介護4</t>
        </is>
      </c>
      <c r="B35" s="12" t="n">
        <v>1.1</v>
      </c>
      <c r="C35" s="12" t="n">
        <v>1.2</v>
      </c>
      <c r="D35" s="12" t="n">
        <v>1.1</v>
      </c>
      <c r="E35" s="12" t="n">
        <v>1.1</v>
      </c>
      <c r="F35" s="12" t="n">
        <v>1</v>
      </c>
      <c r="G35" s="12" t="n">
        <v>1.1</v>
      </c>
      <c r="H35" s="12" t="n">
        <v>1.2</v>
      </c>
      <c r="I35" s="12" t="n">
        <v>1.1</v>
      </c>
      <c r="J35" s="12" t="n">
        <v>1.1</v>
      </c>
      <c r="K35" s="12" t="n">
        <v>1</v>
      </c>
      <c r="L35" s="12" t="n">
        <v>1</v>
      </c>
      <c r="M35" s="12" t="n">
        <v>1.1</v>
      </c>
    </row>
    <row r="36">
      <c r="A36" s="6" t="inlineStr">
        <is>
          <t>要介護5</t>
        </is>
      </c>
      <c r="B36" s="12" t="n">
        <v>1.2</v>
      </c>
      <c r="C36" s="12" t="n">
        <v>1.1</v>
      </c>
      <c r="D36" s="12" t="n">
        <v>1</v>
      </c>
      <c r="E36" s="12" t="n">
        <v>1</v>
      </c>
      <c r="F36" s="12" t="n">
        <v>1</v>
      </c>
      <c r="G36" s="12" t="n">
        <v>0.9</v>
      </c>
      <c r="H36" s="12" t="n">
        <v>0.7</v>
      </c>
      <c r="I36" s="12" t="n">
        <v>0.7</v>
      </c>
      <c r="J36" s="12" t="n">
        <v>0.7</v>
      </c>
      <c r="K36" s="12" t="n">
        <v>0.7</v>
      </c>
      <c r="L36" s="12" t="n">
        <v>0.6</v>
      </c>
      <c r="M36" s="12" t="n">
        <v>0.7</v>
      </c>
    </row>
    <row r="38">
      <c r="A38" s="5" t="inlineStr">
        <is>
          <t>在宅サービス</t>
        </is>
      </c>
      <c r="B38" s="5" t="inlineStr">
        <is>
          <t>H26</t>
        </is>
      </c>
      <c r="C38" s="5" t="inlineStr">
        <is>
          <t>H27</t>
        </is>
      </c>
      <c r="D38" s="5" t="inlineStr">
        <is>
          <t>H28</t>
        </is>
      </c>
      <c r="E38" s="5" t="inlineStr">
        <is>
          <t>H29</t>
        </is>
      </c>
      <c r="F38" s="5" t="inlineStr">
        <is>
          <t>H30</t>
        </is>
      </c>
      <c r="G38" s="5" t="inlineStr">
        <is>
          <t>R元</t>
        </is>
      </c>
      <c r="H38" s="5" t="inlineStr">
        <is>
          <t>R2</t>
        </is>
      </c>
      <c r="I38" s="5" t="inlineStr">
        <is>
          <t>R3</t>
        </is>
      </c>
      <c r="J38" s="5" t="inlineStr">
        <is>
          <t>R4</t>
        </is>
      </c>
      <c r="K38" s="5" t="inlineStr">
        <is>
          <t>R5</t>
        </is>
      </c>
      <c r="L38" s="5" t="inlineStr">
        <is>
          <t>R6</t>
        </is>
      </c>
      <c r="M38" s="5" t="inlineStr">
        <is>
          <t>R7</t>
        </is>
      </c>
    </row>
    <row r="39">
      <c r="A39" s="6" t="inlineStr">
        <is>
          <t>要支援1</t>
        </is>
      </c>
      <c r="B39" s="12" t="n">
        <v>1.6</v>
      </c>
      <c r="C39" s="12" t="n">
        <v>2</v>
      </c>
      <c r="D39" s="12" t="n">
        <v>2</v>
      </c>
      <c r="E39" s="12" t="n">
        <v>1.5</v>
      </c>
      <c r="F39" s="12" t="n">
        <v>1.1</v>
      </c>
      <c r="G39" s="12" t="n">
        <v>1.1</v>
      </c>
      <c r="H39" s="12" t="n">
        <v>1.1</v>
      </c>
      <c r="I39" s="12" t="n">
        <v>1.1</v>
      </c>
      <c r="J39" s="12" t="n">
        <v>1</v>
      </c>
      <c r="K39" s="12" t="n">
        <v>1</v>
      </c>
      <c r="L39" s="12" t="n">
        <v>1</v>
      </c>
      <c r="M39" s="12" t="n">
        <v>1.2</v>
      </c>
    </row>
    <row r="40">
      <c r="A40" s="6" t="inlineStr">
        <is>
          <t>要支援2</t>
        </is>
      </c>
      <c r="B40" s="12" t="n">
        <v>2.1</v>
      </c>
      <c r="C40" s="12" t="n">
        <v>2.2</v>
      </c>
      <c r="D40" s="12" t="n">
        <v>2.1</v>
      </c>
      <c r="E40" s="12" t="n">
        <v>1.8</v>
      </c>
      <c r="F40" s="12" t="n">
        <v>1.5</v>
      </c>
      <c r="G40" s="12" t="n">
        <v>1.6</v>
      </c>
      <c r="H40" s="12" t="n">
        <v>1.7</v>
      </c>
      <c r="I40" s="12" t="n">
        <v>1.8</v>
      </c>
      <c r="J40" s="12" t="n">
        <v>1.7</v>
      </c>
      <c r="K40" s="12" t="n">
        <v>1.6</v>
      </c>
      <c r="L40" s="12" t="n">
        <v>1.8</v>
      </c>
      <c r="M40" s="12" t="n">
        <v>1.8</v>
      </c>
    </row>
    <row r="41">
      <c r="A41" s="6" t="inlineStr">
        <is>
          <t>要介護1</t>
        </is>
      </c>
      <c r="B41" s="12" t="n">
        <v>3</v>
      </c>
      <c r="C41" s="12" t="n">
        <v>3.1</v>
      </c>
      <c r="D41" s="12" t="n">
        <v>3.2</v>
      </c>
      <c r="E41" s="12" t="n">
        <v>3.2</v>
      </c>
      <c r="F41" s="12" t="n">
        <v>3.3</v>
      </c>
      <c r="G41" s="12" t="n">
        <v>3.3</v>
      </c>
      <c r="H41" s="12" t="n">
        <v>3.3</v>
      </c>
      <c r="I41" s="12" t="n">
        <v>3.5</v>
      </c>
      <c r="J41" s="12" t="n">
        <v>3.4</v>
      </c>
      <c r="K41" s="12" t="n">
        <v>3.4</v>
      </c>
      <c r="L41" s="12" t="n">
        <v>3.5</v>
      </c>
      <c r="M41" s="12" t="n">
        <v>3.7</v>
      </c>
    </row>
    <row r="42">
      <c r="A42" s="6" t="inlineStr">
        <is>
          <t>要介護2</t>
        </is>
      </c>
      <c r="B42" s="12" t="n">
        <v>2.1</v>
      </c>
      <c r="C42" s="12" t="n">
        <v>2</v>
      </c>
      <c r="D42" s="12" t="n">
        <v>2</v>
      </c>
      <c r="E42" s="12" t="n">
        <v>2.1</v>
      </c>
      <c r="F42" s="12" t="n">
        <v>2.2</v>
      </c>
      <c r="G42" s="12" t="n">
        <v>2.1</v>
      </c>
      <c r="H42" s="12" t="n">
        <v>2.2</v>
      </c>
      <c r="I42" s="12" t="n">
        <v>2.3</v>
      </c>
      <c r="J42" s="12" t="n">
        <v>2.3</v>
      </c>
      <c r="K42" s="12" t="n">
        <v>2.3</v>
      </c>
      <c r="L42" s="12" t="n">
        <v>2.1</v>
      </c>
      <c r="M42" s="12" t="n">
        <v>2.1</v>
      </c>
    </row>
    <row r="43">
      <c r="A43" s="6" t="inlineStr">
        <is>
          <t>要介護3</t>
        </is>
      </c>
      <c r="B43" s="12" t="n">
        <v>0.9</v>
      </c>
      <c r="C43" s="12" t="n">
        <v>0.8</v>
      </c>
      <c r="D43" s="12" t="n">
        <v>1</v>
      </c>
      <c r="E43" s="12" t="n">
        <v>1.2</v>
      </c>
      <c r="F43" s="12" t="n">
        <v>1</v>
      </c>
      <c r="G43" s="12" t="n">
        <v>1.1</v>
      </c>
      <c r="H43" s="12" t="n">
        <v>0.9</v>
      </c>
      <c r="I43" s="12" t="n">
        <v>0.8</v>
      </c>
      <c r="J43" s="12" t="n">
        <v>1</v>
      </c>
      <c r="K43" s="12" t="n">
        <v>1.2</v>
      </c>
      <c r="L43" s="12" t="n">
        <v>1.1</v>
      </c>
      <c r="M43" s="12" t="n">
        <v>1</v>
      </c>
    </row>
    <row r="44">
      <c r="A44" s="6" t="inlineStr">
        <is>
          <t>要介護4</t>
        </is>
      </c>
      <c r="B44" s="12" t="n">
        <v>0.5</v>
      </c>
      <c r="C44" s="12" t="n">
        <v>0.5</v>
      </c>
      <c r="D44" s="12" t="n">
        <v>0.5</v>
      </c>
      <c r="E44" s="12" t="n">
        <v>0.5</v>
      </c>
      <c r="F44" s="12" t="n">
        <v>0.4</v>
      </c>
      <c r="G44" s="12" t="n">
        <v>0.5</v>
      </c>
      <c r="H44" s="12" t="n">
        <v>0.5</v>
      </c>
      <c r="I44" s="12" t="n">
        <v>0.7</v>
      </c>
      <c r="J44" s="12" t="n">
        <v>0.7</v>
      </c>
      <c r="K44" s="12" t="n">
        <v>0.7</v>
      </c>
      <c r="L44" s="12" t="n">
        <v>0.7</v>
      </c>
      <c r="M44" s="12" t="n">
        <v>0.8</v>
      </c>
    </row>
    <row r="45">
      <c r="A45" s="6" t="inlineStr">
        <is>
          <t>要介護5</t>
        </is>
      </c>
      <c r="B45" s="12" t="n">
        <v>0.3</v>
      </c>
      <c r="C45" s="12" t="n">
        <v>0.3</v>
      </c>
      <c r="D45" s="12" t="n">
        <v>0.3</v>
      </c>
      <c r="E45" s="12" t="n">
        <v>0.3</v>
      </c>
      <c r="F45" s="12" t="n">
        <v>0.3</v>
      </c>
      <c r="G45" s="12" t="n">
        <v>0.3</v>
      </c>
      <c r="H45" s="12" t="n">
        <v>0.3</v>
      </c>
      <c r="I45" s="12" t="n">
        <v>0.3</v>
      </c>
      <c r="J45" s="12" t="n">
        <v>0.5</v>
      </c>
      <c r="K45" s="12" t="n">
        <v>0.4</v>
      </c>
      <c r="L45" s="12" t="n">
        <v>0.4</v>
      </c>
      <c r="M45" s="12" t="n">
        <v>0.6</v>
      </c>
    </row>
    <row r="46" ht="26" customHeight="1">
      <c r="A46" s="4" t="inlineStr">
        <is>
          <t>注1）施設サービスの受給率の低下は要介護5に集中している（1.2％→0.7％）。要介護3・4は横ばい。注2）在宅サービスは要介護5が0.3％→0.6％、要介護4が0.5％→0.8％と重度者で上昇している。施設の要介護5の減少と在宅の要介護4・5の増加が対応しており、重度者の施設から在宅への移行を示す。注3）要支援1・2の低下は、平成29年度から平成30年度にかけての介護予防訪問介護・介護予防通所介護の介護予防・日常生活支援総合事業への移行による。</t>
        </is>
      </c>
    </row>
    <row r="48">
      <c r="A48" s="8" t="inlineStr">
        <is>
          <t>（5）年齢層別にみた認定率の推移（各年3月末・％）</t>
        </is>
      </c>
    </row>
    <row r="49">
      <c r="A49" s="5" t="inlineStr">
        <is>
          <t>区分</t>
        </is>
      </c>
      <c r="B49" s="5" t="inlineStr">
        <is>
          <t>H30</t>
        </is>
      </c>
      <c r="C49" s="5" t="inlineStr">
        <is>
          <t>R2</t>
        </is>
      </c>
      <c r="D49" s="5" t="inlineStr">
        <is>
          <t>R5</t>
        </is>
      </c>
      <c r="E49" s="5" t="inlineStr">
        <is>
          <t>R6</t>
        </is>
      </c>
      <c r="F49" s="5" t="inlineStr">
        <is>
          <t>R7</t>
        </is>
      </c>
      <c r="G49" s="5" t="inlineStr">
        <is>
          <t>R8</t>
        </is>
      </c>
    </row>
    <row r="50">
      <c r="A50" s="6" t="inlineStr">
        <is>
          <t>合計認定率（第1号被保険者）</t>
        </is>
      </c>
      <c r="B50" s="12" t="n">
        <v>20.8</v>
      </c>
      <c r="C50" s="12" t="n">
        <v>20.7</v>
      </c>
      <c r="D50" s="12" t="n">
        <v>20.9</v>
      </c>
      <c r="E50" s="12" t="n">
        <v>21.2</v>
      </c>
      <c r="F50" s="12" t="n">
        <v>21.4</v>
      </c>
      <c r="G50" s="12" t="n">
        <v>21.8</v>
      </c>
    </row>
    <row r="51">
      <c r="A51" s="6" t="inlineStr">
        <is>
          <t>合計認定率（75歳以上）</t>
        </is>
      </c>
      <c r="B51" s="12" t="n">
        <v>35.3</v>
      </c>
      <c r="C51" s="12" t="n">
        <v>34.8</v>
      </c>
      <c r="D51" s="12" t="n">
        <v>33.9</v>
      </c>
      <c r="E51" s="12" t="n">
        <v>33.7</v>
      </c>
      <c r="F51" s="12" t="n">
        <v>33.4</v>
      </c>
      <c r="G51" s="12" t="n">
        <v>33.5</v>
      </c>
    </row>
    <row r="52">
      <c r="A52" s="6" t="inlineStr">
        <is>
          <t>合計認定率（85歳以上）</t>
        </is>
      </c>
      <c r="B52" s="12" t="n"/>
      <c r="C52" s="12" t="n">
        <v>63.7</v>
      </c>
      <c r="D52" s="12" t="n">
        <v>60.1</v>
      </c>
      <c r="E52" s="12" t="n">
        <v>60.6</v>
      </c>
      <c r="F52" s="12" t="n">
        <v>61.1</v>
      </c>
      <c r="G52" s="12" t="n">
        <v>61.6</v>
      </c>
    </row>
    <row r="53" ht="26" customHeight="1">
      <c r="A53" s="4" t="inlineStr">
        <is>
          <t>注）全体の認定率が平成30年3月末20.8％から令和8年3月末21.8％へ1.0ポイント上昇する一方、75歳以上は35.3％から33.5％へ1.8ポイント、85歳以上は令和2年3月末63.7％から61.6％へ2.1ポイント低下している。全体の上昇は第1号被保険者に占める75歳以上・85歳以上の構成比の高まりによるものであり、同一年齢層でみれば認定率は改善している。出典：見える化B4-a・B4-d・B4-e。</t>
        </is>
      </c>
    </row>
  </sheetData>
  <mergeCells count="7">
    <mergeCell ref="A46:M46"/>
    <mergeCell ref="A8:M8"/>
    <mergeCell ref="A2:N2"/>
    <mergeCell ref="A53:M53"/>
    <mergeCell ref="A15:M15"/>
    <mergeCell ref="A29:M29"/>
    <mergeCell ref="A1:N1"/>
  </mergeCells>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M44"/>
  <sheetViews>
    <sheetView workbookViewId="0">
      <selection activeCell="A1" sqref="A1"/>
    </sheetView>
  </sheetViews>
  <sheetFormatPr baseColWidth="8" defaultRowHeight="15"/>
  <cols>
    <col width="24"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s>
  <sheetData>
    <row r="1" ht="24" customHeight="1">
      <c r="A1" s="1" t="inlineStr">
        <is>
          <t>図21　サービス種類別　第1号被保険者1人あたり給付月額の推移</t>
        </is>
      </c>
    </row>
    <row r="2" ht="16" customHeight="1">
      <c r="A2" s="2" t="inlineStr">
        <is>
          <t>出典：見える化D13-a〜z（時系列）及びD13（令和7年・サービス種類別）。令和6年度は令和7年2月、令和7年度は令和8年1月のサービス提供分までの暫定値。</t>
        </is>
      </c>
    </row>
    <row r="4">
      <c r="A4" s="8" t="inlineStr">
        <is>
          <t>（1）サービス種類別の推移（円／月）</t>
        </is>
      </c>
    </row>
    <row r="5">
      <c r="A5" s="5" t="inlineStr">
        <is>
          <t>サービス</t>
        </is>
      </c>
      <c r="B5" s="5" t="inlineStr">
        <is>
          <t>H26</t>
        </is>
      </c>
      <c r="C5" s="5" t="inlineStr">
        <is>
          <t>H30</t>
        </is>
      </c>
      <c r="D5" s="5" t="inlineStr">
        <is>
          <t>R2</t>
        </is>
      </c>
      <c r="E5" s="5" t="inlineStr">
        <is>
          <t>R5</t>
        </is>
      </c>
      <c r="F5" s="5" t="inlineStr">
        <is>
          <t>R6</t>
        </is>
      </c>
      <c r="G5" s="5" t="inlineStr">
        <is>
          <t>R7</t>
        </is>
      </c>
    </row>
    <row r="6">
      <c r="A6" s="6" t="inlineStr">
        <is>
          <t>訪問介護</t>
        </is>
      </c>
      <c r="B6" s="9" t="n">
        <v>2317</v>
      </c>
      <c r="C6" s="9" t="n">
        <v>2602</v>
      </c>
      <c r="D6" s="9" t="n">
        <v>2706</v>
      </c>
      <c r="E6" s="9" t="n">
        <v>3287</v>
      </c>
      <c r="F6" s="9" t="n">
        <v>3421</v>
      </c>
      <c r="G6" s="9" t="n">
        <v>3976</v>
      </c>
    </row>
    <row r="7">
      <c r="A7" s="6" t="inlineStr">
        <is>
          <t>訪問看護</t>
        </is>
      </c>
      <c r="B7" s="9" t="n">
        <v>314</v>
      </c>
      <c r="C7" s="9" t="n">
        <v>328</v>
      </c>
      <c r="D7" s="9" t="n">
        <v>463</v>
      </c>
      <c r="E7" s="9" t="n">
        <v>451</v>
      </c>
      <c r="F7" s="9" t="n">
        <v>431</v>
      </c>
      <c r="G7" s="9" t="n">
        <v>555</v>
      </c>
    </row>
    <row r="8">
      <c r="A8" s="6" t="inlineStr">
        <is>
          <t>通所リハビリテーション</t>
        </is>
      </c>
      <c r="B8" s="9" t="n">
        <v>1378</v>
      </c>
      <c r="C8" s="9" t="n">
        <v>1209</v>
      </c>
      <c r="D8" s="9" t="n">
        <v>1328</v>
      </c>
      <c r="E8" s="9" t="n">
        <v>1425</v>
      </c>
      <c r="F8" s="9" t="n">
        <v>1578</v>
      </c>
      <c r="G8" s="9" t="n">
        <v>1676</v>
      </c>
    </row>
    <row r="9">
      <c r="A9" s="6" t="inlineStr">
        <is>
          <t>小規模多機能型居宅介護</t>
        </is>
      </c>
      <c r="B9" s="9" t="n">
        <v>1549</v>
      </c>
      <c r="C9" s="9" t="n">
        <v>1802</v>
      </c>
      <c r="D9" s="9" t="n">
        <v>1731</v>
      </c>
      <c r="E9" s="9" t="n">
        <v>1989</v>
      </c>
      <c r="F9" s="9" t="n">
        <v>1996</v>
      </c>
      <c r="G9" s="9" t="n">
        <v>2155</v>
      </c>
    </row>
    <row r="10">
      <c r="A10" s="6" t="inlineStr">
        <is>
          <t>福祉用具貸与</t>
        </is>
      </c>
      <c r="B10" s="9" t="n">
        <v>429</v>
      </c>
      <c r="C10" s="9" t="n">
        <v>516</v>
      </c>
      <c r="D10" s="9" t="n">
        <v>518</v>
      </c>
      <c r="E10" s="9" t="n">
        <v>662</v>
      </c>
      <c r="F10" s="9" t="n">
        <v>653</v>
      </c>
      <c r="G10" s="9" t="n">
        <v>704</v>
      </c>
    </row>
    <row r="11">
      <c r="A11" s="6" t="inlineStr">
        <is>
          <t>介護予防支援・居宅介護支援</t>
        </is>
      </c>
      <c r="B11" s="9" t="n">
        <v>899</v>
      </c>
      <c r="C11" s="9" t="n">
        <v>1004</v>
      </c>
      <c r="D11" s="9" t="n">
        <v>1023</v>
      </c>
      <c r="E11" s="9" t="n">
        <v>1163</v>
      </c>
      <c r="F11" s="9" t="n">
        <v>1168</v>
      </c>
      <c r="G11" s="9" t="n">
        <v>1229</v>
      </c>
    </row>
    <row r="12">
      <c r="A12" s="6" t="inlineStr">
        <is>
          <t>通所介護</t>
        </is>
      </c>
      <c r="B12" s="9" t="n">
        <v>1619</v>
      </c>
      <c r="C12" s="9" t="n">
        <v>694</v>
      </c>
      <c r="D12" s="9" t="n">
        <v>697</v>
      </c>
      <c r="E12" s="9" t="n">
        <v>669</v>
      </c>
      <c r="F12" s="9" t="n">
        <v>678</v>
      </c>
      <c r="G12" s="9" t="n">
        <v>675</v>
      </c>
    </row>
    <row r="13">
      <c r="A13" s="6" t="inlineStr">
        <is>
          <t>地域密着型通所介護</t>
        </is>
      </c>
      <c r="B13" s="9" t="n"/>
      <c r="C13" s="9" t="n">
        <v>777</v>
      </c>
      <c r="D13" s="9" t="n">
        <v>623</v>
      </c>
      <c r="E13" s="9" t="n">
        <v>719</v>
      </c>
      <c r="F13" s="9" t="n">
        <v>538</v>
      </c>
      <c r="G13" s="9" t="n">
        <v>567</v>
      </c>
    </row>
    <row r="14">
      <c r="A14" s="6" t="inlineStr">
        <is>
          <t>介護老人福祉施設</t>
        </is>
      </c>
      <c r="B14" s="9" t="n">
        <v>5094</v>
      </c>
      <c r="C14" s="9" t="n">
        <v>3952</v>
      </c>
      <c r="D14" s="9" t="n">
        <v>3943</v>
      </c>
      <c r="E14" s="9" t="n">
        <v>4039</v>
      </c>
      <c r="F14" s="9" t="n">
        <v>4086</v>
      </c>
      <c r="G14" s="9" t="n">
        <v>4105</v>
      </c>
    </row>
    <row r="15">
      <c r="A15" s="6" t="inlineStr">
        <is>
          <t>介護老人保健施設</t>
        </is>
      </c>
      <c r="B15" s="9" t="n">
        <v>4562</v>
      </c>
      <c r="C15" s="9" t="n">
        <v>4547</v>
      </c>
      <c r="D15" s="9" t="n">
        <v>4672</v>
      </c>
      <c r="E15" s="9" t="n">
        <v>4359</v>
      </c>
      <c r="F15" s="9" t="n">
        <v>4762</v>
      </c>
      <c r="G15" s="9" t="n">
        <v>4440</v>
      </c>
    </row>
    <row r="16">
      <c r="A16" s="6" t="inlineStr">
        <is>
          <t>地域密着型介護老人福祉施設</t>
        </is>
      </c>
      <c r="B16" s="9" t="n">
        <v>674</v>
      </c>
      <c r="C16" s="9" t="n">
        <v>1662</v>
      </c>
      <c r="D16" s="9" t="n">
        <v>1715</v>
      </c>
      <c r="E16" s="9" t="n">
        <v>1712</v>
      </c>
      <c r="F16" s="9" t="n">
        <v>1777</v>
      </c>
      <c r="G16" s="9" t="n">
        <v>1890</v>
      </c>
    </row>
    <row r="17">
      <c r="A17" s="6" t="inlineStr">
        <is>
          <t>特定施設入居者生活介護</t>
        </is>
      </c>
      <c r="B17" s="9" t="n">
        <v>1032</v>
      </c>
      <c r="C17" s="9" t="n">
        <v>985</v>
      </c>
      <c r="D17" s="9" t="n">
        <v>1128</v>
      </c>
      <c r="E17" s="9" t="n">
        <v>1139</v>
      </c>
      <c r="F17" s="9" t="n">
        <v>1061</v>
      </c>
      <c r="G17" s="9" t="n">
        <v>1188</v>
      </c>
    </row>
    <row r="18">
      <c r="A18" s="6" t="inlineStr">
        <is>
          <t>認知症対応型共同生活介護</t>
        </is>
      </c>
      <c r="B18" s="9" t="n">
        <v>2549</v>
      </c>
      <c r="C18" s="9" t="n">
        <v>2750</v>
      </c>
      <c r="D18" s="9" t="n">
        <v>2947</v>
      </c>
      <c r="E18" s="9" t="n">
        <v>2445</v>
      </c>
      <c r="F18" s="9" t="n">
        <v>2288</v>
      </c>
      <c r="G18" s="9" t="n">
        <v>2461</v>
      </c>
    </row>
    <row r="19">
      <c r="A19" s="6" t="inlineStr">
        <is>
          <t>定期巡回・随時対応型訪問介護看護</t>
        </is>
      </c>
      <c r="B19" s="9" t="n">
        <v>0</v>
      </c>
      <c r="C19" s="9" t="n">
        <v>4</v>
      </c>
      <c r="D19" s="9" t="n">
        <v>33</v>
      </c>
      <c r="E19" s="9" t="n">
        <v>0</v>
      </c>
      <c r="F19" s="9" t="n">
        <v>0</v>
      </c>
      <c r="G19" s="9" t="n">
        <v>15</v>
      </c>
    </row>
    <row r="20" ht="26" customHeight="1">
      <c r="A20" s="4" t="inlineStr">
        <is>
          <t>注）平成28年度の制度改正で定員18人以下の通所介護が地域密着型通所介護へ移行したため、通所介護と地域密着型通所介護は合算して読む（平成30年度1,471円→令和7年度1,242円で15.6％減）。</t>
        </is>
      </c>
    </row>
    <row r="22">
      <c r="A22" s="8" t="inlineStr">
        <is>
          <t>（2）平成30年度から令和7年度の増減率（％）</t>
        </is>
      </c>
    </row>
    <row r="23">
      <c r="A23" s="5" t="inlineStr">
        <is>
          <t>サービス</t>
        </is>
      </c>
      <c r="B23" s="5" t="inlineStr">
        <is>
          <t>増減率（％）</t>
        </is>
      </c>
    </row>
    <row r="24">
      <c r="A24" s="6" t="inlineStr">
        <is>
          <t>訪問看護</t>
        </is>
      </c>
      <c r="B24" s="12" t="n">
        <v>69.2</v>
      </c>
    </row>
    <row r="25">
      <c r="A25" s="6" t="inlineStr">
        <is>
          <t>訪問介護</t>
        </is>
      </c>
      <c r="B25" s="12" t="n">
        <v>52.8</v>
      </c>
    </row>
    <row r="26">
      <c r="A26" s="6" t="inlineStr">
        <is>
          <t>通所リハビリテーション</t>
        </is>
      </c>
      <c r="B26" s="12" t="n">
        <v>38.6</v>
      </c>
    </row>
    <row r="27">
      <c r="A27" s="6" t="inlineStr">
        <is>
          <t>福祉用具貸与</t>
        </is>
      </c>
      <c r="B27" s="12" t="n">
        <v>36.4</v>
      </c>
    </row>
    <row r="28">
      <c r="A28" s="6" t="inlineStr">
        <is>
          <t>介護予防支援・居宅介護支援</t>
        </is>
      </c>
      <c r="B28" s="12" t="n">
        <v>22.4</v>
      </c>
    </row>
    <row r="29">
      <c r="A29" s="6" t="inlineStr">
        <is>
          <t>特定施設入居者生活介護</t>
        </is>
      </c>
      <c r="B29" s="12" t="n">
        <v>20.6</v>
      </c>
    </row>
    <row r="30">
      <c r="A30" s="6" t="inlineStr">
        <is>
          <t>小規模多機能型居宅介護</t>
        </is>
      </c>
      <c r="B30" s="12" t="n">
        <v>19.6</v>
      </c>
    </row>
    <row r="31">
      <c r="A31" s="6" t="inlineStr">
        <is>
          <t>地域密着型介護老人福祉施設</t>
        </is>
      </c>
      <c r="B31" s="12" t="n">
        <v>13.7</v>
      </c>
    </row>
    <row r="32">
      <c r="A32" s="6" t="inlineStr">
        <is>
          <t>介護老人福祉施設</t>
        </is>
      </c>
      <c r="B32" s="12" t="n">
        <v>3.9</v>
      </c>
    </row>
    <row r="33">
      <c r="A33" s="6" t="inlineStr">
        <is>
          <t>介護老人保健施設</t>
        </is>
      </c>
      <c r="B33" s="12" t="n">
        <v>-2.4</v>
      </c>
    </row>
    <row r="34">
      <c r="A34" s="6" t="inlineStr">
        <is>
          <t>通所介護</t>
        </is>
      </c>
      <c r="B34" s="12" t="n">
        <v>-2.7</v>
      </c>
    </row>
    <row r="35">
      <c r="A35" s="6" t="inlineStr">
        <is>
          <t>認知症対応型共同生活介護</t>
        </is>
      </c>
      <c r="B35" s="12" t="n">
        <v>-10.5</v>
      </c>
    </row>
    <row r="36">
      <c r="A36" s="6" t="inlineStr">
        <is>
          <t>地域密着型通所介護</t>
        </is>
      </c>
      <c r="B36" s="12" t="n">
        <v>-27</v>
      </c>
    </row>
    <row r="37" ht="26" customHeight="1">
      <c r="A37" s="4" t="inlineStr">
        <is>
          <t>注1）訪問看護＋69.2％、訪問介護＋52.8％、通所リハビリテーション＋38.6％、福祉用具貸与＋36.4％と訪問系・用具系が伸び、地域密着型通所介護▲27.0％、認知症対応型共同生活介護▲10.5％と通所系・居住系が縮小している。注2）定期巡回・随時対応型訪問介護看護は平成30年度4円・令和7年度15円と実質的に未整備であり、増減率は掲載していない。夜間対応型訪問介護と看護小規模多機能型居宅介護は全期間0円。注3）要介護5の在宅・居住系割合が54.6％に達するなかで24時間対応サービスがほぼ存在しないことは、第6章の整備方針の主要論点となる（修正指示書A-13）。</t>
        </is>
      </c>
    </row>
    <row r="39">
      <c r="A39" s="8" t="inlineStr">
        <is>
          <t>（3）受給者1人あたりの比較（令和7年・全国／北海道との対比）</t>
        </is>
      </c>
    </row>
    <row r="40">
      <c r="A40" s="5" t="inlineStr">
        <is>
          <t>指標</t>
        </is>
      </c>
      <c r="B40" s="5" t="inlineStr">
        <is>
          <t>大雪地区広域連合</t>
        </is>
      </c>
      <c r="C40" s="5" t="inlineStr">
        <is>
          <t>北海道</t>
        </is>
      </c>
      <c r="D40" s="5" t="inlineStr">
        <is>
          <t>全国</t>
        </is>
      </c>
      <c r="E40" s="5" t="inlineStr">
        <is>
          <t>全国比</t>
        </is>
      </c>
    </row>
    <row r="41">
      <c r="A41" s="6" t="inlineStr">
        <is>
          <t>訪問介護　受給者1人あたり利用回数（回／月）</t>
        </is>
      </c>
      <c r="B41" s="27" t="n">
        <v>55.4</v>
      </c>
      <c r="C41" s="27" t="n">
        <v>29.9</v>
      </c>
      <c r="D41" s="27" t="n">
        <v>29.7</v>
      </c>
      <c r="E41" s="27" t="n">
        <v>1.87</v>
      </c>
    </row>
    <row r="42">
      <c r="A42" s="6" t="inlineStr">
        <is>
          <t>訪問介護　受給者1人あたり給付月額（円）</t>
        </is>
      </c>
      <c r="B42" s="27" t="n">
        <v>133685</v>
      </c>
      <c r="C42" s="27" t="n">
        <v>84606</v>
      </c>
      <c r="D42" s="27" t="n">
        <v>86541</v>
      </c>
      <c r="E42" s="27" t="n">
        <v>1.54</v>
      </c>
    </row>
    <row r="43">
      <c r="A43" s="6" t="inlineStr">
        <is>
          <t>通所介護　受給者1人あたり給付月額（円）</t>
        </is>
      </c>
      <c r="B43" s="27" t="n">
        <v>62688</v>
      </c>
      <c r="C43" s="27" t="n">
        <v>58316</v>
      </c>
      <c r="D43" s="27" t="n">
        <v>84875</v>
      </c>
      <c r="E43" s="27" t="n">
        <v>0.74</v>
      </c>
    </row>
    <row r="44" ht="26" customHeight="1">
      <c r="A44" s="4" t="inlineStr">
        <is>
          <t>注）訪問介護は利用回数が全国の1.87倍、給付月額が1.54倍と突出する一方、通所介護の給付月額は全国の0.74倍にとどまる。受給率の超過が施設・居住系に集中する（21シート）のに対し、受給者1人あたり単価の超過は訪問介護に集中しており、要因が分かれている。</t>
        </is>
      </c>
    </row>
  </sheetData>
  <mergeCells count="5">
    <mergeCell ref="A44:M44"/>
    <mergeCell ref="A1:M1"/>
    <mergeCell ref="A37:M37"/>
    <mergeCell ref="A20:M20"/>
    <mergeCell ref="A2:M2"/>
  </mergeCells>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M31"/>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ht="24" customHeight="1">
      <c r="A1" s="1" t="inlineStr">
        <is>
          <t>図22　上川中部圏域における大雪地区広域連合の位置</t>
        </is>
      </c>
    </row>
    <row r="2" ht="16" customHeight="1">
      <c r="A2" s="2" t="inlineStr">
        <is>
          <t>出典：第9期北海道高齢者保健福祉計画・介護保険事業支援計画 第7章第12節（令和2年国勢調査、地域包括ケア「見える化」システム）／見える化B6・D8。圏域は旭川市・鷹栖町・東神楽町・当麻町・比布町・愛別町・上川町・東川町・美瑛町・幌加内町の10市町村。</t>
        </is>
      </c>
    </row>
    <row r="4">
      <c r="A4" s="8" t="inlineStr">
        <is>
          <t>（1）圏域内市町村の人口構造（令和2年国勢調査）</t>
        </is>
      </c>
    </row>
    <row r="5">
      <c r="A5" s="5" t="inlineStr">
        <is>
          <t>市町村</t>
        </is>
      </c>
      <c r="B5" s="5" t="inlineStr">
        <is>
          <t>総人口</t>
        </is>
      </c>
      <c r="C5" s="5" t="inlineStr">
        <is>
          <t>高齢者人口</t>
        </is>
      </c>
      <c r="D5" s="5" t="inlineStr">
        <is>
          <t>高齢化率（％）</t>
        </is>
      </c>
      <c r="E5" s="5" t="inlineStr">
        <is>
          <t>75歳以上割合（％）</t>
        </is>
      </c>
      <c r="F5" s="5" t="inlineStr">
        <is>
          <t>平均年齢（歳）</t>
        </is>
      </c>
    </row>
    <row r="6">
      <c r="A6" s="6" t="inlineStr">
        <is>
          <t>旭川市</t>
        </is>
      </c>
      <c r="B6" s="27" t="n">
        <v>325162</v>
      </c>
      <c r="C6" s="27" t="n">
        <v>112411</v>
      </c>
      <c r="D6" s="27" t="n">
        <v>34.57</v>
      </c>
      <c r="E6" s="27" t="n">
        <v>17.85</v>
      </c>
      <c r="F6" s="27" t="n">
        <v>50.89</v>
      </c>
    </row>
    <row r="7">
      <c r="A7" s="6" t="inlineStr">
        <is>
          <t>鷹栖町</t>
        </is>
      </c>
      <c r="B7" s="27" t="n">
        <v>6567</v>
      </c>
      <c r="C7" s="27" t="n">
        <v>2272</v>
      </c>
      <c r="D7" s="27" t="n">
        <v>34.6</v>
      </c>
      <c r="E7" s="27" t="n">
        <v>18</v>
      </c>
      <c r="F7" s="27" t="n">
        <v>50.83</v>
      </c>
    </row>
    <row r="8">
      <c r="A8" s="6" t="inlineStr">
        <is>
          <t>東神楽町</t>
        </is>
      </c>
      <c r="B8" s="27" t="n">
        <v>10112</v>
      </c>
      <c r="C8" s="27" t="n">
        <v>2929</v>
      </c>
      <c r="D8" s="27" t="n">
        <v>28.97</v>
      </c>
      <c r="E8" s="27" t="n">
        <v>15.27</v>
      </c>
      <c r="F8" s="27" t="n">
        <v>47.77</v>
      </c>
    </row>
    <row r="9">
      <c r="A9" s="6" t="inlineStr">
        <is>
          <t>当麻町</t>
        </is>
      </c>
      <c r="B9" s="27" t="n">
        <v>6319</v>
      </c>
      <c r="C9" s="27" t="n">
        <v>2659</v>
      </c>
      <c r="D9" s="27" t="n">
        <v>42.08</v>
      </c>
      <c r="E9" s="27" t="n">
        <v>24.24</v>
      </c>
      <c r="F9" s="27" t="n">
        <v>54.79</v>
      </c>
    </row>
    <row r="10">
      <c r="A10" s="6" t="inlineStr">
        <is>
          <t>比布町</t>
        </is>
      </c>
      <c r="B10" s="27" t="n">
        <v>3520</v>
      </c>
      <c r="C10" s="27" t="n">
        <v>1461</v>
      </c>
      <c r="D10" s="27" t="n">
        <v>41.51</v>
      </c>
      <c r="E10" s="27" t="n">
        <v>24.09</v>
      </c>
      <c r="F10" s="27" t="n">
        <v>54.85</v>
      </c>
    </row>
    <row r="11">
      <c r="A11" s="6" t="inlineStr">
        <is>
          <t>愛別町</t>
        </is>
      </c>
      <c r="B11" s="27" t="n">
        <v>2605</v>
      </c>
      <c r="C11" s="27" t="n">
        <v>1206</v>
      </c>
      <c r="D11" s="27" t="n">
        <v>46.3</v>
      </c>
      <c r="E11" s="27" t="n">
        <v>26.99</v>
      </c>
      <c r="F11" s="27" t="n">
        <v>56.8</v>
      </c>
    </row>
    <row r="12">
      <c r="A12" s="6" t="inlineStr">
        <is>
          <t>上川町</t>
        </is>
      </c>
      <c r="B12" s="27" t="n">
        <v>3500</v>
      </c>
      <c r="C12" s="27" t="n">
        <v>1550</v>
      </c>
      <c r="D12" s="27" t="n">
        <v>44.29</v>
      </c>
      <c r="E12" s="27" t="n">
        <v>25.14</v>
      </c>
      <c r="F12" s="27" t="n">
        <v>55.81</v>
      </c>
    </row>
    <row r="13">
      <c r="A13" s="6" t="inlineStr">
        <is>
          <t>東川町</t>
        </is>
      </c>
      <c r="B13" s="27" t="n">
        <v>8313</v>
      </c>
      <c r="C13" s="27" t="n">
        <v>2759</v>
      </c>
      <c r="D13" s="27" t="n">
        <v>33.19</v>
      </c>
      <c r="E13" s="27" t="n">
        <v>17.92</v>
      </c>
      <c r="F13" s="27" t="n">
        <v>49.3</v>
      </c>
    </row>
    <row r="14">
      <c r="A14" s="6" t="inlineStr">
        <is>
          <t>美瑛町</t>
        </is>
      </c>
      <c r="B14" s="27" t="n">
        <v>9668</v>
      </c>
      <c r="C14" s="27" t="n">
        <v>3749</v>
      </c>
      <c r="D14" s="27" t="n">
        <v>38.78</v>
      </c>
      <c r="E14" s="27" t="n">
        <v>22.06</v>
      </c>
      <c r="F14" s="27" t="n">
        <v>53.49</v>
      </c>
    </row>
    <row r="15">
      <c r="A15" s="6" t="inlineStr">
        <is>
          <t>幌加内町</t>
        </is>
      </c>
      <c r="B15" s="27" t="n">
        <v>1370</v>
      </c>
      <c r="C15" s="27" t="n">
        <v>559</v>
      </c>
      <c r="D15" s="27" t="n">
        <v>40.8</v>
      </c>
      <c r="E15" s="27" t="n">
        <v>25.11</v>
      </c>
      <c r="F15" s="27" t="n">
        <v>54.44</v>
      </c>
    </row>
    <row r="16">
      <c r="A16" s="6" t="inlineStr">
        <is>
          <t>圏域計</t>
        </is>
      </c>
      <c r="B16" s="27" t="n">
        <v>377136</v>
      </c>
      <c r="C16" s="27" t="n">
        <v>131555</v>
      </c>
      <c r="D16" s="27" t="n">
        <v>34.88</v>
      </c>
      <c r="E16" s="27" t="n">
        <v>18.21</v>
      </c>
      <c r="F16" s="27" t="n">
        <v>52.9</v>
      </c>
    </row>
    <row r="17" ht="26" customHeight="1">
      <c r="A17" s="4" t="inlineStr">
        <is>
          <t>注）構成3町の計は28,093人で圏域の7.4％。圏域の86.2％は旭川市が占める。3町のうち東神楽町の高齢化率28.97％は圏域で最も低く、美瑛町38.78％は圏域平均34.88％を上回る。平均年齢も東神楽町47.77歳から美瑛町53.49歳まで5.7歳の開きがあり、3町の人口構造は大きく異なる。</t>
        </is>
      </c>
    </row>
    <row r="19">
      <c r="A19" s="8" t="inlineStr">
        <is>
          <t>（2）調整済み第1号被保険者1人あたり給付月額の比較（円）</t>
        </is>
      </c>
    </row>
    <row r="20">
      <c r="A20" s="5" t="inlineStr">
        <is>
          <t>区分</t>
        </is>
      </c>
      <c r="B20" s="5" t="inlineStr">
        <is>
          <t>在宅サービス</t>
        </is>
      </c>
      <c r="C20" s="5" t="inlineStr">
        <is>
          <t>施設及び居住系サービス</t>
        </is>
      </c>
    </row>
    <row r="21">
      <c r="A21" s="6" t="inlineStr">
        <is>
          <t>全国（参考・D8の基準）</t>
        </is>
      </c>
      <c r="B21" s="9" t="n"/>
      <c r="C21" s="9" t="n"/>
    </row>
    <row r="22">
      <c r="A22" s="6" t="inlineStr">
        <is>
          <t>北海道</t>
        </is>
      </c>
      <c r="B22" s="9" t="n">
        <v>8918</v>
      </c>
      <c r="C22" s="9" t="n">
        <v>10504</v>
      </c>
    </row>
    <row r="23">
      <c r="A23" s="6" t="inlineStr">
        <is>
          <t>大雪地区広域連合</t>
        </is>
      </c>
      <c r="B23" s="9" t="n">
        <v>9164</v>
      </c>
      <c r="C23" s="9" t="n">
        <v>13097</v>
      </c>
    </row>
    <row r="24" ht="26" customHeight="1">
      <c r="A24" s="4" t="inlineStr">
        <is>
          <t>注1）北海道の値は北海道第9期計画 第7章第12節の分布図に付された注記（在宅8,918円、施設及び居住系10,504円）。大雪の値は見える化D8（令和5年）。注2）大雪は施設及び居住系が北海道を2,593円（24.7％）上回る一方、在宅は246円（2.8％）上回る程度で、超過分はほぼ全て施設及び居住系に由来する。21シートの受給率の分解と整合する。注3）北海道計画の分布図によると、旭川市は逆に在宅が約12,000円と高く施設及び居住系が約9,700円と低い。生活圏が重なる旭川市と構造が逆転している点は、住民説明で問われやすい。注4）全国の調整済み値は受領データにないため空欄とした。見える化の再出力後に補う。</t>
        </is>
      </c>
    </row>
    <row r="26">
      <c r="A26" s="8" t="inlineStr">
        <is>
          <t>（3）24時間対応サービスの圏域と大雪の比較（人／月）</t>
        </is>
      </c>
    </row>
    <row r="27">
      <c r="A27" s="5" t="inlineStr">
        <is>
          <t>サービス</t>
        </is>
      </c>
      <c r="B27" s="5" t="inlineStr">
        <is>
          <t>圏域R4実績</t>
        </is>
      </c>
      <c r="C27" s="5" t="inlineStr">
        <is>
          <t>圏域R6見込</t>
        </is>
      </c>
      <c r="D27" s="5" t="inlineStr">
        <is>
          <t>圏域R8見込</t>
        </is>
      </c>
      <c r="E27" s="5" t="inlineStr">
        <is>
          <t>圏域R22見込</t>
        </is>
      </c>
      <c r="F27" s="5" t="inlineStr">
        <is>
          <t>大雪の状況</t>
        </is>
      </c>
    </row>
    <row r="28">
      <c r="A28" s="6" t="inlineStr">
        <is>
          <t>定期巡回・随時対応型訪問介護看護</t>
        </is>
      </c>
      <c r="B28" s="14" t="n">
        <v>59.1</v>
      </c>
      <c r="C28" s="14" t="n">
        <v>63</v>
      </c>
      <c r="D28" s="14" t="n">
        <v>68</v>
      </c>
      <c r="E28" s="14" t="n">
        <v>84</v>
      </c>
      <c r="F28" s="14" t="inlineStr">
        <is>
          <t>給付月額15円（R7）で実質未整備</t>
        </is>
      </c>
    </row>
    <row r="29">
      <c r="A29" s="6" t="inlineStr">
        <is>
          <t>夜間対応型訪問介護</t>
        </is>
      </c>
      <c r="B29" s="14" t="n">
        <v>70.8</v>
      </c>
      <c r="C29" s="14" t="n">
        <v>64</v>
      </c>
      <c r="D29" s="14" t="n">
        <v>70</v>
      </c>
      <c r="E29" s="14" t="n">
        <v>58</v>
      </c>
      <c r="F29" s="14" t="inlineStr">
        <is>
          <t>給付月額0円で事業所なし</t>
        </is>
      </c>
    </row>
    <row r="30">
      <c r="A30" s="6" t="inlineStr">
        <is>
          <t>看護小規模多機能型居宅介護</t>
        </is>
      </c>
      <c r="B30" s="14" t="n">
        <v>1</v>
      </c>
      <c r="C30" s="14" t="n">
        <v>64</v>
      </c>
      <c r="D30" s="14" t="n">
        <v>101</v>
      </c>
      <c r="E30" s="14" t="n">
        <v>86</v>
      </c>
      <c r="F30" s="14" t="inlineStr">
        <is>
          <t>給付月額0円で事業所なし</t>
        </is>
      </c>
    </row>
    <row r="31" ht="26" customHeight="1">
      <c r="A31" s="4" t="inlineStr">
        <is>
          <t>注1）圏域の見込量は北海道第9期計画 第7章第12節4「老人福祉サービスの目標（介護サービス）」。注2）圏域は看護小規模多機能型居宅介護を令和4年度実績1.0人/月から令和8年度101.0人/月へ大幅に増やす計画。大雪は3サービスとも実質ゼロで、圏域の定期巡回はほぼ旭川市に集中していると考えられる。注3）大雪の要介護5の在宅・居住系割合は令和7年度54.6％（18シート）に達しており、重度在宅者を支える24時間対応サービスの欠落は第6章の整備方針の中心論点となる（修正指示書A-13・B-22）。</t>
        </is>
      </c>
    </row>
  </sheetData>
  <mergeCells count="5">
    <mergeCell ref="A2:L2"/>
    <mergeCell ref="A31:M31"/>
    <mergeCell ref="A1:L1"/>
    <mergeCell ref="A17:M17"/>
    <mergeCell ref="A24:M24"/>
  </mergeCell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M40"/>
  <sheetViews>
    <sheetView workbookViewId="0">
      <selection activeCell="A1" sqref="A1"/>
    </sheetView>
  </sheetViews>
  <sheetFormatPr baseColWidth="8" defaultRowHeight="15"/>
  <cols>
    <col width="24"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図23　通いの場の状況（介護予防・日常生活支援総合事業ベース）</t>
        </is>
      </c>
    </row>
    <row r="2" ht="16" customHeight="1">
      <c r="A2" s="2" t="inlineStr">
        <is>
          <t>出典：厚生労働省「介護予防事業及び介護予防・日常生活支援総合事業（地域支援事業）の実施状況に関する調査」／見える化F1〜F9。第9期計画の代表KPI④が用いた日常生活圏域ニーズ調査（自己申告）とは分母・分子の定義が異なる別の統計であり、直接比較できない。</t>
        </is>
      </c>
    </row>
    <row r="4">
      <c r="A4" s="8" t="inlineStr">
        <is>
          <t>（1）月1回以上の通いの場の参加率（％）</t>
        </is>
      </c>
    </row>
    <row r="5">
      <c r="A5" s="5" t="inlineStr">
        <is>
          <t>区分</t>
        </is>
      </c>
      <c r="B5" s="5" t="inlineStr">
        <is>
          <t>H25</t>
        </is>
      </c>
      <c r="C5" s="5" t="inlineStr">
        <is>
          <t>H26</t>
        </is>
      </c>
      <c r="D5" s="5" t="inlineStr">
        <is>
          <t>H27</t>
        </is>
      </c>
      <c r="E5" s="5" t="inlineStr">
        <is>
          <t>H28</t>
        </is>
      </c>
      <c r="F5" s="5" t="inlineStr">
        <is>
          <t>H29</t>
        </is>
      </c>
      <c r="G5" s="5" t="inlineStr">
        <is>
          <t>H30</t>
        </is>
      </c>
      <c r="H5" s="5" t="inlineStr">
        <is>
          <t>R元</t>
        </is>
      </c>
      <c r="I5" s="5" t="inlineStr">
        <is>
          <t>R2</t>
        </is>
      </c>
    </row>
    <row r="6">
      <c r="A6" s="6" t="inlineStr">
        <is>
          <t>大雪地区広域連合</t>
        </is>
      </c>
      <c r="B6" s="12" t="n">
        <v>1.1</v>
      </c>
      <c r="C6" s="12" t="n">
        <v>1.4</v>
      </c>
      <c r="D6" s="12" t="n">
        <v>1.4</v>
      </c>
      <c r="E6" s="12" t="n">
        <v>1.9</v>
      </c>
      <c r="F6" s="12" t="n">
        <v>3.1</v>
      </c>
      <c r="G6" s="12" t="n">
        <v>3</v>
      </c>
      <c r="H6" s="12" t="n">
        <v>2.7</v>
      </c>
      <c r="I6" s="12" t="n">
        <v>1.6</v>
      </c>
    </row>
    <row r="7">
      <c r="A7" s="6" t="inlineStr">
        <is>
          <t>北海道</t>
        </is>
      </c>
      <c r="B7" s="12" t="n">
        <v>1.9</v>
      </c>
      <c r="C7" s="12" t="n">
        <v>1.9</v>
      </c>
      <c r="D7" s="12" t="n">
        <v>2.6</v>
      </c>
      <c r="E7" s="12" t="n">
        <v>2.8</v>
      </c>
      <c r="F7" s="12" t="n">
        <v>3.8</v>
      </c>
      <c r="G7" s="12" t="n">
        <v>3.9</v>
      </c>
      <c r="H7" s="12" t="n">
        <v>4.8</v>
      </c>
      <c r="I7" s="12" t="n">
        <v>3.9</v>
      </c>
    </row>
    <row r="8">
      <c r="A8" s="6" t="inlineStr">
        <is>
          <t>全国</t>
        </is>
      </c>
      <c r="B8" s="12" t="n">
        <v>2.7</v>
      </c>
      <c r="C8" s="12" t="n">
        <v>3.2</v>
      </c>
      <c r="D8" s="12" t="n">
        <v>3.9</v>
      </c>
      <c r="E8" s="12" t="n">
        <v>4.2</v>
      </c>
      <c r="F8" s="12" t="n">
        <v>4.9</v>
      </c>
      <c r="G8" s="12" t="n">
        <v>5.7</v>
      </c>
      <c r="H8" s="12" t="n">
        <v>6.7</v>
      </c>
      <c r="I8" s="12" t="n">
        <v>5.2</v>
      </c>
    </row>
    <row r="9" ht="26" customHeight="1">
      <c r="A9" s="4" t="inlineStr">
        <is>
          <t>注）大雪は平成29年度3.1％をピークに令和2年度1.6％まで低下し、参加者も277人から151人へ45％減少している。令和2年度で北海道3.9％の41％、全国5.2％の31％の水準。北海道の第9期の評価指標は同じ統計で3.94％（令和3年度）→5.37％以上（令和8年度）であり、大雪の1.6％は2.34ポイント下回る。国の目標値8％（令和7年度まで）も同じ統計による。</t>
        </is>
      </c>
    </row>
    <row r="11">
      <c r="A11" s="8" t="inlineStr">
        <is>
          <t>（2）週1回以上の通いの場の参加率（％）</t>
        </is>
      </c>
    </row>
    <row r="12">
      <c r="A12" s="5" t="inlineStr">
        <is>
          <t>区分</t>
        </is>
      </c>
      <c r="B12" s="5" t="inlineStr">
        <is>
          <t>H25</t>
        </is>
      </c>
      <c r="C12" s="5" t="inlineStr">
        <is>
          <t>H26</t>
        </is>
      </c>
      <c r="D12" s="5" t="inlineStr">
        <is>
          <t>H27</t>
        </is>
      </c>
      <c r="E12" s="5" t="inlineStr">
        <is>
          <t>H28</t>
        </is>
      </c>
      <c r="F12" s="5" t="inlineStr">
        <is>
          <t>H29</t>
        </is>
      </c>
      <c r="G12" s="5" t="inlineStr">
        <is>
          <t>H30</t>
        </is>
      </c>
      <c r="H12" s="5" t="inlineStr">
        <is>
          <t>R元</t>
        </is>
      </c>
      <c r="I12" s="5" t="inlineStr">
        <is>
          <t>R2</t>
        </is>
      </c>
    </row>
    <row r="13">
      <c r="A13" s="6" t="inlineStr">
        <is>
          <t>大雪地区広域連合</t>
        </is>
      </c>
      <c r="B13" s="12" t="n">
        <v>1</v>
      </c>
      <c r="C13" s="12" t="n">
        <v>0</v>
      </c>
      <c r="D13" s="12" t="n">
        <v>0.3</v>
      </c>
      <c r="E13" s="12" t="n">
        <v>0.5</v>
      </c>
      <c r="F13" s="12" t="n">
        <v>0.9</v>
      </c>
      <c r="G13" s="12" t="n">
        <v>0.6</v>
      </c>
      <c r="H13" s="12" t="n">
        <v>0.6</v>
      </c>
      <c r="I13" s="12" t="n">
        <v>0.7</v>
      </c>
    </row>
    <row r="14">
      <c r="A14" s="6" t="inlineStr">
        <is>
          <t>北海道</t>
        </is>
      </c>
      <c r="B14" s="12" t="n">
        <v>0.7</v>
      </c>
      <c r="C14" s="12" t="n">
        <v>0.7</v>
      </c>
      <c r="D14" s="12" t="n">
        <v>1</v>
      </c>
      <c r="E14" s="12" t="n">
        <v>1</v>
      </c>
      <c r="F14" s="12" t="n">
        <v>1.3</v>
      </c>
      <c r="G14" s="12" t="n">
        <v>1.3</v>
      </c>
      <c r="H14" s="12" t="n">
        <v>1.8</v>
      </c>
      <c r="I14" s="12" t="n">
        <v>1.6</v>
      </c>
    </row>
    <row r="15">
      <c r="A15" s="6" t="inlineStr">
        <is>
          <t>全国</t>
        </is>
      </c>
      <c r="B15" s="12" t="n">
        <v>0.7</v>
      </c>
      <c r="C15" s="12" t="n">
        <v>0.9</v>
      </c>
      <c r="D15" s="12" t="n">
        <v>1.1</v>
      </c>
      <c r="E15" s="12" t="n">
        <v>1.4</v>
      </c>
      <c r="F15" s="12" t="n">
        <v>1.7</v>
      </c>
      <c r="G15" s="12" t="n">
        <v>2.2</v>
      </c>
      <c r="H15" s="12" t="n">
        <v>2.6</v>
      </c>
      <c r="I15" s="12" t="n">
        <v>2.1</v>
      </c>
    </row>
    <row r="16" ht="26" customHeight="1">
      <c r="A16" s="4" t="inlineStr">
        <is>
          <t>注）平成25年度は大雪1.0％が北海道0.7％・全国0.7％を上回っていたが、全国が令和元年度2.6％まで3.7倍に伸びたのに対し、大雪は令和元年度0.6％と0.6倍に低下し、逆転している。</t>
        </is>
      </c>
    </row>
    <row r="18">
      <c r="A18" s="8" t="inlineStr">
        <is>
          <t>（3）週1回以上の通いの場の箇所数（箇所）</t>
        </is>
      </c>
    </row>
    <row r="19">
      <c r="A19" s="5" t="inlineStr">
        <is>
          <t>区分</t>
        </is>
      </c>
      <c r="B19" s="5" t="inlineStr">
        <is>
          <t>H25</t>
        </is>
      </c>
      <c r="C19" s="5" t="inlineStr">
        <is>
          <t>H26</t>
        </is>
      </c>
      <c r="D19" s="5" t="inlineStr">
        <is>
          <t>H27</t>
        </is>
      </c>
      <c r="E19" s="5" t="inlineStr">
        <is>
          <t>H28</t>
        </is>
      </c>
      <c r="F19" s="5" t="inlineStr">
        <is>
          <t>H29</t>
        </is>
      </c>
      <c r="G19" s="5" t="inlineStr">
        <is>
          <t>H30</t>
        </is>
      </c>
      <c r="H19" s="5" t="inlineStr">
        <is>
          <t>R元</t>
        </is>
      </c>
      <c r="I19" s="5" t="inlineStr">
        <is>
          <t>R2</t>
        </is>
      </c>
    </row>
    <row r="20">
      <c r="A20" s="6" t="inlineStr">
        <is>
          <t>大雪地区広域連合</t>
        </is>
      </c>
      <c r="B20" s="9" t="n">
        <v>2</v>
      </c>
      <c r="C20" s="9" t="n">
        <v>0</v>
      </c>
      <c r="D20" s="9" t="n">
        <v>2</v>
      </c>
      <c r="E20" s="9" t="n">
        <v>5</v>
      </c>
      <c r="F20" s="9" t="n">
        <v>7</v>
      </c>
      <c r="G20" s="9" t="n">
        <v>6</v>
      </c>
      <c r="H20" s="9" t="n">
        <v>4</v>
      </c>
      <c r="I20" s="9" t="n">
        <v>3</v>
      </c>
    </row>
    <row r="21">
      <c r="A21" s="6" t="inlineStr">
        <is>
          <t>北海道</t>
        </is>
      </c>
      <c r="B21" s="9" t="n">
        <v>490</v>
      </c>
      <c r="C21" s="9" t="n">
        <v>598</v>
      </c>
      <c r="D21" s="9" t="n">
        <v>920</v>
      </c>
      <c r="E21" s="9" t="n">
        <v>924</v>
      </c>
      <c r="F21" s="9" t="n">
        <v>1200</v>
      </c>
      <c r="G21" s="9" t="n">
        <v>1273</v>
      </c>
      <c r="H21" s="9" t="n">
        <v>1720</v>
      </c>
      <c r="I21" s="9" t="n">
        <v>1766</v>
      </c>
    </row>
    <row r="22">
      <c r="A22" s="6" t="inlineStr">
        <is>
          <t>全国</t>
        </is>
      </c>
      <c r="B22" s="9" t="n">
        <v>11712</v>
      </c>
      <c r="C22" s="9" t="n">
        <v>15477</v>
      </c>
      <c r="D22" s="9" t="n">
        <v>20336</v>
      </c>
      <c r="E22" s="9" t="n">
        <v>25266</v>
      </c>
      <c r="F22" s="9" t="n">
        <v>33461</v>
      </c>
      <c r="G22" s="9" t="n">
        <v>41509</v>
      </c>
      <c r="H22" s="9" t="n">
        <v>51032</v>
      </c>
      <c r="I22" s="9" t="n">
        <v>47181</v>
      </c>
    </row>
    <row r="24">
      <c r="A24" s="5" t="inlineStr">
        <is>
          <t>区分（令和2年度）</t>
        </is>
      </c>
      <c r="B24" s="5" t="inlineStr">
        <is>
          <t>箇所数</t>
        </is>
      </c>
      <c r="C24" s="5" t="inlineStr">
        <is>
          <t>65歳以上人口</t>
        </is>
      </c>
      <c r="D24" s="5" t="inlineStr">
        <is>
          <t>1万人あたり箇所数</t>
        </is>
      </c>
      <c r="E24" s="5" t="inlineStr">
        <is>
          <t>全国比</t>
        </is>
      </c>
    </row>
    <row r="25">
      <c r="A25" s="6" t="inlineStr">
        <is>
          <t>大雪地区広域連合</t>
        </is>
      </c>
      <c r="B25" s="27" t="n">
        <v>3</v>
      </c>
      <c r="C25" s="27" t="n">
        <v>9251</v>
      </c>
      <c r="D25" s="27" t="n">
        <v>3.24</v>
      </c>
      <c r="E25" s="27" t="n">
        <v>0.25</v>
      </c>
    </row>
    <row r="26">
      <c r="A26" s="6" t="inlineStr">
        <is>
          <t>北海道</t>
        </is>
      </c>
      <c r="B26" s="27" t="n">
        <v>1766</v>
      </c>
      <c r="C26" s="27" t="n">
        <v>1685744</v>
      </c>
      <c r="D26" s="27" t="n">
        <v>10.48</v>
      </c>
      <c r="E26" s="27" t="n">
        <v>0.8</v>
      </c>
    </row>
    <row r="27">
      <c r="A27" s="6" t="inlineStr">
        <is>
          <t>全国</t>
        </is>
      </c>
      <c r="B27" s="27" t="n">
        <v>47181</v>
      </c>
      <c r="C27" s="27" t="n">
        <v>35974231</v>
      </c>
      <c r="D27" s="27" t="n">
        <v>13.12</v>
      </c>
      <c r="E27" s="27" t="n">
        <v>1</v>
      </c>
    </row>
    <row r="28" ht="26" customHeight="1">
      <c r="A28" s="4" t="inlineStr">
        <is>
          <t>注）65歳以上人口は、大雪は見える化F4の掲載値、北海道・全国は参加者数と参加率から逆算した推計値。大雪の箇所数の密度は全国の25％、北海道の31％にとどまる。</t>
        </is>
      </c>
    </row>
    <row r="30">
      <c r="A30" s="8" t="inlineStr">
        <is>
          <t>（4）大雪地区広域連合の週1回以上の通いの場3箇所の内訳（令和2年度）</t>
        </is>
      </c>
    </row>
    <row r="31">
      <c r="A31" s="5" t="inlineStr">
        <is>
          <t>区分</t>
        </is>
      </c>
      <c r="B31" s="5" t="inlineStr">
        <is>
          <t>大雪（箇所）</t>
        </is>
      </c>
      <c r="C31" s="5" t="inlineStr">
        <is>
          <t>大雪（％）</t>
        </is>
      </c>
      <c r="D31" s="5" t="inlineStr">
        <is>
          <t>北海道（％）</t>
        </is>
      </c>
      <c r="E31" s="5" t="inlineStr">
        <is>
          <t>全国（％）</t>
        </is>
      </c>
    </row>
    <row r="32">
      <c r="A32" s="6" t="inlineStr">
        <is>
          <t>【運営主体】住民団体</t>
        </is>
      </c>
      <c r="B32" s="12" t="n">
        <v>2</v>
      </c>
      <c r="C32" s="12" t="n">
        <v>66.7</v>
      </c>
      <c r="D32" s="12" t="n">
        <v>61.4</v>
      </c>
      <c r="E32" s="12" t="n">
        <v>73.09999999999999</v>
      </c>
    </row>
    <row r="33">
      <c r="A33" s="6" t="inlineStr">
        <is>
          <t>【運営主体】社会福祉協議会</t>
        </is>
      </c>
      <c r="B33" s="12" t="n">
        <v>1</v>
      </c>
      <c r="C33" s="12" t="n">
        <v>33.3</v>
      </c>
      <c r="D33" s="12" t="n">
        <v>1.3</v>
      </c>
      <c r="E33" s="12" t="n">
        <v>2.1</v>
      </c>
    </row>
    <row r="34">
      <c r="A34" s="6" t="inlineStr">
        <is>
          <t>【運営主体】住民個人</t>
        </is>
      </c>
      <c r="B34" s="12" t="n">
        <v>0</v>
      </c>
      <c r="C34" s="12" t="n">
        <v>0</v>
      </c>
      <c r="D34" s="12" t="n">
        <v>28.8</v>
      </c>
      <c r="E34" s="12" t="n">
        <v>19.2</v>
      </c>
    </row>
    <row r="35">
      <c r="A35" s="6" t="inlineStr">
        <is>
          <t>【活動場所】公民館・自治会館・集会所</t>
        </is>
      </c>
      <c r="B35" s="12" t="n">
        <v>1</v>
      </c>
      <c r="C35" s="12" t="n">
        <v>33.3</v>
      </c>
      <c r="D35" s="12" t="n">
        <v>87.2</v>
      </c>
      <c r="E35" s="12" t="n">
        <v>80.3</v>
      </c>
    </row>
    <row r="36">
      <c r="A36" s="6" t="inlineStr">
        <is>
          <t>【活動場所】その他</t>
        </is>
      </c>
      <c r="B36" s="12" t="n">
        <v>2</v>
      </c>
      <c r="C36" s="12" t="n">
        <v>66.7</v>
      </c>
      <c r="D36" s="12" t="n">
        <v>4.5</v>
      </c>
      <c r="E36" s="12" t="n">
        <v>5.4</v>
      </c>
    </row>
    <row r="37">
      <c r="A37" s="6" t="inlineStr">
        <is>
          <t>【活動内容】体操（運動）</t>
        </is>
      </c>
      <c r="B37" s="12" t="n">
        <v>1</v>
      </c>
      <c r="C37" s="12" t="n">
        <v>33.3</v>
      </c>
      <c r="D37" s="12" t="n">
        <v>57.2</v>
      </c>
      <c r="E37" s="12" t="n">
        <v>79.8</v>
      </c>
    </row>
    <row r="38">
      <c r="A38" s="6" t="inlineStr">
        <is>
          <t>【活動内容】認知症予防</t>
        </is>
      </c>
      <c r="B38" s="12" t="n">
        <v>1</v>
      </c>
      <c r="C38" s="12" t="n">
        <v>33.3</v>
      </c>
      <c r="D38" s="12" t="n">
        <v>2.9</v>
      </c>
      <c r="E38" s="12" t="n">
        <v>1.4</v>
      </c>
    </row>
    <row r="39">
      <c r="A39" s="6" t="inlineStr">
        <is>
          <t>【活動内容】農作業</t>
        </is>
      </c>
      <c r="B39" s="12" t="n">
        <v>1</v>
      </c>
      <c r="C39" s="12" t="n">
        <v>33.3</v>
      </c>
      <c r="D39" s="12" t="n">
        <v>0.1</v>
      </c>
      <c r="E39" s="12" t="n">
        <v>0.1</v>
      </c>
    </row>
    <row r="40" ht="26" customHeight="1">
      <c r="A40" s="4" t="inlineStr">
        <is>
          <t>注1）大雪の3箇所は、運営主体が住民団体2・社会福祉協議会1、活動場所が公民館等1・その他2、活動内容が体操（運動）1・認知症予防1・農作業1である。注2）農作業を主な活動内容とする通いの場は全国で59箇所（0.1％）、北海道で1箇所（0.1％）と稀であり、大雪は3箇所中1箇所（33.3％）を占める。圏域の地域特性を反映していると考えられ、第10期の介護予防・社会参加の施策で活かせる可能性がある。注3）住民個人が運営する通いの場が全国19.2％・北海道28.8％あるのに対し、大雪は0箇所である。注4）データは令和2年度までで、令和3年度以降が見える化に収録されているかは確認を要する。</t>
        </is>
      </c>
    </row>
  </sheetData>
  <mergeCells count="6">
    <mergeCell ref="A1:M1"/>
    <mergeCell ref="A40:M40"/>
    <mergeCell ref="A9:M9"/>
    <mergeCell ref="A2:M2"/>
    <mergeCell ref="A16:M16"/>
    <mergeCell ref="A28:M28"/>
  </mergeCells>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M46"/>
  <sheetViews>
    <sheetView workbookViewId="0">
      <selection activeCell="A1" sqref="A1"/>
    </sheetView>
  </sheetViews>
  <sheetFormatPr baseColWidth="8" defaultRowHeight="15"/>
  <cols>
    <col width="26"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10" customWidth="1" min="10" max="10"/>
    <col width="10" customWidth="1" min="11" max="11"/>
    <col width="10" customWidth="1" min="12" max="12"/>
    <col width="10" customWidth="1" min="13" max="13"/>
  </cols>
  <sheetData>
    <row r="1" ht="24" customHeight="1">
      <c r="A1" s="1" t="inlineStr">
        <is>
          <t>図24　サービス種別ごとの事業所数と供給の空白</t>
        </is>
      </c>
    </row>
    <row r="2" ht="16" customHeight="1">
      <c r="A2" s="2" t="inlineStr">
        <is>
          <t>出典：厚生労働省「介護保険総合データベース」及び総務省「住民基本台帳に基づく人口、人口動態及び世帯数調査」／見える化K1-a〜e・K2-a〜c・K3-a〜t（全28サービス種別、平成24年度〜令和6年度）。第10期基本指針の新別表 七「介護保険施設・事業所数」に対応する。</t>
        </is>
      </c>
    </row>
    <row r="4">
      <c r="A4" s="8" t="inlineStr">
        <is>
          <t>（1）増減のあったサービスの事業所数（箇所）</t>
        </is>
      </c>
    </row>
    <row r="5">
      <c r="A5" s="5" t="inlineStr">
        <is>
          <t>サービス</t>
        </is>
      </c>
      <c r="B5" s="5" t="inlineStr">
        <is>
          <t>H24</t>
        </is>
      </c>
      <c r="C5" s="5" t="inlineStr">
        <is>
          <t>H29</t>
        </is>
      </c>
      <c r="D5" s="5" t="inlineStr">
        <is>
          <t>H30</t>
        </is>
      </c>
      <c r="E5" s="5" t="inlineStr">
        <is>
          <t>R元</t>
        </is>
      </c>
      <c r="F5" s="5" t="inlineStr">
        <is>
          <t>R3</t>
        </is>
      </c>
      <c r="G5" s="5" t="inlineStr">
        <is>
          <t>R4</t>
        </is>
      </c>
      <c r="H5" s="5" t="inlineStr">
        <is>
          <t>R5</t>
        </is>
      </c>
      <c r="I5" s="5" t="inlineStr">
        <is>
          <t>R6</t>
        </is>
      </c>
    </row>
    <row r="6">
      <c r="A6" s="6" t="inlineStr">
        <is>
          <t>訪問看護</t>
        </is>
      </c>
      <c r="B6" s="9" t="n">
        <v>2</v>
      </c>
      <c r="C6" s="9" t="n">
        <v>4</v>
      </c>
      <c r="D6" s="9" t="n">
        <v>4</v>
      </c>
      <c r="E6" s="9" t="n">
        <v>4</v>
      </c>
      <c r="F6" s="9" t="n">
        <v>5</v>
      </c>
      <c r="G6" s="9" t="n">
        <v>6</v>
      </c>
      <c r="H6" s="9" t="n">
        <v>7</v>
      </c>
      <c r="I6" s="9" t="n">
        <v>7</v>
      </c>
    </row>
    <row r="7">
      <c r="A7" s="6" t="inlineStr">
        <is>
          <t>居宅療養管理指導</t>
        </is>
      </c>
      <c r="B7" s="9" t="n">
        <v>0</v>
      </c>
      <c r="C7" s="9" t="n">
        <v>3</v>
      </c>
      <c r="D7" s="9" t="n">
        <v>3</v>
      </c>
      <c r="E7" s="9" t="n">
        <v>3</v>
      </c>
      <c r="F7" s="9" t="n">
        <v>4</v>
      </c>
      <c r="G7" s="9" t="n">
        <v>6</v>
      </c>
      <c r="H7" s="9" t="n">
        <v>8</v>
      </c>
      <c r="I7" s="9" t="n">
        <v>10</v>
      </c>
    </row>
    <row r="8">
      <c r="A8" s="6" t="inlineStr">
        <is>
          <t>訪問介護</t>
        </is>
      </c>
      <c r="B8" s="9" t="n">
        <v>8</v>
      </c>
      <c r="C8" s="9" t="n">
        <v>10</v>
      </c>
      <c r="D8" s="9" t="n">
        <v>10</v>
      </c>
      <c r="E8" s="9" t="n">
        <v>10</v>
      </c>
      <c r="F8" s="9" t="n">
        <v>10</v>
      </c>
      <c r="G8" s="9" t="n">
        <v>10</v>
      </c>
      <c r="H8" s="9" t="n">
        <v>10</v>
      </c>
      <c r="I8" s="9" t="n">
        <v>13</v>
      </c>
    </row>
    <row r="9">
      <c r="A9" s="6" t="inlineStr">
        <is>
          <t>訪問リハビリテーション</t>
        </is>
      </c>
      <c r="B9" s="9" t="n">
        <v>1</v>
      </c>
      <c r="C9" s="9" t="n">
        <v>2</v>
      </c>
      <c r="D9" s="9" t="n">
        <v>2</v>
      </c>
      <c r="E9" s="9" t="n">
        <v>2</v>
      </c>
      <c r="F9" s="9" t="n">
        <v>3</v>
      </c>
      <c r="G9" s="9" t="n">
        <v>3</v>
      </c>
      <c r="H9" s="9" t="n">
        <v>3</v>
      </c>
      <c r="I9" s="9" t="n">
        <v>3</v>
      </c>
    </row>
    <row r="10">
      <c r="A10" s="6" t="inlineStr">
        <is>
          <t>通所介護</t>
        </is>
      </c>
      <c r="B10" s="9" t="n">
        <v>4</v>
      </c>
      <c r="C10" s="9" t="n">
        <v>5</v>
      </c>
      <c r="D10" s="9" t="n">
        <v>2</v>
      </c>
      <c r="E10" s="9" t="n">
        <v>2</v>
      </c>
      <c r="F10" s="9" t="n">
        <v>2</v>
      </c>
      <c r="G10" s="9" t="n">
        <v>2</v>
      </c>
      <c r="H10" s="9" t="n">
        <v>2</v>
      </c>
      <c r="I10" s="9" t="n">
        <v>2</v>
      </c>
    </row>
    <row r="11">
      <c r="A11" s="6" t="inlineStr">
        <is>
          <t>認知症対応型共同生活介護</t>
        </is>
      </c>
      <c r="B11" s="9" t="n">
        <v>6</v>
      </c>
      <c r="C11" s="9" t="n">
        <v>6</v>
      </c>
      <c r="D11" s="9" t="n">
        <v>6</v>
      </c>
      <c r="E11" s="9" t="n">
        <v>6</v>
      </c>
      <c r="F11" s="9" t="n">
        <v>6</v>
      </c>
      <c r="G11" s="9" t="n">
        <v>5</v>
      </c>
      <c r="H11" s="9" t="n">
        <v>5</v>
      </c>
      <c r="I11" s="9" t="n">
        <v>5</v>
      </c>
    </row>
    <row r="12">
      <c r="A12" s="6" t="inlineStr">
        <is>
          <t>居宅介護支援</t>
        </is>
      </c>
      <c r="B12" s="9" t="n">
        <v>11</v>
      </c>
      <c r="C12" s="9" t="n">
        <v>10</v>
      </c>
      <c r="D12" s="9" t="n">
        <v>10</v>
      </c>
      <c r="E12" s="9" t="n">
        <v>11</v>
      </c>
      <c r="F12" s="9" t="n">
        <v>11</v>
      </c>
      <c r="G12" s="9" t="n">
        <v>10</v>
      </c>
      <c r="H12" s="9" t="n">
        <v>10</v>
      </c>
      <c r="I12" s="9" t="n">
        <v>10</v>
      </c>
    </row>
    <row r="13">
      <c r="A13" s="6" t="inlineStr">
        <is>
          <t>認知症対応型通所介護</t>
        </is>
      </c>
      <c r="B13" s="9" t="n">
        <v>2</v>
      </c>
      <c r="C13" s="9" t="n">
        <v>0</v>
      </c>
      <c r="D13" s="9" t="n">
        <v>0</v>
      </c>
      <c r="E13" s="9" t="n">
        <v>0</v>
      </c>
      <c r="F13" s="9" t="n">
        <v>0</v>
      </c>
      <c r="G13" s="9" t="n">
        <v>0</v>
      </c>
      <c r="H13" s="9" t="n">
        <v>0</v>
      </c>
      <c r="I13" s="9" t="n">
        <v>0</v>
      </c>
    </row>
    <row r="14" ht="26" customHeight="1">
      <c r="A14" s="4" t="inlineStr">
        <is>
          <t>注）訪問看護は平成24年度2事業所から令和6年度7事業所へ3.5倍、居宅療養管理指導は0から10へ増加した。一方、認知症対応型通所介護は平成27年度に消滅（2→0）、通所介護は平成30年度に5→2、認知症対応型共同生活介護は令和4年度に6→5となっている。掲載していない20種別は全期間で事業所数が変わらないか、全期間ゼロである。</t>
        </is>
      </c>
    </row>
    <row r="16">
      <c r="A16" s="8" t="inlineStr">
        <is>
          <t>（2）域内に事業所が存在しないサービス（令和6年度・人口10万対）</t>
        </is>
      </c>
    </row>
    <row r="17">
      <c r="A17" s="5" t="inlineStr">
        <is>
          <t>サービス</t>
        </is>
      </c>
      <c r="B17" s="5" t="inlineStr">
        <is>
          <t>大雪</t>
        </is>
      </c>
      <c r="C17" s="5" t="inlineStr">
        <is>
          <t>北海道</t>
        </is>
      </c>
      <c r="D17" s="5" t="inlineStr">
        <is>
          <t>全国</t>
        </is>
      </c>
      <c r="E17" s="5" t="inlineStr">
        <is>
          <t>空白の期間</t>
        </is>
      </c>
    </row>
    <row r="18">
      <c r="A18" s="6" t="inlineStr">
        <is>
          <t>定期巡回・随時対応型訪問介護看護</t>
        </is>
      </c>
      <c r="B18" s="12" t="n">
        <v>0</v>
      </c>
      <c r="C18" s="12" t="n">
        <v>2.6</v>
      </c>
      <c r="D18" s="12" t="n">
        <v>1.2</v>
      </c>
      <c r="E18" s="12" t="inlineStr">
        <is>
          <t>平成24年度〜（13年）</t>
        </is>
      </c>
    </row>
    <row r="19">
      <c r="A19" s="6" t="inlineStr">
        <is>
          <t>看護小規模多機能型居宅介護</t>
        </is>
      </c>
      <c r="B19" s="12" t="n">
        <v>0</v>
      </c>
      <c r="C19" s="12" t="n">
        <v>1.6</v>
      </c>
      <c r="D19" s="12" t="n">
        <v>0.9</v>
      </c>
      <c r="E19" s="12" t="inlineStr">
        <is>
          <t>平成24年度〜（13年）</t>
        </is>
      </c>
    </row>
    <row r="20">
      <c r="A20" s="6" t="inlineStr">
        <is>
          <t>夜間対応型訪問介護</t>
        </is>
      </c>
      <c r="B20" s="12" t="n">
        <v>0</v>
      </c>
      <c r="C20" s="12" t="n">
        <v>0.1</v>
      </c>
      <c r="D20" s="12" t="n">
        <v>0.2</v>
      </c>
      <c r="E20" s="12" t="inlineStr">
        <is>
          <t>平成24年度〜（13年）</t>
        </is>
      </c>
    </row>
    <row r="21">
      <c r="A21" s="6" t="inlineStr">
        <is>
          <t>認知症対応型通所介護</t>
        </is>
      </c>
      <c r="B21" s="12" t="n">
        <v>0</v>
      </c>
      <c r="C21" s="12" t="n">
        <v>2.8</v>
      </c>
      <c r="D21" s="12" t="n">
        <v>2.3</v>
      </c>
      <c r="E21" s="12" t="inlineStr">
        <is>
          <t>平成27年度〜（10年）</t>
        </is>
      </c>
    </row>
    <row r="22">
      <c r="A22" s="6" t="inlineStr">
        <is>
          <t>福祉用具貸与</t>
        </is>
      </c>
      <c r="B22" s="12" t="n">
        <v>0</v>
      </c>
      <c r="C22" s="12" t="n">
        <v>6</v>
      </c>
      <c r="D22" s="12" t="n">
        <v>6</v>
      </c>
      <c r="E22" s="12" t="inlineStr">
        <is>
          <t>平成24年度〜（13年）</t>
        </is>
      </c>
    </row>
    <row r="23">
      <c r="A23" s="6" t="inlineStr">
        <is>
          <t>訪問入浴介護</t>
        </is>
      </c>
      <c r="B23" s="12" t="n">
        <v>0</v>
      </c>
      <c r="C23" s="12" t="n">
        <v>1.1</v>
      </c>
      <c r="D23" s="12" t="n">
        <v>1.3</v>
      </c>
      <c r="E23" s="12" t="inlineStr">
        <is>
          <t>平成24年度〜（13年）</t>
        </is>
      </c>
    </row>
    <row r="24">
      <c r="A24" s="6" t="inlineStr">
        <is>
          <t>介護医療院</t>
        </is>
      </c>
      <c r="B24" s="12" t="n">
        <v>0</v>
      </c>
      <c r="C24" s="12" t="n">
        <v>1</v>
      </c>
      <c r="D24" s="12" t="n">
        <v>0.8</v>
      </c>
      <c r="E24" s="12" t="inlineStr">
        <is>
          <t>平成30年度〜（7年）</t>
        </is>
      </c>
    </row>
    <row r="25">
      <c r="A25" s="6" t="inlineStr">
        <is>
          <t>地域密着型特定施設入居者生活介護</t>
        </is>
      </c>
      <c r="B25" s="12" t="n">
        <v>0</v>
      </c>
      <c r="C25" s="12" t="n">
        <v>0.6</v>
      </c>
      <c r="D25" s="12" t="n">
        <v>0.3</v>
      </c>
      <c r="E25" s="12" t="inlineStr">
        <is>
          <t>平成24年度〜（13年）</t>
        </is>
      </c>
    </row>
    <row r="26">
      <c r="A26" s="6" t="inlineStr">
        <is>
          <t>短期入所療養介護（病院等）</t>
        </is>
      </c>
      <c r="B26" s="12" t="n">
        <v>0</v>
      </c>
      <c r="C26" s="12" t="n">
        <v>0.1</v>
      </c>
      <c r="D26" s="12" t="n">
        <v>0.1</v>
      </c>
      <c r="E26" s="12" t="inlineStr">
        <is>
          <t>平成24年度〜（13年）</t>
        </is>
      </c>
    </row>
    <row r="27">
      <c r="A27" s="6" t="inlineStr">
        <is>
          <t>短期入所療養介護（介護医療院）</t>
        </is>
      </c>
      <c r="B27" s="12" t="n">
        <v>0</v>
      </c>
      <c r="C27" s="12" t="n">
        <v>0.1</v>
      </c>
      <c r="D27" s="12" t="n">
        <v>0.1</v>
      </c>
      <c r="E27" s="12" t="inlineStr">
        <is>
          <t>平成30年度〜（7年）</t>
        </is>
      </c>
    </row>
    <row r="28">
      <c r="A28" s="6" t="inlineStr">
        <is>
          <t>介護療養型医療施設</t>
        </is>
      </c>
      <c r="B28" s="12" t="n">
        <v>0</v>
      </c>
      <c r="C28" s="12" t="n">
        <v>0</v>
      </c>
      <c r="D28" s="12" t="n">
        <v>0</v>
      </c>
      <c r="E28" s="12" t="inlineStr">
        <is>
          <t>平成24年度〜（13年）</t>
        </is>
      </c>
    </row>
    <row r="29" ht="26" customHeight="1">
      <c r="A29" s="4" t="inlineStr">
        <is>
          <t>注）全28サービス種別のうち11種別（39.3％）で域内の事業所数がゼロである。うち定期巡回・随時対応型訪問介護看護、夜間対応型訪問介護、看護小規模多機能型居宅介護の3種別は、重度者の在宅生活を24時間支える機能を担うもので、制度創設以来13年間ゼロである。一方、要介護5の54.6％・要介護4の49.1％が在宅・居住系にいる。上川中部圏域では定期巡回が令和8年に68.0人/月、看護小規模多機能型居宅介護が101.0人/月の見込みがあり、圏域内の他保険者では機能している。</t>
        </is>
      </c>
    </row>
    <row r="31">
      <c r="A31" s="8" t="inlineStr">
        <is>
          <t>（3）人口10万対の事業所数（令和6年度）</t>
        </is>
      </c>
    </row>
    <row r="32">
      <c r="A32" s="5" t="inlineStr">
        <is>
          <t>サービス</t>
        </is>
      </c>
      <c r="B32" s="5" t="inlineStr">
        <is>
          <t>大雪</t>
        </is>
      </c>
      <c r="C32" s="5" t="inlineStr">
        <is>
          <t>北海道</t>
        </is>
      </c>
      <c r="D32" s="5" t="inlineStr">
        <is>
          <t>全国</t>
        </is>
      </c>
      <c r="E32" s="5" t="inlineStr">
        <is>
          <t>大雪／全国</t>
        </is>
      </c>
    </row>
    <row r="33">
      <c r="A33" s="6" t="inlineStr">
        <is>
          <t>小規模多機能型居宅介護</t>
        </is>
      </c>
      <c r="B33" s="25" t="n">
        <v>18</v>
      </c>
      <c r="C33" s="25" t="n">
        <v>7.2</v>
      </c>
      <c r="D33" s="25" t="n">
        <v>4.5</v>
      </c>
      <c r="E33" s="25" t="n">
        <v>4</v>
      </c>
    </row>
    <row r="34">
      <c r="A34" s="6" t="inlineStr">
        <is>
          <t>短期入所療養介護（老健）</t>
        </is>
      </c>
      <c r="B34" s="25" t="n">
        <v>10.8</v>
      </c>
      <c r="C34" s="25" t="n">
        <v>3.4</v>
      </c>
      <c r="D34" s="25" t="n">
        <v>3.1</v>
      </c>
      <c r="E34" s="25" t="n">
        <v>3.48</v>
      </c>
    </row>
    <row r="35">
      <c r="A35" s="6" t="inlineStr">
        <is>
          <t>介護老人保健施設</t>
        </is>
      </c>
      <c r="B35" s="25" t="n">
        <v>10.8</v>
      </c>
      <c r="C35" s="25" t="n">
        <v>3.7</v>
      </c>
      <c r="D35" s="25" t="n">
        <v>3.4</v>
      </c>
      <c r="E35" s="25" t="n">
        <v>3.18</v>
      </c>
    </row>
    <row r="36">
      <c r="A36" s="6" t="inlineStr">
        <is>
          <t>特定施設入居者生活介護</t>
        </is>
      </c>
      <c r="B36" s="25" t="n">
        <v>10.8</v>
      </c>
      <c r="C36" s="25" t="n">
        <v>6</v>
      </c>
      <c r="D36" s="25" t="n">
        <v>4.9</v>
      </c>
      <c r="E36" s="25" t="n">
        <v>2.2</v>
      </c>
    </row>
    <row r="37">
      <c r="A37" s="6" t="inlineStr">
        <is>
          <t>短期入所生活介護</t>
        </is>
      </c>
      <c r="B37" s="25" t="n">
        <v>18</v>
      </c>
      <c r="C37" s="25" t="n">
        <v>8.699999999999999</v>
      </c>
      <c r="D37" s="25" t="n">
        <v>9.199999999999999</v>
      </c>
      <c r="E37" s="25" t="n">
        <v>1.96</v>
      </c>
    </row>
    <row r="38">
      <c r="A38" s="6" t="inlineStr">
        <is>
          <t>訪問看護</t>
        </is>
      </c>
      <c r="B38" s="25" t="n">
        <v>25.2</v>
      </c>
      <c r="C38" s="25" t="n">
        <v>15.7</v>
      </c>
      <c r="D38" s="25" t="n">
        <v>14.7</v>
      </c>
      <c r="E38" s="25" t="n">
        <v>1.71</v>
      </c>
    </row>
    <row r="39">
      <c r="A39" s="6" t="inlineStr">
        <is>
          <t>介護老人福祉施設</t>
        </is>
      </c>
      <c r="B39" s="25" t="n">
        <v>10.8</v>
      </c>
      <c r="C39" s="25" t="n">
        <v>7.6</v>
      </c>
      <c r="D39" s="25" t="n">
        <v>6.9</v>
      </c>
      <c r="E39" s="25" t="n">
        <v>1.57</v>
      </c>
    </row>
    <row r="40">
      <c r="A40" s="6" t="inlineStr">
        <is>
          <t>訪問介護</t>
        </is>
      </c>
      <c r="B40" s="25" t="n">
        <v>46.9</v>
      </c>
      <c r="C40" s="25" t="n">
        <v>33</v>
      </c>
      <c r="D40" s="25" t="n">
        <v>30.1</v>
      </c>
      <c r="E40" s="25" t="n">
        <v>1.56</v>
      </c>
    </row>
    <row r="41">
      <c r="A41" s="6" t="inlineStr">
        <is>
          <t>認知症対応型共同生活介護</t>
        </is>
      </c>
      <c r="B41" s="25" t="n">
        <v>18</v>
      </c>
      <c r="C41" s="25" t="n">
        <v>19.8</v>
      </c>
      <c r="D41" s="25" t="n">
        <v>11.7</v>
      </c>
      <c r="E41" s="25" t="n">
        <v>1.54</v>
      </c>
    </row>
    <row r="42">
      <c r="A42" s="6" t="inlineStr">
        <is>
          <t>居宅介護支援</t>
        </is>
      </c>
      <c r="B42" s="25" t="n">
        <v>36.1</v>
      </c>
      <c r="C42" s="25" t="n">
        <v>29.4</v>
      </c>
      <c r="D42" s="25" t="n">
        <v>30.3</v>
      </c>
      <c r="E42" s="25" t="n">
        <v>1.19</v>
      </c>
    </row>
    <row r="43">
      <c r="A43" s="6" t="inlineStr">
        <is>
          <t>地域密着型通所介護</t>
        </is>
      </c>
      <c r="B43" s="25" t="n">
        <v>14.4</v>
      </c>
      <c r="C43" s="25" t="n">
        <v>16.2</v>
      </c>
      <c r="D43" s="25" t="n">
        <v>15.5</v>
      </c>
      <c r="E43" s="25" t="n">
        <v>0.93</v>
      </c>
    </row>
    <row r="44">
      <c r="A44" s="6" t="inlineStr">
        <is>
          <t>居宅療養管理指導</t>
        </is>
      </c>
      <c r="B44" s="25" t="n">
        <v>36.1</v>
      </c>
      <c r="C44" s="25" t="n">
        <v>41.8</v>
      </c>
      <c r="D44" s="25" t="n">
        <v>48.3</v>
      </c>
      <c r="E44" s="25" t="n">
        <v>0.75</v>
      </c>
    </row>
    <row r="45">
      <c r="A45" s="6" t="inlineStr">
        <is>
          <t>通所介護</t>
        </is>
      </c>
      <c r="B45" s="25" t="n">
        <v>7.2</v>
      </c>
      <c r="C45" s="25" t="n">
        <v>14.6</v>
      </c>
      <c r="D45" s="25" t="n">
        <v>20.3</v>
      </c>
      <c r="E45" s="25" t="n">
        <v>0.35</v>
      </c>
    </row>
    <row r="46" ht="26" customHeight="1">
      <c r="A46" s="4" t="inlineStr">
        <is>
          <t>注）大雪の人口は約2.78万人であり、1事業所が人口10万対3.6に相当する。人口が小さいほど1事業所あたりの寄与が大きくなるため、人口10万対の比較は大雪の値が高く出やすい。その補正を加えてもなお低いのは通所介護（0.35）と居宅療養管理指導（0.75）である。通所介護は地域密着型通所介護と合わせても21.6で全国35.8の0.60にとどまる。</t>
        </is>
      </c>
    </row>
  </sheetData>
  <mergeCells count="5">
    <mergeCell ref="A46:M46"/>
    <mergeCell ref="A14:M14"/>
    <mergeCell ref="A1:M1"/>
    <mergeCell ref="A29:M29"/>
    <mergeCell ref="A2:M2"/>
  </mergeCells>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M33"/>
  <sheetViews>
    <sheetView workbookViewId="0">
      <selection activeCell="A1" sqref="A1"/>
    </sheetView>
  </sheetViews>
  <sheetFormatPr baseColWidth="8" defaultRowHeight="15"/>
  <cols>
    <col width="26" customWidth="1" min="1" max="1"/>
    <col width="9" customWidth="1" min="2" max="2"/>
    <col width="9" customWidth="1" min="3" max="3"/>
    <col width="9" customWidth="1" min="4" max="4"/>
    <col width="9" customWidth="1" min="5" max="5"/>
    <col width="9" customWidth="1" min="6" max="6"/>
    <col width="9" customWidth="1" min="7" max="7"/>
    <col width="9" customWidth="1" min="8" max="8"/>
    <col width="10" customWidth="1" min="9" max="9"/>
    <col width="10" customWidth="1" min="10" max="10"/>
    <col width="10" customWidth="1" min="11" max="11"/>
    <col width="10" customWidth="1" min="12" max="12"/>
    <col width="10" customWidth="1" min="13" max="13"/>
  </cols>
  <sheetData>
    <row r="1" ht="24" customHeight="1">
      <c r="A1" s="1" t="inlineStr">
        <is>
          <t>図25　サービス別の従事者数の推移</t>
        </is>
      </c>
    </row>
    <row r="2" ht="16" customHeight="1">
      <c r="A2" s="2" t="inlineStr">
        <is>
          <t>出典：厚生労働省「介護サービス施設・事業所調査」／見える化M2-a〜m（13サービス、平成29年度〜令和6年度）。令和2年度は同調査が実施されなかったため全国・北海道を含め欠測である。第10期基本指針の新別表 七「従事者数」に対応する。</t>
        </is>
      </c>
    </row>
    <row r="4">
      <c r="A4" s="8" t="inlineStr">
        <is>
          <t>（1）サービス別の従事者数（実数・人）</t>
        </is>
      </c>
    </row>
    <row r="5">
      <c r="A5" s="5" t="inlineStr">
        <is>
          <t>サービス</t>
        </is>
      </c>
      <c r="B5" s="5" t="inlineStr">
        <is>
          <t>H29</t>
        </is>
      </c>
      <c r="C5" s="5" t="inlineStr">
        <is>
          <t>H30</t>
        </is>
      </c>
      <c r="D5" s="5" t="inlineStr">
        <is>
          <t>R元</t>
        </is>
      </c>
      <c r="E5" s="5" t="inlineStr">
        <is>
          <t>R3</t>
        </is>
      </c>
      <c r="F5" s="5" t="inlineStr">
        <is>
          <t>R4</t>
        </is>
      </c>
      <c r="G5" s="5" t="inlineStr">
        <is>
          <t>R5</t>
        </is>
      </c>
      <c r="H5" s="5" t="inlineStr">
        <is>
          <t>R6</t>
        </is>
      </c>
    </row>
    <row r="6">
      <c r="A6" s="6" t="inlineStr">
        <is>
          <t>介護老人保健施設</t>
        </is>
      </c>
      <c r="B6" s="9" t="n">
        <v>90</v>
      </c>
      <c r="C6" s="9" t="n">
        <v>158</v>
      </c>
      <c r="D6" s="9" t="n">
        <v>165</v>
      </c>
      <c r="E6" s="9" t="n">
        <v>162</v>
      </c>
      <c r="F6" s="9" t="n">
        <v>160</v>
      </c>
      <c r="G6" s="9" t="n">
        <v>113</v>
      </c>
      <c r="H6" s="9" t="n">
        <v>124</v>
      </c>
    </row>
    <row r="7">
      <c r="A7" s="6" t="inlineStr">
        <is>
          <t>介護老人福祉施設</t>
        </is>
      </c>
      <c r="B7" s="9" t="n">
        <v>116</v>
      </c>
      <c r="C7" s="9" t="n">
        <v>104</v>
      </c>
      <c r="D7" s="9" t="n">
        <v>123</v>
      </c>
      <c r="E7" s="9" t="n">
        <v>119</v>
      </c>
      <c r="F7" s="9" t="n">
        <v>115</v>
      </c>
      <c r="G7" s="9" t="n">
        <v>119</v>
      </c>
      <c r="H7" s="9" t="n">
        <v>105</v>
      </c>
    </row>
    <row r="8">
      <c r="A8" s="6" t="inlineStr">
        <is>
          <t>地域密着型介護老人福祉施設</t>
        </is>
      </c>
      <c r="B8" s="9" t="n">
        <v>24</v>
      </c>
      <c r="C8" s="9" t="n">
        <v>40</v>
      </c>
      <c r="D8" s="9" t="n">
        <v>59</v>
      </c>
      <c r="E8" s="9" t="n">
        <v>84</v>
      </c>
      <c r="F8" s="9" t="n">
        <v>77</v>
      </c>
      <c r="G8" s="9" t="n">
        <v>67</v>
      </c>
      <c r="H8" s="9" t="n">
        <v>50</v>
      </c>
    </row>
    <row r="9">
      <c r="A9" s="6" t="inlineStr">
        <is>
          <t>訪問看護</t>
        </is>
      </c>
      <c r="B9" s="9" t="n">
        <v>15</v>
      </c>
      <c r="C9" s="9" t="n">
        <v>22</v>
      </c>
      <c r="D9" s="9" t="n">
        <v>23</v>
      </c>
      <c r="E9" s="9" t="n">
        <v>19</v>
      </c>
      <c r="F9" s="9" t="n">
        <v>21</v>
      </c>
      <c r="G9" s="9" t="n">
        <v>29</v>
      </c>
      <c r="H9" s="9" t="n">
        <v>37</v>
      </c>
    </row>
    <row r="10">
      <c r="A10" s="6" t="inlineStr">
        <is>
          <t>地域密着型通所介護</t>
        </is>
      </c>
      <c r="B10" s="9" t="n">
        <v>0</v>
      </c>
      <c r="C10" s="9" t="n">
        <v>21</v>
      </c>
      <c r="D10" s="9" t="n">
        <v>12</v>
      </c>
      <c r="E10" s="9" t="n">
        <v>22</v>
      </c>
      <c r="F10" s="9" t="n">
        <v>26</v>
      </c>
      <c r="G10" s="9" t="n">
        <v>23</v>
      </c>
      <c r="H10" s="9" t="n">
        <v>25</v>
      </c>
    </row>
    <row r="11">
      <c r="A11" s="6" t="inlineStr">
        <is>
          <t>通所リハビリテーション（老健）</t>
        </is>
      </c>
      <c r="B11" s="9" t="n">
        <v>23</v>
      </c>
      <c r="C11" s="9" t="n">
        <v>41</v>
      </c>
      <c r="D11" s="9" t="n">
        <v>33</v>
      </c>
      <c r="E11" s="9" t="n">
        <v>31</v>
      </c>
      <c r="F11" s="9" t="n">
        <v>35</v>
      </c>
      <c r="G11" s="9" t="n">
        <v>20</v>
      </c>
      <c r="H11" s="9" t="n">
        <v>22</v>
      </c>
    </row>
    <row r="12" ht="26" customHeight="1">
      <c r="A12" s="4" t="inlineStr">
        <is>
          <t>注1）訪問看護は平成29年度15人から令和6年度37人へ2.5倍。事業所数2→7、給付月額＋69.2％と整合する明確な拡大であり、第9期で最も伸びた供給基盤である。注2）地域密着型介護老人福祉施設は令和3年度84人をピークに令和6年度50人へ40.5％減少している。事業所数は3で不変であり、1事業所あたりの人員が減っている。注3）地域密着型通所介護の平成29年度は制度上該当がないため0としている。注4）訪問介護（平成29年度59人）・通所介護（同13人）・居宅介護支援（同32人）は平成29年度のみの収録のため掲載していない。</t>
        </is>
      </c>
    </row>
    <row r="14">
      <c r="A14" s="8" t="inlineStr">
        <is>
          <t>（2）認定者1万対でみた全国・北海道との比較（令和6年度）</t>
        </is>
      </c>
    </row>
    <row r="15">
      <c r="A15" s="5" t="inlineStr">
        <is>
          <t>サービス</t>
        </is>
      </c>
      <c r="B15" s="5" t="inlineStr">
        <is>
          <t>大雪</t>
        </is>
      </c>
      <c r="C15" s="5" t="inlineStr">
        <is>
          <t>北海道</t>
        </is>
      </c>
      <c r="D15" s="5" t="inlineStr">
        <is>
          <t>全国</t>
        </is>
      </c>
      <c r="E15" s="5" t="inlineStr">
        <is>
          <t>大雪／全国</t>
        </is>
      </c>
    </row>
    <row r="16">
      <c r="A16" s="6" t="inlineStr">
        <is>
          <t>地域密着型介護老人福祉施設</t>
        </is>
      </c>
      <c r="B16" s="27" t="n">
        <v>254.84</v>
      </c>
      <c r="C16" s="27" t="n">
        <v>68.23</v>
      </c>
      <c r="D16" s="27" t="n">
        <v>77.94</v>
      </c>
      <c r="E16" s="27" t="n">
        <v>3.27</v>
      </c>
    </row>
    <row r="17">
      <c r="A17" s="6" t="inlineStr">
        <is>
          <t>介護老人保健施設</t>
        </is>
      </c>
      <c r="B17" s="27" t="n">
        <v>632.01</v>
      </c>
      <c r="C17" s="27" t="n">
        <v>281.41</v>
      </c>
      <c r="D17" s="27" t="n">
        <v>312.22</v>
      </c>
      <c r="E17" s="27" t="n">
        <v>2.02</v>
      </c>
    </row>
    <row r="18">
      <c r="A18" s="6" t="inlineStr">
        <is>
          <t>通所リハビリテーション（老健）</t>
        </is>
      </c>
      <c r="B18" s="27" t="n">
        <v>112.13</v>
      </c>
      <c r="C18" s="27" t="n">
        <v>59.55</v>
      </c>
      <c r="D18" s="27" t="n">
        <v>65.55</v>
      </c>
      <c r="E18" s="27" t="n">
        <v>1.71</v>
      </c>
    </row>
    <row r="19">
      <c r="A19" s="6" t="inlineStr">
        <is>
          <t>介護老人福祉施設</t>
        </is>
      </c>
      <c r="B19" s="27" t="n">
        <v>535.17</v>
      </c>
      <c r="C19" s="27" t="n">
        <v>485.72</v>
      </c>
      <c r="D19" s="27" t="n">
        <v>540.03</v>
      </c>
      <c r="E19" s="27" t="n">
        <v>0.99</v>
      </c>
    </row>
    <row r="20">
      <c r="A20" s="6" t="inlineStr">
        <is>
          <t>訪問看護</t>
        </is>
      </c>
      <c r="B20" s="27" t="n">
        <v>188.58</v>
      </c>
      <c r="C20" s="27" t="n">
        <v>157.15</v>
      </c>
      <c r="D20" s="27" t="n">
        <v>207.04</v>
      </c>
      <c r="E20" s="27" t="n">
        <v>0.91</v>
      </c>
    </row>
    <row r="21">
      <c r="A21" s="6" t="inlineStr">
        <is>
          <t>地域密着型通所介護</t>
        </is>
      </c>
      <c r="B21" s="27" t="n">
        <v>127.42</v>
      </c>
      <c r="C21" s="27" t="n">
        <v>139.23</v>
      </c>
      <c r="D21" s="27" t="n">
        <v>160.27</v>
      </c>
      <c r="E21" s="27" t="n">
        <v>0.8</v>
      </c>
    </row>
    <row r="22" ht="26" customHeight="1">
      <c r="A22" s="4" t="inlineStr">
        <is>
          <t>注）分母は要介護（要支援）認定者数。全国・北海道と直接比較できる。介護老人福祉施設は平成29年度616.37（全国520.67の1.18倍）から令和6年度535.17（同0.99倍）へ低下し、8年間で全国並みとなった。訪問看護は逆に平成29年度79.70（全国105.15の0.76倍）から令和6年度188.58（同0.91倍）へ全国水準に近づいている。</t>
        </is>
      </c>
    </row>
    <row r="24">
      <c r="A24" s="8" t="inlineStr">
        <is>
          <t>（3）職種別の従事者数（介護老人福祉施設・実数）</t>
        </is>
      </c>
    </row>
    <row r="25">
      <c r="A25" s="5" t="inlineStr">
        <is>
          <t>職種</t>
        </is>
      </c>
      <c r="B25" s="5" t="inlineStr">
        <is>
          <t>H29</t>
        </is>
      </c>
      <c r="C25" s="5" t="inlineStr">
        <is>
          <t>H30</t>
        </is>
      </c>
      <c r="D25" s="5" t="inlineStr">
        <is>
          <t>R元</t>
        </is>
      </c>
      <c r="E25" s="5" t="inlineStr">
        <is>
          <t>R3</t>
        </is>
      </c>
      <c r="F25" s="5" t="inlineStr">
        <is>
          <t>R4</t>
        </is>
      </c>
      <c r="G25" s="5" t="inlineStr">
        <is>
          <t>R5</t>
        </is>
      </c>
      <c r="H25" s="5" t="inlineStr">
        <is>
          <t>R6</t>
        </is>
      </c>
    </row>
    <row r="26">
      <c r="A26" s="6" t="inlineStr">
        <is>
          <t>介護職員</t>
        </is>
      </c>
      <c r="B26" s="9" t="n">
        <v>80</v>
      </c>
      <c r="C26" s="9" t="n">
        <v>66</v>
      </c>
      <c r="D26" s="9" t="n">
        <v>78</v>
      </c>
      <c r="E26" s="9" t="n">
        <v>74</v>
      </c>
      <c r="F26" s="9" t="n">
        <v>77</v>
      </c>
      <c r="G26" s="9" t="n">
        <v>74</v>
      </c>
      <c r="H26" s="9" t="n">
        <v>70</v>
      </c>
    </row>
    <row r="27">
      <c r="A27" s="6" t="inlineStr">
        <is>
          <t>准看護師</t>
        </is>
      </c>
      <c r="B27" s="9" t="n">
        <v>7</v>
      </c>
      <c r="C27" s="9" t="n">
        <v>7</v>
      </c>
      <c r="D27" s="9" t="n">
        <v>6</v>
      </c>
      <c r="E27" s="9" t="n">
        <v>6</v>
      </c>
      <c r="F27" s="9" t="n">
        <v>5</v>
      </c>
      <c r="G27" s="9" t="n">
        <v>5</v>
      </c>
      <c r="H27" s="9" t="n">
        <v>3</v>
      </c>
    </row>
    <row r="28">
      <c r="A28" s="6" t="inlineStr">
        <is>
          <t>看護師</t>
        </is>
      </c>
      <c r="B28" s="9" t="n">
        <v>5</v>
      </c>
      <c r="C28" s="9" t="n">
        <v>7</v>
      </c>
      <c r="D28" s="9" t="n">
        <v>8</v>
      </c>
      <c r="E28" s="9" t="n">
        <v>7</v>
      </c>
      <c r="F28" s="9" t="n">
        <v>7</v>
      </c>
      <c r="G28" s="9" t="n">
        <v>6</v>
      </c>
      <c r="H28" s="9" t="n">
        <v>7</v>
      </c>
    </row>
    <row r="29">
      <c r="A29" s="6" t="inlineStr">
        <is>
          <t>生活相談員</t>
        </is>
      </c>
      <c r="B29" s="9" t="n">
        <v>5</v>
      </c>
      <c r="C29" s="9" t="n">
        <v>5</v>
      </c>
      <c r="D29" s="9" t="n">
        <v>5</v>
      </c>
      <c r="E29" s="9" t="n">
        <v>6</v>
      </c>
      <c r="F29" s="9" t="n">
        <v>5</v>
      </c>
      <c r="G29" s="9" t="n">
        <v>5</v>
      </c>
      <c r="H29" s="9" t="n">
        <v>3</v>
      </c>
    </row>
    <row r="30">
      <c r="A30" s="6" t="inlineStr">
        <is>
          <t>介護支援専門員</t>
        </is>
      </c>
      <c r="B30" s="9" t="n">
        <v>3</v>
      </c>
      <c r="C30" s="9" t="n">
        <v>3</v>
      </c>
      <c r="D30" s="9" t="n">
        <v>3</v>
      </c>
      <c r="E30" s="9" t="n">
        <v>3</v>
      </c>
      <c r="F30" s="9" t="n">
        <v>3</v>
      </c>
      <c r="G30" s="9" t="n">
        <v>3</v>
      </c>
      <c r="H30" s="9" t="n">
        <v>3</v>
      </c>
    </row>
    <row r="31">
      <c r="A31" s="6" t="inlineStr">
        <is>
          <t>機能訓練指導員</t>
        </is>
      </c>
      <c r="B31" s="9" t="n">
        <v>2</v>
      </c>
      <c r="C31" s="9" t="n">
        <v>3</v>
      </c>
      <c r="D31" s="9" t="n">
        <v>2</v>
      </c>
      <c r="E31" s="9" t="n">
        <v>2</v>
      </c>
      <c r="F31" s="9" t="n">
        <v>2</v>
      </c>
      <c r="G31" s="9" t="n">
        <v>2</v>
      </c>
      <c r="H31" s="9" t="n">
        <v>1</v>
      </c>
    </row>
    <row r="32">
      <c r="A32" s="6" t="inlineStr">
        <is>
          <t>合計</t>
        </is>
      </c>
      <c r="B32" s="9" t="n">
        <v>116</v>
      </c>
      <c r="C32" s="9" t="n">
        <v>104</v>
      </c>
      <c r="D32" s="9" t="n">
        <v>123</v>
      </c>
      <c r="E32" s="9" t="n">
        <v>119</v>
      </c>
      <c r="F32" s="9" t="n">
        <v>115</v>
      </c>
      <c r="G32" s="9" t="n">
        <v>119</v>
      </c>
      <c r="H32" s="9" t="n">
        <v>105</v>
      </c>
    </row>
    <row r="33" ht="26" customHeight="1">
      <c r="A33" s="4" t="inlineStr">
        <is>
          <t>注）准看護師は平成29年度7人から令和6年度3人へ57.1％減少しており、看護師の増加（5→7人）では補いきれていない。生活相談員も5→3人、機能訓練指導員も2→1人へ減少している。定員は平成29年度234人から令和2年度以降160人へ31.6％減少しており、従事者総数の減少（▲9.5％）はこれを下回るため、利用者あたりの手厚さ自体は増している。介護人材の必要数（見える化H1・H2）は大雪についてデータ登録がなく出力できないため、職種別欠員率は算定できない。</t>
        </is>
      </c>
    </row>
  </sheetData>
  <mergeCells count="5">
    <mergeCell ref="A1:M1"/>
    <mergeCell ref="A22:M22"/>
    <mergeCell ref="A12:M12"/>
    <mergeCell ref="A2:M2"/>
    <mergeCell ref="A33:M33"/>
  </mergeCells>
  <pageMargins left="0.75" right="0.75" top="1" bottom="1" header="0.5" footer="0.5"/>
  <drawing xmlns:r="http://schemas.openxmlformats.org/officeDocument/2006/relationships" r:id="rId1"/>
</worksheet>
</file>

<file path=xl/worksheets/sheet28.xml><?xml version="1.0" encoding="utf-8"?>
<worksheet xmlns="http://schemas.openxmlformats.org/spreadsheetml/2006/main">
  <sheetPr>
    <outlinePr summaryBelow="1" summaryRight="1"/>
    <pageSetUpPr/>
  </sheetPr>
  <dimension ref="A1:M37"/>
  <sheetViews>
    <sheetView workbookViewId="0">
      <selection activeCell="A1" sqref="A1"/>
    </sheetView>
  </sheetViews>
  <sheetFormatPr baseColWidth="8" defaultRowHeight="15"/>
  <cols>
    <col width="30"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図26　保険者機能強化推進交付金等の評価得点</t>
        </is>
      </c>
    </row>
    <row r="2" ht="16" customHeight="1">
      <c r="A2" s="2" t="inlineStr">
        <is>
          <t>出典：厚生労働省「保険者機能強化推進交付金・介護保険保険者努力支援交付金に係る評価指標（市町村分）」／見える化W126〜W145。調査実施年は令和5年（2023年）で、令和6年度分の指標として用いられる。全国・北海道は全保険者の平均値。第10期基本指針の新別表 九「インセンティブ交付金における評価」に対応する。</t>
        </is>
      </c>
    </row>
    <row r="4">
      <c r="A4" s="8" t="inlineStr">
        <is>
          <t>（1）総合得点（点）</t>
        </is>
      </c>
    </row>
    <row r="5">
      <c r="A5" s="5" t="inlineStr">
        <is>
          <t>区分</t>
        </is>
      </c>
      <c r="B5" s="5" t="inlineStr">
        <is>
          <t>大雪地区広域連合</t>
        </is>
      </c>
      <c r="C5" s="5" t="inlineStr">
        <is>
          <t>北海道</t>
        </is>
      </c>
      <c r="D5" s="5" t="inlineStr">
        <is>
          <t>全国</t>
        </is>
      </c>
    </row>
    <row r="6">
      <c r="A6" s="6" t="inlineStr">
        <is>
          <t>保険者機能強化推進交付金</t>
        </is>
      </c>
      <c r="B6" s="14" t="n">
        <v>164.7</v>
      </c>
      <c r="C6" s="14" t="n">
        <v>210.4</v>
      </c>
      <c r="D6" s="14" t="n">
        <v>205.6</v>
      </c>
    </row>
    <row r="7">
      <c r="A7" s="6" t="inlineStr">
        <is>
          <t>介護保険保険者努力支援交付金</t>
        </is>
      </c>
      <c r="B7" s="14" t="n">
        <v>167.3</v>
      </c>
      <c r="C7" s="14" t="n">
        <v>203.3</v>
      </c>
      <c r="D7" s="14" t="n">
        <v>216.7</v>
      </c>
    </row>
    <row r="8">
      <c r="A8" s="6" t="inlineStr">
        <is>
          <t>合計</t>
        </is>
      </c>
      <c r="B8" s="14" t="n">
        <v>332</v>
      </c>
      <c r="C8" s="14" t="n">
        <v>413.6</v>
      </c>
      <c r="D8" s="14" t="n">
        <v>422.4</v>
      </c>
    </row>
    <row r="9" ht="26" customHeight="1">
      <c r="A9" s="4" t="inlineStr">
        <is>
          <t>注）総合得点332.0点は全国平均422.4点の78.6％で、90.4点（21.4％）低い。北海道平均も81.6点下回る。交付金の交付額は得点に応じて配分されるため、この差はそのまま財源の差となる。第9期計画は交付金の評価結果に言及していない。</t>
        </is>
      </c>
    </row>
    <row r="11">
      <c r="A11" s="8" t="inlineStr">
        <is>
          <t>（2）指標群別の得点（点）</t>
        </is>
      </c>
    </row>
    <row r="12">
      <c r="A12" s="5" t="inlineStr">
        <is>
          <t>区分</t>
        </is>
      </c>
      <c r="B12" s="5" t="inlineStr">
        <is>
          <t>大雪地区広域連合</t>
        </is>
      </c>
      <c r="C12" s="5" t="inlineStr">
        <is>
          <t>北海道</t>
        </is>
      </c>
      <c r="D12" s="5" t="inlineStr">
        <is>
          <t>全国</t>
        </is>
      </c>
      <c r="E12" s="5" t="inlineStr">
        <is>
          <t>大雪／全国</t>
        </is>
      </c>
    </row>
    <row r="13">
      <c r="A13" s="6" t="inlineStr">
        <is>
          <t>推進　取組・体制指標群</t>
        </is>
      </c>
      <c r="B13" s="28" t="n">
        <v>96.7</v>
      </c>
      <c r="C13" s="28" t="n">
        <v>121.4</v>
      </c>
      <c r="D13" s="28" t="n">
        <v>122.5</v>
      </c>
      <c r="E13" s="28" t="n">
        <v>0.789</v>
      </c>
    </row>
    <row r="14">
      <c r="A14" s="6" t="inlineStr">
        <is>
          <t>推進　活動指標群</t>
        </is>
      </c>
      <c r="B14" s="28" t="n">
        <v>8</v>
      </c>
      <c r="C14" s="28" t="n">
        <v>33.2</v>
      </c>
      <c r="D14" s="28" t="n">
        <v>34.5</v>
      </c>
      <c r="E14" s="28" t="n">
        <v>0.232</v>
      </c>
    </row>
    <row r="15">
      <c r="A15" s="6" t="inlineStr">
        <is>
          <t>推進　成果指標群</t>
        </is>
      </c>
      <c r="B15" s="28" t="n">
        <v>60</v>
      </c>
      <c r="C15" s="28" t="n">
        <v>55.8</v>
      </c>
      <c r="D15" s="28" t="n">
        <v>48.6</v>
      </c>
      <c r="E15" s="28" t="n">
        <v>1.235</v>
      </c>
    </row>
    <row r="16">
      <c r="A16" s="6" t="inlineStr">
        <is>
          <t>支援　取組・体制指標群</t>
        </is>
      </c>
      <c r="B16" s="28" t="n">
        <v>82.3</v>
      </c>
      <c r="C16" s="28" t="n">
        <v>109.7</v>
      </c>
      <c r="D16" s="28" t="n">
        <v>123.1</v>
      </c>
      <c r="E16" s="28" t="n">
        <v>0.669</v>
      </c>
    </row>
    <row r="17">
      <c r="A17" s="6" t="inlineStr">
        <is>
          <t>支援　活動指標群</t>
        </is>
      </c>
      <c r="B17" s="28" t="n">
        <v>25</v>
      </c>
      <c r="C17" s="28" t="n">
        <v>37.8</v>
      </c>
      <c r="D17" s="28" t="n">
        <v>45</v>
      </c>
      <c r="E17" s="28" t="n">
        <v>0.556</v>
      </c>
    </row>
    <row r="18">
      <c r="A18" s="6" t="inlineStr">
        <is>
          <t>支援　成果指標群</t>
        </is>
      </c>
      <c r="B18" s="28" t="n">
        <v>60</v>
      </c>
      <c r="C18" s="28" t="n">
        <v>55.8</v>
      </c>
      <c r="D18" s="28" t="n">
        <v>48.6</v>
      </c>
      <c r="E18" s="28" t="n">
        <v>1.235</v>
      </c>
    </row>
    <row r="19" ht="26" customHeight="1">
      <c r="A19" s="4" t="inlineStr">
        <is>
          <t>注）成果（アウトカム）は全国の123.5％である一方、活動（アウトプット）は全国の23.2〜55.6％にとどまる。「結果は出ているが、その結果を生んだ活動を国の様式で記録・報告できていない」状態を示す。第9期計画の第5章がアウトプット指標を持たないこと、代表KPIの検証が期末1回のみであることと同じ構造であり、国の評価がこれを独立に裏付けている。</t>
        </is>
      </c>
    </row>
    <row r="21">
      <c r="A21" s="8" t="inlineStr">
        <is>
          <t>（3）目標別の得点（点）</t>
        </is>
      </c>
    </row>
    <row r="22">
      <c r="A22" s="5" t="inlineStr">
        <is>
          <t>目標</t>
        </is>
      </c>
      <c r="B22" s="5" t="inlineStr">
        <is>
          <t>大雪地区広域連合</t>
        </is>
      </c>
      <c r="C22" s="5" t="inlineStr">
        <is>
          <t>北海道</t>
        </is>
      </c>
      <c r="D22" s="5" t="inlineStr">
        <is>
          <t>全国</t>
        </is>
      </c>
      <c r="E22" s="5" t="inlineStr">
        <is>
          <t>大雪／全国</t>
        </is>
      </c>
    </row>
    <row r="23">
      <c r="A23" s="6" t="inlineStr">
        <is>
          <t>推進Ⅰ 持続可能な地域のあるべき姿</t>
        </is>
      </c>
      <c r="B23" s="28" t="n">
        <v>40.3</v>
      </c>
      <c r="C23" s="28" t="n">
        <v>55</v>
      </c>
      <c r="D23" s="28" t="n">
        <v>56.2</v>
      </c>
      <c r="E23" s="28" t="n">
        <v>0.717</v>
      </c>
    </row>
    <row r="24">
      <c r="A24" s="6" t="inlineStr">
        <is>
          <t>推進Ⅱ 公正・公平な給付体制</t>
        </is>
      </c>
      <c r="B24" s="28" t="n">
        <v>23.3</v>
      </c>
      <c r="C24" s="28" t="n">
        <v>57.9</v>
      </c>
      <c r="D24" s="28" t="n">
        <v>59.8</v>
      </c>
      <c r="E24" s="28" t="n">
        <v>0.39</v>
      </c>
    </row>
    <row r="25">
      <c r="A25" s="6" t="inlineStr">
        <is>
          <t>推進Ⅲ 介護人材の確保・基盤整備</t>
        </is>
      </c>
      <c r="B25" s="28" t="n">
        <v>41</v>
      </c>
      <c r="C25" s="28" t="n">
        <v>41.7</v>
      </c>
      <c r="D25" s="28" t="n">
        <v>41</v>
      </c>
      <c r="E25" s="28" t="n">
        <v>1</v>
      </c>
    </row>
    <row r="26">
      <c r="A26" s="6" t="inlineStr">
        <is>
          <t>支援Ⅰ 介護予防／日常生活支援</t>
        </is>
      </c>
      <c r="B26" s="28" t="n">
        <v>47.3</v>
      </c>
      <c r="C26" s="28" t="n">
        <v>49.7</v>
      </c>
      <c r="D26" s="28" t="n">
        <v>51.5</v>
      </c>
      <c r="E26" s="28" t="n">
        <v>0.918</v>
      </c>
    </row>
    <row r="27">
      <c r="A27" s="6" t="inlineStr">
        <is>
          <t>支援Ⅱ 認知症総合支援</t>
        </is>
      </c>
      <c r="B27" s="28" t="n">
        <v>36.3</v>
      </c>
      <c r="C27" s="28" t="n">
        <v>48.5</v>
      </c>
      <c r="D27" s="28" t="n">
        <v>54.5</v>
      </c>
      <c r="E27" s="28" t="n">
        <v>0.666</v>
      </c>
    </row>
    <row r="28">
      <c r="A28" s="6" t="inlineStr">
        <is>
          <t>支援Ⅲ 在宅医療・在宅介護連携</t>
        </is>
      </c>
      <c r="B28" s="28" t="n">
        <v>23.7</v>
      </c>
      <c r="C28" s="28" t="n">
        <v>49.3</v>
      </c>
      <c r="D28" s="28" t="n">
        <v>62.1</v>
      </c>
      <c r="E28" s="28" t="n">
        <v>0.382</v>
      </c>
    </row>
    <row r="29">
      <c r="A29" s="6" t="inlineStr">
        <is>
          <t>共通Ⅳ 自立した日常生活（成果）</t>
        </is>
      </c>
      <c r="B29" s="28" t="n">
        <v>60</v>
      </c>
      <c r="C29" s="28" t="n">
        <v>55.8</v>
      </c>
      <c r="D29" s="28" t="n">
        <v>48.6</v>
      </c>
      <c r="E29" s="28" t="n">
        <v>1.235</v>
      </c>
    </row>
    <row r="30" ht="26" customHeight="1">
      <c r="A30" s="4" t="inlineStr">
        <is>
          <t>注）最も低いのは支援Ⅲ（在宅医療・在宅介護連携）の全国比0.382と推進Ⅱ（公正・公平な給付体制）の0.390である。支援Ⅲは入退院支援・人生の最終段階における支援がいずれも0点、推進Ⅱはケアプラン点検・医療情報との突合がいずれも0点である。後者は北海道の第9期評価指標⑧「給付適正化主要3事業の実施率100％」に反する。</t>
        </is>
      </c>
    </row>
    <row r="32">
      <c r="A32" s="8" t="inlineStr">
        <is>
          <t>（4）性・年齢調整済み要介護2以上認定率（目標Ⅳ-5）</t>
        </is>
      </c>
    </row>
    <row r="33">
      <c r="A33" s="5" t="inlineStr">
        <is>
          <t>区分</t>
        </is>
      </c>
      <c r="B33" s="5" t="inlineStr">
        <is>
          <t>認定率（％）</t>
        </is>
      </c>
      <c r="C33" s="5" t="inlineStr">
        <is>
          <t>変化率（％）</t>
        </is>
      </c>
    </row>
    <row r="34">
      <c r="A34" s="6" t="inlineStr">
        <is>
          <t>大雪地区広域連合</t>
        </is>
      </c>
      <c r="B34" s="25" t="n">
        <v>9.25</v>
      </c>
      <c r="C34" s="25" t="n">
        <v>1.76</v>
      </c>
    </row>
    <row r="35">
      <c r="A35" s="6" t="inlineStr">
        <is>
          <t>北海道</t>
        </is>
      </c>
      <c r="B35" s="25" t="n">
        <v>8.59</v>
      </c>
      <c r="C35" s="25" t="n">
        <v>-1.71</v>
      </c>
    </row>
    <row r="36">
      <c r="A36" s="6" t="inlineStr">
        <is>
          <t>全国</t>
        </is>
      </c>
      <c r="B36" s="25" t="n">
        <v>8.99</v>
      </c>
      <c r="C36" s="25" t="n">
        <v>-0.37</v>
      </c>
    </row>
    <row r="37" ht="26" customHeight="1">
      <c r="A37" s="4" t="inlineStr">
        <is>
          <t>注1）本指標は国が全保険者について共通の方法で毎年算定しているため、第10期のH01（年齢調整済要介護認定率）のデータ源として最も確実である。注2）大雪9.25％は全国8.99％の102.9％、北海道8.59％の107.7％である。変化率は全国▲0.37・北海道▲1.71が低下する中で大雪のみ＋1.76と上昇している。注3）75歳以上の粗認定率が平成30年3月末35.3％から令和8年3月末33.5％へ低下していることと矛盾するものではない。前者は要介護2以上に限った性年齢調整済みの値、後者は全要介護度を含む年齢層別の粗率であり、合わせると「軽度は改善したが中重度は悪化している」という構造が読み取れる。</t>
        </is>
      </c>
    </row>
  </sheetData>
  <mergeCells count="6">
    <mergeCell ref="A19:M19"/>
    <mergeCell ref="A1:M1"/>
    <mergeCell ref="A37:M37"/>
    <mergeCell ref="A9:M9"/>
    <mergeCell ref="A30:M30"/>
    <mergeCell ref="A2:M2"/>
  </mergeCells>
  <pageMargins left="0.75" right="0.75" top="1" bottom="1" header="0.5" footer="0.5"/>
  <drawing xmlns:r="http://schemas.openxmlformats.org/officeDocument/2006/relationships" r:id="rId1"/>
</worksheet>
</file>

<file path=xl/worksheets/sheet29.xml><?xml version="1.0" encoding="utf-8"?>
<worksheet xmlns="http://schemas.openxmlformats.org/spreadsheetml/2006/main">
  <sheetPr>
    <outlinePr summaryBelow="1" summaryRight="1"/>
    <pageSetUpPr/>
  </sheetPr>
  <dimension ref="A1:M2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図27　特定地域（中山間・人口減少地域）の基準と3町の位置</t>
        </is>
      </c>
    </row>
    <row r="2" ht="16" customHeight="1">
      <c r="A2" s="2" t="inlineStr">
        <is>
          <t>出典：第135回社会保障審議会介護保険部会 資料3「特定地域（中山間・人口減少地域）の考え方について」（令和8年6月29日）／北海道 総合政策部地域創生局地域政策課「地域指定一覧（令和8年4月1日現在）」／国土交通省「豪雪地帯・特別豪雪地帯の指定（令和8年4月1日現在）」。</t>
        </is>
      </c>
    </row>
    <row r="4">
      <c r="A4" s="8" t="inlineStr">
        <is>
          <t>（1）3町の地域指定（令和8年4月1日現在）</t>
        </is>
      </c>
    </row>
    <row r="5">
      <c r="A5" s="5" t="inlineStr">
        <is>
          <t>町</t>
        </is>
      </c>
      <c r="B5" s="5" t="inlineStr">
        <is>
          <t>過疎</t>
        </is>
      </c>
      <c r="C5" s="5" t="inlineStr">
        <is>
          <t>辺地</t>
        </is>
      </c>
      <c r="D5" s="5" t="inlineStr">
        <is>
          <t>山村</t>
        </is>
      </c>
      <c r="E5" s="5" t="inlineStr">
        <is>
          <t>離島</t>
        </is>
      </c>
      <c r="F5" s="5" t="inlineStr">
        <is>
          <t>半島</t>
        </is>
      </c>
      <c r="G5" s="5" t="inlineStr">
        <is>
          <t>特別豪雪地帯</t>
        </is>
      </c>
      <c r="H5" s="5" t="inlineStr">
        <is>
          <t>豪雪地帯</t>
        </is>
      </c>
    </row>
    <row r="6">
      <c r="A6" s="6" t="inlineStr">
        <is>
          <t>東川町</t>
        </is>
      </c>
      <c r="B6" s="7" t="inlineStr">
        <is>
          <t>―</t>
        </is>
      </c>
      <c r="C6" s="7" t="inlineStr">
        <is>
          <t>○</t>
        </is>
      </c>
      <c r="D6" s="7" t="inlineStr">
        <is>
          <t>―</t>
        </is>
      </c>
      <c r="E6" s="7" t="inlineStr">
        <is>
          <t>―</t>
        </is>
      </c>
      <c r="F6" s="7" t="inlineStr">
        <is>
          <t>―</t>
        </is>
      </c>
      <c r="G6" s="7" t="inlineStr">
        <is>
          <t>○</t>
        </is>
      </c>
      <c r="H6" s="7" t="inlineStr">
        <is>
          <t>○</t>
        </is>
      </c>
    </row>
    <row r="7">
      <c r="A7" s="6" t="inlineStr">
        <is>
          <t>美瑛町</t>
        </is>
      </c>
      <c r="B7" s="7" t="inlineStr">
        <is>
          <t>○</t>
        </is>
      </c>
      <c r="C7" s="7" t="inlineStr">
        <is>
          <t>○</t>
        </is>
      </c>
      <c r="D7" s="7" t="inlineStr">
        <is>
          <t>―</t>
        </is>
      </c>
      <c r="E7" s="7" t="inlineStr">
        <is>
          <t>―</t>
        </is>
      </c>
      <c r="F7" s="7" t="inlineStr">
        <is>
          <t>―</t>
        </is>
      </c>
      <c r="G7" s="7" t="inlineStr">
        <is>
          <t>○</t>
        </is>
      </c>
      <c r="H7" s="7" t="inlineStr">
        <is>
          <t>○</t>
        </is>
      </c>
    </row>
    <row r="8">
      <c r="A8" s="6" t="inlineStr">
        <is>
          <t>東神楽町</t>
        </is>
      </c>
      <c r="B8" s="7" t="inlineStr">
        <is>
          <t>―</t>
        </is>
      </c>
      <c r="C8" s="7" t="inlineStr">
        <is>
          <t>○</t>
        </is>
      </c>
      <c r="D8" s="7" t="inlineStr">
        <is>
          <t>―</t>
        </is>
      </c>
      <c r="E8" s="7" t="inlineStr">
        <is>
          <t>―</t>
        </is>
      </c>
      <c r="F8" s="7" t="inlineStr">
        <is>
          <t>―</t>
        </is>
      </c>
      <c r="G8" s="7" t="inlineStr">
        <is>
          <t>―</t>
        </is>
      </c>
      <c r="H8" s="7" t="inlineStr">
        <is>
          <t>○</t>
        </is>
      </c>
    </row>
    <row r="9" ht="26" customHeight="1">
      <c r="A9" s="4" t="inlineStr">
        <is>
          <t>注）○は当該市町村が指定地域を有すること、△は市町村内の一部の区域が指定されていることを示す。豪雪地帯は道内全市町村が指定されている。3町とも辺地を有し、東川町・美瑛町は特別豪雪地帯を有する。これにより3町とも介護報酬上の「中山間地域等」（中山間地域等小規模事業所加算・中山間地域等居住者サービス提供加算の対象）に該当する見込みである。</t>
        </is>
      </c>
    </row>
    <row r="11">
      <c r="A11" s="8" t="inlineStr">
        <is>
          <t>（2）特定地域の基準②（75歳以上人口密度）による3町の位置</t>
        </is>
      </c>
    </row>
    <row r="12">
      <c r="A12" s="5" t="inlineStr">
        <is>
          <t>町</t>
        </is>
      </c>
      <c r="B12" s="5" t="inlineStr">
        <is>
          <t>面積（km²）</t>
        </is>
      </c>
      <c r="C12" s="5" t="inlineStr">
        <is>
          <t>5人／km²の閾値（人）</t>
        </is>
      </c>
      <c r="D12" s="5" t="inlineStr">
        <is>
          <t>75歳以上人口（推計）</t>
        </is>
      </c>
      <c r="E12" s="5" t="inlineStr">
        <is>
          <t>密度（人／km²）</t>
        </is>
      </c>
      <c r="F12" s="5" t="inlineStr">
        <is>
          <t>基準②の判定</t>
        </is>
      </c>
    </row>
    <row r="13">
      <c r="A13" s="6" t="inlineStr">
        <is>
          <t>美瑛町</t>
        </is>
      </c>
      <c r="B13" s="27" t="n">
        <v>676.78</v>
      </c>
      <c r="C13" s="27" t="n">
        <v>3384</v>
      </c>
      <c r="D13" s="27" t="n">
        <v>2065</v>
      </c>
      <c r="E13" s="27" t="n">
        <v>3.05</v>
      </c>
      <c r="F13" s="27" t="inlineStr">
        <is>
          <t>該当する見込み</t>
        </is>
      </c>
    </row>
    <row r="14">
      <c r="A14" s="6" t="inlineStr">
        <is>
          <t>東川町</t>
        </is>
      </c>
      <c r="B14" s="27" t="n">
        <v>247.3</v>
      </c>
      <c r="C14" s="27" t="n">
        <v>1236</v>
      </c>
      <c r="D14" s="27" t="n">
        <v>1528</v>
      </c>
      <c r="E14" s="27" t="n">
        <v>6.18</v>
      </c>
      <c r="F14" s="27" t="inlineStr">
        <is>
          <t>非該当の見込み</t>
        </is>
      </c>
    </row>
    <row r="15">
      <c r="A15" s="6" t="inlineStr">
        <is>
          <t>東神楽町</t>
        </is>
      </c>
      <c r="B15" s="27" t="n">
        <v>68.5</v>
      </c>
      <c r="C15" s="27" t="n">
        <v>342</v>
      </c>
      <c r="D15" s="27" t="n">
        <v>1548</v>
      </c>
      <c r="E15" s="27" t="n">
        <v>22.6</v>
      </c>
      <c r="F15" s="27" t="inlineStr">
        <is>
          <t>非該当</t>
        </is>
      </c>
    </row>
    <row r="16" ht="26" customHeight="1">
      <c r="A16" s="4" t="inlineStr">
        <is>
          <t>注1）75歳以上人口は見える化A3（後期高齢者数）の広域連合計（令和2年5,167人）を第9期計画の町別高齢化率で按分した推計値。3町の確定値による検証を要する。注2）原典は令和2年国勢調査及び社人研「日本の地域別将来推計人口 令和5(2023)年推計」に基づくこととしている。注3）基準②のもう一方の要件「75歳以上人口1,000人未満かつ減少」は、広域連合の75歳以上人口が令和2年5,167人から令和7年5,701人へ10.3％増加しているため、3町とも該当しないと考えられる。</t>
        </is>
      </c>
    </row>
    <row r="18">
      <c r="A18" s="8" t="inlineStr">
        <is>
          <t>（3）特定地域の基準の3段階構造</t>
        </is>
      </c>
    </row>
    <row r="19">
      <c r="A19" s="5" t="inlineStr">
        <is>
          <t>段階</t>
        </is>
      </c>
      <c r="B19" s="5" t="inlineStr">
        <is>
          <t>基準</t>
        </is>
      </c>
      <c r="C19" s="5" t="inlineStr">
        <is>
          <t>指定の単位</t>
        </is>
      </c>
      <c r="D19" s="5" t="inlineStr">
        <is>
          <t>大雪地区広域連合への適用</t>
        </is>
      </c>
    </row>
    <row r="20">
      <c r="A20" s="6" t="inlineStr">
        <is>
          <t>①</t>
        </is>
      </c>
      <c r="B20" s="7" t="inlineStr">
        <is>
          <t>特別地域加算・離島等相当サービスの対象地域（市町村の全部指定・一部指定いずれも含む）</t>
        </is>
      </c>
      <c r="C20" s="7" t="inlineStr">
        <is>
          <t>市町村の全部又は一部</t>
        </is>
      </c>
      <c r="D20" s="7" t="inlineStr">
        <is>
          <t>東川町・美瑛町は特別豪雪地帯を有し、美瑛町は過疎地域でもあるため対象地域である可能性がある。告示の確認を要する。</t>
        </is>
      </c>
    </row>
    <row r="21">
      <c r="A21" s="6" t="inlineStr">
        <is>
          <t>②</t>
        </is>
      </c>
      <c r="B21" s="7" t="inlineStr">
        <is>
          <t>①に該当しない場合、75歳以上人口密度5人／km²未満又は75歳以上人口1,000人未満かつ減少</t>
        </is>
      </c>
      <c r="C21" s="7" t="inlineStr">
        <is>
          <t>市町村の全域</t>
        </is>
      </c>
      <c r="D21" s="7" t="inlineStr">
        <is>
          <t>美瑛町は密度要件に該当する見込み。</t>
        </is>
      </c>
    </row>
    <row r="22">
      <c r="A22" s="6" t="inlineStr">
        <is>
          <t>③</t>
        </is>
      </c>
      <c r="B22" s="7" t="inlineStr">
        <is>
          <t>①②に該当しない場合でも、⑴市町村内の一部地域が②の基準に該当する地域、⑵特定のサービス類型の事業所が地域に存在しない等、サービス基盤の維持が困難である地域</t>
        </is>
      </c>
      <c r="C22" s="7" t="inlineStr">
        <is>
          <t>市町村の全域又は一部地域（旧市町村単位、行政区単位、日常生活圏域単位）</t>
        </is>
      </c>
      <c r="D22" s="7" t="inlineStr">
        <is>
          <t>全28サービス種別のうち11種別で域内事業所がゼロであり⑵に直接該当する。①②に該当しない町についても指定の対象となり得る。</t>
        </is>
      </c>
    </row>
    <row r="23" ht="26" customHeight="1">
      <c r="A23" s="4" t="inlineStr">
        <is>
          <t>注）指定は「市町村が特定地域としての指定の要否を検討し、その意向を踏まえて都道府県が対象地域を定める」こととされている。市町村側の意向表明が起点となる。</t>
        </is>
      </c>
    </row>
  </sheetData>
  <mergeCells count="5">
    <mergeCell ref="A1:M1"/>
    <mergeCell ref="A23:M23"/>
    <mergeCell ref="A9:M9"/>
    <mergeCell ref="A2:M2"/>
    <mergeCell ref="A16:M16"/>
  </mergeCells>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M31"/>
  <sheetViews>
    <sheetView workbookViewId="0">
      <selection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図28　美瑛町の公共交通とスクールバスの運行状況</t>
        </is>
      </c>
    </row>
    <row r="2" ht="16" customHeight="1">
      <c r="A2" s="2" t="inlineStr">
        <is>
          <t>出典：美瑛町過疎地域持続的発展市町村計画（令和3年度〜令和7年度）。第10期基本指針案の別表 一「特に訪問・通所困難地域」への該当性の検討資料。</t>
        </is>
      </c>
    </row>
    <row r="4">
      <c r="A4" s="8" t="inlineStr">
        <is>
          <t>（1）スクールバス路線別乗車人員（人／年）</t>
        </is>
      </c>
    </row>
    <row r="5">
      <c r="A5" s="5" t="inlineStr">
        <is>
          <t>路線名</t>
        </is>
      </c>
      <c r="B5" s="5" t="inlineStr">
        <is>
          <t>主たる通過集落</t>
        </is>
      </c>
      <c r="C5" s="5" t="inlineStr">
        <is>
          <t>平成30年度</t>
        </is>
      </c>
      <c r="D5" s="5" t="inlineStr">
        <is>
          <t>令和元年度</t>
        </is>
      </c>
      <c r="E5" s="5" t="inlineStr">
        <is>
          <t>令和2年度</t>
        </is>
      </c>
    </row>
    <row r="6">
      <c r="A6" s="6" t="inlineStr">
        <is>
          <t>俵真布線</t>
        </is>
      </c>
      <c r="B6" s="9" t="inlineStr">
        <is>
          <t>美瑛〜朗根内〜俵真布</t>
        </is>
      </c>
      <c r="C6" s="9" t="n">
        <v>7554</v>
      </c>
      <c r="D6" s="9" t="n">
        <v>7453</v>
      </c>
      <c r="E6" s="9" t="n">
        <v>8188</v>
      </c>
    </row>
    <row r="7">
      <c r="A7" s="6" t="inlineStr">
        <is>
          <t>宇莫別線</t>
        </is>
      </c>
      <c r="B7" s="9" t="inlineStr">
        <is>
          <t>美瑛〜下宇莫別〜上宇莫別</t>
        </is>
      </c>
      <c r="C7" s="9" t="n">
        <v>5215</v>
      </c>
      <c r="D7" s="9" t="n">
        <v>4714</v>
      </c>
      <c r="E7" s="9" t="n">
        <v>6165</v>
      </c>
    </row>
    <row r="8">
      <c r="A8" s="6" t="inlineStr">
        <is>
          <t>二股線</t>
        </is>
      </c>
      <c r="B8" s="9" t="inlineStr">
        <is>
          <t>美瑛〜ルベシベ〜二股</t>
        </is>
      </c>
      <c r="C8" s="9" t="n">
        <v>6531</v>
      </c>
      <c r="D8" s="9" t="n">
        <v>5795</v>
      </c>
      <c r="E8" s="9" t="n">
        <v>6268</v>
      </c>
    </row>
    <row r="9">
      <c r="A9" s="6" t="inlineStr">
        <is>
          <t>美田・五稜線</t>
        </is>
      </c>
      <c r="B9" s="9" t="inlineStr">
        <is>
          <t>美瑛〜美田〜五稜</t>
        </is>
      </c>
      <c r="C9" s="9" t="n">
        <v>4362</v>
      </c>
      <c r="D9" s="9" t="n">
        <v>4059</v>
      </c>
      <c r="E9" s="9" t="n">
        <v>4817</v>
      </c>
    </row>
    <row r="10">
      <c r="A10" s="6" t="inlineStr">
        <is>
          <t>旭線</t>
        </is>
      </c>
      <c r="B10" s="9" t="inlineStr">
        <is>
          <t>美瑛〜北瑛〜旭</t>
        </is>
      </c>
      <c r="C10" s="9" t="n">
        <v>5403</v>
      </c>
      <c r="D10" s="9" t="n">
        <v>5025</v>
      </c>
      <c r="E10" s="9" t="n">
        <v>4612</v>
      </c>
    </row>
    <row r="11">
      <c r="A11" s="6" t="inlineStr">
        <is>
          <t>置杵牛線</t>
        </is>
      </c>
      <c r="B11" s="9" t="inlineStr">
        <is>
          <t>美瑛〜置杵牛</t>
        </is>
      </c>
      <c r="C11" s="9" t="n">
        <v>3177</v>
      </c>
      <c r="D11" s="9" t="n">
        <v>2245</v>
      </c>
      <c r="E11" s="9" t="n">
        <v>2888</v>
      </c>
    </row>
    <row r="12">
      <c r="A12" s="6" t="inlineStr">
        <is>
          <t>水沢線</t>
        </is>
      </c>
      <c r="B12" s="9" t="inlineStr">
        <is>
          <t>美瑛〜春日台〜千代田</t>
        </is>
      </c>
      <c r="C12" s="9" t="n">
        <v>3224</v>
      </c>
      <c r="D12" s="9" t="n">
        <v>2683</v>
      </c>
      <c r="E12" s="9" t="n">
        <v>2643</v>
      </c>
    </row>
    <row r="13">
      <c r="A13" s="6" t="inlineStr">
        <is>
          <t>美馬牛線</t>
        </is>
      </c>
      <c r="B13" s="9" t="inlineStr">
        <is>
          <t>美瑛〜美馬牛</t>
        </is>
      </c>
      <c r="C13" s="9" t="n">
        <v>3652</v>
      </c>
      <c r="D13" s="9" t="n">
        <v>2948</v>
      </c>
      <c r="E13" s="9" t="n">
        <v>2408</v>
      </c>
    </row>
    <row r="14" ht="26" customHeight="1">
      <c r="A14" s="4" t="inlineStr">
        <is>
          <t>注）美瑛町過疎地域持続的発展市町村計画は「町内には、国鉄バスの路線廃止により、昭和60年から8路線でスクールバスの運行が開始され、平成23年からは、地域の利便性を図ることを目的に、10路線が運行されている。今日では、学校の統廃合による児童生徒の遠距離通学、高齢者の通院や日常の買い物など交通弱者の貴重な公共交通として、スクールバスは欠くことのできない交通手段となっている。」と記載している。すなわち市街地・周辺地区以外の集落には定期路線バスがない。うち朗根内地区を通過する俵真布線の乗車人員が10路線中最多である。</t>
        </is>
      </c>
    </row>
    <row r="16">
      <c r="A16" s="8" t="inlineStr">
        <is>
          <t>（2）公共交通と冬期の道路状況</t>
        </is>
      </c>
    </row>
    <row r="17">
      <c r="A17" s="5" t="inlineStr">
        <is>
          <t>区分</t>
        </is>
      </c>
      <c r="B17" s="5" t="inlineStr">
        <is>
          <t>内容</t>
        </is>
      </c>
      <c r="C17" s="5" t="inlineStr">
        <is>
          <t>訪問・通所困難地域の判定への意味</t>
        </is>
      </c>
    </row>
    <row r="18">
      <c r="A18" s="6" t="inlineStr">
        <is>
          <t>鉄道</t>
        </is>
      </c>
      <c r="B18" s="7" t="inlineStr">
        <is>
          <t>ＪＲ富良野線　美瑛〜旭川間1日19往復、美瑛〜富良野間1日12往復。町内に美瑛・美馬牛・北美瑛の3駅</t>
        </is>
      </c>
      <c r="C18" s="7" t="inlineStr">
        <is>
          <t>鉄道駅があるのは市街地・周辺地区と美馬牛地区のみ</t>
        </is>
      </c>
    </row>
    <row r="19">
      <c r="A19" s="6" t="inlineStr">
        <is>
          <t>民間バス</t>
        </is>
      </c>
      <c r="B19" s="7" t="inlineStr">
        <is>
          <t>白金温泉〜美瑛〜旭川間の1系統</t>
        </is>
      </c>
      <c r="C19" s="7" t="inlineStr">
        <is>
          <t>朗根内地区・旭・北西地区・美馬牛地区は経路上にない</t>
        </is>
      </c>
    </row>
    <row r="20">
      <c r="A20" s="6" t="inlineStr">
        <is>
          <t>スクールバス</t>
        </is>
      </c>
      <c r="B20" s="7" t="inlineStr">
        <is>
          <t>国鉄バスの路線廃止により昭和60年から運行。現在10路線</t>
        </is>
      </c>
      <c r="C20" s="7" t="inlineStr">
        <is>
          <t>定期路線バスの代替であり、高齢者の通院・買物の手段となっている</t>
        </is>
      </c>
    </row>
    <row r="21">
      <c r="A21" s="6" t="inlineStr">
        <is>
          <t>冬期の除雪</t>
        </is>
      </c>
      <c r="B21" s="7" t="inlineStr">
        <is>
          <t>道道7路線99.8kmで除雪率88％、町道414路線346.6kmで除雪率52.9％、歩道51路線39.60kmで除雪率51.0％</t>
        </is>
      </c>
      <c r="C21" s="7" t="inlineStr">
        <is>
          <t>町道の約47％は除雪されない。冬期のアクセスが制約される</t>
        </is>
      </c>
    </row>
    <row r="22">
      <c r="A22" s="6" t="inlineStr">
        <is>
          <t>今後の方針</t>
        </is>
      </c>
      <c r="B22" s="7" t="inlineStr">
        <is>
          <t>「走行距離や耐用年数に応じたスクールバスの計画的な更新、デマンド型交通を含めた輸送サービスの充実を図る必要がある」</t>
        </is>
      </c>
      <c r="C22" s="7" t="inlineStr">
        <is>
          <t>美瑛町自身がデマンド型交通の導入を課題としている</t>
        </is>
      </c>
    </row>
    <row r="25">
      <c r="A25" s="8" t="inlineStr">
        <is>
          <t>（3）美瑛町4地区の状況と判定</t>
        </is>
      </c>
    </row>
    <row r="26">
      <c r="A26" s="5" t="inlineStr">
        <is>
          <t>地区</t>
        </is>
      </c>
      <c r="B26" s="5" t="inlineStr">
        <is>
          <t>人口</t>
        </is>
      </c>
      <c r="C26" s="5" t="inlineStr">
        <is>
          <t>高齢者人口</t>
        </is>
      </c>
      <c r="D26" s="5" t="inlineStr">
        <is>
          <t>高齢化率</t>
        </is>
      </c>
      <c r="E26" s="5" t="inlineStr">
        <is>
          <t>鉄道駅</t>
        </is>
      </c>
      <c r="F26" s="5" t="inlineStr">
        <is>
          <t>民間バス</t>
        </is>
      </c>
      <c r="G26" s="5" t="inlineStr">
        <is>
          <t>スクールバス</t>
        </is>
      </c>
      <c r="H26" s="5" t="inlineStr">
        <is>
          <t>判定</t>
        </is>
      </c>
    </row>
    <row r="27">
      <c r="A27" s="6" t="inlineStr">
        <is>
          <t>市街地・周辺地区</t>
        </is>
      </c>
      <c r="B27" s="9" t="n">
        <v>7869</v>
      </c>
      <c r="C27" s="9" t="inlineStr">
        <is>
          <t>―</t>
        </is>
      </c>
      <c r="D27" s="9" t="inlineStr">
        <is>
          <t>―</t>
        </is>
      </c>
      <c r="E27" s="9" t="inlineStr">
        <is>
          <t>あり</t>
        </is>
      </c>
      <c r="F27" s="9" t="inlineStr">
        <is>
          <t>あり</t>
        </is>
      </c>
      <c r="G27" s="9" t="inlineStr">
        <is>
          <t>―</t>
        </is>
      </c>
      <c r="H27" s="9" t="inlineStr">
        <is>
          <t>非該当</t>
        </is>
      </c>
    </row>
    <row r="28">
      <c r="A28" s="6" t="inlineStr">
        <is>
          <t>美馬牛地区</t>
        </is>
      </c>
      <c r="B28" s="9" t="inlineStr">
        <is>
          <t>―</t>
        </is>
      </c>
      <c r="C28" s="9" t="inlineStr">
        <is>
          <t>―</t>
        </is>
      </c>
      <c r="D28" s="9" t="inlineStr">
        <is>
          <t>―</t>
        </is>
      </c>
      <c r="E28" s="9" t="inlineStr">
        <is>
          <t>あり</t>
        </is>
      </c>
      <c r="F28" s="9" t="inlineStr">
        <is>
          <t>なし</t>
        </is>
      </c>
      <c r="G28" s="9" t="inlineStr">
        <is>
          <t>美馬牛線</t>
        </is>
      </c>
      <c r="H28" s="9" t="inlineStr">
        <is>
          <t>要確認</t>
        </is>
      </c>
    </row>
    <row r="29">
      <c r="A29" s="6" t="inlineStr">
        <is>
          <t>旭・北西地区</t>
        </is>
      </c>
      <c r="B29" s="9" t="n">
        <v>684</v>
      </c>
      <c r="C29" s="9" t="n">
        <v>308</v>
      </c>
      <c r="D29" s="9" t="inlineStr">
        <is>
          <t>45.0％</t>
        </is>
      </c>
      <c r="E29" s="9" t="inlineStr">
        <is>
          <t>なし</t>
        </is>
      </c>
      <c r="F29" s="9" t="inlineStr">
        <is>
          <t>なし</t>
        </is>
      </c>
      <c r="G29" s="9" t="inlineStr">
        <is>
          <t>旭線</t>
        </is>
      </c>
      <c r="H29" s="9" t="inlineStr">
        <is>
          <t>該当の可能性がある</t>
        </is>
      </c>
    </row>
    <row r="30">
      <c r="A30" s="6" t="inlineStr">
        <is>
          <t>朗根内地区</t>
        </is>
      </c>
      <c r="B30" s="9" t="n">
        <v>233</v>
      </c>
      <c r="C30" s="9" t="n">
        <v>82</v>
      </c>
      <c r="D30" s="9" t="inlineStr">
        <is>
          <t>―</t>
        </is>
      </c>
      <c r="E30" s="9" t="inlineStr">
        <is>
          <t>なし</t>
        </is>
      </c>
      <c r="F30" s="9" t="inlineStr">
        <is>
          <t>なし</t>
        </is>
      </c>
      <c r="G30" s="9" t="inlineStr">
        <is>
          <t>俵真布線</t>
        </is>
      </c>
      <c r="H30" s="9" t="inlineStr">
        <is>
          <t>該当の可能性が最も高い</t>
        </is>
      </c>
    </row>
    <row r="31" ht="26" customHeight="1">
      <c r="A31" s="4" t="inlineStr">
        <is>
          <t>注1）人口・高齢者人口は第9期計画 第1章第7節の掲載値。注2）判定を確定するには、区域内で訪問系・通所系サービスを提供する全事業所の運営規程における「通常の事業の実施地域」の収集を要する。居宅サービスは北海道、地域密着型サービスは広域連合が保有している。注3）特定地域の基準③は一部地域の指定を認めており、その範囲として旧市町村単位・行政区単位・日常生活圏域単位が挙げられている（図27）。訪問・通所困難地域として特定した地区を、そのまま特定地域として指定することを検討できる。</t>
        </is>
      </c>
    </row>
  </sheetData>
  <mergeCells count="4">
    <mergeCell ref="A31:M31"/>
    <mergeCell ref="A2:M2"/>
    <mergeCell ref="A14:M14"/>
    <mergeCell ref="A1:M1"/>
  </mergeCells>
  <pageMargins left="0.75" right="0.75" top="1" bottom="1" header="0.5" footer="0.5"/>
  <drawing xmlns:r="http://schemas.openxmlformats.org/officeDocument/2006/relationships" r:id="rId1"/>
</worksheet>
</file>

<file path=xl/worksheets/sheet31.xml><?xml version="1.0" encoding="utf-8"?>
<worksheet xmlns="http://schemas.openxmlformats.org/spreadsheetml/2006/main">
  <sheetPr>
    <outlinePr summaryBelow="1" summaryRight="1"/>
    <pageSetUpPr/>
  </sheetPr>
  <dimension ref="A1:M33"/>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図29　保険料の水準と管内比較</t>
        </is>
      </c>
    </row>
    <row r="2" ht="16" customHeight="1">
      <c r="A2" s="2" t="inlineStr">
        <is>
          <t>出典：北海道『第9期介護保険料（第1号被保険者分）各保険者の保険料等』／介護保険事業状況報告等から算定した推計値。</t>
        </is>
      </c>
    </row>
    <row r="4">
      <c r="A4" s="8" t="inlineStr">
        <is>
          <t>（1）必要保険料月額と条例上の基準額の対比（第9期）</t>
        </is>
      </c>
    </row>
    <row r="5">
      <c r="A5" s="5" t="inlineStr">
        <is>
          <t>年度</t>
        </is>
      </c>
      <c r="B5" s="5" t="inlineStr">
        <is>
          <t>必要保険料月額（推計）</t>
        </is>
      </c>
      <c r="C5" s="5" t="inlineStr">
        <is>
          <t>条例上の基準額</t>
        </is>
      </c>
      <c r="D5" s="5" t="inlineStr">
        <is>
          <t>差</t>
        </is>
      </c>
    </row>
    <row r="6">
      <c r="A6" s="6" t="inlineStr">
        <is>
          <t>令和6年度</t>
        </is>
      </c>
      <c r="B6" s="9" t="n">
        <v>6063</v>
      </c>
      <c r="C6" s="9" t="n">
        <v>6400</v>
      </c>
      <c r="D6" s="9" t="n">
        <v>337</v>
      </c>
    </row>
    <row r="7">
      <c r="A7" s="6" t="inlineStr">
        <is>
          <t>令和7年度</t>
        </is>
      </c>
      <c r="B7" s="9" t="n">
        <v>6352</v>
      </c>
      <c r="C7" s="9" t="n">
        <v>6400</v>
      </c>
      <c r="D7" s="9" t="n">
        <v>48</v>
      </c>
    </row>
    <row r="8" ht="26" customHeight="1">
      <c r="A8" s="4" t="inlineStr">
        <is>
          <t>注）必要保険料月額は当該年度の保険給付費及び地域支援事業費から逆算した概算値。第7期は累計で月額159円、第8期は同66円の剰余であり、第9期は令和6・7年度の累計で月額385円（約42百万円）の剰余となる見込み。基金残高及び取崩実績と併せて確認する必要がある。</t>
        </is>
      </c>
    </row>
    <row r="10">
      <c r="A10" s="8" t="inlineStr">
        <is>
          <t>（2）上川管内21保険者の第9期保険料基準額（月額）</t>
        </is>
      </c>
    </row>
    <row r="11">
      <c r="A11" s="5" t="inlineStr">
        <is>
          <t>保険者</t>
        </is>
      </c>
      <c r="B11" s="5" t="inlineStr">
        <is>
          <t>月額基準額（円）</t>
        </is>
      </c>
    </row>
    <row r="12">
      <c r="A12" s="6" t="inlineStr">
        <is>
          <t>当麻町</t>
        </is>
      </c>
      <c r="B12" s="9" t="n">
        <v>6800</v>
      </c>
    </row>
    <row r="13">
      <c r="A13" s="6" t="inlineStr">
        <is>
          <t>愛別町</t>
        </is>
      </c>
      <c r="B13" s="9" t="n">
        <v>6706</v>
      </c>
    </row>
    <row r="14">
      <c r="A14" s="6" t="inlineStr">
        <is>
          <t>鷹栖町</t>
        </is>
      </c>
      <c r="B14" s="9" t="n">
        <v>6700</v>
      </c>
    </row>
    <row r="15">
      <c r="A15" s="6" t="inlineStr">
        <is>
          <t>中川町</t>
        </is>
      </c>
      <c r="B15" s="9" t="n">
        <v>6550</v>
      </c>
    </row>
    <row r="16">
      <c r="A16" s="6" t="inlineStr">
        <is>
          <t>大雪地区広域連合</t>
        </is>
      </c>
      <c r="B16" s="9" t="n">
        <v>6400</v>
      </c>
    </row>
    <row r="17">
      <c r="A17" s="6" t="inlineStr">
        <is>
          <t>比布町</t>
        </is>
      </c>
      <c r="B17" s="9" t="n">
        <v>6300</v>
      </c>
    </row>
    <row r="18">
      <c r="A18" s="6" t="inlineStr">
        <is>
          <t>旭川市</t>
        </is>
      </c>
      <c r="B18" s="9" t="n">
        <v>6190</v>
      </c>
    </row>
    <row r="19">
      <c r="A19" s="6" t="inlineStr">
        <is>
          <t>富良野市</t>
        </is>
      </c>
      <c r="B19" s="9" t="n">
        <v>6000</v>
      </c>
    </row>
    <row r="20">
      <c r="A20" s="6" t="inlineStr">
        <is>
          <t>上川町</t>
        </is>
      </c>
      <c r="B20" s="9" t="n">
        <v>6000</v>
      </c>
    </row>
    <row r="21">
      <c r="A21" s="6" t="inlineStr">
        <is>
          <t>剣淵町</t>
        </is>
      </c>
      <c r="B21" s="9" t="n">
        <v>6000</v>
      </c>
    </row>
    <row r="22">
      <c r="A22" s="6" t="inlineStr">
        <is>
          <t>下川町</t>
        </is>
      </c>
      <c r="B22" s="9" t="n">
        <v>6000</v>
      </c>
    </row>
    <row r="23">
      <c r="A23" s="6" t="inlineStr">
        <is>
          <t>和寒町</t>
        </is>
      </c>
      <c r="B23" s="9" t="n">
        <v>5950</v>
      </c>
    </row>
    <row r="24">
      <c r="A24" s="6" t="inlineStr">
        <is>
          <t>美深町</t>
        </is>
      </c>
      <c r="B24" s="9" t="n">
        <v>5900</v>
      </c>
    </row>
    <row r="25">
      <c r="A25" s="6" t="inlineStr">
        <is>
          <t>中富良野町</t>
        </is>
      </c>
      <c r="B25" s="9" t="n">
        <v>5700</v>
      </c>
    </row>
    <row r="26">
      <c r="A26" s="6" t="inlineStr">
        <is>
          <t>南富良野町</t>
        </is>
      </c>
      <c r="B26" s="9" t="n">
        <v>5700</v>
      </c>
    </row>
    <row r="27">
      <c r="A27" s="6" t="inlineStr">
        <is>
          <t>名寄市</t>
        </is>
      </c>
      <c r="B27" s="9" t="n">
        <v>5400</v>
      </c>
    </row>
    <row r="28">
      <c r="A28" s="6" t="inlineStr">
        <is>
          <t>上富良野町</t>
        </is>
      </c>
      <c r="B28" s="9" t="n">
        <v>5400</v>
      </c>
    </row>
    <row r="29">
      <c r="A29" s="6" t="inlineStr">
        <is>
          <t>占冠村</t>
        </is>
      </c>
      <c r="B29" s="9" t="n">
        <v>5100</v>
      </c>
    </row>
    <row r="30">
      <c r="A30" s="6" t="inlineStr">
        <is>
          <t>士別市</t>
        </is>
      </c>
      <c r="B30" s="9" t="n">
        <v>5025</v>
      </c>
    </row>
    <row r="31">
      <c r="A31" s="6" t="inlineStr">
        <is>
          <t>幌加内町</t>
        </is>
      </c>
      <c r="B31" s="9" t="n">
        <v>5000</v>
      </c>
    </row>
    <row r="32">
      <c r="A32" s="6" t="inlineStr">
        <is>
          <t>音威子府村</t>
        </is>
      </c>
      <c r="B32" s="9" t="n">
        <v>3600</v>
      </c>
    </row>
    <row r="33" ht="26" customHeight="1">
      <c r="A33" s="4" t="inlineStr">
        <is>
          <t>注）単純平均は約5,830円、中央値は6,000円。大雪地区広域連合の6,400円は高い方から5番目で、単純平均との差は約570円（約9.8％）。ただし人口規模等を加重していない単純比較である。</t>
        </is>
      </c>
    </row>
  </sheetData>
  <mergeCells count="4">
    <mergeCell ref="A33:M33"/>
    <mergeCell ref="A8:M8"/>
    <mergeCell ref="A2:M2"/>
    <mergeCell ref="A1:M1"/>
  </mergeCells>
  <pageMargins left="0.75" right="0.75" top="1" bottom="1" header="0.5" footer="0.5"/>
  <drawing xmlns:r="http://schemas.openxmlformats.org/officeDocument/2006/relationships" r:id="rId1"/>
</worksheet>
</file>

<file path=xl/worksheets/sheet32.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26" customWidth="1" min="1" max="1"/>
    <col width="12" customWidth="1" min="2" max="2"/>
    <col width="12" customWidth="1" min="3" max="3"/>
    <col width="12" customWidth="1" min="4" max="4"/>
    <col width="12" customWidth="1" min="5" max="5"/>
    <col width="40"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図30　代表KPI16項目のデータ源の確保状況</t>
        </is>
      </c>
    </row>
    <row r="2" ht="16" customHeight="1">
      <c r="A2" s="2" t="inlineStr">
        <is>
          <t>出典：本計画 資料1（代表KPI16項目の定義）。令和8年7月29日の見える化システムの追加受領（W144・M2系列）によりH01・H13のデータ源が確定した。</t>
        </is>
      </c>
    </row>
    <row r="4">
      <c r="A4" s="8" t="inlineStr">
        <is>
          <t>（1）データ源の確保状況の内訳</t>
        </is>
      </c>
    </row>
    <row r="5">
      <c r="A5" s="5" t="inlineStr">
        <is>
          <t>区分</t>
        </is>
      </c>
      <c r="B5" s="5" t="inlineStr">
        <is>
          <t>項目数</t>
        </is>
      </c>
      <c r="C5" s="5" t="inlineStr">
        <is>
          <t>該当ID</t>
        </is>
      </c>
      <c r="D5" s="5" t="inlineStr">
        <is>
          <t>内容</t>
        </is>
      </c>
    </row>
    <row r="6">
      <c r="A6" s="6" t="inlineStr">
        <is>
          <t>確保（基準値算定済み）</t>
        </is>
      </c>
      <c r="B6" s="9" t="n">
        <v>6</v>
      </c>
      <c r="C6" s="9" t="inlineStr">
        <is>
          <t>H01・H02・H04・H05・H13・H15</t>
        </is>
      </c>
      <c r="D6" s="9" t="inlineStr">
        <is>
          <t>第1回委員会の資料に基準値を掲載できる</t>
        </is>
      </c>
    </row>
    <row r="7">
      <c r="A7" s="6" t="inlineStr">
        <is>
          <t>確保（第10期調査の受領待ち）</t>
        </is>
      </c>
      <c r="B7" s="9" t="n">
        <v>2</v>
      </c>
      <c r="C7" s="9" t="inlineStr">
        <is>
          <t>H06・H11</t>
        </is>
      </c>
      <c r="D7" s="9" t="inlineStr">
        <is>
          <t>業務仕様書の対象4調査に含まれる。集計データの受領後に基準値を算定する</t>
        </is>
      </c>
    </row>
    <row r="8">
      <c r="A8" s="6" t="inlineStr">
        <is>
          <t>様式整備が必要</t>
        </is>
      </c>
      <c r="B8" s="9" t="n">
        <v>2</v>
      </c>
      <c r="C8" s="9" t="inlineStr">
        <is>
          <t>H09・H10</t>
        </is>
      </c>
      <c r="D8" s="9" t="inlineStr">
        <is>
          <t>3町の地域包括支援センターの記録様式の統一が前提。令和10年度から実測</t>
        </is>
      </c>
    </row>
    <row r="9">
      <c r="A9" s="6" t="inlineStr">
        <is>
          <t>データ源が未確保</t>
        </is>
      </c>
      <c r="B9" s="9" t="n">
        <v>4</v>
      </c>
      <c r="C9" s="9" t="inlineStr">
        <is>
          <t>H07・H08・H12・H16</t>
        </is>
      </c>
      <c r="D9" s="9" t="inlineStr">
        <is>
          <t>在宅介護実態調査・事業所実態調査が業務仕様書の対象外。業務範囲の決定又は代理指標への振替が必要</t>
        </is>
      </c>
    </row>
    <row r="10">
      <c r="A10" s="6" t="inlineStr">
        <is>
          <t>抽出可否の確認が必要</t>
        </is>
      </c>
      <c r="B10" s="9" t="n">
        <v>2</v>
      </c>
      <c r="C10" s="9" t="inlineStr">
        <is>
          <t>H03・H14</t>
        </is>
      </c>
      <c r="D10" s="9" t="inlineStr">
        <is>
          <t>H03は認定台帳からの新規認定者数の抽出、H14は介護人材実態調査の採用者数・退職者数からの算定</t>
        </is>
      </c>
    </row>
    <row r="11" ht="26" customHeight="1">
      <c r="A11" s="4" t="inlineStr">
        <is>
          <t>注）令和9年度当初から実測できる見通しが立っているのは8項目（H01・H02・H04・H05・H06・H11・H13・H15）。うちH01（性・年齢調整済み要介護2以上認定率＝見える化W144）とH13（職種別従事者数の推移＝見える化M2系列）は、令和8年7月29日の追加受領により確定した。残る8項目は、業務範囲の決定（4項目）、様式整備（2項目）、抽出可否の確認（2項目）を要する。</t>
        </is>
      </c>
    </row>
  </sheetData>
  <mergeCells count="3">
    <mergeCell ref="A2:M2"/>
    <mergeCell ref="A11:M11"/>
    <mergeCell ref="A1:M1"/>
  </mergeCells>
  <pageMargins left="0.75" right="0.75" top="1" bottom="1" header="0.5" footer="0.5"/>
  <drawing xmlns:r="http://schemas.openxmlformats.org/officeDocument/2006/relationships" r:id="rId1"/>
</worksheet>
</file>

<file path=xl/worksheets/sheet33.xml><?xml version="1.0" encoding="utf-8"?>
<worksheet xmlns="http://schemas.openxmlformats.org/spreadsheetml/2006/main">
  <sheetPr>
    <outlinePr summaryBelow="1" summaryRight="1"/>
    <pageSetUpPr/>
  </sheetPr>
  <dimension ref="A1:M148"/>
  <sheetViews>
    <sheetView workbookViewId="0">
      <pane ySplit="13" topLeftCell="A14" activePane="bottomLeft" state="frozen"/>
      <selection pane="bottomLeft" activeCell="A1" sqref="A1"/>
    </sheetView>
  </sheetViews>
  <sheetFormatPr baseColWidth="8" defaultRowHeight="15"/>
  <cols>
    <col width="10" customWidth="1" min="1" max="1"/>
    <col width="46" customWidth="1" min="2" max="2"/>
    <col width="12" customWidth="1" min="3" max="3"/>
    <col width="30" customWidth="1" min="4" max="4"/>
    <col width="10" customWidth="1" min="5" max="5"/>
    <col width="20" customWidth="1" min="6" max="6"/>
    <col width="7" customWidth="1" min="7" max="7"/>
    <col width="44" customWidth="1" min="8" max="8"/>
    <col width="40" customWidth="1" min="9" max="9"/>
  </cols>
  <sheetData>
    <row r="1" ht="24" customHeight="1">
      <c r="A1" s="1" t="inlineStr">
        <is>
          <t>図表番号一覧（計画本文への差し込み位置）</t>
        </is>
      </c>
    </row>
    <row r="2" ht="16" customHeight="1">
      <c r="A2" s="2" t="inlineStr">
        <is>
          <t>図表集に収録した全133点のグラフに通し番号を付し、計画本文（素案第9稿の章立て）のどの節・見出しに差し込むかを対応させたもの。第9期計画は図表に番号を付けていないため、第10期から新たに採番する。</t>
        </is>
      </c>
    </row>
    <row r="4">
      <c r="A4" s="3" t="inlineStr">
        <is>
          <t>1　採番と表記の規則</t>
        </is>
      </c>
    </row>
    <row r="5">
      <c r="A5" s="5" t="inlineStr">
        <is>
          <t>No.</t>
        </is>
      </c>
      <c r="B5" s="5" t="inlineStr">
        <is>
          <t>項目</t>
        </is>
      </c>
      <c r="C5" s="5" t="inlineStr">
        <is>
          <t>内容</t>
        </is>
      </c>
    </row>
    <row r="6" ht="30" customHeight="1">
      <c r="A6" s="6" t="inlineStr">
        <is>
          <t>1</t>
        </is>
      </c>
      <c r="B6" s="29" t="inlineStr">
        <is>
          <t>通し番号</t>
        </is>
      </c>
      <c r="C6" s="29" t="inlineStr">
        <is>
          <t>「図N-M」。Nは図表集のシート単位（図1〜図19）、Mはシート内の掲載順。本文・図表集・修正指示書で同じ番号を用いる</t>
        </is>
      </c>
    </row>
    <row r="7" ht="30" customHeight="1">
      <c r="A7" s="6" t="inlineStr">
        <is>
          <t>2</t>
        </is>
      </c>
      <c r="B7" s="29" t="inlineStr">
        <is>
          <t>本文のキャプション</t>
        </is>
      </c>
      <c r="C7" s="29" t="inlineStr">
        <is>
          <t>第9期計画と同じく図の上に【　】で囲んで表示する。番号は【　】の前に置き「図1-1【人口の推移（大雪地区広域連合・構成3町）】」とする</t>
        </is>
      </c>
    </row>
    <row r="8" ht="30" customHeight="1">
      <c r="A8" s="6" t="inlineStr">
        <is>
          <t>3</t>
        </is>
      </c>
      <c r="B8" s="29" t="inlineStr">
        <is>
          <t>出典表記</t>
        </is>
      </c>
      <c r="C8" s="29" t="inlineStr">
        <is>
          <t>図の下に「資料：〜」の1行を右寄せで置く。第9期計画の体裁に合わせる</t>
        </is>
      </c>
    </row>
    <row r="9" ht="30" customHeight="1">
      <c r="A9" s="6" t="inlineStr">
        <is>
          <t>4</t>
        </is>
      </c>
      <c r="B9" s="29" t="inlineStr">
        <is>
          <t>掲載区分</t>
        </is>
      </c>
      <c r="C9" s="29" t="inlineStr">
        <is>
          <t>本文＝計画本文に掲載／資料編＝資料編に掲載／参考＝数値検証用で計画には掲載しない</t>
        </is>
      </c>
    </row>
    <row r="10" ht="30" customHeight="1">
      <c r="A10" s="6" t="inlineStr">
        <is>
          <t>5</t>
        </is>
      </c>
      <c r="B10" s="29" t="inlineStr">
        <is>
          <t>第9期の採番</t>
        </is>
      </c>
      <c r="C10" s="29" t="inlineStr">
        <is>
          <t>第9期計画 第2章第3節は丸数字①〜⑪の次が（2）（3）（4）に変わっており、同一節の中で採番方式が途中で切り替わっている。第10期では図表番号に一本化する</t>
        </is>
      </c>
    </row>
    <row r="12">
      <c r="A12" s="3" t="inlineStr">
        <is>
          <t>2　図表番号と差し込み位置</t>
        </is>
      </c>
    </row>
    <row r="13">
      <c r="A13" s="5" t="inlineStr">
        <is>
          <t>図表番号</t>
        </is>
      </c>
      <c r="B13" s="5" t="inlineStr">
        <is>
          <t>本文キャプション案</t>
        </is>
      </c>
      <c r="C13" s="5" t="inlineStr">
        <is>
          <t>差し込み先</t>
        </is>
      </c>
      <c r="D13" s="5" t="inlineStr">
        <is>
          <t>見出し・段落</t>
        </is>
      </c>
      <c r="E13" s="5" t="inlineStr">
        <is>
          <t>掲載区分</t>
        </is>
      </c>
      <c r="F13" s="5" t="inlineStr">
        <is>
          <t>図表集シート</t>
        </is>
      </c>
      <c r="G13" s="5" t="inlineStr">
        <is>
          <t>位置</t>
        </is>
      </c>
      <c r="H13" s="5" t="inlineStr">
        <is>
          <t>資料（出典表記）</t>
        </is>
      </c>
      <c r="I13" s="5" t="inlineStr">
        <is>
          <t>備考</t>
        </is>
      </c>
    </row>
    <row r="14" ht="26" customHeight="1">
      <c r="A14" s="30" t="inlineStr">
        <is>
          <t>図1-1</t>
        </is>
      </c>
      <c r="B14" s="29" t="inlineStr">
        <is>
          <t>【人口の推移（年齢4区分・大雪地区広域連合）】</t>
        </is>
      </c>
      <c r="C14" s="29" t="inlineStr">
        <is>
          <t>第2章第1節</t>
        </is>
      </c>
      <c r="D14" s="29" t="inlineStr">
        <is>
          <t>1 第9期策定時の基礎状況</t>
        </is>
      </c>
      <c r="E14" s="30" t="inlineStr">
        <is>
          <t>本文</t>
        </is>
      </c>
      <c r="F14" s="29" t="inlineStr">
        <is>
          <t>01_人口推移</t>
        </is>
      </c>
      <c r="G14" s="30" t="inlineStr">
        <is>
          <t>R4</t>
        </is>
      </c>
      <c r="H14" s="29" t="inlineStr">
        <is>
          <t>資料：住民基本台帳　各年10月1日現在</t>
        </is>
      </c>
      <c r="I14" s="29" t="inlineStr"/>
    </row>
    <row r="15" ht="26" customHeight="1">
      <c r="A15" s="30" t="inlineStr">
        <is>
          <t>図1-2</t>
        </is>
      </c>
      <c r="B15" s="29" t="inlineStr">
        <is>
          <t>【町別総人口の推移】</t>
        </is>
      </c>
      <c r="C15" s="29" t="inlineStr">
        <is>
          <t>第2章第1節</t>
        </is>
      </c>
      <c r="D15" s="29" t="inlineStr">
        <is>
          <t>1 第9期策定時の基礎状況</t>
        </is>
      </c>
      <c r="E15" s="30" t="inlineStr">
        <is>
          <t>本文</t>
        </is>
      </c>
      <c r="F15" s="29" t="inlineStr">
        <is>
          <t>01_人口推移</t>
        </is>
      </c>
      <c r="G15" s="30" t="inlineStr">
        <is>
          <t>R31</t>
        </is>
      </c>
      <c r="H15" s="29" t="inlineStr">
        <is>
          <t>資料：住民基本台帳　各年10月1日現在</t>
        </is>
      </c>
      <c r="I15" s="29" t="inlineStr"/>
    </row>
    <row r="16" ht="26" customHeight="1">
      <c r="A16" s="30" t="inlineStr">
        <is>
          <t>図2-1</t>
        </is>
      </c>
      <c r="B16" s="29" t="inlineStr">
        <is>
          <t>【高齢化率の推移】</t>
        </is>
      </c>
      <c r="C16" s="29" t="inlineStr">
        <is>
          <t>第2章第1節</t>
        </is>
      </c>
      <c r="D16" s="29" t="inlineStr">
        <is>
          <t>1 第9期策定時の基礎状況</t>
        </is>
      </c>
      <c r="E16" s="30" t="inlineStr">
        <is>
          <t>本文</t>
        </is>
      </c>
      <c r="F16" s="29" t="inlineStr">
        <is>
          <t>02_高齢化率推移</t>
        </is>
      </c>
      <c r="G16" s="30" t="inlineStr">
        <is>
          <t>A13</t>
        </is>
      </c>
      <c r="H16" s="29" t="inlineStr">
        <is>
          <t>資料：住民基本台帳　各年10月1日現在</t>
        </is>
      </c>
      <c r="I16" s="29" t="inlineStr"/>
    </row>
    <row r="17" ht="26" customHeight="1">
      <c r="A17" s="30" t="inlineStr">
        <is>
          <t>図3-1</t>
        </is>
      </c>
      <c r="B17" s="29" t="inlineStr">
        <is>
          <t>【高齢者を含む世帯の構成割合】</t>
        </is>
      </c>
      <c r="C17" s="29" t="inlineStr">
        <is>
          <t>第2章第1節</t>
        </is>
      </c>
      <c r="D17" s="29" t="inlineStr">
        <is>
          <t>1 第9期策定時の基礎状況</t>
        </is>
      </c>
      <c r="E17" s="30" t="inlineStr">
        <is>
          <t>本文</t>
        </is>
      </c>
      <c r="F17" s="29" t="inlineStr">
        <is>
          <t>03_高齢者世帯</t>
        </is>
      </c>
      <c r="G17" s="30" t="inlineStr">
        <is>
          <t>F24</t>
        </is>
      </c>
      <c r="H17" s="29" t="inlineStr">
        <is>
          <t>資料：国勢調査（平成22年・平成27年・令和2年）</t>
        </is>
      </c>
      <c r="I17" s="29" t="inlineStr"/>
    </row>
    <row r="18" ht="26" customHeight="1">
      <c r="A18" s="30" t="inlineStr">
        <is>
          <t>図3-2</t>
        </is>
      </c>
      <c r="B18" s="29" t="inlineStr">
        <is>
          <t>【高齢夫婦世帯数の定義差（町別）】</t>
        </is>
      </c>
      <c r="C18" s="29" t="inlineStr">
        <is>
          <t>第2章第1節</t>
        </is>
      </c>
      <c r="D18" s="29" t="inlineStr">
        <is>
          <t>1 第9期策定時の基礎状況</t>
        </is>
      </c>
      <c r="E18" s="30" t="inlineStr">
        <is>
          <t>参考</t>
        </is>
      </c>
      <c r="F18" s="29" t="inlineStr">
        <is>
          <t>03_高齢者世帯</t>
        </is>
      </c>
      <c r="G18" s="30" t="inlineStr">
        <is>
          <t>Q33</t>
        </is>
      </c>
      <c r="H18" s="29" t="inlineStr">
        <is>
          <t>資料：国勢調査（平成22年・平成27年・令和2年）</t>
        </is>
      </c>
      <c r="I18" s="29" t="inlineStr">
        <is>
          <t>見える化A8と第9期計画の差の検証用。本文には掲載せず、修正指示書C-6の確認資料とする</t>
        </is>
      </c>
    </row>
    <row r="19" ht="26" customHeight="1">
      <c r="A19" s="30" t="inlineStr">
        <is>
          <t>図3-3</t>
        </is>
      </c>
      <c r="B19" s="29" t="inlineStr">
        <is>
          <t>【高齢者夫婦世帯・高齢者単身世帯の推移（広域連合）】</t>
        </is>
      </c>
      <c r="C19" s="29" t="inlineStr">
        <is>
          <t>第2章第1節</t>
        </is>
      </c>
      <c r="D19" s="29" t="inlineStr">
        <is>
          <t>1 第9期策定時の基礎状況</t>
        </is>
      </c>
      <c r="E19" s="30" t="inlineStr">
        <is>
          <t>本文</t>
        </is>
      </c>
      <c r="F19" s="29" t="inlineStr">
        <is>
          <t>03_高齢者世帯</t>
        </is>
      </c>
      <c r="G19" s="30" t="inlineStr">
        <is>
          <t>F48</t>
        </is>
      </c>
      <c r="H19" s="29" t="inlineStr">
        <is>
          <t>資料：国勢調査（平成22年・平成27年・令和2年）</t>
        </is>
      </c>
      <c r="I19" s="29" t="inlineStr"/>
    </row>
    <row r="20" ht="26" customHeight="1">
      <c r="A20" s="30" t="inlineStr">
        <is>
          <t>図4-1</t>
        </is>
      </c>
      <c r="B20" s="29" t="inlineStr">
        <is>
          <t>【認定者数の推移（要介護度別）】</t>
        </is>
      </c>
      <c r="C20" s="29" t="inlineStr">
        <is>
          <t>第2章第1節</t>
        </is>
      </c>
      <c r="D20" s="29" t="inlineStr">
        <is>
          <t>1 第9期策定時の基礎状況</t>
        </is>
      </c>
      <c r="E20" s="30" t="inlineStr">
        <is>
          <t>本文</t>
        </is>
      </c>
      <c r="F20" s="29" t="inlineStr">
        <is>
          <t>04_認定者数推移</t>
        </is>
      </c>
      <c r="G20" s="30" t="inlineStr">
        <is>
          <t>A16</t>
        </is>
      </c>
      <c r="H20" s="29" t="inlineStr">
        <is>
          <t>資料：介護保険事業状況報告　各年9月分</t>
        </is>
      </c>
      <c r="I20" s="29" t="inlineStr"/>
    </row>
    <row r="21" ht="26" customHeight="1">
      <c r="A21" s="30" t="inlineStr">
        <is>
          <t>図5-1</t>
        </is>
      </c>
      <c r="B21" s="29" t="inlineStr">
        <is>
          <t>【認定者割合の比較（令和5年9月）】</t>
        </is>
      </c>
      <c r="C21" s="29" t="inlineStr">
        <is>
          <t>第2章第1節</t>
        </is>
      </c>
      <c r="D21" s="29" t="inlineStr">
        <is>
          <t>1 第9期策定時の基礎状況</t>
        </is>
      </c>
      <c r="E21" s="30" t="inlineStr">
        <is>
          <t>本文</t>
        </is>
      </c>
      <c r="F21" s="29" t="inlineStr">
        <is>
          <t>05_認定者割合</t>
        </is>
      </c>
      <c r="G21" s="30" t="inlineStr">
        <is>
          <t>A14</t>
        </is>
      </c>
      <c r="H21" s="29" t="inlineStr">
        <is>
          <t>資料：介護保険事業状況報告　令和5年9月分</t>
        </is>
      </c>
      <c r="I21" s="29" t="inlineStr"/>
    </row>
    <row r="22" ht="26" customHeight="1">
      <c r="A22" s="30" t="inlineStr">
        <is>
          <t>図6-1</t>
        </is>
      </c>
      <c r="B22" s="29" t="inlineStr">
        <is>
          <t>【出現率の推移】</t>
        </is>
      </c>
      <c r="C22" s="29" t="inlineStr">
        <is>
          <t>第2章第1節</t>
        </is>
      </c>
      <c r="D22" s="29" t="inlineStr">
        <is>
          <t>1 第9期策定時の基礎状況</t>
        </is>
      </c>
      <c r="E22" s="30" t="inlineStr">
        <is>
          <t>本文</t>
        </is>
      </c>
      <c r="F22" s="29" t="inlineStr">
        <is>
          <t>06_出現率推移</t>
        </is>
      </c>
      <c r="G22" s="30" t="inlineStr">
        <is>
          <t>R5</t>
        </is>
      </c>
      <c r="H22" s="29" t="inlineStr">
        <is>
          <t>資料：介護保険事業状況報告　各年9月分</t>
        </is>
      </c>
      <c r="I22" s="29" t="inlineStr"/>
    </row>
    <row r="23" ht="26" customHeight="1">
      <c r="A23" s="30" t="inlineStr">
        <is>
          <t>図6-2</t>
        </is>
      </c>
      <c r="B23" s="29" t="inlineStr">
        <is>
          <t>【町別出現率の推移】</t>
        </is>
      </c>
      <c r="C23" s="29" t="inlineStr">
        <is>
          <t>第2章第1節</t>
        </is>
      </c>
      <c r="D23" s="29" t="inlineStr">
        <is>
          <t>1 第9期策定時の基礎状況</t>
        </is>
      </c>
      <c r="E23" s="30" t="inlineStr">
        <is>
          <t>本文</t>
        </is>
      </c>
      <c r="F23" s="29" t="inlineStr">
        <is>
          <t>06_出現率推移</t>
        </is>
      </c>
      <c r="G23" s="30" t="inlineStr">
        <is>
          <t>R28</t>
        </is>
      </c>
      <c r="H23" s="29" t="inlineStr">
        <is>
          <t>資料：介護保険事業状況報告　各年9月分</t>
        </is>
      </c>
      <c r="I23" s="29" t="inlineStr">
        <is>
          <t>町別データが未受領のため第9期計画の掲載値のまま（修正指示書C-8）</t>
        </is>
      </c>
    </row>
    <row r="24" ht="26" customHeight="1">
      <c r="A24" s="30" t="inlineStr">
        <is>
          <t>図6-3</t>
        </is>
      </c>
      <c r="B24" s="29" t="inlineStr">
        <is>
          <t>【出現率の比較（令和5年 上川総合振興局管内）】</t>
        </is>
      </c>
      <c r="C24" s="29" t="inlineStr">
        <is>
          <t>第2章第1節</t>
        </is>
      </c>
      <c r="D24" s="29" t="inlineStr">
        <is>
          <t>1 第9期策定時の基礎状況</t>
        </is>
      </c>
      <c r="E24" s="30" t="inlineStr">
        <is>
          <t>本文</t>
        </is>
      </c>
      <c r="F24" s="29" t="inlineStr">
        <is>
          <t>06_出現率推移</t>
        </is>
      </c>
      <c r="G24" s="30" t="inlineStr">
        <is>
          <t>R51</t>
        </is>
      </c>
      <c r="H24" s="29" t="inlineStr">
        <is>
          <t>資料：介護保険事業状況報告　各年9月分</t>
        </is>
      </c>
      <c r="I24" s="29" t="inlineStr"/>
    </row>
    <row r="25" ht="26" customHeight="1">
      <c r="A25" s="30" t="inlineStr">
        <is>
          <t>図7-1</t>
        </is>
      </c>
      <c r="B25" s="29" t="inlineStr">
        <is>
          <t>【サービス区分別給付費の推移】</t>
        </is>
      </c>
      <c r="C25" s="29" t="inlineStr">
        <is>
          <t>第2章第2節</t>
        </is>
      </c>
      <c r="D25" s="29" t="inlineStr">
        <is>
          <t>保険給付や地域支援事業の実態把握と分析</t>
        </is>
      </c>
      <c r="E25" s="30" t="inlineStr">
        <is>
          <t>本文</t>
        </is>
      </c>
      <c r="F25" s="29" t="inlineStr">
        <is>
          <t>07_給付費推移</t>
        </is>
      </c>
      <c r="G25" s="30" t="inlineStr">
        <is>
          <t>J4</t>
        </is>
      </c>
      <c r="H25" s="29" t="inlineStr">
        <is>
          <t>資料：地域包括ケア「見える化」システム／介護保険特別会計決算</t>
        </is>
      </c>
      <c r="I25" s="29" t="inlineStr"/>
    </row>
    <row r="26" ht="26" customHeight="1">
      <c r="A26" s="30" t="inlineStr">
        <is>
          <t>図7-2</t>
        </is>
      </c>
      <c r="B26" s="29" t="inlineStr">
        <is>
          <t>【給付費の中長期見通し（自然体推計）】</t>
        </is>
      </c>
      <c r="C26" s="29" t="inlineStr">
        <is>
          <t>第2章第2節</t>
        </is>
      </c>
      <c r="D26" s="29" t="inlineStr">
        <is>
          <t>保険給付や地域支援事業の実態把握と分析</t>
        </is>
      </c>
      <c r="E26" s="30" t="inlineStr">
        <is>
          <t>本文</t>
        </is>
      </c>
      <c r="F26" s="29" t="inlineStr">
        <is>
          <t>07_給付費推移</t>
        </is>
      </c>
      <c r="G26" s="30" t="inlineStr">
        <is>
          <t>J27</t>
        </is>
      </c>
      <c r="H26" s="29" t="inlineStr">
        <is>
          <t>資料：地域包括ケア「見える化」システム／介護保険特別会計決算</t>
        </is>
      </c>
      <c r="I26" s="29" t="inlineStr">
        <is>
          <t>第2章第7節へ移す案もある。掲載箇所を委員会で決定する</t>
        </is>
      </c>
    </row>
    <row r="27" ht="26" customHeight="1">
      <c r="A27" s="30" t="inlineStr">
        <is>
          <t>図8-1</t>
        </is>
      </c>
      <c r="B27" s="29" t="inlineStr">
        <is>
          <t>【社会参加の合成指標（年齢階級別・広域連合）】</t>
        </is>
      </c>
      <c r="C27" s="29" t="inlineStr">
        <is>
          <t>第2章第3節</t>
        </is>
      </c>
      <c r="D27" s="29" t="inlineStr">
        <is>
          <t>高齢者の生活実態</t>
        </is>
      </c>
      <c r="E27" s="30" t="inlineStr">
        <is>
          <t>本文</t>
        </is>
      </c>
      <c r="F27" s="29" t="inlineStr">
        <is>
          <t>08_ニーズ調査データ</t>
        </is>
      </c>
      <c r="G27" s="30" t="inlineStr">
        <is>
          <t>M51</t>
        </is>
      </c>
      <c r="H27" s="29" t="inlineStr">
        <is>
          <t>資料：令和7年度 健康とくらしの調査（JAGES調査）</t>
        </is>
      </c>
      <c r="I27" s="29" t="inlineStr">
        <is>
          <t>H05の算定根拠。第3章第1節（第9期KPIの評価）にも再掲する</t>
        </is>
      </c>
    </row>
    <row r="28" ht="26" customHeight="1">
      <c r="A28" s="30" t="inlineStr">
        <is>
          <t>図8-2</t>
        </is>
      </c>
      <c r="B28" s="29" t="inlineStr">
        <is>
          <t>【① フレイルあり割合（基本チェックリスト8項目以上）（年齢階級別）】</t>
        </is>
      </c>
      <c r="C28" s="29" t="inlineStr">
        <is>
          <t>第2章第3節</t>
        </is>
      </c>
      <c r="D28" s="29" t="inlineStr">
        <is>
          <t>高齢者の生活実態</t>
        </is>
      </c>
      <c r="E28" s="30" t="inlineStr">
        <is>
          <t>本文</t>
        </is>
      </c>
      <c r="F28" s="29" t="inlineStr">
        <is>
          <t>09_ニーズ調査グラフ</t>
        </is>
      </c>
      <c r="G28" s="30" t="inlineStr">
        <is>
          <t>A4</t>
        </is>
      </c>
      <c r="H28" s="29" t="inlineStr">
        <is>
          <t>資料：令和7年度 健康とくらしの調査（JAGES調査）</t>
        </is>
      </c>
      <c r="I28" s="29" t="inlineStr"/>
    </row>
    <row r="29" ht="26" customHeight="1">
      <c r="A29" s="30" t="inlineStr">
        <is>
          <t>図8-3</t>
        </is>
      </c>
      <c r="B29" s="29" t="inlineStr">
        <is>
          <t>【① フレイルあり割合（基本チェックリスト8項目以上）（町別）】</t>
        </is>
      </c>
      <c r="C29" s="29" t="inlineStr">
        <is>
          <t>第2章第3節</t>
        </is>
      </c>
      <c r="D29" s="29" t="inlineStr">
        <is>
          <t>高齢者の生活実態</t>
        </is>
      </c>
      <c r="E29" s="30" t="inlineStr">
        <is>
          <t>本文</t>
        </is>
      </c>
      <c r="F29" s="29" t="inlineStr">
        <is>
          <t>09_ニーズ調査グラフ</t>
        </is>
      </c>
      <c r="G29" s="30" t="inlineStr">
        <is>
          <t>J4</t>
        </is>
      </c>
      <c r="H29" s="29" t="inlineStr">
        <is>
          <t>資料：令和7年度 健康とくらしの調査（JAGES調査）</t>
        </is>
      </c>
      <c r="I29" s="29" t="inlineStr"/>
    </row>
    <row r="30" ht="26" customHeight="1">
      <c r="A30" s="30" t="inlineStr">
        <is>
          <t>図8-4</t>
        </is>
      </c>
      <c r="B30" s="29" t="inlineStr">
        <is>
          <t>【② 運動機能低下者割合（基本チェックリスト）（年齢階級別）】</t>
        </is>
      </c>
      <c r="C30" s="29" t="inlineStr">
        <is>
          <t>第2章第3節</t>
        </is>
      </c>
      <c r="D30" s="29" t="inlineStr">
        <is>
          <t>高齢者の生活実態</t>
        </is>
      </c>
      <c r="E30" s="30" t="inlineStr">
        <is>
          <t>本文</t>
        </is>
      </c>
      <c r="F30" s="29" t="inlineStr">
        <is>
          <t>09_ニーズ調査グラフ</t>
        </is>
      </c>
      <c r="G30" s="30" t="inlineStr">
        <is>
          <t>A21</t>
        </is>
      </c>
      <c r="H30" s="29" t="inlineStr">
        <is>
          <t>資料：令和7年度 健康とくらしの調査（JAGES調査）</t>
        </is>
      </c>
      <c r="I30" s="29" t="inlineStr"/>
    </row>
    <row r="31" ht="26" customHeight="1">
      <c r="A31" s="30" t="inlineStr">
        <is>
          <t>図8-5</t>
        </is>
      </c>
      <c r="B31" s="29" t="inlineStr">
        <is>
          <t>【② 運動機能低下者割合（基本チェックリスト）（町別）】</t>
        </is>
      </c>
      <c r="C31" s="29" t="inlineStr">
        <is>
          <t>第2章第3節</t>
        </is>
      </c>
      <c r="D31" s="29" t="inlineStr">
        <is>
          <t>高齢者の生活実態</t>
        </is>
      </c>
      <c r="E31" s="30" t="inlineStr">
        <is>
          <t>本文</t>
        </is>
      </c>
      <c r="F31" s="29" t="inlineStr">
        <is>
          <t>09_ニーズ調査グラフ</t>
        </is>
      </c>
      <c r="G31" s="30" t="inlineStr">
        <is>
          <t>J21</t>
        </is>
      </c>
      <c r="H31" s="29" t="inlineStr">
        <is>
          <t>資料：令和7年度 健康とくらしの調査（JAGES調査）</t>
        </is>
      </c>
      <c r="I31" s="29" t="inlineStr"/>
    </row>
    <row r="32" ht="26" customHeight="1">
      <c r="A32" s="30" t="inlineStr">
        <is>
          <t>図8-6</t>
        </is>
      </c>
      <c r="B32" s="29" t="inlineStr">
        <is>
          <t>【③ 1年間の転倒あり割合（年齢階級別）】</t>
        </is>
      </c>
      <c r="C32" s="29" t="inlineStr">
        <is>
          <t>第2章第3節</t>
        </is>
      </c>
      <c r="D32" s="29" t="inlineStr">
        <is>
          <t>高齢者の生活実態</t>
        </is>
      </c>
      <c r="E32" s="30" t="inlineStr">
        <is>
          <t>本文</t>
        </is>
      </c>
      <c r="F32" s="29" t="inlineStr">
        <is>
          <t>09_ニーズ調査グラフ</t>
        </is>
      </c>
      <c r="G32" s="30" t="inlineStr">
        <is>
          <t>A38</t>
        </is>
      </c>
      <c r="H32" s="29" t="inlineStr">
        <is>
          <t>資料：令和7年度 健康とくらしの調査（JAGES調査）</t>
        </is>
      </c>
      <c r="I32" s="29" t="inlineStr"/>
    </row>
    <row r="33" ht="26" customHeight="1">
      <c r="A33" s="30" t="inlineStr">
        <is>
          <t>図8-7</t>
        </is>
      </c>
      <c r="B33" s="29" t="inlineStr">
        <is>
          <t>【③ 1年間の転倒あり割合（町別）】</t>
        </is>
      </c>
      <c r="C33" s="29" t="inlineStr">
        <is>
          <t>第2章第3節</t>
        </is>
      </c>
      <c r="D33" s="29" t="inlineStr">
        <is>
          <t>高齢者の生活実態</t>
        </is>
      </c>
      <c r="E33" s="30" t="inlineStr">
        <is>
          <t>本文</t>
        </is>
      </c>
      <c r="F33" s="29" t="inlineStr">
        <is>
          <t>09_ニーズ調査グラフ</t>
        </is>
      </c>
      <c r="G33" s="30" t="inlineStr">
        <is>
          <t>J38</t>
        </is>
      </c>
      <c r="H33" s="29" t="inlineStr">
        <is>
          <t>資料：令和7年度 健康とくらしの調査（JAGES調査）</t>
        </is>
      </c>
      <c r="I33" s="29" t="inlineStr"/>
    </row>
    <row r="34" ht="26" customHeight="1">
      <c r="A34" s="30" t="inlineStr">
        <is>
          <t>図8-8</t>
        </is>
      </c>
      <c r="B34" s="29" t="inlineStr">
        <is>
          <t>【④ 物忘れが多い者の割合（年齢階級別）】</t>
        </is>
      </c>
      <c r="C34" s="29" t="inlineStr">
        <is>
          <t>第2章第3節</t>
        </is>
      </c>
      <c r="D34" s="29" t="inlineStr">
        <is>
          <t>高齢者の生活実態</t>
        </is>
      </c>
      <c r="E34" s="30" t="inlineStr">
        <is>
          <t>本文</t>
        </is>
      </c>
      <c r="F34" s="29" t="inlineStr">
        <is>
          <t>09_ニーズ調査グラフ</t>
        </is>
      </c>
      <c r="G34" s="30" t="inlineStr">
        <is>
          <t>A55</t>
        </is>
      </c>
      <c r="H34" s="29" t="inlineStr">
        <is>
          <t>資料：令和7年度 健康とくらしの調査（JAGES調査）</t>
        </is>
      </c>
      <c r="I34" s="29" t="inlineStr"/>
    </row>
    <row r="35" ht="26" customHeight="1">
      <c r="A35" s="30" t="inlineStr">
        <is>
          <t>図8-9</t>
        </is>
      </c>
      <c r="B35" s="29" t="inlineStr">
        <is>
          <t>【④ 物忘れが多い者の割合（町別）】</t>
        </is>
      </c>
      <c r="C35" s="29" t="inlineStr">
        <is>
          <t>第2章第3節</t>
        </is>
      </c>
      <c r="D35" s="29" t="inlineStr">
        <is>
          <t>高齢者の生活実態</t>
        </is>
      </c>
      <c r="E35" s="30" t="inlineStr">
        <is>
          <t>本文</t>
        </is>
      </c>
      <c r="F35" s="29" t="inlineStr">
        <is>
          <t>09_ニーズ調査グラフ</t>
        </is>
      </c>
      <c r="G35" s="30" t="inlineStr">
        <is>
          <t>J55</t>
        </is>
      </c>
      <c r="H35" s="29" t="inlineStr">
        <is>
          <t>資料：令和7年度 健康とくらしの調査（JAGES調査）</t>
        </is>
      </c>
      <c r="I35" s="29" t="inlineStr"/>
    </row>
    <row r="36" ht="26" customHeight="1">
      <c r="A36" s="30" t="inlineStr">
        <is>
          <t>図8-10</t>
        </is>
      </c>
      <c r="B36" s="29" t="inlineStr">
        <is>
          <t>【⑤ 閉じこもり者割合（年齢階級別）】</t>
        </is>
      </c>
      <c r="C36" s="29" t="inlineStr">
        <is>
          <t>第2章第3節</t>
        </is>
      </c>
      <c r="D36" s="29" t="inlineStr">
        <is>
          <t>高齢者の生活実態</t>
        </is>
      </c>
      <c r="E36" s="30" t="inlineStr">
        <is>
          <t>本文</t>
        </is>
      </c>
      <c r="F36" s="29" t="inlineStr">
        <is>
          <t>09_ニーズ調査グラフ</t>
        </is>
      </c>
      <c r="G36" s="30" t="inlineStr">
        <is>
          <t>A72</t>
        </is>
      </c>
      <c r="H36" s="29" t="inlineStr">
        <is>
          <t>資料：令和7年度 健康とくらしの調査（JAGES調査）</t>
        </is>
      </c>
      <c r="I36" s="29" t="inlineStr"/>
    </row>
    <row r="37" ht="26" customHeight="1">
      <c r="A37" s="30" t="inlineStr">
        <is>
          <t>図8-11</t>
        </is>
      </c>
      <c r="B37" s="29" t="inlineStr">
        <is>
          <t>【⑤ 閉じこもり者割合（町別）】</t>
        </is>
      </c>
      <c r="C37" s="29" t="inlineStr">
        <is>
          <t>第2章第3節</t>
        </is>
      </c>
      <c r="D37" s="29" t="inlineStr">
        <is>
          <t>高齢者の生活実態</t>
        </is>
      </c>
      <c r="E37" s="30" t="inlineStr">
        <is>
          <t>本文</t>
        </is>
      </c>
      <c r="F37" s="29" t="inlineStr">
        <is>
          <t>09_ニーズ調査グラフ</t>
        </is>
      </c>
      <c r="G37" s="30" t="inlineStr">
        <is>
          <t>J72</t>
        </is>
      </c>
      <c r="H37" s="29" t="inlineStr">
        <is>
          <t>資料：令和7年度 健康とくらしの調査（JAGES調査）</t>
        </is>
      </c>
      <c r="I37" s="29" t="inlineStr"/>
    </row>
    <row r="38" ht="26" customHeight="1">
      <c r="A38" s="30" t="inlineStr">
        <is>
          <t>図8-12</t>
        </is>
      </c>
      <c r="B38" s="29" t="inlineStr">
        <is>
          <t>【⑥ うつ割合（基本チェックリスト）（年齢階級別）】</t>
        </is>
      </c>
      <c r="C38" s="29" t="inlineStr">
        <is>
          <t>第2章第3節</t>
        </is>
      </c>
      <c r="D38" s="29" t="inlineStr">
        <is>
          <t>高齢者の生活実態</t>
        </is>
      </c>
      <c r="E38" s="30" t="inlineStr">
        <is>
          <t>本文</t>
        </is>
      </c>
      <c r="F38" s="29" t="inlineStr">
        <is>
          <t>09_ニーズ調査グラフ</t>
        </is>
      </c>
      <c r="G38" s="30" t="inlineStr">
        <is>
          <t>A89</t>
        </is>
      </c>
      <c r="H38" s="29" t="inlineStr">
        <is>
          <t>資料：令和7年度 健康とくらしの調査（JAGES調査）</t>
        </is>
      </c>
      <c r="I38" s="29" t="inlineStr"/>
    </row>
    <row r="39" ht="26" customHeight="1">
      <c r="A39" s="30" t="inlineStr">
        <is>
          <t>図8-13</t>
        </is>
      </c>
      <c r="B39" s="29" t="inlineStr">
        <is>
          <t>【⑥ うつ割合（基本チェックリスト）（町別）】</t>
        </is>
      </c>
      <c r="C39" s="29" t="inlineStr">
        <is>
          <t>第2章第3節</t>
        </is>
      </c>
      <c r="D39" s="29" t="inlineStr">
        <is>
          <t>高齢者の生活実態</t>
        </is>
      </c>
      <c r="E39" s="30" t="inlineStr">
        <is>
          <t>本文</t>
        </is>
      </c>
      <c r="F39" s="29" t="inlineStr">
        <is>
          <t>09_ニーズ調査グラフ</t>
        </is>
      </c>
      <c r="G39" s="30" t="inlineStr">
        <is>
          <t>J89</t>
        </is>
      </c>
      <c r="H39" s="29" t="inlineStr">
        <is>
          <t>資料：令和7年度 健康とくらしの調査（JAGES調査）</t>
        </is>
      </c>
      <c r="I39" s="29" t="inlineStr"/>
    </row>
    <row r="40" ht="26" customHeight="1">
      <c r="A40" s="30" t="inlineStr">
        <is>
          <t>図8-14</t>
        </is>
      </c>
      <c r="B40" s="29" t="inlineStr">
        <is>
          <t>【⑦ 口腔機能低下者割合（基本チェックリスト）（年齢階級別）】</t>
        </is>
      </c>
      <c r="C40" s="29" t="inlineStr">
        <is>
          <t>第2章第3節</t>
        </is>
      </c>
      <c r="D40" s="29" t="inlineStr">
        <is>
          <t>高齢者の生活実態</t>
        </is>
      </c>
      <c r="E40" s="30" t="inlineStr">
        <is>
          <t>本文</t>
        </is>
      </c>
      <c r="F40" s="29" t="inlineStr">
        <is>
          <t>09_ニーズ調査グラフ</t>
        </is>
      </c>
      <c r="G40" s="30" t="inlineStr">
        <is>
          <t>A106</t>
        </is>
      </c>
      <c r="H40" s="29" t="inlineStr">
        <is>
          <t>資料：令和7年度 健康とくらしの調査（JAGES調査）</t>
        </is>
      </c>
      <c r="I40" s="29" t="inlineStr"/>
    </row>
    <row r="41" ht="26" customHeight="1">
      <c r="A41" s="30" t="inlineStr">
        <is>
          <t>図8-15</t>
        </is>
      </c>
      <c r="B41" s="29" t="inlineStr">
        <is>
          <t>【⑦ 口腔機能低下者割合（基本チェックリスト）（町別）】</t>
        </is>
      </c>
      <c r="C41" s="29" t="inlineStr">
        <is>
          <t>第2章第3節</t>
        </is>
      </c>
      <c r="D41" s="29" t="inlineStr">
        <is>
          <t>高齢者の生活実態</t>
        </is>
      </c>
      <c r="E41" s="30" t="inlineStr">
        <is>
          <t>本文</t>
        </is>
      </c>
      <c r="F41" s="29" t="inlineStr">
        <is>
          <t>09_ニーズ調査グラフ</t>
        </is>
      </c>
      <c r="G41" s="30" t="inlineStr">
        <is>
          <t>J106</t>
        </is>
      </c>
      <c r="H41" s="29" t="inlineStr">
        <is>
          <t>資料：令和7年度 健康とくらしの調査（JAGES調査）</t>
        </is>
      </c>
      <c r="I41" s="29" t="inlineStr"/>
    </row>
    <row r="42" ht="26" customHeight="1">
      <c r="A42" s="30" t="inlineStr">
        <is>
          <t>図8-16</t>
        </is>
      </c>
      <c r="B42" s="29" t="inlineStr">
        <is>
          <t>【⑧ 低栄養の傾向割合（BMI18.5未満）（年齢階級別）】</t>
        </is>
      </c>
      <c r="C42" s="29" t="inlineStr">
        <is>
          <t>第2章第3節</t>
        </is>
      </c>
      <c r="D42" s="29" t="inlineStr">
        <is>
          <t>高齢者の生活実態</t>
        </is>
      </c>
      <c r="E42" s="30" t="inlineStr">
        <is>
          <t>本文</t>
        </is>
      </c>
      <c r="F42" s="29" t="inlineStr">
        <is>
          <t>09_ニーズ調査グラフ</t>
        </is>
      </c>
      <c r="G42" s="30" t="inlineStr">
        <is>
          <t>A123</t>
        </is>
      </c>
      <c r="H42" s="29" t="inlineStr">
        <is>
          <t>資料：令和7年度 健康とくらしの調査（JAGES調査）</t>
        </is>
      </c>
      <c r="I42" s="29" t="inlineStr"/>
    </row>
    <row r="43" ht="26" customHeight="1">
      <c r="A43" s="30" t="inlineStr">
        <is>
          <t>図8-17</t>
        </is>
      </c>
      <c r="B43" s="29" t="inlineStr">
        <is>
          <t>【⑧ 低栄養の傾向割合（BMI18.5未満）（町別）】</t>
        </is>
      </c>
      <c r="C43" s="29" t="inlineStr">
        <is>
          <t>第2章第3節</t>
        </is>
      </c>
      <c r="D43" s="29" t="inlineStr">
        <is>
          <t>高齢者の生活実態</t>
        </is>
      </c>
      <c r="E43" s="30" t="inlineStr">
        <is>
          <t>本文</t>
        </is>
      </c>
      <c r="F43" s="29" t="inlineStr">
        <is>
          <t>09_ニーズ調査グラフ</t>
        </is>
      </c>
      <c r="G43" s="30" t="inlineStr">
        <is>
          <t>J123</t>
        </is>
      </c>
      <c r="H43" s="29" t="inlineStr">
        <is>
          <t>資料：令和7年度 健康とくらしの調査（JAGES調査）</t>
        </is>
      </c>
      <c r="I43" s="29" t="inlineStr"/>
    </row>
    <row r="44" ht="26" customHeight="1">
      <c r="A44" s="30" t="inlineStr">
        <is>
          <t>図8-18</t>
        </is>
      </c>
      <c r="B44" s="29" t="inlineStr">
        <is>
          <t>【⑨ 要支援・要介護リスク点数（平均点）（年齢階級別）】</t>
        </is>
      </c>
      <c r="C44" s="29" t="inlineStr">
        <is>
          <t>第2章第3節</t>
        </is>
      </c>
      <c r="D44" s="29" t="inlineStr">
        <is>
          <t>高齢者の生活実態</t>
        </is>
      </c>
      <c r="E44" s="30" t="inlineStr">
        <is>
          <t>本文</t>
        </is>
      </c>
      <c r="F44" s="29" t="inlineStr">
        <is>
          <t>09_ニーズ調査グラフ</t>
        </is>
      </c>
      <c r="G44" s="30" t="inlineStr">
        <is>
          <t>A140</t>
        </is>
      </c>
      <c r="H44" s="29" t="inlineStr">
        <is>
          <t>資料：令和7年度 健康とくらしの調査（JAGES調査）</t>
        </is>
      </c>
      <c r="I44" s="29" t="inlineStr"/>
    </row>
    <row r="45" ht="26" customHeight="1">
      <c r="A45" s="30" t="inlineStr">
        <is>
          <t>図8-19</t>
        </is>
      </c>
      <c r="B45" s="29" t="inlineStr">
        <is>
          <t>【⑨ 要支援・要介護リスク点数（平均点）（町別）】</t>
        </is>
      </c>
      <c r="C45" s="29" t="inlineStr">
        <is>
          <t>第2章第3節</t>
        </is>
      </c>
      <c r="D45" s="29" t="inlineStr">
        <is>
          <t>高齢者の生活実態</t>
        </is>
      </c>
      <c r="E45" s="30" t="inlineStr">
        <is>
          <t>本文</t>
        </is>
      </c>
      <c r="F45" s="29" t="inlineStr">
        <is>
          <t>09_ニーズ調査グラフ</t>
        </is>
      </c>
      <c r="G45" s="30" t="inlineStr">
        <is>
          <t>J140</t>
        </is>
      </c>
      <c r="H45" s="29" t="inlineStr">
        <is>
          <t>資料：令和7年度 健康とくらしの調査（JAGES調査）</t>
        </is>
      </c>
      <c r="I45" s="29" t="inlineStr"/>
    </row>
    <row r="46" ht="26" customHeight="1">
      <c r="A46" s="30" t="inlineStr">
        <is>
          <t>図8-20</t>
        </is>
      </c>
      <c r="B46" s="29" t="inlineStr">
        <is>
          <t>【⑩ 認知機能低下者割合（基本チェックリスト）（年齢階級別）】</t>
        </is>
      </c>
      <c r="C46" s="29" t="inlineStr">
        <is>
          <t>第2章第3節</t>
        </is>
      </c>
      <c r="D46" s="29" t="inlineStr">
        <is>
          <t>高齢者の生活実態</t>
        </is>
      </c>
      <c r="E46" s="30" t="inlineStr">
        <is>
          <t>本文</t>
        </is>
      </c>
      <c r="F46" s="29" t="inlineStr">
        <is>
          <t>09_ニーズ調査グラフ</t>
        </is>
      </c>
      <c r="G46" s="30" t="inlineStr">
        <is>
          <t>A157</t>
        </is>
      </c>
      <c r="H46" s="29" t="inlineStr">
        <is>
          <t>資料：令和7年度 健康とくらしの調査（JAGES調査）</t>
        </is>
      </c>
      <c r="I46" s="29" t="inlineStr"/>
    </row>
    <row r="47" ht="26" customHeight="1">
      <c r="A47" s="30" t="inlineStr">
        <is>
          <t>図8-21</t>
        </is>
      </c>
      <c r="B47" s="29" t="inlineStr">
        <is>
          <t>【⑩ 認知機能低下者割合（基本チェックリスト）（町別）】</t>
        </is>
      </c>
      <c r="C47" s="29" t="inlineStr">
        <is>
          <t>第2章第3節</t>
        </is>
      </c>
      <c r="D47" s="29" t="inlineStr">
        <is>
          <t>高齢者の生活実態</t>
        </is>
      </c>
      <c r="E47" s="30" t="inlineStr">
        <is>
          <t>本文</t>
        </is>
      </c>
      <c r="F47" s="29" t="inlineStr">
        <is>
          <t>09_ニーズ調査グラフ</t>
        </is>
      </c>
      <c r="G47" s="30" t="inlineStr">
        <is>
          <t>J157</t>
        </is>
      </c>
      <c r="H47" s="29" t="inlineStr">
        <is>
          <t>資料：令和7年度 健康とくらしの調査（JAGES調査）</t>
        </is>
      </c>
      <c r="I47" s="29" t="inlineStr"/>
    </row>
    <row r="48" ht="26" customHeight="1">
      <c r="A48" s="30" t="inlineStr">
        <is>
          <t>図8-22</t>
        </is>
      </c>
      <c r="B48" s="29" t="inlineStr">
        <is>
          <t>【⑪ IADL（自立度）低下者（1項目以上）割合（年齢階級別）】</t>
        </is>
      </c>
      <c r="C48" s="29" t="inlineStr">
        <is>
          <t>第2章第3節</t>
        </is>
      </c>
      <c r="D48" s="29" t="inlineStr">
        <is>
          <t>高齢者の生活実態</t>
        </is>
      </c>
      <c r="E48" s="30" t="inlineStr">
        <is>
          <t>本文</t>
        </is>
      </c>
      <c r="F48" s="29" t="inlineStr">
        <is>
          <t>09_ニーズ調査グラフ</t>
        </is>
      </c>
      <c r="G48" s="30" t="inlineStr">
        <is>
          <t>A174</t>
        </is>
      </c>
      <c r="H48" s="29" t="inlineStr">
        <is>
          <t>資料：令和7年度 健康とくらしの調査（JAGES調査）</t>
        </is>
      </c>
      <c r="I48" s="29" t="inlineStr"/>
    </row>
    <row r="49" ht="26" customHeight="1">
      <c r="A49" s="30" t="inlineStr">
        <is>
          <t>図8-23</t>
        </is>
      </c>
      <c r="B49" s="29" t="inlineStr">
        <is>
          <t>【⑪ IADL（自立度）低下者（1項目以上）割合（町別）】</t>
        </is>
      </c>
      <c r="C49" s="29" t="inlineStr">
        <is>
          <t>第2章第3節</t>
        </is>
      </c>
      <c r="D49" s="29" t="inlineStr">
        <is>
          <t>高齢者の生活実態</t>
        </is>
      </c>
      <c r="E49" s="30" t="inlineStr">
        <is>
          <t>本文</t>
        </is>
      </c>
      <c r="F49" s="29" t="inlineStr">
        <is>
          <t>09_ニーズ調査グラフ</t>
        </is>
      </c>
      <c r="G49" s="30" t="inlineStr">
        <is>
          <t>J174</t>
        </is>
      </c>
      <c r="H49" s="29" t="inlineStr">
        <is>
          <t>資料：令和7年度 健康とくらしの調査（JAGES調査）</t>
        </is>
      </c>
      <c r="I49" s="29" t="inlineStr"/>
    </row>
    <row r="50" ht="26" customHeight="1">
      <c r="A50" s="30" t="inlineStr">
        <is>
          <t>図8-24</t>
        </is>
      </c>
      <c r="B50" s="29" t="inlineStr">
        <is>
          <t>【⑫ 幸福感がある者の割合（8/10点以上）（年齢階級別）】</t>
        </is>
      </c>
      <c r="C50" s="29" t="inlineStr">
        <is>
          <t>資料編</t>
        </is>
      </c>
      <c r="D50" s="29" t="inlineStr">
        <is>
          <t>資料6 調査結果の詳細（新設案）</t>
        </is>
      </c>
      <c r="E50" s="30" t="inlineStr">
        <is>
          <t>資料編</t>
        </is>
      </c>
      <c r="F50" s="29" t="inlineStr">
        <is>
          <t>09_ニーズ調査グラフ</t>
        </is>
      </c>
      <c r="G50" s="30" t="inlineStr">
        <is>
          <t>A191</t>
        </is>
      </c>
      <c r="H50" s="29" t="inlineStr">
        <is>
          <t>資料：令和7年度 健康とくらしの調査（JAGES調査）</t>
        </is>
      </c>
      <c r="I50" s="29" t="inlineStr">
        <is>
          <t>第9期計画は14指標を掲載しており本指標は含まれない。本文（第2章第3節）へ移すか資料編に置くかを委員会で決定する</t>
        </is>
      </c>
    </row>
    <row r="51" ht="26" customHeight="1">
      <c r="A51" s="30" t="inlineStr">
        <is>
          <t>図8-25</t>
        </is>
      </c>
      <c r="B51" s="29" t="inlineStr">
        <is>
          <t>【⑫ 幸福感がある者の割合（8/10点以上）（町別）】</t>
        </is>
      </c>
      <c r="C51" s="29" t="inlineStr">
        <is>
          <t>資料編</t>
        </is>
      </c>
      <c r="D51" s="29" t="inlineStr">
        <is>
          <t>資料6 調査結果の詳細（新設案）</t>
        </is>
      </c>
      <c r="E51" s="30" t="inlineStr">
        <is>
          <t>資料編</t>
        </is>
      </c>
      <c r="F51" s="29" t="inlineStr">
        <is>
          <t>09_ニーズ調査グラフ</t>
        </is>
      </c>
      <c r="G51" s="30" t="inlineStr">
        <is>
          <t>J191</t>
        </is>
      </c>
      <c r="H51" s="29" t="inlineStr">
        <is>
          <t>資料：令和7年度 健康とくらしの調査（JAGES調査）</t>
        </is>
      </c>
      <c r="I51" s="29" t="inlineStr">
        <is>
          <t>第9期計画は14指標を掲載しており本指標は含まれない。本文（第2章第3節）へ移すか資料編に置くかを委員会で決定する</t>
        </is>
      </c>
    </row>
    <row r="52" ht="26" customHeight="1">
      <c r="A52" s="30" t="inlineStr">
        <is>
          <t>図8-26</t>
        </is>
      </c>
      <c r="B52" s="29" t="inlineStr">
        <is>
          <t>【⑬ 就労していない者の割合（年齢階級別）】</t>
        </is>
      </c>
      <c r="C52" s="29" t="inlineStr">
        <is>
          <t>資料編</t>
        </is>
      </c>
      <c r="D52" s="29" t="inlineStr">
        <is>
          <t>資料6 調査結果の詳細（新設案）</t>
        </is>
      </c>
      <c r="E52" s="30" t="inlineStr">
        <is>
          <t>資料編</t>
        </is>
      </c>
      <c r="F52" s="29" t="inlineStr">
        <is>
          <t>09_ニーズ調査グラフ</t>
        </is>
      </c>
      <c r="G52" s="30" t="inlineStr">
        <is>
          <t>A208</t>
        </is>
      </c>
      <c r="H52" s="29" t="inlineStr">
        <is>
          <t>資料：令和7年度 健康とくらしの調査（JAGES調査）</t>
        </is>
      </c>
      <c r="I52" s="29" t="inlineStr">
        <is>
          <t>第9期計画は14指標を掲載しており本指標は含まれない。本文（第2章第3節）へ移すか資料編に置くかを委員会で決定する</t>
        </is>
      </c>
    </row>
    <row r="53" ht="26" customHeight="1">
      <c r="A53" s="30" t="inlineStr">
        <is>
          <t>図8-27</t>
        </is>
      </c>
      <c r="B53" s="29" t="inlineStr">
        <is>
          <t>【⑬ 就労していない者の割合（町別）】</t>
        </is>
      </c>
      <c r="C53" s="29" t="inlineStr">
        <is>
          <t>資料編</t>
        </is>
      </c>
      <c r="D53" s="29" t="inlineStr">
        <is>
          <t>資料6 調査結果の詳細（新設案）</t>
        </is>
      </c>
      <c r="E53" s="30" t="inlineStr">
        <is>
          <t>資料編</t>
        </is>
      </c>
      <c r="F53" s="29" t="inlineStr">
        <is>
          <t>09_ニーズ調査グラフ</t>
        </is>
      </c>
      <c r="G53" s="30" t="inlineStr">
        <is>
          <t>J208</t>
        </is>
      </c>
      <c r="H53" s="29" t="inlineStr">
        <is>
          <t>資料：令和7年度 健康とくらしの調査（JAGES調査）</t>
        </is>
      </c>
      <c r="I53" s="29" t="inlineStr">
        <is>
          <t>第9期計画は14指標を掲載しており本指標は含まれない。本文（第2章第3節）へ移すか資料編に置くかを委員会で決定する</t>
        </is>
      </c>
    </row>
    <row r="54" ht="26" customHeight="1">
      <c r="A54" s="30" t="inlineStr">
        <is>
          <t>図8-28</t>
        </is>
      </c>
      <c r="B54" s="29" t="inlineStr">
        <is>
          <t>【⑭ ボランティア参加者（月1回以上）割合（年齢階級別）】</t>
        </is>
      </c>
      <c r="C54" s="29" t="inlineStr">
        <is>
          <t>第2章第3節</t>
        </is>
      </c>
      <c r="D54" s="29" t="inlineStr">
        <is>
          <t>高齢者の生活実態</t>
        </is>
      </c>
      <c r="E54" s="30" t="inlineStr">
        <is>
          <t>本文</t>
        </is>
      </c>
      <c r="F54" s="29" t="inlineStr">
        <is>
          <t>09_ニーズ調査グラフ</t>
        </is>
      </c>
      <c r="G54" s="30" t="inlineStr">
        <is>
          <t>A225</t>
        </is>
      </c>
      <c r="H54" s="29" t="inlineStr">
        <is>
          <t>資料：令和7年度 健康とくらしの調査（JAGES調査）</t>
        </is>
      </c>
      <c r="I54" s="29" t="inlineStr"/>
    </row>
    <row r="55" ht="26" customHeight="1">
      <c r="A55" s="30" t="inlineStr">
        <is>
          <t>図8-29</t>
        </is>
      </c>
      <c r="B55" s="29" t="inlineStr">
        <is>
          <t>【⑭ ボランティア参加者（月1回以上）割合（町別）】</t>
        </is>
      </c>
      <c r="C55" s="29" t="inlineStr">
        <is>
          <t>第2章第3節</t>
        </is>
      </c>
      <c r="D55" s="29" t="inlineStr">
        <is>
          <t>高齢者の生活実態</t>
        </is>
      </c>
      <c r="E55" s="30" t="inlineStr">
        <is>
          <t>本文</t>
        </is>
      </c>
      <c r="F55" s="29" t="inlineStr">
        <is>
          <t>09_ニーズ調査グラフ</t>
        </is>
      </c>
      <c r="G55" s="30" t="inlineStr">
        <is>
          <t>J225</t>
        </is>
      </c>
      <c r="H55" s="29" t="inlineStr">
        <is>
          <t>資料：令和7年度 健康とくらしの調査（JAGES調査）</t>
        </is>
      </c>
      <c r="I55" s="29" t="inlineStr"/>
    </row>
    <row r="56" ht="26" customHeight="1">
      <c r="A56" s="30" t="inlineStr">
        <is>
          <t>図8-30</t>
        </is>
      </c>
      <c r="B56" s="29" t="inlineStr">
        <is>
          <t>【⑮ スポーツの会参加者（月1回以上）割合（年齢階級別）】</t>
        </is>
      </c>
      <c r="C56" s="29" t="inlineStr">
        <is>
          <t>資料編</t>
        </is>
      </c>
      <c r="D56" s="29" t="inlineStr">
        <is>
          <t>資料6 調査結果の詳細（新設案）</t>
        </is>
      </c>
      <c r="E56" s="30" t="inlineStr">
        <is>
          <t>資料編</t>
        </is>
      </c>
      <c r="F56" s="29" t="inlineStr">
        <is>
          <t>09_ニーズ調査グラフ</t>
        </is>
      </c>
      <c r="G56" s="30" t="inlineStr">
        <is>
          <t>A242</t>
        </is>
      </c>
      <c r="H56" s="29" t="inlineStr">
        <is>
          <t>資料：令和7年度 健康とくらしの調査（JAGES調査）</t>
        </is>
      </c>
      <c r="I56" s="29" t="inlineStr">
        <is>
          <t>第9期計画は14指標を掲載しており本指標は含まれない。本文（第2章第3節）へ移すか資料編に置くかを委員会で決定する</t>
        </is>
      </c>
    </row>
    <row r="57" ht="26" customHeight="1">
      <c r="A57" s="30" t="inlineStr">
        <is>
          <t>図8-31</t>
        </is>
      </c>
      <c r="B57" s="29" t="inlineStr">
        <is>
          <t>【⑮ スポーツの会参加者（月1回以上）割合（町別）】</t>
        </is>
      </c>
      <c r="C57" s="29" t="inlineStr">
        <is>
          <t>資料編</t>
        </is>
      </c>
      <c r="D57" s="29" t="inlineStr">
        <is>
          <t>資料6 調査結果の詳細（新設案）</t>
        </is>
      </c>
      <c r="E57" s="30" t="inlineStr">
        <is>
          <t>資料編</t>
        </is>
      </c>
      <c r="F57" s="29" t="inlineStr">
        <is>
          <t>09_ニーズ調査グラフ</t>
        </is>
      </c>
      <c r="G57" s="30" t="inlineStr">
        <is>
          <t>J242</t>
        </is>
      </c>
      <c r="H57" s="29" t="inlineStr">
        <is>
          <t>資料：令和7年度 健康とくらしの調査（JAGES調査）</t>
        </is>
      </c>
      <c r="I57" s="29" t="inlineStr">
        <is>
          <t>第9期計画は14指標を掲載しており本指標は含まれない。本文（第2章第3節）へ移すか資料編に置くかを委員会で決定する</t>
        </is>
      </c>
    </row>
    <row r="58" ht="26" customHeight="1">
      <c r="A58" s="30" t="inlineStr">
        <is>
          <t>図8-32</t>
        </is>
      </c>
      <c r="B58" s="29" t="inlineStr">
        <is>
          <t>【⑯ 趣味の会参加者（月1回以上）割合（年齢階級別）】</t>
        </is>
      </c>
      <c r="C58" s="29" t="inlineStr">
        <is>
          <t>資料編</t>
        </is>
      </c>
      <c r="D58" s="29" t="inlineStr">
        <is>
          <t>資料6 調査結果の詳細（新設案）</t>
        </is>
      </c>
      <c r="E58" s="30" t="inlineStr">
        <is>
          <t>資料編</t>
        </is>
      </c>
      <c r="F58" s="29" t="inlineStr">
        <is>
          <t>09_ニーズ調査グラフ</t>
        </is>
      </c>
      <c r="G58" s="30" t="inlineStr">
        <is>
          <t>A259</t>
        </is>
      </c>
      <c r="H58" s="29" t="inlineStr">
        <is>
          <t>資料：令和7年度 健康とくらしの調査（JAGES調査）</t>
        </is>
      </c>
      <c r="I58" s="29" t="inlineStr">
        <is>
          <t>第9期計画は14指標を掲載しており本指標は含まれない。本文（第2章第3節）へ移すか資料編に置くかを委員会で決定する</t>
        </is>
      </c>
    </row>
    <row r="59" ht="26" customHeight="1">
      <c r="A59" s="30" t="inlineStr">
        <is>
          <t>図8-33</t>
        </is>
      </c>
      <c r="B59" s="29" t="inlineStr">
        <is>
          <t>【⑯ 趣味の会参加者（月1回以上）割合（町別）】</t>
        </is>
      </c>
      <c r="C59" s="29" t="inlineStr">
        <is>
          <t>資料編</t>
        </is>
      </c>
      <c r="D59" s="29" t="inlineStr">
        <is>
          <t>資料6 調査結果の詳細（新設案）</t>
        </is>
      </c>
      <c r="E59" s="30" t="inlineStr">
        <is>
          <t>資料編</t>
        </is>
      </c>
      <c r="F59" s="29" t="inlineStr">
        <is>
          <t>09_ニーズ調査グラフ</t>
        </is>
      </c>
      <c r="G59" s="30" t="inlineStr">
        <is>
          <t>J259</t>
        </is>
      </c>
      <c r="H59" s="29" t="inlineStr">
        <is>
          <t>資料：令和7年度 健康とくらしの調査（JAGES調査）</t>
        </is>
      </c>
      <c r="I59" s="29" t="inlineStr">
        <is>
          <t>第9期計画は14指標を掲載しており本指標は含まれない。本文（第2章第3節）へ移すか資料編に置くかを委員会で決定する</t>
        </is>
      </c>
    </row>
    <row r="60" ht="26" customHeight="1">
      <c r="A60" s="30" t="inlineStr">
        <is>
          <t>図8-34</t>
        </is>
      </c>
      <c r="B60" s="29" t="inlineStr">
        <is>
          <t>【⑰ 学習・教養サークル参加者（月1回以上）割合（年齢階級別）】</t>
        </is>
      </c>
      <c r="C60" s="29" t="inlineStr">
        <is>
          <t>資料編</t>
        </is>
      </c>
      <c r="D60" s="29" t="inlineStr">
        <is>
          <t>資料6 調査結果の詳細（新設案）</t>
        </is>
      </c>
      <c r="E60" s="30" t="inlineStr">
        <is>
          <t>資料編</t>
        </is>
      </c>
      <c r="F60" s="29" t="inlineStr">
        <is>
          <t>09_ニーズ調査グラフ</t>
        </is>
      </c>
      <c r="G60" s="30" t="inlineStr">
        <is>
          <t>A276</t>
        </is>
      </c>
      <c r="H60" s="29" t="inlineStr">
        <is>
          <t>資料：令和7年度 健康とくらしの調査（JAGES調査）</t>
        </is>
      </c>
      <c r="I60" s="29" t="inlineStr">
        <is>
          <t>第9期計画は14指標を掲載しており本指標は含まれない。本文（第2章第3節）へ移すか資料編に置くかを委員会で決定する</t>
        </is>
      </c>
    </row>
    <row r="61" ht="26" customHeight="1">
      <c r="A61" s="30" t="inlineStr">
        <is>
          <t>図8-35</t>
        </is>
      </c>
      <c r="B61" s="29" t="inlineStr">
        <is>
          <t>【⑰ 学習・教養サークル参加者（月1回以上）割合（町別）】</t>
        </is>
      </c>
      <c r="C61" s="29" t="inlineStr">
        <is>
          <t>資料編</t>
        </is>
      </c>
      <c r="D61" s="29" t="inlineStr">
        <is>
          <t>資料6 調査結果の詳細（新設案）</t>
        </is>
      </c>
      <c r="E61" s="30" t="inlineStr">
        <is>
          <t>資料編</t>
        </is>
      </c>
      <c r="F61" s="29" t="inlineStr">
        <is>
          <t>09_ニーズ調査グラフ</t>
        </is>
      </c>
      <c r="G61" s="30" t="inlineStr">
        <is>
          <t>J276</t>
        </is>
      </c>
      <c r="H61" s="29" t="inlineStr">
        <is>
          <t>資料：令和7年度 健康とくらしの調査（JAGES調査）</t>
        </is>
      </c>
      <c r="I61" s="29" t="inlineStr">
        <is>
          <t>第9期計画は14指標を掲載しており本指標は含まれない。本文（第2章第3節）へ移すか資料編に置くかを委員会で決定する</t>
        </is>
      </c>
    </row>
    <row r="62" ht="26" customHeight="1">
      <c r="A62" s="30" t="inlineStr">
        <is>
          <t>図8-36</t>
        </is>
      </c>
      <c r="B62" s="29" t="inlineStr">
        <is>
          <t>【⑱ 通いの場参加者（月1回以上）割合（年齢階級別）】</t>
        </is>
      </c>
      <c r="C62" s="29" t="inlineStr">
        <is>
          <t>第2章第3節</t>
        </is>
      </c>
      <c r="D62" s="29" t="inlineStr">
        <is>
          <t>高齢者の生活実態</t>
        </is>
      </c>
      <c r="E62" s="30" t="inlineStr">
        <is>
          <t>本文</t>
        </is>
      </c>
      <c r="F62" s="29" t="inlineStr">
        <is>
          <t>09_ニーズ調査グラフ</t>
        </is>
      </c>
      <c r="G62" s="30" t="inlineStr">
        <is>
          <t>A293</t>
        </is>
      </c>
      <c r="H62" s="29" t="inlineStr">
        <is>
          <t>資料：令和7年度 健康とくらしの調査（JAGES調査）</t>
        </is>
      </c>
      <c r="I62" s="29" t="inlineStr"/>
    </row>
    <row r="63" ht="26" customHeight="1">
      <c r="A63" s="30" t="inlineStr">
        <is>
          <t>図8-37</t>
        </is>
      </c>
      <c r="B63" s="29" t="inlineStr">
        <is>
          <t>【⑱ 通いの場参加者（月1回以上）割合（町別）】</t>
        </is>
      </c>
      <c r="C63" s="29" t="inlineStr">
        <is>
          <t>第2章第3節</t>
        </is>
      </c>
      <c r="D63" s="29" t="inlineStr">
        <is>
          <t>高齢者の生活実態</t>
        </is>
      </c>
      <c r="E63" s="30" t="inlineStr">
        <is>
          <t>本文</t>
        </is>
      </c>
      <c r="F63" s="29" t="inlineStr">
        <is>
          <t>09_ニーズ調査グラフ</t>
        </is>
      </c>
      <c r="G63" s="30" t="inlineStr">
        <is>
          <t>J293</t>
        </is>
      </c>
      <c r="H63" s="29" t="inlineStr">
        <is>
          <t>資料：令和7年度 健康とくらしの調査（JAGES調査）</t>
        </is>
      </c>
      <c r="I63" s="29" t="inlineStr"/>
    </row>
    <row r="64" ht="26" customHeight="1">
      <c r="A64" s="30" t="inlineStr">
        <is>
          <t>図8-38</t>
        </is>
      </c>
      <c r="B64" s="29" t="inlineStr">
        <is>
          <t>【⑲ 特技や経験を他者に伝える活動参加者（月1回以上）割合（年齢階級別）】</t>
        </is>
      </c>
      <c r="C64" s="29" t="inlineStr">
        <is>
          <t>資料編</t>
        </is>
      </c>
      <c r="D64" s="29" t="inlineStr">
        <is>
          <t>資料6 調査結果の詳細（新設案）</t>
        </is>
      </c>
      <c r="E64" s="30" t="inlineStr">
        <is>
          <t>資料編</t>
        </is>
      </c>
      <c r="F64" s="29" t="inlineStr">
        <is>
          <t>09_ニーズ調査グラフ</t>
        </is>
      </c>
      <c r="G64" s="30" t="inlineStr">
        <is>
          <t>A310</t>
        </is>
      </c>
      <c r="H64" s="29" t="inlineStr">
        <is>
          <t>資料：令和7年度 健康とくらしの調査（JAGES調査）</t>
        </is>
      </c>
      <c r="I64" s="29" t="inlineStr">
        <is>
          <t>第9期計画は14指標を掲載しており本指標は含まれない。本文（第2章第3節）へ移すか資料編に置くかを委員会で決定する</t>
        </is>
      </c>
    </row>
    <row r="65" ht="26" customHeight="1">
      <c r="A65" s="30" t="inlineStr">
        <is>
          <t>図8-39</t>
        </is>
      </c>
      <c r="B65" s="29" t="inlineStr">
        <is>
          <t>【⑲ 特技や経験を他者に伝える活動参加者（月1回以上）割合（町別）】</t>
        </is>
      </c>
      <c r="C65" s="29" t="inlineStr">
        <is>
          <t>資料編</t>
        </is>
      </c>
      <c r="D65" s="29" t="inlineStr">
        <is>
          <t>資料6 調査結果の詳細（新設案）</t>
        </is>
      </c>
      <c r="E65" s="30" t="inlineStr">
        <is>
          <t>資料編</t>
        </is>
      </c>
      <c r="F65" s="29" t="inlineStr">
        <is>
          <t>09_ニーズ調査グラフ</t>
        </is>
      </c>
      <c r="G65" s="30" t="inlineStr">
        <is>
          <t>J310</t>
        </is>
      </c>
      <c r="H65" s="29" t="inlineStr">
        <is>
          <t>資料：令和7年度 健康とくらしの調査（JAGES調査）</t>
        </is>
      </c>
      <c r="I65" s="29" t="inlineStr">
        <is>
          <t>第9期計画は14指標を掲載しており本指標は含まれない。本文（第2章第3節）へ移すか資料編に置くかを委員会で決定する</t>
        </is>
      </c>
    </row>
    <row r="66" ht="26" customHeight="1">
      <c r="A66" s="30" t="inlineStr">
        <is>
          <t>図8-40</t>
        </is>
      </c>
      <c r="B66" s="29" t="inlineStr">
        <is>
          <t>【⑳ 友人知人と会う頻度が高い（月1回以上）者の割合（年齢階級別）】</t>
        </is>
      </c>
      <c r="C66" s="29" t="inlineStr">
        <is>
          <t>第2章第3節</t>
        </is>
      </c>
      <c r="D66" s="29" t="inlineStr">
        <is>
          <t>高齢者の生活実態</t>
        </is>
      </c>
      <c r="E66" s="30" t="inlineStr">
        <is>
          <t>本文</t>
        </is>
      </c>
      <c r="F66" s="29" t="inlineStr">
        <is>
          <t>09_ニーズ調査グラフ</t>
        </is>
      </c>
      <c r="G66" s="30" t="inlineStr">
        <is>
          <t>A327</t>
        </is>
      </c>
      <c r="H66" s="29" t="inlineStr">
        <is>
          <t>資料：令和7年度 健康とくらしの調査（JAGES調査）</t>
        </is>
      </c>
      <c r="I66" s="29" t="inlineStr"/>
    </row>
    <row r="67" ht="26" customHeight="1">
      <c r="A67" s="30" t="inlineStr">
        <is>
          <t>図8-41</t>
        </is>
      </c>
      <c r="B67" s="29" t="inlineStr">
        <is>
          <t>【⑳ 友人知人と会う頻度が高い（月1回以上）者の割合（町別）】</t>
        </is>
      </c>
      <c r="C67" s="29" t="inlineStr">
        <is>
          <t>第2章第3節</t>
        </is>
      </c>
      <c r="D67" s="29" t="inlineStr">
        <is>
          <t>高齢者の生活実態</t>
        </is>
      </c>
      <c r="E67" s="30" t="inlineStr">
        <is>
          <t>本文</t>
        </is>
      </c>
      <c r="F67" s="29" t="inlineStr">
        <is>
          <t>09_ニーズ調査グラフ</t>
        </is>
      </c>
      <c r="G67" s="30" t="inlineStr">
        <is>
          <t>J327</t>
        </is>
      </c>
      <c r="H67" s="29" t="inlineStr">
        <is>
          <t>資料：令和7年度 健康とくらしの調査（JAGES調査）</t>
        </is>
      </c>
      <c r="I67" s="29" t="inlineStr"/>
    </row>
    <row r="68" ht="26" customHeight="1">
      <c r="A68" s="30" t="inlineStr">
        <is>
          <t>図8-42</t>
        </is>
      </c>
      <c r="B68" s="29" t="inlineStr">
        <is>
          <t>【令和4年→令和7年の変化（広域連合）】</t>
        </is>
      </c>
      <c r="C68" s="29" t="inlineStr">
        <is>
          <t>第2章第3節</t>
        </is>
      </c>
      <c r="D68" s="29" t="inlineStr">
        <is>
          <t>高齢者の生活実態</t>
        </is>
      </c>
      <c r="E68" s="30" t="inlineStr">
        <is>
          <t>本文</t>
        </is>
      </c>
      <c r="F68" s="29" t="inlineStr">
        <is>
          <t>09_ニーズ調査グラフ</t>
        </is>
      </c>
      <c r="G68" s="30" t="inlineStr">
        <is>
          <t>F344</t>
        </is>
      </c>
      <c r="H68" s="29" t="inlineStr">
        <is>
          <t>資料：令和7年度 健康とくらしの調査（JAGES調査）</t>
        </is>
      </c>
      <c r="I68" s="29" t="inlineStr">
        <is>
          <t>第2章第6節「各調査結果のまとめ」にも再掲する</t>
        </is>
      </c>
    </row>
    <row r="69" ht="26" customHeight="1">
      <c r="A69" s="30" t="inlineStr">
        <is>
          <t>図9-1</t>
        </is>
      </c>
      <c r="B69" s="29" t="inlineStr">
        <is>
          <t>【① 世帯類型】</t>
        </is>
      </c>
      <c r="C69" s="29" t="inlineStr">
        <is>
          <t>第2章第4節</t>
        </is>
      </c>
      <c r="D69" s="29" t="inlineStr">
        <is>
          <t>1 在宅介護実態調査</t>
        </is>
      </c>
      <c r="E69" s="30" t="inlineStr">
        <is>
          <t>本文</t>
        </is>
      </c>
      <c r="F69" s="29" t="inlineStr">
        <is>
          <t>10_在宅介護実態調査</t>
        </is>
      </c>
      <c r="G69" s="30" t="inlineStr">
        <is>
          <t>E4</t>
        </is>
      </c>
      <c r="H69" s="29" t="inlineStr">
        <is>
          <t>資料：在宅介護実態調査（令和5年5月25日〜6月30日・認定調査員の聞き取り）</t>
        </is>
      </c>
      <c r="I69" s="29" t="inlineStr"/>
    </row>
    <row r="70" ht="26" customHeight="1">
      <c r="A70" s="30" t="inlineStr">
        <is>
          <t>図9-2</t>
        </is>
      </c>
      <c r="B70" s="29" t="inlineStr">
        <is>
          <t>【② 家族等による介護の頻度】</t>
        </is>
      </c>
      <c r="C70" s="29" t="inlineStr">
        <is>
          <t>第2章第4節</t>
        </is>
      </c>
      <c r="D70" s="29" t="inlineStr">
        <is>
          <t>1 在宅介護実態調査</t>
        </is>
      </c>
      <c r="E70" s="30" t="inlineStr">
        <is>
          <t>本文</t>
        </is>
      </c>
      <c r="F70" s="29" t="inlineStr">
        <is>
          <t>10_在宅介護実態調査</t>
        </is>
      </c>
      <c r="G70" s="30" t="inlineStr">
        <is>
          <t>E23</t>
        </is>
      </c>
      <c r="H70" s="29" t="inlineStr">
        <is>
          <t>資料：在宅介護実態調査（令和5年5月25日〜6月30日・認定調査員の聞き取り）</t>
        </is>
      </c>
      <c r="I70" s="29" t="inlineStr"/>
    </row>
    <row r="71" ht="26" customHeight="1">
      <c r="A71" s="30" t="inlineStr">
        <is>
          <t>図9-3</t>
        </is>
      </c>
      <c r="B71" s="29" t="inlineStr">
        <is>
          <t>【③ 主な介護者が行っている介護（複数回答）】</t>
        </is>
      </c>
      <c r="C71" s="29" t="inlineStr">
        <is>
          <t>第2章第4節</t>
        </is>
      </c>
      <c r="D71" s="29" t="inlineStr">
        <is>
          <t>1 在宅介護実態調査</t>
        </is>
      </c>
      <c r="E71" s="30" t="inlineStr">
        <is>
          <t>本文</t>
        </is>
      </c>
      <c r="F71" s="29" t="inlineStr">
        <is>
          <t>10_在宅介護実態調査</t>
        </is>
      </c>
      <c r="G71" s="30" t="inlineStr">
        <is>
          <t>E45</t>
        </is>
      </c>
      <c r="H71" s="29" t="inlineStr">
        <is>
          <t>資料：在宅介護実態調査（令和5年5月25日〜6月30日・認定調査員の聞き取り）</t>
        </is>
      </c>
      <c r="I71" s="29" t="inlineStr"/>
    </row>
    <row r="72" ht="26" customHeight="1">
      <c r="A72" s="30" t="inlineStr">
        <is>
          <t>図9-4</t>
        </is>
      </c>
      <c r="B72" s="29" t="inlineStr">
        <is>
          <t>【④ 介護のための離職の有無】</t>
        </is>
      </c>
      <c r="C72" s="29" t="inlineStr">
        <is>
          <t>第2章第4節</t>
        </is>
      </c>
      <c r="D72" s="29" t="inlineStr">
        <is>
          <t>1 在宅介護実態調査</t>
        </is>
      </c>
      <c r="E72" s="30" t="inlineStr">
        <is>
          <t>本文</t>
        </is>
      </c>
      <c r="F72" s="29" t="inlineStr">
        <is>
          <t>10_在宅介護実態調査</t>
        </is>
      </c>
      <c r="G72" s="30" t="inlineStr">
        <is>
          <t>E80</t>
        </is>
      </c>
      <c r="H72" s="29" t="inlineStr">
        <is>
          <t>資料：在宅介護実態調査（令和5年5月25日〜6月30日・認定調査員の聞き取り）</t>
        </is>
      </c>
      <c r="I72" s="29" t="inlineStr"/>
    </row>
    <row r="73" ht="26" customHeight="1">
      <c r="A73" s="30" t="inlineStr">
        <is>
          <t>図9-5</t>
        </is>
      </c>
      <c r="B73" s="29" t="inlineStr">
        <is>
          <t>【⑤ 在宅生活の継続のために充実が必要な支援・サービス】</t>
        </is>
      </c>
      <c r="C73" s="29" t="inlineStr">
        <is>
          <t>第2章第4節</t>
        </is>
      </c>
      <c r="D73" s="29" t="inlineStr">
        <is>
          <t>1 在宅介護実態調査</t>
        </is>
      </c>
      <c r="E73" s="30" t="inlineStr">
        <is>
          <t>本文</t>
        </is>
      </c>
      <c r="F73" s="29" t="inlineStr">
        <is>
          <t>10_在宅介護実態調査</t>
        </is>
      </c>
      <c r="G73" s="30" t="inlineStr">
        <is>
          <t>E100</t>
        </is>
      </c>
      <c r="H73" s="29" t="inlineStr">
        <is>
          <t>資料：在宅介護実態調査（令和5年5月25日〜6月30日・認定調査員の聞き取り）</t>
        </is>
      </c>
      <c r="I73" s="29" t="inlineStr"/>
    </row>
    <row r="74" ht="26" customHeight="1">
      <c r="A74" s="30" t="inlineStr">
        <is>
          <t>図9-6</t>
        </is>
      </c>
      <c r="B74" s="29" t="inlineStr">
        <is>
          <t>【⑥ 施設等検討の状況】</t>
        </is>
      </c>
      <c r="C74" s="29" t="inlineStr">
        <is>
          <t>第2章第4節</t>
        </is>
      </c>
      <c r="D74" s="29" t="inlineStr">
        <is>
          <t>1 在宅介護実態調査</t>
        </is>
      </c>
      <c r="E74" s="30" t="inlineStr">
        <is>
          <t>本文</t>
        </is>
      </c>
      <c r="F74" s="29" t="inlineStr">
        <is>
          <t>10_在宅介護実態調査</t>
        </is>
      </c>
      <c r="G74" s="30" t="inlineStr">
        <is>
          <t>E128</t>
        </is>
      </c>
      <c r="H74" s="29" t="inlineStr">
        <is>
          <t>資料：在宅介護実態調査（令和5年5月25日〜6月30日・認定調査員の聞き取り）</t>
        </is>
      </c>
      <c r="I74" s="29" t="inlineStr"/>
    </row>
    <row r="75" ht="26" customHeight="1">
      <c r="A75" s="30" t="inlineStr">
        <is>
          <t>図10-1</t>
        </is>
      </c>
      <c r="B75" s="29" t="inlineStr">
        <is>
          <t>【① 退居・退所者に占める居所変更・死亡の割合（施設別）】</t>
        </is>
      </c>
      <c r="C75" s="29" t="inlineStr">
        <is>
          <t>第2章第4節</t>
        </is>
      </c>
      <c r="D75" s="29" t="inlineStr">
        <is>
          <t>2 居所変更実態調査</t>
        </is>
      </c>
      <c r="E75" s="30" t="inlineStr">
        <is>
          <t>本文</t>
        </is>
      </c>
      <c r="F75" s="29" t="inlineStr">
        <is>
          <t>11_居所変更実態調査</t>
        </is>
      </c>
      <c r="G75" s="30" t="inlineStr">
        <is>
          <t>M4</t>
        </is>
      </c>
      <c r="H75" s="29" t="inlineStr">
        <is>
          <t>資料：居所変更実態調査（令和5年5月25日送付・21施設回答）</t>
        </is>
      </c>
      <c r="I75" s="29" t="inlineStr">
        <is>
          <t>回答施設の内訳合計20と本文記載21が一致しない（修正指示書 確認事項）</t>
        </is>
      </c>
    </row>
    <row r="76" ht="26" customHeight="1">
      <c r="A76" s="30" t="inlineStr">
        <is>
          <t>図10-2</t>
        </is>
      </c>
      <c r="B76" s="29" t="inlineStr">
        <is>
          <t>【② 居所変更した人の要支援・要介護度（施設別）】</t>
        </is>
      </c>
      <c r="C76" s="29" t="inlineStr">
        <is>
          <t>第2章第4節</t>
        </is>
      </c>
      <c r="D76" s="29" t="inlineStr">
        <is>
          <t>2 居所変更実態調査</t>
        </is>
      </c>
      <c r="E76" s="30" t="inlineStr">
        <is>
          <t>本文</t>
        </is>
      </c>
      <c r="F76" s="29" t="inlineStr">
        <is>
          <t>11_居所変更実態調査</t>
        </is>
      </c>
      <c r="G76" s="30" t="inlineStr">
        <is>
          <t>M25</t>
        </is>
      </c>
      <c r="H76" s="29" t="inlineStr">
        <is>
          <t>資料：居所変更実態調査（令和5年5月25日送付・21施設回答）</t>
        </is>
      </c>
      <c r="I76" s="29" t="inlineStr"/>
    </row>
    <row r="77" ht="26" customHeight="1">
      <c r="A77" s="30" t="inlineStr">
        <is>
          <t>図10-3</t>
        </is>
      </c>
      <c r="B77" s="29" t="inlineStr">
        <is>
          <t>【③ 居所変更した理由（21施設）】</t>
        </is>
      </c>
      <c r="C77" s="29" t="inlineStr">
        <is>
          <t>第2章第4節</t>
        </is>
      </c>
      <c r="D77" s="29" t="inlineStr">
        <is>
          <t>2 居所変更実態調査</t>
        </is>
      </c>
      <c r="E77" s="30" t="inlineStr">
        <is>
          <t>本文</t>
        </is>
      </c>
      <c r="F77" s="29" t="inlineStr">
        <is>
          <t>11_居所変更実態調査</t>
        </is>
      </c>
      <c r="G77" s="30" t="inlineStr">
        <is>
          <t>M48</t>
        </is>
      </c>
      <c r="H77" s="29" t="inlineStr">
        <is>
          <t>資料：居所変更実態調査（令和5年5月25日送付・21施設回答）</t>
        </is>
      </c>
      <c r="I77" s="29" t="inlineStr"/>
    </row>
    <row r="78" ht="26" customHeight="1">
      <c r="A78" s="30" t="inlineStr">
        <is>
          <t>図11-1</t>
        </is>
      </c>
      <c r="B78" s="29" t="inlineStr">
        <is>
          <t>【① 生活の維持が難しくなっている利用者の属性】</t>
        </is>
      </c>
      <c r="C78" s="29" t="inlineStr">
        <is>
          <t>第2章第4節</t>
        </is>
      </c>
      <c r="D78" s="29" t="inlineStr">
        <is>
          <t>3 在宅生活改善調査</t>
        </is>
      </c>
      <c r="E78" s="30" t="inlineStr">
        <is>
          <t>本文</t>
        </is>
      </c>
      <c r="F78" s="29" t="inlineStr">
        <is>
          <t>12_在宅生活改善調査</t>
        </is>
      </c>
      <c r="G78" s="30" t="inlineStr">
        <is>
          <t>H4</t>
        </is>
      </c>
      <c r="H78" s="29" t="inlineStr">
        <is>
          <t>資料：在宅生活改善調査（令和5年5月25日送付・12事業所91人）</t>
        </is>
      </c>
      <c r="I78" s="29" t="inlineStr"/>
    </row>
    <row r="79" ht="26" customHeight="1">
      <c r="A79" s="30" t="inlineStr">
        <is>
          <t>図11-2</t>
        </is>
      </c>
      <c r="B79" s="29" t="inlineStr">
        <is>
          <t>【② 本人の状態に属する理由（要介護度別）】</t>
        </is>
      </c>
      <c r="C79" s="29" t="inlineStr">
        <is>
          <t>第2章第4節</t>
        </is>
      </c>
      <c r="D79" s="29" t="inlineStr">
        <is>
          <t>3 在宅生活改善調査</t>
        </is>
      </c>
      <c r="E79" s="30" t="inlineStr">
        <is>
          <t>本文</t>
        </is>
      </c>
      <c r="F79" s="29" t="inlineStr">
        <is>
          <t>12_在宅生活改善調査</t>
        </is>
      </c>
      <c r="G79" s="30" t="inlineStr">
        <is>
          <t>H26</t>
        </is>
      </c>
      <c r="H79" s="29" t="inlineStr">
        <is>
          <t>資料：在宅生活改善調査（令和5年5月25日送付・12事業所91人）</t>
        </is>
      </c>
      <c r="I79" s="29" t="inlineStr"/>
    </row>
    <row r="80" ht="26" customHeight="1">
      <c r="A80" s="30" t="inlineStr">
        <is>
          <t>図11-3</t>
        </is>
      </c>
      <c r="B80" s="29" t="inlineStr">
        <is>
          <t>【② 本人の状態に属する理由（令和2年度との比較）】</t>
        </is>
      </c>
      <c r="C80" s="29" t="inlineStr">
        <is>
          <t>第2章第4節</t>
        </is>
      </c>
      <c r="D80" s="29" t="inlineStr">
        <is>
          <t>3 在宅生活改善調査</t>
        </is>
      </c>
      <c r="E80" s="30" t="inlineStr">
        <is>
          <t>本文</t>
        </is>
      </c>
      <c r="F80" s="29" t="inlineStr">
        <is>
          <t>12_在宅生活改善調査</t>
        </is>
      </c>
      <c r="G80" s="30" t="inlineStr">
        <is>
          <t>H46</t>
        </is>
      </c>
      <c r="H80" s="29" t="inlineStr">
        <is>
          <t>資料：在宅生活改善調査（令和5年5月25日送付・12事業所91人）</t>
        </is>
      </c>
      <c r="I80" s="29" t="inlineStr"/>
    </row>
    <row r="81" ht="26" customHeight="1">
      <c r="A81" s="30" t="inlineStr">
        <is>
          <t>図11-4</t>
        </is>
      </c>
      <c r="B81" s="29" t="inlineStr">
        <is>
          <t>【③ 本人の意向に属する理由（要介護度別）】</t>
        </is>
      </c>
      <c r="C81" s="29" t="inlineStr">
        <is>
          <t>第2章第4節</t>
        </is>
      </c>
      <c r="D81" s="29" t="inlineStr">
        <is>
          <t>3 在宅生活改善調査</t>
        </is>
      </c>
      <c r="E81" s="30" t="inlineStr">
        <is>
          <t>本文</t>
        </is>
      </c>
      <c r="F81" s="29" t="inlineStr">
        <is>
          <t>12_在宅生活改善調査</t>
        </is>
      </c>
      <c r="G81" s="30" t="inlineStr">
        <is>
          <t>H66</t>
        </is>
      </c>
      <c r="H81" s="29" t="inlineStr">
        <is>
          <t>資料：在宅生活改善調査（令和5年5月25日送付・12事業所91人）</t>
        </is>
      </c>
      <c r="I81" s="29" t="inlineStr"/>
    </row>
    <row r="82" ht="26" customHeight="1">
      <c r="A82" s="30" t="inlineStr">
        <is>
          <t>図11-5</t>
        </is>
      </c>
      <c r="B82" s="29" t="inlineStr">
        <is>
          <t>【③ 本人の意向に属する理由（令和2年度との比較）】</t>
        </is>
      </c>
      <c r="C82" s="29" t="inlineStr">
        <is>
          <t>第2章第4節</t>
        </is>
      </c>
      <c r="D82" s="29" t="inlineStr">
        <is>
          <t>3 在宅生活改善調査</t>
        </is>
      </c>
      <c r="E82" s="30" t="inlineStr">
        <is>
          <t>本文</t>
        </is>
      </c>
      <c r="F82" s="29" t="inlineStr">
        <is>
          <t>12_在宅生活改善調査</t>
        </is>
      </c>
      <c r="G82" s="30" t="inlineStr">
        <is>
          <t>H86</t>
        </is>
      </c>
      <c r="H82" s="29" t="inlineStr">
        <is>
          <t>資料：在宅生活改善調査（令和5年5月25日送付・12事業所91人）</t>
        </is>
      </c>
      <c r="I82" s="29" t="inlineStr"/>
    </row>
    <row r="83" ht="26" customHeight="1">
      <c r="A83" s="30" t="inlineStr">
        <is>
          <t>図11-6</t>
        </is>
      </c>
      <c r="B83" s="29" t="inlineStr">
        <is>
          <t>【④ 家族等介護者の意向・負担等（要介護度別）】</t>
        </is>
      </c>
      <c r="C83" s="29" t="inlineStr">
        <is>
          <t>第2章第4節</t>
        </is>
      </c>
      <c r="D83" s="29" t="inlineStr">
        <is>
          <t>3 在宅生活改善調査</t>
        </is>
      </c>
      <c r="E83" s="30" t="inlineStr">
        <is>
          <t>本文</t>
        </is>
      </c>
      <c r="F83" s="29" t="inlineStr">
        <is>
          <t>12_在宅生活改善調査</t>
        </is>
      </c>
      <c r="G83" s="30" t="inlineStr">
        <is>
          <t>H106</t>
        </is>
      </c>
      <c r="H83" s="29" t="inlineStr">
        <is>
          <t>資料：在宅生活改善調査（令和5年5月25日送付・12事業所91人）</t>
        </is>
      </c>
      <c r="I83" s="29" t="inlineStr"/>
    </row>
    <row r="84" ht="26" customHeight="1">
      <c r="A84" s="30" t="inlineStr">
        <is>
          <t>図11-7</t>
        </is>
      </c>
      <c r="B84" s="29" t="inlineStr">
        <is>
          <t>【④ 家族等介護者の意向・負担等（令和2年度との比較）】</t>
        </is>
      </c>
      <c r="C84" s="29" t="inlineStr">
        <is>
          <t>第2章第4節</t>
        </is>
      </c>
      <c r="D84" s="29" t="inlineStr">
        <is>
          <t>3 在宅生活改善調査</t>
        </is>
      </c>
      <c r="E84" s="30" t="inlineStr">
        <is>
          <t>本文</t>
        </is>
      </c>
      <c r="F84" s="29" t="inlineStr">
        <is>
          <t>12_在宅生活改善調査</t>
        </is>
      </c>
      <c r="G84" s="30" t="inlineStr">
        <is>
          <t>H130</t>
        </is>
      </c>
      <c r="H84" s="29" t="inlineStr">
        <is>
          <t>資料：在宅生活改善調査（令和5年5月25日送付・12事業所91人）</t>
        </is>
      </c>
      <c r="I84" s="29" t="inlineStr"/>
    </row>
    <row r="85" ht="26" customHeight="1">
      <c r="A85" s="30" t="inlineStr">
        <is>
          <t>図12-1</t>
        </is>
      </c>
      <c r="B85" s="29" t="inlineStr">
        <is>
          <t>【（1）① 事業所の職員数（就業形態別・男女別）】</t>
        </is>
      </c>
      <c r="C85" s="29" t="inlineStr">
        <is>
          <t>第2章第5節</t>
        </is>
      </c>
      <c r="D85" s="29" t="inlineStr">
        <is>
          <t>介護事業所の現状</t>
        </is>
      </c>
      <c r="E85" s="30" t="inlineStr">
        <is>
          <t>本文</t>
        </is>
      </c>
      <c r="F85" s="29" t="inlineStr">
        <is>
          <t>13_介護人材実態調査</t>
        </is>
      </c>
      <c r="G85" s="30" t="inlineStr">
        <is>
          <t>J4</t>
        </is>
      </c>
      <c r="H85" s="29" t="inlineStr">
        <is>
          <t>資料：介護人材実態調査（令和5年5月25日送付・27施設405人）</t>
        </is>
      </c>
      <c r="I85" s="29" t="inlineStr"/>
    </row>
    <row r="86" ht="26" customHeight="1">
      <c r="A86" s="30" t="inlineStr">
        <is>
          <t>図12-2</t>
        </is>
      </c>
      <c r="B86" s="29" t="inlineStr">
        <is>
          <t>【（1）② 男女比較】</t>
        </is>
      </c>
      <c r="C86" s="29" t="inlineStr">
        <is>
          <t>第2章第5節</t>
        </is>
      </c>
      <c r="D86" s="29" t="inlineStr">
        <is>
          <t>介護事業所の現状</t>
        </is>
      </c>
      <c r="E86" s="30" t="inlineStr">
        <is>
          <t>本文</t>
        </is>
      </c>
      <c r="F86" s="29" t="inlineStr">
        <is>
          <t>13_介護人材実態調査</t>
        </is>
      </c>
      <c r="G86" s="30" t="inlineStr">
        <is>
          <t>J22</t>
        </is>
      </c>
      <c r="H86" s="29" t="inlineStr">
        <is>
          <t>資料：介護人材実態調査（令和5年5月25日送付・27施設405人）</t>
        </is>
      </c>
      <c r="I86" s="29" t="inlineStr"/>
    </row>
    <row r="87" ht="26" customHeight="1">
      <c r="A87" s="30" t="inlineStr">
        <is>
          <t>図12-3</t>
        </is>
      </c>
      <c r="B87" s="29" t="inlineStr">
        <is>
          <t>【（1）③ 就業形態比較】</t>
        </is>
      </c>
      <c r="C87" s="29" t="inlineStr">
        <is>
          <t>第2章第5節</t>
        </is>
      </c>
      <c r="D87" s="29" t="inlineStr">
        <is>
          <t>介護事業所の現状</t>
        </is>
      </c>
      <c r="E87" s="30" t="inlineStr">
        <is>
          <t>本文</t>
        </is>
      </c>
      <c r="F87" s="29" t="inlineStr">
        <is>
          <t>13_介護人材実態調査</t>
        </is>
      </c>
      <c r="G87" s="30" t="inlineStr">
        <is>
          <t>J40</t>
        </is>
      </c>
      <c r="H87" s="29" t="inlineStr">
        <is>
          <t>資料：介護人材実態調査（令和5年5月25日送付・27施設405人）</t>
        </is>
      </c>
      <c r="I87" s="29" t="inlineStr">
        <is>
          <t>本文の33.8％とグラフ値77.0％が一致しない（修正指示書 確認事項）</t>
        </is>
      </c>
    </row>
    <row r="88" ht="26" customHeight="1">
      <c r="A88" s="30" t="inlineStr">
        <is>
          <t>図12-4</t>
        </is>
      </c>
      <c r="B88" s="29" t="inlineStr">
        <is>
          <t>【（1）④ 全職員の就業形態（サービス系列別）】</t>
        </is>
      </c>
      <c r="C88" s="29" t="inlineStr">
        <is>
          <t>第2章第5節</t>
        </is>
      </c>
      <c r="D88" s="29" t="inlineStr">
        <is>
          <t>介護事業所の現状</t>
        </is>
      </c>
      <c r="E88" s="30" t="inlineStr">
        <is>
          <t>本文</t>
        </is>
      </c>
      <c r="F88" s="29" t="inlineStr">
        <is>
          <t>13_介護人材実態調査</t>
        </is>
      </c>
      <c r="G88" s="30" t="inlineStr">
        <is>
          <t>J58</t>
        </is>
      </c>
      <c r="H88" s="29" t="inlineStr">
        <is>
          <t>資料：介護人材実態調査（令和5年5月25日送付・27施設405人）</t>
        </is>
      </c>
      <c r="I88" s="29" t="inlineStr"/>
    </row>
    <row r="89" ht="26" customHeight="1">
      <c r="A89" s="30" t="inlineStr">
        <is>
          <t>図12-5</t>
        </is>
      </c>
      <c r="B89" s="29" t="inlineStr">
        <is>
          <t>【（2）事業所の開設後経過年数（サービス系列別）】</t>
        </is>
      </c>
      <c r="C89" s="29" t="inlineStr">
        <is>
          <t>第2章第5節</t>
        </is>
      </c>
      <c r="D89" s="29" t="inlineStr">
        <is>
          <t>介護事業所の現状</t>
        </is>
      </c>
      <c r="E89" s="30" t="inlineStr">
        <is>
          <t>本文</t>
        </is>
      </c>
      <c r="F89" s="29" t="inlineStr">
        <is>
          <t>13_介護人材実態調査</t>
        </is>
      </c>
      <c r="G89" s="30" t="inlineStr">
        <is>
          <t>J76</t>
        </is>
      </c>
      <c r="H89" s="29" t="inlineStr">
        <is>
          <t>資料：介護人材実態調査（令和5年5月25日送付・27施設405人）</t>
        </is>
      </c>
      <c r="I89" s="29" t="inlineStr"/>
    </row>
    <row r="90" ht="26" customHeight="1">
      <c r="A90" s="30" t="inlineStr">
        <is>
          <t>図12-6</t>
        </is>
      </c>
      <c r="B90" s="29" t="inlineStr">
        <is>
          <t>【（3）① 全職員の年齢構成（総数）】</t>
        </is>
      </c>
      <c r="C90" s="29" t="inlineStr">
        <is>
          <t>第2章第5節</t>
        </is>
      </c>
      <c r="D90" s="29" t="inlineStr">
        <is>
          <t>介護事業所の現状</t>
        </is>
      </c>
      <c r="E90" s="30" t="inlineStr">
        <is>
          <t>本文</t>
        </is>
      </c>
      <c r="F90" s="29" t="inlineStr">
        <is>
          <t>13_介護人材実態調査</t>
        </is>
      </c>
      <c r="G90" s="30" t="inlineStr">
        <is>
          <t>J94</t>
        </is>
      </c>
      <c r="H90" s="29" t="inlineStr">
        <is>
          <t>資料：介護人材実態調査（令和5年5月25日送付・27施設405人）</t>
        </is>
      </c>
      <c r="I90" s="29" t="inlineStr"/>
    </row>
    <row r="91" ht="26" customHeight="1">
      <c r="A91" s="30" t="inlineStr">
        <is>
          <t>図12-7</t>
        </is>
      </c>
      <c r="B91" s="29" t="inlineStr">
        <is>
          <t>【（3）② 全職員の年齢構成（サービス系列別）】</t>
        </is>
      </c>
      <c r="C91" s="29" t="inlineStr">
        <is>
          <t>第2章第5節</t>
        </is>
      </c>
      <c r="D91" s="29" t="inlineStr">
        <is>
          <t>介護事業所の現状</t>
        </is>
      </c>
      <c r="E91" s="30" t="inlineStr">
        <is>
          <t>本文</t>
        </is>
      </c>
      <c r="F91" s="29" t="inlineStr">
        <is>
          <t>13_介護人材実態調査</t>
        </is>
      </c>
      <c r="G91" s="30" t="inlineStr">
        <is>
          <t>J114</t>
        </is>
      </c>
      <c r="H91" s="29" t="inlineStr">
        <is>
          <t>資料：介護人材実態調査（令和5年5月25日送付・27施設405人）</t>
        </is>
      </c>
      <c r="I91" s="29" t="inlineStr"/>
    </row>
    <row r="92" ht="26" customHeight="1">
      <c r="A92" s="30" t="inlineStr">
        <is>
          <t>図12-8</t>
        </is>
      </c>
      <c r="B92" s="29" t="inlineStr">
        <is>
          <t>【（3）③ 全職員の在職年数（サービス系列別）】</t>
        </is>
      </c>
      <c r="C92" s="29" t="inlineStr">
        <is>
          <t>第2章第5節</t>
        </is>
      </c>
      <c r="D92" s="29" t="inlineStr">
        <is>
          <t>介護事業所の現状</t>
        </is>
      </c>
      <c r="E92" s="30" t="inlineStr">
        <is>
          <t>本文</t>
        </is>
      </c>
      <c r="F92" s="29" t="inlineStr">
        <is>
          <t>13_介護人材実態調査</t>
        </is>
      </c>
      <c r="G92" s="30" t="inlineStr">
        <is>
          <t>J132</t>
        </is>
      </c>
      <c r="H92" s="29" t="inlineStr">
        <is>
          <t>資料：介護人材実態調査（令和5年5月25日送付・27施設405人）</t>
        </is>
      </c>
      <c r="I92" s="29" t="inlineStr"/>
    </row>
    <row r="93" ht="26" customHeight="1">
      <c r="A93" s="30" t="inlineStr">
        <is>
          <t>図12-9</t>
        </is>
      </c>
      <c r="B93" s="29" t="inlineStr">
        <is>
          <t>【（3）④ 直前の職場（在職1年未満）】</t>
        </is>
      </c>
      <c r="C93" s="29" t="inlineStr">
        <is>
          <t>第2章第5節</t>
        </is>
      </c>
      <c r="D93" s="29" t="inlineStr">
        <is>
          <t>介護事業所の現状</t>
        </is>
      </c>
      <c r="E93" s="30" t="inlineStr">
        <is>
          <t>本文</t>
        </is>
      </c>
      <c r="F93" s="29" t="inlineStr">
        <is>
          <t>13_介護人材実態調査</t>
        </is>
      </c>
      <c r="G93" s="30" t="inlineStr">
        <is>
          <t>J150</t>
        </is>
      </c>
      <c r="H93" s="29" t="inlineStr">
        <is>
          <t>資料：介護人材実態調査（令和5年5月25日送付・27施設405人）</t>
        </is>
      </c>
      <c r="I93" s="29" t="inlineStr"/>
    </row>
    <row r="94" ht="26" customHeight="1">
      <c r="A94" s="30" t="inlineStr">
        <is>
          <t>図12-10</t>
        </is>
      </c>
      <c r="B94" s="29" t="inlineStr">
        <is>
          <t>【（3）④ 直前が介護の職場だった方の内訳】</t>
        </is>
      </c>
      <c r="C94" s="29" t="inlineStr">
        <is>
          <t>第2章第5節</t>
        </is>
      </c>
      <c r="D94" s="29" t="inlineStr">
        <is>
          <t>介護事業所の現状</t>
        </is>
      </c>
      <c r="E94" s="30" t="inlineStr">
        <is>
          <t>本文</t>
        </is>
      </c>
      <c r="F94" s="29" t="inlineStr">
        <is>
          <t>13_介護人材実態調査</t>
        </is>
      </c>
      <c r="G94" s="30" t="inlineStr">
        <is>
          <t>J172</t>
        </is>
      </c>
      <c r="H94" s="29" t="inlineStr">
        <is>
          <t>資料：介護人材実態調査（令和5年5月25日送付・27施設405人）</t>
        </is>
      </c>
      <c r="I94" s="29" t="inlineStr">
        <is>
          <t>2区分が原典から復元できず入力欄としている（修正指示書 確認事項）</t>
        </is>
      </c>
    </row>
    <row r="95" ht="26" customHeight="1">
      <c r="A95" s="30" t="inlineStr">
        <is>
          <t>図12-11</t>
        </is>
      </c>
      <c r="B95" s="29" t="inlineStr">
        <is>
          <t>【（4）資格の取得・研修の修了の状況】</t>
        </is>
      </c>
      <c r="C95" s="29" t="inlineStr">
        <is>
          <t>第2章第5節</t>
        </is>
      </c>
      <c r="D95" s="29" t="inlineStr">
        <is>
          <t>介護事業所の現状</t>
        </is>
      </c>
      <c r="E95" s="30" t="inlineStr">
        <is>
          <t>本文</t>
        </is>
      </c>
      <c r="F95" s="29" t="inlineStr">
        <is>
          <t>13_介護人材実態調査</t>
        </is>
      </c>
      <c r="G95" s="30" t="inlineStr">
        <is>
          <t>J190</t>
        </is>
      </c>
      <c r="H95" s="29" t="inlineStr">
        <is>
          <t>資料：介護人材実態調査（令和5年5月25日送付・27施設405人）</t>
        </is>
      </c>
      <c r="I95" s="29" t="inlineStr"/>
    </row>
    <row r="96" ht="26" customHeight="1">
      <c r="A96" s="30" t="inlineStr">
        <is>
          <t>図12-12</t>
        </is>
      </c>
      <c r="B96" s="29" t="inlineStr">
        <is>
          <t>【（5）② サービス別の採用者数・退職者数】</t>
        </is>
      </c>
      <c r="C96" s="29" t="inlineStr">
        <is>
          <t>第2章第5節</t>
        </is>
      </c>
      <c r="D96" s="29" t="inlineStr">
        <is>
          <t>介護事業所の現状</t>
        </is>
      </c>
      <c r="E96" s="30" t="inlineStr">
        <is>
          <t>本文</t>
        </is>
      </c>
      <c r="F96" s="29" t="inlineStr">
        <is>
          <t>13_介護人材実態調査</t>
        </is>
      </c>
      <c r="G96" s="30" t="inlineStr">
        <is>
          <t>J208</t>
        </is>
      </c>
      <c r="H96" s="29" t="inlineStr">
        <is>
          <t>資料：介護人材実態調査（令和5年5月25日送付・27施設405人）</t>
        </is>
      </c>
      <c r="I96" s="29" t="inlineStr"/>
    </row>
    <row r="97" ht="26" customHeight="1">
      <c r="A97" s="30" t="inlineStr">
        <is>
          <t>図12-13</t>
        </is>
      </c>
      <c r="B97" s="29" t="inlineStr">
        <is>
          <t>【（5）③ 年齢別の採用者数・退職者数】</t>
        </is>
      </c>
      <c r="C97" s="29" t="inlineStr">
        <is>
          <t>第2章第5節</t>
        </is>
      </c>
      <c r="D97" s="29" t="inlineStr">
        <is>
          <t>介護事業所の現状</t>
        </is>
      </c>
      <c r="E97" s="30" t="inlineStr">
        <is>
          <t>本文</t>
        </is>
      </c>
      <c r="F97" s="29" t="inlineStr">
        <is>
          <t>13_介護人材実態調査</t>
        </is>
      </c>
      <c r="G97" s="30" t="inlineStr">
        <is>
          <t>J228</t>
        </is>
      </c>
      <c r="H97" s="29" t="inlineStr">
        <is>
          <t>資料：介護人材実態調査（令和5年5月25日送付・27施設405人）</t>
        </is>
      </c>
      <c r="I97" s="29" t="inlineStr"/>
    </row>
    <row r="98" ht="26" customHeight="1">
      <c r="A98" s="30" t="inlineStr">
        <is>
          <t>図12-14</t>
        </is>
      </c>
      <c r="B98" s="29" t="inlineStr">
        <is>
          <t>【（6）過去1週間の勤務時間】</t>
        </is>
      </c>
      <c r="C98" s="29" t="inlineStr">
        <is>
          <t>第2章第5節</t>
        </is>
      </c>
      <c r="D98" s="29" t="inlineStr">
        <is>
          <t>介護事業所の現状</t>
        </is>
      </c>
      <c r="E98" s="30" t="inlineStr">
        <is>
          <t>本文</t>
        </is>
      </c>
      <c r="F98" s="29" t="inlineStr">
        <is>
          <t>13_介護人材実態調査</t>
        </is>
      </c>
      <c r="G98" s="30" t="inlineStr">
        <is>
          <t>J248</t>
        </is>
      </c>
      <c r="H98" s="29" t="inlineStr">
        <is>
          <t>資料：介護人材実態調査（令和5年5月25日送付・27施設405人）</t>
        </is>
      </c>
      <c r="I98" s="29" t="inlineStr"/>
    </row>
    <row r="99" ht="26" customHeight="1">
      <c r="A99" s="30" t="inlineStr">
        <is>
          <t>図13-1</t>
        </is>
      </c>
      <c r="B99" s="29" t="inlineStr">
        <is>
          <t>【高齢者の年齢構成（5歳階級別）の推移】</t>
        </is>
      </c>
      <c r="C99" s="29" t="inlineStr">
        <is>
          <t>第2章第1節</t>
        </is>
      </c>
      <c r="D99" s="29" t="inlineStr">
        <is>
          <t>2 見える化システムで確認した直近の状況</t>
        </is>
      </c>
      <c r="E99" s="30" t="inlineStr">
        <is>
          <t>本文</t>
        </is>
      </c>
      <c r="F99" s="29" t="inlineStr">
        <is>
          <t>14_年齢構成と85歳以上</t>
        </is>
      </c>
      <c r="G99" s="30" t="inlineStr">
        <is>
          <t>L4</t>
        </is>
      </c>
      <c r="H99" s="29" t="inlineStr">
        <is>
          <t>資料：地域包括ケア「見える化」システム（国勢調査及び社人研推計）</t>
        </is>
      </c>
      <c r="I99" s="29" t="inlineStr"/>
    </row>
    <row r="100" ht="26" customHeight="1">
      <c r="A100" s="30" t="inlineStr">
        <is>
          <t>図13-2</t>
        </is>
      </c>
      <c r="B100" s="29" t="inlineStr">
        <is>
          <t>【85歳以上人口の推移】</t>
        </is>
      </c>
      <c r="C100" s="29" t="inlineStr">
        <is>
          <t>第2章第1節</t>
        </is>
      </c>
      <c r="D100" s="29" t="inlineStr">
        <is>
          <t>2 見える化システムで確認した直近の状況</t>
        </is>
      </c>
      <c r="E100" s="30" t="inlineStr">
        <is>
          <t>本文</t>
        </is>
      </c>
      <c r="F100" s="29" t="inlineStr">
        <is>
          <t>14_年齢構成と85歳以上</t>
        </is>
      </c>
      <c r="G100" s="30" t="inlineStr">
        <is>
          <t>L30</t>
        </is>
      </c>
      <c r="H100" s="29" t="inlineStr">
        <is>
          <t>資料：地域包括ケア「見える化」システム（国勢調査及び社人研推計）</t>
        </is>
      </c>
      <c r="I100" s="29" t="inlineStr"/>
    </row>
    <row r="101" ht="26" customHeight="1">
      <c r="A101" s="30" t="inlineStr">
        <is>
          <t>図13-3</t>
        </is>
      </c>
      <c r="B101" s="29" t="inlineStr">
        <is>
          <t>【前期・後期別高齢者数の推移】</t>
        </is>
      </c>
      <c r="C101" s="29" t="inlineStr">
        <is>
          <t>第2章第1節</t>
        </is>
      </c>
      <c r="D101" s="29" t="inlineStr">
        <is>
          <t>2 見える化システムで確認した直近の状況</t>
        </is>
      </c>
      <c r="E101" s="30" t="inlineStr">
        <is>
          <t>本文</t>
        </is>
      </c>
      <c r="F101" s="29" t="inlineStr">
        <is>
          <t>14_年齢構成と85歳以上</t>
        </is>
      </c>
      <c r="G101" s="30" t="inlineStr">
        <is>
          <t>L56</t>
        </is>
      </c>
      <c r="H101" s="29" t="inlineStr">
        <is>
          <t>資料：地域包括ケア「見える化」システム（国勢調査及び社人研推計）</t>
        </is>
      </c>
      <c r="I101" s="29" t="inlineStr"/>
    </row>
    <row r="102" ht="26" customHeight="1">
      <c r="A102" s="30" t="inlineStr">
        <is>
          <t>図14-1</t>
        </is>
      </c>
      <c r="B102" s="29" t="inlineStr">
        <is>
          <t>【訪問介護（回）　受給者1人あたり利用日数・回数の推移】</t>
        </is>
      </c>
      <c r="C102" s="29" t="inlineStr">
        <is>
          <t>第2章第1節</t>
        </is>
      </c>
      <c r="D102" s="29" t="inlineStr">
        <is>
          <t>3 主要サービスの受給者1人当たり利用日数・回数</t>
        </is>
      </c>
      <c r="E102" s="30" t="inlineStr">
        <is>
          <t>本文</t>
        </is>
      </c>
      <c r="F102" s="29" t="inlineStr">
        <is>
          <t>15_サービス利用強度</t>
        </is>
      </c>
      <c r="G102" s="30" t="inlineStr">
        <is>
          <t>P4</t>
        </is>
      </c>
      <c r="H102" s="29" t="inlineStr">
        <is>
          <t>資料：地域包括ケア「見える化」システム</t>
        </is>
      </c>
      <c r="I102" s="29" t="inlineStr"/>
    </row>
    <row r="103" ht="26" customHeight="1">
      <c r="A103" s="30" t="inlineStr">
        <is>
          <t>図14-2</t>
        </is>
      </c>
      <c r="B103" s="29" t="inlineStr">
        <is>
          <t>【訪問看護（回）　受給者1人あたり利用日数・回数の推移】</t>
        </is>
      </c>
      <c r="C103" s="29" t="inlineStr">
        <is>
          <t>第2章第1節</t>
        </is>
      </c>
      <c r="D103" s="29" t="inlineStr">
        <is>
          <t>3 主要サービスの受給者1人当たり利用日数・回数</t>
        </is>
      </c>
      <c r="E103" s="30" t="inlineStr">
        <is>
          <t>本文</t>
        </is>
      </c>
      <c r="F103" s="29" t="inlineStr">
        <is>
          <t>15_サービス利用強度</t>
        </is>
      </c>
      <c r="G103" s="30" t="inlineStr">
        <is>
          <t>P25</t>
        </is>
      </c>
      <c r="H103" s="29" t="inlineStr">
        <is>
          <t>資料：地域包括ケア「見える化」システム</t>
        </is>
      </c>
      <c r="I103" s="29" t="inlineStr"/>
    </row>
    <row r="104" ht="26" customHeight="1">
      <c r="A104" s="30" t="inlineStr">
        <is>
          <t>図14-3</t>
        </is>
      </c>
      <c r="B104" s="29" t="inlineStr">
        <is>
          <t>【通所介護（日）　受給者1人あたり利用日数・回数の推移】</t>
        </is>
      </c>
      <c r="C104" s="29" t="inlineStr">
        <is>
          <t>第2章第1節</t>
        </is>
      </c>
      <c r="D104" s="29" t="inlineStr">
        <is>
          <t>3 主要サービスの受給者1人当たり利用日数・回数</t>
        </is>
      </c>
      <c r="E104" s="30" t="inlineStr">
        <is>
          <t>本文</t>
        </is>
      </c>
      <c r="F104" s="29" t="inlineStr">
        <is>
          <t>15_サービス利用強度</t>
        </is>
      </c>
      <c r="G104" s="30" t="inlineStr">
        <is>
          <t>P46</t>
        </is>
      </c>
      <c r="H104" s="29" t="inlineStr">
        <is>
          <t>資料：地域包括ケア「見える化」システム</t>
        </is>
      </c>
      <c r="I104" s="29" t="inlineStr"/>
    </row>
    <row r="105" ht="26" customHeight="1">
      <c r="A105" s="30" t="inlineStr">
        <is>
          <t>図14-4</t>
        </is>
      </c>
      <c r="B105" s="29" t="inlineStr">
        <is>
          <t>【通所リハビリテーション（日）　受給者1人あたり利用日数・回数の推移】</t>
        </is>
      </c>
      <c r="C105" s="29" t="inlineStr">
        <is>
          <t>第2章第1節</t>
        </is>
      </c>
      <c r="D105" s="29" t="inlineStr">
        <is>
          <t>3 主要サービスの受給者1人当たり利用日数・回数</t>
        </is>
      </c>
      <c r="E105" s="30" t="inlineStr">
        <is>
          <t>本文</t>
        </is>
      </c>
      <c r="F105" s="29" t="inlineStr">
        <is>
          <t>15_サービス利用強度</t>
        </is>
      </c>
      <c r="G105" s="30" t="inlineStr">
        <is>
          <t>P67</t>
        </is>
      </c>
      <c r="H105" s="29" t="inlineStr">
        <is>
          <t>資料：地域包括ケア「見える化」システム</t>
        </is>
      </c>
      <c r="I105" s="29" t="inlineStr"/>
    </row>
    <row r="106" ht="26" customHeight="1">
      <c r="A106" s="30" t="inlineStr">
        <is>
          <t>図14-5</t>
        </is>
      </c>
      <c r="B106" s="29" t="inlineStr">
        <is>
          <t>【地域密着型通所介護（日）　受給者1人あたり利用日数・回数の推移】</t>
        </is>
      </c>
      <c r="C106" s="29" t="inlineStr">
        <is>
          <t>第2章第1節</t>
        </is>
      </c>
      <c r="D106" s="29" t="inlineStr">
        <is>
          <t>3 主要サービスの受給者1人当たり利用日数・回数</t>
        </is>
      </c>
      <c r="E106" s="30" t="inlineStr">
        <is>
          <t>本文</t>
        </is>
      </c>
      <c r="F106" s="29" t="inlineStr">
        <is>
          <t>15_サービス利用強度</t>
        </is>
      </c>
      <c r="G106" s="30" t="inlineStr">
        <is>
          <t>P88</t>
        </is>
      </c>
      <c r="H106" s="29" t="inlineStr">
        <is>
          <t>資料：地域包括ケア「見える化」システム</t>
        </is>
      </c>
      <c r="I106" s="29" t="inlineStr"/>
    </row>
    <row r="107" ht="26" customHeight="1">
      <c r="A107" s="30" t="inlineStr">
        <is>
          <t>図15-1</t>
        </is>
      </c>
      <c r="B107" s="29" t="inlineStr">
        <is>
          <t>【町別総人口の推移と将来推計】</t>
        </is>
      </c>
      <c r="C107" s="29" t="inlineStr">
        <is>
          <t>第2章第7節</t>
        </is>
      </c>
      <c r="D107" s="29" t="inlineStr">
        <is>
          <t>中長期推計からみた需要と財政</t>
        </is>
      </c>
      <c r="E107" s="30" t="inlineStr">
        <is>
          <t>本文</t>
        </is>
      </c>
      <c r="F107" s="29" t="inlineStr">
        <is>
          <t>16_町別将来推計</t>
        </is>
      </c>
      <c r="G107" s="30" t="inlineStr">
        <is>
          <t>N4</t>
        </is>
      </c>
      <c r="H107" s="29" t="inlineStr">
        <is>
          <t>資料：地域包括ケア「見える化」システム（国勢調査及び社人研推計）</t>
        </is>
      </c>
      <c r="I107" s="29" t="inlineStr"/>
    </row>
    <row r="108" ht="26" customHeight="1">
      <c r="A108" s="30" t="inlineStr">
        <is>
          <t>図15-2</t>
        </is>
      </c>
      <c r="B108" s="29" t="inlineStr">
        <is>
          <t>【町別高齢化率の推移と将来推計】</t>
        </is>
      </c>
      <c r="C108" s="29" t="inlineStr">
        <is>
          <t>第2章第7節</t>
        </is>
      </c>
      <c r="D108" s="29" t="inlineStr">
        <is>
          <t>中長期推計からみた需要と財政</t>
        </is>
      </c>
      <c r="E108" s="30" t="inlineStr">
        <is>
          <t>本文</t>
        </is>
      </c>
      <c r="F108" s="29" t="inlineStr">
        <is>
          <t>16_町別将来推計</t>
        </is>
      </c>
      <c r="G108" s="30" t="inlineStr">
        <is>
          <t>N28</t>
        </is>
      </c>
      <c r="H108" s="29" t="inlineStr">
        <is>
          <t>資料：地域包括ケア「見える化」システム（国勢調査及び社人研推計）</t>
        </is>
      </c>
      <c r="I108" s="29" t="inlineStr"/>
    </row>
    <row r="109" ht="26" customHeight="1">
      <c r="A109" s="30" t="inlineStr">
        <is>
          <t>図16-1</t>
        </is>
      </c>
      <c r="B109" s="29" t="inlineStr">
        <is>
          <t>【高齢者1人あたり現役世代数の推移と将来推計】</t>
        </is>
      </c>
      <c r="C109" s="29" t="inlineStr">
        <is>
          <t>第2章第7節</t>
        </is>
      </c>
      <c r="D109" s="29" t="inlineStr">
        <is>
          <t>中長期推計からみた需要と財政</t>
        </is>
      </c>
      <c r="E109" s="30" t="inlineStr">
        <is>
          <t>本文</t>
        </is>
      </c>
      <c r="F109" s="29" t="inlineStr">
        <is>
          <t>17_担い手の推移</t>
        </is>
      </c>
      <c r="G109" s="30" t="inlineStr">
        <is>
          <t>N4</t>
        </is>
      </c>
      <c r="H109" s="29" t="inlineStr">
        <is>
          <t>資料：地域包括ケア「見える化」システム（国勢調査及び社人研推計）</t>
        </is>
      </c>
      <c r="I109" s="29" t="inlineStr"/>
    </row>
    <row r="110" ht="26" customHeight="1">
      <c r="A110" s="30" t="inlineStr">
        <is>
          <t>図17-1</t>
        </is>
      </c>
      <c r="B110" s="29" t="inlineStr">
        <is>
          <t>【介護サービス利用率の推移（大雪地区広域連合）】</t>
        </is>
      </c>
      <c r="C110" s="29" t="inlineStr">
        <is>
          <t>第2章第2節</t>
        </is>
      </c>
      <c r="D110" s="29" t="inlineStr">
        <is>
          <t>保険給付や地域支援事業の実態把握と分析</t>
        </is>
      </c>
      <c r="E110" s="30" t="inlineStr">
        <is>
          <t>本文</t>
        </is>
      </c>
      <c r="F110" s="29" t="inlineStr">
        <is>
          <t>18_受給率・利用率</t>
        </is>
      </c>
      <c r="G110" s="30" t="inlineStr">
        <is>
          <t>P4</t>
        </is>
      </c>
      <c r="H110" s="29" t="inlineStr">
        <is>
          <t>資料：地域包括ケア「見える化」システム</t>
        </is>
      </c>
      <c r="I110" s="29" t="inlineStr"/>
    </row>
    <row r="111" ht="26" customHeight="1">
      <c r="A111" s="30" t="inlineStr">
        <is>
          <t>図17-2</t>
        </is>
      </c>
      <c r="B111" s="29" t="inlineStr">
        <is>
          <t>【在宅・居住系サービス利用者割合の推移】</t>
        </is>
      </c>
      <c r="C111" s="29" t="inlineStr">
        <is>
          <t>第2章第2節</t>
        </is>
      </c>
      <c r="D111" s="29" t="inlineStr">
        <is>
          <t>保険給付や地域支援事業の実態把握と分析</t>
        </is>
      </c>
      <c r="E111" s="30" t="inlineStr">
        <is>
          <t>本文</t>
        </is>
      </c>
      <c r="F111" s="29" t="inlineStr">
        <is>
          <t>18_受給率・利用率</t>
        </is>
      </c>
      <c r="G111" s="30" t="inlineStr">
        <is>
          <t>P26</t>
        </is>
      </c>
      <c r="H111" s="29" t="inlineStr">
        <is>
          <t>資料：地域包括ケア「見える化」システム</t>
        </is>
      </c>
      <c r="I111" s="29" t="inlineStr"/>
    </row>
    <row r="112" ht="26" customHeight="1">
      <c r="A112" s="30" t="inlineStr">
        <is>
          <t>図17-3</t>
        </is>
      </c>
      <c r="B112" s="29" t="inlineStr">
        <is>
          <t>【施設・居住系サービス受給率の推移（全国・北海道との比較）】</t>
        </is>
      </c>
      <c r="C112" s="29" t="inlineStr">
        <is>
          <t>第2章第2節</t>
        </is>
      </c>
      <c r="D112" s="29" t="inlineStr">
        <is>
          <t>保険給付や地域支援事業の実態把握と分析</t>
        </is>
      </c>
      <c r="E112" s="30" t="inlineStr">
        <is>
          <t>本文</t>
        </is>
      </c>
      <c r="F112" s="29" t="inlineStr">
        <is>
          <t>18_受給率・利用率</t>
        </is>
      </c>
      <c r="G112" s="30" t="inlineStr">
        <is>
          <t>P48</t>
        </is>
      </c>
      <c r="H112" s="29" t="inlineStr">
        <is>
          <t>資料：地域包括ケア「見える化」システム</t>
        </is>
      </c>
      <c r="I112" s="29" t="inlineStr"/>
    </row>
    <row r="113" ht="26" customHeight="1">
      <c r="A113" s="30" t="inlineStr">
        <is>
          <t>図18-1</t>
        </is>
      </c>
      <c r="B113" s="29" t="inlineStr">
        <is>
          <t>【第1号被保険者1人あたり給付月額（在宅サービス）】</t>
        </is>
      </c>
      <c r="C113" s="29" t="inlineStr">
        <is>
          <t>第2章第2節</t>
        </is>
      </c>
      <c r="D113" s="29" t="inlineStr">
        <is>
          <t>保険給付や地域支援事業の実態把握と分析</t>
        </is>
      </c>
      <c r="E113" s="30" t="inlineStr">
        <is>
          <t>本文</t>
        </is>
      </c>
      <c r="F113" s="29" t="inlineStr">
        <is>
          <t>19_給付月額の比較</t>
        </is>
      </c>
      <c r="G113" s="30" t="inlineStr">
        <is>
          <t>P4</t>
        </is>
      </c>
      <c r="H113" s="29" t="inlineStr">
        <is>
          <t>資料：地域包括ケア「見える化」システム</t>
        </is>
      </c>
      <c r="I113" s="29" t="inlineStr"/>
    </row>
    <row r="114" ht="26" customHeight="1">
      <c r="A114" s="30" t="inlineStr">
        <is>
          <t>図18-2</t>
        </is>
      </c>
      <c r="B114" s="29" t="inlineStr">
        <is>
          <t>【第1号被保険者1人あたり給付月額（施設および居住系サービス）】</t>
        </is>
      </c>
      <c r="C114" s="29" t="inlineStr">
        <is>
          <t>第2章第2節</t>
        </is>
      </c>
      <c r="D114" s="29" t="inlineStr">
        <is>
          <t>保険給付や地域支援事業の実態把握と分析</t>
        </is>
      </c>
      <c r="E114" s="30" t="inlineStr">
        <is>
          <t>本文</t>
        </is>
      </c>
      <c r="F114" s="29" t="inlineStr">
        <is>
          <t>19_給付月額の比較</t>
        </is>
      </c>
      <c r="G114" s="30" t="inlineStr">
        <is>
          <t>P26</t>
        </is>
      </c>
      <c r="H114" s="29" t="inlineStr">
        <is>
          <t>資料：地域包括ケア「見える化」システム</t>
        </is>
      </c>
      <c r="I114" s="29" t="inlineStr"/>
    </row>
    <row r="115" ht="26" customHeight="1">
      <c r="A115" s="30" t="inlineStr">
        <is>
          <t>図18-3</t>
        </is>
      </c>
      <c r="B115" s="29" t="inlineStr">
        <is>
          <t>【受給者1人あたり給付月額の比較（令和7年度）】</t>
        </is>
      </c>
      <c r="C115" s="29" t="inlineStr">
        <is>
          <t>第2章第2節</t>
        </is>
      </c>
      <c r="D115" s="29" t="inlineStr">
        <is>
          <t>保険給付や地域支援事業の実態把握と分析</t>
        </is>
      </c>
      <c r="E115" s="30" t="inlineStr">
        <is>
          <t>本文</t>
        </is>
      </c>
      <c r="F115" s="29" t="inlineStr">
        <is>
          <t>19_給付月額の比較</t>
        </is>
      </c>
      <c r="G115" s="30" t="inlineStr">
        <is>
          <t>P48</t>
        </is>
      </c>
      <c r="H115" s="29" t="inlineStr">
        <is>
          <t>資料：地域包括ケア「見える化」システム</t>
        </is>
      </c>
      <c r="I115" s="29" t="inlineStr"/>
    </row>
    <row r="116" ht="26" customHeight="1">
      <c r="A116" s="30" t="inlineStr">
        <is>
          <t>図19-1</t>
        </is>
      </c>
      <c r="B116" s="29" t="inlineStr">
        <is>
          <t>【認定率の推移と第9期目標】</t>
        </is>
      </c>
      <c r="C116" s="29" t="inlineStr">
        <is>
          <t>第3章第4節</t>
        </is>
      </c>
      <c r="D116" s="29" t="inlineStr">
        <is>
          <t>第9期計画の評価と第10期への課題</t>
        </is>
      </c>
      <c r="E116" s="30" t="inlineStr">
        <is>
          <t>本文</t>
        </is>
      </c>
      <c r="F116" s="29" t="inlineStr">
        <is>
          <t>20_第9期の達成状況</t>
        </is>
      </c>
      <c r="G116" s="30" t="inlineStr">
        <is>
          <t>I4</t>
        </is>
      </c>
      <c r="H116" s="29" t="inlineStr">
        <is>
          <t>資料：第9期介護保険事業計画／地域包括ケア「見える化」システム／令和7年度 健康とくらしの調査</t>
        </is>
      </c>
      <c r="I116" s="29" t="inlineStr"/>
    </row>
    <row r="117" ht="26" customHeight="1">
      <c r="A117" s="30" t="inlineStr">
        <is>
          <t>図19-2</t>
        </is>
      </c>
      <c r="B117" s="29" t="inlineStr">
        <is>
          <t>【保険給付費・地域支援事業費の決算推移】</t>
        </is>
      </c>
      <c r="C117" s="29" t="inlineStr">
        <is>
          <t>第3章第4節</t>
        </is>
      </c>
      <c r="D117" s="29" t="inlineStr">
        <is>
          <t>第9期計画の評価と第10期への課題</t>
        </is>
      </c>
      <c r="E117" s="30" t="inlineStr">
        <is>
          <t>本文</t>
        </is>
      </c>
      <c r="F117" s="29" t="inlineStr">
        <is>
          <t>20_第9期の達成状況</t>
        </is>
      </c>
      <c r="G117" s="30" t="inlineStr">
        <is>
          <t>I26</t>
        </is>
      </c>
      <c r="H117" s="29" t="inlineStr">
        <is>
          <t>資料：第9期介護保険事業計画／地域包括ケア「見える化」システム／令和7年度 健康とくらしの調査</t>
        </is>
      </c>
      <c r="I117" s="29" t="inlineStr"/>
    </row>
    <row r="118" ht="26" customHeight="1">
      <c r="A118" s="30" t="inlineStr">
        <is>
          <t>図20-1</t>
        </is>
      </c>
      <c r="B118" s="29" t="inlineStr">
        <is>
          <t>【受給率の内訳（令和7年）】</t>
        </is>
      </c>
      <c r="C118" s="29" t="inlineStr">
        <is>
          <t>第2章第2節</t>
        </is>
      </c>
      <c r="D118" s="29" t="inlineStr">
        <is>
          <t>保険給付や地域支援事業の実態把握と分析</t>
        </is>
      </c>
      <c r="E118" s="30" t="inlineStr">
        <is>
          <t>本文</t>
        </is>
      </c>
      <c r="F118" s="29" t="inlineStr">
        <is>
          <t>21_受給率と定員</t>
        </is>
      </c>
      <c r="G118" s="30" t="inlineStr">
        <is>
          <t>P4</t>
        </is>
      </c>
      <c r="H118" s="29" t="inlineStr">
        <is>
          <t>資料：地域包括ケア「見える化」システム</t>
        </is>
      </c>
      <c r="I118" s="29" t="inlineStr"/>
    </row>
    <row r="119" ht="26" customHeight="1">
      <c r="A119" s="30" t="inlineStr">
        <is>
          <t>図20-2</t>
        </is>
      </c>
      <c r="B119" s="29" t="inlineStr">
        <is>
          <t>【施設および居住系サービス受給率の推移】</t>
        </is>
      </c>
      <c r="C119" s="29" t="inlineStr">
        <is>
          <t>第2章第2節</t>
        </is>
      </c>
      <c r="D119" s="29" t="inlineStr">
        <is>
          <t>保険給付や地域支援事業の実態把握と分析</t>
        </is>
      </c>
      <c r="E119" s="30" t="inlineStr">
        <is>
          <t>本文</t>
        </is>
      </c>
      <c r="F119" s="29" t="inlineStr">
        <is>
          <t>21_受給率と定員</t>
        </is>
      </c>
      <c r="G119" s="30" t="inlineStr">
        <is>
          <t>P22</t>
        </is>
      </c>
      <c r="H119" s="29" t="inlineStr">
        <is>
          <t>資料：地域包括ケア「見える化」システム</t>
        </is>
      </c>
      <c r="I119" s="29" t="inlineStr"/>
    </row>
    <row r="120" ht="26" customHeight="1">
      <c r="A120" s="30" t="inlineStr">
        <is>
          <t>図20-3</t>
        </is>
      </c>
      <c r="B120" s="29" t="inlineStr">
        <is>
          <t>【要支援・要介護者1人あたり定員の推移】</t>
        </is>
      </c>
      <c r="C120" s="29" t="inlineStr">
        <is>
          <t>第2章第2節</t>
        </is>
      </c>
      <c r="D120" s="29" t="inlineStr">
        <is>
          <t>保険給付や地域支援事業の実態把握と分析</t>
        </is>
      </c>
      <c r="E120" s="30" t="inlineStr">
        <is>
          <t>本文</t>
        </is>
      </c>
      <c r="F120" s="29" t="inlineStr">
        <is>
          <t>21_受給率と定員</t>
        </is>
      </c>
      <c r="G120" s="30" t="inlineStr">
        <is>
          <t>P46</t>
        </is>
      </c>
      <c r="H120" s="29" t="inlineStr">
        <is>
          <t>資料：地域包括ケア「見える化」システム</t>
        </is>
      </c>
      <c r="I120" s="29" t="inlineStr"/>
    </row>
    <row r="121" ht="26" customHeight="1">
      <c r="A121" s="30" t="inlineStr">
        <is>
          <t>図20-4</t>
        </is>
      </c>
      <c r="B121" s="29" t="inlineStr">
        <is>
          <t>【要支援・要介護者1人あたり定員の推移（区分計）】</t>
        </is>
      </c>
      <c r="C121" s="29" t="inlineStr">
        <is>
          <t>第2章第2節</t>
        </is>
      </c>
      <c r="D121" s="29" t="inlineStr">
        <is>
          <t>保険給付や地域支援事業の実態把握と分析</t>
        </is>
      </c>
      <c r="E121" s="30" t="inlineStr">
        <is>
          <t>本文</t>
        </is>
      </c>
      <c r="F121" s="29" t="inlineStr">
        <is>
          <t>21_受給率と定員</t>
        </is>
      </c>
      <c r="G121" s="30" t="inlineStr">
        <is>
          <t>P70</t>
        </is>
      </c>
      <c r="H121" s="29" t="inlineStr">
        <is>
          <t>資料：地域包括ケア「見える化」システム</t>
        </is>
      </c>
      <c r="I121" s="29" t="inlineStr"/>
    </row>
    <row r="122" ht="26" customHeight="1">
      <c r="A122" s="30" t="inlineStr">
        <is>
          <t>図20-5</t>
        </is>
      </c>
      <c r="B122" s="29" t="inlineStr">
        <is>
          <t>【受給率の推移（施設サービス・要介護度別）】</t>
        </is>
      </c>
      <c r="C122" s="29" t="inlineStr">
        <is>
          <t>第2章第2節</t>
        </is>
      </c>
      <c r="D122" s="29" t="inlineStr">
        <is>
          <t>保険給付や地域支援事業の実態把握と分析</t>
        </is>
      </c>
      <c r="E122" s="30" t="inlineStr">
        <is>
          <t>本文</t>
        </is>
      </c>
      <c r="F122" s="29" t="inlineStr">
        <is>
          <t>21_受給率と定員</t>
        </is>
      </c>
      <c r="G122" s="30" t="inlineStr">
        <is>
          <t>P94</t>
        </is>
      </c>
      <c r="H122" s="29" t="inlineStr">
        <is>
          <t>資料：地域包括ケア「見える化」システム</t>
        </is>
      </c>
      <c r="I122" s="29" t="inlineStr"/>
    </row>
    <row r="123" ht="26" customHeight="1">
      <c r="A123" s="30" t="inlineStr">
        <is>
          <t>図20-6</t>
        </is>
      </c>
      <c r="B123" s="29" t="inlineStr">
        <is>
          <t>【受給率の推移（在宅サービス・要介護度別）】</t>
        </is>
      </c>
      <c r="C123" s="29" t="inlineStr">
        <is>
          <t>第2章第2節</t>
        </is>
      </c>
      <c r="D123" s="29" t="inlineStr">
        <is>
          <t>保険給付や地域支援事業の実態把握と分析</t>
        </is>
      </c>
      <c r="E123" s="30" t="inlineStr">
        <is>
          <t>本文</t>
        </is>
      </c>
      <c r="F123" s="29" t="inlineStr">
        <is>
          <t>21_受給率と定員</t>
        </is>
      </c>
      <c r="G123" s="30" t="inlineStr">
        <is>
          <t>P118</t>
        </is>
      </c>
      <c r="H123" s="29" t="inlineStr">
        <is>
          <t>資料：地域包括ケア「見える化」システム</t>
        </is>
      </c>
      <c r="I123" s="29" t="inlineStr"/>
    </row>
    <row r="124" ht="26" customHeight="1">
      <c r="A124" s="30" t="inlineStr">
        <is>
          <t>図20-7</t>
        </is>
      </c>
      <c r="B124" s="29" t="inlineStr">
        <is>
          <t>【年齢層別にみた認定率の推移】</t>
        </is>
      </c>
      <c r="C124" s="29" t="inlineStr">
        <is>
          <t>第2章第2節</t>
        </is>
      </c>
      <c r="D124" s="29" t="inlineStr">
        <is>
          <t>保険給付や地域支援事業の実態把握と分析</t>
        </is>
      </c>
      <c r="E124" s="30" t="inlineStr">
        <is>
          <t>本文</t>
        </is>
      </c>
      <c r="F124" s="29" t="inlineStr">
        <is>
          <t>21_受給率と定員</t>
        </is>
      </c>
      <c r="G124" s="30" t="inlineStr">
        <is>
          <t>P142</t>
        </is>
      </c>
      <c r="H124" s="29" t="inlineStr">
        <is>
          <t>資料：地域包括ケア「見える化」システム</t>
        </is>
      </c>
      <c r="I124" s="29" t="inlineStr"/>
    </row>
    <row r="125" ht="26" customHeight="1">
      <c r="A125" s="30" t="inlineStr">
        <is>
          <t>図21-1</t>
        </is>
      </c>
      <c r="B125" s="29" t="inlineStr">
        <is>
          <t>【平成30年度→令和7年度の増減率】</t>
        </is>
      </c>
      <c r="C125" s="29" t="inlineStr">
        <is>
          <t>第2章第2節</t>
        </is>
      </c>
      <c r="D125" s="29" t="inlineStr">
        <is>
          <t>保険給付や地域支援事業の実態把握と分析</t>
        </is>
      </c>
      <c r="E125" s="30" t="inlineStr">
        <is>
          <t>本文</t>
        </is>
      </c>
      <c r="F125" s="29" t="inlineStr">
        <is>
          <t>22_サービス別給付動向</t>
        </is>
      </c>
      <c r="G125" s="30" t="inlineStr">
        <is>
          <t>P4</t>
        </is>
      </c>
      <c r="H125" s="29" t="inlineStr">
        <is>
          <t>資料：地域包括ケア「見える化」システム</t>
        </is>
      </c>
      <c r="I125" s="29" t="inlineStr"/>
    </row>
    <row r="126" ht="26" customHeight="1">
      <c r="A126" s="30" t="inlineStr">
        <is>
          <t>図22-1</t>
        </is>
      </c>
      <c r="B126" s="29" t="inlineStr">
        <is>
          <t>【圏域内市町村の高齢化率と75歳以上割合（令和2年）】</t>
        </is>
      </c>
      <c r="C126" s="29" t="inlineStr">
        <is>
          <t>第2章第2節</t>
        </is>
      </c>
      <c r="D126" s="29" t="inlineStr">
        <is>
          <t>保険給付や地域支援事業の実態把握と分析</t>
        </is>
      </c>
      <c r="E126" s="30" t="inlineStr">
        <is>
          <t>本文</t>
        </is>
      </c>
      <c r="F126" s="29" t="inlineStr">
        <is>
          <t>23_上川中部圏域比較</t>
        </is>
      </c>
      <c r="G126" s="30" t="inlineStr">
        <is>
          <t>N4</t>
        </is>
      </c>
      <c r="H126" s="29" t="inlineStr">
        <is>
          <t>資料：第9期北海道高齢者保健福祉計画・介護保険事業支援計画／地域包括ケア「見える化」システム</t>
        </is>
      </c>
      <c r="I126" s="29" t="inlineStr"/>
    </row>
    <row r="127" ht="26" customHeight="1">
      <c r="A127" s="30" t="inlineStr">
        <is>
          <t>図22-2</t>
        </is>
      </c>
      <c r="B127" s="29" t="inlineStr">
        <is>
          <t>【調整済み第1号1人あたり給付月額（北海道との比較）】</t>
        </is>
      </c>
      <c r="C127" s="29" t="inlineStr">
        <is>
          <t>第2章第2節</t>
        </is>
      </c>
      <c r="D127" s="29" t="inlineStr">
        <is>
          <t>保険給付や地域支援事業の実態把握と分析</t>
        </is>
      </c>
      <c r="E127" s="30" t="inlineStr">
        <is>
          <t>本文</t>
        </is>
      </c>
      <c r="F127" s="29" t="inlineStr">
        <is>
          <t>23_上川中部圏域比較</t>
        </is>
      </c>
      <c r="G127" s="30" t="inlineStr">
        <is>
          <t>N26</t>
        </is>
      </c>
      <c r="H127" s="29" t="inlineStr">
        <is>
          <t>資料：第9期北海道高齢者保健福祉計画・介護保険事業支援計画／地域包括ケア「見える化」システム</t>
        </is>
      </c>
      <c r="I127" s="29" t="inlineStr"/>
    </row>
    <row r="128" ht="26" customHeight="1">
      <c r="A128" s="30" t="inlineStr">
        <is>
          <t>図22-3</t>
        </is>
      </c>
      <c r="B128" s="29" t="inlineStr">
        <is>
          <t>【24時間対応サービスの圏域見込量】</t>
        </is>
      </c>
      <c r="C128" s="29" t="inlineStr">
        <is>
          <t>第2章第2節</t>
        </is>
      </c>
      <c r="D128" s="29" t="inlineStr">
        <is>
          <t>保険給付や地域支援事業の実態把握と分析</t>
        </is>
      </c>
      <c r="E128" s="30" t="inlineStr">
        <is>
          <t>本文</t>
        </is>
      </c>
      <c r="F128" s="29" t="inlineStr">
        <is>
          <t>23_上川中部圏域比較</t>
        </is>
      </c>
      <c r="G128" s="30" t="inlineStr">
        <is>
          <t>N48</t>
        </is>
      </c>
      <c r="H128" s="29" t="inlineStr">
        <is>
          <t>資料：第9期北海道高齢者保健福祉計画・介護保険事業支援計画／地域包括ケア「見える化」システム</t>
        </is>
      </c>
      <c r="I128" s="29" t="inlineStr"/>
    </row>
    <row r="129" ht="26" customHeight="1">
      <c r="A129" s="30" t="inlineStr">
        <is>
          <t>図23-1</t>
        </is>
      </c>
      <c r="B129" s="29" t="inlineStr">
        <is>
          <t>【月1回以上の通いの場の参加率】</t>
        </is>
      </c>
      <c r="C129" s="29" t="inlineStr">
        <is>
          <t>第2章第3節</t>
        </is>
      </c>
      <c r="D129" s="29" t="inlineStr">
        <is>
          <t>高齢者の生活実態</t>
        </is>
      </c>
      <c r="E129" s="30" t="inlineStr">
        <is>
          <t>本文</t>
        </is>
      </c>
      <c r="F129" s="29" t="inlineStr">
        <is>
          <t>24_通いの場_総合事業</t>
        </is>
      </c>
      <c r="G129" s="30" t="inlineStr">
        <is>
          <t>P4</t>
        </is>
      </c>
      <c r="H129" s="29" t="inlineStr">
        <is>
          <t>資料：厚生労働省「介護予防事業及び介護予防・日常生活支援総合事業の実施状況に関する調査」</t>
        </is>
      </c>
      <c r="I129" s="29" t="inlineStr"/>
    </row>
    <row r="130" ht="26" customHeight="1">
      <c r="A130" s="30" t="inlineStr">
        <is>
          <t>図23-2</t>
        </is>
      </c>
      <c r="B130" s="29" t="inlineStr">
        <is>
          <t>【週1回以上の通いの場の参加率】</t>
        </is>
      </c>
      <c r="C130" s="29" t="inlineStr">
        <is>
          <t>第2章第3節</t>
        </is>
      </c>
      <c r="D130" s="29" t="inlineStr">
        <is>
          <t>高齢者の生活実態</t>
        </is>
      </c>
      <c r="E130" s="30" t="inlineStr">
        <is>
          <t>本文</t>
        </is>
      </c>
      <c r="F130" s="29" t="inlineStr">
        <is>
          <t>24_通いの場_総合事業</t>
        </is>
      </c>
      <c r="G130" s="30" t="inlineStr">
        <is>
          <t>P26</t>
        </is>
      </c>
      <c r="H130" s="29" t="inlineStr">
        <is>
          <t>資料：厚生労働省「介護予防事業及び介護予防・日常生活支援総合事業の実施状況に関する調査」</t>
        </is>
      </c>
      <c r="I130" s="29" t="inlineStr"/>
    </row>
    <row r="131" ht="26" customHeight="1">
      <c r="A131" s="30" t="inlineStr">
        <is>
          <t>図23-3</t>
        </is>
      </c>
      <c r="B131" s="29" t="inlineStr">
        <is>
          <t>【65歳以上1万人あたりの週1回以上の通いの場の箇所数（令和2年度）】</t>
        </is>
      </c>
      <c r="C131" s="29" t="inlineStr">
        <is>
          <t>第2章第3節</t>
        </is>
      </c>
      <c r="D131" s="29" t="inlineStr">
        <is>
          <t>高齢者の生活実態</t>
        </is>
      </c>
      <c r="E131" s="30" t="inlineStr">
        <is>
          <t>本文</t>
        </is>
      </c>
      <c r="F131" s="29" t="inlineStr">
        <is>
          <t>24_通いの場_総合事業</t>
        </is>
      </c>
      <c r="G131" s="30" t="inlineStr">
        <is>
          <t>P48</t>
        </is>
      </c>
      <c r="H131" s="29" t="inlineStr">
        <is>
          <t>資料：厚生労働省「介護予防事業及び介護予防・日常生活支援総合事業の実施状況に関する調査」</t>
        </is>
      </c>
      <c r="I131" s="29" t="inlineStr"/>
    </row>
    <row r="132" ht="26" customHeight="1">
      <c r="A132" s="30" t="inlineStr">
        <is>
          <t>図24-1</t>
        </is>
      </c>
      <c r="B132" s="29" t="inlineStr">
        <is>
          <t>【増減のあったサービスの事業所数の推移】</t>
        </is>
      </c>
      <c r="C132" s="29" t="inlineStr">
        <is>
          <t>第2章第2節</t>
        </is>
      </c>
      <c r="D132" s="29" t="inlineStr">
        <is>
          <t>保険給付や地域支援事業の実態把握と分析</t>
        </is>
      </c>
      <c r="E132" s="30" t="inlineStr">
        <is>
          <t>本文</t>
        </is>
      </c>
      <c r="F132" s="29" t="inlineStr">
        <is>
          <t>25_事業所数の推移</t>
        </is>
      </c>
      <c r="G132" s="30" t="inlineStr">
        <is>
          <t>N4</t>
        </is>
      </c>
      <c r="H132" s="29" t="inlineStr">
        <is>
          <t>資料：地域包括ケア「見える化」システム（厚生労働省「介護保険総合データベース」）</t>
        </is>
      </c>
      <c r="I132" s="29" t="inlineStr"/>
    </row>
    <row r="133" ht="26" customHeight="1">
      <c r="A133" s="30" t="inlineStr">
        <is>
          <t>図24-2</t>
        </is>
      </c>
      <c r="B133" s="29" t="inlineStr">
        <is>
          <t>【域内に事業所が存在しないサービス（令和6年度・人口10万対）】</t>
        </is>
      </c>
      <c r="C133" s="29" t="inlineStr">
        <is>
          <t>第2章第2節</t>
        </is>
      </c>
      <c r="D133" s="29" t="inlineStr">
        <is>
          <t>保険給付や地域支援事業の実態把握と分析</t>
        </is>
      </c>
      <c r="E133" s="30" t="inlineStr">
        <is>
          <t>本文</t>
        </is>
      </c>
      <c r="F133" s="29" t="inlineStr">
        <is>
          <t>25_事業所数の推移</t>
        </is>
      </c>
      <c r="G133" s="30" t="inlineStr">
        <is>
          <t>N30</t>
        </is>
      </c>
      <c r="H133" s="29" t="inlineStr">
        <is>
          <t>資料：地域包括ケア「見える化」システム（厚生労働省「介護保険総合データベース」）</t>
        </is>
      </c>
      <c r="I133" s="29" t="inlineStr">
        <is>
          <t>第6章第4節（サービス見込量・整備方針）にも再掲する。修正指示書A-13の根拠図表</t>
        </is>
      </c>
    </row>
    <row r="134" ht="26" customHeight="1">
      <c r="A134" s="30" t="inlineStr">
        <is>
          <t>図24-3</t>
        </is>
      </c>
      <c r="B134" s="29" t="inlineStr">
        <is>
          <t>【人口10万対の事業所数　大雪／全国（令和6年度）】</t>
        </is>
      </c>
      <c r="C134" s="29" t="inlineStr">
        <is>
          <t>第2章第2節</t>
        </is>
      </c>
      <c r="D134" s="29" t="inlineStr">
        <is>
          <t>保険給付や地域支援事業の実態把握と分析</t>
        </is>
      </c>
      <c r="E134" s="30" t="inlineStr">
        <is>
          <t>本文</t>
        </is>
      </c>
      <c r="F134" s="29" t="inlineStr">
        <is>
          <t>25_事業所数の推移</t>
        </is>
      </c>
      <c r="G134" s="30" t="inlineStr">
        <is>
          <t>N56</t>
        </is>
      </c>
      <c r="H134" s="29" t="inlineStr">
        <is>
          <t>資料：地域包括ケア「見える化」システム（厚生労働省「介護保険総合データベース」）</t>
        </is>
      </c>
      <c r="I134" s="29" t="inlineStr"/>
    </row>
    <row r="135" ht="26" customHeight="1">
      <c r="A135" s="30" t="inlineStr">
        <is>
          <t>図25-1</t>
        </is>
      </c>
      <c r="B135" s="29" t="inlineStr">
        <is>
          <t>【サービス別の従事者数の推移】</t>
        </is>
      </c>
      <c r="C135" s="29" t="inlineStr">
        <is>
          <t>第2章第5節</t>
        </is>
      </c>
      <c r="D135" s="29" t="inlineStr">
        <is>
          <t>介護事業所の現状</t>
        </is>
      </c>
      <c r="E135" s="30" t="inlineStr">
        <is>
          <t>本文</t>
        </is>
      </c>
      <c r="F135" s="29" t="inlineStr">
        <is>
          <t>26_従事者数の推移</t>
        </is>
      </c>
      <c r="G135" s="30" t="inlineStr">
        <is>
          <t>N4</t>
        </is>
      </c>
      <c r="H135" s="29" t="inlineStr">
        <is>
          <t>資料：地域包括ケア「見える化」システム（厚生労働省「介護サービス施設・事業所調査」）</t>
        </is>
      </c>
      <c r="I135" s="29" t="inlineStr"/>
    </row>
    <row r="136" ht="26" customHeight="1">
      <c r="A136" s="30" t="inlineStr">
        <is>
          <t>図25-2</t>
        </is>
      </c>
      <c r="B136" s="29" t="inlineStr">
        <is>
          <t>【従事者数（認定者1万対）の比較（令和6年度）】</t>
        </is>
      </c>
      <c r="C136" s="29" t="inlineStr">
        <is>
          <t>第2章第5節</t>
        </is>
      </c>
      <c r="D136" s="29" t="inlineStr">
        <is>
          <t>介護事業所の現状</t>
        </is>
      </c>
      <c r="E136" s="30" t="inlineStr">
        <is>
          <t>本文</t>
        </is>
      </c>
      <c r="F136" s="29" t="inlineStr">
        <is>
          <t>26_従事者数の推移</t>
        </is>
      </c>
      <c r="G136" s="30" t="inlineStr">
        <is>
          <t>N30</t>
        </is>
      </c>
      <c r="H136" s="29" t="inlineStr">
        <is>
          <t>資料：地域包括ケア「見える化」システム（厚生労働省「介護サービス施設・事業所調査」）</t>
        </is>
      </c>
      <c r="I136" s="29" t="inlineStr"/>
    </row>
    <row r="137" ht="26" customHeight="1">
      <c r="A137" s="30" t="inlineStr">
        <is>
          <t>図25-3</t>
        </is>
      </c>
      <c r="B137" s="29" t="inlineStr">
        <is>
          <t>【職種別の従事者数の推移（介護老人福祉施設）】</t>
        </is>
      </c>
      <c r="C137" s="29" t="inlineStr">
        <is>
          <t>第2章第5節</t>
        </is>
      </c>
      <c r="D137" s="29" t="inlineStr">
        <is>
          <t>介護事業所の現状</t>
        </is>
      </c>
      <c r="E137" s="30" t="inlineStr">
        <is>
          <t>本文</t>
        </is>
      </c>
      <c r="F137" s="29" t="inlineStr">
        <is>
          <t>26_従事者数の推移</t>
        </is>
      </c>
      <c r="G137" s="30" t="inlineStr">
        <is>
          <t>N56</t>
        </is>
      </c>
      <c r="H137" s="29" t="inlineStr">
        <is>
          <t>資料：地域包括ケア「見える化」システム（厚生労働省「介護サービス施設・事業所調査」）</t>
        </is>
      </c>
      <c r="I137" s="29" t="inlineStr">
        <is>
          <t>H13の定義変更（職種別欠員率→職種別従事者数）の根拠。修正指示書C-16</t>
        </is>
      </c>
    </row>
    <row r="138" ht="26" customHeight="1">
      <c r="A138" s="30" t="inlineStr">
        <is>
          <t>図26-1</t>
        </is>
      </c>
      <c r="B138" s="29" t="inlineStr">
        <is>
          <t>【保険者機能強化推進交付金等の総合得点（令和5年調査）】</t>
        </is>
      </c>
      <c r="C138" s="29" t="inlineStr">
        <is>
          <t>第3章第4節</t>
        </is>
      </c>
      <c r="D138" s="29" t="inlineStr">
        <is>
          <t>第9期計画の評価と第10期への課題</t>
        </is>
      </c>
      <c r="E138" s="30" t="inlineStr">
        <is>
          <t>本文</t>
        </is>
      </c>
      <c r="F138" s="29" t="inlineStr">
        <is>
          <t>27_交付金評価</t>
        </is>
      </c>
      <c r="G138" s="30" t="inlineStr">
        <is>
          <t>N4</t>
        </is>
      </c>
      <c r="H138" s="29" t="inlineStr">
        <is>
          <t>資料：地域包括ケア「見える化」システム（厚生労働省「保険者機能強化推進交付金・介護保険保険者努力支援交付金に係る評価指標（市町村分）」）</t>
        </is>
      </c>
      <c r="I138" s="29" t="inlineStr"/>
    </row>
    <row r="139" ht="26" customHeight="1">
      <c r="A139" s="30" t="inlineStr">
        <is>
          <t>図26-2</t>
        </is>
      </c>
      <c r="B139" s="29" t="inlineStr">
        <is>
          <t>【指標群別の得点（令和5年調査）】</t>
        </is>
      </c>
      <c r="C139" s="29" t="inlineStr">
        <is>
          <t>第3章第4節</t>
        </is>
      </c>
      <c r="D139" s="29" t="inlineStr">
        <is>
          <t>第9期計画の評価と第10期への課題</t>
        </is>
      </c>
      <c r="E139" s="30" t="inlineStr">
        <is>
          <t>本文</t>
        </is>
      </c>
      <c r="F139" s="29" t="inlineStr">
        <is>
          <t>27_交付金評価</t>
        </is>
      </c>
      <c r="G139" s="30" t="inlineStr">
        <is>
          <t>N28</t>
        </is>
      </c>
      <c r="H139" s="29" t="inlineStr">
        <is>
          <t>資料：地域包括ケア「見える化」システム（厚生労働省「保険者機能強化推進交付金・介護保険保険者努力支援交付金に係る評価指標（市町村分）」）</t>
        </is>
      </c>
      <c r="I139" s="29" t="inlineStr">
        <is>
          <t>第5章のロジックモデル（アウトプット指標の整備）の根拠図表</t>
        </is>
      </c>
    </row>
    <row r="140" ht="26" customHeight="1">
      <c r="A140" s="30" t="inlineStr">
        <is>
          <t>図26-3</t>
        </is>
      </c>
      <c r="B140" s="29" t="inlineStr">
        <is>
          <t>【目標別の得点　大雪／全国（令和5年調査）】</t>
        </is>
      </c>
      <c r="C140" s="29" t="inlineStr">
        <is>
          <t>第3章第4節</t>
        </is>
      </c>
      <c r="D140" s="29" t="inlineStr">
        <is>
          <t>第9期計画の評価と第10期への課題</t>
        </is>
      </c>
      <c r="E140" s="30" t="inlineStr">
        <is>
          <t>本文</t>
        </is>
      </c>
      <c r="F140" s="29" t="inlineStr">
        <is>
          <t>27_交付金評価</t>
        </is>
      </c>
      <c r="G140" s="30" t="inlineStr">
        <is>
          <t>N52</t>
        </is>
      </c>
      <c r="H140" s="29" t="inlineStr">
        <is>
          <t>資料：地域包括ケア「見える化」システム（厚生労働省「保険者機能強化推進交付金・介護保険保険者努力支援交付金に係る評価指標（市町村分）」）</t>
        </is>
      </c>
      <c r="I140" s="29" t="inlineStr"/>
    </row>
    <row r="141" ht="26" customHeight="1">
      <c r="A141" s="30" t="inlineStr">
        <is>
          <t>図26-4</t>
        </is>
      </c>
      <c r="B141" s="29" t="inlineStr">
        <is>
          <t>【性・年齢調整済み要介護2以上認定率（令和5年調査）】</t>
        </is>
      </c>
      <c r="C141" s="29" t="inlineStr">
        <is>
          <t>第3章第4節</t>
        </is>
      </c>
      <c r="D141" s="29" t="inlineStr">
        <is>
          <t>第9期計画の評価と第10期への課題</t>
        </is>
      </c>
      <c r="E141" s="30" t="inlineStr">
        <is>
          <t>本文</t>
        </is>
      </c>
      <c r="F141" s="29" t="inlineStr">
        <is>
          <t>27_交付金評価</t>
        </is>
      </c>
      <c r="G141" s="30" t="inlineStr">
        <is>
          <t>N76</t>
        </is>
      </c>
      <c r="H141" s="29" t="inlineStr">
        <is>
          <t>資料：地域包括ケア「見える化」システム（厚生労働省「保険者機能強化推進交付金・介護保険保険者努力支援交付金に係る評価指標（市町村分）」）</t>
        </is>
      </c>
      <c r="I141" s="29" t="inlineStr">
        <is>
          <t>H01のデータ源の確定根拠。第2章第1節にも再掲する。修正指示書A-10</t>
        </is>
      </c>
    </row>
    <row r="142" ht="26" customHeight="1">
      <c r="A142" s="30" t="inlineStr">
        <is>
          <t>図27-1</t>
        </is>
      </c>
      <c r="B142" s="29" t="inlineStr">
        <is>
          <t>【75歳以上人口密度（人／km²）】</t>
        </is>
      </c>
      <c r="C142" s="29" t="inlineStr">
        <is>
          <t>第1章第9節</t>
        </is>
      </c>
      <c r="D142" s="29" t="inlineStr">
        <is>
          <t>1 国の第10期基本指針（案）の動向</t>
        </is>
      </c>
      <c r="E142" s="30" t="inlineStr">
        <is>
          <t>本文</t>
        </is>
      </c>
      <c r="F142" s="29" t="inlineStr">
        <is>
          <t>28_特定地域と地域指定</t>
        </is>
      </c>
      <c r="G142" s="30" t="inlineStr">
        <is>
          <t>N4</t>
        </is>
      </c>
      <c r="H142" s="29" t="inlineStr">
        <is>
          <t>資料：第135回社会保障審議会介護保険部会 資料3／北海道「地域指定一覧」／国土交通省「豪雪地帯・特別豪雪地帯の指定」</t>
        </is>
      </c>
      <c r="I142" s="29" t="inlineStr"/>
    </row>
    <row r="143" ht="26" customHeight="1">
      <c r="A143" s="30" t="inlineStr">
        <is>
          <t>図28-1</t>
        </is>
      </c>
      <c r="B143" s="29" t="inlineStr">
        <is>
          <t>【スクールバス路線別乗車人員（令和2年度）】</t>
        </is>
      </c>
      <c r="C143" s="29" t="inlineStr">
        <is>
          <t>第1章第7節</t>
        </is>
      </c>
      <c r="D143" s="29" t="inlineStr">
        <is>
          <t>日常生活圏域の設定</t>
        </is>
      </c>
      <c r="E143" s="30" t="inlineStr">
        <is>
          <t>本文</t>
        </is>
      </c>
      <c r="F143" s="29" t="inlineStr">
        <is>
          <t>29_美瑛町の交通</t>
        </is>
      </c>
      <c r="G143" s="30" t="inlineStr">
        <is>
          <t>N4</t>
        </is>
      </c>
      <c r="H143" s="29" t="inlineStr">
        <is>
          <t>資料：美瑛町過疎地域持続的発展市町村計画（令和3年度〜令和7年度）</t>
        </is>
      </c>
      <c r="I143" s="29" t="inlineStr"/>
    </row>
    <row r="144" ht="26" customHeight="1">
      <c r="A144" s="30" t="inlineStr">
        <is>
          <t>図29-1</t>
        </is>
      </c>
      <c r="B144" s="29" t="inlineStr">
        <is>
          <t>【必要保険料月額と条例上の基準額（第9期）】</t>
        </is>
      </c>
      <c r="C144" s="29" t="inlineStr">
        <is>
          <t>第6章第6節</t>
        </is>
      </c>
      <c r="D144" s="29" t="inlineStr">
        <is>
          <t>1 管内保険料の比較</t>
        </is>
      </c>
      <c r="E144" s="30" t="inlineStr">
        <is>
          <t>本文</t>
        </is>
      </c>
      <c r="F144" s="29" t="inlineStr">
        <is>
          <t>30_保険料の分析</t>
        </is>
      </c>
      <c r="G144" s="30" t="inlineStr">
        <is>
          <t>N4</t>
        </is>
      </c>
      <c r="H144" s="29" t="inlineStr">
        <is>
          <t>資料：北海道『第9期介護保険料（第1号被保険者分）各保険者の保険料等』</t>
        </is>
      </c>
      <c r="I144" s="29" t="inlineStr"/>
    </row>
    <row r="145" ht="26" customHeight="1">
      <c r="A145" s="30" t="inlineStr">
        <is>
          <t>図29-2</t>
        </is>
      </c>
      <c r="B145" s="29" t="inlineStr">
        <is>
          <t>【上川管内21保険者の第9期保険料基準額（月額）】</t>
        </is>
      </c>
      <c r="C145" s="29" t="inlineStr">
        <is>
          <t>第6章第6節</t>
        </is>
      </c>
      <c r="D145" s="29" t="inlineStr">
        <is>
          <t>1 管内保険料の比較</t>
        </is>
      </c>
      <c r="E145" s="30" t="inlineStr">
        <is>
          <t>本文</t>
        </is>
      </c>
      <c r="F145" s="29" t="inlineStr">
        <is>
          <t>30_保険料の分析</t>
        </is>
      </c>
      <c r="G145" s="30" t="inlineStr">
        <is>
          <t>N28</t>
        </is>
      </c>
      <c r="H145" s="29" t="inlineStr">
        <is>
          <t>資料：北海道『第9期介護保険料（第1号被保険者分）各保険者の保険料等』</t>
        </is>
      </c>
      <c r="I145" s="29" t="inlineStr"/>
    </row>
    <row r="146" ht="26" customHeight="1">
      <c r="A146" s="30" t="inlineStr">
        <is>
          <t>図30-1</t>
        </is>
      </c>
      <c r="B146" s="29" t="inlineStr">
        <is>
          <t>【代表KPI16項目のデータ源の確保状況】</t>
        </is>
      </c>
      <c r="C146" s="29" t="inlineStr">
        <is>
          <t>第4章第3節</t>
        </is>
      </c>
      <c r="D146" s="29" t="inlineStr">
        <is>
          <t>施策の体系と成果指標</t>
        </is>
      </c>
      <c r="E146" s="30" t="inlineStr">
        <is>
          <t>本文</t>
        </is>
      </c>
      <c r="F146" s="29" t="inlineStr">
        <is>
          <t>31_KPIのデータ源</t>
        </is>
      </c>
      <c r="G146" s="30" t="inlineStr">
        <is>
          <t>N4</t>
        </is>
      </c>
      <c r="H146" s="29" t="inlineStr">
        <is>
          <t>資料：本計画 資料1（代表KPI16項目の定義）</t>
        </is>
      </c>
      <c r="I146" s="29" t="inlineStr"/>
    </row>
    <row r="148" ht="26" customHeight="1">
      <c r="A148" s="4" t="inlineStr">
        <is>
          <t>注1）収録点数は全133点（本文120点、資料編12点、参考1点）。第9期計画は第2章の分析を14指標のニーズ調査と3つの実態調査で構成していたが、第10期は見える化データによる分析（13〜19シート）を加えたため点数が増えている。成果品仕様（本文約100頁）に対する配分は、修正指示書B-4「章別ページ配分」と併せて委員会で決定する。注2）「差し込み先」は素案第9稿の章立てによる。章構成が変わった場合は本シートを先に更新し、図表集・本文・修正指示書へ反映する。注3）掲載区分「資料編」は、第9期計画に対応する図表が無い6指標（幸福感・就労状況・スポーツの会・趣味の会・学習教養サークル・特技を伝える活動）の年齢階級別・町別あわせて12点。うち4指標は第10期の代表KPI H05の構成指標であるため、本文に何点まで掲載するかを委員会で決定する。注4）掲載区分「参考」は数値の検証用で計画には掲載しない。</t>
        </is>
      </c>
    </row>
  </sheetData>
  <autoFilter ref="A13:I146"/>
  <mergeCells count="3">
    <mergeCell ref="A1:I1"/>
    <mergeCell ref="A2:I2"/>
    <mergeCell ref="A148:M14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2026-08-04T01:59:51Z</dcterms:created>
  <dcterms:modified xmlns:dcterms="http://purl.org/dc/terms/" xmlns:xsi="http://www.w3.org/2001/XMLSchema-instance" xsi:type="dcterms:W3CDTF">2026-08-04T01:59:52Z</dcterms:modified>
</cp:coreProperties>
</file>