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凡例・出典" sheetId="1" state="visible" r:id="rId1"/>
    <sheet xmlns:r="http://schemas.openxmlformats.org/officeDocument/2006/relationships" name="01_人口推移" sheetId="2" state="visible" r:id="rId2"/>
    <sheet xmlns:r="http://schemas.openxmlformats.org/officeDocument/2006/relationships" name="02_高齢化率推移" sheetId="3" state="visible" r:id="rId3"/>
    <sheet xmlns:r="http://schemas.openxmlformats.org/officeDocument/2006/relationships" name="03_高齢者世帯" sheetId="4" state="visible" r:id="rId4"/>
    <sheet xmlns:r="http://schemas.openxmlformats.org/officeDocument/2006/relationships" name="04_認定者数推移" sheetId="5" state="visible" r:id="rId5"/>
    <sheet xmlns:r="http://schemas.openxmlformats.org/officeDocument/2006/relationships" name="05_認定者割合" sheetId="6" state="visible" r:id="rId6"/>
    <sheet xmlns:r="http://schemas.openxmlformats.org/officeDocument/2006/relationships" name="06_出現率推移" sheetId="7" state="visible" r:id="rId7"/>
    <sheet xmlns:r="http://schemas.openxmlformats.org/officeDocument/2006/relationships" name="07_給付費推移" sheetId="8" state="visible" r:id="rId8"/>
    <sheet xmlns:r="http://schemas.openxmlformats.org/officeDocument/2006/relationships" name="08_ニーズ調査データ" sheetId="9" state="visible" r:id="rId9"/>
    <sheet xmlns:r="http://schemas.openxmlformats.org/officeDocument/2006/relationships" name="09_ニーズ調査グラフ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Carlito"/>
      <b val="1"/>
      <color rgb="00FFFFFF"/>
      <sz val="14"/>
    </font>
    <font>
      <name val="Carlito"/>
      <sz val="9"/>
    </font>
    <font>
      <name val="Carlito"/>
      <b val="1"/>
      <sz val="11"/>
    </font>
    <font>
      <name val="Carlito"/>
      <i val="1"/>
      <sz val="8"/>
    </font>
    <font>
      <name val="Carlito"/>
      <b val="1"/>
      <color rgb="00FFFFFF"/>
      <sz val="9"/>
    </font>
    <font>
      <name val="Carlito"/>
      <b val="1"/>
      <sz val="10"/>
    </font>
    <font>
      <name val="Carlito"/>
      <b val="1"/>
      <sz val="9"/>
    </font>
  </fonts>
  <fills count="6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3" fontId="2" fillId="5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5" borderId="1" applyAlignment="1" pivotButton="0" quotePrefix="0" xfId="0">
      <alignment horizontal="right" vertical="center"/>
    </xf>
    <xf numFmtId="0" fontId="6" fillId="0" borderId="0" pivotButton="0" quotePrefix="0" xfId="0"/>
    <xf numFmtId="3" fontId="7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人口の推移（大雪地区広域連合）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'01_人口推移'!A5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'01_人口推移'!$A$6:$A$7</f>
            </numRef>
          </val>
        </ser>
        <ser>
          <idx val="1"/>
          <order val="1"/>
          <tx>
            <strRef>
              <f>'01_人口推移'!B5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'01_人口推移'!$B$6:$B$7</f>
            </numRef>
          </val>
        </ser>
        <ser>
          <idx val="2"/>
          <order val="2"/>
          <tx>
            <strRef>
              <f>'01_人口推移'!C5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'01_人口推移'!$C$6:$C$7</f>
            </numRef>
          </val>
        </ser>
        <ser>
          <idx val="3"/>
          <order val="3"/>
          <tx>
            <strRef>
              <f>'01_人口推移'!D5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'01_人口推移'!$D$6:$D$7</f>
            </numRef>
          </val>
        </ser>
        <ser>
          <idx val="4"/>
          <order val="4"/>
          <tx>
            <strRef>
              <f>'01_人口推移'!E5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'01_人口推移'!$E$6:$E$7</f>
            </numRef>
          </val>
        </ser>
        <ser>
          <idx val="5"/>
          <order val="5"/>
          <tx>
            <strRef>
              <f>'01_人口推移'!F5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'01_人口推移'!$F$6:$F$7</f>
            </numRef>
          </val>
        </ser>
        <ser>
          <idx val="6"/>
          <order val="6"/>
          <tx>
            <strRef>
              <f>'01_人口推移'!G5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'01_人口推移'!$G$6:$G$7</f>
            </numRef>
          </val>
        </ser>
        <ser>
          <idx val="7"/>
          <order val="7"/>
          <tx>
            <strRef>
              <f>'01_人口推移'!H5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'01_人口推移'!$H$6:$H$7</f>
            </numRef>
          </val>
        </ser>
        <ser>
          <idx val="8"/>
          <order val="8"/>
          <tx>
            <strRef>
              <f>'01_人口推移'!I5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'01_人口推移'!$I$6:$I$7</f>
            </numRef>
          </val>
        </ser>
        <ser>
          <idx val="9"/>
          <order val="9"/>
          <tx>
            <strRef>
              <f>'01_人口推移'!J5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'01_人口推移'!$J$6:$J$7</f>
            </numRef>
          </val>
        </ser>
        <ser>
          <idx val="10"/>
          <order val="10"/>
          <tx>
            <strRef>
              <f>'01_人口推移'!K5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'01_人口推移'!$K$6:$K$7</f>
            </numRef>
          </val>
        </ser>
        <ser>
          <idx val="11"/>
          <order val="11"/>
          <tx>
            <strRef>
              <f>'01_人口推移'!L5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'01_人口推移'!$L$6:$L$7</f>
            </numRef>
          </val>
        </ser>
        <ser>
          <idx val="12"/>
          <order val="12"/>
          <tx>
            <strRef>
              <f>'01_人口推移'!M5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'01_人口推移'!$M$6:$M$7</f>
            </numRef>
          </val>
        </ser>
        <ser>
          <idx val="13"/>
          <order val="13"/>
          <tx>
            <strRef>
              <f>'01_人口推移'!N5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'01_人口推移'!$N$6:$N$7</f>
            </numRef>
          </val>
        </ser>
        <ser>
          <idx val="14"/>
          <order val="14"/>
          <tx>
            <strRef>
              <f>'01_人口推移'!O5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'01_人口推移'!$O$6:$O$7</f>
            </numRef>
          </val>
        </ser>
        <ser>
          <idx val="15"/>
          <order val="15"/>
          <tx>
            <strRef>
              <f>'01_人口推移'!P5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'01_人口推移'!$B$4:$P$4</f>
            </numRef>
          </cat>
          <val>
            <numRef>
              <f>'01_人口推移'!$P$6:$P$7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人口（人）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高齢化率の推移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'02_高齢化率推移'!A5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'02_高齢化率推移'!$A$6:$A$8</f>
            </numRef>
          </val>
          <smooth val="0"/>
        </ser>
        <ser>
          <idx val="1"/>
          <order val="1"/>
          <tx>
            <strRef>
              <f>'02_高齢化率推移'!B5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'02_高齢化率推移'!$B$6:$B$8</f>
            </numRef>
          </val>
          <smooth val="0"/>
        </ser>
        <ser>
          <idx val="2"/>
          <order val="2"/>
          <tx>
            <strRef>
              <f>'02_高齢化率推移'!C5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'02_高齢化率推移'!$C$6:$C$8</f>
            </numRef>
          </val>
          <smooth val="0"/>
        </ser>
        <ser>
          <idx val="3"/>
          <order val="3"/>
          <tx>
            <strRef>
              <f>'02_高齢化率推移'!D5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'02_高齢化率推移'!$D$6:$D$8</f>
            </numRef>
          </val>
          <smooth val="0"/>
        </ser>
        <ser>
          <idx val="4"/>
          <order val="4"/>
          <tx>
            <strRef>
              <f>'02_高齢化率推移'!E5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'02_高齢化率推移'!$E$6:$E$8</f>
            </numRef>
          </val>
          <smooth val="0"/>
        </ser>
        <ser>
          <idx val="5"/>
          <order val="5"/>
          <tx>
            <strRef>
              <f>'02_高齢化率推移'!F5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'02_高齢化率推移'!$F$6:$F$8</f>
            </numRef>
          </val>
          <smooth val="0"/>
        </ser>
        <ser>
          <idx val="6"/>
          <order val="6"/>
          <tx>
            <strRef>
              <f>'02_高齢化率推移'!G5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'02_高齢化率推移'!$G$6:$G$8</f>
            </numRef>
          </val>
          <smooth val="0"/>
        </ser>
        <ser>
          <idx val="7"/>
          <order val="7"/>
          <tx>
            <strRef>
              <f>'02_高齢化率推移'!H5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'02_高齢化率推移'!$H$6:$H$8</f>
            </numRef>
          </val>
          <smooth val="0"/>
        </ser>
        <ser>
          <idx val="8"/>
          <order val="8"/>
          <tx>
            <strRef>
              <f>'02_高齢化率推移'!I5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'02_高齢化率推移'!$I$6:$I$8</f>
            </numRef>
          </val>
          <smooth val="0"/>
        </ser>
        <ser>
          <idx val="9"/>
          <order val="9"/>
          <tx>
            <strRef>
              <f>'02_高齢化率推移'!J5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'02_高齢化率推移'!$J$6:$J$8</f>
            </numRef>
          </val>
          <smooth val="0"/>
        </ser>
        <ser>
          <idx val="10"/>
          <order val="10"/>
          <tx>
            <strRef>
              <f>'02_高齢化率推移'!K5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'02_高齢化率推移'!$K$6:$K$8</f>
            </numRef>
          </val>
          <smooth val="0"/>
        </ser>
        <ser>
          <idx val="11"/>
          <order val="11"/>
          <tx>
            <strRef>
              <f>'02_高齢化率推移'!L5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'02_高齢化率推移'!$L$6:$L$8</f>
            </numRef>
          </val>
          <smooth val="0"/>
        </ser>
        <ser>
          <idx val="12"/>
          <order val="12"/>
          <tx>
            <strRef>
              <f>'02_高齢化率推移'!M5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'02_高齢化率推移'!$M$6:$M$8</f>
            </numRef>
          </val>
          <smooth val="0"/>
        </ser>
        <ser>
          <idx val="13"/>
          <order val="13"/>
          <tx>
            <strRef>
              <f>'02_高齢化率推移'!N5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'02_高齢化率推移'!$N$6:$N$8</f>
            </numRef>
          </val>
          <smooth val="0"/>
        </ser>
        <ser>
          <idx val="14"/>
          <order val="14"/>
          <tx>
            <strRef>
              <f>'02_高齢化率推移'!O5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'02_高齢化率推移'!$O$6:$O$8</f>
            </numRef>
          </val>
          <smooth val="0"/>
        </ser>
        <ser>
          <idx val="15"/>
          <order val="15"/>
          <tx>
            <strRef>
              <f>'02_高齢化率推移'!P5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'02_高齢化率推移'!$B$4:$P$4</f>
            </numRef>
          </cat>
          <val>
            <numRef>
              <f>'02_高齢化率推移'!$P$6:$P$8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42"/>
          <min val="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高齢化率（％）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高齢者を含む世帯の構成割合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'03_高齢者世帯'!B24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'03_高齢者世帯'!$A$25:$A$30</f>
            </numRef>
          </cat>
          <val>
            <numRef>
              <f>'03_高齢者世帯'!$B$25:$B$30</f>
            </numRef>
          </val>
        </ser>
        <ser>
          <idx val="1"/>
          <order val="1"/>
          <tx>
            <strRef>
              <f>'03_高齢者世帯'!C24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'03_高齢者世帯'!$A$25:$A$30</f>
            </numRef>
          </cat>
          <val>
            <numRef>
              <f>'03_高齢者世帯'!$C$25:$C$30</f>
            </numRef>
          </val>
        </ser>
        <ser>
          <idx val="2"/>
          <order val="2"/>
          <tx>
            <strRef>
              <f>'03_高齢者世帯'!D24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'03_高齢者世帯'!$A$25:$A$30</f>
            </numRef>
          </cat>
          <val>
            <numRef>
              <f>'03_高齢者世帯'!$D$25:$D$30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高齢者夫婦世帯・高齢者単身世帯の推移（広域連合）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'03_高齢者世帯'!A14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'03_高齢者世帯'!$B$5:$D$5</f>
            </numRef>
          </cat>
          <val>
            <numRef>
              <f>'03_高齢者世帯'!$B$14:$D$14</f>
            </numRef>
          </val>
        </ser>
        <ser>
          <idx val="1"/>
          <order val="1"/>
          <tx>
            <strRef>
              <f>'03_高齢者世帯'!A18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'03_高齢者世帯'!$B$5:$D$5</f>
            </numRef>
          </cat>
          <val>
            <numRef>
              <f>'03_高齢者世帯'!$B$18:$D$18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世帯数（世帯）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認定者数の推移（要介護度別）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'04_認定者数推移'!A5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'04_認定者数推移'!$A$6:$A$11</f>
            </numRef>
          </val>
        </ser>
        <ser>
          <idx val="1"/>
          <order val="1"/>
          <tx>
            <strRef>
              <f>'04_認定者数推移'!B5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'04_認定者数推移'!$B$6:$B$11</f>
            </numRef>
          </val>
        </ser>
        <ser>
          <idx val="2"/>
          <order val="2"/>
          <tx>
            <strRef>
              <f>'04_認定者数推移'!C5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'04_認定者数推移'!$C$6:$C$11</f>
            </numRef>
          </val>
        </ser>
        <ser>
          <idx val="3"/>
          <order val="3"/>
          <tx>
            <strRef>
              <f>'04_認定者数推移'!D5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'04_認定者数推移'!$D$6:$D$11</f>
            </numRef>
          </val>
        </ser>
        <ser>
          <idx val="4"/>
          <order val="4"/>
          <tx>
            <strRef>
              <f>'04_認定者数推移'!E5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'04_認定者数推移'!$E$6:$E$11</f>
            </numRef>
          </val>
        </ser>
        <ser>
          <idx val="5"/>
          <order val="5"/>
          <tx>
            <strRef>
              <f>'04_認定者数推移'!F5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'04_認定者数推移'!$F$6:$F$11</f>
            </numRef>
          </val>
        </ser>
        <ser>
          <idx val="6"/>
          <order val="6"/>
          <tx>
            <strRef>
              <f>'04_認定者数推移'!G5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'04_認定者数推移'!$G$6:$G$11</f>
            </numRef>
          </val>
        </ser>
        <ser>
          <idx val="7"/>
          <order val="7"/>
          <tx>
            <strRef>
              <f>'04_認定者数推移'!H5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'04_認定者数推移'!$H$6:$H$11</f>
            </numRef>
          </val>
        </ser>
        <ser>
          <idx val="8"/>
          <order val="8"/>
          <tx>
            <strRef>
              <f>'04_認定者数推移'!I5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'04_認定者数推移'!$I$6:$I$11</f>
            </numRef>
          </val>
        </ser>
        <ser>
          <idx val="9"/>
          <order val="9"/>
          <tx>
            <strRef>
              <f>'04_認定者数推移'!J5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'04_認定者数推移'!$J$6:$J$11</f>
            </numRef>
          </val>
        </ser>
        <ser>
          <idx val="10"/>
          <order val="10"/>
          <tx>
            <strRef>
              <f>'04_認定者数推移'!K5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'04_認定者数推移'!$K$6:$K$11</f>
            </numRef>
          </val>
        </ser>
        <ser>
          <idx val="11"/>
          <order val="11"/>
          <tx>
            <strRef>
              <f>'04_認定者数推移'!L5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'04_認定者数推移'!$L$6:$L$11</f>
            </numRef>
          </val>
        </ser>
        <ser>
          <idx val="12"/>
          <order val="12"/>
          <tx>
            <strRef>
              <f>'04_認定者数推移'!M5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'04_認定者数推移'!$M$6:$M$11</f>
            </numRef>
          </val>
        </ser>
        <ser>
          <idx val="13"/>
          <order val="13"/>
          <tx>
            <strRef>
              <f>'04_認定者数推移'!N5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'04_認定者数推移'!$N$6:$N$11</f>
            </numRef>
          </val>
        </ser>
        <ser>
          <idx val="14"/>
          <order val="14"/>
          <tx>
            <strRef>
              <f>'04_認定者数推移'!O5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'04_認定者数推移'!$O$6:$O$11</f>
            </numRef>
          </val>
        </ser>
        <ser>
          <idx val="15"/>
          <order val="15"/>
          <tx>
            <strRef>
              <f>'04_認定者数推移'!P5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'04_認定者数推移'!$B$4:$P$4</f>
            </numRef>
          </cat>
          <val>
            <numRef>
              <f>'04_認定者数推移'!$P$6:$P$11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認定者数（人）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認定者割合の比較（令和5年9月）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'05_認定者割合'!B4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'05_認定者割合'!$B$5:$B$10</f>
            </numRef>
          </val>
        </ser>
        <ser>
          <idx val="1"/>
          <order val="1"/>
          <tx>
            <strRef>
              <f>'05_認定者割合'!C4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'05_認定者割合'!$C$5:$C$10</f>
            </numRef>
          </val>
        </ser>
        <ser>
          <idx val="2"/>
          <order val="2"/>
          <tx>
            <strRef>
              <f>'05_認定者割合'!D4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'05_認定者割合'!$D$5:$D$10</f>
            </numRef>
          </val>
        </ser>
        <ser>
          <idx val="3"/>
          <order val="3"/>
          <tx>
            <strRef>
              <f>'05_認定者割合'!E4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'05_認定者割合'!$E$5:$E$10</f>
            </numRef>
          </val>
        </ser>
        <ser>
          <idx val="4"/>
          <order val="4"/>
          <tx>
            <strRef>
              <f>'05_認定者割合'!F4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'05_認定者割合'!$F$5:$F$10</f>
            </numRef>
          </val>
        </ser>
        <ser>
          <idx val="5"/>
          <order val="5"/>
          <tx>
            <strRef>
              <f>'05_認定者割合'!G4</f>
            </strRef>
          </tx>
          <spPr>
            <a:solidFill xmlns:a="http://schemas.openxmlformats.org/drawingml/2006/main">
              <a:srgbClr val="F2F2F2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'05_認定者割合'!$G$5:$G$10</f>
            </numRef>
          </val>
        </ser>
        <ser>
          <idx val="6"/>
          <order val="6"/>
          <tx>
            <strRef>
              <f>'05_認定者割合'!H4</f>
            </strRef>
          </tx>
          <spPr>
            <a:solidFill xmlns:a="http://schemas.openxmlformats.org/drawingml/2006/main">
              <a:srgbClr val="FFFFFF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'05_認定者割合'!$A$5:$A$10</f>
            </numRef>
          </cat>
          <val>
            <numRef>
              <f>'05_認定者割合'!$H$5:$H$10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出現率の推移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'06_出現率推移'!A6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'06_出現率推移'!$A$7:$A$8</f>
            </numRef>
          </val>
          <smooth val="0"/>
        </ser>
        <ser>
          <idx val="1"/>
          <order val="1"/>
          <tx>
            <strRef>
              <f>'06_出現率推移'!B6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'06_出現率推移'!$B$7:$B$8</f>
            </numRef>
          </val>
          <smooth val="0"/>
        </ser>
        <ser>
          <idx val="2"/>
          <order val="2"/>
          <tx>
            <strRef>
              <f>'06_出現率推移'!C6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'06_出現率推移'!$C$7:$C$8</f>
            </numRef>
          </val>
          <smooth val="0"/>
        </ser>
        <ser>
          <idx val="3"/>
          <order val="3"/>
          <tx>
            <strRef>
              <f>'06_出現率推移'!D6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'06_出現率推移'!$D$7:$D$8</f>
            </numRef>
          </val>
          <smooth val="0"/>
        </ser>
        <ser>
          <idx val="4"/>
          <order val="4"/>
          <tx>
            <strRef>
              <f>'06_出現率推移'!E6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'06_出現率推移'!$E$7:$E$8</f>
            </numRef>
          </val>
          <smooth val="0"/>
        </ser>
        <ser>
          <idx val="5"/>
          <order val="5"/>
          <tx>
            <strRef>
              <f>'06_出現率推移'!F6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'06_出現率推移'!$F$7:$F$8</f>
            </numRef>
          </val>
          <smooth val="0"/>
        </ser>
        <ser>
          <idx val="6"/>
          <order val="6"/>
          <tx>
            <strRef>
              <f>'06_出現率推移'!G6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'06_出現率推移'!$G$7:$G$8</f>
            </numRef>
          </val>
          <smooth val="0"/>
        </ser>
        <ser>
          <idx val="7"/>
          <order val="7"/>
          <tx>
            <strRef>
              <f>'06_出現率推移'!H6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'06_出現率推移'!$H$7:$H$8</f>
            </numRef>
          </val>
          <smooth val="0"/>
        </ser>
        <ser>
          <idx val="8"/>
          <order val="8"/>
          <tx>
            <strRef>
              <f>'06_出現率推移'!I6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'06_出現率推移'!$I$7:$I$8</f>
            </numRef>
          </val>
          <smooth val="0"/>
        </ser>
        <ser>
          <idx val="9"/>
          <order val="9"/>
          <tx>
            <strRef>
              <f>'06_出現率推移'!J6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'06_出現率推移'!$J$7:$J$8</f>
            </numRef>
          </val>
          <smooth val="0"/>
        </ser>
        <ser>
          <idx val="10"/>
          <order val="10"/>
          <tx>
            <strRef>
              <f>'06_出現率推移'!K6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'06_出現率推移'!$K$7:$K$8</f>
            </numRef>
          </val>
          <smooth val="0"/>
        </ser>
        <ser>
          <idx val="11"/>
          <order val="11"/>
          <tx>
            <strRef>
              <f>'06_出現率推移'!L6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'06_出現率推移'!$L$7:$L$8</f>
            </numRef>
          </val>
          <smooth val="0"/>
        </ser>
        <ser>
          <idx val="12"/>
          <order val="12"/>
          <tx>
            <strRef>
              <f>'06_出現率推移'!M6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'06_出現率推移'!$M$7:$M$8</f>
            </numRef>
          </val>
          <smooth val="0"/>
        </ser>
        <ser>
          <idx val="13"/>
          <order val="13"/>
          <tx>
            <strRef>
              <f>'06_出現率推移'!N6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'06_出現率推移'!$N$7:$N$8</f>
            </numRef>
          </val>
          <smooth val="0"/>
        </ser>
        <ser>
          <idx val="14"/>
          <order val="14"/>
          <tx>
            <strRef>
              <f>'06_出現率推移'!O6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'06_出現率推移'!$O$7:$O$8</f>
            </numRef>
          </val>
          <smooth val="0"/>
        </ser>
        <ser>
          <idx val="15"/>
          <order val="15"/>
          <tx>
            <strRef>
              <f>'06_出現率推移'!P6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'06_出現率推移'!$B$5:$P$5</f>
            </numRef>
          </cat>
          <val>
            <numRef>
              <f>'06_出現率推移'!$P$7:$P$8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23"/>
          <min val="1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出現率（％）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町別出現率の推移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'06_出現率推移'!A12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'06_出現率推移'!$A$13:$A$14</f>
            </numRef>
          </val>
          <smooth val="0"/>
        </ser>
        <ser>
          <idx val="1"/>
          <order val="1"/>
          <tx>
            <strRef>
              <f>'06_出現率推移'!B12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'06_出現率推移'!$B$13:$B$14</f>
            </numRef>
          </val>
          <smooth val="0"/>
        </ser>
        <ser>
          <idx val="2"/>
          <order val="2"/>
          <tx>
            <strRef>
              <f>'06_出現率推移'!C12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'06_出現率推移'!$C$13:$C$14</f>
            </numRef>
          </val>
          <smooth val="0"/>
        </ser>
        <ser>
          <idx val="3"/>
          <order val="3"/>
          <tx>
            <strRef>
              <f>'06_出現率推移'!D12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'06_出現率推移'!$D$13:$D$14</f>
            </numRef>
          </val>
          <smooth val="0"/>
        </ser>
        <ser>
          <idx val="4"/>
          <order val="4"/>
          <tx>
            <strRef>
              <f>'06_出現率推移'!E12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'06_出現率推移'!$E$13:$E$14</f>
            </numRef>
          </val>
          <smooth val="0"/>
        </ser>
        <ser>
          <idx val="5"/>
          <order val="5"/>
          <tx>
            <strRef>
              <f>'06_出現率推移'!F12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'06_出現率推移'!$F$13:$F$14</f>
            </numRef>
          </val>
          <smooth val="0"/>
        </ser>
        <ser>
          <idx val="6"/>
          <order val="6"/>
          <tx>
            <strRef>
              <f>'06_出現率推移'!G12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'06_出現率推移'!$G$13:$G$14</f>
            </numRef>
          </val>
          <smooth val="0"/>
        </ser>
        <ser>
          <idx val="7"/>
          <order val="7"/>
          <tx>
            <strRef>
              <f>'06_出現率推移'!H12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'06_出現率推移'!$H$13:$H$14</f>
            </numRef>
          </val>
          <smooth val="0"/>
        </ser>
        <ser>
          <idx val="8"/>
          <order val="8"/>
          <tx>
            <strRef>
              <f>'06_出現率推移'!I12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'06_出現率推移'!$I$13:$I$14</f>
            </numRef>
          </val>
          <smooth val="0"/>
        </ser>
        <ser>
          <idx val="9"/>
          <order val="9"/>
          <tx>
            <strRef>
              <f>'06_出現率推移'!J12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'06_出現率推移'!$J$13:$J$14</f>
            </numRef>
          </val>
          <smooth val="0"/>
        </ser>
        <ser>
          <idx val="10"/>
          <order val="10"/>
          <tx>
            <strRef>
              <f>'06_出現率推移'!K12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'06_出現率推移'!$K$13:$K$14</f>
            </numRef>
          </val>
          <smooth val="0"/>
        </ser>
        <ser>
          <idx val="11"/>
          <order val="11"/>
          <tx>
            <strRef>
              <f>'06_出現率推移'!L12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"/>
            </a:ln>
          </spPr>
          <marker>
            <symbol val="square"/>
            <size val="6"/>
            <spPr>
              <a:solidFill xmlns:a="http://schemas.openxmlformats.org/drawingml/2006/main">
                <a:srgbClr val="40404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'06_出現率推移'!$L$13:$L$14</f>
            </numRef>
          </val>
          <smooth val="0"/>
        </ser>
        <ser>
          <idx val="12"/>
          <order val="12"/>
          <tx>
            <strRef>
              <f>'06_出現率推移'!M12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ysDot"/>
            </a:ln>
          </spPr>
          <marker>
            <symbol val="triangle"/>
            <size val="6"/>
            <spPr>
              <a:solidFill xmlns:a="http://schemas.openxmlformats.org/drawingml/2006/main">
                <a:srgbClr val="737373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'06_出現率推移'!$M$13:$M$14</f>
            </numRef>
          </val>
          <smooth val="0"/>
        </ser>
        <ser>
          <idx val="13"/>
          <order val="13"/>
          <tx>
            <strRef>
              <f>'06_出現率推移'!N12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dashDot"/>
            </a:ln>
          </spPr>
          <marker>
            <symbol val="diamond"/>
            <size val="6"/>
            <spPr>
              <a:solidFill xmlns:a="http://schemas.openxmlformats.org/drawingml/2006/main">
                <a:srgbClr val="A6A6A6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'06_出現率推移'!$N$13:$N$14</f>
            </numRef>
          </val>
          <smooth val="0"/>
        </ser>
        <ser>
          <idx val="14"/>
          <order val="14"/>
          <tx>
            <strRef>
              <f>'06_出現率推移'!O12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lgDash"/>
            </a:ln>
          </spPr>
          <marker>
            <symbol val="x"/>
            <size val="6"/>
            <spPr>
              <a:solidFill xmlns:a="http://schemas.openxmlformats.org/drawingml/2006/main">
                <a:srgbClr val="D9D9D9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'06_出現率推移'!$O$13:$O$14</f>
            </numRef>
          </val>
          <smooth val="0"/>
        </ser>
        <ser>
          <idx val="15"/>
          <order val="15"/>
          <tx>
            <strRef>
              <f>'06_出現率推移'!P12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0000"/>
              </a:solidFill>
              <a:ln xmlns:a="http://schemas.openxmlformats.org/drawingml/2006/main" w="6350">
                <a:solidFill>
                  <a:srgbClr val="000000"/>
                </a:solidFill>
                <a:prstDash val="solid"/>
              </a:ln>
            </spPr>
          </marker>
          <cat>
            <numRef>
              <f>'06_出現率推移'!$B$11:$P$11</f>
            </numRef>
          </cat>
          <val>
            <numRef>
              <f>'06_出現率推移'!$P$13:$P$14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26"/>
          <min val="1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出現率（％）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出現率の比較（令和5年 上川総合振興局管内）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'06_出現率推移'!B41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'06_出現率推移'!$A$42:$A$65</f>
            </numRef>
          </cat>
          <val>
            <numRef>
              <f>'06_出現率推移'!$B$42:$B$65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出現率（％）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サービス区分別給付費の推移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'07_給付費推移'!A6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'07_給付費推移'!$A$7:$A$12</f>
            </numRef>
          </val>
        </ser>
        <ser>
          <idx val="1"/>
          <order val="1"/>
          <tx>
            <strRef>
              <f>'07_給付費推移'!B6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'07_給付費推移'!$B$7:$B$12</f>
            </numRef>
          </val>
        </ser>
        <ser>
          <idx val="2"/>
          <order val="2"/>
          <tx>
            <strRef>
              <f>'07_給付費推移'!C6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'07_給付費推移'!$C$7:$C$12</f>
            </numRef>
          </val>
        </ser>
        <ser>
          <idx val="3"/>
          <order val="3"/>
          <tx>
            <strRef>
              <f>'07_給付費推移'!D6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'07_給付費推移'!$D$7:$D$12</f>
            </numRef>
          </val>
        </ser>
        <ser>
          <idx val="4"/>
          <order val="4"/>
          <tx>
            <strRef>
              <f>'07_給付費推移'!E6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'07_給付費推移'!$E$7:$E$12</f>
            </numRef>
          </val>
        </ser>
        <ser>
          <idx val="5"/>
          <order val="5"/>
          <tx>
            <strRef>
              <f>'07_給付費推移'!F6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'07_給付費推移'!$F$7:$F$12</f>
            </numRef>
          </val>
        </ser>
        <ser>
          <idx val="6"/>
          <order val="6"/>
          <tx>
            <strRef>
              <f>'07_給付費推移'!G6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'07_給付費推移'!$B$5:$G$5</f>
            </numRef>
          </cat>
          <val>
            <numRef>
              <f>'07_給付費推移'!$G$7:$G$12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給付費（千円）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給付費の中長期見通し（自然体推計）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'07_給付費推移'!A31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'07_給付費推移'!$A$32:$A$33</f>
            </numRef>
          </val>
        </ser>
        <ser>
          <idx val="1"/>
          <order val="1"/>
          <tx>
            <strRef>
              <f>'07_給付費推移'!B31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'07_給付費推移'!$B$32:$B$33</f>
            </numRef>
          </val>
        </ser>
        <ser>
          <idx val="2"/>
          <order val="2"/>
          <tx>
            <strRef>
              <f>'07_給付費推移'!C31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'07_給付費推移'!$C$32:$C$33</f>
            </numRef>
          </val>
        </ser>
        <ser>
          <idx val="3"/>
          <order val="3"/>
          <tx>
            <strRef>
              <f>'07_給付費推移'!D31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'07_給付費推移'!$D$32:$D$33</f>
            </numRef>
          </val>
        </ser>
        <ser>
          <idx val="4"/>
          <order val="4"/>
          <tx>
            <strRef>
              <f>'07_給付費推移'!E31</f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'07_給付費推移'!$E$32:$E$33</f>
            </numRef>
          </val>
        </ser>
        <ser>
          <idx val="5"/>
          <order val="5"/>
          <tx>
            <strRef>
              <f>'07_給付費推移'!F31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'07_給付費推移'!$B$30:$F$30</f>
            </numRef>
          </cat>
          <val>
            <numRef>
              <f>'07_給付費推移'!$F$32:$F$33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給付費（百万円）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フレイルあり（基本チェックリスト8項目以上）（年齢階級別・広域連合）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'08_ニーズ調査データ'!$E$5:$J$5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フレイルあり（基本チェックリスト8項目以上）（町別）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'08_ニーズ調査データ'!$E$5:$J$5</f>
            </numRef>
          </val>
        </ser>
        <ser>
          <idx val="1"/>
          <order val="1"/>
          <tx>
            <strRef>
              <f>'08_ニーズ調査データ'!$C$6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'08_ニーズ調査データ'!$E$6:$J$6</f>
            </numRef>
          </val>
        </ser>
        <ser>
          <idx val="2"/>
          <order val="2"/>
          <tx>
            <strRef>
              <f>'08_ニーズ調査データ'!$C$7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'08_ニーズ調査データ'!$E$7:$J$7</f>
            </numRef>
          </val>
        </ser>
        <ser>
          <idx val="3"/>
          <order val="3"/>
          <tx>
            <strRef>
              <f>'08_ニーズ調査データ'!$C$8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'08_ニーズ調査データ'!$E$8:$J$8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運動機能低下者（年齢階級別・広域連合）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'08_ニーズ調査データ'!$E$9:$J$9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運動機能低下者（町別）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'08_ニーズ調査データ'!$C$9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'08_ニーズ調査データ'!$E$9:$J$9</f>
            </numRef>
          </val>
        </ser>
        <ser>
          <idx val="1"/>
          <order val="1"/>
          <tx>
            <strRef>
              <f>'08_ニーズ調査データ'!$C$10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'08_ニーズ調査データ'!$E$10:$J$10</f>
            </numRef>
          </val>
        </ser>
        <ser>
          <idx val="2"/>
          <order val="2"/>
          <tx>
            <strRef>
              <f>'08_ニーズ調査データ'!$C$11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'08_ニーズ調査データ'!$E$11:$J$11</f>
            </numRef>
          </val>
        </ser>
        <ser>
          <idx val="3"/>
          <order val="3"/>
          <tx>
            <strRef>
              <f>'08_ニーズ調査データ'!$C$12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'08_ニーズ調査データ'!$E$12:$J$12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1年間転倒あり（年齢階級別・広域連合）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'08_ニーズ調査データ'!$C$13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'08_ニーズ調査データ'!$E$13:$J$13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1年間転倒あり（町別）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'08_ニーズ調査データ'!$C$13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'08_ニーズ調査データ'!$E$13:$J$13</f>
            </numRef>
          </val>
        </ser>
        <ser>
          <idx val="1"/>
          <order val="1"/>
          <tx>
            <strRef>
              <f>'08_ニーズ調査データ'!$C$14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'08_ニーズ調査データ'!$E$14:$J$14</f>
            </numRef>
          </val>
        </ser>
        <ser>
          <idx val="2"/>
          <order val="2"/>
          <tx>
            <strRef>
              <f>'08_ニーズ調査データ'!$C$15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'08_ニーズ調査データ'!$E$15:$J$15</f>
            </numRef>
          </val>
        </ser>
        <ser>
          <idx val="3"/>
          <order val="3"/>
          <tx>
            <strRef>
              <f>'08_ニーズ調査データ'!$C$16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'08_ニーズ調査データ'!$E$16:$J$16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④ 物忘れが多い者（年齢階級別・広域連合）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'08_ニーズ調査データ'!$C$17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'08_ニーズ調査データ'!$E$17:$J$17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④ 物忘れが多い者（町別）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'08_ニーズ調査データ'!$C$17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'08_ニーズ調査データ'!$E$17:$J$17</f>
            </numRef>
          </val>
        </ser>
        <ser>
          <idx val="1"/>
          <order val="1"/>
          <tx>
            <strRef>
              <f>'08_ニーズ調査データ'!$C$18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'08_ニーズ調査データ'!$E$18:$J$18</f>
            </numRef>
          </val>
        </ser>
        <ser>
          <idx val="2"/>
          <order val="2"/>
          <tx>
            <strRef>
              <f>'08_ニーズ調査データ'!$C$19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'08_ニーズ調査データ'!$E$19:$J$19</f>
            </numRef>
          </val>
        </ser>
        <ser>
          <idx val="3"/>
          <order val="3"/>
          <tx>
            <strRef>
              <f>'08_ニーズ調査データ'!$C$20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'08_ニーズ調査データ'!$E$20:$J$20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⑤ 閉じこもり者（年齢階級別・広域連合）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'08_ニーズ調査データ'!$E$21:$J$21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⑤ 閉じこもり者（町別）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'08_ニーズ調査データ'!$C$21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'08_ニーズ調査データ'!$E$21:$J$21</f>
            </numRef>
          </val>
        </ser>
        <ser>
          <idx val="1"/>
          <order val="1"/>
          <tx>
            <strRef>
              <f>'08_ニーズ調査データ'!$C$22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'08_ニーズ調査データ'!$E$22:$J$22</f>
            </numRef>
          </val>
        </ser>
        <ser>
          <idx val="2"/>
          <order val="2"/>
          <tx>
            <strRef>
              <f>'08_ニーズ調査データ'!$C$23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'08_ニーズ調査データ'!$E$23:$J$23</f>
            </numRef>
          </val>
        </ser>
        <ser>
          <idx val="3"/>
          <order val="3"/>
          <tx>
            <strRef>
              <f>'08_ニーズ調査データ'!$C$24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'08_ニーズ調査データ'!$E$24:$J$24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⑥ うつ（年齢階級別・広域連合）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'08_ニーズ調査データ'!$E$25:$J$25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⑥ うつ（町別）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'08_ニーズ調査データ'!$E$25:$J$25</f>
            </numRef>
          </val>
        </ser>
        <ser>
          <idx val="1"/>
          <order val="1"/>
          <tx>
            <strRef>
              <f>'08_ニーズ調査データ'!$C$26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'08_ニーズ調査データ'!$E$26:$J$26</f>
            </numRef>
          </val>
        </ser>
        <ser>
          <idx val="2"/>
          <order val="2"/>
          <tx>
            <strRef>
              <f>'08_ニーズ調査データ'!$C$27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'08_ニーズ調査データ'!$E$27:$J$27</f>
            </numRef>
          </val>
        </ser>
        <ser>
          <idx val="3"/>
          <order val="3"/>
          <tx>
            <strRef>
              <f>'08_ニーズ調査データ'!$C$28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'08_ニーズ調査データ'!$E$28:$J$28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⑦ 口腔機能低下者（年齢階級別・広域連合）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'08_ニーズ調査データ'!$E$29:$J$29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⑦ 口腔機能低下者（町別）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'08_ニーズ調査データ'!$C$29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'08_ニーズ調査データ'!$E$29:$J$29</f>
            </numRef>
          </val>
        </ser>
        <ser>
          <idx val="1"/>
          <order val="1"/>
          <tx>
            <strRef>
              <f>'08_ニーズ調査データ'!$C$30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'08_ニーズ調査データ'!$E$30:$J$30</f>
            </numRef>
          </val>
        </ser>
        <ser>
          <idx val="2"/>
          <order val="2"/>
          <tx>
            <strRef>
              <f>'08_ニーズ調査データ'!$C$31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'08_ニーズ調査データ'!$E$31:$J$31</f>
            </numRef>
          </val>
        </ser>
        <ser>
          <idx val="3"/>
          <order val="3"/>
          <tx>
            <strRef>
              <f>'08_ニーズ調査データ'!$C$32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'08_ニーズ調査データ'!$E$32:$J$32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⑧ 低栄養の傾向（年齢階級別・広域連合）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'08_ニーズ調査データ'!$C$33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'08_ニーズ調査データ'!$E$33:$J$33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⑧ 低栄養の傾向（町別）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'08_ニーズ調査データ'!$C$33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'08_ニーズ調査データ'!$E$33:$J$33</f>
            </numRef>
          </val>
        </ser>
        <ser>
          <idx val="1"/>
          <order val="1"/>
          <tx>
            <strRef>
              <f>'08_ニーズ調査データ'!$C$34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'08_ニーズ調査データ'!$E$34:$J$34</f>
            </numRef>
          </val>
        </ser>
        <ser>
          <idx val="2"/>
          <order val="2"/>
          <tx>
            <strRef>
              <f>'08_ニーズ調査データ'!$C$35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'08_ニーズ調査データ'!$E$35:$J$35</f>
            </numRef>
          </val>
        </ser>
        <ser>
          <idx val="3"/>
          <order val="3"/>
          <tx>
            <strRef>
              <f>'08_ニーズ調査データ'!$C$36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'08_ニーズ調査データ'!$E$36:$J$36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⑨ 要支援・要介護リスク点数の平均点（年齢階級別・広域連合）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'08_ニーズ調査データ'!$C$37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'08_ニーズ調査データ'!$E$37:$J$37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平均点（点）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⑨ 要支援・要介護リスク点数の平均点（町別）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'08_ニーズ調査データ'!$C$37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'08_ニーズ調査データ'!$E$37:$J$37</f>
            </numRef>
          </val>
        </ser>
        <ser>
          <idx val="1"/>
          <order val="1"/>
          <tx>
            <strRef>
              <f>'08_ニーズ調査データ'!$C$38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'08_ニーズ調査データ'!$E$38:$J$38</f>
            </numRef>
          </val>
        </ser>
        <ser>
          <idx val="2"/>
          <order val="2"/>
          <tx>
            <strRef>
              <f>'08_ニーズ調査データ'!$C$39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'08_ニーズ調査データ'!$E$39:$J$39</f>
            </numRef>
          </val>
        </ser>
        <ser>
          <idx val="3"/>
          <order val="3"/>
          <tx>
            <strRef>
              <f>'08_ニーズ調査データ'!$C$40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'08_ニーズ調査データ'!$E$40:$J$40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平均点（点）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⑩ 認知機能低下者（基本チェックリスト）（年齢階級別・広域連合）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'08_ニーズ調査データ'!$E$41:$J$41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⑩ 認知機能低下者（基本チェックリスト）（町別）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'08_ニーズ調査データ'!$C$41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'08_ニーズ調査データ'!$E$41:$J$41</f>
            </numRef>
          </val>
        </ser>
        <ser>
          <idx val="1"/>
          <order val="1"/>
          <tx>
            <strRef>
              <f>'08_ニーズ調査データ'!$C$42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'08_ニーズ調査データ'!$E$42:$J$42</f>
            </numRef>
          </val>
        </ser>
        <ser>
          <idx val="2"/>
          <order val="2"/>
          <tx>
            <strRef>
              <f>'08_ニーズ調査データ'!$C$43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'08_ニーズ調査データ'!$E$43:$J$43</f>
            </numRef>
          </val>
        </ser>
        <ser>
          <idx val="3"/>
          <order val="3"/>
          <tx>
            <strRef>
              <f>'08_ニーズ調査データ'!$C$44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'08_ニーズ調査データ'!$E$44:$J$44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⑪ IADL（自立度）低下者（1項目以上）（年齢階級別・広域連合）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'08_ニーズ調査データ'!$E$45:$J$45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⑪ IADL（自立度）低下者（1項目以上）（町別）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'08_ニーズ調査データ'!$C$45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'08_ニーズ調査データ'!$E$45:$J$45</f>
            </numRef>
          </val>
        </ser>
        <ser>
          <idx val="1"/>
          <order val="1"/>
          <tx>
            <strRef>
              <f>'08_ニーズ調査データ'!$C$46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'08_ニーズ調査データ'!$E$46:$J$46</f>
            </numRef>
          </val>
        </ser>
        <ser>
          <idx val="2"/>
          <order val="2"/>
          <tx>
            <strRef>
              <f>'08_ニーズ調査データ'!$C$47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'08_ニーズ調査データ'!$E$47:$J$47</f>
            </numRef>
          </val>
        </ser>
        <ser>
          <idx val="3"/>
          <order val="3"/>
          <tx>
            <strRef>
              <f>'08_ニーズ調査データ'!$C$48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'08_ニーズ調査データ'!$E$48:$J$48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⑫ 通いの場参加者（月1回以上）（年齢階級別・広域連合）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'08_ニーズ調査データ'!$E$49:$J$49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⑫ 通いの場参加者（月1回以上）（町別）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'08_ニーズ調査データ'!$C$49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'08_ニーズ調査データ'!$E$49:$J$49</f>
            </numRef>
          </val>
        </ser>
        <ser>
          <idx val="1"/>
          <order val="1"/>
          <tx>
            <strRef>
              <f>'08_ニーズ調査データ'!$C$50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'08_ニーズ調査データ'!$E$50:$J$50</f>
            </numRef>
          </val>
        </ser>
        <ser>
          <idx val="2"/>
          <order val="2"/>
          <tx>
            <strRef>
              <f>'08_ニーズ調査データ'!$C$51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'08_ニーズ調査データ'!$E$51:$J$51</f>
            </numRef>
          </val>
        </ser>
        <ser>
          <idx val="3"/>
          <order val="3"/>
          <tx>
            <strRef>
              <f>'08_ニーズ調査データ'!$C$52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'08_ニーズ調査データ'!$E$52:$J$52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⑬ ボランティア参加者（月1回以上）（年齢階級別・広域連合）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'08_ニーズ調査データ'!$C$53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'08_ニーズ調査データ'!$E$53:$J$53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⑬ ボランティア参加者（月1回以上）（町別）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'08_ニーズ調査データ'!$C$53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'08_ニーズ調査データ'!$E$53:$J$53</f>
            </numRef>
          </val>
        </ser>
        <ser>
          <idx val="1"/>
          <order val="1"/>
          <tx>
            <strRef>
              <f>'08_ニーズ調査データ'!$C$54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'08_ニーズ調査データ'!$E$54:$J$54</f>
            </numRef>
          </val>
        </ser>
        <ser>
          <idx val="2"/>
          <order val="2"/>
          <tx>
            <strRef>
              <f>'08_ニーズ調査データ'!$C$55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'08_ニーズ調査データ'!$E$55:$J$55</f>
            </numRef>
          </val>
        </ser>
        <ser>
          <idx val="3"/>
          <order val="3"/>
          <tx>
            <strRef>
              <f>'08_ニーズ調査データ'!$C$56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'08_ニーズ調査データ'!$E$56:$J$56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⑭ 社会的ネットワーク：友人知人と会う頻度が高い（月1回以上）（年齢階級別・広域連合）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'08_ニーズ調査データ'!$C$57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'08_ニーズ調査データ'!$E$57:$J$57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⑭ 社会的ネットワーク：友人知人と会う頻度が高い（月1回以上）（町別）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'08_ニーズ調査データ'!$C$57</f>
            </strRef>
          </tx>
          <spPr>
            <a:solidFill xmlns:a="http://schemas.openxmlformats.org/drawingml/2006/main">
              <a:srgbClr val="00000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'08_ニーズ調査データ'!$E$57:$J$57</f>
            </numRef>
          </val>
        </ser>
        <ser>
          <idx val="1"/>
          <order val="1"/>
          <tx>
            <strRef>
              <f>'08_ニーズ調査データ'!$C$58</f>
            </strRef>
          </tx>
          <spPr>
            <a:solidFill xmlns:a="http://schemas.openxmlformats.org/drawingml/2006/main">
              <a:srgbClr val="404040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'08_ニーズ調査データ'!$E$58:$J$58</f>
            </numRef>
          </val>
        </ser>
        <ser>
          <idx val="2"/>
          <order val="2"/>
          <tx>
            <strRef>
              <f>'08_ニーズ調査データ'!$C$59</f>
            </strRef>
          </tx>
          <spPr>
            <a:solidFill xmlns:a="http://schemas.openxmlformats.org/drawingml/2006/main">
              <a:srgbClr val="737373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'08_ニーズ調査データ'!$E$59:$J$59</f>
            </numRef>
          </val>
        </ser>
        <ser>
          <idx val="3"/>
          <order val="3"/>
          <tx>
            <strRef>
              <f>'08_ニーズ調査データ'!$C$60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 w="6350">
              <a:solidFill>
                <a:srgbClr val="000000"/>
              </a:solidFill>
              <a:prstDash val="solid"/>
            </a:ln>
          </spPr>
          <cat>
            <numRef>
              <f>'08_ニーズ調査データ'!$E$4:$J$4</f>
            </numRef>
          </cat>
          <val>
            <numRef>
              <f>'08_ニーズ調査データ'!$E$60:$J$60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割合（％）</a:t>
                </a:r>
              </a:p>
            </rich>
          </tx>
        </title>
        <majorTickMark val="none"/>
        <minorTickMark val="none"/>
        <spPr>
          <a:ln xmlns:a="http://schemas.openxmlformats.org/drawingml/2006/main" w="6350">
            <a:solidFill>
              <a:srgbClr val="000000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Relationship Type="http://schemas.openxmlformats.org/officeDocument/2006/relationships/chart" Target="/xl/charts/chart14.xml" Id="rId3"/><Relationship Type="http://schemas.openxmlformats.org/officeDocument/2006/relationships/chart" Target="/xl/charts/chart15.xml" Id="rId4"/><Relationship Type="http://schemas.openxmlformats.org/officeDocument/2006/relationships/chart" Target="/xl/charts/chart16.xml" Id="rId5"/><Relationship Type="http://schemas.openxmlformats.org/officeDocument/2006/relationships/chart" Target="/xl/charts/chart17.xml" Id="rId6"/><Relationship Type="http://schemas.openxmlformats.org/officeDocument/2006/relationships/chart" Target="/xl/charts/chart18.xml" Id="rId7"/><Relationship Type="http://schemas.openxmlformats.org/officeDocument/2006/relationships/chart" Target="/xl/charts/chart19.xml" Id="rId8"/><Relationship Type="http://schemas.openxmlformats.org/officeDocument/2006/relationships/chart" Target="/xl/charts/chart20.xml" Id="rId9"/><Relationship Type="http://schemas.openxmlformats.org/officeDocument/2006/relationships/chart" Target="/xl/charts/chart21.xml" Id="rId10"/><Relationship Type="http://schemas.openxmlformats.org/officeDocument/2006/relationships/chart" Target="/xl/charts/chart22.xml" Id="rId11"/><Relationship Type="http://schemas.openxmlformats.org/officeDocument/2006/relationships/chart" Target="/xl/charts/chart23.xml" Id="rId12"/><Relationship Type="http://schemas.openxmlformats.org/officeDocument/2006/relationships/chart" Target="/xl/charts/chart24.xml" Id="rId13"/><Relationship Type="http://schemas.openxmlformats.org/officeDocument/2006/relationships/chart" Target="/xl/charts/chart25.xml" Id="rId14"/><Relationship Type="http://schemas.openxmlformats.org/officeDocument/2006/relationships/chart" Target="/xl/charts/chart26.xml" Id="rId15"/><Relationship Type="http://schemas.openxmlformats.org/officeDocument/2006/relationships/chart" Target="/xl/charts/chart27.xml" Id="rId16"/><Relationship Type="http://schemas.openxmlformats.org/officeDocument/2006/relationships/chart" Target="/xl/charts/chart28.xml" Id="rId17"/><Relationship Type="http://schemas.openxmlformats.org/officeDocument/2006/relationships/chart" Target="/xl/charts/chart29.xml" Id="rId18"/><Relationship Type="http://schemas.openxmlformats.org/officeDocument/2006/relationships/chart" Target="/xl/charts/chart30.xml" Id="rId19"/><Relationship Type="http://schemas.openxmlformats.org/officeDocument/2006/relationships/chart" Target="/xl/charts/chart31.xml" Id="rId20"/><Relationship Type="http://schemas.openxmlformats.org/officeDocument/2006/relationships/chart" Target="/xl/charts/chart32.xml" Id="rId21"/><Relationship Type="http://schemas.openxmlformats.org/officeDocument/2006/relationships/chart" Target="/xl/charts/chart33.xml" Id="rId22"/><Relationship Type="http://schemas.openxmlformats.org/officeDocument/2006/relationships/chart" Target="/xl/charts/chart34.xml" Id="rId23"/><Relationship Type="http://schemas.openxmlformats.org/officeDocument/2006/relationships/chart" Target="/xl/charts/chart35.xml" Id="rId24"/><Relationship Type="http://schemas.openxmlformats.org/officeDocument/2006/relationships/chart" Target="/xl/charts/chart36.xml" Id="rId25"/><Relationship Type="http://schemas.openxmlformats.org/officeDocument/2006/relationships/chart" Target="/xl/charts/chart37.xml" Id="rId26"/><Relationship Type="http://schemas.openxmlformats.org/officeDocument/2006/relationships/chart" Target="/xl/charts/chart38.xml" Id="rId27"/><Relationship Type="http://schemas.openxmlformats.org/officeDocument/2006/relationships/chart" Target="/xl/charts/chart39.xml" Id="rId28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47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15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16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40</row>
      <rowOff>0</rowOff>
    </from>
    <ext cx="936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15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20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20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468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37</row>
      <rowOff>0</rowOff>
    </from>
    <ext cx="576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54</row>
      <rowOff>0</rowOff>
    </from>
    <ext cx="468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54</row>
      <rowOff>0</rowOff>
    </from>
    <ext cx="576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71</row>
      <rowOff>0</rowOff>
    </from>
    <ext cx="468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71</row>
      <rowOff>0</rowOff>
    </from>
    <ext cx="576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88</row>
      <rowOff>0</rowOff>
    </from>
    <ext cx="468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88</row>
      <rowOff>0</rowOff>
    </from>
    <ext cx="5760000" cy="288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105</row>
      <rowOff>0</rowOff>
    </from>
    <ext cx="4680000" cy="288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105</row>
      <rowOff>0</rowOff>
    </from>
    <ext cx="5760000" cy="288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0</col>
      <colOff>0</colOff>
      <row>122</row>
      <rowOff>0</rowOff>
    </from>
    <ext cx="4680000" cy="288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9</col>
      <colOff>0</colOff>
      <row>122</row>
      <rowOff>0</rowOff>
    </from>
    <ext cx="5760000" cy="288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0</col>
      <colOff>0</colOff>
      <row>139</row>
      <rowOff>0</rowOff>
    </from>
    <ext cx="4680000" cy="288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9</col>
      <colOff>0</colOff>
      <row>139</row>
      <rowOff>0</rowOff>
    </from>
    <ext cx="5760000" cy="288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0</col>
      <colOff>0</colOff>
      <row>156</row>
      <rowOff>0</rowOff>
    </from>
    <ext cx="4680000" cy="288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9</col>
      <colOff>0</colOff>
      <row>156</row>
      <rowOff>0</rowOff>
    </from>
    <ext cx="5760000" cy="288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0</col>
      <colOff>0</colOff>
      <row>173</row>
      <rowOff>0</rowOff>
    </from>
    <ext cx="4680000" cy="288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9</col>
      <colOff>0</colOff>
      <row>173</row>
      <rowOff>0</rowOff>
    </from>
    <ext cx="5760000" cy="288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0</col>
      <colOff>0</colOff>
      <row>190</row>
      <rowOff>0</rowOff>
    </from>
    <ext cx="4680000" cy="288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9</col>
      <colOff>0</colOff>
      <row>190</row>
      <rowOff>0</rowOff>
    </from>
    <ext cx="5760000" cy="288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0</col>
      <colOff>0</colOff>
      <row>207</row>
      <rowOff>0</rowOff>
    </from>
    <ext cx="4680000" cy="288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9</col>
      <colOff>0</colOff>
      <row>207</row>
      <rowOff>0</rowOff>
    </from>
    <ext cx="5760000" cy="288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0</col>
      <colOff>0</colOff>
      <row>224</row>
      <rowOff>0</rowOff>
    </from>
    <ext cx="4680000" cy="288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9</col>
      <colOff>0</colOff>
      <row>224</row>
      <rowOff>0</rowOff>
    </from>
    <ext cx="5760000" cy="288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4" customWidth="1" min="4" max="4"/>
    <col width="30" customWidth="1" min="5" max="5"/>
  </cols>
  <sheetData>
    <row r="1" ht="24" customHeight="1">
      <c r="A1" s="1" t="inlineStr">
        <is>
          <t>第10期介護保険事業計画 図表集（白黒レイアウト）</t>
        </is>
      </c>
    </row>
    <row r="2" ht="16" customHeight="1">
      <c r="A2" s="2" t="inlineStr">
        <is>
          <t>令和8（2026）年7月28日作成／第9期計画の図表構成に準拠し、確認済みの数値のみで作図</t>
        </is>
      </c>
    </row>
    <row r="4">
      <c r="A4" s="3" t="inlineStr">
        <is>
          <t>1　本図表集の考え方</t>
        </is>
      </c>
    </row>
    <row r="5" ht="26" customHeight="1">
      <c r="A5" s="4" t="inlineStr">
        <is>
          <t>第9期介護保険事業計画（令和6年3月）の図表構成をそのまま踏襲し、白黒印刷（本文1色）を前提としたグレースケール・線種・マーカーで作図しています。数値は第9期計画本体及び第10期計画素案第9稿に掲載された見える化データのみを使用し、推測値・補間値は使用していません。令和6・7年度の実績は未受領のため、該当セルは淡黄色の入力欄としています。</t>
        </is>
      </c>
    </row>
    <row r="7">
      <c r="A7" s="3" t="inlineStr">
        <is>
          <t>2　シート構成と出典</t>
        </is>
      </c>
    </row>
    <row r="8">
      <c r="A8" s="5" t="inlineStr">
        <is>
          <t>No.</t>
        </is>
      </c>
      <c r="B8" s="5" t="inlineStr">
        <is>
          <t>シート</t>
        </is>
      </c>
      <c r="C8" s="5" t="inlineStr">
        <is>
          <t>図表</t>
        </is>
      </c>
      <c r="D8" s="5" t="inlineStr">
        <is>
          <t>出典・基準時点</t>
        </is>
      </c>
      <c r="E8" s="5" t="inlineStr">
        <is>
          <t>更新時の差替え</t>
        </is>
      </c>
    </row>
    <row r="9">
      <c r="A9" s="6" t="n">
        <v>1</v>
      </c>
      <c r="B9" s="7" t="inlineStr">
        <is>
          <t>01_人口推移</t>
        </is>
      </c>
      <c r="C9" s="7" t="inlineStr">
        <is>
          <t>人口の推移（広域連合）</t>
        </is>
      </c>
      <c r="D9" s="7" t="inlineStr">
        <is>
          <t>第9期計画 第2章第1節1／住民基本台帳 各年10月1日</t>
        </is>
      </c>
      <c r="E9" s="7" t="inlineStr">
        <is>
          <t>R6～R8実績を追加</t>
        </is>
      </c>
    </row>
    <row r="10">
      <c r="A10" s="6" t="n">
        <v>2</v>
      </c>
      <c r="B10" s="7" t="inlineStr">
        <is>
          <t>02_高齢化率推移</t>
        </is>
      </c>
      <c r="C10" s="7" t="inlineStr">
        <is>
          <t>高齢化率の推移（広域連合・3町）</t>
        </is>
      </c>
      <c r="D10" s="7" t="inlineStr">
        <is>
          <t>第9期計画 第2章第1節1／住民基本台帳 各年10月1日</t>
        </is>
      </c>
      <c r="E10" s="7" t="inlineStr">
        <is>
          <t>R6～R8実績を追加</t>
        </is>
      </c>
    </row>
    <row r="11">
      <c r="A11" s="6" t="n">
        <v>3</v>
      </c>
      <c r="B11" s="7" t="inlineStr">
        <is>
          <t>03_高齢者世帯</t>
        </is>
      </c>
      <c r="C11" s="7" t="inlineStr">
        <is>
          <t>高齢者を含む世帯／構成割合</t>
        </is>
      </c>
      <c r="D11" s="7" t="inlineStr">
        <is>
          <t>第9期計画 第2章第1節2／国勢調査（H22・H27・R2）</t>
        </is>
      </c>
      <c r="E11" s="7" t="inlineStr">
        <is>
          <t>令和7年国勢調査の公表後に更新</t>
        </is>
      </c>
    </row>
    <row r="12">
      <c r="A12" s="6" t="n">
        <v>4</v>
      </c>
      <c r="B12" s="7" t="inlineStr">
        <is>
          <t>04_認定者数推移</t>
        </is>
      </c>
      <c r="C12" s="7" t="inlineStr">
        <is>
          <t>認定者数の推移（要介護度別）</t>
        </is>
      </c>
      <c r="D12" s="7" t="inlineStr">
        <is>
          <t>第9期計画 第2章第1節3／介護保険事業状況報告 各年9月分</t>
        </is>
      </c>
      <c r="E12" s="7" t="inlineStr">
        <is>
          <t>R6～R8の9月分を追加</t>
        </is>
      </c>
    </row>
    <row r="13">
      <c r="A13" s="6" t="n">
        <v>5</v>
      </c>
      <c r="B13" s="7" t="inlineStr">
        <is>
          <t>05_認定者割合</t>
        </is>
      </c>
      <c r="C13" s="7" t="inlineStr">
        <is>
          <t>認定者割合の比較（全国・道・3町）</t>
        </is>
      </c>
      <c r="D13" s="7" t="inlineStr">
        <is>
          <t>第9期計画 第2章第1節3／介護保険事業状況報告 令和5年9月分</t>
        </is>
      </c>
      <c r="E13" s="7" t="inlineStr">
        <is>
          <t>最新年9月分で更新</t>
        </is>
      </c>
    </row>
    <row r="14">
      <c r="A14" s="6" t="n">
        <v>6</v>
      </c>
      <c r="B14" s="7" t="inlineStr">
        <is>
          <t>06_出現率推移</t>
        </is>
      </c>
      <c r="C14" s="7" t="inlineStr">
        <is>
          <t>出現率の推移／上川管内比較</t>
        </is>
      </c>
      <c r="D14" s="7" t="inlineStr">
        <is>
          <t>第9期計画 第2章第1節3／介護保険事業状況報告 各年9月分</t>
        </is>
      </c>
      <c r="E14" s="7" t="inlineStr">
        <is>
          <t>R6～R8を追加。管内比較は最新年で更新</t>
        </is>
      </c>
    </row>
    <row r="15">
      <c r="A15" s="6" t="n">
        <v>7</v>
      </c>
      <c r="B15" s="7" t="inlineStr">
        <is>
          <t>07_給付費推移</t>
        </is>
      </c>
      <c r="C15" s="7" t="inlineStr">
        <is>
          <t>サービス区分別給付費／地域支援事業費／中長期推計</t>
        </is>
      </c>
      <c r="D15" s="7" t="inlineStr">
        <is>
          <t>第9期計画 第2章第2節（見える化 R6.1.18参照）／素案第9稿 表39</t>
        </is>
      </c>
      <c r="E15" s="7" t="inlineStr">
        <is>
          <t>R6～R8実績の受領後に更新</t>
        </is>
      </c>
    </row>
    <row r="16">
      <c r="A16" s="6" t="n">
        <v>8</v>
      </c>
      <c r="B16" s="7" t="inlineStr">
        <is>
          <t>08_ニーズ調査データ</t>
        </is>
      </c>
      <c r="C16" s="7" t="inlineStr">
        <is>
          <t>介護予防・日常生活圏域ニーズ調査 14指標の集計値</t>
        </is>
      </c>
      <c r="D16" s="7" t="inlineStr">
        <is>
          <t>第9期計画 第2章第3節／令和4年11月調査（回収4,626票・63.9％）</t>
        </is>
      </c>
      <c r="E16" s="7" t="inlineStr">
        <is>
          <t>第10期ニーズ調査の集計受領後に全面差替え</t>
        </is>
      </c>
    </row>
    <row r="17">
      <c r="A17" s="6" t="n">
        <v>9</v>
      </c>
      <c r="B17" s="7" t="inlineStr">
        <is>
          <t>09_ニーズ調査グラフ</t>
        </is>
      </c>
      <c r="C17" s="7" t="inlineStr">
        <is>
          <t>同上の年齢階級別・町別グラフ</t>
        </is>
      </c>
      <c r="D17" s="7" t="inlineStr">
        <is>
          <t>同上</t>
        </is>
      </c>
      <c r="E17" s="7" t="inlineStr">
        <is>
          <t>同上</t>
        </is>
      </c>
    </row>
    <row r="19">
      <c r="A19" s="3" t="inlineStr">
        <is>
          <t>3　作図上の凡例（白黒）</t>
        </is>
      </c>
    </row>
    <row r="20">
      <c r="A20" s="5" t="inlineStr">
        <is>
          <t>No.</t>
        </is>
      </c>
      <c r="B20" s="5" t="inlineStr">
        <is>
          <t>要素</t>
        </is>
      </c>
      <c r="C20" s="5" t="inlineStr">
        <is>
          <t>表現</t>
        </is>
      </c>
      <c r="D20" s="5" t="inlineStr">
        <is>
          <t>備考</t>
        </is>
      </c>
      <c r="E20" s="5" t="inlineStr"/>
    </row>
    <row r="21">
      <c r="A21" s="6" t="n">
        <v>1</v>
      </c>
      <c r="B21" s="7" t="inlineStr">
        <is>
          <t>積上げ棒・横棒</t>
        </is>
      </c>
      <c r="C21" s="7" t="inlineStr">
        <is>
          <t>黒→濃灰→中灰→淡灰→白の順に塗り分け、輪郭は黒</t>
        </is>
      </c>
      <c r="D21" s="7" t="inlineStr">
        <is>
          <t>5系列までは塗りのみで判別可能</t>
        </is>
      </c>
    </row>
    <row r="22">
      <c r="A22" s="6" t="n">
        <v>2</v>
      </c>
      <c r="B22" s="7" t="inlineStr">
        <is>
          <t>折れ線</t>
        </is>
      </c>
      <c r="C22" s="7" t="inlineStr">
        <is>
          <t>すべて黒線。実線／破線／点線／一点鎖線で系列を区別</t>
        </is>
      </c>
      <c r="D22" s="7" t="inlineStr">
        <is>
          <t>マーカーは○△□◇で重複を回避</t>
        </is>
      </c>
    </row>
    <row r="23">
      <c r="A23" s="6" t="n">
        <v>3</v>
      </c>
      <c r="B23" s="7" t="inlineStr">
        <is>
          <t>目盛線</t>
        </is>
      </c>
      <c r="C23" s="7" t="inlineStr">
        <is>
          <t>非表示。軸線のみ黒で表示</t>
        </is>
      </c>
      <c r="D23" s="7" t="inlineStr">
        <is>
          <t>1色印刷時の視認性を優先</t>
        </is>
      </c>
    </row>
    <row r="24">
      <c r="A24" s="6" t="n">
        <v>4</v>
      </c>
      <c r="B24" s="7" t="inlineStr">
        <is>
          <t>凡例</t>
        </is>
      </c>
      <c r="C24" s="7" t="inlineStr">
        <is>
          <t>グラフ下部に配置</t>
        </is>
      </c>
      <c r="D24" s="7" t="inlineStr">
        <is>
          <t>第9期計画の体裁を踏襲</t>
        </is>
      </c>
    </row>
    <row r="25">
      <c r="A25" s="6" t="n">
        <v>5</v>
      </c>
      <c r="B25" s="7" t="inlineStr">
        <is>
          <t>入力欄</t>
        </is>
      </c>
      <c r="C25" s="7" t="inlineStr">
        <is>
          <t>淡黄色。R6・R7実績など未受領の値</t>
        </is>
      </c>
      <c r="D25" s="7" t="inlineStr">
        <is>
          <t>受領後に上書きするとグラフに反映</t>
        </is>
      </c>
    </row>
    <row r="27">
      <c r="A27" s="3" t="inlineStr">
        <is>
          <t>4　作図にあたり確認が必要な事項</t>
        </is>
      </c>
    </row>
    <row r="28">
      <c r="A28" s="5" t="inlineStr">
        <is>
          <t>No.</t>
        </is>
      </c>
      <c r="B28" s="5" t="inlineStr">
        <is>
          <t>事項</t>
        </is>
      </c>
      <c r="C28" s="5" t="inlineStr">
        <is>
          <t>内容</t>
        </is>
      </c>
      <c r="D28" s="5" t="inlineStr">
        <is>
          <t>対応</t>
        </is>
      </c>
      <c r="E28" s="5" t="inlineStr"/>
    </row>
    <row r="29">
      <c r="A29" s="6" t="n">
        <v>1</v>
      </c>
      <c r="B29" s="7" t="inlineStr">
        <is>
          <t>人口の年齢区分</t>
        </is>
      </c>
      <c r="C29" s="7" t="inlineStr">
        <is>
          <t>第9期計画のグラフは0～39歳／40～64歳／65～74歳／75歳以上の4区分だが、計画本体のPDFから0～39歳・40～64歳の確定値を復元できなかった</t>
        </is>
      </c>
      <c r="D29" s="7" t="inlineStr">
        <is>
          <t>本図表集は0～64歳（総人口－65歳以上）／65～74歳／75歳以上の3区分で作図。4区分にする場合は住民基本台帳の元データが必要</t>
        </is>
      </c>
      <c r="E29" s="7" t="inlineStr">
        <is>
          <t>広域連合へ照会</t>
        </is>
      </c>
    </row>
    <row r="30">
      <c r="A30" s="6" t="n">
        <v>2</v>
      </c>
      <c r="B30" s="7" t="inlineStr">
        <is>
          <t>リスク点数の単位</t>
        </is>
      </c>
      <c r="C30" s="7" t="inlineStr">
        <is>
          <t>第9期計画 第2章第3節⑨は「当広域連合全体で15.8％」と記載しているが、実際は要支援・要介護リスク評価尺度による平均点（72,099点÷4,560人＝15.8点）</t>
        </is>
      </c>
      <c r="D30" s="7" t="inlineStr">
        <is>
          <t>本図表集では「点」として作図。第10期では単位表記を修正</t>
        </is>
      </c>
      <c r="E30" s="7" t="inlineStr">
        <is>
          <t>第10期計画で修正</t>
        </is>
      </c>
    </row>
    <row r="31">
      <c r="A31" s="6" t="n">
        <v>3</v>
      </c>
      <c r="B31" s="7" t="inlineStr">
        <is>
          <t>認定者数と出現率の基準月</t>
        </is>
      </c>
      <c r="C31" s="7" t="inlineStr">
        <is>
          <t>第9期計画は各年9月分、素案第9稿の直近値（認定者1,984人・21.8％）はR8年3月末</t>
        </is>
      </c>
      <c r="D31" s="7" t="inlineStr">
        <is>
          <t>基準月が異なるため同一系列に接続していない。R6～R8は9月分を受領して追加</t>
        </is>
      </c>
      <c r="E31" s="7" t="inlineStr">
        <is>
          <t>広域連合へ照会</t>
        </is>
      </c>
    </row>
    <row r="32">
      <c r="A32" s="6" t="n">
        <v>4</v>
      </c>
      <c r="B32" s="7" t="inlineStr">
        <is>
          <t>総給付費の定義</t>
        </is>
      </c>
      <c r="C32" s="7" t="inlineStr">
        <is>
          <t>第9期計画 第2章第2節の総給付費（R5 2,794,391千円）と、素案第9稿の保険給付費R5決算（2,940.4百万円）は定義が異なる</t>
        </is>
      </c>
      <c r="D32" s="7" t="inlineStr">
        <is>
          <t>別系列として併記。計画掲載時はいずれかに統一</t>
        </is>
      </c>
      <c r="E32" s="7" t="inlineStr">
        <is>
          <t>第10期計画で整理</t>
        </is>
      </c>
    </row>
    <row r="33">
      <c r="A33" s="6" t="n">
        <v>5</v>
      </c>
      <c r="B33" s="7" t="inlineStr">
        <is>
          <t>ニーズ調査の基準</t>
        </is>
      </c>
      <c r="C33" s="7" t="inlineStr">
        <is>
          <t>掲載値は令和4年11月実施の第9期調査。第10期調査は実施済だが集計未受領</t>
        </is>
      </c>
      <c r="D33" s="7" t="inlineStr">
        <is>
          <t>第10期調査の集計受領後に全面差替え。設問・判定ロジックの一致を確認</t>
        </is>
      </c>
      <c r="E33" s="7" t="inlineStr">
        <is>
          <t>広域連合・3町へ照会</t>
        </is>
      </c>
    </row>
  </sheetData>
  <mergeCells count="3">
    <mergeCell ref="A2:H2"/>
    <mergeCell ref="A5:M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1" t="inlineStr">
        <is>
          <t>図1　人口の推移（大雪地区広域連合）</t>
        </is>
      </c>
    </row>
    <row r="2" ht="16" customHeight="1">
      <c r="A2" s="2" t="inlineStr">
        <is>
          <t>資料：住民基本台帳 各年10月1日現在（第9期計画 第2章第1節1）／令和6～8年は淡黄色欄に入力すると連動</t>
        </is>
      </c>
    </row>
    <row r="4">
      <c r="A4" s="5" t="inlineStr">
        <is>
          <t>区分</t>
        </is>
      </c>
      <c r="B4" s="5" t="inlineStr">
        <is>
          <t>平成24年</t>
        </is>
      </c>
      <c r="C4" s="5" t="inlineStr">
        <is>
          <t>平成25年</t>
        </is>
      </c>
      <c r="D4" s="5" t="inlineStr">
        <is>
          <t>平成26年</t>
        </is>
      </c>
      <c r="E4" s="5" t="inlineStr">
        <is>
          <t>平成27年</t>
        </is>
      </c>
      <c r="F4" s="5" t="inlineStr">
        <is>
          <t>平成28年</t>
        </is>
      </c>
      <c r="G4" s="5" t="inlineStr">
        <is>
          <t>平成29年</t>
        </is>
      </c>
      <c r="H4" s="5" t="inlineStr">
        <is>
          <t>平成30年</t>
        </is>
      </c>
      <c r="I4" s="5" t="inlineStr">
        <is>
          <t>令和元年</t>
        </is>
      </c>
      <c r="J4" s="5" t="inlineStr">
        <is>
          <t>令和2年</t>
        </is>
      </c>
      <c r="K4" s="5" t="inlineStr">
        <is>
          <t>令和3年</t>
        </is>
      </c>
      <c r="L4" s="5" t="inlineStr">
        <is>
          <t>令和4年</t>
        </is>
      </c>
      <c r="M4" s="5" t="inlineStr">
        <is>
          <t>令和5年</t>
        </is>
      </c>
      <c r="N4" s="5" t="inlineStr">
        <is>
          <t>令和6年</t>
        </is>
      </c>
      <c r="O4" s="5" t="inlineStr">
        <is>
          <t>令和7年</t>
        </is>
      </c>
      <c r="P4" s="5" t="inlineStr">
        <is>
          <t>令和8年</t>
        </is>
      </c>
    </row>
    <row r="5">
      <c r="A5" s="6" t="inlineStr">
        <is>
          <t>0～64歳</t>
        </is>
      </c>
      <c r="B5" s="8">
        <f>B9-B6-B7</f>
        <v/>
      </c>
      <c r="C5" s="8">
        <f>C9-C6-C7</f>
        <v/>
      </c>
      <c r="D5" s="8">
        <f>D9-D6-D7</f>
        <v/>
      </c>
      <c r="E5" s="8">
        <f>E9-E6-E7</f>
        <v/>
      </c>
      <c r="F5" s="8">
        <f>F9-F6-F7</f>
        <v/>
      </c>
      <c r="G5" s="8">
        <f>G9-G6-G7</f>
        <v/>
      </c>
      <c r="H5" s="8">
        <f>H9-H6-H7</f>
        <v/>
      </c>
      <c r="I5" s="8">
        <f>I9-I6-I7</f>
        <v/>
      </c>
      <c r="J5" s="8">
        <f>J9-J6-J7</f>
        <v/>
      </c>
      <c r="K5" s="8">
        <f>K9-K6-K7</f>
        <v/>
      </c>
      <c r="L5" s="8">
        <f>L9-L6-L7</f>
        <v/>
      </c>
      <c r="M5" s="8">
        <f>M9-M6-M7</f>
        <v/>
      </c>
      <c r="N5" s="8">
        <f>N9-N6-N7</f>
        <v/>
      </c>
      <c r="O5" s="8">
        <f>O9-O6-O7</f>
        <v/>
      </c>
      <c r="P5" s="8">
        <f>P9-P6-P7</f>
        <v/>
      </c>
    </row>
    <row r="6">
      <c r="A6" s="6" t="inlineStr">
        <is>
          <t>65～74歳</t>
        </is>
      </c>
      <c r="B6" s="8" t="n">
        <v>3744</v>
      </c>
      <c r="C6" s="8" t="n">
        <v>3862</v>
      </c>
      <c r="D6" s="8" t="n">
        <v>4032</v>
      </c>
      <c r="E6" s="8" t="n">
        <v>4119</v>
      </c>
      <c r="F6" s="8" t="n">
        <v>4183</v>
      </c>
      <c r="G6" s="8" t="n">
        <v>4166</v>
      </c>
      <c r="H6" s="8" t="n">
        <v>4210</v>
      </c>
      <c r="I6" s="8" t="n">
        <v>4215</v>
      </c>
      <c r="J6" s="8" t="n">
        <v>4269</v>
      </c>
      <c r="K6" s="8" t="n">
        <v>4233</v>
      </c>
      <c r="L6" s="8" t="n">
        <v>4165</v>
      </c>
      <c r="M6" s="8" t="n">
        <v>3986</v>
      </c>
      <c r="N6" s="9" t="n"/>
      <c r="O6" s="9" t="n"/>
      <c r="P6" s="9" t="n"/>
    </row>
    <row r="7">
      <c r="A7" s="6" t="inlineStr">
        <is>
          <t>75歳以上</t>
        </is>
      </c>
      <c r="B7" s="8" t="n">
        <v>4398</v>
      </c>
      <c r="C7" s="8" t="n">
        <v>4491</v>
      </c>
      <c r="D7" s="8" t="n">
        <v>4578</v>
      </c>
      <c r="E7" s="8" t="n">
        <v>4667</v>
      </c>
      <c r="F7" s="8" t="n">
        <v>4768</v>
      </c>
      <c r="G7" s="8" t="n">
        <v>4865</v>
      </c>
      <c r="H7" s="8" t="n">
        <v>4933</v>
      </c>
      <c r="I7" s="8" t="n">
        <v>5006</v>
      </c>
      <c r="J7" s="8" t="n">
        <v>5014</v>
      </c>
      <c r="K7" s="8" t="n">
        <v>5039</v>
      </c>
      <c r="L7" s="8" t="n">
        <v>5109</v>
      </c>
      <c r="M7" s="8" t="n">
        <v>5205</v>
      </c>
      <c r="N7" s="9" t="n"/>
      <c r="O7" s="9" t="n"/>
      <c r="P7" s="9" t="n"/>
    </row>
    <row r="8">
      <c r="A8" s="6" t="inlineStr">
        <is>
          <t>65歳以上（再掲）</t>
        </is>
      </c>
      <c r="B8" s="8" t="n">
        <v>8142</v>
      </c>
      <c r="C8" s="8" t="n">
        <v>8353</v>
      </c>
      <c r="D8" s="8" t="n">
        <v>8610</v>
      </c>
      <c r="E8" s="8" t="n">
        <v>8786</v>
      </c>
      <c r="F8" s="8" t="n">
        <v>8951</v>
      </c>
      <c r="G8" s="8" t="n">
        <v>9031</v>
      </c>
      <c r="H8" s="8" t="n">
        <v>9143</v>
      </c>
      <c r="I8" s="8" t="n">
        <v>9221</v>
      </c>
      <c r="J8" s="8" t="n">
        <v>9283</v>
      </c>
      <c r="K8" s="8" t="n">
        <v>9272</v>
      </c>
      <c r="L8" s="8" t="n">
        <v>9274</v>
      </c>
      <c r="M8" s="8" t="n">
        <v>9191</v>
      </c>
      <c r="N8" s="9" t="n"/>
      <c r="O8" s="9" t="n"/>
      <c r="P8" s="9" t="n"/>
    </row>
    <row r="9">
      <c r="A9" s="6" t="inlineStr">
        <is>
          <t>総人口</t>
        </is>
      </c>
      <c r="B9" s="8" t="n">
        <v>28635</v>
      </c>
      <c r="C9" s="8" t="n">
        <v>28668</v>
      </c>
      <c r="D9" s="8" t="n">
        <v>28800</v>
      </c>
      <c r="E9" s="8" t="n">
        <v>28950</v>
      </c>
      <c r="F9" s="8" t="n">
        <v>28904</v>
      </c>
      <c r="G9" s="8" t="n">
        <v>28929</v>
      </c>
      <c r="H9" s="8" t="n">
        <v>28827</v>
      </c>
      <c r="I9" s="8" t="n">
        <v>28624</v>
      </c>
      <c r="J9" s="8" t="n">
        <v>28288</v>
      </c>
      <c r="K9" s="8" t="n">
        <v>28247</v>
      </c>
      <c r="L9" s="8" t="n">
        <v>28138</v>
      </c>
      <c r="M9" s="8" t="n">
        <v>27887</v>
      </c>
      <c r="N9" s="9" t="n"/>
      <c r="O9" s="9" t="n"/>
      <c r="P9" s="9" t="n"/>
    </row>
    <row r="10" ht="26" customHeight="1">
      <c r="A10" s="4" t="inlineStr">
        <is>
          <t>注1）0～64歳は「総人口－65歳以上」で算出。第9期計画のグラフは0～39歳／40～64歳に分けているが、計画本体から確定値を復元できなかったため3区分としている（00_凡例・出典 4-1）。注2）65歳以上は65～74歳と75歳以上の合計。令和6～8年（淡黄色欄）は住民基本台帳の実績受領後に入力する。</t>
        </is>
      </c>
    </row>
  </sheetData>
  <mergeCells count="3">
    <mergeCell ref="A1:P1"/>
    <mergeCell ref="A10:M10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1" t="inlineStr">
        <is>
          <t>図2　高齢化率の推移（広域連合・構成3町）</t>
        </is>
      </c>
    </row>
    <row r="2" ht="16" customHeight="1">
      <c r="A2" s="2" t="inlineStr">
        <is>
          <t>資料：住民基本台帳 各年10月1日現在（第9期計画 第2章第1節1）／単位：％</t>
        </is>
      </c>
    </row>
    <row r="4">
      <c r="A4" s="5" t="inlineStr">
        <is>
          <t>区分</t>
        </is>
      </c>
      <c r="B4" s="5" t="inlineStr">
        <is>
          <t>平成24年</t>
        </is>
      </c>
      <c r="C4" s="5" t="inlineStr">
        <is>
          <t>平成25年</t>
        </is>
      </c>
      <c r="D4" s="5" t="inlineStr">
        <is>
          <t>平成26年</t>
        </is>
      </c>
      <c r="E4" s="5" t="inlineStr">
        <is>
          <t>平成27年</t>
        </is>
      </c>
      <c r="F4" s="5" t="inlineStr">
        <is>
          <t>平成28年</t>
        </is>
      </c>
      <c r="G4" s="5" t="inlineStr">
        <is>
          <t>平成29年</t>
        </is>
      </c>
      <c r="H4" s="5" t="inlineStr">
        <is>
          <t>平成30年</t>
        </is>
      </c>
      <c r="I4" s="5" t="inlineStr">
        <is>
          <t>令和元年</t>
        </is>
      </c>
      <c r="J4" s="5" t="inlineStr">
        <is>
          <t>令和2年</t>
        </is>
      </c>
      <c r="K4" s="5" t="inlineStr">
        <is>
          <t>令和3年</t>
        </is>
      </c>
      <c r="L4" s="5" t="inlineStr">
        <is>
          <t>令和4年</t>
        </is>
      </c>
      <c r="M4" s="5" t="inlineStr">
        <is>
          <t>令和5年</t>
        </is>
      </c>
      <c r="N4" s="5" t="inlineStr">
        <is>
          <t>令和6年</t>
        </is>
      </c>
      <c r="O4" s="5" t="inlineStr">
        <is>
          <t>令和7年</t>
        </is>
      </c>
      <c r="P4" s="5" t="inlineStr">
        <is>
          <t>令和8年</t>
        </is>
      </c>
    </row>
    <row r="5">
      <c r="A5" s="6" t="inlineStr">
        <is>
          <t>広域連合</t>
        </is>
      </c>
      <c r="B5" s="10" t="n">
        <v>28.4</v>
      </c>
      <c r="C5" s="10" t="n">
        <v>29.1</v>
      </c>
      <c r="D5" s="10" t="n">
        <v>29.9</v>
      </c>
      <c r="E5" s="10" t="n">
        <v>30.3</v>
      </c>
      <c r="F5" s="10" t="n">
        <v>31</v>
      </c>
      <c r="G5" s="10" t="n">
        <v>31.2</v>
      </c>
      <c r="H5" s="10" t="n">
        <v>31.7</v>
      </c>
      <c r="I5" s="10" t="n">
        <v>32.2</v>
      </c>
      <c r="J5" s="10" t="n">
        <v>32.8</v>
      </c>
      <c r="K5" s="10" t="n">
        <v>32.8</v>
      </c>
      <c r="L5" s="10" t="n">
        <v>33</v>
      </c>
      <c r="M5" s="10" t="n">
        <v>33</v>
      </c>
      <c r="N5" s="11" t="n"/>
      <c r="O5" s="11" t="n"/>
      <c r="P5" s="11" t="n"/>
    </row>
    <row r="6">
      <c r="A6" s="6" t="inlineStr">
        <is>
          <t>東川町</t>
        </is>
      </c>
      <c r="B6" s="10" t="n">
        <v>28.7</v>
      </c>
      <c r="C6" s="10" t="n">
        <v>29.7</v>
      </c>
      <c r="D6" s="10" t="n">
        <v>31.1</v>
      </c>
      <c r="E6" s="10" t="n">
        <v>31.5</v>
      </c>
      <c r="F6" s="10" t="n">
        <v>32.1</v>
      </c>
      <c r="G6" s="10" t="n">
        <v>32</v>
      </c>
      <c r="H6" s="10" t="n">
        <v>32.2</v>
      </c>
      <c r="I6" s="10" t="n">
        <v>32.1</v>
      </c>
      <c r="J6" s="10" t="n">
        <v>32.8</v>
      </c>
      <c r="K6" s="10" t="n">
        <v>32.3</v>
      </c>
      <c r="L6" s="10" t="n">
        <v>31.8</v>
      </c>
      <c r="M6" s="10" t="n">
        <v>31.4</v>
      </c>
      <c r="N6" s="11" t="n"/>
      <c r="O6" s="11" t="n"/>
      <c r="P6" s="11" t="n"/>
    </row>
    <row r="7">
      <c r="A7" s="6" t="inlineStr">
        <is>
          <t>美瑛町</t>
        </is>
      </c>
      <c r="B7" s="10" t="n">
        <v>33.6</v>
      </c>
      <c r="C7" s="10" t="n">
        <v>34.4</v>
      </c>
      <c r="D7" s="10" t="n">
        <v>35.2</v>
      </c>
      <c r="E7" s="10" t="n">
        <v>35.9</v>
      </c>
      <c r="F7" s="10" t="n">
        <v>36.5</v>
      </c>
      <c r="G7" s="10" t="n">
        <v>36.7</v>
      </c>
      <c r="H7" s="10" t="n">
        <v>37.3</v>
      </c>
      <c r="I7" s="10" t="n">
        <v>37.9</v>
      </c>
      <c r="J7" s="10" t="n">
        <v>38.4</v>
      </c>
      <c r="K7" s="10" t="n">
        <v>38.6</v>
      </c>
      <c r="L7" s="10" t="n">
        <v>38.7</v>
      </c>
      <c r="M7" s="10" t="n">
        <v>38.8</v>
      </c>
      <c r="N7" s="11" t="n"/>
      <c r="O7" s="11" t="n"/>
      <c r="P7" s="11" t="n"/>
    </row>
    <row r="8">
      <c r="A8" s="6" t="inlineStr">
        <is>
          <t>東神楽町</t>
        </is>
      </c>
      <c r="B8" s="10" t="n">
        <v>22.5</v>
      </c>
      <c r="C8" s="10" t="n">
        <v>23</v>
      </c>
      <c r="D8" s="10" t="n">
        <v>23.4</v>
      </c>
      <c r="E8" s="10" t="n">
        <v>23.8</v>
      </c>
      <c r="F8" s="10" t="n">
        <v>24.5</v>
      </c>
      <c r="G8" s="10" t="n">
        <v>25.2</v>
      </c>
      <c r="H8" s="10" t="n">
        <v>25.8</v>
      </c>
      <c r="I8" s="10" t="n">
        <v>26.7</v>
      </c>
      <c r="J8" s="10" t="n">
        <v>27.4</v>
      </c>
      <c r="K8" s="10" t="n">
        <v>27.7</v>
      </c>
      <c r="L8" s="10" t="n">
        <v>28.4</v>
      </c>
      <c r="M8" s="10" t="n">
        <v>28.7</v>
      </c>
      <c r="N8" s="11" t="n"/>
      <c r="O8" s="11" t="n"/>
      <c r="P8" s="11" t="n"/>
    </row>
    <row r="9" ht="26" customHeight="1">
      <c r="A9" s="4" t="inlineStr">
        <is>
          <t>注）東川町の高齢化率は令和2年の32.8％をピークに緩やかな下降傾向、美瑛町・東神楽町は上昇傾向で推移している（第9期計画 第2章第1節1）。令和6～8年（淡黄色欄）は実績受領後に入力する。</t>
        </is>
      </c>
    </row>
  </sheetData>
  <mergeCells count="3">
    <mergeCell ref="A1:P1"/>
    <mergeCell ref="A9:M9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4" customHeight="1">
      <c r="A1" s="1" t="inlineStr">
        <is>
          <t>図3　高齢者を含む世帯の状況</t>
        </is>
      </c>
    </row>
    <row r="2" ht="16" customHeight="1">
      <c r="A2" s="2" t="inlineStr">
        <is>
          <t>資料：国勢調査（平成22年・平成27年・令和2年）（第9期計画 第2章第1節2）／単位：世帯・％</t>
        </is>
      </c>
    </row>
    <row r="4">
      <c r="A4" s="12" t="inlineStr">
        <is>
          <t>（1）世帯数</t>
        </is>
      </c>
    </row>
    <row r="5">
      <c r="A5" s="5" t="inlineStr">
        <is>
          <t>区分</t>
        </is>
      </c>
      <c r="B5" s="5" t="inlineStr">
        <is>
          <t>平成22年</t>
        </is>
      </c>
      <c r="C5" s="5" t="inlineStr">
        <is>
          <t>平成27年</t>
        </is>
      </c>
      <c r="D5" s="5" t="inlineStr">
        <is>
          <t>令和2年</t>
        </is>
      </c>
    </row>
    <row r="6">
      <c r="A6" s="6" t="inlineStr">
        <is>
          <t>一般世帯　広域連合</t>
        </is>
      </c>
      <c r="B6" s="8" t="n">
        <v>10536</v>
      </c>
      <c r="C6" s="8" t="n">
        <v>11050</v>
      </c>
      <c r="D6" s="8" t="n">
        <v>11426</v>
      </c>
    </row>
    <row r="7">
      <c r="A7" s="6" t="inlineStr">
        <is>
          <t xml:space="preserve">　東川町</t>
        </is>
      </c>
      <c r="B7" s="8" t="n">
        <v>2965</v>
      </c>
      <c r="C7" s="8" t="n">
        <v>3132</v>
      </c>
      <c r="D7" s="8" t="n">
        <v>3391</v>
      </c>
    </row>
    <row r="8">
      <c r="A8" s="6" t="inlineStr">
        <is>
          <t xml:space="preserve">　美瑛町</t>
        </is>
      </c>
      <c r="B8" s="8" t="n">
        <v>4289</v>
      </c>
      <c r="C8" s="8" t="n">
        <v>4274</v>
      </c>
      <c r="D8" s="8" t="n">
        <v>4205</v>
      </c>
    </row>
    <row r="9">
      <c r="A9" s="6" t="inlineStr">
        <is>
          <t xml:space="preserve">　東神楽町</t>
        </is>
      </c>
      <c r="B9" s="8" t="n">
        <v>3282</v>
      </c>
      <c r="C9" s="8" t="n">
        <v>3644</v>
      </c>
      <c r="D9" s="8" t="n">
        <v>3830</v>
      </c>
    </row>
    <row r="10">
      <c r="A10" s="6" t="inlineStr">
        <is>
          <t>高齢者を含む世帯　広域連合</t>
        </is>
      </c>
      <c r="B10" s="8" t="n">
        <v>4885</v>
      </c>
      <c r="C10" s="8" t="n">
        <v>5318</v>
      </c>
      <c r="D10" s="8" t="n">
        <v>5622</v>
      </c>
    </row>
    <row r="11">
      <c r="A11" s="6" t="inlineStr">
        <is>
          <t xml:space="preserve">　東川町</t>
        </is>
      </c>
      <c r="B11" s="8" t="n">
        <v>1316</v>
      </c>
      <c r="C11" s="8" t="n">
        <v>1506</v>
      </c>
      <c r="D11" s="8" t="n">
        <v>1620</v>
      </c>
    </row>
    <row r="12">
      <c r="A12" s="6" t="inlineStr">
        <is>
          <t xml:space="preserve">　美瑛町</t>
        </is>
      </c>
      <c r="B12" s="8" t="n">
        <v>2330</v>
      </c>
      <c r="C12" s="8" t="n">
        <v>2341</v>
      </c>
      <c r="D12" s="8" t="n">
        <v>2353</v>
      </c>
    </row>
    <row r="13">
      <c r="A13" s="6" t="inlineStr">
        <is>
          <t xml:space="preserve">　東神楽町</t>
        </is>
      </c>
      <c r="B13" s="8" t="n">
        <v>1239</v>
      </c>
      <c r="C13" s="8" t="n">
        <v>1471</v>
      </c>
      <c r="D13" s="8" t="n">
        <v>1649</v>
      </c>
    </row>
    <row r="14">
      <c r="A14" s="6" t="inlineStr">
        <is>
          <t>高齢者夫婦世帯　広域連合</t>
        </is>
      </c>
      <c r="B14" s="8" t="n">
        <v>1461</v>
      </c>
      <c r="C14" s="8" t="n">
        <v>1697</v>
      </c>
      <c r="D14" s="8" t="n">
        <v>1950</v>
      </c>
    </row>
    <row r="15">
      <c r="A15" s="6" t="inlineStr">
        <is>
          <t xml:space="preserve">　東川町</t>
        </is>
      </c>
      <c r="B15" s="8" t="n">
        <v>387</v>
      </c>
      <c r="C15" s="8" t="n">
        <v>504</v>
      </c>
      <c r="D15" s="8" t="n">
        <v>596</v>
      </c>
    </row>
    <row r="16">
      <c r="A16" s="6" t="inlineStr">
        <is>
          <t xml:space="preserve">　美瑛町</t>
        </is>
      </c>
      <c r="B16" s="8" t="n">
        <v>667</v>
      </c>
      <c r="C16" s="8" t="n">
        <v>739</v>
      </c>
      <c r="D16" s="8" t="n">
        <v>743</v>
      </c>
    </row>
    <row r="17">
      <c r="A17" s="6" t="inlineStr">
        <is>
          <t xml:space="preserve">　東神楽町</t>
        </is>
      </c>
      <c r="B17" s="8" t="n">
        <v>407</v>
      </c>
      <c r="C17" s="8" t="n">
        <v>454</v>
      </c>
      <c r="D17" s="8" t="n">
        <v>611</v>
      </c>
    </row>
    <row r="18">
      <c r="A18" s="6" t="inlineStr">
        <is>
          <t>高齢者単身世帯　広域連合</t>
        </is>
      </c>
      <c r="B18" s="8" t="n">
        <v>1076</v>
      </c>
      <c r="C18" s="8" t="n">
        <v>1331</v>
      </c>
      <c r="D18" s="8" t="n">
        <v>1638</v>
      </c>
    </row>
    <row r="19">
      <c r="A19" s="6" t="inlineStr">
        <is>
          <t xml:space="preserve">　東川町</t>
        </is>
      </c>
      <c r="B19" s="8" t="n">
        <v>295</v>
      </c>
      <c r="C19" s="8" t="n">
        <v>363</v>
      </c>
      <c r="D19" s="8" t="n">
        <v>490</v>
      </c>
    </row>
    <row r="20">
      <c r="A20" s="6" t="inlineStr">
        <is>
          <t xml:space="preserve">　美瑛町</t>
        </is>
      </c>
      <c r="B20" s="8" t="n">
        <v>531</v>
      </c>
      <c r="C20" s="8" t="n">
        <v>653</v>
      </c>
      <c r="D20" s="8" t="n">
        <v>714</v>
      </c>
    </row>
    <row r="21">
      <c r="A21" s="6" t="inlineStr">
        <is>
          <t xml:space="preserve">　東神楽町</t>
        </is>
      </c>
      <c r="B21" s="8" t="n">
        <v>250</v>
      </c>
      <c r="C21" s="8" t="n">
        <v>315</v>
      </c>
      <c r="D21" s="8" t="n">
        <v>434</v>
      </c>
    </row>
    <row r="23">
      <c r="A23" s="12" t="inlineStr">
        <is>
          <t>（2）高齢者を含む世帯の構成割合</t>
        </is>
      </c>
    </row>
    <row r="24">
      <c r="A24" s="5" t="inlineStr">
        <is>
          <t>区分</t>
        </is>
      </c>
      <c r="B24" s="5" t="inlineStr">
        <is>
          <t>高齢者夫婦世帯</t>
        </is>
      </c>
      <c r="C24" s="5" t="inlineStr">
        <is>
          <t>高齢者単身世帯</t>
        </is>
      </c>
      <c r="D24" s="5" t="inlineStr">
        <is>
          <t>その他の高齢者を含む世帯</t>
        </is>
      </c>
    </row>
    <row r="25">
      <c r="A25" s="6" t="inlineStr">
        <is>
          <t>広域連合（平成22年）</t>
        </is>
      </c>
      <c r="B25" s="10" t="n">
        <v>29.9</v>
      </c>
      <c r="C25" s="10" t="n">
        <v>22</v>
      </c>
      <c r="D25" s="10" t="n">
        <v>48.1</v>
      </c>
    </row>
    <row r="26">
      <c r="A26" s="6" t="inlineStr">
        <is>
          <t>広域連合（平成27年）</t>
        </is>
      </c>
      <c r="B26" s="10" t="n">
        <v>31.9</v>
      </c>
      <c r="C26" s="10" t="n">
        <v>25</v>
      </c>
      <c r="D26" s="10" t="n">
        <v>43.1</v>
      </c>
    </row>
    <row r="27">
      <c r="A27" s="6" t="inlineStr">
        <is>
          <t>広域連合（令和2年）</t>
        </is>
      </c>
      <c r="B27" s="10" t="n">
        <v>34.7</v>
      </c>
      <c r="C27" s="10" t="n">
        <v>29.1</v>
      </c>
      <c r="D27" s="10" t="n">
        <v>36.2</v>
      </c>
    </row>
    <row r="28">
      <c r="A28" s="6" t="inlineStr">
        <is>
          <t>東川町（令和2年）</t>
        </is>
      </c>
      <c r="B28" s="10" t="n">
        <v>36.8</v>
      </c>
      <c r="C28" s="10" t="n">
        <v>30.2</v>
      </c>
      <c r="D28" s="10" t="n">
        <v>33</v>
      </c>
    </row>
    <row r="29">
      <c r="A29" s="6" t="inlineStr">
        <is>
          <t>美瑛町（令和2年）</t>
        </is>
      </c>
      <c r="B29" s="10" t="n">
        <v>31.6</v>
      </c>
      <c r="C29" s="10" t="n">
        <v>30.3</v>
      </c>
      <c r="D29" s="10" t="n">
        <v>38.1</v>
      </c>
    </row>
    <row r="30">
      <c r="A30" s="6" t="inlineStr">
        <is>
          <t>東神楽町（令和2年）</t>
        </is>
      </c>
      <c r="B30" s="10" t="n">
        <v>37.1</v>
      </c>
      <c r="C30" s="10" t="n">
        <v>26.3</v>
      </c>
      <c r="D30" s="10" t="n">
        <v>36.6</v>
      </c>
    </row>
    <row r="31" ht="26" customHeight="1">
      <c r="A31" s="4" t="inlineStr">
        <is>
          <t>注）構成割合は「高齢者を含む世帯」に占める割合。令和2年では高齢者単身世帯の割合は美瑛町が30.3％と最も高く、高齢者夫婦世帯の割合は東神楽町が37.1％と最も高い（第9期計画 第2章第1節2）。次回は令和7年国勢調査の公表後に更新する。</t>
        </is>
      </c>
    </row>
  </sheetData>
  <mergeCells count="3">
    <mergeCell ref="A1:J1"/>
    <mergeCell ref="A31:M3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1" t="inlineStr">
        <is>
          <t>図4　要介護（要支援）認定者数の推移（大雪地区広域連合）</t>
        </is>
      </c>
    </row>
    <row r="2" ht="16" customHeight="1">
      <c r="A2" s="2" t="inlineStr">
        <is>
          <t>資料：介護保険事業状況報告 各年9月分（第9期計画 第2章第1節3）／単位：人</t>
        </is>
      </c>
    </row>
    <row r="4">
      <c r="A4" s="5" t="inlineStr">
        <is>
          <t>区分</t>
        </is>
      </c>
      <c r="B4" s="5" t="inlineStr">
        <is>
          <t>平成24年</t>
        </is>
      </c>
      <c r="C4" s="5" t="inlineStr">
        <is>
          <t>平成25年</t>
        </is>
      </c>
      <c r="D4" s="5" t="inlineStr">
        <is>
          <t>平成26年</t>
        </is>
      </c>
      <c r="E4" s="5" t="inlineStr">
        <is>
          <t>平成27年</t>
        </is>
      </c>
      <c r="F4" s="5" t="inlineStr">
        <is>
          <t>平成28年</t>
        </is>
      </c>
      <c r="G4" s="5" t="inlineStr">
        <is>
          <t>平成29年</t>
        </is>
      </c>
      <c r="H4" s="5" t="inlineStr">
        <is>
          <t>平成30年</t>
        </is>
      </c>
      <c r="I4" s="5" t="inlineStr">
        <is>
          <t>令和元年</t>
        </is>
      </c>
      <c r="J4" s="5" t="inlineStr">
        <is>
          <t>令和2年</t>
        </is>
      </c>
      <c r="K4" s="5" t="inlineStr">
        <is>
          <t>令和3年</t>
        </is>
      </c>
      <c r="L4" s="5" t="inlineStr">
        <is>
          <t>令和4年</t>
        </is>
      </c>
      <c r="M4" s="5" t="inlineStr">
        <is>
          <t>令和5年</t>
        </is>
      </c>
      <c r="N4" s="5" t="inlineStr">
        <is>
          <t>令和6年</t>
        </is>
      </c>
      <c r="O4" s="5" t="inlineStr">
        <is>
          <t>令和7年</t>
        </is>
      </c>
      <c r="P4" s="5" t="inlineStr">
        <is>
          <t>令和8年</t>
        </is>
      </c>
    </row>
    <row r="5">
      <c r="A5" s="6" t="inlineStr">
        <is>
          <t>要支援1</t>
        </is>
      </c>
      <c r="B5" s="8" t="n">
        <v>169</v>
      </c>
      <c r="C5" s="8" t="n">
        <v>221</v>
      </c>
      <c r="D5" s="8" t="n">
        <v>264</v>
      </c>
      <c r="E5" s="8" t="n">
        <v>325</v>
      </c>
      <c r="F5" s="8" t="n">
        <v>297</v>
      </c>
      <c r="G5" s="8" t="n">
        <v>274</v>
      </c>
      <c r="H5" s="8" t="n">
        <v>289</v>
      </c>
      <c r="I5" s="8" t="n">
        <v>275</v>
      </c>
      <c r="J5" s="8" t="n">
        <v>271</v>
      </c>
      <c r="K5" s="8" t="n">
        <v>254</v>
      </c>
      <c r="L5" s="8" t="n">
        <v>239</v>
      </c>
      <c r="M5" s="8" t="n">
        <v>248</v>
      </c>
      <c r="N5" s="9" t="n"/>
      <c r="O5" s="9" t="n"/>
      <c r="P5" s="9" t="n"/>
    </row>
    <row r="6">
      <c r="A6" s="6" t="inlineStr">
        <is>
          <t>要支援2</t>
        </is>
      </c>
      <c r="B6" s="8" t="n">
        <v>243</v>
      </c>
      <c r="C6" s="8" t="n">
        <v>270</v>
      </c>
      <c r="D6" s="8" t="n">
        <v>282</v>
      </c>
      <c r="E6" s="8" t="n">
        <v>288</v>
      </c>
      <c r="F6" s="8" t="n">
        <v>263</v>
      </c>
      <c r="G6" s="8" t="n">
        <v>268</v>
      </c>
      <c r="H6" s="8" t="n">
        <v>256</v>
      </c>
      <c r="I6" s="8" t="n">
        <v>295</v>
      </c>
      <c r="J6" s="8" t="n">
        <v>302</v>
      </c>
      <c r="K6" s="8" t="n">
        <v>300</v>
      </c>
      <c r="L6" s="8" t="n">
        <v>313</v>
      </c>
      <c r="M6" s="8" t="n">
        <v>285</v>
      </c>
      <c r="N6" s="9" t="n"/>
      <c r="O6" s="9" t="n"/>
      <c r="P6" s="9" t="n"/>
    </row>
    <row r="7">
      <c r="A7" s="6" t="inlineStr">
        <is>
          <t>要介護1</t>
        </is>
      </c>
      <c r="B7" s="8" t="n">
        <v>336</v>
      </c>
      <c r="C7" s="8" t="n">
        <v>354</v>
      </c>
      <c r="D7" s="8" t="n">
        <v>396</v>
      </c>
      <c r="E7" s="8" t="n">
        <v>410</v>
      </c>
      <c r="F7" s="8" t="n">
        <v>415</v>
      </c>
      <c r="G7" s="8" t="n">
        <v>420</v>
      </c>
      <c r="H7" s="8" t="n">
        <v>447</v>
      </c>
      <c r="I7" s="8" t="n">
        <v>438</v>
      </c>
      <c r="J7" s="8" t="n">
        <v>424</v>
      </c>
      <c r="K7" s="8" t="n">
        <v>482</v>
      </c>
      <c r="L7" s="8" t="n">
        <v>470</v>
      </c>
      <c r="M7" s="8" t="n">
        <v>492</v>
      </c>
      <c r="N7" s="9" t="n"/>
      <c r="O7" s="9" t="n"/>
      <c r="P7" s="9" t="n"/>
    </row>
    <row r="8">
      <c r="A8" s="6" t="inlineStr">
        <is>
          <t>要介護2</t>
        </is>
      </c>
      <c r="B8" s="8" t="n">
        <v>283</v>
      </c>
      <c r="C8" s="8" t="n">
        <v>274</v>
      </c>
      <c r="D8" s="8" t="n">
        <v>301</v>
      </c>
      <c r="E8" s="8" t="n">
        <v>315</v>
      </c>
      <c r="F8" s="8" t="n">
        <v>306</v>
      </c>
      <c r="G8" s="8" t="n">
        <v>323</v>
      </c>
      <c r="H8" s="8" t="n">
        <v>320</v>
      </c>
      <c r="I8" s="8" t="n">
        <v>315</v>
      </c>
      <c r="J8" s="8" t="n">
        <v>323</v>
      </c>
      <c r="K8" s="8" t="n">
        <v>320</v>
      </c>
      <c r="L8" s="8" t="n">
        <v>350</v>
      </c>
      <c r="M8" s="8" t="n">
        <v>329</v>
      </c>
      <c r="N8" s="9" t="n"/>
      <c r="O8" s="9" t="n"/>
      <c r="P8" s="9" t="n"/>
    </row>
    <row r="9">
      <c r="A9" s="6" t="inlineStr">
        <is>
          <t>要介護3</t>
        </is>
      </c>
      <c r="B9" s="8" t="n">
        <v>222</v>
      </c>
      <c r="C9" s="8" t="n">
        <v>223</v>
      </c>
      <c r="D9" s="8" t="n">
        <v>196</v>
      </c>
      <c r="E9" s="8" t="n">
        <v>198</v>
      </c>
      <c r="F9" s="8" t="n">
        <v>220</v>
      </c>
      <c r="G9" s="8" t="n">
        <v>250</v>
      </c>
      <c r="H9" s="8" t="n">
        <v>228</v>
      </c>
      <c r="I9" s="8" t="n">
        <v>235</v>
      </c>
      <c r="J9" s="8" t="n">
        <v>237</v>
      </c>
      <c r="K9" s="8" t="n">
        <v>224</v>
      </c>
      <c r="L9" s="8" t="n">
        <v>229</v>
      </c>
      <c r="M9" s="8" t="n">
        <v>247</v>
      </c>
      <c r="N9" s="9" t="n"/>
      <c r="O9" s="9" t="n"/>
      <c r="P9" s="9" t="n"/>
    </row>
    <row r="10">
      <c r="A10" s="6" t="inlineStr">
        <is>
          <t>要介護4</t>
        </is>
      </c>
      <c r="B10" s="8" t="n">
        <v>175</v>
      </c>
      <c r="C10" s="8" t="n">
        <v>191</v>
      </c>
      <c r="D10" s="8" t="n">
        <v>190</v>
      </c>
      <c r="E10" s="8" t="n">
        <v>198</v>
      </c>
      <c r="F10" s="8" t="n">
        <v>211</v>
      </c>
      <c r="G10" s="8" t="n">
        <v>195</v>
      </c>
      <c r="H10" s="8" t="n">
        <v>182</v>
      </c>
      <c r="I10" s="8" t="n">
        <v>209</v>
      </c>
      <c r="J10" s="8" t="n">
        <v>210</v>
      </c>
      <c r="K10" s="8" t="n">
        <v>232</v>
      </c>
      <c r="L10" s="8" t="n">
        <v>213</v>
      </c>
      <c r="M10" s="8" t="n">
        <v>222</v>
      </c>
      <c r="N10" s="9" t="n"/>
      <c r="O10" s="9" t="n"/>
      <c r="P10" s="9" t="n"/>
    </row>
    <row r="11">
      <c r="A11" s="6" t="inlineStr">
        <is>
          <t>要介護5</t>
        </is>
      </c>
      <c r="B11" s="8" t="n">
        <v>181</v>
      </c>
      <c r="C11" s="8" t="n">
        <v>198</v>
      </c>
      <c r="D11" s="8" t="n">
        <v>188</v>
      </c>
      <c r="E11" s="8" t="n">
        <v>170</v>
      </c>
      <c r="F11" s="8" t="n">
        <v>177</v>
      </c>
      <c r="G11" s="8" t="n">
        <v>170</v>
      </c>
      <c r="H11" s="8" t="n">
        <v>179</v>
      </c>
      <c r="I11" s="8" t="n">
        <v>161</v>
      </c>
      <c r="J11" s="8" t="n">
        <v>154</v>
      </c>
      <c r="K11" s="8" t="n">
        <v>158</v>
      </c>
      <c r="L11" s="8" t="n">
        <v>158</v>
      </c>
      <c r="M11" s="8" t="n">
        <v>153</v>
      </c>
      <c r="N11" s="9" t="n"/>
      <c r="O11" s="9" t="n"/>
      <c r="P11" s="9" t="n"/>
    </row>
    <row r="12">
      <c r="A12" s="6" t="inlineStr">
        <is>
          <t>合計</t>
        </is>
      </c>
      <c r="B12" s="13">
        <f>SUM(B5:B11)</f>
        <v/>
      </c>
      <c r="C12" s="13">
        <f>SUM(C5:C11)</f>
        <v/>
      </c>
      <c r="D12" s="13">
        <f>SUM(D5:D11)</f>
        <v/>
      </c>
      <c r="E12" s="13">
        <f>SUM(E5:E11)</f>
        <v/>
      </c>
      <c r="F12" s="13">
        <f>SUM(F5:F11)</f>
        <v/>
      </c>
      <c r="G12" s="13">
        <f>SUM(G5:G11)</f>
        <v/>
      </c>
      <c r="H12" s="13">
        <f>SUM(H5:H11)</f>
        <v/>
      </c>
      <c r="I12" s="13">
        <f>SUM(I5:I11)</f>
        <v/>
      </c>
      <c r="J12" s="13">
        <f>SUM(J5:J11)</f>
        <v/>
      </c>
      <c r="K12" s="13">
        <f>SUM(K5:K11)</f>
        <v/>
      </c>
      <c r="L12" s="13">
        <f>SUM(L5:L11)</f>
        <v/>
      </c>
      <c r="M12" s="13">
        <f>SUM(M5:M11)</f>
        <v/>
      </c>
      <c r="N12" s="13">
        <f>SUM(N5:N11)</f>
        <v/>
      </c>
      <c r="O12" s="13">
        <f>SUM(O5:O11)</f>
        <v/>
      </c>
      <c r="P12" s="13">
        <f>SUM(P5:P11)</f>
        <v/>
      </c>
    </row>
    <row r="13" ht="26" customHeight="1">
      <c r="A13" s="4" t="inlineStr">
        <is>
          <t>注）第1号・第2号被保険者の合計。令和5年の合計1,976人は第9期計画の記載と一致する。要支援1～要介護4は増加傾向、要介護5は減少傾向で推移している（第9期計画 第2章第1節3）。令和6～8年（淡黄色欄）は各年9月分の実績受領後に入力する。</t>
        </is>
      </c>
    </row>
  </sheetData>
  <mergeCells count="3">
    <mergeCell ref="A1:P1"/>
    <mergeCell ref="A13:M13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4" customHeight="1">
      <c r="A1" s="1" t="inlineStr">
        <is>
          <t>図5　認定者割合の比較（令和5年9月）</t>
        </is>
      </c>
    </row>
    <row r="2" ht="16" customHeight="1">
      <c r="A2" s="2" t="inlineStr">
        <is>
          <t>資料：介護保険事業状況報告 令和5年9月分（第9期計画 第2章第1節3）／単位：％</t>
        </is>
      </c>
    </row>
    <row r="4">
      <c r="A4" s="5" t="inlineStr">
        <is>
          <t>区分</t>
        </is>
      </c>
      <c r="B4" s="5" t="inlineStr">
        <is>
          <t>要支援1</t>
        </is>
      </c>
      <c r="C4" s="5" t="inlineStr">
        <is>
          <t>要支援2</t>
        </is>
      </c>
      <c r="D4" s="5" t="inlineStr">
        <is>
          <t>要介護1</t>
        </is>
      </c>
      <c r="E4" s="5" t="inlineStr">
        <is>
          <t>要介護2</t>
        </is>
      </c>
      <c r="F4" s="5" t="inlineStr">
        <is>
          <t>要介護3</t>
        </is>
      </c>
      <c r="G4" s="5" t="inlineStr">
        <is>
          <t>要介護4</t>
        </is>
      </c>
      <c r="H4" s="5" t="inlineStr">
        <is>
          <t>要介護5</t>
        </is>
      </c>
    </row>
    <row r="5">
      <c r="A5" s="6" t="inlineStr">
        <is>
          <t>全国</t>
        </is>
      </c>
      <c r="B5" s="10" t="n">
        <v>14.2</v>
      </c>
      <c r="C5" s="10" t="n">
        <v>13.9</v>
      </c>
      <c r="D5" s="10" t="n">
        <v>20.7</v>
      </c>
      <c r="E5" s="10" t="n">
        <v>16.7</v>
      </c>
      <c r="F5" s="10" t="n">
        <v>13.2</v>
      </c>
      <c r="G5" s="10" t="n">
        <v>12.7</v>
      </c>
      <c r="H5" s="10" t="n">
        <v>8.5</v>
      </c>
    </row>
    <row r="6">
      <c r="A6" s="6" t="inlineStr">
        <is>
          <t>北海道</t>
        </is>
      </c>
      <c r="B6" s="10" t="n">
        <v>18.4</v>
      </c>
      <c r="C6" s="10" t="n">
        <v>14.6</v>
      </c>
      <c r="D6" s="10" t="n">
        <v>23.1</v>
      </c>
      <c r="E6" s="10" t="n">
        <v>15.7</v>
      </c>
      <c r="F6" s="10" t="n">
        <v>10.6</v>
      </c>
      <c r="G6" s="10" t="n">
        <v>10.4</v>
      </c>
      <c r="H6" s="10" t="n">
        <v>7.2</v>
      </c>
    </row>
    <row r="7">
      <c r="A7" s="6" t="inlineStr">
        <is>
          <t>広域連合</t>
        </is>
      </c>
      <c r="B7" s="10" t="n">
        <v>12.6</v>
      </c>
      <c r="C7" s="10" t="n">
        <v>14.4</v>
      </c>
      <c r="D7" s="10" t="n">
        <v>24.9</v>
      </c>
      <c r="E7" s="10" t="n">
        <v>16.6</v>
      </c>
      <c r="F7" s="10" t="n">
        <v>12.5</v>
      </c>
      <c r="G7" s="10" t="n">
        <v>11.2</v>
      </c>
      <c r="H7" s="10" t="n">
        <v>7.7</v>
      </c>
    </row>
    <row r="8">
      <c r="A8" s="6" t="inlineStr">
        <is>
          <t>東川町</t>
        </is>
      </c>
      <c r="B8" s="10" t="n">
        <v>9.9</v>
      </c>
      <c r="C8" s="10" t="n">
        <v>14.8</v>
      </c>
      <c r="D8" s="10" t="n">
        <v>23.4</v>
      </c>
      <c r="E8" s="10" t="n">
        <v>18.1</v>
      </c>
      <c r="F8" s="10" t="n">
        <v>11.7</v>
      </c>
      <c r="G8" s="10" t="n">
        <v>13.1</v>
      </c>
      <c r="H8" s="10" t="n">
        <v>9.1</v>
      </c>
    </row>
    <row r="9">
      <c r="A9" s="6" t="inlineStr">
        <is>
          <t>美瑛町</t>
        </is>
      </c>
      <c r="B9" s="10" t="n">
        <v>14.2</v>
      </c>
      <c r="C9" s="10" t="n">
        <v>14.7</v>
      </c>
      <c r="D9" s="10" t="n">
        <v>23.6</v>
      </c>
      <c r="E9" s="10" t="n">
        <v>16.3</v>
      </c>
      <c r="F9" s="10" t="n">
        <v>14.3</v>
      </c>
      <c r="G9" s="10" t="n">
        <v>10.4</v>
      </c>
      <c r="H9" s="10" t="n">
        <v>6.4</v>
      </c>
    </row>
    <row r="10">
      <c r="A10" s="6" t="inlineStr">
        <is>
          <t>東神楽町</t>
        </is>
      </c>
      <c r="B10" s="10" t="n">
        <v>12.5</v>
      </c>
      <c r="C10" s="10" t="n">
        <v>13.6</v>
      </c>
      <c r="D10" s="10" t="n">
        <v>28.7</v>
      </c>
      <c r="E10" s="10" t="n">
        <v>15.7</v>
      </c>
      <c r="F10" s="10" t="n">
        <v>10.2</v>
      </c>
      <c r="G10" s="10" t="n">
        <v>10.7</v>
      </c>
      <c r="H10" s="10" t="n">
        <v>8.6</v>
      </c>
    </row>
    <row r="11" ht="26" customHeight="1">
      <c r="A11" s="4" t="inlineStr">
        <is>
          <t>注）東川町は「要支援1」の割合が9.9％と全国・北海道・他町より低く、美瑛町は「要支援1」14.2％と「要介護3」14.3％が他町より高い。東神楽町は「要介護1」の割合が28.7％と全国・北海道・他町より高い（第9期計画 第2章第1節3）。</t>
        </is>
      </c>
    </row>
  </sheetData>
  <mergeCells count="3">
    <mergeCell ref="A11:M11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1" t="inlineStr">
        <is>
          <t>図6　要支援・要介護認定者の出現率</t>
        </is>
      </c>
    </row>
    <row r="2" ht="16" customHeight="1">
      <c r="A2" s="2" t="inlineStr">
        <is>
          <t>資料：介護保険事業状況報告 各年9月分（第9期計画 第2章第1節3）／出現率＝第1号認定者数÷第1号被保険者数・単位：％</t>
        </is>
      </c>
    </row>
    <row r="4">
      <c r="A4" s="12" t="inlineStr">
        <is>
          <t>（1）出現率の推移（全国・北海道との比較）</t>
        </is>
      </c>
    </row>
    <row r="5">
      <c r="A5" s="5" t="inlineStr">
        <is>
          <t>区分</t>
        </is>
      </c>
      <c r="B5" s="5" t="inlineStr">
        <is>
          <t>平成24年</t>
        </is>
      </c>
      <c r="C5" s="5" t="inlineStr">
        <is>
          <t>平成25年</t>
        </is>
      </c>
      <c r="D5" s="5" t="inlineStr">
        <is>
          <t>平成26年</t>
        </is>
      </c>
      <c r="E5" s="5" t="inlineStr">
        <is>
          <t>平成27年</t>
        </is>
      </c>
      <c r="F5" s="5" t="inlineStr">
        <is>
          <t>平成28年</t>
        </is>
      </c>
      <c r="G5" s="5" t="inlineStr">
        <is>
          <t>平成29年</t>
        </is>
      </c>
      <c r="H5" s="5" t="inlineStr">
        <is>
          <t>平成30年</t>
        </is>
      </c>
      <c r="I5" s="5" t="inlineStr">
        <is>
          <t>令和元年</t>
        </is>
      </c>
      <c r="J5" s="5" t="inlineStr">
        <is>
          <t>令和2年</t>
        </is>
      </c>
      <c r="K5" s="5" t="inlineStr">
        <is>
          <t>令和3年</t>
        </is>
      </c>
      <c r="L5" s="5" t="inlineStr">
        <is>
          <t>令和4年</t>
        </is>
      </c>
      <c r="M5" s="5" t="inlineStr">
        <is>
          <t>令和5年</t>
        </is>
      </c>
      <c r="N5" s="5" t="inlineStr">
        <is>
          <t>令和6年</t>
        </is>
      </c>
      <c r="O5" s="5" t="inlineStr">
        <is>
          <t>令和7年</t>
        </is>
      </c>
      <c r="P5" s="5" t="inlineStr">
        <is>
          <t>令和8年</t>
        </is>
      </c>
    </row>
    <row r="6">
      <c r="A6" s="6" t="inlineStr">
        <is>
          <t>広域連合</t>
        </is>
      </c>
      <c r="B6" s="10" t="n">
        <v>19.3</v>
      </c>
      <c r="C6" s="10" t="n">
        <v>20.2</v>
      </c>
      <c r="D6" s="10" t="n">
        <v>20.6</v>
      </c>
      <c r="E6" s="10" t="n">
        <v>21.2</v>
      </c>
      <c r="F6" s="10" t="n">
        <v>20.7</v>
      </c>
      <c r="G6" s="10" t="n">
        <v>20.7</v>
      </c>
      <c r="H6" s="10" t="n">
        <v>20.5</v>
      </c>
      <c r="I6" s="10" t="n">
        <v>20.7</v>
      </c>
      <c r="J6" s="10" t="n">
        <v>20.5</v>
      </c>
      <c r="K6" s="10" t="n">
        <v>21</v>
      </c>
      <c r="L6" s="10" t="n">
        <v>21.1</v>
      </c>
      <c r="M6" s="10" t="n">
        <v>21.2</v>
      </c>
      <c r="N6" s="11" t="n"/>
      <c r="O6" s="11" t="n"/>
      <c r="P6" s="11" t="n"/>
    </row>
    <row r="7">
      <c r="A7" s="6" t="inlineStr">
        <is>
          <t>北海道</t>
        </is>
      </c>
      <c r="B7" s="10" t="n">
        <v>18.5</v>
      </c>
      <c r="C7" s="10" t="n">
        <v>18.9</v>
      </c>
      <c r="D7" s="10" t="n">
        <v>19.2</v>
      </c>
      <c r="E7" s="10" t="n">
        <v>19.4</v>
      </c>
      <c r="F7" s="10" t="n">
        <v>19.5</v>
      </c>
      <c r="G7" s="10" t="n">
        <v>19.5</v>
      </c>
      <c r="H7" s="10" t="n">
        <v>19.7</v>
      </c>
      <c r="I7" s="10" t="n">
        <v>20</v>
      </c>
      <c r="J7" s="10" t="n">
        <v>20.2</v>
      </c>
      <c r="K7" s="10" t="n">
        <v>20.4</v>
      </c>
      <c r="L7" s="10" t="n">
        <v>20.6</v>
      </c>
      <c r="M7" s="10" t="n">
        <v>20.8</v>
      </c>
      <c r="N7" s="11" t="n"/>
      <c r="O7" s="11" t="n"/>
      <c r="P7" s="11" t="n"/>
    </row>
    <row r="8">
      <c r="A8" s="6" t="inlineStr">
        <is>
          <t>全国</t>
        </is>
      </c>
      <c r="B8" s="10" t="n">
        <v>17.5</v>
      </c>
      <c r="C8" s="10" t="n">
        <v>17.8</v>
      </c>
      <c r="D8" s="10" t="n">
        <v>17.9</v>
      </c>
      <c r="E8" s="10" t="n">
        <v>18</v>
      </c>
      <c r="F8" s="10" t="n">
        <v>18</v>
      </c>
      <c r="G8" s="10" t="n">
        <v>18.1</v>
      </c>
      <c r="H8" s="10" t="n">
        <v>18.3</v>
      </c>
      <c r="I8" s="10" t="n">
        <v>18.5</v>
      </c>
      <c r="J8" s="10" t="n">
        <v>18.6</v>
      </c>
      <c r="K8" s="10" t="n">
        <v>18.8</v>
      </c>
      <c r="L8" s="10" t="n">
        <v>19.1</v>
      </c>
      <c r="M8" s="10" t="n">
        <v>19.3</v>
      </c>
      <c r="N8" s="11" t="n"/>
      <c r="O8" s="11" t="n"/>
      <c r="P8" s="11" t="n"/>
    </row>
    <row r="10">
      <c r="A10" s="12" t="inlineStr">
        <is>
          <t>（2）町別出現率の推移</t>
        </is>
      </c>
    </row>
    <row r="11">
      <c r="A11" s="5" t="inlineStr">
        <is>
          <t>区分</t>
        </is>
      </c>
      <c r="B11" s="5" t="inlineStr">
        <is>
          <t>平成24年</t>
        </is>
      </c>
      <c r="C11" s="5" t="inlineStr">
        <is>
          <t>平成25年</t>
        </is>
      </c>
      <c r="D11" s="5" t="inlineStr">
        <is>
          <t>平成26年</t>
        </is>
      </c>
      <c r="E11" s="5" t="inlineStr">
        <is>
          <t>平成27年</t>
        </is>
      </c>
      <c r="F11" s="5" t="inlineStr">
        <is>
          <t>平成28年</t>
        </is>
      </c>
      <c r="G11" s="5" t="inlineStr">
        <is>
          <t>平成29年</t>
        </is>
      </c>
      <c r="H11" s="5" t="inlineStr">
        <is>
          <t>平成30年</t>
        </is>
      </c>
      <c r="I11" s="5" t="inlineStr">
        <is>
          <t>令和元年</t>
        </is>
      </c>
      <c r="J11" s="5" t="inlineStr">
        <is>
          <t>令和2年</t>
        </is>
      </c>
      <c r="K11" s="5" t="inlineStr">
        <is>
          <t>令和3年</t>
        </is>
      </c>
      <c r="L11" s="5" t="inlineStr">
        <is>
          <t>令和4年</t>
        </is>
      </c>
      <c r="M11" s="5" t="inlineStr">
        <is>
          <t>令和5年</t>
        </is>
      </c>
      <c r="N11" s="5" t="inlineStr">
        <is>
          <t>令和6年</t>
        </is>
      </c>
      <c r="O11" s="5" t="inlineStr">
        <is>
          <t>令和7年</t>
        </is>
      </c>
      <c r="P11" s="5" t="inlineStr">
        <is>
          <t>令和8年</t>
        </is>
      </c>
    </row>
    <row r="12">
      <c r="A12" s="6" t="inlineStr">
        <is>
          <t>東川町</t>
        </is>
      </c>
      <c r="B12" s="10" t="n">
        <v>18.7</v>
      </c>
      <c r="C12" s="10" t="n">
        <v>19.8</v>
      </c>
      <c r="D12" s="10" t="n">
        <v>19.2</v>
      </c>
      <c r="E12" s="10" t="n">
        <v>19.1</v>
      </c>
      <c r="F12" s="10" t="n">
        <v>17.5</v>
      </c>
      <c r="G12" s="10" t="n">
        <v>17.8</v>
      </c>
      <c r="H12" s="10" t="n">
        <v>18.4</v>
      </c>
      <c r="I12" s="10" t="n">
        <v>18.6</v>
      </c>
      <c r="J12" s="10" t="n">
        <v>19.4</v>
      </c>
      <c r="K12" s="10" t="n">
        <v>19.6</v>
      </c>
      <c r="L12" s="10" t="n">
        <v>19.9</v>
      </c>
      <c r="M12" s="10" t="n">
        <v>20.5</v>
      </c>
      <c r="N12" s="11" t="n"/>
      <c r="O12" s="11" t="n"/>
      <c r="P12" s="11" t="n"/>
    </row>
    <row r="13">
      <c r="A13" s="6" t="inlineStr">
        <is>
          <t>美瑛町</t>
        </is>
      </c>
      <c r="B13" s="10" t="n">
        <v>19.3</v>
      </c>
      <c r="C13" s="10" t="n">
        <v>20.6</v>
      </c>
      <c r="D13" s="10" t="n">
        <v>21.8</v>
      </c>
      <c r="E13" s="10" t="n">
        <v>23</v>
      </c>
      <c r="F13" s="10" t="n">
        <v>22.9</v>
      </c>
      <c r="G13" s="10" t="n">
        <v>23.3</v>
      </c>
      <c r="H13" s="10" t="n">
        <v>22.8</v>
      </c>
      <c r="I13" s="10" t="n">
        <v>23.2</v>
      </c>
      <c r="J13" s="10" t="n">
        <v>22.7</v>
      </c>
      <c r="K13" s="10" t="n">
        <v>23.4</v>
      </c>
      <c r="L13" s="10" t="n">
        <v>23.5</v>
      </c>
      <c r="M13" s="10" t="n">
        <v>24</v>
      </c>
      <c r="N13" s="11" t="n"/>
      <c r="O13" s="11" t="n"/>
      <c r="P13" s="11" t="n"/>
    </row>
    <row r="14">
      <c r="A14" s="6" t="inlineStr">
        <is>
          <t>東神楽町</t>
        </is>
      </c>
      <c r="B14" s="10" t="n">
        <v>19.8</v>
      </c>
      <c r="C14" s="10" t="n">
        <v>19.9</v>
      </c>
      <c r="D14" s="10" t="n">
        <v>20.3</v>
      </c>
      <c r="E14" s="10" t="n">
        <v>20.8</v>
      </c>
      <c r="F14" s="10" t="n">
        <v>20.7</v>
      </c>
      <c r="G14" s="10" t="n">
        <v>19.9</v>
      </c>
      <c r="H14" s="10" t="n">
        <v>19.3</v>
      </c>
      <c r="I14" s="10" t="n">
        <v>19.3</v>
      </c>
      <c r="J14" s="10" t="n">
        <v>18.5</v>
      </c>
      <c r="K14" s="10" t="n">
        <v>19.1</v>
      </c>
      <c r="L14" s="10" t="n">
        <v>18.9</v>
      </c>
      <c r="M14" s="10" t="n">
        <v>18.2</v>
      </c>
      <c r="N14" s="11" t="n"/>
      <c r="O14" s="11" t="n"/>
      <c r="P14" s="11" t="n"/>
    </row>
    <row r="40">
      <c r="A40" s="12" t="inlineStr">
        <is>
          <t>（3）出現率の比較（令和5年 上川総合振興局管内）</t>
        </is>
      </c>
    </row>
    <row r="41">
      <c r="A41" s="5" t="inlineStr">
        <is>
          <t>区分</t>
        </is>
      </c>
      <c r="B41" s="5" t="inlineStr">
        <is>
          <t>出現率</t>
        </is>
      </c>
    </row>
    <row r="42">
      <c r="A42" s="6" t="inlineStr">
        <is>
          <t>全国</t>
        </is>
      </c>
      <c r="B42" s="10" t="n">
        <v>19.3</v>
      </c>
    </row>
    <row r="43">
      <c r="A43" s="6" t="inlineStr">
        <is>
          <t>北海道</t>
        </is>
      </c>
      <c r="B43" s="10" t="n">
        <v>20.8</v>
      </c>
    </row>
    <row r="44">
      <c r="A44" s="6" t="inlineStr">
        <is>
          <t>上川総合振興局管内</t>
        </is>
      </c>
      <c r="B44" s="10" t="n">
        <v>21.2</v>
      </c>
    </row>
    <row r="45">
      <c r="A45" s="6" t="inlineStr">
        <is>
          <t>当麻町</t>
        </is>
      </c>
      <c r="B45" s="10" t="n">
        <v>23.8</v>
      </c>
    </row>
    <row r="46">
      <c r="A46" s="6" t="inlineStr">
        <is>
          <t>旭川市</t>
        </is>
      </c>
      <c r="B46" s="10" t="n">
        <v>21.8</v>
      </c>
    </row>
    <row r="47">
      <c r="A47" s="6" t="inlineStr">
        <is>
          <t>中川町</t>
        </is>
      </c>
      <c r="B47" s="10" t="n">
        <v>21.5</v>
      </c>
    </row>
    <row r="48">
      <c r="A48" s="6" t="inlineStr">
        <is>
          <t>比布町</t>
        </is>
      </c>
      <c r="B48" s="10" t="n">
        <v>21.4</v>
      </c>
    </row>
    <row r="49">
      <c r="A49" s="6" t="inlineStr">
        <is>
          <t>大雪地区広域連合</t>
        </is>
      </c>
      <c r="B49" s="10" t="n">
        <v>21.2</v>
      </c>
    </row>
    <row r="50">
      <c r="A50" s="6" t="inlineStr">
        <is>
          <t>和寒町</t>
        </is>
      </c>
      <c r="B50" s="10" t="n">
        <v>21.2</v>
      </c>
    </row>
    <row r="51">
      <c r="A51" s="6" t="inlineStr">
        <is>
          <t>上川町</t>
        </is>
      </c>
      <c r="B51" s="10" t="n">
        <v>20.6</v>
      </c>
    </row>
    <row r="52">
      <c r="A52" s="6" t="inlineStr">
        <is>
          <t>名寄市</t>
        </is>
      </c>
      <c r="B52" s="10" t="n">
        <v>20.5</v>
      </c>
    </row>
    <row r="53">
      <c r="A53" s="6" t="inlineStr">
        <is>
          <t>幌加内町</t>
        </is>
      </c>
      <c r="B53" s="10" t="n">
        <v>20.2</v>
      </c>
    </row>
    <row r="54">
      <c r="A54" s="6" t="inlineStr">
        <is>
          <t>愛別町</t>
        </is>
      </c>
      <c r="B54" s="10" t="n">
        <v>20.2</v>
      </c>
    </row>
    <row r="55">
      <c r="A55" s="6" t="inlineStr">
        <is>
          <t>富良野市</t>
        </is>
      </c>
      <c r="B55" s="10" t="n">
        <v>19.8</v>
      </c>
    </row>
    <row r="56">
      <c r="A56" s="6" t="inlineStr">
        <is>
          <t>中富良野町</t>
        </is>
      </c>
      <c r="B56" s="10" t="n">
        <v>19.4</v>
      </c>
    </row>
    <row r="57">
      <c r="A57" s="6" t="inlineStr">
        <is>
          <t>南富良野町</t>
        </is>
      </c>
      <c r="B57" s="10" t="n">
        <v>19.3</v>
      </c>
    </row>
    <row r="58">
      <c r="A58" s="6" t="inlineStr">
        <is>
          <t>美深町</t>
        </is>
      </c>
      <c r="B58" s="10" t="n">
        <v>19.2</v>
      </c>
    </row>
    <row r="59">
      <c r="A59" s="6" t="inlineStr">
        <is>
          <t>鷹栖町</t>
        </is>
      </c>
      <c r="B59" s="10" t="n">
        <v>18.7</v>
      </c>
    </row>
    <row r="60">
      <c r="A60" s="6" t="inlineStr">
        <is>
          <t>士別市</t>
        </is>
      </c>
      <c r="B60" s="10" t="n">
        <v>18.7</v>
      </c>
    </row>
    <row r="61">
      <c r="A61" s="6" t="inlineStr">
        <is>
          <t>剣淵町</t>
        </is>
      </c>
      <c r="B61" s="10" t="n">
        <v>17.7</v>
      </c>
    </row>
    <row r="62">
      <c r="A62" s="6" t="inlineStr">
        <is>
          <t>下川町</t>
        </is>
      </c>
      <c r="B62" s="10" t="n">
        <v>17.3</v>
      </c>
    </row>
    <row r="63">
      <c r="A63" s="6" t="inlineStr">
        <is>
          <t>占冠村</t>
        </is>
      </c>
      <c r="B63" s="10" t="n">
        <v>17.2</v>
      </c>
    </row>
    <row r="64">
      <c r="A64" s="6" t="inlineStr">
        <is>
          <t>上富良野町</t>
        </is>
      </c>
      <c r="B64" s="10" t="n">
        <v>16.1</v>
      </c>
    </row>
    <row r="65">
      <c r="A65" s="6" t="inlineStr">
        <is>
          <t>音威子府村</t>
        </is>
      </c>
      <c r="B65" s="10" t="n">
        <v>10.8</v>
      </c>
    </row>
    <row r="66" ht="26" customHeight="1">
      <c r="A66" s="4" t="inlineStr">
        <is>
          <t>注）当広域連合の出現率は全国・北海道を上回って推移し、平成25年以降は20％を超えている。上川総合振興局管内の保険者では高い方から5番目（第9期計画 第2章第1節3）。</t>
        </is>
      </c>
    </row>
  </sheetData>
  <mergeCells count="3">
    <mergeCell ref="A1:P1"/>
    <mergeCell ref="A66:M66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1" t="inlineStr">
        <is>
          <t>図7　介護給付費等の推移</t>
        </is>
      </c>
    </row>
    <row r="2" ht="16" customHeight="1">
      <c r="A2" s="2" t="inlineStr">
        <is>
          <t>資料：第9期計画 第2章第2節（見える化システム 令和6年1月18日参照）／素案第9稿 表39（自然体推計）</t>
        </is>
      </c>
    </row>
    <row r="4">
      <c r="A4" s="12" t="inlineStr">
        <is>
          <t>（1）サービス区分別給付費（実績・単位：千円）</t>
        </is>
      </c>
    </row>
    <row r="5">
      <c r="A5" s="5" t="inlineStr">
        <is>
          <t>区分</t>
        </is>
      </c>
      <c r="B5" s="5" t="inlineStr">
        <is>
          <t>令和3年度</t>
        </is>
      </c>
      <c r="C5" s="5" t="inlineStr">
        <is>
          <t>令和4年度</t>
        </is>
      </c>
      <c r="D5" s="5" t="inlineStr">
        <is>
          <t>令和5年度</t>
        </is>
      </c>
      <c r="E5" s="5" t="inlineStr">
        <is>
          <t>令和6年度</t>
        </is>
      </c>
      <c r="F5" s="5" t="inlineStr">
        <is>
          <t>令和7年度</t>
        </is>
      </c>
      <c r="G5" s="5" t="inlineStr">
        <is>
          <t>令和8年度</t>
        </is>
      </c>
    </row>
    <row r="6">
      <c r="A6" s="6" t="inlineStr">
        <is>
          <t>居宅サービス</t>
        </is>
      </c>
      <c r="B6" s="8" t="n">
        <v>836496</v>
      </c>
      <c r="C6" s="8" t="n">
        <v>872021</v>
      </c>
      <c r="D6" s="8" t="n">
        <v>896194</v>
      </c>
      <c r="E6" s="9" t="n"/>
      <c r="F6" s="9" t="n"/>
      <c r="G6" s="9" t="n"/>
    </row>
    <row r="7">
      <c r="A7" s="6" t="inlineStr">
        <is>
          <t>地域密着型サービス</t>
        </is>
      </c>
      <c r="B7" s="8" t="n">
        <v>765808</v>
      </c>
      <c r="C7" s="8" t="n">
        <v>718778</v>
      </c>
      <c r="D7" s="8" t="n">
        <v>743018</v>
      </c>
      <c r="E7" s="9" t="n"/>
      <c r="F7" s="9" t="n"/>
      <c r="G7" s="9" t="n"/>
    </row>
    <row r="8">
      <c r="A8" s="6" t="inlineStr">
        <is>
          <t>施設サービス</t>
        </is>
      </c>
      <c r="B8" s="8" t="n">
        <v>973845</v>
      </c>
      <c r="C8" s="8" t="n">
        <v>924985</v>
      </c>
      <c r="D8" s="8" t="n">
        <v>941503</v>
      </c>
      <c r="E8" s="9" t="n"/>
      <c r="F8" s="9" t="n"/>
      <c r="G8" s="9" t="n"/>
    </row>
    <row r="9">
      <c r="A9" s="6" t="inlineStr">
        <is>
          <t>居宅介護支援</t>
        </is>
      </c>
      <c r="B9" s="8" t="n">
        <v>111147</v>
      </c>
      <c r="C9" s="8" t="n">
        <v>115959</v>
      </c>
      <c r="D9" s="8" t="n">
        <v>115772</v>
      </c>
      <c r="E9" s="9" t="n"/>
      <c r="F9" s="9" t="n"/>
      <c r="G9" s="9" t="n"/>
    </row>
    <row r="10">
      <c r="A10" s="6" t="inlineStr">
        <is>
          <t>介護予防サービス</t>
        </is>
      </c>
      <c r="B10" s="8" t="n">
        <v>68592</v>
      </c>
      <c r="C10" s="8" t="n">
        <v>64733</v>
      </c>
      <c r="D10" s="8" t="n">
        <v>66451</v>
      </c>
      <c r="E10" s="9" t="n"/>
      <c r="F10" s="9" t="n"/>
      <c r="G10" s="9" t="n"/>
    </row>
    <row r="11">
      <c r="A11" s="6" t="inlineStr">
        <is>
          <t>地域密着型介護予防サービス</t>
        </is>
      </c>
      <c r="B11" s="8" t="n">
        <v>25160</v>
      </c>
      <c r="C11" s="8" t="n">
        <v>22391</v>
      </c>
      <c r="D11" s="8" t="n">
        <v>19802</v>
      </c>
      <c r="E11" s="9" t="n"/>
      <c r="F11" s="9" t="n"/>
      <c r="G11" s="9" t="n"/>
    </row>
    <row r="12">
      <c r="A12" s="6" t="inlineStr">
        <is>
          <t>介護予防支援</t>
        </is>
      </c>
      <c r="B12" s="8" t="n">
        <v>12766</v>
      </c>
      <c r="C12" s="8" t="n">
        <v>12144</v>
      </c>
      <c r="D12" s="8" t="n">
        <v>11653</v>
      </c>
      <c r="E12" s="9" t="n"/>
      <c r="F12" s="9" t="n"/>
      <c r="G12" s="9" t="n"/>
    </row>
    <row r="13">
      <c r="A13" s="6" t="inlineStr">
        <is>
          <t>合計</t>
        </is>
      </c>
      <c r="B13" s="13">
        <f>SUM(B6:B12)</f>
        <v/>
      </c>
      <c r="C13" s="13">
        <f>SUM(C6:C12)</f>
        <v/>
      </c>
      <c r="D13" s="13">
        <f>SUM(D6:D12)</f>
        <v/>
      </c>
      <c r="E13" s="13">
        <f>SUM(E6:E12)</f>
        <v/>
      </c>
      <c r="F13" s="13">
        <f>SUM(F6:F12)</f>
        <v/>
      </c>
      <c r="G13" s="13">
        <f>SUM(G6:G12)</f>
        <v/>
      </c>
    </row>
    <row r="15">
      <c r="A15" s="12" t="inlineStr">
        <is>
          <t>（2）総給付費（在宅・居住系・施設別／実績・単位：千円）</t>
        </is>
      </c>
    </row>
    <row r="16">
      <c r="A16" s="5" t="inlineStr">
        <is>
          <t>区分</t>
        </is>
      </c>
      <c r="B16" s="5" t="inlineStr">
        <is>
          <t>令和3年度</t>
        </is>
      </c>
      <c r="C16" s="5" t="inlineStr">
        <is>
          <t>令和4年度</t>
        </is>
      </c>
      <c r="D16" s="5" t="inlineStr">
        <is>
          <t>令和5年度</t>
        </is>
      </c>
      <c r="E16" s="5" t="inlineStr">
        <is>
          <t>令和6年度</t>
        </is>
      </c>
      <c r="F16" s="5" t="inlineStr">
        <is>
          <t>令和7年度</t>
        </is>
      </c>
      <c r="G16" s="5" t="inlineStr">
        <is>
          <t>令和8年度</t>
        </is>
      </c>
    </row>
    <row r="17">
      <c r="A17" s="6" t="inlineStr">
        <is>
          <t>在宅サービス</t>
        </is>
      </c>
      <c r="B17" s="8" t="n">
        <v>1191892</v>
      </c>
      <c r="C17" s="8" t="n">
        <v>1218034</v>
      </c>
      <c r="D17" s="8" t="n">
        <v>1250603</v>
      </c>
      <c r="E17" s="9" t="n"/>
      <c r="F17" s="9" t="n"/>
      <c r="G17" s="9" t="n"/>
    </row>
    <row r="18">
      <c r="A18" s="6" t="inlineStr">
        <is>
          <t>居住系サービス</t>
        </is>
      </c>
      <c r="B18" s="8" t="n">
        <v>436392</v>
      </c>
      <c r="C18" s="8" t="n">
        <v>399288</v>
      </c>
      <c r="D18" s="8" t="n">
        <v>414922</v>
      </c>
      <c r="E18" s="9" t="n"/>
      <c r="F18" s="9" t="n"/>
      <c r="G18" s="9" t="n"/>
    </row>
    <row r="19">
      <c r="A19" s="6" t="inlineStr">
        <is>
          <t>施設サービス</t>
        </is>
      </c>
      <c r="B19" s="8" t="n">
        <v>1165530</v>
      </c>
      <c r="C19" s="8" t="n">
        <v>1113689</v>
      </c>
      <c r="D19" s="8" t="n">
        <v>1128866</v>
      </c>
      <c r="E19" s="9" t="n"/>
      <c r="F19" s="9" t="n"/>
      <c r="G19" s="9" t="n"/>
    </row>
    <row r="20">
      <c r="A20" s="6" t="inlineStr">
        <is>
          <t>総給付費</t>
        </is>
      </c>
      <c r="B20" s="13">
        <f>SUM(B17:B19)</f>
        <v/>
      </c>
      <c r="C20" s="13">
        <f>SUM(C17:C19)</f>
        <v/>
      </c>
      <c r="D20" s="13">
        <f>SUM(D17:D19)</f>
        <v/>
      </c>
      <c r="E20" s="13">
        <f>SUM(E17:E19)</f>
        <v/>
      </c>
      <c r="F20" s="13">
        <f>SUM(F17:F19)</f>
        <v/>
      </c>
      <c r="G20" s="13">
        <f>SUM(G17:G19)</f>
        <v/>
      </c>
    </row>
    <row r="22">
      <c r="A22" s="12" t="inlineStr">
        <is>
          <t>（3）地域支援事業費（実績・単位：円）</t>
        </is>
      </c>
    </row>
    <row r="23">
      <c r="A23" s="5" t="inlineStr">
        <is>
          <t>区分</t>
        </is>
      </c>
      <c r="B23" s="5" t="inlineStr">
        <is>
          <t>令和3年度</t>
        </is>
      </c>
      <c r="C23" s="5" t="inlineStr">
        <is>
          <t>令和4年度</t>
        </is>
      </c>
      <c r="D23" s="5" t="inlineStr">
        <is>
          <t>令和5年度</t>
        </is>
      </c>
      <c r="E23" s="5" t="inlineStr">
        <is>
          <t>令和6年度</t>
        </is>
      </c>
      <c r="F23" s="5" t="inlineStr">
        <is>
          <t>令和7年度</t>
        </is>
      </c>
      <c r="G23" s="5" t="inlineStr">
        <is>
          <t>令和8年度</t>
        </is>
      </c>
    </row>
    <row r="24">
      <c r="A24" s="6" t="inlineStr">
        <is>
          <t>介護予防・日常生活支援総合事業費</t>
        </is>
      </c>
      <c r="B24" s="8" t="n">
        <v>98828508</v>
      </c>
      <c r="C24" s="8" t="n">
        <v>100020350</v>
      </c>
      <c r="D24" s="8" t="n">
        <v>106455000</v>
      </c>
      <c r="E24" s="9" t="n"/>
      <c r="F24" s="9" t="n"/>
      <c r="G24" s="9" t="n"/>
    </row>
    <row r="25">
      <c r="A25" s="6" t="inlineStr">
        <is>
          <t>包括的支援事業（センター運営）及び任意事業費</t>
        </is>
      </c>
      <c r="B25" s="8" t="n">
        <v>67884572</v>
      </c>
      <c r="C25" s="8" t="n">
        <v>71189693</v>
      </c>
      <c r="D25" s="8" t="n">
        <v>65532000</v>
      </c>
      <c r="E25" s="9" t="n"/>
      <c r="F25" s="9" t="n"/>
      <c r="G25" s="9" t="n"/>
    </row>
    <row r="26">
      <c r="A26" s="6" t="inlineStr">
        <is>
          <t>包括的支援事業（社会保障充実分）</t>
        </is>
      </c>
      <c r="B26" s="8" t="n">
        <v>12746280</v>
      </c>
      <c r="C26" s="8" t="n">
        <v>15365016</v>
      </c>
      <c r="D26" s="8" t="n">
        <v>18387000</v>
      </c>
      <c r="E26" s="9" t="n"/>
      <c r="F26" s="9" t="n"/>
      <c r="G26" s="9" t="n"/>
    </row>
    <row r="27">
      <c r="A27" s="6" t="inlineStr">
        <is>
          <t>地域支援事業費 合計</t>
        </is>
      </c>
      <c r="B27" s="13">
        <f>SUM(B24:B26)</f>
        <v/>
      </c>
      <c r="C27" s="13">
        <f>SUM(C24:C26)</f>
        <v/>
      </c>
      <c r="D27" s="13">
        <f>SUM(D24:D26)</f>
        <v/>
      </c>
      <c r="E27" s="13">
        <f>SUM(E24:E26)</f>
        <v/>
      </c>
      <c r="F27" s="13">
        <f>SUM(F24:F26)</f>
        <v/>
      </c>
      <c r="G27" s="13">
        <f>SUM(G24:G26)</f>
        <v/>
      </c>
    </row>
    <row r="29">
      <c r="A29" s="12" t="inlineStr">
        <is>
          <t>（4）給付費の中長期見通し（自然体推計・参考／単位：百万円）</t>
        </is>
      </c>
    </row>
    <row r="30">
      <c r="A30" s="5" t="inlineStr">
        <is>
          <t>区分</t>
        </is>
      </c>
      <c r="B30" s="5" t="inlineStr">
        <is>
          <t>令和9年度</t>
        </is>
      </c>
      <c r="C30" s="5" t="inlineStr">
        <is>
          <t>令和10年度</t>
        </is>
      </c>
      <c r="D30" s="5" t="inlineStr">
        <is>
          <t>令和11年度</t>
        </is>
      </c>
      <c r="E30" s="5" t="inlineStr">
        <is>
          <t>令和17年度</t>
        </is>
      </c>
      <c r="F30" s="5" t="inlineStr">
        <is>
          <t>令和22年度</t>
        </is>
      </c>
    </row>
    <row r="31">
      <c r="A31" s="6" t="inlineStr">
        <is>
          <t>居宅サービス</t>
        </is>
      </c>
      <c r="B31" s="14" t="n">
        <v>1537.4</v>
      </c>
      <c r="C31" s="14" t="n">
        <v>1559.6</v>
      </c>
      <c r="D31" s="14" t="n">
        <v>1589.9</v>
      </c>
      <c r="E31" s="14" t="n">
        <v>1652.4</v>
      </c>
      <c r="F31" s="14" t="n">
        <v>1738.6</v>
      </c>
    </row>
    <row r="32">
      <c r="A32" s="6" t="inlineStr">
        <is>
          <t>居住系サービス</t>
        </is>
      </c>
      <c r="B32" s="14" t="n">
        <v>380.6</v>
      </c>
      <c r="C32" s="14" t="n">
        <v>391.9</v>
      </c>
      <c r="D32" s="14" t="n">
        <v>391.9</v>
      </c>
      <c r="E32" s="14" t="n">
        <v>423.7</v>
      </c>
      <c r="F32" s="14" t="n">
        <v>441.5</v>
      </c>
    </row>
    <row r="33">
      <c r="A33" s="6" t="inlineStr">
        <is>
          <t>施設サービス</t>
        </is>
      </c>
      <c r="B33" s="14" t="n">
        <v>1138.7</v>
      </c>
      <c r="C33" s="14" t="n">
        <v>1138.7</v>
      </c>
      <c r="D33" s="14" t="n">
        <v>1138.7</v>
      </c>
      <c r="E33" s="14" t="n">
        <v>1265.5</v>
      </c>
      <c r="F33" s="14" t="n">
        <v>1312.4</v>
      </c>
    </row>
    <row r="34">
      <c r="A34" s="6" t="inlineStr">
        <is>
          <t>合計</t>
        </is>
      </c>
      <c r="B34" s="15">
        <f>SUM(B31:B33)</f>
        <v/>
      </c>
      <c r="C34" s="15">
        <f>SUM(C31:C33)</f>
        <v/>
      </c>
      <c r="D34" s="15">
        <f>SUM(D31:D33)</f>
        <v/>
      </c>
      <c r="E34" s="15">
        <f>SUM(E31:E33)</f>
        <v/>
      </c>
      <c r="F34" s="15">
        <f>SUM(F31:F33)</f>
        <v/>
      </c>
    </row>
    <row r="36" ht="26" customHeight="1">
      <c r="A36" s="4" t="inlineStr">
        <is>
          <t>注1）（1）～（3）は第9期計画 第2章第2節の掲載値（見える化システム 令和6年1月18日参照）。令和6～8年度（淡黄色欄）は実績受領後に入力する。注2）（2）の総給付費は（1）の介護給付費と介護予防給付費の合計に相当し、令和5年度は2,794,391千円（在宅・居住系・施設の3区分で再集計した値）。素案第9稿に記載の保険給付費 令和5年度決算2,940.4百万円とは定義が異なるため、同一系列に接続していない（00_凡例・出典 4-4）。注3）（1）の合計（令和5年度2,794,393千円）と（2）の総給付費（同2,794,391千円）には2千円の差がある。これは第9期計画の介護予防給付費の合計欄（令和4年度99,267千円・令和5年度97,905千円）に内訳との±1千円の端数差があるためで、本図表集では内訳を原典どおり掲載し合計を数式で算出している。計画掲載時はいずれかに統一する。注4）（4）は素案第9稿 表39の自然体推計値で、報酬改定・供給制約・政策効果は未反映の参考値。採用値ではない。</t>
        </is>
      </c>
    </row>
  </sheetData>
  <mergeCells count="3">
    <mergeCell ref="A1:I1"/>
    <mergeCell ref="A36:M36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4" customHeight="1">
      <c r="A1" s="1" t="inlineStr">
        <is>
          <t>図8　介護予防・日常生活圏域ニーズ調査 結果概要</t>
        </is>
      </c>
    </row>
    <row r="2" ht="16" customHeight="1">
      <c r="A2" s="2" t="inlineStr">
        <is>
          <t>資料：第9期計画 第2章第3節／令和4年11月7日～28日実施・65歳以上7,239人対象・回収4,626票（63.9％）／単位：％（⑨のみ点）</t>
        </is>
      </c>
    </row>
    <row r="4">
      <c r="A4" s="5" t="inlineStr">
        <is>
          <t>No.</t>
        </is>
      </c>
      <c r="B4" s="5" t="inlineStr">
        <is>
          <t>指標</t>
        </is>
      </c>
      <c r="C4" s="5" t="inlineStr">
        <is>
          <t>地域</t>
        </is>
      </c>
      <c r="D4" s="5" t="inlineStr">
        <is>
          <t>サンプル数</t>
        </is>
      </c>
      <c r="E4" s="5" t="inlineStr">
        <is>
          <t>全体</t>
        </is>
      </c>
      <c r="F4" s="5" t="inlineStr">
        <is>
          <t>65～69歳</t>
        </is>
      </c>
      <c r="G4" s="5" t="inlineStr">
        <is>
          <t>70～74歳</t>
        </is>
      </c>
      <c r="H4" s="5" t="inlineStr">
        <is>
          <t>75～79歳</t>
        </is>
      </c>
      <c r="I4" s="5" t="inlineStr">
        <is>
          <t>80～84歳</t>
        </is>
      </c>
      <c r="J4" s="5" t="inlineStr">
        <is>
          <t>85歳以上</t>
        </is>
      </c>
    </row>
    <row r="5">
      <c r="A5" s="6" t="inlineStr">
        <is>
          <t>①</t>
        </is>
      </c>
      <c r="B5" s="10" t="inlineStr">
        <is>
          <t>フレイルあり（基本チェックリスト8項目以上）</t>
        </is>
      </c>
      <c r="C5" s="10" t="inlineStr">
        <is>
          <t>広域連合</t>
        </is>
      </c>
      <c r="D5" s="8" t="n">
        <v>4554</v>
      </c>
      <c r="E5" s="10" t="n">
        <v>18.5</v>
      </c>
      <c r="F5" s="10" t="n">
        <v>9.9</v>
      </c>
      <c r="G5" s="10" t="n">
        <v>13.1</v>
      </c>
      <c r="H5" s="10" t="n">
        <v>20.5</v>
      </c>
      <c r="I5" s="10" t="n">
        <v>26</v>
      </c>
      <c r="J5" s="10" t="n">
        <v>36.7</v>
      </c>
    </row>
    <row r="6">
      <c r="A6" s="6" t="inlineStr"/>
      <c r="B6" s="10" t="inlineStr"/>
      <c r="C6" s="10" t="inlineStr">
        <is>
          <t>東川町</t>
        </is>
      </c>
      <c r="D6" s="8" t="n">
        <v>1367</v>
      </c>
      <c r="E6" s="10" t="n">
        <v>18.6</v>
      </c>
      <c r="F6" s="10" t="n">
        <v>9.4</v>
      </c>
      <c r="G6" s="10" t="n">
        <v>13.3</v>
      </c>
      <c r="H6" s="10" t="n">
        <v>19.3</v>
      </c>
      <c r="I6" s="10" t="n">
        <v>27.2</v>
      </c>
      <c r="J6" s="10" t="n">
        <v>35.2</v>
      </c>
    </row>
    <row r="7">
      <c r="A7" s="6" t="inlineStr"/>
      <c r="B7" s="10" t="inlineStr"/>
      <c r="C7" s="10" t="inlineStr">
        <is>
          <t>美瑛町</t>
        </is>
      </c>
      <c r="D7" s="8" t="n">
        <v>1676</v>
      </c>
      <c r="E7" s="10" t="n">
        <v>18.9</v>
      </c>
      <c r="F7" s="10" t="n">
        <v>10.3</v>
      </c>
      <c r="G7" s="10" t="n">
        <v>12.9</v>
      </c>
      <c r="H7" s="10" t="n">
        <v>23.2</v>
      </c>
      <c r="I7" s="10" t="n">
        <v>21.9</v>
      </c>
      <c r="J7" s="10" t="n">
        <v>37.3</v>
      </c>
    </row>
    <row r="8">
      <c r="A8" s="6" t="inlineStr"/>
      <c r="B8" s="10" t="inlineStr"/>
      <c r="C8" s="10" t="inlineStr">
        <is>
          <t>東神楽町</t>
        </is>
      </c>
      <c r="D8" s="8" t="n">
        <v>1511</v>
      </c>
      <c r="E8" s="10" t="n">
        <v>18</v>
      </c>
      <c r="F8" s="10" t="n">
        <v>10</v>
      </c>
      <c r="G8" s="10" t="n">
        <v>13</v>
      </c>
      <c r="H8" s="10" t="n">
        <v>18.8</v>
      </c>
      <c r="I8" s="10" t="n">
        <v>30.6</v>
      </c>
      <c r="J8" s="10" t="n">
        <v>37.6</v>
      </c>
    </row>
    <row r="9">
      <c r="A9" s="6" t="inlineStr">
        <is>
          <t>②</t>
        </is>
      </c>
      <c r="B9" s="10" t="inlineStr">
        <is>
          <t>運動機能低下者</t>
        </is>
      </c>
      <c r="C9" s="10" t="inlineStr">
        <is>
          <t>広域連合</t>
        </is>
      </c>
      <c r="D9" s="8" t="n">
        <v>4485</v>
      </c>
      <c r="E9" s="10" t="n">
        <v>9.699999999999999</v>
      </c>
      <c r="F9" s="10" t="n">
        <v>4.1</v>
      </c>
      <c r="G9" s="10" t="n">
        <v>6.9</v>
      </c>
      <c r="H9" s="10" t="n">
        <v>10.6</v>
      </c>
      <c r="I9" s="10" t="n">
        <v>13.2</v>
      </c>
      <c r="J9" s="10" t="n">
        <v>23.3</v>
      </c>
    </row>
    <row r="10">
      <c r="A10" s="6" t="inlineStr"/>
      <c r="B10" s="10" t="inlineStr"/>
      <c r="C10" s="10" t="inlineStr">
        <is>
          <t>東川町</t>
        </is>
      </c>
      <c r="D10" s="8" t="n">
        <v>1339</v>
      </c>
      <c r="E10" s="10" t="n">
        <v>9.6</v>
      </c>
      <c r="F10" s="10" t="n">
        <v>3.9</v>
      </c>
      <c r="G10" s="10" t="n">
        <v>5.7</v>
      </c>
      <c r="H10" s="10" t="n">
        <v>11</v>
      </c>
      <c r="I10" s="10" t="n">
        <v>11.7</v>
      </c>
      <c r="J10" s="10" t="n">
        <v>25.2</v>
      </c>
    </row>
    <row r="11">
      <c r="A11" s="6" t="inlineStr"/>
      <c r="B11" s="10" t="inlineStr"/>
      <c r="C11" s="10" t="inlineStr">
        <is>
          <t>美瑛町</t>
        </is>
      </c>
      <c r="D11" s="8" t="n">
        <v>1655</v>
      </c>
      <c r="E11" s="10" t="n">
        <v>10.5</v>
      </c>
      <c r="F11" s="10" t="n">
        <v>4.8</v>
      </c>
      <c r="G11" s="10" t="n">
        <v>7.7</v>
      </c>
      <c r="H11" s="10" t="n">
        <v>11.4</v>
      </c>
      <c r="I11" s="10" t="n">
        <v>12.1</v>
      </c>
      <c r="J11" s="10" t="n">
        <v>24.1</v>
      </c>
    </row>
    <row r="12">
      <c r="A12" s="6" t="inlineStr"/>
      <c r="B12" s="10" t="inlineStr"/>
      <c r="C12" s="10" t="inlineStr">
        <is>
          <t>東神楽町</t>
        </is>
      </c>
      <c r="D12" s="8" t="n">
        <v>1491</v>
      </c>
      <c r="E12" s="10" t="n">
        <v>9.1</v>
      </c>
      <c r="F12" s="10" t="n">
        <v>3.7</v>
      </c>
      <c r="G12" s="10" t="n">
        <v>7.3</v>
      </c>
      <c r="H12" s="10" t="n">
        <v>9.199999999999999</v>
      </c>
      <c r="I12" s="10" t="n">
        <v>16.4</v>
      </c>
      <c r="J12" s="10" t="n">
        <v>20.2</v>
      </c>
    </row>
    <row r="13">
      <c r="A13" s="6" t="inlineStr">
        <is>
          <t>③</t>
        </is>
      </c>
      <c r="B13" s="10" t="inlineStr">
        <is>
          <t>1年間転倒あり</t>
        </is>
      </c>
      <c r="C13" s="10" t="inlineStr">
        <is>
          <t>広域連合</t>
        </is>
      </c>
      <c r="D13" s="8" t="n">
        <v>4477</v>
      </c>
      <c r="E13" s="10" t="n">
        <v>32.9</v>
      </c>
      <c r="F13" s="10" t="n">
        <v>27</v>
      </c>
      <c r="G13" s="10" t="n">
        <v>29.7</v>
      </c>
      <c r="H13" s="10" t="n">
        <v>33.6</v>
      </c>
      <c r="I13" s="10" t="n">
        <v>37</v>
      </c>
      <c r="J13" s="10" t="n">
        <v>47.1</v>
      </c>
    </row>
    <row r="14">
      <c r="A14" s="6" t="inlineStr"/>
      <c r="B14" s="10" t="inlineStr"/>
      <c r="C14" s="10" t="inlineStr">
        <is>
          <t>東川町</t>
        </is>
      </c>
      <c r="D14" s="8" t="n">
        <v>1339</v>
      </c>
      <c r="E14" s="10" t="n">
        <v>32.8</v>
      </c>
      <c r="F14" s="10" t="n">
        <v>28</v>
      </c>
      <c r="G14" s="10" t="n">
        <v>25.7</v>
      </c>
      <c r="H14" s="10" t="n">
        <v>34.5</v>
      </c>
      <c r="I14" s="10" t="n">
        <v>41.1</v>
      </c>
      <c r="J14" s="10" t="n">
        <v>44.7</v>
      </c>
    </row>
    <row r="15">
      <c r="A15" s="6" t="inlineStr"/>
      <c r="B15" s="10" t="inlineStr"/>
      <c r="C15" s="10" t="inlineStr">
        <is>
          <t>美瑛町</t>
        </is>
      </c>
      <c r="D15" s="8" t="n">
        <v>1650</v>
      </c>
      <c r="E15" s="10" t="n">
        <v>35</v>
      </c>
      <c r="F15" s="10" t="n">
        <v>27.9</v>
      </c>
      <c r="G15" s="10" t="n">
        <v>35.4</v>
      </c>
      <c r="H15" s="10" t="n">
        <v>35.2</v>
      </c>
      <c r="I15" s="10" t="n">
        <v>33.6</v>
      </c>
      <c r="J15" s="10" t="n">
        <v>50.5</v>
      </c>
    </row>
    <row r="16">
      <c r="A16" s="6" t="inlineStr"/>
      <c r="B16" s="10" t="inlineStr"/>
      <c r="C16" s="10" t="inlineStr">
        <is>
          <t>東神楽町</t>
        </is>
      </c>
      <c r="D16" s="8" t="n">
        <v>1488</v>
      </c>
      <c r="E16" s="10" t="n">
        <v>30.6</v>
      </c>
      <c r="F16" s="10" t="n">
        <v>25.7</v>
      </c>
      <c r="G16" s="10" t="n">
        <v>27.5</v>
      </c>
      <c r="H16" s="10" t="n">
        <v>30.7</v>
      </c>
      <c r="I16" s="10" t="n">
        <v>37.7</v>
      </c>
      <c r="J16" s="10" t="n">
        <v>45</v>
      </c>
    </row>
    <row r="17">
      <c r="A17" s="6" t="inlineStr">
        <is>
          <t>④</t>
        </is>
      </c>
      <c r="B17" s="10" t="inlineStr">
        <is>
          <t>物忘れが多い者</t>
        </is>
      </c>
      <c r="C17" s="10" t="inlineStr">
        <is>
          <t>広域連合</t>
        </is>
      </c>
      <c r="D17" s="8" t="n">
        <v>4440</v>
      </c>
      <c r="E17" s="10" t="n">
        <v>43.4</v>
      </c>
      <c r="F17" s="10" t="n">
        <v>35.4</v>
      </c>
      <c r="G17" s="10" t="n">
        <v>41.4</v>
      </c>
      <c r="H17" s="10" t="n">
        <v>46.1</v>
      </c>
      <c r="I17" s="10" t="n">
        <v>49.4</v>
      </c>
      <c r="J17" s="10" t="n">
        <v>52.3</v>
      </c>
    </row>
    <row r="18">
      <c r="A18" s="6" t="inlineStr"/>
      <c r="B18" s="10" t="inlineStr"/>
      <c r="C18" s="10" t="inlineStr">
        <is>
          <t>東川町</t>
        </is>
      </c>
      <c r="D18" s="8" t="n">
        <v>1322</v>
      </c>
      <c r="E18" s="10" t="n">
        <v>44.5</v>
      </c>
      <c r="F18" s="10" t="n">
        <v>33.1</v>
      </c>
      <c r="G18" s="10" t="n">
        <v>42.1</v>
      </c>
      <c r="H18" s="10" t="n">
        <v>46.5</v>
      </c>
      <c r="I18" s="10" t="n">
        <v>51.8</v>
      </c>
      <c r="J18" s="10" t="n">
        <v>56.5</v>
      </c>
    </row>
    <row r="19">
      <c r="A19" s="6" t="inlineStr"/>
      <c r="B19" s="10" t="inlineStr"/>
      <c r="C19" s="10" t="inlineStr">
        <is>
          <t>美瑛町</t>
        </is>
      </c>
      <c r="D19" s="8" t="n">
        <v>1633</v>
      </c>
      <c r="E19" s="10" t="n">
        <v>44.8</v>
      </c>
      <c r="F19" s="10" t="n">
        <v>36.6</v>
      </c>
      <c r="G19" s="10" t="n">
        <v>43.3</v>
      </c>
      <c r="H19" s="10" t="n">
        <v>49.7</v>
      </c>
      <c r="I19" s="10" t="n">
        <v>48.8</v>
      </c>
      <c r="J19" s="10" t="n">
        <v>49.2</v>
      </c>
    </row>
    <row r="20">
      <c r="A20" s="6" t="inlineStr"/>
      <c r="B20" s="10" t="inlineStr"/>
      <c r="C20" s="10" t="inlineStr">
        <is>
          <t>東神楽町</t>
        </is>
      </c>
      <c r="D20" s="8" t="n">
        <v>1485</v>
      </c>
      <c r="E20" s="10" t="n">
        <v>40.8</v>
      </c>
      <c r="F20" s="10" t="n">
        <v>35.7</v>
      </c>
      <c r="G20" s="10" t="n">
        <v>38.7</v>
      </c>
      <c r="H20" s="10" t="n">
        <v>41.4</v>
      </c>
      <c r="I20" s="10" t="n">
        <v>47.6</v>
      </c>
      <c r="J20" s="10" t="n">
        <v>52.3</v>
      </c>
    </row>
    <row r="21">
      <c r="A21" s="6" t="inlineStr">
        <is>
          <t>⑤</t>
        </is>
      </c>
      <c r="B21" s="10" t="inlineStr">
        <is>
          <t>閉じこもり者</t>
        </is>
      </c>
      <c r="C21" s="10" t="inlineStr">
        <is>
          <t>広域連合</t>
        </is>
      </c>
      <c r="D21" s="8" t="n">
        <v>4472</v>
      </c>
      <c r="E21" s="10" t="n">
        <v>6.7</v>
      </c>
      <c r="F21" s="10" t="n">
        <v>3.2</v>
      </c>
      <c r="G21" s="10" t="n">
        <v>4.3</v>
      </c>
      <c r="H21" s="10" t="n">
        <v>6.5</v>
      </c>
      <c r="I21" s="10" t="n">
        <v>10.5</v>
      </c>
      <c r="J21" s="10" t="n">
        <v>15.2</v>
      </c>
    </row>
    <row r="22">
      <c r="A22" s="6" t="inlineStr"/>
      <c r="B22" s="10" t="inlineStr"/>
      <c r="C22" s="10" t="inlineStr">
        <is>
          <t>東川町</t>
        </is>
      </c>
      <c r="D22" s="8" t="n">
        <v>1333</v>
      </c>
      <c r="E22" s="10" t="n">
        <v>7.6</v>
      </c>
      <c r="F22" s="10" t="n">
        <v>3.1</v>
      </c>
      <c r="G22" s="10" t="n">
        <v>5.3</v>
      </c>
      <c r="H22" s="10" t="n">
        <v>7.9</v>
      </c>
      <c r="I22" s="10" t="n">
        <v>10.4</v>
      </c>
      <c r="J22" s="10" t="n">
        <v>17.4</v>
      </c>
    </row>
    <row r="23">
      <c r="A23" s="6" t="inlineStr"/>
      <c r="B23" s="10" t="inlineStr"/>
      <c r="C23" s="10" t="inlineStr">
        <is>
          <t>美瑛町</t>
        </is>
      </c>
      <c r="D23" s="8" t="n">
        <v>1652</v>
      </c>
      <c r="E23" s="10" t="n">
        <v>6.5</v>
      </c>
      <c r="F23" s="10" t="n">
        <v>3.5</v>
      </c>
      <c r="G23" s="10" t="n">
        <v>3.2</v>
      </c>
      <c r="H23" s="10" t="n">
        <v>5.6</v>
      </c>
      <c r="I23" s="10" t="n">
        <v>11.5</v>
      </c>
      <c r="J23" s="10" t="n">
        <v>13.9</v>
      </c>
    </row>
    <row r="24">
      <c r="A24" s="6" t="inlineStr"/>
      <c r="B24" s="10" t="inlineStr"/>
      <c r="C24" s="10" t="inlineStr">
        <is>
          <t>東神楽町</t>
        </is>
      </c>
      <c r="D24" s="8" t="n">
        <v>1487</v>
      </c>
      <c r="E24" s="10" t="n">
        <v>6.1</v>
      </c>
      <c r="F24" s="10" t="n">
        <v>3</v>
      </c>
      <c r="G24" s="10" t="n">
        <v>4.7</v>
      </c>
      <c r="H24" s="10" t="n">
        <v>6.1</v>
      </c>
      <c r="I24" s="10" t="n">
        <v>9.4</v>
      </c>
      <c r="J24" s="10" t="n">
        <v>14.7</v>
      </c>
    </row>
    <row r="25">
      <c r="A25" s="6" t="inlineStr">
        <is>
          <t>⑥</t>
        </is>
      </c>
      <c r="B25" s="10" t="inlineStr">
        <is>
          <t>うつ</t>
        </is>
      </c>
      <c r="C25" s="10" t="inlineStr">
        <is>
          <t>広域連合</t>
        </is>
      </c>
      <c r="D25" s="8" t="n">
        <v>4444</v>
      </c>
      <c r="E25" s="10" t="n">
        <v>28.9</v>
      </c>
      <c r="F25" s="10" t="n">
        <v>20.7</v>
      </c>
      <c r="G25" s="10" t="n">
        <v>25.4</v>
      </c>
      <c r="H25" s="10" t="n">
        <v>29.7</v>
      </c>
      <c r="I25" s="10" t="n">
        <v>37.8</v>
      </c>
      <c r="J25" s="10" t="n">
        <v>42.1</v>
      </c>
    </row>
    <row r="26">
      <c r="A26" s="6" t="inlineStr"/>
      <c r="B26" s="10" t="inlineStr"/>
      <c r="C26" s="10" t="inlineStr">
        <is>
          <t>東川町</t>
        </is>
      </c>
      <c r="D26" s="8" t="n">
        <v>1327</v>
      </c>
      <c r="E26" s="10" t="n">
        <v>28.9</v>
      </c>
      <c r="F26" s="10" t="n">
        <v>22.8</v>
      </c>
      <c r="G26" s="10" t="n">
        <v>24.6</v>
      </c>
      <c r="H26" s="10" t="n">
        <v>30</v>
      </c>
      <c r="I26" s="10" t="n">
        <v>36.2</v>
      </c>
      <c r="J26" s="10" t="n">
        <v>38.5</v>
      </c>
    </row>
    <row r="27">
      <c r="A27" s="6" t="inlineStr"/>
      <c r="B27" s="10" t="inlineStr"/>
      <c r="C27" s="10" t="inlineStr">
        <is>
          <t>美瑛町</t>
        </is>
      </c>
      <c r="D27" s="8" t="n">
        <v>1646</v>
      </c>
      <c r="E27" s="10" t="n">
        <v>30.8</v>
      </c>
      <c r="F27" s="10" t="n">
        <v>20.2</v>
      </c>
      <c r="G27" s="10" t="n">
        <v>26.1</v>
      </c>
      <c r="H27" s="10" t="n">
        <v>33</v>
      </c>
      <c r="I27" s="10" t="n">
        <v>38.5</v>
      </c>
      <c r="J27" s="10" t="n">
        <v>46.5</v>
      </c>
    </row>
    <row r="28">
      <c r="A28" s="6" t="inlineStr"/>
      <c r="B28" s="10" t="inlineStr"/>
      <c r="C28" s="10" t="inlineStr">
        <is>
          <t>東神楽町</t>
        </is>
      </c>
      <c r="D28" s="8" t="n">
        <v>1471</v>
      </c>
      <c r="E28" s="10" t="n">
        <v>26.9</v>
      </c>
      <c r="F28" s="10" t="n">
        <v>19.8</v>
      </c>
      <c r="G28" s="10" t="n">
        <v>25.5</v>
      </c>
      <c r="H28" s="10" t="n">
        <v>25.6</v>
      </c>
      <c r="I28" s="10" t="n">
        <v>38.5</v>
      </c>
      <c r="J28" s="10" t="n">
        <v>39.4</v>
      </c>
    </row>
    <row r="29">
      <c r="A29" s="6" t="inlineStr">
        <is>
          <t>⑦</t>
        </is>
      </c>
      <c r="B29" s="10" t="inlineStr">
        <is>
          <t>口腔機能低下者</t>
        </is>
      </c>
      <c r="C29" s="10" t="inlineStr">
        <is>
          <t>広域連合</t>
        </is>
      </c>
      <c r="D29" s="8" t="n">
        <v>4463</v>
      </c>
      <c r="E29" s="10" t="n">
        <v>23.4</v>
      </c>
      <c r="F29" s="10" t="n">
        <v>18</v>
      </c>
      <c r="G29" s="10" t="n">
        <v>21.5</v>
      </c>
      <c r="H29" s="10" t="n">
        <v>25.6</v>
      </c>
      <c r="I29" s="10" t="n">
        <v>26.6</v>
      </c>
      <c r="J29" s="10" t="n">
        <v>32</v>
      </c>
    </row>
    <row r="30">
      <c r="A30" s="6" t="inlineStr"/>
      <c r="B30" s="10" t="inlineStr"/>
      <c r="C30" s="10" t="inlineStr">
        <is>
          <t>東川町</t>
        </is>
      </c>
      <c r="D30" s="8" t="n">
        <v>1330</v>
      </c>
      <c r="E30" s="10" t="n">
        <v>23.8</v>
      </c>
      <c r="F30" s="10" t="n">
        <v>20.6</v>
      </c>
      <c r="G30" s="10" t="n">
        <v>20.9</v>
      </c>
      <c r="H30" s="10" t="n">
        <v>25.5</v>
      </c>
      <c r="I30" s="10" t="n">
        <v>26.2</v>
      </c>
      <c r="J30" s="10" t="n">
        <v>30.1</v>
      </c>
    </row>
    <row r="31">
      <c r="A31" s="6" t="inlineStr"/>
      <c r="B31" s="10" t="inlineStr"/>
      <c r="C31" s="10" t="inlineStr">
        <is>
          <t>美瑛町</t>
        </is>
      </c>
      <c r="D31" s="8" t="n">
        <v>1645</v>
      </c>
      <c r="E31" s="10" t="n">
        <v>25.3</v>
      </c>
      <c r="F31" s="10" t="n">
        <v>18.1</v>
      </c>
      <c r="G31" s="10" t="n">
        <v>24.2</v>
      </c>
      <c r="H31" s="10" t="n">
        <v>26.7</v>
      </c>
      <c r="I31" s="10" t="n">
        <v>28.7</v>
      </c>
      <c r="J31" s="10" t="n">
        <v>35.2</v>
      </c>
    </row>
    <row r="32">
      <c r="A32" s="6" t="inlineStr"/>
      <c r="B32" s="10" t="inlineStr"/>
      <c r="C32" s="10" t="inlineStr">
        <is>
          <t>東神楽町</t>
        </is>
      </c>
      <c r="D32" s="8" t="n">
        <v>1488</v>
      </c>
      <c r="E32" s="10" t="n">
        <v>21</v>
      </c>
      <c r="F32" s="10" t="n">
        <v>16.4</v>
      </c>
      <c r="G32" s="10" t="n">
        <v>19.4</v>
      </c>
      <c r="H32" s="10" t="n">
        <v>24.3</v>
      </c>
      <c r="I32" s="10" t="n">
        <v>23.9</v>
      </c>
      <c r="J32" s="10" t="n">
        <v>29.5</v>
      </c>
    </row>
    <row r="33">
      <c r="A33" s="6" t="inlineStr">
        <is>
          <t>⑧</t>
        </is>
      </c>
      <c r="B33" s="10" t="inlineStr">
        <is>
          <t>低栄養の傾向</t>
        </is>
      </c>
      <c r="C33" s="10" t="inlineStr">
        <is>
          <t>広域連合</t>
        </is>
      </c>
      <c r="D33" s="8" t="n">
        <v>4351</v>
      </c>
      <c r="E33" s="10" t="n">
        <v>6</v>
      </c>
      <c r="F33" s="10" t="n">
        <v>5.1</v>
      </c>
      <c r="G33" s="10" t="n">
        <v>5.9</v>
      </c>
      <c r="H33" s="10" t="n">
        <v>5.6</v>
      </c>
      <c r="I33" s="10" t="n">
        <v>7.3</v>
      </c>
      <c r="J33" s="10" t="n">
        <v>7.2</v>
      </c>
    </row>
    <row r="34">
      <c r="A34" s="6" t="inlineStr"/>
      <c r="B34" s="10" t="inlineStr"/>
      <c r="C34" s="10" t="inlineStr">
        <is>
          <t>東川町</t>
        </is>
      </c>
      <c r="D34" s="8" t="n">
        <v>1298</v>
      </c>
      <c r="E34" s="10" t="n">
        <v>6</v>
      </c>
      <c r="F34" s="10" t="n">
        <v>3.9</v>
      </c>
      <c r="G34" s="10" t="n">
        <v>8.1</v>
      </c>
      <c r="H34" s="10" t="n">
        <v>3.9</v>
      </c>
      <c r="I34" s="10" t="n">
        <v>7.8</v>
      </c>
      <c r="J34" s="10" t="n">
        <v>6.1</v>
      </c>
    </row>
    <row r="35">
      <c r="A35" s="6" t="inlineStr"/>
      <c r="B35" s="10" t="inlineStr"/>
      <c r="C35" s="10" t="inlineStr">
        <is>
          <t>美瑛町</t>
        </is>
      </c>
      <c r="D35" s="8" t="n">
        <v>1595</v>
      </c>
      <c r="E35" s="10" t="n">
        <v>6</v>
      </c>
      <c r="F35" s="10" t="n">
        <v>5.7</v>
      </c>
      <c r="G35" s="10" t="n">
        <v>4.8</v>
      </c>
      <c r="H35" s="10" t="n">
        <v>6.4</v>
      </c>
      <c r="I35" s="10" t="n">
        <v>7.7</v>
      </c>
      <c r="J35" s="10" t="n">
        <v>6.4</v>
      </c>
    </row>
    <row r="36">
      <c r="A36" s="6" t="inlineStr"/>
      <c r="B36" s="10" t="inlineStr"/>
      <c r="C36" s="10" t="inlineStr">
        <is>
          <t>東神楽町</t>
        </is>
      </c>
      <c r="D36" s="8" t="n">
        <v>1458</v>
      </c>
      <c r="E36" s="10" t="n">
        <v>6</v>
      </c>
      <c r="F36" s="10" t="n">
        <v>5.5</v>
      </c>
      <c r="G36" s="10" t="n">
        <v>5</v>
      </c>
      <c r="H36" s="10" t="n">
        <v>6.6</v>
      </c>
      <c r="I36" s="10" t="n">
        <v>6.3</v>
      </c>
      <c r="J36" s="10" t="n">
        <v>9.6</v>
      </c>
    </row>
    <row r="37">
      <c r="A37" s="6" t="inlineStr">
        <is>
          <t>⑨</t>
        </is>
      </c>
      <c r="B37" s="10" t="inlineStr">
        <is>
          <t>要支援・要介護リスク点数の平均点</t>
        </is>
      </c>
      <c r="C37" s="10" t="inlineStr">
        <is>
          <t>広域連合</t>
        </is>
      </c>
      <c r="D37" s="8" t="n">
        <v>4560</v>
      </c>
      <c r="E37" s="10" t="n">
        <v>15.8</v>
      </c>
      <c r="F37" s="10" t="n">
        <v>5.1</v>
      </c>
      <c r="G37" s="10" t="n">
        <v>12.1</v>
      </c>
      <c r="H37" s="10" t="n">
        <v>18.8</v>
      </c>
      <c r="I37" s="10" t="n">
        <v>24.6</v>
      </c>
      <c r="J37" s="10" t="n">
        <v>30</v>
      </c>
    </row>
    <row r="38">
      <c r="A38" s="6" t="inlineStr"/>
      <c r="B38" s="10" t="inlineStr"/>
      <c r="C38" s="10" t="inlineStr">
        <is>
          <t>東川町</t>
        </is>
      </c>
      <c r="D38" s="8" t="n">
        <v>1367</v>
      </c>
      <c r="E38" s="10" t="n">
        <v>16.4</v>
      </c>
      <c r="F38" s="10" t="n">
        <v>5.3</v>
      </c>
      <c r="G38" s="10" t="n">
        <v>12.2</v>
      </c>
      <c r="H38" s="10" t="n">
        <v>18.6</v>
      </c>
      <c r="I38" s="10" t="n">
        <v>24.8</v>
      </c>
      <c r="J38" s="10" t="n">
        <v>30.1</v>
      </c>
    </row>
    <row r="39">
      <c r="A39" s="6" t="inlineStr"/>
      <c r="B39" s="10" t="inlineStr"/>
      <c r="C39" s="10" t="inlineStr">
        <is>
          <t>美瑛町</t>
        </is>
      </c>
      <c r="D39" s="8" t="n">
        <v>1679</v>
      </c>
      <c r="E39" s="10" t="n">
        <v>16.3</v>
      </c>
      <c r="F39" s="10" t="n">
        <v>4.9</v>
      </c>
      <c r="G39" s="10" t="n">
        <v>12.2</v>
      </c>
      <c r="H39" s="10" t="n">
        <v>19.2</v>
      </c>
      <c r="I39" s="10" t="n">
        <v>24.5</v>
      </c>
      <c r="J39" s="10" t="n">
        <v>30</v>
      </c>
    </row>
    <row r="40">
      <c r="A40" s="6" t="inlineStr"/>
      <c r="B40" s="10" t="inlineStr"/>
      <c r="C40" s="10" t="inlineStr">
        <is>
          <t>東神楽町</t>
        </is>
      </c>
      <c r="D40" s="8" t="n">
        <v>1514</v>
      </c>
      <c r="E40" s="10" t="n">
        <v>14.7</v>
      </c>
      <c r="F40" s="10" t="n">
        <v>5.2</v>
      </c>
      <c r="G40" s="10" t="n">
        <v>11.9</v>
      </c>
      <c r="H40" s="10" t="n">
        <v>18.6</v>
      </c>
      <c r="I40" s="10" t="n">
        <v>24.5</v>
      </c>
      <c r="J40" s="10" t="n">
        <v>30.1</v>
      </c>
    </row>
    <row r="41">
      <c r="A41" s="6" t="inlineStr">
        <is>
          <t>⑩</t>
        </is>
      </c>
      <c r="B41" s="10" t="inlineStr">
        <is>
          <t>認知機能低下者（基本チェックリスト）</t>
        </is>
      </c>
      <c r="C41" s="10" t="inlineStr">
        <is>
          <t>広域連合</t>
        </is>
      </c>
      <c r="D41" s="8" t="n">
        <v>4496</v>
      </c>
      <c r="E41" s="10" t="n">
        <v>34.5</v>
      </c>
      <c r="F41" s="10" t="n">
        <v>28.5</v>
      </c>
      <c r="G41" s="10" t="n">
        <v>31.8</v>
      </c>
      <c r="H41" s="10" t="n">
        <v>33.2</v>
      </c>
      <c r="I41" s="10" t="n">
        <v>42.6</v>
      </c>
      <c r="J41" s="10" t="n">
        <v>45.6</v>
      </c>
    </row>
    <row r="42">
      <c r="A42" s="6" t="inlineStr"/>
      <c r="B42" s="10" t="inlineStr"/>
      <c r="C42" s="10" t="inlineStr">
        <is>
          <t>東川町</t>
        </is>
      </c>
      <c r="D42" s="8" t="n">
        <v>1346</v>
      </c>
      <c r="E42" s="10" t="n">
        <v>33.7</v>
      </c>
      <c r="F42" s="10" t="n">
        <v>24.9</v>
      </c>
      <c r="G42" s="10" t="n">
        <v>30.6</v>
      </c>
      <c r="H42" s="10" t="n">
        <v>34</v>
      </c>
      <c r="I42" s="10" t="n">
        <v>43.1</v>
      </c>
      <c r="J42" s="10" t="n">
        <v>43.1</v>
      </c>
    </row>
    <row r="43">
      <c r="A43" s="6" t="inlineStr"/>
      <c r="B43" s="10" t="inlineStr"/>
      <c r="C43" s="10" t="inlineStr">
        <is>
          <t>美瑛町</t>
        </is>
      </c>
      <c r="D43" s="8" t="n">
        <v>1656</v>
      </c>
      <c r="E43" s="10" t="n">
        <v>34.9</v>
      </c>
      <c r="F43" s="10" t="n">
        <v>27.4</v>
      </c>
      <c r="G43" s="10" t="n">
        <v>33.8</v>
      </c>
      <c r="H43" s="10" t="n">
        <v>31.9</v>
      </c>
      <c r="I43" s="10" t="n">
        <v>43.8</v>
      </c>
      <c r="J43" s="10" t="n">
        <v>43.6</v>
      </c>
    </row>
    <row r="44">
      <c r="A44" s="6" t="inlineStr"/>
      <c r="B44" s="10" t="inlineStr"/>
      <c r="C44" s="10" t="inlineStr">
        <is>
          <t>東神楽町</t>
        </is>
      </c>
      <c r="D44" s="8" t="n">
        <v>1494</v>
      </c>
      <c r="E44" s="10" t="n">
        <v>34.9</v>
      </c>
      <c r="F44" s="10" t="n">
        <v>31.7</v>
      </c>
      <c r="G44" s="10" t="n">
        <v>30.9</v>
      </c>
      <c r="H44" s="10" t="n">
        <v>34</v>
      </c>
      <c r="I44" s="10" t="n">
        <v>40.5</v>
      </c>
      <c r="J44" s="10" t="n">
        <v>51.2</v>
      </c>
    </row>
    <row r="45">
      <c r="A45" s="6" t="inlineStr">
        <is>
          <t>⑪</t>
        </is>
      </c>
      <c r="B45" s="10" t="inlineStr">
        <is>
          <t>IADL（自立度）低下者（1項目以上）</t>
        </is>
      </c>
      <c r="C45" s="10" t="inlineStr">
        <is>
          <t>広域連合</t>
        </is>
      </c>
      <c r="D45" s="8" t="n">
        <v>4500</v>
      </c>
      <c r="E45" s="10" t="n">
        <v>9.800000000000001</v>
      </c>
      <c r="F45" s="10" t="n">
        <v>4.6</v>
      </c>
      <c r="G45" s="10" t="n">
        <v>7.1</v>
      </c>
      <c r="H45" s="10" t="n">
        <v>9.300000000000001</v>
      </c>
      <c r="I45" s="10" t="n">
        <v>13.8</v>
      </c>
      <c r="J45" s="10" t="n">
        <v>23.5</v>
      </c>
    </row>
    <row r="46">
      <c r="A46" s="6" t="inlineStr"/>
      <c r="B46" s="10" t="inlineStr"/>
      <c r="C46" s="10" t="inlineStr">
        <is>
          <t>東川町</t>
        </is>
      </c>
      <c r="D46" s="8" t="n">
        <v>1346</v>
      </c>
      <c r="E46" s="10" t="n">
        <v>10.9</v>
      </c>
      <c r="F46" s="10" t="n">
        <v>6.2</v>
      </c>
      <c r="G46" s="10" t="n">
        <v>7.5</v>
      </c>
      <c r="H46" s="10" t="n">
        <v>9.699999999999999</v>
      </c>
      <c r="I46" s="10" t="n">
        <v>16.4</v>
      </c>
      <c r="J46" s="10" t="n">
        <v>22.9</v>
      </c>
    </row>
    <row r="47">
      <c r="A47" s="6" t="inlineStr"/>
      <c r="B47" s="10" t="inlineStr"/>
      <c r="C47" s="10" t="inlineStr">
        <is>
          <t>美瑛町</t>
        </is>
      </c>
      <c r="D47" s="8" t="n">
        <v>1658</v>
      </c>
      <c r="E47" s="10" t="n">
        <v>9.4</v>
      </c>
      <c r="F47" s="10" t="n">
        <v>4.5</v>
      </c>
      <c r="G47" s="10" t="n">
        <v>5.9</v>
      </c>
      <c r="H47" s="10" t="n">
        <v>9.4</v>
      </c>
      <c r="I47" s="10" t="n">
        <v>12</v>
      </c>
      <c r="J47" s="10" t="n">
        <v>23.5</v>
      </c>
    </row>
    <row r="48">
      <c r="A48" s="6" t="inlineStr"/>
      <c r="B48" s="10" t="inlineStr"/>
      <c r="C48" s="10" t="inlineStr">
        <is>
          <t>東神楽町</t>
        </is>
      </c>
      <c r="D48" s="8" t="n">
        <v>1496</v>
      </c>
      <c r="E48" s="10" t="n">
        <v>9.199999999999999</v>
      </c>
      <c r="F48" s="10" t="n">
        <v>3.7</v>
      </c>
      <c r="G48" s="10" t="n">
        <v>8.199999999999999</v>
      </c>
      <c r="H48" s="10" t="n">
        <v>8.800000000000001</v>
      </c>
      <c r="I48" s="10" t="n">
        <v>13.5</v>
      </c>
      <c r="J48" s="10" t="n">
        <v>24</v>
      </c>
    </row>
    <row r="49">
      <c r="A49" s="6" t="inlineStr">
        <is>
          <t>⑫</t>
        </is>
      </c>
      <c r="B49" s="10" t="inlineStr">
        <is>
          <t>通いの場参加者（月1回以上）</t>
        </is>
      </c>
      <c r="C49" s="10" t="inlineStr">
        <is>
          <t>広域連合</t>
        </is>
      </c>
      <c r="D49" s="8" t="n">
        <v>4324</v>
      </c>
      <c r="E49" s="10" t="n">
        <v>7.3</v>
      </c>
      <c r="F49" s="10" t="n">
        <v>3.6</v>
      </c>
      <c r="G49" s="10" t="n">
        <v>5</v>
      </c>
      <c r="H49" s="10" t="n">
        <v>8</v>
      </c>
      <c r="I49" s="10" t="n">
        <v>13.5</v>
      </c>
      <c r="J49" s="10" t="n">
        <v>12.4</v>
      </c>
    </row>
    <row r="50">
      <c r="A50" s="6" t="inlineStr"/>
      <c r="B50" s="10" t="inlineStr"/>
      <c r="C50" s="10" t="inlineStr">
        <is>
          <t>東川町</t>
        </is>
      </c>
      <c r="D50" s="8" t="n">
        <v>1277</v>
      </c>
      <c r="E50" s="10" t="n">
        <v>8.1</v>
      </c>
      <c r="F50" s="10" t="n">
        <v>3.9</v>
      </c>
      <c r="G50" s="10" t="n">
        <v>4.8</v>
      </c>
      <c r="H50" s="10" t="n">
        <v>8.9</v>
      </c>
      <c r="I50" s="10" t="n">
        <v>17</v>
      </c>
      <c r="J50" s="10" t="n">
        <v>11.6</v>
      </c>
    </row>
    <row r="51">
      <c r="A51" s="6" t="inlineStr"/>
      <c r="B51" s="10" t="inlineStr"/>
      <c r="C51" s="10" t="inlineStr">
        <is>
          <t>美瑛町</t>
        </is>
      </c>
      <c r="D51" s="8" t="n">
        <v>1593</v>
      </c>
      <c r="E51" s="10" t="n">
        <v>7.3</v>
      </c>
      <c r="F51" s="10" t="n">
        <v>2.7</v>
      </c>
      <c r="G51" s="10" t="n">
        <v>4.3</v>
      </c>
      <c r="H51" s="10" t="n">
        <v>8.1</v>
      </c>
      <c r="I51" s="10" t="n">
        <v>13</v>
      </c>
      <c r="J51" s="10" t="n">
        <v>14.2</v>
      </c>
    </row>
    <row r="52">
      <c r="A52" s="6" t="inlineStr"/>
      <c r="B52" s="10" t="inlineStr"/>
      <c r="C52" s="10" t="inlineStr">
        <is>
          <t>東神楽町</t>
        </is>
      </c>
      <c r="D52" s="8" t="n">
        <v>1454</v>
      </c>
      <c r="E52" s="10" t="n">
        <v>6.7</v>
      </c>
      <c r="F52" s="10" t="n">
        <v>4.3</v>
      </c>
      <c r="G52" s="10" t="n">
        <v>5.8</v>
      </c>
      <c r="H52" s="10" t="n">
        <v>6.9</v>
      </c>
      <c r="I52" s="10" t="n">
        <v>10.7</v>
      </c>
      <c r="J52" s="10" t="n">
        <v>10.9</v>
      </c>
    </row>
    <row r="53">
      <c r="A53" s="6" t="inlineStr">
        <is>
          <t>⑬</t>
        </is>
      </c>
      <c r="B53" s="10" t="inlineStr">
        <is>
          <t>ボランティア参加者（月1回以上）</t>
        </is>
      </c>
      <c r="C53" s="10" t="inlineStr">
        <is>
          <t>広域連合</t>
        </is>
      </c>
      <c r="D53" s="8" t="n">
        <v>4301</v>
      </c>
      <c r="E53" s="10" t="n">
        <v>9</v>
      </c>
      <c r="F53" s="10" t="n">
        <v>7</v>
      </c>
      <c r="G53" s="10" t="n">
        <v>10.8</v>
      </c>
      <c r="H53" s="10" t="n">
        <v>7.6</v>
      </c>
      <c r="I53" s="10" t="n">
        <v>10.1</v>
      </c>
      <c r="J53" s="10" t="n">
        <v>9.699999999999999</v>
      </c>
    </row>
    <row r="54">
      <c r="A54" s="6" t="inlineStr"/>
      <c r="B54" s="10" t="inlineStr"/>
      <c r="C54" s="10" t="inlineStr">
        <is>
          <t>東川町</t>
        </is>
      </c>
      <c r="D54" s="8" t="n">
        <v>1271</v>
      </c>
      <c r="E54" s="10" t="n">
        <v>10.8</v>
      </c>
      <c r="F54" s="10" t="n">
        <v>8.5</v>
      </c>
      <c r="G54" s="10" t="n">
        <v>11.1</v>
      </c>
      <c r="H54" s="10" t="n">
        <v>8.699999999999999</v>
      </c>
      <c r="I54" s="10" t="n">
        <v>15.9</v>
      </c>
      <c r="J54" s="10" t="n">
        <v>11.2</v>
      </c>
    </row>
    <row r="55">
      <c r="A55" s="6" t="inlineStr"/>
      <c r="B55" s="10" t="inlineStr"/>
      <c r="C55" s="10" t="inlineStr">
        <is>
          <t>美瑛町</t>
        </is>
      </c>
      <c r="D55" s="8" t="n">
        <v>1581</v>
      </c>
      <c r="E55" s="10" t="n">
        <v>9.199999999999999</v>
      </c>
      <c r="F55" s="10" t="n">
        <v>7.2</v>
      </c>
      <c r="G55" s="10" t="n">
        <v>12.1</v>
      </c>
      <c r="H55" s="10" t="n">
        <v>8.199999999999999</v>
      </c>
      <c r="I55" s="10" t="n">
        <v>7.6</v>
      </c>
      <c r="J55" s="10" t="n">
        <v>10.4</v>
      </c>
    </row>
    <row r="56">
      <c r="A56" s="6" t="inlineStr"/>
      <c r="B56" s="10" t="inlineStr"/>
      <c r="C56" s="10" t="inlineStr">
        <is>
          <t>東神楽町</t>
        </is>
      </c>
      <c r="D56" s="8" t="n">
        <v>1449</v>
      </c>
      <c r="E56" s="10" t="n">
        <v>7.2</v>
      </c>
      <c r="F56" s="10" t="n">
        <v>5.9</v>
      </c>
      <c r="G56" s="10" t="n">
        <v>9.1</v>
      </c>
      <c r="H56" s="10" t="n">
        <v>5.9</v>
      </c>
      <c r="I56" s="10" t="n">
        <v>7.8</v>
      </c>
      <c r="J56" s="10" t="n">
        <v>7.1</v>
      </c>
    </row>
    <row r="57">
      <c r="A57" s="6" t="inlineStr">
        <is>
          <t>⑭</t>
        </is>
      </c>
      <c r="B57" s="10" t="inlineStr">
        <is>
          <t>社会的ネットワーク：友人知人と会う頻度が高い（月1回以上）</t>
        </is>
      </c>
      <c r="C57" s="10" t="inlineStr">
        <is>
          <t>広域連合</t>
        </is>
      </c>
      <c r="D57" s="8" t="n">
        <v>4433</v>
      </c>
      <c r="E57" s="10" t="n">
        <v>64.3</v>
      </c>
      <c r="F57" s="10" t="n">
        <v>59</v>
      </c>
      <c r="G57" s="10" t="n">
        <v>66.2</v>
      </c>
      <c r="H57" s="10" t="n">
        <v>68.8</v>
      </c>
      <c r="I57" s="10" t="n">
        <v>66.40000000000001</v>
      </c>
      <c r="J57" s="10" t="n">
        <v>59</v>
      </c>
    </row>
    <row r="58">
      <c r="A58" s="6" t="inlineStr"/>
      <c r="B58" s="10" t="inlineStr"/>
      <c r="C58" s="10" t="inlineStr">
        <is>
          <t>東川町</t>
        </is>
      </c>
      <c r="D58" s="8" t="n">
        <v>1330</v>
      </c>
      <c r="E58" s="10" t="n">
        <v>66.8</v>
      </c>
      <c r="F58" s="10" t="n">
        <v>60.4</v>
      </c>
      <c r="G58" s="10" t="n">
        <v>67</v>
      </c>
      <c r="H58" s="10" t="n">
        <v>70.09999999999999</v>
      </c>
      <c r="I58" s="10" t="n">
        <v>70.90000000000001</v>
      </c>
      <c r="J58" s="10" t="n">
        <v>64.7</v>
      </c>
    </row>
    <row r="59">
      <c r="A59" s="6" t="inlineStr"/>
      <c r="B59" s="10" t="inlineStr"/>
      <c r="C59" s="10" t="inlineStr">
        <is>
          <t>美瑛町</t>
        </is>
      </c>
      <c r="D59" s="8" t="n">
        <v>1627</v>
      </c>
      <c r="E59" s="10" t="n">
        <v>66.59999999999999</v>
      </c>
      <c r="F59" s="10" t="n">
        <v>61.2</v>
      </c>
      <c r="G59" s="10" t="n">
        <v>68.09999999999999</v>
      </c>
      <c r="H59" s="10" t="n">
        <v>72.09999999999999</v>
      </c>
      <c r="I59" s="10" t="n">
        <v>70</v>
      </c>
      <c r="J59" s="10" t="n">
        <v>58.6</v>
      </c>
    </row>
    <row r="60">
      <c r="A60" s="6" t="inlineStr"/>
      <c r="B60" s="10" t="inlineStr"/>
      <c r="C60" s="10" t="inlineStr">
        <is>
          <t>東神楽町</t>
        </is>
      </c>
      <c r="D60" s="8" t="n">
        <v>1476</v>
      </c>
      <c r="E60" s="10" t="n">
        <v>59.6</v>
      </c>
      <c r="F60" s="10" t="n">
        <v>56.1</v>
      </c>
      <c r="G60" s="10" t="n">
        <v>63.5</v>
      </c>
      <c r="H60" s="10" t="n">
        <v>63.5</v>
      </c>
      <c r="I60" s="10" t="n">
        <v>56.6</v>
      </c>
      <c r="J60" s="10" t="n">
        <v>53.5</v>
      </c>
    </row>
    <row r="61" ht="26" customHeight="1">
      <c r="A61" s="4" t="inlineStr">
        <is>
          <t>注1）第9期計画 第2章第3節の掲載値。町の対応はサンプル数と回収票数（東川町1,367票・美瑛町1,679票・東神楽町1,514票）の照合により確定した。注2）⑨は第9期計画に「15.8％」と記載されているが、実際は要支援・要介護リスク評価尺度による平均点（72,099点÷4,560人＝15.8点）であり、本表では単位を「点」としている（00_凡例・出典 4-2）。注3）第10期ニーズ調査は実施済みで集計未受領。設問・判定ロジックの一致を確認したうえで全面差替えとなる。</t>
        </is>
      </c>
    </row>
  </sheetData>
  <mergeCells count="3">
    <mergeCell ref="A1:J1"/>
    <mergeCell ref="A61:M61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24" customHeight="1">
      <c r="A1" s="1" t="inlineStr">
        <is>
          <t>図8　介護予防・日常生活圏域ニーズ調査 結果概要（グラフ）</t>
        </is>
      </c>
    </row>
    <row r="2" ht="16" customHeight="1">
      <c r="A2" s="2" t="inlineStr">
        <is>
          <t>08_ニーズ調査データ を参照。年齢階級別（広域連合）と町別（全体）を各指標について作図</t>
        </is>
      </c>
    </row>
  </sheetData>
  <mergeCells count="2">
    <mergeCell ref="A1:T1"/>
    <mergeCell ref="A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2026-07-28T06:27:09Z</dcterms:created>
  <dcterms:modified xmlns:dcterms="http://purl.org/dc/terms/" xmlns:xsi="http://www.w3.org/2001/XMLSchema-instance" xsi:type="dcterms:W3CDTF">2026-07-28T06:27:10Z</dcterms:modified>
</cp:coreProperties>
</file>