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'23_上川中部圏域比較'!$A$21:$A$23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'23_上川中部圏域比較'!$A$21:$A$23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保険者機能強化推進交付金等の総合得点の推移</a:t>
            </a:r>
          </a:p>
        </rich>
      </tx>
      <overlay val="0"/>
    </title>
    <plotArea>
      <lineChart>
        <grouping val="standard"/>
        <ser>
          <idx val="0"/>
          <order val="0"/>
          <tx>
            <strRef>
              <f>'27_交付金評価'!B5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'27_交付金評価'!$B$6:$B$8</f>
            </numRef>
          </val>
          <smooth val="0"/>
        </ser>
        <ser>
          <idx val="1"/>
          <order val="1"/>
          <tx>
            <strRef>
              <f>'27_交付金評価'!C5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'27_交付金評価'!$A$6:$A$8</f>
            </numRef>
          </cat>
          <val>
            <numRef>
              <f>'27_交付金評価'!$C$6:$C$8</f>
            </numRef>
          </val>
          <smooth val="0"/>
        </ser>
        <ser>
          <idx val="2"/>
          <order val="2"/>
          <tx>
            <strRef>
              <f>'27_交付金評価'!D5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'27_交付金評価'!$D$6:$D$8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80"/>
          <min val="300"/>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指標群別の得点（令和8年度）</a:t>
            </a:r>
          </a:p>
        </rich>
      </tx>
      <overlay val="0"/>
    </title>
    <plotArea>
      <barChart>
        <barDir val="col"/>
        <grouping val="clustered"/>
        <ser>
          <idx val="0"/>
          <order val="0"/>
          <tx>
            <strRef>
              <f>'27_交付金評価'!C12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'27_交付金評価'!$C$13:$C$18</f>
            </numRef>
          </val>
        </ser>
        <ser>
          <idx val="1"/>
          <order val="1"/>
          <tx>
            <strRef>
              <f>'27_交付金評価'!D12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'27_交付金評価'!$D$13:$D$18</f>
            </numRef>
          </val>
        </ser>
        <ser>
          <idx val="2"/>
          <order val="2"/>
          <tx>
            <strRef>
              <f>'27_交付金評価'!E12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'27_交付金評価'!$E$13:$E$18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大雪／全国（令和8年度）</a:t>
            </a:r>
          </a:p>
        </rich>
      </tx>
      <overlay val="0"/>
    </title>
    <plotArea>
      <barChart>
        <barDir val="col"/>
        <grouping val="clustered"/>
        <ser>
          <idx val="0"/>
          <order val="0"/>
          <tx>
            <strRef>
              <f>'27_交付金評価'!F22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'27_交付金評価'!$F$23:$F$29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及び同「全国集計結果」令和6〜8年度（原本を令和8年9月2日受領）。令和8年度交付金は令和7年度（2025年度）に実施した取組を評価する。全国は1,741市町村、北海道は179市町村の平均値。第10期基本指針の新別表 九「インセンティブ交付金における評価」に対応する。</t>
        </is>
      </c>
    </row>
    <row r="4">
      <c r="A4" s="8" t="inlineStr">
        <is>
          <t>（1）総合得点（点）</t>
        </is>
      </c>
    </row>
    <row r="5">
      <c r="A5" s="5" t="inlineStr">
        <is>
          <t>年度</t>
        </is>
      </c>
      <c r="B5" s="5" t="inlineStr">
        <is>
          <t>大雪地区広域連合</t>
        </is>
      </c>
      <c r="C5" s="5" t="inlineStr">
        <is>
          <t>北海道</t>
        </is>
      </c>
      <c r="D5" s="5" t="inlineStr">
        <is>
          <t>全国</t>
        </is>
      </c>
    </row>
    <row r="6">
      <c r="A6" s="6" t="inlineStr">
        <is>
          <t>令和6年度</t>
        </is>
      </c>
      <c r="B6" s="14" t="n">
        <v>332</v>
      </c>
      <c r="C6" s="14" t="n">
        <v>413.6</v>
      </c>
      <c r="D6" s="14" t="n">
        <v>422.4</v>
      </c>
    </row>
    <row r="7">
      <c r="A7" s="6" t="inlineStr">
        <is>
          <t>令和7年度</t>
        </is>
      </c>
      <c r="B7" s="14" t="n">
        <v>335.3</v>
      </c>
      <c r="C7" s="14" t="n">
        <v>416.5</v>
      </c>
      <c r="D7" s="14" t="n">
        <v>435</v>
      </c>
    </row>
    <row r="8">
      <c r="A8" s="6" t="inlineStr">
        <is>
          <t>令和8年度</t>
        </is>
      </c>
      <c r="B8" s="14" t="n">
        <v>334</v>
      </c>
      <c r="C8" s="14" t="n">
        <v>432.6</v>
      </c>
      <c r="D8" s="14" t="n">
        <v>454.9</v>
      </c>
    </row>
    <row r="9" ht="26" customHeight="1">
      <c r="A9" s="4" t="inlineStr">
        <is>
          <t>注1）800点満点（推進400点・支援400点）。大雪は構成3町の単純平均。交付金は市町村に交付されるため広域連合としての得点は存在しない。注2）全国平均は3年で32.5点上がったが、3町平均は2.0点の変化にとどまる。対全国比は78.6％→77.1％→73.4％と低下している。注3）推進・支援合計の全国順位（下位からの位置）は、令和8年度で東川町6.7％・美瑛町6.0％・東神楽町20.5％。東川町・美瑛町は全国の下位1割以内。注4）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満点</t>
        </is>
      </c>
      <c r="C12" s="5" t="inlineStr">
        <is>
          <t>大雪地区広域連合</t>
        </is>
      </c>
      <c r="D12" s="5" t="inlineStr">
        <is>
          <t>北海道</t>
        </is>
      </c>
      <c r="E12" s="5" t="inlineStr">
        <is>
          <t>全国</t>
        </is>
      </c>
      <c r="F12" s="5" t="inlineStr">
        <is>
          <t>大雪／全国</t>
        </is>
      </c>
    </row>
    <row r="13">
      <c r="A13" s="6" t="inlineStr">
        <is>
          <t>推進　体制・取組指標群</t>
        </is>
      </c>
      <c r="B13" s="28" t="n">
        <v>196</v>
      </c>
      <c r="C13" s="28" t="n">
        <v>94.7</v>
      </c>
      <c r="D13" s="28" t="n">
        <v>134.5</v>
      </c>
      <c r="E13" s="28" t="n">
        <v>145.5</v>
      </c>
      <c r="F13" s="28" t="n">
        <v>0.651</v>
      </c>
    </row>
    <row r="14">
      <c r="A14" s="6" t="inlineStr">
        <is>
          <t>推進　活動指標群</t>
        </is>
      </c>
      <c r="B14" s="28" t="n">
        <v>104</v>
      </c>
      <c r="C14" s="28" t="n">
        <v>23</v>
      </c>
      <c r="D14" s="28" t="n">
        <v>32.9</v>
      </c>
      <c r="E14" s="28" t="n">
        <v>36.9</v>
      </c>
      <c r="F14" s="28" t="n">
        <v>0.623</v>
      </c>
    </row>
    <row r="15">
      <c r="A15" s="6" t="inlineStr">
        <is>
          <t>推進　成果指標群</t>
        </is>
      </c>
      <c r="B15" s="28" t="n">
        <v>100</v>
      </c>
      <c r="C15" s="28" t="n">
        <v>55</v>
      </c>
      <c r="D15" s="28" t="n">
        <v>54.4</v>
      </c>
      <c r="E15" s="28" t="n">
        <v>47.7</v>
      </c>
      <c r="F15" s="28" t="n">
        <v>1.153</v>
      </c>
    </row>
    <row r="16">
      <c r="A16" s="6" t="inlineStr">
        <is>
          <t>支援　体制・取組指標群</t>
        </is>
      </c>
      <c r="B16" s="28" t="n">
        <v>184</v>
      </c>
      <c r="C16" s="28" t="n">
        <v>71.7</v>
      </c>
      <c r="D16" s="28" t="n">
        <v>116.7</v>
      </c>
      <c r="E16" s="28" t="n">
        <v>130.7</v>
      </c>
      <c r="F16" s="28" t="n">
        <v>0.548</v>
      </c>
    </row>
    <row r="17">
      <c r="A17" s="6" t="inlineStr">
        <is>
          <t>支援　活動指標群</t>
        </is>
      </c>
      <c r="B17" s="28" t="n">
        <v>116</v>
      </c>
      <c r="C17" s="28" t="n">
        <v>34.7</v>
      </c>
      <c r="D17" s="28" t="n">
        <v>39.4</v>
      </c>
      <c r="E17" s="28" t="n">
        <v>46.5</v>
      </c>
      <c r="F17" s="28" t="n">
        <v>0.746</v>
      </c>
    </row>
    <row r="18">
      <c r="A18" s="6" t="inlineStr">
        <is>
          <t>支援　成果指標群</t>
        </is>
      </c>
      <c r="B18" s="28" t="n">
        <v>100</v>
      </c>
      <c r="C18" s="28" t="n">
        <v>55</v>
      </c>
      <c r="D18" s="28" t="n">
        <v>54.4</v>
      </c>
      <c r="E18" s="28" t="n">
        <v>47.7</v>
      </c>
      <c r="F18" s="28" t="n">
        <v>1.153</v>
      </c>
    </row>
    <row r="19" ht="26" customHeight="1">
      <c r="A19" s="4" t="inlineStr">
        <is>
          <t>注1）満点は「令和8年度保険者機能強化推進交付金及び介護保険保険者努力支援交付金に係る評価指標（市町村分）」による。体制・取組指標群は目標Ⅰ〜Ⅲの（ⅰ）の合計、活動指標群は同（ⅱ）の合計、成果指標群は目標Ⅳである。注2）成果（アウトカム）は全国の115.3％である一方、体制・取組と活動は全国の54.8〜74.6％にとどまる。成果と体制・取組の得点に差がある状態（原因は評価調書の受領後に確認）である。注3）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満点</t>
        </is>
      </c>
      <c r="C22" s="5" t="inlineStr">
        <is>
          <t>大雪地区広域連合</t>
        </is>
      </c>
      <c r="D22" s="5" t="inlineStr">
        <is>
          <t>北海道</t>
        </is>
      </c>
      <c r="E22" s="5" t="inlineStr">
        <is>
          <t>全国</t>
        </is>
      </c>
      <c r="F22" s="5" t="inlineStr">
        <is>
          <t>大雪／全国</t>
        </is>
      </c>
    </row>
    <row r="23">
      <c r="A23" s="6" t="inlineStr">
        <is>
          <t>推進Ⅰ 持続可能な地域のあるべき姿</t>
        </is>
      </c>
      <c r="B23" s="28" t="n">
        <v>100</v>
      </c>
      <c r="C23" s="28" t="n">
        <v>39.3</v>
      </c>
      <c r="D23" s="28" t="n">
        <v>57.1</v>
      </c>
      <c r="E23" s="28" t="n">
        <v>62.3</v>
      </c>
      <c r="F23" s="28" t="n">
        <v>0.631</v>
      </c>
    </row>
    <row r="24">
      <c r="A24" s="6" t="inlineStr">
        <is>
          <t>推進Ⅱ 公正・公平な給付体制</t>
        </is>
      </c>
      <c r="B24" s="28" t="n">
        <v>100</v>
      </c>
      <c r="C24" s="28" t="n">
        <v>38</v>
      </c>
      <c r="D24" s="28" t="n">
        <v>63.6</v>
      </c>
      <c r="E24" s="28" t="n">
        <v>69.09999999999999</v>
      </c>
      <c r="F24" s="28" t="n">
        <v>0.55</v>
      </c>
    </row>
    <row r="25">
      <c r="A25" s="6" t="inlineStr">
        <is>
          <t>推進Ⅲ 介護人材の確保・基盤整備</t>
        </is>
      </c>
      <c r="B25" s="28" t="n">
        <v>100</v>
      </c>
      <c r="C25" s="28" t="n">
        <v>40.3</v>
      </c>
      <c r="D25" s="28" t="n">
        <v>46.8</v>
      </c>
      <c r="E25" s="28" t="n">
        <v>50.8</v>
      </c>
      <c r="F25" s="28" t="n">
        <v>0.794</v>
      </c>
    </row>
    <row r="26">
      <c r="A26" s="6" t="inlineStr">
        <is>
          <t>支援Ⅰ 介護予防／日常生活支援</t>
        </is>
      </c>
      <c r="B26" s="28" t="n">
        <v>100</v>
      </c>
      <c r="C26" s="28" t="n">
        <v>46.3</v>
      </c>
      <c r="D26" s="28" t="n">
        <v>54.7</v>
      </c>
      <c r="E26" s="28" t="n">
        <v>57.8</v>
      </c>
      <c r="F26" s="28" t="n">
        <v>0.802</v>
      </c>
    </row>
    <row r="27">
      <c r="A27" s="6" t="inlineStr">
        <is>
          <t>支援Ⅱ 認知症総合支援</t>
        </is>
      </c>
      <c r="B27" s="28" t="n">
        <v>100</v>
      </c>
      <c r="C27" s="28" t="n">
        <v>29.7</v>
      </c>
      <c r="D27" s="28" t="n">
        <v>45.4</v>
      </c>
      <c r="E27" s="28" t="n">
        <v>51.1</v>
      </c>
      <c r="F27" s="28" t="n">
        <v>0.581</v>
      </c>
    </row>
    <row r="28">
      <c r="A28" s="6" t="inlineStr">
        <is>
          <t>支援Ⅲ 在宅医療・在宅介護連携</t>
        </is>
      </c>
      <c r="B28" s="28" t="n">
        <v>100</v>
      </c>
      <c r="C28" s="28" t="n">
        <v>30.3</v>
      </c>
      <c r="D28" s="28" t="n">
        <v>56.3</v>
      </c>
      <c r="E28" s="28" t="n">
        <v>68.3</v>
      </c>
      <c r="F28" s="28" t="n">
        <v>0.444</v>
      </c>
    </row>
    <row r="29">
      <c r="A29" s="6" t="inlineStr">
        <is>
          <t>共通Ⅳ 自立した日常生活（成果）</t>
        </is>
      </c>
      <c r="B29" s="28" t="n">
        <v>100</v>
      </c>
      <c r="C29" s="28" t="n">
        <v>55</v>
      </c>
      <c r="D29" s="28" t="n">
        <v>54.4</v>
      </c>
      <c r="E29" s="28" t="n">
        <v>47.7</v>
      </c>
      <c r="F29" s="28" t="n">
        <v>1.153</v>
      </c>
    </row>
    <row r="30" ht="26" customHeight="1">
      <c r="A30" s="4" t="inlineStr">
        <is>
          <t>注1）各目標100点満点。最も低いのは支援Ⅲ（在宅医療・在宅介護連携）の全国比0.444、次いで推進Ⅱ（公正・公平な給付体制）の0.550、支援Ⅱ（認知症総合支援）の0.581である。注2）支援Ⅲは入退院支援・人生の最終段階における支援がいずれも0点、推進Ⅱはケアプラン点検・医療情報との突合がいずれも0点である。後者は北海道の第9期評価指標⑧「給付適正化主要3事業の実施率100％」に反する。注3）共通Ⅳ（成果指標群）のみ全国平均を上回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-44</v>
      </c>
      <c r="C16" s="9" t="n">
        <v>6723</v>
      </c>
    </row>
    <row r="17">
      <c r="A17" s="6" t="inlineStr">
        <is>
          <t>基金取崩額（40百万円→0円）</t>
        </is>
      </c>
      <c r="B17" s="9" t="n">
        <v>125</v>
      </c>
      <c r="C17" s="9" t="n">
        <v>6848</v>
      </c>
    </row>
    <row r="18">
      <c r="A18" s="6" t="inlineStr">
        <is>
          <t>補正後被保険者数の係数</t>
        </is>
      </c>
      <c r="B18" s="9" t="n">
        <v>-153</v>
      </c>
      <c r="C18" s="9" t="n">
        <v>6695</v>
      </c>
    </row>
    <row r="19">
      <c r="A19" s="6" t="inlineStr">
        <is>
          <t>被保険者数</t>
        </is>
      </c>
      <c r="B19" s="9" t="n">
        <v>45</v>
      </c>
      <c r="C19" s="9" t="n">
        <v>6740</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地域支援事業費からは、保険者機能強化推進事業費及び保険者努力支援事業費を除いている。交付金を財源とする事業であり、第1号被保険者負担分の算定基礎には含まれないためである（算定方法の整合確認 03シート）。注5）第10期の基本ケース6,740円は暫定の算定である。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6144</v>
      </c>
      <c r="C24" s="9" t="n">
        <v>-596</v>
      </c>
    </row>
    <row r="25">
      <c r="A25" s="6" t="inlineStr">
        <is>
          <t>財政調整基金を全額取り崩す</t>
        </is>
      </c>
      <c r="B25" s="9" t="n">
        <v>6026</v>
      </c>
      <c r="C25" s="9" t="n">
        <v>-714</v>
      </c>
    </row>
    <row r="26">
      <c r="A26" s="6" t="inlineStr">
        <is>
          <t>補正後被保険者数の係数を令和7年度実績とする</t>
        </is>
      </c>
      <c r="B26" s="9" t="n">
        <v>6577</v>
      </c>
      <c r="C26" s="9" t="n">
        <v>-163</v>
      </c>
    </row>
    <row r="27">
      <c r="A27" s="6" t="inlineStr">
        <is>
          <t>予定収納率を実績（99.87％）とする</t>
        </is>
      </c>
      <c r="B27" s="9" t="n">
        <v>6681</v>
      </c>
      <c r="C27" s="9" t="n">
        <v>-59</v>
      </c>
    </row>
    <row r="28">
      <c r="A28" s="6" t="inlineStr">
        <is>
          <t>基本ケース</t>
        </is>
      </c>
      <c r="B28" s="9" t="n">
        <v>6740</v>
      </c>
      <c r="C28" s="9" t="n">
        <v>0</v>
      </c>
    </row>
    <row r="29">
      <c r="A29" s="6" t="inlineStr">
        <is>
          <t>調整交付金を第8期の交付実績の水準とする</t>
        </is>
      </c>
      <c r="B29" s="9" t="n">
        <v>7023</v>
      </c>
      <c r="C29" s="9" t="n">
        <v>283</v>
      </c>
    </row>
    <row r="30">
      <c r="A30" s="6" t="inlineStr">
        <is>
          <t>第1号被保険者負担割合を24％とする</t>
        </is>
      </c>
      <c r="B30" s="9" t="n">
        <v>7066</v>
      </c>
      <c r="C30" s="9" t="n">
        <v>326</v>
      </c>
    </row>
    <row r="31" ht="26" customHeight="1">
      <c r="A31" s="4" t="inlineStr">
        <is>
          <t>注1）最も大きいレバーは給付費の水準で、月額に596円の幅がある。注2）見える化システムの自然体推計6,238円は、給付費を第9期の実績年率で置いた場合の6,144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【保険者機能強化推進交付金等の総合得点の推移】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【指標群別の得点（令和8年度）】</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大雪／全国（令和8年度）】</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2026-09-29T09:41:23Z</dcterms:created>
  <dcterms:modified xmlns:dcterms="http://purl.org/dc/terms/" xmlns:xsi="http://www.w3.org/2001/XMLSchema-instance" xsi:type="dcterms:W3CDTF">2026-09-29T09:41:24Z</dcterms:modified>
</cp:coreProperties>
</file>