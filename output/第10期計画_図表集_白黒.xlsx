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drawings/drawing25.xml" ContentType="application/vnd.openxmlformats-officedocument.drawing+xml"/>
  <Override PartName="/xl/worksheets/sheet27.xml" ContentType="application/vnd.openxmlformats-officedocument.spreadsheetml.worksheet+xml"/>
  <Override PartName="/xl/drawings/drawing26.xml" ContentType="application/vnd.openxmlformats-officedocument.drawing+xml"/>
  <Override PartName="/xl/worksheets/sheet28.xml" ContentType="application/vnd.openxmlformats-officedocument.spreadsheetml.worksheet+xml"/>
  <Override PartName="/xl/drawings/drawing27.xml" ContentType="application/vnd.openxmlformats-officedocument.drawing+xml"/>
  <Override PartName="/xl/worksheets/sheet29.xml" ContentType="application/vnd.openxmlformats-officedocument.spreadsheetml.worksheet+xml"/>
  <Override PartName="/xl/drawings/drawing28.xml" ContentType="application/vnd.openxmlformats-officedocument.drawing+xml"/>
  <Override PartName="/xl/worksheets/sheet30.xml" ContentType="application/vnd.openxmlformats-officedocument.spreadsheetml.worksheet+xml"/>
  <Override PartName="/xl/drawings/drawing29.xml" ContentType="application/vnd.openxmlformats-officedocument.drawing+xml"/>
  <Override PartName="/xl/worksheets/sheet31.xml" ContentType="application/vnd.openxmlformats-officedocument.spreadsheetml.worksheet+xml"/>
  <Override PartName="/xl/drawings/drawing30.xml" ContentType="application/vnd.openxmlformats-officedocument.drawing+xml"/>
  <Override PartName="/xl/worksheets/sheet32.xml" ContentType="application/vnd.openxmlformats-officedocument.spreadsheetml.worksheet+xml"/>
  <Override PartName="/xl/drawings/drawing31.xml" ContentType="application/vnd.openxmlformats-officedocument.drawing+xml"/>
  <Override PartName="/xl/worksheets/sheet3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事業所数の推移" sheetId="26" state="visible" r:id="rId26"/>
    <sheet xmlns:r="http://schemas.openxmlformats.org/officeDocument/2006/relationships" name="26_従事者数の推移" sheetId="27" state="visible" r:id="rId27"/>
    <sheet xmlns:r="http://schemas.openxmlformats.org/officeDocument/2006/relationships" name="27_交付金評価" sheetId="28" state="visible" r:id="rId28"/>
    <sheet xmlns:r="http://schemas.openxmlformats.org/officeDocument/2006/relationships" name="28_特定地域と地域指定" sheetId="29" state="visible" r:id="rId29"/>
    <sheet xmlns:r="http://schemas.openxmlformats.org/officeDocument/2006/relationships" name="29_美瑛町の交通" sheetId="30" state="visible" r:id="rId30"/>
    <sheet xmlns:r="http://schemas.openxmlformats.org/officeDocument/2006/relationships" name="30_保険料の分析" sheetId="31" state="visible" r:id="rId31"/>
    <sheet xmlns:r="http://schemas.openxmlformats.org/officeDocument/2006/relationships" name="31_KPIのデータ源" sheetId="32" state="visible" r:id="rId32"/>
    <sheet xmlns:r="http://schemas.openxmlformats.org/officeDocument/2006/relationships" name="32_図表番号一覧" sheetId="33" state="visible" r:id="rId33"/>
  </sheets>
  <definedNames>
    <definedName name="_xlnm._FilterDatabase" localSheetId="32" hidden="1">'32_図表番号一覧'!$A$13:$I$146</definedName>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0.0"/>
    <numFmt numFmtId="167" formatCode="0.000"/>
    <numFmt numFmtId="168"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168"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19.xml><?xml version="1.0" encoding="utf-8"?>
<chartSpace xmlns="http://schemas.openxmlformats.org/drawingml/2006/chart">
  <chart>
    <title>
      <tx>
        <rich>
          <a:bodyPr xmlns:a="http://schemas.openxmlformats.org/drawingml/2006/main"/>
          <a:p xmlns:a="http://schemas.openxmlformats.org/drawingml/2006/main">
            <a:pPr>
              <a:defRPr/>
            </a:pPr>
            <a:r>
              <a:t>増減のあったサービスの事業所数の推移</a:t>
            </a:r>
          </a:p>
        </rich>
      </tx>
      <overlay val="0"/>
    </title>
    <plotArea>
      <lineChart>
        <grouping val="standard"/>
        <ser>
          <idx val="0"/>
          <order val="0"/>
          <tx>
            <strRef>
              <f>'25_事業所数の推移'!A6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'25_事業所数の推移'!$B$6:$I$6</f>
            </numRef>
          </val>
          <smooth val="0"/>
        </ser>
        <ser>
          <idx val="1"/>
          <order val="1"/>
          <tx>
            <strRef>
              <f>'25_事業所数の推移'!A7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'25_事業所数の推移'!$B$7:$I$7</f>
            </numRef>
          </val>
          <smooth val="0"/>
        </ser>
        <ser>
          <idx val="2"/>
          <order val="2"/>
          <tx>
            <strRef>
              <f>'25_事業所数の推移'!A8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'25_事業所数の推移'!$B$8:$I$8</f>
            </numRef>
          </val>
          <smooth val="0"/>
        </ser>
        <ser>
          <idx val="3"/>
          <order val="3"/>
          <tx>
            <strRef>
              <f>'25_事業所数の推移'!A9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'25_事業所数の推移'!$B$9:$I$9</f>
            </numRef>
          </val>
          <smooth val="0"/>
        </ser>
        <ser>
          <idx val="4"/>
          <order val="4"/>
          <tx>
            <strRef>
              <f>'25_事業所数の推移'!A10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'25_事業所数の推移'!$B$10:$I$10</f>
            </numRef>
          </val>
          <smooth val="0"/>
        </ser>
        <ser>
          <idx val="5"/>
          <order val="5"/>
          <tx>
            <strRef>
              <f>'25_事業所数の推移'!A11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'25_事業所数の推移'!$B$11:$I$11</f>
            </numRef>
          </val>
          <smooth val="0"/>
        </ser>
        <ser>
          <idx val="6"/>
          <order val="6"/>
          <tx>
            <strRef>
              <f>'25_事業所数の推移'!A12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'25_事業所数の推移'!$B$5:$I$5</f>
            </numRef>
          </cat>
          <val>
            <numRef>
              <f>'25_事業所数の推移'!$B$12:$I$12</f>
            </numRef>
          </val>
          <smooth val="0"/>
        </ser>
        <ser>
          <idx val="7"/>
          <order val="7"/>
          <tx>
            <strRef>
              <f>'25_事業所数の推移'!A13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'25_事業所数の推移'!$B$5:$I$5</f>
            </numRef>
          </cat>
          <val>
            <numRef>
              <f>'25_事業所数の推移'!$B$13:$I$13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事業所数（箇所）</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0.xml><?xml version="1.0" encoding="utf-8"?>
<chartSpace xmlns="http://schemas.openxmlformats.org/drawingml/2006/chart">
  <chart>
    <title>
      <tx>
        <rich>
          <a:bodyPr xmlns:a="http://schemas.openxmlformats.org/drawingml/2006/main"/>
          <a:p xmlns:a="http://schemas.openxmlformats.org/drawingml/2006/main">
            <a:pPr>
              <a:defRPr/>
            </a:pPr>
            <a:r>
              <a:t>域内に事業所が存在しないサービス（令和6年度・人口10万対）</a:t>
            </a:r>
          </a:p>
        </rich>
      </tx>
      <overlay val="0"/>
    </title>
    <plotArea>
      <barChart>
        <barDir val="col"/>
        <grouping val="clustered"/>
        <ser>
          <idx val="0"/>
          <order val="0"/>
          <tx>
            <strRef>
              <f>'25_事業所数の推移'!B17</f>
            </strRef>
          </tx>
          <spPr>
            <a:solidFill xmlns:a="http://schemas.openxmlformats.org/drawingml/2006/main">
              <a:srgbClr val="000000"/>
            </a:solidFill>
            <a:ln xmlns:a="http://schemas.openxmlformats.org/drawingml/2006/main" w="6350">
              <a:solidFill>
                <a:srgbClr val="000000"/>
              </a:solidFill>
              <a:prstDash val="solid"/>
            </a:ln>
          </spPr>
          <cat>
            <numRef>
              <f>'25_事業所数の推移'!$A$18:$A$28</f>
            </numRef>
          </cat>
          <val>
            <numRef>
              <f>'25_事業所数の推移'!$B$18:$B$28</f>
            </numRef>
          </val>
        </ser>
        <ser>
          <idx val="1"/>
          <order val="1"/>
          <tx>
            <strRef>
              <f>'25_事業所数の推移'!C17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'25_事業所数の推移'!$A$18:$A$28</f>
            </numRef>
          </cat>
          <val>
            <numRef>
              <f>'25_事業所数の推移'!$C$18:$C$28</f>
            </numRef>
          </val>
        </ser>
        <ser>
          <idx val="2"/>
          <order val="2"/>
          <tx>
            <strRef>
              <f>'25_事業所数の推移'!D17</f>
            </strRef>
          </tx>
          <spPr>
            <a:solidFill xmlns:a="http://schemas.openxmlformats.org/drawingml/2006/main">
              <a:srgbClr val="808080"/>
            </a:solidFill>
            <a:ln xmlns:a="http://schemas.openxmlformats.org/drawingml/2006/main" w="6350">
              <a:solidFill>
                <a:srgbClr val="000000"/>
              </a:solidFill>
              <a:prstDash val="solid"/>
            </a:ln>
          </spPr>
          <cat>
            <numRef>
              <f>'25_事業所数の推移'!$A$18:$A$28</f>
            </numRef>
          </cat>
          <val>
            <numRef>
              <f>'25_事業所数の推移'!$D$18:$D$28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事業所数（人口10万対）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1.xml><?xml version="1.0" encoding="utf-8"?>
<chartSpace xmlns="http://schemas.openxmlformats.org/drawingml/2006/chart">
  <chart>
    <title>
      <tx>
        <rich>
          <a:bodyPr xmlns:a="http://schemas.openxmlformats.org/drawingml/2006/main"/>
          <a:p xmlns:a="http://schemas.openxmlformats.org/drawingml/2006/main">
            <a:pPr>
              <a:defRPr/>
            </a:pPr>
            <a:r>
              <a:t>人口10万対の事業所数　大雪／全国（令和6年度）</a:t>
            </a:r>
          </a:p>
        </rich>
      </tx>
      <overlay val="0"/>
    </title>
    <plotArea>
      <barChart>
        <barDir val="col"/>
        <grouping val="clustered"/>
        <ser>
          <idx val="0"/>
          <order val="0"/>
          <tx>
            <strRef>
              <f>'25_事業所数の推移'!E32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'25_事業所数の推移'!$A$33:$A$45</f>
            </numRef>
          </cat>
          <val>
            <numRef>
              <f>'25_事業所数の推移'!$E$33:$E$45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2.xml><?xml version="1.0" encoding="utf-8"?>
<chartSpace xmlns="http://schemas.openxmlformats.org/drawingml/2006/chart">
  <chart>
    <title>
      <tx>
        <rich>
          <a:bodyPr xmlns:a="http://schemas.openxmlformats.org/drawingml/2006/main"/>
          <a:p xmlns:a="http://schemas.openxmlformats.org/drawingml/2006/main">
            <a:pPr>
              <a:defRPr/>
            </a:pPr>
            <a:r>
              <a:t>サービス別の従事者数の推移</a:t>
            </a:r>
          </a:p>
        </rich>
      </tx>
      <overlay val="0"/>
    </title>
    <plotArea>
      <lineChart>
        <grouping val="standard"/>
        <ser>
          <idx val="0"/>
          <order val="0"/>
          <tx>
            <strRef>
              <f>'26_従事者数の推移'!A6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'26_従事者数の推移'!$B$6:$H$6</f>
            </numRef>
          </val>
          <smooth val="0"/>
        </ser>
        <ser>
          <idx val="1"/>
          <order val="1"/>
          <tx>
            <strRef>
              <f>'26_従事者数の推移'!A7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'26_従事者数の推移'!$B$7:$H$7</f>
            </numRef>
          </val>
          <smooth val="0"/>
        </ser>
        <ser>
          <idx val="2"/>
          <order val="2"/>
          <tx>
            <strRef>
              <f>'26_従事者数の推移'!A8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'26_従事者数の推移'!$B$8:$H$8</f>
            </numRef>
          </val>
          <smooth val="0"/>
        </ser>
        <ser>
          <idx val="3"/>
          <order val="3"/>
          <tx>
            <strRef>
              <f>'26_従事者数の推移'!A9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'26_従事者数の推移'!$B$9:$H$9</f>
            </numRef>
          </val>
          <smooth val="0"/>
        </ser>
        <ser>
          <idx val="4"/>
          <order val="4"/>
          <tx>
            <strRef>
              <f>'26_従事者数の推移'!A10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'26_従事者数の推移'!$B$5:$H$5</f>
            </numRef>
          </cat>
          <val>
            <numRef>
              <f>'26_従事者数の推移'!$B$10:$H$10</f>
            </numRef>
          </val>
          <smooth val="0"/>
        </ser>
        <ser>
          <idx val="5"/>
          <order val="5"/>
          <tx>
            <strRef>
              <f>'26_従事者数の推移'!A11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'26_従事者数の推移'!$B$5:$H$5</f>
            </numRef>
          </cat>
          <val>
            <numRef>
              <f>'26_従事者数の推移'!$B$11:$H$11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3.xml><?xml version="1.0" encoding="utf-8"?>
<chartSpace xmlns="http://schemas.openxmlformats.org/drawingml/2006/chart">
  <chart>
    <title>
      <tx>
        <rich>
          <a:bodyPr xmlns:a="http://schemas.openxmlformats.org/drawingml/2006/main"/>
          <a:p xmlns:a="http://schemas.openxmlformats.org/drawingml/2006/main">
            <a:pPr>
              <a:defRPr/>
            </a:pPr>
            <a:r>
              <a:t>従事者数（認定者1万対）の比較（令和6年度）</a:t>
            </a:r>
          </a:p>
        </rich>
      </tx>
      <overlay val="0"/>
    </title>
    <plotArea>
      <barChart>
        <barDir val="col"/>
        <grouping val="clustered"/>
        <ser>
          <idx val="0"/>
          <order val="0"/>
          <tx>
            <strRef>
              <f>'26_従事者数の推移'!B15</f>
            </strRef>
          </tx>
          <spPr>
            <a:solidFill xmlns:a="http://schemas.openxmlformats.org/drawingml/2006/main">
              <a:srgbClr val="000000"/>
            </a:solidFill>
            <a:ln xmlns:a="http://schemas.openxmlformats.org/drawingml/2006/main" w="6350">
              <a:solidFill>
                <a:srgbClr val="000000"/>
              </a:solidFill>
              <a:prstDash val="solid"/>
            </a:ln>
          </spPr>
          <cat>
            <numRef>
              <f>'26_従事者数の推移'!$A$16:$A$21</f>
            </numRef>
          </cat>
          <val>
            <numRef>
              <f>'26_従事者数の推移'!$B$16:$B$21</f>
            </numRef>
          </val>
        </ser>
        <ser>
          <idx val="1"/>
          <order val="1"/>
          <tx>
            <strRef>
              <f>'26_従事者数の推移'!C15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'26_従事者数の推移'!$A$16:$A$21</f>
            </numRef>
          </cat>
          <val>
            <numRef>
              <f>'26_従事者数の推移'!$C$16:$C$21</f>
            </numRef>
          </val>
        </ser>
        <ser>
          <idx val="2"/>
          <order val="2"/>
          <tx>
            <strRef>
              <f>'26_従事者数の推移'!D15</f>
            </strRef>
          </tx>
          <spPr>
            <a:solidFill xmlns:a="http://schemas.openxmlformats.org/drawingml/2006/main">
              <a:srgbClr val="808080"/>
            </a:solidFill>
            <a:ln xmlns:a="http://schemas.openxmlformats.org/drawingml/2006/main" w="6350">
              <a:solidFill>
                <a:srgbClr val="000000"/>
              </a:solidFill>
              <a:prstDash val="solid"/>
            </a:ln>
          </spPr>
          <cat>
            <numRef>
              <f>'26_従事者数の推移'!$A$16:$A$21</f>
            </numRef>
          </cat>
          <val>
            <numRef>
              <f>'26_従事者数の推移'!$D$16:$D$21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従事者数（認定者1万対）</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4.xml><?xml version="1.0" encoding="utf-8"?>
<chartSpace xmlns="http://schemas.openxmlformats.org/drawingml/2006/chart">
  <chart>
    <title>
      <tx>
        <rich>
          <a:bodyPr xmlns:a="http://schemas.openxmlformats.org/drawingml/2006/main"/>
          <a:p xmlns:a="http://schemas.openxmlformats.org/drawingml/2006/main">
            <a:pPr>
              <a:defRPr/>
            </a:pPr>
            <a:r>
              <a:t>職種別の従事者数の推移（介護老人福祉施設）</a:t>
            </a:r>
          </a:p>
        </rich>
      </tx>
      <overlay val="0"/>
    </title>
    <plotArea>
      <lineChart>
        <grouping val="standard"/>
        <ser>
          <idx val="0"/>
          <order val="0"/>
          <tx>
            <strRef>
              <f>'26_従事者数の推移'!A26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'26_従事者数の推移'!$B$26:$H$26</f>
            </numRef>
          </val>
          <smooth val="0"/>
        </ser>
        <ser>
          <idx val="1"/>
          <order val="1"/>
          <tx>
            <strRef>
              <f>'26_従事者数の推移'!A27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'26_従事者数の推移'!$B$27:$H$27</f>
            </numRef>
          </val>
          <smooth val="0"/>
        </ser>
        <ser>
          <idx val="2"/>
          <order val="2"/>
          <tx>
            <strRef>
              <f>'26_従事者数の推移'!A28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'26_従事者数の推移'!$B$28:$H$28</f>
            </numRef>
          </val>
          <smooth val="0"/>
        </ser>
        <ser>
          <idx val="3"/>
          <order val="3"/>
          <tx>
            <strRef>
              <f>'26_従事者数の推移'!A29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'26_従事者数の推移'!$B$29:$H$29</f>
            </numRef>
          </val>
          <smooth val="0"/>
        </ser>
        <ser>
          <idx val="4"/>
          <order val="4"/>
          <tx>
            <strRef>
              <f>'26_従事者数の推移'!A30</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'26_従事者数の推移'!$B$25:$H$25</f>
            </numRef>
          </cat>
          <val>
            <numRef>
              <f>'26_従事者数の推移'!$B$30:$H$30</f>
            </numRef>
          </val>
          <smooth val="0"/>
        </ser>
        <ser>
          <idx val="5"/>
          <order val="5"/>
          <tx>
            <strRef>
              <f>'26_従事者数の推移'!A31</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dLbls>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'26_従事者数の推移'!$B$25:$H$25</f>
            </numRef>
          </cat>
          <val>
            <numRef>
              <f>'26_従事者数の推移'!$B$31:$H$31</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90"/>
          <min val="0"/>
        </scaling>
        <delete val="0"/>
        <axPos val="l"/>
        <title>
          <tx>
            <rich>
              <a:bodyPr xmlns:a="http://schemas.openxmlformats.org/drawingml/2006/main"/>
              <a:p xmlns:a="http://schemas.openxmlformats.org/drawingml/2006/main">
                <a:pPr>
                  <a:defRPr/>
                </a:pPr>
                <a:r>
                  <a:t>従事者数（人）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5.xml><?xml version="1.0" encoding="utf-8"?>
<chartSpace xmlns="http://schemas.openxmlformats.org/drawingml/2006/chart">
  <chart>
    <title>
      <tx>
        <rich>
          <a:bodyPr xmlns:a="http://schemas.openxmlformats.org/drawingml/2006/main"/>
          <a:p xmlns:a="http://schemas.openxmlformats.org/drawingml/2006/main">
            <a:pPr>
              <a:defRPr/>
            </a:pPr>
            <a:r>
              <a:t>保険者機能強化推進交付金等の総合得点（令和5年調査）</a:t>
            </a:r>
          </a:p>
        </rich>
      </tx>
      <overlay val="0"/>
    </title>
    <plotArea>
      <barChart>
        <barDir val="col"/>
        <grouping val="clustered"/>
        <ser>
          <idx val="0"/>
          <order val="0"/>
          <tx>
            <strRef>
              <f>'27_交付金評価'!B5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'27_交付金評価'!$B$6:$B$8</f>
            </numRef>
          </val>
        </ser>
        <ser>
          <idx val="1"/>
          <order val="1"/>
          <tx>
            <strRef>
              <f>'27_交付金評価'!C5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'27_交付金評価'!$C$6:$C$8</f>
            </numRef>
          </val>
        </ser>
        <ser>
          <idx val="2"/>
          <order val="2"/>
          <tx>
            <strRef>
              <f>'27_交付金評価'!D5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'27_交付金評価'!$A$6:$A$8</f>
            </numRef>
          </cat>
          <val>
            <numRef>
              <f>'27_交付金評価'!$D$6:$D$8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6.xml><?xml version="1.0" encoding="utf-8"?>
<chartSpace xmlns="http://schemas.openxmlformats.org/drawingml/2006/chart">
  <chart>
    <title>
      <tx>
        <rich>
          <a:bodyPr xmlns:a="http://schemas.openxmlformats.org/drawingml/2006/main"/>
          <a:p xmlns:a="http://schemas.openxmlformats.org/drawingml/2006/main">
            <a:pPr>
              <a:defRPr/>
            </a:pPr>
            <a:r>
              <a:t>指標群別の得点（令和5年調査）</a:t>
            </a:r>
          </a:p>
        </rich>
      </tx>
      <overlay val="0"/>
    </title>
    <plotArea>
      <barChart>
        <barDir val="col"/>
        <grouping val="clustered"/>
        <ser>
          <idx val="0"/>
          <order val="0"/>
          <tx>
            <strRef>
              <f>'27_交付金評価'!B12</f>
            </strRef>
          </tx>
          <spPr>
            <a:solidFill xmlns:a="http://schemas.openxmlformats.org/drawingml/2006/main">
              <a:srgbClr val="000000"/>
            </a:solidFill>
            <a:ln xmlns:a="http://schemas.openxmlformats.org/drawingml/2006/main" w="6350">
              <a:solidFill>
                <a:srgbClr val="000000"/>
              </a:solidFill>
              <a:prstDash val="solid"/>
            </a:ln>
          </spPr>
          <cat>
            <numRef>
              <f>'27_交付金評価'!$A$13:$A$18</f>
            </numRef>
          </cat>
          <val>
            <numRef>
              <f>'27_交付金評価'!$B$13:$B$18</f>
            </numRef>
          </val>
        </ser>
        <ser>
          <idx val="1"/>
          <order val="1"/>
          <tx>
            <strRef>
              <f>'27_交付金評価'!C12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'27_交付金評価'!$A$13:$A$18</f>
            </numRef>
          </cat>
          <val>
            <numRef>
              <f>'27_交付金評価'!$C$13:$C$18</f>
            </numRef>
          </val>
        </ser>
        <ser>
          <idx val="2"/>
          <order val="2"/>
          <tx>
            <strRef>
              <f>'27_交付金評価'!D12</f>
            </strRef>
          </tx>
          <spPr>
            <a:solidFill xmlns:a="http://schemas.openxmlformats.org/drawingml/2006/main">
              <a:srgbClr val="808080"/>
            </a:solidFill>
            <a:ln xmlns:a="http://schemas.openxmlformats.org/drawingml/2006/main" w="6350">
              <a:solidFill>
                <a:srgbClr val="000000"/>
              </a:solidFill>
              <a:prstDash val="solid"/>
            </a:ln>
          </spPr>
          <cat>
            <numRef>
              <f>'27_交付金評価'!$A$13:$A$18</f>
            </numRef>
          </cat>
          <val>
            <numRef>
              <f>'27_交付金評価'!$D$13:$D$18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得点（点）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27.xml><?xml version="1.0" encoding="utf-8"?>
<chartSpace xmlns="http://schemas.openxmlformats.org/drawingml/2006/chart">
  <chart>
    <title>
      <tx>
        <rich>
          <a:bodyPr xmlns:a="http://schemas.openxmlformats.org/drawingml/2006/main"/>
          <a:p xmlns:a="http://schemas.openxmlformats.org/drawingml/2006/main">
            <a:pPr>
              <a:defRPr/>
            </a:pPr>
            <a:r>
              <a:t>目標別の得点　大雪／全国（令和5年調査）</a:t>
            </a:r>
          </a:p>
        </rich>
      </tx>
      <overlay val="0"/>
    </title>
    <plotArea>
      <barChart>
        <barDir val="col"/>
        <grouping val="clustered"/>
        <ser>
          <idx val="0"/>
          <order val="0"/>
          <tx>
            <strRef>
              <f>'27_交付金評価'!E22</f>
            </strRef>
          </tx>
          <spPr>
            <a:solidFill xmlns:a="http://schemas.openxmlformats.org/drawingml/2006/main">
              <a:srgbClr val="000000"/>
            </a:solidFill>
            <a:ln xmlns:a="http://schemas.openxmlformats.org/drawingml/2006/main" w="6350">
              <a:solidFill>
                <a:srgbClr val="000000"/>
              </a:solidFill>
              <a:prstDash val="solid"/>
            </a:ln>
          </spPr>
          <dLbls>
            <numFmt formatCode="#,##0.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'27_交付金評価'!$A$23:$A$29</f>
            </numRef>
          </cat>
          <val>
            <numRef>
              <f>'27_交付金評価'!$E$23:$E$29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全国＝1.000</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8.xml><?xml version="1.0" encoding="utf-8"?>
<chartSpace xmlns="http://schemas.openxmlformats.org/drawingml/2006/chart">
  <chart>
    <title>
      <tx>
        <rich>
          <a:bodyPr xmlns:a="http://schemas.openxmlformats.org/drawingml/2006/main"/>
          <a:p xmlns:a="http://schemas.openxmlformats.org/drawingml/2006/main">
            <a:pPr>
              <a:defRPr/>
            </a:pPr>
            <a:r>
              <a:t>性・年齢調整済み要介護2以上認定率（令和5年調査）</a:t>
            </a:r>
          </a:p>
        </rich>
      </tx>
      <overlay val="0"/>
    </title>
    <plotArea>
      <barChart>
        <barDir val="col"/>
        <grouping val="clustered"/>
        <ser>
          <idx val="0"/>
          <order val="0"/>
          <tx>
            <strRef>
              <f>'27_交付金評価'!B33</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'27_交付金評価'!$A$34:$A$36</f>
            </numRef>
          </cat>
          <val>
            <numRef>
              <f>'27_交付金評価'!$B$34:$B$36</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29.xml><?xml version="1.0" encoding="utf-8"?>
<chartSpace xmlns="http://schemas.openxmlformats.org/drawingml/2006/chart">
  <chart>
    <title>
      <tx>
        <rich>
          <a:bodyPr xmlns:a="http://schemas.openxmlformats.org/drawingml/2006/main"/>
          <a:p xmlns:a="http://schemas.openxmlformats.org/drawingml/2006/main">
            <a:pPr>
              <a:defRPr/>
            </a:pPr>
            <a:r>
              <a:t>75歳以上人口密度（人／km²）</a:t>
            </a:r>
          </a:p>
        </rich>
      </tx>
      <overlay val="0"/>
    </title>
    <plotArea>
      <barChart>
        <barDir val="col"/>
        <grouping val="clustered"/>
        <ser>
          <idx val="0"/>
          <order val="0"/>
          <tx>
            <strRef>
              <f>'28_特定地域と地域指定'!E12</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'28_特定地域と地域指定'!$A$13:$A$15</f>
            </numRef>
          </cat>
          <val>
            <numRef>
              <f>'28_特定地域と地域指定'!$E$13:$E$15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人／km²</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0.xml><?xml version="1.0" encoding="utf-8"?>
<chartSpace xmlns="http://schemas.openxmlformats.org/drawingml/2006/chart">
  <chart>
    <title>
      <tx>
        <rich>
          <a:bodyPr xmlns:a="http://schemas.openxmlformats.org/drawingml/2006/main"/>
          <a:p xmlns:a="http://schemas.openxmlformats.org/drawingml/2006/main">
            <a:pPr>
              <a:defRPr/>
            </a:pPr>
            <a:r>
              <a:t>スクールバス路線別乗車人員（令和2年度）</a:t>
            </a:r>
          </a:p>
        </rich>
      </tx>
      <overlay val="0"/>
    </title>
    <plotArea>
      <barChart>
        <barDir val="col"/>
        <grouping val="clustered"/>
        <ser>
          <idx val="0"/>
          <order val="0"/>
          <tx>
            <strRef>
              <f>'29_美瑛町の交通'!E5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'29_美瑛町の交通'!$A$6:$A$13</f>
            </numRef>
          </cat>
          <val>
            <numRef>
              <f>'29_美瑛町の交通'!$E$6:$E$13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人／年</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1.xml><?xml version="1.0" encoding="utf-8"?>
<chartSpace xmlns="http://schemas.openxmlformats.org/drawingml/2006/chart">
  <chart>
    <title>
      <tx>
        <rich>
          <a:bodyPr xmlns:a="http://schemas.openxmlformats.org/drawingml/2006/main"/>
          <a:p xmlns:a="http://schemas.openxmlformats.org/drawingml/2006/main">
            <a:pPr>
              <a:defRPr/>
            </a:pPr>
            <a:r>
              <a:t>必要保険料月額と条例上の基準額（第9期）</a:t>
            </a:r>
          </a:p>
        </rich>
      </tx>
      <overlay val="0"/>
    </title>
    <plotArea>
      <barChart>
        <barDir val="col"/>
        <grouping val="clustered"/>
        <ser>
          <idx val="0"/>
          <order val="0"/>
          <tx>
            <strRef>
              <f>'30_保険料の分析'!B5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'30_保険料の分析'!$B$6:$B$7</f>
            </numRef>
          </val>
        </ser>
        <ser>
          <idx val="1"/>
          <order val="1"/>
          <tx>
            <strRef>
              <f>'30_保険料の分析'!C5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'30_保険料の分析'!$A$6:$A$7</f>
            </numRef>
          </cat>
          <val>
            <numRef>
              <f>'30_保険料の分析'!$C$6:$C$7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2.xml><?xml version="1.0" encoding="utf-8"?>
<chartSpace xmlns="http://schemas.openxmlformats.org/drawingml/2006/chart">
  <chart>
    <title>
      <tx>
        <rich>
          <a:bodyPr xmlns:a="http://schemas.openxmlformats.org/drawingml/2006/main"/>
          <a:p xmlns:a="http://schemas.openxmlformats.org/drawingml/2006/main">
            <a:pPr>
              <a:defRPr/>
            </a:pPr>
            <a:r>
              <a:t>上川管内21保険者の第9期保険料基準額（月額）</a:t>
            </a:r>
          </a:p>
        </rich>
      </tx>
      <overlay val="0"/>
    </title>
    <plotArea>
      <barChart>
        <barDir val="col"/>
        <grouping val="clustered"/>
        <ser>
          <idx val="0"/>
          <order val="0"/>
          <tx>
            <strRef>
              <f>'30_保険料の分析'!B11</f>
            </strRef>
          </tx>
          <spPr>
            <a:solidFill xmlns:a="http://schemas.openxmlformats.org/drawingml/2006/main">
              <a:srgbClr val="000000"/>
            </a:solidFill>
            <a:ln xmlns:a="http://schemas.openxmlformats.org/drawingml/2006/main" w="6350">
              <a:solidFill>
                <a:srgbClr val="000000"/>
              </a:solidFill>
              <a:prstDash val="solid"/>
            </a:ln>
          </spPr>
          <cat>
            <numRef>
              <f>'30_保険料の分析'!$A$12:$A$32</f>
            </numRef>
          </cat>
          <val>
            <numRef>
              <f>'30_保険料の分析'!$B$12:$B$32</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33.xml><?xml version="1.0" encoding="utf-8"?>
<chartSpace xmlns="http://schemas.openxmlformats.org/drawingml/2006/chart">
  <chart>
    <title>
      <tx>
        <rich>
          <a:bodyPr xmlns:a="http://schemas.openxmlformats.org/drawingml/2006/main"/>
          <a:p xmlns:a="http://schemas.openxmlformats.org/drawingml/2006/main">
            <a:pPr>
              <a:defRPr/>
            </a:pPr>
            <a:r>
              <a:t>代表KPI16項目のデータ源の確保状況</a:t>
            </a:r>
          </a:p>
        </rich>
      </tx>
      <overlay val="0"/>
    </title>
    <plotArea>
      <barChart>
        <barDir val="col"/>
        <grouping val="clustered"/>
        <ser>
          <idx val="0"/>
          <order val="0"/>
          <tx>
            <strRef>
              <f>'31_KPIのデータ源'!B5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'31_KPIのデータ源'!$A$6:$A$10</f>
            </numRef>
          </cat>
          <val>
            <numRef>
              <f>'31_KPIのデータ源'!$B$6:$B$10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30"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項目数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_rels/drawing25.xml.rels><Relationships xmlns="http://schemas.openxmlformats.org/package/2006/relationships"><Relationship Type="http://schemas.openxmlformats.org/officeDocument/2006/relationships/chart" Target="/xl/charts/chart119.xml" Id="rId1"/><Relationship Type="http://schemas.openxmlformats.org/officeDocument/2006/relationships/chart" Target="/xl/charts/chart120.xml" Id="rId2"/><Relationship Type="http://schemas.openxmlformats.org/officeDocument/2006/relationships/chart" Target="/xl/charts/chart121.xml" Id="rId3"/></Relationships>
</file>

<file path=xl/drawings/_rels/drawing26.xml.rels><Relationships xmlns="http://schemas.openxmlformats.org/package/2006/relationships"><Relationship Type="http://schemas.openxmlformats.org/officeDocument/2006/relationships/chart" Target="/xl/charts/chart122.xml" Id="rId1"/><Relationship Type="http://schemas.openxmlformats.org/officeDocument/2006/relationships/chart" Target="/xl/charts/chart123.xml" Id="rId2"/><Relationship Type="http://schemas.openxmlformats.org/officeDocument/2006/relationships/chart" Target="/xl/charts/chart124.xml" Id="rId3"/></Relationships>
</file>

<file path=xl/drawings/_rels/drawing27.xml.rels><Relationships xmlns="http://schemas.openxmlformats.org/package/2006/relationships"><Relationship Type="http://schemas.openxmlformats.org/officeDocument/2006/relationships/chart" Target="/xl/charts/chart125.xml" Id="rId1"/><Relationship Type="http://schemas.openxmlformats.org/officeDocument/2006/relationships/chart" Target="/xl/charts/chart126.xml" Id="rId2"/><Relationship Type="http://schemas.openxmlformats.org/officeDocument/2006/relationships/chart" Target="/xl/charts/chart127.xml" Id="rId3"/><Relationship Type="http://schemas.openxmlformats.org/officeDocument/2006/relationships/chart" Target="/xl/charts/chart128.xml" Id="rId4"/></Relationships>
</file>

<file path=xl/drawings/_rels/drawing28.xml.rels><Relationships xmlns="http://schemas.openxmlformats.org/package/2006/relationships"><Relationship Type="http://schemas.openxmlformats.org/officeDocument/2006/relationships/chart" Target="/xl/charts/chart129.xml" Id="rId1"/></Relationships>
</file>

<file path=xl/drawings/_rels/drawing29.xml.rels><Relationships xmlns="http://schemas.openxmlformats.org/package/2006/relationships"><Relationship Type="http://schemas.openxmlformats.org/officeDocument/2006/relationships/chart" Target="/xl/charts/chart130.xml" Id="rId1"/></Relationships>
</file>

<file path=xl/drawings/_rels/drawing30.xml.rels><Relationships xmlns="http://schemas.openxmlformats.org/package/2006/relationships"><Relationship Type="http://schemas.openxmlformats.org/officeDocument/2006/relationships/chart" Target="/xl/charts/chart131.xml" Id="rId1"/><Relationship Type="http://schemas.openxmlformats.org/officeDocument/2006/relationships/chart" Target="/xl/charts/chart132.xml" Id="rId2"/></Relationships>
</file>

<file path=xl/drawings/_rels/drawing31.xml.rels><Relationships xmlns="http://schemas.openxmlformats.org/package/2006/relationships"><Relationship Type="http://schemas.openxmlformats.org/officeDocument/2006/relationships/chart" Target="/xl/charts/chart133.xml" Id="rId1"/></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5.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6.xml><?xml version="1.0" encoding="utf-8"?>
<wsDr xmlns="http://schemas.openxmlformats.org/drawingml/2006/spreadsheetDrawing">
  <oneCellAnchor>
    <from>
      <col>13</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29</row>
      <rowOff>0</rowOff>
    </from>
    <ext cx="792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55</row>
      <rowOff>0</rowOff>
    </from>
    <ext cx="792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7.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51</row>
      <rowOff>0</rowOff>
    </from>
    <ext cx="720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75</row>
      <rowOff>0</rowOff>
    </from>
    <ext cx="504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8.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9.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0.xml><?xml version="1.0" encoding="utf-8"?>
<wsDr xmlns="http://schemas.openxmlformats.org/drawingml/2006/spreadsheetDrawing">
  <oneCellAnchor>
    <from>
      <col>13</col>
      <colOff>0</colOff>
      <row>3</row>
      <rowOff>0</rowOff>
    </from>
    <ext cx="50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1.xml><?xml version="1.0" encoding="utf-8"?>
<wsDr xmlns="http://schemas.openxmlformats.org/drawingml/2006/spreadsheetDrawing">
  <oneCellAnchor>
    <from>
      <col>13</col>
      <colOff>0</colOff>
      <row>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_rels/sheet26.xml.rels><Relationships xmlns="http://schemas.openxmlformats.org/package/2006/relationships"><Relationship Type="http://schemas.openxmlformats.org/officeDocument/2006/relationships/drawing" Target="/xl/drawings/drawing25.xml" Id="rId1"/></Relationships>
</file>

<file path=xl/worksheets/_rels/sheet27.xml.rels><Relationships xmlns="http://schemas.openxmlformats.org/package/2006/relationships"><Relationship Type="http://schemas.openxmlformats.org/officeDocument/2006/relationships/drawing" Target="/xl/drawings/drawing26.xml" Id="rId1"/></Relationships>
</file>

<file path=xl/worksheets/_rels/sheet28.xml.rels><Relationships xmlns="http://schemas.openxmlformats.org/package/2006/relationships"><Relationship Type="http://schemas.openxmlformats.org/officeDocument/2006/relationships/drawing" Target="/xl/drawings/drawing27.xml" Id="rId1"/></Relationships>
</file>

<file path=xl/worksheets/_rels/sheet29.xml.rels><Relationships xmlns="http://schemas.openxmlformats.org/package/2006/relationships"><Relationship Type="http://schemas.openxmlformats.org/officeDocument/2006/relationships/drawing" Target="/xl/drawings/drawing28.xml" Id="rId1"/></Relationships>
</file>

<file path=xl/worksheets/_rels/sheet30.xml.rels><Relationships xmlns="http://schemas.openxmlformats.org/package/2006/relationships"><Relationship Type="http://schemas.openxmlformats.org/officeDocument/2006/relationships/drawing" Target="/xl/drawings/drawing29.xml" Id="rId1"/></Relationships>
</file>

<file path=xl/worksheets/_rels/sheet31.xml.rels><Relationships xmlns="http://schemas.openxmlformats.org/package/2006/relationships"><Relationship Type="http://schemas.openxmlformats.org/officeDocument/2006/relationships/drawing" Target="/xl/drawings/drawing30.xml" Id="rId1"/></Relationships>
</file>

<file path=xl/worksheets/_rels/sheet32.xml.rels><Relationships xmlns="http://schemas.openxmlformats.org/package/2006/relationships"><Relationship Type="http://schemas.openxmlformats.org/officeDocument/2006/relationships/drawing" Target="/xl/drawings/drawing31.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図8-2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46"/>
  <sheetViews>
    <sheetView workbookViewId="0">
      <selection activeCell="A1" sqref="A1"/>
    </sheetView>
  </sheetViews>
  <sheetFormatPr baseColWidth="8" defaultRowHeight="15"/>
  <cols>
    <col width="26"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10" customWidth="1" min="10" max="10"/>
    <col width="10" customWidth="1" min="11" max="11"/>
    <col width="10" customWidth="1" min="12" max="12"/>
    <col width="10" customWidth="1" min="13" max="13"/>
  </cols>
  <sheetData>
    <row r="1" ht="24" customHeight="1">
      <c r="A1" s="1" t="inlineStr">
        <is>
          <t>図24　サービス種別ごとの事業所数と供給の空白</t>
        </is>
      </c>
    </row>
    <row r="2" ht="16" customHeight="1">
      <c r="A2" s="2" t="inlineStr">
        <is>
          <t>出典：厚生労働省「介護保険総合データベース」及び総務省「住民基本台帳に基づく人口、人口動態及び世帯数調査」／見える化K1-a〜e・K2-a〜c・K3-a〜t（全28サービス種別、平成24年度〜令和6年度）。第10期基本指針の新別表 七「介護保険施設・事業所数」に対応する。</t>
        </is>
      </c>
    </row>
    <row r="4">
      <c r="A4" s="8" t="inlineStr">
        <is>
          <t>（1）増減のあったサービスの事業所数（箇所）</t>
        </is>
      </c>
    </row>
    <row r="5">
      <c r="A5" s="5" t="inlineStr">
        <is>
          <t>サービス</t>
        </is>
      </c>
      <c r="B5" s="5" t="inlineStr">
        <is>
          <t>H24</t>
        </is>
      </c>
      <c r="C5" s="5" t="inlineStr">
        <is>
          <t>H29</t>
        </is>
      </c>
      <c r="D5" s="5" t="inlineStr">
        <is>
          <t>H30</t>
        </is>
      </c>
      <c r="E5" s="5" t="inlineStr">
        <is>
          <t>R元</t>
        </is>
      </c>
      <c r="F5" s="5" t="inlineStr">
        <is>
          <t>R3</t>
        </is>
      </c>
      <c r="G5" s="5" t="inlineStr">
        <is>
          <t>R4</t>
        </is>
      </c>
      <c r="H5" s="5" t="inlineStr">
        <is>
          <t>R5</t>
        </is>
      </c>
      <c r="I5" s="5" t="inlineStr">
        <is>
          <t>R6</t>
        </is>
      </c>
    </row>
    <row r="6">
      <c r="A6" s="6" t="inlineStr">
        <is>
          <t>訪問看護</t>
        </is>
      </c>
      <c r="B6" s="9" t="n">
        <v>2</v>
      </c>
      <c r="C6" s="9" t="n">
        <v>4</v>
      </c>
      <c r="D6" s="9" t="n">
        <v>4</v>
      </c>
      <c r="E6" s="9" t="n">
        <v>4</v>
      </c>
      <c r="F6" s="9" t="n">
        <v>5</v>
      </c>
      <c r="G6" s="9" t="n">
        <v>6</v>
      </c>
      <c r="H6" s="9" t="n">
        <v>7</v>
      </c>
      <c r="I6" s="9" t="n">
        <v>7</v>
      </c>
    </row>
    <row r="7">
      <c r="A7" s="6" t="inlineStr">
        <is>
          <t>居宅療養管理指導</t>
        </is>
      </c>
      <c r="B7" s="9" t="n">
        <v>0</v>
      </c>
      <c r="C7" s="9" t="n">
        <v>3</v>
      </c>
      <c r="D7" s="9" t="n">
        <v>3</v>
      </c>
      <c r="E7" s="9" t="n">
        <v>3</v>
      </c>
      <c r="F7" s="9" t="n">
        <v>4</v>
      </c>
      <c r="G7" s="9" t="n">
        <v>6</v>
      </c>
      <c r="H7" s="9" t="n">
        <v>8</v>
      </c>
      <c r="I7" s="9" t="n">
        <v>10</v>
      </c>
    </row>
    <row r="8">
      <c r="A8" s="6" t="inlineStr">
        <is>
          <t>訪問介護</t>
        </is>
      </c>
      <c r="B8" s="9" t="n">
        <v>8</v>
      </c>
      <c r="C8" s="9" t="n">
        <v>10</v>
      </c>
      <c r="D8" s="9" t="n">
        <v>10</v>
      </c>
      <c r="E8" s="9" t="n">
        <v>10</v>
      </c>
      <c r="F8" s="9" t="n">
        <v>10</v>
      </c>
      <c r="G8" s="9" t="n">
        <v>10</v>
      </c>
      <c r="H8" s="9" t="n">
        <v>10</v>
      </c>
      <c r="I8" s="9" t="n">
        <v>13</v>
      </c>
    </row>
    <row r="9">
      <c r="A9" s="6" t="inlineStr">
        <is>
          <t>訪問リハビリテーション</t>
        </is>
      </c>
      <c r="B9" s="9" t="n">
        <v>1</v>
      </c>
      <c r="C9" s="9" t="n">
        <v>2</v>
      </c>
      <c r="D9" s="9" t="n">
        <v>2</v>
      </c>
      <c r="E9" s="9" t="n">
        <v>2</v>
      </c>
      <c r="F9" s="9" t="n">
        <v>3</v>
      </c>
      <c r="G9" s="9" t="n">
        <v>3</v>
      </c>
      <c r="H9" s="9" t="n">
        <v>3</v>
      </c>
      <c r="I9" s="9" t="n">
        <v>3</v>
      </c>
    </row>
    <row r="10">
      <c r="A10" s="6" t="inlineStr">
        <is>
          <t>通所介護</t>
        </is>
      </c>
      <c r="B10" s="9" t="n">
        <v>4</v>
      </c>
      <c r="C10" s="9" t="n">
        <v>5</v>
      </c>
      <c r="D10" s="9" t="n">
        <v>2</v>
      </c>
      <c r="E10" s="9" t="n">
        <v>2</v>
      </c>
      <c r="F10" s="9" t="n">
        <v>2</v>
      </c>
      <c r="G10" s="9" t="n">
        <v>2</v>
      </c>
      <c r="H10" s="9" t="n">
        <v>2</v>
      </c>
      <c r="I10" s="9" t="n">
        <v>2</v>
      </c>
    </row>
    <row r="11">
      <c r="A11" s="6" t="inlineStr">
        <is>
          <t>認知症対応型共同生活介護</t>
        </is>
      </c>
      <c r="B11" s="9" t="n">
        <v>6</v>
      </c>
      <c r="C11" s="9" t="n">
        <v>6</v>
      </c>
      <c r="D11" s="9" t="n">
        <v>6</v>
      </c>
      <c r="E11" s="9" t="n">
        <v>6</v>
      </c>
      <c r="F11" s="9" t="n">
        <v>6</v>
      </c>
      <c r="G11" s="9" t="n">
        <v>5</v>
      </c>
      <c r="H11" s="9" t="n">
        <v>5</v>
      </c>
      <c r="I11" s="9" t="n">
        <v>5</v>
      </c>
    </row>
    <row r="12">
      <c r="A12" s="6" t="inlineStr">
        <is>
          <t>居宅介護支援</t>
        </is>
      </c>
      <c r="B12" s="9" t="n">
        <v>11</v>
      </c>
      <c r="C12" s="9" t="n">
        <v>10</v>
      </c>
      <c r="D12" s="9" t="n">
        <v>10</v>
      </c>
      <c r="E12" s="9" t="n">
        <v>11</v>
      </c>
      <c r="F12" s="9" t="n">
        <v>11</v>
      </c>
      <c r="G12" s="9" t="n">
        <v>10</v>
      </c>
      <c r="H12" s="9" t="n">
        <v>10</v>
      </c>
      <c r="I12" s="9" t="n">
        <v>10</v>
      </c>
    </row>
    <row r="13">
      <c r="A13" s="6" t="inlineStr">
        <is>
          <t>認知症対応型通所介護</t>
        </is>
      </c>
      <c r="B13" s="9" t="n">
        <v>2</v>
      </c>
      <c r="C13" s="9" t="n">
        <v>0</v>
      </c>
      <c r="D13" s="9" t="n">
        <v>0</v>
      </c>
      <c r="E13" s="9" t="n">
        <v>0</v>
      </c>
      <c r="F13" s="9" t="n">
        <v>0</v>
      </c>
      <c r="G13" s="9" t="n">
        <v>0</v>
      </c>
      <c r="H13" s="9" t="n">
        <v>0</v>
      </c>
      <c r="I13" s="9" t="n">
        <v>0</v>
      </c>
    </row>
    <row r="14" ht="26" customHeight="1">
      <c r="A14" s="4" t="inlineStr">
        <is>
          <t>注）訪問看護は平成24年度2事業所から令和6年度7事業所へ3.5倍、居宅療養管理指導は0から10へ増加した。一方、認知症対応型通所介護は平成27年度に消滅（2→0）、通所介護は平成30年度に5→2、認知症対応型共同生活介護は令和4年度に6→5となっている。掲載していない20種別は全期間で事業所数が変わらないか、全期間ゼロである。</t>
        </is>
      </c>
    </row>
    <row r="16">
      <c r="A16" s="8" t="inlineStr">
        <is>
          <t>（2）域内に事業所が存在しないサービス（令和6年度・人口10万対）</t>
        </is>
      </c>
    </row>
    <row r="17">
      <c r="A17" s="5" t="inlineStr">
        <is>
          <t>サービス</t>
        </is>
      </c>
      <c r="B17" s="5" t="inlineStr">
        <is>
          <t>大雪</t>
        </is>
      </c>
      <c r="C17" s="5" t="inlineStr">
        <is>
          <t>北海道</t>
        </is>
      </c>
      <c r="D17" s="5" t="inlineStr">
        <is>
          <t>全国</t>
        </is>
      </c>
      <c r="E17" s="5" t="inlineStr">
        <is>
          <t>空白の期間</t>
        </is>
      </c>
    </row>
    <row r="18">
      <c r="A18" s="6" t="inlineStr">
        <is>
          <t>定期巡回・随時対応型訪問介護看護</t>
        </is>
      </c>
      <c r="B18" s="12" t="n">
        <v>0</v>
      </c>
      <c r="C18" s="12" t="n">
        <v>2.6</v>
      </c>
      <c r="D18" s="12" t="n">
        <v>1.2</v>
      </c>
      <c r="E18" s="12" t="inlineStr">
        <is>
          <t>平成24年度〜（13年）</t>
        </is>
      </c>
    </row>
    <row r="19">
      <c r="A19" s="6" t="inlineStr">
        <is>
          <t>看護小規模多機能型居宅介護</t>
        </is>
      </c>
      <c r="B19" s="12" t="n">
        <v>0</v>
      </c>
      <c r="C19" s="12" t="n">
        <v>1.6</v>
      </c>
      <c r="D19" s="12" t="n">
        <v>0.9</v>
      </c>
      <c r="E19" s="12" t="inlineStr">
        <is>
          <t>平成24年度〜（13年）</t>
        </is>
      </c>
    </row>
    <row r="20">
      <c r="A20" s="6" t="inlineStr">
        <is>
          <t>夜間対応型訪問介護</t>
        </is>
      </c>
      <c r="B20" s="12" t="n">
        <v>0</v>
      </c>
      <c r="C20" s="12" t="n">
        <v>0.1</v>
      </c>
      <c r="D20" s="12" t="n">
        <v>0.2</v>
      </c>
      <c r="E20" s="12" t="inlineStr">
        <is>
          <t>平成24年度〜（13年）</t>
        </is>
      </c>
    </row>
    <row r="21">
      <c r="A21" s="6" t="inlineStr">
        <is>
          <t>認知症対応型通所介護</t>
        </is>
      </c>
      <c r="B21" s="12" t="n">
        <v>0</v>
      </c>
      <c r="C21" s="12" t="n">
        <v>2.8</v>
      </c>
      <c r="D21" s="12" t="n">
        <v>2.3</v>
      </c>
      <c r="E21" s="12" t="inlineStr">
        <is>
          <t>平成27年度〜（10年）</t>
        </is>
      </c>
    </row>
    <row r="22">
      <c r="A22" s="6" t="inlineStr">
        <is>
          <t>福祉用具貸与</t>
        </is>
      </c>
      <c r="B22" s="12" t="n">
        <v>0</v>
      </c>
      <c r="C22" s="12" t="n">
        <v>6</v>
      </c>
      <c r="D22" s="12" t="n">
        <v>6</v>
      </c>
      <c r="E22" s="12" t="inlineStr">
        <is>
          <t>平成24年度〜（13年）</t>
        </is>
      </c>
    </row>
    <row r="23">
      <c r="A23" s="6" t="inlineStr">
        <is>
          <t>訪問入浴介護</t>
        </is>
      </c>
      <c r="B23" s="12" t="n">
        <v>0</v>
      </c>
      <c r="C23" s="12" t="n">
        <v>1.1</v>
      </c>
      <c r="D23" s="12" t="n">
        <v>1.3</v>
      </c>
      <c r="E23" s="12" t="inlineStr">
        <is>
          <t>平成24年度〜（13年）</t>
        </is>
      </c>
    </row>
    <row r="24">
      <c r="A24" s="6" t="inlineStr">
        <is>
          <t>介護医療院</t>
        </is>
      </c>
      <c r="B24" s="12" t="n">
        <v>0</v>
      </c>
      <c r="C24" s="12" t="n">
        <v>1</v>
      </c>
      <c r="D24" s="12" t="n">
        <v>0.8</v>
      </c>
      <c r="E24" s="12" t="inlineStr">
        <is>
          <t>平成30年度〜（7年）</t>
        </is>
      </c>
    </row>
    <row r="25">
      <c r="A25" s="6" t="inlineStr">
        <is>
          <t>地域密着型特定施設入居者生活介護</t>
        </is>
      </c>
      <c r="B25" s="12" t="n">
        <v>0</v>
      </c>
      <c r="C25" s="12" t="n">
        <v>0.6</v>
      </c>
      <c r="D25" s="12" t="n">
        <v>0.3</v>
      </c>
      <c r="E25" s="12" t="inlineStr">
        <is>
          <t>平成24年度〜（13年）</t>
        </is>
      </c>
    </row>
    <row r="26">
      <c r="A26" s="6" t="inlineStr">
        <is>
          <t>短期入所療養介護（病院等）</t>
        </is>
      </c>
      <c r="B26" s="12" t="n">
        <v>0</v>
      </c>
      <c r="C26" s="12" t="n">
        <v>0.1</v>
      </c>
      <c r="D26" s="12" t="n">
        <v>0.1</v>
      </c>
      <c r="E26" s="12" t="inlineStr">
        <is>
          <t>平成24年度〜（13年）</t>
        </is>
      </c>
    </row>
    <row r="27">
      <c r="A27" s="6" t="inlineStr">
        <is>
          <t>短期入所療養介護（介護医療院）</t>
        </is>
      </c>
      <c r="B27" s="12" t="n">
        <v>0</v>
      </c>
      <c r="C27" s="12" t="n">
        <v>0.1</v>
      </c>
      <c r="D27" s="12" t="n">
        <v>0.1</v>
      </c>
      <c r="E27" s="12" t="inlineStr">
        <is>
          <t>平成30年度〜（7年）</t>
        </is>
      </c>
    </row>
    <row r="28">
      <c r="A28" s="6" t="inlineStr">
        <is>
          <t>介護療養型医療施設</t>
        </is>
      </c>
      <c r="B28" s="12" t="n">
        <v>0</v>
      </c>
      <c r="C28" s="12" t="n">
        <v>0</v>
      </c>
      <c r="D28" s="12" t="n">
        <v>0</v>
      </c>
      <c r="E28" s="12" t="inlineStr">
        <is>
          <t>平成24年度〜（13年）</t>
        </is>
      </c>
    </row>
    <row r="29" ht="26" customHeight="1">
      <c r="A29" s="4" t="inlineStr">
        <is>
          <t>注）全28サービス種別のうち11種別（39.3％）で域内の事業所数がゼロである。うち定期巡回・随時対応型訪問介護看護、夜間対応型訪問介護、看護小規模多機能型居宅介護の3種別は、重度者の在宅生活を24時間支える機能を担うもので、制度創設以来13年間ゼロである。一方、要介護5の54.6％・要介護4の49.1％が在宅・居住系にいる。上川中部圏域では定期巡回が令和8年に68.0人/月、看護小規模多機能型居宅介護が101.0人/月の見込みがあり、圏域内の他保険者では機能している。</t>
        </is>
      </c>
    </row>
    <row r="31">
      <c r="A31" s="8" t="inlineStr">
        <is>
          <t>（3）人口10万対の事業所数（令和6年度）</t>
        </is>
      </c>
    </row>
    <row r="32">
      <c r="A32" s="5" t="inlineStr">
        <is>
          <t>サービス</t>
        </is>
      </c>
      <c r="B32" s="5" t="inlineStr">
        <is>
          <t>大雪</t>
        </is>
      </c>
      <c r="C32" s="5" t="inlineStr">
        <is>
          <t>北海道</t>
        </is>
      </c>
      <c r="D32" s="5" t="inlineStr">
        <is>
          <t>全国</t>
        </is>
      </c>
      <c r="E32" s="5" t="inlineStr">
        <is>
          <t>大雪／全国</t>
        </is>
      </c>
    </row>
    <row r="33">
      <c r="A33" s="6" t="inlineStr">
        <is>
          <t>小規模多機能型居宅介護</t>
        </is>
      </c>
      <c r="B33" s="25" t="n">
        <v>18</v>
      </c>
      <c r="C33" s="25" t="n">
        <v>7.2</v>
      </c>
      <c r="D33" s="25" t="n">
        <v>4.5</v>
      </c>
      <c r="E33" s="25" t="n">
        <v>4</v>
      </c>
    </row>
    <row r="34">
      <c r="A34" s="6" t="inlineStr">
        <is>
          <t>短期入所療養介護（老健）</t>
        </is>
      </c>
      <c r="B34" s="25" t="n">
        <v>10.8</v>
      </c>
      <c r="C34" s="25" t="n">
        <v>3.4</v>
      </c>
      <c r="D34" s="25" t="n">
        <v>3.1</v>
      </c>
      <c r="E34" s="25" t="n">
        <v>3.48</v>
      </c>
    </row>
    <row r="35">
      <c r="A35" s="6" t="inlineStr">
        <is>
          <t>介護老人保健施設</t>
        </is>
      </c>
      <c r="B35" s="25" t="n">
        <v>10.8</v>
      </c>
      <c r="C35" s="25" t="n">
        <v>3.7</v>
      </c>
      <c r="D35" s="25" t="n">
        <v>3.4</v>
      </c>
      <c r="E35" s="25" t="n">
        <v>3.18</v>
      </c>
    </row>
    <row r="36">
      <c r="A36" s="6" t="inlineStr">
        <is>
          <t>特定施設入居者生活介護</t>
        </is>
      </c>
      <c r="B36" s="25" t="n">
        <v>10.8</v>
      </c>
      <c r="C36" s="25" t="n">
        <v>6</v>
      </c>
      <c r="D36" s="25" t="n">
        <v>4.9</v>
      </c>
      <c r="E36" s="25" t="n">
        <v>2.2</v>
      </c>
    </row>
    <row r="37">
      <c r="A37" s="6" t="inlineStr">
        <is>
          <t>短期入所生活介護</t>
        </is>
      </c>
      <c r="B37" s="25" t="n">
        <v>18</v>
      </c>
      <c r="C37" s="25" t="n">
        <v>8.699999999999999</v>
      </c>
      <c r="D37" s="25" t="n">
        <v>9.199999999999999</v>
      </c>
      <c r="E37" s="25" t="n">
        <v>1.96</v>
      </c>
    </row>
    <row r="38">
      <c r="A38" s="6" t="inlineStr">
        <is>
          <t>訪問看護</t>
        </is>
      </c>
      <c r="B38" s="25" t="n">
        <v>25.2</v>
      </c>
      <c r="C38" s="25" t="n">
        <v>15.7</v>
      </c>
      <c r="D38" s="25" t="n">
        <v>14.7</v>
      </c>
      <c r="E38" s="25" t="n">
        <v>1.71</v>
      </c>
    </row>
    <row r="39">
      <c r="A39" s="6" t="inlineStr">
        <is>
          <t>介護老人福祉施設</t>
        </is>
      </c>
      <c r="B39" s="25" t="n">
        <v>10.8</v>
      </c>
      <c r="C39" s="25" t="n">
        <v>7.6</v>
      </c>
      <c r="D39" s="25" t="n">
        <v>6.9</v>
      </c>
      <c r="E39" s="25" t="n">
        <v>1.57</v>
      </c>
    </row>
    <row r="40">
      <c r="A40" s="6" t="inlineStr">
        <is>
          <t>訪問介護</t>
        </is>
      </c>
      <c r="B40" s="25" t="n">
        <v>46.9</v>
      </c>
      <c r="C40" s="25" t="n">
        <v>33</v>
      </c>
      <c r="D40" s="25" t="n">
        <v>30.1</v>
      </c>
      <c r="E40" s="25" t="n">
        <v>1.56</v>
      </c>
    </row>
    <row r="41">
      <c r="A41" s="6" t="inlineStr">
        <is>
          <t>認知症対応型共同生活介護</t>
        </is>
      </c>
      <c r="B41" s="25" t="n">
        <v>18</v>
      </c>
      <c r="C41" s="25" t="n">
        <v>19.8</v>
      </c>
      <c r="D41" s="25" t="n">
        <v>11.7</v>
      </c>
      <c r="E41" s="25" t="n">
        <v>1.54</v>
      </c>
    </row>
    <row r="42">
      <c r="A42" s="6" t="inlineStr">
        <is>
          <t>居宅介護支援</t>
        </is>
      </c>
      <c r="B42" s="25" t="n">
        <v>36.1</v>
      </c>
      <c r="C42" s="25" t="n">
        <v>29.4</v>
      </c>
      <c r="D42" s="25" t="n">
        <v>30.3</v>
      </c>
      <c r="E42" s="25" t="n">
        <v>1.19</v>
      </c>
    </row>
    <row r="43">
      <c r="A43" s="6" t="inlineStr">
        <is>
          <t>地域密着型通所介護</t>
        </is>
      </c>
      <c r="B43" s="25" t="n">
        <v>14.4</v>
      </c>
      <c r="C43" s="25" t="n">
        <v>16.2</v>
      </c>
      <c r="D43" s="25" t="n">
        <v>15.5</v>
      </c>
      <c r="E43" s="25" t="n">
        <v>0.93</v>
      </c>
    </row>
    <row r="44">
      <c r="A44" s="6" t="inlineStr">
        <is>
          <t>居宅療養管理指導</t>
        </is>
      </c>
      <c r="B44" s="25" t="n">
        <v>36.1</v>
      </c>
      <c r="C44" s="25" t="n">
        <v>41.8</v>
      </c>
      <c r="D44" s="25" t="n">
        <v>48.3</v>
      </c>
      <c r="E44" s="25" t="n">
        <v>0.75</v>
      </c>
    </row>
    <row r="45">
      <c r="A45" s="6" t="inlineStr">
        <is>
          <t>通所介護</t>
        </is>
      </c>
      <c r="B45" s="25" t="n">
        <v>7.2</v>
      </c>
      <c r="C45" s="25" t="n">
        <v>14.6</v>
      </c>
      <c r="D45" s="25" t="n">
        <v>20.3</v>
      </c>
      <c r="E45" s="25" t="n">
        <v>0.35</v>
      </c>
    </row>
    <row r="46" ht="26" customHeight="1">
      <c r="A46" s="4" t="inlineStr">
        <is>
          <t>注）大雪の人口は約2.78万人であり、1事業所が人口10万対3.6に相当する。人口が小さいほど1事業所あたりの寄与が大きくなるため、人口10万対の比較は大雪の値が高く出やすい。その補正を加えてもなお低いのは通所介護（0.35）と居宅療養管理指導（0.75）である。通所介護は地域密着型通所介護と合わせても21.6で全国35.8の0.60にとどまる。</t>
        </is>
      </c>
    </row>
  </sheetData>
  <mergeCells count="5">
    <mergeCell ref="A46:M46"/>
    <mergeCell ref="A14:M14"/>
    <mergeCell ref="A1:M1"/>
    <mergeCell ref="A29:M29"/>
    <mergeCell ref="A2:M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6" customWidth="1" min="1" max="1"/>
    <col width="9" customWidth="1" min="2" max="2"/>
    <col width="9" customWidth="1" min="3" max="3"/>
    <col width="9" customWidth="1" min="4" max="4"/>
    <col width="9" customWidth="1" min="5" max="5"/>
    <col width="9" customWidth="1" min="6" max="6"/>
    <col width="9" customWidth="1" min="7" max="7"/>
    <col width="9" customWidth="1" min="8" max="8"/>
    <col width="10" customWidth="1" min="9" max="9"/>
    <col width="10" customWidth="1" min="10" max="10"/>
    <col width="10" customWidth="1" min="11" max="11"/>
    <col width="10" customWidth="1" min="12" max="12"/>
    <col width="10" customWidth="1" min="13" max="13"/>
  </cols>
  <sheetData>
    <row r="1" ht="24" customHeight="1">
      <c r="A1" s="1" t="inlineStr">
        <is>
          <t>図25　サービス別の従事者数の推移</t>
        </is>
      </c>
    </row>
    <row r="2" ht="16" customHeight="1">
      <c r="A2" s="2" t="inlineStr">
        <is>
          <t>出典：厚生労働省「介護サービス施設・事業所調査」／見える化M2-a〜m（13サービス、平成29年度〜令和6年度）。令和2年度は同調査が実施されなかったため全国・北海道を含め欠測である。第10期基本指針の新別表 七「従事者数」に対応する。</t>
        </is>
      </c>
    </row>
    <row r="4">
      <c r="A4" s="8" t="inlineStr">
        <is>
          <t>（1）サービス別の従事者数（実数・人）</t>
        </is>
      </c>
    </row>
    <row r="5">
      <c r="A5" s="5" t="inlineStr">
        <is>
          <t>サービス</t>
        </is>
      </c>
      <c r="B5" s="5" t="inlineStr">
        <is>
          <t>H29</t>
        </is>
      </c>
      <c r="C5" s="5" t="inlineStr">
        <is>
          <t>H30</t>
        </is>
      </c>
      <c r="D5" s="5" t="inlineStr">
        <is>
          <t>R元</t>
        </is>
      </c>
      <c r="E5" s="5" t="inlineStr">
        <is>
          <t>R3</t>
        </is>
      </c>
      <c r="F5" s="5" t="inlineStr">
        <is>
          <t>R4</t>
        </is>
      </c>
      <c r="G5" s="5" t="inlineStr">
        <is>
          <t>R5</t>
        </is>
      </c>
      <c r="H5" s="5" t="inlineStr">
        <is>
          <t>R6</t>
        </is>
      </c>
    </row>
    <row r="6">
      <c r="A6" s="6" t="inlineStr">
        <is>
          <t>介護老人保健施設</t>
        </is>
      </c>
      <c r="B6" s="9" t="n">
        <v>90</v>
      </c>
      <c r="C6" s="9" t="n">
        <v>158</v>
      </c>
      <c r="D6" s="9" t="n">
        <v>165</v>
      </c>
      <c r="E6" s="9" t="n">
        <v>162</v>
      </c>
      <c r="F6" s="9" t="n">
        <v>160</v>
      </c>
      <c r="G6" s="9" t="n">
        <v>113</v>
      </c>
      <c r="H6" s="9" t="n">
        <v>124</v>
      </c>
    </row>
    <row r="7">
      <c r="A7" s="6" t="inlineStr">
        <is>
          <t>介護老人福祉施設</t>
        </is>
      </c>
      <c r="B7" s="9" t="n">
        <v>116</v>
      </c>
      <c r="C7" s="9" t="n">
        <v>104</v>
      </c>
      <c r="D7" s="9" t="n">
        <v>123</v>
      </c>
      <c r="E7" s="9" t="n">
        <v>119</v>
      </c>
      <c r="F7" s="9" t="n">
        <v>115</v>
      </c>
      <c r="G7" s="9" t="n">
        <v>119</v>
      </c>
      <c r="H7" s="9" t="n">
        <v>105</v>
      </c>
    </row>
    <row r="8">
      <c r="A8" s="6" t="inlineStr">
        <is>
          <t>地域密着型介護老人福祉施設</t>
        </is>
      </c>
      <c r="B8" s="9" t="n">
        <v>24</v>
      </c>
      <c r="C8" s="9" t="n">
        <v>40</v>
      </c>
      <c r="D8" s="9" t="n">
        <v>59</v>
      </c>
      <c r="E8" s="9" t="n">
        <v>84</v>
      </c>
      <c r="F8" s="9" t="n">
        <v>77</v>
      </c>
      <c r="G8" s="9" t="n">
        <v>67</v>
      </c>
      <c r="H8" s="9" t="n">
        <v>50</v>
      </c>
    </row>
    <row r="9">
      <c r="A9" s="6" t="inlineStr">
        <is>
          <t>訪問看護</t>
        </is>
      </c>
      <c r="B9" s="9" t="n">
        <v>15</v>
      </c>
      <c r="C9" s="9" t="n">
        <v>22</v>
      </c>
      <c r="D9" s="9" t="n">
        <v>23</v>
      </c>
      <c r="E9" s="9" t="n">
        <v>19</v>
      </c>
      <c r="F9" s="9" t="n">
        <v>21</v>
      </c>
      <c r="G9" s="9" t="n">
        <v>29</v>
      </c>
      <c r="H9" s="9" t="n">
        <v>37</v>
      </c>
    </row>
    <row r="10">
      <c r="A10" s="6" t="inlineStr">
        <is>
          <t>地域密着型通所介護</t>
        </is>
      </c>
      <c r="B10" s="9" t="n">
        <v>0</v>
      </c>
      <c r="C10" s="9" t="n">
        <v>21</v>
      </c>
      <c r="D10" s="9" t="n">
        <v>12</v>
      </c>
      <c r="E10" s="9" t="n">
        <v>22</v>
      </c>
      <c r="F10" s="9" t="n">
        <v>26</v>
      </c>
      <c r="G10" s="9" t="n">
        <v>23</v>
      </c>
      <c r="H10" s="9" t="n">
        <v>25</v>
      </c>
    </row>
    <row r="11">
      <c r="A11" s="6" t="inlineStr">
        <is>
          <t>通所リハビリテーション（老健）</t>
        </is>
      </c>
      <c r="B11" s="9" t="n">
        <v>23</v>
      </c>
      <c r="C11" s="9" t="n">
        <v>41</v>
      </c>
      <c r="D11" s="9" t="n">
        <v>33</v>
      </c>
      <c r="E11" s="9" t="n">
        <v>31</v>
      </c>
      <c r="F11" s="9" t="n">
        <v>35</v>
      </c>
      <c r="G11" s="9" t="n">
        <v>20</v>
      </c>
      <c r="H11" s="9" t="n">
        <v>22</v>
      </c>
    </row>
    <row r="12" ht="26" customHeight="1">
      <c r="A12" s="4" t="inlineStr">
        <is>
          <t>注1）訪問看護は平成29年度15人から令和6年度37人へ2.5倍。事業所数2→7、給付月額＋69.2％と整合する明確な拡大であり、第9期で最も伸びた供給基盤である。注2）地域密着型介護老人福祉施設は令和3年度84人をピークに令和6年度50人へ40.5％減少している。事業所数は3で不変であり、1事業所あたりの人員が減っている。注3）地域密着型通所介護の平成29年度は制度上該当がないため0としている。注4）訪問介護（平成29年度59人）・通所介護（同13人）・居宅介護支援（同32人）は平成29年度のみの収録のため掲載していない。</t>
        </is>
      </c>
    </row>
    <row r="14">
      <c r="A14" s="8" t="inlineStr">
        <is>
          <t>（2）認定者1万対でみた全国・北海道との比較（令和6年度）</t>
        </is>
      </c>
    </row>
    <row r="15">
      <c r="A15" s="5" t="inlineStr">
        <is>
          <t>サービス</t>
        </is>
      </c>
      <c r="B15" s="5" t="inlineStr">
        <is>
          <t>大雪</t>
        </is>
      </c>
      <c r="C15" s="5" t="inlineStr">
        <is>
          <t>北海道</t>
        </is>
      </c>
      <c r="D15" s="5" t="inlineStr">
        <is>
          <t>全国</t>
        </is>
      </c>
      <c r="E15" s="5" t="inlineStr">
        <is>
          <t>大雪／全国</t>
        </is>
      </c>
    </row>
    <row r="16">
      <c r="A16" s="6" t="inlineStr">
        <is>
          <t>地域密着型介護老人福祉施設</t>
        </is>
      </c>
      <c r="B16" s="27" t="n">
        <v>254.84</v>
      </c>
      <c r="C16" s="27" t="n">
        <v>68.23</v>
      </c>
      <c r="D16" s="27" t="n">
        <v>77.94</v>
      </c>
      <c r="E16" s="27" t="n">
        <v>3.27</v>
      </c>
    </row>
    <row r="17">
      <c r="A17" s="6" t="inlineStr">
        <is>
          <t>介護老人保健施設</t>
        </is>
      </c>
      <c r="B17" s="27" t="n">
        <v>632.01</v>
      </c>
      <c r="C17" s="27" t="n">
        <v>281.41</v>
      </c>
      <c r="D17" s="27" t="n">
        <v>312.22</v>
      </c>
      <c r="E17" s="27" t="n">
        <v>2.02</v>
      </c>
    </row>
    <row r="18">
      <c r="A18" s="6" t="inlineStr">
        <is>
          <t>通所リハビリテーション（老健）</t>
        </is>
      </c>
      <c r="B18" s="27" t="n">
        <v>112.13</v>
      </c>
      <c r="C18" s="27" t="n">
        <v>59.55</v>
      </c>
      <c r="D18" s="27" t="n">
        <v>65.55</v>
      </c>
      <c r="E18" s="27" t="n">
        <v>1.71</v>
      </c>
    </row>
    <row r="19">
      <c r="A19" s="6" t="inlineStr">
        <is>
          <t>介護老人福祉施設</t>
        </is>
      </c>
      <c r="B19" s="27" t="n">
        <v>535.17</v>
      </c>
      <c r="C19" s="27" t="n">
        <v>485.72</v>
      </c>
      <c r="D19" s="27" t="n">
        <v>540.03</v>
      </c>
      <c r="E19" s="27" t="n">
        <v>0.99</v>
      </c>
    </row>
    <row r="20">
      <c r="A20" s="6" t="inlineStr">
        <is>
          <t>訪問看護</t>
        </is>
      </c>
      <c r="B20" s="27" t="n">
        <v>188.58</v>
      </c>
      <c r="C20" s="27" t="n">
        <v>157.15</v>
      </c>
      <c r="D20" s="27" t="n">
        <v>207.04</v>
      </c>
      <c r="E20" s="27" t="n">
        <v>0.91</v>
      </c>
    </row>
    <row r="21">
      <c r="A21" s="6" t="inlineStr">
        <is>
          <t>地域密着型通所介護</t>
        </is>
      </c>
      <c r="B21" s="27" t="n">
        <v>127.42</v>
      </c>
      <c r="C21" s="27" t="n">
        <v>139.23</v>
      </c>
      <c r="D21" s="27" t="n">
        <v>160.27</v>
      </c>
      <c r="E21" s="27" t="n">
        <v>0.8</v>
      </c>
    </row>
    <row r="22" ht="26" customHeight="1">
      <c r="A22" s="4" t="inlineStr">
        <is>
          <t>注）分母は要介護（要支援）認定者数。全国・北海道と直接比較できる。介護老人福祉施設は平成29年度616.37（全国520.67の1.18倍）から令和6年度535.17（同0.99倍）へ低下し、8年間で全国並みとなった。訪問看護は逆に平成29年度79.70（全国105.15の0.76倍）から令和6年度188.58（同0.91倍）へ全国水準に近づいている。</t>
        </is>
      </c>
    </row>
    <row r="24">
      <c r="A24" s="8" t="inlineStr">
        <is>
          <t>（3）職種別の従事者数（介護老人福祉施設・実数）</t>
        </is>
      </c>
    </row>
    <row r="25">
      <c r="A25" s="5" t="inlineStr">
        <is>
          <t>職種</t>
        </is>
      </c>
      <c r="B25" s="5" t="inlineStr">
        <is>
          <t>H29</t>
        </is>
      </c>
      <c r="C25" s="5" t="inlineStr">
        <is>
          <t>H30</t>
        </is>
      </c>
      <c r="D25" s="5" t="inlineStr">
        <is>
          <t>R元</t>
        </is>
      </c>
      <c r="E25" s="5" t="inlineStr">
        <is>
          <t>R3</t>
        </is>
      </c>
      <c r="F25" s="5" t="inlineStr">
        <is>
          <t>R4</t>
        </is>
      </c>
      <c r="G25" s="5" t="inlineStr">
        <is>
          <t>R5</t>
        </is>
      </c>
      <c r="H25" s="5" t="inlineStr">
        <is>
          <t>R6</t>
        </is>
      </c>
    </row>
    <row r="26">
      <c r="A26" s="6" t="inlineStr">
        <is>
          <t>介護職員</t>
        </is>
      </c>
      <c r="B26" s="9" t="n">
        <v>80</v>
      </c>
      <c r="C26" s="9" t="n">
        <v>66</v>
      </c>
      <c r="D26" s="9" t="n">
        <v>78</v>
      </c>
      <c r="E26" s="9" t="n">
        <v>74</v>
      </c>
      <c r="F26" s="9" t="n">
        <v>77</v>
      </c>
      <c r="G26" s="9" t="n">
        <v>74</v>
      </c>
      <c r="H26" s="9" t="n">
        <v>70</v>
      </c>
    </row>
    <row r="27">
      <c r="A27" s="6" t="inlineStr">
        <is>
          <t>准看護師</t>
        </is>
      </c>
      <c r="B27" s="9" t="n">
        <v>7</v>
      </c>
      <c r="C27" s="9" t="n">
        <v>7</v>
      </c>
      <c r="D27" s="9" t="n">
        <v>6</v>
      </c>
      <c r="E27" s="9" t="n">
        <v>6</v>
      </c>
      <c r="F27" s="9" t="n">
        <v>5</v>
      </c>
      <c r="G27" s="9" t="n">
        <v>5</v>
      </c>
      <c r="H27" s="9" t="n">
        <v>3</v>
      </c>
    </row>
    <row r="28">
      <c r="A28" s="6" t="inlineStr">
        <is>
          <t>看護師</t>
        </is>
      </c>
      <c r="B28" s="9" t="n">
        <v>5</v>
      </c>
      <c r="C28" s="9" t="n">
        <v>7</v>
      </c>
      <c r="D28" s="9" t="n">
        <v>8</v>
      </c>
      <c r="E28" s="9" t="n">
        <v>7</v>
      </c>
      <c r="F28" s="9" t="n">
        <v>7</v>
      </c>
      <c r="G28" s="9" t="n">
        <v>6</v>
      </c>
      <c r="H28" s="9" t="n">
        <v>7</v>
      </c>
    </row>
    <row r="29">
      <c r="A29" s="6" t="inlineStr">
        <is>
          <t>生活相談員</t>
        </is>
      </c>
      <c r="B29" s="9" t="n">
        <v>5</v>
      </c>
      <c r="C29" s="9" t="n">
        <v>5</v>
      </c>
      <c r="D29" s="9" t="n">
        <v>5</v>
      </c>
      <c r="E29" s="9" t="n">
        <v>6</v>
      </c>
      <c r="F29" s="9" t="n">
        <v>5</v>
      </c>
      <c r="G29" s="9" t="n">
        <v>5</v>
      </c>
      <c r="H29" s="9" t="n">
        <v>3</v>
      </c>
    </row>
    <row r="30">
      <c r="A30" s="6" t="inlineStr">
        <is>
          <t>介護支援専門員</t>
        </is>
      </c>
      <c r="B30" s="9" t="n">
        <v>3</v>
      </c>
      <c r="C30" s="9" t="n">
        <v>3</v>
      </c>
      <c r="D30" s="9" t="n">
        <v>3</v>
      </c>
      <c r="E30" s="9" t="n">
        <v>3</v>
      </c>
      <c r="F30" s="9" t="n">
        <v>3</v>
      </c>
      <c r="G30" s="9" t="n">
        <v>3</v>
      </c>
      <c r="H30" s="9" t="n">
        <v>3</v>
      </c>
    </row>
    <row r="31">
      <c r="A31" s="6" t="inlineStr">
        <is>
          <t>機能訓練指導員</t>
        </is>
      </c>
      <c r="B31" s="9" t="n">
        <v>2</v>
      </c>
      <c r="C31" s="9" t="n">
        <v>3</v>
      </c>
      <c r="D31" s="9" t="n">
        <v>2</v>
      </c>
      <c r="E31" s="9" t="n">
        <v>2</v>
      </c>
      <c r="F31" s="9" t="n">
        <v>2</v>
      </c>
      <c r="G31" s="9" t="n">
        <v>2</v>
      </c>
      <c r="H31" s="9" t="n">
        <v>1</v>
      </c>
    </row>
    <row r="32">
      <c r="A32" s="6" t="inlineStr">
        <is>
          <t>合計</t>
        </is>
      </c>
      <c r="B32" s="9" t="n">
        <v>116</v>
      </c>
      <c r="C32" s="9" t="n">
        <v>104</v>
      </c>
      <c r="D32" s="9" t="n">
        <v>123</v>
      </c>
      <c r="E32" s="9" t="n">
        <v>119</v>
      </c>
      <c r="F32" s="9" t="n">
        <v>115</v>
      </c>
      <c r="G32" s="9" t="n">
        <v>119</v>
      </c>
      <c r="H32" s="9" t="n">
        <v>105</v>
      </c>
    </row>
    <row r="33" ht="26" customHeight="1">
      <c r="A33" s="4" t="inlineStr">
        <is>
          <t>注）准看護師は平成29年度7人から令和6年度3人へ57.1％減少しており、看護師の増加（5→7人）では補いきれていない。生活相談員も5→3人、機能訓練指導員も2→1人へ減少している。定員は平成29年度234人から令和2年度以降160人へ31.6％減少しており、従事者総数の減少（▲9.5％）はこれを下回るため、利用者あたりの手厚さ自体は増している。介護人材の必要数（見える化H1・H2）は大雪についてデータ登録がなく出力できないため、職種別欠員率は算定できない。</t>
        </is>
      </c>
    </row>
  </sheetData>
  <mergeCells count="5">
    <mergeCell ref="A1:M1"/>
    <mergeCell ref="A22:M22"/>
    <mergeCell ref="A12:M12"/>
    <mergeCell ref="A2:M2"/>
    <mergeCell ref="A33:M33"/>
  </mergeCells>
  <pageMargins left="0.75" right="0.75" top="1" bottom="1" header="0.5" footer="0.5"/>
  <drawing xmlns:r="http://schemas.openxmlformats.org/officeDocument/2006/relationships" r:id="rId1"/>
</worksheet>
</file>

<file path=xl/worksheets/sheet28.xml><?xml version="1.0" encoding="utf-8"?>
<worksheet xmlns="http://schemas.openxmlformats.org/spreadsheetml/2006/main">
  <sheetPr>
    <outlinePr summaryBelow="1" summaryRight="1"/>
    <pageSetUpPr/>
  </sheetPr>
  <dimension ref="A1:M37"/>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図26　保険者機能強化推進交付金等の評価得点</t>
        </is>
      </c>
    </row>
    <row r="2" ht="16" customHeight="1">
      <c r="A2" s="2" t="inlineStr">
        <is>
          <t>出典：厚生労働省「保険者機能強化推進交付金・介護保険保険者努力支援交付金に係る評価指標（市町村分）」／見える化W126〜W145。調査実施年は令和5年（2023年）で、令和6年度分の指標として用いられる。全国・北海道は全保険者の平均値。第10期基本指針の新別表 九「インセンティブ交付金における評価」に対応する。</t>
        </is>
      </c>
    </row>
    <row r="4">
      <c r="A4" s="8" t="inlineStr">
        <is>
          <t>（1）総合得点（点）</t>
        </is>
      </c>
    </row>
    <row r="5">
      <c r="A5" s="5" t="inlineStr">
        <is>
          <t>区分</t>
        </is>
      </c>
      <c r="B5" s="5" t="inlineStr">
        <is>
          <t>大雪地区広域連合</t>
        </is>
      </c>
      <c r="C5" s="5" t="inlineStr">
        <is>
          <t>北海道</t>
        </is>
      </c>
      <c r="D5" s="5" t="inlineStr">
        <is>
          <t>全国</t>
        </is>
      </c>
    </row>
    <row r="6">
      <c r="A6" s="6" t="inlineStr">
        <is>
          <t>保険者機能強化推進交付金</t>
        </is>
      </c>
      <c r="B6" s="14" t="n">
        <v>164.7</v>
      </c>
      <c r="C6" s="14" t="n">
        <v>210.4</v>
      </c>
      <c r="D6" s="14" t="n">
        <v>205.6</v>
      </c>
    </row>
    <row r="7">
      <c r="A7" s="6" t="inlineStr">
        <is>
          <t>介護保険保険者努力支援交付金</t>
        </is>
      </c>
      <c r="B7" s="14" t="n">
        <v>167.3</v>
      </c>
      <c r="C7" s="14" t="n">
        <v>203.3</v>
      </c>
      <c r="D7" s="14" t="n">
        <v>216.7</v>
      </c>
    </row>
    <row r="8">
      <c r="A8" s="6" t="inlineStr">
        <is>
          <t>合計</t>
        </is>
      </c>
      <c r="B8" s="14" t="n">
        <v>332</v>
      </c>
      <c r="C8" s="14" t="n">
        <v>413.6</v>
      </c>
      <c r="D8" s="14" t="n">
        <v>422.4</v>
      </c>
    </row>
    <row r="9" ht="26" customHeight="1">
      <c r="A9" s="4" t="inlineStr">
        <is>
          <t>注）総合得点332.0点は全国平均422.4点の78.6％で、90.4点（21.4％）低い。北海道平均も81.6点下回る。交付金の交付額は得点に応じて配分されるため、この差はそのまま財源の差となる。第9期計画は交付金の評価結果に言及していない。</t>
        </is>
      </c>
    </row>
    <row r="11">
      <c r="A11" s="8" t="inlineStr">
        <is>
          <t>（2）指標群別の得点（点）</t>
        </is>
      </c>
    </row>
    <row r="12">
      <c r="A12" s="5" t="inlineStr">
        <is>
          <t>区分</t>
        </is>
      </c>
      <c r="B12" s="5" t="inlineStr">
        <is>
          <t>大雪地区広域連合</t>
        </is>
      </c>
      <c r="C12" s="5" t="inlineStr">
        <is>
          <t>北海道</t>
        </is>
      </c>
      <c r="D12" s="5" t="inlineStr">
        <is>
          <t>全国</t>
        </is>
      </c>
      <c r="E12" s="5" t="inlineStr">
        <is>
          <t>大雪／全国</t>
        </is>
      </c>
    </row>
    <row r="13">
      <c r="A13" s="6" t="inlineStr">
        <is>
          <t>推進　取組・体制指標群</t>
        </is>
      </c>
      <c r="B13" s="28" t="n">
        <v>96.7</v>
      </c>
      <c r="C13" s="28" t="n">
        <v>121.4</v>
      </c>
      <c r="D13" s="28" t="n">
        <v>122.5</v>
      </c>
      <c r="E13" s="28" t="n">
        <v>0.789</v>
      </c>
    </row>
    <row r="14">
      <c r="A14" s="6" t="inlineStr">
        <is>
          <t>推進　活動指標群</t>
        </is>
      </c>
      <c r="B14" s="28" t="n">
        <v>8</v>
      </c>
      <c r="C14" s="28" t="n">
        <v>33.2</v>
      </c>
      <c r="D14" s="28" t="n">
        <v>34.5</v>
      </c>
      <c r="E14" s="28" t="n">
        <v>0.232</v>
      </c>
    </row>
    <row r="15">
      <c r="A15" s="6" t="inlineStr">
        <is>
          <t>推進　成果指標群</t>
        </is>
      </c>
      <c r="B15" s="28" t="n">
        <v>60</v>
      </c>
      <c r="C15" s="28" t="n">
        <v>55.8</v>
      </c>
      <c r="D15" s="28" t="n">
        <v>48.6</v>
      </c>
      <c r="E15" s="28" t="n">
        <v>1.235</v>
      </c>
    </row>
    <row r="16">
      <c r="A16" s="6" t="inlineStr">
        <is>
          <t>支援　取組・体制指標群</t>
        </is>
      </c>
      <c r="B16" s="28" t="n">
        <v>82.3</v>
      </c>
      <c r="C16" s="28" t="n">
        <v>109.7</v>
      </c>
      <c r="D16" s="28" t="n">
        <v>123.1</v>
      </c>
      <c r="E16" s="28" t="n">
        <v>0.669</v>
      </c>
    </row>
    <row r="17">
      <c r="A17" s="6" t="inlineStr">
        <is>
          <t>支援　活動指標群</t>
        </is>
      </c>
      <c r="B17" s="28" t="n">
        <v>25</v>
      </c>
      <c r="C17" s="28" t="n">
        <v>37.8</v>
      </c>
      <c r="D17" s="28" t="n">
        <v>45</v>
      </c>
      <c r="E17" s="28" t="n">
        <v>0.556</v>
      </c>
    </row>
    <row r="18">
      <c r="A18" s="6" t="inlineStr">
        <is>
          <t>支援　成果指標群</t>
        </is>
      </c>
      <c r="B18" s="28" t="n">
        <v>60</v>
      </c>
      <c r="C18" s="28" t="n">
        <v>55.8</v>
      </c>
      <c r="D18" s="28" t="n">
        <v>48.6</v>
      </c>
      <c r="E18" s="28" t="n">
        <v>1.235</v>
      </c>
    </row>
    <row r="19" ht="26" customHeight="1">
      <c r="A19" s="4" t="inlineStr">
        <is>
          <t>注）成果（アウトカム）は全国の123.5％である一方、活動（アウトプット）は全国の23.2〜55.6％にとどまる。「結果は出ているが、その結果を生んだ活動を国の様式で記録・報告できていない」状態を示す。第9期計画の第5章がアウトプット指標を持たないこと、代表KPIの検証が期末1回のみであることと同じ構造であり、国の評価がこれを独立に裏付けている。</t>
        </is>
      </c>
    </row>
    <row r="21">
      <c r="A21" s="8" t="inlineStr">
        <is>
          <t>（3）目標別の得点（点）</t>
        </is>
      </c>
    </row>
    <row r="22">
      <c r="A22" s="5" t="inlineStr">
        <is>
          <t>目標</t>
        </is>
      </c>
      <c r="B22" s="5" t="inlineStr">
        <is>
          <t>大雪地区広域連合</t>
        </is>
      </c>
      <c r="C22" s="5" t="inlineStr">
        <is>
          <t>北海道</t>
        </is>
      </c>
      <c r="D22" s="5" t="inlineStr">
        <is>
          <t>全国</t>
        </is>
      </c>
      <c r="E22" s="5" t="inlineStr">
        <is>
          <t>大雪／全国</t>
        </is>
      </c>
    </row>
    <row r="23">
      <c r="A23" s="6" t="inlineStr">
        <is>
          <t>推進Ⅰ 持続可能な地域のあるべき姿</t>
        </is>
      </c>
      <c r="B23" s="28" t="n">
        <v>40.3</v>
      </c>
      <c r="C23" s="28" t="n">
        <v>55</v>
      </c>
      <c r="D23" s="28" t="n">
        <v>56.2</v>
      </c>
      <c r="E23" s="28" t="n">
        <v>0.717</v>
      </c>
    </row>
    <row r="24">
      <c r="A24" s="6" t="inlineStr">
        <is>
          <t>推進Ⅱ 公正・公平な給付体制</t>
        </is>
      </c>
      <c r="B24" s="28" t="n">
        <v>23.3</v>
      </c>
      <c r="C24" s="28" t="n">
        <v>57.9</v>
      </c>
      <c r="D24" s="28" t="n">
        <v>59.8</v>
      </c>
      <c r="E24" s="28" t="n">
        <v>0.39</v>
      </c>
    </row>
    <row r="25">
      <c r="A25" s="6" t="inlineStr">
        <is>
          <t>推進Ⅲ 介護人材の確保・基盤整備</t>
        </is>
      </c>
      <c r="B25" s="28" t="n">
        <v>41</v>
      </c>
      <c r="C25" s="28" t="n">
        <v>41.7</v>
      </c>
      <c r="D25" s="28" t="n">
        <v>41</v>
      </c>
      <c r="E25" s="28" t="n">
        <v>1</v>
      </c>
    </row>
    <row r="26">
      <c r="A26" s="6" t="inlineStr">
        <is>
          <t>支援Ⅰ 介護予防／日常生活支援</t>
        </is>
      </c>
      <c r="B26" s="28" t="n">
        <v>47.3</v>
      </c>
      <c r="C26" s="28" t="n">
        <v>49.7</v>
      </c>
      <c r="D26" s="28" t="n">
        <v>51.5</v>
      </c>
      <c r="E26" s="28" t="n">
        <v>0.918</v>
      </c>
    </row>
    <row r="27">
      <c r="A27" s="6" t="inlineStr">
        <is>
          <t>支援Ⅱ 認知症総合支援</t>
        </is>
      </c>
      <c r="B27" s="28" t="n">
        <v>36.3</v>
      </c>
      <c r="C27" s="28" t="n">
        <v>48.5</v>
      </c>
      <c r="D27" s="28" t="n">
        <v>54.5</v>
      </c>
      <c r="E27" s="28" t="n">
        <v>0.666</v>
      </c>
    </row>
    <row r="28">
      <c r="A28" s="6" t="inlineStr">
        <is>
          <t>支援Ⅲ 在宅医療・在宅介護連携</t>
        </is>
      </c>
      <c r="B28" s="28" t="n">
        <v>23.7</v>
      </c>
      <c r="C28" s="28" t="n">
        <v>49.3</v>
      </c>
      <c r="D28" s="28" t="n">
        <v>62.1</v>
      </c>
      <c r="E28" s="28" t="n">
        <v>0.382</v>
      </c>
    </row>
    <row r="29">
      <c r="A29" s="6" t="inlineStr">
        <is>
          <t>共通Ⅳ 自立した日常生活（成果）</t>
        </is>
      </c>
      <c r="B29" s="28" t="n">
        <v>60</v>
      </c>
      <c r="C29" s="28" t="n">
        <v>55.8</v>
      </c>
      <c r="D29" s="28" t="n">
        <v>48.6</v>
      </c>
      <c r="E29" s="28" t="n">
        <v>1.235</v>
      </c>
    </row>
    <row r="30" ht="26" customHeight="1">
      <c r="A30" s="4" t="inlineStr">
        <is>
          <t>注）最も低いのは支援Ⅲ（在宅医療・在宅介護連携）の全国比0.382と推進Ⅱ（公正・公平な給付体制）の0.390である。支援Ⅲは入退院支援・人生の最終段階における支援がいずれも0点、推進Ⅱはケアプラン点検・医療情報との突合がいずれも0点である。後者は北海道の第9期評価指標⑧「給付適正化主要3事業の実施率100％」に反する。</t>
        </is>
      </c>
    </row>
    <row r="32">
      <c r="A32" s="8" t="inlineStr">
        <is>
          <t>（4）性・年齢調整済み要介護2以上認定率（目標Ⅳ-5）</t>
        </is>
      </c>
    </row>
    <row r="33">
      <c r="A33" s="5" t="inlineStr">
        <is>
          <t>区分</t>
        </is>
      </c>
      <c r="B33" s="5" t="inlineStr">
        <is>
          <t>認定率（％）</t>
        </is>
      </c>
      <c r="C33" s="5" t="inlineStr">
        <is>
          <t>変化率（％）</t>
        </is>
      </c>
    </row>
    <row r="34">
      <c r="A34" s="6" t="inlineStr">
        <is>
          <t>大雪地区広域連合</t>
        </is>
      </c>
      <c r="B34" s="25" t="n">
        <v>9.25</v>
      </c>
      <c r="C34" s="25" t="n">
        <v>1.76</v>
      </c>
    </row>
    <row r="35">
      <c r="A35" s="6" t="inlineStr">
        <is>
          <t>北海道</t>
        </is>
      </c>
      <c r="B35" s="25" t="n">
        <v>8.59</v>
      </c>
      <c r="C35" s="25" t="n">
        <v>-1.71</v>
      </c>
    </row>
    <row r="36">
      <c r="A36" s="6" t="inlineStr">
        <is>
          <t>全国</t>
        </is>
      </c>
      <c r="B36" s="25" t="n">
        <v>8.99</v>
      </c>
      <c r="C36" s="25" t="n">
        <v>-0.37</v>
      </c>
    </row>
    <row r="37" ht="26" customHeight="1">
      <c r="A37" s="4" t="inlineStr">
        <is>
          <t>注1）本指標は国が全保険者について共通の方法で毎年算定しているため、第10期のH01（年齢調整済要介護認定率）のデータ源として最も確実である。注2）大雪9.25％は全国8.99％の102.9％、北海道8.59％の107.7％である。変化率は全国▲0.37・北海道▲1.71が低下する中で大雪のみ＋1.76と上昇している。注3）75歳以上の粗認定率が平成30年3月末35.3％から令和8年3月末33.5％へ低下していることと矛盾するものではない。前者は要介護2以上に限った性年齢調整済みの値、後者は全要介護度を含む年齢層別の粗率であり、合わせると「軽度は改善したが中重度は悪化している」という構造が読み取れる。</t>
        </is>
      </c>
    </row>
  </sheetData>
  <mergeCells count="6">
    <mergeCell ref="A19:M19"/>
    <mergeCell ref="A1:M1"/>
    <mergeCell ref="A37:M37"/>
    <mergeCell ref="A9:M9"/>
    <mergeCell ref="A30:M30"/>
    <mergeCell ref="A2:M2"/>
  </mergeCells>
  <pageMargins left="0.75" right="0.75" top="1" bottom="1" header="0.5" footer="0.5"/>
  <drawing xmlns:r="http://schemas.openxmlformats.org/officeDocument/2006/relationships" r:id="rId1"/>
</worksheet>
</file>

<file path=xl/worksheets/sheet29.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図27　特定地域（中山間・人口減少地域）の基準と3町の位置</t>
        </is>
      </c>
    </row>
    <row r="2" ht="16" customHeight="1">
      <c r="A2" s="2" t="inlineStr">
        <is>
          <t>出典：第135回社会保障審議会介護保険部会 資料3「特定地域（中山間・人口減少地域）の考え方について」（令和8年6月29日）／北海道 総合政策部地域創生局地域政策課「地域指定一覧（令和8年4月1日現在）」／国土交通省「豪雪地帯・特別豪雪地帯の指定（令和8年4月1日現在）」。</t>
        </is>
      </c>
    </row>
    <row r="4">
      <c r="A4" s="8" t="inlineStr">
        <is>
          <t>（1）3町の地域指定（令和8年4月1日現在）</t>
        </is>
      </c>
    </row>
    <row r="5">
      <c r="A5" s="5" t="inlineStr">
        <is>
          <t>町</t>
        </is>
      </c>
      <c r="B5" s="5" t="inlineStr">
        <is>
          <t>過疎</t>
        </is>
      </c>
      <c r="C5" s="5" t="inlineStr">
        <is>
          <t>辺地</t>
        </is>
      </c>
      <c r="D5" s="5" t="inlineStr">
        <is>
          <t>山村</t>
        </is>
      </c>
      <c r="E5" s="5" t="inlineStr">
        <is>
          <t>離島</t>
        </is>
      </c>
      <c r="F5" s="5" t="inlineStr">
        <is>
          <t>半島</t>
        </is>
      </c>
      <c r="G5" s="5" t="inlineStr">
        <is>
          <t>特別豪雪地帯</t>
        </is>
      </c>
      <c r="H5" s="5" t="inlineStr">
        <is>
          <t>豪雪地帯</t>
        </is>
      </c>
    </row>
    <row r="6">
      <c r="A6" s="6" t="inlineStr">
        <is>
          <t>東川町</t>
        </is>
      </c>
      <c r="B6" s="7" t="inlineStr">
        <is>
          <t>―</t>
        </is>
      </c>
      <c r="C6" s="7" t="inlineStr">
        <is>
          <t>○</t>
        </is>
      </c>
      <c r="D6" s="7" t="inlineStr">
        <is>
          <t>―</t>
        </is>
      </c>
      <c r="E6" s="7" t="inlineStr">
        <is>
          <t>―</t>
        </is>
      </c>
      <c r="F6" s="7" t="inlineStr">
        <is>
          <t>―</t>
        </is>
      </c>
      <c r="G6" s="7" t="inlineStr">
        <is>
          <t>○</t>
        </is>
      </c>
      <c r="H6" s="7" t="inlineStr">
        <is>
          <t>○</t>
        </is>
      </c>
    </row>
    <row r="7">
      <c r="A7" s="6" t="inlineStr">
        <is>
          <t>美瑛町</t>
        </is>
      </c>
      <c r="B7" s="7" t="inlineStr">
        <is>
          <t>○</t>
        </is>
      </c>
      <c r="C7" s="7" t="inlineStr">
        <is>
          <t>○</t>
        </is>
      </c>
      <c r="D7" s="7" t="inlineStr">
        <is>
          <t>―</t>
        </is>
      </c>
      <c r="E7" s="7" t="inlineStr">
        <is>
          <t>―</t>
        </is>
      </c>
      <c r="F7" s="7" t="inlineStr">
        <is>
          <t>―</t>
        </is>
      </c>
      <c r="G7" s="7" t="inlineStr">
        <is>
          <t>○</t>
        </is>
      </c>
      <c r="H7" s="7" t="inlineStr">
        <is>
          <t>○</t>
        </is>
      </c>
    </row>
    <row r="8">
      <c r="A8" s="6" t="inlineStr">
        <is>
          <t>東神楽町</t>
        </is>
      </c>
      <c r="B8" s="7" t="inlineStr">
        <is>
          <t>―</t>
        </is>
      </c>
      <c r="C8" s="7" t="inlineStr">
        <is>
          <t>○</t>
        </is>
      </c>
      <c r="D8" s="7" t="inlineStr">
        <is>
          <t>―</t>
        </is>
      </c>
      <c r="E8" s="7" t="inlineStr">
        <is>
          <t>―</t>
        </is>
      </c>
      <c r="F8" s="7" t="inlineStr">
        <is>
          <t>―</t>
        </is>
      </c>
      <c r="G8" s="7" t="inlineStr">
        <is>
          <t>―</t>
        </is>
      </c>
      <c r="H8" s="7" t="inlineStr">
        <is>
          <t>○</t>
        </is>
      </c>
    </row>
    <row r="9" ht="26" customHeight="1">
      <c r="A9" s="4" t="inlineStr">
        <is>
          <t>注）○は当該市町村が指定地域を有すること、△は市町村内の一部の区域が指定されていることを示す。豪雪地帯は道内全市町村が指定されている。3町とも辺地を有し、東川町・美瑛町は特別豪雪地帯を有する。これにより3町とも介護報酬上の「中山間地域等」（中山間地域等小規模事業所加算・中山間地域等居住者サービス提供加算の対象）に該当する見込みである。</t>
        </is>
      </c>
    </row>
    <row r="11">
      <c r="A11" s="8" t="inlineStr">
        <is>
          <t>（2）特定地域の基準②（75歳以上人口密度）による3町の位置</t>
        </is>
      </c>
    </row>
    <row r="12">
      <c r="A12" s="5" t="inlineStr">
        <is>
          <t>町</t>
        </is>
      </c>
      <c r="B12" s="5" t="inlineStr">
        <is>
          <t>面積（km²）</t>
        </is>
      </c>
      <c r="C12" s="5" t="inlineStr">
        <is>
          <t>5人／km²の閾値（人）</t>
        </is>
      </c>
      <c r="D12" s="5" t="inlineStr">
        <is>
          <t>75歳以上人口（推計）</t>
        </is>
      </c>
      <c r="E12" s="5" t="inlineStr">
        <is>
          <t>密度（人／km²）</t>
        </is>
      </c>
      <c r="F12" s="5" t="inlineStr">
        <is>
          <t>基準②の判定</t>
        </is>
      </c>
    </row>
    <row r="13">
      <c r="A13" s="6" t="inlineStr">
        <is>
          <t>美瑛町</t>
        </is>
      </c>
      <c r="B13" s="27" t="n">
        <v>676.78</v>
      </c>
      <c r="C13" s="27" t="n">
        <v>3384</v>
      </c>
      <c r="D13" s="27" t="n">
        <v>2065</v>
      </c>
      <c r="E13" s="27" t="n">
        <v>3.05</v>
      </c>
      <c r="F13" s="27" t="inlineStr">
        <is>
          <t>該当する見込み</t>
        </is>
      </c>
    </row>
    <row r="14">
      <c r="A14" s="6" t="inlineStr">
        <is>
          <t>東川町</t>
        </is>
      </c>
      <c r="B14" s="27" t="n">
        <v>247.3</v>
      </c>
      <c r="C14" s="27" t="n">
        <v>1236</v>
      </c>
      <c r="D14" s="27" t="n">
        <v>1528</v>
      </c>
      <c r="E14" s="27" t="n">
        <v>6.18</v>
      </c>
      <c r="F14" s="27" t="inlineStr">
        <is>
          <t>非該当の見込み</t>
        </is>
      </c>
    </row>
    <row r="15">
      <c r="A15" s="6" t="inlineStr">
        <is>
          <t>東神楽町</t>
        </is>
      </c>
      <c r="B15" s="27" t="n">
        <v>68.5</v>
      </c>
      <c r="C15" s="27" t="n">
        <v>342</v>
      </c>
      <c r="D15" s="27" t="n">
        <v>1548</v>
      </c>
      <c r="E15" s="27" t="n">
        <v>22.6</v>
      </c>
      <c r="F15" s="27" t="inlineStr">
        <is>
          <t>非該当</t>
        </is>
      </c>
    </row>
    <row r="16" ht="26" customHeight="1">
      <c r="A16" s="4" t="inlineStr">
        <is>
          <t>注1）75歳以上人口は見える化A3（後期高齢者数）の広域連合計（令和2年5,167人）を第9期計画の町別高齢化率で按分した推計値。3町の確定値による検証を要する。注2）原典は令和2年国勢調査及び社人研「日本の地域別将来推計人口 令和5(2023)年推計」に基づくこととしている。注3）基準②のもう一方の要件「75歳以上人口1,000人未満かつ減少」は、広域連合の75歳以上人口が令和2年5,167人から令和7年5,701人へ10.3％増加しているため、3町とも該当しないと考えられる。</t>
        </is>
      </c>
    </row>
    <row r="18">
      <c r="A18" s="8" t="inlineStr">
        <is>
          <t>（3）特定地域の基準の3段階構造</t>
        </is>
      </c>
    </row>
    <row r="19">
      <c r="A19" s="5" t="inlineStr">
        <is>
          <t>段階</t>
        </is>
      </c>
      <c r="B19" s="5" t="inlineStr">
        <is>
          <t>基準</t>
        </is>
      </c>
      <c r="C19" s="5" t="inlineStr">
        <is>
          <t>指定の単位</t>
        </is>
      </c>
      <c r="D19" s="5" t="inlineStr">
        <is>
          <t>大雪地区広域連合への適用</t>
        </is>
      </c>
    </row>
    <row r="20">
      <c r="A20" s="6" t="inlineStr">
        <is>
          <t>①</t>
        </is>
      </c>
      <c r="B20" s="7" t="inlineStr">
        <is>
          <t>特別地域加算・離島等相当サービスの対象地域（市町村の全部指定・一部指定いずれも含む）</t>
        </is>
      </c>
      <c r="C20" s="7" t="inlineStr">
        <is>
          <t>市町村の全部又は一部</t>
        </is>
      </c>
      <c r="D20" s="7" t="inlineStr">
        <is>
          <t>東川町・美瑛町は特別豪雪地帯を有し、美瑛町は過疎地域でもあるため対象地域である可能性がある。告示の確認を要する。</t>
        </is>
      </c>
    </row>
    <row r="21">
      <c r="A21" s="6" t="inlineStr">
        <is>
          <t>②</t>
        </is>
      </c>
      <c r="B21" s="7" t="inlineStr">
        <is>
          <t>①に該当しない場合、75歳以上人口密度5人／km²未満又は75歳以上人口1,000人未満かつ減少</t>
        </is>
      </c>
      <c r="C21" s="7" t="inlineStr">
        <is>
          <t>市町村の全域</t>
        </is>
      </c>
      <c r="D21" s="7" t="inlineStr">
        <is>
          <t>美瑛町は密度要件に該当する見込み。</t>
        </is>
      </c>
    </row>
    <row r="22">
      <c r="A22" s="6" t="inlineStr">
        <is>
          <t>③</t>
        </is>
      </c>
      <c r="B22" s="7" t="inlineStr">
        <is>
          <t>①②に該当しない場合でも、⑴市町村内の一部地域が②の基準に該当する地域、⑵特定のサービス類型の事業所が地域に存在しない等、サービス基盤の維持が困難である地域</t>
        </is>
      </c>
      <c r="C22" s="7" t="inlineStr">
        <is>
          <t>市町村の全域又は一部地域（旧市町村単位、行政区単位、日常生活圏域単位）</t>
        </is>
      </c>
      <c r="D22" s="7" t="inlineStr">
        <is>
          <t>全28サービス種別のうち11種別で域内事業所がゼロであり⑵に直接該当する。①②に該当しない町についても指定の対象となり得る。</t>
        </is>
      </c>
    </row>
    <row r="23" ht="26" customHeight="1">
      <c r="A23" s="4" t="inlineStr">
        <is>
          <t>注）指定は「市町村が特定地域としての指定の要否を検討し、その意向を踏まえて都道府県が対象地域を定める」こととされている。市町村側の意向表明が起点となる。</t>
        </is>
      </c>
    </row>
  </sheetData>
  <mergeCells count="5">
    <mergeCell ref="A1:M1"/>
    <mergeCell ref="A23:M23"/>
    <mergeCell ref="A9:M9"/>
    <mergeCell ref="A2:M2"/>
    <mergeCell ref="A16:M16"/>
  </mergeCells>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図28　美瑛町の公共交通とスクールバスの運行状況</t>
        </is>
      </c>
    </row>
    <row r="2" ht="16" customHeight="1">
      <c r="A2" s="2" t="inlineStr">
        <is>
          <t>出典：美瑛町過疎地域持続的発展市町村計画（令和3年度〜令和7年度）。第10期基本指針案の別表 一「特に訪問・通所困難地域」への該当性の検討資料。</t>
        </is>
      </c>
    </row>
    <row r="4">
      <c r="A4" s="8" t="inlineStr">
        <is>
          <t>（1）スクールバス路線別乗車人員（人／年）</t>
        </is>
      </c>
    </row>
    <row r="5">
      <c r="A5" s="5" t="inlineStr">
        <is>
          <t>路線名</t>
        </is>
      </c>
      <c r="B5" s="5" t="inlineStr">
        <is>
          <t>主たる通過集落</t>
        </is>
      </c>
      <c r="C5" s="5" t="inlineStr">
        <is>
          <t>平成30年度</t>
        </is>
      </c>
      <c r="D5" s="5" t="inlineStr">
        <is>
          <t>令和元年度</t>
        </is>
      </c>
      <c r="E5" s="5" t="inlineStr">
        <is>
          <t>令和2年度</t>
        </is>
      </c>
    </row>
    <row r="6">
      <c r="A6" s="6" t="inlineStr">
        <is>
          <t>俵真布線</t>
        </is>
      </c>
      <c r="B6" s="9" t="inlineStr">
        <is>
          <t>美瑛〜朗根内〜俵真布</t>
        </is>
      </c>
      <c r="C6" s="9" t="n">
        <v>7554</v>
      </c>
      <c r="D6" s="9" t="n">
        <v>7453</v>
      </c>
      <c r="E6" s="9" t="n">
        <v>8188</v>
      </c>
    </row>
    <row r="7">
      <c r="A7" s="6" t="inlineStr">
        <is>
          <t>宇莫別線</t>
        </is>
      </c>
      <c r="B7" s="9" t="inlineStr">
        <is>
          <t>美瑛〜下宇莫別〜上宇莫別</t>
        </is>
      </c>
      <c r="C7" s="9" t="n">
        <v>5215</v>
      </c>
      <c r="D7" s="9" t="n">
        <v>4714</v>
      </c>
      <c r="E7" s="9" t="n">
        <v>6165</v>
      </c>
    </row>
    <row r="8">
      <c r="A8" s="6" t="inlineStr">
        <is>
          <t>二股線</t>
        </is>
      </c>
      <c r="B8" s="9" t="inlineStr">
        <is>
          <t>美瑛〜ルベシベ〜二股</t>
        </is>
      </c>
      <c r="C8" s="9" t="n">
        <v>6531</v>
      </c>
      <c r="D8" s="9" t="n">
        <v>5795</v>
      </c>
      <c r="E8" s="9" t="n">
        <v>6268</v>
      </c>
    </row>
    <row r="9">
      <c r="A9" s="6" t="inlineStr">
        <is>
          <t>美田・五稜線</t>
        </is>
      </c>
      <c r="B9" s="9" t="inlineStr">
        <is>
          <t>美瑛〜美田〜五稜</t>
        </is>
      </c>
      <c r="C9" s="9" t="n">
        <v>4362</v>
      </c>
      <c r="D9" s="9" t="n">
        <v>4059</v>
      </c>
      <c r="E9" s="9" t="n">
        <v>4817</v>
      </c>
    </row>
    <row r="10">
      <c r="A10" s="6" t="inlineStr">
        <is>
          <t>旭線</t>
        </is>
      </c>
      <c r="B10" s="9" t="inlineStr">
        <is>
          <t>美瑛〜北瑛〜旭</t>
        </is>
      </c>
      <c r="C10" s="9" t="n">
        <v>5403</v>
      </c>
      <c r="D10" s="9" t="n">
        <v>5025</v>
      </c>
      <c r="E10" s="9" t="n">
        <v>4612</v>
      </c>
    </row>
    <row r="11">
      <c r="A11" s="6" t="inlineStr">
        <is>
          <t>置杵牛線</t>
        </is>
      </c>
      <c r="B11" s="9" t="inlineStr">
        <is>
          <t>美瑛〜置杵牛</t>
        </is>
      </c>
      <c r="C11" s="9" t="n">
        <v>3177</v>
      </c>
      <c r="D11" s="9" t="n">
        <v>2245</v>
      </c>
      <c r="E11" s="9" t="n">
        <v>2888</v>
      </c>
    </row>
    <row r="12">
      <c r="A12" s="6" t="inlineStr">
        <is>
          <t>水沢線</t>
        </is>
      </c>
      <c r="B12" s="9" t="inlineStr">
        <is>
          <t>美瑛〜春日台〜千代田</t>
        </is>
      </c>
      <c r="C12" s="9" t="n">
        <v>3224</v>
      </c>
      <c r="D12" s="9" t="n">
        <v>2683</v>
      </c>
      <c r="E12" s="9" t="n">
        <v>2643</v>
      </c>
    </row>
    <row r="13">
      <c r="A13" s="6" t="inlineStr">
        <is>
          <t>美馬牛線</t>
        </is>
      </c>
      <c r="B13" s="9" t="inlineStr">
        <is>
          <t>美瑛〜美馬牛</t>
        </is>
      </c>
      <c r="C13" s="9" t="n">
        <v>3652</v>
      </c>
      <c r="D13" s="9" t="n">
        <v>2948</v>
      </c>
      <c r="E13" s="9" t="n">
        <v>2408</v>
      </c>
    </row>
    <row r="14" ht="26" customHeight="1">
      <c r="A14" s="4" t="inlineStr">
        <is>
          <t>注）美瑛町過疎地域持続的発展市町村計画は「町内には、国鉄バスの路線廃止により、昭和60年から8路線でスクールバスの運行が開始され、平成23年からは、地域の利便性を図ることを目的に、10路線が運行されている。今日では、学校の統廃合による児童生徒の遠距離通学、高齢者の通院や日常の買い物など交通弱者の貴重な公共交通として、スクールバスは欠くことのできない交通手段となっている。」と記載している。すなわち市街地・周辺地区以外の集落には定期路線バスがない。うち朗根内地区を通過する俵真布線の乗車人員が10路線中最多である。</t>
        </is>
      </c>
    </row>
    <row r="16">
      <c r="A16" s="8" t="inlineStr">
        <is>
          <t>（2）公共交通と冬期の道路状況</t>
        </is>
      </c>
    </row>
    <row r="17">
      <c r="A17" s="5" t="inlineStr">
        <is>
          <t>区分</t>
        </is>
      </c>
      <c r="B17" s="5" t="inlineStr">
        <is>
          <t>内容</t>
        </is>
      </c>
      <c r="C17" s="5" t="inlineStr">
        <is>
          <t>訪問・通所困難地域の判定への意味</t>
        </is>
      </c>
    </row>
    <row r="18">
      <c r="A18" s="6" t="inlineStr">
        <is>
          <t>鉄道</t>
        </is>
      </c>
      <c r="B18" s="7" t="inlineStr">
        <is>
          <t>ＪＲ富良野線　美瑛〜旭川間1日19往復、美瑛〜富良野間1日12往復。町内に美瑛・美馬牛・北美瑛の3駅</t>
        </is>
      </c>
      <c r="C18" s="7" t="inlineStr">
        <is>
          <t>鉄道駅があるのは市街地・周辺地区と美馬牛地区のみ</t>
        </is>
      </c>
    </row>
    <row r="19">
      <c r="A19" s="6" t="inlineStr">
        <is>
          <t>民間バス</t>
        </is>
      </c>
      <c r="B19" s="7" t="inlineStr">
        <is>
          <t>白金温泉〜美瑛〜旭川間の1系統</t>
        </is>
      </c>
      <c r="C19" s="7" t="inlineStr">
        <is>
          <t>朗根内地区・旭・北西地区・美馬牛地区は経路上にない</t>
        </is>
      </c>
    </row>
    <row r="20">
      <c r="A20" s="6" t="inlineStr">
        <is>
          <t>スクールバス</t>
        </is>
      </c>
      <c r="B20" s="7" t="inlineStr">
        <is>
          <t>国鉄バスの路線廃止により昭和60年から運行。現在10路線</t>
        </is>
      </c>
      <c r="C20" s="7" t="inlineStr">
        <is>
          <t>定期路線バスの代替であり、高齢者の通院・買物の手段となっている</t>
        </is>
      </c>
    </row>
    <row r="21">
      <c r="A21" s="6" t="inlineStr">
        <is>
          <t>冬期の除雪</t>
        </is>
      </c>
      <c r="B21" s="7" t="inlineStr">
        <is>
          <t>道道7路線99.8kmで除雪率88％、町道414路線346.6kmで除雪率52.9％、歩道51路線39.60kmで除雪率51.0％</t>
        </is>
      </c>
      <c r="C21" s="7" t="inlineStr">
        <is>
          <t>町道の約47％は除雪されない。冬期のアクセスが制約される</t>
        </is>
      </c>
    </row>
    <row r="22">
      <c r="A22" s="6" t="inlineStr">
        <is>
          <t>今後の方針</t>
        </is>
      </c>
      <c r="B22" s="7" t="inlineStr">
        <is>
          <t>「走行距離や耐用年数に応じたスクールバスの計画的な更新、デマンド型交通を含めた輸送サービスの充実を図る必要がある」</t>
        </is>
      </c>
      <c r="C22" s="7" t="inlineStr">
        <is>
          <t>美瑛町自身がデマンド型交通の導入を課題としている</t>
        </is>
      </c>
    </row>
    <row r="25">
      <c r="A25" s="8" t="inlineStr">
        <is>
          <t>（3）美瑛町4地区の状況と判定</t>
        </is>
      </c>
    </row>
    <row r="26">
      <c r="A26" s="5" t="inlineStr">
        <is>
          <t>地区</t>
        </is>
      </c>
      <c r="B26" s="5" t="inlineStr">
        <is>
          <t>人口</t>
        </is>
      </c>
      <c r="C26" s="5" t="inlineStr">
        <is>
          <t>高齢者人口</t>
        </is>
      </c>
      <c r="D26" s="5" t="inlineStr">
        <is>
          <t>高齢化率</t>
        </is>
      </c>
      <c r="E26" s="5" t="inlineStr">
        <is>
          <t>鉄道駅</t>
        </is>
      </c>
      <c r="F26" s="5" t="inlineStr">
        <is>
          <t>民間バス</t>
        </is>
      </c>
      <c r="G26" s="5" t="inlineStr">
        <is>
          <t>スクールバス</t>
        </is>
      </c>
      <c r="H26" s="5" t="inlineStr">
        <is>
          <t>判定</t>
        </is>
      </c>
    </row>
    <row r="27">
      <c r="A27" s="6" t="inlineStr">
        <is>
          <t>市街地・周辺地区</t>
        </is>
      </c>
      <c r="B27" s="9" t="n">
        <v>7869</v>
      </c>
      <c r="C27" s="9" t="inlineStr">
        <is>
          <t>―</t>
        </is>
      </c>
      <c r="D27" s="9" t="inlineStr">
        <is>
          <t>―</t>
        </is>
      </c>
      <c r="E27" s="9" t="inlineStr">
        <is>
          <t>あり</t>
        </is>
      </c>
      <c r="F27" s="9" t="inlineStr">
        <is>
          <t>あり</t>
        </is>
      </c>
      <c r="G27" s="9" t="inlineStr">
        <is>
          <t>―</t>
        </is>
      </c>
      <c r="H27" s="9" t="inlineStr">
        <is>
          <t>非該当</t>
        </is>
      </c>
    </row>
    <row r="28">
      <c r="A28" s="6" t="inlineStr">
        <is>
          <t>美馬牛地区</t>
        </is>
      </c>
      <c r="B28" s="9" t="inlineStr">
        <is>
          <t>―</t>
        </is>
      </c>
      <c r="C28" s="9" t="inlineStr">
        <is>
          <t>―</t>
        </is>
      </c>
      <c r="D28" s="9" t="inlineStr">
        <is>
          <t>―</t>
        </is>
      </c>
      <c r="E28" s="9" t="inlineStr">
        <is>
          <t>あり</t>
        </is>
      </c>
      <c r="F28" s="9" t="inlineStr">
        <is>
          <t>なし</t>
        </is>
      </c>
      <c r="G28" s="9" t="inlineStr">
        <is>
          <t>美馬牛線</t>
        </is>
      </c>
      <c r="H28" s="9" t="inlineStr">
        <is>
          <t>要確認</t>
        </is>
      </c>
    </row>
    <row r="29">
      <c r="A29" s="6" t="inlineStr">
        <is>
          <t>旭・北西地区</t>
        </is>
      </c>
      <c r="B29" s="9" t="n">
        <v>684</v>
      </c>
      <c r="C29" s="9" t="n">
        <v>308</v>
      </c>
      <c r="D29" s="9" t="inlineStr">
        <is>
          <t>45.0％</t>
        </is>
      </c>
      <c r="E29" s="9" t="inlineStr">
        <is>
          <t>なし</t>
        </is>
      </c>
      <c r="F29" s="9" t="inlineStr">
        <is>
          <t>なし</t>
        </is>
      </c>
      <c r="G29" s="9" t="inlineStr">
        <is>
          <t>旭線</t>
        </is>
      </c>
      <c r="H29" s="9" t="inlineStr">
        <is>
          <t>該当の可能性がある</t>
        </is>
      </c>
    </row>
    <row r="30">
      <c r="A30" s="6" t="inlineStr">
        <is>
          <t>朗根内地区</t>
        </is>
      </c>
      <c r="B30" s="9" t="n">
        <v>233</v>
      </c>
      <c r="C30" s="9" t="n">
        <v>82</v>
      </c>
      <c r="D30" s="9" t="inlineStr">
        <is>
          <t>―</t>
        </is>
      </c>
      <c r="E30" s="9" t="inlineStr">
        <is>
          <t>なし</t>
        </is>
      </c>
      <c r="F30" s="9" t="inlineStr">
        <is>
          <t>なし</t>
        </is>
      </c>
      <c r="G30" s="9" t="inlineStr">
        <is>
          <t>俵真布線</t>
        </is>
      </c>
      <c r="H30" s="9" t="inlineStr">
        <is>
          <t>該当の可能性が最も高い</t>
        </is>
      </c>
    </row>
    <row r="31" ht="26" customHeight="1">
      <c r="A31" s="4" t="inlineStr">
        <is>
          <t>注1）人口・高齢者人口は第9期計画 第1章第7節の掲載値。注2）判定を確定するには、区域内で訪問系・通所系サービスを提供する全事業所の運営規程における「通常の事業の実施地域」の収集を要する。居宅サービスは北海道、地域密着型サービスは広域連合が保有している。注3）特定地域の基準③は一部地域の指定を認めており、その範囲として旧市町村単位・行政区単位・日常生活圏域単位が挙げられている（図27）。訪問・通所困難地域として特定した地区を、そのまま特定地域として指定することを検討できる。</t>
        </is>
      </c>
    </row>
  </sheetData>
  <mergeCells count="4">
    <mergeCell ref="A31:M31"/>
    <mergeCell ref="A2:M2"/>
    <mergeCell ref="A14:M14"/>
    <mergeCell ref="A1:M1"/>
  </mergeCells>
  <pageMargins left="0.75" right="0.75" top="1" bottom="1" header="0.5" footer="0.5"/>
  <drawing xmlns:r="http://schemas.openxmlformats.org/officeDocument/2006/relationships" r:id="rId1"/>
</worksheet>
</file>

<file path=xl/worksheets/sheet31.xml><?xml version="1.0" encoding="utf-8"?>
<worksheet xmlns="http://schemas.openxmlformats.org/spreadsheetml/2006/main">
  <sheetPr>
    <outlinePr summaryBelow="1" summaryRight="1"/>
    <pageSetUpPr/>
  </sheetPr>
  <dimension ref="A1:M3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図29　保険料の水準と管内比較</t>
        </is>
      </c>
    </row>
    <row r="2" ht="16" customHeight="1">
      <c r="A2" s="2" t="inlineStr">
        <is>
          <t>出典：北海道『第9期介護保険料（第1号被保険者分）各保険者の保険料等』／介護保険事業状況報告等から算定した推計値。</t>
        </is>
      </c>
    </row>
    <row r="4">
      <c r="A4" s="8" t="inlineStr">
        <is>
          <t>（1）必要保険料月額と条例上の基準額の対比（第9期）</t>
        </is>
      </c>
    </row>
    <row r="5">
      <c r="A5" s="5" t="inlineStr">
        <is>
          <t>年度</t>
        </is>
      </c>
      <c r="B5" s="5" t="inlineStr">
        <is>
          <t>必要保険料月額（推計）</t>
        </is>
      </c>
      <c r="C5" s="5" t="inlineStr">
        <is>
          <t>条例上の基準額</t>
        </is>
      </c>
      <c r="D5" s="5" t="inlineStr">
        <is>
          <t>差</t>
        </is>
      </c>
    </row>
    <row r="6">
      <c r="A6" s="6" t="inlineStr">
        <is>
          <t>令和6年度</t>
        </is>
      </c>
      <c r="B6" s="9" t="n">
        <v>6063</v>
      </c>
      <c r="C6" s="9" t="n">
        <v>6400</v>
      </c>
      <c r="D6" s="9" t="n">
        <v>337</v>
      </c>
    </row>
    <row r="7">
      <c r="A7" s="6" t="inlineStr">
        <is>
          <t>令和7年度</t>
        </is>
      </c>
      <c r="B7" s="9" t="n">
        <v>6352</v>
      </c>
      <c r="C7" s="9" t="n">
        <v>6400</v>
      </c>
      <c r="D7" s="9" t="n">
        <v>48</v>
      </c>
    </row>
    <row r="8" ht="26" customHeight="1">
      <c r="A8" s="4" t="inlineStr">
        <is>
          <t>注）必要保険料月額は当該年度の保険給付費及び地域支援事業費から逆算した概算値。第7期は累計で月額159円、第8期は同66円の剰余であり、第9期は令和6・7年度の累計で月額385円（約42百万円）の剰余となる見込み。基金残高及び取崩実績と併せて確認する必要がある。</t>
        </is>
      </c>
    </row>
    <row r="10">
      <c r="A10" s="8" t="inlineStr">
        <is>
          <t>（2）上川管内21保険者の第9期保険料基準額（月額）</t>
        </is>
      </c>
    </row>
    <row r="11">
      <c r="A11" s="5" t="inlineStr">
        <is>
          <t>保険者</t>
        </is>
      </c>
      <c r="B11" s="5" t="inlineStr">
        <is>
          <t>月額基準額（円）</t>
        </is>
      </c>
    </row>
    <row r="12">
      <c r="A12" s="6" t="inlineStr">
        <is>
          <t>当麻町</t>
        </is>
      </c>
      <c r="B12" s="9" t="n">
        <v>6800</v>
      </c>
    </row>
    <row r="13">
      <c r="A13" s="6" t="inlineStr">
        <is>
          <t>愛別町</t>
        </is>
      </c>
      <c r="B13" s="9" t="n">
        <v>6706</v>
      </c>
    </row>
    <row r="14">
      <c r="A14" s="6" t="inlineStr">
        <is>
          <t>鷹栖町</t>
        </is>
      </c>
      <c r="B14" s="9" t="n">
        <v>6700</v>
      </c>
    </row>
    <row r="15">
      <c r="A15" s="6" t="inlineStr">
        <is>
          <t>中川町</t>
        </is>
      </c>
      <c r="B15" s="9" t="n">
        <v>6550</v>
      </c>
    </row>
    <row r="16">
      <c r="A16" s="6" t="inlineStr">
        <is>
          <t>大雪地区広域連合</t>
        </is>
      </c>
      <c r="B16" s="9" t="n">
        <v>6400</v>
      </c>
    </row>
    <row r="17">
      <c r="A17" s="6" t="inlineStr">
        <is>
          <t>比布町</t>
        </is>
      </c>
      <c r="B17" s="9" t="n">
        <v>6300</v>
      </c>
    </row>
    <row r="18">
      <c r="A18" s="6" t="inlineStr">
        <is>
          <t>旭川市</t>
        </is>
      </c>
      <c r="B18" s="9" t="n">
        <v>6190</v>
      </c>
    </row>
    <row r="19">
      <c r="A19" s="6" t="inlineStr">
        <is>
          <t>富良野市</t>
        </is>
      </c>
      <c r="B19" s="9" t="n">
        <v>6000</v>
      </c>
    </row>
    <row r="20">
      <c r="A20" s="6" t="inlineStr">
        <is>
          <t>上川町</t>
        </is>
      </c>
      <c r="B20" s="9" t="n">
        <v>6000</v>
      </c>
    </row>
    <row r="21">
      <c r="A21" s="6" t="inlineStr">
        <is>
          <t>剣淵町</t>
        </is>
      </c>
      <c r="B21" s="9" t="n">
        <v>6000</v>
      </c>
    </row>
    <row r="22">
      <c r="A22" s="6" t="inlineStr">
        <is>
          <t>下川町</t>
        </is>
      </c>
      <c r="B22" s="9" t="n">
        <v>6000</v>
      </c>
    </row>
    <row r="23">
      <c r="A23" s="6" t="inlineStr">
        <is>
          <t>和寒町</t>
        </is>
      </c>
      <c r="B23" s="9" t="n">
        <v>5950</v>
      </c>
    </row>
    <row r="24">
      <c r="A24" s="6" t="inlineStr">
        <is>
          <t>美深町</t>
        </is>
      </c>
      <c r="B24" s="9" t="n">
        <v>5900</v>
      </c>
    </row>
    <row r="25">
      <c r="A25" s="6" t="inlineStr">
        <is>
          <t>中富良野町</t>
        </is>
      </c>
      <c r="B25" s="9" t="n">
        <v>5700</v>
      </c>
    </row>
    <row r="26">
      <c r="A26" s="6" t="inlineStr">
        <is>
          <t>南富良野町</t>
        </is>
      </c>
      <c r="B26" s="9" t="n">
        <v>5700</v>
      </c>
    </row>
    <row r="27">
      <c r="A27" s="6" t="inlineStr">
        <is>
          <t>名寄市</t>
        </is>
      </c>
      <c r="B27" s="9" t="n">
        <v>5400</v>
      </c>
    </row>
    <row r="28">
      <c r="A28" s="6" t="inlineStr">
        <is>
          <t>上富良野町</t>
        </is>
      </c>
      <c r="B28" s="9" t="n">
        <v>5400</v>
      </c>
    </row>
    <row r="29">
      <c r="A29" s="6" t="inlineStr">
        <is>
          <t>占冠村</t>
        </is>
      </c>
      <c r="B29" s="9" t="n">
        <v>5100</v>
      </c>
    </row>
    <row r="30">
      <c r="A30" s="6" t="inlineStr">
        <is>
          <t>士別市</t>
        </is>
      </c>
      <c r="B30" s="9" t="n">
        <v>5025</v>
      </c>
    </row>
    <row r="31">
      <c r="A31" s="6" t="inlineStr">
        <is>
          <t>幌加内町</t>
        </is>
      </c>
      <c r="B31" s="9" t="n">
        <v>5000</v>
      </c>
    </row>
    <row r="32">
      <c r="A32" s="6" t="inlineStr">
        <is>
          <t>音威子府村</t>
        </is>
      </c>
      <c r="B32" s="9" t="n">
        <v>3600</v>
      </c>
    </row>
    <row r="33" ht="26" customHeight="1">
      <c r="A33" s="4" t="inlineStr">
        <is>
          <t>注）単純平均は約5,830円、中央値は6,000円。大雪地区広域連合の6,400円は高い方から5番目で、単純平均との差は約570円（約9.8％）。ただし人口規模等を加重していない単純比較である。</t>
        </is>
      </c>
    </row>
  </sheetData>
  <mergeCells count="4">
    <mergeCell ref="A33:M33"/>
    <mergeCell ref="A8:M8"/>
    <mergeCell ref="A2:M2"/>
    <mergeCell ref="A1:M1"/>
  </mergeCells>
  <pageMargins left="0.75" right="0.75" top="1" bottom="1" header="0.5" footer="0.5"/>
  <drawing xmlns:r="http://schemas.openxmlformats.org/officeDocument/2006/relationships" r:id="rId1"/>
</worksheet>
</file>

<file path=xl/worksheets/sheet3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0"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s>
  <sheetData>
    <row r="1" ht="24" customHeight="1">
      <c r="A1" s="1" t="inlineStr">
        <is>
          <t>図30　代表KPI16項目のデータ源の確保状況</t>
        </is>
      </c>
    </row>
    <row r="2" ht="16" customHeight="1">
      <c r="A2" s="2" t="inlineStr">
        <is>
          <t>出典：本計画 資料1（代表KPI16項目の定義）。令和8年7月29日の見える化システムの追加受領（W144・M2系列）によりH01・H13のデータ源が確定した。</t>
        </is>
      </c>
    </row>
    <row r="4">
      <c r="A4" s="8" t="inlineStr">
        <is>
          <t>（1）データ源の確保状況の内訳</t>
        </is>
      </c>
    </row>
    <row r="5">
      <c r="A5" s="5" t="inlineStr">
        <is>
          <t>区分</t>
        </is>
      </c>
      <c r="B5" s="5" t="inlineStr">
        <is>
          <t>項目数</t>
        </is>
      </c>
      <c r="C5" s="5" t="inlineStr">
        <is>
          <t>該当ID</t>
        </is>
      </c>
      <c r="D5" s="5" t="inlineStr">
        <is>
          <t>内容</t>
        </is>
      </c>
    </row>
    <row r="6">
      <c r="A6" s="6" t="inlineStr">
        <is>
          <t>確保（基準値算定済み）</t>
        </is>
      </c>
      <c r="B6" s="9" t="n">
        <v>6</v>
      </c>
      <c r="C6" s="9" t="inlineStr">
        <is>
          <t>H01・H02・H04・H05・H13・H15</t>
        </is>
      </c>
      <c r="D6" s="9" t="inlineStr">
        <is>
          <t>第1回委員会の資料に基準値を掲載できる</t>
        </is>
      </c>
    </row>
    <row r="7">
      <c r="A7" s="6" t="inlineStr">
        <is>
          <t>確保（第10期調査の受領待ち）</t>
        </is>
      </c>
      <c r="B7" s="9" t="n">
        <v>2</v>
      </c>
      <c r="C7" s="9" t="inlineStr">
        <is>
          <t>H06・H11</t>
        </is>
      </c>
      <c r="D7" s="9" t="inlineStr">
        <is>
          <t>業務仕様書の対象4調査に含まれる。集計データの受領後に基準値を算定する</t>
        </is>
      </c>
    </row>
    <row r="8">
      <c r="A8" s="6" t="inlineStr">
        <is>
          <t>様式整備が必要</t>
        </is>
      </c>
      <c r="B8" s="9" t="n">
        <v>2</v>
      </c>
      <c r="C8" s="9" t="inlineStr">
        <is>
          <t>H09・H10</t>
        </is>
      </c>
      <c r="D8" s="9" t="inlineStr">
        <is>
          <t>3町の地域包括支援センターの記録様式の統一が前提。令和10年度から実測</t>
        </is>
      </c>
    </row>
    <row r="9">
      <c r="A9" s="6" t="inlineStr">
        <is>
          <t>データ源が未確保</t>
        </is>
      </c>
      <c r="B9" s="9" t="n">
        <v>4</v>
      </c>
      <c r="C9" s="9" t="inlineStr">
        <is>
          <t>H07・H08・H12・H16</t>
        </is>
      </c>
      <c r="D9" s="9" t="inlineStr">
        <is>
          <t>在宅介護実態調査・事業所実態調査が業務仕様書の対象外。業務範囲の決定又は代理指標への振替が必要</t>
        </is>
      </c>
    </row>
    <row r="10">
      <c r="A10" s="6" t="inlineStr">
        <is>
          <t>抽出可否の確認が必要</t>
        </is>
      </c>
      <c r="B10" s="9" t="n">
        <v>2</v>
      </c>
      <c r="C10" s="9" t="inlineStr">
        <is>
          <t>H03・H14</t>
        </is>
      </c>
      <c r="D10" s="9" t="inlineStr">
        <is>
          <t>H03は認定台帳からの新規認定者数の抽出、H14は介護人材実態調査の採用者数・退職者数からの算定</t>
        </is>
      </c>
    </row>
    <row r="11" ht="26" customHeight="1">
      <c r="A11" s="4" t="inlineStr">
        <is>
          <t>注）令和9年度当初から実測できる見通しが立っているのは8項目（H01・H02・H04・H05・H06・H11・H13・H15）。うちH01（性・年齢調整済み要介護2以上認定率＝見える化W144）とH13（職種別従事者数の推移＝見える化M2系列）は、令和8年7月29日の追加受領により確定した。残る8項目は、業務範囲の決定（4項目）、様式整備（2項目）、抽出可否の確認（2項目）を要する。</t>
        </is>
      </c>
    </row>
  </sheetData>
  <mergeCells count="3">
    <mergeCell ref="A2:M2"/>
    <mergeCell ref="A11:M11"/>
    <mergeCell ref="A1:M1"/>
  </mergeCells>
  <pageMargins left="0.75" right="0.75" top="1" bottom="1" header="0.5" footer="0.5"/>
  <drawing xmlns:r="http://schemas.openxmlformats.org/officeDocument/2006/relationships" r:id="rId1"/>
</worksheet>
</file>

<file path=xl/worksheets/sheet33.xml><?xml version="1.0" encoding="utf-8"?>
<worksheet xmlns="http://schemas.openxmlformats.org/spreadsheetml/2006/main">
  <sheetPr>
    <outlinePr summaryBelow="1" summaryRight="1"/>
    <pageSetUpPr/>
  </sheetPr>
  <dimension ref="A1:M148"/>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133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9" t="inlineStr">
        <is>
          <t>通し番号</t>
        </is>
      </c>
      <c r="C6" s="29" t="inlineStr">
        <is>
          <t>「図N-M」。Nは図表集のシート単位（図1〜図19）、Mはシート内の掲載順。本文・図表集・修正指示書で同じ番号を用いる</t>
        </is>
      </c>
    </row>
    <row r="7" ht="30" customHeight="1">
      <c r="A7" s="6" t="inlineStr">
        <is>
          <t>2</t>
        </is>
      </c>
      <c r="B7" s="29" t="inlineStr">
        <is>
          <t>本文のキャプション</t>
        </is>
      </c>
      <c r="C7" s="29" t="inlineStr">
        <is>
          <t>第9期計画と同じく図の上に【　】で囲んで表示する。番号は【　】の前に置き「図1-1【人口の推移（大雪地区広域連合・構成3町）】」とする</t>
        </is>
      </c>
    </row>
    <row r="8" ht="30" customHeight="1">
      <c r="A8" s="6" t="inlineStr">
        <is>
          <t>3</t>
        </is>
      </c>
      <c r="B8" s="29" t="inlineStr">
        <is>
          <t>出典表記</t>
        </is>
      </c>
      <c r="C8" s="29" t="inlineStr">
        <is>
          <t>図の下に「資料：〜」の1行を右寄せで置く。第9期計画の体裁に合わせる</t>
        </is>
      </c>
    </row>
    <row r="9" ht="30" customHeight="1">
      <c r="A9" s="6" t="inlineStr">
        <is>
          <t>4</t>
        </is>
      </c>
      <c r="B9" s="29" t="inlineStr">
        <is>
          <t>掲載区分</t>
        </is>
      </c>
      <c r="C9" s="29" t="inlineStr">
        <is>
          <t>本文＝計画本文に掲載／資料編＝資料編に掲載／参考＝数値検証用で計画には掲載しない</t>
        </is>
      </c>
    </row>
    <row r="10" ht="30" customHeight="1">
      <c r="A10" s="6" t="inlineStr">
        <is>
          <t>5</t>
        </is>
      </c>
      <c r="B10" s="29" t="inlineStr">
        <is>
          <t>第9期の採番</t>
        </is>
      </c>
      <c r="C10" s="29"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30" t="inlineStr">
        <is>
          <t>図1-1</t>
        </is>
      </c>
      <c r="B14" s="29" t="inlineStr">
        <is>
          <t>【人口の推移（年齢4区分・大雪地区広域連合）】</t>
        </is>
      </c>
      <c r="C14" s="29" t="inlineStr">
        <is>
          <t>第2章第1節</t>
        </is>
      </c>
      <c r="D14" s="29" t="inlineStr">
        <is>
          <t>1 第9期策定時の基礎状況</t>
        </is>
      </c>
      <c r="E14" s="30" t="inlineStr">
        <is>
          <t>本文</t>
        </is>
      </c>
      <c r="F14" s="29" t="inlineStr">
        <is>
          <t>01_人口推移</t>
        </is>
      </c>
      <c r="G14" s="30" t="inlineStr">
        <is>
          <t>R4</t>
        </is>
      </c>
      <c r="H14" s="29" t="inlineStr">
        <is>
          <t>資料：住民基本台帳　各年10月1日現在</t>
        </is>
      </c>
      <c r="I14" s="29" t="inlineStr"/>
    </row>
    <row r="15" ht="26" customHeight="1">
      <c r="A15" s="30" t="inlineStr">
        <is>
          <t>図1-2</t>
        </is>
      </c>
      <c r="B15" s="29" t="inlineStr">
        <is>
          <t>【町別総人口の推移】</t>
        </is>
      </c>
      <c r="C15" s="29" t="inlineStr">
        <is>
          <t>第2章第1節</t>
        </is>
      </c>
      <c r="D15" s="29" t="inlineStr">
        <is>
          <t>1 第9期策定時の基礎状況</t>
        </is>
      </c>
      <c r="E15" s="30" t="inlineStr">
        <is>
          <t>本文</t>
        </is>
      </c>
      <c r="F15" s="29" t="inlineStr">
        <is>
          <t>01_人口推移</t>
        </is>
      </c>
      <c r="G15" s="30" t="inlineStr">
        <is>
          <t>R31</t>
        </is>
      </c>
      <c r="H15" s="29" t="inlineStr">
        <is>
          <t>資料：住民基本台帳　各年10月1日現在</t>
        </is>
      </c>
      <c r="I15" s="29" t="inlineStr"/>
    </row>
    <row r="16" ht="26" customHeight="1">
      <c r="A16" s="30" t="inlineStr">
        <is>
          <t>図2-1</t>
        </is>
      </c>
      <c r="B16" s="29" t="inlineStr">
        <is>
          <t>【高齢化率の推移】</t>
        </is>
      </c>
      <c r="C16" s="29" t="inlineStr">
        <is>
          <t>第2章第1節</t>
        </is>
      </c>
      <c r="D16" s="29" t="inlineStr">
        <is>
          <t>1 第9期策定時の基礎状況</t>
        </is>
      </c>
      <c r="E16" s="30" t="inlineStr">
        <is>
          <t>本文</t>
        </is>
      </c>
      <c r="F16" s="29" t="inlineStr">
        <is>
          <t>02_高齢化率推移</t>
        </is>
      </c>
      <c r="G16" s="30" t="inlineStr">
        <is>
          <t>A13</t>
        </is>
      </c>
      <c r="H16" s="29" t="inlineStr">
        <is>
          <t>資料：住民基本台帳　各年10月1日現在</t>
        </is>
      </c>
      <c r="I16" s="29" t="inlineStr"/>
    </row>
    <row r="17" ht="26" customHeight="1">
      <c r="A17" s="30" t="inlineStr">
        <is>
          <t>図3-1</t>
        </is>
      </c>
      <c r="B17" s="29" t="inlineStr">
        <is>
          <t>【高齢者を含む世帯の構成割合】</t>
        </is>
      </c>
      <c r="C17" s="29" t="inlineStr">
        <is>
          <t>第2章第1節</t>
        </is>
      </c>
      <c r="D17" s="29" t="inlineStr">
        <is>
          <t>1 第9期策定時の基礎状況</t>
        </is>
      </c>
      <c r="E17" s="30" t="inlineStr">
        <is>
          <t>本文</t>
        </is>
      </c>
      <c r="F17" s="29" t="inlineStr">
        <is>
          <t>03_高齢者世帯</t>
        </is>
      </c>
      <c r="G17" s="30" t="inlineStr">
        <is>
          <t>F24</t>
        </is>
      </c>
      <c r="H17" s="29" t="inlineStr">
        <is>
          <t>資料：国勢調査（平成22年・平成27年・令和2年）</t>
        </is>
      </c>
      <c r="I17" s="29" t="inlineStr"/>
    </row>
    <row r="18" ht="26" customHeight="1">
      <c r="A18" s="30" t="inlineStr">
        <is>
          <t>図3-2</t>
        </is>
      </c>
      <c r="B18" s="29" t="inlineStr">
        <is>
          <t>【高齢夫婦世帯数の定義差（町別）】</t>
        </is>
      </c>
      <c r="C18" s="29" t="inlineStr">
        <is>
          <t>第2章第1節</t>
        </is>
      </c>
      <c r="D18" s="29" t="inlineStr">
        <is>
          <t>1 第9期策定時の基礎状況</t>
        </is>
      </c>
      <c r="E18" s="30" t="inlineStr">
        <is>
          <t>参考</t>
        </is>
      </c>
      <c r="F18" s="29" t="inlineStr">
        <is>
          <t>03_高齢者世帯</t>
        </is>
      </c>
      <c r="G18" s="30" t="inlineStr">
        <is>
          <t>Q33</t>
        </is>
      </c>
      <c r="H18" s="29" t="inlineStr">
        <is>
          <t>資料：国勢調査（平成22年・平成27年・令和2年）</t>
        </is>
      </c>
      <c r="I18" s="29" t="inlineStr">
        <is>
          <t>見える化A8と第9期計画の差の検証用。本文には掲載せず、修正指示書C-6の確認資料とする</t>
        </is>
      </c>
    </row>
    <row r="19" ht="26" customHeight="1">
      <c r="A19" s="30" t="inlineStr">
        <is>
          <t>図3-3</t>
        </is>
      </c>
      <c r="B19" s="29" t="inlineStr">
        <is>
          <t>【高齢者夫婦世帯・高齢者単身世帯の推移（広域連合）】</t>
        </is>
      </c>
      <c r="C19" s="29" t="inlineStr">
        <is>
          <t>第2章第1節</t>
        </is>
      </c>
      <c r="D19" s="29" t="inlineStr">
        <is>
          <t>1 第9期策定時の基礎状況</t>
        </is>
      </c>
      <c r="E19" s="30" t="inlineStr">
        <is>
          <t>本文</t>
        </is>
      </c>
      <c r="F19" s="29" t="inlineStr">
        <is>
          <t>03_高齢者世帯</t>
        </is>
      </c>
      <c r="G19" s="30" t="inlineStr">
        <is>
          <t>F48</t>
        </is>
      </c>
      <c r="H19" s="29" t="inlineStr">
        <is>
          <t>資料：国勢調査（平成22年・平成27年・令和2年）</t>
        </is>
      </c>
      <c r="I19" s="29" t="inlineStr"/>
    </row>
    <row r="20" ht="26" customHeight="1">
      <c r="A20" s="30" t="inlineStr">
        <is>
          <t>図4-1</t>
        </is>
      </c>
      <c r="B20" s="29" t="inlineStr">
        <is>
          <t>【認定者数の推移（要介護度別）】</t>
        </is>
      </c>
      <c r="C20" s="29" t="inlineStr">
        <is>
          <t>第2章第1節</t>
        </is>
      </c>
      <c r="D20" s="29" t="inlineStr">
        <is>
          <t>1 第9期策定時の基礎状況</t>
        </is>
      </c>
      <c r="E20" s="30" t="inlineStr">
        <is>
          <t>本文</t>
        </is>
      </c>
      <c r="F20" s="29" t="inlineStr">
        <is>
          <t>04_認定者数推移</t>
        </is>
      </c>
      <c r="G20" s="30" t="inlineStr">
        <is>
          <t>A16</t>
        </is>
      </c>
      <c r="H20" s="29" t="inlineStr">
        <is>
          <t>資料：介護保険事業状況報告　各年9月分</t>
        </is>
      </c>
      <c r="I20" s="29" t="inlineStr"/>
    </row>
    <row r="21" ht="26" customHeight="1">
      <c r="A21" s="30" t="inlineStr">
        <is>
          <t>図5-1</t>
        </is>
      </c>
      <c r="B21" s="29" t="inlineStr">
        <is>
          <t>【認定者割合の比較（令和5年9月）】</t>
        </is>
      </c>
      <c r="C21" s="29" t="inlineStr">
        <is>
          <t>第2章第1節</t>
        </is>
      </c>
      <c r="D21" s="29" t="inlineStr">
        <is>
          <t>1 第9期策定時の基礎状況</t>
        </is>
      </c>
      <c r="E21" s="30" t="inlineStr">
        <is>
          <t>本文</t>
        </is>
      </c>
      <c r="F21" s="29" t="inlineStr">
        <is>
          <t>05_認定者割合</t>
        </is>
      </c>
      <c r="G21" s="30" t="inlineStr">
        <is>
          <t>A14</t>
        </is>
      </c>
      <c r="H21" s="29" t="inlineStr">
        <is>
          <t>資料：介護保険事業状況報告　令和5年9月分</t>
        </is>
      </c>
      <c r="I21" s="29" t="inlineStr"/>
    </row>
    <row r="22" ht="26" customHeight="1">
      <c r="A22" s="30" t="inlineStr">
        <is>
          <t>図6-1</t>
        </is>
      </c>
      <c r="B22" s="29" t="inlineStr">
        <is>
          <t>【出現率の推移】</t>
        </is>
      </c>
      <c r="C22" s="29" t="inlineStr">
        <is>
          <t>第2章第1節</t>
        </is>
      </c>
      <c r="D22" s="29" t="inlineStr">
        <is>
          <t>1 第9期策定時の基礎状況</t>
        </is>
      </c>
      <c r="E22" s="30" t="inlineStr">
        <is>
          <t>本文</t>
        </is>
      </c>
      <c r="F22" s="29" t="inlineStr">
        <is>
          <t>06_出現率推移</t>
        </is>
      </c>
      <c r="G22" s="30" t="inlineStr">
        <is>
          <t>R5</t>
        </is>
      </c>
      <c r="H22" s="29" t="inlineStr">
        <is>
          <t>資料：介護保険事業状況報告　各年9月分</t>
        </is>
      </c>
      <c r="I22" s="29" t="inlineStr"/>
    </row>
    <row r="23" ht="26" customHeight="1">
      <c r="A23" s="30" t="inlineStr">
        <is>
          <t>図6-2</t>
        </is>
      </c>
      <c r="B23" s="29" t="inlineStr">
        <is>
          <t>【町別出現率の推移】</t>
        </is>
      </c>
      <c r="C23" s="29" t="inlineStr">
        <is>
          <t>第2章第1節</t>
        </is>
      </c>
      <c r="D23" s="29" t="inlineStr">
        <is>
          <t>1 第9期策定時の基礎状況</t>
        </is>
      </c>
      <c r="E23" s="30" t="inlineStr">
        <is>
          <t>本文</t>
        </is>
      </c>
      <c r="F23" s="29" t="inlineStr">
        <is>
          <t>06_出現率推移</t>
        </is>
      </c>
      <c r="G23" s="30" t="inlineStr">
        <is>
          <t>R28</t>
        </is>
      </c>
      <c r="H23" s="29" t="inlineStr">
        <is>
          <t>資料：介護保険事業状況報告　各年9月分</t>
        </is>
      </c>
      <c r="I23" s="29" t="inlineStr">
        <is>
          <t>町別データが未受領のため第9期計画の掲載値のまま（修正指示書C-8）</t>
        </is>
      </c>
    </row>
    <row r="24" ht="26" customHeight="1">
      <c r="A24" s="30" t="inlineStr">
        <is>
          <t>図6-3</t>
        </is>
      </c>
      <c r="B24" s="29" t="inlineStr">
        <is>
          <t>【出現率の比較（令和5年 上川総合振興局管内）】</t>
        </is>
      </c>
      <c r="C24" s="29" t="inlineStr">
        <is>
          <t>第2章第1節</t>
        </is>
      </c>
      <c r="D24" s="29" t="inlineStr">
        <is>
          <t>1 第9期策定時の基礎状況</t>
        </is>
      </c>
      <c r="E24" s="30" t="inlineStr">
        <is>
          <t>本文</t>
        </is>
      </c>
      <c r="F24" s="29" t="inlineStr">
        <is>
          <t>06_出現率推移</t>
        </is>
      </c>
      <c r="G24" s="30" t="inlineStr">
        <is>
          <t>R51</t>
        </is>
      </c>
      <c r="H24" s="29" t="inlineStr">
        <is>
          <t>資料：介護保険事業状況報告　各年9月分</t>
        </is>
      </c>
      <c r="I24" s="29" t="inlineStr"/>
    </row>
    <row r="25" ht="26" customHeight="1">
      <c r="A25" s="30" t="inlineStr">
        <is>
          <t>図7-1</t>
        </is>
      </c>
      <c r="B25" s="29" t="inlineStr">
        <is>
          <t>【サービス区分別給付費の推移】</t>
        </is>
      </c>
      <c r="C25" s="29" t="inlineStr">
        <is>
          <t>第2章第2節</t>
        </is>
      </c>
      <c r="D25" s="29" t="inlineStr">
        <is>
          <t>保険給付や地域支援事業の実態把握と分析</t>
        </is>
      </c>
      <c r="E25" s="30" t="inlineStr">
        <is>
          <t>本文</t>
        </is>
      </c>
      <c r="F25" s="29" t="inlineStr">
        <is>
          <t>07_給付費推移</t>
        </is>
      </c>
      <c r="G25" s="30" t="inlineStr">
        <is>
          <t>J4</t>
        </is>
      </c>
      <c r="H25" s="29" t="inlineStr">
        <is>
          <t>資料：地域包括ケア「見える化」システム／介護保険特別会計決算</t>
        </is>
      </c>
      <c r="I25" s="29" t="inlineStr"/>
    </row>
    <row r="26" ht="26" customHeight="1">
      <c r="A26" s="30" t="inlineStr">
        <is>
          <t>図7-2</t>
        </is>
      </c>
      <c r="B26" s="29" t="inlineStr">
        <is>
          <t>【給付費の中長期見通し（自然体推計）】</t>
        </is>
      </c>
      <c r="C26" s="29" t="inlineStr">
        <is>
          <t>第2章第2節</t>
        </is>
      </c>
      <c r="D26" s="29" t="inlineStr">
        <is>
          <t>保険給付や地域支援事業の実態把握と分析</t>
        </is>
      </c>
      <c r="E26" s="30" t="inlineStr">
        <is>
          <t>本文</t>
        </is>
      </c>
      <c r="F26" s="29" t="inlineStr">
        <is>
          <t>07_給付費推移</t>
        </is>
      </c>
      <c r="G26" s="30" t="inlineStr">
        <is>
          <t>J27</t>
        </is>
      </c>
      <c r="H26" s="29" t="inlineStr">
        <is>
          <t>資料：地域包括ケア「見える化」システム／介護保険特別会計決算</t>
        </is>
      </c>
      <c r="I26" s="29" t="inlineStr">
        <is>
          <t>第2章第7節へ移す案もある。掲載箇所を委員会で決定する</t>
        </is>
      </c>
    </row>
    <row r="27" ht="26" customHeight="1">
      <c r="A27" s="30" t="inlineStr">
        <is>
          <t>図8-1</t>
        </is>
      </c>
      <c r="B27" s="29" t="inlineStr">
        <is>
          <t>【社会参加の合成指標（年齢階級別・広域連合）】</t>
        </is>
      </c>
      <c r="C27" s="29" t="inlineStr">
        <is>
          <t>第2章第3節</t>
        </is>
      </c>
      <c r="D27" s="29" t="inlineStr">
        <is>
          <t>高齢者の生活実態</t>
        </is>
      </c>
      <c r="E27" s="30" t="inlineStr">
        <is>
          <t>本文</t>
        </is>
      </c>
      <c r="F27" s="29" t="inlineStr">
        <is>
          <t>08_ニーズ調査データ</t>
        </is>
      </c>
      <c r="G27" s="30" t="inlineStr">
        <is>
          <t>M51</t>
        </is>
      </c>
      <c r="H27" s="29" t="inlineStr">
        <is>
          <t>資料：令和7年度 健康とくらしの調査（JAGES調査）</t>
        </is>
      </c>
      <c r="I27" s="29" t="inlineStr">
        <is>
          <t>H05の算定根拠。第3章第1節（第9期KPIの評価）にも再掲する</t>
        </is>
      </c>
    </row>
    <row r="28" ht="26" customHeight="1">
      <c r="A28" s="30" t="inlineStr">
        <is>
          <t>図8-2</t>
        </is>
      </c>
      <c r="B28" s="29" t="inlineStr">
        <is>
          <t>【① フレイルあり割合（基本チェックリスト8項目以上）（年齢階級別）】</t>
        </is>
      </c>
      <c r="C28" s="29" t="inlineStr">
        <is>
          <t>第2章第3節</t>
        </is>
      </c>
      <c r="D28" s="29" t="inlineStr">
        <is>
          <t>高齢者の生活実態</t>
        </is>
      </c>
      <c r="E28" s="30" t="inlineStr">
        <is>
          <t>本文</t>
        </is>
      </c>
      <c r="F28" s="29" t="inlineStr">
        <is>
          <t>09_ニーズ調査グラフ</t>
        </is>
      </c>
      <c r="G28" s="30" t="inlineStr">
        <is>
          <t>A4</t>
        </is>
      </c>
      <c r="H28" s="29" t="inlineStr">
        <is>
          <t>資料：令和7年度 健康とくらしの調査（JAGES調査）</t>
        </is>
      </c>
      <c r="I28" s="29" t="inlineStr"/>
    </row>
    <row r="29" ht="26" customHeight="1">
      <c r="A29" s="30" t="inlineStr">
        <is>
          <t>図8-3</t>
        </is>
      </c>
      <c r="B29" s="29" t="inlineStr">
        <is>
          <t>【① フレイルあり割合（基本チェックリスト8項目以上）（町別）】</t>
        </is>
      </c>
      <c r="C29" s="29" t="inlineStr">
        <is>
          <t>第2章第3節</t>
        </is>
      </c>
      <c r="D29" s="29" t="inlineStr">
        <is>
          <t>高齢者の生活実態</t>
        </is>
      </c>
      <c r="E29" s="30" t="inlineStr">
        <is>
          <t>本文</t>
        </is>
      </c>
      <c r="F29" s="29" t="inlineStr">
        <is>
          <t>09_ニーズ調査グラフ</t>
        </is>
      </c>
      <c r="G29" s="30" t="inlineStr">
        <is>
          <t>J4</t>
        </is>
      </c>
      <c r="H29" s="29" t="inlineStr">
        <is>
          <t>資料：令和7年度 健康とくらしの調査（JAGES調査）</t>
        </is>
      </c>
      <c r="I29" s="29" t="inlineStr"/>
    </row>
    <row r="30" ht="26" customHeight="1">
      <c r="A30" s="30" t="inlineStr">
        <is>
          <t>図8-4</t>
        </is>
      </c>
      <c r="B30" s="29" t="inlineStr">
        <is>
          <t>【② 運動機能低下者割合（基本チェックリスト）（年齢階級別）】</t>
        </is>
      </c>
      <c r="C30" s="29" t="inlineStr">
        <is>
          <t>第2章第3節</t>
        </is>
      </c>
      <c r="D30" s="29" t="inlineStr">
        <is>
          <t>高齢者の生活実態</t>
        </is>
      </c>
      <c r="E30" s="30" t="inlineStr">
        <is>
          <t>本文</t>
        </is>
      </c>
      <c r="F30" s="29" t="inlineStr">
        <is>
          <t>09_ニーズ調査グラフ</t>
        </is>
      </c>
      <c r="G30" s="30" t="inlineStr">
        <is>
          <t>A21</t>
        </is>
      </c>
      <c r="H30" s="29" t="inlineStr">
        <is>
          <t>資料：令和7年度 健康とくらしの調査（JAGES調査）</t>
        </is>
      </c>
      <c r="I30" s="29" t="inlineStr"/>
    </row>
    <row r="31" ht="26" customHeight="1">
      <c r="A31" s="30" t="inlineStr">
        <is>
          <t>図8-5</t>
        </is>
      </c>
      <c r="B31" s="29" t="inlineStr">
        <is>
          <t>【② 運動機能低下者割合（基本チェックリスト）（町別）】</t>
        </is>
      </c>
      <c r="C31" s="29" t="inlineStr">
        <is>
          <t>第2章第3節</t>
        </is>
      </c>
      <c r="D31" s="29" t="inlineStr">
        <is>
          <t>高齢者の生活実態</t>
        </is>
      </c>
      <c r="E31" s="30" t="inlineStr">
        <is>
          <t>本文</t>
        </is>
      </c>
      <c r="F31" s="29" t="inlineStr">
        <is>
          <t>09_ニーズ調査グラフ</t>
        </is>
      </c>
      <c r="G31" s="30" t="inlineStr">
        <is>
          <t>J21</t>
        </is>
      </c>
      <c r="H31" s="29" t="inlineStr">
        <is>
          <t>資料：令和7年度 健康とくらしの調査（JAGES調査）</t>
        </is>
      </c>
      <c r="I31" s="29" t="inlineStr"/>
    </row>
    <row r="32" ht="26" customHeight="1">
      <c r="A32" s="30" t="inlineStr">
        <is>
          <t>図8-6</t>
        </is>
      </c>
      <c r="B32" s="29" t="inlineStr">
        <is>
          <t>【③ 1年間の転倒あり割合（年齢階級別）】</t>
        </is>
      </c>
      <c r="C32" s="29" t="inlineStr">
        <is>
          <t>第2章第3節</t>
        </is>
      </c>
      <c r="D32" s="29" t="inlineStr">
        <is>
          <t>高齢者の生活実態</t>
        </is>
      </c>
      <c r="E32" s="30" t="inlineStr">
        <is>
          <t>本文</t>
        </is>
      </c>
      <c r="F32" s="29" t="inlineStr">
        <is>
          <t>09_ニーズ調査グラフ</t>
        </is>
      </c>
      <c r="G32" s="30" t="inlineStr">
        <is>
          <t>A38</t>
        </is>
      </c>
      <c r="H32" s="29" t="inlineStr">
        <is>
          <t>資料：令和7年度 健康とくらしの調査（JAGES調査）</t>
        </is>
      </c>
      <c r="I32" s="29" t="inlineStr"/>
    </row>
    <row r="33" ht="26" customHeight="1">
      <c r="A33" s="30" t="inlineStr">
        <is>
          <t>図8-7</t>
        </is>
      </c>
      <c r="B33" s="29" t="inlineStr">
        <is>
          <t>【③ 1年間の転倒あり割合（町別）】</t>
        </is>
      </c>
      <c r="C33" s="29" t="inlineStr">
        <is>
          <t>第2章第3節</t>
        </is>
      </c>
      <c r="D33" s="29" t="inlineStr">
        <is>
          <t>高齢者の生活実態</t>
        </is>
      </c>
      <c r="E33" s="30" t="inlineStr">
        <is>
          <t>本文</t>
        </is>
      </c>
      <c r="F33" s="29" t="inlineStr">
        <is>
          <t>09_ニーズ調査グラフ</t>
        </is>
      </c>
      <c r="G33" s="30" t="inlineStr">
        <is>
          <t>J38</t>
        </is>
      </c>
      <c r="H33" s="29" t="inlineStr">
        <is>
          <t>資料：令和7年度 健康とくらしの調査（JAGES調査）</t>
        </is>
      </c>
      <c r="I33" s="29" t="inlineStr"/>
    </row>
    <row r="34" ht="26" customHeight="1">
      <c r="A34" s="30" t="inlineStr">
        <is>
          <t>図8-8</t>
        </is>
      </c>
      <c r="B34" s="29" t="inlineStr">
        <is>
          <t>【④ 物忘れが多い者の割合（年齢階級別）】</t>
        </is>
      </c>
      <c r="C34" s="29" t="inlineStr">
        <is>
          <t>第2章第3節</t>
        </is>
      </c>
      <c r="D34" s="29" t="inlineStr">
        <is>
          <t>高齢者の生活実態</t>
        </is>
      </c>
      <c r="E34" s="30" t="inlineStr">
        <is>
          <t>本文</t>
        </is>
      </c>
      <c r="F34" s="29" t="inlineStr">
        <is>
          <t>09_ニーズ調査グラフ</t>
        </is>
      </c>
      <c r="G34" s="30" t="inlineStr">
        <is>
          <t>A55</t>
        </is>
      </c>
      <c r="H34" s="29" t="inlineStr">
        <is>
          <t>資料：令和7年度 健康とくらしの調査（JAGES調査）</t>
        </is>
      </c>
      <c r="I34" s="29" t="inlineStr"/>
    </row>
    <row r="35" ht="26" customHeight="1">
      <c r="A35" s="30" t="inlineStr">
        <is>
          <t>図8-9</t>
        </is>
      </c>
      <c r="B35" s="29" t="inlineStr">
        <is>
          <t>【④ 物忘れが多い者の割合（町別）】</t>
        </is>
      </c>
      <c r="C35" s="29" t="inlineStr">
        <is>
          <t>第2章第3節</t>
        </is>
      </c>
      <c r="D35" s="29" t="inlineStr">
        <is>
          <t>高齢者の生活実態</t>
        </is>
      </c>
      <c r="E35" s="30" t="inlineStr">
        <is>
          <t>本文</t>
        </is>
      </c>
      <c r="F35" s="29" t="inlineStr">
        <is>
          <t>09_ニーズ調査グラフ</t>
        </is>
      </c>
      <c r="G35" s="30" t="inlineStr">
        <is>
          <t>J55</t>
        </is>
      </c>
      <c r="H35" s="29" t="inlineStr">
        <is>
          <t>資料：令和7年度 健康とくらしの調査（JAGES調査）</t>
        </is>
      </c>
      <c r="I35" s="29" t="inlineStr"/>
    </row>
    <row r="36" ht="26" customHeight="1">
      <c r="A36" s="30" t="inlineStr">
        <is>
          <t>図8-10</t>
        </is>
      </c>
      <c r="B36" s="29" t="inlineStr">
        <is>
          <t>【⑤ 閉じこもり者割合（年齢階級別）】</t>
        </is>
      </c>
      <c r="C36" s="29" t="inlineStr">
        <is>
          <t>第2章第3節</t>
        </is>
      </c>
      <c r="D36" s="29" t="inlineStr">
        <is>
          <t>高齢者の生活実態</t>
        </is>
      </c>
      <c r="E36" s="30" t="inlineStr">
        <is>
          <t>本文</t>
        </is>
      </c>
      <c r="F36" s="29" t="inlineStr">
        <is>
          <t>09_ニーズ調査グラフ</t>
        </is>
      </c>
      <c r="G36" s="30" t="inlineStr">
        <is>
          <t>A72</t>
        </is>
      </c>
      <c r="H36" s="29" t="inlineStr">
        <is>
          <t>資料：令和7年度 健康とくらしの調査（JAGES調査）</t>
        </is>
      </c>
      <c r="I36" s="29" t="inlineStr"/>
    </row>
    <row r="37" ht="26" customHeight="1">
      <c r="A37" s="30" t="inlineStr">
        <is>
          <t>図8-11</t>
        </is>
      </c>
      <c r="B37" s="29" t="inlineStr">
        <is>
          <t>【⑤ 閉じこもり者割合（町別）】</t>
        </is>
      </c>
      <c r="C37" s="29" t="inlineStr">
        <is>
          <t>第2章第3節</t>
        </is>
      </c>
      <c r="D37" s="29" t="inlineStr">
        <is>
          <t>高齢者の生活実態</t>
        </is>
      </c>
      <c r="E37" s="30" t="inlineStr">
        <is>
          <t>本文</t>
        </is>
      </c>
      <c r="F37" s="29" t="inlineStr">
        <is>
          <t>09_ニーズ調査グラフ</t>
        </is>
      </c>
      <c r="G37" s="30" t="inlineStr">
        <is>
          <t>J72</t>
        </is>
      </c>
      <c r="H37" s="29" t="inlineStr">
        <is>
          <t>資料：令和7年度 健康とくらしの調査（JAGES調査）</t>
        </is>
      </c>
      <c r="I37" s="29" t="inlineStr"/>
    </row>
    <row r="38" ht="26" customHeight="1">
      <c r="A38" s="30" t="inlineStr">
        <is>
          <t>図8-12</t>
        </is>
      </c>
      <c r="B38" s="29" t="inlineStr">
        <is>
          <t>【⑥ うつ割合（基本チェックリスト）（年齢階級別）】</t>
        </is>
      </c>
      <c r="C38" s="29" t="inlineStr">
        <is>
          <t>第2章第3節</t>
        </is>
      </c>
      <c r="D38" s="29" t="inlineStr">
        <is>
          <t>高齢者の生活実態</t>
        </is>
      </c>
      <c r="E38" s="30" t="inlineStr">
        <is>
          <t>本文</t>
        </is>
      </c>
      <c r="F38" s="29" t="inlineStr">
        <is>
          <t>09_ニーズ調査グラフ</t>
        </is>
      </c>
      <c r="G38" s="30" t="inlineStr">
        <is>
          <t>A89</t>
        </is>
      </c>
      <c r="H38" s="29" t="inlineStr">
        <is>
          <t>資料：令和7年度 健康とくらしの調査（JAGES調査）</t>
        </is>
      </c>
      <c r="I38" s="29" t="inlineStr"/>
    </row>
    <row r="39" ht="26" customHeight="1">
      <c r="A39" s="30" t="inlineStr">
        <is>
          <t>図8-13</t>
        </is>
      </c>
      <c r="B39" s="29" t="inlineStr">
        <is>
          <t>【⑥ うつ割合（基本チェックリスト）（町別）】</t>
        </is>
      </c>
      <c r="C39" s="29" t="inlineStr">
        <is>
          <t>第2章第3節</t>
        </is>
      </c>
      <c r="D39" s="29" t="inlineStr">
        <is>
          <t>高齢者の生活実態</t>
        </is>
      </c>
      <c r="E39" s="30" t="inlineStr">
        <is>
          <t>本文</t>
        </is>
      </c>
      <c r="F39" s="29" t="inlineStr">
        <is>
          <t>09_ニーズ調査グラフ</t>
        </is>
      </c>
      <c r="G39" s="30" t="inlineStr">
        <is>
          <t>J89</t>
        </is>
      </c>
      <c r="H39" s="29" t="inlineStr">
        <is>
          <t>資料：令和7年度 健康とくらしの調査（JAGES調査）</t>
        </is>
      </c>
      <c r="I39" s="29" t="inlineStr"/>
    </row>
    <row r="40" ht="26" customHeight="1">
      <c r="A40" s="30" t="inlineStr">
        <is>
          <t>図8-14</t>
        </is>
      </c>
      <c r="B40" s="29" t="inlineStr">
        <is>
          <t>【⑦ 口腔機能低下者割合（基本チェックリスト）（年齢階級別）】</t>
        </is>
      </c>
      <c r="C40" s="29" t="inlineStr">
        <is>
          <t>第2章第3節</t>
        </is>
      </c>
      <c r="D40" s="29" t="inlineStr">
        <is>
          <t>高齢者の生活実態</t>
        </is>
      </c>
      <c r="E40" s="30" t="inlineStr">
        <is>
          <t>本文</t>
        </is>
      </c>
      <c r="F40" s="29" t="inlineStr">
        <is>
          <t>09_ニーズ調査グラフ</t>
        </is>
      </c>
      <c r="G40" s="30" t="inlineStr">
        <is>
          <t>A106</t>
        </is>
      </c>
      <c r="H40" s="29" t="inlineStr">
        <is>
          <t>資料：令和7年度 健康とくらしの調査（JAGES調査）</t>
        </is>
      </c>
      <c r="I40" s="29" t="inlineStr"/>
    </row>
    <row r="41" ht="26" customHeight="1">
      <c r="A41" s="30" t="inlineStr">
        <is>
          <t>図8-15</t>
        </is>
      </c>
      <c r="B41" s="29" t="inlineStr">
        <is>
          <t>【⑦ 口腔機能低下者割合（基本チェックリスト）（町別）】</t>
        </is>
      </c>
      <c r="C41" s="29" t="inlineStr">
        <is>
          <t>第2章第3節</t>
        </is>
      </c>
      <c r="D41" s="29" t="inlineStr">
        <is>
          <t>高齢者の生活実態</t>
        </is>
      </c>
      <c r="E41" s="30" t="inlineStr">
        <is>
          <t>本文</t>
        </is>
      </c>
      <c r="F41" s="29" t="inlineStr">
        <is>
          <t>09_ニーズ調査グラフ</t>
        </is>
      </c>
      <c r="G41" s="30" t="inlineStr">
        <is>
          <t>J106</t>
        </is>
      </c>
      <c r="H41" s="29" t="inlineStr">
        <is>
          <t>資料：令和7年度 健康とくらしの調査（JAGES調査）</t>
        </is>
      </c>
      <c r="I41" s="29" t="inlineStr"/>
    </row>
    <row r="42" ht="26" customHeight="1">
      <c r="A42" s="30" t="inlineStr">
        <is>
          <t>図8-16</t>
        </is>
      </c>
      <c r="B42" s="29" t="inlineStr">
        <is>
          <t>【⑧ 低栄養の傾向割合（BMI18.5未満）（年齢階級別）】</t>
        </is>
      </c>
      <c r="C42" s="29" t="inlineStr">
        <is>
          <t>第2章第3節</t>
        </is>
      </c>
      <c r="D42" s="29" t="inlineStr">
        <is>
          <t>高齢者の生活実態</t>
        </is>
      </c>
      <c r="E42" s="30" t="inlineStr">
        <is>
          <t>本文</t>
        </is>
      </c>
      <c r="F42" s="29" t="inlineStr">
        <is>
          <t>09_ニーズ調査グラフ</t>
        </is>
      </c>
      <c r="G42" s="30" t="inlineStr">
        <is>
          <t>A123</t>
        </is>
      </c>
      <c r="H42" s="29" t="inlineStr">
        <is>
          <t>資料：令和7年度 健康とくらしの調査（JAGES調査）</t>
        </is>
      </c>
      <c r="I42" s="29" t="inlineStr"/>
    </row>
    <row r="43" ht="26" customHeight="1">
      <c r="A43" s="30" t="inlineStr">
        <is>
          <t>図8-17</t>
        </is>
      </c>
      <c r="B43" s="29" t="inlineStr">
        <is>
          <t>【⑧ 低栄養の傾向割合（BMI18.5未満）（町別）】</t>
        </is>
      </c>
      <c r="C43" s="29" t="inlineStr">
        <is>
          <t>第2章第3節</t>
        </is>
      </c>
      <c r="D43" s="29" t="inlineStr">
        <is>
          <t>高齢者の生活実態</t>
        </is>
      </c>
      <c r="E43" s="30" t="inlineStr">
        <is>
          <t>本文</t>
        </is>
      </c>
      <c r="F43" s="29" t="inlineStr">
        <is>
          <t>09_ニーズ調査グラフ</t>
        </is>
      </c>
      <c r="G43" s="30" t="inlineStr">
        <is>
          <t>J123</t>
        </is>
      </c>
      <c r="H43" s="29" t="inlineStr">
        <is>
          <t>資料：令和7年度 健康とくらしの調査（JAGES調査）</t>
        </is>
      </c>
      <c r="I43" s="29" t="inlineStr"/>
    </row>
    <row r="44" ht="26" customHeight="1">
      <c r="A44" s="30" t="inlineStr">
        <is>
          <t>図8-18</t>
        </is>
      </c>
      <c r="B44" s="29" t="inlineStr">
        <is>
          <t>【⑨ 要支援・要介護リスク点数（平均点）（年齢階級別）】</t>
        </is>
      </c>
      <c r="C44" s="29" t="inlineStr">
        <is>
          <t>第2章第3節</t>
        </is>
      </c>
      <c r="D44" s="29" t="inlineStr">
        <is>
          <t>高齢者の生活実態</t>
        </is>
      </c>
      <c r="E44" s="30" t="inlineStr">
        <is>
          <t>本文</t>
        </is>
      </c>
      <c r="F44" s="29" t="inlineStr">
        <is>
          <t>09_ニーズ調査グラフ</t>
        </is>
      </c>
      <c r="G44" s="30" t="inlineStr">
        <is>
          <t>A140</t>
        </is>
      </c>
      <c r="H44" s="29" t="inlineStr">
        <is>
          <t>資料：令和7年度 健康とくらしの調査（JAGES調査）</t>
        </is>
      </c>
      <c r="I44" s="29" t="inlineStr"/>
    </row>
    <row r="45" ht="26" customHeight="1">
      <c r="A45" s="30" t="inlineStr">
        <is>
          <t>図8-19</t>
        </is>
      </c>
      <c r="B45" s="29" t="inlineStr">
        <is>
          <t>【⑨ 要支援・要介護リスク点数（平均点）（町別）】</t>
        </is>
      </c>
      <c r="C45" s="29" t="inlineStr">
        <is>
          <t>第2章第3節</t>
        </is>
      </c>
      <c r="D45" s="29" t="inlineStr">
        <is>
          <t>高齢者の生活実態</t>
        </is>
      </c>
      <c r="E45" s="30" t="inlineStr">
        <is>
          <t>本文</t>
        </is>
      </c>
      <c r="F45" s="29" t="inlineStr">
        <is>
          <t>09_ニーズ調査グラフ</t>
        </is>
      </c>
      <c r="G45" s="30" t="inlineStr">
        <is>
          <t>J140</t>
        </is>
      </c>
      <c r="H45" s="29" t="inlineStr">
        <is>
          <t>資料：令和7年度 健康とくらしの調査（JAGES調査）</t>
        </is>
      </c>
      <c r="I45" s="29" t="inlineStr"/>
    </row>
    <row r="46" ht="26" customHeight="1">
      <c r="A46" s="30" t="inlineStr">
        <is>
          <t>図8-20</t>
        </is>
      </c>
      <c r="B46" s="29" t="inlineStr">
        <is>
          <t>【⑩ 認知機能低下者割合（基本チェックリスト）（年齢階級別）】</t>
        </is>
      </c>
      <c r="C46" s="29" t="inlineStr">
        <is>
          <t>第2章第3節</t>
        </is>
      </c>
      <c r="D46" s="29" t="inlineStr">
        <is>
          <t>高齢者の生活実態</t>
        </is>
      </c>
      <c r="E46" s="30" t="inlineStr">
        <is>
          <t>本文</t>
        </is>
      </c>
      <c r="F46" s="29" t="inlineStr">
        <is>
          <t>09_ニーズ調査グラフ</t>
        </is>
      </c>
      <c r="G46" s="30" t="inlineStr">
        <is>
          <t>A157</t>
        </is>
      </c>
      <c r="H46" s="29" t="inlineStr">
        <is>
          <t>資料：令和7年度 健康とくらしの調査（JAGES調査）</t>
        </is>
      </c>
      <c r="I46" s="29" t="inlineStr"/>
    </row>
    <row r="47" ht="26" customHeight="1">
      <c r="A47" s="30" t="inlineStr">
        <is>
          <t>図8-21</t>
        </is>
      </c>
      <c r="B47" s="29" t="inlineStr">
        <is>
          <t>【⑩ 認知機能低下者割合（基本チェックリスト）（町別）】</t>
        </is>
      </c>
      <c r="C47" s="29" t="inlineStr">
        <is>
          <t>第2章第3節</t>
        </is>
      </c>
      <c r="D47" s="29" t="inlineStr">
        <is>
          <t>高齢者の生活実態</t>
        </is>
      </c>
      <c r="E47" s="30" t="inlineStr">
        <is>
          <t>本文</t>
        </is>
      </c>
      <c r="F47" s="29" t="inlineStr">
        <is>
          <t>09_ニーズ調査グラフ</t>
        </is>
      </c>
      <c r="G47" s="30" t="inlineStr">
        <is>
          <t>J157</t>
        </is>
      </c>
      <c r="H47" s="29" t="inlineStr">
        <is>
          <t>資料：令和7年度 健康とくらしの調査（JAGES調査）</t>
        </is>
      </c>
      <c r="I47" s="29" t="inlineStr"/>
    </row>
    <row r="48" ht="26" customHeight="1">
      <c r="A48" s="30" t="inlineStr">
        <is>
          <t>図8-22</t>
        </is>
      </c>
      <c r="B48" s="29" t="inlineStr">
        <is>
          <t>【⑪ IADL（自立度）低下者（1項目以上）割合（年齢階級別）】</t>
        </is>
      </c>
      <c r="C48" s="29" t="inlineStr">
        <is>
          <t>第2章第3節</t>
        </is>
      </c>
      <c r="D48" s="29" t="inlineStr">
        <is>
          <t>高齢者の生活実態</t>
        </is>
      </c>
      <c r="E48" s="30" t="inlineStr">
        <is>
          <t>本文</t>
        </is>
      </c>
      <c r="F48" s="29" t="inlineStr">
        <is>
          <t>09_ニーズ調査グラフ</t>
        </is>
      </c>
      <c r="G48" s="30" t="inlineStr">
        <is>
          <t>A174</t>
        </is>
      </c>
      <c r="H48" s="29" t="inlineStr">
        <is>
          <t>資料：令和7年度 健康とくらしの調査（JAGES調査）</t>
        </is>
      </c>
      <c r="I48" s="29" t="inlineStr"/>
    </row>
    <row r="49" ht="26" customHeight="1">
      <c r="A49" s="30" t="inlineStr">
        <is>
          <t>図8-23</t>
        </is>
      </c>
      <c r="B49" s="29" t="inlineStr">
        <is>
          <t>【⑪ IADL（自立度）低下者（1項目以上）割合（町別）】</t>
        </is>
      </c>
      <c r="C49" s="29" t="inlineStr">
        <is>
          <t>第2章第3節</t>
        </is>
      </c>
      <c r="D49" s="29" t="inlineStr">
        <is>
          <t>高齢者の生活実態</t>
        </is>
      </c>
      <c r="E49" s="30" t="inlineStr">
        <is>
          <t>本文</t>
        </is>
      </c>
      <c r="F49" s="29" t="inlineStr">
        <is>
          <t>09_ニーズ調査グラフ</t>
        </is>
      </c>
      <c r="G49" s="30" t="inlineStr">
        <is>
          <t>J174</t>
        </is>
      </c>
      <c r="H49" s="29" t="inlineStr">
        <is>
          <t>資料：令和7年度 健康とくらしの調査（JAGES調査）</t>
        </is>
      </c>
      <c r="I49" s="29" t="inlineStr"/>
    </row>
    <row r="50" ht="26" customHeight="1">
      <c r="A50" s="30" t="inlineStr">
        <is>
          <t>図8-24</t>
        </is>
      </c>
      <c r="B50" s="29" t="inlineStr">
        <is>
          <t>【⑫ 幸福感がある者の割合（8/10点以上）（年齢階級別）】</t>
        </is>
      </c>
      <c r="C50" s="29" t="inlineStr">
        <is>
          <t>資料編</t>
        </is>
      </c>
      <c r="D50" s="29" t="inlineStr">
        <is>
          <t>資料6 調査結果の詳細（新設案）</t>
        </is>
      </c>
      <c r="E50" s="30" t="inlineStr">
        <is>
          <t>資料編</t>
        </is>
      </c>
      <c r="F50" s="29" t="inlineStr">
        <is>
          <t>09_ニーズ調査グラフ</t>
        </is>
      </c>
      <c r="G50" s="30" t="inlineStr">
        <is>
          <t>A191</t>
        </is>
      </c>
      <c r="H50" s="29" t="inlineStr">
        <is>
          <t>資料：令和7年度 健康とくらしの調査（JAGES調査）</t>
        </is>
      </c>
      <c r="I50" s="29" t="inlineStr">
        <is>
          <t>第9期計画は14指標を掲載しており本指標は含まれない。本文（第2章第3節）へ移すか資料編に置くかを委員会で決定する</t>
        </is>
      </c>
    </row>
    <row r="51" ht="26" customHeight="1">
      <c r="A51" s="30" t="inlineStr">
        <is>
          <t>図8-25</t>
        </is>
      </c>
      <c r="B51" s="29" t="inlineStr">
        <is>
          <t>【⑫ 幸福感がある者の割合（8/10点以上）（町別）】</t>
        </is>
      </c>
      <c r="C51" s="29" t="inlineStr">
        <is>
          <t>資料編</t>
        </is>
      </c>
      <c r="D51" s="29" t="inlineStr">
        <is>
          <t>資料6 調査結果の詳細（新設案）</t>
        </is>
      </c>
      <c r="E51" s="30" t="inlineStr">
        <is>
          <t>資料編</t>
        </is>
      </c>
      <c r="F51" s="29" t="inlineStr">
        <is>
          <t>09_ニーズ調査グラフ</t>
        </is>
      </c>
      <c r="G51" s="30" t="inlineStr">
        <is>
          <t>J191</t>
        </is>
      </c>
      <c r="H51" s="29" t="inlineStr">
        <is>
          <t>資料：令和7年度 健康とくらしの調査（JAGES調査）</t>
        </is>
      </c>
      <c r="I51" s="29" t="inlineStr">
        <is>
          <t>第9期計画は14指標を掲載しており本指標は含まれない。本文（第2章第3節）へ移すか資料編に置くかを委員会で決定する</t>
        </is>
      </c>
    </row>
    <row r="52" ht="26" customHeight="1">
      <c r="A52" s="30" t="inlineStr">
        <is>
          <t>図8-26</t>
        </is>
      </c>
      <c r="B52" s="29" t="inlineStr">
        <is>
          <t>【⑬ 就労していない者の割合（年齢階級別）】</t>
        </is>
      </c>
      <c r="C52" s="29" t="inlineStr">
        <is>
          <t>資料編</t>
        </is>
      </c>
      <c r="D52" s="29" t="inlineStr">
        <is>
          <t>資料6 調査結果の詳細（新設案）</t>
        </is>
      </c>
      <c r="E52" s="30" t="inlineStr">
        <is>
          <t>資料編</t>
        </is>
      </c>
      <c r="F52" s="29" t="inlineStr">
        <is>
          <t>09_ニーズ調査グラフ</t>
        </is>
      </c>
      <c r="G52" s="30" t="inlineStr">
        <is>
          <t>A208</t>
        </is>
      </c>
      <c r="H52" s="29" t="inlineStr">
        <is>
          <t>資料：令和7年度 健康とくらしの調査（JAGES調査）</t>
        </is>
      </c>
      <c r="I52" s="29" t="inlineStr">
        <is>
          <t>第9期計画は14指標を掲載しており本指標は含まれない。本文（第2章第3節）へ移すか資料編に置くかを委員会で決定する</t>
        </is>
      </c>
    </row>
    <row r="53" ht="26" customHeight="1">
      <c r="A53" s="30" t="inlineStr">
        <is>
          <t>図8-27</t>
        </is>
      </c>
      <c r="B53" s="29" t="inlineStr">
        <is>
          <t>【⑬ 就労していない者の割合（町別）】</t>
        </is>
      </c>
      <c r="C53" s="29" t="inlineStr">
        <is>
          <t>資料編</t>
        </is>
      </c>
      <c r="D53" s="29" t="inlineStr">
        <is>
          <t>資料6 調査結果の詳細（新設案）</t>
        </is>
      </c>
      <c r="E53" s="30" t="inlineStr">
        <is>
          <t>資料編</t>
        </is>
      </c>
      <c r="F53" s="29" t="inlineStr">
        <is>
          <t>09_ニーズ調査グラフ</t>
        </is>
      </c>
      <c r="G53" s="30" t="inlineStr">
        <is>
          <t>J208</t>
        </is>
      </c>
      <c r="H53" s="29" t="inlineStr">
        <is>
          <t>資料：令和7年度 健康とくらしの調査（JAGES調査）</t>
        </is>
      </c>
      <c r="I53" s="29" t="inlineStr">
        <is>
          <t>第9期計画は14指標を掲載しており本指標は含まれない。本文（第2章第3節）へ移すか資料編に置くかを委員会で決定する</t>
        </is>
      </c>
    </row>
    <row r="54" ht="26" customHeight="1">
      <c r="A54" s="30" t="inlineStr">
        <is>
          <t>図8-28</t>
        </is>
      </c>
      <c r="B54" s="29" t="inlineStr">
        <is>
          <t>【⑭ ボランティア参加者（月1回以上）割合（年齢階級別）】</t>
        </is>
      </c>
      <c r="C54" s="29" t="inlineStr">
        <is>
          <t>第2章第3節</t>
        </is>
      </c>
      <c r="D54" s="29" t="inlineStr">
        <is>
          <t>高齢者の生活実態</t>
        </is>
      </c>
      <c r="E54" s="30" t="inlineStr">
        <is>
          <t>本文</t>
        </is>
      </c>
      <c r="F54" s="29" t="inlineStr">
        <is>
          <t>09_ニーズ調査グラフ</t>
        </is>
      </c>
      <c r="G54" s="30" t="inlineStr">
        <is>
          <t>A225</t>
        </is>
      </c>
      <c r="H54" s="29" t="inlineStr">
        <is>
          <t>資料：令和7年度 健康とくらしの調査（JAGES調査）</t>
        </is>
      </c>
      <c r="I54" s="29" t="inlineStr"/>
    </row>
    <row r="55" ht="26" customHeight="1">
      <c r="A55" s="30" t="inlineStr">
        <is>
          <t>図8-29</t>
        </is>
      </c>
      <c r="B55" s="29" t="inlineStr">
        <is>
          <t>【⑭ ボランティア参加者（月1回以上）割合（町別）】</t>
        </is>
      </c>
      <c r="C55" s="29" t="inlineStr">
        <is>
          <t>第2章第3節</t>
        </is>
      </c>
      <c r="D55" s="29" t="inlineStr">
        <is>
          <t>高齢者の生活実態</t>
        </is>
      </c>
      <c r="E55" s="30" t="inlineStr">
        <is>
          <t>本文</t>
        </is>
      </c>
      <c r="F55" s="29" t="inlineStr">
        <is>
          <t>09_ニーズ調査グラフ</t>
        </is>
      </c>
      <c r="G55" s="30" t="inlineStr">
        <is>
          <t>J225</t>
        </is>
      </c>
      <c r="H55" s="29" t="inlineStr">
        <is>
          <t>資料：令和7年度 健康とくらしの調査（JAGES調査）</t>
        </is>
      </c>
      <c r="I55" s="29" t="inlineStr"/>
    </row>
    <row r="56" ht="26" customHeight="1">
      <c r="A56" s="30" t="inlineStr">
        <is>
          <t>図8-30</t>
        </is>
      </c>
      <c r="B56" s="29" t="inlineStr">
        <is>
          <t>【⑮ スポーツの会参加者（月1回以上）割合（年齢階級別）】</t>
        </is>
      </c>
      <c r="C56" s="29" t="inlineStr">
        <is>
          <t>資料編</t>
        </is>
      </c>
      <c r="D56" s="29" t="inlineStr">
        <is>
          <t>資料6 調査結果の詳細（新設案）</t>
        </is>
      </c>
      <c r="E56" s="30" t="inlineStr">
        <is>
          <t>資料編</t>
        </is>
      </c>
      <c r="F56" s="29" t="inlineStr">
        <is>
          <t>09_ニーズ調査グラフ</t>
        </is>
      </c>
      <c r="G56" s="30" t="inlineStr">
        <is>
          <t>A242</t>
        </is>
      </c>
      <c r="H56" s="29" t="inlineStr">
        <is>
          <t>資料：令和7年度 健康とくらしの調査（JAGES調査）</t>
        </is>
      </c>
      <c r="I56" s="29" t="inlineStr">
        <is>
          <t>第9期計画は14指標を掲載しており本指標は含まれない。本文（第2章第3節）へ移すか資料編に置くかを委員会で決定する</t>
        </is>
      </c>
    </row>
    <row r="57" ht="26" customHeight="1">
      <c r="A57" s="30" t="inlineStr">
        <is>
          <t>図8-31</t>
        </is>
      </c>
      <c r="B57" s="29" t="inlineStr">
        <is>
          <t>【⑮ スポーツの会参加者（月1回以上）割合（町別）】</t>
        </is>
      </c>
      <c r="C57" s="29" t="inlineStr">
        <is>
          <t>資料編</t>
        </is>
      </c>
      <c r="D57" s="29" t="inlineStr">
        <is>
          <t>資料6 調査結果の詳細（新設案）</t>
        </is>
      </c>
      <c r="E57" s="30" t="inlineStr">
        <is>
          <t>資料編</t>
        </is>
      </c>
      <c r="F57" s="29" t="inlineStr">
        <is>
          <t>09_ニーズ調査グラフ</t>
        </is>
      </c>
      <c r="G57" s="30" t="inlineStr">
        <is>
          <t>J242</t>
        </is>
      </c>
      <c r="H57" s="29" t="inlineStr">
        <is>
          <t>資料：令和7年度 健康とくらしの調査（JAGES調査）</t>
        </is>
      </c>
      <c r="I57" s="29" t="inlineStr">
        <is>
          <t>第9期計画は14指標を掲載しており本指標は含まれない。本文（第2章第3節）へ移すか資料編に置くかを委員会で決定する</t>
        </is>
      </c>
    </row>
    <row r="58" ht="26" customHeight="1">
      <c r="A58" s="30" t="inlineStr">
        <is>
          <t>図8-32</t>
        </is>
      </c>
      <c r="B58" s="29" t="inlineStr">
        <is>
          <t>【⑯ 趣味の会参加者（月1回以上）割合（年齢階級別）】</t>
        </is>
      </c>
      <c r="C58" s="29" t="inlineStr">
        <is>
          <t>資料編</t>
        </is>
      </c>
      <c r="D58" s="29" t="inlineStr">
        <is>
          <t>資料6 調査結果の詳細（新設案）</t>
        </is>
      </c>
      <c r="E58" s="30" t="inlineStr">
        <is>
          <t>資料編</t>
        </is>
      </c>
      <c r="F58" s="29" t="inlineStr">
        <is>
          <t>09_ニーズ調査グラフ</t>
        </is>
      </c>
      <c r="G58" s="30" t="inlineStr">
        <is>
          <t>A259</t>
        </is>
      </c>
      <c r="H58" s="29" t="inlineStr">
        <is>
          <t>資料：令和7年度 健康とくらしの調査（JAGES調査）</t>
        </is>
      </c>
      <c r="I58" s="29" t="inlineStr">
        <is>
          <t>第9期計画は14指標を掲載しており本指標は含まれない。本文（第2章第3節）へ移すか資料編に置くかを委員会で決定する</t>
        </is>
      </c>
    </row>
    <row r="59" ht="26" customHeight="1">
      <c r="A59" s="30" t="inlineStr">
        <is>
          <t>図8-33</t>
        </is>
      </c>
      <c r="B59" s="29" t="inlineStr">
        <is>
          <t>【⑯ 趣味の会参加者（月1回以上）割合（町別）】</t>
        </is>
      </c>
      <c r="C59" s="29" t="inlineStr">
        <is>
          <t>資料編</t>
        </is>
      </c>
      <c r="D59" s="29" t="inlineStr">
        <is>
          <t>資料6 調査結果の詳細（新設案）</t>
        </is>
      </c>
      <c r="E59" s="30" t="inlineStr">
        <is>
          <t>資料編</t>
        </is>
      </c>
      <c r="F59" s="29" t="inlineStr">
        <is>
          <t>09_ニーズ調査グラフ</t>
        </is>
      </c>
      <c r="G59" s="30" t="inlineStr">
        <is>
          <t>J259</t>
        </is>
      </c>
      <c r="H59" s="29" t="inlineStr">
        <is>
          <t>資料：令和7年度 健康とくらしの調査（JAGES調査）</t>
        </is>
      </c>
      <c r="I59" s="29" t="inlineStr">
        <is>
          <t>第9期計画は14指標を掲載しており本指標は含まれない。本文（第2章第3節）へ移すか資料編に置くかを委員会で決定する</t>
        </is>
      </c>
    </row>
    <row r="60" ht="26" customHeight="1">
      <c r="A60" s="30" t="inlineStr">
        <is>
          <t>図8-34</t>
        </is>
      </c>
      <c r="B60" s="29" t="inlineStr">
        <is>
          <t>【⑰ 学習・教養サークル参加者（月1回以上）割合（年齢階級別）】</t>
        </is>
      </c>
      <c r="C60" s="29" t="inlineStr">
        <is>
          <t>資料編</t>
        </is>
      </c>
      <c r="D60" s="29" t="inlineStr">
        <is>
          <t>資料6 調査結果の詳細（新設案）</t>
        </is>
      </c>
      <c r="E60" s="30" t="inlineStr">
        <is>
          <t>資料編</t>
        </is>
      </c>
      <c r="F60" s="29" t="inlineStr">
        <is>
          <t>09_ニーズ調査グラフ</t>
        </is>
      </c>
      <c r="G60" s="30" t="inlineStr">
        <is>
          <t>A276</t>
        </is>
      </c>
      <c r="H60" s="29" t="inlineStr">
        <is>
          <t>資料：令和7年度 健康とくらしの調査（JAGES調査）</t>
        </is>
      </c>
      <c r="I60" s="29" t="inlineStr">
        <is>
          <t>第9期計画は14指標を掲載しており本指標は含まれない。本文（第2章第3節）へ移すか資料編に置くかを委員会で決定する</t>
        </is>
      </c>
    </row>
    <row r="61" ht="26" customHeight="1">
      <c r="A61" s="30" t="inlineStr">
        <is>
          <t>図8-35</t>
        </is>
      </c>
      <c r="B61" s="29" t="inlineStr">
        <is>
          <t>【⑰ 学習・教養サークル参加者（月1回以上）割合（町別）】</t>
        </is>
      </c>
      <c r="C61" s="29" t="inlineStr">
        <is>
          <t>資料編</t>
        </is>
      </c>
      <c r="D61" s="29" t="inlineStr">
        <is>
          <t>資料6 調査結果の詳細（新設案）</t>
        </is>
      </c>
      <c r="E61" s="30" t="inlineStr">
        <is>
          <t>資料編</t>
        </is>
      </c>
      <c r="F61" s="29" t="inlineStr">
        <is>
          <t>09_ニーズ調査グラフ</t>
        </is>
      </c>
      <c r="G61" s="30" t="inlineStr">
        <is>
          <t>J276</t>
        </is>
      </c>
      <c r="H61" s="29" t="inlineStr">
        <is>
          <t>資料：令和7年度 健康とくらしの調査（JAGES調査）</t>
        </is>
      </c>
      <c r="I61" s="29" t="inlineStr">
        <is>
          <t>第9期計画は14指標を掲載しており本指標は含まれない。本文（第2章第3節）へ移すか資料編に置くかを委員会で決定する</t>
        </is>
      </c>
    </row>
    <row r="62" ht="26" customHeight="1">
      <c r="A62" s="30" t="inlineStr">
        <is>
          <t>図8-36</t>
        </is>
      </c>
      <c r="B62" s="29" t="inlineStr">
        <is>
          <t>【⑱ 通いの場参加者（月1回以上）割合（年齢階級別）】</t>
        </is>
      </c>
      <c r="C62" s="29" t="inlineStr">
        <is>
          <t>第2章第3節</t>
        </is>
      </c>
      <c r="D62" s="29" t="inlineStr">
        <is>
          <t>高齢者の生活実態</t>
        </is>
      </c>
      <c r="E62" s="30" t="inlineStr">
        <is>
          <t>本文</t>
        </is>
      </c>
      <c r="F62" s="29" t="inlineStr">
        <is>
          <t>09_ニーズ調査グラフ</t>
        </is>
      </c>
      <c r="G62" s="30" t="inlineStr">
        <is>
          <t>A293</t>
        </is>
      </c>
      <c r="H62" s="29" t="inlineStr">
        <is>
          <t>資料：令和7年度 健康とくらしの調査（JAGES調査）</t>
        </is>
      </c>
      <c r="I62" s="29" t="inlineStr"/>
    </row>
    <row r="63" ht="26" customHeight="1">
      <c r="A63" s="30" t="inlineStr">
        <is>
          <t>図8-37</t>
        </is>
      </c>
      <c r="B63" s="29" t="inlineStr">
        <is>
          <t>【⑱ 通いの場参加者（月1回以上）割合（町別）】</t>
        </is>
      </c>
      <c r="C63" s="29" t="inlineStr">
        <is>
          <t>第2章第3節</t>
        </is>
      </c>
      <c r="D63" s="29" t="inlineStr">
        <is>
          <t>高齢者の生活実態</t>
        </is>
      </c>
      <c r="E63" s="30" t="inlineStr">
        <is>
          <t>本文</t>
        </is>
      </c>
      <c r="F63" s="29" t="inlineStr">
        <is>
          <t>09_ニーズ調査グラフ</t>
        </is>
      </c>
      <c r="G63" s="30" t="inlineStr">
        <is>
          <t>J293</t>
        </is>
      </c>
      <c r="H63" s="29" t="inlineStr">
        <is>
          <t>資料：令和7年度 健康とくらしの調査（JAGES調査）</t>
        </is>
      </c>
      <c r="I63" s="29" t="inlineStr"/>
    </row>
    <row r="64" ht="26" customHeight="1">
      <c r="A64" s="30" t="inlineStr">
        <is>
          <t>図8-38</t>
        </is>
      </c>
      <c r="B64" s="29" t="inlineStr">
        <is>
          <t>【⑲ 特技や経験を他者に伝える活動参加者（月1回以上）割合（年齢階級別）】</t>
        </is>
      </c>
      <c r="C64" s="29" t="inlineStr">
        <is>
          <t>資料編</t>
        </is>
      </c>
      <c r="D64" s="29" t="inlineStr">
        <is>
          <t>資料6 調査結果の詳細（新設案）</t>
        </is>
      </c>
      <c r="E64" s="30" t="inlineStr">
        <is>
          <t>資料編</t>
        </is>
      </c>
      <c r="F64" s="29" t="inlineStr">
        <is>
          <t>09_ニーズ調査グラフ</t>
        </is>
      </c>
      <c r="G64" s="30" t="inlineStr">
        <is>
          <t>A310</t>
        </is>
      </c>
      <c r="H64" s="29" t="inlineStr">
        <is>
          <t>資料：令和7年度 健康とくらしの調査（JAGES調査）</t>
        </is>
      </c>
      <c r="I64" s="29" t="inlineStr">
        <is>
          <t>第9期計画は14指標を掲載しており本指標は含まれない。本文（第2章第3節）へ移すか資料編に置くかを委員会で決定する</t>
        </is>
      </c>
    </row>
    <row r="65" ht="26" customHeight="1">
      <c r="A65" s="30" t="inlineStr">
        <is>
          <t>図8-39</t>
        </is>
      </c>
      <c r="B65" s="29" t="inlineStr">
        <is>
          <t>【⑲ 特技や経験を他者に伝える活動参加者（月1回以上）割合（町別）】</t>
        </is>
      </c>
      <c r="C65" s="29" t="inlineStr">
        <is>
          <t>資料編</t>
        </is>
      </c>
      <c r="D65" s="29" t="inlineStr">
        <is>
          <t>資料6 調査結果の詳細（新設案）</t>
        </is>
      </c>
      <c r="E65" s="30" t="inlineStr">
        <is>
          <t>資料編</t>
        </is>
      </c>
      <c r="F65" s="29" t="inlineStr">
        <is>
          <t>09_ニーズ調査グラフ</t>
        </is>
      </c>
      <c r="G65" s="30" t="inlineStr">
        <is>
          <t>J310</t>
        </is>
      </c>
      <c r="H65" s="29" t="inlineStr">
        <is>
          <t>資料：令和7年度 健康とくらしの調査（JAGES調査）</t>
        </is>
      </c>
      <c r="I65" s="29" t="inlineStr">
        <is>
          <t>第9期計画は14指標を掲載しており本指標は含まれない。本文（第2章第3節）へ移すか資料編に置くかを委員会で決定する</t>
        </is>
      </c>
    </row>
    <row r="66" ht="26" customHeight="1">
      <c r="A66" s="30" t="inlineStr">
        <is>
          <t>図8-40</t>
        </is>
      </c>
      <c r="B66" s="29" t="inlineStr">
        <is>
          <t>【⑳ 友人知人と会う頻度が高い（月1回以上）者の割合（年齢階級別）】</t>
        </is>
      </c>
      <c r="C66" s="29" t="inlineStr">
        <is>
          <t>第2章第3節</t>
        </is>
      </c>
      <c r="D66" s="29" t="inlineStr">
        <is>
          <t>高齢者の生活実態</t>
        </is>
      </c>
      <c r="E66" s="30" t="inlineStr">
        <is>
          <t>本文</t>
        </is>
      </c>
      <c r="F66" s="29" t="inlineStr">
        <is>
          <t>09_ニーズ調査グラフ</t>
        </is>
      </c>
      <c r="G66" s="30" t="inlineStr">
        <is>
          <t>A327</t>
        </is>
      </c>
      <c r="H66" s="29" t="inlineStr">
        <is>
          <t>資料：令和7年度 健康とくらしの調査（JAGES調査）</t>
        </is>
      </c>
      <c r="I66" s="29" t="inlineStr"/>
    </row>
    <row r="67" ht="26" customHeight="1">
      <c r="A67" s="30" t="inlineStr">
        <is>
          <t>図8-41</t>
        </is>
      </c>
      <c r="B67" s="29" t="inlineStr">
        <is>
          <t>【⑳ 友人知人と会う頻度が高い（月1回以上）者の割合（町別）】</t>
        </is>
      </c>
      <c r="C67" s="29" t="inlineStr">
        <is>
          <t>第2章第3節</t>
        </is>
      </c>
      <c r="D67" s="29" t="inlineStr">
        <is>
          <t>高齢者の生活実態</t>
        </is>
      </c>
      <c r="E67" s="30" t="inlineStr">
        <is>
          <t>本文</t>
        </is>
      </c>
      <c r="F67" s="29" t="inlineStr">
        <is>
          <t>09_ニーズ調査グラフ</t>
        </is>
      </c>
      <c r="G67" s="30" t="inlineStr">
        <is>
          <t>J327</t>
        </is>
      </c>
      <c r="H67" s="29" t="inlineStr">
        <is>
          <t>資料：令和7年度 健康とくらしの調査（JAGES調査）</t>
        </is>
      </c>
      <c r="I67" s="29" t="inlineStr"/>
    </row>
    <row r="68" ht="26" customHeight="1">
      <c r="A68" s="30" t="inlineStr">
        <is>
          <t>図8-42</t>
        </is>
      </c>
      <c r="B68" s="29" t="inlineStr">
        <is>
          <t>【令和4年→令和7年の変化（広域連合）】</t>
        </is>
      </c>
      <c r="C68" s="29" t="inlineStr">
        <is>
          <t>第2章第3節</t>
        </is>
      </c>
      <c r="D68" s="29" t="inlineStr">
        <is>
          <t>高齢者の生活実態</t>
        </is>
      </c>
      <c r="E68" s="30" t="inlineStr">
        <is>
          <t>本文</t>
        </is>
      </c>
      <c r="F68" s="29" t="inlineStr">
        <is>
          <t>09_ニーズ調査グラフ</t>
        </is>
      </c>
      <c r="G68" s="30" t="inlineStr">
        <is>
          <t>F344</t>
        </is>
      </c>
      <c r="H68" s="29" t="inlineStr">
        <is>
          <t>資料：令和7年度 健康とくらしの調査（JAGES調査）</t>
        </is>
      </c>
      <c r="I68" s="29" t="inlineStr">
        <is>
          <t>第2章第6節「各調査結果のまとめ」にも再掲する</t>
        </is>
      </c>
    </row>
    <row r="69" ht="26" customHeight="1">
      <c r="A69" s="30" t="inlineStr">
        <is>
          <t>図9-1</t>
        </is>
      </c>
      <c r="B69" s="29" t="inlineStr">
        <is>
          <t>【① 世帯類型】</t>
        </is>
      </c>
      <c r="C69" s="29" t="inlineStr">
        <is>
          <t>第2章第4節</t>
        </is>
      </c>
      <c r="D69" s="29" t="inlineStr">
        <is>
          <t>1 在宅介護実態調査</t>
        </is>
      </c>
      <c r="E69" s="30" t="inlineStr">
        <is>
          <t>本文</t>
        </is>
      </c>
      <c r="F69" s="29" t="inlineStr">
        <is>
          <t>10_在宅介護実態調査</t>
        </is>
      </c>
      <c r="G69" s="30" t="inlineStr">
        <is>
          <t>E4</t>
        </is>
      </c>
      <c r="H69" s="29" t="inlineStr">
        <is>
          <t>資料：在宅介護実態調査（令和5年5月25日〜6月30日・認定調査員の聞き取り）</t>
        </is>
      </c>
      <c r="I69" s="29" t="inlineStr"/>
    </row>
    <row r="70" ht="26" customHeight="1">
      <c r="A70" s="30" t="inlineStr">
        <is>
          <t>図9-2</t>
        </is>
      </c>
      <c r="B70" s="29" t="inlineStr">
        <is>
          <t>【② 家族等による介護の頻度】</t>
        </is>
      </c>
      <c r="C70" s="29" t="inlineStr">
        <is>
          <t>第2章第4節</t>
        </is>
      </c>
      <c r="D70" s="29" t="inlineStr">
        <is>
          <t>1 在宅介護実態調査</t>
        </is>
      </c>
      <c r="E70" s="30" t="inlineStr">
        <is>
          <t>本文</t>
        </is>
      </c>
      <c r="F70" s="29" t="inlineStr">
        <is>
          <t>10_在宅介護実態調査</t>
        </is>
      </c>
      <c r="G70" s="30" t="inlineStr">
        <is>
          <t>E23</t>
        </is>
      </c>
      <c r="H70" s="29" t="inlineStr">
        <is>
          <t>資料：在宅介護実態調査（令和5年5月25日〜6月30日・認定調査員の聞き取り）</t>
        </is>
      </c>
      <c r="I70" s="29" t="inlineStr"/>
    </row>
    <row r="71" ht="26" customHeight="1">
      <c r="A71" s="30" t="inlineStr">
        <is>
          <t>図9-3</t>
        </is>
      </c>
      <c r="B71" s="29" t="inlineStr">
        <is>
          <t>【③ 主な介護者が行っている介護（複数回答）】</t>
        </is>
      </c>
      <c r="C71" s="29" t="inlineStr">
        <is>
          <t>第2章第4節</t>
        </is>
      </c>
      <c r="D71" s="29" t="inlineStr">
        <is>
          <t>1 在宅介護実態調査</t>
        </is>
      </c>
      <c r="E71" s="30" t="inlineStr">
        <is>
          <t>本文</t>
        </is>
      </c>
      <c r="F71" s="29" t="inlineStr">
        <is>
          <t>10_在宅介護実態調査</t>
        </is>
      </c>
      <c r="G71" s="30" t="inlineStr">
        <is>
          <t>E45</t>
        </is>
      </c>
      <c r="H71" s="29" t="inlineStr">
        <is>
          <t>資料：在宅介護実態調査（令和5年5月25日〜6月30日・認定調査員の聞き取り）</t>
        </is>
      </c>
      <c r="I71" s="29" t="inlineStr"/>
    </row>
    <row r="72" ht="26" customHeight="1">
      <c r="A72" s="30" t="inlineStr">
        <is>
          <t>図9-4</t>
        </is>
      </c>
      <c r="B72" s="29" t="inlineStr">
        <is>
          <t>【④ 介護のための離職の有無】</t>
        </is>
      </c>
      <c r="C72" s="29" t="inlineStr">
        <is>
          <t>第2章第4節</t>
        </is>
      </c>
      <c r="D72" s="29" t="inlineStr">
        <is>
          <t>1 在宅介護実態調査</t>
        </is>
      </c>
      <c r="E72" s="30" t="inlineStr">
        <is>
          <t>本文</t>
        </is>
      </c>
      <c r="F72" s="29" t="inlineStr">
        <is>
          <t>10_在宅介護実態調査</t>
        </is>
      </c>
      <c r="G72" s="30" t="inlineStr">
        <is>
          <t>E80</t>
        </is>
      </c>
      <c r="H72" s="29" t="inlineStr">
        <is>
          <t>資料：在宅介護実態調査（令和5年5月25日〜6月30日・認定調査員の聞き取り）</t>
        </is>
      </c>
      <c r="I72" s="29" t="inlineStr"/>
    </row>
    <row r="73" ht="26" customHeight="1">
      <c r="A73" s="30" t="inlineStr">
        <is>
          <t>図9-5</t>
        </is>
      </c>
      <c r="B73" s="29" t="inlineStr">
        <is>
          <t>【⑤ 在宅生活の継続のために充実が必要な支援・サービス】</t>
        </is>
      </c>
      <c r="C73" s="29" t="inlineStr">
        <is>
          <t>第2章第4節</t>
        </is>
      </c>
      <c r="D73" s="29" t="inlineStr">
        <is>
          <t>1 在宅介護実態調査</t>
        </is>
      </c>
      <c r="E73" s="30" t="inlineStr">
        <is>
          <t>本文</t>
        </is>
      </c>
      <c r="F73" s="29" t="inlineStr">
        <is>
          <t>10_在宅介護実態調査</t>
        </is>
      </c>
      <c r="G73" s="30" t="inlineStr">
        <is>
          <t>E100</t>
        </is>
      </c>
      <c r="H73" s="29" t="inlineStr">
        <is>
          <t>資料：在宅介護実態調査（令和5年5月25日〜6月30日・認定調査員の聞き取り）</t>
        </is>
      </c>
      <c r="I73" s="29" t="inlineStr"/>
    </row>
    <row r="74" ht="26" customHeight="1">
      <c r="A74" s="30" t="inlineStr">
        <is>
          <t>図9-6</t>
        </is>
      </c>
      <c r="B74" s="29" t="inlineStr">
        <is>
          <t>【⑥ 施設等検討の状況】</t>
        </is>
      </c>
      <c r="C74" s="29" t="inlineStr">
        <is>
          <t>第2章第4節</t>
        </is>
      </c>
      <c r="D74" s="29" t="inlineStr">
        <is>
          <t>1 在宅介護実態調査</t>
        </is>
      </c>
      <c r="E74" s="30" t="inlineStr">
        <is>
          <t>本文</t>
        </is>
      </c>
      <c r="F74" s="29" t="inlineStr">
        <is>
          <t>10_在宅介護実態調査</t>
        </is>
      </c>
      <c r="G74" s="30" t="inlineStr">
        <is>
          <t>E128</t>
        </is>
      </c>
      <c r="H74" s="29" t="inlineStr">
        <is>
          <t>資料：在宅介護実態調査（令和5年5月25日〜6月30日・認定調査員の聞き取り）</t>
        </is>
      </c>
      <c r="I74" s="29" t="inlineStr"/>
    </row>
    <row r="75" ht="26" customHeight="1">
      <c r="A75" s="30" t="inlineStr">
        <is>
          <t>図10-1</t>
        </is>
      </c>
      <c r="B75" s="29" t="inlineStr">
        <is>
          <t>【① 退居・退所者に占める居所変更・死亡の割合（施設別）】</t>
        </is>
      </c>
      <c r="C75" s="29" t="inlineStr">
        <is>
          <t>第2章第4節</t>
        </is>
      </c>
      <c r="D75" s="29" t="inlineStr">
        <is>
          <t>2 居所変更実態調査</t>
        </is>
      </c>
      <c r="E75" s="30" t="inlineStr">
        <is>
          <t>本文</t>
        </is>
      </c>
      <c r="F75" s="29" t="inlineStr">
        <is>
          <t>11_居所変更実態調査</t>
        </is>
      </c>
      <c r="G75" s="30" t="inlineStr">
        <is>
          <t>M4</t>
        </is>
      </c>
      <c r="H75" s="29" t="inlineStr">
        <is>
          <t>資料：居所変更実態調査（令和5年5月25日送付・21施設回答）</t>
        </is>
      </c>
      <c r="I75" s="29" t="inlineStr">
        <is>
          <t>回答施設の内訳合計20と本文記載21が一致しない（修正指示書 確認事項）</t>
        </is>
      </c>
    </row>
    <row r="76" ht="26" customHeight="1">
      <c r="A76" s="30" t="inlineStr">
        <is>
          <t>図10-2</t>
        </is>
      </c>
      <c r="B76" s="29" t="inlineStr">
        <is>
          <t>【② 居所変更した人の要支援・要介護度（施設別）】</t>
        </is>
      </c>
      <c r="C76" s="29" t="inlineStr">
        <is>
          <t>第2章第4節</t>
        </is>
      </c>
      <c r="D76" s="29" t="inlineStr">
        <is>
          <t>2 居所変更実態調査</t>
        </is>
      </c>
      <c r="E76" s="30" t="inlineStr">
        <is>
          <t>本文</t>
        </is>
      </c>
      <c r="F76" s="29" t="inlineStr">
        <is>
          <t>11_居所変更実態調査</t>
        </is>
      </c>
      <c r="G76" s="30" t="inlineStr">
        <is>
          <t>M25</t>
        </is>
      </c>
      <c r="H76" s="29" t="inlineStr">
        <is>
          <t>資料：居所変更実態調査（令和5年5月25日送付・21施設回答）</t>
        </is>
      </c>
      <c r="I76" s="29" t="inlineStr"/>
    </row>
    <row r="77" ht="26" customHeight="1">
      <c r="A77" s="30" t="inlineStr">
        <is>
          <t>図10-3</t>
        </is>
      </c>
      <c r="B77" s="29" t="inlineStr">
        <is>
          <t>【③ 居所変更した理由（21施設）】</t>
        </is>
      </c>
      <c r="C77" s="29" t="inlineStr">
        <is>
          <t>第2章第4節</t>
        </is>
      </c>
      <c r="D77" s="29" t="inlineStr">
        <is>
          <t>2 居所変更実態調査</t>
        </is>
      </c>
      <c r="E77" s="30" t="inlineStr">
        <is>
          <t>本文</t>
        </is>
      </c>
      <c r="F77" s="29" t="inlineStr">
        <is>
          <t>11_居所変更実態調査</t>
        </is>
      </c>
      <c r="G77" s="30" t="inlineStr">
        <is>
          <t>M48</t>
        </is>
      </c>
      <c r="H77" s="29" t="inlineStr">
        <is>
          <t>資料：居所変更実態調査（令和5年5月25日送付・21施設回答）</t>
        </is>
      </c>
      <c r="I77" s="29" t="inlineStr"/>
    </row>
    <row r="78" ht="26" customHeight="1">
      <c r="A78" s="30" t="inlineStr">
        <is>
          <t>図11-1</t>
        </is>
      </c>
      <c r="B78" s="29" t="inlineStr">
        <is>
          <t>【① 生活の維持が難しくなっている利用者の属性】</t>
        </is>
      </c>
      <c r="C78" s="29" t="inlineStr">
        <is>
          <t>第2章第4節</t>
        </is>
      </c>
      <c r="D78" s="29" t="inlineStr">
        <is>
          <t>3 在宅生活改善調査</t>
        </is>
      </c>
      <c r="E78" s="30" t="inlineStr">
        <is>
          <t>本文</t>
        </is>
      </c>
      <c r="F78" s="29" t="inlineStr">
        <is>
          <t>12_在宅生活改善調査</t>
        </is>
      </c>
      <c r="G78" s="30" t="inlineStr">
        <is>
          <t>H4</t>
        </is>
      </c>
      <c r="H78" s="29" t="inlineStr">
        <is>
          <t>資料：在宅生活改善調査（令和5年5月25日送付・12事業所91人）</t>
        </is>
      </c>
      <c r="I78" s="29" t="inlineStr"/>
    </row>
    <row r="79" ht="26" customHeight="1">
      <c r="A79" s="30" t="inlineStr">
        <is>
          <t>図11-2</t>
        </is>
      </c>
      <c r="B79" s="29" t="inlineStr">
        <is>
          <t>【② 本人の状態に属する理由（要介護度別）】</t>
        </is>
      </c>
      <c r="C79" s="29" t="inlineStr">
        <is>
          <t>第2章第4節</t>
        </is>
      </c>
      <c r="D79" s="29" t="inlineStr">
        <is>
          <t>3 在宅生活改善調査</t>
        </is>
      </c>
      <c r="E79" s="30" t="inlineStr">
        <is>
          <t>本文</t>
        </is>
      </c>
      <c r="F79" s="29" t="inlineStr">
        <is>
          <t>12_在宅生活改善調査</t>
        </is>
      </c>
      <c r="G79" s="30" t="inlineStr">
        <is>
          <t>H26</t>
        </is>
      </c>
      <c r="H79" s="29" t="inlineStr">
        <is>
          <t>資料：在宅生活改善調査（令和5年5月25日送付・12事業所91人）</t>
        </is>
      </c>
      <c r="I79" s="29" t="inlineStr"/>
    </row>
    <row r="80" ht="26" customHeight="1">
      <c r="A80" s="30" t="inlineStr">
        <is>
          <t>図11-3</t>
        </is>
      </c>
      <c r="B80" s="29" t="inlineStr">
        <is>
          <t>【② 本人の状態に属する理由（令和2年度との比較）】</t>
        </is>
      </c>
      <c r="C80" s="29" t="inlineStr">
        <is>
          <t>第2章第4節</t>
        </is>
      </c>
      <c r="D80" s="29" t="inlineStr">
        <is>
          <t>3 在宅生活改善調査</t>
        </is>
      </c>
      <c r="E80" s="30" t="inlineStr">
        <is>
          <t>本文</t>
        </is>
      </c>
      <c r="F80" s="29" t="inlineStr">
        <is>
          <t>12_在宅生活改善調査</t>
        </is>
      </c>
      <c r="G80" s="30" t="inlineStr">
        <is>
          <t>H46</t>
        </is>
      </c>
      <c r="H80" s="29" t="inlineStr">
        <is>
          <t>資料：在宅生活改善調査（令和5年5月25日送付・12事業所91人）</t>
        </is>
      </c>
      <c r="I80" s="29" t="inlineStr"/>
    </row>
    <row r="81" ht="26" customHeight="1">
      <c r="A81" s="30" t="inlineStr">
        <is>
          <t>図11-4</t>
        </is>
      </c>
      <c r="B81" s="29" t="inlineStr">
        <is>
          <t>【③ 本人の意向に属する理由（要介護度別）】</t>
        </is>
      </c>
      <c r="C81" s="29" t="inlineStr">
        <is>
          <t>第2章第4節</t>
        </is>
      </c>
      <c r="D81" s="29" t="inlineStr">
        <is>
          <t>3 在宅生活改善調査</t>
        </is>
      </c>
      <c r="E81" s="30" t="inlineStr">
        <is>
          <t>本文</t>
        </is>
      </c>
      <c r="F81" s="29" t="inlineStr">
        <is>
          <t>12_在宅生活改善調査</t>
        </is>
      </c>
      <c r="G81" s="30" t="inlineStr">
        <is>
          <t>H66</t>
        </is>
      </c>
      <c r="H81" s="29" t="inlineStr">
        <is>
          <t>資料：在宅生活改善調査（令和5年5月25日送付・12事業所91人）</t>
        </is>
      </c>
      <c r="I81" s="29" t="inlineStr"/>
    </row>
    <row r="82" ht="26" customHeight="1">
      <c r="A82" s="30" t="inlineStr">
        <is>
          <t>図11-5</t>
        </is>
      </c>
      <c r="B82" s="29" t="inlineStr">
        <is>
          <t>【③ 本人の意向に属する理由（令和2年度との比較）】</t>
        </is>
      </c>
      <c r="C82" s="29" t="inlineStr">
        <is>
          <t>第2章第4節</t>
        </is>
      </c>
      <c r="D82" s="29" t="inlineStr">
        <is>
          <t>3 在宅生活改善調査</t>
        </is>
      </c>
      <c r="E82" s="30" t="inlineStr">
        <is>
          <t>本文</t>
        </is>
      </c>
      <c r="F82" s="29" t="inlineStr">
        <is>
          <t>12_在宅生活改善調査</t>
        </is>
      </c>
      <c r="G82" s="30" t="inlineStr">
        <is>
          <t>H86</t>
        </is>
      </c>
      <c r="H82" s="29" t="inlineStr">
        <is>
          <t>資料：在宅生活改善調査（令和5年5月25日送付・12事業所91人）</t>
        </is>
      </c>
      <c r="I82" s="29" t="inlineStr"/>
    </row>
    <row r="83" ht="26" customHeight="1">
      <c r="A83" s="30" t="inlineStr">
        <is>
          <t>図11-6</t>
        </is>
      </c>
      <c r="B83" s="29" t="inlineStr">
        <is>
          <t>【④ 家族等介護者の意向・負担等（要介護度別）】</t>
        </is>
      </c>
      <c r="C83" s="29" t="inlineStr">
        <is>
          <t>第2章第4節</t>
        </is>
      </c>
      <c r="D83" s="29" t="inlineStr">
        <is>
          <t>3 在宅生活改善調査</t>
        </is>
      </c>
      <c r="E83" s="30" t="inlineStr">
        <is>
          <t>本文</t>
        </is>
      </c>
      <c r="F83" s="29" t="inlineStr">
        <is>
          <t>12_在宅生活改善調査</t>
        </is>
      </c>
      <c r="G83" s="30" t="inlineStr">
        <is>
          <t>H106</t>
        </is>
      </c>
      <c r="H83" s="29" t="inlineStr">
        <is>
          <t>資料：在宅生活改善調査（令和5年5月25日送付・12事業所91人）</t>
        </is>
      </c>
      <c r="I83" s="29" t="inlineStr"/>
    </row>
    <row r="84" ht="26" customHeight="1">
      <c r="A84" s="30" t="inlineStr">
        <is>
          <t>図11-7</t>
        </is>
      </c>
      <c r="B84" s="29" t="inlineStr">
        <is>
          <t>【④ 家族等介護者の意向・負担等（令和2年度との比較）】</t>
        </is>
      </c>
      <c r="C84" s="29" t="inlineStr">
        <is>
          <t>第2章第4節</t>
        </is>
      </c>
      <c r="D84" s="29" t="inlineStr">
        <is>
          <t>3 在宅生活改善調査</t>
        </is>
      </c>
      <c r="E84" s="30" t="inlineStr">
        <is>
          <t>本文</t>
        </is>
      </c>
      <c r="F84" s="29" t="inlineStr">
        <is>
          <t>12_在宅生活改善調査</t>
        </is>
      </c>
      <c r="G84" s="30" t="inlineStr">
        <is>
          <t>H130</t>
        </is>
      </c>
      <c r="H84" s="29" t="inlineStr">
        <is>
          <t>資料：在宅生活改善調査（令和5年5月25日送付・12事業所91人）</t>
        </is>
      </c>
      <c r="I84" s="29" t="inlineStr"/>
    </row>
    <row r="85" ht="26" customHeight="1">
      <c r="A85" s="30" t="inlineStr">
        <is>
          <t>図12-1</t>
        </is>
      </c>
      <c r="B85" s="29" t="inlineStr">
        <is>
          <t>【（1）① 事業所の職員数（就業形態別・男女別）】</t>
        </is>
      </c>
      <c r="C85" s="29" t="inlineStr">
        <is>
          <t>第2章第5節</t>
        </is>
      </c>
      <c r="D85" s="29" t="inlineStr">
        <is>
          <t>介護事業所の現状</t>
        </is>
      </c>
      <c r="E85" s="30" t="inlineStr">
        <is>
          <t>本文</t>
        </is>
      </c>
      <c r="F85" s="29" t="inlineStr">
        <is>
          <t>13_介護人材実態調査</t>
        </is>
      </c>
      <c r="G85" s="30" t="inlineStr">
        <is>
          <t>J4</t>
        </is>
      </c>
      <c r="H85" s="29" t="inlineStr">
        <is>
          <t>資料：介護人材実態調査（令和5年5月25日送付・27施設405人）</t>
        </is>
      </c>
      <c r="I85" s="29" t="inlineStr"/>
    </row>
    <row r="86" ht="26" customHeight="1">
      <c r="A86" s="30" t="inlineStr">
        <is>
          <t>図12-2</t>
        </is>
      </c>
      <c r="B86" s="29" t="inlineStr">
        <is>
          <t>【（1）② 男女比較】</t>
        </is>
      </c>
      <c r="C86" s="29" t="inlineStr">
        <is>
          <t>第2章第5節</t>
        </is>
      </c>
      <c r="D86" s="29" t="inlineStr">
        <is>
          <t>介護事業所の現状</t>
        </is>
      </c>
      <c r="E86" s="30" t="inlineStr">
        <is>
          <t>本文</t>
        </is>
      </c>
      <c r="F86" s="29" t="inlineStr">
        <is>
          <t>13_介護人材実態調査</t>
        </is>
      </c>
      <c r="G86" s="30" t="inlineStr">
        <is>
          <t>J22</t>
        </is>
      </c>
      <c r="H86" s="29" t="inlineStr">
        <is>
          <t>資料：介護人材実態調査（令和5年5月25日送付・27施設405人）</t>
        </is>
      </c>
      <c r="I86" s="29" t="inlineStr"/>
    </row>
    <row r="87" ht="26" customHeight="1">
      <c r="A87" s="30" t="inlineStr">
        <is>
          <t>図12-3</t>
        </is>
      </c>
      <c r="B87" s="29" t="inlineStr">
        <is>
          <t>【（1）③ 就業形態比較】</t>
        </is>
      </c>
      <c r="C87" s="29" t="inlineStr">
        <is>
          <t>第2章第5節</t>
        </is>
      </c>
      <c r="D87" s="29" t="inlineStr">
        <is>
          <t>介護事業所の現状</t>
        </is>
      </c>
      <c r="E87" s="30" t="inlineStr">
        <is>
          <t>本文</t>
        </is>
      </c>
      <c r="F87" s="29" t="inlineStr">
        <is>
          <t>13_介護人材実態調査</t>
        </is>
      </c>
      <c r="G87" s="30" t="inlineStr">
        <is>
          <t>J40</t>
        </is>
      </c>
      <c r="H87" s="29" t="inlineStr">
        <is>
          <t>資料：介護人材実態調査（令和5年5月25日送付・27施設405人）</t>
        </is>
      </c>
      <c r="I87" s="29" t="inlineStr">
        <is>
          <t>本文の33.8％とグラフ値77.0％が一致しない（修正指示書 確認事項）</t>
        </is>
      </c>
    </row>
    <row r="88" ht="26" customHeight="1">
      <c r="A88" s="30" t="inlineStr">
        <is>
          <t>図12-4</t>
        </is>
      </c>
      <c r="B88" s="29" t="inlineStr">
        <is>
          <t>【（1）④ 全職員の就業形態（サービス系列別）】</t>
        </is>
      </c>
      <c r="C88" s="29" t="inlineStr">
        <is>
          <t>第2章第5節</t>
        </is>
      </c>
      <c r="D88" s="29" t="inlineStr">
        <is>
          <t>介護事業所の現状</t>
        </is>
      </c>
      <c r="E88" s="30" t="inlineStr">
        <is>
          <t>本文</t>
        </is>
      </c>
      <c r="F88" s="29" t="inlineStr">
        <is>
          <t>13_介護人材実態調査</t>
        </is>
      </c>
      <c r="G88" s="30" t="inlineStr">
        <is>
          <t>J58</t>
        </is>
      </c>
      <c r="H88" s="29" t="inlineStr">
        <is>
          <t>資料：介護人材実態調査（令和5年5月25日送付・27施設405人）</t>
        </is>
      </c>
      <c r="I88" s="29" t="inlineStr"/>
    </row>
    <row r="89" ht="26" customHeight="1">
      <c r="A89" s="30" t="inlineStr">
        <is>
          <t>図12-5</t>
        </is>
      </c>
      <c r="B89" s="29" t="inlineStr">
        <is>
          <t>【（2）事業所の開設後経過年数（サービス系列別）】</t>
        </is>
      </c>
      <c r="C89" s="29" t="inlineStr">
        <is>
          <t>第2章第5節</t>
        </is>
      </c>
      <c r="D89" s="29" t="inlineStr">
        <is>
          <t>介護事業所の現状</t>
        </is>
      </c>
      <c r="E89" s="30" t="inlineStr">
        <is>
          <t>本文</t>
        </is>
      </c>
      <c r="F89" s="29" t="inlineStr">
        <is>
          <t>13_介護人材実態調査</t>
        </is>
      </c>
      <c r="G89" s="30" t="inlineStr">
        <is>
          <t>J76</t>
        </is>
      </c>
      <c r="H89" s="29" t="inlineStr">
        <is>
          <t>資料：介護人材実態調査（令和5年5月25日送付・27施設405人）</t>
        </is>
      </c>
      <c r="I89" s="29" t="inlineStr"/>
    </row>
    <row r="90" ht="26" customHeight="1">
      <c r="A90" s="30" t="inlineStr">
        <is>
          <t>図12-6</t>
        </is>
      </c>
      <c r="B90" s="29" t="inlineStr">
        <is>
          <t>【（3）① 全職員の年齢構成（総数）】</t>
        </is>
      </c>
      <c r="C90" s="29" t="inlineStr">
        <is>
          <t>第2章第5節</t>
        </is>
      </c>
      <c r="D90" s="29" t="inlineStr">
        <is>
          <t>介護事業所の現状</t>
        </is>
      </c>
      <c r="E90" s="30" t="inlineStr">
        <is>
          <t>本文</t>
        </is>
      </c>
      <c r="F90" s="29" t="inlineStr">
        <is>
          <t>13_介護人材実態調査</t>
        </is>
      </c>
      <c r="G90" s="30" t="inlineStr">
        <is>
          <t>J94</t>
        </is>
      </c>
      <c r="H90" s="29" t="inlineStr">
        <is>
          <t>資料：介護人材実態調査（令和5年5月25日送付・27施設405人）</t>
        </is>
      </c>
      <c r="I90" s="29" t="inlineStr"/>
    </row>
    <row r="91" ht="26" customHeight="1">
      <c r="A91" s="30" t="inlineStr">
        <is>
          <t>図12-7</t>
        </is>
      </c>
      <c r="B91" s="29" t="inlineStr">
        <is>
          <t>【（3）② 全職員の年齢構成（サービス系列別）】</t>
        </is>
      </c>
      <c r="C91" s="29" t="inlineStr">
        <is>
          <t>第2章第5節</t>
        </is>
      </c>
      <c r="D91" s="29" t="inlineStr">
        <is>
          <t>介護事業所の現状</t>
        </is>
      </c>
      <c r="E91" s="30" t="inlineStr">
        <is>
          <t>本文</t>
        </is>
      </c>
      <c r="F91" s="29" t="inlineStr">
        <is>
          <t>13_介護人材実態調査</t>
        </is>
      </c>
      <c r="G91" s="30" t="inlineStr">
        <is>
          <t>J114</t>
        </is>
      </c>
      <c r="H91" s="29" t="inlineStr">
        <is>
          <t>資料：介護人材実態調査（令和5年5月25日送付・27施設405人）</t>
        </is>
      </c>
      <c r="I91" s="29" t="inlineStr"/>
    </row>
    <row r="92" ht="26" customHeight="1">
      <c r="A92" s="30" t="inlineStr">
        <is>
          <t>図12-8</t>
        </is>
      </c>
      <c r="B92" s="29" t="inlineStr">
        <is>
          <t>【（3）③ 全職員の在職年数（サービス系列別）】</t>
        </is>
      </c>
      <c r="C92" s="29" t="inlineStr">
        <is>
          <t>第2章第5節</t>
        </is>
      </c>
      <c r="D92" s="29" t="inlineStr">
        <is>
          <t>介護事業所の現状</t>
        </is>
      </c>
      <c r="E92" s="30" t="inlineStr">
        <is>
          <t>本文</t>
        </is>
      </c>
      <c r="F92" s="29" t="inlineStr">
        <is>
          <t>13_介護人材実態調査</t>
        </is>
      </c>
      <c r="G92" s="30" t="inlineStr">
        <is>
          <t>J132</t>
        </is>
      </c>
      <c r="H92" s="29" t="inlineStr">
        <is>
          <t>資料：介護人材実態調査（令和5年5月25日送付・27施設405人）</t>
        </is>
      </c>
      <c r="I92" s="29" t="inlineStr"/>
    </row>
    <row r="93" ht="26" customHeight="1">
      <c r="A93" s="30" t="inlineStr">
        <is>
          <t>図12-9</t>
        </is>
      </c>
      <c r="B93" s="29" t="inlineStr">
        <is>
          <t>【（3）④ 直前の職場（在職1年未満）】</t>
        </is>
      </c>
      <c r="C93" s="29" t="inlineStr">
        <is>
          <t>第2章第5節</t>
        </is>
      </c>
      <c r="D93" s="29" t="inlineStr">
        <is>
          <t>介護事業所の現状</t>
        </is>
      </c>
      <c r="E93" s="30" t="inlineStr">
        <is>
          <t>本文</t>
        </is>
      </c>
      <c r="F93" s="29" t="inlineStr">
        <is>
          <t>13_介護人材実態調査</t>
        </is>
      </c>
      <c r="G93" s="30" t="inlineStr">
        <is>
          <t>J150</t>
        </is>
      </c>
      <c r="H93" s="29" t="inlineStr">
        <is>
          <t>資料：介護人材実態調査（令和5年5月25日送付・27施設405人）</t>
        </is>
      </c>
      <c r="I93" s="29" t="inlineStr"/>
    </row>
    <row r="94" ht="26" customHeight="1">
      <c r="A94" s="30" t="inlineStr">
        <is>
          <t>図12-10</t>
        </is>
      </c>
      <c r="B94" s="29" t="inlineStr">
        <is>
          <t>【（3）④ 直前が介護の職場だった方の内訳】</t>
        </is>
      </c>
      <c r="C94" s="29" t="inlineStr">
        <is>
          <t>第2章第5節</t>
        </is>
      </c>
      <c r="D94" s="29" t="inlineStr">
        <is>
          <t>介護事業所の現状</t>
        </is>
      </c>
      <c r="E94" s="30" t="inlineStr">
        <is>
          <t>本文</t>
        </is>
      </c>
      <c r="F94" s="29" t="inlineStr">
        <is>
          <t>13_介護人材実態調査</t>
        </is>
      </c>
      <c r="G94" s="30" t="inlineStr">
        <is>
          <t>J172</t>
        </is>
      </c>
      <c r="H94" s="29" t="inlineStr">
        <is>
          <t>資料：介護人材実態調査（令和5年5月25日送付・27施設405人）</t>
        </is>
      </c>
      <c r="I94" s="29" t="inlineStr">
        <is>
          <t>2区分が原典から復元できず入力欄としている（修正指示書 確認事項）</t>
        </is>
      </c>
    </row>
    <row r="95" ht="26" customHeight="1">
      <c r="A95" s="30" t="inlineStr">
        <is>
          <t>図12-11</t>
        </is>
      </c>
      <c r="B95" s="29" t="inlineStr">
        <is>
          <t>【（4）資格の取得・研修の修了の状況】</t>
        </is>
      </c>
      <c r="C95" s="29" t="inlineStr">
        <is>
          <t>第2章第5節</t>
        </is>
      </c>
      <c r="D95" s="29" t="inlineStr">
        <is>
          <t>介護事業所の現状</t>
        </is>
      </c>
      <c r="E95" s="30" t="inlineStr">
        <is>
          <t>本文</t>
        </is>
      </c>
      <c r="F95" s="29" t="inlineStr">
        <is>
          <t>13_介護人材実態調査</t>
        </is>
      </c>
      <c r="G95" s="30" t="inlineStr">
        <is>
          <t>J190</t>
        </is>
      </c>
      <c r="H95" s="29" t="inlineStr">
        <is>
          <t>資料：介護人材実態調査（令和5年5月25日送付・27施設405人）</t>
        </is>
      </c>
      <c r="I95" s="29" t="inlineStr"/>
    </row>
    <row r="96" ht="26" customHeight="1">
      <c r="A96" s="30" t="inlineStr">
        <is>
          <t>図12-12</t>
        </is>
      </c>
      <c r="B96" s="29" t="inlineStr">
        <is>
          <t>【（5）② サービス別の採用者数・退職者数】</t>
        </is>
      </c>
      <c r="C96" s="29" t="inlineStr">
        <is>
          <t>第2章第5節</t>
        </is>
      </c>
      <c r="D96" s="29" t="inlineStr">
        <is>
          <t>介護事業所の現状</t>
        </is>
      </c>
      <c r="E96" s="30" t="inlineStr">
        <is>
          <t>本文</t>
        </is>
      </c>
      <c r="F96" s="29" t="inlineStr">
        <is>
          <t>13_介護人材実態調査</t>
        </is>
      </c>
      <c r="G96" s="30" t="inlineStr">
        <is>
          <t>J208</t>
        </is>
      </c>
      <c r="H96" s="29" t="inlineStr">
        <is>
          <t>資料：介護人材実態調査（令和5年5月25日送付・27施設405人）</t>
        </is>
      </c>
      <c r="I96" s="29" t="inlineStr"/>
    </row>
    <row r="97" ht="26" customHeight="1">
      <c r="A97" s="30" t="inlineStr">
        <is>
          <t>図12-13</t>
        </is>
      </c>
      <c r="B97" s="29" t="inlineStr">
        <is>
          <t>【（5）③ 年齢別の採用者数・退職者数】</t>
        </is>
      </c>
      <c r="C97" s="29" t="inlineStr">
        <is>
          <t>第2章第5節</t>
        </is>
      </c>
      <c r="D97" s="29" t="inlineStr">
        <is>
          <t>介護事業所の現状</t>
        </is>
      </c>
      <c r="E97" s="30" t="inlineStr">
        <is>
          <t>本文</t>
        </is>
      </c>
      <c r="F97" s="29" t="inlineStr">
        <is>
          <t>13_介護人材実態調査</t>
        </is>
      </c>
      <c r="G97" s="30" t="inlineStr">
        <is>
          <t>J228</t>
        </is>
      </c>
      <c r="H97" s="29" t="inlineStr">
        <is>
          <t>資料：介護人材実態調査（令和5年5月25日送付・27施設405人）</t>
        </is>
      </c>
      <c r="I97" s="29" t="inlineStr"/>
    </row>
    <row r="98" ht="26" customHeight="1">
      <c r="A98" s="30" t="inlineStr">
        <is>
          <t>図12-14</t>
        </is>
      </c>
      <c r="B98" s="29" t="inlineStr">
        <is>
          <t>【（6）過去1週間の勤務時間】</t>
        </is>
      </c>
      <c r="C98" s="29" t="inlineStr">
        <is>
          <t>第2章第5節</t>
        </is>
      </c>
      <c r="D98" s="29" t="inlineStr">
        <is>
          <t>介護事業所の現状</t>
        </is>
      </c>
      <c r="E98" s="30" t="inlineStr">
        <is>
          <t>本文</t>
        </is>
      </c>
      <c r="F98" s="29" t="inlineStr">
        <is>
          <t>13_介護人材実態調査</t>
        </is>
      </c>
      <c r="G98" s="30" t="inlineStr">
        <is>
          <t>J248</t>
        </is>
      </c>
      <c r="H98" s="29" t="inlineStr">
        <is>
          <t>資料：介護人材実態調査（令和5年5月25日送付・27施設405人）</t>
        </is>
      </c>
      <c r="I98" s="29" t="inlineStr"/>
    </row>
    <row r="99" ht="26" customHeight="1">
      <c r="A99" s="30" t="inlineStr">
        <is>
          <t>図13-1</t>
        </is>
      </c>
      <c r="B99" s="29" t="inlineStr">
        <is>
          <t>【高齢者の年齢構成（5歳階級別）の推移】</t>
        </is>
      </c>
      <c r="C99" s="29" t="inlineStr">
        <is>
          <t>第2章第1節</t>
        </is>
      </c>
      <c r="D99" s="29" t="inlineStr">
        <is>
          <t>2 見える化システムで確認した直近の状況</t>
        </is>
      </c>
      <c r="E99" s="30" t="inlineStr">
        <is>
          <t>本文</t>
        </is>
      </c>
      <c r="F99" s="29" t="inlineStr">
        <is>
          <t>14_年齢構成と85歳以上</t>
        </is>
      </c>
      <c r="G99" s="30" t="inlineStr">
        <is>
          <t>L4</t>
        </is>
      </c>
      <c r="H99" s="29" t="inlineStr">
        <is>
          <t>資料：地域包括ケア「見える化」システム（国勢調査及び社人研推計）</t>
        </is>
      </c>
      <c r="I99" s="29" t="inlineStr"/>
    </row>
    <row r="100" ht="26" customHeight="1">
      <c r="A100" s="30" t="inlineStr">
        <is>
          <t>図13-2</t>
        </is>
      </c>
      <c r="B100" s="29" t="inlineStr">
        <is>
          <t>【85歳以上人口の推移】</t>
        </is>
      </c>
      <c r="C100" s="29" t="inlineStr">
        <is>
          <t>第2章第1節</t>
        </is>
      </c>
      <c r="D100" s="29" t="inlineStr">
        <is>
          <t>2 見える化システムで確認した直近の状況</t>
        </is>
      </c>
      <c r="E100" s="30" t="inlineStr">
        <is>
          <t>本文</t>
        </is>
      </c>
      <c r="F100" s="29" t="inlineStr">
        <is>
          <t>14_年齢構成と85歳以上</t>
        </is>
      </c>
      <c r="G100" s="30" t="inlineStr">
        <is>
          <t>L30</t>
        </is>
      </c>
      <c r="H100" s="29" t="inlineStr">
        <is>
          <t>資料：地域包括ケア「見える化」システム（国勢調査及び社人研推計）</t>
        </is>
      </c>
      <c r="I100" s="29" t="inlineStr"/>
    </row>
    <row r="101" ht="26" customHeight="1">
      <c r="A101" s="30" t="inlineStr">
        <is>
          <t>図13-3</t>
        </is>
      </c>
      <c r="B101" s="29" t="inlineStr">
        <is>
          <t>【前期・後期別高齢者数の推移】</t>
        </is>
      </c>
      <c r="C101" s="29" t="inlineStr">
        <is>
          <t>第2章第1節</t>
        </is>
      </c>
      <c r="D101" s="29" t="inlineStr">
        <is>
          <t>2 見える化システムで確認した直近の状況</t>
        </is>
      </c>
      <c r="E101" s="30" t="inlineStr">
        <is>
          <t>本文</t>
        </is>
      </c>
      <c r="F101" s="29" t="inlineStr">
        <is>
          <t>14_年齢構成と85歳以上</t>
        </is>
      </c>
      <c r="G101" s="30" t="inlineStr">
        <is>
          <t>L56</t>
        </is>
      </c>
      <c r="H101" s="29" t="inlineStr">
        <is>
          <t>資料：地域包括ケア「見える化」システム（国勢調査及び社人研推計）</t>
        </is>
      </c>
      <c r="I101" s="29" t="inlineStr"/>
    </row>
    <row r="102" ht="26" customHeight="1">
      <c r="A102" s="30" t="inlineStr">
        <is>
          <t>図14-1</t>
        </is>
      </c>
      <c r="B102" s="29" t="inlineStr">
        <is>
          <t>【訪問介護（回）　受給者1人あたり利用日数・回数の推移】</t>
        </is>
      </c>
      <c r="C102" s="29" t="inlineStr">
        <is>
          <t>第2章第1節</t>
        </is>
      </c>
      <c r="D102" s="29" t="inlineStr">
        <is>
          <t>3 主要サービスの受給者1人当たり利用日数・回数</t>
        </is>
      </c>
      <c r="E102" s="30" t="inlineStr">
        <is>
          <t>本文</t>
        </is>
      </c>
      <c r="F102" s="29" t="inlineStr">
        <is>
          <t>15_サービス利用強度</t>
        </is>
      </c>
      <c r="G102" s="30" t="inlineStr">
        <is>
          <t>P4</t>
        </is>
      </c>
      <c r="H102" s="29" t="inlineStr">
        <is>
          <t>資料：地域包括ケア「見える化」システム</t>
        </is>
      </c>
      <c r="I102" s="29" t="inlineStr"/>
    </row>
    <row r="103" ht="26" customHeight="1">
      <c r="A103" s="30" t="inlineStr">
        <is>
          <t>図14-2</t>
        </is>
      </c>
      <c r="B103" s="29" t="inlineStr">
        <is>
          <t>【訪問看護（回）　受給者1人あたり利用日数・回数の推移】</t>
        </is>
      </c>
      <c r="C103" s="29" t="inlineStr">
        <is>
          <t>第2章第1節</t>
        </is>
      </c>
      <c r="D103" s="29" t="inlineStr">
        <is>
          <t>3 主要サービスの受給者1人当たり利用日数・回数</t>
        </is>
      </c>
      <c r="E103" s="30" t="inlineStr">
        <is>
          <t>本文</t>
        </is>
      </c>
      <c r="F103" s="29" t="inlineStr">
        <is>
          <t>15_サービス利用強度</t>
        </is>
      </c>
      <c r="G103" s="30" t="inlineStr">
        <is>
          <t>P25</t>
        </is>
      </c>
      <c r="H103" s="29" t="inlineStr">
        <is>
          <t>資料：地域包括ケア「見える化」システム</t>
        </is>
      </c>
      <c r="I103" s="29" t="inlineStr"/>
    </row>
    <row r="104" ht="26" customHeight="1">
      <c r="A104" s="30" t="inlineStr">
        <is>
          <t>図14-3</t>
        </is>
      </c>
      <c r="B104" s="29" t="inlineStr">
        <is>
          <t>【通所介護（日）　受給者1人あたり利用日数・回数の推移】</t>
        </is>
      </c>
      <c r="C104" s="29" t="inlineStr">
        <is>
          <t>第2章第1節</t>
        </is>
      </c>
      <c r="D104" s="29" t="inlineStr">
        <is>
          <t>3 主要サービスの受給者1人当たり利用日数・回数</t>
        </is>
      </c>
      <c r="E104" s="30" t="inlineStr">
        <is>
          <t>本文</t>
        </is>
      </c>
      <c r="F104" s="29" t="inlineStr">
        <is>
          <t>15_サービス利用強度</t>
        </is>
      </c>
      <c r="G104" s="30" t="inlineStr">
        <is>
          <t>P46</t>
        </is>
      </c>
      <c r="H104" s="29" t="inlineStr">
        <is>
          <t>資料：地域包括ケア「見える化」システム</t>
        </is>
      </c>
      <c r="I104" s="29" t="inlineStr"/>
    </row>
    <row r="105" ht="26" customHeight="1">
      <c r="A105" s="30" t="inlineStr">
        <is>
          <t>図14-4</t>
        </is>
      </c>
      <c r="B105" s="29" t="inlineStr">
        <is>
          <t>【通所リハビリテーション（日）　受給者1人あたり利用日数・回数の推移】</t>
        </is>
      </c>
      <c r="C105" s="29" t="inlineStr">
        <is>
          <t>第2章第1節</t>
        </is>
      </c>
      <c r="D105" s="29" t="inlineStr">
        <is>
          <t>3 主要サービスの受給者1人当たり利用日数・回数</t>
        </is>
      </c>
      <c r="E105" s="30" t="inlineStr">
        <is>
          <t>本文</t>
        </is>
      </c>
      <c r="F105" s="29" t="inlineStr">
        <is>
          <t>15_サービス利用強度</t>
        </is>
      </c>
      <c r="G105" s="30" t="inlineStr">
        <is>
          <t>P67</t>
        </is>
      </c>
      <c r="H105" s="29" t="inlineStr">
        <is>
          <t>資料：地域包括ケア「見える化」システム</t>
        </is>
      </c>
      <c r="I105" s="29" t="inlineStr"/>
    </row>
    <row r="106" ht="26" customHeight="1">
      <c r="A106" s="30" t="inlineStr">
        <is>
          <t>図14-5</t>
        </is>
      </c>
      <c r="B106" s="29" t="inlineStr">
        <is>
          <t>【地域密着型通所介護（日）　受給者1人あたり利用日数・回数の推移】</t>
        </is>
      </c>
      <c r="C106" s="29" t="inlineStr">
        <is>
          <t>第2章第1節</t>
        </is>
      </c>
      <c r="D106" s="29" t="inlineStr">
        <is>
          <t>3 主要サービスの受給者1人当たり利用日数・回数</t>
        </is>
      </c>
      <c r="E106" s="30" t="inlineStr">
        <is>
          <t>本文</t>
        </is>
      </c>
      <c r="F106" s="29" t="inlineStr">
        <is>
          <t>15_サービス利用強度</t>
        </is>
      </c>
      <c r="G106" s="30" t="inlineStr">
        <is>
          <t>P88</t>
        </is>
      </c>
      <c r="H106" s="29" t="inlineStr">
        <is>
          <t>資料：地域包括ケア「見える化」システム</t>
        </is>
      </c>
      <c r="I106" s="29" t="inlineStr"/>
    </row>
    <row r="107" ht="26" customHeight="1">
      <c r="A107" s="30" t="inlineStr">
        <is>
          <t>図15-1</t>
        </is>
      </c>
      <c r="B107" s="29" t="inlineStr">
        <is>
          <t>【町別総人口の推移と将来推計】</t>
        </is>
      </c>
      <c r="C107" s="29" t="inlineStr">
        <is>
          <t>第2章第7節</t>
        </is>
      </c>
      <c r="D107" s="29" t="inlineStr">
        <is>
          <t>中長期推計からみた需要と財政</t>
        </is>
      </c>
      <c r="E107" s="30" t="inlineStr">
        <is>
          <t>本文</t>
        </is>
      </c>
      <c r="F107" s="29" t="inlineStr">
        <is>
          <t>16_町別将来推計</t>
        </is>
      </c>
      <c r="G107" s="30" t="inlineStr">
        <is>
          <t>N4</t>
        </is>
      </c>
      <c r="H107" s="29" t="inlineStr">
        <is>
          <t>資料：地域包括ケア「見える化」システム（国勢調査及び社人研推計）</t>
        </is>
      </c>
      <c r="I107" s="29" t="inlineStr"/>
    </row>
    <row r="108" ht="26" customHeight="1">
      <c r="A108" s="30" t="inlineStr">
        <is>
          <t>図15-2</t>
        </is>
      </c>
      <c r="B108" s="29" t="inlineStr">
        <is>
          <t>【町別高齢化率の推移と将来推計】</t>
        </is>
      </c>
      <c r="C108" s="29" t="inlineStr">
        <is>
          <t>第2章第7節</t>
        </is>
      </c>
      <c r="D108" s="29" t="inlineStr">
        <is>
          <t>中長期推計からみた需要と財政</t>
        </is>
      </c>
      <c r="E108" s="30" t="inlineStr">
        <is>
          <t>本文</t>
        </is>
      </c>
      <c r="F108" s="29" t="inlineStr">
        <is>
          <t>16_町別将来推計</t>
        </is>
      </c>
      <c r="G108" s="30" t="inlineStr">
        <is>
          <t>N28</t>
        </is>
      </c>
      <c r="H108" s="29" t="inlineStr">
        <is>
          <t>資料：地域包括ケア「見える化」システム（国勢調査及び社人研推計）</t>
        </is>
      </c>
      <c r="I108" s="29" t="inlineStr"/>
    </row>
    <row r="109" ht="26" customHeight="1">
      <c r="A109" s="30" t="inlineStr">
        <is>
          <t>図16-1</t>
        </is>
      </c>
      <c r="B109" s="29" t="inlineStr">
        <is>
          <t>【高齢者1人あたり現役世代数の推移と将来推計】</t>
        </is>
      </c>
      <c r="C109" s="29" t="inlineStr">
        <is>
          <t>第2章第7節</t>
        </is>
      </c>
      <c r="D109" s="29" t="inlineStr">
        <is>
          <t>中長期推計からみた需要と財政</t>
        </is>
      </c>
      <c r="E109" s="30" t="inlineStr">
        <is>
          <t>本文</t>
        </is>
      </c>
      <c r="F109" s="29" t="inlineStr">
        <is>
          <t>17_担い手の推移</t>
        </is>
      </c>
      <c r="G109" s="30" t="inlineStr">
        <is>
          <t>N4</t>
        </is>
      </c>
      <c r="H109" s="29" t="inlineStr">
        <is>
          <t>資料：地域包括ケア「見える化」システム（国勢調査及び社人研推計）</t>
        </is>
      </c>
      <c r="I109" s="29" t="inlineStr"/>
    </row>
    <row r="110" ht="26" customHeight="1">
      <c r="A110" s="30" t="inlineStr">
        <is>
          <t>図17-1</t>
        </is>
      </c>
      <c r="B110" s="29" t="inlineStr">
        <is>
          <t>【介護サービス利用率の推移（大雪地区広域連合）】</t>
        </is>
      </c>
      <c r="C110" s="29" t="inlineStr">
        <is>
          <t>第2章第2節</t>
        </is>
      </c>
      <c r="D110" s="29" t="inlineStr">
        <is>
          <t>保険給付や地域支援事業の実態把握と分析</t>
        </is>
      </c>
      <c r="E110" s="30" t="inlineStr">
        <is>
          <t>本文</t>
        </is>
      </c>
      <c r="F110" s="29" t="inlineStr">
        <is>
          <t>18_受給率・利用率</t>
        </is>
      </c>
      <c r="G110" s="30" t="inlineStr">
        <is>
          <t>P4</t>
        </is>
      </c>
      <c r="H110" s="29" t="inlineStr">
        <is>
          <t>資料：地域包括ケア「見える化」システム</t>
        </is>
      </c>
      <c r="I110" s="29" t="inlineStr"/>
    </row>
    <row r="111" ht="26" customHeight="1">
      <c r="A111" s="30" t="inlineStr">
        <is>
          <t>図17-2</t>
        </is>
      </c>
      <c r="B111" s="29" t="inlineStr">
        <is>
          <t>【在宅・居住系サービス利用者割合の推移】</t>
        </is>
      </c>
      <c r="C111" s="29" t="inlineStr">
        <is>
          <t>第2章第2節</t>
        </is>
      </c>
      <c r="D111" s="29" t="inlineStr">
        <is>
          <t>保険給付や地域支援事業の実態把握と分析</t>
        </is>
      </c>
      <c r="E111" s="30" t="inlineStr">
        <is>
          <t>本文</t>
        </is>
      </c>
      <c r="F111" s="29" t="inlineStr">
        <is>
          <t>18_受給率・利用率</t>
        </is>
      </c>
      <c r="G111" s="30" t="inlineStr">
        <is>
          <t>P26</t>
        </is>
      </c>
      <c r="H111" s="29" t="inlineStr">
        <is>
          <t>資料：地域包括ケア「見える化」システム</t>
        </is>
      </c>
      <c r="I111" s="29" t="inlineStr"/>
    </row>
    <row r="112" ht="26" customHeight="1">
      <c r="A112" s="30" t="inlineStr">
        <is>
          <t>図17-3</t>
        </is>
      </c>
      <c r="B112" s="29" t="inlineStr">
        <is>
          <t>【施設・居住系サービス受給率の推移（全国・北海道との比較）】</t>
        </is>
      </c>
      <c r="C112" s="29" t="inlineStr">
        <is>
          <t>第2章第2節</t>
        </is>
      </c>
      <c r="D112" s="29" t="inlineStr">
        <is>
          <t>保険給付や地域支援事業の実態把握と分析</t>
        </is>
      </c>
      <c r="E112" s="30" t="inlineStr">
        <is>
          <t>本文</t>
        </is>
      </c>
      <c r="F112" s="29" t="inlineStr">
        <is>
          <t>18_受給率・利用率</t>
        </is>
      </c>
      <c r="G112" s="30" t="inlineStr">
        <is>
          <t>P48</t>
        </is>
      </c>
      <c r="H112" s="29" t="inlineStr">
        <is>
          <t>資料：地域包括ケア「見える化」システム</t>
        </is>
      </c>
      <c r="I112" s="29" t="inlineStr"/>
    </row>
    <row r="113" ht="26" customHeight="1">
      <c r="A113" s="30" t="inlineStr">
        <is>
          <t>図18-1</t>
        </is>
      </c>
      <c r="B113" s="29" t="inlineStr">
        <is>
          <t>【第1号被保険者1人あたり給付月額（在宅サービス）】</t>
        </is>
      </c>
      <c r="C113" s="29" t="inlineStr">
        <is>
          <t>第2章第2節</t>
        </is>
      </c>
      <c r="D113" s="29" t="inlineStr">
        <is>
          <t>保険給付や地域支援事業の実態把握と分析</t>
        </is>
      </c>
      <c r="E113" s="30" t="inlineStr">
        <is>
          <t>本文</t>
        </is>
      </c>
      <c r="F113" s="29" t="inlineStr">
        <is>
          <t>19_給付月額の比較</t>
        </is>
      </c>
      <c r="G113" s="30" t="inlineStr">
        <is>
          <t>P4</t>
        </is>
      </c>
      <c r="H113" s="29" t="inlineStr">
        <is>
          <t>資料：地域包括ケア「見える化」システム</t>
        </is>
      </c>
      <c r="I113" s="29" t="inlineStr"/>
    </row>
    <row r="114" ht="26" customHeight="1">
      <c r="A114" s="30" t="inlineStr">
        <is>
          <t>図18-2</t>
        </is>
      </c>
      <c r="B114" s="29" t="inlineStr">
        <is>
          <t>【第1号被保険者1人あたり給付月額（施設および居住系サービス）】</t>
        </is>
      </c>
      <c r="C114" s="29" t="inlineStr">
        <is>
          <t>第2章第2節</t>
        </is>
      </c>
      <c r="D114" s="29" t="inlineStr">
        <is>
          <t>保険給付や地域支援事業の実態把握と分析</t>
        </is>
      </c>
      <c r="E114" s="30" t="inlineStr">
        <is>
          <t>本文</t>
        </is>
      </c>
      <c r="F114" s="29" t="inlineStr">
        <is>
          <t>19_給付月額の比較</t>
        </is>
      </c>
      <c r="G114" s="30" t="inlineStr">
        <is>
          <t>P26</t>
        </is>
      </c>
      <c r="H114" s="29" t="inlineStr">
        <is>
          <t>資料：地域包括ケア「見える化」システム</t>
        </is>
      </c>
      <c r="I114" s="29" t="inlineStr"/>
    </row>
    <row r="115" ht="26" customHeight="1">
      <c r="A115" s="30" t="inlineStr">
        <is>
          <t>図18-3</t>
        </is>
      </c>
      <c r="B115" s="29" t="inlineStr">
        <is>
          <t>【受給者1人あたり給付月額の比較（令和7年度）】</t>
        </is>
      </c>
      <c r="C115" s="29" t="inlineStr">
        <is>
          <t>第2章第2節</t>
        </is>
      </c>
      <c r="D115" s="29" t="inlineStr">
        <is>
          <t>保険給付や地域支援事業の実態把握と分析</t>
        </is>
      </c>
      <c r="E115" s="30" t="inlineStr">
        <is>
          <t>本文</t>
        </is>
      </c>
      <c r="F115" s="29" t="inlineStr">
        <is>
          <t>19_給付月額の比較</t>
        </is>
      </c>
      <c r="G115" s="30" t="inlineStr">
        <is>
          <t>P48</t>
        </is>
      </c>
      <c r="H115" s="29" t="inlineStr">
        <is>
          <t>資料：地域包括ケア「見える化」システム</t>
        </is>
      </c>
      <c r="I115" s="29" t="inlineStr"/>
    </row>
    <row r="116" ht="26" customHeight="1">
      <c r="A116" s="30" t="inlineStr">
        <is>
          <t>図19-1</t>
        </is>
      </c>
      <c r="B116" s="29" t="inlineStr">
        <is>
          <t>【認定率の推移と第9期目標】</t>
        </is>
      </c>
      <c r="C116" s="29" t="inlineStr">
        <is>
          <t>第3章第4節</t>
        </is>
      </c>
      <c r="D116" s="29" t="inlineStr">
        <is>
          <t>第9期計画の評価と第10期への課題</t>
        </is>
      </c>
      <c r="E116" s="30" t="inlineStr">
        <is>
          <t>本文</t>
        </is>
      </c>
      <c r="F116" s="29" t="inlineStr">
        <is>
          <t>20_第9期の達成状況</t>
        </is>
      </c>
      <c r="G116" s="30" t="inlineStr">
        <is>
          <t>I4</t>
        </is>
      </c>
      <c r="H116" s="29" t="inlineStr">
        <is>
          <t>資料：第9期介護保険事業計画／地域包括ケア「見える化」システム／令和7年度 健康とくらしの調査</t>
        </is>
      </c>
      <c r="I116" s="29" t="inlineStr"/>
    </row>
    <row r="117" ht="26" customHeight="1">
      <c r="A117" s="30" t="inlineStr">
        <is>
          <t>図19-2</t>
        </is>
      </c>
      <c r="B117" s="29" t="inlineStr">
        <is>
          <t>【保険給付費・地域支援事業費の決算推移】</t>
        </is>
      </c>
      <c r="C117" s="29" t="inlineStr">
        <is>
          <t>第3章第4節</t>
        </is>
      </c>
      <c r="D117" s="29" t="inlineStr">
        <is>
          <t>第9期計画の評価と第10期への課題</t>
        </is>
      </c>
      <c r="E117" s="30" t="inlineStr">
        <is>
          <t>本文</t>
        </is>
      </c>
      <c r="F117" s="29" t="inlineStr">
        <is>
          <t>20_第9期の達成状況</t>
        </is>
      </c>
      <c r="G117" s="30" t="inlineStr">
        <is>
          <t>I26</t>
        </is>
      </c>
      <c r="H117" s="29" t="inlineStr">
        <is>
          <t>資料：第9期介護保険事業計画／地域包括ケア「見える化」システム／令和7年度 健康とくらしの調査</t>
        </is>
      </c>
      <c r="I117" s="29" t="inlineStr"/>
    </row>
    <row r="118" ht="26" customHeight="1">
      <c r="A118" s="30" t="inlineStr">
        <is>
          <t>図20-1</t>
        </is>
      </c>
      <c r="B118" s="29" t="inlineStr">
        <is>
          <t>【受給率の内訳（令和7年）】</t>
        </is>
      </c>
      <c r="C118" s="29" t="inlineStr">
        <is>
          <t>第2章第2節</t>
        </is>
      </c>
      <c r="D118" s="29" t="inlineStr">
        <is>
          <t>保険給付や地域支援事業の実態把握と分析</t>
        </is>
      </c>
      <c r="E118" s="30" t="inlineStr">
        <is>
          <t>本文</t>
        </is>
      </c>
      <c r="F118" s="29" t="inlineStr">
        <is>
          <t>21_受給率と定員</t>
        </is>
      </c>
      <c r="G118" s="30" t="inlineStr">
        <is>
          <t>P4</t>
        </is>
      </c>
      <c r="H118" s="29" t="inlineStr">
        <is>
          <t>資料：地域包括ケア「見える化」システム</t>
        </is>
      </c>
      <c r="I118" s="29" t="inlineStr"/>
    </row>
    <row r="119" ht="26" customHeight="1">
      <c r="A119" s="30" t="inlineStr">
        <is>
          <t>図20-2</t>
        </is>
      </c>
      <c r="B119" s="29" t="inlineStr">
        <is>
          <t>【施設および居住系サービス受給率の推移】</t>
        </is>
      </c>
      <c r="C119" s="29" t="inlineStr">
        <is>
          <t>第2章第2節</t>
        </is>
      </c>
      <c r="D119" s="29" t="inlineStr">
        <is>
          <t>保険給付や地域支援事業の実態把握と分析</t>
        </is>
      </c>
      <c r="E119" s="30" t="inlineStr">
        <is>
          <t>本文</t>
        </is>
      </c>
      <c r="F119" s="29" t="inlineStr">
        <is>
          <t>21_受給率と定員</t>
        </is>
      </c>
      <c r="G119" s="30" t="inlineStr">
        <is>
          <t>P22</t>
        </is>
      </c>
      <c r="H119" s="29" t="inlineStr">
        <is>
          <t>資料：地域包括ケア「見える化」システム</t>
        </is>
      </c>
      <c r="I119" s="29" t="inlineStr"/>
    </row>
    <row r="120" ht="26" customHeight="1">
      <c r="A120" s="30" t="inlineStr">
        <is>
          <t>図20-3</t>
        </is>
      </c>
      <c r="B120" s="29" t="inlineStr">
        <is>
          <t>【要支援・要介護者1人あたり定員の推移】</t>
        </is>
      </c>
      <c r="C120" s="29" t="inlineStr">
        <is>
          <t>第2章第2節</t>
        </is>
      </c>
      <c r="D120" s="29" t="inlineStr">
        <is>
          <t>保険給付や地域支援事業の実態把握と分析</t>
        </is>
      </c>
      <c r="E120" s="30" t="inlineStr">
        <is>
          <t>本文</t>
        </is>
      </c>
      <c r="F120" s="29" t="inlineStr">
        <is>
          <t>21_受給率と定員</t>
        </is>
      </c>
      <c r="G120" s="30" t="inlineStr">
        <is>
          <t>P46</t>
        </is>
      </c>
      <c r="H120" s="29" t="inlineStr">
        <is>
          <t>資料：地域包括ケア「見える化」システム</t>
        </is>
      </c>
      <c r="I120" s="29" t="inlineStr"/>
    </row>
    <row r="121" ht="26" customHeight="1">
      <c r="A121" s="30" t="inlineStr">
        <is>
          <t>図20-4</t>
        </is>
      </c>
      <c r="B121" s="29" t="inlineStr">
        <is>
          <t>【要支援・要介護者1人あたり定員の推移（区分計）】</t>
        </is>
      </c>
      <c r="C121" s="29" t="inlineStr">
        <is>
          <t>第2章第2節</t>
        </is>
      </c>
      <c r="D121" s="29" t="inlineStr">
        <is>
          <t>保険給付や地域支援事業の実態把握と分析</t>
        </is>
      </c>
      <c r="E121" s="30" t="inlineStr">
        <is>
          <t>本文</t>
        </is>
      </c>
      <c r="F121" s="29" t="inlineStr">
        <is>
          <t>21_受給率と定員</t>
        </is>
      </c>
      <c r="G121" s="30" t="inlineStr">
        <is>
          <t>P70</t>
        </is>
      </c>
      <c r="H121" s="29" t="inlineStr">
        <is>
          <t>資料：地域包括ケア「見える化」システム</t>
        </is>
      </c>
      <c r="I121" s="29" t="inlineStr"/>
    </row>
    <row r="122" ht="26" customHeight="1">
      <c r="A122" s="30" t="inlineStr">
        <is>
          <t>図20-5</t>
        </is>
      </c>
      <c r="B122" s="29" t="inlineStr">
        <is>
          <t>【受給率の推移（施設サービス・要介護度別）】</t>
        </is>
      </c>
      <c r="C122" s="29" t="inlineStr">
        <is>
          <t>第2章第2節</t>
        </is>
      </c>
      <c r="D122" s="29" t="inlineStr">
        <is>
          <t>保険給付や地域支援事業の実態把握と分析</t>
        </is>
      </c>
      <c r="E122" s="30" t="inlineStr">
        <is>
          <t>本文</t>
        </is>
      </c>
      <c r="F122" s="29" t="inlineStr">
        <is>
          <t>21_受給率と定員</t>
        </is>
      </c>
      <c r="G122" s="30" t="inlineStr">
        <is>
          <t>P94</t>
        </is>
      </c>
      <c r="H122" s="29" t="inlineStr">
        <is>
          <t>資料：地域包括ケア「見える化」システム</t>
        </is>
      </c>
      <c r="I122" s="29" t="inlineStr"/>
    </row>
    <row r="123" ht="26" customHeight="1">
      <c r="A123" s="30" t="inlineStr">
        <is>
          <t>図20-6</t>
        </is>
      </c>
      <c r="B123" s="29" t="inlineStr">
        <is>
          <t>【受給率の推移（在宅サービス・要介護度別）】</t>
        </is>
      </c>
      <c r="C123" s="29" t="inlineStr">
        <is>
          <t>第2章第2節</t>
        </is>
      </c>
      <c r="D123" s="29" t="inlineStr">
        <is>
          <t>保険給付や地域支援事業の実態把握と分析</t>
        </is>
      </c>
      <c r="E123" s="30" t="inlineStr">
        <is>
          <t>本文</t>
        </is>
      </c>
      <c r="F123" s="29" t="inlineStr">
        <is>
          <t>21_受給率と定員</t>
        </is>
      </c>
      <c r="G123" s="30" t="inlineStr">
        <is>
          <t>P118</t>
        </is>
      </c>
      <c r="H123" s="29" t="inlineStr">
        <is>
          <t>資料：地域包括ケア「見える化」システム</t>
        </is>
      </c>
      <c r="I123" s="29" t="inlineStr"/>
    </row>
    <row r="124" ht="26" customHeight="1">
      <c r="A124" s="30" t="inlineStr">
        <is>
          <t>図20-7</t>
        </is>
      </c>
      <c r="B124" s="29" t="inlineStr">
        <is>
          <t>【年齢層別にみた認定率の推移】</t>
        </is>
      </c>
      <c r="C124" s="29" t="inlineStr">
        <is>
          <t>第2章第2節</t>
        </is>
      </c>
      <c r="D124" s="29" t="inlineStr">
        <is>
          <t>保険給付や地域支援事業の実態把握と分析</t>
        </is>
      </c>
      <c r="E124" s="30" t="inlineStr">
        <is>
          <t>本文</t>
        </is>
      </c>
      <c r="F124" s="29" t="inlineStr">
        <is>
          <t>21_受給率と定員</t>
        </is>
      </c>
      <c r="G124" s="30" t="inlineStr">
        <is>
          <t>P142</t>
        </is>
      </c>
      <c r="H124" s="29" t="inlineStr">
        <is>
          <t>資料：地域包括ケア「見える化」システム</t>
        </is>
      </c>
      <c r="I124" s="29" t="inlineStr"/>
    </row>
    <row r="125" ht="26" customHeight="1">
      <c r="A125" s="30" t="inlineStr">
        <is>
          <t>図21-1</t>
        </is>
      </c>
      <c r="B125" s="29" t="inlineStr">
        <is>
          <t>【平成30年度→令和7年度の増減率】</t>
        </is>
      </c>
      <c r="C125" s="29" t="inlineStr">
        <is>
          <t>第2章第2節</t>
        </is>
      </c>
      <c r="D125" s="29" t="inlineStr">
        <is>
          <t>保険給付や地域支援事業の実態把握と分析</t>
        </is>
      </c>
      <c r="E125" s="30" t="inlineStr">
        <is>
          <t>本文</t>
        </is>
      </c>
      <c r="F125" s="29" t="inlineStr">
        <is>
          <t>22_サービス別給付動向</t>
        </is>
      </c>
      <c r="G125" s="30" t="inlineStr">
        <is>
          <t>P4</t>
        </is>
      </c>
      <c r="H125" s="29" t="inlineStr">
        <is>
          <t>資料：地域包括ケア「見える化」システム</t>
        </is>
      </c>
      <c r="I125" s="29" t="inlineStr"/>
    </row>
    <row r="126" ht="26" customHeight="1">
      <c r="A126" s="30" t="inlineStr">
        <is>
          <t>図22-1</t>
        </is>
      </c>
      <c r="B126" s="29" t="inlineStr">
        <is>
          <t>【圏域内市町村の高齢化率と75歳以上割合（令和2年）】</t>
        </is>
      </c>
      <c r="C126" s="29" t="inlineStr">
        <is>
          <t>第2章第2節</t>
        </is>
      </c>
      <c r="D126" s="29" t="inlineStr">
        <is>
          <t>保険給付や地域支援事業の実態把握と分析</t>
        </is>
      </c>
      <c r="E126" s="30" t="inlineStr">
        <is>
          <t>本文</t>
        </is>
      </c>
      <c r="F126" s="29" t="inlineStr">
        <is>
          <t>23_上川中部圏域比較</t>
        </is>
      </c>
      <c r="G126" s="30" t="inlineStr">
        <is>
          <t>N4</t>
        </is>
      </c>
      <c r="H126" s="29" t="inlineStr">
        <is>
          <t>資料：第9期北海道高齢者保健福祉計画・介護保険事業支援計画／地域包括ケア「見える化」システム</t>
        </is>
      </c>
      <c r="I126" s="29" t="inlineStr"/>
    </row>
    <row r="127" ht="26" customHeight="1">
      <c r="A127" s="30" t="inlineStr">
        <is>
          <t>図22-2</t>
        </is>
      </c>
      <c r="B127" s="29" t="inlineStr">
        <is>
          <t>【調整済み第1号1人あたり給付月額（北海道との比較）】</t>
        </is>
      </c>
      <c r="C127" s="29" t="inlineStr">
        <is>
          <t>第2章第2節</t>
        </is>
      </c>
      <c r="D127" s="29" t="inlineStr">
        <is>
          <t>保険給付や地域支援事業の実態把握と分析</t>
        </is>
      </c>
      <c r="E127" s="30" t="inlineStr">
        <is>
          <t>本文</t>
        </is>
      </c>
      <c r="F127" s="29" t="inlineStr">
        <is>
          <t>23_上川中部圏域比較</t>
        </is>
      </c>
      <c r="G127" s="30" t="inlineStr">
        <is>
          <t>N26</t>
        </is>
      </c>
      <c r="H127" s="29" t="inlineStr">
        <is>
          <t>資料：第9期北海道高齢者保健福祉計画・介護保険事業支援計画／地域包括ケア「見える化」システム</t>
        </is>
      </c>
      <c r="I127" s="29" t="inlineStr"/>
    </row>
    <row r="128" ht="26" customHeight="1">
      <c r="A128" s="30" t="inlineStr">
        <is>
          <t>図22-3</t>
        </is>
      </c>
      <c r="B128" s="29" t="inlineStr">
        <is>
          <t>【24時間対応サービスの圏域見込量】</t>
        </is>
      </c>
      <c r="C128" s="29" t="inlineStr">
        <is>
          <t>第2章第2節</t>
        </is>
      </c>
      <c r="D128" s="29" t="inlineStr">
        <is>
          <t>保険給付や地域支援事業の実態把握と分析</t>
        </is>
      </c>
      <c r="E128" s="30" t="inlineStr">
        <is>
          <t>本文</t>
        </is>
      </c>
      <c r="F128" s="29" t="inlineStr">
        <is>
          <t>23_上川中部圏域比較</t>
        </is>
      </c>
      <c r="G128" s="30" t="inlineStr">
        <is>
          <t>N48</t>
        </is>
      </c>
      <c r="H128" s="29" t="inlineStr">
        <is>
          <t>資料：第9期北海道高齢者保健福祉計画・介護保険事業支援計画／地域包括ケア「見える化」システム</t>
        </is>
      </c>
      <c r="I128" s="29" t="inlineStr"/>
    </row>
    <row r="129" ht="26" customHeight="1">
      <c r="A129" s="30" t="inlineStr">
        <is>
          <t>図23-1</t>
        </is>
      </c>
      <c r="B129" s="29" t="inlineStr">
        <is>
          <t>【月1回以上の通いの場の参加率】</t>
        </is>
      </c>
      <c r="C129" s="29" t="inlineStr">
        <is>
          <t>第2章第3節</t>
        </is>
      </c>
      <c r="D129" s="29" t="inlineStr">
        <is>
          <t>高齢者の生活実態</t>
        </is>
      </c>
      <c r="E129" s="30" t="inlineStr">
        <is>
          <t>本文</t>
        </is>
      </c>
      <c r="F129" s="29" t="inlineStr">
        <is>
          <t>24_通いの場_総合事業</t>
        </is>
      </c>
      <c r="G129" s="30" t="inlineStr">
        <is>
          <t>P4</t>
        </is>
      </c>
      <c r="H129" s="29" t="inlineStr">
        <is>
          <t>資料：厚生労働省「介護予防事業及び介護予防・日常生活支援総合事業の実施状況に関する調査」</t>
        </is>
      </c>
      <c r="I129" s="29" t="inlineStr"/>
    </row>
    <row r="130" ht="26" customHeight="1">
      <c r="A130" s="30" t="inlineStr">
        <is>
          <t>図23-2</t>
        </is>
      </c>
      <c r="B130" s="29" t="inlineStr">
        <is>
          <t>【週1回以上の通いの場の参加率】</t>
        </is>
      </c>
      <c r="C130" s="29" t="inlineStr">
        <is>
          <t>第2章第3節</t>
        </is>
      </c>
      <c r="D130" s="29" t="inlineStr">
        <is>
          <t>高齢者の生活実態</t>
        </is>
      </c>
      <c r="E130" s="30" t="inlineStr">
        <is>
          <t>本文</t>
        </is>
      </c>
      <c r="F130" s="29" t="inlineStr">
        <is>
          <t>24_通いの場_総合事業</t>
        </is>
      </c>
      <c r="G130" s="30" t="inlineStr">
        <is>
          <t>P26</t>
        </is>
      </c>
      <c r="H130" s="29" t="inlineStr">
        <is>
          <t>資料：厚生労働省「介護予防事業及び介護予防・日常生活支援総合事業の実施状況に関する調査」</t>
        </is>
      </c>
      <c r="I130" s="29" t="inlineStr"/>
    </row>
    <row r="131" ht="26" customHeight="1">
      <c r="A131" s="30" t="inlineStr">
        <is>
          <t>図23-3</t>
        </is>
      </c>
      <c r="B131" s="29" t="inlineStr">
        <is>
          <t>【65歳以上1万人あたりの週1回以上の通いの場の箇所数（令和2年度）】</t>
        </is>
      </c>
      <c r="C131" s="29" t="inlineStr">
        <is>
          <t>第2章第3節</t>
        </is>
      </c>
      <c r="D131" s="29" t="inlineStr">
        <is>
          <t>高齢者の生活実態</t>
        </is>
      </c>
      <c r="E131" s="30" t="inlineStr">
        <is>
          <t>本文</t>
        </is>
      </c>
      <c r="F131" s="29" t="inlineStr">
        <is>
          <t>24_通いの場_総合事業</t>
        </is>
      </c>
      <c r="G131" s="30" t="inlineStr">
        <is>
          <t>P48</t>
        </is>
      </c>
      <c r="H131" s="29" t="inlineStr">
        <is>
          <t>資料：厚生労働省「介護予防事業及び介護予防・日常生活支援総合事業の実施状況に関する調査」</t>
        </is>
      </c>
      <c r="I131" s="29" t="inlineStr"/>
    </row>
    <row r="132" ht="26" customHeight="1">
      <c r="A132" s="30" t="inlineStr">
        <is>
          <t>図24-1</t>
        </is>
      </c>
      <c r="B132" s="29" t="inlineStr">
        <is>
          <t>【増減のあったサービスの事業所数の推移】</t>
        </is>
      </c>
      <c r="C132" s="29" t="inlineStr">
        <is>
          <t>第2章第2節</t>
        </is>
      </c>
      <c r="D132" s="29" t="inlineStr">
        <is>
          <t>保険給付や地域支援事業の実態把握と分析</t>
        </is>
      </c>
      <c r="E132" s="30" t="inlineStr">
        <is>
          <t>本文</t>
        </is>
      </c>
      <c r="F132" s="29" t="inlineStr">
        <is>
          <t>25_事業所数の推移</t>
        </is>
      </c>
      <c r="G132" s="30" t="inlineStr">
        <is>
          <t>N4</t>
        </is>
      </c>
      <c r="H132" s="29" t="inlineStr">
        <is>
          <t>資料：地域包括ケア「見える化」システム（厚生労働省「介護保険総合データベース」）</t>
        </is>
      </c>
      <c r="I132" s="29" t="inlineStr"/>
    </row>
    <row r="133" ht="26" customHeight="1">
      <c r="A133" s="30" t="inlineStr">
        <is>
          <t>図24-2</t>
        </is>
      </c>
      <c r="B133" s="29" t="inlineStr">
        <is>
          <t>【域内に事業所が存在しないサービス（令和6年度・人口10万対）】</t>
        </is>
      </c>
      <c r="C133" s="29" t="inlineStr">
        <is>
          <t>第2章第2節</t>
        </is>
      </c>
      <c r="D133" s="29" t="inlineStr">
        <is>
          <t>保険給付や地域支援事業の実態把握と分析</t>
        </is>
      </c>
      <c r="E133" s="30" t="inlineStr">
        <is>
          <t>本文</t>
        </is>
      </c>
      <c r="F133" s="29" t="inlineStr">
        <is>
          <t>25_事業所数の推移</t>
        </is>
      </c>
      <c r="G133" s="30" t="inlineStr">
        <is>
          <t>N30</t>
        </is>
      </c>
      <c r="H133" s="29" t="inlineStr">
        <is>
          <t>資料：地域包括ケア「見える化」システム（厚生労働省「介護保険総合データベース」）</t>
        </is>
      </c>
      <c r="I133" s="29" t="inlineStr">
        <is>
          <t>第6章第4節（サービス見込量・整備方針）にも再掲する。修正指示書A-13の根拠図表</t>
        </is>
      </c>
    </row>
    <row r="134" ht="26" customHeight="1">
      <c r="A134" s="30" t="inlineStr">
        <is>
          <t>図24-3</t>
        </is>
      </c>
      <c r="B134" s="29" t="inlineStr">
        <is>
          <t>【人口10万対の事業所数　大雪／全国（令和6年度）】</t>
        </is>
      </c>
      <c r="C134" s="29" t="inlineStr">
        <is>
          <t>第2章第2節</t>
        </is>
      </c>
      <c r="D134" s="29" t="inlineStr">
        <is>
          <t>保険給付や地域支援事業の実態把握と分析</t>
        </is>
      </c>
      <c r="E134" s="30" t="inlineStr">
        <is>
          <t>本文</t>
        </is>
      </c>
      <c r="F134" s="29" t="inlineStr">
        <is>
          <t>25_事業所数の推移</t>
        </is>
      </c>
      <c r="G134" s="30" t="inlineStr">
        <is>
          <t>N56</t>
        </is>
      </c>
      <c r="H134" s="29" t="inlineStr">
        <is>
          <t>資料：地域包括ケア「見える化」システム（厚生労働省「介護保険総合データベース」）</t>
        </is>
      </c>
      <c r="I134" s="29" t="inlineStr"/>
    </row>
    <row r="135" ht="26" customHeight="1">
      <c r="A135" s="30" t="inlineStr">
        <is>
          <t>図25-1</t>
        </is>
      </c>
      <c r="B135" s="29" t="inlineStr">
        <is>
          <t>【サービス別の従事者数の推移】</t>
        </is>
      </c>
      <c r="C135" s="29" t="inlineStr">
        <is>
          <t>第2章第5節</t>
        </is>
      </c>
      <c r="D135" s="29" t="inlineStr">
        <is>
          <t>介護事業所の現状</t>
        </is>
      </c>
      <c r="E135" s="30" t="inlineStr">
        <is>
          <t>本文</t>
        </is>
      </c>
      <c r="F135" s="29" t="inlineStr">
        <is>
          <t>26_従事者数の推移</t>
        </is>
      </c>
      <c r="G135" s="30" t="inlineStr">
        <is>
          <t>N4</t>
        </is>
      </c>
      <c r="H135" s="29" t="inlineStr">
        <is>
          <t>資料：地域包括ケア「見える化」システム（厚生労働省「介護サービス施設・事業所調査」）</t>
        </is>
      </c>
      <c r="I135" s="29" t="inlineStr"/>
    </row>
    <row r="136" ht="26" customHeight="1">
      <c r="A136" s="30" t="inlineStr">
        <is>
          <t>図25-2</t>
        </is>
      </c>
      <c r="B136" s="29" t="inlineStr">
        <is>
          <t>【従事者数（認定者1万対）の比較（令和6年度）】</t>
        </is>
      </c>
      <c r="C136" s="29" t="inlineStr">
        <is>
          <t>第2章第5節</t>
        </is>
      </c>
      <c r="D136" s="29" t="inlineStr">
        <is>
          <t>介護事業所の現状</t>
        </is>
      </c>
      <c r="E136" s="30" t="inlineStr">
        <is>
          <t>本文</t>
        </is>
      </c>
      <c r="F136" s="29" t="inlineStr">
        <is>
          <t>26_従事者数の推移</t>
        </is>
      </c>
      <c r="G136" s="30" t="inlineStr">
        <is>
          <t>N30</t>
        </is>
      </c>
      <c r="H136" s="29" t="inlineStr">
        <is>
          <t>資料：地域包括ケア「見える化」システム（厚生労働省「介護サービス施設・事業所調査」）</t>
        </is>
      </c>
      <c r="I136" s="29" t="inlineStr"/>
    </row>
    <row r="137" ht="26" customHeight="1">
      <c r="A137" s="30" t="inlineStr">
        <is>
          <t>図25-3</t>
        </is>
      </c>
      <c r="B137" s="29" t="inlineStr">
        <is>
          <t>【職種別の従事者数の推移（介護老人福祉施設）】</t>
        </is>
      </c>
      <c r="C137" s="29" t="inlineStr">
        <is>
          <t>第2章第5節</t>
        </is>
      </c>
      <c r="D137" s="29" t="inlineStr">
        <is>
          <t>介護事業所の現状</t>
        </is>
      </c>
      <c r="E137" s="30" t="inlineStr">
        <is>
          <t>本文</t>
        </is>
      </c>
      <c r="F137" s="29" t="inlineStr">
        <is>
          <t>26_従事者数の推移</t>
        </is>
      </c>
      <c r="G137" s="30" t="inlineStr">
        <is>
          <t>N56</t>
        </is>
      </c>
      <c r="H137" s="29" t="inlineStr">
        <is>
          <t>資料：地域包括ケア「見える化」システム（厚生労働省「介護サービス施設・事業所調査」）</t>
        </is>
      </c>
      <c r="I137" s="29" t="inlineStr">
        <is>
          <t>H13の定義変更（職種別欠員率→職種別従事者数）の根拠。修正指示書C-16</t>
        </is>
      </c>
    </row>
    <row r="138" ht="26" customHeight="1">
      <c r="A138" s="30" t="inlineStr">
        <is>
          <t>図26-1</t>
        </is>
      </c>
      <c r="B138" s="29" t="inlineStr">
        <is>
          <t>【保険者機能強化推進交付金等の総合得点（令和5年調査）】</t>
        </is>
      </c>
      <c r="C138" s="29" t="inlineStr">
        <is>
          <t>第3章第4節</t>
        </is>
      </c>
      <c r="D138" s="29" t="inlineStr">
        <is>
          <t>第9期計画の評価と第10期への課題</t>
        </is>
      </c>
      <c r="E138" s="30" t="inlineStr">
        <is>
          <t>本文</t>
        </is>
      </c>
      <c r="F138" s="29" t="inlineStr">
        <is>
          <t>27_交付金評価</t>
        </is>
      </c>
      <c r="G138" s="30" t="inlineStr">
        <is>
          <t>N4</t>
        </is>
      </c>
      <c r="H138" s="29" t="inlineStr">
        <is>
          <t>資料：地域包括ケア「見える化」システム（厚生労働省「保険者機能強化推進交付金・介護保険保険者努力支援交付金に係る評価指標（市町村分）」）</t>
        </is>
      </c>
      <c r="I138" s="29" t="inlineStr"/>
    </row>
    <row r="139" ht="26" customHeight="1">
      <c r="A139" s="30" t="inlineStr">
        <is>
          <t>図26-2</t>
        </is>
      </c>
      <c r="B139" s="29" t="inlineStr">
        <is>
          <t>【指標群別の得点（令和5年調査）】</t>
        </is>
      </c>
      <c r="C139" s="29" t="inlineStr">
        <is>
          <t>第3章第4節</t>
        </is>
      </c>
      <c r="D139" s="29" t="inlineStr">
        <is>
          <t>第9期計画の評価と第10期への課題</t>
        </is>
      </c>
      <c r="E139" s="30" t="inlineStr">
        <is>
          <t>本文</t>
        </is>
      </c>
      <c r="F139" s="29" t="inlineStr">
        <is>
          <t>27_交付金評価</t>
        </is>
      </c>
      <c r="G139" s="30" t="inlineStr">
        <is>
          <t>N28</t>
        </is>
      </c>
      <c r="H139" s="29" t="inlineStr">
        <is>
          <t>資料：地域包括ケア「見える化」システム（厚生労働省「保険者機能強化推進交付金・介護保険保険者努力支援交付金に係る評価指標（市町村分）」）</t>
        </is>
      </c>
      <c r="I139" s="29" t="inlineStr">
        <is>
          <t>第5章のロジックモデル（アウトプット指標の整備）の根拠図表</t>
        </is>
      </c>
    </row>
    <row r="140" ht="26" customHeight="1">
      <c r="A140" s="30" t="inlineStr">
        <is>
          <t>図26-3</t>
        </is>
      </c>
      <c r="B140" s="29" t="inlineStr">
        <is>
          <t>【目標別の得点　大雪／全国（令和5年調査）】</t>
        </is>
      </c>
      <c r="C140" s="29" t="inlineStr">
        <is>
          <t>第3章第4節</t>
        </is>
      </c>
      <c r="D140" s="29" t="inlineStr">
        <is>
          <t>第9期計画の評価と第10期への課題</t>
        </is>
      </c>
      <c r="E140" s="30" t="inlineStr">
        <is>
          <t>本文</t>
        </is>
      </c>
      <c r="F140" s="29" t="inlineStr">
        <is>
          <t>27_交付金評価</t>
        </is>
      </c>
      <c r="G140" s="30" t="inlineStr">
        <is>
          <t>N52</t>
        </is>
      </c>
      <c r="H140" s="29" t="inlineStr">
        <is>
          <t>資料：地域包括ケア「見える化」システム（厚生労働省「保険者機能強化推進交付金・介護保険保険者努力支援交付金に係る評価指標（市町村分）」）</t>
        </is>
      </c>
      <c r="I140" s="29" t="inlineStr"/>
    </row>
    <row r="141" ht="26" customHeight="1">
      <c r="A141" s="30" t="inlineStr">
        <is>
          <t>図26-4</t>
        </is>
      </c>
      <c r="B141" s="29" t="inlineStr">
        <is>
          <t>【性・年齢調整済み要介護2以上認定率（令和5年調査）】</t>
        </is>
      </c>
      <c r="C141" s="29" t="inlineStr">
        <is>
          <t>第3章第4節</t>
        </is>
      </c>
      <c r="D141" s="29" t="inlineStr">
        <is>
          <t>第9期計画の評価と第10期への課題</t>
        </is>
      </c>
      <c r="E141" s="30" t="inlineStr">
        <is>
          <t>本文</t>
        </is>
      </c>
      <c r="F141" s="29" t="inlineStr">
        <is>
          <t>27_交付金評価</t>
        </is>
      </c>
      <c r="G141" s="30" t="inlineStr">
        <is>
          <t>N76</t>
        </is>
      </c>
      <c r="H141" s="29" t="inlineStr">
        <is>
          <t>資料：地域包括ケア「見える化」システム（厚生労働省「保険者機能強化推進交付金・介護保険保険者努力支援交付金に係る評価指標（市町村分）」）</t>
        </is>
      </c>
      <c r="I141" s="29" t="inlineStr">
        <is>
          <t>H01のデータ源の確定根拠。第2章第1節にも再掲する。修正指示書A-10</t>
        </is>
      </c>
    </row>
    <row r="142" ht="26" customHeight="1">
      <c r="A142" s="30" t="inlineStr">
        <is>
          <t>図27-1</t>
        </is>
      </c>
      <c r="B142" s="29" t="inlineStr">
        <is>
          <t>【75歳以上人口密度（人／km²）】</t>
        </is>
      </c>
      <c r="C142" s="29" t="inlineStr">
        <is>
          <t>第1章第9節</t>
        </is>
      </c>
      <c r="D142" s="29" t="inlineStr">
        <is>
          <t>1 国の第10期基本指針（案）の動向</t>
        </is>
      </c>
      <c r="E142" s="30" t="inlineStr">
        <is>
          <t>本文</t>
        </is>
      </c>
      <c r="F142" s="29" t="inlineStr">
        <is>
          <t>28_特定地域と地域指定</t>
        </is>
      </c>
      <c r="G142" s="30" t="inlineStr">
        <is>
          <t>N4</t>
        </is>
      </c>
      <c r="H142" s="29" t="inlineStr">
        <is>
          <t>資料：第135回社会保障審議会介護保険部会 資料3／北海道「地域指定一覧」／国土交通省「豪雪地帯・特別豪雪地帯の指定」</t>
        </is>
      </c>
      <c r="I142" s="29" t="inlineStr"/>
    </row>
    <row r="143" ht="26" customHeight="1">
      <c r="A143" s="30" t="inlineStr">
        <is>
          <t>図28-1</t>
        </is>
      </c>
      <c r="B143" s="29" t="inlineStr">
        <is>
          <t>【スクールバス路線別乗車人員（令和2年度）】</t>
        </is>
      </c>
      <c r="C143" s="29" t="inlineStr">
        <is>
          <t>第1章第7節</t>
        </is>
      </c>
      <c r="D143" s="29" t="inlineStr">
        <is>
          <t>日常生活圏域の設定</t>
        </is>
      </c>
      <c r="E143" s="30" t="inlineStr">
        <is>
          <t>本文</t>
        </is>
      </c>
      <c r="F143" s="29" t="inlineStr">
        <is>
          <t>29_美瑛町の交通</t>
        </is>
      </c>
      <c r="G143" s="30" t="inlineStr">
        <is>
          <t>N4</t>
        </is>
      </c>
      <c r="H143" s="29" t="inlineStr">
        <is>
          <t>資料：美瑛町過疎地域持続的発展市町村計画（令和3年度〜令和7年度）</t>
        </is>
      </c>
      <c r="I143" s="29" t="inlineStr"/>
    </row>
    <row r="144" ht="26" customHeight="1">
      <c r="A144" s="30" t="inlineStr">
        <is>
          <t>図29-1</t>
        </is>
      </c>
      <c r="B144" s="29" t="inlineStr">
        <is>
          <t>【必要保険料月額と条例上の基準額（第9期）】</t>
        </is>
      </c>
      <c r="C144" s="29" t="inlineStr">
        <is>
          <t>第6章第6節</t>
        </is>
      </c>
      <c r="D144" s="29" t="inlineStr">
        <is>
          <t>1 管内保険料の比較</t>
        </is>
      </c>
      <c r="E144" s="30" t="inlineStr">
        <is>
          <t>本文</t>
        </is>
      </c>
      <c r="F144" s="29" t="inlineStr">
        <is>
          <t>30_保険料の分析</t>
        </is>
      </c>
      <c r="G144" s="30" t="inlineStr">
        <is>
          <t>N4</t>
        </is>
      </c>
      <c r="H144" s="29" t="inlineStr">
        <is>
          <t>資料：北海道『第9期介護保険料（第1号被保険者分）各保険者の保険料等』</t>
        </is>
      </c>
      <c r="I144" s="29" t="inlineStr"/>
    </row>
    <row r="145" ht="26" customHeight="1">
      <c r="A145" s="30" t="inlineStr">
        <is>
          <t>図29-2</t>
        </is>
      </c>
      <c r="B145" s="29" t="inlineStr">
        <is>
          <t>【上川管内21保険者の第9期保険料基準額（月額）】</t>
        </is>
      </c>
      <c r="C145" s="29" t="inlineStr">
        <is>
          <t>第6章第6節</t>
        </is>
      </c>
      <c r="D145" s="29" t="inlineStr">
        <is>
          <t>1 管内保険料の比較</t>
        </is>
      </c>
      <c r="E145" s="30" t="inlineStr">
        <is>
          <t>本文</t>
        </is>
      </c>
      <c r="F145" s="29" t="inlineStr">
        <is>
          <t>30_保険料の分析</t>
        </is>
      </c>
      <c r="G145" s="30" t="inlineStr">
        <is>
          <t>N28</t>
        </is>
      </c>
      <c r="H145" s="29" t="inlineStr">
        <is>
          <t>資料：北海道『第9期介護保険料（第1号被保険者分）各保険者の保険料等』</t>
        </is>
      </c>
      <c r="I145" s="29" t="inlineStr"/>
    </row>
    <row r="146" ht="26" customHeight="1">
      <c r="A146" s="30" t="inlineStr">
        <is>
          <t>図30-1</t>
        </is>
      </c>
      <c r="B146" s="29" t="inlineStr">
        <is>
          <t>【代表KPI16項目のデータ源の確保状況】</t>
        </is>
      </c>
      <c r="C146" s="29" t="inlineStr">
        <is>
          <t>第4章第3節</t>
        </is>
      </c>
      <c r="D146" s="29" t="inlineStr">
        <is>
          <t>施策の体系と成果指標</t>
        </is>
      </c>
      <c r="E146" s="30" t="inlineStr">
        <is>
          <t>本文</t>
        </is>
      </c>
      <c r="F146" s="29" t="inlineStr">
        <is>
          <t>31_KPIのデータ源</t>
        </is>
      </c>
      <c r="G146" s="30" t="inlineStr">
        <is>
          <t>N4</t>
        </is>
      </c>
      <c r="H146" s="29" t="inlineStr">
        <is>
          <t>資料：本計画 資料1（代表KPI16項目の定義）</t>
        </is>
      </c>
      <c r="I146" s="29" t="inlineStr"/>
    </row>
    <row r="148" ht="26" customHeight="1">
      <c r="A148" s="4" t="inlineStr">
        <is>
          <t>注1）収録点数は全133点（本文120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46"/>
  <mergeCells count="3">
    <mergeCell ref="A1:I1"/>
    <mergeCell ref="A2:I2"/>
    <mergeCell ref="A148:M14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2026-07-31T09:20:58Z</dcterms:created>
  <dcterms:modified xmlns:dcterms="http://purl.org/dc/terms/" xmlns:xsi="http://www.w3.org/2001/XMLSchema-instance" xsi:type="dcterms:W3CDTF">2026-07-31T09:21:00Z</dcterms:modified>
</cp:coreProperties>
</file>