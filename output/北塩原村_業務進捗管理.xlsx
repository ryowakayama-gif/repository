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'04_村資料受領状況'!$A$5:$G$34</definedName>
    <definedName name="_xlnm._FilterDatabase" localSheetId="5" hidden="1">'05_課題・リスク'!$A$5:$G$24</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2CA02C"/>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11"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1"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166"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6"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障がい児福祉（51問）／0728アンケート調査票レビュー結果／村朱書き修正指示（令和8年8月・40か所）／北塩原村_アンケート調査票_村修正指示_確認結果</t>
        </is>
      </c>
      <c r="E7" s="33" t="inlineStr">
        <is>
          <t>概ね完了</t>
        </is>
      </c>
      <c r="F7" s="9" t="n">
        <v>0.9</v>
      </c>
      <c r="G7" s="32" t="inlineStr">
        <is>
          <t>当社</t>
        </is>
      </c>
      <c r="H7" s="26" t="inlineStr">
        <is>
          <t>2026-08-31</t>
        </is>
      </c>
      <c r="I7" s="7" t="inlineStr">
        <is>
          <t>村から朱書き修正指示40か所（障がい者版21・障がい児版19）を受領し内容を確認済み。修正の反映は調査票担当。当方からは問36（就労選択支援）の削除について再考を依頼中。障がい児版 問11の選択肢番号13の重複、問10の番号3の欠番も申し送り</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4"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4"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4"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骨子案修正版（本文約45頁）／分量配分計画（docs・進捗管理08）</t>
        </is>
      </c>
      <c r="E29" s="34" t="inlineStr">
        <is>
          <t>作業中</t>
        </is>
      </c>
      <c r="F29" s="9" t="n">
        <v>0.45</v>
      </c>
      <c r="G29" s="32" t="inlineStr">
        <is>
          <t>当社</t>
        </is>
      </c>
      <c r="H29" s="26" t="inlineStr">
        <is>
          <t>2027-03-31</t>
        </is>
      </c>
      <c r="I29" s="7" t="inlineStr">
        <is>
          <t>現行計画63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6"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4"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4"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6"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6"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4"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4"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4"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3"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3"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3"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6" t="inlineStr">
        <is>
          <t>完了</t>
        </is>
      </c>
      <c r="F24" s="24" t="n"/>
      <c r="G24" s="4" t="inlineStr">
        <is>
          <t>令和2〜7年度、介護給付費・障害児給付費</t>
        </is>
      </c>
    </row>
    <row r="25" ht="28" customHeight="1">
      <c r="A25" s="32" t="inlineStr">
        <is>
          <t>指標</t>
        </is>
      </c>
      <c r="B25" s="7" t="inlineStr">
        <is>
          <t>北塩原村_活動指標.xlsx</t>
        </is>
      </c>
      <c r="C25" s="7" t="inlineStr">
        <is>
          <t>活動指標の設定（4シート）</t>
        </is>
      </c>
      <c r="D25" s="24" t="n"/>
      <c r="E25" s="34" t="inlineStr">
        <is>
          <t>作業中</t>
        </is>
      </c>
      <c r="F25" s="24" t="n"/>
      <c r="G25" s="7" t="inlineStr">
        <is>
          <t>別表第一83項目。必須33・任意。仕様書4-Ⅱ(3)⑤</t>
        </is>
      </c>
    </row>
    <row r="26" ht="28" customHeight="1">
      <c r="A26" s="30" t="inlineStr">
        <is>
          <t>事業</t>
        </is>
      </c>
      <c r="B26" s="4" t="inlineStr">
        <is>
          <t>北塩原村_地域生活支援事業.xlsx</t>
        </is>
      </c>
      <c r="C26" s="4" t="inlineStr">
        <is>
          <t>地域生活支援事業（4シート）</t>
        </is>
      </c>
      <c r="D26" s="24" t="n"/>
      <c r="E26" s="34" t="inlineStr">
        <is>
          <t>作業中</t>
        </is>
      </c>
      <c r="F26" s="24" t="n"/>
      <c r="G26" s="4" t="inlineStr">
        <is>
          <t>必須15・任意3。告示第三の二の3の4事項との対応</t>
        </is>
      </c>
    </row>
    <row r="27" ht="28" customHeight="1">
      <c r="A27" s="32" t="inlineStr">
        <is>
          <t>会議</t>
        </is>
      </c>
      <c r="B27" s="7" t="inlineStr">
        <is>
          <t>会議資料/（5ファイル）</t>
        </is>
      </c>
      <c r="C27" s="7" t="inlineStr">
        <is>
          <t>協議会資料1・2・8、庁議資料2・4</t>
        </is>
      </c>
      <c r="D27" s="24" t="n"/>
      <c r="E27" s="34" t="inlineStr">
        <is>
          <t>作業中</t>
        </is>
      </c>
      <c r="F27" s="24" t="n"/>
      <c r="G27" s="7" t="inlineStr">
        <is>
          <t>村資料に依存しない資料。残りは村資料の受領後</t>
        </is>
      </c>
    </row>
    <row r="28" ht="28" customHeight="1">
      <c r="A28" s="30" t="inlineStr">
        <is>
          <t>村データ</t>
        </is>
      </c>
      <c r="B28" s="4" t="inlineStr">
        <is>
          <t>北塩原村_村提供実績データ.xlsx</t>
        </is>
      </c>
      <c r="C28" s="4" t="inlineStr">
        <is>
          <t>調査票の朱書きで判明した村の実データ（7シート）</t>
        </is>
      </c>
      <c r="D28" s="24" t="n"/>
      <c r="E28" s="36" t="inlineStr">
        <is>
          <t>完了</t>
        </is>
      </c>
      <c r="F28" s="24" t="n"/>
      <c r="G28" s="4" t="inlineStr">
        <is>
          <t>実データ9件・修正指示40か所・照会事項8件。骨子案 第4章(3)(4)(6)・第5章1へ反映済み</t>
        </is>
      </c>
    </row>
    <row r="29" ht="28" customHeight="1">
      <c r="A29" s="32" t="inlineStr">
        <is>
          <t>報告</t>
        </is>
      </c>
      <c r="B29" s="7" t="inlineStr">
        <is>
          <t>調査結果報告書（未作成）</t>
        </is>
      </c>
      <c r="C29" s="7" t="inlineStr">
        <is>
          <t>アンケート集計結果</t>
        </is>
      </c>
      <c r="D29" s="24" t="n"/>
      <c r="E29" s="28" t="inlineStr">
        <is>
          <t>未着手</t>
        </is>
      </c>
      <c r="F29" s="24" t="n"/>
      <c r="G29" s="7" t="inlineStr">
        <is>
          <t>集計後</t>
        </is>
      </c>
    </row>
  </sheetData>
  <mergeCells count="39">
    <mergeCell ref="E12:F12"/>
    <mergeCell ref="C24:D24"/>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4"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4"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5" t="inlineStr">
        <is>
          <t>県照会中</t>
        </is>
      </c>
      <c r="F10" s="22" t="inlineStr">
        <is>
          <t>2026-10-31</t>
        </is>
      </c>
      <c r="G10" s="37" t="n"/>
    </row>
    <row r="11" ht="34" customHeight="1">
      <c r="A11" s="34"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4"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4"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4"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4"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4"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6" t="inlineStr">
        <is>
          <t>受領済</t>
        </is>
      </c>
      <c r="F21" s="26" t="inlineStr">
        <is>
          <t>2026-08-03</t>
        </is>
      </c>
      <c r="G21" s="37" t="n"/>
    </row>
    <row r="22" ht="34" customHeight="1">
      <c r="A22" s="34"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4"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4"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6"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3"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3"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3"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6" t="inlineStr">
        <is>
          <t>受領済</t>
        </is>
      </c>
      <c r="F30" s="22" t="inlineStr">
        <is>
          <t>2026-08-14</t>
        </is>
      </c>
      <c r="G30" s="37" t="n"/>
    </row>
    <row r="31" ht="34" customHeight="1">
      <c r="A31" s="32" t="inlineStr">
        <is>
          <t>―</t>
        </is>
      </c>
      <c r="B31" s="7" t="inlineStr">
        <is>
          <t>アンケート調査票への村の修正指示</t>
        </is>
      </c>
      <c r="C31" s="7" t="inlineStr">
        <is>
          <t>【受領済み】障がい者版17頁・障がい児版19頁のスキャンPDF。朱書き40か所。設問の削除・追加・順序変更のほか、削除理由として村の実データ9件が書き添えられている</t>
        </is>
      </c>
      <c r="D31" s="7" t="inlineStr">
        <is>
          <t>村提供実績データ 05／北塩原村_アンケート調査票_村修正指示_確認結果</t>
        </is>
      </c>
      <c r="E31" s="36" t="inlineStr">
        <is>
          <t>受領済</t>
        </is>
      </c>
      <c r="F31" s="26" t="inlineStr">
        <is>
          <t>2026-08-14</t>
        </is>
      </c>
      <c r="G31" s="37" t="n"/>
    </row>
    <row r="32" ht="34" customHeight="1">
      <c r="A32" s="30" t="inlineStr">
        <is>
          <t>中</t>
        </is>
      </c>
      <c r="B32" s="4" t="inlineStr">
        <is>
          <t>第5次総合振興計画たたき台、健康21現行計画、高齢者福祉・介護保険事業計画</t>
        </is>
      </c>
      <c r="C32" s="4" t="inlineStr">
        <is>
          <t>関連計画との整合確認</t>
        </is>
      </c>
      <c r="D32" s="4" t="inlineStr">
        <is>
          <t>計画本文 第1章・第7章</t>
        </is>
      </c>
      <c r="E32" s="27" t="inlineStr">
        <is>
          <t>未受領</t>
        </is>
      </c>
      <c r="F32" s="22" t="inlineStr">
        <is>
          <t>2026-10-31</t>
        </is>
      </c>
      <c r="G32" s="37" t="n"/>
    </row>
    <row r="33" ht="34" customHeight="1">
      <c r="A33" s="32" t="inlineStr">
        <is>
          <t>中</t>
        </is>
      </c>
      <c r="B33" s="7" t="inlineStr">
        <is>
          <t>40歳以上65歳未満の特定疾病該当者</t>
        </is>
      </c>
      <c r="C33" s="7" t="inlineStr">
        <is>
          <t>16の特定疾病に該当し要介護認定を受けている方の有無</t>
        </is>
      </c>
      <c r="D33" s="7" t="inlineStr">
        <is>
          <t>サービス見込量 02</t>
        </is>
      </c>
      <c r="E33" s="27" t="inlineStr">
        <is>
          <t>未受領</t>
        </is>
      </c>
      <c r="F33" s="26" t="inlineStr">
        <is>
          <t>2026-10-31</t>
        </is>
      </c>
      <c r="G33" s="37" t="n"/>
    </row>
    <row r="34" ht="34" customHeight="1">
      <c r="A34" s="30" t="inlineStr">
        <is>
          <t>中</t>
        </is>
      </c>
      <c r="B34" s="4" t="inlineStr">
        <is>
          <t>自立支援協議会の委員名簿</t>
        </is>
      </c>
      <c r="C34" s="4" t="inlineStr">
        <is>
          <t>任期・氏名・所属・役職</t>
        </is>
      </c>
      <c r="D34" s="4" t="inlineStr">
        <is>
          <t>計画書 資料編</t>
        </is>
      </c>
      <c r="E34" s="27" t="inlineStr">
        <is>
          <t>未受領</t>
        </is>
      </c>
      <c r="F34" s="22" t="inlineStr">
        <is>
          <t>2026-12-31</t>
        </is>
      </c>
      <c r="G34" s="37" t="n"/>
    </row>
    <row r="36" ht="46" customHeight="1">
      <c r="A36" s="2" t="inlineStr">
        <is>
          <t>未受領：20件（うち最優先5件、高10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4"/>
  <mergeCells count="3">
    <mergeCell ref="A36:G3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4"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4"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4"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34" t="inlineStr">
        <is>
          <t>中</t>
        </is>
      </c>
      <c r="D19" s="7" t="inlineStr">
        <is>
          <t>障がい者票に介護保険・65歳到達に関する設問がない</t>
        </is>
      </c>
      <c r="E19" s="7" t="inlineStr">
        <is>
          <t>令和11年の高齢化率が48.1%となる村で、65歳前後の実態を把握する手段がない</t>
        </is>
      </c>
      <c r="F19" s="7" t="inlineStr">
        <is>
          <t>発送前であれば既存設問への選択肢追加で対応する。追加しない場合は支給決定者台帳での確認に一本化する</t>
        </is>
      </c>
      <c r="G19" s="32" t="inlineStr">
        <is>
          <t>判断待ち</t>
        </is>
      </c>
    </row>
    <row r="20" ht="46" customHeight="1">
      <c r="A20" s="30" t="inlineStr">
        <is>
          <t>R-11</t>
        </is>
      </c>
      <c r="B20" s="30" t="inlineStr">
        <is>
          <t>調査設計</t>
        </is>
      </c>
      <c r="C20" s="27" t="inlineStr">
        <is>
          <t>高</t>
        </is>
      </c>
      <c r="D20" s="4" t="inlineStr">
        <is>
          <t>第4次障がい者計画の施策目標のうち1指標が測定できない</t>
        </is>
      </c>
      <c r="E20" s="4" t="inlineStr">
        <is>
          <t>「外出目的が趣味・スポーツ・グループ活動である人の割合（28.1%→40%）」について、前回調査にあった外出目的の設問が0728調査票にない</t>
        </is>
      </c>
      <c r="F20" s="4" t="inlineStr">
        <is>
          <t>発送前であれば問13の後に外出目的の設問を追加するか、問45の選択肢を前回に揃える。発送後であれば別の把握方法へ切り替える旨を村と協議する</t>
        </is>
      </c>
      <c r="G20" s="30" t="inlineStr">
        <is>
          <t>判断待ち</t>
        </is>
      </c>
    </row>
    <row r="21" ht="46" customHeight="1">
      <c r="A21" s="32" t="inlineStr">
        <is>
          <t>R-10</t>
        </is>
      </c>
      <c r="B21" s="32" t="inlineStr">
        <is>
          <t>供給</t>
        </is>
      </c>
      <c r="C21" s="34"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row r="22" ht="46" customHeight="1">
      <c r="A22" s="30" t="inlineStr">
        <is>
          <t>R-17</t>
        </is>
      </c>
      <c r="B22" s="30" t="inlineStr">
        <is>
          <t>調査設計</t>
        </is>
      </c>
      <c r="C22" s="34" t="inlineStr">
        <is>
          <t>中</t>
        </is>
      </c>
      <c r="D22" s="4" t="inlineStr">
        <is>
          <t>就労選択支援の設問（障がい者版 問36）が削除されると、圏域確保の根拠が窓口相談実績に限られる</t>
        </is>
      </c>
      <c r="E2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2" s="4" t="inlineStr">
        <is>
          <t>村に再考を依頼済み。削除する場合でも、第5章の確保方策に「圏域内に事業所がないため会津若松地方の広域調整により確保を図る」旨を記載する（骨子案修正版 第4章(3)に反映済み）</t>
        </is>
      </c>
      <c r="G22" s="30" t="inlineStr">
        <is>
          <t>判断待ち</t>
        </is>
      </c>
    </row>
    <row r="23" ht="46" customHeight="1">
      <c r="A23" s="32" t="inlineStr">
        <is>
          <t>R-18</t>
        </is>
      </c>
      <c r="B23" s="32" t="inlineStr">
        <is>
          <t>整合</t>
        </is>
      </c>
      <c r="C23" s="34" t="inlineStr">
        <is>
          <t>中</t>
        </is>
      </c>
      <c r="D23" s="7" t="inlineStr">
        <is>
          <t>個別避難計画0件が第4次障がい者計画の指標と矛盾する可能性がある</t>
        </is>
      </c>
      <c r="E2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3" s="7" t="inlineStr">
        <is>
          <t>村に確認する。第4次障がい者計画は改定対象外だが、第8期計画の第3章5（目標値と進捗管理）で現状値を示す際に整合が必要</t>
        </is>
      </c>
      <c r="G23" s="32" t="inlineStr">
        <is>
          <t>未着手</t>
        </is>
      </c>
    </row>
    <row r="24" ht="46" customHeight="1">
      <c r="A24" s="30" t="inlineStr">
        <is>
          <t>R-19</t>
        </is>
      </c>
      <c r="B24" s="30" t="inlineStr">
        <is>
          <t>調査設計</t>
        </is>
      </c>
      <c r="C24" s="30" t="inlineStr">
        <is>
          <t>低</t>
        </is>
      </c>
      <c r="D24" s="4" t="inlineStr">
        <is>
          <t>障がい児版の設問番号に誤りがある</t>
        </is>
      </c>
      <c r="E24" s="4" t="inlineStr">
        <is>
          <t>問11の選択肢番号「13」が2つある（「自傷、他害、強いこだわり、パニックなどへの対応」と「特にない」）。問10の選択肢番号は「3」が欠番。いずれも村の朱書きとは別に、通読して気づいたもの</t>
        </is>
      </c>
      <c r="F24" s="4" t="inlineStr">
        <is>
          <t>調査票担当へ申し送り済み。印刷前に番号を振り直す。問10は問8との統合指示があるため、統合時に整理する</t>
        </is>
      </c>
      <c r="G24" s="30" t="inlineStr">
        <is>
          <t>対応中</t>
        </is>
      </c>
    </row>
  </sheetData>
  <autoFilter ref="A5:G24"/>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現在の本文頁は骨子案修正版の実測（作業用の注記を除く。本文1,100字／頁、表0.15頁、図0.35頁で概算）。</t>
        </is>
      </c>
    </row>
    <row r="5" ht="30" customHeight="1">
      <c r="A5" s="3" t="inlineStr">
        <is>
          <t>章</t>
        </is>
      </c>
      <c r="B5" s="3" t="inlineStr">
        <is>
          <t>現行計画
（63頁）</t>
        </is>
      </c>
      <c r="C5" s="3" t="inlineStr">
        <is>
          <t>現在の
本文頁</t>
        </is>
      </c>
      <c r="D5" s="3" t="inlineStr">
        <is>
          <t>目標頁</t>
        </is>
      </c>
      <c r="E5" s="3" t="inlineStr">
        <is>
          <t>増減</t>
        </is>
      </c>
      <c r="F5" s="3" t="inlineStr">
        <is>
          <t>根拠</t>
        </is>
      </c>
    </row>
    <row r="6" ht="30" customHeight="1">
      <c r="A6" s="4" t="inlineStr">
        <is>
          <t>第1章 計画の策定にあたって</t>
        </is>
      </c>
      <c r="B6" s="40" t="n">
        <v>9</v>
      </c>
      <c r="C6" s="41" t="n">
        <v>5.2</v>
      </c>
      <c r="D6" s="40" t="n">
        <v>7</v>
      </c>
      <c r="E6" s="42" t="n">
        <v>1.8</v>
      </c>
      <c r="F6" s="4" t="inlineStr">
        <is>
          <t>基本指針の改正16項目が中心。現行9頁には基本理念・体系（第3章へ移動）が含まれる</t>
        </is>
      </c>
    </row>
    <row r="7" ht="30" customHeight="1">
      <c r="A7" s="7" t="inlineStr">
        <is>
          <t>第2章 本村の障がい者の現状</t>
        </is>
      </c>
      <c r="B7" s="43" t="n">
        <v>5</v>
      </c>
      <c r="C7" s="44" t="n">
        <v>8</v>
      </c>
      <c r="D7" s="43" t="n">
        <v>8</v>
      </c>
      <c r="E7" s="45" t="n">
        <v>0</v>
      </c>
      <c r="F7" s="7" t="inlineStr">
        <is>
          <t>手帳所持者数の将来推計（仕様書4-Ⅱ(3)①）を新設したため現行より増</t>
        </is>
      </c>
    </row>
    <row r="8" ht="30" customHeight="1">
      <c r="A8" s="4" t="inlineStr">
        <is>
          <t>第3章 基本理念・基本目標及び施策体系</t>
        </is>
      </c>
      <c r="B8" s="40" t="n">
        <v>13</v>
      </c>
      <c r="C8" s="41" t="n">
        <v>3.7</v>
      </c>
      <c r="D8" s="40" t="n">
        <v>6</v>
      </c>
      <c r="E8" s="42" t="n">
        <v>2.3</v>
      </c>
      <c r="F8" s="4" t="inlineStr">
        <is>
          <t>改定対象外の第4次障がい者計画の再掲。骨格と第8期で加わる視点との対応表に絞る</t>
        </is>
      </c>
    </row>
    <row r="9" ht="30" customHeight="1">
      <c r="A9" s="7" t="inlineStr">
        <is>
          <t>第4章 令和11年度に向けた成果目標</t>
        </is>
      </c>
      <c r="B9" s="43" t="n">
        <v>11</v>
      </c>
      <c r="C9" s="44" t="n">
        <v>9.300000000000001</v>
      </c>
      <c r="D9" s="43" t="n">
        <v>11</v>
      </c>
      <c r="E9" s="45" t="n">
        <v>1.699999999999999</v>
      </c>
      <c r="F9" s="7" t="inlineStr">
        <is>
          <t>7項目→8項目。目標値・考え方の記入で増える</t>
        </is>
      </c>
    </row>
    <row r="10" ht="30" customHeight="1">
      <c r="A10" s="4" t="inlineStr">
        <is>
          <t>第5章 サービス等の実績と今後の見込み量</t>
        </is>
      </c>
      <c r="B10" s="40" t="n">
        <v>16</v>
      </c>
      <c r="C10" s="41" t="n">
        <v>14.9</v>
      </c>
      <c r="D10" s="40" t="n">
        <v>20</v>
      </c>
      <c r="E10" s="42" t="n">
        <v>5.1</v>
      </c>
      <c r="F10" s="4" t="inlineStr">
        <is>
          <t>推計方法・年齢到達移行・活動指標・財源構成を新設。本計画の実質的な付加価値</t>
        </is>
      </c>
    </row>
    <row r="11" ht="30" customHeight="1">
      <c r="A11" s="7" t="inlineStr">
        <is>
          <t>第6章 成年後見制度の利用促進</t>
        </is>
      </c>
      <c r="B11" s="43" t="n">
        <v>2</v>
      </c>
      <c r="C11" s="44" t="n">
        <v>0.5</v>
      </c>
      <c r="D11" s="43" t="n">
        <v>2</v>
      </c>
      <c r="E11" s="45" t="n">
        <v>1.5</v>
      </c>
      <c r="F11" s="7" t="inlineStr">
        <is>
          <t>現行と同水準。中核機関の記述を補う</t>
        </is>
      </c>
    </row>
    <row r="12" ht="30" customHeight="1">
      <c r="A12" s="4" t="inlineStr">
        <is>
          <t>第7章 他計画との連携</t>
        </is>
      </c>
      <c r="B12" s="40" t="inlineStr">
        <is>
          <t>―</t>
        </is>
      </c>
      <c r="C12" s="41" t="n">
        <v>3.2</v>
      </c>
      <c r="D12" s="40" t="n">
        <v>3</v>
      </c>
      <c r="E12" s="42" t="n">
        <v>-0.2000000000000002</v>
      </c>
      <c r="F12" s="4" t="inlineStr">
        <is>
          <t>新設章。健康21・こども子育て計画等</t>
        </is>
      </c>
    </row>
    <row r="13" ht="30" customHeight="1">
      <c r="A13" s="7" t="inlineStr">
        <is>
          <t>第8章 資料編</t>
        </is>
      </c>
      <c r="B13" s="43" t="n">
        <v>7</v>
      </c>
      <c r="C13" s="44" t="n">
        <v>0.4</v>
      </c>
      <c r="D13" s="43" t="n">
        <v>3</v>
      </c>
      <c r="E13" s="45" t="n">
        <v>2.6</v>
      </c>
      <c r="F13" s="7" t="inlineStr">
        <is>
          <t>アンケート集計結果は成果品②（別冊約60頁）に収め、計画書は要約と委員名簿のみ</t>
        </is>
      </c>
    </row>
    <row r="14">
      <c r="A14" s="46" t="inlineStr">
        <is>
          <t>合計</t>
        </is>
      </c>
      <c r="B14" s="47">
        <f>SUM(B6:B13)</f>
        <v/>
      </c>
      <c r="C14" s="47">
        <f>ROUND(SUM(C6:C13),0)</f>
        <v/>
      </c>
      <c r="D14" s="47">
        <f>SUM(D6:D13)</f>
        <v/>
      </c>
      <c r="E14" s="48">
        <f>D14-C14</f>
        <v/>
      </c>
      <c r="F14" s="46" t="inlineStr">
        <is>
          <t>目標60頁。現在の本文約45頁に対し15頁の余地がある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2026-08-14T07:28:58Z</dcterms:created>
  <dcterms:modified xmlns:dcterms="http://purl.org/dc/terms/" xmlns:xsi="http://www.w3.org/2001/XMLSchema-instance" xsi:type="dcterms:W3CDTF">2026-08-14T07:28:58Z</dcterms:modified>
</cp:coreProperties>
</file>