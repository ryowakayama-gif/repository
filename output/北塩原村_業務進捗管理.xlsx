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'04_村資料受領状況'!$A$5:$G$36</definedName>
    <definedName name="_xlnm._FilterDatabase" localSheetId="5" hidden="1">'05_課題・リスク'!$A$5:$G$26</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2CA02C"/>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11"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1"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166"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6"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障がい児福祉（51問）／0728アンケート調査票レビュー結果／村朱書き修正指示（令和8年8月・40か所）／北塩原村_アンケート調査票_村修正指示_確認結果</t>
        </is>
      </c>
      <c r="E7" s="33" t="inlineStr">
        <is>
          <t>概ね完了</t>
        </is>
      </c>
      <c r="F7" s="9" t="n">
        <v>0.9</v>
      </c>
      <c r="G7" s="32" t="inlineStr">
        <is>
          <t>当社</t>
        </is>
      </c>
      <c r="H7" s="26" t="inlineStr">
        <is>
          <t>2026-08-31</t>
        </is>
      </c>
      <c r="I7" s="7" t="inlineStr">
        <is>
          <t>村から朱書き修正指示40か所（障がい者版21・障がい児版19）を受領し内容を確認済み。修正の反映は調査票担当。当方からは問36（就労選択支援）の削除について再考を依頼中。障がい児版 問11の選択肢番号13の重複、問10の番号3の欠番も申し送り</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3"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4"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4"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4"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3"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4"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4"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骨子案修正版（本文約45頁）／分量配分計画（docs・進捗管理08）</t>
        </is>
      </c>
      <c r="E29" s="34" t="inlineStr">
        <is>
          <t>作業中</t>
        </is>
      </c>
      <c r="F29" s="9" t="n">
        <v>0.45</v>
      </c>
      <c r="G29" s="32" t="inlineStr">
        <is>
          <t>当社</t>
        </is>
      </c>
      <c r="H29" s="26" t="inlineStr">
        <is>
          <t>2027-03-31</t>
        </is>
      </c>
      <c r="I29" s="7" t="inlineStr">
        <is>
          <t>現行計画63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6"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サービス見込量の個別積上げ（13シート）</t>
        </is>
      </c>
      <c r="D14" s="24" t="n"/>
      <c r="E14" s="34" t="inlineStr">
        <is>
          <t>作業中</t>
        </is>
      </c>
      <c r="F14" s="24" t="n"/>
      <c r="G14" s="4" t="inlineStr">
        <is>
          <t>年齢到達者一覧、65歳移行判定、供給制約、告示別表第一根拠、別表第五判定を含む</t>
        </is>
      </c>
    </row>
    <row r="15" ht="28" customHeight="1">
      <c r="A15" s="32" t="inlineStr">
        <is>
          <t>推計</t>
        </is>
      </c>
      <c r="B15" s="7" t="inlineStr">
        <is>
          <t>北塩原村_活動指標.xlsx</t>
        </is>
      </c>
      <c r="C15" s="7" t="inlineStr">
        <is>
          <t>活動指標の設定（4シート）</t>
        </is>
      </c>
      <c r="D15" s="24" t="n"/>
      <c r="E15" s="34" t="inlineStr">
        <is>
          <t>作業中</t>
        </is>
      </c>
      <c r="F15" s="24" t="n"/>
      <c r="G15" s="7" t="inlineStr">
        <is>
          <t>別表第一の83項目。必須33・任意。仕様書4-Ⅱ(3)⑤に対応</t>
        </is>
      </c>
    </row>
    <row r="16" ht="28" customHeight="1">
      <c r="A16" s="30" t="inlineStr">
        <is>
          <t>資源</t>
        </is>
      </c>
      <c r="B16" s="4" t="inlineStr">
        <is>
          <t>北塩原村_圏域サービス資源.xlsx</t>
        </is>
      </c>
      <c r="C16" s="4" t="inlineStr">
        <is>
          <t>圏域の事業所数（5シート）</t>
        </is>
      </c>
      <c r="D16" s="24" t="n"/>
      <c r="E16" s="36" t="inlineStr">
        <is>
          <t>完了</t>
        </is>
      </c>
      <c r="F16" s="24" t="n"/>
      <c r="G16" s="4" t="inlineStr">
        <is>
          <t>ReMHRAD障害福祉資源18サービス×市町村別、2020→2025</t>
        </is>
      </c>
    </row>
    <row r="17" ht="28" customHeight="1">
      <c r="A17" s="32" t="inlineStr">
        <is>
          <t>精神</t>
        </is>
      </c>
      <c r="B17" s="7" t="inlineStr">
        <is>
          <t>福島県_精神医療指標抽出.xlsx</t>
        </is>
      </c>
      <c r="C17" s="7" t="inlineStr">
        <is>
          <t>福島県の精神医療指標（7シート）</t>
        </is>
      </c>
      <c r="D17" s="24" t="n"/>
      <c r="E17" s="36" t="inlineStr">
        <is>
          <t>完了</t>
        </is>
      </c>
      <c r="F17" s="24" t="n"/>
      <c r="G17" s="7" t="inlineStr">
        <is>
          <t>平均生活日数・再入院率・長期入院患者・別表第四の当てはめ・村の在院者</t>
        </is>
      </c>
    </row>
    <row r="18" ht="28" customHeight="1">
      <c r="A18" s="30" t="inlineStr">
        <is>
          <t>財源</t>
        </is>
      </c>
      <c r="B18" s="4" t="inlineStr">
        <is>
          <t>北塩原村_財源構成案.xlsx</t>
        </is>
      </c>
      <c r="C18" s="4" t="inlineStr">
        <is>
          <t>国・県・村の負担内訳（10シート）</t>
        </is>
      </c>
      <c r="D18" s="24" t="n"/>
      <c r="E18" s="34" t="inlineStr">
        <is>
          <t>作業中</t>
        </is>
      </c>
      <c r="F18" s="24" t="n"/>
      <c r="G18" s="4" t="inlineStr">
        <is>
          <t>給付実績R2〜R7、財源構成試算、見込量×単価の積上げ</t>
        </is>
      </c>
    </row>
    <row r="19" ht="28" customHeight="1">
      <c r="A19" s="32" t="inlineStr">
        <is>
          <t>評価</t>
        </is>
      </c>
      <c r="B19" s="7" t="inlineStr">
        <is>
          <t>北塩原村_現行計画評価.xlsx</t>
        </is>
      </c>
      <c r="C19" s="7" t="inlineStr">
        <is>
          <t>現行計画の評価（7シート）</t>
        </is>
      </c>
      <c r="D19" s="24" t="n"/>
      <c r="E19" s="34" t="inlineStr">
        <is>
          <t>作業中</t>
        </is>
      </c>
      <c r="F19" s="24" t="n"/>
      <c r="G19" s="7" t="inlineStr">
        <is>
          <t>令和3〜5年度の見込量と実績の突合、成果目標・施策目標の評価</t>
        </is>
      </c>
    </row>
    <row r="20" ht="28" customHeight="1">
      <c r="A20" s="30" t="inlineStr">
        <is>
          <t>管理</t>
        </is>
      </c>
      <c r="B20" s="4" t="inlineStr">
        <is>
          <t>北塩原村_業務進捗管理.xlsx</t>
        </is>
      </c>
      <c r="C20" s="4" t="inlineStr">
        <is>
          <t>本ブック</t>
        </is>
      </c>
      <c r="D20" s="24" t="n"/>
      <c r="E20" s="34" t="inlineStr">
        <is>
          <t>作業中</t>
        </is>
      </c>
      <c r="F20" s="24" t="n"/>
      <c r="G20" s="4" t="inlineStr">
        <is>
          <t>納品対象とするか村と確認</t>
        </is>
      </c>
    </row>
    <row r="21" ht="28" customHeight="1">
      <c r="A21" s="32" t="inlineStr">
        <is>
          <t>調査</t>
        </is>
      </c>
      <c r="B21" s="7" t="inlineStr">
        <is>
          <t>0728北塩原村_障がい福祉アンケート調査票.docx</t>
        </is>
      </c>
      <c r="C21" s="7" t="inlineStr">
        <is>
          <t>調査票（障がい者版・52問）</t>
        </is>
      </c>
      <c r="D21" s="24" t="n"/>
      <c r="E21" s="33" t="inlineStr">
        <is>
          <t>概ね完了</t>
        </is>
      </c>
      <c r="F21" s="24" t="n"/>
      <c r="G21" s="7" t="inlineStr">
        <is>
          <t>最終目視確認が残</t>
        </is>
      </c>
    </row>
    <row r="22" ht="28" customHeight="1">
      <c r="A22" s="30" t="inlineStr">
        <is>
          <t>調査</t>
        </is>
      </c>
      <c r="B22" s="4" t="inlineStr">
        <is>
          <t>0728北塩原村_障がい児福祉アンケート調査票.docx</t>
        </is>
      </c>
      <c r="C22" s="4" t="inlineStr">
        <is>
          <t>調査票（障がい児版・51問）</t>
        </is>
      </c>
      <c r="D22" s="24" t="n"/>
      <c r="E22" s="33" t="inlineStr">
        <is>
          <t>概ね完了</t>
        </is>
      </c>
      <c r="F22" s="24" t="n"/>
      <c r="G22" s="4" t="inlineStr">
        <is>
          <t>ルビ構造の確認が残</t>
        </is>
      </c>
    </row>
    <row r="23" ht="28" customHeight="1">
      <c r="A23" s="32" t="inlineStr">
        <is>
          <t>調査</t>
        </is>
      </c>
      <c r="B23" s="7" t="inlineStr">
        <is>
          <t>Googleフォーム自動作成 Code（.gs）</t>
        </is>
      </c>
      <c r="C23" s="7" t="inlineStr">
        <is>
          <t>ウェブ回答フォームの生成スクリプト</t>
        </is>
      </c>
      <c r="D23" s="24" t="n"/>
      <c r="E23" s="33" t="inlineStr">
        <is>
          <t>概ね完了</t>
        </is>
      </c>
      <c r="F23" s="24" t="n"/>
      <c r="G23" s="7" t="inlineStr">
        <is>
          <t>選択肢順序の固定が残</t>
        </is>
      </c>
    </row>
    <row r="24" ht="28" customHeight="1">
      <c r="A24" s="30" t="inlineStr">
        <is>
          <t>実績</t>
        </is>
      </c>
      <c r="B24" s="4" t="inlineStr">
        <is>
          <t>北塩原村_障がいサービス給付実績_整理版.xlsx</t>
        </is>
      </c>
      <c r="C24" s="4" t="inlineStr">
        <is>
          <t>受領データの整理版（6シート）</t>
        </is>
      </c>
      <c r="D24" s="24" t="n"/>
      <c r="E24" s="36" t="inlineStr">
        <is>
          <t>完了</t>
        </is>
      </c>
      <c r="F24" s="24" t="n"/>
      <c r="G24" s="4" t="inlineStr">
        <is>
          <t>令和2〜7年度、介護給付費・障害児給付費</t>
        </is>
      </c>
    </row>
    <row r="25" ht="28" customHeight="1">
      <c r="A25" s="32" t="inlineStr">
        <is>
          <t>指標</t>
        </is>
      </c>
      <c r="B25" s="7" t="inlineStr">
        <is>
          <t>北塩原村_活動指標.xlsx</t>
        </is>
      </c>
      <c r="C25" s="7" t="inlineStr">
        <is>
          <t>活動指標の設定（4シート）</t>
        </is>
      </c>
      <c r="D25" s="24" t="n"/>
      <c r="E25" s="34" t="inlineStr">
        <is>
          <t>作業中</t>
        </is>
      </c>
      <c r="F25" s="24" t="n"/>
      <c r="G25" s="7" t="inlineStr">
        <is>
          <t>別表第一83項目。必須33・任意。仕様書4-Ⅱ(3)⑤</t>
        </is>
      </c>
    </row>
    <row r="26" ht="28" customHeight="1">
      <c r="A26" s="30" t="inlineStr">
        <is>
          <t>事業</t>
        </is>
      </c>
      <c r="B26" s="4" t="inlineStr">
        <is>
          <t>北塩原村_地域生活支援事業.xlsx</t>
        </is>
      </c>
      <c r="C26" s="4" t="inlineStr">
        <is>
          <t>地域生活支援事業（4シート）</t>
        </is>
      </c>
      <c r="D26" s="24" t="n"/>
      <c r="E26" s="34" t="inlineStr">
        <is>
          <t>作業中</t>
        </is>
      </c>
      <c r="F26" s="24" t="n"/>
      <c r="G26" s="4" t="inlineStr">
        <is>
          <t>必須15・任意3。告示第三の二の3の4事項との対応</t>
        </is>
      </c>
    </row>
    <row r="27" ht="28" customHeight="1">
      <c r="A27" s="32" t="inlineStr">
        <is>
          <t>会議</t>
        </is>
      </c>
      <c r="B27" s="7" t="inlineStr">
        <is>
          <t>会議資料/（5ファイル）</t>
        </is>
      </c>
      <c r="C27" s="7" t="inlineStr">
        <is>
          <t>協議会資料1・2・8、庁議資料2・4</t>
        </is>
      </c>
      <c r="D27" s="24" t="n"/>
      <c r="E27" s="34" t="inlineStr">
        <is>
          <t>作業中</t>
        </is>
      </c>
      <c r="F27" s="24" t="n"/>
      <c r="G27" s="7" t="inlineStr">
        <is>
          <t>村資料に依存しない資料。残りは村資料の受領後</t>
        </is>
      </c>
    </row>
    <row r="28" ht="28" customHeight="1">
      <c r="A28" s="30" t="inlineStr">
        <is>
          <t>村データ</t>
        </is>
      </c>
      <c r="B28" s="4" t="inlineStr">
        <is>
          <t>北塩原村_村提供実績データ.xlsx</t>
        </is>
      </c>
      <c r="C28" s="4" t="inlineStr">
        <is>
          <t>調査票の朱書きで判明した村の実データ（7シート）</t>
        </is>
      </c>
      <c r="D28" s="24" t="n"/>
      <c r="E28" s="36" t="inlineStr">
        <is>
          <t>完了</t>
        </is>
      </c>
      <c r="F28" s="24" t="n"/>
      <c r="G28" s="4" t="inlineStr">
        <is>
          <t>実データ9件・修正指示40か所・照会事項8件。骨子案 第4章(3)(4)(6)・第5章1へ反映済み</t>
        </is>
      </c>
    </row>
    <row r="29" ht="28" customHeight="1">
      <c r="A29" s="32" t="inlineStr">
        <is>
          <t>報告</t>
        </is>
      </c>
      <c r="B29" s="7" t="inlineStr">
        <is>
          <t>調査結果報告書（未作成）</t>
        </is>
      </c>
      <c r="C29" s="7" t="inlineStr">
        <is>
          <t>アンケート集計結果</t>
        </is>
      </c>
      <c r="D29" s="24" t="n"/>
      <c r="E29" s="28" t="inlineStr">
        <is>
          <t>未着手</t>
        </is>
      </c>
      <c r="F29" s="24" t="n"/>
      <c r="G29" s="7" t="inlineStr">
        <is>
          <t>集計後</t>
        </is>
      </c>
    </row>
  </sheetData>
  <mergeCells count="39">
    <mergeCell ref="E12:F12"/>
    <mergeCell ref="C24:D24"/>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6"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4"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4"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5" t="inlineStr">
        <is>
          <t>県照会中</t>
        </is>
      </c>
      <c r="F10" s="22" t="inlineStr">
        <is>
          <t>2026-10-31</t>
        </is>
      </c>
      <c r="G10" s="37" t="n"/>
    </row>
    <row r="11" ht="34" customHeight="1">
      <c r="A11" s="34"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4"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4"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4"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4"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4"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6" t="inlineStr">
        <is>
          <t>受領済</t>
        </is>
      </c>
      <c r="F21" s="26" t="inlineStr">
        <is>
          <t>2026-08-03</t>
        </is>
      </c>
      <c r="G21" s="37" t="n"/>
    </row>
    <row r="22" ht="34" customHeight="1">
      <c r="A22" s="34"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4"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4"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6"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3"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3"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3"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6"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6" t="inlineStr">
        <is>
          <t>受領済</t>
        </is>
      </c>
      <c r="F31" s="26" t="inlineStr">
        <is>
          <t>2026-08-27</t>
        </is>
      </c>
      <c r="G31" s="37" t="n"/>
    </row>
    <row r="32" ht="34" customHeight="1">
      <c r="A32" s="34" t="inlineStr">
        <is>
          <t>高</t>
        </is>
      </c>
      <c r="B32" s="4" t="inlineStr">
        <is>
          <t>PDCAの評価体制・スケジュール・公表方法</t>
        </is>
      </c>
      <c r="C32" s="4" t="inlineStr">
        <is>
          <t>自立支援協議会と庁内会議体の役割分担、実績把握と評価の時期（村の予算編成に合わせる）、中間評価の結果の公表方法（ホームページ・広報誌・協議会資料の公開範囲）</t>
        </is>
      </c>
      <c r="D32" s="4" t="inlineStr">
        <is>
          <t>骨子案修正版 第1章6</t>
        </is>
      </c>
      <c r="E32" s="27" t="inlineStr">
        <is>
          <t>未受領</t>
        </is>
      </c>
      <c r="F32" s="22" t="inlineStr">
        <is>
          <t>2026-12-31</t>
        </is>
      </c>
      <c r="G32" s="37" t="n"/>
    </row>
    <row r="33" ht="34" customHeight="1">
      <c r="A33" s="32" t="inlineStr">
        <is>
          <t>―</t>
        </is>
      </c>
      <c r="B33" s="7" t="inlineStr">
        <is>
          <t>アンケート調査票への村の修正指示</t>
        </is>
      </c>
      <c r="C33" s="7" t="inlineStr">
        <is>
          <t>【受領済み】障がい者版17頁・障がい児版19頁のスキャンPDF。朱書き40か所。設問の削除・追加・順序変更のほか、削除理由として村の実データ9件が書き添えられている</t>
        </is>
      </c>
      <c r="D33" s="7" t="inlineStr">
        <is>
          <t>村提供実績データ 05／北塩原村_アンケート調査票_村修正指示_確認結果</t>
        </is>
      </c>
      <c r="E33" s="36" t="inlineStr">
        <is>
          <t>受領済</t>
        </is>
      </c>
      <c r="F33" s="26" t="inlineStr">
        <is>
          <t>2026-08-14</t>
        </is>
      </c>
      <c r="G33" s="37" t="n"/>
    </row>
    <row r="34" ht="34" customHeight="1">
      <c r="A34" s="30" t="inlineStr">
        <is>
          <t>中</t>
        </is>
      </c>
      <c r="B34" s="4" t="inlineStr">
        <is>
          <t>第5次総合振興計画たたき台、健康21現行計画、高齢者福祉・介護保険事業計画</t>
        </is>
      </c>
      <c r="C34" s="4" t="inlineStr">
        <is>
          <t>関連計画との整合確認</t>
        </is>
      </c>
      <c r="D34" s="4" t="inlineStr">
        <is>
          <t>計画本文 第1章・第7章</t>
        </is>
      </c>
      <c r="E34" s="27" t="inlineStr">
        <is>
          <t>未受領</t>
        </is>
      </c>
      <c r="F34" s="22" t="inlineStr">
        <is>
          <t>2026-10-31</t>
        </is>
      </c>
      <c r="G34" s="37" t="n"/>
    </row>
    <row r="35" ht="34" customHeight="1">
      <c r="A35" s="32" t="inlineStr">
        <is>
          <t>中</t>
        </is>
      </c>
      <c r="B35" s="7" t="inlineStr">
        <is>
          <t>40歳以上65歳未満の特定疾病該当者</t>
        </is>
      </c>
      <c r="C35" s="7" t="inlineStr">
        <is>
          <t>16の特定疾病に該当し要介護認定を受けている方の有無</t>
        </is>
      </c>
      <c r="D35" s="7" t="inlineStr">
        <is>
          <t>サービス見込量 02</t>
        </is>
      </c>
      <c r="E35" s="27" t="inlineStr">
        <is>
          <t>未受領</t>
        </is>
      </c>
      <c r="F35" s="26" t="inlineStr">
        <is>
          <t>2026-10-31</t>
        </is>
      </c>
      <c r="G35" s="37" t="n"/>
    </row>
    <row r="36" ht="34" customHeight="1">
      <c r="A36" s="30" t="inlineStr">
        <is>
          <t>中</t>
        </is>
      </c>
      <c r="B36" s="4" t="inlineStr">
        <is>
          <t>自立支援協議会の委員名簿</t>
        </is>
      </c>
      <c r="C36" s="4" t="inlineStr">
        <is>
          <t>任期・氏名・所属・役職</t>
        </is>
      </c>
      <c r="D36" s="4" t="inlineStr">
        <is>
          <t>計画書 資料編</t>
        </is>
      </c>
      <c r="E36" s="27" t="inlineStr">
        <is>
          <t>未受領</t>
        </is>
      </c>
      <c r="F36" s="22" t="inlineStr">
        <is>
          <t>2026-12-31</t>
        </is>
      </c>
      <c r="G36" s="37" t="n"/>
    </row>
    <row r="38" ht="46" customHeight="1">
      <c r="A38" s="2" t="inlineStr">
        <is>
          <t>未受領：21件（うち最優先5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6"/>
  <mergeCells count="3">
    <mergeCell ref="A38:G38"/>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32" t="inlineStr">
        <is>
          <t>低</t>
        </is>
      </c>
      <c r="D13" s="7" t="inlineStr">
        <is>
          <t>基本指針 別表第五（地域差是正）の適用関係が未確定</t>
        </is>
      </c>
      <c r="E1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3" s="7" t="inlineStr">
        <is>
          <t>骨子案修正版 第5章1及びサービス見込量ブック 12 へ反映済み</t>
        </is>
      </c>
      <c r="G13" s="32" t="inlineStr">
        <is>
          <t>完了</t>
        </is>
      </c>
    </row>
    <row r="14" ht="46" customHeight="1">
      <c r="A14" s="30" t="inlineStr">
        <is>
          <t>R-15</t>
        </is>
      </c>
      <c r="B14" s="30" t="inlineStr">
        <is>
          <t>推計</t>
        </is>
      </c>
      <c r="C14" s="30" t="inlineStr">
        <is>
          <t>低</t>
        </is>
      </c>
      <c r="D14" s="4" t="inlineStr">
        <is>
          <t>国基準数値と福島県実績の系統が複数あり、どれを用いるかで目標値が変わる</t>
        </is>
      </c>
      <c r="E1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4" s="4" t="inlineStr">
        <is>
          <t>計画本文には出典・時点・集計区分を必ず併記する。公費含む集計を用いるか否かは県の第8期計画に合わせる</t>
        </is>
      </c>
      <c r="G14" s="30" t="inlineStr">
        <is>
          <t>対応中</t>
        </is>
      </c>
    </row>
    <row r="15" ht="46" customHeight="1">
      <c r="A15" s="32" t="inlineStr">
        <is>
          <t>R-14</t>
        </is>
      </c>
      <c r="B15" s="32" t="inlineStr">
        <is>
          <t>提供体制</t>
        </is>
      </c>
      <c r="C15" s="27" t="inlineStr">
        <is>
          <t>高</t>
        </is>
      </c>
      <c r="D15" s="7" t="inlineStr">
        <is>
          <t>会津北部圏域の訪問系サービス事業所が本村の1か所のみになっている</t>
        </is>
      </c>
      <c r="E15"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1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15" s="32" t="inlineStr">
        <is>
          <t>対応中</t>
        </is>
      </c>
    </row>
    <row r="16" ht="46" customHeight="1">
      <c r="A16" s="30" t="inlineStr">
        <is>
          <t>R-16</t>
        </is>
      </c>
      <c r="B16" s="30" t="inlineStr">
        <is>
          <t>記述</t>
        </is>
      </c>
      <c r="C16" s="34" t="inlineStr">
        <is>
          <t>中</t>
        </is>
      </c>
      <c r="D16" s="4" t="inlineStr">
        <is>
          <t>骨子案・当方資料の「本村には事業所がない」という記述が事実と異なる</t>
        </is>
      </c>
      <c r="E1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16" s="4" t="inlineStr">
        <is>
          <t>骨子案修正版 第5章8 を原典から表を生成する方式に変更済み。事業所名・指定年月・共生型指定の有無・受入可能人数を村に確認する</t>
        </is>
      </c>
      <c r="G16" s="30" t="inlineStr">
        <is>
          <t>対応中</t>
        </is>
      </c>
    </row>
    <row r="17" ht="46" customHeight="1">
      <c r="A17" s="32" t="inlineStr">
        <is>
          <t>R-13</t>
        </is>
      </c>
      <c r="B17" s="32" t="inlineStr">
        <is>
          <t>財源</t>
        </is>
      </c>
      <c r="C17" s="34" t="inlineStr">
        <is>
          <t>中</t>
        </is>
      </c>
      <c r="D17" s="7" t="inlineStr">
        <is>
          <t>令和8年度・令和9年度の報酬改定により単価前提が動く</t>
        </is>
      </c>
      <c r="E17"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7" s="7" t="inlineStr">
        <is>
          <t>財源構成案 08シートに改定率パラメータを設置済み。改定内容の確定後に入力する</t>
        </is>
      </c>
      <c r="G17" s="32" t="inlineStr">
        <is>
          <t>対応中</t>
        </is>
      </c>
    </row>
    <row r="18" ht="46" customHeight="1">
      <c r="A18" s="30" t="inlineStr">
        <is>
          <t>R-8</t>
        </is>
      </c>
      <c r="B18" s="30" t="inlineStr">
        <is>
          <t>品質</t>
        </is>
      </c>
      <c r="C18" s="34" t="inlineStr">
        <is>
          <t>中</t>
        </is>
      </c>
      <c r="D18" s="4" t="inlineStr">
        <is>
          <t>障がい児版調査票のルビ構造により本文が欠落して見える箇所がある</t>
        </is>
      </c>
      <c r="E18" s="4" t="inlineStr">
        <is>
          <t>問1〜問15で語句が欠けて抽出される。Word表示上は正常な可能性もある</t>
        </is>
      </c>
      <c r="F18" s="4" t="inlineStr">
        <is>
          <t>Word上でルビなしテキストとして読んで意味が通るかを確認する</t>
        </is>
      </c>
      <c r="G18" s="30" t="inlineStr">
        <is>
          <t>対応中</t>
        </is>
      </c>
    </row>
    <row r="19" ht="46" customHeight="1">
      <c r="A19" s="32" t="inlineStr">
        <is>
          <t>R-9</t>
        </is>
      </c>
      <c r="B19" s="32" t="inlineStr">
        <is>
          <t>調査設計</t>
        </is>
      </c>
      <c r="C19" s="27" t="inlineStr">
        <is>
          <t>高</t>
        </is>
      </c>
      <c r="D19" s="7" t="inlineStr">
        <is>
          <t>障がい者票に介護保険・65歳到達に関する設問がない（国の標準項目）</t>
        </is>
      </c>
      <c r="E19"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19" s="7" t="inlineStr">
        <is>
          <t>発送前であれば既存設問への選択肢追加で対応する。追加しない場合は支給決定者台帳と介護保険の認定情報の突合に一本化する</t>
        </is>
      </c>
      <c r="G19" s="32" t="inlineStr">
        <is>
          <t>判断待ち</t>
        </is>
      </c>
    </row>
    <row r="20" ht="46" customHeight="1">
      <c r="A20" s="30" t="inlineStr">
        <is>
          <t>R-11</t>
        </is>
      </c>
      <c r="B20" s="30" t="inlineStr">
        <is>
          <t>調査設計</t>
        </is>
      </c>
      <c r="C20" s="27" t="inlineStr">
        <is>
          <t>高</t>
        </is>
      </c>
      <c r="D20" s="4" t="inlineStr">
        <is>
          <t>外出目的の設問がなく、第4次障がい者計画の1指標が測定できない（国の標準項目）</t>
        </is>
      </c>
      <c r="E20"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0" s="4" t="inlineStr">
        <is>
          <t>発送前であれば問13の後に外出目的の設問を追加するか、問45の選択肢を前回に揃える。発送後であれば別の把握方法へ切り替える旨を村と協議する</t>
        </is>
      </c>
      <c r="G20" s="30" t="inlineStr">
        <is>
          <t>判断待ち</t>
        </is>
      </c>
    </row>
    <row r="21" ht="46" customHeight="1">
      <c r="A21" s="32" t="inlineStr">
        <is>
          <t>R-10</t>
        </is>
      </c>
      <c r="B21" s="32" t="inlineStr">
        <is>
          <t>供給</t>
        </is>
      </c>
      <c r="C21" s="34" t="inlineStr">
        <is>
          <t>中</t>
        </is>
      </c>
      <c r="D21" s="7" t="inlineStr">
        <is>
          <t>圏域事業所の受入可能量が見込量の上限になる</t>
        </is>
      </c>
      <c r="E21" s="7" t="inlineStr">
        <is>
          <t>村内に事業所がなく、送迎・人材・定員が制約となる</t>
        </is>
      </c>
      <c r="F21" s="7" t="inlineStr">
        <is>
          <t>圏域事業所へ照会し、利用希望量と利用可能量を分けて管理する</t>
        </is>
      </c>
      <c r="G21" s="32" t="inlineStr">
        <is>
          <t>未着手</t>
        </is>
      </c>
    </row>
    <row r="22" ht="46" customHeight="1">
      <c r="A22" s="30" t="inlineStr">
        <is>
          <t>R-17</t>
        </is>
      </c>
      <c r="B22" s="30" t="inlineStr">
        <is>
          <t>調査設計</t>
        </is>
      </c>
      <c r="C22" s="34" t="inlineStr">
        <is>
          <t>中</t>
        </is>
      </c>
      <c r="D22" s="4" t="inlineStr">
        <is>
          <t>就労選択支援の設問（障がい者版 問36）が削除されると、圏域確保の根拠が窓口相談実績に限られる</t>
        </is>
      </c>
      <c r="E22"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2" s="4" t="inlineStr">
        <is>
          <t>村に再考を依頼済み。削除する場合でも、第5章の確保方策に「圏域内に事業所がないため会津若松地方の広域調整により確保を図る」旨を記載する（骨子案修正版 第4章(3)に反映済み）</t>
        </is>
      </c>
      <c r="G22" s="30" t="inlineStr">
        <is>
          <t>判断待ち</t>
        </is>
      </c>
    </row>
    <row r="23" ht="46" customHeight="1">
      <c r="A23" s="32" t="inlineStr">
        <is>
          <t>R-18</t>
        </is>
      </c>
      <c r="B23" s="32" t="inlineStr">
        <is>
          <t>整合</t>
        </is>
      </c>
      <c r="C23" s="34" t="inlineStr">
        <is>
          <t>中</t>
        </is>
      </c>
      <c r="D23" s="7" t="inlineStr">
        <is>
          <t>個別避難計画0件が第4次障がい者計画の指標と矛盾する可能性がある</t>
        </is>
      </c>
      <c r="E23"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3" s="7" t="inlineStr">
        <is>
          <t>村に確認する。第4次障がい者計画は改定対象外だが、第8期計画の第3章5（目標値と進捗管理）で現状値を示す際に整合が必要</t>
        </is>
      </c>
      <c r="G23" s="32" t="inlineStr">
        <is>
          <t>未着手</t>
        </is>
      </c>
    </row>
    <row r="24" ht="46" customHeight="1">
      <c r="A24" s="30" t="inlineStr">
        <is>
          <t>R-20</t>
        </is>
      </c>
      <c r="B24" s="30" t="inlineStr">
        <is>
          <t>調査設計</t>
        </is>
      </c>
      <c r="C24" s="34" t="inlineStr">
        <is>
          <t>中</t>
        </is>
      </c>
      <c r="D24" s="4" t="inlineStr">
        <is>
          <t>強度行動障害の該当有無を聞く設問がなく、支援ニーズの母数が特定できない</t>
        </is>
      </c>
      <c r="E24"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4" s="4" t="inlineStr">
        <is>
          <t>発送前であれば設問を追加する。追加しない場合は、村の朱書きで判明した区分6の2人について行動関連項目の点数を確認する（既に照会中）</t>
        </is>
      </c>
      <c r="G24" s="30" t="inlineStr">
        <is>
          <t>判断待ち</t>
        </is>
      </c>
    </row>
    <row r="25" ht="46" customHeight="1">
      <c r="A25" s="32" t="inlineStr">
        <is>
          <t>R-21</t>
        </is>
      </c>
      <c r="B25" s="32" t="inlineStr">
        <is>
          <t>調査設計</t>
        </is>
      </c>
      <c r="C25" s="34" t="inlineStr">
        <is>
          <t>中</t>
        </is>
      </c>
      <c r="D25" s="7" t="inlineStr">
        <is>
          <t>障害支援区分の削除は国の標準項目を落とすことになる</t>
        </is>
      </c>
      <c r="E25"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25" s="7" t="inlineStr">
        <is>
          <t>国の標準項目である旨を村へ伝えたうえで最終判断をいただく。当方の見解は変わらず、削除でも支障はない（区分別人数は役場データで把握済み）</t>
        </is>
      </c>
      <c r="G25" s="32" t="inlineStr">
        <is>
          <t>判断待ち</t>
        </is>
      </c>
    </row>
    <row r="26" ht="46" customHeight="1">
      <c r="A26" s="30" t="inlineStr">
        <is>
          <t>R-19</t>
        </is>
      </c>
      <c r="B26" s="30" t="inlineStr">
        <is>
          <t>調査設計</t>
        </is>
      </c>
      <c r="C26" s="30" t="inlineStr">
        <is>
          <t>低</t>
        </is>
      </c>
      <c r="D26" s="4" t="inlineStr">
        <is>
          <t>障がい児版の設問番号に誤りがある</t>
        </is>
      </c>
      <c r="E26" s="4" t="inlineStr">
        <is>
          <t>問11の選択肢番号「13」が2つある（「自傷、他害、強いこだわり、パニックなどへの対応」と「特にない」）。問10の選択肢番号は「3」が欠番。いずれも村の朱書きとは別に、通読して気づいたもの</t>
        </is>
      </c>
      <c r="F26" s="4" t="inlineStr">
        <is>
          <t>調査票担当へ申し送り済み。印刷前に番号を振り直す。問10は問8との統合指示があるため、統合時に整理する</t>
        </is>
      </c>
      <c r="G26" s="30" t="inlineStr">
        <is>
          <t>対応中</t>
        </is>
      </c>
    </row>
  </sheetData>
  <autoFilter ref="A5:G26"/>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現在の本文頁は骨子案修正版の実測（作業用の注記を除く。本文1,100字／頁、表0.15頁、図0.35頁で概算）。</t>
        </is>
      </c>
    </row>
    <row r="5" ht="30" customHeight="1">
      <c r="A5" s="3" t="inlineStr">
        <is>
          <t>章</t>
        </is>
      </c>
      <c r="B5" s="3" t="inlineStr">
        <is>
          <t>現行計画
（63頁）</t>
        </is>
      </c>
      <c r="C5" s="3" t="inlineStr">
        <is>
          <t>現在の
本文頁</t>
        </is>
      </c>
      <c r="D5" s="3" t="inlineStr">
        <is>
          <t>目標頁</t>
        </is>
      </c>
      <c r="E5" s="3" t="inlineStr">
        <is>
          <t>増減</t>
        </is>
      </c>
      <c r="F5" s="3" t="inlineStr">
        <is>
          <t>根拠</t>
        </is>
      </c>
    </row>
    <row r="6" ht="30" customHeight="1">
      <c r="A6" s="4" t="inlineStr">
        <is>
          <t>第1章 計画の策定にあたって</t>
        </is>
      </c>
      <c r="B6" s="40" t="n">
        <v>9</v>
      </c>
      <c r="C6" s="41" t="n">
        <v>5.2</v>
      </c>
      <c r="D6" s="40" t="n">
        <v>7</v>
      </c>
      <c r="E6" s="42" t="n">
        <v>1.8</v>
      </c>
      <c r="F6" s="4" t="inlineStr">
        <is>
          <t>基本指針の改正16項目が中心。現行9頁には基本理念・体系（第3章へ移動）が含まれる</t>
        </is>
      </c>
    </row>
    <row r="7" ht="30" customHeight="1">
      <c r="A7" s="7" t="inlineStr">
        <is>
          <t>第2章 本村の障がい者の現状</t>
        </is>
      </c>
      <c r="B7" s="43" t="n">
        <v>5</v>
      </c>
      <c r="C7" s="44" t="n">
        <v>8</v>
      </c>
      <c r="D7" s="43" t="n">
        <v>8</v>
      </c>
      <c r="E7" s="45" t="n">
        <v>0</v>
      </c>
      <c r="F7" s="7" t="inlineStr">
        <is>
          <t>手帳所持者数の将来推計（仕様書4-Ⅱ(3)①）を新設したため現行より増</t>
        </is>
      </c>
    </row>
    <row r="8" ht="30" customHeight="1">
      <c r="A8" s="4" t="inlineStr">
        <is>
          <t>第3章 基本理念・基本目標及び施策体系</t>
        </is>
      </c>
      <c r="B8" s="40" t="n">
        <v>13</v>
      </c>
      <c r="C8" s="41" t="n">
        <v>3.7</v>
      </c>
      <c r="D8" s="40" t="n">
        <v>6</v>
      </c>
      <c r="E8" s="42" t="n">
        <v>2.3</v>
      </c>
      <c r="F8" s="4" t="inlineStr">
        <is>
          <t>改定対象外の第4次障がい者計画の再掲。骨格と第8期で加わる視点との対応表に絞る</t>
        </is>
      </c>
    </row>
    <row r="9" ht="30" customHeight="1">
      <c r="A9" s="7" t="inlineStr">
        <is>
          <t>第4章 令和11年度に向けた成果目標</t>
        </is>
      </c>
      <c r="B9" s="43" t="n">
        <v>11</v>
      </c>
      <c r="C9" s="44" t="n">
        <v>9.300000000000001</v>
      </c>
      <c r="D9" s="43" t="n">
        <v>11</v>
      </c>
      <c r="E9" s="45" t="n">
        <v>1.699999999999999</v>
      </c>
      <c r="F9" s="7" t="inlineStr">
        <is>
          <t>7項目→8項目。目標値・考え方の記入で増える</t>
        </is>
      </c>
    </row>
    <row r="10" ht="30" customHeight="1">
      <c r="A10" s="4" t="inlineStr">
        <is>
          <t>第5章 サービス等の実績と今後の見込み量</t>
        </is>
      </c>
      <c r="B10" s="40" t="n">
        <v>16</v>
      </c>
      <c r="C10" s="41" t="n">
        <v>14.9</v>
      </c>
      <c r="D10" s="40" t="n">
        <v>20</v>
      </c>
      <c r="E10" s="42" t="n">
        <v>5.1</v>
      </c>
      <c r="F10" s="4" t="inlineStr">
        <is>
          <t>推計方法・年齢到達移行・活動指標・財源構成を新設。本計画の実質的な付加価値</t>
        </is>
      </c>
    </row>
    <row r="11" ht="30" customHeight="1">
      <c r="A11" s="7" t="inlineStr">
        <is>
          <t>第6章 成年後見制度の利用促進</t>
        </is>
      </c>
      <c r="B11" s="43" t="n">
        <v>2</v>
      </c>
      <c r="C11" s="44" t="n">
        <v>0.5</v>
      </c>
      <c r="D11" s="43" t="n">
        <v>2</v>
      </c>
      <c r="E11" s="45" t="n">
        <v>1.5</v>
      </c>
      <c r="F11" s="7" t="inlineStr">
        <is>
          <t>現行と同水準。中核機関の記述を補う</t>
        </is>
      </c>
    </row>
    <row r="12" ht="30" customHeight="1">
      <c r="A12" s="4" t="inlineStr">
        <is>
          <t>第7章 他計画との連携</t>
        </is>
      </c>
      <c r="B12" s="40" t="inlineStr">
        <is>
          <t>―</t>
        </is>
      </c>
      <c r="C12" s="41" t="n">
        <v>3.2</v>
      </c>
      <c r="D12" s="40" t="n">
        <v>3</v>
      </c>
      <c r="E12" s="42" t="n">
        <v>-0.2000000000000002</v>
      </c>
      <c r="F12" s="4" t="inlineStr">
        <is>
          <t>新設章。健康21・こども子育て計画等</t>
        </is>
      </c>
    </row>
    <row r="13" ht="30" customHeight="1">
      <c r="A13" s="7" t="inlineStr">
        <is>
          <t>第8章 資料編</t>
        </is>
      </c>
      <c r="B13" s="43" t="n">
        <v>7</v>
      </c>
      <c r="C13" s="44" t="n">
        <v>0.4</v>
      </c>
      <c r="D13" s="43" t="n">
        <v>3</v>
      </c>
      <c r="E13" s="45" t="n">
        <v>2.6</v>
      </c>
      <c r="F13" s="7" t="inlineStr">
        <is>
          <t>アンケート集計結果は成果品②（別冊約60頁）に収め、計画書は要約と委員名簿のみ</t>
        </is>
      </c>
    </row>
    <row r="14">
      <c r="A14" s="46" t="inlineStr">
        <is>
          <t>合計</t>
        </is>
      </c>
      <c r="B14" s="47">
        <f>SUM(B6:B13)</f>
        <v/>
      </c>
      <c r="C14" s="47">
        <f>ROUND(SUM(C6:C13),0)</f>
        <v/>
      </c>
      <c r="D14" s="47">
        <f>SUM(D6:D13)</f>
        <v/>
      </c>
      <c r="E14" s="48">
        <f>D14-C14</f>
        <v/>
      </c>
      <c r="F14" s="46" t="inlineStr">
        <is>
          <t>目標60頁。現在の本文約45頁に対し15頁の余地がある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2026-08-27T01:12:51Z</dcterms:created>
  <dcterms:modified xmlns:dcterms="http://purl.org/dc/terms/" xmlns:xsi="http://www.w3.org/2001/XMLSchema-instance" xsi:type="dcterms:W3CDTF">2026-08-27T01:12:51Z</dcterms:modified>
</cp:coreProperties>
</file>