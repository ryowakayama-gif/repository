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3b_納期からの逆算" sheetId="5" state="visible" r:id="rId5"/>
    <sheet xmlns:r="http://schemas.openxmlformats.org/officeDocument/2006/relationships" name="04_村資料受領状況" sheetId="6" state="visible" r:id="rId6"/>
    <sheet xmlns:r="http://schemas.openxmlformats.org/officeDocument/2006/relationships" name="05_課題・リスク" sheetId="7" state="visible" r:id="rId7"/>
    <sheet xmlns:r="http://schemas.openxmlformats.org/officeDocument/2006/relationships" name="06_打合せ記録" sheetId="8" state="visible" r:id="rId8"/>
    <sheet xmlns:r="http://schemas.openxmlformats.org/officeDocument/2006/relationships" name="07_更新履歴" sheetId="9" state="visible" r:id="rId9"/>
    <sheet xmlns:r="http://schemas.openxmlformats.org/officeDocument/2006/relationships" name="08_分量配分計画" sheetId="10" state="visible" r:id="rId10"/>
  </sheets>
  <definedNames>
    <definedName name="_xlnm._FilterDatabase" localSheetId="1" hidden="1">'01_仕様書別進捗'!$A$5:$I$38</definedName>
    <definedName name="_xlnm._FilterDatabase" localSheetId="5" hidden="1">'04_村資料受領状況'!$A$5:$G$74</definedName>
    <definedName name="_xlnm._FilterDatabase" localSheetId="6" hidden="1">'05_課題・リスク'!$A$5:$G$41</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6">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E2EFDA"/>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9">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0" fontId="4" fillId="14" borderId="1" applyAlignment="1" pivotButton="0" quotePrefix="0" xfId="0">
      <alignment horizontal="left" vertical="center" wrapText="1" indent="1"/>
    </xf>
    <xf numFmtId="0" fontId="4" fillId="15" borderId="1" applyAlignment="1" pivotButton="0" quotePrefix="0" xfId="0">
      <alignment horizontal="left" vertical="center" wrapText="1" indent="1"/>
    </xf>
    <xf numFmtId="164" fontId="4" fillId="15" borderId="1" applyAlignment="1" pivotButton="0" quotePrefix="0" xfId="0">
      <alignment horizontal="center" vertical="center"/>
    </xf>
    <xf numFmtId="0" fontId="4" fillId="15" borderId="1" applyAlignment="1" pivotButton="0" quotePrefix="0" xfId="0">
      <alignment horizontal="center" vertical="center"/>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6" customWidth="1" min="1" max="1"/>
    <col width="14" customWidth="1" min="2" max="2"/>
    <col width="46" customWidth="1" min="3" max="3"/>
    <col width="12" customWidth="1" min="4" max="4"/>
    <col width="22" customWidth="1" min="5" max="5"/>
    <col width="44" customWidth="1" min="6" max="6"/>
  </cols>
  <sheetData>
    <row r="1" ht="30" customHeight="1">
      <c r="A1" s="29" t="inlineStr">
        <is>
          <t>履行期限からの逆算（令和9年3月31日）</t>
        </is>
      </c>
    </row>
    <row r="2" ht="30" customHeight="1">
      <c r="A2" s="2" t="inlineStr">
        <is>
          <t>工程表は2027年3月を「最終修正、成果品の作成・納品」の1行にまとめており、入稿の日がありませんでした。納期から戻して日を置きます。所要日数のうち原典があるのは納期と部数・製本の形だけで、印刷・製本の所要日数は当方の想定です（Ｍ-112で確認）。</t>
        </is>
      </c>
    </row>
    <row r="5" ht="30" customHeight="1">
      <c r="A5" s="3" t="inlineStr">
        <is>
          <t>順</t>
        </is>
      </c>
      <c r="B5" s="3" t="inlineStr">
        <is>
          <t>期限</t>
        </is>
      </c>
      <c r="C5" s="3" t="inlineStr">
        <is>
          <t>工程</t>
        </is>
      </c>
      <c r="D5" s="3" t="inlineStr">
        <is>
          <t>所要日数</t>
        </is>
      </c>
      <c r="E5" s="3" t="inlineStr">
        <is>
          <t>誰が</t>
        </is>
      </c>
      <c r="F5" s="3" t="inlineStr">
        <is>
          <t>出所</t>
        </is>
      </c>
    </row>
    <row r="6" ht="30" customHeight="1">
      <c r="A6" s="30" t="n">
        <v>1</v>
      </c>
      <c r="B6" s="22" t="inlineStr">
        <is>
          <t>2027-03-31</t>
        </is>
      </c>
      <c r="C6" s="4" t="inlineStr">
        <is>
          <t>成果品の納品（計画書30部・調査報告書10部・電子媒体一式）</t>
        </is>
      </c>
      <c r="D6" s="30" t="inlineStr">
        <is>
          <t>―</t>
        </is>
      </c>
      <c r="E6" s="30" t="inlineStr">
        <is>
          <t>当社</t>
        </is>
      </c>
      <c r="F6" s="37" t="inlineStr">
        <is>
          <t>仕様書5（原典あり）</t>
        </is>
      </c>
    </row>
    <row r="7" ht="30" customHeight="1">
      <c r="A7" s="32" t="n">
        <v>2</v>
      </c>
      <c r="B7" s="26" t="inlineStr">
        <is>
          <t>2027-03-26</t>
        </is>
      </c>
      <c r="C7" s="7" t="inlineStr">
        <is>
          <t>製本（計画書はくるみ製本、報告書はホチキス製本）</t>
        </is>
      </c>
      <c r="D7" s="32" t="inlineStr">
        <is>
          <t>3営業日</t>
        </is>
      </c>
      <c r="E7" s="32" t="inlineStr">
        <is>
          <t>印刷業者又は当社</t>
        </is>
      </c>
      <c r="F7" s="38" t="inlineStr">
        <is>
          <t>当方の想定（Ｍ-112で確認）</t>
        </is>
      </c>
    </row>
    <row r="8" ht="30" customHeight="1">
      <c r="A8" s="30" t="n">
        <v>3</v>
      </c>
      <c r="B8" s="22" t="inlineStr">
        <is>
          <t>2027-03-19</t>
        </is>
      </c>
      <c r="C8" s="4" t="inlineStr">
        <is>
          <t>印刷（A4判両面・モノクロ・コピー）</t>
        </is>
      </c>
      <c r="D8" s="30" t="inlineStr">
        <is>
          <t>5営業日</t>
        </is>
      </c>
      <c r="E8" s="30" t="inlineStr">
        <is>
          <t>印刷業者又は当社</t>
        </is>
      </c>
      <c r="F8" s="38" t="inlineStr">
        <is>
          <t>当方の想定（Ｍ-112で確認）</t>
        </is>
      </c>
    </row>
    <row r="9" ht="30" customHeight="1">
      <c r="A9" s="32" t="n">
        <v>4</v>
      </c>
      <c r="B9" s="26" t="inlineStr">
        <is>
          <t>2027-03-17</t>
        </is>
      </c>
      <c r="C9" s="7" t="inlineStr">
        <is>
          <t>入稿（印刷用データの引渡し）</t>
        </is>
      </c>
      <c r="D9" s="32" t="inlineStr">
        <is>
          <t>1営業日</t>
        </is>
      </c>
      <c r="E9" s="32" t="inlineStr">
        <is>
          <t>当社</t>
        </is>
      </c>
      <c r="F9" s="38" t="inlineStr">
        <is>
          <t>当方の想定。工程表に無かった日（レビューの指摘）</t>
        </is>
      </c>
    </row>
    <row r="10" ht="30" customHeight="1">
      <c r="A10" s="30" t="n">
        <v>5</v>
      </c>
      <c r="B10" s="22" t="inlineStr">
        <is>
          <t>2027-03-12</t>
        </is>
      </c>
      <c r="C10" s="4" t="inlineStr">
        <is>
          <t>校了（村の最終確認の完了）</t>
        </is>
      </c>
      <c r="D10" s="30" t="inlineStr">
        <is>
          <t>3営業日</t>
        </is>
      </c>
      <c r="E10" s="30" t="inlineStr">
        <is>
          <t>北塩原村</t>
        </is>
      </c>
      <c r="F10" s="38" t="inlineStr">
        <is>
          <t>当方の想定（Ｍ-112で確認）</t>
        </is>
      </c>
    </row>
    <row r="11" ht="30" customHeight="1">
      <c r="A11" s="32" t="n">
        <v>6</v>
      </c>
      <c r="B11" s="26" t="inlineStr">
        <is>
          <t>2027-03-05</t>
        </is>
      </c>
      <c r="C11" s="7" t="inlineStr">
        <is>
          <t>再校（村の指摘の反映と再提出）</t>
        </is>
      </c>
      <c r="D11" s="32" t="inlineStr">
        <is>
          <t>5営業日</t>
        </is>
      </c>
      <c r="E11" s="32" t="inlineStr">
        <is>
          <t>当社</t>
        </is>
      </c>
      <c r="F11" s="38" t="inlineStr">
        <is>
          <t>当方の想定</t>
        </is>
      </c>
    </row>
    <row r="12" ht="30" customHeight="1">
      <c r="A12" s="30" t="n">
        <v>7</v>
      </c>
      <c r="B12" s="22" t="inlineStr">
        <is>
          <t>2027-02-26</t>
        </is>
      </c>
      <c r="C12" s="4" t="inlineStr">
        <is>
          <t>初校（村へ提出し確認を受ける）</t>
        </is>
      </c>
      <c r="D12" s="30" t="inlineStr">
        <is>
          <t>5営業日</t>
        </is>
      </c>
      <c r="E12" s="30" t="inlineStr">
        <is>
          <t>当社・北塩原村</t>
        </is>
      </c>
      <c r="F12" s="38" t="inlineStr">
        <is>
          <t>当方の想定</t>
        </is>
      </c>
    </row>
    <row r="13" ht="30" customHeight="1">
      <c r="A13" s="32" t="n">
        <v>8</v>
      </c>
      <c r="B13" s="26" t="inlineStr">
        <is>
          <t>2027-02-19</t>
        </is>
      </c>
      <c r="C13" s="7" t="inlineStr">
        <is>
          <t>目次と頁数の確定（Wordの目次の更新）</t>
        </is>
      </c>
      <c r="D13" s="32" t="inlineStr">
        <is>
          <t>5営業日</t>
        </is>
      </c>
      <c r="E13" s="32" t="inlineStr">
        <is>
          <t>当社又は北塩原村</t>
        </is>
      </c>
      <c r="F13" s="38" t="inlineStr">
        <is>
          <t>当方の想定。当方の環境ではWordの目次を更新できないため、他メンバー又は村に依頼する</t>
        </is>
      </c>
    </row>
    <row r="14" ht="30" customHeight="1">
      <c r="A14" s="30" t="n">
        <v>9</v>
      </c>
      <c r="B14" s="22" t="inlineStr">
        <is>
          <t>2027-02-12</t>
        </is>
      </c>
      <c r="C14" s="4" t="inlineStr">
        <is>
          <t>計画の決定（庁議・議会への説明を経る）</t>
        </is>
      </c>
      <c r="D14" s="30" t="inlineStr">
        <is>
          <t>―</t>
        </is>
      </c>
      <c r="E14" s="30" t="inlineStr">
        <is>
          <t>北塩原村</t>
        </is>
      </c>
      <c r="F14" s="37" t="inlineStr">
        <is>
          <t>村の計画策定方針（令和8年5月25日。原典あり）</t>
        </is>
      </c>
    </row>
    <row r="16" ht="110" customHeight="1">
      <c r="A16" s="2" t="inlineStr">
        <is>
          <t>この逆算で分かること。①入稿は令和9年3月17日である。②入稿に間に合わせるには、校了が3月12日、初校の提出が2月26日になる。③初校を出すには、目次と頁数が2月19日までに確定していなければならない。当方の環境ではWordの目次を更新できないため、この作業を他メンバー又は村に依頼する時期が2月19日までということになる。④計画の決定（村の方針では2月）から入稿までは約1か月しかない。パブリックコメントの日程が後ろへ動くと、最初に削られるのは校正の期間である。⑤印刷・製本の所要日数は当方の想定である。仕様は「コピー・くるみ製本」であり、業者によって所要日数が変わるため確かめる（Ｍ-112）。</t>
        </is>
      </c>
    </row>
  </sheetData>
  <mergeCells count="3">
    <mergeCell ref="A2:F2"/>
    <mergeCell ref="A16:F16"/>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計画値の基礎とする系列（Ｍ-19）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9" t="n"/>
    </row>
    <row r="7" ht="34" customHeight="1">
      <c r="A7" s="27" t="inlineStr">
        <is>
          <t>最優先</t>
        </is>
      </c>
      <c r="B7" s="7" t="inlineStr">
        <is>
          <t>移行管理台帳（Ｍ-18）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7" s="7" t="inlineStr">
        <is>
          <t>計画素案 第5章1・第5章2（第2次算定の入力）</t>
        </is>
      </c>
      <c r="E7" s="27" t="inlineStr">
        <is>
          <t>未受領</t>
        </is>
      </c>
      <c r="F7" s="26" t="inlineStr">
        <is>
          <t>2026-10-09</t>
        </is>
      </c>
      <c r="G7" s="39" t="n"/>
    </row>
    <row r="8" ht="34" customHeight="1">
      <c r="A8" s="27" t="inlineStr">
        <is>
          <t>最優先</t>
        </is>
      </c>
      <c r="B8" s="4" t="inlineStr">
        <is>
          <t>施設入所支援4人の支給決定の内容（Ｍ-13）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9" t="n"/>
    </row>
    <row r="9" ht="34" customHeight="1">
      <c r="A9" s="27" t="inlineStr">
        <is>
          <t>最優先</t>
        </is>
      </c>
      <c r="B9" s="7" t="inlineStr">
        <is>
          <t>介護保険の第2号被保険者との重なり（Ｍ-14）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9" t="n"/>
    </row>
    <row r="10" ht="34" customHeight="1">
      <c r="A10" s="35" t="inlineStr">
        <is>
          <t>高</t>
        </is>
      </c>
      <c r="B10" s="4" t="inlineStr">
        <is>
          <t>相談支援の体制（Ｍ-20）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9" t="n"/>
    </row>
    <row r="11" ht="34" customHeight="1">
      <c r="A11" s="27" t="inlineStr">
        <is>
          <t>最優先</t>
        </is>
      </c>
      <c r="B11" s="7" t="inlineStr">
        <is>
          <t>グループホーム・福祉ホームの設置の予定（Ｍ-37）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9" t="n"/>
    </row>
    <row r="12" ht="34" customHeight="1">
      <c r="A12" s="35" t="inlineStr">
        <is>
          <t>高</t>
        </is>
      </c>
      <c r="B12" s="4" t="inlineStr">
        <is>
          <t>物品調達の実績（Ｍ-34）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9" t="n"/>
    </row>
    <row r="13" ht="34" customHeight="1">
      <c r="A13" s="35" t="inlineStr">
        <is>
          <t>高</t>
        </is>
      </c>
      <c r="B13" s="7" t="inlineStr">
        <is>
          <t>社会福祉法改正への対応（Ｍ-35）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9" t="n"/>
    </row>
    <row r="14" ht="34" customHeight="1">
      <c r="A14" s="30" t="inlineStr">
        <is>
          <t>中</t>
        </is>
      </c>
      <c r="B14" s="4" t="inlineStr">
        <is>
          <t>防災の取組の状況（Ｍ-36）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9" t="n"/>
    </row>
    <row r="15" ht="34" customHeight="1">
      <c r="A15" s="35" t="inlineStr">
        <is>
          <t>高</t>
        </is>
      </c>
      <c r="B15" s="7" t="inlineStr">
        <is>
          <t>排泄管理支援用具の増減の理由（Ｍ-38）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9" t="n"/>
    </row>
    <row r="16" ht="34" customHeight="1">
      <c r="A16" s="35" t="inlineStr">
        <is>
          <t>高</t>
        </is>
      </c>
      <c r="B16" s="4" t="inlineStr">
        <is>
          <t>成年後見の類型別内訳（Ｍ-39）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9" t="n"/>
    </row>
    <row r="17" ht="34" customHeight="1">
      <c r="A17" s="35" t="inlineStr">
        <is>
          <t>高</t>
        </is>
      </c>
      <c r="B17" s="7" t="inlineStr">
        <is>
          <t>指定難病による対象者（Ｍ-32）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9" t="n"/>
    </row>
    <row r="18" ht="34" customHeight="1">
      <c r="A18" s="35" t="inlineStr">
        <is>
          <t>高</t>
        </is>
      </c>
      <c r="B18" s="4" t="inlineStr">
        <is>
          <t>9月30日時点の人口・手帳所持者数（Ｍ-28）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9" t="n"/>
    </row>
    <row r="19" ht="34" customHeight="1">
      <c r="A19" s="35" t="inlineStr">
        <is>
          <t>高</t>
        </is>
      </c>
      <c r="B19" s="7" t="inlineStr">
        <is>
          <t>こども・子育て計画の人口推計の元データ（Ｍ-29）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9" t="n"/>
    </row>
    <row r="20" ht="34" customHeight="1">
      <c r="A20" s="30" t="inlineStr">
        <is>
          <t>中</t>
        </is>
      </c>
      <c r="B20" s="4" t="inlineStr">
        <is>
          <t>職場適応訓練等の実績（Ｍ-30）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9" t="n"/>
    </row>
    <row r="21" ht="34" customHeight="1">
      <c r="A21" s="35" t="inlineStr">
        <is>
          <t>高</t>
        </is>
      </c>
      <c r="B21" s="7" t="inlineStr">
        <is>
          <t>地域生活支援事業・社協で担える範囲（Ｍ-31）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9" t="n"/>
    </row>
    <row r="22" ht="34" customHeight="1">
      <c r="A22" s="27" t="inlineStr">
        <is>
          <t>最優先</t>
        </is>
      </c>
      <c r="B22" s="4" t="inlineStr">
        <is>
          <t>重度障がい者の人数（Ｍ-22）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9" t="n"/>
    </row>
    <row r="23" ht="34" customHeight="1">
      <c r="A23" s="27" t="inlineStr">
        <is>
          <t>最優先</t>
        </is>
      </c>
      <c r="B23" s="7" t="inlineStr">
        <is>
          <t>施設入所者4人の6項目の確認状況（Ｍ-23）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9" t="n"/>
    </row>
    <row r="24" ht="34" customHeight="1">
      <c r="A24" s="27" t="inlineStr">
        <is>
          <t>最優先</t>
        </is>
      </c>
      <c r="B24" s="4" t="inlineStr">
        <is>
          <t>村外の利用事業所の一覧（Ｍ-24）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9" t="n"/>
    </row>
    <row r="25" ht="34" customHeight="1">
      <c r="A25" s="35" t="inlineStr">
        <is>
          <t>高</t>
        </is>
      </c>
      <c r="B25" s="7" t="inlineStr">
        <is>
          <t>事業所の経営基盤（Ｍ-25）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9" t="n"/>
    </row>
    <row r="26" ht="34" customHeight="1">
      <c r="A26" s="35" t="inlineStr">
        <is>
          <t>高</t>
        </is>
      </c>
      <c r="B26" s="4" t="inlineStr">
        <is>
          <t>成人の医療的ケア者・重症心身障害者（Ｍ-26）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9" t="n"/>
    </row>
    <row r="27" ht="34" customHeight="1">
      <c r="A27" s="35" t="inlineStr">
        <is>
          <t>高</t>
        </is>
      </c>
      <c r="B27" s="7" t="inlineStr">
        <is>
          <t>退院者1人の生活の見通し（Ｍ-27）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9" t="n"/>
    </row>
    <row r="28" ht="34" customHeight="1">
      <c r="A28" s="35" t="inlineStr">
        <is>
          <t>高</t>
        </is>
      </c>
      <c r="B28" s="4" t="inlineStr">
        <is>
          <t>卒業予定者の一覧（Ｍ-21）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9"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9" t="n"/>
    </row>
    <row r="30" ht="34" customHeight="1">
      <c r="A30" s="35" t="inlineStr">
        <is>
          <t>高</t>
        </is>
      </c>
      <c r="B30" s="4" t="inlineStr">
        <is>
          <t>高齢者サービスの手引きと高齢者福祉施策の対象要件（Ｍ-50）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9" t="n"/>
    </row>
    <row r="31" ht="34" customHeight="1">
      <c r="A31" s="35" t="inlineStr">
        <is>
          <t>高</t>
        </is>
      </c>
      <c r="B31" s="7" t="inlineStr">
        <is>
          <t>高齢者世帯等除雪サービス事業の「等」の範囲（Ｍ-49）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9" t="n"/>
    </row>
    <row r="32" ht="34" customHeight="1">
      <c r="A32" s="35" t="inlineStr">
        <is>
          <t>高</t>
        </is>
      </c>
      <c r="B32" s="4" t="inlineStr">
        <is>
          <t>権利擁護・成年後見の件数（Ｍ-51）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9" t="n"/>
    </row>
    <row r="33" ht="34" customHeight="1">
      <c r="A33" s="32" t="inlineStr">
        <is>
          <t>中</t>
        </is>
      </c>
      <c r="B33" s="7" t="inlineStr">
        <is>
          <t>緊急連絡カードの配布対象と障がい分野での活用（Ｍ-52）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9" t="n"/>
    </row>
    <row r="34" ht="34" customHeight="1">
      <c r="A34" s="30" t="inlineStr">
        <is>
          <t>中</t>
        </is>
      </c>
      <c r="B34" s="4" t="inlineStr">
        <is>
          <t>地域生活支援拠点等の5機能の実績（Ｍ-54）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9" t="n"/>
    </row>
    <row r="35" ht="34" customHeight="1">
      <c r="A35" s="35" t="inlineStr">
        <is>
          <t>高</t>
        </is>
      </c>
      <c r="B35" s="7" t="inlineStr">
        <is>
          <t>除雪サービスの利用実績と助成の内容（Ｍ-55・Ｍ-56）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9" t="n"/>
    </row>
    <row r="36" ht="34" customHeight="1">
      <c r="A36" s="30" t="inlineStr">
        <is>
          <t>中</t>
        </is>
      </c>
      <c r="B36" s="4" t="inlineStr">
        <is>
          <t>冬季の除雪の供給の制約とつなぐ運用（Ｍ-57・Ｍ-58）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9" t="n"/>
    </row>
    <row r="37" ht="34" customHeight="1">
      <c r="A37" s="35" t="inlineStr">
        <is>
          <t>高</t>
        </is>
      </c>
      <c r="B37" s="7" t="inlineStr">
        <is>
          <t>手話施策の実績（Ｍ-59・Ｍ-60）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9" t="n"/>
    </row>
    <row r="38" ht="34" customHeight="1">
      <c r="A38" s="35" t="inlineStr">
        <is>
          <t>高</t>
        </is>
      </c>
      <c r="B38" s="4" t="inlineStr">
        <is>
          <t>人工透析通院交通費助成と除雪の障がい者世帯の利用実績（Ｍ-64・Ｍ-65）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9" t="n"/>
    </row>
    <row r="39" ht="34" customHeight="1">
      <c r="A39" s="35" t="inlineStr">
        <is>
          <t>高</t>
        </is>
      </c>
      <c r="B39" s="7" t="inlineStr">
        <is>
          <t>障がい者活躍推進計画と物品調達方針（Ｍ-67・Ｍ-68）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9" t="n"/>
    </row>
    <row r="40" ht="34" customHeight="1">
      <c r="A40" s="30" t="inlineStr">
        <is>
          <t>中</t>
        </is>
      </c>
      <c r="B40" s="4" t="inlineStr">
        <is>
          <t>情報保障の配布実績と差別に関する相談（Ｍ-61〜Ｍ-63）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9" t="n"/>
    </row>
    <row r="41" ht="34" customHeight="1">
      <c r="A41" s="32" t="inlineStr">
        <is>
          <t>低</t>
        </is>
      </c>
      <c r="B41" s="7" t="inlineStr">
        <is>
          <t>パラスポーツへの村民の参加（Ｍ-66）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9" t="n"/>
    </row>
    <row r="42" ht="34" customHeight="1">
      <c r="A42" s="30" t="inlineStr">
        <is>
          <t>低</t>
        </is>
      </c>
      <c r="B42" s="4" t="inlineStr">
        <is>
          <t>就労の受け皿（職親委託等）の実績（Ｍ-53）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9"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9"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9"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9"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9"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9"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9"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9"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9"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9"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9"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9" t="n"/>
    </row>
    <row r="54" ht="34" customHeight="1">
      <c r="A54" s="35" t="inlineStr">
        <is>
          <t>高</t>
        </is>
      </c>
      <c r="B54" s="4" t="inlineStr">
        <is>
          <t>発送対象者数（重複除外後）</t>
        </is>
      </c>
      <c r="C54" s="4" t="inlineStr">
        <is>
          <t>仕様書の約190人の内訳と、現行計画156人との差の理由</t>
        </is>
      </c>
      <c r="D54" s="4" t="inlineStr">
        <is>
          <t>契約管理5／アンケート発送設計</t>
        </is>
      </c>
      <c r="E54" s="27" t="inlineStr">
        <is>
          <t>未受領</t>
        </is>
      </c>
      <c r="F54" s="22" t="inlineStr">
        <is>
          <t>2026-08-05</t>
        </is>
      </c>
      <c r="G54" s="39" t="n"/>
    </row>
    <row r="55" ht="34" customHeight="1">
      <c r="A55" s="35" t="inlineStr">
        <is>
          <t>高</t>
        </is>
      </c>
      <c r="B55" s="7" t="inlineStr">
        <is>
          <t>宛名ラベルシール</t>
        </is>
      </c>
      <c r="C55" s="7" t="inlineStr">
        <is>
          <t>仕様書Ⅰ(1)により委託者が抽出し提供</t>
        </is>
      </c>
      <c r="D55" s="7" t="inlineStr">
        <is>
          <t>アンケート発送</t>
        </is>
      </c>
      <c r="E55" s="27" t="inlineStr">
        <is>
          <t>未受領</t>
        </is>
      </c>
      <c r="F55" s="26" t="inlineStr">
        <is>
          <t>2026-08-05</t>
        </is>
      </c>
      <c r="G55" s="39"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9"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9"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9"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9"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9"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9"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9"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9"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9"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9"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9"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9"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9"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9"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9"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9"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9"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9"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9" t="n"/>
    </row>
    <row r="76" ht="46" customHeight="1">
      <c r="A76" s="2" t="inlineStr">
        <is>
          <t>未受領：55件（うち最優先14件、高29件）、一部受領：6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1"/>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R-39</t>
        </is>
      </c>
      <c r="B6" s="30" t="inlineStr">
        <is>
          <t>照会の立て方</t>
        </is>
      </c>
      <c r="C6" s="35" t="inlineStr">
        <is>
          <t>中</t>
        </is>
      </c>
      <c r="D6" s="4" t="inlineStr">
        <is>
          <t>高齢者施策への接続について、村が答えられない形で照会していた</t>
        </is>
      </c>
      <c r="E6" s="4"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F6" s="4"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G6" s="30" t="inlineStr">
        <is>
          <t>対応済み</t>
        </is>
      </c>
    </row>
    <row r="7" ht="46" customHeight="1">
      <c r="A7" s="32" t="inlineStr">
        <is>
          <t>R-38</t>
        </is>
      </c>
      <c r="B7" s="32" t="inlineStr">
        <is>
          <t>制度動向</t>
        </is>
      </c>
      <c r="C7" s="27" t="inlineStr">
        <is>
          <t>高</t>
        </is>
      </c>
      <c r="D7" s="7" t="inlineStr">
        <is>
          <t>高次脳機能障害者支援法が令和8年4月1日に施行され、村にも窓口の明確化と実施状況の公表が求められる</t>
        </is>
      </c>
      <c r="E7" s="7"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F7" s="7"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G7" s="32" t="inlineStr">
        <is>
          <t>対応中</t>
        </is>
      </c>
    </row>
    <row r="8" ht="46" customHeight="1">
      <c r="A8" s="30" t="inlineStr">
        <is>
          <t>R-37</t>
        </is>
      </c>
      <c r="B8" s="30" t="inlineStr">
        <is>
          <t>資料の読み方</t>
        </is>
      </c>
      <c r="C8" s="27" t="inlineStr">
        <is>
          <t>高</t>
        </is>
      </c>
      <c r="D8" s="4" t="inlineStr">
        <is>
          <t>国の予算資料は当初予算と前年度補正予算が同じ資料に載るため、年度を取り違えやすい</t>
        </is>
      </c>
      <c r="E8" s="4"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F8" s="4"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G8" s="30" t="inlineStr">
        <is>
          <t>対応済み</t>
        </is>
      </c>
    </row>
    <row r="9" ht="46" customHeight="1">
      <c r="A9" s="32" t="inlineStr">
        <is>
          <t>R-36</t>
        </is>
      </c>
      <c r="B9" s="32" t="inlineStr">
        <is>
          <t>記述の整合</t>
        </is>
      </c>
      <c r="C9" s="27" t="inlineStr">
        <is>
          <t>高</t>
        </is>
      </c>
      <c r="D9" s="7" t="inlineStr">
        <is>
          <t>確保の方策の記述が当方の中で食い違っていた（共生型サービス）</t>
        </is>
      </c>
      <c r="E9" s="7"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F9" s="7"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G9" s="32" t="inlineStr">
        <is>
          <t>対応中</t>
        </is>
      </c>
    </row>
    <row r="10" ht="46" customHeight="1">
      <c r="A10" s="30" t="inlineStr">
        <is>
          <t>R-35</t>
        </is>
      </c>
      <c r="B10" s="30" t="inlineStr">
        <is>
          <t>財政</t>
        </is>
      </c>
      <c r="C10" s="27" t="inlineStr">
        <is>
          <t>高</t>
        </is>
      </c>
      <c r="D10" s="4" t="inlineStr">
        <is>
          <t>令和8年度の報酬改定（＋1.84％）を見込量の基準年度に織り込んでいない</t>
        </is>
      </c>
      <c r="E10"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F10"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G10" s="30" t="inlineStr">
        <is>
          <t>対応中</t>
        </is>
      </c>
    </row>
    <row r="11" ht="46" customHeight="1">
      <c r="A11" s="32" t="inlineStr">
        <is>
          <t>R-34</t>
        </is>
      </c>
      <c r="B11" s="32" t="inlineStr">
        <is>
          <t>制度動向</t>
        </is>
      </c>
      <c r="C11" s="35" t="inlineStr">
        <is>
          <t>中</t>
        </is>
      </c>
      <c r="D11" s="7" t="inlineStr">
        <is>
          <t>意思決定支援ガイドラインが第2版に改訂され、考え方が変わった</t>
        </is>
      </c>
      <c r="E11" s="7"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F11" s="7"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G11" s="32" t="inlineStr">
        <is>
          <t>対応中</t>
        </is>
      </c>
    </row>
    <row r="12" ht="46" customHeight="1">
      <c r="A12" s="30" t="inlineStr">
        <is>
          <t>R-33</t>
        </is>
      </c>
      <c r="B12" s="30" t="inlineStr">
        <is>
          <t>成果目標</t>
        </is>
      </c>
      <c r="C12" s="35" t="inlineStr">
        <is>
          <t>中</t>
        </is>
      </c>
      <c r="D12" s="4" t="inlineStr">
        <is>
          <t>情報公表制度の公表率・更新率100％は、村に達成の手段がほとんどない</t>
        </is>
      </c>
      <c r="E12"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F12"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G12" s="30" t="inlineStr">
        <is>
          <t>対応中</t>
        </is>
      </c>
    </row>
    <row r="13" ht="46" customHeight="1">
      <c r="A13" s="32" t="inlineStr">
        <is>
          <t>R-32</t>
        </is>
      </c>
      <c r="B13" s="32" t="inlineStr">
        <is>
          <t>広域連携</t>
        </is>
      </c>
      <c r="C13" s="27" t="inlineStr">
        <is>
          <t>高</t>
        </is>
      </c>
      <c r="D13" s="7" t="inlineStr">
        <is>
          <t>広域で確保するとした機能が、相手方の計画と同じ単位・同じ数え方になっているか確かめられていない</t>
        </is>
      </c>
      <c r="E13" s="7"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F13" s="7"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G13" s="32" t="inlineStr">
        <is>
          <t>対応中</t>
        </is>
      </c>
    </row>
    <row r="14" ht="46" customHeight="1">
      <c r="A14" s="30" t="inlineStr">
        <is>
          <t>R-31</t>
        </is>
      </c>
      <c r="B14" s="30" t="inlineStr">
        <is>
          <t>推計</t>
        </is>
      </c>
      <c r="C14" s="27" t="inlineStr">
        <is>
          <t>高</t>
        </is>
      </c>
      <c r="D14" s="4" t="inlineStr">
        <is>
          <t>手帳所持者数の将来推計が、令和8年4月の実績と逆の方向を向いている</t>
        </is>
      </c>
      <c r="E14" s="4" t="inlineStr">
        <is>
          <t>当方の将来推計ブックは平成31年〜令和5年の5か年（156人まで減少）を延ばし、令和11年度の中位推計を145人（減少）としている。他メンバー版の正本 第2章2 には令和8年4月の実績が入っており、身体127人・療育16人・精神38人の計181人で、令和5年から25人の増加である。減少という前提そのものが成り立たない。あわせて、これまで確認事項としていた「仕様書の約190人と現行計画156人の差」は、約190人が令和8年時点の実数であったと考えられるため解消した。手帳所持者数は所持率法による見込量の検証に用いるため、第2次算定の検証の土台が狂う</t>
        </is>
      </c>
      <c r="F14" s="4" t="inlineStr">
        <is>
          <t>令和8年10月10日に概要版から令和11年度の推計値を外し、やり直す旨を注記した（計画素案・将来推計ブックにも【要更新】を付した）。令和6年度・令和7年度の手帳所持者数を村から受領したうえで、第2次算定で推計をやり直す。それまでの間、令和11年度の推計値を計画本文・概要版・委員会資料に載せない</t>
        </is>
      </c>
      <c r="G14" s="30" t="inlineStr">
        <is>
          <t>対応中</t>
        </is>
      </c>
    </row>
    <row r="15" ht="46" customHeight="1">
      <c r="A15" s="32" t="inlineStr">
        <is>
          <t>R-26</t>
        </is>
      </c>
      <c r="B15" s="32" t="inlineStr">
        <is>
          <t>指標</t>
        </is>
      </c>
      <c r="C15" s="27" t="inlineStr">
        <is>
          <t>高</t>
        </is>
      </c>
      <c r="D15" s="7" t="inlineStr">
        <is>
          <t>第4次障がい者計画のアンケート指標3件が前回と比較できない</t>
        </is>
      </c>
      <c r="E15" s="7"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15" s="7"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G15" s="32" t="inlineStr">
        <is>
          <t>未着手</t>
        </is>
      </c>
    </row>
    <row r="16" ht="46" customHeight="1">
      <c r="A16" s="30" t="inlineStr">
        <is>
          <t>R-23</t>
        </is>
      </c>
      <c r="B16" s="30" t="inlineStr">
        <is>
          <t>制度動向</t>
        </is>
      </c>
      <c r="C16" s="27" t="inlineStr">
        <is>
          <t>高</t>
        </is>
      </c>
      <c r="D16" s="4" t="inlineStr">
        <is>
          <t>告示後に基本指針が2度改正されており、追跡から漏れる</t>
        </is>
      </c>
      <c r="E16"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16"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16" s="30" t="inlineStr">
        <is>
          <t>対応中</t>
        </is>
      </c>
    </row>
    <row r="17" ht="46" customHeight="1">
      <c r="A17" s="32" t="inlineStr">
        <is>
          <t>R-24</t>
        </is>
      </c>
      <c r="B17" s="32" t="inlineStr">
        <is>
          <t>記載事項</t>
        </is>
      </c>
      <c r="C17" s="27" t="inlineStr">
        <is>
          <t>高</t>
        </is>
      </c>
      <c r="D17" s="7" t="inlineStr">
        <is>
          <t>別表第二 三㈠⑤の基盤整備量が県の算定値待ちで確定できない</t>
        </is>
      </c>
      <c r="E17" s="7"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17" s="7" t="inlineStr">
        <is>
          <t>県へ算定値と市町村への配分の考え方を照会する（レビュー Q-1）。県計画の公表が村の計画確定に間に合わない場合の取扱いも併せて確認する</t>
        </is>
      </c>
      <c r="G17" s="32" t="inlineStr">
        <is>
          <t>未着手</t>
        </is>
      </c>
    </row>
    <row r="18" ht="46" customHeight="1">
      <c r="A18" s="30" t="inlineStr">
        <is>
          <t>R-27</t>
        </is>
      </c>
      <c r="B18" s="30" t="inlineStr">
        <is>
          <t>指標</t>
        </is>
      </c>
      <c r="C18" s="35" t="inlineStr">
        <is>
          <t>中</t>
        </is>
      </c>
      <c r="D18" s="4" t="inlineStr">
        <is>
          <t>前回計画本編の目標値に転記誤りがある</t>
        </is>
      </c>
      <c r="E18"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18"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18" s="30" t="inlineStr">
        <is>
          <t>未着手</t>
        </is>
      </c>
    </row>
    <row r="19" ht="46" customHeight="1">
      <c r="A19" s="32" t="inlineStr">
        <is>
          <t>R-25</t>
        </is>
      </c>
      <c r="B19" s="32" t="inlineStr">
        <is>
          <t>整合</t>
        </is>
      </c>
      <c r="C19" s="35" t="inlineStr">
        <is>
          <t>中</t>
        </is>
      </c>
      <c r="D19" s="7" t="inlineStr">
        <is>
          <t>就労継続支援A型の利用者が給付実績に現れない</t>
        </is>
      </c>
      <c r="E19" s="7"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9" s="7" t="inlineStr">
        <is>
          <t>村に利用者の有無を確認する（見込量算定 Ｍ-4）。実在しなければ見込量は0、実在すれば単価とともに計上する。確認までは現行計画を据え置き、給付費は計上しない</t>
        </is>
      </c>
      <c r="G19" s="32" t="inlineStr">
        <is>
          <t>未着手</t>
        </is>
      </c>
    </row>
    <row r="20" ht="46" customHeight="1">
      <c r="A20" s="30" t="inlineStr">
        <is>
          <t>R-1</t>
        </is>
      </c>
      <c r="B20" s="30" t="inlineStr">
        <is>
          <t>スケジュール</t>
        </is>
      </c>
      <c r="C20" s="27" t="inlineStr">
        <is>
          <t>高</t>
        </is>
      </c>
      <c r="D20" s="4" t="inlineStr">
        <is>
          <t>アンケート発送が工程案の8月上旬に間に合わない</t>
        </is>
      </c>
      <c r="E20" s="4" t="inlineStr">
        <is>
          <t>印刷仕様の協議、村ラベルの受領、村封筒の手配がすべて未了。1週間の遅延は回収期間または集計期間の圧縮に直結する</t>
        </is>
      </c>
      <c r="F20" s="4" t="inlineStr">
        <is>
          <t>8月5日までに印刷仕様を確定し、ラベル提供日を村と合意する</t>
        </is>
      </c>
      <c r="G20" s="30" t="inlineStr">
        <is>
          <t>対応中</t>
        </is>
      </c>
    </row>
    <row r="21" ht="46" customHeight="1">
      <c r="A21" s="32" t="inlineStr">
        <is>
          <t>R-2</t>
        </is>
      </c>
      <c r="B21" s="32" t="inlineStr">
        <is>
          <t>契約</t>
        </is>
      </c>
      <c r="C21" s="27" t="inlineStr">
        <is>
          <t>高</t>
        </is>
      </c>
      <c r="D21" s="7" t="inlineStr">
        <is>
          <t>印刷仕様が仕様書と乖離している</t>
        </is>
      </c>
      <c r="E21" s="7" t="inlineStr">
        <is>
          <t>仕様書はA4判・約24ページ・黒1色の1種類。実際は34ページと37ページの2種類</t>
        </is>
      </c>
      <c r="F21" s="7" t="inlineStr">
        <is>
          <t>ページ数・種類数・部数・単価の取扱いを村と協議し、結果を書面で残す</t>
        </is>
      </c>
      <c r="G21" s="32" t="inlineStr">
        <is>
          <t>未着手</t>
        </is>
      </c>
    </row>
    <row r="22" ht="46" customHeight="1">
      <c r="A22" s="30" t="inlineStr">
        <is>
          <t>R-3</t>
        </is>
      </c>
      <c r="B22" s="30" t="inlineStr">
        <is>
          <t>契約</t>
        </is>
      </c>
      <c r="C22" s="27" t="inlineStr">
        <is>
          <t>高</t>
        </is>
      </c>
      <c r="D22" s="4" t="inlineStr">
        <is>
          <t>郵送費の負担が仕様書と異なる運用になっている</t>
        </is>
      </c>
      <c r="E22" s="4" t="inlineStr">
        <is>
          <t>仕様書は受託者負担。打合せでは村が立替え後日実費精算</t>
        </is>
      </c>
      <c r="F22" s="4" t="inlineStr">
        <is>
          <t>精算方法・範囲・上限を書面で確認する</t>
        </is>
      </c>
      <c r="G22" s="30" t="inlineStr">
        <is>
          <t>未着手</t>
        </is>
      </c>
    </row>
    <row r="23" ht="46" customHeight="1">
      <c r="A23" s="32" t="inlineStr">
        <is>
          <t>R-4</t>
        </is>
      </c>
      <c r="B23" s="32" t="inlineStr">
        <is>
          <t>推計</t>
        </is>
      </c>
      <c r="C23" s="27" t="inlineStr">
        <is>
          <t>高</t>
        </is>
      </c>
      <c r="D23" s="7" t="inlineStr">
        <is>
          <t>対象者数が確定せず、推計の起点が定まらない</t>
        </is>
      </c>
      <c r="E23" s="7"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23" s="7" t="inlineStr">
        <is>
          <t>発送前に村へ確認する。確認まで手帳所持者数の将来推計を確定値として記載しない</t>
        </is>
      </c>
      <c r="G23" s="32" t="inlineStr">
        <is>
          <t>対応中</t>
        </is>
      </c>
    </row>
    <row r="24" ht="46" customHeight="1">
      <c r="A24" s="30" t="inlineStr">
        <is>
          <t>R-5</t>
        </is>
      </c>
      <c r="B24" s="30" t="inlineStr">
        <is>
          <t>推計</t>
        </is>
      </c>
      <c r="C24" s="27" t="inlineStr">
        <is>
          <t>高</t>
        </is>
      </c>
      <c r="D24" s="4" t="inlineStr">
        <is>
          <t>個別積上げに必要な村資料が揃わない</t>
        </is>
      </c>
      <c r="E24" s="4" t="inlineStr">
        <is>
          <t>年齢別・サービス別の利用者一覧と支給決定者数（実人数）がないと見込量が確定しない</t>
        </is>
      </c>
      <c r="F24" s="4" t="inlineStr">
        <is>
          <t>8月末を目途に受領する。遅れる場合は現行計画の据置値で暫定版を作り、受領後に差し替える段取りを村と共有する</t>
        </is>
      </c>
      <c r="G24" s="30" t="inlineStr">
        <is>
          <t>対応中</t>
        </is>
      </c>
    </row>
    <row r="25" ht="46" customHeight="1">
      <c r="A25" s="32" t="inlineStr">
        <is>
          <t>R-6</t>
        </is>
      </c>
      <c r="B25" s="32" t="inlineStr">
        <is>
          <t>個人情報</t>
        </is>
      </c>
      <c r="C25" s="35" t="inlineStr">
        <is>
          <t>中</t>
        </is>
      </c>
      <c r="D25" s="7" t="inlineStr">
        <is>
          <t>少数母数のクロス集計で個人が特定される</t>
        </is>
      </c>
      <c r="E25" s="7" t="inlineStr">
        <is>
          <t>対象者が極めて少ないサービス・地区がある</t>
        </is>
      </c>
      <c r="F25" s="7" t="inlineStr">
        <is>
          <t>n&lt;5の秘匿基準を事前に村と合意する。公表用報告書と内部管理報告書を分離する</t>
        </is>
      </c>
      <c r="G25" s="32" t="inlineStr">
        <is>
          <t>対応中</t>
        </is>
      </c>
    </row>
    <row r="26" ht="46" customHeight="1">
      <c r="A26" s="30" t="inlineStr">
        <is>
          <t>R-7</t>
        </is>
      </c>
      <c r="B26" s="30" t="inlineStr">
        <is>
          <t>品質</t>
        </is>
      </c>
      <c r="C26" s="30" t="inlineStr">
        <is>
          <t>低</t>
        </is>
      </c>
      <c r="D26" s="4" t="inlineStr">
        <is>
          <t>骨子案が引用する国基準数値の原典照合が未了</t>
        </is>
      </c>
      <c r="E26"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26" s="4" t="inlineStr">
        <is>
          <t>骨子案修正版 第4章へ反映済み。改正後概要と告示本文で表記が異なる箇所は告示本文に従う</t>
        </is>
      </c>
      <c r="G26" s="30" t="inlineStr">
        <is>
          <t>完了</t>
        </is>
      </c>
    </row>
    <row r="27" ht="46" customHeight="1">
      <c r="A27" s="32" t="inlineStr">
        <is>
          <t>R-12</t>
        </is>
      </c>
      <c r="B27" s="32" t="inlineStr">
        <is>
          <t>推計</t>
        </is>
      </c>
      <c r="C27" s="32" t="inlineStr">
        <is>
          <t>低</t>
        </is>
      </c>
      <c r="D27" s="7" t="inlineStr">
        <is>
          <t>基本指針 別表第五（地域差是正）の適用関係が未確定</t>
        </is>
      </c>
      <c r="E27" s="7"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27" s="7" t="inlineStr">
        <is>
          <t>骨子案修正版 第5章1及びサービス見込量ブック 12 へ反映済み</t>
        </is>
      </c>
      <c r="G27" s="32" t="inlineStr">
        <is>
          <t>完了</t>
        </is>
      </c>
    </row>
    <row r="28" ht="46" customHeight="1">
      <c r="A28" s="30" t="inlineStr">
        <is>
          <t>R-15</t>
        </is>
      </c>
      <c r="B28" s="30" t="inlineStr">
        <is>
          <t>推計</t>
        </is>
      </c>
      <c r="C28" s="30" t="inlineStr">
        <is>
          <t>低</t>
        </is>
      </c>
      <c r="D28" s="4" t="inlineStr">
        <is>
          <t>国基準数値と福島県実績の系統が複数あり、どれを用いるかで目標値が変わる</t>
        </is>
      </c>
      <c r="E28"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28" s="4" t="inlineStr">
        <is>
          <t>計画本文には出典・時点・集計区分を必ず併記する。公費含む集計を用いるか否かは県の第8期計画に合わせる</t>
        </is>
      </c>
      <c r="G28" s="30" t="inlineStr">
        <is>
          <t>対応中</t>
        </is>
      </c>
    </row>
    <row r="29" ht="46" customHeight="1">
      <c r="A29" s="32" t="inlineStr">
        <is>
          <t>R-14</t>
        </is>
      </c>
      <c r="B29" s="32" t="inlineStr">
        <is>
          <t>提供体制</t>
        </is>
      </c>
      <c r="C29" s="27" t="inlineStr">
        <is>
          <t>高</t>
        </is>
      </c>
      <c r="D29" s="7" t="inlineStr">
        <is>
          <t>会津北部圏域の訪問系サービス事業所が本村の1か所のみになっている</t>
        </is>
      </c>
      <c r="E29" s="7"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9" s="7"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9" s="32" t="inlineStr">
        <is>
          <t>対応中</t>
        </is>
      </c>
    </row>
    <row r="30" ht="46" customHeight="1">
      <c r="A30" s="30" t="inlineStr">
        <is>
          <t>R-16</t>
        </is>
      </c>
      <c r="B30" s="30" t="inlineStr">
        <is>
          <t>記述</t>
        </is>
      </c>
      <c r="C30" s="35" t="inlineStr">
        <is>
          <t>中</t>
        </is>
      </c>
      <c r="D30" s="4" t="inlineStr">
        <is>
          <t>骨子案・当方資料の「本村には事業所がない」という記述が事実と異なる</t>
        </is>
      </c>
      <c r="E30"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30" s="4" t="inlineStr">
        <is>
          <t>骨子案修正版 第5章8 を原典から表を生成する方式に変更済み。事業所名・指定年月・共生型指定の有無・受入可能人数を村に確認する</t>
        </is>
      </c>
      <c r="G30" s="30" t="inlineStr">
        <is>
          <t>対応中</t>
        </is>
      </c>
    </row>
    <row r="31" ht="46" customHeight="1">
      <c r="A31" s="32" t="inlineStr">
        <is>
          <t>R-13</t>
        </is>
      </c>
      <c r="B31" s="32" t="inlineStr">
        <is>
          <t>財源</t>
        </is>
      </c>
      <c r="C31" s="35" t="inlineStr">
        <is>
          <t>中</t>
        </is>
      </c>
      <c r="D31" s="7" t="inlineStr">
        <is>
          <t>令和8年度・令和9年度の報酬改定により単価前提が動く</t>
        </is>
      </c>
      <c r="E31" s="7"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31" s="7" t="inlineStr">
        <is>
          <t>財源構成案 08シートに改定率パラメータを設置済み。改定内容の確定後に入力する</t>
        </is>
      </c>
      <c r="G31" s="32" t="inlineStr">
        <is>
          <t>対応中</t>
        </is>
      </c>
    </row>
    <row r="32" ht="46" customHeight="1">
      <c r="A32" s="30" t="inlineStr">
        <is>
          <t>R-8</t>
        </is>
      </c>
      <c r="B32" s="30" t="inlineStr">
        <is>
          <t>品質</t>
        </is>
      </c>
      <c r="C32" s="35" t="inlineStr">
        <is>
          <t>中</t>
        </is>
      </c>
      <c r="D32" s="4" t="inlineStr">
        <is>
          <t>障がい児版調査票のルビ構造により本文が欠落して見える箇所がある</t>
        </is>
      </c>
      <c r="E32" s="4" t="inlineStr">
        <is>
          <t>問1〜問15で語句が欠けて抽出される。Word表示上は正常な可能性もある</t>
        </is>
      </c>
      <c r="F32" s="4" t="inlineStr">
        <is>
          <t>Word上でルビなしテキストとして読んで意味が通るかを確認する</t>
        </is>
      </c>
      <c r="G32" s="30" t="inlineStr">
        <is>
          <t>対応中</t>
        </is>
      </c>
    </row>
    <row r="33" ht="46" customHeight="1">
      <c r="A33" s="32" t="inlineStr">
        <is>
          <t>R-9</t>
        </is>
      </c>
      <c r="B33" s="32" t="inlineStr">
        <is>
          <t>調査設計</t>
        </is>
      </c>
      <c r="C33" s="27" t="inlineStr">
        <is>
          <t>高</t>
        </is>
      </c>
      <c r="D33" s="7" t="inlineStr">
        <is>
          <t>障がい者票に介護保険・65歳到達に関する設問がない（国の標準項目）</t>
        </is>
      </c>
      <c r="E33" s="7"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33" s="7"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33" s="32" t="inlineStr">
        <is>
          <t>対応中</t>
        </is>
      </c>
    </row>
    <row r="34" ht="46" customHeight="1">
      <c r="A34" s="30" t="inlineStr">
        <is>
          <t>R-11</t>
        </is>
      </c>
      <c r="B34" s="30" t="inlineStr">
        <is>
          <t>調査設計</t>
        </is>
      </c>
      <c r="C34" s="27" t="inlineStr">
        <is>
          <t>高</t>
        </is>
      </c>
      <c r="D34" s="4" t="inlineStr">
        <is>
          <t>外出目的の設問がなく、第4次障がい者計画の1指標が測定できない（国の標準項目）</t>
        </is>
      </c>
      <c r="E34"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34"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G34" s="30" t="inlineStr">
        <is>
          <t>要対応</t>
        </is>
      </c>
    </row>
    <row r="35" ht="46" customHeight="1">
      <c r="A35" s="32" t="inlineStr">
        <is>
          <t>R-10</t>
        </is>
      </c>
      <c r="B35" s="32" t="inlineStr">
        <is>
          <t>供給</t>
        </is>
      </c>
      <c r="C35" s="35" t="inlineStr">
        <is>
          <t>中</t>
        </is>
      </c>
      <c r="D35" s="7" t="inlineStr">
        <is>
          <t>圏域事業所の受入可能量が見込量の上限になる</t>
        </is>
      </c>
      <c r="E35" s="7" t="inlineStr">
        <is>
          <t>村内に事業所がなく、送迎・人材・定員が制約となる</t>
        </is>
      </c>
      <c r="F35" s="7" t="inlineStr">
        <is>
          <t>圏域事業所へ照会し、利用希望量と利用可能量を分けて管理する</t>
        </is>
      </c>
      <c r="G35" s="32" t="inlineStr">
        <is>
          <t>未着手</t>
        </is>
      </c>
    </row>
    <row r="36" ht="46" customHeight="1">
      <c r="A36" s="30" t="inlineStr">
        <is>
          <t>R-17</t>
        </is>
      </c>
      <c r="B36" s="30" t="inlineStr">
        <is>
          <t>調査設計</t>
        </is>
      </c>
      <c r="C36" s="35" t="inlineStr">
        <is>
          <t>中</t>
        </is>
      </c>
      <c r="D36" s="4" t="inlineStr">
        <is>
          <t>就労選択支援の設問（障がい者版 問36）が削除されると、圏域確保の根拠が窓口相談実績に限られる</t>
        </is>
      </c>
      <c r="E36"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36" s="4" t="inlineStr">
        <is>
          <t>村に再考を依頼済み。削除する場合でも、第5章の確保方策に「圏域内に事業所がないため会津若松地方の広域調整により確保を図る」旨を記載する（骨子案修正版 第4章(3)に反映済み）</t>
        </is>
      </c>
      <c r="G36" s="30" t="inlineStr">
        <is>
          <t>判断待ち</t>
        </is>
      </c>
    </row>
    <row r="37" ht="46" customHeight="1">
      <c r="A37" s="32" t="inlineStr">
        <is>
          <t>R-18</t>
        </is>
      </c>
      <c r="B37" s="32" t="inlineStr">
        <is>
          <t>整合</t>
        </is>
      </c>
      <c r="C37" s="35" t="inlineStr">
        <is>
          <t>中</t>
        </is>
      </c>
      <c r="D37" s="7" t="inlineStr">
        <is>
          <t>個別避難計画0件が第4次障がい者計画の指標と矛盾する可能性がある</t>
        </is>
      </c>
      <c r="E37" s="7"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37" s="7" t="inlineStr">
        <is>
          <t>村に確認する。第4次障がい者計画は改定対象外だが、第8期計画の第3章5（目標値と進捗管理）で現状値を示す際に整合が必要</t>
        </is>
      </c>
      <c r="G37" s="32" t="inlineStr">
        <is>
          <t>未着手</t>
        </is>
      </c>
    </row>
    <row r="38" ht="46" customHeight="1">
      <c r="A38" s="30" t="inlineStr">
        <is>
          <t>R-20</t>
        </is>
      </c>
      <c r="B38" s="30" t="inlineStr">
        <is>
          <t>調査設計</t>
        </is>
      </c>
      <c r="C38" s="35" t="inlineStr">
        <is>
          <t>中</t>
        </is>
      </c>
      <c r="D38" s="4" t="inlineStr">
        <is>
          <t>強度行動障害の該当有無を聞く設問がなく、支援ニーズの母数が特定できない</t>
        </is>
      </c>
      <c r="E38"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38"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38" s="30" t="inlineStr">
        <is>
          <t>対応中</t>
        </is>
      </c>
    </row>
    <row r="39" ht="46" customHeight="1">
      <c r="A39" s="32" t="inlineStr">
        <is>
          <t>R-21</t>
        </is>
      </c>
      <c r="B39" s="32" t="inlineStr">
        <is>
          <t>調査設計</t>
        </is>
      </c>
      <c r="C39" s="35" t="inlineStr">
        <is>
          <t>中</t>
        </is>
      </c>
      <c r="D39" s="7" t="inlineStr">
        <is>
          <t>障害支援区分の削除は国の標準項目を落とすことになる</t>
        </is>
      </c>
      <c r="E39" s="7"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9" s="7"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9" s="32" t="inlineStr">
        <is>
          <t>完了</t>
        </is>
      </c>
    </row>
    <row r="40" ht="46" customHeight="1">
      <c r="A40" s="30" t="inlineStr">
        <is>
          <t>R-22</t>
        </is>
      </c>
      <c r="B40" s="30" t="inlineStr">
        <is>
          <t>調査設計</t>
        </is>
      </c>
      <c r="C40" s="35" t="inlineStr">
        <is>
          <t>中</t>
        </is>
      </c>
      <c r="D40" s="4" t="inlineStr">
        <is>
          <t>国のマニュアルの発出と調査票の確定の時期が重なった</t>
        </is>
      </c>
      <c r="E40" s="4" t="inlineStr">
        <is>
          <t>マニュアルは令和8年8月19日事務連絡（県通知8月24日）、調査票の確定は8月25日版。標準項目3件の欠落は、当方の設計の不備ではなくこの時期の重なりによる。第9期の策定時に同じ論点が生じうる</t>
        </is>
      </c>
      <c r="F40" s="4" t="inlineStr">
        <is>
          <t>経緯を打合せ記録に残し、計画書の調査概要にも「調査票確定後に国のマニュアルが改定された」旨を注記する（クロス集計設計 Ｓ-4）。算定根拠への疑義に対する説明にもなる</t>
        </is>
      </c>
      <c r="G40" s="30" t="inlineStr">
        <is>
          <t>対応中</t>
        </is>
      </c>
    </row>
    <row r="41" ht="46" customHeight="1">
      <c r="A41" s="32" t="inlineStr">
        <is>
          <t>R-19</t>
        </is>
      </c>
      <c r="B41" s="32" t="inlineStr">
        <is>
          <t>調査設計</t>
        </is>
      </c>
      <c r="C41" s="32" t="inlineStr">
        <is>
          <t>低</t>
        </is>
      </c>
      <c r="D41" s="7" t="inlineStr">
        <is>
          <t>障がい児版の設問番号に誤りがある</t>
        </is>
      </c>
      <c r="E41" s="7" t="inlineStr">
        <is>
          <t>問11の選択肢番号「13」が2つある（「自傷、他害、強いこだわり、パニックなどへの対応」と「特にない」）。問10の選択肢番号は「3」が欠番。いずれも村の朱書きとは別に、通読して気づいたもの</t>
        </is>
      </c>
      <c r="F41" s="7" t="inlineStr">
        <is>
          <t>調査票担当へ申し送り済み。印刷前に番号を振り直す。問10は問8との統合指示があるため、統合時に整理する</t>
        </is>
      </c>
      <c r="G41" s="32" t="inlineStr">
        <is>
          <t>対応中</t>
        </is>
      </c>
    </row>
  </sheetData>
  <autoFilter ref="A5:G41"/>
  <mergeCells count="2">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9" t="n"/>
      <c r="B7" s="40" t="inlineStr">
        <is>
          <t>打合せ</t>
        </is>
      </c>
      <c r="C7" s="38" t="n"/>
      <c r="D7" s="38" t="n"/>
      <c r="E7" s="38" t="n"/>
      <c r="F7" s="38" t="n"/>
    </row>
    <row r="8" ht="30" customHeight="1">
      <c r="A8" s="39" t="n"/>
      <c r="B8" s="40" t="inlineStr">
        <is>
          <t>協議会</t>
        </is>
      </c>
      <c r="C8" s="38" t="n"/>
      <c r="D8" s="38" t="n"/>
      <c r="E8" s="38" t="n"/>
      <c r="F8" s="38" t="n"/>
    </row>
    <row r="9" ht="30" customHeight="1">
      <c r="A9" s="39" t="n"/>
      <c r="B9" s="40" t="inlineStr">
        <is>
          <t>打合せ</t>
        </is>
      </c>
      <c r="C9" s="38" t="n"/>
      <c r="D9" s="38" t="n"/>
      <c r="E9" s="38" t="n"/>
      <c r="F9" s="38"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9" t="n"/>
      <c r="B31" s="40" t="n"/>
      <c r="C31" s="38" t="n"/>
      <c r="D31" s="38" t="n"/>
    </row>
    <row r="32">
      <c r="A32" s="39" t="n"/>
      <c r="B32" s="40" t="n"/>
      <c r="C32" s="38" t="n"/>
      <c r="D32" s="38" t="n"/>
    </row>
    <row r="33">
      <c r="A33" s="39" t="n"/>
      <c r="B33" s="40" t="n"/>
      <c r="C33" s="38" t="n"/>
      <c r="D33" s="38" t="n"/>
    </row>
    <row r="34">
      <c r="A34" s="39" t="n"/>
      <c r="B34" s="40" t="n"/>
      <c r="C34" s="38" t="n"/>
      <c r="D34" s="38" t="n"/>
    </row>
    <row r="35">
      <c r="A35" s="39" t="n"/>
      <c r="B35" s="40" t="n"/>
      <c r="C35" s="38" t="n"/>
      <c r="D35" s="38" t="n"/>
    </row>
    <row r="36">
      <c r="A36" s="39" t="n"/>
      <c r="B36" s="40" t="n"/>
      <c r="C36" s="38" t="n"/>
      <c r="D36" s="38" t="n"/>
    </row>
  </sheetData>
  <mergeCells count="2">
    <mergeCell ref="A1:D1"/>
    <mergeCell ref="A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1" t="n">
        <v>9</v>
      </c>
      <c r="C6" s="41" t="n">
        <v>9</v>
      </c>
      <c r="D6" s="41" t="n">
        <v>9</v>
      </c>
      <c r="E6" s="42"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3" t="n">
        <v>5</v>
      </c>
      <c r="C7" s="43" t="n">
        <v>6</v>
      </c>
      <c r="D7" s="43" t="n">
        <v>7</v>
      </c>
      <c r="E7" s="44" t="n">
        <v>1</v>
      </c>
      <c r="F7" s="7" t="inlineStr">
        <is>
          <t>手帳所持者数の将来推計（仕様書4-Ⅱ(3)①）を新設。実績データの受領で図表が埋まる</t>
        </is>
      </c>
    </row>
    <row r="8" ht="30" customHeight="1">
      <c r="A8" s="4" t="inlineStr">
        <is>
          <t>第3章 基本理念・基本目標及び施策体系</t>
        </is>
      </c>
      <c r="B8" s="41" t="n">
        <v>13</v>
      </c>
      <c r="C8" s="41" t="n">
        <v>5</v>
      </c>
      <c r="D8" s="41" t="n">
        <v>5</v>
      </c>
      <c r="E8" s="42"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3" t="n">
        <v>11</v>
      </c>
      <c r="C9" s="43" t="n">
        <v>9</v>
      </c>
      <c r="D9" s="43" t="n">
        <v>11</v>
      </c>
      <c r="E9" s="44" t="n">
        <v>2</v>
      </c>
      <c r="F9" s="7" t="inlineStr">
        <is>
          <t>7項目→8項目。目標値・考え方の記入で増える</t>
        </is>
      </c>
    </row>
    <row r="10" ht="30" customHeight="1">
      <c r="A10" s="4" t="inlineStr">
        <is>
          <t>第5章 サービス等の実績と今後の見込み量</t>
        </is>
      </c>
      <c r="B10" s="41" t="n">
        <v>16</v>
      </c>
      <c r="C10" s="41" t="n">
        <v>22</v>
      </c>
      <c r="D10" s="41" t="n">
        <v>20</v>
      </c>
      <c r="E10" s="42"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3" t="n">
        <v>2</v>
      </c>
      <c r="C11" s="43" t="n">
        <v>1</v>
      </c>
      <c r="D11" s="43" t="n">
        <v>2</v>
      </c>
      <c r="E11" s="44" t="n">
        <v>1</v>
      </c>
      <c r="F11" s="7" t="inlineStr">
        <is>
          <t>現行と同水準。中核機関の記述を補う</t>
        </is>
      </c>
    </row>
    <row r="12" ht="30" customHeight="1">
      <c r="A12" s="4" t="inlineStr">
        <is>
          <t>第7章 他計画との連携</t>
        </is>
      </c>
      <c r="B12" s="41" t="inlineStr">
        <is>
          <t>―</t>
        </is>
      </c>
      <c r="C12" s="41" t="n">
        <v>3</v>
      </c>
      <c r="D12" s="41" t="n">
        <v>3</v>
      </c>
      <c r="E12" s="42" t="n">
        <v>0</v>
      </c>
      <c r="F12" s="4" t="inlineStr">
        <is>
          <t>新設章。健康21・総合振興計画・こども子育て計画</t>
        </is>
      </c>
    </row>
    <row r="13" ht="30" customHeight="1">
      <c r="A13" s="7" t="inlineStr">
        <is>
          <t>第8章 資料編</t>
        </is>
      </c>
      <c r="B13" s="43" t="n">
        <v>1</v>
      </c>
      <c r="C13" s="43" t="n">
        <v>3</v>
      </c>
      <c r="D13" s="43" t="n">
        <v>3</v>
      </c>
      <c r="E13" s="44" t="n">
        <v>0</v>
      </c>
      <c r="F13" s="7" t="inlineStr">
        <is>
          <t>アンケート集計結果は成果品②（別冊約60頁）に収める。令和8年9月に用語解説（第8章4・30語）を新設</t>
        </is>
      </c>
    </row>
    <row r="14">
      <c r="A14" s="45" t="inlineStr">
        <is>
          <t>合計</t>
        </is>
      </c>
      <c r="B14" s="46">
        <f>SUM(B6:B13)</f>
        <v/>
      </c>
      <c r="C14" s="46">
        <f>ROUND(SUM(C6:C13),0)</f>
        <v/>
      </c>
      <c r="D14" s="46">
        <f>SUM(D6:D13)</f>
        <v/>
      </c>
      <c r="E14" s="47">
        <f>D14-C14</f>
        <v/>
      </c>
      <c r="F14" s="45"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8"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2026-10-12T03:27:37Z</dcterms:created>
  <dcterms:modified xmlns:dcterms="http://purl.org/dc/terms/" xmlns:xsi="http://www.w3.org/2001/XMLSchema-instance" xsi:type="dcterms:W3CDTF">2026-10-12T03:27:37Z</dcterms:modified>
</cp:coreProperties>
</file>