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3b_納期からの逆算" sheetId="5" state="visible" r:id="rId5"/>
    <sheet xmlns:r="http://schemas.openxmlformats.org/officeDocument/2006/relationships" name="04_村資料受領状況" sheetId="6" state="visible" r:id="rId6"/>
    <sheet xmlns:r="http://schemas.openxmlformats.org/officeDocument/2006/relationships" name="05_課題・リスク" sheetId="7" state="visible" r:id="rId7"/>
    <sheet xmlns:r="http://schemas.openxmlformats.org/officeDocument/2006/relationships" name="06_打合せ記録" sheetId="8" state="visible" r:id="rId8"/>
    <sheet xmlns:r="http://schemas.openxmlformats.org/officeDocument/2006/relationships" name="07_更新履歴" sheetId="9" state="visible" r:id="rId9"/>
    <sheet xmlns:r="http://schemas.openxmlformats.org/officeDocument/2006/relationships" name="08_分量配分計画" sheetId="10" state="visible" r:id="rId10"/>
  </sheets>
  <definedNames>
    <definedName name="_xlnm._FilterDatabase" localSheetId="1" hidden="1">'01_仕様書別進捗'!$A$5:$I$38</definedName>
    <definedName name="_xlnm._FilterDatabase" localSheetId="5" hidden="1">'04_村資料受領状況'!$A$5:$G$74</definedName>
    <definedName name="_xlnm._FilterDatabase" localSheetId="6" hidden="1">'05_課題・リスク'!$A$5:$G$44</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7">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E2EFDA"/>
      </patternFill>
    </fill>
    <fill>
      <patternFill patternType="solid">
        <fgColor rgb="00FFF2CC"/>
      </patternFill>
    </fill>
    <fill>
      <patternFill patternType="solid">
        <fgColor rgb="007B0000"/>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50">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0" fontId="4" fillId="14" borderId="1" applyAlignment="1" pivotButton="0" quotePrefix="0" xfId="0">
      <alignment horizontal="left" vertical="center" wrapText="1" indent="1"/>
    </xf>
    <xf numFmtId="0" fontId="4" fillId="15" borderId="1" applyAlignment="1" pivotButton="0" quotePrefix="0" xfId="0">
      <alignment horizontal="left" vertical="center" wrapText="1" indent="1"/>
    </xf>
    <xf numFmtId="164" fontId="4" fillId="15" borderId="1" applyAlignment="1" pivotButton="0" quotePrefix="0" xfId="0">
      <alignment horizontal="center" vertical="center"/>
    </xf>
    <xf numFmtId="0" fontId="3" fillId="16" borderId="1" applyAlignment="1" pivotButton="0" quotePrefix="0" xfId="0">
      <alignment horizontal="center" vertical="center"/>
    </xf>
    <xf numFmtId="0" fontId="4" fillId="15" borderId="1" applyAlignment="1" pivotButton="0" quotePrefix="0" xfId="0">
      <alignment horizontal="center" vertical="center"/>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北塩原村_将来推計.xlsx（9シート。08_県との比較を追加）／北塩原村_レビュー対応_第3回.xlsx 02_手帳推計／正本 第2章2（ＲＶ-1）</t>
        </is>
      </c>
      <c r="E19" s="27" t="inlineStr">
        <is>
          <t>村資料待ち</t>
        </is>
      </c>
      <c r="F19" s="9" t="n">
        <v>0.72</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令和8年10月13日に、手帳別に別の係数を用いた4通りの試算を行い、令和11年の合計に139人から206人まで67人の幅があることを示した。幅の大半は令和5年から令和8年までの25人の増加を実際の増加と見るか数え方の違いと見るかで生じており、令和6年・令和7年の実数1件で決まる（Ｍ-113）。正本 第2章2 には手帳別に推計する旨と幅で示す旨を書き、基礎の127人・16人・38人が台帳による確定値でないことを明記した</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0"/>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工程管理（案Ａ。令和8年10月14日採用）</t>
        </is>
      </c>
    </row>
    <row r="2" ht="30" customHeight="1">
      <c r="A2" s="2" t="inlineStr">
        <is>
          <t>策定委員会（第2回）が令和8年11月にずれ込んだことを受けて引き直した工程です。パブリックコメントを令和9年1月26日から2月9日まで（15日間）に前倒しし、庁議（計画の決定）を2月19日、議会全員協議会を2月下旬に置いて、初校以降を従前のまま令和9年3月31日の納品に収めます。日付は kitashiobara_koutei.py に一本化しており、本シート・03b_納期からの逆算・進捗状況表・概要版はすべてそこから引いています。</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3" t="inlineStr">
        <is>
          <t>完了</t>
        </is>
      </c>
      <c r="F6" s="4" t="inlineStr">
        <is>
          <t>印刷仕様の協議、村ラベルの受領、村封筒の手配がすべて前提</t>
        </is>
      </c>
    </row>
    <row r="7" ht="34" customHeight="1">
      <c r="A7" s="26" t="inlineStr">
        <is>
          <t>2026-08-31</t>
        </is>
      </c>
      <c r="B7" s="26" t="inlineStr">
        <is>
          <t>2026-09-25</t>
        </is>
      </c>
      <c r="C7" s="7" t="inlineStr">
        <is>
          <t>アンケート発送・回収、役場での受領保管</t>
        </is>
      </c>
      <c r="D7" s="32" t="inlineStr">
        <is>
          <t>北塩原村／当社</t>
        </is>
      </c>
      <c r="E7" s="33" t="inlineStr">
        <is>
          <t>完了</t>
        </is>
      </c>
      <c r="F7" s="7" t="inlineStr">
        <is>
          <t>返送先は村役場。窓口での現地回収</t>
        </is>
      </c>
    </row>
    <row r="8" ht="34" customHeight="1">
      <c r="A8" s="22" t="inlineStr">
        <is>
          <t>2026-10-01</t>
        </is>
      </c>
      <c r="B8" s="22" t="inlineStr">
        <is>
          <t>2026-10-31</t>
        </is>
      </c>
      <c r="C8" s="4" t="inlineStr">
        <is>
          <t>データ入力、集計、実績・財源・施策評価の整合</t>
        </is>
      </c>
      <c r="D8" s="30" t="inlineStr">
        <is>
          <t>当社</t>
        </is>
      </c>
      <c r="E8" s="35" t="inlineStr">
        <is>
          <t>作業中</t>
        </is>
      </c>
      <c r="F8" s="4" t="inlineStr">
        <is>
          <t>厚労省の集計様式による入力。少数母数の公表基準を事前に合意</t>
        </is>
      </c>
    </row>
    <row r="9" ht="34" customHeight="1">
      <c r="A9" s="26" t="inlineStr">
        <is>
          <t>2026-10-01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2026-11-18</t>
        </is>
      </c>
      <c r="C10" s="4" t="inlineStr">
        <is>
          <t>策定委員会（第2回）の資料の作成・修正</t>
        </is>
      </c>
      <c r="D10" s="30" t="inlineStr">
        <is>
          <t>当社／北塩原村</t>
        </is>
      </c>
      <c r="E10" s="35" t="inlineStr">
        <is>
          <t>作業中</t>
        </is>
      </c>
      <c r="F10" s="4" t="inlineStr">
        <is>
          <t>計画素案、前回計画の評価、アンケート分析報告書の3本と、それらを要約した策定委員会資料。方針資料は10月開催としていたが11月にずれ込んだ</t>
        </is>
      </c>
    </row>
    <row r="11" ht="34" customHeight="1">
      <c r="A11" s="26" t="inlineStr">
        <is>
          <t>2026-11-19</t>
        </is>
      </c>
      <c r="B11" s="26" t="inlineStr">
        <is>
          <t>2026-12-31</t>
        </is>
      </c>
      <c r="C11" s="7" t="inlineStr">
        <is>
          <t>計画素案の修正・庁内調整</t>
        </is>
      </c>
      <c r="D11" s="32" t="inlineStr">
        <is>
          <t>当社／北塩原村</t>
        </is>
      </c>
      <c r="E11" s="28" t="inlineStr">
        <is>
          <t>未着手</t>
        </is>
      </c>
      <c r="F11" s="7" t="inlineStr">
        <is>
          <t>策定委員会の意見の反映。見込量は村の実績データの受領により確定する</t>
        </is>
      </c>
    </row>
    <row r="12" ht="34" customHeight="1">
      <c r="A12" s="22" t="inlineStr">
        <is>
          <t>2026-12-01</t>
        </is>
      </c>
      <c r="B12" s="22" t="inlineStr">
        <is>
          <t>2026-12-16</t>
        </is>
      </c>
      <c r="C12" s="4" t="inlineStr">
        <is>
          <t>４町村広域の障がい者自立支援協議会（協議）</t>
        </is>
      </c>
      <c r="D12" s="30" t="inlineStr">
        <is>
          <t>北塩原村／当社</t>
        </is>
      </c>
      <c r="E12" s="28" t="inlineStr">
        <is>
          <t>未着手</t>
        </is>
      </c>
      <c r="F12" s="4" t="inlineStr">
        <is>
          <t>方針資料・策定委員会資料のいずれにも日程がない工程。広域で確保するサービス（基幹相談支援センター、地域生活支援拠点、医療的ケア児等支援の協議の場）を協議する</t>
        </is>
      </c>
    </row>
    <row r="13" ht="34" customHeight="1">
      <c r="A13" s="26" t="inlineStr">
        <is>
          <t>2027-01-04</t>
        </is>
      </c>
      <c r="B13" s="26" t="inlineStr">
        <is>
          <t>2027-01-15</t>
        </is>
      </c>
      <c r="C13" s="7" t="inlineStr">
        <is>
          <t>北塩原村障がい者自立支援協議会（計画案の審議）</t>
        </is>
      </c>
      <c r="D13" s="32" t="inlineStr">
        <is>
          <t>北塩原村／当社</t>
        </is>
      </c>
      <c r="E13" s="28" t="inlineStr">
        <is>
          <t>未着手</t>
        </is>
      </c>
      <c r="F13" s="7" t="inlineStr">
        <is>
          <t>報告・説明は村。受託者は資料作成・出席・記録作成</t>
        </is>
      </c>
    </row>
    <row r="14" ht="34" customHeight="1">
      <c r="A14" s="22" t="inlineStr">
        <is>
          <t>2027-01-26</t>
        </is>
      </c>
      <c r="B14" s="22" t="inlineStr">
        <is>
          <t>2027-02-09</t>
        </is>
      </c>
      <c r="C14" s="4" t="inlineStr">
        <is>
          <t>パブリックコメントの実施（15日間）</t>
        </is>
      </c>
      <c r="D14" s="30" t="inlineStr">
        <is>
          <t>北塩原村</t>
        </is>
      </c>
      <c r="E14" s="28" t="inlineStr">
        <is>
          <t>未着手</t>
        </is>
      </c>
      <c r="F14" s="4" t="inlineStr">
        <is>
          <t>前回計画では2週間実施（令和6年2月9日〜23日）で意見0件。周知の方法を見直す</t>
        </is>
      </c>
    </row>
    <row r="15" ht="34" customHeight="1">
      <c r="A15" s="26" t="inlineStr">
        <is>
          <t>2027-02-10</t>
        </is>
      </c>
      <c r="B15" s="26" t="inlineStr">
        <is>
          <t>2027-02-19</t>
        </is>
      </c>
      <c r="C15" s="7" t="inlineStr">
        <is>
          <t>結果の整理と計画案の修正、庁議（計画の決定）</t>
        </is>
      </c>
      <c r="D15" s="32" t="inlineStr">
        <is>
          <t>北塩原村／当社</t>
        </is>
      </c>
      <c r="E15" s="28" t="inlineStr">
        <is>
          <t>未着手</t>
        </is>
      </c>
      <c r="F15" s="7" t="inlineStr">
        <is>
          <t>庁議は2月19日。ここで本文が確定する</t>
        </is>
      </c>
    </row>
    <row r="16" ht="34" customHeight="1">
      <c r="A16" s="22" t="inlineStr">
        <is>
          <t>2027-02-20</t>
        </is>
      </c>
      <c r="B16" s="22" t="inlineStr">
        <is>
          <t>2027-02-25</t>
        </is>
      </c>
      <c r="C16" s="4" t="inlineStr">
        <is>
          <t>議会全員協議会（令和9年度主要事業）、目次と頁数の確定</t>
        </is>
      </c>
      <c r="D16" s="30" t="inlineStr">
        <is>
          <t>北塩原村／当社</t>
        </is>
      </c>
      <c r="E16" s="28" t="inlineStr">
        <is>
          <t>未着手</t>
        </is>
      </c>
      <c r="F16" s="4" t="inlineStr">
        <is>
          <t>議会への説明は計画の決定の後に置く。Ｗｏｒｄの目次の更新は当方の環境ではできないため他メンバー又は村に依頼する</t>
        </is>
      </c>
    </row>
    <row r="17" ht="34" customHeight="1">
      <c r="A17" s="26" t="inlineStr">
        <is>
          <t>2027-02-26</t>
        </is>
      </c>
      <c r="B17" s="26" t="inlineStr">
        <is>
          <t>2027-03-12</t>
        </is>
      </c>
      <c r="C17" s="7" t="inlineStr">
        <is>
          <t>初校・再校・校了</t>
        </is>
      </c>
      <c r="D17" s="32" t="inlineStr">
        <is>
          <t>当社／北塩原村</t>
        </is>
      </c>
      <c r="E17" s="28" t="inlineStr">
        <is>
          <t>未着手</t>
        </is>
      </c>
      <c r="F17" s="7" t="inlineStr">
        <is>
          <t>初校2月26日、再校3月5日、校了3月12日</t>
        </is>
      </c>
    </row>
    <row r="18" ht="34" customHeight="1">
      <c r="A18" s="22" t="inlineStr">
        <is>
          <t>2027-03-17</t>
        </is>
      </c>
      <c r="B18" s="22" t="inlineStr">
        <is>
          <t>2027-03-31</t>
        </is>
      </c>
      <c r="C18" s="4" t="inlineStr">
        <is>
          <t>入稿・印刷・製本・納品</t>
        </is>
      </c>
      <c r="D18" s="30" t="inlineStr">
        <is>
          <t>当社</t>
        </is>
      </c>
      <c r="E18" s="28" t="inlineStr">
        <is>
          <t>未着手</t>
        </is>
      </c>
      <c r="F18" s="4" t="inlineStr">
        <is>
          <t>計画書30部、アンケート報告書10部、電子媒体一式。3月22日は春分の日の振替休日</t>
        </is>
      </c>
    </row>
    <row r="20" ht="62" customHeight="1">
      <c r="A20" s="2" t="inlineStr">
        <is>
          <t>クリティカルパスは「策定委員会（第2回）→ 素案の修正・庁内調整 → 自立支援協議会 → パブリックコメント → 結果の整理と修正 → 庁議（決定）→ 目次と頁数の確定 → 初校・再校・校了 → 入稿 → 印刷・製本 → 納品」です。ここで最も動かしにくいのは入稿（令和9年3月17日）で、これが動くと納期を超えます。パブリックコメントの開始が1週間後ろへ動くと、最初に削られるのは校正の期間です。4町村広域の障がい者自立支援協議会（12月）と議会全員協議会（2月下旬）は納品までの道筋の上には乗りませんが、村の方針資料に掲げられた工程であるため表に入れています（策定委員会資料のスケジュール表はこの2件を注記に落としていました）。</t>
        </is>
      </c>
    </row>
  </sheetData>
  <mergeCells count="3">
    <mergeCell ref="A20:F20"/>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3"/>
  <sheetViews>
    <sheetView showGridLines="0" workbookViewId="0">
      <pane ySplit="4" topLeftCell="A5" activePane="bottomLeft" state="frozen"/>
      <selection pane="bottomLeft" activeCell="A1" sqref="A1"/>
    </sheetView>
  </sheetViews>
  <sheetFormatPr baseColWidth="8" defaultRowHeight="15"/>
  <cols>
    <col width="6" customWidth="1" min="1" max="1"/>
    <col width="14" customWidth="1" min="2" max="2"/>
    <col width="46" customWidth="1" min="3" max="3"/>
    <col width="12" customWidth="1" min="4" max="4"/>
    <col width="22" customWidth="1" min="5" max="5"/>
    <col width="44" customWidth="1" min="6" max="6"/>
  </cols>
  <sheetData>
    <row r="1" ht="30" customHeight="1">
      <c r="A1" s="29" t="inlineStr">
        <is>
          <t>履行期限からの逆算（令和9年3月31日）</t>
        </is>
      </c>
    </row>
    <row r="2" ht="30" customHeight="1">
      <c r="A2" s="2" t="inlineStr">
        <is>
          <t>納期から戻して日を置いたものです。案Ａの採用（令和8年10月14日）により、逆算の範囲を策定委員会（第2回）まで遡らせました。所要日数は手で書かず、期限の間の営業日数を数えています（土曜・日曜・祝日・村役場の閉庁日を除く。令和9年3月22日は春分の日の振替休日）。「―（並行）」は納品までの道筋の上に乗らない工程です。所要日数のうち原典があるのは納期と部数・製本の形だけで、印刷・製本の所要日数は当方の想定です（Ｍ-112で確認）。</t>
        </is>
      </c>
    </row>
    <row r="5" ht="30" customHeight="1">
      <c r="A5" s="3" t="inlineStr">
        <is>
          <t>順</t>
        </is>
      </c>
      <c r="B5" s="3" t="inlineStr">
        <is>
          <t>期限</t>
        </is>
      </c>
      <c r="C5" s="3" t="inlineStr">
        <is>
          <t>工程</t>
        </is>
      </c>
      <c r="D5" s="3" t="inlineStr">
        <is>
          <t>所要日数</t>
        </is>
      </c>
      <c r="E5" s="3" t="inlineStr">
        <is>
          <t>誰が</t>
        </is>
      </c>
      <c r="F5" s="3" t="inlineStr">
        <is>
          <t>出所</t>
        </is>
      </c>
    </row>
    <row r="6" ht="30" customHeight="1">
      <c r="A6" s="30" t="n">
        <v>1</v>
      </c>
      <c r="B6" s="22" t="inlineStr">
        <is>
          <t>2027-03-31</t>
        </is>
      </c>
      <c r="C6" s="4" t="inlineStr">
        <is>
          <t>成果品の納品（計画書30部・調査報告書10部・電子媒体一式）</t>
        </is>
      </c>
      <c r="D6" s="30" t="inlineStr">
        <is>
          <t>―</t>
        </is>
      </c>
      <c r="E6" s="30" t="inlineStr">
        <is>
          <t>当社</t>
        </is>
      </c>
      <c r="F6" s="37" t="inlineStr">
        <is>
          <t>仕様書5（原典あり）</t>
        </is>
      </c>
    </row>
    <row r="7" ht="30" customHeight="1">
      <c r="A7" s="32" t="n">
        <v>2</v>
      </c>
      <c r="B7" s="26" t="inlineStr">
        <is>
          <t>2027-03-26</t>
        </is>
      </c>
      <c r="C7" s="7" t="inlineStr">
        <is>
          <t>製本（計画書はくるみ製本、報告書はホチキス製本）</t>
        </is>
      </c>
      <c r="D7" s="32" t="inlineStr">
        <is>
          <t>3営業日</t>
        </is>
      </c>
      <c r="E7" s="32" t="inlineStr">
        <is>
          <t>印刷業者又は当社</t>
        </is>
      </c>
      <c r="F7" s="38" t="inlineStr">
        <is>
          <t>当方の想定（Ｍ-112で確認）</t>
        </is>
      </c>
    </row>
    <row r="8" ht="30" customHeight="1">
      <c r="A8" s="30" t="n">
        <v>3</v>
      </c>
      <c r="B8" s="22" t="inlineStr">
        <is>
          <t>2027-03-19</t>
        </is>
      </c>
      <c r="C8" s="4" t="inlineStr">
        <is>
          <t>印刷（Ａ４判両面・モノクロ・コピー）</t>
        </is>
      </c>
      <c r="D8" s="30" t="inlineStr">
        <is>
          <t>4営業日</t>
        </is>
      </c>
      <c r="E8" s="30" t="inlineStr">
        <is>
          <t>印刷業者又は当社</t>
        </is>
      </c>
      <c r="F8" s="38" t="inlineStr">
        <is>
          <t>当方の想定（Ｍ-112で確認）</t>
        </is>
      </c>
    </row>
    <row r="9" ht="30" customHeight="1">
      <c r="A9" s="32" t="n">
        <v>4</v>
      </c>
      <c r="B9" s="26" t="inlineStr">
        <is>
          <t>2027-03-17</t>
        </is>
      </c>
      <c r="C9" s="7" t="inlineStr">
        <is>
          <t>入稿（印刷用データの引渡し）</t>
        </is>
      </c>
      <c r="D9" s="32" t="inlineStr">
        <is>
          <t>2営業日</t>
        </is>
      </c>
      <c r="E9" s="32" t="inlineStr">
        <is>
          <t>当社</t>
        </is>
      </c>
      <c r="F9" s="38" t="inlineStr">
        <is>
          <t>当方の想定</t>
        </is>
      </c>
    </row>
    <row r="10" ht="30" customHeight="1">
      <c r="A10" s="30" t="n">
        <v>5</v>
      </c>
      <c r="B10" s="22" t="inlineStr">
        <is>
          <t>2027-03-12</t>
        </is>
      </c>
      <c r="C10" s="4" t="inlineStr">
        <is>
          <t>校了（村の最終確認の完了）</t>
        </is>
      </c>
      <c r="D10" s="30" t="inlineStr">
        <is>
          <t>3営業日</t>
        </is>
      </c>
      <c r="E10" s="30" t="inlineStr">
        <is>
          <t>北塩原村</t>
        </is>
      </c>
      <c r="F10" s="38" t="inlineStr">
        <is>
          <t>当方の想定（Ｍ-112で確認）</t>
        </is>
      </c>
    </row>
    <row r="11" ht="30" customHeight="1">
      <c r="A11" s="32" t="n">
        <v>6</v>
      </c>
      <c r="B11" s="26" t="inlineStr">
        <is>
          <t>2027-03-05</t>
        </is>
      </c>
      <c r="C11" s="7" t="inlineStr">
        <is>
          <t>再校（村の指摘の反映と再提出）</t>
        </is>
      </c>
      <c r="D11" s="32" t="inlineStr">
        <is>
          <t>5営業日</t>
        </is>
      </c>
      <c r="E11" s="32" t="inlineStr">
        <is>
          <t>当社</t>
        </is>
      </c>
      <c r="F11" s="38" t="inlineStr">
        <is>
          <t>当方の想定</t>
        </is>
      </c>
    </row>
    <row r="12" ht="30" customHeight="1">
      <c r="A12" s="30" t="n">
        <v>7</v>
      </c>
      <c r="B12" s="22" t="inlineStr">
        <is>
          <t>2027-02-26</t>
        </is>
      </c>
      <c r="C12" s="4" t="inlineStr">
        <is>
          <t>初校（村へ提出し確認を受ける）</t>
        </is>
      </c>
      <c r="D12" s="30" t="inlineStr">
        <is>
          <t>5営業日</t>
        </is>
      </c>
      <c r="E12" s="30" t="inlineStr">
        <is>
          <t>当社・北塩原村</t>
        </is>
      </c>
      <c r="F12" s="38" t="inlineStr">
        <is>
          <t>当方の想定</t>
        </is>
      </c>
    </row>
    <row r="13" ht="30" customHeight="1">
      <c r="A13" s="32" t="n">
        <v>8</v>
      </c>
      <c r="B13" s="26" t="inlineStr">
        <is>
          <t>2027-02-25</t>
        </is>
      </c>
      <c r="C13" s="7" t="inlineStr">
        <is>
          <t>目次と頁数の確定（Ｗｏｒｄの目次の更新）</t>
        </is>
      </c>
      <c r="D13" s="32" t="inlineStr">
        <is>
          <t>1営業日</t>
        </is>
      </c>
      <c r="E13" s="32" t="inlineStr">
        <is>
          <t>当社又は北塩原村</t>
        </is>
      </c>
      <c r="F13" s="38" t="inlineStr">
        <is>
          <t>当方の想定</t>
        </is>
      </c>
    </row>
    <row r="14" ht="30" customHeight="1">
      <c r="A14" s="30" t="n">
        <v>9</v>
      </c>
      <c r="B14" s="22" t="inlineStr">
        <is>
          <t>2027-02-24</t>
        </is>
      </c>
      <c r="C14" s="4" t="inlineStr">
        <is>
          <t>議会全員協議会（令和9年度主要事業の説明）</t>
        </is>
      </c>
      <c r="D14" s="30" t="inlineStr">
        <is>
          <t>―（並行）</t>
        </is>
      </c>
      <c r="E14" s="30" t="inlineStr">
        <is>
          <t>北塩原村</t>
        </is>
      </c>
      <c r="F14" s="38" t="inlineStr">
        <is>
          <t>案Ａ（令和8年10月14日採用）。村に確認（Ｍ-125）</t>
        </is>
      </c>
    </row>
    <row r="15" ht="30" customHeight="1">
      <c r="A15" s="32" t="n">
        <v>10</v>
      </c>
      <c r="B15" s="26" t="inlineStr">
        <is>
          <t>2027-02-19</t>
        </is>
      </c>
      <c r="C15" s="7" t="inlineStr">
        <is>
          <t>庁議（計画の決定）</t>
        </is>
      </c>
      <c r="D15" s="32" t="inlineStr">
        <is>
          <t>3営業日</t>
        </is>
      </c>
      <c r="E15" s="32" t="inlineStr">
        <is>
          <t>北塩原村</t>
        </is>
      </c>
      <c r="F15" s="38" t="inlineStr">
        <is>
          <t>案Ａ（令和8年10月14日採用）。村に確認（Ｍ-125）</t>
        </is>
      </c>
    </row>
    <row r="16" ht="30" customHeight="1">
      <c r="A16" s="30" t="n">
        <v>11</v>
      </c>
      <c r="B16" s="22" t="inlineStr">
        <is>
          <t>2027-02-16</t>
        </is>
      </c>
      <c r="C16" s="4" t="inlineStr">
        <is>
          <t>パブリックコメントの結果の整理と計画案の修正</t>
        </is>
      </c>
      <c r="D16" s="30" t="inlineStr">
        <is>
          <t>3営業日</t>
        </is>
      </c>
      <c r="E16" s="30" t="inlineStr">
        <is>
          <t>当社・北塩原村</t>
        </is>
      </c>
      <c r="F16" s="38" t="inlineStr">
        <is>
          <t>案Ａ（令和8年10月14日採用）</t>
        </is>
      </c>
    </row>
    <row r="17" ht="30" customHeight="1">
      <c r="A17" s="32" t="n">
        <v>12</v>
      </c>
      <c r="B17" s="26" t="inlineStr">
        <is>
          <t>2027-02-09</t>
        </is>
      </c>
      <c r="C17" s="7" t="inlineStr">
        <is>
          <t>パブリックコメントの終了</t>
        </is>
      </c>
      <c r="D17" s="32" t="inlineStr">
        <is>
          <t>4営業日</t>
        </is>
      </c>
      <c r="E17" s="32" t="inlineStr">
        <is>
          <t>北塩原村</t>
        </is>
      </c>
      <c r="F17" s="38" t="inlineStr">
        <is>
          <t>案Ａ（令和8年10月14日採用）。村に確認（Ｍ-125）</t>
        </is>
      </c>
    </row>
    <row r="18" ht="30" customHeight="1">
      <c r="A18" s="30" t="n">
        <v>13</v>
      </c>
      <c r="B18" s="22" t="inlineStr">
        <is>
          <t>2027-01-26</t>
        </is>
      </c>
      <c r="C18" s="4" t="inlineStr">
        <is>
          <t>パブリックコメントの開始（15日間）</t>
        </is>
      </c>
      <c r="D18" s="30" t="inlineStr">
        <is>
          <t>10営業日</t>
        </is>
      </c>
      <c r="E18" s="30" t="inlineStr">
        <is>
          <t>北塩原村</t>
        </is>
      </c>
      <c r="F18" s="38" t="inlineStr">
        <is>
          <t>案Ａ（令和8年10月14日採用）。村に確認（Ｍ-125）</t>
        </is>
      </c>
    </row>
    <row r="19" ht="30" customHeight="1">
      <c r="A19" s="32" t="n">
        <v>14</v>
      </c>
      <c r="B19" s="26" t="inlineStr">
        <is>
          <t>2027-01-15</t>
        </is>
      </c>
      <c r="C19" s="7" t="inlineStr">
        <is>
          <t>北塩原村障がい者自立支援協議会（計画案の審議）</t>
        </is>
      </c>
      <c r="D19" s="32" t="inlineStr">
        <is>
          <t>7営業日</t>
        </is>
      </c>
      <c r="E19" s="32" t="inlineStr">
        <is>
          <t>北塩原村・当社</t>
        </is>
      </c>
      <c r="F19" s="38" t="inlineStr">
        <is>
          <t>案Ａ（令和8年10月14日採用）</t>
        </is>
      </c>
    </row>
    <row r="20" ht="30" customHeight="1">
      <c r="A20" s="30" t="n">
        <v>15</v>
      </c>
      <c r="B20" s="22" t="inlineStr">
        <is>
          <t>2026-12-16</t>
        </is>
      </c>
      <c r="C20" s="4" t="inlineStr">
        <is>
          <t>４町村広域の障がい者自立支援協議会（協議）</t>
        </is>
      </c>
      <c r="D20" s="30" t="inlineStr">
        <is>
          <t>―（並行）</t>
        </is>
      </c>
      <c r="E20" s="30" t="inlineStr">
        <is>
          <t>北塩原村・当社</t>
        </is>
      </c>
      <c r="F20" s="38" t="inlineStr">
        <is>
          <t>案Ａ（令和8年10月14日採用）</t>
        </is>
      </c>
    </row>
    <row r="21" ht="30" customHeight="1">
      <c r="A21" s="32" t="n">
        <v>16</v>
      </c>
      <c r="B21" s="26" t="inlineStr">
        <is>
          <t>2026-11-18</t>
        </is>
      </c>
      <c r="C21" s="7" t="inlineStr">
        <is>
          <t>策定委員会（第2回。計画素案・前回計画の評価・アンケート結果）</t>
        </is>
      </c>
      <c r="D21" s="32" t="inlineStr">
        <is>
          <t>36営業日</t>
        </is>
      </c>
      <c r="E21" s="32" t="inlineStr">
        <is>
          <t>北塩原村・当社</t>
        </is>
      </c>
      <c r="F21" s="38" t="inlineStr">
        <is>
          <t>案Ａ（令和8年10月14日採用）</t>
        </is>
      </c>
    </row>
    <row r="23" ht="132" customHeight="1">
      <c r="A23" s="2" t="inlineStr">
        <is>
          <t>この逆算で分かること。①入稿は令和9年3月17日である。これが動くと納期を超える。②入稿に間に合わせるには、校了が3月12日、初校の提出が2月26日になる。③初校を出すには、目次と頁数が2月25日までに確定していなければならない。当方の環境ではWordの目次を更新できないため、この作業を他メンバー又は村に依頼する時期が2月25日までということになる。④計画の決定（庁議）から初校までは3営業日しかない。本文が確定するのはパブリックコメントの結果を反映した2月16日であり、目次の更新はその後に始められる。⑤議会全員協議会は計画の決定の後に置いた。決定前に置くと、未決定の案を議会に説明することになる。⑥印刷・製本の所要日数は当方の想定である。仕様は「コピー・くるみ製本」であり、業者によって所要日数が変わるため確かめる（Ｍ-112）。⑦案Ａの3件（パブリックコメントの1月下旬開始、庁議2月19日、議会全員協議会を決定の後に置くこと）は村の了解を要する（Ｍ-125）。</t>
        </is>
      </c>
    </row>
  </sheetData>
  <mergeCells count="3">
    <mergeCell ref="A2:F2"/>
    <mergeCell ref="A1:F1"/>
    <mergeCell ref="A23:F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76"/>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計画値の基礎とする系列（Ｍ-19）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9" t="n"/>
    </row>
    <row r="7" ht="34" customHeight="1">
      <c r="A7" s="27" t="inlineStr">
        <is>
          <t>最優先</t>
        </is>
      </c>
      <c r="B7" s="7" t="inlineStr">
        <is>
          <t>移行管理台帳（Ｍ-18）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Ｍ-10（継続入所者）・Ｍ-11（保育所等の受入体制）・Ｍ-15（65歳到達者）・Ｍ-21（卒業予定者）が同時に片付く</t>
        </is>
      </c>
      <c r="D7" s="7" t="inlineStr">
        <is>
          <t>計画素案 第5章1・第5章2（第2次算定の入力）</t>
        </is>
      </c>
      <c r="E7" s="27" t="inlineStr">
        <is>
          <t>未受領</t>
        </is>
      </c>
      <c r="F7" s="26" t="inlineStr">
        <is>
          <t>2026-10-09</t>
        </is>
      </c>
      <c r="G7" s="39" t="n"/>
    </row>
    <row r="8" ht="34" customHeight="1">
      <c r="A8" s="27" t="inlineStr">
        <is>
          <t>最優先</t>
        </is>
      </c>
      <c r="B8" s="4" t="inlineStr">
        <is>
          <t>施設入所支援4人の支給決定の内容（Ｍ-13）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9" t="n"/>
    </row>
    <row r="9" ht="34" customHeight="1">
      <c r="A9" s="27" t="inlineStr">
        <is>
          <t>最優先</t>
        </is>
      </c>
      <c r="B9" s="7" t="inlineStr">
        <is>
          <t>介護保険の第2号被保険者との重なり（Ｍ-14）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9" t="n"/>
    </row>
    <row r="10" ht="34" customHeight="1">
      <c r="A10" s="35" t="inlineStr">
        <is>
          <t>高</t>
        </is>
      </c>
      <c r="B10" s="4" t="inlineStr">
        <is>
          <t>相談支援の体制（Ｍ-20）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9" t="n"/>
    </row>
    <row r="11" ht="34" customHeight="1">
      <c r="A11" s="27" t="inlineStr">
        <is>
          <t>最優先</t>
        </is>
      </c>
      <c r="B11" s="7" t="inlineStr">
        <is>
          <t>グループホーム・福祉ホームの設置の予定（Ｍ-37）</t>
        </is>
      </c>
      <c r="C11" s="7"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11" s="7" t="inlineStr">
        <is>
          <t>計画素案 第5章の居住系の見込量・確保方策・地域生活支援事業</t>
        </is>
      </c>
      <c r="E11" s="27" t="inlineStr">
        <is>
          <t>未受領</t>
        </is>
      </c>
      <c r="F11" s="26" t="inlineStr">
        <is>
          <t>2026-10-16</t>
        </is>
      </c>
      <c r="G11" s="39" t="n"/>
    </row>
    <row r="12" ht="34" customHeight="1">
      <c r="A12" s="35" t="inlineStr">
        <is>
          <t>高</t>
        </is>
      </c>
      <c r="B12" s="4" t="inlineStr">
        <is>
          <t>物品調達の実績（Ｍ-34）</t>
        </is>
      </c>
      <c r="C12" s="4" t="inlineStr">
        <is>
          <t>障がい者就労施設等からの物品調達の実績（目標3件に対する令和6〜8年度の件数）と、障害者優先調達推進法第9条に基づく調達方針の策定・公表の有無</t>
        </is>
      </c>
      <c r="D12" s="4" t="inlineStr">
        <is>
          <t>計画素案 第3章5（第4次障がい者計画の目標値の進捗）</t>
        </is>
      </c>
      <c r="E12" s="27" t="inlineStr">
        <is>
          <t>未受領</t>
        </is>
      </c>
      <c r="F12" s="22" t="inlineStr">
        <is>
          <t>2026-10-31</t>
        </is>
      </c>
      <c r="G12" s="39" t="n"/>
    </row>
    <row r="13" ht="34" customHeight="1">
      <c r="A13" s="35" t="inlineStr">
        <is>
          <t>高</t>
        </is>
      </c>
      <c r="B13" s="7" t="inlineStr">
        <is>
          <t>社会福祉法改正への対応（Ｍ-35）</t>
        </is>
      </c>
      <c r="C13" s="7" t="inlineStr">
        <is>
          <t>身寄りのない高齢者への日常生活支援・入院手続・死後事務への対応と、権利擁護の窓口の配置の検討状況。障がい者の親亡き後の支援と同じ課題であり、第6章に書くかを判断する</t>
        </is>
      </c>
      <c r="D13" s="7" t="inlineStr">
        <is>
          <t>計画素案 第6章・第7章</t>
        </is>
      </c>
      <c r="E13" s="27" t="inlineStr">
        <is>
          <t>未受領</t>
        </is>
      </c>
      <c r="F13" s="26" t="inlineStr">
        <is>
          <t>2026-10-31</t>
        </is>
      </c>
      <c r="G13" s="39" t="n"/>
    </row>
    <row r="14" ht="34" customHeight="1">
      <c r="A14" s="30" t="inlineStr">
        <is>
          <t>中</t>
        </is>
      </c>
      <c r="B14" s="4" t="inlineStr">
        <is>
          <t>防災の取組の状況（Ｍ-36）</t>
        </is>
      </c>
      <c r="C14" s="4" t="inlineStr">
        <is>
          <t>防災無線の設置状況、災害図上訓練（ＤＩＧ）・避難所運営ゲーム（ＨＵＧ）の実施状況、避難訓練の頻度。個別避難計画10件の目標を達成する手順として書く</t>
        </is>
      </c>
      <c r="D14" s="4" t="inlineStr">
        <is>
          <t>計画素案 第3章3（⑥生活環境）</t>
        </is>
      </c>
      <c r="E14" s="27" t="inlineStr">
        <is>
          <t>未受領</t>
        </is>
      </c>
      <c r="F14" s="22" t="inlineStr">
        <is>
          <t>2026-10-31</t>
        </is>
      </c>
      <c r="G14" s="39" t="n"/>
    </row>
    <row r="15" ht="34" customHeight="1">
      <c r="A15" s="35" t="inlineStr">
        <is>
          <t>高</t>
        </is>
      </c>
      <c r="B15" s="7" t="inlineStr">
        <is>
          <t>排泄管理支援用具の増減の理由（Ｍ-38）</t>
        </is>
      </c>
      <c r="C15" s="7"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5" s="7" t="inlineStr">
        <is>
          <t>計画素案 第5章9／地域生活支援事業 01</t>
        </is>
      </c>
      <c r="E15" s="27" t="inlineStr">
        <is>
          <t>未受領</t>
        </is>
      </c>
      <c r="F15" s="26" t="inlineStr">
        <is>
          <t>2026-10-31</t>
        </is>
      </c>
      <c r="G15" s="39" t="n"/>
    </row>
    <row r="16" ht="34" customHeight="1">
      <c r="A16" s="35" t="inlineStr">
        <is>
          <t>高</t>
        </is>
      </c>
      <c r="B16" s="4" t="inlineStr">
        <is>
          <t>成年後見の類型別内訳（Ｍ-39）</t>
        </is>
      </c>
      <c r="C16"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6" s="4" t="inlineStr">
        <is>
          <t>計画素案 第6章</t>
        </is>
      </c>
      <c r="E16" s="27" t="inlineStr">
        <is>
          <t>未受領</t>
        </is>
      </c>
      <c r="F16" s="22" t="inlineStr">
        <is>
          <t>2026-10-31</t>
        </is>
      </c>
      <c r="G16" s="39" t="n"/>
    </row>
    <row r="17" ht="34" customHeight="1">
      <c r="A17" s="35" t="inlineStr">
        <is>
          <t>高</t>
        </is>
      </c>
      <c r="B17" s="7" t="inlineStr">
        <is>
          <t>指定難病による対象者（Ｍ-32）</t>
        </is>
      </c>
      <c r="C17"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7" s="7" t="inlineStr">
        <is>
          <t>計画素案 第2章2・第5章1（推計方法）</t>
        </is>
      </c>
      <c r="E17" s="27" t="inlineStr">
        <is>
          <t>未受領</t>
        </is>
      </c>
      <c r="F17" s="26" t="inlineStr">
        <is>
          <t>2026-10-31</t>
        </is>
      </c>
      <c r="G17" s="39" t="n"/>
    </row>
    <row r="18" ht="34" customHeight="1">
      <c r="A18" s="35" t="inlineStr">
        <is>
          <t>高</t>
        </is>
      </c>
      <c r="B18" s="4" t="inlineStr">
        <is>
          <t>9月30日時点の人口・手帳所持者数（Ｍ-28）</t>
        </is>
      </c>
      <c r="C1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8" s="4" t="inlineStr">
        <is>
          <t>計画素案 第2章1・2</t>
        </is>
      </c>
      <c r="E18" s="27" t="inlineStr">
        <is>
          <t>未受領</t>
        </is>
      </c>
      <c r="F18" s="22" t="inlineStr">
        <is>
          <t>2026-10-16</t>
        </is>
      </c>
      <c r="G18" s="39" t="n"/>
    </row>
    <row r="19" ht="34" customHeight="1">
      <c r="A19" s="35" t="inlineStr">
        <is>
          <t>高</t>
        </is>
      </c>
      <c r="B19" s="7" t="inlineStr">
        <is>
          <t>こども・子育て計画の人口推計の元データ（Ｍ-29）</t>
        </is>
      </c>
      <c r="C19"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9" s="7" t="inlineStr">
        <is>
          <t>計画素案 第2章1／介護保険事業計画との整合 K-8</t>
        </is>
      </c>
      <c r="E19" s="27" t="inlineStr">
        <is>
          <t>未受領</t>
        </is>
      </c>
      <c r="F19" s="26" t="inlineStr">
        <is>
          <t>2026-10-16</t>
        </is>
      </c>
      <c r="G19" s="39" t="n"/>
    </row>
    <row r="20" ht="34" customHeight="1">
      <c r="A20" s="30" t="inlineStr">
        <is>
          <t>中</t>
        </is>
      </c>
      <c r="B20" s="4" t="inlineStr">
        <is>
          <t>職場適応訓練等の実績（Ｍ-30）</t>
        </is>
      </c>
      <c r="C2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20" s="4" t="inlineStr">
        <is>
          <t>計画素案 第5章9・第5章14</t>
        </is>
      </c>
      <c r="E20" s="27" t="inlineStr">
        <is>
          <t>未受領</t>
        </is>
      </c>
      <c r="F20" s="22" t="inlineStr">
        <is>
          <t>2026-10-31</t>
        </is>
      </c>
      <c r="G20" s="39" t="n"/>
    </row>
    <row r="21" ht="34" customHeight="1">
      <c r="A21" s="35" t="inlineStr">
        <is>
          <t>高</t>
        </is>
      </c>
      <c r="B21" s="7" t="inlineStr">
        <is>
          <t>地域生活支援事業・社協で担える範囲（Ｍ-31）</t>
        </is>
      </c>
      <c r="C21"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21" s="7" t="inlineStr">
        <is>
          <t>計画素案 第5章4・第5章9・第5章12</t>
        </is>
      </c>
      <c r="E21" s="27" t="inlineStr">
        <is>
          <t>未受領</t>
        </is>
      </c>
      <c r="F21" s="26" t="inlineStr">
        <is>
          <t>2026-10-31</t>
        </is>
      </c>
      <c r="G21" s="39" t="n"/>
    </row>
    <row r="22" ht="34" customHeight="1">
      <c r="A22" s="27" t="inlineStr">
        <is>
          <t>最優先</t>
        </is>
      </c>
      <c r="B22" s="4" t="inlineStr">
        <is>
          <t>重度障がい者の人数（Ｍ-22）</t>
        </is>
      </c>
      <c r="C2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22" s="4" t="inlineStr">
        <is>
          <t>計画素案 第5章4（重度障がい者の内数）</t>
        </is>
      </c>
      <c r="E22" s="27" t="inlineStr">
        <is>
          <t>未受領</t>
        </is>
      </c>
      <c r="F22" s="22" t="inlineStr">
        <is>
          <t>2026-10-16</t>
        </is>
      </c>
      <c r="G22" s="39" t="n"/>
    </row>
    <row r="23" ht="34" customHeight="1">
      <c r="A23" s="27" t="inlineStr">
        <is>
          <t>最優先</t>
        </is>
      </c>
      <c r="B23" s="7" t="inlineStr">
        <is>
          <t>施設入所者4人の6項目の確認状況（Ｍ-23）</t>
        </is>
      </c>
      <c r="C23"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23" s="7" t="inlineStr">
        <is>
          <t>計画素案 第4章（１）</t>
        </is>
      </c>
      <c r="E23" s="27" t="inlineStr">
        <is>
          <t>未受領</t>
        </is>
      </c>
      <c r="F23" s="26" t="inlineStr">
        <is>
          <t>2026-10-16</t>
        </is>
      </c>
      <c r="G23" s="39" t="n"/>
    </row>
    <row r="24" ht="34" customHeight="1">
      <c r="A24" s="27" t="inlineStr">
        <is>
          <t>最優先</t>
        </is>
      </c>
      <c r="B24" s="4" t="inlineStr">
        <is>
          <t>村外の利用事業所の一覧（Ｍ-24）</t>
        </is>
      </c>
      <c r="C2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4" s="4" t="inlineStr">
        <is>
          <t>計画素案 第5章8（事業所の受入余力の把握）</t>
        </is>
      </c>
      <c r="E24" s="27" t="inlineStr">
        <is>
          <t>未受領</t>
        </is>
      </c>
      <c r="F24" s="22" t="inlineStr">
        <is>
          <t>2026-10-16</t>
        </is>
      </c>
      <c r="G24" s="39" t="n"/>
    </row>
    <row r="25" ht="34" customHeight="1">
      <c r="A25" s="35" t="inlineStr">
        <is>
          <t>高</t>
        </is>
      </c>
      <c r="B25" s="7" t="inlineStr">
        <is>
          <t>事業所の経営基盤（Ｍ-25）</t>
        </is>
      </c>
      <c r="C25"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5" s="7" t="inlineStr">
        <is>
          <t>計画素案 第5章13（経営基盤を供給制約として見る）</t>
        </is>
      </c>
      <c r="E25" s="27" t="inlineStr">
        <is>
          <t>未受領</t>
        </is>
      </c>
      <c r="F25" s="26" t="inlineStr">
        <is>
          <t>2026-10-31</t>
        </is>
      </c>
      <c r="G25" s="39" t="n"/>
    </row>
    <row r="26" ht="34" customHeight="1">
      <c r="A26" s="35" t="inlineStr">
        <is>
          <t>高</t>
        </is>
      </c>
      <c r="B26" s="4" t="inlineStr">
        <is>
          <t>成人の医療的ケア者・重症心身障害者（Ｍ-26）</t>
        </is>
      </c>
      <c r="C2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6" s="4" t="inlineStr">
        <is>
          <t>計画素案 第4章（４）・第5章4</t>
        </is>
      </c>
      <c r="E26" s="27" t="inlineStr">
        <is>
          <t>未受領</t>
        </is>
      </c>
      <c r="F26" s="22" t="inlineStr">
        <is>
          <t>2026-10-16</t>
        </is>
      </c>
      <c r="G26" s="39" t="n"/>
    </row>
    <row r="27" ht="34" customHeight="1">
      <c r="A27" s="35" t="inlineStr">
        <is>
          <t>高</t>
        </is>
      </c>
      <c r="B27" s="7" t="inlineStr">
        <is>
          <t>退院者1人の生活の見通し（Ｍ-27）</t>
        </is>
      </c>
      <c r="C27"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7" s="7" t="inlineStr">
        <is>
          <t>計画素案 第4章（２）</t>
        </is>
      </c>
      <c r="E27" s="27" t="inlineStr">
        <is>
          <t>未受領</t>
        </is>
      </c>
      <c r="F27" s="26" t="inlineStr">
        <is>
          <t>2026-10-16</t>
        </is>
      </c>
      <c r="G27" s="39" t="n"/>
    </row>
    <row r="28" ht="34" customHeight="1">
      <c r="A28" s="35" t="inlineStr">
        <is>
          <t>高</t>
        </is>
      </c>
      <c r="B28" s="4" t="inlineStr">
        <is>
          <t>卒業予定者の一覧（Ｍ-21）</t>
        </is>
      </c>
      <c r="C28" s="4" t="inlineStr">
        <is>
          <t>令和9〜11年度に特別支援学校又は特別支援学級を卒業する予定の方の卒業年度・在籍校・進路希望・就労選択支援の利用予定・医療的ケア及び強度行動障害の有無</t>
        </is>
      </c>
      <c r="D28" s="4" t="inlineStr">
        <is>
          <t>計画素案 第5章2（学校卒業に伴うサービスの移行）</t>
        </is>
      </c>
      <c r="E28" s="27" t="inlineStr">
        <is>
          <t>未受領</t>
        </is>
      </c>
      <c r="F28" s="22" t="inlineStr">
        <is>
          <t>2026-10-09</t>
        </is>
      </c>
      <c r="G28" s="39" t="n"/>
    </row>
    <row r="29" ht="34" customHeight="1">
      <c r="A29" s="32" t="inlineStr">
        <is>
          <t>―</t>
        </is>
      </c>
      <c r="B29" s="7" t="inlineStr">
        <is>
          <t>自立支援協議会の資料13点（令和8年5月25日）</t>
        </is>
      </c>
      <c r="C29"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9" s="7" t="inlineStr">
        <is>
          <t>計画素案 第4章（実績6件を反映）／村資料点検 01〜07シート</t>
        </is>
      </c>
      <c r="E29" s="33" t="inlineStr">
        <is>
          <t>受領済</t>
        </is>
      </c>
      <c r="F29" s="26" t="inlineStr">
        <is>
          <t>2026-10-08</t>
        </is>
      </c>
      <c r="G29" s="39" t="n"/>
    </row>
    <row r="30" ht="34" customHeight="1">
      <c r="A30" s="35" t="inlineStr">
        <is>
          <t>高</t>
        </is>
      </c>
      <c r="B30" s="4" t="inlineStr">
        <is>
          <t>高齢者サービスの手引きと高齢者福祉施策の対象要件（Ｍ-50）</t>
        </is>
      </c>
      <c r="C30"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30" s="4" t="inlineStr">
        <is>
          <t>計画素案 第5章5（65歳到達）・第5章1（3）（住まい。W-7で反映）／第5章2（4）（共生型サービス。W-11で反映）</t>
        </is>
      </c>
      <c r="E30" s="34" t="inlineStr">
        <is>
          <t>一部受領</t>
        </is>
      </c>
      <c r="F30" s="22" t="inlineStr">
        <is>
          <t>2026-10-20</t>
        </is>
      </c>
      <c r="G30" s="39" t="n"/>
    </row>
    <row r="31" ht="34" customHeight="1">
      <c r="A31" s="35" t="inlineStr">
        <is>
          <t>高</t>
        </is>
      </c>
      <c r="B31" s="7" t="inlineStr">
        <is>
          <t>高齢者世帯等除雪サービス事業の「等」の範囲（Ｍ-49）</t>
        </is>
      </c>
      <c r="C31" s="7"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31" s="7" t="inlineStr">
        <is>
          <t>計画素案 第5章2（冬季の提供体制）／12重点施策 評価設計 01シート</t>
        </is>
      </c>
      <c r="E31" s="34" t="inlineStr">
        <is>
          <t>一部受領</t>
        </is>
      </c>
      <c r="F31" s="26" t="inlineStr">
        <is>
          <t>2026-10-20</t>
        </is>
      </c>
      <c r="G31" s="39" t="n"/>
    </row>
    <row r="32" ht="34" customHeight="1">
      <c r="A32" s="35" t="inlineStr">
        <is>
          <t>高</t>
        </is>
      </c>
      <c r="B32" s="4" t="inlineStr">
        <is>
          <t>権利擁護・成年後見の件数（Ｍ-51）</t>
        </is>
      </c>
      <c r="C32"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32" s="4" t="inlineStr">
        <is>
          <t>計画素案 第6章1（3）（W-12で反映）・第6章3（W-6で6指標の枠を入れた）</t>
        </is>
      </c>
      <c r="E32" s="27" t="inlineStr">
        <is>
          <t>未受領</t>
        </is>
      </c>
      <c r="F32" s="22" t="inlineStr">
        <is>
          <t>2026-10-20</t>
        </is>
      </c>
      <c r="G32" s="39" t="n"/>
    </row>
    <row r="33" ht="34" customHeight="1">
      <c r="A33" s="32" t="inlineStr">
        <is>
          <t>中</t>
        </is>
      </c>
      <c r="B33" s="7" t="inlineStr">
        <is>
          <t>緊急連絡カードの配布対象と障がい分野での活用（Ｍ-52）</t>
        </is>
      </c>
      <c r="C33" s="7"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33" s="7" t="inlineStr">
        <is>
          <t>計画素案 第5章2（11）（W-8で4場面、W-4で様式の活用を入れた）</t>
        </is>
      </c>
      <c r="E33" s="34" t="inlineStr">
        <is>
          <t>一部受領</t>
        </is>
      </c>
      <c r="F33" s="26" t="inlineStr">
        <is>
          <t>2026-10-20</t>
        </is>
      </c>
      <c r="G33" s="39" t="n"/>
    </row>
    <row r="34" ht="34" customHeight="1">
      <c r="A34" s="30" t="inlineStr">
        <is>
          <t>中</t>
        </is>
      </c>
      <c r="B34" s="4" t="inlineStr">
        <is>
          <t>地域生活支援拠点等の5機能の実績（Ｍ-54）</t>
        </is>
      </c>
      <c r="C34" s="4" t="inlineStr">
        <is>
          <t>会津北部地域生活支援拠点の相談・緊急時の受入れ・体験の機会及び場・専門的人材の確保養成・地域の体制づくりの機能ごとの令和6・7年度の実績と検証・検討の実施回数</t>
        </is>
      </c>
      <c r="D34" s="4" t="inlineStr">
        <is>
          <t>計画素案 第4章2（5）（W-3で機能ごとの記録の枠を入れた）</t>
        </is>
      </c>
      <c r="E34" s="27" t="inlineStr">
        <is>
          <t>未受領</t>
        </is>
      </c>
      <c r="F34" s="22" t="inlineStr">
        <is>
          <t>2026-10-27</t>
        </is>
      </c>
      <c r="G34" s="39" t="n"/>
    </row>
    <row r="35" ht="34" customHeight="1">
      <c r="A35" s="35" t="inlineStr">
        <is>
          <t>高</t>
        </is>
      </c>
      <c r="B35" s="7" t="inlineStr">
        <is>
          <t>除雪サービスの利用実績と助成の内容（Ｍ-55・Ｍ-56）</t>
        </is>
      </c>
      <c r="C35" s="7"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5" s="7" t="inlineStr">
        <is>
          <t>計画素案 第5章2（14）冬季の地域生活の継続（W-13で反映）</t>
        </is>
      </c>
      <c r="E35" s="27" t="inlineStr">
        <is>
          <t>未受領</t>
        </is>
      </c>
      <c r="F35" s="26" t="inlineStr">
        <is>
          <t>2026-10-20</t>
        </is>
      </c>
      <c r="G35" s="39" t="n"/>
    </row>
    <row r="36" ht="34" customHeight="1">
      <c r="A36" s="30" t="inlineStr">
        <is>
          <t>中</t>
        </is>
      </c>
      <c r="B36" s="4" t="inlineStr">
        <is>
          <t>冬季の除雪の供給の制約とつなぐ運用（Ｍ-57・Ｍ-58）</t>
        </is>
      </c>
      <c r="C36"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6" s="4" t="inlineStr">
        <is>
          <t>計画素案 第5章2（14）・第5章2（7）事業所の受入余力の把握</t>
        </is>
      </c>
      <c r="E36" s="27" t="inlineStr">
        <is>
          <t>未受領</t>
        </is>
      </c>
      <c r="F36" s="22" t="inlineStr">
        <is>
          <t>2026-10-27</t>
        </is>
      </c>
      <c r="G36" s="39" t="n"/>
    </row>
    <row r="37" ht="34" customHeight="1">
      <c r="A37" s="35" t="inlineStr">
        <is>
          <t>高</t>
        </is>
      </c>
      <c r="B37" s="7" t="inlineStr">
        <is>
          <t>手話施策の実績（Ｍ-59・Ｍ-60）</t>
        </is>
      </c>
      <c r="C37" s="7" t="inlineStr">
        <is>
          <t>公式動画による手話の紹介の年度別公開本数・再生回数・テーマ、手話出前講座の年度別開催団体数・参加者数・団体の属性。令和7年度は3回・参加者60名（進捗管理評価シート1で確認）</t>
        </is>
      </c>
      <c r="D37" s="7" t="inlineStr">
        <is>
          <t>計画素案 第5章3（2）意思疎通支援事業・手話奉仕員養成研修事業（X-2で反映）</t>
        </is>
      </c>
      <c r="E37" s="27" t="inlineStr">
        <is>
          <t>未受領</t>
        </is>
      </c>
      <c r="F37" s="26" t="inlineStr">
        <is>
          <t>2026-10-27</t>
        </is>
      </c>
      <c r="G37" s="39" t="n"/>
    </row>
    <row r="38" ht="34" customHeight="1">
      <c r="A38" s="35" t="inlineStr">
        <is>
          <t>高</t>
        </is>
      </c>
      <c r="B38" s="4" t="inlineStr">
        <is>
          <t>人工透析通院交通費助成と除雪の障がい者世帯の利用実績（Ｍ-64・Ｍ-65）</t>
        </is>
      </c>
      <c r="C38"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8" s="4" t="inlineStr">
        <is>
          <t>計画素案 第5章7（4）村単独事業／第5章2（14）冬季の地域生活の継続（X-4で反映）</t>
        </is>
      </c>
      <c r="E38" s="27" t="inlineStr">
        <is>
          <t>未受領</t>
        </is>
      </c>
      <c r="F38" s="22" t="inlineStr">
        <is>
          <t>2026-10-20</t>
        </is>
      </c>
      <c r="G38" s="39" t="n"/>
    </row>
    <row r="39" ht="34" customHeight="1">
      <c r="A39" s="35" t="inlineStr">
        <is>
          <t>高</t>
        </is>
      </c>
      <c r="B39" s="7" t="inlineStr">
        <is>
          <t>障がい者活躍推進計画と物品調達方針（Ｍ-67・Ｍ-68）</t>
        </is>
      </c>
      <c r="C39" s="7" t="inlineStr">
        <is>
          <t>北塩原村障がい者活躍推進計画（第2期・令和7〜11年度）の内容と村の障がい者雇用率。令和8年9月に更新された障がい者就労施設等からの物品等の調達方針の内容と、年度別の調達件数・金額・対象施設</t>
        </is>
      </c>
      <c r="D39" s="7" t="inlineStr">
        <is>
          <t>計画素案 第1章2 関連計画（X-1で反映）／第4章2（3）優先調達</t>
        </is>
      </c>
      <c r="E39" s="27" t="inlineStr">
        <is>
          <t>未受領</t>
        </is>
      </c>
      <c r="F39" s="26" t="inlineStr">
        <is>
          <t>2026-10-20</t>
        </is>
      </c>
      <c r="G39" s="39" t="n"/>
    </row>
    <row r="40" ht="34" customHeight="1">
      <c r="A40" s="30" t="inlineStr">
        <is>
          <t>中</t>
        </is>
      </c>
      <c r="B40" s="4" t="inlineStr">
        <is>
          <t>情報保障の配布実績と差別に関する相談（Ｍ-61〜Ｍ-63）</t>
        </is>
      </c>
      <c r="C40" s="4" t="inlineStr">
        <is>
          <t>電話お願い手帳の対象者・配布場所・配布数。ヘルプマーク・ヘルプカード・耳マークの年度別配布数。つなぐ窓口の相談件数・内容・対応結果</t>
        </is>
      </c>
      <c r="D40" s="4" t="inlineStr">
        <is>
          <t>計画素案 第5章2（1）住民への情報提供等（X-3で反映）</t>
        </is>
      </c>
      <c r="E40" s="27" t="inlineStr">
        <is>
          <t>未受領</t>
        </is>
      </c>
      <c r="F40" s="22" t="inlineStr">
        <is>
          <t>2026-10-27</t>
        </is>
      </c>
      <c r="G40" s="39" t="n"/>
    </row>
    <row r="41" ht="34" customHeight="1">
      <c r="A41" s="32" t="inlineStr">
        <is>
          <t>低</t>
        </is>
      </c>
      <c r="B41" s="7" t="inlineStr">
        <is>
          <t>パラスポーツへの村民の参加（Ｍ-66）</t>
        </is>
      </c>
      <c r="C41" s="7" t="inlineStr">
        <is>
          <t>パラスポーツ指導員養成講習会の村民の受講者・資格取得者、村内活動への接続、障がいのある方本人のスポーツ参加の状況</t>
        </is>
      </c>
      <c r="D41" s="7" t="inlineStr">
        <is>
          <t>計画素案 第3章3 基本施策⑦スポーツ・文化</t>
        </is>
      </c>
      <c r="E41" s="27" t="inlineStr">
        <is>
          <t>未受領</t>
        </is>
      </c>
      <c r="F41" s="26" t="inlineStr">
        <is>
          <t>2026-10-27</t>
        </is>
      </c>
      <c r="G41" s="39" t="n"/>
    </row>
    <row r="42" ht="34" customHeight="1">
      <c r="A42" s="30" t="inlineStr">
        <is>
          <t>低</t>
        </is>
      </c>
      <c r="B42" s="4" t="inlineStr">
        <is>
          <t>就労の受け皿（職親委託等）の実績（Ｍ-53）</t>
        </is>
      </c>
      <c r="C42" s="4" t="inlineStr">
        <is>
          <t>職親委託制度の実績、村内事業所での雇用実績、特別支援学校卒業者の就労先</t>
        </is>
      </c>
      <c r="D42" s="4" t="inlineStr">
        <is>
          <t>計画素案 第4章2（3）</t>
        </is>
      </c>
      <c r="E42" s="27" t="inlineStr">
        <is>
          <t>未受領</t>
        </is>
      </c>
      <c r="F42" s="22" t="inlineStr">
        <is>
          <t>2026-10-27</t>
        </is>
      </c>
      <c r="G42" s="39" t="n"/>
    </row>
    <row r="43" ht="34" customHeight="1">
      <c r="A43" s="27" t="inlineStr">
        <is>
          <t>最優先</t>
        </is>
      </c>
      <c r="B43" s="7" t="inlineStr">
        <is>
          <t>本村の過疎区分（全部過疎／一部過疎／みなし過疎）</t>
        </is>
      </c>
      <c r="C43" s="7" t="inlineStr">
        <is>
          <t>【受領済み】福島県「県内の過疎・中山間地域の指定状況」（令和7年4月1日現在）。過疎法第2条により全域が過疎地域。県条例の中山間地域にも全域が該当</t>
        </is>
      </c>
      <c r="D43" s="7" t="inlineStr">
        <is>
          <t>サービス見込量 12_別表第五判定</t>
        </is>
      </c>
      <c r="E43" s="33" t="inlineStr">
        <is>
          <t>受領済</t>
        </is>
      </c>
      <c r="F43" s="26" t="inlineStr">
        <is>
          <t>2026-08-05</t>
        </is>
      </c>
      <c r="G43" s="39" t="n"/>
    </row>
    <row r="44" ht="34" customHeight="1">
      <c r="A44" s="27" t="inlineStr">
        <is>
          <t>最優先</t>
        </is>
      </c>
      <c r="B44" s="4" t="inlineStr">
        <is>
          <t>村内3事業所の詳細</t>
        </is>
      </c>
      <c r="C44" s="4" t="inlineStr">
        <is>
          <t>ReMHRAD障害福祉資源で確認した居宅介護1・重度訪問介護1・生活介護1について、事業所名、指定年月、共生型サービスの指定の有無、受入可能人数、送迎範囲</t>
        </is>
      </c>
      <c r="D44" s="4" t="inlineStr">
        <is>
          <t>骨子案修正版 第5章8／サービス見込量 08</t>
        </is>
      </c>
      <c r="E44" s="27" t="inlineStr">
        <is>
          <t>未受領</t>
        </is>
      </c>
      <c r="F44" s="22" t="inlineStr">
        <is>
          <t>2026-09-30</t>
        </is>
      </c>
      <c r="G44" s="39" t="n"/>
    </row>
    <row r="45" ht="34" customHeight="1">
      <c r="A45" s="35" t="inlineStr">
        <is>
          <t>高</t>
        </is>
      </c>
      <c r="B45" s="7" t="inlineStr">
        <is>
          <t>圏域事業所の制度活用状況</t>
        </is>
      </c>
      <c r="C45" s="7" t="inlineStr">
        <is>
          <t>共生型サービスの指定の有無、多機能型・従たる事業所の設置可能性、介護保険事業所（訪問介護・居宅介護支援）の居宅介護指定取得の意向</t>
        </is>
      </c>
      <c r="D45" s="7" t="inlineStr">
        <is>
          <t>骨子案修正版 第5章8／サービス見込量 08</t>
        </is>
      </c>
      <c r="E45" s="27" t="inlineStr">
        <is>
          <t>未受領</t>
        </is>
      </c>
      <c r="F45" s="26" t="inlineStr">
        <is>
          <t>2026-10-31</t>
        </is>
      </c>
      <c r="G45" s="39" t="n"/>
    </row>
    <row r="46" ht="34" customHeight="1">
      <c r="A46" s="27" t="inlineStr">
        <is>
          <t>最優先</t>
        </is>
      </c>
      <c r="B46" s="4" t="inlineStr">
        <is>
          <t>令和7年度末時点の1年以上長期入院者の実数</t>
        </is>
      </c>
      <c r="C46"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6" s="4" t="inlineStr">
        <is>
          <t>骨子案修正版 第4章(2)</t>
        </is>
      </c>
      <c r="E46" s="27" t="inlineStr">
        <is>
          <t>未受領</t>
        </is>
      </c>
      <c r="F46" s="22" t="inlineStr">
        <is>
          <t>2026-09-30</t>
        </is>
      </c>
      <c r="G46" s="39" t="n"/>
    </row>
    <row r="47" ht="34" customHeight="1">
      <c r="A47" s="35" t="inlineStr">
        <is>
          <t>高</t>
        </is>
      </c>
      <c r="B47" s="7" t="inlineStr">
        <is>
          <t>福島県の長期入院患者に係る基盤整備量（利用者数）</t>
        </is>
      </c>
      <c r="C47" s="7"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7" s="7" t="inlineStr">
        <is>
          <t>骨子案修正版 第4章(2)</t>
        </is>
      </c>
      <c r="E47" s="36" t="inlineStr">
        <is>
          <t>県照会中</t>
        </is>
      </c>
      <c r="F47" s="26" t="inlineStr">
        <is>
          <t>2026-10-31</t>
        </is>
      </c>
      <c r="G47" s="39" t="n"/>
    </row>
    <row r="48" ht="34" customHeight="1">
      <c r="A48" s="35" t="inlineStr">
        <is>
          <t>高</t>
        </is>
      </c>
      <c r="B48" s="4" t="inlineStr">
        <is>
          <t>令和6年度の一般就労移行実績・就労定着支援利用実績</t>
        </is>
      </c>
      <c r="C48" s="4" t="inlineStr">
        <is>
          <t>成果目標の倍率（全体1.31倍、就労移行支援1.14倍、A型おおむね1.52倍、B型おおむね1.67倍、就労定着支援1.47倍）の基準値。事業種別ごとに必要</t>
        </is>
      </c>
      <c r="D48" s="4" t="inlineStr">
        <is>
          <t>骨子案修正版 第4章(3)</t>
        </is>
      </c>
      <c r="E48" s="27" t="inlineStr">
        <is>
          <t>未受領</t>
        </is>
      </c>
      <c r="F48" s="22" t="inlineStr">
        <is>
          <t>2026-09-30</t>
        </is>
      </c>
      <c r="G48" s="39" t="n"/>
    </row>
    <row r="49" ht="34" customHeight="1">
      <c r="A49" s="32" t="inlineStr">
        <is>
          <t>中</t>
        </is>
      </c>
      <c r="B49" s="7" t="inlineStr">
        <is>
          <t>第7期計画の令和8年度目標の達成見込み</t>
        </is>
      </c>
      <c r="C49" s="7" t="inlineStr">
        <is>
          <t>未達の場合、未達成割合を令和11年度目標に上乗せする規定がある（第二 一・三）。本村は地域移行0人・削減0人が目標のため、達成／未達の整理が必要</t>
        </is>
      </c>
      <c r="D49" s="7" t="inlineStr">
        <is>
          <t>骨子案修正版 第4章(1)(3)</t>
        </is>
      </c>
      <c r="E49" s="27" t="inlineStr">
        <is>
          <t>未受領</t>
        </is>
      </c>
      <c r="F49" s="26" t="inlineStr">
        <is>
          <t>2026-10-31</t>
        </is>
      </c>
      <c r="G49" s="39" t="n"/>
    </row>
    <row r="50" ht="34" customHeight="1">
      <c r="A50" s="27" t="inlineStr">
        <is>
          <t>最優先</t>
        </is>
      </c>
      <c r="B50" s="4" t="inlineStr">
        <is>
          <t>年齢別・サービス別の匿名利用者一覧</t>
        </is>
      </c>
      <c r="C50" s="4" t="inlineStr">
        <is>
          <t>利用者番号、生年月、障害支援区分、利用中のサービス、月利用日数・時間。氏名不要</t>
        </is>
      </c>
      <c r="D50" s="4" t="inlineStr">
        <is>
          <t>サービス見込量 02・03・04</t>
        </is>
      </c>
      <c r="E50" s="27" t="inlineStr">
        <is>
          <t>未受領</t>
        </is>
      </c>
      <c r="F50" s="22" t="inlineStr">
        <is>
          <t>2026-08-31</t>
        </is>
      </c>
      <c r="G50" s="39" t="n"/>
    </row>
    <row r="51" ht="34" customHeight="1">
      <c r="A51" s="27" t="inlineStr">
        <is>
          <t>最優先</t>
        </is>
      </c>
      <c r="B51" s="7" t="inlineStr">
        <is>
          <t>サービス別の支給決定者数（実人数）</t>
        </is>
      </c>
      <c r="C51" s="7" t="inlineStr">
        <is>
          <t>請求件数ではなく実人数。計画相談支援は請求と実人数が一致しないため特に必要</t>
        </is>
      </c>
      <c r="D51" s="7" t="inlineStr">
        <is>
          <t>サービス見込量 03・04</t>
        </is>
      </c>
      <c r="E51" s="27" t="inlineStr">
        <is>
          <t>未受領</t>
        </is>
      </c>
      <c r="F51" s="26" t="inlineStr">
        <is>
          <t>2026-08-31</t>
        </is>
      </c>
      <c r="G51" s="39" t="n"/>
    </row>
    <row r="52" ht="34" customHeight="1">
      <c r="A52" s="27" t="inlineStr">
        <is>
          <t>最優先</t>
        </is>
      </c>
      <c r="B52" s="4" t="inlineStr">
        <is>
          <t>年齢階級別の手帳所持者数・人口</t>
        </is>
      </c>
      <c r="C52" s="4" t="inlineStr">
        <is>
          <t>身体は0〜17／18〜39／40〜64／65〜74／75歳以上、療育・精神は18歳未満／18〜64／65歳以上</t>
        </is>
      </c>
      <c r="D52" s="4" t="inlineStr">
        <is>
          <t>将来推計 05</t>
        </is>
      </c>
      <c r="E52" s="27" t="inlineStr">
        <is>
          <t>未受領</t>
        </is>
      </c>
      <c r="F52" s="22" t="inlineStr">
        <is>
          <t>2026-09-30</t>
        </is>
      </c>
      <c r="G52" s="39" t="n"/>
    </row>
    <row r="53" ht="34" customHeight="1">
      <c r="A53" s="35" t="inlineStr">
        <is>
          <t>高</t>
        </is>
      </c>
      <c r="B53" s="7" t="inlineStr">
        <is>
          <t>令和6・7年度実績、令和8年度見込</t>
        </is>
      </c>
      <c r="C53" s="7" t="inlineStr">
        <is>
          <t>成果目標、サービス別利用者数・利用量、給付費、地域生活支援事業、相談件数</t>
        </is>
      </c>
      <c r="D53" s="7" t="inlineStr">
        <is>
          <t>前回計画評価／サービス見込量／財源構成案</t>
        </is>
      </c>
      <c r="E53" s="27" t="inlineStr">
        <is>
          <t>未受領</t>
        </is>
      </c>
      <c r="F53" s="26" t="inlineStr">
        <is>
          <t>2026-09-30</t>
        </is>
      </c>
      <c r="G53" s="39" t="n"/>
    </row>
    <row r="54" ht="34" customHeight="1">
      <c r="A54" s="35" t="inlineStr">
        <is>
          <t>高</t>
        </is>
      </c>
      <c r="B54" s="4" t="inlineStr">
        <is>
          <t>発送対象者数（重複除外後）</t>
        </is>
      </c>
      <c r="C54" s="4" t="inlineStr">
        <is>
          <t>仕様書の約190人の内訳と、現行計画156人との差の理由</t>
        </is>
      </c>
      <c r="D54" s="4" t="inlineStr">
        <is>
          <t>契約管理5／アンケート発送設計</t>
        </is>
      </c>
      <c r="E54" s="27" t="inlineStr">
        <is>
          <t>未受領</t>
        </is>
      </c>
      <c r="F54" s="22" t="inlineStr">
        <is>
          <t>2026-08-05</t>
        </is>
      </c>
      <c r="G54" s="39" t="n"/>
    </row>
    <row r="55" ht="34" customHeight="1">
      <c r="A55" s="35" t="inlineStr">
        <is>
          <t>高</t>
        </is>
      </c>
      <c r="B55" s="7" t="inlineStr">
        <is>
          <t>宛名ラベルシール</t>
        </is>
      </c>
      <c r="C55" s="7" t="inlineStr">
        <is>
          <t>仕様書Ⅰ(1)により委託者が抽出し提供</t>
        </is>
      </c>
      <c r="D55" s="7" t="inlineStr">
        <is>
          <t>アンケート発送</t>
        </is>
      </c>
      <c r="E55" s="27" t="inlineStr">
        <is>
          <t>未受領</t>
        </is>
      </c>
      <c r="F55" s="26" t="inlineStr">
        <is>
          <t>2026-08-05</t>
        </is>
      </c>
      <c r="G55" s="39" t="n"/>
    </row>
    <row r="56" ht="34" customHeight="1">
      <c r="A56" s="35" t="inlineStr">
        <is>
          <t>高</t>
        </is>
      </c>
      <c r="B56" s="4" t="inlineStr">
        <is>
          <t>特別支援学校・特別支援学級の在籍者</t>
        </is>
      </c>
      <c r="C56" s="4" t="inlineStr">
        <is>
          <t>学年、卒業予定年度、卒業後の進路。令和6〜7年度に卒業した方の現在の利用状況も含む</t>
        </is>
      </c>
      <c r="D56" s="4" t="inlineStr">
        <is>
          <t>サービス見込量 02・03</t>
        </is>
      </c>
      <c r="E56" s="27" t="inlineStr">
        <is>
          <t>未受領</t>
        </is>
      </c>
      <c r="F56" s="22" t="inlineStr">
        <is>
          <t>2026-09-30</t>
        </is>
      </c>
      <c r="G56" s="39" t="n"/>
    </row>
    <row r="57" ht="34" customHeight="1">
      <c r="A57" s="35" t="inlineStr">
        <is>
          <t>高</t>
        </is>
      </c>
      <c r="B57" s="7" t="inlineStr">
        <is>
          <t>令和9〜11年度の65歳到達者</t>
        </is>
      </c>
      <c r="C57" s="7" t="inlineStr">
        <is>
          <t>到達年度、現在利用しているサービス、月量</t>
        </is>
      </c>
      <c r="D57" s="7" t="inlineStr">
        <is>
          <t>サービス見込量 02・06</t>
        </is>
      </c>
      <c r="E57" s="27" t="inlineStr">
        <is>
          <t>未受領</t>
        </is>
      </c>
      <c r="F57" s="26" t="inlineStr">
        <is>
          <t>2026-09-30</t>
        </is>
      </c>
      <c r="G57" s="39" t="n"/>
    </row>
    <row r="58" ht="34" customHeight="1">
      <c r="A58" s="30" t="inlineStr">
        <is>
          <t>―</t>
        </is>
      </c>
      <c r="B58" s="4" t="inlineStr">
        <is>
          <t>前回調査の調査結果報告書</t>
        </is>
      </c>
      <c r="C58" s="4" t="inlineStr">
        <is>
          <t>発送164人・回収95人・回収率57.9%。設問別の集計結果を収録</t>
        </is>
      </c>
      <c r="D58" s="4" t="inlineStr">
        <is>
          <t>アンケート集計設計・経年比較</t>
        </is>
      </c>
      <c r="E58" s="33" t="inlineStr">
        <is>
          <t>受領済</t>
        </is>
      </c>
      <c r="F58" s="22" t="inlineStr">
        <is>
          <t>2026-08-03</t>
        </is>
      </c>
      <c r="G58" s="39" t="n"/>
    </row>
    <row r="59" ht="34" customHeight="1">
      <c r="A59" s="35" t="inlineStr">
        <is>
          <t>高</t>
        </is>
      </c>
      <c r="B59" s="7" t="inlineStr">
        <is>
          <t>小規模公表基準</t>
        </is>
      </c>
      <c r="C59" s="7" t="inlineStr">
        <is>
          <t>n&lt;5の秘匿、地区別・障がい種別クロスの扱い</t>
        </is>
      </c>
      <c r="D59" s="7" t="inlineStr">
        <is>
          <t>アンケート集計・報告書</t>
        </is>
      </c>
      <c r="E59" s="27" t="inlineStr">
        <is>
          <t>未受領</t>
        </is>
      </c>
      <c r="F59" s="26" t="inlineStr">
        <is>
          <t>2026-09-30</t>
        </is>
      </c>
      <c r="G59" s="39" t="n"/>
    </row>
    <row r="60" ht="34" customHeight="1">
      <c r="A60" s="35" t="inlineStr">
        <is>
          <t>高</t>
        </is>
      </c>
      <c r="B60" s="4" t="inlineStr">
        <is>
          <t>障がい福祉関係の歳入歳出決算</t>
        </is>
      </c>
      <c r="C60" s="4" t="inlineStr">
        <is>
          <t>自立支援給付費負担金、障害児施設給付費負担金、地域生活支援事業費補助金の交付額と村負担</t>
        </is>
      </c>
      <c r="D60" s="4" t="inlineStr">
        <is>
          <t>財源構成案 04・06・07</t>
        </is>
      </c>
      <c r="E60" s="27" t="inlineStr">
        <is>
          <t>未受領</t>
        </is>
      </c>
      <c r="F60" s="22" t="inlineStr">
        <is>
          <t>2026-10-31</t>
        </is>
      </c>
      <c r="G60" s="39" t="n"/>
    </row>
    <row r="61" ht="34" customHeight="1">
      <c r="A61" s="35" t="inlineStr">
        <is>
          <t>高</t>
        </is>
      </c>
      <c r="B61" s="7" t="inlineStr">
        <is>
          <t>令和6・7年度の障害児給付費の変動理由</t>
        </is>
      </c>
      <c r="C61" s="7" t="inlineStr">
        <is>
          <t>児童発達支援23件→1件、放課後等デイ12件→27件の理由。受給者単位で就学移行かを確認</t>
        </is>
      </c>
      <c r="D61" s="7" t="inlineStr">
        <is>
          <t>サービス見込量 04／計画本文</t>
        </is>
      </c>
      <c r="E61" s="27" t="inlineStr">
        <is>
          <t>未受領</t>
        </is>
      </c>
      <c r="F61" s="26" t="inlineStr">
        <is>
          <t>2026-09-30</t>
        </is>
      </c>
      <c r="G61" s="39" t="n"/>
    </row>
    <row r="62" ht="34" customHeight="1">
      <c r="A62" s="30" t="inlineStr">
        <is>
          <t>―</t>
        </is>
      </c>
      <c r="B62" s="4" t="inlineStr">
        <is>
          <t>現行計画本編（第4次障がい者計画・第7期・第3期）</t>
        </is>
      </c>
      <c r="C62" s="4" t="inlineStr">
        <is>
          <t>本編63頁、アンケート調査結果報告書69頁、概要版4頁。令和6年3月策定</t>
        </is>
      </c>
      <c r="D62" s="4" t="inlineStr">
        <is>
          <t>全体（年齢3区分別人口・前回調査の内訳を反映済み）</t>
        </is>
      </c>
      <c r="E62" s="33" t="inlineStr">
        <is>
          <t>受領済</t>
        </is>
      </c>
      <c r="F62" s="22" t="inlineStr">
        <is>
          <t>2026-08-03</t>
        </is>
      </c>
      <c r="G62" s="39" t="n"/>
    </row>
    <row r="63" ht="34" customHeight="1">
      <c r="A63" s="32" t="inlineStr">
        <is>
          <t>中</t>
        </is>
      </c>
      <c r="B63" s="7" t="inlineStr">
        <is>
          <t>圏域事業所の受入可能性</t>
        </is>
      </c>
      <c r="C63" s="7" t="inlineStr">
        <is>
          <t>定員、空き、送迎範囲、受入可否。介護保険事業所の共生型サービス指定の有無を含む</t>
        </is>
      </c>
      <c r="D63" s="7" t="inlineStr">
        <is>
          <t>サービス見込量 08</t>
        </is>
      </c>
      <c r="E63" s="27" t="inlineStr">
        <is>
          <t>未受領</t>
        </is>
      </c>
      <c r="F63" s="26" t="inlineStr">
        <is>
          <t>2026-10-31</t>
        </is>
      </c>
      <c r="G63" s="39" t="n"/>
    </row>
    <row r="64" ht="34" customHeight="1">
      <c r="A64" s="30" t="inlineStr">
        <is>
          <t>中</t>
        </is>
      </c>
      <c r="B64" s="4" t="inlineStr">
        <is>
          <t>医療的ケア児者・地域生活支援拠点・個別避難計画の実態</t>
        </is>
      </c>
      <c r="C64"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4" s="4" t="inlineStr">
        <is>
          <t>計画本文 第4章・第6章／村提供実績データ 01</t>
        </is>
      </c>
      <c r="E64" s="34" t="inlineStr">
        <is>
          <t>一部受領</t>
        </is>
      </c>
      <c r="F64" s="22" t="inlineStr">
        <is>
          <t>2026-10-31</t>
        </is>
      </c>
      <c r="G64" s="39" t="n"/>
    </row>
    <row r="65" ht="34" customHeight="1">
      <c r="A65" s="27" t="inlineStr">
        <is>
          <t>最優先</t>
        </is>
      </c>
      <c r="B65" s="7" t="inlineStr">
        <is>
          <t>障害支援区分別人数の基準日とサービス利用状況</t>
        </is>
      </c>
      <c r="C65" s="7"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5" s="7" t="inlineStr">
        <is>
          <t>村提供実績データ 02／骨子案修正版 第5章1</t>
        </is>
      </c>
      <c r="E65" s="34" t="inlineStr">
        <is>
          <t>一部受領</t>
        </is>
      </c>
      <c r="F65" s="26" t="inlineStr">
        <is>
          <t>2026-09-30</t>
        </is>
      </c>
      <c r="G65" s="39" t="n"/>
    </row>
    <row r="66" ht="34" customHeight="1">
      <c r="A66" s="30" t="inlineStr">
        <is>
          <t>―</t>
        </is>
      </c>
      <c r="B66" s="4" t="inlineStr">
        <is>
          <t>セルフプラン率・基幹相談支援センター・就労選択支援事業所の状況</t>
        </is>
      </c>
      <c r="C66"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6" s="4" t="inlineStr">
        <is>
          <t>村提供実績データ 01／骨子案修正版 第4章(3)(6)</t>
        </is>
      </c>
      <c r="E66" s="34" t="inlineStr">
        <is>
          <t>一部受領</t>
        </is>
      </c>
      <c r="F66" s="22" t="inlineStr">
        <is>
          <t>2026-09-30</t>
        </is>
      </c>
      <c r="G66" s="39" t="n"/>
    </row>
    <row r="67" ht="34" customHeight="1">
      <c r="A67" s="32" t="inlineStr">
        <is>
          <t>―</t>
        </is>
      </c>
      <c r="B67" s="7" t="inlineStr">
        <is>
          <t>障がい児の入所・申請の状況</t>
        </is>
      </c>
      <c r="C67" s="7" t="inlineStr">
        <is>
          <t>【受領済み】令和8年8月の調査票朱書きで、障がい児入所施設・児童福祉施設の利用児0件、障害児通所支援の申請中0件を確認。第5章の障害児入所支援の見込量を0とする根拠</t>
        </is>
      </c>
      <c r="D67" s="7" t="inlineStr">
        <is>
          <t>村提供実績データ 01／骨子案修正版 第4章(4)</t>
        </is>
      </c>
      <c r="E67" s="33" t="inlineStr">
        <is>
          <t>受領済</t>
        </is>
      </c>
      <c r="F67" s="26" t="inlineStr">
        <is>
          <t>2026-08-14</t>
        </is>
      </c>
      <c r="G67" s="39" t="n"/>
    </row>
    <row r="68" ht="34" customHeight="1">
      <c r="A68" s="30" t="inlineStr">
        <is>
          <t>―</t>
        </is>
      </c>
      <c r="B68" s="4" t="inlineStr">
        <is>
          <t>実態調査及びPDCAサイクルに関するマニュアル（令和8年8月）</t>
        </is>
      </c>
      <c r="C68" s="4" t="inlineStr">
        <is>
          <t>【受領済み】福島県通知（8生福第2646号・8こ第2041号 令和8年8月24日）により受領。厚労省・こども家庭庁の令和8年8月19日事務連絡の別添。全81頁。令和2年版を基本指針の改正を踏まえて修正したもの</t>
        </is>
      </c>
      <c r="D68" s="4" t="inlineStr">
        <is>
          <t>サービス見込量 12_別表第五判定／骨子案修正版 第1章6・第5章1／北塩原村_実態調査PDCAマニュアル_確認結果</t>
        </is>
      </c>
      <c r="E68" s="33" t="inlineStr">
        <is>
          <t>受領済</t>
        </is>
      </c>
      <c r="F68" s="22" t="inlineStr">
        <is>
          <t>2026-08-27</t>
        </is>
      </c>
      <c r="G68" s="39" t="n"/>
    </row>
    <row r="69" ht="34" customHeight="1">
      <c r="A69" s="27" t="inlineStr">
        <is>
          <t>最優先</t>
        </is>
      </c>
      <c r="B69" s="7" t="inlineStr">
        <is>
          <t>要介護認定の有無・要介護度（匿名利用者一覧への列追加）</t>
        </is>
      </c>
      <c r="C69" s="7"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9" s="7" t="inlineStr">
        <is>
          <t>クロス集計設計 A-1／サービス見込量 06_65歳移行判定</t>
        </is>
      </c>
      <c r="E69" s="27" t="inlineStr">
        <is>
          <t>未受領</t>
        </is>
      </c>
      <c r="F69" s="26" t="inlineStr">
        <is>
          <t>2026-09-30</t>
        </is>
      </c>
      <c r="G69" s="39" t="n"/>
    </row>
    <row r="70" ht="34" customHeight="1">
      <c r="A70" s="35" t="inlineStr">
        <is>
          <t>高</t>
        </is>
      </c>
      <c r="B70" s="4" t="inlineStr">
        <is>
          <t>PDCAの評価体制・スケジュール・公表方法</t>
        </is>
      </c>
      <c r="C70" s="4" t="inlineStr">
        <is>
          <t>自立支援協議会と庁内会議体の役割分担、実績把握と評価の時期（村の予算編成に合わせる）、中間評価の結果の公表方法（ホームページ・広報誌・協議会資料の公開範囲）</t>
        </is>
      </c>
      <c r="D70" s="4" t="inlineStr">
        <is>
          <t>骨子案修正版 第1章6</t>
        </is>
      </c>
      <c r="E70" s="27" t="inlineStr">
        <is>
          <t>未受領</t>
        </is>
      </c>
      <c r="F70" s="22" t="inlineStr">
        <is>
          <t>2026-12-31</t>
        </is>
      </c>
      <c r="G70" s="39" t="n"/>
    </row>
    <row r="71" ht="34" customHeight="1">
      <c r="A71" s="32" t="inlineStr">
        <is>
          <t>―</t>
        </is>
      </c>
      <c r="B71" s="7" t="inlineStr">
        <is>
          <t>アンケート調査票への村の修正指示</t>
        </is>
      </c>
      <c r="C71" s="7" t="inlineStr">
        <is>
          <t>【受領済み】障がい者版17頁・障がい児版19頁のスキャンPDF。朱書き40か所。設問の削除・追加・順序変更のほか、削除理由として村の実データ9件が書き添えられている</t>
        </is>
      </c>
      <c r="D71" s="7" t="inlineStr">
        <is>
          <t>村提供実績データ 05／北塩原村_アンケート調査票_村修正指示_確認結果</t>
        </is>
      </c>
      <c r="E71" s="33" t="inlineStr">
        <is>
          <t>受領済</t>
        </is>
      </c>
      <c r="F71" s="26" t="inlineStr">
        <is>
          <t>2026-08-14</t>
        </is>
      </c>
      <c r="G71" s="39" t="n"/>
    </row>
    <row r="72" ht="34" customHeight="1">
      <c r="A72" s="30" t="inlineStr">
        <is>
          <t>中</t>
        </is>
      </c>
      <c r="B72" s="4" t="inlineStr">
        <is>
          <t>第5次総合振興計画たたき台、健康21現行計画、高齢者福祉・介護保険事業計画</t>
        </is>
      </c>
      <c r="C72" s="4" t="inlineStr">
        <is>
          <t>関連計画との整合確認</t>
        </is>
      </c>
      <c r="D72" s="4" t="inlineStr">
        <is>
          <t>計画本文 第1章・第7章</t>
        </is>
      </c>
      <c r="E72" s="27" t="inlineStr">
        <is>
          <t>未受領</t>
        </is>
      </c>
      <c r="F72" s="22" t="inlineStr">
        <is>
          <t>2026-10-31</t>
        </is>
      </c>
      <c r="G72" s="39" t="n"/>
    </row>
    <row r="73" ht="34" customHeight="1">
      <c r="A73" s="32" t="inlineStr">
        <is>
          <t>中</t>
        </is>
      </c>
      <c r="B73" s="7" t="inlineStr">
        <is>
          <t>40歳以上65歳未満の特定疾病該当者</t>
        </is>
      </c>
      <c r="C73" s="7" t="inlineStr">
        <is>
          <t>16の特定疾病に該当し要介護認定を受けている方の有無</t>
        </is>
      </c>
      <c r="D73" s="7" t="inlineStr">
        <is>
          <t>サービス見込量 02</t>
        </is>
      </c>
      <c r="E73" s="27" t="inlineStr">
        <is>
          <t>未受領</t>
        </is>
      </c>
      <c r="F73" s="26" t="inlineStr">
        <is>
          <t>2026-10-31</t>
        </is>
      </c>
      <c r="G73" s="39" t="n"/>
    </row>
    <row r="74" ht="34" customHeight="1">
      <c r="A74" s="30" t="inlineStr">
        <is>
          <t>中</t>
        </is>
      </c>
      <c r="B74" s="4" t="inlineStr">
        <is>
          <t>自立支援協議会の委員名簿</t>
        </is>
      </c>
      <c r="C74" s="4" t="inlineStr">
        <is>
          <t>任期・氏名・所属・役職</t>
        </is>
      </c>
      <c r="D74" s="4" t="inlineStr">
        <is>
          <t>計画書 資料編</t>
        </is>
      </c>
      <c r="E74" s="27" t="inlineStr">
        <is>
          <t>未受領</t>
        </is>
      </c>
      <c r="F74" s="22" t="inlineStr">
        <is>
          <t>2026-12-31</t>
        </is>
      </c>
      <c r="G74" s="39" t="n"/>
    </row>
    <row r="76" ht="46" customHeight="1">
      <c r="A76" s="2" t="inlineStr">
        <is>
          <t>未受領：55件（うち最優先14件、高29件）、一部受領：6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74"/>
  <mergeCells count="3">
    <mergeCell ref="A76:G7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4"/>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R-42</t>
        </is>
      </c>
      <c r="B6" s="30" t="inlineStr">
        <is>
          <t>工程</t>
        </is>
      </c>
      <c r="C6" s="40" t="inlineStr">
        <is>
          <t>最高</t>
        </is>
      </c>
      <c r="D6" s="4" t="inlineStr">
        <is>
          <t>引き直した工程（案Ａ）が村の了解を得られない場合、納期を超える</t>
        </is>
      </c>
      <c r="E6" s="4" t="inlineStr">
        <is>
          <t>策定委員会（第2回）の開催が令和8年11月となり、村の計画策定方針（令和8年5月25日）の工程から1か月後ろへ動いた。策定委員会資料のスケジュール表のまま（パブリックコメント令和9年2月8日〜22日、庁議（計画の決定）3月）進めると、結果の整理に1週間、庁議の後に初校・再校・校了・入稿で3週間を要するため入稿が3月下旬となり、履行期限（令和9年3月31日）を約1週間超える。令和8年10月14日に案Ａ（パブリックコメントを1月26日〜2月9日へ前倒し、庁議2月19日、議会全員協議会2月下旬、初校2月26日以降は従前のまま）が採用され、当方の工程・成果物はすべてこれで組み直した。ただし案Ａは、村のパブリックコメントの開始時期、庁議の開催日、議会全員協議会を計画の決定の後に置くことの3点について村の了解を前提としている。いずれかが動くと、最初に削られるのは校正の期間である</t>
        </is>
      </c>
      <c r="F6" s="4" t="inlineStr">
        <is>
          <t>令和8年10月14日に工程の日付を kitashiobara_koutei.py へ一本化し、進捗管理ブック・進捗状況表・概要版・正本 第1章5（4）がすべて同じ日付を引くようにした。案Ａの3点をＭ-125で照会した（期限 令和8年10月24日）。回答までの間、工程は案Ａを前提に進め、回答により日が動いた場合は kitashiobara_koutei.py の1か所を直して全体を作り直す。パブリックコメントが2月8日開始から動かせない場合は、①校正を初校・校了の2回に減らす②印刷物の納品を4月上旬とすることの可否を履行期限との関係で確かめる、のいずれかとなるため、Ｍ-112（印刷・製本の所要日数）と併せて判断する</t>
        </is>
      </c>
      <c r="G6" s="30" t="inlineStr">
        <is>
          <t>対応中</t>
        </is>
      </c>
    </row>
    <row r="7" ht="46" customHeight="1">
      <c r="A7" s="32" t="inlineStr">
        <is>
          <t>R-39</t>
        </is>
      </c>
      <c r="B7" s="32" t="inlineStr">
        <is>
          <t>照会の立て方</t>
        </is>
      </c>
      <c r="C7" s="35" t="inlineStr">
        <is>
          <t>中</t>
        </is>
      </c>
      <c r="D7" s="7" t="inlineStr">
        <is>
          <t>高齢者施策への接続について、村が答えられない形で照会していた</t>
        </is>
      </c>
      <c r="E7" s="7" t="inlineStr">
        <is>
          <t>本計画は、65歳に達した後の生活を支える仕組みが介護保険の給付だけではないことを書き、村の高齢者福祉施策・村単独事業・介護保険の地域支援事業への接続を扱っている。当方はこれまで「障がいのある方が対象に含まれるかは事業ごとに異なります」と書き、村に「対象となるか」を照会していた（Ｍ-50・Ｍ-71・Ｍ-81）。国の地域支援事業実施要綱を読んだところ、任意事業の対象者は「被保険者、要介護被保険者を現に介護する者その他個々の事業の対象者として市町村が認める者」とされており、障がいのある方を対象に含めるかどうかは村の要綱の定め方による事項であった。村にとっては、国に決められていることを聞かれているのか自らの定めを聞かれているのかが分からない問いになっていた。あわせて、成年後見制度利用支援事業の条項を第115条の45第2項第2号と取り違えており（正しくは第3項第3号の任意事業。第2項第2号は権利擁護事業）、この誤りが村へ出す照会文Ｍ-97の本文にも入っていた</t>
        </is>
      </c>
      <c r="F7" s="7" t="inlineStr">
        <is>
          <t>令和8年10月11日に、要綱の原典を照合して直した。Ｍ-108（本村が実施している地域支援事業と、その要綱における対象者の定め）を起票し、「対象となるか」から「村の要綱が対象者をどう定めているか」へ聞き方を改めた。第5章5（2）に理由と表5-40（地域支援事業の区分と対象者の定め）を入れた（ＣＳ-1）。Ｍ-97とＫ-9の条項は第3項第3号に直した。照会文は村に渡るものであるため、送る前に直した。以後、照会を立てるときは「国が決めていること」と「村が決めていること」を分けてから書く</t>
        </is>
      </c>
      <c r="G7" s="32" t="inlineStr">
        <is>
          <t>対応済み</t>
        </is>
      </c>
    </row>
    <row r="8" ht="46" customHeight="1">
      <c r="A8" s="30" t="inlineStr">
        <is>
          <t>R-38</t>
        </is>
      </c>
      <c r="B8" s="30" t="inlineStr">
        <is>
          <t>制度動向</t>
        </is>
      </c>
      <c r="C8" s="27" t="inlineStr">
        <is>
          <t>高</t>
        </is>
      </c>
      <c r="D8" s="4" t="inlineStr">
        <is>
          <t>高次脳機能障害者支援法が令和8年4月1日に施行され、村にも窓口の明確化と実施状況の公表が求められる</t>
        </is>
      </c>
      <c r="E8" s="4"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F8" s="4"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G8" s="30" t="inlineStr">
        <is>
          <t>対応中</t>
        </is>
      </c>
    </row>
    <row r="9" ht="46" customHeight="1">
      <c r="A9" s="32" t="inlineStr">
        <is>
          <t>R-37</t>
        </is>
      </c>
      <c r="B9" s="32" t="inlineStr">
        <is>
          <t>資料の読み方</t>
        </is>
      </c>
      <c r="C9" s="27" t="inlineStr">
        <is>
          <t>高</t>
        </is>
      </c>
      <c r="D9" s="7" t="inlineStr">
        <is>
          <t>国の予算資料は当初予算と前年度補正予算が同じ資料に載るため、年度を取り違えやすい</t>
        </is>
      </c>
      <c r="E9" s="7"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F9" s="7"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G9" s="32" t="inlineStr">
        <is>
          <t>対応済み</t>
        </is>
      </c>
    </row>
    <row r="10" ht="46" customHeight="1">
      <c r="A10" s="30" t="inlineStr">
        <is>
          <t>R-36</t>
        </is>
      </c>
      <c r="B10" s="30" t="inlineStr">
        <is>
          <t>記述の整合</t>
        </is>
      </c>
      <c r="C10" s="27" t="inlineStr">
        <is>
          <t>高</t>
        </is>
      </c>
      <c r="D10" s="4" t="inlineStr">
        <is>
          <t>確保の方策の記述が当方の中で食い違っていた（共生型サービス）</t>
        </is>
      </c>
      <c r="E10" s="4"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F10" s="4"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G10" s="30" t="inlineStr">
        <is>
          <t>対応中</t>
        </is>
      </c>
    </row>
    <row r="11" ht="46" customHeight="1">
      <c r="A11" s="32" t="inlineStr">
        <is>
          <t>R-35</t>
        </is>
      </c>
      <c r="B11" s="32" t="inlineStr">
        <is>
          <t>財政</t>
        </is>
      </c>
      <c r="C11" s="27" t="inlineStr">
        <is>
          <t>高</t>
        </is>
      </c>
      <c r="D11" s="7" t="inlineStr">
        <is>
          <t>令和8年度の報酬改定（＋1.84％）を見込量の基準年度に織り込んでいない</t>
        </is>
      </c>
      <c r="E11" s="7"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F11" s="7"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G11" s="32" t="inlineStr">
        <is>
          <t>対応中</t>
        </is>
      </c>
    </row>
    <row r="12" ht="46" customHeight="1">
      <c r="A12" s="30" t="inlineStr">
        <is>
          <t>R-34</t>
        </is>
      </c>
      <c r="B12" s="30" t="inlineStr">
        <is>
          <t>制度動向</t>
        </is>
      </c>
      <c r="C12" s="35" t="inlineStr">
        <is>
          <t>中</t>
        </is>
      </c>
      <c r="D12" s="4" t="inlineStr">
        <is>
          <t>意思決定支援ガイドラインが第2版に改訂され、考え方が変わった</t>
        </is>
      </c>
      <c r="E12" s="4"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F12" s="4"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G12" s="30" t="inlineStr">
        <is>
          <t>対応中</t>
        </is>
      </c>
    </row>
    <row r="13" ht="46" customHeight="1">
      <c r="A13" s="32" t="inlineStr">
        <is>
          <t>R-33</t>
        </is>
      </c>
      <c r="B13" s="32" t="inlineStr">
        <is>
          <t>成果目標</t>
        </is>
      </c>
      <c r="C13" s="35" t="inlineStr">
        <is>
          <t>中</t>
        </is>
      </c>
      <c r="D13" s="7" t="inlineStr">
        <is>
          <t>情報公表制度の公表率・更新率100％は、村に達成の手段がほとんどない</t>
        </is>
      </c>
      <c r="E13" s="7"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F13" s="7"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G13" s="32" t="inlineStr">
        <is>
          <t>対応中</t>
        </is>
      </c>
    </row>
    <row r="14" ht="46" customHeight="1">
      <c r="A14" s="30" t="inlineStr">
        <is>
          <t>R-32</t>
        </is>
      </c>
      <c r="B14" s="30" t="inlineStr">
        <is>
          <t>広域連携</t>
        </is>
      </c>
      <c r="C14" s="27" t="inlineStr">
        <is>
          <t>高</t>
        </is>
      </c>
      <c r="D14" s="4" t="inlineStr">
        <is>
          <t>広域で確保するとした機能が、相手方の計画と同じ単位・同じ数え方になっているか確かめられていない</t>
        </is>
      </c>
      <c r="E14"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F14"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G14" s="30" t="inlineStr">
        <is>
          <t>対応中</t>
        </is>
      </c>
    </row>
    <row r="15" ht="46" customHeight="1">
      <c r="A15" s="32" t="inlineStr">
        <is>
          <t>R-31</t>
        </is>
      </c>
      <c r="B15" s="32" t="inlineStr">
        <is>
          <t>推計</t>
        </is>
      </c>
      <c r="C15" s="40" t="inlineStr">
        <is>
          <t>最高</t>
        </is>
      </c>
      <c r="D15" s="7" t="inlineStr">
        <is>
          <t>手帳所持者数の将来推計の基礎となる令和8年の値が仮置きである</t>
        </is>
      </c>
      <c r="E15" s="7" t="inlineStr">
        <is>
          <t>当方の将来推計ブックは平成31年〜令和5年の5か年（156人まで減少）を延ばし、令和11年度の中位推計を145人（減少）としている。他メンバー版の正本 第2章2 は令和8年4月を身体127人・療育16人・精神38人の計181人と記述しているが、他メンバー版のワークシートの注記は「総数はR2〜R5が第7期計画（4月1日）、R6〜R8は推計」であり、村の台帳による確定値ではない（網羅性点検に記録済み）。したがって減少という前提が崩れたかどうかを確かめられない。令和8年10月10日の時点で当方は、確認事項「仕様書の約190人と現行計画156人の差」を「約190人は実数であったと考えられる」として解消していたが、その根拠の181人は約190人から作られた値であり循環していた。令和8年10月13日に解消を取り消した。手帳所持者数は所持率法による見込量の検証に用いるため、第2次算定の検証の土台が定まらない</t>
        </is>
      </c>
      <c r="F15" s="7" t="inlineStr">
        <is>
          <t>令和8年10月10日に概要版から令和11年度の推計値を外し、やり直す旨を注記した（計画素案・将来推計ブックにも【要更新】を付した）。令和8年10月13日に、手帳別に別の係数を用いた4通りの試算を行い、令和11年の合計に139人から206人まで67人の幅があることを示した（北塩原村_レビュー対応_第3回.xlsx 02_手帳推計）。同日受領した策定委員会資料2により、療育手帳（令和6年13人・令和7年15人）と精神障害者保健福祉手帳（同33人・36人）の2か年が判明し、6点の回帰で精神＋2.51人／年・療育＋0.57人／年となった（従前は精神＋1.00人／年・療育−0.30人／年）。身体は所持率法（基準年令和8年度5.484％）で124人・122人・119人となり、令和11年の合計は181人、幅は180人から181人へ収束した。残るのは身体障害者手帳の令和6年・令和7年の実数と、策定委員会資料の数値の出所（台帳か推計か）の確認である（Ｍ-124）。身体の127人が確定すれば推計が確定する。それまでの間、令和11年度の推計値は幅（180人から181人）として示し、単一の数値としては計画本文・概要版・委員会資料に載せない</t>
        </is>
      </c>
      <c r="G15" s="32" t="inlineStr">
        <is>
          <t>対応中</t>
        </is>
      </c>
    </row>
    <row r="16" ht="46" customHeight="1">
      <c r="A16" s="30" t="inlineStr">
        <is>
          <t>R-41</t>
        </is>
      </c>
      <c r="B16" s="30" t="inlineStr">
        <is>
          <t>記述の整合</t>
        </is>
      </c>
      <c r="C16" s="40" t="inlineStr">
        <is>
          <t>最高</t>
        </is>
      </c>
      <c r="D16" s="4" t="inlineStr">
        <is>
          <t>人口の見通しが、正本と当方の他の成果物とで食い違っている</t>
        </is>
      </c>
      <c r="E16" s="4" t="inlineStr">
        <is>
          <t>正本 表2-1 は令和11年度を総人口2,166人・高齢化率45.2％とし、老年人口を998人から978人へ減少させている。「近年の減少（年約50人）を延長」した線形推計である。一方、村のこども・子育て計画（令和7年3月策定）のコーホート変化率法による公式推計は令和11年 総人口2,185人・老年人口1,051人・高齢化率48.1％であり、老年人口の向きが逆（正本は減少、村公式推計は増加）である。当方の成果物は村公式推計の側を用いており、協議会資料3、地域生活支援事業ブック、目次構成_前回対比、クロス集計設計、骨子案修正版 第2章1 がいずれも48.1％と書いている。同じ案件の中で高齢化率が45.2％と48.1％の2通りある状態で、村・委員会の双方が目にする。手帳所持者数の所持率法はこの総人口を分母に用いるため、どちらを用いるかが決まらないと手帳推計も定まらない（R-31）</t>
        </is>
      </c>
      <c r="F16" s="4" t="inlineStr">
        <is>
          <t>令和8年10月10日に当方の網羅性点検（第2章1）へ「どちらを用いるか村と決める。介護保険事業計画の人口基礎とも揃える（K-8）」として起票済み。令和8年10月13日に、手帳推計の試算（レビュー対応_第3回 02_手帳推計）で正本 表2-1 の側に合わせたうえで、人口が定まらないと推計も定まらないことを明記した。正本の数値を動かすかどうかは他メンバーの担当範囲であるため、当方から書き換えず、介護保険事業計画の人口基礎と併せて三者で一度に決める。入稿（令和9年3月17日）までに決めない場合は、当方の成果物の側を正本に合わせて45.2％へ揃える</t>
        </is>
      </c>
      <c r="G16" s="30" t="inlineStr">
        <is>
          <t>対応中</t>
        </is>
      </c>
    </row>
    <row r="17" ht="46" customHeight="1">
      <c r="A17" s="32" t="inlineStr">
        <is>
          <t>R-40</t>
        </is>
      </c>
      <c r="B17" s="32" t="inlineStr">
        <is>
          <t>推計</t>
        </is>
      </c>
      <c r="C17" s="40" t="inlineStr">
        <is>
          <t>最高</t>
        </is>
      </c>
      <c r="D17" s="7" t="inlineStr">
        <is>
          <t>正本 第2章2〜5 の本文と図6点が、仮置きの手帳所持者数の上に載っている</t>
        </is>
      </c>
      <c r="E17" s="7" t="inlineStr">
        <is>
          <t>正本 第2章2 は「令和５年４月現在156人と比較すると25人増加しており、特に精神障害者保健福祉手帳所持者が増加傾向にあります」、第2章3 は「令和５年に114人まで減少しましたが、その後は増加に転じ、令和５年と比較すると13人の増加」、第2章4 は「近年は増加傾向」、第2章5 は「令和５年と比較すると、８人増加」と、いずれも増加を事実として記述している。根拠は令和8年4月の127人・16人・38人であり、これが仮置きである（R-31）。図2-2から図2-7までの6点も同じ数値で描かれている。村の台帳の実数が減少であった場合、本文4か所と図6点を直すことになる。第2章は計画書の冒頭であり、ここが動くと第3章の指標・第5章の見込量の説明にも及ぶ</t>
        </is>
      </c>
      <c r="F17" s="7" t="inlineStr">
        <is>
          <t>令和8年10月13日に、正本 第2章2 に、127人・16人・38人が台帳による確定値でないことと、数値が変われば本章2から5までの本文と図2-2から図2-7までが変わることを明記した注記を入れた（ＲＶ-1・Ｍ-113）。手帳の種類ごとに別に推計する旨と、単一の数値ではなく幅で示す旨も本文に書いた。Ｍ-113の回答（期限 令和8年10月24日）を受けて本文を確定する。入稿（令和9年3月17日）までに確定しなければ、第2章の増減の記述を落として実数のみを示す形に切り替える</t>
        </is>
      </c>
      <c r="G17" s="32" t="inlineStr">
        <is>
          <t>対応中</t>
        </is>
      </c>
    </row>
    <row r="18" ht="46" customHeight="1">
      <c r="A18" s="30" t="inlineStr">
        <is>
          <t>R-26</t>
        </is>
      </c>
      <c r="B18" s="30" t="inlineStr">
        <is>
          <t>指標</t>
        </is>
      </c>
      <c r="C18" s="27" t="inlineStr">
        <is>
          <t>高</t>
        </is>
      </c>
      <c r="D18" s="4" t="inlineStr">
        <is>
          <t>第4次障がい者計画のアンケート指標3件が前回と比較できない</t>
        </is>
      </c>
      <c r="E18"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18"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Ｓ-1）。計画素案 第3章5の目標値表に直結する</t>
        </is>
      </c>
      <c r="G18" s="30" t="inlineStr">
        <is>
          <t>未着手</t>
        </is>
      </c>
    </row>
    <row r="19" ht="46" customHeight="1">
      <c r="A19" s="32" t="inlineStr">
        <is>
          <t>R-23</t>
        </is>
      </c>
      <c r="B19" s="32" t="inlineStr">
        <is>
          <t>制度動向</t>
        </is>
      </c>
      <c r="C19" s="27" t="inlineStr">
        <is>
          <t>高</t>
        </is>
      </c>
      <c r="D19" s="7" t="inlineStr">
        <is>
          <t>告示後に基本指針が2度改正されており、追跡から漏れる</t>
        </is>
      </c>
      <c r="E19"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19"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19" s="32" t="inlineStr">
        <is>
          <t>対応中</t>
        </is>
      </c>
    </row>
    <row r="20" ht="46" customHeight="1">
      <c r="A20" s="30" t="inlineStr">
        <is>
          <t>R-24</t>
        </is>
      </c>
      <c r="B20" s="30" t="inlineStr">
        <is>
          <t>記載事項</t>
        </is>
      </c>
      <c r="C20" s="27" t="inlineStr">
        <is>
          <t>高</t>
        </is>
      </c>
      <c r="D20" s="4" t="inlineStr">
        <is>
          <t>別表第二 三㈠⑤の基盤整備量が県の算定値待ちで確定できない</t>
        </is>
      </c>
      <c r="E20"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20" s="4" t="inlineStr">
        <is>
          <t>県へ算定値と市町村への配分の考え方を照会する（レビュー Q-1）。県計画の公表が村の計画確定に間に合わない場合の取扱いも併せて確認する</t>
        </is>
      </c>
      <c r="G20" s="30" t="inlineStr">
        <is>
          <t>未着手</t>
        </is>
      </c>
    </row>
    <row r="21" ht="46" customHeight="1">
      <c r="A21" s="32" t="inlineStr">
        <is>
          <t>R-27</t>
        </is>
      </c>
      <c r="B21" s="32" t="inlineStr">
        <is>
          <t>指標</t>
        </is>
      </c>
      <c r="C21" s="35" t="inlineStr">
        <is>
          <t>中</t>
        </is>
      </c>
      <c r="D21" s="7" t="inlineStr">
        <is>
          <t>前回計画本編の目標値に転記誤りがある</t>
        </is>
      </c>
      <c r="E21"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21"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21" s="32" t="inlineStr">
        <is>
          <t>未着手</t>
        </is>
      </c>
    </row>
    <row r="22" ht="46" customHeight="1">
      <c r="A22" s="30" t="inlineStr">
        <is>
          <t>R-25</t>
        </is>
      </c>
      <c r="B22" s="30" t="inlineStr">
        <is>
          <t>整合</t>
        </is>
      </c>
      <c r="C22" s="35" t="inlineStr">
        <is>
          <t>中</t>
        </is>
      </c>
      <c r="D22" s="4" t="inlineStr">
        <is>
          <t>就労継続支援A型の利用者が給付実績に現れない</t>
        </is>
      </c>
      <c r="E22"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22" s="4" t="inlineStr">
        <is>
          <t>村に利用者の有無を確認する（見込量算定 Ｍ-4）。実在しなければ見込量は0、実在すれば単価とともに計上する。確認までは現行計画を据え置き、給付費は計上しない</t>
        </is>
      </c>
      <c r="G22" s="30" t="inlineStr">
        <is>
          <t>未着手</t>
        </is>
      </c>
    </row>
    <row r="23" ht="46" customHeight="1">
      <c r="A23" s="32" t="inlineStr">
        <is>
          <t>R-1</t>
        </is>
      </c>
      <c r="B23" s="32" t="inlineStr">
        <is>
          <t>スケジュール</t>
        </is>
      </c>
      <c r="C23" s="27" t="inlineStr">
        <is>
          <t>高</t>
        </is>
      </c>
      <c r="D23" s="7" t="inlineStr">
        <is>
          <t>アンケート発送が工程案の8月上旬に間に合わない</t>
        </is>
      </c>
      <c r="E23" s="7" t="inlineStr">
        <is>
          <t>印刷仕様の協議、村ラベルの受領、村封筒の手配がすべて未了。1週間の遅延は回収期間または集計期間の圧縮に直結する</t>
        </is>
      </c>
      <c r="F23" s="7" t="inlineStr">
        <is>
          <t>8月5日までに印刷仕様を確定し、ラベル提供日を村と合意する</t>
        </is>
      </c>
      <c r="G23" s="32" t="inlineStr">
        <is>
          <t>対応中</t>
        </is>
      </c>
    </row>
    <row r="24" ht="46" customHeight="1">
      <c r="A24" s="30" t="inlineStr">
        <is>
          <t>R-2</t>
        </is>
      </c>
      <c r="B24" s="30" t="inlineStr">
        <is>
          <t>契約</t>
        </is>
      </c>
      <c r="C24" s="27" t="inlineStr">
        <is>
          <t>高</t>
        </is>
      </c>
      <c r="D24" s="4" t="inlineStr">
        <is>
          <t>印刷仕様が仕様書と乖離している</t>
        </is>
      </c>
      <c r="E24" s="4" t="inlineStr">
        <is>
          <t>仕様書はA4判・約24ページ・黒1色の1種類。実際は34ページと37ページの2種類</t>
        </is>
      </c>
      <c r="F24" s="4" t="inlineStr">
        <is>
          <t>ページ数・種類数・部数・単価の取扱いを村と協議し、結果を書面で残す</t>
        </is>
      </c>
      <c r="G24" s="30" t="inlineStr">
        <is>
          <t>未着手</t>
        </is>
      </c>
    </row>
    <row r="25" ht="46" customHeight="1">
      <c r="A25" s="32" t="inlineStr">
        <is>
          <t>R-3</t>
        </is>
      </c>
      <c r="B25" s="32" t="inlineStr">
        <is>
          <t>契約</t>
        </is>
      </c>
      <c r="C25" s="27" t="inlineStr">
        <is>
          <t>高</t>
        </is>
      </c>
      <c r="D25" s="7" t="inlineStr">
        <is>
          <t>郵送費の負担が仕様書と異なる運用になっている</t>
        </is>
      </c>
      <c r="E25" s="7" t="inlineStr">
        <is>
          <t>仕様書は受託者負担。打合せでは村が立替え後日実費精算</t>
        </is>
      </c>
      <c r="F25" s="7" t="inlineStr">
        <is>
          <t>精算方法・範囲・上限を書面で確認する</t>
        </is>
      </c>
      <c r="G25" s="32" t="inlineStr">
        <is>
          <t>未着手</t>
        </is>
      </c>
    </row>
    <row r="26" ht="46" customHeight="1">
      <c r="A26" s="30" t="inlineStr">
        <is>
          <t>R-4</t>
        </is>
      </c>
      <c r="B26" s="30" t="inlineStr">
        <is>
          <t>推計</t>
        </is>
      </c>
      <c r="C26" s="27" t="inlineStr">
        <is>
          <t>高</t>
        </is>
      </c>
      <c r="D26" s="4" t="inlineStr">
        <is>
          <t>対象者数が確定せず、推計の起点が定まらない</t>
        </is>
      </c>
      <c r="E26"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26" s="4" t="inlineStr">
        <is>
          <t>発送前に村へ確認する。確認まで手帳所持者数の将来推計を確定値として記載しない</t>
        </is>
      </c>
      <c r="G26" s="30" t="inlineStr">
        <is>
          <t>対応中</t>
        </is>
      </c>
    </row>
    <row r="27" ht="46" customHeight="1">
      <c r="A27" s="32" t="inlineStr">
        <is>
          <t>R-5</t>
        </is>
      </c>
      <c r="B27" s="32" t="inlineStr">
        <is>
          <t>推計</t>
        </is>
      </c>
      <c r="C27" s="27" t="inlineStr">
        <is>
          <t>高</t>
        </is>
      </c>
      <c r="D27" s="7" t="inlineStr">
        <is>
          <t>個別積上げに必要な村資料が揃わない</t>
        </is>
      </c>
      <c r="E27" s="7" t="inlineStr">
        <is>
          <t>年齢別・サービス別の利用者一覧と支給決定者数（実人数）がないと見込量が確定しない</t>
        </is>
      </c>
      <c r="F27" s="7" t="inlineStr">
        <is>
          <t>8月末を目途に受領する。遅れる場合は現行計画の据置値で暫定版を作り、受領後に差し替える段取りを村と共有する</t>
        </is>
      </c>
      <c r="G27" s="32" t="inlineStr">
        <is>
          <t>対応中</t>
        </is>
      </c>
    </row>
    <row r="28" ht="46" customHeight="1">
      <c r="A28" s="30" t="inlineStr">
        <is>
          <t>R-6</t>
        </is>
      </c>
      <c r="B28" s="30" t="inlineStr">
        <is>
          <t>個人情報</t>
        </is>
      </c>
      <c r="C28" s="35" t="inlineStr">
        <is>
          <t>中</t>
        </is>
      </c>
      <c r="D28" s="4" t="inlineStr">
        <is>
          <t>少数母数のクロス集計で個人が特定される</t>
        </is>
      </c>
      <c r="E28" s="4" t="inlineStr">
        <is>
          <t>対象者が極めて少ないサービス・地区がある</t>
        </is>
      </c>
      <c r="F28" s="4" t="inlineStr">
        <is>
          <t>n&lt;5の秘匿基準を事前に村と合意する。公表用報告書と内部管理報告書を分離する</t>
        </is>
      </c>
      <c r="G28" s="30" t="inlineStr">
        <is>
          <t>対応中</t>
        </is>
      </c>
    </row>
    <row r="29" ht="46" customHeight="1">
      <c r="A29" s="32" t="inlineStr">
        <is>
          <t>R-7</t>
        </is>
      </c>
      <c r="B29" s="32" t="inlineStr">
        <is>
          <t>品質</t>
        </is>
      </c>
      <c r="C29" s="32" t="inlineStr">
        <is>
          <t>低</t>
        </is>
      </c>
      <c r="D29" s="7" t="inlineStr">
        <is>
          <t>骨子案が引用する国基準数値の原典照合が未了</t>
        </is>
      </c>
      <c r="E29"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29" s="7" t="inlineStr">
        <is>
          <t>骨子案修正版 第4章へ反映済み。改正後概要と告示本文で表記が異なる箇所は告示本文に従う</t>
        </is>
      </c>
      <c r="G29" s="32" t="inlineStr">
        <is>
          <t>完了</t>
        </is>
      </c>
    </row>
    <row r="30" ht="46" customHeight="1">
      <c r="A30" s="30" t="inlineStr">
        <is>
          <t>R-12</t>
        </is>
      </c>
      <c r="B30" s="30" t="inlineStr">
        <is>
          <t>推計</t>
        </is>
      </c>
      <c r="C30" s="30" t="inlineStr">
        <is>
          <t>低</t>
        </is>
      </c>
      <c r="D30" s="4" t="inlineStr">
        <is>
          <t>基本指針 別表第五（地域差是正）の適用関係が未確定</t>
        </is>
      </c>
      <c r="E30"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30" s="4" t="inlineStr">
        <is>
          <t>骨子案修正版 第5章1及びサービス見込量ブック 12 へ反映済み</t>
        </is>
      </c>
      <c r="G30" s="30" t="inlineStr">
        <is>
          <t>完了</t>
        </is>
      </c>
    </row>
    <row r="31" ht="46" customHeight="1">
      <c r="A31" s="32" t="inlineStr">
        <is>
          <t>R-15</t>
        </is>
      </c>
      <c r="B31" s="32" t="inlineStr">
        <is>
          <t>推計</t>
        </is>
      </c>
      <c r="C31" s="32" t="inlineStr">
        <is>
          <t>低</t>
        </is>
      </c>
      <c r="D31" s="7" t="inlineStr">
        <is>
          <t>国基準数値と福島県実績の系統が複数あり、どれを用いるかで目標値が変わる</t>
        </is>
      </c>
      <c r="E31"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31" s="7" t="inlineStr">
        <is>
          <t>計画本文には出典・時点・集計区分を必ず併記する。公費含む集計を用いるか否かは県の第8期計画に合わせる</t>
        </is>
      </c>
      <c r="G31" s="32" t="inlineStr">
        <is>
          <t>対応中</t>
        </is>
      </c>
    </row>
    <row r="32" ht="46" customHeight="1">
      <c r="A32" s="30" t="inlineStr">
        <is>
          <t>R-14</t>
        </is>
      </c>
      <c r="B32" s="30" t="inlineStr">
        <is>
          <t>提供体制</t>
        </is>
      </c>
      <c r="C32" s="27" t="inlineStr">
        <is>
          <t>高</t>
        </is>
      </c>
      <c r="D32" s="4" t="inlineStr">
        <is>
          <t>会津北部圏域の訪問系サービス事業所が本村の1か所のみになっている</t>
        </is>
      </c>
      <c r="E32"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32"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32" s="30" t="inlineStr">
        <is>
          <t>対応中</t>
        </is>
      </c>
    </row>
    <row r="33" ht="46" customHeight="1">
      <c r="A33" s="32" t="inlineStr">
        <is>
          <t>R-16</t>
        </is>
      </c>
      <c r="B33" s="32" t="inlineStr">
        <is>
          <t>記述</t>
        </is>
      </c>
      <c r="C33" s="35" t="inlineStr">
        <is>
          <t>中</t>
        </is>
      </c>
      <c r="D33" s="7" t="inlineStr">
        <is>
          <t>骨子案・当方資料の「本村には事業所がない」という記述が事実と異なる</t>
        </is>
      </c>
      <c r="E33"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33" s="7" t="inlineStr">
        <is>
          <t>骨子案修正版 第5章8 を原典から表を生成する方式に変更済み。事業所名・指定年月・共生型指定の有無・受入可能人数を村に確認する</t>
        </is>
      </c>
      <c r="G33" s="32" t="inlineStr">
        <is>
          <t>対応中</t>
        </is>
      </c>
    </row>
    <row r="34" ht="46" customHeight="1">
      <c r="A34" s="30" t="inlineStr">
        <is>
          <t>R-13</t>
        </is>
      </c>
      <c r="B34" s="30" t="inlineStr">
        <is>
          <t>財源</t>
        </is>
      </c>
      <c r="C34" s="35" t="inlineStr">
        <is>
          <t>中</t>
        </is>
      </c>
      <c r="D34" s="4" t="inlineStr">
        <is>
          <t>令和8年度・令和9年度の報酬改定により単価前提が動く</t>
        </is>
      </c>
      <c r="E34"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34" s="4" t="inlineStr">
        <is>
          <t>財源構成案 08シートに改定率パラメータを設置済み。改定内容の確定後に入力する</t>
        </is>
      </c>
      <c r="G34" s="30" t="inlineStr">
        <is>
          <t>対応中</t>
        </is>
      </c>
    </row>
    <row r="35" ht="46" customHeight="1">
      <c r="A35" s="32" t="inlineStr">
        <is>
          <t>R-8</t>
        </is>
      </c>
      <c r="B35" s="32" t="inlineStr">
        <is>
          <t>品質</t>
        </is>
      </c>
      <c r="C35" s="35" t="inlineStr">
        <is>
          <t>中</t>
        </is>
      </c>
      <c r="D35" s="7" t="inlineStr">
        <is>
          <t>障がい児版調査票のルビ構造により本文が欠落して見える箇所がある</t>
        </is>
      </c>
      <c r="E35" s="7" t="inlineStr">
        <is>
          <t>問1〜問15で語句が欠けて抽出される。Word表示上は正常な可能性もある</t>
        </is>
      </c>
      <c r="F35" s="7" t="inlineStr">
        <is>
          <t>Word上でルビなしテキストとして読んで意味が通るかを確認する</t>
        </is>
      </c>
      <c r="G35" s="32" t="inlineStr">
        <is>
          <t>対応中</t>
        </is>
      </c>
    </row>
    <row r="36" ht="46" customHeight="1">
      <c r="A36" s="30" t="inlineStr">
        <is>
          <t>R-9</t>
        </is>
      </c>
      <c r="B36" s="30" t="inlineStr">
        <is>
          <t>調査設計</t>
        </is>
      </c>
      <c r="C36" s="27" t="inlineStr">
        <is>
          <t>高</t>
        </is>
      </c>
      <c r="D36" s="4" t="inlineStr">
        <is>
          <t>障がい者票に介護保険・65歳到達に関する設問がない（国の標準項目）</t>
        </is>
      </c>
      <c r="E36"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36"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36" s="30" t="inlineStr">
        <is>
          <t>対応中</t>
        </is>
      </c>
    </row>
    <row r="37" ht="46" customHeight="1">
      <c r="A37" s="32" t="inlineStr">
        <is>
          <t>R-11</t>
        </is>
      </c>
      <c r="B37" s="32" t="inlineStr">
        <is>
          <t>調査設計</t>
        </is>
      </c>
      <c r="C37" s="27" t="inlineStr">
        <is>
          <t>高</t>
        </is>
      </c>
      <c r="D37" s="7" t="inlineStr">
        <is>
          <t>外出目的の設問がなく、第4次障がい者計画の1指標が測定できない（国の標準項目）</t>
        </is>
      </c>
      <c r="E37"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37"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Ｓ-1）</t>
        </is>
      </c>
      <c r="G37" s="32" t="inlineStr">
        <is>
          <t>要対応</t>
        </is>
      </c>
    </row>
    <row r="38" ht="46" customHeight="1">
      <c r="A38" s="30" t="inlineStr">
        <is>
          <t>R-10</t>
        </is>
      </c>
      <c r="B38" s="30" t="inlineStr">
        <is>
          <t>供給</t>
        </is>
      </c>
      <c r="C38" s="35" t="inlineStr">
        <is>
          <t>中</t>
        </is>
      </c>
      <c r="D38" s="4" t="inlineStr">
        <is>
          <t>圏域事業所の受入可能量が見込量の上限になる</t>
        </is>
      </c>
      <c r="E38" s="4" t="inlineStr">
        <is>
          <t>村内に事業所がなく、送迎・人材・定員が制約となる</t>
        </is>
      </c>
      <c r="F38" s="4" t="inlineStr">
        <is>
          <t>圏域事業所へ照会し、利用希望量と利用可能量を分けて管理する</t>
        </is>
      </c>
      <c r="G38" s="30" t="inlineStr">
        <is>
          <t>未着手</t>
        </is>
      </c>
    </row>
    <row r="39" ht="46" customHeight="1">
      <c r="A39" s="32" t="inlineStr">
        <is>
          <t>R-17</t>
        </is>
      </c>
      <c r="B39" s="32" t="inlineStr">
        <is>
          <t>調査設計</t>
        </is>
      </c>
      <c r="C39" s="35" t="inlineStr">
        <is>
          <t>中</t>
        </is>
      </c>
      <c r="D39" s="7" t="inlineStr">
        <is>
          <t>就労選択支援の設問（障がい者版 問36）が削除されると、圏域確保の根拠が窓口相談実績に限られる</t>
        </is>
      </c>
      <c r="E39"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39" s="7" t="inlineStr">
        <is>
          <t>村に再考を依頼済み。削除する場合でも、第5章の確保方策に「圏域内に事業所がないため会津若松地方の広域調整により確保を図る」旨を記載する（骨子案修正版 第4章(3)に反映済み）</t>
        </is>
      </c>
      <c r="G39" s="32" t="inlineStr">
        <is>
          <t>判断待ち</t>
        </is>
      </c>
    </row>
    <row r="40" ht="46" customHeight="1">
      <c r="A40" s="30" t="inlineStr">
        <is>
          <t>R-18</t>
        </is>
      </c>
      <c r="B40" s="30" t="inlineStr">
        <is>
          <t>整合</t>
        </is>
      </c>
      <c r="C40" s="35" t="inlineStr">
        <is>
          <t>中</t>
        </is>
      </c>
      <c r="D40" s="4" t="inlineStr">
        <is>
          <t>個別避難計画0件が第4次障がい者計画の指標と矛盾する可能性がある</t>
        </is>
      </c>
      <c r="E40"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40" s="4" t="inlineStr">
        <is>
          <t>村に確認する。第4次障がい者計画は改定対象外だが、第8期計画の第3章5（目標値と進捗管理）で現状値を示す際に整合が必要</t>
        </is>
      </c>
      <c r="G40" s="30" t="inlineStr">
        <is>
          <t>未着手</t>
        </is>
      </c>
    </row>
    <row r="41" ht="46" customHeight="1">
      <c r="A41" s="32" t="inlineStr">
        <is>
          <t>R-20</t>
        </is>
      </c>
      <c r="B41" s="32" t="inlineStr">
        <is>
          <t>調査設計</t>
        </is>
      </c>
      <c r="C41" s="35" t="inlineStr">
        <is>
          <t>中</t>
        </is>
      </c>
      <c r="D41" s="7" t="inlineStr">
        <is>
          <t>強度行動障害の該当有無を聞く設問がなく、支援ニーズの母数が特定できない</t>
        </is>
      </c>
      <c r="E41"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41"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41" s="32" t="inlineStr">
        <is>
          <t>対応中</t>
        </is>
      </c>
    </row>
    <row r="42" ht="46" customHeight="1">
      <c r="A42" s="30" t="inlineStr">
        <is>
          <t>R-21</t>
        </is>
      </c>
      <c r="B42" s="30" t="inlineStr">
        <is>
          <t>調査設計</t>
        </is>
      </c>
      <c r="C42" s="35" t="inlineStr">
        <is>
          <t>中</t>
        </is>
      </c>
      <c r="D42" s="4" t="inlineStr">
        <is>
          <t>障害支援区分の削除は国の標準項目を落とすことになる</t>
        </is>
      </c>
      <c r="E42"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42"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42" s="30" t="inlineStr">
        <is>
          <t>完了</t>
        </is>
      </c>
    </row>
    <row r="43" ht="46" customHeight="1">
      <c r="A43" s="32" t="inlineStr">
        <is>
          <t>R-22</t>
        </is>
      </c>
      <c r="B43" s="32" t="inlineStr">
        <is>
          <t>調査設計</t>
        </is>
      </c>
      <c r="C43" s="35" t="inlineStr">
        <is>
          <t>中</t>
        </is>
      </c>
      <c r="D43" s="7" t="inlineStr">
        <is>
          <t>国のマニュアルの発出と調査票の確定の時期が重なった</t>
        </is>
      </c>
      <c r="E43" s="7" t="inlineStr">
        <is>
          <t>マニュアルは令和8年8月19日事務連絡（県通知8月24日）、調査票の確定は8月25日版。標準項目3件の欠落は、当方の設計の不備ではなくこの時期の重なりによる。第9期の策定時に同じ論点が生じうる</t>
        </is>
      </c>
      <c r="F43" s="7" t="inlineStr">
        <is>
          <t>経緯を打合せ記録に残し、計画書の調査概要にも「調査票確定後に国のマニュアルが改定された」旨を注記する（クロス集計設計 Ｓ-4）。算定根拠への疑義に対する説明にもなる</t>
        </is>
      </c>
      <c r="G43" s="32" t="inlineStr">
        <is>
          <t>対応中</t>
        </is>
      </c>
    </row>
    <row r="44" ht="46" customHeight="1">
      <c r="A44" s="30" t="inlineStr">
        <is>
          <t>R-19</t>
        </is>
      </c>
      <c r="B44" s="30" t="inlineStr">
        <is>
          <t>調査設計</t>
        </is>
      </c>
      <c r="C44" s="30" t="inlineStr">
        <is>
          <t>低</t>
        </is>
      </c>
      <c r="D44" s="4" t="inlineStr">
        <is>
          <t>障がい児版の設問番号に誤りがある</t>
        </is>
      </c>
      <c r="E44" s="4" t="inlineStr">
        <is>
          <t>問11の選択肢番号「13」が2つある（「自傷、他害、強いこだわり、パニックなどへの対応」と「特にない」）。問10の選択肢番号は「3」が欠番。いずれも村の朱書きとは別に、通読して気づいたもの</t>
        </is>
      </c>
      <c r="F44" s="4" t="inlineStr">
        <is>
          <t>調査票担当へ申し送り済み。印刷前に番号を振り直す。問10は問8との統合指示があるため、統合時に整理する</t>
        </is>
      </c>
      <c r="G44" s="30" t="inlineStr">
        <is>
          <t>対応中</t>
        </is>
      </c>
    </row>
  </sheetData>
  <autoFilter ref="A5:G44"/>
  <mergeCells count="2">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9" t="n"/>
      <c r="B7" s="41" t="inlineStr">
        <is>
          <t>打合せ</t>
        </is>
      </c>
      <c r="C7" s="38" t="n"/>
      <c r="D7" s="38" t="n"/>
      <c r="E7" s="38" t="n"/>
      <c r="F7" s="38" t="n"/>
    </row>
    <row r="8" ht="30" customHeight="1">
      <c r="A8" s="39" t="n"/>
      <c r="B8" s="41" t="inlineStr">
        <is>
          <t>協議会</t>
        </is>
      </c>
      <c r="C8" s="38" t="n"/>
      <c r="D8" s="38" t="n"/>
      <c r="E8" s="38" t="n"/>
      <c r="F8" s="38" t="n"/>
    </row>
    <row r="9" ht="30" customHeight="1">
      <c r="A9" s="39" t="n"/>
      <c r="B9" s="41" t="inlineStr">
        <is>
          <t>打合せ</t>
        </is>
      </c>
      <c r="C9" s="38" t="n"/>
      <c r="D9" s="38" t="n"/>
      <c r="E9" s="38" t="n"/>
      <c r="F9" s="38"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9" t="n"/>
      <c r="B31" s="41" t="n"/>
      <c r="C31" s="38" t="n"/>
      <c r="D31" s="38" t="n"/>
    </row>
    <row r="32">
      <c r="A32" s="39" t="n"/>
      <c r="B32" s="41" t="n"/>
      <c r="C32" s="38" t="n"/>
      <c r="D32" s="38" t="n"/>
    </row>
    <row r="33">
      <c r="A33" s="39" t="n"/>
      <c r="B33" s="41" t="n"/>
      <c r="C33" s="38" t="n"/>
      <c r="D33" s="38" t="n"/>
    </row>
    <row r="34">
      <c r="A34" s="39" t="n"/>
      <c r="B34" s="41" t="n"/>
      <c r="C34" s="38" t="n"/>
      <c r="D34" s="38" t="n"/>
    </row>
    <row r="35">
      <c r="A35" s="39" t="n"/>
      <c r="B35" s="41" t="n"/>
      <c r="C35" s="38" t="n"/>
      <c r="D35" s="38" t="n"/>
    </row>
    <row r="36">
      <c r="A36" s="39" t="n"/>
      <c r="B36" s="41" t="n"/>
      <c r="C36" s="38" t="n"/>
      <c r="D36" s="38" t="n"/>
    </row>
  </sheetData>
  <mergeCells count="2">
    <mergeCell ref="A1:D1"/>
    <mergeCell ref="A2:D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2" t="n">
        <v>9</v>
      </c>
      <c r="C6" s="42" t="n">
        <v>9</v>
      </c>
      <c r="D6" s="42" t="n">
        <v>9</v>
      </c>
      <c r="E6" s="43"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4" t="n">
        <v>5</v>
      </c>
      <c r="C7" s="44" t="n">
        <v>6</v>
      </c>
      <c r="D7" s="44" t="n">
        <v>7</v>
      </c>
      <c r="E7" s="45" t="n">
        <v>1</v>
      </c>
      <c r="F7" s="7" t="inlineStr">
        <is>
          <t>手帳所持者数の将来推計（仕様書4-Ⅱ(3)①）を新設。実績データの受領で図表が埋まる</t>
        </is>
      </c>
    </row>
    <row r="8" ht="30" customHeight="1">
      <c r="A8" s="4" t="inlineStr">
        <is>
          <t>第3章 基本理念・基本目標及び施策体系</t>
        </is>
      </c>
      <c r="B8" s="42" t="n">
        <v>13</v>
      </c>
      <c r="C8" s="42" t="n">
        <v>5</v>
      </c>
      <c r="D8" s="42" t="n">
        <v>5</v>
      </c>
      <c r="E8" s="43"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4" t="n">
        <v>11</v>
      </c>
      <c r="C9" s="44" t="n">
        <v>9</v>
      </c>
      <c r="D9" s="44" t="n">
        <v>11</v>
      </c>
      <c r="E9" s="45" t="n">
        <v>2</v>
      </c>
      <c r="F9" s="7" t="inlineStr">
        <is>
          <t>7項目→8項目。目標値・考え方の記入で増える</t>
        </is>
      </c>
    </row>
    <row r="10" ht="30" customHeight="1">
      <c r="A10" s="4" t="inlineStr">
        <is>
          <t>第5章 サービス等の実績と今後の見込み量</t>
        </is>
      </c>
      <c r="B10" s="42" t="n">
        <v>16</v>
      </c>
      <c r="C10" s="42" t="n">
        <v>22</v>
      </c>
      <c r="D10" s="42" t="n">
        <v>20</v>
      </c>
      <c r="E10" s="43"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4" t="n">
        <v>2</v>
      </c>
      <c r="C11" s="44" t="n">
        <v>1</v>
      </c>
      <c r="D11" s="44" t="n">
        <v>2</v>
      </c>
      <c r="E11" s="45" t="n">
        <v>1</v>
      </c>
      <c r="F11" s="7" t="inlineStr">
        <is>
          <t>現行と同水準。中核機関の記述を補う</t>
        </is>
      </c>
    </row>
    <row r="12" ht="30" customHeight="1">
      <c r="A12" s="4" t="inlineStr">
        <is>
          <t>第7章 他計画との連携</t>
        </is>
      </c>
      <c r="B12" s="42" t="inlineStr">
        <is>
          <t>―</t>
        </is>
      </c>
      <c r="C12" s="42" t="n">
        <v>3</v>
      </c>
      <c r="D12" s="42" t="n">
        <v>3</v>
      </c>
      <c r="E12" s="43" t="n">
        <v>0</v>
      </c>
      <c r="F12" s="4" t="inlineStr">
        <is>
          <t>新設章。健康21・総合振興計画・こども子育て計画</t>
        </is>
      </c>
    </row>
    <row r="13" ht="30" customHeight="1">
      <c r="A13" s="7" t="inlineStr">
        <is>
          <t>第8章 資料編</t>
        </is>
      </c>
      <c r="B13" s="44" t="n">
        <v>1</v>
      </c>
      <c r="C13" s="44" t="n">
        <v>3</v>
      </c>
      <c r="D13" s="44" t="n">
        <v>3</v>
      </c>
      <c r="E13" s="45" t="n">
        <v>0</v>
      </c>
      <c r="F13" s="7" t="inlineStr">
        <is>
          <t>アンケート集計結果は成果品②（別冊約60頁）に収める。令和8年9月に用語解説（第8章4・30語）を新設</t>
        </is>
      </c>
    </row>
    <row r="14">
      <c r="A14" s="46" t="inlineStr">
        <is>
          <t>合計</t>
        </is>
      </c>
      <c r="B14" s="47">
        <f>SUM(B6:B13)</f>
        <v/>
      </c>
      <c r="C14" s="47">
        <f>ROUND(SUM(C6:C13),0)</f>
        <v/>
      </c>
      <c r="D14" s="47">
        <f>SUM(D6:D13)</f>
        <v/>
      </c>
      <c r="E14" s="48">
        <f>D14-C14</f>
        <v/>
      </c>
      <c r="F14" s="46"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9"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2026-10-14T02:21:18Z</dcterms:created>
  <dcterms:modified xmlns:dcterms="http://purl.org/dc/terms/" xmlns:xsi="http://www.w3.org/2001/XMLSchema-instance" xsi:type="dcterms:W3CDTF">2026-10-14T02:21:19Z</dcterms:modified>
</cp:coreProperties>
</file>