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'04_村資料受領状況'!$A$5:$G$30</definedName>
    <definedName name="_xlnm._FilterDatabase" localSheetId="5" hidden="1">'05_課題・リスク'!$A$5:$G$21</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166" fontId="4" fillId="5" borderId="1" applyAlignment="1" pivotButton="0" quotePrefix="0" xfId="0">
      <alignment horizontal="right" vertical="center"/>
    </xf>
    <xf numFmtId="0" fontId="7" fillId="12" borderId="1" applyAlignment="1" pivotButton="0" quotePrefix="0" xfId="0">
      <alignment horizontal="left" vertical="center" wrapText="1" indent="1"/>
    </xf>
    <xf numFmtId="3" fontId="7" fillId="12" borderId="1" applyAlignment="1" pivotButton="0" quotePrefix="0" xfId="0">
      <alignment horizontal="right" vertical="center"/>
    </xf>
    <xf numFmtId="166" fontId="7" fillId="12" borderId="1" applyAlignment="1" pivotButton="0" quotePrefix="0" xfId="0">
      <alignment horizontal="right" vertical="center"/>
    </xf>
    <xf numFmtId="0" fontId="6"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4"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4"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4"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骨子案修正版（本文約45頁）／分量配分計画（docs・進捗管理08）</t>
        </is>
      </c>
      <c r="E29" s="34" t="inlineStr">
        <is>
          <t>作業中</t>
        </is>
      </c>
      <c r="F29" s="9" t="n">
        <v>0.45</v>
      </c>
      <c r="G29" s="32" t="inlineStr">
        <is>
          <t>当社</t>
        </is>
      </c>
      <c r="H29" s="26" t="inlineStr">
        <is>
          <t>2027-03-31</t>
        </is>
      </c>
      <c r="I29" s="7" t="inlineStr">
        <is>
          <t>現行計画63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サービス見込量の個別積上げ（13シート）</t>
        </is>
      </c>
      <c r="D14" s="24" t="n"/>
      <c r="E14" s="34" t="inlineStr">
        <is>
          <t>作業中</t>
        </is>
      </c>
      <c r="F14" s="24" t="n"/>
      <c r="G14" s="4" t="inlineStr">
        <is>
          <t>年齢到達者一覧、65歳移行判定、供給制約、告示別表第一根拠、別表第五判定を含む</t>
        </is>
      </c>
    </row>
    <row r="15" ht="28" customHeight="1">
      <c r="A15" s="32" t="inlineStr">
        <is>
          <t>推計</t>
        </is>
      </c>
      <c r="B15" s="7" t="inlineStr">
        <is>
          <t>北塩原村_活動指標.xlsx</t>
        </is>
      </c>
      <c r="C15" s="7" t="inlineStr">
        <is>
          <t>活動指標の設定（4シート）</t>
        </is>
      </c>
      <c r="D15" s="24" t="n"/>
      <c r="E15" s="34" t="inlineStr">
        <is>
          <t>作業中</t>
        </is>
      </c>
      <c r="F15" s="24" t="n"/>
      <c r="G15" s="7" t="inlineStr">
        <is>
          <t>別表第一の83項目。必須33・任意。仕様書4-Ⅱ(3)⑤に対応</t>
        </is>
      </c>
    </row>
    <row r="16" ht="28" customHeight="1">
      <c r="A16" s="30" t="inlineStr">
        <is>
          <t>資源</t>
        </is>
      </c>
      <c r="B16" s="4" t="inlineStr">
        <is>
          <t>北塩原村_圏域サービス資源.xlsx</t>
        </is>
      </c>
      <c r="C16" s="4" t="inlineStr">
        <is>
          <t>圏域の事業所数（5シート）</t>
        </is>
      </c>
      <c r="D16" s="24" t="n"/>
      <c r="E16" s="36" t="inlineStr">
        <is>
          <t>完了</t>
        </is>
      </c>
      <c r="F16" s="24" t="n"/>
      <c r="G16" s="4" t="inlineStr">
        <is>
          <t>ReMHRAD障害福祉資源18サービス×市町村別、2020→2025</t>
        </is>
      </c>
    </row>
    <row r="17" ht="28" customHeight="1">
      <c r="A17" s="32" t="inlineStr">
        <is>
          <t>精神</t>
        </is>
      </c>
      <c r="B17" s="7" t="inlineStr">
        <is>
          <t>福島県_精神医療指標抽出.xlsx</t>
        </is>
      </c>
      <c r="C17" s="7" t="inlineStr">
        <is>
          <t>福島県の精神医療指標（7シート）</t>
        </is>
      </c>
      <c r="D17" s="24" t="n"/>
      <c r="E17" s="36" t="inlineStr">
        <is>
          <t>完了</t>
        </is>
      </c>
      <c r="F17" s="24" t="n"/>
      <c r="G17" s="7" t="inlineStr">
        <is>
          <t>平均生活日数・再入院率・長期入院患者・別表第四の当てはめ・村の在院者</t>
        </is>
      </c>
    </row>
    <row r="18" ht="28" customHeight="1">
      <c r="A18" s="30" t="inlineStr">
        <is>
          <t>財源</t>
        </is>
      </c>
      <c r="B18" s="4" t="inlineStr">
        <is>
          <t>北塩原村_財源構成案.xlsx</t>
        </is>
      </c>
      <c r="C18" s="4" t="inlineStr">
        <is>
          <t>国・県・村の負担内訳（10シート）</t>
        </is>
      </c>
      <c r="D18" s="24" t="n"/>
      <c r="E18" s="34" t="inlineStr">
        <is>
          <t>作業中</t>
        </is>
      </c>
      <c r="F18" s="24" t="n"/>
      <c r="G18" s="4" t="inlineStr">
        <is>
          <t>給付実績R2〜R7、財源構成試算、見込量×単価の積上げ</t>
        </is>
      </c>
    </row>
    <row r="19" ht="28" customHeight="1">
      <c r="A19" s="32" t="inlineStr">
        <is>
          <t>評価</t>
        </is>
      </c>
      <c r="B19" s="7" t="inlineStr">
        <is>
          <t>北塩原村_現行計画評価.xlsx</t>
        </is>
      </c>
      <c r="C19" s="7" t="inlineStr">
        <is>
          <t>現行計画の評価（7シート）</t>
        </is>
      </c>
      <c r="D19" s="24" t="n"/>
      <c r="E19" s="34" t="inlineStr">
        <is>
          <t>作業中</t>
        </is>
      </c>
      <c r="F19" s="24" t="n"/>
      <c r="G19" s="7" t="inlineStr">
        <is>
          <t>令和3〜5年度の見込量と実績の突合、成果目標・施策目標の評価</t>
        </is>
      </c>
    </row>
    <row r="20" ht="28" customHeight="1">
      <c r="A20" s="30" t="inlineStr">
        <is>
          <t>管理</t>
        </is>
      </c>
      <c r="B20" s="4" t="inlineStr">
        <is>
          <t>北塩原村_業務進捗管理.xlsx</t>
        </is>
      </c>
      <c r="C20" s="4" t="inlineStr">
        <is>
          <t>本ブック</t>
        </is>
      </c>
      <c r="D20" s="24" t="n"/>
      <c r="E20" s="34" t="inlineStr">
        <is>
          <t>作業中</t>
        </is>
      </c>
      <c r="F20" s="24" t="n"/>
      <c r="G20" s="4" t="inlineStr">
        <is>
          <t>納品対象とするか村と確認</t>
        </is>
      </c>
    </row>
    <row r="21" ht="28" customHeight="1">
      <c r="A21" s="32" t="inlineStr">
        <is>
          <t>調査</t>
        </is>
      </c>
      <c r="B21" s="7" t="inlineStr">
        <is>
          <t>0728北塩原村_障がい福祉アンケート調査票.docx</t>
        </is>
      </c>
      <c r="C21" s="7" t="inlineStr">
        <is>
          <t>調査票（障がい者版・52問）</t>
        </is>
      </c>
      <c r="D21" s="24" t="n"/>
      <c r="E21" s="33" t="inlineStr">
        <is>
          <t>概ね完了</t>
        </is>
      </c>
      <c r="F21" s="24" t="n"/>
      <c r="G21" s="7" t="inlineStr">
        <is>
          <t>最終目視確認が残</t>
        </is>
      </c>
    </row>
    <row r="22" ht="28" customHeight="1">
      <c r="A22" s="30" t="inlineStr">
        <is>
          <t>調査</t>
        </is>
      </c>
      <c r="B22" s="4" t="inlineStr">
        <is>
          <t>0728北塩原村_障がい児福祉アンケート調査票.docx</t>
        </is>
      </c>
      <c r="C22" s="4" t="inlineStr">
        <is>
          <t>調査票（障がい児版・51問）</t>
        </is>
      </c>
      <c r="D22" s="24" t="n"/>
      <c r="E22" s="33" t="inlineStr">
        <is>
          <t>概ね完了</t>
        </is>
      </c>
      <c r="F22" s="24" t="n"/>
      <c r="G22" s="4" t="inlineStr">
        <is>
          <t>ルビ構造の確認が残</t>
        </is>
      </c>
    </row>
    <row r="23" ht="28" customHeight="1">
      <c r="A23" s="32" t="inlineStr">
        <is>
          <t>調査</t>
        </is>
      </c>
      <c r="B23" s="7" t="inlineStr">
        <is>
          <t>Googleフォーム自動作成 Code（.gs）</t>
        </is>
      </c>
      <c r="C23" s="7" t="inlineStr">
        <is>
          <t>ウェブ回答フォームの生成スクリプト</t>
        </is>
      </c>
      <c r="D23" s="24" t="n"/>
      <c r="E23" s="33" t="inlineStr">
        <is>
          <t>概ね完了</t>
        </is>
      </c>
      <c r="F23" s="24" t="n"/>
      <c r="G23" s="7" t="inlineStr">
        <is>
          <t>選択肢順序の固定が残</t>
        </is>
      </c>
    </row>
    <row r="24" ht="28" customHeight="1">
      <c r="A24" s="30" t="inlineStr">
        <is>
          <t>実績</t>
        </is>
      </c>
      <c r="B24" s="4" t="inlineStr">
        <is>
          <t>北塩原村_障がいサービス給付実績_整理版.xlsx</t>
        </is>
      </c>
      <c r="C24" s="4" t="inlineStr">
        <is>
          <t>受領データの整理版（6シート）</t>
        </is>
      </c>
      <c r="D24" s="24" t="n"/>
      <c r="E24" s="36" t="inlineStr">
        <is>
          <t>完了</t>
        </is>
      </c>
      <c r="F24" s="24" t="n"/>
      <c r="G24" s="4" t="inlineStr">
        <is>
          <t>令和2〜7年度、介護給付費・障害児給付費</t>
        </is>
      </c>
    </row>
    <row r="25" ht="28" customHeight="1">
      <c r="A25" s="32" t="inlineStr">
        <is>
          <t>指標</t>
        </is>
      </c>
      <c r="B25" s="7" t="inlineStr">
        <is>
          <t>北塩原村_活動指標.xlsx</t>
        </is>
      </c>
      <c r="C25" s="7" t="inlineStr">
        <is>
          <t>活動指標の設定（4シート）</t>
        </is>
      </c>
      <c r="D25" s="24" t="n"/>
      <c r="E25" s="34" t="inlineStr">
        <is>
          <t>作業中</t>
        </is>
      </c>
      <c r="F25" s="24" t="n"/>
      <c r="G25" s="7" t="inlineStr">
        <is>
          <t>別表第一83項目。必須33・任意。仕様書4-Ⅱ(3)⑤</t>
        </is>
      </c>
    </row>
    <row r="26" ht="28" customHeight="1">
      <c r="A26" s="30" t="inlineStr">
        <is>
          <t>事業</t>
        </is>
      </c>
      <c r="B26" s="4" t="inlineStr">
        <is>
          <t>北塩原村_地域生活支援事業.xlsx</t>
        </is>
      </c>
      <c r="C26" s="4" t="inlineStr">
        <is>
          <t>地域生活支援事業（4シート）</t>
        </is>
      </c>
      <c r="D26" s="24" t="n"/>
      <c r="E26" s="34" t="inlineStr">
        <is>
          <t>作業中</t>
        </is>
      </c>
      <c r="F26" s="24" t="n"/>
      <c r="G26" s="4" t="inlineStr">
        <is>
          <t>必須15・任意3。告示第三の二の3の4事項との対応</t>
        </is>
      </c>
    </row>
    <row r="27" ht="28" customHeight="1">
      <c r="A27" s="32" t="inlineStr">
        <is>
          <t>会議</t>
        </is>
      </c>
      <c r="B27" s="7" t="inlineStr">
        <is>
          <t>会議資料/（5ファイル）</t>
        </is>
      </c>
      <c r="C27" s="7" t="inlineStr">
        <is>
          <t>協議会資料1・2・8、庁議資料2・4</t>
        </is>
      </c>
      <c r="D27" s="24" t="n"/>
      <c r="E27" s="34" t="inlineStr">
        <is>
          <t>作業中</t>
        </is>
      </c>
      <c r="F27" s="24" t="n"/>
      <c r="G27" s="7" t="inlineStr">
        <is>
          <t>村資料に依存しない資料。残りは村資料の受領後</t>
        </is>
      </c>
    </row>
    <row r="28" ht="28" customHeight="1">
      <c r="A28" s="30" t="inlineStr">
        <is>
          <t>報告</t>
        </is>
      </c>
      <c r="B28" s="4" t="inlineStr">
        <is>
          <t>調査結果報告書（未作成）</t>
        </is>
      </c>
      <c r="C28" s="4" t="inlineStr">
        <is>
          <t>アンケート集計結果</t>
        </is>
      </c>
      <c r="D28" s="24" t="n"/>
      <c r="E28" s="28" t="inlineStr">
        <is>
          <t>未着手</t>
        </is>
      </c>
      <c r="F28" s="24" t="n"/>
      <c r="G28" s="4" t="inlineStr">
        <is>
          <t>集計後</t>
        </is>
      </c>
    </row>
  </sheetData>
  <mergeCells count="37">
    <mergeCell ref="E12:F12"/>
    <mergeCell ref="C24:D24"/>
    <mergeCell ref="C15:D15"/>
    <mergeCell ref="E24:F24"/>
    <mergeCell ref="C14:D14"/>
    <mergeCell ref="E23:F23"/>
    <mergeCell ref="E14:F14"/>
    <mergeCell ref="E17:F17"/>
    <mergeCell ref="C26:D26"/>
    <mergeCell ref="A10:G10"/>
    <mergeCell ref="C20:D20"/>
    <mergeCell ref="E20:F20"/>
    <mergeCell ref="C16:D16"/>
    <mergeCell ref="C25:D25"/>
    <mergeCell ref="E19:F19"/>
    <mergeCell ref="E28:F28"/>
    <mergeCell ref="E13:F13"/>
    <mergeCell ref="C22:D22"/>
    <mergeCell ref="C12:D12"/>
    <mergeCell ref="A1:G1"/>
    <mergeCell ref="C21:D21"/>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4"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4"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0" t="inlineStr">
        <is>
          <t>県照会中</t>
        </is>
      </c>
      <c r="F10" s="22" t="inlineStr">
        <is>
          <t>2026-10-31</t>
        </is>
      </c>
      <c r="G10" s="37" t="n"/>
    </row>
    <row r="11" ht="34" customHeight="1">
      <c r="A11" s="34"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4"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4"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4"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4"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4"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6" t="inlineStr">
        <is>
          <t>受領済</t>
        </is>
      </c>
      <c r="F21" s="26" t="inlineStr">
        <is>
          <t>2026-08-03</t>
        </is>
      </c>
      <c r="G21" s="37" t="n"/>
    </row>
    <row r="22" ht="34" customHeight="1">
      <c r="A22" s="34"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4"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4"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6"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対象者数、支援内容、拠点の検証会・緊急対応、名簿・計画の作成状況</t>
        </is>
      </c>
      <c r="D27" s="7" t="inlineStr">
        <is>
          <t>計画本文 第4章・第6章</t>
        </is>
      </c>
      <c r="E27" s="27" t="inlineStr">
        <is>
          <t>未受領</t>
        </is>
      </c>
      <c r="F27" s="26" t="inlineStr">
        <is>
          <t>2026-10-31</t>
        </is>
      </c>
      <c r="G27" s="37" t="n"/>
    </row>
    <row r="28" ht="34" customHeight="1">
      <c r="A28" s="30" t="inlineStr">
        <is>
          <t>中</t>
        </is>
      </c>
      <c r="B28" s="4" t="inlineStr">
        <is>
          <t>第5次総合振興計画たたき台、健康21現行計画、高齢者福祉・介護保険事業計画</t>
        </is>
      </c>
      <c r="C28" s="4" t="inlineStr">
        <is>
          <t>関連計画との整合確認</t>
        </is>
      </c>
      <c r="D28" s="4" t="inlineStr">
        <is>
          <t>計画本文 第1章・第7章</t>
        </is>
      </c>
      <c r="E28" s="27" t="inlineStr">
        <is>
          <t>未受領</t>
        </is>
      </c>
      <c r="F28" s="22" t="inlineStr">
        <is>
          <t>2026-10-31</t>
        </is>
      </c>
      <c r="G28" s="37" t="n"/>
    </row>
    <row r="29" ht="34" customHeight="1">
      <c r="A29" s="32" t="inlineStr">
        <is>
          <t>中</t>
        </is>
      </c>
      <c r="B29" s="7" t="inlineStr">
        <is>
          <t>40歳以上65歳未満の特定疾病該当者</t>
        </is>
      </c>
      <c r="C29" s="7" t="inlineStr">
        <is>
          <t>16の特定疾病に該当し要介護認定を受けている方の有無</t>
        </is>
      </c>
      <c r="D29" s="7" t="inlineStr">
        <is>
          <t>サービス見込量 02</t>
        </is>
      </c>
      <c r="E29" s="27" t="inlineStr">
        <is>
          <t>未受領</t>
        </is>
      </c>
      <c r="F29" s="26" t="inlineStr">
        <is>
          <t>2026-10-31</t>
        </is>
      </c>
      <c r="G29" s="37" t="n"/>
    </row>
    <row r="30" ht="34" customHeight="1">
      <c r="A30" s="30" t="inlineStr">
        <is>
          <t>中</t>
        </is>
      </c>
      <c r="B30" s="4" t="inlineStr">
        <is>
          <t>自立支援協議会の委員名簿</t>
        </is>
      </c>
      <c r="C30" s="4" t="inlineStr">
        <is>
          <t>任期・氏名・所属・役職</t>
        </is>
      </c>
      <c r="D30" s="4" t="inlineStr">
        <is>
          <t>計画書 資料編</t>
        </is>
      </c>
      <c r="E30" s="27" t="inlineStr">
        <is>
          <t>未受領</t>
        </is>
      </c>
      <c r="F30" s="22" t="inlineStr">
        <is>
          <t>2026-12-31</t>
        </is>
      </c>
      <c r="G30" s="37" t="n"/>
    </row>
    <row r="32" ht="40" customHeight="1">
      <c r="A32" s="2" t="inlineStr">
        <is>
          <t>未受領：25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30"/>
  <mergeCells count="3">
    <mergeCell ref="A32:G3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4"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4"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4"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34" t="inlineStr">
        <is>
          <t>中</t>
        </is>
      </c>
      <c r="D19" s="7" t="inlineStr">
        <is>
          <t>障がい者票に介護保険・65歳到達に関する設問がない</t>
        </is>
      </c>
      <c r="E19" s="7" t="inlineStr">
        <is>
          <t>令和11年の高齢化率が48.1%となる村で、65歳前後の実態を把握する手段がない</t>
        </is>
      </c>
      <c r="F19" s="7" t="inlineStr">
        <is>
          <t>発送前であれば既存設問への選択肢追加で対応する。追加しない場合は支給決定者台帳での確認に一本化する</t>
        </is>
      </c>
      <c r="G19" s="32" t="inlineStr">
        <is>
          <t>判断待ち</t>
        </is>
      </c>
    </row>
    <row r="20" ht="46" customHeight="1">
      <c r="A20" s="30" t="inlineStr">
        <is>
          <t>R-11</t>
        </is>
      </c>
      <c r="B20" s="30" t="inlineStr">
        <is>
          <t>調査設計</t>
        </is>
      </c>
      <c r="C20" s="27" t="inlineStr">
        <is>
          <t>高</t>
        </is>
      </c>
      <c r="D20" s="4" t="inlineStr">
        <is>
          <t>第4次障がい者計画の施策目標のうち1指標が測定できない</t>
        </is>
      </c>
      <c r="E20" s="4" t="inlineStr">
        <is>
          <t>「外出目的が趣味・スポーツ・グループ活動である人の割合（28.1%→40%）」について、前回調査にあった外出目的の設問が0728調査票にない</t>
        </is>
      </c>
      <c r="F20" s="4" t="inlineStr">
        <is>
          <t>発送前であれば問13の後に外出目的の設問を追加するか、問45の選択肢を前回に揃える。発送後であれば別の把握方法へ切り替える旨を村と協議する</t>
        </is>
      </c>
      <c r="G20" s="30" t="inlineStr">
        <is>
          <t>判断待ち</t>
        </is>
      </c>
    </row>
    <row r="21" ht="46" customHeight="1">
      <c r="A21" s="32" t="inlineStr">
        <is>
          <t>R-10</t>
        </is>
      </c>
      <c r="B21" s="32" t="inlineStr">
        <is>
          <t>供給</t>
        </is>
      </c>
      <c r="C21" s="34"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sheetData>
  <autoFilter ref="A5:G2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現在の本文頁は骨子案修正版の実測（作業用の注記を除く。本文1,100字／頁、表0.15頁、図0.35頁で概算）。</t>
        </is>
      </c>
    </row>
    <row r="5" ht="30" customHeight="1">
      <c r="A5" s="3" t="inlineStr">
        <is>
          <t>章</t>
        </is>
      </c>
      <c r="B5" s="3" t="inlineStr">
        <is>
          <t>現行計画
（63頁）</t>
        </is>
      </c>
      <c r="C5" s="3" t="inlineStr">
        <is>
          <t>現在の
本文頁</t>
        </is>
      </c>
      <c r="D5" s="3" t="inlineStr">
        <is>
          <t>目標頁</t>
        </is>
      </c>
      <c r="E5" s="3" t="inlineStr">
        <is>
          <t>増減</t>
        </is>
      </c>
      <c r="F5" s="3" t="inlineStr">
        <is>
          <t>根拠</t>
        </is>
      </c>
    </row>
    <row r="6" ht="30" customHeight="1">
      <c r="A6" s="4" t="inlineStr">
        <is>
          <t>第1章 計画の策定にあたって</t>
        </is>
      </c>
      <c r="B6" s="40" t="n">
        <v>9</v>
      </c>
      <c r="C6" s="41" t="n">
        <v>5.2</v>
      </c>
      <c r="D6" s="40" t="n">
        <v>7</v>
      </c>
      <c r="E6" s="42" t="n">
        <v>1.8</v>
      </c>
      <c r="F6" s="4" t="inlineStr">
        <is>
          <t>基本指針の改正16項目が中心。現行9頁には基本理念・体系（第3章へ移動）が含まれる</t>
        </is>
      </c>
    </row>
    <row r="7" ht="30" customHeight="1">
      <c r="A7" s="7" t="inlineStr">
        <is>
          <t>第2章 本村の障がい者の現状</t>
        </is>
      </c>
      <c r="B7" s="43" t="n">
        <v>5</v>
      </c>
      <c r="C7" s="44" t="n">
        <v>8</v>
      </c>
      <c r="D7" s="43" t="n">
        <v>8</v>
      </c>
      <c r="E7" s="45" t="n">
        <v>0</v>
      </c>
      <c r="F7" s="7" t="inlineStr">
        <is>
          <t>手帳所持者数の将来推計（仕様書4-Ⅱ(3)①）を新設したため現行より増</t>
        </is>
      </c>
    </row>
    <row r="8" ht="30" customHeight="1">
      <c r="A8" s="4" t="inlineStr">
        <is>
          <t>第3章 基本理念・基本目標及び施策体系</t>
        </is>
      </c>
      <c r="B8" s="40" t="n">
        <v>13</v>
      </c>
      <c r="C8" s="41" t="n">
        <v>3.7</v>
      </c>
      <c r="D8" s="40" t="n">
        <v>6</v>
      </c>
      <c r="E8" s="42" t="n">
        <v>2.3</v>
      </c>
      <c r="F8" s="4" t="inlineStr">
        <is>
          <t>改定対象外の第4次障がい者計画の再掲。骨格と第8期で加わる視点との対応表に絞る</t>
        </is>
      </c>
    </row>
    <row r="9" ht="30" customHeight="1">
      <c r="A9" s="7" t="inlineStr">
        <is>
          <t>第4章 令和11年度に向けた成果目標</t>
        </is>
      </c>
      <c r="B9" s="43" t="n">
        <v>11</v>
      </c>
      <c r="C9" s="44" t="n">
        <v>9.300000000000001</v>
      </c>
      <c r="D9" s="43" t="n">
        <v>11</v>
      </c>
      <c r="E9" s="45" t="n">
        <v>1.699999999999999</v>
      </c>
      <c r="F9" s="7" t="inlineStr">
        <is>
          <t>7項目→8項目。目標値・考え方の記入で増える</t>
        </is>
      </c>
    </row>
    <row r="10" ht="30" customHeight="1">
      <c r="A10" s="4" t="inlineStr">
        <is>
          <t>第5章 サービス等の実績と今後の見込み量</t>
        </is>
      </c>
      <c r="B10" s="40" t="n">
        <v>16</v>
      </c>
      <c r="C10" s="41" t="n">
        <v>14.9</v>
      </c>
      <c r="D10" s="40" t="n">
        <v>20</v>
      </c>
      <c r="E10" s="42" t="n">
        <v>5.1</v>
      </c>
      <c r="F10" s="4" t="inlineStr">
        <is>
          <t>推計方法・年齢到達移行・活動指標・財源構成を新設。本計画の実質的な付加価値</t>
        </is>
      </c>
    </row>
    <row r="11" ht="30" customHeight="1">
      <c r="A11" s="7" t="inlineStr">
        <is>
          <t>第6章 成年後見制度の利用促進</t>
        </is>
      </c>
      <c r="B11" s="43" t="n">
        <v>2</v>
      </c>
      <c r="C11" s="44" t="n">
        <v>0.5</v>
      </c>
      <c r="D11" s="43" t="n">
        <v>2</v>
      </c>
      <c r="E11" s="45" t="n">
        <v>1.5</v>
      </c>
      <c r="F11" s="7" t="inlineStr">
        <is>
          <t>現行と同水準。中核機関の記述を補う</t>
        </is>
      </c>
    </row>
    <row r="12" ht="30" customHeight="1">
      <c r="A12" s="4" t="inlineStr">
        <is>
          <t>第7章 他計画との連携</t>
        </is>
      </c>
      <c r="B12" s="40" t="inlineStr">
        <is>
          <t>―</t>
        </is>
      </c>
      <c r="C12" s="41" t="n">
        <v>3.2</v>
      </c>
      <c r="D12" s="40" t="n">
        <v>3</v>
      </c>
      <c r="E12" s="42" t="n">
        <v>-0.2000000000000002</v>
      </c>
      <c r="F12" s="4" t="inlineStr">
        <is>
          <t>新設章。健康21・こども子育て計画等</t>
        </is>
      </c>
    </row>
    <row r="13" ht="30" customHeight="1">
      <c r="A13" s="7" t="inlineStr">
        <is>
          <t>第8章 資料編</t>
        </is>
      </c>
      <c r="B13" s="43" t="n">
        <v>7</v>
      </c>
      <c r="C13" s="44" t="n">
        <v>0.4</v>
      </c>
      <c r="D13" s="43" t="n">
        <v>3</v>
      </c>
      <c r="E13" s="45" t="n">
        <v>2.6</v>
      </c>
      <c r="F13" s="7" t="inlineStr">
        <is>
          <t>アンケート集計結果は成果品②（別冊約60頁）に収め、計画書は要約と委員名簿のみ</t>
        </is>
      </c>
    </row>
    <row r="14">
      <c r="A14" s="46" t="inlineStr">
        <is>
          <t>合計</t>
        </is>
      </c>
      <c r="B14" s="47">
        <f>SUM(B6:B13)</f>
        <v/>
      </c>
      <c r="C14" s="47">
        <f>ROUND(SUM(C6:C13),0)</f>
        <v/>
      </c>
      <c r="D14" s="47">
        <f>SUM(D6:D13)</f>
        <v/>
      </c>
      <c r="E14" s="48">
        <f>D14-C14</f>
        <v/>
      </c>
      <c r="F14" s="46" t="inlineStr">
        <is>
          <t>目標60頁。現在の本文約45頁に対し15頁の余地がある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2026-08-06T00:00:42Z</dcterms:created>
  <dcterms:modified xmlns:dcterms="http://purl.org/dc/terms/" xmlns:xsi="http://www.w3.org/2001/XMLSchema-instance" xsi:type="dcterms:W3CDTF">2026-08-06T00:00:42Z</dcterms:modified>
</cp:coreProperties>
</file>