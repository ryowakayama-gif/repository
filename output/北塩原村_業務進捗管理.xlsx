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仕様書別進捗" sheetId="2" state="visible" r:id="rId2"/>
    <sheet xmlns:r="http://schemas.openxmlformats.org/officeDocument/2006/relationships" name="02_成果品管理" sheetId="3" state="visible" r:id="rId3"/>
    <sheet xmlns:r="http://schemas.openxmlformats.org/officeDocument/2006/relationships" name="03_スケジュール" sheetId="4" state="visible" r:id="rId4"/>
    <sheet xmlns:r="http://schemas.openxmlformats.org/officeDocument/2006/relationships" name="03b_納期からの逆算" sheetId="5" state="visible" r:id="rId5"/>
    <sheet xmlns:r="http://schemas.openxmlformats.org/officeDocument/2006/relationships" name="04_村資料受領状況" sheetId="6" state="visible" r:id="rId6"/>
    <sheet xmlns:r="http://schemas.openxmlformats.org/officeDocument/2006/relationships" name="05_課題・リスク" sheetId="7" state="visible" r:id="rId7"/>
    <sheet xmlns:r="http://schemas.openxmlformats.org/officeDocument/2006/relationships" name="06_打合せ記録" sheetId="8" state="visible" r:id="rId8"/>
    <sheet xmlns:r="http://schemas.openxmlformats.org/officeDocument/2006/relationships" name="07_更新履歴" sheetId="9" state="visible" r:id="rId9"/>
    <sheet xmlns:r="http://schemas.openxmlformats.org/officeDocument/2006/relationships" name="08_分量配分計画" sheetId="10" state="visible" r:id="rId10"/>
  </sheets>
  <definedNames>
    <definedName name="_xlnm._FilterDatabase" localSheetId="1" hidden="1">'01_仕様書別進捗'!$A$5:$I$38</definedName>
    <definedName name="_xlnm._FilterDatabase" localSheetId="5" hidden="1">'04_村資料受領状況'!$A$5:$G$74</definedName>
    <definedName name="_xlnm._FilterDatabase" localSheetId="6" hidden="1">'05_課題・リスク'!$A$5:$G$44</definedName>
  </definedNames>
  <calcPr calcId="124519" fullCalcOnLoad="1"/>
</workbook>
</file>

<file path=xl/styles.xml><?xml version="1.0" encoding="utf-8"?>
<styleSheet xmlns="http://schemas.openxmlformats.org/spreadsheetml/2006/main">
  <numFmts count="2">
    <numFmt numFmtId="164" formatCode="yyyy/mm/dd"/>
    <numFmt numFmtId="165" formatCode="+0;-0;0"/>
  </numFmts>
  <fonts count="8">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sz val="11"/>
    </font>
    <font>
      <name val="游ゴシック"/>
      <b val="1"/>
      <color rgb="00FFFFFF"/>
      <sz val="11"/>
    </font>
    <font>
      <name val="游ゴシック"/>
      <b val="1"/>
      <sz val="10"/>
    </font>
  </fonts>
  <fills count="17">
    <fill>
      <patternFill/>
    </fill>
    <fill>
      <patternFill patternType="gray125"/>
    </fill>
    <fill>
      <patternFill patternType="solid">
        <fgColor rgb="001F3864"/>
      </patternFill>
    </fill>
    <fill>
      <patternFill patternType="solid">
        <fgColor rgb="002E75B6"/>
      </patternFill>
    </fill>
    <fill>
      <patternFill patternType="solid">
        <fgColor rgb="009E480E"/>
      </patternFill>
    </fill>
    <fill>
      <patternFill patternType="solid">
        <fgColor rgb="00F7FAFC"/>
      </patternFill>
    </fill>
    <fill>
      <patternFill patternType="solid">
        <fgColor rgb="002CA02C"/>
      </patternFill>
    </fill>
    <fill>
      <patternFill patternType="solid">
        <fgColor rgb="0070AD47"/>
      </patternFill>
    </fill>
    <fill>
      <patternFill patternType="solid">
        <fgColor rgb="00808080"/>
      </patternFill>
    </fill>
    <fill>
      <patternFill patternType="solid">
        <fgColor rgb="00ED7D31"/>
      </patternFill>
    </fill>
    <fill>
      <patternFill patternType="solid">
        <fgColor rgb="007030A0"/>
      </patternFill>
    </fill>
    <fill>
      <patternFill patternType="solid">
        <fgColor rgb="00C00000"/>
      </patternFill>
    </fill>
    <fill>
      <patternFill patternType="solid">
        <fgColor rgb="00FF7F0E"/>
      </patternFill>
    </fill>
    <fill>
      <patternFill patternType="solid">
        <fgColor rgb="00DDEBF7"/>
      </patternFill>
    </fill>
    <fill>
      <patternFill patternType="solid">
        <fgColor rgb="00E2EFDA"/>
      </patternFill>
    </fill>
    <fill>
      <patternFill patternType="solid">
        <fgColor rgb="00FFF2CC"/>
      </patternFill>
    </fill>
    <fill>
      <patternFill patternType="solid">
        <fgColor rgb="007B00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0">
    <xf numFmtId="0" fontId="0" fillId="0" borderId="0" pivotButton="0" quotePrefix="0" xfId="0"/>
    <xf numFmtId="0" fontId="1" fillId="1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1" fontId="4" fillId="0" borderId="1" applyAlignment="1" pivotButton="0" quotePrefix="0" xfId="0">
      <alignment horizontal="right" vertical="center"/>
    </xf>
    <xf numFmtId="9" fontId="4" fillId="0" borderId="1" applyAlignment="1" pivotButton="0" quotePrefix="0" xfId="0">
      <alignment horizontal="right" vertical="center"/>
    </xf>
    <xf numFmtId="0" fontId="4" fillId="5" borderId="1" applyAlignment="1" pivotButton="0" quotePrefix="0" xfId="0">
      <alignment horizontal="left" vertical="center" wrapText="1" indent="1"/>
    </xf>
    <xf numFmtId="1" fontId="4" fillId="5" borderId="1" applyAlignment="1" pivotButton="0" quotePrefix="0" xfId="0">
      <alignment horizontal="right" vertical="center"/>
    </xf>
    <xf numFmtId="9" fontId="4" fillId="5" borderId="1" applyAlignment="1" pivotButton="0" quotePrefix="0" xfId="0">
      <alignment horizontal="right" vertical="center"/>
    </xf>
    <xf numFmtId="0" fontId="5" fillId="13" borderId="1" applyAlignment="1" pivotButton="0" quotePrefix="0" xfId="0">
      <alignment horizontal="left" vertical="center" wrapText="1" indent="1"/>
    </xf>
    <xf numFmtId="1" fontId="5" fillId="13" borderId="1" applyAlignment="1" pivotButton="0" quotePrefix="0" xfId="0">
      <alignment horizontal="right" vertical="center"/>
    </xf>
    <xf numFmtId="9" fontId="5" fillId="13" borderId="1" applyAlignment="1" pivotButton="0" quotePrefix="0" xfId="0">
      <alignment horizontal="right" vertical="center"/>
    </xf>
    <xf numFmtId="0" fontId="6" fillId="3" borderId="0" applyAlignment="1" pivotButton="0" quotePrefix="0" xfId="0">
      <alignment horizontal="left" vertical="center" indent="1"/>
    </xf>
    <xf numFmtId="0" fontId="3" fillId="6" borderId="1" applyAlignment="1" pivotButton="0" quotePrefix="0" xfId="0">
      <alignment horizontal="left" vertical="center" wrapText="1" indent="1"/>
    </xf>
    <xf numFmtId="0" fontId="3" fillId="8" borderId="1" applyAlignment="1" pivotButton="0" quotePrefix="0" xfId="0">
      <alignment horizontal="left" vertical="center" wrapText="1" indent="1"/>
    </xf>
    <xf numFmtId="0" fontId="3" fillId="7" borderId="1" applyAlignment="1" pivotButton="0" quotePrefix="0" xfId="0">
      <alignment horizontal="left" vertical="center" wrapText="1" indent="1"/>
    </xf>
    <xf numFmtId="0" fontId="3" fillId="11" borderId="1" applyAlignment="1" pivotButton="0" quotePrefix="0" xfId="0">
      <alignment horizontal="left" vertical="center" wrapText="1" indent="1"/>
    </xf>
    <xf numFmtId="0" fontId="3" fillId="9" borderId="1" applyAlignment="1" pivotButton="0" quotePrefix="0" xfId="0">
      <alignment horizontal="left" vertical="center" wrapText="1" indent="1"/>
    </xf>
    <xf numFmtId="0" fontId="3" fillId="10" borderId="1" applyAlignment="1" pivotButton="0" quotePrefix="0" xfId="0">
      <alignment horizontal="left" vertical="center" wrapText="1" indent="1"/>
    </xf>
    <xf numFmtId="0" fontId="3" fillId="3" borderId="1" applyAlignment="1" pivotButton="0" quotePrefix="0" xfId="0">
      <alignment horizontal="left" vertical="center" wrapText="1" indent="1"/>
    </xf>
    <xf numFmtId="0" fontId="3" fillId="4" borderId="1" applyAlignment="1" pivotButton="0" quotePrefix="0" xfId="0">
      <alignment horizontal="left" vertical="center" wrapText="1" indent="1"/>
    </xf>
    <xf numFmtId="164" fontId="4" fillId="0" borderId="1" applyAlignment="1" pivotButton="0" quotePrefix="0" xfId="0">
      <alignment horizontal="center" vertical="center"/>
    </xf>
    <xf numFmtId="0" fontId="0" fillId="0" borderId="4" pivotButton="0" quotePrefix="0" xfId="0"/>
    <xf numFmtId="0" fontId="0" fillId="0" borderId="5" pivotButton="0" quotePrefix="0" xfId="0"/>
    <xf numFmtId="0" fontId="3" fillId="10" borderId="1" applyAlignment="1" pivotButton="0" quotePrefix="0" xfId="0">
      <alignment horizontal="center" vertical="center"/>
    </xf>
    <xf numFmtId="164" fontId="4" fillId="5" borderId="1" applyAlignment="1" pivotButton="0" quotePrefix="0" xfId="0">
      <alignment horizontal="center" vertical="center"/>
    </xf>
    <xf numFmtId="0" fontId="3" fillId="11" borderId="1" applyAlignment="1" pivotButton="0" quotePrefix="0" xfId="0">
      <alignment horizontal="center" vertical="center"/>
    </xf>
    <xf numFmtId="0" fontId="3" fillId="8" borderId="1" applyAlignment="1" pivotButton="0" quotePrefix="0" xfId="0">
      <alignment horizontal="center" vertical="center"/>
    </xf>
    <xf numFmtId="0" fontId="1" fillId="2" borderId="0" applyAlignment="1" pivotButton="0" quotePrefix="0" xfId="0">
      <alignment horizontal="left" vertical="center" indent="1"/>
    </xf>
    <xf numFmtId="0" fontId="4" fillId="0"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9" borderId="1" applyAlignment="1" pivotButton="0" quotePrefix="0" xfId="0">
      <alignment horizontal="center" vertical="center"/>
    </xf>
    <xf numFmtId="0" fontId="3" fillId="3" borderId="1" applyAlignment="1" pivotButton="0" quotePrefix="0" xfId="0">
      <alignment horizontal="center" vertical="center"/>
    </xf>
    <xf numFmtId="0" fontId="4" fillId="14" borderId="1" applyAlignment="1" pivotButton="0" quotePrefix="0" xfId="0">
      <alignment horizontal="left" vertical="center" wrapText="1" indent="1"/>
    </xf>
    <xf numFmtId="0" fontId="4" fillId="15" borderId="1" applyAlignment="1" pivotButton="0" quotePrefix="0" xfId="0">
      <alignment horizontal="left" vertical="center" wrapText="1" indent="1"/>
    </xf>
    <xf numFmtId="164" fontId="4" fillId="15" borderId="1" applyAlignment="1" pivotButton="0" quotePrefix="0" xfId="0">
      <alignment horizontal="center" vertical="center"/>
    </xf>
    <xf numFmtId="0" fontId="3" fillId="16" borderId="1" applyAlignment="1" pivotButton="0" quotePrefix="0" xfId="0">
      <alignment horizontal="center" vertical="center"/>
    </xf>
    <xf numFmtId="0" fontId="4" fillId="15" borderId="1" applyAlignment="1" pivotButton="0" quotePrefix="0" xfId="0">
      <alignment horizontal="center" vertical="center"/>
    </xf>
    <xf numFmtId="3" fontId="4" fillId="0" borderId="1" applyAlignment="1" pivotButton="0" quotePrefix="0" xfId="0">
      <alignment horizontal="right" vertical="center"/>
    </xf>
    <xf numFmtId="165" fontId="4" fillId="0" borderId="1" applyAlignment="1" pivotButton="0" quotePrefix="0" xfId="0">
      <alignment horizontal="right" vertical="center"/>
    </xf>
    <xf numFmtId="3" fontId="4" fillId="5" borderId="1" applyAlignment="1" pivotButton="0" quotePrefix="0" xfId="0">
      <alignment horizontal="right" vertical="center"/>
    </xf>
    <xf numFmtId="165" fontId="4" fillId="5" borderId="1" applyAlignment="1" pivotButton="0" quotePrefix="0" xfId="0">
      <alignment horizontal="right" vertical="center"/>
    </xf>
    <xf numFmtId="0" fontId="7" fillId="13" borderId="1" applyAlignment="1" pivotButton="0" quotePrefix="0" xfId="0">
      <alignment horizontal="left" vertical="center" wrapText="1" indent="1"/>
    </xf>
    <xf numFmtId="3" fontId="7" fillId="13" borderId="1" applyAlignment="1" pivotButton="0" quotePrefix="0" xfId="0">
      <alignment horizontal="right" vertical="center"/>
    </xf>
    <xf numFmtId="165" fontId="7" fillId="13" borderId="1" applyAlignment="1" pivotButton="0" quotePrefix="0" xfId="0">
      <alignment horizontal="right" vertical="center"/>
    </xf>
    <xf numFmtId="0" fontId="6" fillId="12"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46" customWidth="1" min="7" max="7"/>
  </cols>
  <sheetData>
    <row r="1" ht="32" customHeight="1">
      <c r="A1" s="1" t="inlineStr">
        <is>
          <t>北塩原村 障がい福祉計画策定業務　進捗ダッシュボード</t>
        </is>
      </c>
    </row>
    <row r="2" ht="28" customHeight="1">
      <c r="A2" s="2" t="inlineStr">
        <is>
          <t>委託第24号　第8期北塩原村障がい福祉計画・第4期北塩原村障がい児福祉計画策定業務委託／業務期間：契約締結の日から令和9年3月31日まで／数値は01_仕様書別進捗から自動集計します。</t>
        </is>
      </c>
    </row>
    <row r="4" ht="30" customHeight="1">
      <c r="A4" s="3" t="inlineStr">
        <is>
          <t>区分</t>
        </is>
      </c>
      <c r="B4" s="3" t="inlineStr">
        <is>
          <t>項目数</t>
        </is>
      </c>
      <c r="C4" s="3" t="inlineStr">
        <is>
          <t>平均進捗率</t>
        </is>
      </c>
      <c r="D4" s="3" t="inlineStr">
        <is>
          <t>完了・概ね完了</t>
        </is>
      </c>
      <c r="E4" s="3" t="inlineStr">
        <is>
          <t>作業中</t>
        </is>
      </c>
      <c r="F4" s="3" t="inlineStr">
        <is>
          <t>未着手等</t>
        </is>
      </c>
      <c r="G4" s="3" t="inlineStr">
        <is>
          <t>備考</t>
        </is>
      </c>
    </row>
    <row r="5" ht="26" customHeight="1">
      <c r="A5" s="4" t="inlineStr">
        <is>
          <t>Ⅰ ニーズ調査</t>
        </is>
      </c>
      <c r="B5" s="5">
        <f>COUNTIF('01_仕様書別進捗'!$A$6:$A$38,A5)</f>
        <v/>
      </c>
      <c r="C5" s="6">
        <f>IFERROR(AVERAGEIF('01_仕様書別進捗'!$A$6:$A$38,A5,'01_仕様書別進捗'!$F$6:$F$38),0)</f>
        <v/>
      </c>
      <c r="D5" s="5">
        <f>COUNTIFS('01_仕様書別進捗'!$A$6:$A$38,A5,'01_仕様書別進捗'!$E$6:$E$38,"完了")+COUNTIFS('01_仕様書別進捗'!$A$6:$A$38,A5,'01_仕様書別進捗'!$E$6:$E$38,"概ね完了")</f>
        <v/>
      </c>
      <c r="E5" s="5">
        <f>COUNTIFS('01_仕様書別進捗'!$A$6:$A$38,A5,'01_仕様書別進捗'!$E$6:$E$38,"作業中")+COUNTIFS('01_仕様書別進捗'!$A$6:$A$38,A5,'01_仕様書別進捗'!$E$6:$E$38,"継続実施")</f>
        <v/>
      </c>
      <c r="F5" s="5">
        <f>B5-D5-E5</f>
        <v/>
      </c>
      <c r="G5" s="4" t="inlineStr">
        <is>
          <t>調査票の設計はほぼ完了。印刷・発送・集計が未着手</t>
        </is>
      </c>
    </row>
    <row r="6" ht="26" customHeight="1">
      <c r="A6" s="7" t="inlineStr">
        <is>
          <t>Ⅱ 計画策定業務</t>
        </is>
      </c>
      <c r="B6" s="8">
        <f>COUNTIF('01_仕様書別進捗'!$A$6:$A$38,A6)</f>
        <v/>
      </c>
      <c r="C6" s="9">
        <f>IFERROR(AVERAGEIF('01_仕様書別進捗'!$A$6:$A$38,A6,'01_仕様書別進捗'!$F$6:$F$38),0)</f>
        <v/>
      </c>
      <c r="D6" s="8">
        <f>COUNTIFS('01_仕様書別進捗'!$A$6:$A$38,A6,'01_仕様書別進捗'!$E$6:$E$38,"完了")+COUNTIFS('01_仕様書別進捗'!$A$6:$A$38,A6,'01_仕様書別進捗'!$E$6:$E$38,"概ね完了")</f>
        <v/>
      </c>
      <c r="E6" s="8">
        <f>COUNTIFS('01_仕様書別進捗'!$A$6:$A$38,A6,'01_仕様書別進捗'!$E$6:$E$38,"作業中")+COUNTIFS('01_仕様書別進捗'!$A$6:$A$38,A6,'01_仕様書別進捗'!$E$6:$E$38,"継続実施")</f>
        <v/>
      </c>
      <c r="F6" s="8">
        <f>B6-D6-E6</f>
        <v/>
      </c>
      <c r="G6" s="7" t="inlineStr">
        <is>
          <t>様式・受け皿は整備済み。村の実績データ待ちの項目が多い</t>
        </is>
      </c>
    </row>
    <row r="7" ht="26" customHeight="1">
      <c r="A7" s="4" t="inlineStr">
        <is>
          <t>Ⅲ 打合せ等業務</t>
        </is>
      </c>
      <c r="B7" s="5">
        <f>COUNTIF('01_仕様書別進捗'!$A$6:$A$38,A7)</f>
        <v/>
      </c>
      <c r="C7" s="6">
        <f>IFERROR(AVERAGEIF('01_仕様書別進捗'!$A$6:$A$38,A7,'01_仕様書別進捗'!$F$6:$F$38),0)</f>
        <v/>
      </c>
      <c r="D7" s="5">
        <f>COUNTIFS('01_仕様書別進捗'!$A$6:$A$38,A7,'01_仕様書別進捗'!$E$6:$E$38,"完了")+COUNTIFS('01_仕様書別進捗'!$A$6:$A$38,A7,'01_仕様書別進捗'!$E$6:$E$38,"概ね完了")</f>
        <v/>
      </c>
      <c r="E7" s="5">
        <f>COUNTIFS('01_仕様書別進捗'!$A$6:$A$38,A7,'01_仕様書別進捗'!$E$6:$E$38,"作業中")+COUNTIFS('01_仕様書別進捗'!$A$6:$A$38,A7,'01_仕様書別進捗'!$E$6:$E$38,"継続実施")</f>
        <v/>
      </c>
      <c r="F7" s="5">
        <f>B7-D7-E7</f>
        <v/>
      </c>
      <c r="G7" s="4" t="inlineStr">
        <is>
          <t>7月7日実施済み。業務期間を通じて継続</t>
        </is>
      </c>
    </row>
    <row r="8" ht="26" customHeight="1">
      <c r="A8" s="7" t="inlineStr">
        <is>
          <t>成果品</t>
        </is>
      </c>
      <c r="B8" s="8">
        <f>COUNTIF('01_仕様書別進捗'!$A$6:$A$38,A8)</f>
        <v/>
      </c>
      <c r="C8" s="9">
        <f>IFERROR(AVERAGEIF('01_仕様書別進捗'!$A$6:$A$38,A8,'01_仕様書別進捗'!$F$6:$F$38),0)</f>
        <v/>
      </c>
      <c r="D8" s="8">
        <f>COUNTIFS('01_仕様書別進捗'!$A$6:$A$38,A8,'01_仕様書別進捗'!$E$6:$E$38,"完了")+COUNTIFS('01_仕様書別進捗'!$A$6:$A$38,A8,'01_仕様書別進捗'!$E$6:$E$38,"概ね完了")</f>
        <v/>
      </c>
      <c r="E8" s="8">
        <f>COUNTIFS('01_仕様書別進捗'!$A$6:$A$38,A8,'01_仕様書別進捗'!$E$6:$E$38,"作業中")+COUNTIFS('01_仕様書別進捗'!$A$6:$A$38,A8,'01_仕様書別進捗'!$E$6:$E$38,"継続実施")</f>
        <v/>
      </c>
      <c r="F8" s="8">
        <f>B8-D8-E8</f>
        <v/>
      </c>
      <c r="G8" s="7" t="inlineStr">
        <is>
          <t>計画書は骨子案修正版が原型。報告書は集計後</t>
        </is>
      </c>
    </row>
    <row r="9" ht="26" customHeight="1">
      <c r="A9" s="4" t="inlineStr">
        <is>
          <t>契約管理</t>
        </is>
      </c>
      <c r="B9" s="5">
        <f>COUNTIF('01_仕様書別進捗'!$A$6:$A$38,A9)</f>
        <v/>
      </c>
      <c r="C9" s="6">
        <f>IFERROR(AVERAGEIF('01_仕様書別進捗'!$A$6:$A$38,A9,'01_仕様書別進捗'!$F$6:$F$38),0)</f>
        <v/>
      </c>
      <c r="D9" s="5">
        <f>COUNTIFS('01_仕様書別進捗'!$A$6:$A$38,A9,'01_仕様書別進捗'!$E$6:$E$38,"完了")+COUNTIFS('01_仕様書別進捗'!$A$6:$A$38,A9,'01_仕様書別進捗'!$E$6:$E$38,"概ね完了")</f>
        <v/>
      </c>
      <c r="E9" s="5">
        <f>COUNTIFS('01_仕様書別進捗'!$A$6:$A$38,A9,'01_仕様書別進捗'!$E$6:$E$38,"作業中")+COUNTIFS('01_仕様書別進捗'!$A$6:$A$38,A9,'01_仕様書別進捗'!$E$6:$E$38,"継続実施")</f>
        <v/>
      </c>
      <c r="F9" s="5">
        <f>B9-D9-E9</f>
        <v/>
      </c>
      <c r="G9" s="4" t="inlineStr">
        <is>
          <t>仕様書との差異が未協議のまま残っている</t>
        </is>
      </c>
    </row>
    <row r="10">
      <c r="A10" s="10" t="inlineStr">
        <is>
          <t>全体</t>
        </is>
      </c>
      <c r="B10" s="11">
        <f>SUM(B5:B9)</f>
        <v/>
      </c>
      <c r="C10" s="12">
        <f>IFERROR(AVERAGE('01_仕様書別進捗'!$F$6:$F$38),0)</f>
        <v/>
      </c>
      <c r="D10" s="11">
        <f>SUM(D5:D9)</f>
        <v/>
      </c>
      <c r="E10" s="11">
        <f>SUM(E5:E9)</f>
        <v/>
      </c>
      <c r="F10" s="11">
        <f>SUM(F5:F9)</f>
        <v/>
      </c>
      <c r="G10" s="10" t="inlineStr">
        <is>
          <t>全体の平均進捗率（項目数による単純平均）</t>
        </is>
      </c>
    </row>
    <row r="12">
      <c r="A12" s="13" t="inlineStr">
        <is>
          <t>状態別の件数</t>
        </is>
      </c>
    </row>
    <row r="13" ht="30" customHeight="1">
      <c r="A13" s="3" t="inlineStr">
        <is>
          <t>状態</t>
        </is>
      </c>
      <c r="B13" s="3" t="inlineStr">
        <is>
          <t>件数</t>
        </is>
      </c>
      <c r="C13" s="3" t="inlineStr"/>
      <c r="D13" s="3" t="inlineStr">
        <is>
          <t>状態</t>
        </is>
      </c>
      <c r="E13" s="3" t="inlineStr">
        <is>
          <t>件数</t>
        </is>
      </c>
      <c r="F13" s="3" t="inlineStr"/>
      <c r="G13" s="3" t="inlineStr"/>
    </row>
    <row r="14">
      <c r="A14" s="14" t="inlineStr">
        <is>
          <t>完了</t>
        </is>
      </c>
      <c r="B14" s="5">
        <f>COUNTIF('01_仕様書別進捗'!$E$6:$E$38,A14)</f>
        <v/>
      </c>
      <c r="C14" s="4" t="inlineStr"/>
      <c r="D14" s="15" t="inlineStr">
        <is>
          <t>未着手</t>
        </is>
      </c>
      <c r="E14" s="5">
        <f>COUNTIF('01_仕様書別進捗'!$E$6:$E$38,D14)</f>
        <v/>
      </c>
      <c r="F14" s="4" t="inlineStr"/>
      <c r="G14" s="4" t="inlineStr"/>
    </row>
    <row r="15">
      <c r="A15" s="16" t="inlineStr">
        <is>
          <t>概ね完了</t>
        </is>
      </c>
      <c r="B15" s="8">
        <f>COUNTIF('01_仕様書別進捗'!$E$6:$E$38,A15)</f>
        <v/>
      </c>
      <c r="C15" s="7" t="inlineStr"/>
      <c r="D15" s="17" t="inlineStr">
        <is>
          <t>村資料待ち</t>
        </is>
      </c>
      <c r="E15" s="8">
        <f>COUNTIF('01_仕様書別進捗'!$E$6:$E$38,D15)</f>
        <v/>
      </c>
      <c r="F15" s="7" t="inlineStr"/>
      <c r="G15" s="7" t="inlineStr"/>
    </row>
    <row r="16">
      <c r="A16" s="18" t="inlineStr">
        <is>
          <t>作業中</t>
        </is>
      </c>
      <c r="B16" s="5">
        <f>COUNTIF('01_仕様書別進捗'!$E$6:$E$38,A16)</f>
        <v/>
      </c>
      <c r="C16" s="4" t="inlineStr"/>
      <c r="D16" s="19" t="inlineStr">
        <is>
          <t>要協議</t>
        </is>
      </c>
      <c r="E16" s="5">
        <f>COUNTIF('01_仕様書別進捗'!$E$6:$E$38,D16)</f>
        <v/>
      </c>
      <c r="F16" s="4" t="inlineStr"/>
      <c r="G16" s="4" t="inlineStr"/>
    </row>
    <row r="17">
      <c r="A17" s="20" t="inlineStr">
        <is>
          <t>継続実施</t>
        </is>
      </c>
      <c r="B17" s="8">
        <f>COUNTIF('01_仕様書別進捗'!$E$6:$E$38,A17)</f>
        <v/>
      </c>
      <c r="C17" s="7" t="inlineStr"/>
      <c r="D17" s="21" t="inlineStr">
        <is>
          <t>村側作業</t>
        </is>
      </c>
      <c r="E17" s="8">
        <f>COUNTIF('01_仕様書別進捗'!$E$6:$E$38,D17)</f>
        <v/>
      </c>
      <c r="F17" s="7" t="inlineStr"/>
      <c r="G17" s="7" t="inlineStr"/>
    </row>
    <row r="19">
      <c r="A19" s="13" t="inlineStr">
        <is>
          <t>クリティカルパスと直近の期限</t>
        </is>
      </c>
    </row>
    <row r="20" ht="30" customHeight="1">
      <c r="A20" s="3" t="inlineStr">
        <is>
          <t>期限</t>
        </is>
      </c>
      <c r="B20" s="3" t="inlineStr">
        <is>
          <t>内容</t>
        </is>
      </c>
      <c r="C20" s="3" t="inlineStr"/>
      <c r="D20" s="3" t="inlineStr"/>
      <c r="E20" s="3" t="inlineStr"/>
      <c r="F20" s="3" t="inlineStr">
        <is>
          <t>状態</t>
        </is>
      </c>
      <c r="G20" s="3" t="inlineStr">
        <is>
          <t>備考</t>
        </is>
      </c>
    </row>
    <row r="21" ht="26" customHeight="1">
      <c r="A21" s="22" t="inlineStr">
        <is>
          <t>2026-08-05</t>
        </is>
      </c>
      <c r="B21" s="4" t="inlineStr">
        <is>
          <t>印刷仕様の協議・確定（仕様書は約24ページ1種類／実際は2種類・34頁と37頁）</t>
        </is>
      </c>
      <c r="C21" s="23" t="n"/>
      <c r="D21" s="23" t="n"/>
      <c r="E21" s="24" t="n"/>
      <c r="F21" s="25" t="inlineStr">
        <is>
          <t>要協議</t>
        </is>
      </c>
      <c r="G21" s="4" t="inlineStr">
        <is>
          <t>これが決まらないと印刷に入れない</t>
        </is>
      </c>
    </row>
    <row r="22" ht="26" customHeight="1">
      <c r="A22" s="26" t="inlineStr">
        <is>
          <t>2026-08-05</t>
        </is>
      </c>
      <c r="B22" s="7" t="inlineStr">
        <is>
          <t>宛名ラベルシールの受領（仕様書Ⅰ(1)により村が抽出・提供）</t>
        </is>
      </c>
      <c r="C22" s="23" t="n"/>
      <c r="D22" s="23" t="n"/>
      <c r="E22" s="24" t="n"/>
      <c r="F22" s="27" t="inlineStr">
        <is>
          <t>村資料待ち</t>
        </is>
      </c>
      <c r="G22" s="7" t="inlineStr">
        <is>
          <t>発送作業の前提</t>
        </is>
      </c>
    </row>
    <row r="23" ht="26" customHeight="1">
      <c r="A23" s="22" t="inlineStr">
        <is>
          <t>2026-08-05</t>
        </is>
      </c>
      <c r="B23" s="4" t="inlineStr">
        <is>
          <t>対象者数の確定（約190人と156人の差）</t>
        </is>
      </c>
      <c r="C23" s="23" t="n"/>
      <c r="D23" s="23" t="n"/>
      <c r="E23" s="24" t="n"/>
      <c r="F23" s="27" t="inlineStr">
        <is>
          <t>村資料待ち</t>
        </is>
      </c>
      <c r="G23" s="4" t="inlineStr">
        <is>
          <t>回収率の分母・管理番号設計に直結</t>
        </is>
      </c>
    </row>
    <row r="24" ht="26" customHeight="1">
      <c r="A24" s="26" t="inlineStr">
        <is>
          <t>2026-08-05</t>
        </is>
      </c>
      <c r="B24" s="7" t="inlineStr">
        <is>
          <t>郵送費の精算方法の書面確認</t>
        </is>
      </c>
      <c r="C24" s="23" t="n"/>
      <c r="D24" s="23" t="n"/>
      <c r="E24" s="24" t="n"/>
      <c r="F24" s="25" t="inlineStr">
        <is>
          <t>要協議</t>
        </is>
      </c>
      <c r="G24" s="7" t="inlineStr">
        <is>
          <t>仕様書と運用が異なる</t>
        </is>
      </c>
    </row>
    <row r="25" ht="26" customHeight="1">
      <c r="A25" s="22" t="inlineStr">
        <is>
          <t>2026-08-10</t>
        </is>
      </c>
      <c r="B25" s="4" t="inlineStr">
        <is>
          <t>アンケート発送</t>
        </is>
      </c>
      <c r="C25" s="23" t="n"/>
      <c r="D25" s="23" t="n"/>
      <c r="E25" s="24" t="n"/>
      <c r="F25" s="28" t="inlineStr">
        <is>
          <t>未着手</t>
        </is>
      </c>
      <c r="G25" s="4" t="inlineStr">
        <is>
          <t>工程案は8月上旬。回収期間約1か月</t>
        </is>
      </c>
    </row>
    <row r="26" ht="26" customHeight="1">
      <c r="A26" s="26" t="inlineStr">
        <is>
          <t>2026-08-31</t>
        </is>
      </c>
      <c r="B26" s="7" t="inlineStr">
        <is>
          <t>年齢別・サービス別の匿名利用者一覧の受領</t>
        </is>
      </c>
      <c r="C26" s="23" t="n"/>
      <c r="D26" s="23" t="n"/>
      <c r="E26" s="24" t="n"/>
      <c r="F26" s="27" t="inlineStr">
        <is>
          <t>村資料待ち</t>
        </is>
      </c>
      <c r="G26" s="7" t="inlineStr">
        <is>
          <t>見込量の個別積上げの起点</t>
        </is>
      </c>
    </row>
    <row r="27" ht="26" customHeight="1">
      <c r="A27" s="22" t="inlineStr">
        <is>
          <t>2026-09-30</t>
        </is>
      </c>
      <c r="B27" s="4" t="inlineStr">
        <is>
          <t>令和6・7年度実績、令和8年度見込の受領</t>
        </is>
      </c>
      <c r="C27" s="23" t="n"/>
      <c r="D27" s="23" t="n"/>
      <c r="E27" s="24" t="n"/>
      <c r="F27" s="27" t="inlineStr">
        <is>
          <t>村資料待ち</t>
        </is>
      </c>
      <c r="G27" s="4" t="inlineStr">
        <is>
          <t>現行計画の評価と見込量の確定</t>
        </is>
      </c>
    </row>
    <row r="28" ht="26" customHeight="1">
      <c r="A28" s="26" t="inlineStr">
        <is>
          <t>2026-12-31</t>
        </is>
      </c>
      <c r="B28" s="7" t="inlineStr">
        <is>
          <t>自立支援協議会（年内1回）</t>
        </is>
      </c>
      <c r="C28" s="23" t="n"/>
      <c r="D28" s="23" t="n"/>
      <c r="E28" s="24" t="n"/>
      <c r="F28" s="28" t="inlineStr">
        <is>
          <t>未着手</t>
        </is>
      </c>
      <c r="G28" s="7" t="inlineStr">
        <is>
          <t>資料作成・出席・記録作成</t>
        </is>
      </c>
    </row>
    <row r="30" ht="40" customHeight="1">
      <c r="A30" s="2" t="inlineStr">
        <is>
          <t>本業務の進捗は、計画本文の作成が工程案より前倒しで進んでいる一方、アンケートの印刷・発送が仕様の協議待ちで止まっている状態です。8月上旬発送を維持するには、印刷仕様・ラベル・対象者数・郵送費の4点を8月5日までに決める必要があります。</t>
        </is>
      </c>
    </row>
  </sheetData>
  <mergeCells count="13">
    <mergeCell ref="B23:E23"/>
    <mergeCell ref="B26:E26"/>
    <mergeCell ref="B27:E27"/>
    <mergeCell ref="A1:G1"/>
    <mergeCell ref="B21:E21"/>
    <mergeCell ref="A12:G12"/>
    <mergeCell ref="B28:E28"/>
    <mergeCell ref="A30:G30"/>
    <mergeCell ref="A2:G2"/>
    <mergeCell ref="B25:E25"/>
    <mergeCell ref="B24:E24"/>
    <mergeCell ref="A19:G19"/>
    <mergeCell ref="B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showGridLines="0" workbookViewId="0">
      <pane ySplit="4" topLeftCell="A5" activePane="bottomLeft" state="frozen"/>
      <selection pane="bottomLeft" activeCell="A1" sqref="A1"/>
    </sheetView>
  </sheetViews>
  <sheetFormatPr baseColWidth="8" defaultRowHeight="15"/>
  <cols>
    <col width="16" customWidth="1" min="1" max="1"/>
    <col width="10" customWidth="1" min="2" max="2"/>
    <col width="46" customWidth="1" min="3" max="3"/>
    <col width="40" customWidth="1" min="4" max="4"/>
    <col width="13" customWidth="1" min="5" max="5"/>
    <col width="9" customWidth="1" min="6" max="6"/>
    <col width="15" customWidth="1" min="7" max="7"/>
    <col width="13" customWidth="1" min="8" max="8"/>
    <col width="46" customWidth="1" min="9" max="9"/>
  </cols>
  <sheetData>
    <row r="1" ht="30" customHeight="1">
      <c r="A1" s="29" t="inlineStr">
        <is>
          <t>業務委託仕様書 条項別 進捗管理</t>
        </is>
      </c>
    </row>
    <row r="2" ht="30" customHeight="1">
      <c r="A2" s="2" t="inlineStr">
        <is>
          <t>業務委託仕様書（8北保福第366号 別紙）4のⅠ〜Ⅲ、5の成果品、及び令和8年7月7日打合せで生じた契約管理事項を条項単位で管理します。進捗率は手入力で、00_ダッシュボードが区分別に自動集計します。</t>
        </is>
      </c>
    </row>
    <row r="5" ht="30" customHeight="1">
      <c r="A5" s="3" t="inlineStr">
        <is>
          <t>区分</t>
        </is>
      </c>
      <c r="B5" s="3" t="inlineStr">
        <is>
          <t>項番</t>
        </is>
      </c>
      <c r="C5" s="3" t="inlineStr">
        <is>
          <t>仕様書の要求</t>
        </is>
      </c>
      <c r="D5" s="3" t="inlineStr">
        <is>
          <t>現在の成果物・根拠</t>
        </is>
      </c>
      <c r="E5" s="3" t="inlineStr">
        <is>
          <t>状態</t>
        </is>
      </c>
      <c r="F5" s="3" t="inlineStr">
        <is>
          <t>進捗率</t>
        </is>
      </c>
      <c r="G5" s="3" t="inlineStr">
        <is>
          <t>主担当</t>
        </is>
      </c>
      <c r="H5" s="3" t="inlineStr">
        <is>
          <t>期限</t>
        </is>
      </c>
      <c r="I5" s="3" t="inlineStr">
        <is>
          <t>次の一手・ブロッカー</t>
        </is>
      </c>
    </row>
    <row r="6" ht="44" customHeight="1">
      <c r="A6" s="4" t="inlineStr">
        <is>
          <t>Ⅰ ニーズ調査</t>
        </is>
      </c>
      <c r="B6" s="30" t="inlineStr">
        <is>
          <t>Ⅰ(1)</t>
        </is>
      </c>
      <c r="C6" s="4" t="inlineStr">
        <is>
          <t>調査対象の抽出（身体約130人・精神約40人・療育約20人＝約190人）。抽出は委託者が行い、受託者にラベルシールとして提供する。</t>
        </is>
      </c>
      <c r="D6" s="4" t="inlineStr">
        <is>
          <t>―（村側作業）</t>
        </is>
      </c>
      <c r="E6" s="31" t="inlineStr">
        <is>
          <t>村側作業</t>
        </is>
      </c>
      <c r="F6" s="6" t="n">
        <v>0</v>
      </c>
      <c r="G6" s="30" t="inlineStr">
        <is>
          <t>北塩原村</t>
        </is>
      </c>
      <c r="H6" s="22" t="inlineStr">
        <is>
          <t>2026-08-05</t>
        </is>
      </c>
      <c r="I6" s="4" t="inlineStr">
        <is>
          <t>対象者数が確定していない。仕様書の約190人と現行計画の156人（令和5年）の差の理由を確認する。ラベルシールの提供時期を確定する</t>
        </is>
      </c>
    </row>
    <row r="7" ht="44" customHeight="1">
      <c r="A7" s="7" t="inlineStr">
        <is>
          <t>Ⅰ ニーズ調査</t>
        </is>
      </c>
      <c r="B7" s="32" t="inlineStr">
        <is>
          <t>Ⅰ(2)a</t>
        </is>
      </c>
      <c r="C7" s="7" t="inlineStr">
        <is>
          <t>調査票の設計（厚労省の調査項目及び過去調査を踏まえ、委託者との協議の上決定）</t>
        </is>
      </c>
      <c r="D7" s="7" t="inlineStr">
        <is>
          <t>0825確定版（障がい者版45問・障がい児版44問）／村朱書き修正指示40か所／北塩原村_アンケート調査票_村修正指示_確認結果</t>
        </is>
      </c>
      <c r="E7" s="33" t="inlineStr">
        <is>
          <t>完了</t>
        </is>
      </c>
      <c r="F7" s="9" t="n">
        <v>1</v>
      </c>
      <c r="G7" s="32" t="inlineStr">
        <is>
          <t>当社</t>
        </is>
      </c>
      <c r="H7" s="26" t="inlineStr">
        <is>
          <t>2026-08-25</t>
        </is>
      </c>
      <c r="I7" s="7" t="inlineStr">
        <is>
          <t>令和8年8月25日版で確定。村の修正指示40か所は反映済み。確定後に国のマニュアル（8月19日事務連絡・県通知8月24日）が発出されたため、標準項目3件（外出の目的・介護保険・強度行動障害の該当有無）と障害支援区分が確定版にない。クロス集計と行政データで代替する（北塩原村_クロス集計設計.xlsx）</t>
        </is>
      </c>
    </row>
    <row r="8" ht="44" customHeight="1">
      <c r="A8" s="4" t="inlineStr">
        <is>
          <t>Ⅰ ニーズ調査</t>
        </is>
      </c>
      <c r="B8" s="30" t="inlineStr">
        <is>
          <t>Ⅰ(2)b</t>
        </is>
      </c>
      <c r="C8" s="4" t="inlineStr">
        <is>
          <t>文字の大きさ・フォント・表現の工夫、ルビ等の障がい特性に応じた配慮</t>
        </is>
      </c>
      <c r="D8" s="4" t="inlineStr">
        <is>
          <t>14pt程度・ルビ付与・白黒印刷・専門用語への短い解説（7/7打合せで決定）</t>
        </is>
      </c>
      <c r="E8" s="34" t="inlineStr">
        <is>
          <t>概ね完了</t>
        </is>
      </c>
      <c r="F8" s="6" t="n">
        <v>0.9</v>
      </c>
      <c r="G8" s="30" t="inlineStr">
        <is>
          <t>当社</t>
        </is>
      </c>
      <c r="H8" s="22" t="inlineStr">
        <is>
          <t>2026-08-05</t>
        </is>
      </c>
      <c r="I8" s="4" t="inlineStr">
        <is>
          <t>最終レイアウトでの表示確認</t>
        </is>
      </c>
    </row>
    <row r="9" ht="44" customHeight="1">
      <c r="A9" s="7" t="inlineStr">
        <is>
          <t>Ⅰ ニーズ調査</t>
        </is>
      </c>
      <c r="B9" s="32" t="inlineStr">
        <is>
          <t>Ⅰ(2)c</t>
        </is>
      </c>
      <c r="C9" s="7" t="inlineStr">
        <is>
          <t>ウェブ回答用フォームの作成</t>
        </is>
      </c>
      <c r="D9" s="7" t="inlineStr">
        <is>
          <t>Googleフォーム自動作成 Code（1本統合分岐版・修正版）／設問精査レポート／修正対応メモ</t>
        </is>
      </c>
      <c r="E9" s="34" t="inlineStr">
        <is>
          <t>概ね完了</t>
        </is>
      </c>
      <c r="F9" s="9" t="n">
        <v>0.85</v>
      </c>
      <c r="G9" s="32" t="inlineStr">
        <is>
          <t>当社</t>
        </is>
      </c>
      <c r="H9" s="26" t="inlineStr">
        <is>
          <t>2026-08-05</t>
        </is>
      </c>
      <c r="I9" s="7" t="inlineStr">
        <is>
          <t>枝番設問（障がい者版 問29-1〜3、障がい児版 問32〜34）の選択肢順序を固定する</t>
        </is>
      </c>
    </row>
    <row r="10" ht="44" customHeight="1">
      <c r="A10" s="4" t="inlineStr">
        <is>
          <t>Ⅰ ニーズ調査</t>
        </is>
      </c>
      <c r="B10" s="30" t="inlineStr">
        <is>
          <t>Ⅰ(2)d</t>
        </is>
      </c>
      <c r="C10" s="4" t="inlineStr">
        <is>
          <t>該当ページの二次元コードを調査票又は依頼状に印字</t>
        </is>
      </c>
      <c r="D10" s="4" t="inlineStr">
        <is>
          <t>―</t>
        </is>
      </c>
      <c r="E10" s="28" t="inlineStr">
        <is>
          <t>未着手</t>
        </is>
      </c>
      <c r="F10" s="6" t="n">
        <v>0</v>
      </c>
      <c r="G10" s="30" t="inlineStr">
        <is>
          <t>当社</t>
        </is>
      </c>
      <c r="H10" s="22" t="inlineStr">
        <is>
          <t>2026-08-05</t>
        </is>
      </c>
      <c r="I10" s="4" t="inlineStr">
        <is>
          <t>フォームURL確定後にQRを生成し、依頼状に配置する</t>
        </is>
      </c>
    </row>
    <row r="11" ht="44" customHeight="1">
      <c r="A11" s="7" t="inlineStr">
        <is>
          <t>Ⅰ ニーズ調査</t>
        </is>
      </c>
      <c r="B11" s="32" t="inlineStr">
        <is>
          <t>Ⅰ(2)e</t>
        </is>
      </c>
      <c r="C11" s="7" t="inlineStr">
        <is>
          <t>紙とウェブの重複回答が集計されないよう管理番号等で管理</t>
        </is>
      </c>
      <c r="D11" s="7" t="inlineStr">
        <is>
          <t>管理番号設計（04_紙Web設計確認）</t>
        </is>
      </c>
      <c r="E11" s="35" t="inlineStr">
        <is>
          <t>作業中</t>
        </is>
      </c>
      <c r="F11" s="9" t="n">
        <v>0.6</v>
      </c>
      <c r="G11" s="32" t="inlineStr">
        <is>
          <t>当社</t>
        </is>
      </c>
      <c r="H11" s="26" t="inlineStr">
        <is>
          <t>2026-08-05</t>
        </is>
      </c>
      <c r="I11" s="7" t="inlineStr">
        <is>
          <t>管理番号の付番はラベルシールの提供を受けてから確定する</t>
        </is>
      </c>
    </row>
    <row r="12" ht="44" customHeight="1">
      <c r="A12" s="4" t="inlineStr">
        <is>
          <t>Ⅰ ニーズ調査</t>
        </is>
      </c>
      <c r="B12" s="30" t="inlineStr">
        <is>
          <t>Ⅰ(3)</t>
        </is>
      </c>
      <c r="C12" s="4" t="inlineStr">
        <is>
          <t>調査票及び封筒（配布用・回収用）の印刷。調査票はA4判・約24ページ・黒1色。</t>
        </is>
      </c>
      <c r="D12" s="4" t="inlineStr">
        <is>
          <t>―</t>
        </is>
      </c>
      <c r="E12" s="25" t="inlineStr">
        <is>
          <t>要協議</t>
        </is>
      </c>
      <c r="F12" s="6" t="n">
        <v>0</v>
      </c>
      <c r="G12" s="30" t="inlineStr">
        <is>
          <t>当社／北塩原村</t>
        </is>
      </c>
      <c r="H12" s="22" t="inlineStr">
        <is>
          <t>2026-08-05</t>
        </is>
      </c>
      <c r="I12" s="4" t="inlineStr">
        <is>
          <t>仕様は約24ページ1種類だが、実際は障がい者版34ページ・障がい児版37ページの2種類。ページ数・種類数・部数・単価の取扱いを村と協議する。封筒は村の封筒を使用</t>
        </is>
      </c>
    </row>
    <row r="13" ht="44" customHeight="1">
      <c r="A13" s="7" t="inlineStr">
        <is>
          <t>Ⅰ ニーズ調査</t>
        </is>
      </c>
      <c r="B13" s="32" t="inlineStr">
        <is>
          <t>Ⅰ(4)</t>
        </is>
      </c>
      <c r="C13" s="7" t="inlineStr">
        <is>
          <t>宛名ラベルの貼付、封入・封緘、発送。回収票の開封確認。発送及び回収に係る費用は受託者の負担。</t>
        </is>
      </c>
      <c r="D13" s="7" t="inlineStr">
        <is>
          <t>―</t>
        </is>
      </c>
      <c r="E13" s="28" t="inlineStr">
        <is>
          <t>未着手</t>
        </is>
      </c>
      <c r="F13" s="9" t="n">
        <v>0</v>
      </c>
      <c r="G13" s="32" t="inlineStr">
        <is>
          <t>当社／北塩原村</t>
        </is>
      </c>
      <c r="H13" s="26" t="inlineStr">
        <is>
          <t>2026-08-10</t>
        </is>
      </c>
      <c r="I13" s="7" t="inlineStr">
        <is>
          <t>7/7打合せにより、村の封筒を使用し差出人・返送先を村役場とする運用に変更。村役場での一括受領・窓口回収。郵便料金は村が立替え後日実費精算（書面確認が必要）</t>
        </is>
      </c>
    </row>
    <row r="14" ht="44" customHeight="1">
      <c r="A14" s="4" t="inlineStr">
        <is>
          <t>Ⅰ ニーズ調査</t>
        </is>
      </c>
      <c r="B14" s="30" t="inlineStr">
        <is>
          <t>Ⅰ(5)</t>
        </is>
      </c>
      <c r="C14" s="4" t="inlineStr">
        <is>
          <t>厚生労働省が提示する集計ファイル様式を基本としたデータ入力</t>
        </is>
      </c>
      <c r="D14" s="4" t="inlineStr">
        <is>
          <t>―</t>
        </is>
      </c>
      <c r="E14" s="28" t="inlineStr">
        <is>
          <t>未着手</t>
        </is>
      </c>
      <c r="F14" s="6" t="n">
        <v>0</v>
      </c>
      <c r="G14" s="30" t="inlineStr">
        <is>
          <t>当社</t>
        </is>
      </c>
      <c r="H14" s="22" t="inlineStr">
        <is>
          <t>2026-09-10</t>
        </is>
      </c>
      <c r="I14" s="4" t="inlineStr">
        <is>
          <t>集計様式の入手。回収開始までに入力体制を確定する</t>
        </is>
      </c>
    </row>
    <row r="15" ht="44" customHeight="1">
      <c r="A15" s="7" t="inlineStr">
        <is>
          <t>Ⅰ ニーズ調査</t>
        </is>
      </c>
      <c r="B15" s="32" t="inlineStr">
        <is>
          <t>Ⅰ(6)</t>
        </is>
      </c>
      <c r="C15" s="7" t="inlineStr">
        <is>
          <t>基本集計及び年齢・障がい種別等によるクロス集計。自由回答の取りまとめ。設問間クロス集計等は委託者と協議の上決定。</t>
        </is>
      </c>
      <c r="D15" s="7" t="inlineStr">
        <is>
          <t>北塩原村_アンケート集計分析方法_少数母数対応_計画接続メモ／北塩原村_クロス集計設計.xlsx（25件・層6区分・行政データ突合6件）</t>
        </is>
      </c>
      <c r="E15" s="35" t="inlineStr">
        <is>
          <t>作業中</t>
        </is>
      </c>
      <c r="F15" s="9" t="n">
        <v>0.55</v>
      </c>
      <c r="G15" s="32" t="inlineStr">
        <is>
          <t>当社</t>
        </is>
      </c>
      <c r="H15" s="26" t="inlineStr">
        <is>
          <t>2026-10-31</t>
        </is>
      </c>
      <c r="I15" s="7" t="inlineStr">
        <is>
          <t>少数母数の公表基準（n&lt;5の秘匿、地区別・障がい種別クロスの扱い）を村と合意する</t>
        </is>
      </c>
    </row>
    <row r="16" ht="44" customHeight="1">
      <c r="A16" s="4" t="inlineStr">
        <is>
          <t>Ⅰ ニーズ調査</t>
        </is>
      </c>
      <c r="B16" s="30" t="inlineStr">
        <is>
          <t>Ⅰ(7)</t>
        </is>
      </c>
      <c r="C16" s="4" t="inlineStr">
        <is>
          <t>設問ごとのグラフ作成と分析結果の報告書としての取りまとめ</t>
        </is>
      </c>
      <c r="D16" s="4" t="inlineStr">
        <is>
          <t>―</t>
        </is>
      </c>
      <c r="E16" s="28" t="inlineStr">
        <is>
          <t>未着手</t>
        </is>
      </c>
      <c r="F16" s="6" t="n">
        <v>0</v>
      </c>
      <c r="G16" s="30" t="inlineStr">
        <is>
          <t>当社</t>
        </is>
      </c>
      <c r="H16" s="22" t="inlineStr">
        <is>
          <t>2026-11-30</t>
        </is>
      </c>
      <c r="I16" s="4" t="inlineStr">
        <is>
          <t>集計完了後に着手</t>
        </is>
      </c>
    </row>
    <row r="17" ht="44" customHeight="1">
      <c r="A17" s="7" t="inlineStr">
        <is>
          <t>Ⅱ 計画策定業務</t>
        </is>
      </c>
      <c r="B17" s="32" t="inlineStr">
        <is>
          <t>Ⅱ(1)</t>
        </is>
      </c>
      <c r="C17" s="7" t="inlineStr">
        <is>
          <t>法制度の改正動向、国の基本指針、福島県障がい福祉計画等の収集・整理</t>
        </is>
      </c>
      <c r="D17" s="7" t="inlineStr">
        <is>
          <t>骨子案 第1章4（基本指針改正16項目、法定雇用率2.7%）／年齢到達による給付移行 調査報告／現行計画本編 第4章1（第7期の基本指針見直し）／国基準数値 原典照合結果／告示本文・新旧対照表・改正後概要（source/基本指針）／令和8年度報酬改定資料（source/報酬改定）</t>
        </is>
      </c>
      <c r="E17" s="34" t="inlineStr">
        <is>
          <t>概ね完了</t>
        </is>
      </c>
      <c r="F17" s="9" t="n">
        <v>0.95</v>
      </c>
      <c r="G17" s="32" t="inlineStr">
        <is>
          <t>当社</t>
        </is>
      </c>
      <c r="H17" s="26" t="inlineStr">
        <is>
          <t>2026-09-30</t>
        </is>
      </c>
      <c r="I17" s="7" t="inlineStr">
        <is>
          <t>国基準数値11件を告示第4号の本文・別表と照合済み（誤り1件・補足4件・欠落6件を骨子案修正版へ反映）。残るは福島県 第8期計画の公表待ち（別表第四による長期入院患者の基盤整備量、心のサポーター目標）</t>
        </is>
      </c>
    </row>
    <row r="18" ht="44" customHeight="1">
      <c r="A18" s="4" t="inlineStr">
        <is>
          <t>Ⅱ 計画策定業務</t>
        </is>
      </c>
      <c r="B18" s="30" t="inlineStr">
        <is>
          <t>Ⅱ(2)</t>
        </is>
      </c>
      <c r="C18" s="4" t="inlineStr">
        <is>
          <t>現行計画（令和6〜8年度）のサービス利用実績、成果目標・活動指標の達成状況の評価・検証</t>
        </is>
      </c>
      <c r="D18" s="4" t="inlineStr">
        <is>
          <t>北塩原村_現行計画評価.xlsx（7シート）／前回計画評価_アンケート精査管理表／現行計画本編</t>
        </is>
      </c>
      <c r="E18" s="35" t="inlineStr">
        <is>
          <t>作業中</t>
        </is>
      </c>
      <c r="F18" s="6" t="n">
        <v>0.7</v>
      </c>
      <c r="G18" s="30" t="inlineStr">
        <is>
          <t>当社</t>
        </is>
      </c>
      <c r="H18" s="22" t="inlineStr">
        <is>
          <t>2026-10-31</t>
        </is>
      </c>
      <c r="I18" s="4" t="inlineStr">
        <is>
          <t>令和3〜5年度の見込量と実績の突合（サービス25区分・地域生活支援事業13事業）を完了。令和6・7年度実績と令和8年度見込を受領するまで第7期の達成判定は確定できない</t>
        </is>
      </c>
    </row>
    <row r="19" ht="44" customHeight="1">
      <c r="A19" s="7" t="inlineStr">
        <is>
          <t>Ⅱ 計画策定業務</t>
        </is>
      </c>
      <c r="B19" s="32" t="inlineStr">
        <is>
          <t>Ⅱ(3)①</t>
        </is>
      </c>
      <c r="C19" s="7" t="inlineStr">
        <is>
          <t>障がい者手帳所持者数（身体・療育・精神）の将来推計</t>
        </is>
      </c>
      <c r="D19" s="7" t="inlineStr">
        <is>
          <t>北塩原村_将来推計.xlsx（9シート。08_県との比較を追加）／北塩原村_レビュー対応_第3回.xlsx 02_手帳推計／正本 第2章2（ＲＶ-1）</t>
        </is>
      </c>
      <c r="E19" s="27" t="inlineStr">
        <is>
          <t>村資料待ち</t>
        </is>
      </c>
      <c r="F19" s="9" t="n">
        <v>0.72</v>
      </c>
      <c r="G19" s="32" t="inlineStr">
        <is>
          <t>当社</t>
        </is>
      </c>
      <c r="H19" s="26" t="inlineStr">
        <is>
          <t>2026-10-31</t>
        </is>
      </c>
      <c r="I19" s="7" t="inlineStr">
        <is>
          <t>現行計画本編の受領により年齢3区分別人口5年分が判明し、所持率の推移を算定できた。630調査により福島県の精神手帳所持者数の推移（令和5年度18,002人→令和7年度19,107人）を把握し、方法B（所持率一定）が精神で成り立たないことの傍証を得た。県の交付件数の年齢構成を村に当てはめる代替推計は、交付件数が新規交付のみで所持者の年齢構成と異なるため採用しない。方法Cには引き続き村の年齢階級別所持者数が必要。令和8年10月13日に、手帳別に別の係数を用いた4通りの試算を行い、令和11年の合計に139人から206人まで67人の幅があることを示した。幅の大半は令和5年から令和8年までの25人の増加を実際の増加と見るか数え方の違いと見るかで生じており、令和6年・令和7年の実数1件で決まる（Ｍ-113）。正本 第2章2 には手帳別に推計する旨と幅で示す旨を書き、基礎の127人・16人・38人が台帳による確定値でないことを明記した</t>
        </is>
      </c>
    </row>
    <row r="20" ht="44" customHeight="1">
      <c r="A20" s="4" t="inlineStr">
        <is>
          <t>Ⅱ 計画策定業務</t>
        </is>
      </c>
      <c r="B20" s="30" t="inlineStr">
        <is>
          <t>Ⅱ(3)②</t>
        </is>
      </c>
      <c r="C20" s="4" t="inlineStr">
        <is>
          <t>障がい福祉サービス（介護給付・訓練等給付）の見込量の推計</t>
        </is>
      </c>
      <c r="D20" s="4" t="inlineStr">
        <is>
          <t>北塩原村_サービス見込量.xlsx（03_積上げ_障害福祉サービス）／骨子案修正版 第5章1</t>
        </is>
      </c>
      <c r="E20" s="27" t="inlineStr">
        <is>
          <t>村資料待ち</t>
        </is>
      </c>
      <c r="F20" s="6" t="n">
        <v>0.35</v>
      </c>
      <c r="G20" s="30" t="inlineStr">
        <is>
          <t>当社</t>
        </is>
      </c>
      <c r="H20" s="22" t="inlineStr">
        <is>
          <t>2026-10-31</t>
        </is>
      </c>
      <c r="I20" s="4" t="inlineStr">
        <is>
          <t>年齢別・サービス別の匿名利用者一覧と支給決定者数（実人数）を受領する</t>
        </is>
      </c>
    </row>
    <row r="21" ht="44" customHeight="1">
      <c r="A21" s="7" t="inlineStr">
        <is>
          <t>Ⅱ 計画策定業務</t>
        </is>
      </c>
      <c r="B21" s="32" t="inlineStr">
        <is>
          <t>Ⅱ(3)③</t>
        </is>
      </c>
      <c r="C21" s="7" t="inlineStr">
        <is>
          <t>障がい児通所支援等の見込量の推計</t>
        </is>
      </c>
      <c r="D21" s="7" t="inlineStr">
        <is>
          <t>北塩原村_サービス見込量.xlsx（04_積上げ_障害児通所支援）</t>
        </is>
      </c>
      <c r="E21" s="27" t="inlineStr">
        <is>
          <t>村資料待ち</t>
        </is>
      </c>
      <c r="F21" s="9" t="n">
        <v>0.35</v>
      </c>
      <c r="G21" s="32" t="inlineStr">
        <is>
          <t>当社</t>
        </is>
      </c>
      <c r="H21" s="26" t="inlineStr">
        <is>
          <t>2026-10-31</t>
        </is>
      </c>
      <c r="I21" s="7" t="inlineStr">
        <is>
          <t>利用児童の学年と就学予定年度、令和6・7年度の給付費変動理由を確認する</t>
        </is>
      </c>
    </row>
    <row r="22" ht="44" customHeight="1">
      <c r="A22" s="4" t="inlineStr">
        <is>
          <t>Ⅱ 計画策定業務</t>
        </is>
      </c>
      <c r="B22" s="30" t="inlineStr">
        <is>
          <t>Ⅱ(3)④</t>
        </is>
      </c>
      <c r="C22" s="4" t="inlineStr">
        <is>
          <t>地域生活支援事業の見込量の推計</t>
        </is>
      </c>
      <c r="D22" s="4" t="inlineStr">
        <is>
          <t>北塩原村_地域生活支援事業.xlsx（4シート）／骨子案修正版 第5章9「事業ごとの実施に関する考え方」</t>
        </is>
      </c>
      <c r="E22" s="35" t="inlineStr">
        <is>
          <t>作業中</t>
        </is>
      </c>
      <c r="F22" s="6" t="n">
        <v>0.55</v>
      </c>
      <c r="G22" s="30" t="inlineStr">
        <is>
          <t>当社</t>
        </is>
      </c>
      <c r="H22" s="22" t="inlineStr">
        <is>
          <t>2026-10-31</t>
        </is>
      </c>
      <c r="I22" s="4" t="inlineStr">
        <is>
          <t>告示第三の二の3が定める4事項との対応を確認し、不足していた「事業ごとの実施に関する考え方」を計画本文に追加。移動支援0人の理由、福祉ホームの実績と見込の逆転、見込量表に行がない2事業（法人後見支援・手話奉仕員養成研修）の扱いを村へ確認する。事業別の事業費・補助額・村負担額も未受領</t>
        </is>
      </c>
    </row>
    <row r="23" ht="44" customHeight="1">
      <c r="A23" s="7" t="inlineStr">
        <is>
          <t>Ⅱ 計画策定業務</t>
        </is>
      </c>
      <c r="B23" s="32" t="inlineStr">
        <is>
          <t>Ⅱ(3)⑤</t>
        </is>
      </c>
      <c r="C23" s="7" t="inlineStr">
        <is>
          <t>成果目標及び活動指標の設定</t>
        </is>
      </c>
      <c r="D23" s="7" t="inlineStr">
        <is>
          <t>骨子案修正版 第4章（成果目標8項目）・第5章10（活動指標）／北塩原村_活動指標.xlsx（4シート）</t>
        </is>
      </c>
      <c r="E23" s="35" t="inlineStr">
        <is>
          <t>作業中</t>
        </is>
      </c>
      <c r="F23" s="9" t="n">
        <v>0.7</v>
      </c>
      <c r="G23" s="32" t="inlineStr">
        <is>
          <t>当社</t>
        </is>
      </c>
      <c r="H23" s="26" t="inlineStr">
        <is>
          <t>2026-10-31</t>
        </is>
      </c>
      <c r="I23" s="7" t="inlineStr">
        <is>
          <t>活動指標は骨子案に節・表がなく未着手だったが、告示別表第一の83項目から本村分65項目を抽出し、必須33（サービスの見込量に相当）と任意（第三の四㈡）を区分した上で第5章10として新設。成果目標は令和7年度末の施設入所者数等の基準値を受領するまで数値が確定しない</t>
        </is>
      </c>
    </row>
    <row r="24" ht="44" customHeight="1">
      <c r="A24" s="4" t="inlineStr">
        <is>
          <t>Ⅱ 計画策定業務</t>
        </is>
      </c>
      <c r="B24" s="30" t="inlineStr">
        <is>
          <t>Ⅱ(4)</t>
        </is>
      </c>
      <c r="C24" s="4" t="inlineStr">
        <is>
          <t>現行計画の成果と課題を踏まえた障がい者福祉施策の検討</t>
        </is>
      </c>
      <c r="D24" s="4" t="inlineStr">
        <is>
          <t>骨子案修正版 第3章（再構成済み）／北塩原村_現行計画評価.xlsx（03・06）</t>
        </is>
      </c>
      <c r="E24" s="34" t="inlineStr">
        <is>
          <t>概ね完了</t>
        </is>
      </c>
      <c r="F24" s="6" t="n">
        <v>0.85</v>
      </c>
      <c r="G24" s="30" t="inlineStr">
        <is>
          <t>当社</t>
        </is>
      </c>
      <c r="H24" s="22" t="inlineStr">
        <is>
          <t>2026-11-30</t>
        </is>
      </c>
      <c r="I24" s="4" t="inlineStr">
        <is>
          <t>第3章を「計画の基本理念・基本目標及び施策体系」へ再構成し、第8期で加わる視点と施策体系の対応表を新設。中間年評価の実績値の反映が残る</t>
        </is>
      </c>
    </row>
    <row r="25" ht="44" customHeight="1">
      <c r="A25" s="7" t="inlineStr">
        <is>
          <t>Ⅱ 計画策定業務</t>
        </is>
      </c>
      <c r="B25" s="32" t="inlineStr">
        <is>
          <t>Ⅱ(5)</t>
        </is>
      </c>
      <c r="C25" s="7" t="inlineStr">
        <is>
          <t>計画案の検討・作成（8事項）。国基本指針・県計画・村関連計画との整合。</t>
        </is>
      </c>
      <c r="D25" s="7" t="inlineStr">
        <is>
          <t>骨子案修正版（全8章。第2章6・第3章・第5章1・2・11を新設又は再構成）</t>
        </is>
      </c>
      <c r="E25" s="35" t="inlineStr">
        <is>
          <t>作業中</t>
        </is>
      </c>
      <c r="F25" s="9" t="n">
        <v>0.7</v>
      </c>
      <c r="G25" s="32" t="inlineStr">
        <is>
          <t>当社</t>
        </is>
      </c>
      <c r="H25" s="26" t="inlineStr">
        <is>
          <t>2026-12-31</t>
        </is>
      </c>
      <c r="I25" s="7" t="inlineStr">
        <is>
          <t>8事項のうち①基本理念・基本目標と②施策体系を第3章で措置済み。③〜⑦は村資料の受領後に数値を確定する。⑧推進体制は第1章6</t>
        </is>
      </c>
    </row>
    <row r="26" ht="44" customHeight="1">
      <c r="A26" s="4" t="inlineStr">
        <is>
          <t>Ⅱ 計画策定業務</t>
        </is>
      </c>
      <c r="B26" s="30" t="inlineStr">
        <is>
          <t>Ⅱ(6)</t>
        </is>
      </c>
      <c r="C26" s="4" t="inlineStr">
        <is>
          <t>自立支援協議会での審議、パブリックコメントを経た計画書の最終取りまとめ</t>
        </is>
      </c>
      <c r="D26" s="4" t="inlineStr">
        <is>
          <t>―</t>
        </is>
      </c>
      <c r="E26" s="28" t="inlineStr">
        <is>
          <t>未着手</t>
        </is>
      </c>
      <c r="F26" s="6" t="n">
        <v>0</v>
      </c>
      <c r="G26" s="30" t="inlineStr">
        <is>
          <t>当社</t>
        </is>
      </c>
      <c r="H26" s="22" t="inlineStr">
        <is>
          <t>2027-03-15</t>
        </is>
      </c>
      <c r="I26" s="4" t="inlineStr">
        <is>
          <t>協議会・パブコメの実施後</t>
        </is>
      </c>
    </row>
    <row r="27" ht="44" customHeight="1">
      <c r="A27" s="7" t="inlineStr">
        <is>
          <t>Ⅱ 計画策定業務</t>
        </is>
      </c>
      <c r="B27" s="32" t="inlineStr">
        <is>
          <t>Ⅱ(7)</t>
        </is>
      </c>
      <c r="C27" s="7" t="inlineStr">
        <is>
          <t>計画策定委員会の支援（会議資料の作成、会議への出席、会議記録の作成）。協議会の開催は村</t>
        </is>
      </c>
      <c r="D27" s="7" t="inlineStr">
        <is>
          <t>output/会議資料/（協議会資料1・2・8、庁議資料2・4の5点を作成済み）／北塩原村_協議会等資料_構成案.md（協議会9資料・庁議4資料・パブコメ資料の構成と論点）</t>
        </is>
      </c>
      <c r="E27" s="35" t="inlineStr">
        <is>
          <t>作業中</t>
        </is>
      </c>
      <c r="F27" s="9" t="n">
        <v>0.45</v>
      </c>
      <c r="G27" s="32" t="inlineStr">
        <is>
          <t>当社</t>
        </is>
      </c>
      <c r="H27" s="26" t="inlineStr">
        <is>
          <t>2026-12-31</t>
        </is>
      </c>
      <c r="I27" s="7" t="inlineStr">
        <is>
          <t>村資料に依存しない5資料を作成済み。残る資料3〜7・9は村資料の受領後に作成する。協議会が令和8年12月の1回のみで第8期の審議事項を賄えるか、2回への分割を村と協議する。開催日の確定後、会議記録の様式（「計画への反映」欄を設ける案）を村と合意する</t>
        </is>
      </c>
    </row>
    <row r="28" ht="44" customHeight="1">
      <c r="A28" s="4" t="inlineStr">
        <is>
          <t>Ⅲ 打合せ等業務</t>
        </is>
      </c>
      <c r="B28" s="30" t="inlineStr">
        <is>
          <t>Ⅲ</t>
        </is>
      </c>
      <c r="C28" s="4" t="inlineStr">
        <is>
          <t>計画策定業務実施中の電話及び面談（オンライン・対面）による打合せ</t>
        </is>
      </c>
      <c r="D28" s="4" t="inlineStr">
        <is>
          <t>令和8年7月7日 打合せ（村役場）実施済／議事録作成済</t>
        </is>
      </c>
      <c r="E28" s="36" t="inlineStr">
        <is>
          <t>継続実施</t>
        </is>
      </c>
      <c r="F28" s="6" t="n">
        <v>0.4</v>
      </c>
      <c r="G28" s="30" t="inlineStr">
        <is>
          <t>当社</t>
        </is>
      </c>
      <c r="H28" s="22" t="inlineStr">
        <is>
          <t>2027-03-31</t>
        </is>
      </c>
      <c r="I28" s="4" t="inlineStr">
        <is>
          <t>次回打合せの設定。アンケート発送前の確認事項（印刷仕様・郵送費・ラベル）を議題とする</t>
        </is>
      </c>
    </row>
    <row r="29" ht="44" customHeight="1">
      <c r="A29" s="7" t="inlineStr">
        <is>
          <t>成果品</t>
        </is>
      </c>
      <c r="B29" s="32" t="inlineStr">
        <is>
          <t>成果品①</t>
        </is>
      </c>
      <c r="C29" s="7" t="inlineStr">
        <is>
          <t>障がい福祉計画書　A4判・両面約60頁・モノクロ・コピー・くるみ製本　30部</t>
        </is>
      </c>
      <c r="D29" s="7" t="inlineStr">
        <is>
          <t>骨子案修正版（目次整理済・推定58頁）／分量配分計画（docs・進捗管理08）／北塩原村_目次構成_前回対比.xlsx</t>
        </is>
      </c>
      <c r="E29" s="35" t="inlineStr">
        <is>
          <t>作業中</t>
        </is>
      </c>
      <c r="F29" s="9" t="n">
        <v>0.45</v>
      </c>
      <c r="G29" s="32" t="inlineStr">
        <is>
          <t>当社</t>
        </is>
      </c>
      <c r="H29" s="26" t="inlineStr">
        <is>
          <t>2027-03-31</t>
        </is>
      </c>
      <c r="I29" s="7" t="inlineStr">
        <is>
          <t>現行計画の本文57頁の章別配分を基準に、章ごとの目標頁数を設定済み（合計60頁）。現在の本文は注記を除き約45頁で15頁の余地がある。第5章に20頁を配分。第1章の原稿確定後に実組版で1頁あたりの文字数を実測し配分計画を補正する</t>
        </is>
      </c>
    </row>
    <row r="30" ht="44" customHeight="1">
      <c r="A30" s="4" t="inlineStr">
        <is>
          <t>成果品</t>
        </is>
      </c>
      <c r="B30" s="30" t="inlineStr">
        <is>
          <t>成果品②</t>
        </is>
      </c>
      <c r="C30" s="4" t="inlineStr">
        <is>
          <t>アンケート調査報告書　A4判・両面約60頁・モノクロ・コピー・ホチキス製本　10部</t>
        </is>
      </c>
      <c r="D30" s="4" t="inlineStr">
        <is>
          <t>―</t>
        </is>
      </c>
      <c r="E30" s="28" t="inlineStr">
        <is>
          <t>未着手</t>
        </is>
      </c>
      <c r="F30" s="6" t="n">
        <v>0</v>
      </c>
      <c r="G30" s="30" t="inlineStr">
        <is>
          <t>当社</t>
        </is>
      </c>
      <c r="H30" s="22" t="inlineStr">
        <is>
          <t>2027-03-31</t>
        </is>
      </c>
      <c r="I30" s="4" t="inlineStr">
        <is>
          <t>集計完了後に着手</t>
        </is>
      </c>
    </row>
    <row r="31" ht="44" customHeight="1">
      <c r="A31" s="7" t="inlineStr">
        <is>
          <t>成果品</t>
        </is>
      </c>
      <c r="B31" s="32" t="inlineStr">
        <is>
          <t>成果品③</t>
        </is>
      </c>
      <c r="C31" s="7" t="inlineStr">
        <is>
          <t>成果品及び関連データを収録した電子媒体（Word・Excel・PowerPoint・PDF等）CD-R等一式</t>
        </is>
      </c>
      <c r="D31" s="7" t="inlineStr">
        <is>
          <t>管理ブック4本（将来推計・サービス見込量・財源構成案・業務進捗管理）</t>
        </is>
      </c>
      <c r="E31" s="35" t="inlineStr">
        <is>
          <t>作業中</t>
        </is>
      </c>
      <c r="F31" s="9" t="n">
        <v>0.3</v>
      </c>
      <c r="G31" s="32" t="inlineStr">
        <is>
          <t>当社</t>
        </is>
      </c>
      <c r="H31" s="26" t="inlineStr">
        <is>
          <t>2027-03-31</t>
        </is>
      </c>
      <c r="I31" s="7" t="inlineStr">
        <is>
          <t>納品時の収録範囲を確定する。管理ブックを収録対象とするか村と確認</t>
        </is>
      </c>
    </row>
    <row r="32" ht="44" customHeight="1">
      <c r="A32" s="4" t="inlineStr">
        <is>
          <t>契約管理</t>
        </is>
      </c>
      <c r="B32" s="30" t="inlineStr">
        <is>
          <t>管理1</t>
        </is>
      </c>
      <c r="C32" s="4" t="inlineStr">
        <is>
          <t>印刷仕様の差異（仕様書：A4判・約24ページ・黒1色の1種類）</t>
        </is>
      </c>
      <c r="D32" s="4" t="inlineStr">
        <is>
          <t>0728版は障がい者版34ページ・障がい児版37ページの2種類</t>
        </is>
      </c>
      <c r="E32" s="25" t="inlineStr">
        <is>
          <t>要協議</t>
        </is>
      </c>
      <c r="F32" s="6" t="n">
        <v>0</v>
      </c>
      <c r="G32" s="30" t="inlineStr">
        <is>
          <t>当社／北塩原村</t>
        </is>
      </c>
      <c r="H32" s="22" t="inlineStr">
        <is>
          <t>2026-08-05</t>
        </is>
      </c>
      <c r="I32" s="4" t="inlineStr">
        <is>
          <t>ページ数・種類数・部数・単価の取扱いを村と協議し、結果を記録する</t>
        </is>
      </c>
    </row>
    <row r="33" ht="44" customHeight="1">
      <c r="A33" s="7" t="inlineStr">
        <is>
          <t>契約管理</t>
        </is>
      </c>
      <c r="B33" s="32" t="inlineStr">
        <is>
          <t>管理2</t>
        </is>
      </c>
      <c r="C33" s="7" t="inlineStr">
        <is>
          <t>郵送費の負担（仕様書：発送及び回収に係る費用は受託者の負担）</t>
        </is>
      </c>
      <c r="D33" s="7" t="inlineStr">
        <is>
          <t>7/7打合せ：郵便料金は村が郵便局へ立替え、後日実費を当社へ請求・精算する方向</t>
        </is>
      </c>
      <c r="E33" s="25" t="inlineStr">
        <is>
          <t>要協議</t>
        </is>
      </c>
      <c r="F33" s="9" t="n">
        <v>0.2</v>
      </c>
      <c r="G33" s="32" t="inlineStr">
        <is>
          <t>当社／北塩原村</t>
        </is>
      </c>
      <c r="H33" s="26" t="inlineStr">
        <is>
          <t>2026-08-05</t>
        </is>
      </c>
      <c r="I33" s="7" t="inlineStr">
        <is>
          <t>精算方法・範囲・上限を書面で確認する</t>
        </is>
      </c>
    </row>
    <row r="34" ht="44" customHeight="1">
      <c r="A34" s="4" t="inlineStr">
        <is>
          <t>契約管理</t>
        </is>
      </c>
      <c r="B34" s="30" t="inlineStr">
        <is>
          <t>管理3</t>
        </is>
      </c>
      <c r="C34" s="4" t="inlineStr">
        <is>
          <t>発送・回収の運用変更（村封筒使用、村役場一括受領、窓口回収）</t>
        </is>
      </c>
      <c r="D34" s="4" t="inlineStr">
        <is>
          <t>7/7議事録に記載済</t>
        </is>
      </c>
      <c r="E34" s="35" t="inlineStr">
        <is>
          <t>作業中</t>
        </is>
      </c>
      <c r="F34" s="6" t="n">
        <v>0.5</v>
      </c>
      <c r="G34" s="30" t="inlineStr">
        <is>
          <t>当社／北塩原村</t>
        </is>
      </c>
      <c r="H34" s="22" t="inlineStr">
        <is>
          <t>2026-08-05</t>
        </is>
      </c>
      <c r="I34" s="4" t="inlineStr">
        <is>
          <t>仕様書Ⅰ(4)との差異として記録化し、受渡し日程・記録方法・個人情報の受渡し手順を取り決める</t>
        </is>
      </c>
    </row>
    <row r="35" ht="44" customHeight="1">
      <c r="A35" s="7" t="inlineStr">
        <is>
          <t>契約管理</t>
        </is>
      </c>
      <c r="B35" s="32" t="inlineStr">
        <is>
          <t>管理4</t>
        </is>
      </c>
      <c r="C35" s="7" t="inlineStr">
        <is>
          <t>追加業務の位置づけ（補足ヒアリング調査、財政負担の可視化）</t>
        </is>
      </c>
      <c r="D35" s="7" t="inlineStr">
        <is>
          <t>7/7議事録に記載。財政負担は財源構成案ブックで対応中</t>
        </is>
      </c>
      <c r="E35" s="25" t="inlineStr">
        <is>
          <t>要協議</t>
        </is>
      </c>
      <c r="F35" s="9" t="n">
        <v>0.3</v>
      </c>
      <c r="G35" s="32" t="inlineStr">
        <is>
          <t>当社</t>
        </is>
      </c>
      <c r="H35" s="26" t="inlineStr">
        <is>
          <t>2026-09-30</t>
        </is>
      </c>
      <c r="I35" s="7" t="inlineStr">
        <is>
          <t>仕様書に明示のない業務のため、範囲・工数・対象機関を整理して協議する</t>
        </is>
      </c>
    </row>
    <row r="36" ht="44" customHeight="1">
      <c r="A36" s="4" t="inlineStr">
        <is>
          <t>契約管理</t>
        </is>
      </c>
      <c r="B36" s="30" t="inlineStr">
        <is>
          <t>管理5</t>
        </is>
      </c>
      <c r="C36" s="4" t="inlineStr">
        <is>
          <t>対象者数の確定（仕様書 約190人 と 現行計画 156人 の差）</t>
        </is>
      </c>
      <c r="D36" s="4" t="inlineStr">
        <is>
          <t>将来推計.xlsx 04_推計の不確実性 に突合表</t>
        </is>
      </c>
      <c r="E36" s="27" t="inlineStr">
        <is>
          <t>村資料待ち</t>
        </is>
      </c>
      <c r="F36" s="6" t="n">
        <v>0.1</v>
      </c>
      <c r="G36" s="30" t="inlineStr">
        <is>
          <t>北塩原村</t>
        </is>
      </c>
      <c r="H36" s="22" t="inlineStr">
        <is>
          <t>2026-08-05</t>
        </is>
      </c>
      <c r="I36" s="4" t="inlineStr">
        <is>
          <t>回収率の分母・集計母数・管理番号設計に直結する。発送前に確定が必要</t>
        </is>
      </c>
    </row>
    <row r="37" ht="44" customHeight="1">
      <c r="A37" s="7" t="inlineStr">
        <is>
          <t>契約管理</t>
        </is>
      </c>
      <c r="B37" s="32" t="inlineStr">
        <is>
          <t>管理6</t>
        </is>
      </c>
      <c r="C37" s="7" t="inlineStr">
        <is>
          <t>計画書の編集所管課の表記（仕様書：保健福祉課福祉係／骨子案奥付：住民課）</t>
        </is>
      </c>
      <c r="D37" s="7" t="inlineStr">
        <is>
          <t>骨子案修正版の奥付を「保健福祉課福祉係」に確定</t>
        </is>
      </c>
      <c r="E37" s="33" t="inlineStr">
        <is>
          <t>完了</t>
        </is>
      </c>
      <c r="F37" s="9" t="n">
        <v>1</v>
      </c>
      <c r="G37" s="32" t="inlineStr">
        <is>
          <t>北塩原村</t>
        </is>
      </c>
      <c r="H37" s="26" t="inlineStr">
        <is>
          <t>2026-08-14</t>
        </is>
      </c>
      <c r="I37" s="7" t="inlineStr">
        <is>
          <t>令和8年8月の調査票修正指示で、問合せ先が「医療福祉班」から「保健福祉課 福祉係」に修正されたことにより確定。現行計画が障がい者相談支援事業の実施主体を住民課としている記載は組織改編前のものとして整理する</t>
        </is>
      </c>
    </row>
    <row r="38" ht="44" customHeight="1">
      <c r="A38" s="4" t="inlineStr">
        <is>
          <t>契約管理</t>
        </is>
      </c>
      <c r="B38" s="30" t="inlineStr">
        <is>
          <t>管理7</t>
        </is>
      </c>
      <c r="C38" s="4" t="inlineStr">
        <is>
          <t>守秘義務・再委託の禁止・契約約款の遵守</t>
        </is>
      </c>
      <c r="D38" s="4" t="inlineStr">
        <is>
          <t>仕様書6。個人情報を含む資料は内部管理とし、公表用報告書と分離</t>
        </is>
      </c>
      <c r="E38" s="36" t="inlineStr">
        <is>
          <t>継続実施</t>
        </is>
      </c>
      <c r="F38" s="6" t="n">
        <v>0.5</v>
      </c>
      <c r="G38" s="30" t="inlineStr">
        <is>
          <t>当社</t>
        </is>
      </c>
      <c r="H38" s="22" t="inlineStr">
        <is>
          <t>2027-03-31</t>
        </is>
      </c>
      <c r="I38" s="4" t="inlineStr">
        <is>
          <t>アンケート回収物の受渡し手順、匿名利用者一覧の取扱いを明文化する</t>
        </is>
      </c>
    </row>
    <row r="40" ht="32" customHeight="1">
      <c r="A40" s="2" t="inlineStr">
        <is>
          <t>状態の凡例：完了／概ね完了（残作業が確認レベル）／作業中／継続実施（業務期間を通じて実施）／未着手／村資料待ち（当社側の作業は終えており村の資料受領で進む）／要協議（村との協議が必要）／村側作業（仕様書上、村が実施する）。</t>
        </is>
      </c>
    </row>
  </sheetData>
  <autoFilter ref="A5:I38"/>
  <mergeCells count="3">
    <mergeCell ref="A1:I1"/>
    <mergeCell ref="A40:I40"/>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40" customWidth="1" min="3" max="3"/>
    <col width="12" customWidth="1" min="4" max="4"/>
    <col width="12" customWidth="1" min="5" max="5"/>
    <col width="14" customWidth="1" min="6" max="6"/>
    <col width="44" customWidth="1" min="7" max="7"/>
  </cols>
  <sheetData>
    <row r="1" ht="30" customHeight="1">
      <c r="A1" s="29" t="inlineStr">
        <is>
          <t>成果品の管理（仕様書5）</t>
        </is>
      </c>
    </row>
    <row r="2" ht="30" customHeight="1">
      <c r="A2" s="2" t="inlineStr">
        <is>
          <t>納品する成果品の仕様と進捗です。仕様書5に定める3点に加え、納品時に電子媒体へ収録する関連データを整理します。</t>
        </is>
      </c>
    </row>
    <row r="5" ht="30" customHeight="1">
      <c r="A5" s="3" t="inlineStr">
        <is>
          <t>区分</t>
        </is>
      </c>
      <c r="B5" s="3" t="inlineStr">
        <is>
          <t>成果品</t>
        </is>
      </c>
      <c r="C5" s="3" t="inlineStr">
        <is>
          <t>仕様</t>
        </is>
      </c>
      <c r="D5" s="3" t="inlineStr">
        <is>
          <t>部数</t>
        </is>
      </c>
      <c r="E5" s="3" t="inlineStr">
        <is>
          <t>状態</t>
        </is>
      </c>
      <c r="F5" s="3" t="inlineStr">
        <is>
          <t>進捗率</t>
        </is>
      </c>
      <c r="G5" s="3" t="inlineStr">
        <is>
          <t>備考</t>
        </is>
      </c>
    </row>
    <row r="6" ht="44" customHeight="1">
      <c r="A6" s="30" t="inlineStr">
        <is>
          <t>①</t>
        </is>
      </c>
      <c r="B6" s="4" t="inlineStr">
        <is>
          <t>障がい福祉計画書</t>
        </is>
      </c>
      <c r="C6" s="4" t="inlineStr">
        <is>
          <t>A4判、両面約60頁、モノクロ印刷、コピー・くるみ製本</t>
        </is>
      </c>
      <c r="D6" s="30" t="inlineStr">
        <is>
          <t>30部</t>
        </is>
      </c>
      <c r="E6" s="35" t="inlineStr">
        <is>
          <t>作業中</t>
        </is>
      </c>
      <c r="F6" s="6" t="n">
        <v>0.4</v>
      </c>
      <c r="G6" s="4" t="inlineStr">
        <is>
          <t>骨子案修正版が原型。全8章＋新設5節。アンケート結果・実績データの反映後に確定</t>
        </is>
      </c>
    </row>
    <row r="7" ht="44" customHeight="1">
      <c r="A7" s="32" t="inlineStr">
        <is>
          <t>②</t>
        </is>
      </c>
      <c r="B7" s="7" t="inlineStr">
        <is>
          <t>アンケート調査報告書</t>
        </is>
      </c>
      <c r="C7" s="7" t="inlineStr">
        <is>
          <t>A4判、両面約60頁、モノクロ印刷、コピー・ホチキス製本</t>
        </is>
      </c>
      <c r="D7" s="32" t="inlineStr">
        <is>
          <t>10部</t>
        </is>
      </c>
      <c r="E7" s="28" t="inlineStr">
        <is>
          <t>未着手</t>
        </is>
      </c>
      <c r="F7" s="9" t="n">
        <v>0</v>
      </c>
      <c r="G7" s="7" t="inlineStr">
        <is>
          <t>設問ごとのグラフと分析。集計完了後に着手</t>
        </is>
      </c>
    </row>
    <row r="8" ht="44" customHeight="1">
      <c r="A8" s="30" t="inlineStr">
        <is>
          <t>③</t>
        </is>
      </c>
      <c r="B8" s="4" t="inlineStr">
        <is>
          <t>電子媒体</t>
        </is>
      </c>
      <c r="C8" s="4" t="inlineStr">
        <is>
          <t>上記成果品及び関連データを収録（Word、Excel、PowerPoint、PDF形式等）CD-R等</t>
        </is>
      </c>
      <c r="D8" s="30" t="inlineStr">
        <is>
          <t>一式</t>
        </is>
      </c>
      <c r="E8" s="35" t="inlineStr">
        <is>
          <t>作業中</t>
        </is>
      </c>
      <c r="F8" s="6" t="n">
        <v>0.3</v>
      </c>
      <c r="G8" s="4" t="inlineStr">
        <is>
          <t>収録範囲を村と確認する</t>
        </is>
      </c>
    </row>
    <row r="10">
      <c r="A10" s="13" t="inlineStr">
        <is>
          <t>電子媒体への収録候補</t>
        </is>
      </c>
    </row>
    <row r="11" ht="30" customHeight="1">
      <c r="A11" s="3" t="inlineStr">
        <is>
          <t>区分</t>
        </is>
      </c>
      <c r="B11" s="3" t="inlineStr">
        <is>
          <t>ファイル</t>
        </is>
      </c>
      <c r="C11" s="3" t="inlineStr">
        <is>
          <t>内容</t>
        </is>
      </c>
      <c r="D11" s="3" t="inlineStr"/>
      <c r="E11" s="3" t="inlineStr">
        <is>
          <t>状態</t>
        </is>
      </c>
      <c r="F11" s="3" t="inlineStr"/>
      <c r="G11" s="3" t="inlineStr">
        <is>
          <t>備考</t>
        </is>
      </c>
    </row>
    <row r="12" ht="28" customHeight="1">
      <c r="A12" s="30" t="inlineStr">
        <is>
          <t>計画書</t>
        </is>
      </c>
      <c r="B12" s="4" t="inlineStr">
        <is>
          <t>北塩原村_計画素案.docx</t>
        </is>
      </c>
      <c r="C12" s="4" t="inlineStr">
        <is>
          <t>計画書本編のドラフト</t>
        </is>
      </c>
      <c r="D12" s="24" t="n"/>
      <c r="E12" s="35" t="inlineStr">
        <is>
          <t>作業中</t>
        </is>
      </c>
      <c r="F12" s="24" t="n"/>
      <c r="G12" s="4" t="inlineStr">
        <is>
          <t>全8章。第2章6・第5章1・第5章2・第5章11を新設済み</t>
        </is>
      </c>
    </row>
    <row r="13" ht="28" customHeight="1">
      <c r="A13" s="32" t="inlineStr">
        <is>
          <t>計画書</t>
        </is>
      </c>
      <c r="B13" s="7" t="inlineStr">
        <is>
          <t>北塩原村_計画素案_概要版.docx</t>
        </is>
      </c>
      <c r="C13" s="7" t="inlineStr">
        <is>
          <t>住民向けの概要版（A4・4頁）</t>
        </is>
      </c>
      <c r="D13" s="24" t="n"/>
      <c r="E13" s="35" t="inlineStr">
        <is>
          <t>作業中</t>
        </is>
      </c>
      <c r="F13" s="24" t="n"/>
      <c r="G13" s="7" t="inlineStr">
        <is>
          <t>令和8年9月17日に村の指示により作成。仕様書5の成果品3点には含まれていない</t>
        </is>
      </c>
    </row>
    <row r="14" ht="28" customHeight="1">
      <c r="A14" s="30" t="inlineStr">
        <is>
          <t>推計</t>
        </is>
      </c>
      <c r="B14" s="4" t="inlineStr">
        <is>
          <t>北塩原村_将来推計.xlsx</t>
        </is>
      </c>
      <c r="C14" s="4" t="inlineStr">
        <is>
          <t>人口推計・手帳所持者数の将来推計（8シート）</t>
        </is>
      </c>
      <c r="D14" s="24" t="n"/>
      <c r="E14" s="35" t="inlineStr">
        <is>
          <t>作業中</t>
        </is>
      </c>
      <c r="F14" s="24" t="n"/>
      <c r="G14" s="4" t="inlineStr">
        <is>
          <t>方法A・B・中位、不確実性の定量評価、年齢階級別推計（方法C）</t>
        </is>
      </c>
    </row>
    <row r="15" ht="28" customHeight="1">
      <c r="A15" s="32" t="inlineStr">
        <is>
          <t>推計</t>
        </is>
      </c>
      <c r="B15" s="7" t="inlineStr">
        <is>
          <t>北塩原村_サービス見込量.xlsx</t>
        </is>
      </c>
      <c r="C15" s="7" t="inlineStr">
        <is>
          <t>サービス見込量の個別積上げ（13シート）</t>
        </is>
      </c>
      <c r="D15" s="24" t="n"/>
      <c r="E15" s="35" t="inlineStr">
        <is>
          <t>作業中</t>
        </is>
      </c>
      <c r="F15" s="24" t="n"/>
      <c r="G15" s="7" t="inlineStr">
        <is>
          <t>年齢到達者一覧、65歳移行判定、供給制約、告示別表第一根拠、別表第五判定を含む</t>
        </is>
      </c>
    </row>
    <row r="16" ht="28" customHeight="1">
      <c r="A16" s="30" t="inlineStr">
        <is>
          <t>推計</t>
        </is>
      </c>
      <c r="B16" s="4" t="inlineStr">
        <is>
          <t>北塩原村_活動指標.xlsx</t>
        </is>
      </c>
      <c r="C16" s="4" t="inlineStr">
        <is>
          <t>活動指標の設定（4シート）</t>
        </is>
      </c>
      <c r="D16" s="24" t="n"/>
      <c r="E16" s="35" t="inlineStr">
        <is>
          <t>作業中</t>
        </is>
      </c>
      <c r="F16" s="24" t="n"/>
      <c r="G16" s="4" t="inlineStr">
        <is>
          <t>別表第一の83項目。必須33・任意。仕様書4-Ⅱ(3)⑤に対応</t>
        </is>
      </c>
    </row>
    <row r="17" ht="28" customHeight="1">
      <c r="A17" s="32" t="inlineStr">
        <is>
          <t>資源</t>
        </is>
      </c>
      <c r="B17" s="7" t="inlineStr">
        <is>
          <t>北塩原村_圏域サービス資源.xlsx</t>
        </is>
      </c>
      <c r="C17" s="7" t="inlineStr">
        <is>
          <t>圏域の事業所数（5シート）</t>
        </is>
      </c>
      <c r="D17" s="24" t="n"/>
      <c r="E17" s="33" t="inlineStr">
        <is>
          <t>完了</t>
        </is>
      </c>
      <c r="F17" s="24" t="n"/>
      <c r="G17" s="7" t="inlineStr">
        <is>
          <t>ReMHRAD障害福祉資源18サービス×市町村別、2020→2025</t>
        </is>
      </c>
    </row>
    <row r="18" ht="28" customHeight="1">
      <c r="A18" s="30" t="inlineStr">
        <is>
          <t>精神</t>
        </is>
      </c>
      <c r="B18" s="4" t="inlineStr">
        <is>
          <t>福島県_精神医療指標抽出.xlsx</t>
        </is>
      </c>
      <c r="C18" s="4" t="inlineStr">
        <is>
          <t>福島県の精神医療指標（7シート）</t>
        </is>
      </c>
      <c r="D18" s="24" t="n"/>
      <c r="E18" s="33" t="inlineStr">
        <is>
          <t>完了</t>
        </is>
      </c>
      <c r="F18" s="24" t="n"/>
      <c r="G18" s="4" t="inlineStr">
        <is>
          <t>平均生活日数・再入院率・長期入院患者・別表第四の当てはめ・村の在院者</t>
        </is>
      </c>
    </row>
    <row r="19" ht="28" customHeight="1">
      <c r="A19" s="32" t="inlineStr">
        <is>
          <t>財源</t>
        </is>
      </c>
      <c r="B19" s="7" t="inlineStr">
        <is>
          <t>北塩原村_財源構成案.xlsx</t>
        </is>
      </c>
      <c r="C19" s="7" t="inlineStr">
        <is>
          <t>国・県・村の負担内訳（10シート）</t>
        </is>
      </c>
      <c r="D19" s="24" t="n"/>
      <c r="E19" s="35" t="inlineStr">
        <is>
          <t>作業中</t>
        </is>
      </c>
      <c r="F19" s="24" t="n"/>
      <c r="G19" s="7" t="inlineStr">
        <is>
          <t>給付実績R2〜R7、財源構成試算、見込量×単価の積上げ</t>
        </is>
      </c>
    </row>
    <row r="20" ht="28" customHeight="1">
      <c r="A20" s="30" t="inlineStr">
        <is>
          <t>評価</t>
        </is>
      </c>
      <c r="B20" s="4" t="inlineStr">
        <is>
          <t>北塩原村_現行計画評価.xlsx</t>
        </is>
      </c>
      <c r="C20" s="4" t="inlineStr">
        <is>
          <t>現行計画の評価（7シート）</t>
        </is>
      </c>
      <c r="D20" s="24" t="n"/>
      <c r="E20" s="35" t="inlineStr">
        <is>
          <t>作業中</t>
        </is>
      </c>
      <c r="F20" s="24" t="n"/>
      <c r="G20" s="4" t="inlineStr">
        <is>
          <t>令和3〜5年度の見込量と実績の突合、成果目標・施策目標の評価</t>
        </is>
      </c>
    </row>
    <row r="21" ht="28" customHeight="1">
      <c r="A21" s="32" t="inlineStr">
        <is>
          <t>管理</t>
        </is>
      </c>
      <c r="B21" s="7" t="inlineStr">
        <is>
          <t>北塩原村_業務進捗管理.xlsx</t>
        </is>
      </c>
      <c r="C21" s="7" t="inlineStr">
        <is>
          <t>本ブック</t>
        </is>
      </c>
      <c r="D21" s="24" t="n"/>
      <c r="E21" s="35" t="inlineStr">
        <is>
          <t>作業中</t>
        </is>
      </c>
      <c r="F21" s="24" t="n"/>
      <c r="G21" s="7" t="inlineStr">
        <is>
          <t>納品対象とするか村と確認</t>
        </is>
      </c>
    </row>
    <row r="22" ht="28" customHeight="1">
      <c r="A22" s="30" t="inlineStr">
        <is>
          <t>調査</t>
        </is>
      </c>
      <c r="B22" s="4" t="inlineStr">
        <is>
          <t>0728北塩原村_障がい福祉アンケート調査票.docx</t>
        </is>
      </c>
      <c r="C22" s="4" t="inlineStr">
        <is>
          <t>調査票（障がい者版・52問）</t>
        </is>
      </c>
      <c r="D22" s="24" t="n"/>
      <c r="E22" s="34" t="inlineStr">
        <is>
          <t>概ね完了</t>
        </is>
      </c>
      <c r="F22" s="24" t="n"/>
      <c r="G22" s="4" t="inlineStr">
        <is>
          <t>最終目視確認が残</t>
        </is>
      </c>
    </row>
    <row r="23" ht="28" customHeight="1">
      <c r="A23" s="32" t="inlineStr">
        <is>
          <t>調査</t>
        </is>
      </c>
      <c r="B23" s="7" t="inlineStr">
        <is>
          <t>0728北塩原村_障がい児福祉アンケート調査票.docx</t>
        </is>
      </c>
      <c r="C23" s="7" t="inlineStr">
        <is>
          <t>調査票（障がい児版・51問）</t>
        </is>
      </c>
      <c r="D23" s="24" t="n"/>
      <c r="E23" s="34" t="inlineStr">
        <is>
          <t>概ね完了</t>
        </is>
      </c>
      <c r="F23" s="24" t="n"/>
      <c r="G23" s="7" t="inlineStr">
        <is>
          <t>ルビ構造の確認が残</t>
        </is>
      </c>
    </row>
    <row r="24" ht="28" customHeight="1">
      <c r="A24" s="30" t="inlineStr">
        <is>
          <t>調査</t>
        </is>
      </c>
      <c r="B24" s="4" t="inlineStr">
        <is>
          <t>Googleフォーム自動作成 Code（.gs）</t>
        </is>
      </c>
      <c r="C24" s="4" t="inlineStr">
        <is>
          <t>ウェブ回答フォームの生成スクリプト</t>
        </is>
      </c>
      <c r="D24" s="24" t="n"/>
      <c r="E24" s="34" t="inlineStr">
        <is>
          <t>概ね完了</t>
        </is>
      </c>
      <c r="F24" s="24" t="n"/>
      <c r="G24" s="4" t="inlineStr">
        <is>
          <t>選択肢順序の固定が残</t>
        </is>
      </c>
    </row>
    <row r="25" ht="28" customHeight="1">
      <c r="A25" s="32" t="inlineStr">
        <is>
          <t>実績</t>
        </is>
      </c>
      <c r="B25" s="7" t="inlineStr">
        <is>
          <t>北塩原村_障がいサービス給付実績_整理版.xlsx</t>
        </is>
      </c>
      <c r="C25" s="7" t="inlineStr">
        <is>
          <t>受領データの整理版（6シート）</t>
        </is>
      </c>
      <c r="D25" s="24" t="n"/>
      <c r="E25" s="33" t="inlineStr">
        <is>
          <t>完了</t>
        </is>
      </c>
      <c r="F25" s="24" t="n"/>
      <c r="G25" s="7" t="inlineStr">
        <is>
          <t>令和2〜7年度、介護給付費・障害児給付費</t>
        </is>
      </c>
    </row>
    <row r="26" ht="28" customHeight="1">
      <c r="A26" s="30" t="inlineStr">
        <is>
          <t>指標</t>
        </is>
      </c>
      <c r="B26" s="4" t="inlineStr">
        <is>
          <t>北塩原村_活動指標.xlsx</t>
        </is>
      </c>
      <c r="C26" s="4" t="inlineStr">
        <is>
          <t>活動指標の設定（4シート）</t>
        </is>
      </c>
      <c r="D26" s="24" t="n"/>
      <c r="E26" s="35" t="inlineStr">
        <is>
          <t>作業中</t>
        </is>
      </c>
      <c r="F26" s="24" t="n"/>
      <c r="G26" s="4" t="inlineStr">
        <is>
          <t>別表第一83項目。必須33・任意。仕様書4-Ⅱ(3)⑤</t>
        </is>
      </c>
    </row>
    <row r="27" ht="28" customHeight="1">
      <c r="A27" s="32" t="inlineStr">
        <is>
          <t>事業</t>
        </is>
      </c>
      <c r="B27" s="7" t="inlineStr">
        <is>
          <t>北塩原村_地域生活支援事業.xlsx</t>
        </is>
      </c>
      <c r="C27" s="7" t="inlineStr">
        <is>
          <t>地域生活支援事業（4シート）</t>
        </is>
      </c>
      <c r="D27" s="24" t="n"/>
      <c r="E27" s="35" t="inlineStr">
        <is>
          <t>作業中</t>
        </is>
      </c>
      <c r="F27" s="24" t="n"/>
      <c r="G27" s="7" t="inlineStr">
        <is>
          <t>必須15・任意3。告示第三の二の3の4事項との対応</t>
        </is>
      </c>
    </row>
    <row r="28" ht="28" customHeight="1">
      <c r="A28" s="30" t="inlineStr">
        <is>
          <t>会議</t>
        </is>
      </c>
      <c r="B28" s="4" t="inlineStr">
        <is>
          <t>会議資料/（5ファイル）</t>
        </is>
      </c>
      <c r="C28" s="4" t="inlineStr">
        <is>
          <t>協議会資料1・2・8、庁議資料2・4</t>
        </is>
      </c>
      <c r="D28" s="24" t="n"/>
      <c r="E28" s="35" t="inlineStr">
        <is>
          <t>作業中</t>
        </is>
      </c>
      <c r="F28" s="24" t="n"/>
      <c r="G28" s="4" t="inlineStr">
        <is>
          <t>村資料に依存しない資料。残りは村資料の受領後</t>
        </is>
      </c>
    </row>
    <row r="29" ht="28" customHeight="1">
      <c r="A29" s="32" t="inlineStr">
        <is>
          <t>村データ</t>
        </is>
      </c>
      <c r="B29" s="7" t="inlineStr">
        <is>
          <t>北塩原村_村提供実績データ.xlsx</t>
        </is>
      </c>
      <c r="C29" s="7" t="inlineStr">
        <is>
          <t>調査票の朱書きで判明した村の実データ（7シート）</t>
        </is>
      </c>
      <c r="D29" s="24" t="n"/>
      <c r="E29" s="33" t="inlineStr">
        <is>
          <t>完了</t>
        </is>
      </c>
      <c r="F29" s="24" t="n"/>
      <c r="G29" s="7" t="inlineStr">
        <is>
          <t>実データ9件・修正指示40か所・照会事項8件。骨子案 第4章(3)(4)(6)・第5章1へ反映済み</t>
        </is>
      </c>
    </row>
    <row r="30" ht="28" customHeight="1">
      <c r="A30" s="30" t="inlineStr">
        <is>
          <t>報告</t>
        </is>
      </c>
      <c r="B30" s="4" t="inlineStr">
        <is>
          <t>調査結果報告書（未作成）</t>
        </is>
      </c>
      <c r="C30" s="4" t="inlineStr">
        <is>
          <t>アンケート集計結果</t>
        </is>
      </c>
      <c r="D30" s="24" t="n"/>
      <c r="E30" s="28" t="inlineStr">
        <is>
          <t>未着手</t>
        </is>
      </c>
      <c r="F30" s="24" t="n"/>
      <c r="G30" s="4" t="inlineStr">
        <is>
          <t>集計後</t>
        </is>
      </c>
    </row>
  </sheetData>
  <mergeCells count="41">
    <mergeCell ref="E12:F12"/>
    <mergeCell ref="C24:D24"/>
    <mergeCell ref="C30:D30"/>
    <mergeCell ref="C15:D15"/>
    <mergeCell ref="E24:F24"/>
    <mergeCell ref="C14:D14"/>
    <mergeCell ref="E23:F23"/>
    <mergeCell ref="E14:F14"/>
    <mergeCell ref="E17:F17"/>
    <mergeCell ref="C26:D26"/>
    <mergeCell ref="A10:G10"/>
    <mergeCell ref="C20:D20"/>
    <mergeCell ref="E20:F20"/>
    <mergeCell ref="C29:D29"/>
    <mergeCell ref="C16:D16"/>
    <mergeCell ref="E29:F29"/>
    <mergeCell ref="C25:D25"/>
    <mergeCell ref="E19:F19"/>
    <mergeCell ref="E28:F28"/>
    <mergeCell ref="E13:F13"/>
    <mergeCell ref="C22:D22"/>
    <mergeCell ref="C12:D12"/>
    <mergeCell ref="A1:G1"/>
    <mergeCell ref="C21:D21"/>
    <mergeCell ref="E30:F30"/>
    <mergeCell ref="E15:F15"/>
    <mergeCell ref="C27:D27"/>
    <mergeCell ref="E27:F27"/>
    <mergeCell ref="E26:F26"/>
    <mergeCell ref="C17:D17"/>
    <mergeCell ref="C23:D23"/>
    <mergeCell ref="E16:F16"/>
    <mergeCell ref="E25:F25"/>
    <mergeCell ref="C19:D19"/>
    <mergeCell ref="C28:D28"/>
    <mergeCell ref="A2:G2"/>
    <mergeCell ref="E22:F22"/>
    <mergeCell ref="C13:D13"/>
    <mergeCell ref="C18:D18"/>
    <mergeCell ref="E18:F18"/>
    <mergeCell ref="E21:F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46" customWidth="1" min="3" max="3"/>
    <col width="20" customWidth="1" min="4" max="4"/>
    <col width="13" customWidth="1" min="5" max="5"/>
    <col width="52" customWidth="1" min="6" max="6"/>
  </cols>
  <sheetData>
    <row r="1" ht="30" customHeight="1">
      <c r="A1" s="29" t="inlineStr">
        <is>
          <t>工程管理（案Ａ。令和8年10月14日採用）</t>
        </is>
      </c>
    </row>
    <row r="2" ht="30" customHeight="1">
      <c r="A2" s="2" t="inlineStr">
        <is>
          <t>策定委員会（第2回）が令和8年11月にずれ込んだことを受けて引き直した工程です。パブリックコメントを令和9年1月26日から2月9日まで（15日間）に前倒しし、庁議（計画の決定）を2月19日、議会全員協議会を2月下旬に置いて、初校以降を従前のまま令和9年3月31日の納品に収めます。日付は kitashiobara_koutei.py に一本化しており、本シート・03b_納期からの逆算・進捗状況表・概要版はすべてそこから引いています。</t>
        </is>
      </c>
    </row>
    <row r="5" ht="30" customHeight="1">
      <c r="A5" s="3" t="inlineStr">
        <is>
          <t>開始</t>
        </is>
      </c>
      <c r="B5" s="3" t="inlineStr">
        <is>
          <t>終了</t>
        </is>
      </c>
      <c r="C5" s="3" t="inlineStr">
        <is>
          <t>作業内容</t>
        </is>
      </c>
      <c r="D5" s="3" t="inlineStr">
        <is>
          <t>主担当</t>
        </is>
      </c>
      <c r="E5" s="3" t="inlineStr">
        <is>
          <t>状態</t>
        </is>
      </c>
      <c r="F5" s="3" t="inlineStr">
        <is>
          <t>備考</t>
        </is>
      </c>
    </row>
    <row r="6" ht="34" customHeight="1">
      <c r="A6" s="22" t="inlineStr">
        <is>
          <t>2026-08-05</t>
        </is>
      </c>
      <c r="B6" s="22" t="inlineStr">
        <is>
          <t>2026-08-10</t>
        </is>
      </c>
      <c r="C6" s="4" t="inlineStr">
        <is>
          <t>アンケート印刷・封入・発送準備</t>
        </is>
      </c>
      <c r="D6" s="30" t="inlineStr">
        <is>
          <t>当社／北塩原村</t>
        </is>
      </c>
      <c r="E6" s="33" t="inlineStr">
        <is>
          <t>完了</t>
        </is>
      </c>
      <c r="F6" s="4" t="inlineStr">
        <is>
          <t>印刷仕様の協議、村ラベルの受領、村封筒の手配がすべて前提</t>
        </is>
      </c>
    </row>
    <row r="7" ht="34" customHeight="1">
      <c r="A7" s="26" t="inlineStr">
        <is>
          <t>2026-08-31</t>
        </is>
      </c>
      <c r="B7" s="26" t="inlineStr">
        <is>
          <t>2026-09-25</t>
        </is>
      </c>
      <c r="C7" s="7" t="inlineStr">
        <is>
          <t>アンケート発送・回収、役場での受領保管</t>
        </is>
      </c>
      <c r="D7" s="32" t="inlineStr">
        <is>
          <t>北塩原村／当社</t>
        </is>
      </c>
      <c r="E7" s="33" t="inlineStr">
        <is>
          <t>完了</t>
        </is>
      </c>
      <c r="F7" s="7" t="inlineStr">
        <is>
          <t>返送先は村役場。窓口での現地回収</t>
        </is>
      </c>
    </row>
    <row r="8" ht="34" customHeight="1">
      <c r="A8" s="22" t="inlineStr">
        <is>
          <t>2026-10-01</t>
        </is>
      </c>
      <c r="B8" s="22" t="inlineStr">
        <is>
          <t>2026-10-31</t>
        </is>
      </c>
      <c r="C8" s="4" t="inlineStr">
        <is>
          <t>データ入力、集計、実績・財源・施策評価の整合</t>
        </is>
      </c>
      <c r="D8" s="30" t="inlineStr">
        <is>
          <t>当社</t>
        </is>
      </c>
      <c r="E8" s="35" t="inlineStr">
        <is>
          <t>作業中</t>
        </is>
      </c>
      <c r="F8" s="4" t="inlineStr">
        <is>
          <t>厚労省の集計様式による入力。少数母数の公表基準を事前に合意</t>
        </is>
      </c>
    </row>
    <row r="9" ht="34" customHeight="1">
      <c r="A9" s="26" t="inlineStr">
        <is>
          <t>2026-10-01</t>
        </is>
      </c>
      <c r="B9" s="26" t="inlineStr">
        <is>
          <t>2026-10-31</t>
        </is>
      </c>
      <c r="C9" s="7" t="inlineStr">
        <is>
          <t>将来見込量・成果目標の算定とすり合わせ</t>
        </is>
      </c>
      <c r="D9" s="32" t="inlineStr">
        <is>
          <t>当社／北塩原村</t>
        </is>
      </c>
      <c r="E9" s="35" t="inlineStr">
        <is>
          <t>作業中</t>
        </is>
      </c>
      <c r="F9" s="7" t="inlineStr">
        <is>
          <t>個別積上げ方式。年齢別・サービス別の利用者一覧が前提</t>
        </is>
      </c>
    </row>
    <row r="10" ht="34" customHeight="1">
      <c r="A10" s="22" t="inlineStr">
        <is>
          <t>2026-11-01</t>
        </is>
      </c>
      <c r="B10" s="22" t="inlineStr">
        <is>
          <t>2026-11-18</t>
        </is>
      </c>
      <c r="C10" s="4" t="inlineStr">
        <is>
          <t>策定委員会（第2回）の資料の作成・修正</t>
        </is>
      </c>
      <c r="D10" s="30" t="inlineStr">
        <is>
          <t>当社／北塩原村</t>
        </is>
      </c>
      <c r="E10" s="35" t="inlineStr">
        <is>
          <t>作業中</t>
        </is>
      </c>
      <c r="F10" s="4" t="inlineStr">
        <is>
          <t>計画素案、前回計画の評価、アンケート分析報告書の3本と、それらを要約した策定委員会資料。方針資料は10月開催としていたが11月にずれ込んだ</t>
        </is>
      </c>
    </row>
    <row r="11" ht="34" customHeight="1">
      <c r="A11" s="26" t="inlineStr">
        <is>
          <t>2026-11-19</t>
        </is>
      </c>
      <c r="B11" s="26" t="inlineStr">
        <is>
          <t>2026-12-31</t>
        </is>
      </c>
      <c r="C11" s="7" t="inlineStr">
        <is>
          <t>計画素案の修正・庁内調整</t>
        </is>
      </c>
      <c r="D11" s="32" t="inlineStr">
        <is>
          <t>当社／北塩原村</t>
        </is>
      </c>
      <c r="E11" s="28" t="inlineStr">
        <is>
          <t>未着手</t>
        </is>
      </c>
      <c r="F11" s="7" t="inlineStr">
        <is>
          <t>策定委員会の意見の反映。見込量は村の実績データの受領により確定する</t>
        </is>
      </c>
    </row>
    <row r="12" ht="34" customHeight="1">
      <c r="A12" s="22" t="inlineStr">
        <is>
          <t>2026-12-01</t>
        </is>
      </c>
      <c r="B12" s="22" t="inlineStr">
        <is>
          <t>2026-12-16</t>
        </is>
      </c>
      <c r="C12" s="4" t="inlineStr">
        <is>
          <t>４町村広域の障がい者自立支援協議会（協議）</t>
        </is>
      </c>
      <c r="D12" s="30" t="inlineStr">
        <is>
          <t>北塩原村／当社</t>
        </is>
      </c>
      <c r="E12" s="28" t="inlineStr">
        <is>
          <t>未着手</t>
        </is>
      </c>
      <c r="F12" s="4" t="inlineStr">
        <is>
          <t>方針資料・策定委員会資料のいずれにも日程がない工程。広域で確保するサービス（基幹相談支援センター、地域生活支援拠点、医療的ケア児等支援の協議の場）を協議する</t>
        </is>
      </c>
    </row>
    <row r="13" ht="34" customHeight="1">
      <c r="A13" s="26" t="inlineStr">
        <is>
          <t>2027-01-04</t>
        </is>
      </c>
      <c r="B13" s="26" t="inlineStr">
        <is>
          <t>2027-01-15</t>
        </is>
      </c>
      <c r="C13" s="7" t="inlineStr">
        <is>
          <t>北塩原村障がい者自立支援協議会（計画案の審議）</t>
        </is>
      </c>
      <c r="D13" s="32" t="inlineStr">
        <is>
          <t>北塩原村／当社</t>
        </is>
      </c>
      <c r="E13" s="28" t="inlineStr">
        <is>
          <t>未着手</t>
        </is>
      </c>
      <c r="F13" s="7" t="inlineStr">
        <is>
          <t>報告・説明は村。受託者は資料作成・出席・記録作成</t>
        </is>
      </c>
    </row>
    <row r="14" ht="34" customHeight="1">
      <c r="A14" s="22" t="inlineStr">
        <is>
          <t>2027-01-26</t>
        </is>
      </c>
      <c r="B14" s="22" t="inlineStr">
        <is>
          <t>2027-02-09</t>
        </is>
      </c>
      <c r="C14" s="4" t="inlineStr">
        <is>
          <t>パブリックコメントの実施（15日間）</t>
        </is>
      </c>
      <c r="D14" s="30" t="inlineStr">
        <is>
          <t>北塩原村</t>
        </is>
      </c>
      <c r="E14" s="28" t="inlineStr">
        <is>
          <t>未着手</t>
        </is>
      </c>
      <c r="F14" s="4" t="inlineStr">
        <is>
          <t>前回計画では2週間実施（令和6年2月9日〜23日）で意見0件。周知の方法を見直す</t>
        </is>
      </c>
    </row>
    <row r="15" ht="34" customHeight="1">
      <c r="A15" s="26" t="inlineStr">
        <is>
          <t>2027-02-10</t>
        </is>
      </c>
      <c r="B15" s="26" t="inlineStr">
        <is>
          <t>2027-02-19</t>
        </is>
      </c>
      <c r="C15" s="7" t="inlineStr">
        <is>
          <t>結果の整理と計画案の修正、庁議（計画の決定）</t>
        </is>
      </c>
      <c r="D15" s="32" t="inlineStr">
        <is>
          <t>北塩原村／当社</t>
        </is>
      </c>
      <c r="E15" s="28" t="inlineStr">
        <is>
          <t>未着手</t>
        </is>
      </c>
      <c r="F15" s="7" t="inlineStr">
        <is>
          <t>庁議は2月19日。ここで本文が確定する</t>
        </is>
      </c>
    </row>
    <row r="16" ht="34" customHeight="1">
      <c r="A16" s="22" t="inlineStr">
        <is>
          <t>2027-02-20</t>
        </is>
      </c>
      <c r="B16" s="22" t="inlineStr">
        <is>
          <t>2027-02-25</t>
        </is>
      </c>
      <c r="C16" s="4" t="inlineStr">
        <is>
          <t>議会全員協議会（令和9年度主要事業）、目次と頁数の確定</t>
        </is>
      </c>
      <c r="D16" s="30" t="inlineStr">
        <is>
          <t>北塩原村／当社</t>
        </is>
      </c>
      <c r="E16" s="28" t="inlineStr">
        <is>
          <t>未着手</t>
        </is>
      </c>
      <c r="F16" s="4" t="inlineStr">
        <is>
          <t>議会への説明は計画の決定の後に置く。Ｗｏｒｄの目次の更新は当方の環境ではできないため他メンバー又は村に依頼する</t>
        </is>
      </c>
    </row>
    <row r="17" ht="34" customHeight="1">
      <c r="A17" s="26" t="inlineStr">
        <is>
          <t>2027-02-26</t>
        </is>
      </c>
      <c r="B17" s="26" t="inlineStr">
        <is>
          <t>2027-03-12</t>
        </is>
      </c>
      <c r="C17" s="7" t="inlineStr">
        <is>
          <t>初校・再校・校了</t>
        </is>
      </c>
      <c r="D17" s="32" t="inlineStr">
        <is>
          <t>当社／北塩原村</t>
        </is>
      </c>
      <c r="E17" s="28" t="inlineStr">
        <is>
          <t>未着手</t>
        </is>
      </c>
      <c r="F17" s="7" t="inlineStr">
        <is>
          <t>初校2月26日、再校3月5日、校了3月12日</t>
        </is>
      </c>
    </row>
    <row r="18" ht="34" customHeight="1">
      <c r="A18" s="22" t="inlineStr">
        <is>
          <t>2027-03-17</t>
        </is>
      </c>
      <c r="B18" s="22" t="inlineStr">
        <is>
          <t>2027-03-31</t>
        </is>
      </c>
      <c r="C18" s="4" t="inlineStr">
        <is>
          <t>入稿・印刷・製本・納品</t>
        </is>
      </c>
      <c r="D18" s="30" t="inlineStr">
        <is>
          <t>当社</t>
        </is>
      </c>
      <c r="E18" s="28" t="inlineStr">
        <is>
          <t>未着手</t>
        </is>
      </c>
      <c r="F18" s="4" t="inlineStr">
        <is>
          <t>計画書30部、アンケート報告書10部、電子媒体一式。3月22日は春分の日の振替休日</t>
        </is>
      </c>
    </row>
    <row r="20" ht="62" customHeight="1">
      <c r="A20" s="2" t="inlineStr">
        <is>
          <t>クリティカルパスは「策定委員会（第2回）→ 素案の修正・庁内調整 → 自立支援協議会 → パブリックコメント → 結果の整理と修正 → 庁議（決定）→ 目次と頁数の確定 → 初校・再校・校了 → 入稿 → 印刷・製本 → 納品」です。ここで最も動かしにくいのは入稿（令和9年3月17日）で、これが動くと納期を超えます。パブリックコメントの開始が1週間後ろへ動くと、最初に削られるのは校正の期間です。4町村広域の障がい者自立支援協議会（12月）と議会全員協議会（2月下旬）は納品までの道筋の上には乗りませんが、村の方針資料に掲げられた工程であるため表に入れています（策定委員会資料のスケジュール表はこの2件を注記に落としていました）。</t>
        </is>
      </c>
    </row>
  </sheetData>
  <mergeCells count="3">
    <mergeCell ref="A20:F20"/>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46" customWidth="1" min="3" max="3"/>
    <col width="12" customWidth="1" min="4" max="4"/>
    <col width="22" customWidth="1" min="5" max="5"/>
    <col width="44" customWidth="1" min="6" max="6"/>
    <col width="6" customWidth="1" min="7" max="7"/>
  </cols>
  <sheetData>
    <row r="1" ht="30" customHeight="1">
      <c r="A1" s="29" t="inlineStr">
        <is>
          <t>履行期限からの逆算（令和9年3月31日）</t>
        </is>
      </c>
    </row>
    <row r="2" ht="30" customHeight="1">
      <c r="A2" s="2" t="inlineStr">
        <is>
          <t>納期から戻して日を置いたものです。案Ａの採用（令和8年10月14日）により、逆算の範囲を策定委員会（第2回）まで遡らせました。所要日数は手で書かず、期限の間の営業日数を数えています（土曜・日曜・祝日・村役場の閉庁日を除く。令和9年3月22日は春分の日の振替休日）。「―（並行）」は納品までの道筋の上に乗らない工程です。所要日数のうち原典があるのは納期と部数・製本の形だけで、印刷・製本の所要日数は当方の想定です（Ｍ-112で確認）。精度「仮」の4件は他者の日程であって出所が月又は旬までしかなく、日は営業日を数えるための仮置きです。対外の文書には月又は旬で書いています（Ｍ-125で照会）。</t>
        </is>
      </c>
    </row>
    <row r="5" ht="30" customHeight="1">
      <c r="A5" s="3" t="inlineStr">
        <is>
          <t>順</t>
        </is>
      </c>
      <c r="B5" s="3" t="inlineStr">
        <is>
          <t>期限</t>
        </is>
      </c>
      <c r="C5" s="3" t="inlineStr">
        <is>
          <t>工程</t>
        </is>
      </c>
      <c r="D5" s="3" t="inlineStr">
        <is>
          <t>所要日数</t>
        </is>
      </c>
      <c r="E5" s="3" t="inlineStr">
        <is>
          <t>誰が</t>
        </is>
      </c>
      <c r="F5" s="3" t="inlineStr">
        <is>
          <t>出所</t>
        </is>
      </c>
      <c r="G5" s="3" t="inlineStr">
        <is>
          <t>精度</t>
        </is>
      </c>
    </row>
    <row r="6" ht="30" customHeight="1">
      <c r="A6" s="30" t="n">
        <v>1</v>
      </c>
      <c r="B6" s="22" t="inlineStr">
        <is>
          <t>2027-03-31</t>
        </is>
      </c>
      <c r="C6" s="4" t="inlineStr">
        <is>
          <t>成果品の納品（計画書30部・調査報告書10部・電子媒体一式）</t>
        </is>
      </c>
      <c r="D6" s="30" t="inlineStr">
        <is>
          <t>―</t>
        </is>
      </c>
      <c r="E6" s="30" t="inlineStr">
        <is>
          <t>当社</t>
        </is>
      </c>
      <c r="F6" s="37" t="inlineStr">
        <is>
          <t>仕様書5（原典あり）</t>
        </is>
      </c>
      <c r="G6" s="30" t="inlineStr">
        <is>
          <t>確</t>
        </is>
      </c>
    </row>
    <row r="7" ht="30" customHeight="1">
      <c r="A7" s="32" t="n">
        <v>2</v>
      </c>
      <c r="B7" s="26" t="inlineStr">
        <is>
          <t>2027-03-26</t>
        </is>
      </c>
      <c r="C7" s="7" t="inlineStr">
        <is>
          <t>製本（計画書はくるみ製本、報告書はホチキス製本）</t>
        </is>
      </c>
      <c r="D7" s="32" t="inlineStr">
        <is>
          <t>3営業日</t>
        </is>
      </c>
      <c r="E7" s="32" t="inlineStr">
        <is>
          <t>印刷業者又は当社</t>
        </is>
      </c>
      <c r="F7" s="38" t="inlineStr">
        <is>
          <t>当方の想定（Ｍ-112で確認）</t>
        </is>
      </c>
      <c r="G7" s="32" t="inlineStr">
        <is>
          <t>確</t>
        </is>
      </c>
    </row>
    <row r="8" ht="30" customHeight="1">
      <c r="A8" s="30" t="n">
        <v>3</v>
      </c>
      <c r="B8" s="22" t="inlineStr">
        <is>
          <t>2027-03-19</t>
        </is>
      </c>
      <c r="C8" s="4" t="inlineStr">
        <is>
          <t>印刷（Ａ４判両面・モノクロ・コピー）</t>
        </is>
      </c>
      <c r="D8" s="30" t="inlineStr">
        <is>
          <t>4営業日</t>
        </is>
      </c>
      <c r="E8" s="30" t="inlineStr">
        <is>
          <t>印刷業者又は当社</t>
        </is>
      </c>
      <c r="F8" s="38" t="inlineStr">
        <is>
          <t>当方の想定（Ｍ-112で確認）</t>
        </is>
      </c>
      <c r="G8" s="30" t="inlineStr">
        <is>
          <t>確</t>
        </is>
      </c>
    </row>
    <row r="9" ht="30" customHeight="1">
      <c r="A9" s="32" t="n">
        <v>4</v>
      </c>
      <c r="B9" s="26" t="inlineStr">
        <is>
          <t>2027-03-17</t>
        </is>
      </c>
      <c r="C9" s="7" t="inlineStr">
        <is>
          <t>入稿（印刷用データの引渡し）</t>
        </is>
      </c>
      <c r="D9" s="32" t="inlineStr">
        <is>
          <t>2営業日</t>
        </is>
      </c>
      <c r="E9" s="32" t="inlineStr">
        <is>
          <t>当社</t>
        </is>
      </c>
      <c r="F9" s="38" t="inlineStr">
        <is>
          <t>当方の想定</t>
        </is>
      </c>
      <c r="G9" s="32" t="inlineStr">
        <is>
          <t>確</t>
        </is>
      </c>
    </row>
    <row r="10" ht="30" customHeight="1">
      <c r="A10" s="30" t="n">
        <v>5</v>
      </c>
      <c r="B10" s="22" t="inlineStr">
        <is>
          <t>2027-03-12</t>
        </is>
      </c>
      <c r="C10" s="4" t="inlineStr">
        <is>
          <t>校了（村の最終確認の完了）</t>
        </is>
      </c>
      <c r="D10" s="30" t="inlineStr">
        <is>
          <t>3営業日</t>
        </is>
      </c>
      <c r="E10" s="30" t="inlineStr">
        <is>
          <t>北塩原村</t>
        </is>
      </c>
      <c r="F10" s="38" t="inlineStr">
        <is>
          <t>当方の想定（Ｍ-112で確認）</t>
        </is>
      </c>
      <c r="G10" s="30" t="inlineStr">
        <is>
          <t>確</t>
        </is>
      </c>
    </row>
    <row r="11" ht="30" customHeight="1">
      <c r="A11" s="32" t="n">
        <v>6</v>
      </c>
      <c r="B11" s="26" t="inlineStr">
        <is>
          <t>2027-03-05</t>
        </is>
      </c>
      <c r="C11" s="7" t="inlineStr">
        <is>
          <t>再校（村の指摘の反映と再提出）</t>
        </is>
      </c>
      <c r="D11" s="32" t="inlineStr">
        <is>
          <t>5営業日</t>
        </is>
      </c>
      <c r="E11" s="32" t="inlineStr">
        <is>
          <t>当社</t>
        </is>
      </c>
      <c r="F11" s="38" t="inlineStr">
        <is>
          <t>当方の想定</t>
        </is>
      </c>
      <c r="G11" s="32" t="inlineStr">
        <is>
          <t>確</t>
        </is>
      </c>
    </row>
    <row r="12" ht="30" customHeight="1">
      <c r="A12" s="30" t="n">
        <v>7</v>
      </c>
      <c r="B12" s="22" t="inlineStr">
        <is>
          <t>2027-02-26</t>
        </is>
      </c>
      <c r="C12" s="4" t="inlineStr">
        <is>
          <t>初校（村へ提出し確認を受ける）</t>
        </is>
      </c>
      <c r="D12" s="30" t="inlineStr">
        <is>
          <t>5営業日</t>
        </is>
      </c>
      <c r="E12" s="30" t="inlineStr">
        <is>
          <t>当社・北塩原村</t>
        </is>
      </c>
      <c r="F12" s="38" t="inlineStr">
        <is>
          <t>当方の想定</t>
        </is>
      </c>
      <c r="G12" s="30" t="inlineStr">
        <is>
          <t>確</t>
        </is>
      </c>
    </row>
    <row r="13" ht="30" customHeight="1">
      <c r="A13" s="32" t="n">
        <v>8</v>
      </c>
      <c r="B13" s="26" t="inlineStr">
        <is>
          <t>2027-02-25</t>
        </is>
      </c>
      <c r="C13" s="7" t="inlineStr">
        <is>
          <t>目次と頁数の確定（Ｗｏｒｄの目次の更新）</t>
        </is>
      </c>
      <c r="D13" s="32" t="inlineStr">
        <is>
          <t>1営業日</t>
        </is>
      </c>
      <c r="E13" s="32" t="inlineStr">
        <is>
          <t>当社又は北塩原村</t>
        </is>
      </c>
      <c r="F13" s="38" t="inlineStr">
        <is>
          <t>当方の想定</t>
        </is>
      </c>
      <c r="G13" s="32" t="inlineStr">
        <is>
          <t>確</t>
        </is>
      </c>
    </row>
    <row r="14" ht="30" customHeight="1">
      <c r="A14" s="30" t="n">
        <v>9</v>
      </c>
      <c r="B14" s="22" t="inlineStr">
        <is>
          <t>2027-02-24</t>
        </is>
      </c>
      <c r="C14" s="4" t="inlineStr">
        <is>
          <t>議会全員協議会（令和9年度主要事業の説明）</t>
        </is>
      </c>
      <c r="D14" s="30" t="inlineStr">
        <is>
          <t>―（並行）</t>
        </is>
      </c>
      <c r="E14" s="30" t="inlineStr">
        <is>
          <t>北塩原村</t>
        </is>
      </c>
      <c r="F14" s="38" t="inlineStr">
        <is>
          <t>案Ａ（令和8年10月14日採用）は旬まで。日は当方の仮置き（Ｍ-125で村に照会）</t>
        </is>
      </c>
      <c r="G14" s="30" t="inlineStr">
        <is>
          <t>仮</t>
        </is>
      </c>
    </row>
    <row r="15" ht="30" customHeight="1">
      <c r="A15" s="32" t="n">
        <v>10</v>
      </c>
      <c r="B15" s="26" t="inlineStr">
        <is>
          <t>2027-02-19</t>
        </is>
      </c>
      <c r="C15" s="7" t="inlineStr">
        <is>
          <t>庁議（計画の決定）</t>
        </is>
      </c>
      <c r="D15" s="32" t="inlineStr">
        <is>
          <t>3営業日</t>
        </is>
      </c>
      <c r="E15" s="32" t="inlineStr">
        <is>
          <t>北塩原村</t>
        </is>
      </c>
      <c r="F15" s="38" t="inlineStr">
        <is>
          <t>案Ａ（令和8年10月14日採用）。村に確認（Ｍ-125）</t>
        </is>
      </c>
      <c r="G15" s="32" t="inlineStr">
        <is>
          <t>確</t>
        </is>
      </c>
    </row>
    <row r="16" ht="30" customHeight="1">
      <c r="A16" s="30" t="n">
        <v>11</v>
      </c>
      <c r="B16" s="22" t="inlineStr">
        <is>
          <t>2027-02-16</t>
        </is>
      </c>
      <c r="C16" s="4" t="inlineStr">
        <is>
          <t>パブリックコメントの結果の整理と計画案の修正</t>
        </is>
      </c>
      <c r="D16" s="30" t="inlineStr">
        <is>
          <t>3営業日</t>
        </is>
      </c>
      <c r="E16" s="30" t="inlineStr">
        <is>
          <t>当社・北塩原村</t>
        </is>
      </c>
      <c r="F16" s="38" t="inlineStr">
        <is>
          <t>案Ａ（令和8年10月14日採用）</t>
        </is>
      </c>
      <c r="G16" s="30" t="inlineStr">
        <is>
          <t>確</t>
        </is>
      </c>
    </row>
    <row r="17" ht="30" customHeight="1">
      <c r="A17" s="32" t="n">
        <v>12</v>
      </c>
      <c r="B17" s="26" t="inlineStr">
        <is>
          <t>2027-02-09</t>
        </is>
      </c>
      <c r="C17" s="7" t="inlineStr">
        <is>
          <t>パブリックコメントの終了</t>
        </is>
      </c>
      <c r="D17" s="32" t="inlineStr">
        <is>
          <t>4営業日</t>
        </is>
      </c>
      <c r="E17" s="32" t="inlineStr">
        <is>
          <t>北塩原村</t>
        </is>
      </c>
      <c r="F17" s="38" t="inlineStr">
        <is>
          <t>案Ａ（令和8年10月14日採用）。村に確認（Ｍ-125）</t>
        </is>
      </c>
      <c r="G17" s="32" t="inlineStr">
        <is>
          <t>確</t>
        </is>
      </c>
    </row>
    <row r="18" ht="30" customHeight="1">
      <c r="A18" s="30" t="n">
        <v>13</v>
      </c>
      <c r="B18" s="22" t="inlineStr">
        <is>
          <t>2027-01-26</t>
        </is>
      </c>
      <c r="C18" s="4" t="inlineStr">
        <is>
          <t>パブリックコメントの開始（15日間）</t>
        </is>
      </c>
      <c r="D18" s="30" t="inlineStr">
        <is>
          <t>10営業日</t>
        </is>
      </c>
      <c r="E18" s="30" t="inlineStr">
        <is>
          <t>北塩原村</t>
        </is>
      </c>
      <c r="F18" s="38" t="inlineStr">
        <is>
          <t>案Ａ（令和8年10月14日採用）。村に確認（Ｍ-125）</t>
        </is>
      </c>
      <c r="G18" s="30" t="inlineStr">
        <is>
          <t>確</t>
        </is>
      </c>
    </row>
    <row r="19" ht="30" customHeight="1">
      <c r="A19" s="32" t="n">
        <v>14</v>
      </c>
      <c r="B19" s="26" t="inlineStr">
        <is>
          <t>2027-01-15</t>
        </is>
      </c>
      <c r="C19" s="7" t="inlineStr">
        <is>
          <t>北塩原村障がい者自立支援協議会（計画案の審議）</t>
        </is>
      </c>
      <c r="D19" s="32" t="inlineStr">
        <is>
          <t>7営業日</t>
        </is>
      </c>
      <c r="E19" s="32" t="inlineStr">
        <is>
          <t>北塩原村・当社</t>
        </is>
      </c>
      <c r="F19" s="38" t="inlineStr">
        <is>
          <t>案Ａ（令和8年10月14日採用）は旬まで。日は当方の仮置き（Ｍ-125で村に照会）</t>
        </is>
      </c>
      <c r="G19" s="32" t="inlineStr">
        <is>
          <t>仮</t>
        </is>
      </c>
    </row>
    <row r="20" ht="30" customHeight="1">
      <c r="A20" s="30" t="n">
        <v>15</v>
      </c>
      <c r="B20" s="22" t="inlineStr">
        <is>
          <t>2026-12-16</t>
        </is>
      </c>
      <c r="C20" s="4" t="inlineStr">
        <is>
          <t>４町村広域の障がい者自立支援協議会（協議）</t>
        </is>
      </c>
      <c r="D20" s="30" t="inlineStr">
        <is>
          <t>―（並行）</t>
        </is>
      </c>
      <c r="E20" s="30" t="inlineStr">
        <is>
          <t>北塩原村・当社</t>
        </is>
      </c>
      <c r="F20" s="38" t="inlineStr">
        <is>
          <t>案Ａ（令和8年10月14日採用）は月まで。日は当方の仮置き（Ｍ-125で村に照会）</t>
        </is>
      </c>
      <c r="G20" s="30" t="inlineStr">
        <is>
          <t>仮</t>
        </is>
      </c>
    </row>
    <row r="21" ht="30" customHeight="1">
      <c r="A21" s="32" t="n">
        <v>16</v>
      </c>
      <c r="B21" s="26" t="inlineStr">
        <is>
          <t>2026-11-18</t>
        </is>
      </c>
      <c r="C21" s="7" t="inlineStr">
        <is>
          <t>策定委員会（第2回。計画素案・前回計画の評価・アンケート結果）</t>
        </is>
      </c>
      <c r="D21" s="32" t="inlineStr">
        <is>
          <t>36営業日</t>
        </is>
      </c>
      <c r="E21" s="32" t="inlineStr">
        <is>
          <t>北塩原村・当社</t>
        </is>
      </c>
      <c r="F21" s="38" t="inlineStr">
        <is>
          <t>案Ａ（令和8年10月14日採用）は月まで。日は当方の仮置き（Ｍ-125で村に照会）</t>
        </is>
      </c>
      <c r="G21" s="32" t="inlineStr">
        <is>
          <t>仮</t>
        </is>
      </c>
    </row>
    <row r="23" ht="132" customHeight="1">
      <c r="A23" s="2" t="inlineStr">
        <is>
          <t>この逆算で分かること。①入稿は令和9年3月17日である。これが動くと納期を超える。②入稿に間に合わせるには、校了が3月12日、初校の提出が2月26日になる。③初校を出すには、目次と頁数が2月25日までに確定していなければならない。当方の環境ではWordの目次を更新できないため、この作業を他メンバー又は村に依頼する時期が2月25日までということになる。④計画の決定（庁議）から初校までは3営業日しかない。本文が確定するのはパブリックコメントの結果を反映した2月16日であり、目次の更新はその後に始められる。⑤議会全員協議会は計画の決定の後に置いた。決定前に置くと、未決定の案を議会に説明することになる。⑥印刷・製本の所要日数は当方の想定である。仕様は「コピー・くるみ製本」であり、業者によって所要日数が変わるため確かめる（Ｍ-112）。⑦案Ａの3件（パブリックコメントの1月下旬開始、庁議2月19日、議会全員協議会を決定の後に置くこと）は村の了解を要する（Ｍ-125）。</t>
        </is>
      </c>
    </row>
  </sheetData>
  <mergeCells count="3">
    <mergeCell ref="A2:G2"/>
    <mergeCell ref="A1:G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6"/>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50" customWidth="1" min="3" max="3"/>
    <col width="34" customWidth="1" min="4" max="4"/>
    <col width="12" customWidth="1" min="5" max="5"/>
    <col width="14" customWidth="1" min="6" max="6"/>
    <col width="20" customWidth="1" min="7" max="7"/>
  </cols>
  <sheetData>
    <row r="1" ht="30" customHeight="1">
      <c r="A1" s="29" t="inlineStr">
        <is>
          <t>村からの資料受領状況（横断管理）</t>
        </is>
      </c>
    </row>
    <row r="2" ht="30" customHeight="1">
      <c r="A2" s="2" t="inlineStr">
        <is>
          <t>将来推計・サービス見込量・財源構成案の各ブックに分散していた村確認事項を一本化しました。受領したら「状態」を受領済に変更し、該当ブックへ入力してください。／WBSとの対応（届かないとどの作業が止まるか）は 北塩原村_業務進捗管理表.xlsx 05_村資料・依頼の詳細 に統合しています（同じデータから作成しており、こちらに「関係WBS」列を足したものです）。</t>
        </is>
      </c>
    </row>
    <row r="5" ht="30" customHeight="1">
      <c r="A5" s="3" t="inlineStr">
        <is>
          <t>優先度</t>
        </is>
      </c>
      <c r="B5" s="3" t="inlineStr">
        <is>
          <t>資料</t>
        </is>
      </c>
      <c r="C5" s="3" t="inlineStr">
        <is>
          <t>内容</t>
        </is>
      </c>
      <c r="D5" s="3" t="inlineStr">
        <is>
          <t>反映先</t>
        </is>
      </c>
      <c r="E5" s="3" t="inlineStr">
        <is>
          <t>状態</t>
        </is>
      </c>
      <c r="F5" s="3" t="inlineStr">
        <is>
          <t>希望期限</t>
        </is>
      </c>
      <c r="G5" s="3" t="inlineStr">
        <is>
          <t>受領日</t>
        </is>
      </c>
    </row>
    <row r="6" ht="34" customHeight="1">
      <c r="A6" s="27" t="inlineStr">
        <is>
          <t>最優先</t>
        </is>
      </c>
      <c r="B6" s="4" t="inlineStr">
        <is>
          <t>計画値の基礎とする系列（Ｍ-19）</t>
        </is>
      </c>
      <c r="C6" s="4" t="inlineStr">
        <is>
          <t>村が自立支援協議会に報告している実利用者数（人／月）・サービス量を計画値の基礎としてよいか。当方の第1次概算は年間請求件数を基礎にしたため12サービスで村の公表実績と食い違う（計画相談支援 村25人・当方22人、障がい児相談支援 村4人・当方2人ほか）。あわせて令和8年度の実績見込</t>
        </is>
      </c>
      <c r="D6" s="4" t="inlineStr">
        <is>
          <t>計画素案 第5章3〜7／レビュー対応 02シート</t>
        </is>
      </c>
      <c r="E6" s="27" t="inlineStr">
        <is>
          <t>未受領</t>
        </is>
      </c>
      <c r="F6" s="22" t="inlineStr">
        <is>
          <t>2026-10-09</t>
        </is>
      </c>
      <c r="G6" s="39" t="n"/>
    </row>
    <row r="7" ht="34" customHeight="1">
      <c r="A7" s="27" t="inlineStr">
        <is>
          <t>最優先</t>
        </is>
      </c>
      <c r="B7" s="7" t="inlineStr">
        <is>
          <t>移行管理台帳（Ｍ-18）</t>
        </is>
      </c>
      <c r="C7" s="7" t="inlineStr">
        <is>
          <t>匿名ID・生年月・学年・学校種別・障害支援区分・行動関連項目・医療的ケア・重症心身・現在のサービス・支給決定量・実利用量・利用先と所在地・送迎の可否・冬季の利用可否・卒業予定・65歳到達年度・家族介護の状況。この1枚でＭ-10（継続入所者）・Ｍ-11（保育所等の受入体制）・Ｍ-15（65歳到達者）・Ｍ-21（卒業予定者）が同時に片付く</t>
        </is>
      </c>
      <c r="D7" s="7" t="inlineStr">
        <is>
          <t>計画素案 第5章1・第5章2（第2次算定の入力）</t>
        </is>
      </c>
      <c r="E7" s="27" t="inlineStr">
        <is>
          <t>未受領</t>
        </is>
      </c>
      <c r="F7" s="26" t="inlineStr">
        <is>
          <t>2026-10-09</t>
        </is>
      </c>
      <c r="G7" s="39" t="n"/>
    </row>
    <row r="8" ht="34" customHeight="1">
      <c r="A8" s="27" t="inlineStr">
        <is>
          <t>最優先</t>
        </is>
      </c>
      <c r="B8" s="4" t="inlineStr">
        <is>
          <t>施設入所支援4人の支給決定の内容（Ｍ-13）</t>
        </is>
      </c>
      <c r="C8" s="4" t="inlineStr">
        <is>
          <t>年齢、生活介護との同時支給決定の有無、入所先の施設類型（指定障害者支援施設か）。介護保険法施行法第11条第1項の適用除外に当たると、介護保険の第1号被保険者・認定者から除く</t>
        </is>
      </c>
      <c r="D8" s="4" t="inlineStr">
        <is>
          <t>介護保険事業計画との整合 K-1</t>
        </is>
      </c>
      <c r="E8" s="27" t="inlineStr">
        <is>
          <t>未受領</t>
        </is>
      </c>
      <c r="F8" s="22" t="inlineStr">
        <is>
          <t>2026-10-09</t>
        </is>
      </c>
      <c r="G8" s="39" t="n"/>
    </row>
    <row r="9" ht="34" customHeight="1">
      <c r="A9" s="27" t="inlineStr">
        <is>
          <t>最優先</t>
        </is>
      </c>
      <c r="B9" s="7" t="inlineStr">
        <is>
          <t>介護保険の第2号被保険者との重なり（Ｍ-14）</t>
        </is>
      </c>
      <c r="C9" s="7" t="inlineStr">
        <is>
          <t>介護保険側が見込む第2号被保険者の認定者（各年度2〜3人）のうち、障がい福祉サービスの受給者証をお持ちの方の人数と利用サービス。重なる場合は介護保険が優先し障がい計画の見込量から減算する</t>
        </is>
      </c>
      <c r="D9" s="7" t="inlineStr">
        <is>
          <t>介護保険事業計画との整合 K-2</t>
        </is>
      </c>
      <c r="E9" s="27" t="inlineStr">
        <is>
          <t>未受領</t>
        </is>
      </c>
      <c r="F9" s="26" t="inlineStr">
        <is>
          <t>2026-10-09</t>
        </is>
      </c>
      <c r="G9" s="39" t="n"/>
    </row>
    <row r="10" ht="34" customHeight="1">
      <c r="A10" s="35" t="inlineStr">
        <is>
          <t>高</t>
        </is>
      </c>
      <c r="B10" s="4" t="inlineStr">
        <is>
          <t>相談支援の体制（Ｍ-20）</t>
        </is>
      </c>
      <c r="C10" s="4" t="inlineStr">
        <is>
          <t>相談支援専門員の人数、1人当たりの担当件数、新規に受け入れられる件数、主任相談支援専門員の配置。専門員が不足すると受入先があっても移行が進まない</t>
        </is>
      </c>
      <c r="D10" s="4" t="inlineStr">
        <is>
          <t>計画素案 第5章8（確保可能量を決める要素）</t>
        </is>
      </c>
      <c r="E10" s="27" t="inlineStr">
        <is>
          <t>未受領</t>
        </is>
      </c>
      <c r="F10" s="22" t="inlineStr">
        <is>
          <t>2026-10-09</t>
        </is>
      </c>
      <c r="G10" s="39" t="n"/>
    </row>
    <row r="11" ht="34" customHeight="1">
      <c r="A11" s="27" t="inlineStr">
        <is>
          <t>最優先</t>
        </is>
      </c>
      <c r="B11" s="7" t="inlineStr">
        <is>
          <t>グループホーム・福祉ホームの設置の予定（Ｍ-37）</t>
        </is>
      </c>
      <c r="C11" s="7" t="inlineStr">
        <is>
          <t>精神・知的障がいの方のグループホーム又は福祉ホームの設置の予定。設置する場合の主体・時期・定員と、条例改正の要否。令和8年10月9日の論点メモに「精神・知的のGHの設置（正式名・福祉ホームだが、条例の改正が必要）」とある。共同生活援助（訓練等給付）と福祉ホーム（地域生活支援事業の任意事業）では根拠も財源も変わる</t>
        </is>
      </c>
      <c r="D11" s="7" t="inlineStr">
        <is>
          <t>計画素案 第5章の居住系の見込量・確保方策・地域生活支援事業</t>
        </is>
      </c>
      <c r="E11" s="27" t="inlineStr">
        <is>
          <t>未受領</t>
        </is>
      </c>
      <c r="F11" s="26" t="inlineStr">
        <is>
          <t>2026-10-16</t>
        </is>
      </c>
      <c r="G11" s="39" t="n"/>
    </row>
    <row r="12" ht="34" customHeight="1">
      <c r="A12" s="35" t="inlineStr">
        <is>
          <t>高</t>
        </is>
      </c>
      <c r="B12" s="4" t="inlineStr">
        <is>
          <t>物品調達の実績（Ｍ-34）</t>
        </is>
      </c>
      <c r="C12" s="4" t="inlineStr">
        <is>
          <t>障がい者就労施設等からの物品調達の実績（目標3件に対する令和6〜8年度の件数）と、障害者優先調達推進法第9条に基づく調達方針の策定・公表の有無</t>
        </is>
      </c>
      <c r="D12" s="4" t="inlineStr">
        <is>
          <t>計画素案 第3章5（第4次障がい者計画の目標値の進捗）</t>
        </is>
      </c>
      <c r="E12" s="27" t="inlineStr">
        <is>
          <t>未受領</t>
        </is>
      </c>
      <c r="F12" s="22" t="inlineStr">
        <is>
          <t>2026-10-31</t>
        </is>
      </c>
      <c r="G12" s="39" t="n"/>
    </row>
    <row r="13" ht="34" customHeight="1">
      <c r="A13" s="35" t="inlineStr">
        <is>
          <t>高</t>
        </is>
      </c>
      <c r="B13" s="7" t="inlineStr">
        <is>
          <t>社会福祉法改正への対応（Ｍ-35）</t>
        </is>
      </c>
      <c r="C13" s="7" t="inlineStr">
        <is>
          <t>身寄りのない高齢者への日常生活支援・入院手続・死後事務への対応と、権利擁護の窓口の配置の検討状況。障がい者の親亡き後の支援と同じ課題であり、第6章に書くかを判断する</t>
        </is>
      </c>
      <c r="D13" s="7" t="inlineStr">
        <is>
          <t>計画素案 第6章・第7章</t>
        </is>
      </c>
      <c r="E13" s="27" t="inlineStr">
        <is>
          <t>未受領</t>
        </is>
      </c>
      <c r="F13" s="26" t="inlineStr">
        <is>
          <t>2026-10-31</t>
        </is>
      </c>
      <c r="G13" s="39" t="n"/>
    </row>
    <row r="14" ht="34" customHeight="1">
      <c r="A14" s="30" t="inlineStr">
        <is>
          <t>中</t>
        </is>
      </c>
      <c r="B14" s="4" t="inlineStr">
        <is>
          <t>防災の取組の状況（Ｍ-36）</t>
        </is>
      </c>
      <c r="C14" s="4" t="inlineStr">
        <is>
          <t>防災無線の設置状況、災害図上訓練（ＤＩＧ）・避難所運営ゲーム（ＨＵＧ）の実施状況、避難訓練の頻度。個別避難計画10件の目標を達成する手順として書く</t>
        </is>
      </c>
      <c r="D14" s="4" t="inlineStr">
        <is>
          <t>計画素案 第3章3（⑥生活環境）</t>
        </is>
      </c>
      <c r="E14" s="27" t="inlineStr">
        <is>
          <t>未受領</t>
        </is>
      </c>
      <c r="F14" s="22" t="inlineStr">
        <is>
          <t>2026-10-31</t>
        </is>
      </c>
      <c r="G14" s="39" t="n"/>
    </row>
    <row r="15" ht="34" customHeight="1">
      <c r="A15" s="35" t="inlineStr">
        <is>
          <t>高</t>
        </is>
      </c>
      <c r="B15" s="7" t="inlineStr">
        <is>
          <t>排泄管理支援用具の増減の理由（Ｍ-38）</t>
        </is>
      </c>
      <c r="C15" s="7" t="inlineStr">
        <is>
          <t>日常生活用具（排泄管理支援用具）の給付件数の直近の増減とその理由。当方は40→68→69→72件と増加傾向と整理したが、論点メモは「死亡により減少」としている。地域生活支援事業の給付件数の大半を占め、事業費にも響く</t>
        </is>
      </c>
      <c r="D15" s="7" t="inlineStr">
        <is>
          <t>計画素案 第5章9／地域生活支援事業 01</t>
        </is>
      </c>
      <c r="E15" s="27" t="inlineStr">
        <is>
          <t>未受領</t>
        </is>
      </c>
      <c r="F15" s="26" t="inlineStr">
        <is>
          <t>2026-10-31</t>
        </is>
      </c>
      <c r="G15" s="39" t="n"/>
    </row>
    <row r="16" ht="34" customHeight="1">
      <c r="A16" s="35" t="inlineStr">
        <is>
          <t>高</t>
        </is>
      </c>
      <c r="B16" s="4" t="inlineStr">
        <is>
          <t>成年後見の類型別内訳（Ｍ-39）</t>
        </is>
      </c>
      <c r="C16" s="4" t="inlineStr">
        <is>
          <t>成年後見制度の利用者数の類型別内訳（後見・保佐・補助）と、会津権利擁護・成年後見センターにおける本村の位置（相談時間が3番目か、利用者数が3番目か）。民法等改正により後見・保佐が補助に一元化されるため、類型別の把握が要る</t>
        </is>
      </c>
      <c r="D16" s="4" t="inlineStr">
        <is>
          <t>計画素案 第6章</t>
        </is>
      </c>
      <c r="E16" s="27" t="inlineStr">
        <is>
          <t>未受領</t>
        </is>
      </c>
      <c r="F16" s="22" t="inlineStr">
        <is>
          <t>2026-10-31</t>
        </is>
      </c>
      <c r="G16" s="39" t="n"/>
    </row>
    <row r="17" ht="34" customHeight="1">
      <c r="A17" s="35" t="inlineStr">
        <is>
          <t>高</t>
        </is>
      </c>
      <c r="B17" s="7" t="inlineStr">
        <is>
          <t>指定難病による対象者（Ｍ-32）</t>
        </is>
      </c>
      <c r="C17" s="7" t="inlineStr">
        <is>
          <t>手帳を所持していないが障害者総合支援法の対象疾病に該当してサービスを利用している方、又は利用しうる方の人数。対象疾病は令和7年4月1日から376疾病（厚生労働省の資料で原典確認済み。平成25年4月の施行時は130疾病で、7次にわたり拡大された）。手帳所持者数だけで対象者を数えると、手帳を所持しない方が漏れる</t>
        </is>
      </c>
      <c r="D17" s="7" t="inlineStr">
        <is>
          <t>計画素案 第2章2・第5章1（推計方法）</t>
        </is>
      </c>
      <c r="E17" s="27" t="inlineStr">
        <is>
          <t>未受領</t>
        </is>
      </c>
      <c r="F17" s="26" t="inlineStr">
        <is>
          <t>2026-10-31</t>
        </is>
      </c>
      <c r="G17" s="39" t="n"/>
    </row>
    <row r="18" ht="34" customHeight="1">
      <c r="A18" s="35" t="inlineStr">
        <is>
          <t>高</t>
        </is>
      </c>
      <c r="B18" s="4" t="inlineStr">
        <is>
          <t>9月30日時点の人口・手帳所持者数（Ｍ-28）</t>
        </is>
      </c>
      <c r="C18" s="4" t="inlineStr">
        <is>
          <t>9月30日時点の住民基本台帳人口（年齢3区分別）と手帳所持者数を取得できるか。令和8年10月9日の打合せで、基準日を9月30日に揃える提案があった（U-1）。現行計画は各年4月1日現在であり、基準日を変えると前回計画との経年比較が接続しないため、両方の基準日で取得できるかを含めて確認する</t>
        </is>
      </c>
      <c r="D18" s="4" t="inlineStr">
        <is>
          <t>計画素案 第2章1・2</t>
        </is>
      </c>
      <c r="E18" s="27" t="inlineStr">
        <is>
          <t>未受領</t>
        </is>
      </c>
      <c r="F18" s="22" t="inlineStr">
        <is>
          <t>2026-10-16</t>
        </is>
      </c>
      <c r="G18" s="39" t="n"/>
    </row>
    <row r="19" ht="34" customHeight="1">
      <c r="A19" s="35" t="inlineStr">
        <is>
          <t>高</t>
        </is>
      </c>
      <c r="B19" s="7" t="inlineStr">
        <is>
          <t>こども・子育て計画の人口推計の元データ（Ｍ-29）</t>
        </is>
      </c>
      <c r="C19" s="7" t="inlineStr">
        <is>
          <t>令和11年 総人口2,185人・老年人口1,051人のコーホート変化率法による推計が用いた元データ（国勢調査か住民基本台帳か）と基準月。他メンバーの素案は線形の延長で2,166人・老年人口978人としており、老年人口の向きが逆になっている。介護保険事業計画が用いる人口とも揃える</t>
        </is>
      </c>
      <c r="D19" s="7" t="inlineStr">
        <is>
          <t>計画素案 第2章1／介護保険事業計画との整合 K-8</t>
        </is>
      </c>
      <c r="E19" s="27" t="inlineStr">
        <is>
          <t>未受領</t>
        </is>
      </c>
      <c r="F19" s="26" t="inlineStr">
        <is>
          <t>2026-10-16</t>
        </is>
      </c>
      <c r="G19" s="39" t="n"/>
    </row>
    <row r="20" ht="34" customHeight="1">
      <c r="A20" s="30" t="inlineStr">
        <is>
          <t>中</t>
        </is>
      </c>
      <c r="B20" s="4" t="inlineStr">
        <is>
          <t>職場適応訓練等の実績（Ｍ-30）</t>
        </is>
      </c>
      <c r="C20" s="4" t="inlineStr">
        <is>
          <t>職場適応訓練その他、障害者総合支援法の枠外で行われている就労支援の実績の有無（実施主体・対象者数）。令和8年10月9日の打合せで、村の取組又は地域生活支援事業の任意事業として計画に書く提案があった（U-6）。職場適応訓練は障害者雇用促進法に基づき都道府県が事業主に委託して行うものであり、村の事業ではない点の整理も要る</t>
        </is>
      </c>
      <c r="D20" s="4" t="inlineStr">
        <is>
          <t>計画素案 第5章9・第5章14</t>
        </is>
      </c>
      <c r="E20" s="27" t="inlineStr">
        <is>
          <t>未受領</t>
        </is>
      </c>
      <c r="F20" s="22" t="inlineStr">
        <is>
          <t>2026-10-31</t>
        </is>
      </c>
      <c r="G20" s="39" t="n"/>
    </row>
    <row r="21" ht="34" customHeight="1">
      <c r="A21" s="35" t="inlineStr">
        <is>
          <t>高</t>
        </is>
      </c>
      <c r="B21" s="7" t="inlineStr">
        <is>
          <t>地域生活支援事業・社協で担える範囲（Ｍ-31）</t>
        </is>
      </c>
      <c r="C21" s="7" t="inlineStr">
        <is>
          <t>医療的ケアを要する方の支援のうち、地域生活支援事業及び社会福祉協議会の事業で担える範囲。令和8年10月9日の打合せで、重度訪問介護（区分6）1名を想定して見込量を立て、不足分をこれらで補う提案があった（U-8）。自立支援給付（義務的経費）と地域生活支援事業（裁量的経費）の切り分けに関わる</t>
        </is>
      </c>
      <c r="D21" s="7" t="inlineStr">
        <is>
          <t>計画素案 第5章4・第5章9・第5章12</t>
        </is>
      </c>
      <c r="E21" s="27" t="inlineStr">
        <is>
          <t>未受領</t>
        </is>
      </c>
      <c r="F21" s="26" t="inlineStr">
        <is>
          <t>2026-10-31</t>
        </is>
      </c>
      <c r="G21" s="39" t="n"/>
    </row>
    <row r="22" ht="34" customHeight="1">
      <c r="A22" s="27" t="inlineStr">
        <is>
          <t>最優先</t>
        </is>
      </c>
      <c r="B22" s="4" t="inlineStr">
        <is>
          <t>重度障がい者の人数（Ｍ-22）</t>
        </is>
      </c>
      <c r="C22" s="4" t="inlineStr">
        <is>
          <t>強度行動障害の状態にある方（障害支援区分の認定調査の行動関連項目の合計点10点以上）、高次脳機能障害を有する方（診断の有無）、重症心身障害の状態にある児者（大島分類）の人数。把握していない場合はその旨。基本指針 別表第一 三が利用者数の内数の見込みを設定するよう努めることとしている</t>
        </is>
      </c>
      <c r="D22" s="4" t="inlineStr">
        <is>
          <t>計画素案 第5章4（重度障がい者の内数）</t>
        </is>
      </c>
      <c r="E22" s="27" t="inlineStr">
        <is>
          <t>未受領</t>
        </is>
      </c>
      <c r="F22" s="22" t="inlineStr">
        <is>
          <t>2026-10-16</t>
        </is>
      </c>
      <c r="G22" s="39" t="n"/>
    </row>
    <row r="23" ht="34" customHeight="1">
      <c r="A23" s="27" t="inlineStr">
        <is>
          <t>最優先</t>
        </is>
      </c>
      <c r="B23" s="7" t="inlineStr">
        <is>
          <t>施設入所者4人の6項目の確認状況（Ｍ-23）</t>
        </is>
      </c>
      <c r="C23" s="7" t="inlineStr">
        <is>
          <t>本人の意向・家族の意向・共同生活援助等の受入れの可能性・必要な医療の継続の可否・夜間の支援体制・地域生活の体験の機会。地域移行者数の目標値0人は国基準6％を下回るため、根拠の説明が県の計画協議で求められる</t>
        </is>
      </c>
      <c r="D23" s="7" t="inlineStr">
        <is>
          <t>計画素案 第4章（１）</t>
        </is>
      </c>
      <c r="E23" s="27" t="inlineStr">
        <is>
          <t>未受領</t>
        </is>
      </c>
      <c r="F23" s="26" t="inlineStr">
        <is>
          <t>2026-10-16</t>
        </is>
      </c>
      <c r="G23" s="39" t="n"/>
    </row>
    <row r="24" ht="34" customHeight="1">
      <c r="A24" s="27" t="inlineStr">
        <is>
          <t>最優先</t>
        </is>
      </c>
      <c r="B24" s="4" t="inlineStr">
        <is>
          <t>村外の利用事業所の一覧（Ｍ-24）</t>
        </is>
      </c>
      <c r="C24" s="4" t="inlineStr">
        <is>
          <t>本村の住民が利用している村外の事業所のサービス種別・事業所名・所在地。いただければ、定員・空き・待機・送迎の範囲・冬季の送迎・重度障がい者の受入れ・医療的ケア・職員の欠員・定員の増減の7項目の照会文を当方で作成する</t>
        </is>
      </c>
      <c r="D24" s="4" t="inlineStr">
        <is>
          <t>計画素案 第5章8（事業所の受入余力の把握）</t>
        </is>
      </c>
      <c r="E24" s="27" t="inlineStr">
        <is>
          <t>未受領</t>
        </is>
      </c>
      <c r="F24" s="22" t="inlineStr">
        <is>
          <t>2026-10-16</t>
        </is>
      </c>
      <c r="G24" s="39" t="n"/>
    </row>
    <row r="25" ht="34" customHeight="1">
      <c r="A25" s="35" t="inlineStr">
        <is>
          <t>高</t>
        </is>
      </c>
      <c r="B25" s="7" t="inlineStr">
        <is>
          <t>事業所の経営基盤（Ｍ-25）</t>
        </is>
      </c>
      <c r="C25" s="7" t="inlineStr">
        <is>
          <t>村内3事業所及び村外の主な事業所の職員の欠員・離職の状況、休廃止の意向、冬季の送迎に要する人員。事業所名を伏せた集計でよい。定員に空きがあっても職員がいなければ受け入れられないため、確保可能量の判断に用いる</t>
        </is>
      </c>
      <c r="D25" s="7" t="inlineStr">
        <is>
          <t>計画素案 第5章13（経営基盤を供給制約として見る）</t>
        </is>
      </c>
      <c r="E25" s="27" t="inlineStr">
        <is>
          <t>未受領</t>
        </is>
      </c>
      <c r="F25" s="26" t="inlineStr">
        <is>
          <t>2026-10-31</t>
        </is>
      </c>
      <c r="G25" s="39" t="n"/>
    </row>
    <row r="26" ht="34" customHeight="1">
      <c r="A26" s="35" t="inlineStr">
        <is>
          <t>高</t>
        </is>
      </c>
      <c r="B26" s="4" t="inlineStr">
        <is>
          <t>成人の医療的ケア者・重症心身障害者（Ｍ-26）</t>
        </is>
      </c>
      <c r="C26" s="4" t="inlineStr">
        <is>
          <t>18歳以上で恒常的に医療的ケアを受けている方（医療的ケア者）と重症心身障害の状態にある成人の方の人数・利用サービス。令和8年8月19日の基本指針改正により支援の対象が成人期まで広がった。該当なしの場合もその旨を記録する</t>
        </is>
      </c>
      <c r="D26" s="4" t="inlineStr">
        <is>
          <t>計画素案 第4章（４）・第5章4</t>
        </is>
      </c>
      <c r="E26" s="27" t="inlineStr">
        <is>
          <t>未受領</t>
        </is>
      </c>
      <c r="F26" s="22" t="inlineStr">
        <is>
          <t>2026-10-16</t>
        </is>
      </c>
      <c r="G26" s="39" t="n"/>
    </row>
    <row r="27" ht="34" customHeight="1">
      <c r="A27" s="35" t="inlineStr">
        <is>
          <t>高</t>
        </is>
      </c>
      <c r="B27" s="7" t="inlineStr">
        <is>
          <t>退院者1人の生活の見通し（Ｍ-27）</t>
        </is>
      </c>
      <c r="C27" s="7" t="inlineStr">
        <is>
          <t>1年以上入院している方の退院後の住まい（共同生活援助・一般住宅・家族との同居）、日中活動、医療の継続（通院先・訪問看護）、相談支援の担当の見通しを匿名で1人分。見込量のどの行で受け止めるかを計画に明示する</t>
        </is>
      </c>
      <c r="D27" s="7" t="inlineStr">
        <is>
          <t>計画素案 第4章（２）</t>
        </is>
      </c>
      <c r="E27" s="27" t="inlineStr">
        <is>
          <t>未受領</t>
        </is>
      </c>
      <c r="F27" s="26" t="inlineStr">
        <is>
          <t>2026-10-16</t>
        </is>
      </c>
      <c r="G27" s="39" t="n"/>
    </row>
    <row r="28" ht="34" customHeight="1">
      <c r="A28" s="35" t="inlineStr">
        <is>
          <t>高</t>
        </is>
      </c>
      <c r="B28" s="4" t="inlineStr">
        <is>
          <t>卒業予定者の一覧（Ｍ-21）</t>
        </is>
      </c>
      <c r="C28" s="4" t="inlineStr">
        <is>
          <t>令和9〜11年度に特別支援学校又は特別支援学級を卒業する予定の方の卒業年度・在籍校・進路希望・就労選択支援の利用予定・医療的ケア及び強度行動障害の有無</t>
        </is>
      </c>
      <c r="D28" s="4" t="inlineStr">
        <is>
          <t>計画素案 第5章2（学校卒業に伴うサービスの移行）</t>
        </is>
      </c>
      <c r="E28" s="27" t="inlineStr">
        <is>
          <t>未受領</t>
        </is>
      </c>
      <c r="F28" s="22" t="inlineStr">
        <is>
          <t>2026-10-09</t>
        </is>
      </c>
      <c r="G28" s="39" t="n"/>
    </row>
    <row r="29" ht="34" customHeight="1">
      <c r="A29" s="32" t="inlineStr">
        <is>
          <t>―</t>
        </is>
      </c>
      <c r="B29" s="7" t="inlineStr">
        <is>
          <t>自立支援協議会の資料13点（令和8年5月25日）</t>
        </is>
      </c>
      <c r="C29" s="7" t="inlineStr">
        <is>
          <t>【受領済み】見込量と実績（資料2-3）、障害福祉サービス等の提供体制の確保に係る目標、進捗管理評価シート7枚、北塩原村障がい計画 進捗管理及び評価、計画策定方針、アンケート調査、意見・提案。令和8年10月8日に受領し source/村資料_自立支援協議会_20260525 に格納。令和8年10月10日に未読だった4点（計画策定方針・進捗管理評価シート7枚・意見・提案・アンケート調査）を読み、正本と突き合わせた（北塩原村_村資料点検_20261010.xlsx。修正案26件・照会9件）。計画策定方針のスケジュールにより、協議会の開催時期の未定が解けた</t>
        </is>
      </c>
      <c r="D29" s="7" t="inlineStr">
        <is>
          <t>計画素案 第4章（実績6件を反映）／村資料点検 01〜07シート</t>
        </is>
      </c>
      <c r="E29" s="33" t="inlineStr">
        <is>
          <t>受領済</t>
        </is>
      </c>
      <c r="F29" s="26" t="inlineStr">
        <is>
          <t>2026-10-08</t>
        </is>
      </c>
      <c r="G29" s="39" t="n"/>
    </row>
    <row r="30" ht="34" customHeight="1">
      <c r="A30" s="35" t="inlineStr">
        <is>
          <t>高</t>
        </is>
      </c>
      <c r="B30" s="4" t="inlineStr">
        <is>
          <t>高齢者サービスの手引きと高齢者福祉施策の対象要件（Ｍ-50）</t>
        </is>
      </c>
      <c r="C30" s="4" t="inlineStr">
        <is>
          <t>【一部受領】令和8年度 北塩原村高齢者サービスの手引き（3頁）を令和8年10月10日に受領し source/村資料_高齢者施策_20261010 に格納。福祉サービス13件と村内のサービス事業者一覧7事業所を確認した。対象はいずれも「高齢者世帯等」「65歳以上」「概ね60歳以上」であり、障がいのある方が「等」に含まれるかと利用実績は未確認</t>
        </is>
      </c>
      <c r="D30" s="4" t="inlineStr">
        <is>
          <t>計画素案 第5章5（65歳到達）・第5章1（3）（住まい。W-7で反映）／第5章2（4）（共生型サービス。W-11で反映）</t>
        </is>
      </c>
      <c r="E30" s="34" t="inlineStr">
        <is>
          <t>一部受領</t>
        </is>
      </c>
      <c r="F30" s="22" t="inlineStr">
        <is>
          <t>2026-10-20</t>
        </is>
      </c>
      <c r="G30" s="39" t="n"/>
    </row>
    <row r="31" ht="34" customHeight="1">
      <c r="A31" s="35" t="inlineStr">
        <is>
          <t>高</t>
        </is>
      </c>
      <c r="B31" s="7" t="inlineStr">
        <is>
          <t>高齢者世帯等除雪サービス事業の「等」の範囲（Ｍ-49）</t>
        </is>
      </c>
      <c r="C31" s="7" t="inlineStr">
        <is>
          <t>【一部受領】手引きで事業の存在と内容を確認（除雪が困難な高齢者世帯等に居宅の除雪経費の一部を助成。非課税世帯）。「等」に障がいのみを理由とする世帯が含まれるか、障がいのある方が属する世帯の利用実績、助成の上限額は未確認</t>
        </is>
      </c>
      <c r="D31" s="7" t="inlineStr">
        <is>
          <t>計画素案 第5章2（冬季の提供体制）／12重点施策 評価設計 01シート</t>
        </is>
      </c>
      <c r="E31" s="34" t="inlineStr">
        <is>
          <t>一部受領</t>
        </is>
      </c>
      <c r="F31" s="26" t="inlineStr">
        <is>
          <t>2026-10-20</t>
        </is>
      </c>
      <c r="G31" s="39" t="n"/>
    </row>
    <row r="32" ht="34" customHeight="1">
      <c r="A32" s="35" t="inlineStr">
        <is>
          <t>高</t>
        </is>
      </c>
      <c r="B32" s="4" t="inlineStr">
        <is>
          <t>権利擁護・成年後見の件数（Ｍ-51）</t>
        </is>
      </c>
      <c r="C32" s="4" t="inlineStr">
        <is>
          <t>相談件数、会津権利擁護・成年後見センターへの接続件数、申立支援件数、報酬助成件数、親亡き後に関する相談件数、共同生活援助・単身生活への移行件数。令和8年度住民向け成年後見講座のちらしは受領済み（11市町村と中核機関の共催。10月23日・24日開催。村の担当は保健福祉課）。参加者数と村からの参加の呼びかけの状況は未確認</t>
        </is>
      </c>
      <c r="D32" s="4" t="inlineStr">
        <is>
          <t>計画素案 第6章1（3）（W-12で反映）・第6章3（W-6で6指標の枠を入れた）</t>
        </is>
      </c>
      <c r="E32" s="27" t="inlineStr">
        <is>
          <t>未受領</t>
        </is>
      </c>
      <c r="F32" s="22" t="inlineStr">
        <is>
          <t>2026-10-20</t>
        </is>
      </c>
      <c r="G32" s="39" t="n"/>
    </row>
    <row r="33" ht="34" customHeight="1">
      <c r="A33" s="32" t="inlineStr">
        <is>
          <t>中</t>
        </is>
      </c>
      <c r="B33" s="7" t="inlineStr">
        <is>
          <t>緊急連絡カードの配布対象と障がい分野での活用（Ｍ-52）</t>
        </is>
      </c>
      <c r="C33" s="7" t="inlineStr">
        <is>
          <t>【一部受領】様式（2人分。持病・お薬、かかりつけ医、緊急連絡先、備考、本人の同意欄）を令和8年10月10日に受領。配布の対象と実績、実施している課と事業名、障がいのある方・医療的ケアが必要な方への活用状況、消防との情報共有の取決めは未確認</t>
        </is>
      </c>
      <c r="D33" s="7" t="inlineStr">
        <is>
          <t>計画素案 第5章2（11）（W-8で4場面、W-4で様式の活用を入れた）</t>
        </is>
      </c>
      <c r="E33" s="34" t="inlineStr">
        <is>
          <t>一部受領</t>
        </is>
      </c>
      <c r="F33" s="26" t="inlineStr">
        <is>
          <t>2026-10-20</t>
        </is>
      </c>
      <c r="G33" s="39" t="n"/>
    </row>
    <row r="34" ht="34" customHeight="1">
      <c r="A34" s="30" t="inlineStr">
        <is>
          <t>中</t>
        </is>
      </c>
      <c r="B34" s="4" t="inlineStr">
        <is>
          <t>地域生活支援拠点等の5機能の実績（Ｍ-54）</t>
        </is>
      </c>
      <c r="C34" s="4" t="inlineStr">
        <is>
          <t>会津北部地域生活支援拠点の相談・緊急時の受入れ・体験の機会及び場・専門的人材の確保養成・地域の体制づくりの機能ごとの令和6・7年度の実績と検証・検討の実施回数</t>
        </is>
      </c>
      <c r="D34" s="4" t="inlineStr">
        <is>
          <t>計画素案 第4章2（5）（W-3で機能ごとの記録の枠を入れた）</t>
        </is>
      </c>
      <c r="E34" s="27" t="inlineStr">
        <is>
          <t>未受領</t>
        </is>
      </c>
      <c r="F34" s="22" t="inlineStr">
        <is>
          <t>2026-10-27</t>
        </is>
      </c>
      <c r="G34" s="39" t="n"/>
    </row>
    <row r="35" ht="34" customHeight="1">
      <c r="A35" s="35" t="inlineStr">
        <is>
          <t>高</t>
        </is>
      </c>
      <c r="B35" s="7" t="inlineStr">
        <is>
          <t>除雪サービスの利用実績と助成の内容（Ｍ-55・Ｍ-56）</t>
        </is>
      </c>
      <c r="C35" s="7" t="inlineStr">
        <is>
          <t>高齢者世帯等除雪サービス事業について、直近3年度の全利用世帯数・うち障がいのある方がいる世帯数・うち65歳未満の障がい者世帯数と、助成上限・自己負担・利用回数・除雪の範囲（玄関、生活道路、屋根雪等）・対象業者・申請方法</t>
        </is>
      </c>
      <c r="D35" s="7" t="inlineStr">
        <is>
          <t>計画素案 第5章2（14）冬季の地域生活の継続（W-13で反映）</t>
        </is>
      </c>
      <c r="E35" s="27" t="inlineStr">
        <is>
          <t>未受領</t>
        </is>
      </c>
      <c r="F35" s="26" t="inlineStr">
        <is>
          <t>2026-10-20</t>
        </is>
      </c>
      <c r="G35" s="39" t="n"/>
    </row>
    <row r="36" ht="34" customHeight="1">
      <c r="A36" s="30" t="inlineStr">
        <is>
          <t>中</t>
        </is>
      </c>
      <c r="B36" s="4" t="inlineStr">
        <is>
          <t>冬季の除雪の供給の制約とつなぐ運用（Ｍ-57・Ｍ-58）</t>
        </is>
      </c>
      <c r="C36" s="4" t="inlineStr">
        <is>
          <t>地区ごとに対応できる業者、豪雪時の人手不足、申請しても利用できなかった世帯、冬季のサービスの停止・遅延。相談支援専門員・民生委員児童委員・社会福祉協議会・地域包括支援センターから既存事業へつなぐ運用の有無</t>
        </is>
      </c>
      <c r="D36" s="4" t="inlineStr">
        <is>
          <t>計画素案 第5章2（14）・第5章2（7）事業所の受入余力の把握</t>
        </is>
      </c>
      <c r="E36" s="27" t="inlineStr">
        <is>
          <t>未受領</t>
        </is>
      </c>
      <c r="F36" s="22" t="inlineStr">
        <is>
          <t>2026-10-27</t>
        </is>
      </c>
      <c r="G36" s="39" t="n"/>
    </row>
    <row r="37" ht="34" customHeight="1">
      <c r="A37" s="35" t="inlineStr">
        <is>
          <t>高</t>
        </is>
      </c>
      <c r="B37" s="7" t="inlineStr">
        <is>
          <t>手話施策の実績（Ｍ-59・Ｍ-60）</t>
        </is>
      </c>
      <c r="C37" s="7" t="inlineStr">
        <is>
          <t>公式動画による手話の紹介の年度別公開本数・再生回数・テーマ、手話出前講座の年度別開催団体数・参加者数・団体の属性。令和7年度は3回・参加者60名（進捗管理評価シート1で確認）</t>
        </is>
      </c>
      <c r="D37" s="7" t="inlineStr">
        <is>
          <t>計画素案 第5章3（2）意思疎通支援事業・手話奉仕員養成研修事業（X-2で反映）</t>
        </is>
      </c>
      <c r="E37" s="27" t="inlineStr">
        <is>
          <t>未受領</t>
        </is>
      </c>
      <c r="F37" s="26" t="inlineStr">
        <is>
          <t>2026-10-27</t>
        </is>
      </c>
      <c r="G37" s="39" t="n"/>
    </row>
    <row r="38" ht="34" customHeight="1">
      <c r="A38" s="35" t="inlineStr">
        <is>
          <t>高</t>
        </is>
      </c>
      <c r="B38" s="4" t="inlineStr">
        <is>
          <t>人工透析通院交通費助成と除雪の障がい者世帯の利用実績（Ｍ-64・Ｍ-65）</t>
        </is>
      </c>
      <c r="C38" s="4" t="inlineStr">
        <is>
          <t>人工透析患者通院交通費助成の年度別利用者数・助成額・対象者数。除雪サービスのうち重度心身障害者医療費の受給対象者のみで構成される世帯の利用件数と、受給対象外の障がい者世帯からの相談の有無</t>
        </is>
      </c>
      <c r="D38" s="4" t="inlineStr">
        <is>
          <t>計画素案 第5章7（4）村単独事業／第5章2（14）冬季の地域生活の継続（X-4で反映）</t>
        </is>
      </c>
      <c r="E38" s="27" t="inlineStr">
        <is>
          <t>未受領</t>
        </is>
      </c>
      <c r="F38" s="22" t="inlineStr">
        <is>
          <t>2026-10-20</t>
        </is>
      </c>
      <c r="G38" s="39" t="n"/>
    </row>
    <row r="39" ht="34" customHeight="1">
      <c r="A39" s="35" t="inlineStr">
        <is>
          <t>高</t>
        </is>
      </c>
      <c r="B39" s="7" t="inlineStr">
        <is>
          <t>障がい者活躍推進計画と物品調達方針（Ｍ-67・Ｍ-68）</t>
        </is>
      </c>
      <c r="C39" s="7" t="inlineStr">
        <is>
          <t>北塩原村障がい者活躍推進計画（第2期・令和7〜11年度）の内容と村の障がい者雇用率。令和8年9月に更新された障がい者就労施設等からの物品等の調達方針の内容と、年度別の調達件数・金額・対象施設</t>
        </is>
      </c>
      <c r="D39" s="7" t="inlineStr">
        <is>
          <t>計画素案 第1章2 関連計画（X-1で反映）／第4章2（3）優先調達</t>
        </is>
      </c>
      <c r="E39" s="27" t="inlineStr">
        <is>
          <t>未受領</t>
        </is>
      </c>
      <c r="F39" s="26" t="inlineStr">
        <is>
          <t>2026-10-20</t>
        </is>
      </c>
      <c r="G39" s="39" t="n"/>
    </row>
    <row r="40" ht="34" customHeight="1">
      <c r="A40" s="30" t="inlineStr">
        <is>
          <t>中</t>
        </is>
      </c>
      <c r="B40" s="4" t="inlineStr">
        <is>
          <t>情報保障の配布実績と差別に関する相談（Ｍ-61〜Ｍ-63）</t>
        </is>
      </c>
      <c r="C40" s="4" t="inlineStr">
        <is>
          <t>電話お願い手帳の対象者・配布場所・配布数。ヘルプマーク・ヘルプカード・耳マークの年度別配布数。つなぐ窓口の相談件数・内容・対応結果</t>
        </is>
      </c>
      <c r="D40" s="4" t="inlineStr">
        <is>
          <t>計画素案 第5章2（1）住民への情報提供等（X-3で反映）</t>
        </is>
      </c>
      <c r="E40" s="27" t="inlineStr">
        <is>
          <t>未受領</t>
        </is>
      </c>
      <c r="F40" s="22" t="inlineStr">
        <is>
          <t>2026-10-27</t>
        </is>
      </c>
      <c r="G40" s="39" t="n"/>
    </row>
    <row r="41" ht="34" customHeight="1">
      <c r="A41" s="32" t="inlineStr">
        <is>
          <t>低</t>
        </is>
      </c>
      <c r="B41" s="7" t="inlineStr">
        <is>
          <t>パラスポーツへの村民の参加（Ｍ-66）</t>
        </is>
      </c>
      <c r="C41" s="7" t="inlineStr">
        <is>
          <t>パラスポーツ指導員養成講習会の村民の受講者・資格取得者、村内活動への接続、障がいのある方本人のスポーツ参加の状況</t>
        </is>
      </c>
      <c r="D41" s="7" t="inlineStr">
        <is>
          <t>計画素案 第3章3 基本施策⑦スポーツ・文化</t>
        </is>
      </c>
      <c r="E41" s="27" t="inlineStr">
        <is>
          <t>未受領</t>
        </is>
      </c>
      <c r="F41" s="26" t="inlineStr">
        <is>
          <t>2026-10-27</t>
        </is>
      </c>
      <c r="G41" s="39" t="n"/>
    </row>
    <row r="42" ht="34" customHeight="1">
      <c r="A42" s="30" t="inlineStr">
        <is>
          <t>低</t>
        </is>
      </c>
      <c r="B42" s="4" t="inlineStr">
        <is>
          <t>就労の受け皿（職親委託等）の実績（Ｍ-53）</t>
        </is>
      </c>
      <c r="C42" s="4" t="inlineStr">
        <is>
          <t>職親委託制度の実績、村内事業所での雇用実績、特別支援学校卒業者の就労先</t>
        </is>
      </c>
      <c r="D42" s="4" t="inlineStr">
        <is>
          <t>計画素案 第4章2（3）</t>
        </is>
      </c>
      <c r="E42" s="27" t="inlineStr">
        <is>
          <t>未受領</t>
        </is>
      </c>
      <c r="F42" s="22" t="inlineStr">
        <is>
          <t>2026-10-27</t>
        </is>
      </c>
      <c r="G42" s="39" t="n"/>
    </row>
    <row r="43" ht="34" customHeight="1">
      <c r="A43" s="27" t="inlineStr">
        <is>
          <t>最優先</t>
        </is>
      </c>
      <c r="B43" s="7" t="inlineStr">
        <is>
          <t>本村の過疎区分（全部過疎／一部過疎／みなし過疎）</t>
        </is>
      </c>
      <c r="C43" s="7" t="inlineStr">
        <is>
          <t>【受領済み】福島県「県内の過疎・中山間地域の指定状況」（令和7年4月1日現在）。過疎法第2条により全域が過疎地域。県条例の中山間地域にも全域が該当</t>
        </is>
      </c>
      <c r="D43" s="7" t="inlineStr">
        <is>
          <t>サービス見込量 12_別表第五判定</t>
        </is>
      </c>
      <c r="E43" s="33" t="inlineStr">
        <is>
          <t>受領済</t>
        </is>
      </c>
      <c r="F43" s="26" t="inlineStr">
        <is>
          <t>2026-08-05</t>
        </is>
      </c>
      <c r="G43" s="39" t="n"/>
    </row>
    <row r="44" ht="34" customHeight="1">
      <c r="A44" s="27" t="inlineStr">
        <is>
          <t>最優先</t>
        </is>
      </c>
      <c r="B44" s="4" t="inlineStr">
        <is>
          <t>村内3事業所の詳細</t>
        </is>
      </c>
      <c r="C44" s="4" t="inlineStr">
        <is>
          <t>ReMHRAD障害福祉資源で確認した居宅介護1・重度訪問介護1・生活介護1について、事業所名、指定年月、共生型サービスの指定の有無、受入可能人数、送迎範囲</t>
        </is>
      </c>
      <c r="D44" s="4" t="inlineStr">
        <is>
          <t>骨子案修正版 第5章8／サービス見込量 08</t>
        </is>
      </c>
      <c r="E44" s="27" t="inlineStr">
        <is>
          <t>未受領</t>
        </is>
      </c>
      <c r="F44" s="22" t="inlineStr">
        <is>
          <t>2026-09-30</t>
        </is>
      </c>
      <c r="G44" s="39" t="n"/>
    </row>
    <row r="45" ht="34" customHeight="1">
      <c r="A45" s="35" t="inlineStr">
        <is>
          <t>高</t>
        </is>
      </c>
      <c r="B45" s="7" t="inlineStr">
        <is>
          <t>圏域事業所の制度活用状況</t>
        </is>
      </c>
      <c r="C45" s="7" t="inlineStr">
        <is>
          <t>共生型サービスの指定の有無、多機能型・従たる事業所の設置可能性、介護保険事業所（訪問介護・居宅介護支援）の居宅介護指定取得の意向</t>
        </is>
      </c>
      <c r="D45" s="7" t="inlineStr">
        <is>
          <t>骨子案修正版 第5章8／サービス見込量 08</t>
        </is>
      </c>
      <c r="E45" s="27" t="inlineStr">
        <is>
          <t>未受領</t>
        </is>
      </c>
      <c r="F45" s="26" t="inlineStr">
        <is>
          <t>2026-10-31</t>
        </is>
      </c>
      <c r="G45" s="39" t="n"/>
    </row>
    <row r="46" ht="34" customHeight="1">
      <c r="A46" s="27" t="inlineStr">
        <is>
          <t>最優先</t>
        </is>
      </c>
      <c r="B46" s="4" t="inlineStr">
        <is>
          <t>令和7年度末時点の1年以上長期入院者の実数</t>
        </is>
      </c>
      <c r="C46" s="4" t="inlineStr">
        <is>
          <t>人数、年齢区分（65歳未満／65歳以上／75歳以上／40歳以上の認知症の別）、入院先、退院の可能性。現行計画の令和5年度5人が起点。村・会津保健所で確認。ReMHRADで把握できるのは入院期間を問わない在院患者数まで（R4:7人・R5:10人・R6:8人）で、1年以上の内訳と年齢区分は公表データからは得られない</t>
        </is>
      </c>
      <c r="D46" s="4" t="inlineStr">
        <is>
          <t>骨子案修正版 第4章(2)</t>
        </is>
      </c>
      <c r="E46" s="27" t="inlineStr">
        <is>
          <t>未受領</t>
        </is>
      </c>
      <c r="F46" s="22" t="inlineStr">
        <is>
          <t>2026-09-30</t>
        </is>
      </c>
      <c r="G46" s="39" t="n"/>
    </row>
    <row r="47" ht="34" customHeight="1">
      <c r="A47" s="35" t="inlineStr">
        <is>
          <t>高</t>
        </is>
      </c>
      <c r="B47" s="7" t="inlineStr">
        <is>
          <t>福島県の長期入院患者に係る基盤整備量（利用者数）</t>
        </is>
      </c>
      <c r="C47" s="7" t="inlineStr">
        <is>
          <t>県が基本指針 別表第四の三の項の式により算定した令和11年度末の値。県第7期計画は一・二の項に相当する長期在院者数（R8末目標 65歳未満898人・65歳以上1,656人）のみ掲載し三の項は無いため、県への個別照会が必要</t>
        </is>
      </c>
      <c r="D47" s="7" t="inlineStr">
        <is>
          <t>骨子案修正版 第4章(2)</t>
        </is>
      </c>
      <c r="E47" s="36" t="inlineStr">
        <is>
          <t>県照会中</t>
        </is>
      </c>
      <c r="F47" s="26" t="inlineStr">
        <is>
          <t>2026-10-31</t>
        </is>
      </c>
      <c r="G47" s="39" t="n"/>
    </row>
    <row r="48" ht="34" customHeight="1">
      <c r="A48" s="35" t="inlineStr">
        <is>
          <t>高</t>
        </is>
      </c>
      <c r="B48" s="4" t="inlineStr">
        <is>
          <t>令和6年度の一般就労移行実績・就労定着支援利用実績</t>
        </is>
      </c>
      <c r="C48" s="4" t="inlineStr">
        <is>
          <t>成果目標の倍率（全体1.31倍、就労移行支援1.14倍、A型おおむね1.52倍、B型おおむね1.67倍、就労定着支援1.47倍）の基準値。事業種別ごとに必要</t>
        </is>
      </c>
      <c r="D48" s="4" t="inlineStr">
        <is>
          <t>骨子案修正版 第4章(3)</t>
        </is>
      </c>
      <c r="E48" s="27" t="inlineStr">
        <is>
          <t>未受領</t>
        </is>
      </c>
      <c r="F48" s="22" t="inlineStr">
        <is>
          <t>2026-09-30</t>
        </is>
      </c>
      <c r="G48" s="39" t="n"/>
    </row>
    <row r="49" ht="34" customHeight="1">
      <c r="A49" s="32" t="inlineStr">
        <is>
          <t>中</t>
        </is>
      </c>
      <c r="B49" s="7" t="inlineStr">
        <is>
          <t>第7期計画の令和8年度目標の達成見込み</t>
        </is>
      </c>
      <c r="C49" s="7" t="inlineStr">
        <is>
          <t>未達の場合、未達成割合を令和11年度目標に上乗せする規定がある（第二 一・三）。本村は地域移行0人・削減0人が目標のため、達成／未達の整理が必要</t>
        </is>
      </c>
      <c r="D49" s="7" t="inlineStr">
        <is>
          <t>骨子案修正版 第4章(1)(3)</t>
        </is>
      </c>
      <c r="E49" s="27" t="inlineStr">
        <is>
          <t>未受領</t>
        </is>
      </c>
      <c r="F49" s="26" t="inlineStr">
        <is>
          <t>2026-10-31</t>
        </is>
      </c>
      <c r="G49" s="39" t="n"/>
    </row>
    <row r="50" ht="34" customHeight="1">
      <c r="A50" s="27" t="inlineStr">
        <is>
          <t>最優先</t>
        </is>
      </c>
      <c r="B50" s="4" t="inlineStr">
        <is>
          <t>年齢別・サービス別の匿名利用者一覧</t>
        </is>
      </c>
      <c r="C50" s="4" t="inlineStr">
        <is>
          <t>利用者番号、生年月、障害支援区分、利用中のサービス、月利用日数・時間。氏名不要</t>
        </is>
      </c>
      <c r="D50" s="4" t="inlineStr">
        <is>
          <t>サービス見込量 02・03・04</t>
        </is>
      </c>
      <c r="E50" s="27" t="inlineStr">
        <is>
          <t>未受領</t>
        </is>
      </c>
      <c r="F50" s="22" t="inlineStr">
        <is>
          <t>2026-08-31</t>
        </is>
      </c>
      <c r="G50" s="39" t="n"/>
    </row>
    <row r="51" ht="34" customHeight="1">
      <c r="A51" s="27" t="inlineStr">
        <is>
          <t>最優先</t>
        </is>
      </c>
      <c r="B51" s="7" t="inlineStr">
        <is>
          <t>サービス別の支給決定者数（実人数）</t>
        </is>
      </c>
      <c r="C51" s="7" t="inlineStr">
        <is>
          <t>請求件数ではなく実人数。計画相談支援は請求と実人数が一致しないため特に必要</t>
        </is>
      </c>
      <c r="D51" s="7" t="inlineStr">
        <is>
          <t>サービス見込量 03・04</t>
        </is>
      </c>
      <c r="E51" s="27" t="inlineStr">
        <is>
          <t>未受領</t>
        </is>
      </c>
      <c r="F51" s="26" t="inlineStr">
        <is>
          <t>2026-08-31</t>
        </is>
      </c>
      <c r="G51" s="39" t="n"/>
    </row>
    <row r="52" ht="34" customHeight="1">
      <c r="A52" s="27" t="inlineStr">
        <is>
          <t>最優先</t>
        </is>
      </c>
      <c r="B52" s="4" t="inlineStr">
        <is>
          <t>年齢階級別の手帳所持者数・人口</t>
        </is>
      </c>
      <c r="C52" s="4" t="inlineStr">
        <is>
          <t>身体は0〜17／18〜39／40〜64／65〜74／75歳以上、療育・精神は18歳未満／18〜64／65歳以上</t>
        </is>
      </c>
      <c r="D52" s="4" t="inlineStr">
        <is>
          <t>将来推計 05</t>
        </is>
      </c>
      <c r="E52" s="27" t="inlineStr">
        <is>
          <t>未受領</t>
        </is>
      </c>
      <c r="F52" s="22" t="inlineStr">
        <is>
          <t>2026-09-30</t>
        </is>
      </c>
      <c r="G52" s="39" t="n"/>
    </row>
    <row r="53" ht="34" customHeight="1">
      <c r="A53" s="35" t="inlineStr">
        <is>
          <t>高</t>
        </is>
      </c>
      <c r="B53" s="7" t="inlineStr">
        <is>
          <t>令和6・7年度実績、令和8年度見込</t>
        </is>
      </c>
      <c r="C53" s="7" t="inlineStr">
        <is>
          <t>成果目標、サービス別利用者数・利用量、給付費、地域生活支援事業、相談件数</t>
        </is>
      </c>
      <c r="D53" s="7" t="inlineStr">
        <is>
          <t>前回計画評価／サービス見込量／財源構成案</t>
        </is>
      </c>
      <c r="E53" s="27" t="inlineStr">
        <is>
          <t>未受領</t>
        </is>
      </c>
      <c r="F53" s="26" t="inlineStr">
        <is>
          <t>2026-09-30</t>
        </is>
      </c>
      <c r="G53" s="39" t="n"/>
    </row>
    <row r="54" ht="34" customHeight="1">
      <c r="A54" s="35" t="inlineStr">
        <is>
          <t>高</t>
        </is>
      </c>
      <c r="B54" s="4" t="inlineStr">
        <is>
          <t>発送対象者数（重複除外後）</t>
        </is>
      </c>
      <c r="C54" s="4" t="inlineStr">
        <is>
          <t>仕様書の約190人の内訳と、現行計画156人との差の理由。令和8年10月14日の集計表の改訂版で配布数が確定（障がい者172・障がい児6）。内訳は身体118名・精神1名・療育8名・入所等12名で合計139名であり、配布数172と33名の差がある（Ｍ-128）</t>
        </is>
      </c>
      <c r="D54" s="4" t="inlineStr">
        <is>
          <t>契約管理5／アンケート発送設計</t>
        </is>
      </c>
      <c r="E54" s="34" t="inlineStr">
        <is>
          <t>一部受領</t>
        </is>
      </c>
      <c r="F54" s="22" t="inlineStr">
        <is>
          <t>2026-08-05</t>
        </is>
      </c>
      <c r="G54" s="39" t="n"/>
    </row>
    <row r="55" ht="34" customHeight="1">
      <c r="A55" s="35" t="inlineStr">
        <is>
          <t>高</t>
        </is>
      </c>
      <c r="B55" s="7" t="inlineStr">
        <is>
          <t>宛名ラベルシール</t>
        </is>
      </c>
      <c r="C55" s="7" t="inlineStr">
        <is>
          <t>仕様書Ⅰ(1)により委託者が抽出し提供。令和8年8月31日の発送に用いられた</t>
        </is>
      </c>
      <c r="D55" s="7" t="inlineStr">
        <is>
          <t>アンケート発送</t>
        </is>
      </c>
      <c r="E55" s="33" t="inlineStr">
        <is>
          <t>受領済</t>
        </is>
      </c>
      <c r="F55" s="26" t="inlineStr">
        <is>
          <t>2026-08-05</t>
        </is>
      </c>
      <c r="G55" s="39" t="n"/>
    </row>
    <row r="56" ht="34" customHeight="1">
      <c r="A56" s="35" t="inlineStr">
        <is>
          <t>高</t>
        </is>
      </c>
      <c r="B56" s="4" t="inlineStr">
        <is>
          <t>特別支援学校・特別支援学級の在籍者</t>
        </is>
      </c>
      <c r="C56" s="4" t="inlineStr">
        <is>
          <t>学年、卒業予定年度、卒業後の進路。令和6〜7年度に卒業した方の現在の利用状況も含む</t>
        </is>
      </c>
      <c r="D56" s="4" t="inlineStr">
        <is>
          <t>サービス見込量 02・03</t>
        </is>
      </c>
      <c r="E56" s="27" t="inlineStr">
        <is>
          <t>未受領</t>
        </is>
      </c>
      <c r="F56" s="22" t="inlineStr">
        <is>
          <t>2026-09-30</t>
        </is>
      </c>
      <c r="G56" s="39" t="n"/>
    </row>
    <row r="57" ht="34" customHeight="1">
      <c r="A57" s="35" t="inlineStr">
        <is>
          <t>高</t>
        </is>
      </c>
      <c r="B57" s="7" t="inlineStr">
        <is>
          <t>令和9〜11年度の65歳到達者</t>
        </is>
      </c>
      <c r="C57" s="7" t="inlineStr">
        <is>
          <t>到達年度、現在利用しているサービス、月量</t>
        </is>
      </c>
      <c r="D57" s="7" t="inlineStr">
        <is>
          <t>サービス見込量 02・06</t>
        </is>
      </c>
      <c r="E57" s="27" t="inlineStr">
        <is>
          <t>未受領</t>
        </is>
      </c>
      <c r="F57" s="26" t="inlineStr">
        <is>
          <t>2026-09-30</t>
        </is>
      </c>
      <c r="G57" s="39" t="n"/>
    </row>
    <row r="58" ht="34" customHeight="1">
      <c r="A58" s="30" t="inlineStr">
        <is>
          <t>―</t>
        </is>
      </c>
      <c r="B58" s="4" t="inlineStr">
        <is>
          <t>前回調査の調査結果報告書</t>
        </is>
      </c>
      <c r="C58" s="4" t="inlineStr">
        <is>
          <t>発送164人・回収95人・回収率57.9%。設問別の集計結果を収録</t>
        </is>
      </c>
      <c r="D58" s="4" t="inlineStr">
        <is>
          <t>アンケート集計設計・経年比較</t>
        </is>
      </c>
      <c r="E58" s="33" t="inlineStr">
        <is>
          <t>受領済</t>
        </is>
      </c>
      <c r="F58" s="22" t="inlineStr">
        <is>
          <t>2026-08-03</t>
        </is>
      </c>
      <c r="G58" s="39" t="n"/>
    </row>
    <row r="59" ht="34" customHeight="1">
      <c r="A59" s="35" t="inlineStr">
        <is>
          <t>高</t>
        </is>
      </c>
      <c r="B59" s="7" t="inlineStr">
        <is>
          <t>小規模公表基準</t>
        </is>
      </c>
      <c r="C59" s="7" t="inlineStr">
        <is>
          <t>n&lt;5の秘匿、地区別・障がい種別クロスの扱い</t>
        </is>
      </c>
      <c r="D59" s="7" t="inlineStr">
        <is>
          <t>アンケート集計・報告書</t>
        </is>
      </c>
      <c r="E59" s="27" t="inlineStr">
        <is>
          <t>未受領</t>
        </is>
      </c>
      <c r="F59" s="26" t="inlineStr">
        <is>
          <t>2026-09-30</t>
        </is>
      </c>
      <c r="G59" s="39" t="n"/>
    </row>
    <row r="60" ht="34" customHeight="1">
      <c r="A60" s="35" t="inlineStr">
        <is>
          <t>高</t>
        </is>
      </c>
      <c r="B60" s="4" t="inlineStr">
        <is>
          <t>障がい福祉関係の歳入歳出決算</t>
        </is>
      </c>
      <c r="C60" s="4" t="inlineStr">
        <is>
          <t>自立支援給付費負担金、障害児施設給付費負担金、地域生活支援事業費補助金の交付額と村負担</t>
        </is>
      </c>
      <c r="D60" s="4" t="inlineStr">
        <is>
          <t>財源構成案 04・06・07</t>
        </is>
      </c>
      <c r="E60" s="27" t="inlineStr">
        <is>
          <t>未受領</t>
        </is>
      </c>
      <c r="F60" s="22" t="inlineStr">
        <is>
          <t>2026-10-31</t>
        </is>
      </c>
      <c r="G60" s="39" t="n"/>
    </row>
    <row r="61" ht="34" customHeight="1">
      <c r="A61" s="35" t="inlineStr">
        <is>
          <t>高</t>
        </is>
      </c>
      <c r="B61" s="7" t="inlineStr">
        <is>
          <t>令和6・7年度の障害児給付費の変動理由</t>
        </is>
      </c>
      <c r="C61" s="7" t="inlineStr">
        <is>
          <t>児童発達支援23件→1件、放課後等デイ12件→27件の理由。受給者単位で就学移行かを確認</t>
        </is>
      </c>
      <c r="D61" s="7" t="inlineStr">
        <is>
          <t>サービス見込量 04／計画本文</t>
        </is>
      </c>
      <c r="E61" s="27" t="inlineStr">
        <is>
          <t>未受領</t>
        </is>
      </c>
      <c r="F61" s="26" t="inlineStr">
        <is>
          <t>2026-09-30</t>
        </is>
      </c>
      <c r="G61" s="39" t="n"/>
    </row>
    <row r="62" ht="34" customHeight="1">
      <c r="A62" s="30" t="inlineStr">
        <is>
          <t>―</t>
        </is>
      </c>
      <c r="B62" s="4" t="inlineStr">
        <is>
          <t>現行計画本編（第4次障がい者計画・第7期・第3期）</t>
        </is>
      </c>
      <c r="C62" s="4" t="inlineStr">
        <is>
          <t>本編63頁、アンケート調査結果報告書69頁、概要版4頁。令和6年3月策定</t>
        </is>
      </c>
      <c r="D62" s="4" t="inlineStr">
        <is>
          <t>全体（年齢3区分別人口・前回調査の内訳を反映済み）</t>
        </is>
      </c>
      <c r="E62" s="33" t="inlineStr">
        <is>
          <t>受領済</t>
        </is>
      </c>
      <c r="F62" s="22" t="inlineStr">
        <is>
          <t>2026-08-03</t>
        </is>
      </c>
      <c r="G62" s="39" t="n"/>
    </row>
    <row r="63" ht="34" customHeight="1">
      <c r="A63" s="32" t="inlineStr">
        <is>
          <t>中</t>
        </is>
      </c>
      <c r="B63" s="7" t="inlineStr">
        <is>
          <t>圏域事業所の受入可能性</t>
        </is>
      </c>
      <c r="C63" s="7" t="inlineStr">
        <is>
          <t>定員、空き、送迎範囲、受入可否。介護保険事業所の共生型サービス指定の有無を含む</t>
        </is>
      </c>
      <c r="D63" s="7" t="inlineStr">
        <is>
          <t>サービス見込量 08</t>
        </is>
      </c>
      <c r="E63" s="27" t="inlineStr">
        <is>
          <t>未受領</t>
        </is>
      </c>
      <c r="F63" s="26" t="inlineStr">
        <is>
          <t>2026-10-31</t>
        </is>
      </c>
      <c r="G63" s="39" t="n"/>
    </row>
    <row r="64" ht="34" customHeight="1">
      <c r="A64" s="30" t="inlineStr">
        <is>
          <t>中</t>
        </is>
      </c>
      <c r="B64" s="4" t="inlineStr">
        <is>
          <t>医療的ケア児者・地域生活支援拠点・個別避難計画の実態</t>
        </is>
      </c>
      <c r="C64" s="4" t="inlineStr">
        <is>
          <t>【一部受領】令和8年8月の調査票朱書きで、医療的ケア児1人（経管栄養が毎日必要）、個別避難計画の作成0件を確認。なお必要なのは、医療的ケア児1人の年齢・就学状況、拠点の検証会・緊急対応の実績、避難行動要支援者名簿の登載者数</t>
        </is>
      </c>
      <c r="D64" s="4" t="inlineStr">
        <is>
          <t>計画本文 第4章・第6章／村提供実績データ 01</t>
        </is>
      </c>
      <c r="E64" s="34" t="inlineStr">
        <is>
          <t>一部受領</t>
        </is>
      </c>
      <c r="F64" s="22" t="inlineStr">
        <is>
          <t>2026-10-31</t>
        </is>
      </c>
      <c r="G64" s="39" t="n"/>
    </row>
    <row r="65" ht="34" customHeight="1">
      <c r="A65" s="27" t="inlineStr">
        <is>
          <t>最優先</t>
        </is>
      </c>
      <c r="B65" s="7" t="inlineStr">
        <is>
          <t>障害支援区分別人数の基準日とサービス利用状況</t>
        </is>
      </c>
      <c r="C65" s="7" t="inlineStr">
        <is>
          <t>【一部受領】令和8年8月の調査票朱書きで、区分2=5人・区分3=2人・区分4=5人・区分5=1人・区分6=2人（計15人、区分1は0人）を確認。基準日が示されていないため要確認。あわせて15人それぞれのサービス利用状況、区分6の2人の行動関連項目の点数、共同生活援助8人のうち区分認定を受けている者の数</t>
        </is>
      </c>
      <c r="D65" s="7" t="inlineStr">
        <is>
          <t>村提供実績データ 02／骨子案修正版 第5章1</t>
        </is>
      </c>
      <c r="E65" s="34" t="inlineStr">
        <is>
          <t>一部受領</t>
        </is>
      </c>
      <c r="F65" s="26" t="inlineStr">
        <is>
          <t>2026-09-30</t>
        </is>
      </c>
      <c r="G65" s="39" t="n"/>
    </row>
    <row r="66" ht="34" customHeight="1">
      <c r="A66" s="30" t="inlineStr">
        <is>
          <t>―</t>
        </is>
      </c>
      <c r="B66" s="4" t="inlineStr">
        <is>
          <t>セルフプラン率・基幹相談支援センター・就労選択支援事業所の状況</t>
        </is>
      </c>
      <c r="C66" s="4" t="inlineStr">
        <is>
          <t>【受領済み】令和8年8月の調査票朱書きで、セルフプラン率0％、基幹相談支援センター未設置、会津管内に就労選択支援事業所なしを確認。なお必要なのは、基幹相談支援センターの第8期期間中の設置意向と4町村での検討状況、就労選択支援の圏域での協議状況</t>
        </is>
      </c>
      <c r="D66" s="4" t="inlineStr">
        <is>
          <t>村提供実績データ 01／骨子案修正版 第4章(3)(6)</t>
        </is>
      </c>
      <c r="E66" s="34" t="inlineStr">
        <is>
          <t>一部受領</t>
        </is>
      </c>
      <c r="F66" s="22" t="inlineStr">
        <is>
          <t>2026-09-30</t>
        </is>
      </c>
      <c r="G66" s="39" t="n"/>
    </row>
    <row r="67" ht="34" customHeight="1">
      <c r="A67" s="32" t="inlineStr">
        <is>
          <t>―</t>
        </is>
      </c>
      <c r="B67" s="7" t="inlineStr">
        <is>
          <t>障がい児の入所・申請の状況</t>
        </is>
      </c>
      <c r="C67" s="7" t="inlineStr">
        <is>
          <t>【受領済み】令和8年8月の調査票朱書きで、障がい児入所施設・児童福祉施設の利用児0件、障害児通所支援の申請中0件を確認。第5章の障害児入所支援の見込量を0とする根拠</t>
        </is>
      </c>
      <c r="D67" s="7" t="inlineStr">
        <is>
          <t>村提供実績データ 01／骨子案修正版 第4章(4)</t>
        </is>
      </c>
      <c r="E67" s="33" t="inlineStr">
        <is>
          <t>受領済</t>
        </is>
      </c>
      <c r="F67" s="26" t="inlineStr">
        <is>
          <t>2026-08-14</t>
        </is>
      </c>
      <c r="G67" s="39" t="n"/>
    </row>
    <row r="68" ht="34" customHeight="1">
      <c r="A68" s="30" t="inlineStr">
        <is>
          <t>―</t>
        </is>
      </c>
      <c r="B68" s="4" t="inlineStr">
        <is>
          <t>実態調査及びPDCAサイクルに関するマニュアル（令和8年8月）</t>
        </is>
      </c>
      <c r="C68" s="4" t="inlineStr">
        <is>
          <t>【受領済み】福島県通知（8生福第2646号・8こ第2041号 令和8年8月24日）により受領。厚労省・こども家庭庁の令和8年8月19日事務連絡の別添。全81頁。令和2年版を基本指針の改正を踏まえて修正したもの</t>
        </is>
      </c>
      <c r="D68" s="4" t="inlineStr">
        <is>
          <t>サービス見込量 12_別表第五判定／骨子案修正版 第1章6・第5章1／北塩原村_実態調査PDCAマニュアル_確認結果</t>
        </is>
      </c>
      <c r="E68" s="33" t="inlineStr">
        <is>
          <t>受領済</t>
        </is>
      </c>
      <c r="F68" s="22" t="inlineStr">
        <is>
          <t>2026-08-27</t>
        </is>
      </c>
      <c r="G68" s="39" t="n"/>
    </row>
    <row r="69" ht="34" customHeight="1">
      <c r="A69" s="27" t="inlineStr">
        <is>
          <t>最優先</t>
        </is>
      </c>
      <c r="B69" s="7" t="inlineStr">
        <is>
          <t>要介護認定の有無・要介護度（匿名利用者一覧への列追加）</t>
        </is>
      </c>
      <c r="C69" s="7" t="inlineStr">
        <is>
          <t>依頼済みの「年齢別・サービス別の匿名利用者一覧」に、要介護認定の有無・要介護度・利用している介護保険サービスの列を追加。確定版の調査票に介護保険の設問がないため、これが唯一の把握手段になる</t>
        </is>
      </c>
      <c r="D69" s="7" t="inlineStr">
        <is>
          <t>クロス集計設計 A-1／サービス見込量 06_65歳移行判定</t>
        </is>
      </c>
      <c r="E69" s="27" t="inlineStr">
        <is>
          <t>未受領</t>
        </is>
      </c>
      <c r="F69" s="26" t="inlineStr">
        <is>
          <t>2026-09-30</t>
        </is>
      </c>
      <c r="G69" s="39" t="n"/>
    </row>
    <row r="70" ht="34" customHeight="1">
      <c r="A70" s="35" t="inlineStr">
        <is>
          <t>高</t>
        </is>
      </c>
      <c r="B70" s="4" t="inlineStr">
        <is>
          <t>PDCAの評価体制・スケジュール・公表方法</t>
        </is>
      </c>
      <c r="C70" s="4" t="inlineStr">
        <is>
          <t>自立支援協議会と庁内会議体の役割分担、実績把握と評価の時期（村の予算編成に合わせる）、中間評価の結果の公表方法（ホームページ・広報誌・協議会資料の公開範囲）</t>
        </is>
      </c>
      <c r="D70" s="4" t="inlineStr">
        <is>
          <t>骨子案修正版 第1章6</t>
        </is>
      </c>
      <c r="E70" s="27" t="inlineStr">
        <is>
          <t>未受領</t>
        </is>
      </c>
      <c r="F70" s="22" t="inlineStr">
        <is>
          <t>2026-12-31</t>
        </is>
      </c>
      <c r="G70" s="39" t="n"/>
    </row>
    <row r="71" ht="34" customHeight="1">
      <c r="A71" s="32" t="inlineStr">
        <is>
          <t>―</t>
        </is>
      </c>
      <c r="B71" s="7" t="inlineStr">
        <is>
          <t>アンケート調査票への村の修正指示</t>
        </is>
      </c>
      <c r="C71" s="7" t="inlineStr">
        <is>
          <t>【受領済み】障がい者版17頁・障がい児版19頁のスキャンPDF。朱書き40か所。設問の削除・追加・順序変更のほか、削除理由として村の実データ9件が書き添えられている</t>
        </is>
      </c>
      <c r="D71" s="7" t="inlineStr">
        <is>
          <t>村提供実績データ 05／北塩原村_アンケート調査票_村修正指示_確認結果</t>
        </is>
      </c>
      <c r="E71" s="33" t="inlineStr">
        <is>
          <t>受領済</t>
        </is>
      </c>
      <c r="F71" s="26" t="inlineStr">
        <is>
          <t>2026-08-14</t>
        </is>
      </c>
      <c r="G71" s="39" t="n"/>
    </row>
    <row r="72" ht="34" customHeight="1">
      <c r="A72" s="30" t="inlineStr">
        <is>
          <t>中</t>
        </is>
      </c>
      <c r="B72" s="4" t="inlineStr">
        <is>
          <t>第5次総合振興計画たたき台、健康21現行計画、高齢者福祉・介護保険事業計画</t>
        </is>
      </c>
      <c r="C72" s="4" t="inlineStr">
        <is>
          <t>関連計画との整合確認</t>
        </is>
      </c>
      <c r="D72" s="4" t="inlineStr">
        <is>
          <t>計画本文 第1章・第7章</t>
        </is>
      </c>
      <c r="E72" s="27" t="inlineStr">
        <is>
          <t>未受領</t>
        </is>
      </c>
      <c r="F72" s="22" t="inlineStr">
        <is>
          <t>2026-10-31</t>
        </is>
      </c>
      <c r="G72" s="39" t="n"/>
    </row>
    <row r="73" ht="34" customHeight="1">
      <c r="A73" s="32" t="inlineStr">
        <is>
          <t>中</t>
        </is>
      </c>
      <c r="B73" s="7" t="inlineStr">
        <is>
          <t>40歳以上65歳未満の特定疾病該当者</t>
        </is>
      </c>
      <c r="C73" s="7" t="inlineStr">
        <is>
          <t>16の特定疾病に該当し要介護認定を受けている方の有無</t>
        </is>
      </c>
      <c r="D73" s="7" t="inlineStr">
        <is>
          <t>サービス見込量 02</t>
        </is>
      </c>
      <c r="E73" s="27" t="inlineStr">
        <is>
          <t>未受領</t>
        </is>
      </c>
      <c r="F73" s="26" t="inlineStr">
        <is>
          <t>2026-10-31</t>
        </is>
      </c>
      <c r="G73" s="39" t="n"/>
    </row>
    <row r="74" ht="34" customHeight="1">
      <c r="A74" s="30" t="inlineStr">
        <is>
          <t>中</t>
        </is>
      </c>
      <c r="B74" s="4" t="inlineStr">
        <is>
          <t>自立支援協議会の委員名簿</t>
        </is>
      </c>
      <c r="C74" s="4" t="inlineStr">
        <is>
          <t>任期・氏名・所属・役職</t>
        </is>
      </c>
      <c r="D74" s="4" t="inlineStr">
        <is>
          <t>計画書 資料編</t>
        </is>
      </c>
      <c r="E74" s="27" t="inlineStr">
        <is>
          <t>未受領</t>
        </is>
      </c>
      <c r="F74" s="22" t="inlineStr">
        <is>
          <t>2026-12-31</t>
        </is>
      </c>
      <c r="G74" s="39" t="n"/>
    </row>
    <row r="76" ht="46" customHeight="1">
      <c r="A76" s="2" t="inlineStr">
        <is>
          <t>未受領：53件（うち最優先14件、高27件）、一部受領：7件。未受領の最優先案件が揃わないとサービス見込量の個別積上げと手帳所持者数の年齢階級別推計を確定できません。8月5日期限の3件（対象者数、宛名ラベル、印刷仕様）はアンケート発送のクリティカルパス上にあります。「一部受領」は令和8年8月の調査票朱書きで数値の一部が判明したもので、基準日や内訳の確認が残っています（村提供実績データ 06 参照）。</t>
        </is>
      </c>
    </row>
  </sheetData>
  <autoFilter ref="A5:G74"/>
  <mergeCells count="3">
    <mergeCell ref="A76:G76"/>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10" customWidth="1" min="3" max="3"/>
    <col width="34" customWidth="1" min="4" max="4"/>
    <col width="50" customWidth="1" min="5" max="5"/>
    <col width="50" customWidth="1" min="6" max="6"/>
    <col width="13" customWidth="1" min="7" max="7"/>
  </cols>
  <sheetData>
    <row r="1" ht="30" customHeight="1">
      <c r="A1" s="29" t="inlineStr">
        <is>
          <t>課題・リスク管理</t>
        </is>
      </c>
    </row>
    <row r="2" ht="30" customHeight="1">
      <c r="A2" s="2" t="inlineStr">
        <is>
          <t>業務遂行上の課題とリスクを、区分・重要度・対応方針とあわせて管理します。</t>
        </is>
      </c>
    </row>
    <row r="5" ht="30" customHeight="1">
      <c r="A5" s="3" t="inlineStr">
        <is>
          <t>No</t>
        </is>
      </c>
      <c r="B5" s="3" t="inlineStr">
        <is>
          <t>区分</t>
        </is>
      </c>
      <c r="C5" s="3" t="inlineStr">
        <is>
          <t>重要度</t>
        </is>
      </c>
      <c r="D5" s="3" t="inlineStr">
        <is>
          <t>リスク</t>
        </is>
      </c>
      <c r="E5" s="3" t="inlineStr">
        <is>
          <t>内容</t>
        </is>
      </c>
      <c r="F5" s="3" t="inlineStr">
        <is>
          <t>対応方針</t>
        </is>
      </c>
      <c r="G5" s="3" t="inlineStr">
        <is>
          <t>状態</t>
        </is>
      </c>
    </row>
    <row r="6" ht="46" customHeight="1">
      <c r="A6" s="30" t="inlineStr">
        <is>
          <t>R-42</t>
        </is>
      </c>
      <c r="B6" s="30" t="inlineStr">
        <is>
          <t>工程</t>
        </is>
      </c>
      <c r="C6" s="40" t="inlineStr">
        <is>
          <t>最高</t>
        </is>
      </c>
      <c r="D6" s="4" t="inlineStr">
        <is>
          <t>引き直した工程（案Ａ）が村の了解を得られない場合、納期を超える</t>
        </is>
      </c>
      <c r="E6" s="4" t="inlineStr">
        <is>
          <t>策定委員会（第2回）の開催が令和8年11月となり、村の計画策定方針（令和8年5月25日）の工程から1か月後ろへ動いた。策定委員会資料のスケジュール表のまま（パブリックコメント令和9年2月8日〜22日、庁議（計画の決定）3月）進めると、結果の整理に1週間、庁議の後に初校・再校・校了・入稿で3週間を要するため入稿が3月下旬となり、履行期限（令和9年3月31日）を約1週間超える。令和8年10月14日に案Ａ（パブリックコメントを1月26日〜2月9日へ前倒し、庁議2月19日、議会全員協議会2月下旬、初校2月26日以降は従前のまま）が採用され、当方の工程・成果物はすべてこれで組み直した。ただし案Ａは、村のパブリックコメントの開始時期、庁議の開催日、議会全員協議会を計画の決定の後に置くことの3点について村の了解を前提としている。いずれかが動くと、最初に削られるのは校正の期間である</t>
        </is>
      </c>
      <c r="F6" s="4" t="inlineStr">
        <is>
          <t>令和8年10月14日に工程の日付を kitashiobara_koutei.py へ一本化し、進捗管理ブック・進捗状況表・概要版・正本 第1章5（4）がすべて同じ日付を引くようにした。案Ａの3点をＭ-125で照会した（期限 令和8年10月24日）。回答までの間、工程は案Ａを前提に進め、回答により日が動いた場合は kitashiobara_koutei.py の1か所を直して全体を作り直す。パブリックコメントが2月8日開始から動かせない場合は、①校正を初校・校了の2回に減らす②印刷物の納品を4月上旬とすることの可否を履行期限との関係で確かめる、のいずれかとなるため、Ｍ-112（印刷・製本の所要日数）と併せて判断する</t>
        </is>
      </c>
      <c r="G6" s="30" t="inlineStr">
        <is>
          <t>対応中</t>
        </is>
      </c>
    </row>
    <row r="7" ht="46" customHeight="1">
      <c r="A7" s="32" t="inlineStr">
        <is>
          <t>R-39</t>
        </is>
      </c>
      <c r="B7" s="32" t="inlineStr">
        <is>
          <t>照会の立て方</t>
        </is>
      </c>
      <c r="C7" s="35" t="inlineStr">
        <is>
          <t>中</t>
        </is>
      </c>
      <c r="D7" s="7" t="inlineStr">
        <is>
          <t>高齢者施策への接続について、村が答えられない形で照会していた</t>
        </is>
      </c>
      <c r="E7" s="7" t="inlineStr">
        <is>
          <t>本計画は、65歳に達した後の生活を支える仕組みが介護保険の給付だけではないことを書き、村の高齢者福祉施策・村単独事業・介護保険の地域支援事業への接続を扱っている。当方はこれまで「障がいのある方が対象に含まれるかは事業ごとに異なります」と書き、村に「対象となるか」を照会していた（Ｍ-50・Ｍ-71・Ｍ-81）。国の地域支援事業実施要綱を読んだところ、任意事業の対象者は「被保険者、要介護被保険者を現に介護する者その他個々の事業の対象者として市町村が認める者」とされており、障がいのある方を対象に含めるかどうかは村の要綱の定め方による事項であった。村にとっては、国に決められていることを聞かれているのか自らの定めを聞かれているのかが分からない問いになっていた。あわせて、成年後見制度利用支援事業の条項を第115条の45第2項第2号と取り違えており（正しくは第3項第3号の任意事業。第2項第2号は権利擁護事業）、この誤りが村へ出す照会文Ｍ-97の本文にも入っていた</t>
        </is>
      </c>
      <c r="F7" s="7" t="inlineStr">
        <is>
          <t>令和8年10月11日に、要綱の原典を照合して直した。Ｍ-108（本村が実施している地域支援事業と、その要綱における対象者の定め）を起票し、「対象となるか」から「村の要綱が対象者をどう定めているか」へ聞き方を改めた。第5章5（2）に理由と表5-40（地域支援事業の区分と対象者の定め）を入れた（ＣＳ-1）。Ｍ-97とＫ-9の条項は第3項第3号に直した。照会文は村に渡るものであるため、送る前に直した。以後、照会を立てるときは「国が決めていること」と「村が決めていること」を分けてから書く</t>
        </is>
      </c>
      <c r="G7" s="32" t="inlineStr">
        <is>
          <t>対応済み</t>
        </is>
      </c>
    </row>
    <row r="8" ht="46" customHeight="1">
      <c r="A8" s="30" t="inlineStr">
        <is>
          <t>R-38</t>
        </is>
      </c>
      <c r="B8" s="30" t="inlineStr">
        <is>
          <t>制度動向</t>
        </is>
      </c>
      <c r="C8" s="27" t="inlineStr">
        <is>
          <t>高</t>
        </is>
      </c>
      <c r="D8" s="4" t="inlineStr">
        <is>
          <t>高次脳機能障害者支援法が令和8年4月1日に施行され、村にも窓口の明確化と実施状況の公表が求められる</t>
        </is>
      </c>
      <c r="E8" s="4" t="inlineStr">
        <is>
          <t>高次脳機能障害者支援法（令和7年法律第96号）は令和7年12月24日に公布され、令和8年4月1日から施行された。施行通知（障精発0415第1号 令和8年4月15日）は「各自治体」として、①相談できる窓口の明確化と周知（法第17条）、②普及啓発（法第18条・第26条・第27条・第28条）、③関係部局間の連携と人材の確保（法第29条）、④実態把握の調査（法第5条）、⑤支援の状況及び施策の実施状況の公表（法第10条第2項）を求めている。通知の宛先は都道府県及び指定都市であるが、都道府県に管内市町村への周知徹底を求めているため、本村も含まれる。とくに⑤は、都道府県が管内市区町村の状況を取りまとめて国へ報告することとされており、本村の実施状況が国へ上がる。さらに施行令（令和8年政令第60号）第1条は、高次脳機能障害から認知症及び発達障害を除いている。窓口が一つしかない本村では、記憶や注意の障がいという見え方が同じでもつなぎ先が分かれるため、この切り分けが相談の入口を決める</t>
        </is>
      </c>
      <c r="F8" s="4" t="inlineStr">
        <is>
          <t>令和8年10月11日に、施行通知と施行令の原典を照合して反映した。第1章4（3）に公布と施行の日を書き（ＫＮ-1）、第5章2（2）に村が行うこと、定義の切り分けの表（表5-17）、及び県が行うことを書いた（ＫＮ-2）。県の支援センターの指定は令和8年度内に行われる見込みであり、指定の状況、地域協議会への参画、及び公表の様式と時期を照会する（Ｍ-107）。手元にないのは法律の条文そのもの、支援事業の実施要綱（障発0407第31号 別紙1）、及び公表等についての通知の別紙様式である。とくに公表の様式は本村が公表する事項に直に関わる</t>
        </is>
      </c>
      <c r="G8" s="30" t="inlineStr">
        <is>
          <t>対応中</t>
        </is>
      </c>
    </row>
    <row r="9" ht="46" customHeight="1">
      <c r="A9" s="32" t="inlineStr">
        <is>
          <t>R-37</t>
        </is>
      </c>
      <c r="B9" s="32" t="inlineStr">
        <is>
          <t>資料の読み方</t>
        </is>
      </c>
      <c r="C9" s="27" t="inlineStr">
        <is>
          <t>高</t>
        </is>
      </c>
      <c r="D9" s="7" t="inlineStr">
        <is>
          <t>国の予算資料は当初予算と前年度補正予算が同じ資料に載るため、年度を取り違えやすい</t>
        </is>
      </c>
      <c r="E9" s="7" t="inlineStr">
        <is>
          <t>令和8年度障害保健福祉部予算案の概要には、令和8年度当初予算と令和7年度補正予算が同じ資料に載っている。レビューは令和7年度補正の7事業（賃上げ439億円ほか）を令和8年度当初として扱っており、当方はこれを指摘した。ところが当方自身も、令和7年度の資料に【令和6年度補正予算】として載っている中核的人材養成研修事業21百万円を「令和7年度予算にもある」と書いていた。同じ種類の誤りである。あわせて広域的支援人材の配置の開始年度を1年遅く書き（正しくは令和6年度当初予算）、令和8年度の原典にある【新規】の表示を「政策の新設ではない」と言い換えて消していた</t>
        </is>
      </c>
      <c r="F9" s="7" t="inlineStr">
        <is>
          <t>令和8年10月11日に、令和6年度の原典を得て訂正した。build_kitashiobara_yosan_mece.py の自己点検に、①令和7年度の資料についても補正予算の見出しの後ろに並んでいるかを確かめる、②広域的支援人材が令和6年度の原典に「新たに配置」とあることを確かめる、③令和8年度の原典の【新規】表示を確かめる、④訂正前の主張が残っていないこと及び訂正後の記述が入っていることを確かめる、の4点を加えた。いずれも生成のたびに走る。正本の本文（ＹＳ-1・ＹＳ-3）は年度を言わずに書いていたため、本文の訂正は要らなかった。以後、国の施策を本文に書くときは年度を言わず、「進められている」「令和９年度から始められるよう準備が進められている」のように書く</t>
        </is>
      </c>
      <c r="G9" s="32" t="inlineStr">
        <is>
          <t>対応済み</t>
        </is>
      </c>
    </row>
    <row r="10" ht="46" customHeight="1">
      <c r="A10" s="30" t="inlineStr">
        <is>
          <t>R-36</t>
        </is>
      </c>
      <c r="B10" s="30" t="inlineStr">
        <is>
          <t>記述の整合</t>
        </is>
      </c>
      <c r="C10" s="27" t="inlineStr">
        <is>
          <t>高</t>
        </is>
      </c>
      <c r="D10" s="4" t="inlineStr">
        <is>
          <t>確保の方策の記述が当方の中で食い違っていた（共生型サービス）</t>
        </is>
      </c>
      <c r="E10" s="4" t="inlineStr">
        <is>
          <t>第5章2（4）のＷ-11は、同じ段落の中で「本村には障がい福祉サービスの事業所が３カ所しかありません」と書きながら、末尾で「村内で居宅介護又は生活介護を受けられるようになれば」と書いていた。前者は村内に事業所があると言い、後者はまだ受けられないと言っている。当方の調べ（ReMHRAD障害福祉資源）では令和7年時点で居宅介護１カ所・重度訪問介護１カ所・生活介護１カ所があり、後者が誤りである。外部の資料を見るまでもなく、当方が書いた文の中で矛盾していた。あわせて「共生型サービス又は基準該当サービスの指定を受けることを働きかけます」という書き方も制度用語として誤っていた。基準該当障害福祉サービスは指定を受ける制度ではない</t>
        </is>
      </c>
      <c r="F10" s="4" t="inlineStr">
        <is>
          <t>令和8年10月11日に、国の資料7件を照合したうえでＷ-11を書き直した（build_kitashiobara_juten12.py の側）。村内の３カ所の内訳を明示し、共生型が指定の手続の特例であって事業者の申請が要ることと、一方の指定がもう一方の基準を満たすことを意味しないことを書き足した。第5章5（2）にＫＹ-1（事業所の指定の形と65歳到達後の続け方）を追記した。村内の事業所の指定の形は当方では確かめられないため村に照会する（Ｍ-106）。同種の食い違いを防ぐため、build_kitashiobara_kyoseigata.py の自己点検で直す前の文が正本に残っていないことを生成のたびに確かめる</t>
        </is>
      </c>
      <c r="G10" s="30" t="inlineStr">
        <is>
          <t>対応中</t>
        </is>
      </c>
    </row>
    <row r="11" ht="46" customHeight="1">
      <c r="A11" s="32" t="inlineStr">
        <is>
          <t>R-35</t>
        </is>
      </c>
      <c r="B11" s="32" t="inlineStr">
        <is>
          <t>財政</t>
        </is>
      </c>
      <c r="C11" s="27" t="inlineStr">
        <is>
          <t>高</t>
        </is>
      </c>
      <c r="D11" s="7" t="inlineStr">
        <is>
          <t>令和8年度の報酬改定（＋1.84％）を見込量の基準年度に織り込んでいない</t>
        </is>
      </c>
      <c r="E11" s="7" t="inlineStr">
        <is>
          <t>本計画の見込量は令和7年度の給付実績を基礎としている。しかし令和8年度の障害福祉サービス等報酬改定は既に決まっており、改定率は＋1.84％である（令和8年度障害保健福祉部予算案の概要）。正本の第1章4（3）は令和9年度の改定（検討中）にしか触れておらず、令和8年度の改定を書いていなかった。利用する方の人数が横ばいでも給付費は増えるため、改定前の単価による見込みのままでは給付費を低く見積もる。国の予算でも障害福祉サービス関係費は令和7年度から令和8年度にかけて9.5％の増である</t>
        </is>
      </c>
      <c r="F11" s="7" t="inlineStr">
        <is>
          <t>令和8年10月10日に、第1章4（3）と第5章7（1）へ書き足した（ＹＳ-1・ＹＳ-7）。令和8年度の給付実績が出そろった段階で、改定後の単価による額を基準に置き直し、第2次算定に用いる。それまでの間、第5章7の給付費は改定前の単価によるものとして読む</t>
        </is>
      </c>
      <c r="G11" s="32" t="inlineStr">
        <is>
          <t>対応中</t>
        </is>
      </c>
    </row>
    <row r="12" ht="46" customHeight="1">
      <c r="A12" s="30" t="inlineStr">
        <is>
          <t>R-34</t>
        </is>
      </c>
      <c r="B12" s="30" t="inlineStr">
        <is>
          <t>制度動向</t>
        </is>
      </c>
      <c r="C12" s="35" t="inlineStr">
        <is>
          <t>中</t>
        </is>
      </c>
      <c r="D12" s="4" t="inlineStr">
        <is>
          <t>意思決定支援ガイドラインが第2版に改訂され、考え方が変わった</t>
        </is>
      </c>
      <c r="E12" s="4" t="inlineStr">
        <is>
          <t>厚生労働省が令和8年9月に第2版を公表した。「本人の最善の利益」から「本人の意思と選好に基づく最善の解釈」への転換、どのような障害があっても意思決定能力があることを前提とする原則、本人参加の意思決定支援会議、意思決定支援責任者などが第1版から変わっている。周囲が本人にとってよいことを決めるのではなく、本人であれば何を望むのかを読み取るという向きの変更であり、用語の差し替えでは済まない。正本は案の段階から3段階を取り込んでいたが、価値観・最善の解釈・意思決定能力の前提は入っていなかった</t>
        </is>
      </c>
      <c r="F12" s="4" t="inlineStr">
        <is>
          <t>令和8年10月10日に、原典を1件ずつ照合したうえで反映した。移植8（第4章2（7））、移植18（第5章5（1））、Ｙ-5（第6章3）を生成器の側で直し、ＩＫ-1・ＩＫ-2を追記した。新しい数値の指標は作らず、県研修への参加の内数として扱う。残るのは県研修で第2版がいつから扱われるかの確認（Ｓ-12）</t>
        </is>
      </c>
      <c r="G12" s="30" t="inlineStr">
        <is>
          <t>対応中</t>
        </is>
      </c>
    </row>
    <row r="13" ht="46" customHeight="1">
      <c r="A13" s="32" t="inlineStr">
        <is>
          <t>R-33</t>
        </is>
      </c>
      <c r="B13" s="32" t="inlineStr">
        <is>
          <t>成果目標</t>
        </is>
      </c>
      <c r="C13" s="35" t="inlineStr">
        <is>
          <t>中</t>
        </is>
      </c>
      <c r="D13" s="7" t="inlineStr">
        <is>
          <t>情報公表制度の公表率・更新率100％は、村に達成の手段がほとんどない</t>
        </is>
      </c>
      <c r="E13" s="7" t="inlineStr">
        <is>
          <t>国の基本指針は管内事業所の公表率・更新率100％を成果目標としており、正本も表4-16に置いている。しかし事業者の指定もこの制度の報告先も県であり、村は指定を行う立場にない。国のＱ＆Ａ（問3-1-1）によれば、システムには自治体から事業所へ報告を促す機能も備わっていない。村にできるのは公表・更新の状況を確かめて県と連携した周知を行うことだけであり、100％に届かなかった場合に村の取組み不足とは言えない。さらに、表4-16には公表率・更新率の現状の欄が無く、いまの値を把握できていない</t>
        </is>
      </c>
      <c r="F13" s="7" t="inlineStr">
        <is>
          <t>令和8年10月10日に、目標が何のためのものかと、村にできることの範囲を正本に書いた（ＫＪ-1）。照会Ｍ-104（令和7年度の公表・更新の実績、未報告減算の対象の有無、県から村への情報提供の有無）を第1便に入れた。県から村へ状況の提供がない場合、村は100％かどうかを確かめる手段を持たないため、目標の書き方そのものを見直す</t>
        </is>
      </c>
      <c r="G13" s="32" t="inlineStr">
        <is>
          <t>対応中</t>
        </is>
      </c>
    </row>
    <row r="14" ht="46" customHeight="1">
      <c r="A14" s="30" t="inlineStr">
        <is>
          <t>R-32</t>
        </is>
      </c>
      <c r="B14" s="30" t="inlineStr">
        <is>
          <t>広域連携</t>
        </is>
      </c>
      <c r="C14" s="27" t="inlineStr">
        <is>
          <t>高</t>
        </is>
      </c>
      <c r="D14" s="4" t="inlineStr">
        <is>
          <t>広域で確保するとした機能が、相手方の計画と同じ単位・同じ数え方になっているか確かめられていない</t>
        </is>
      </c>
      <c r="E14" s="4" t="inlineStr">
        <is>
          <t>本計画は、地域生活支援拠点、基幹相談支援センター、医療的ケア児等支援、インクルージョン推進、強度行動障害支援を猪苗代町・磐梯町・湯川村との広域で確保するとしている。しかし相手方の計画では、医療的ケア児等支援の協議の場を「圏域1カ所」としており、この「圏域」が会津北部4町村か会津障がい保健福祉圏域かが分からない。単位が違えば設置すべき会議体そのものが変わる。医療的ケア児等コーディネーターも、県の養成研修の修了者、本村が数える1人、磐梯町が令和8年4月から制度化した独自配置が混在し、同じ方を双方が数えると4町村の合計が実際より多く見える。本村の計画の中では整っていても、相手方の計画と施設数・コーディネーター数・目標年度・会議体・KPIが食い違えば、広域で確保したことにならない</t>
        </is>
      </c>
      <c r="F14" s="4" t="inlineStr">
        <is>
          <t>令和8年10月10日に会津北部4町村共同確認票（16項目）を作成し、照会Ｍ-98として第6便に入れた（期限 令和8年12月12日）。県への照会8項目はＭ-99。正本には、協議の場の単位とコーディネーターの数え方を書き分ける記述を加えた（ＫＯ-1）。回答が揃うまで、成果目標の「4町村共同」は確定表記にしない</t>
        </is>
      </c>
      <c r="G14" s="30" t="inlineStr">
        <is>
          <t>対応中</t>
        </is>
      </c>
    </row>
    <row r="15" ht="46" customHeight="1">
      <c r="A15" s="32" t="inlineStr">
        <is>
          <t>R-31</t>
        </is>
      </c>
      <c r="B15" s="32" t="inlineStr">
        <is>
          <t>推計</t>
        </is>
      </c>
      <c r="C15" s="40" t="inlineStr">
        <is>
          <t>最高</t>
        </is>
      </c>
      <c r="D15" s="7" t="inlineStr">
        <is>
          <t>手帳所持者数の将来推計の基礎となる令和8年の値が仮置きである</t>
        </is>
      </c>
      <c r="E15" s="7" t="inlineStr">
        <is>
          <t>当方の将来推計ブックは平成31年〜令和5年の5か年（156人まで減少）を延ばし、令和11年度の中位推計を145人（減少）としている。他メンバー版の正本 第2章2 は令和8年4月を身体127人・療育16人・精神38人の計181人と記述しているが、他メンバー版のワークシートの注記は「総数はR2〜R5が第7期計画（4月1日）、R6〜R8は推計」であり、村の台帳による確定値ではない（網羅性点検に記録済み）。したがって減少という前提が崩れたかどうかを確かめられない。令和8年10月10日の時点で当方は、確認事項「仕様書の約190人と現行計画156人の差」を「約190人は実数であったと考えられる」として解消していたが、その根拠の181人は約190人から作られた値であり循環していた。令和8年10月13日に解消を取り消した。手帳所持者数は所持率法による見込量の検証に用いるため、第2次算定の検証の土台が定まらない</t>
        </is>
      </c>
      <c r="F15" s="7" t="inlineStr">
        <is>
          <t>令和8年10月10日に概要版から令和11年度の推計値を外し、やり直す旨を注記した（計画素案・将来推計ブックにも【要更新】を付した）。令和8年10月13日に、手帳別に別の係数を用いた4通りの試算を行い、令和11年の合計に139人から206人まで67人の幅があることを示した（北塩原村_レビュー対応_第3回.xlsx 02_手帳推計）。同日受領した策定委員会資料2により、療育手帳（令和6年13人・令和7年15人）と精神障害者保健福祉手帳（同33人・36人）の2か年が判明し、6点の回帰で精神＋2.51人／年・療育＋0.57人／年となった（従前は精神＋1.00人／年・療育−0.30人／年）。身体は所持率法（基準年令和8年度5.484％）で124人・122人・119人となり、令和11年の合計は181人、幅は180人から181人へ収束した。残るのは身体障害者手帳の令和6年・令和7年の実数と、策定委員会資料の数値の出所（台帳か推計か）の確認である（Ｍ-124）。身体の127人が確定すれば推計が確定する。それまでの間、令和11年度の推計値は幅（180人から181人）として示し、単一の数値としては計画本文・概要版・委員会資料に載せない</t>
        </is>
      </c>
      <c r="G15" s="32" t="inlineStr">
        <is>
          <t>対応中</t>
        </is>
      </c>
    </row>
    <row r="16" ht="46" customHeight="1">
      <c r="A16" s="30" t="inlineStr">
        <is>
          <t>R-41</t>
        </is>
      </c>
      <c r="B16" s="30" t="inlineStr">
        <is>
          <t>記述の整合</t>
        </is>
      </c>
      <c r="C16" s="40" t="inlineStr">
        <is>
          <t>最高</t>
        </is>
      </c>
      <c r="D16" s="4" t="inlineStr">
        <is>
          <t>人口の見通しが、正本と当方の他の成果物とで食い違っている</t>
        </is>
      </c>
      <c r="E16" s="4" t="inlineStr">
        <is>
          <t>正本 表2-1 は令和11年度を総人口2,166人・高齢化率45.2％とし、老年人口を998人から978人へ減少させている。「近年の減少（年約50人）を延長」した線形推計である。一方、村のこども・子育て計画（令和7年3月策定）のコーホート変化率法による公式推計は令和11年 総人口2,185人・老年人口1,051人・高齢化率48.1％であり、老年人口の向きが逆（正本は減少、村公式推計は増加）である。当方の成果物は村公式推計の側を用いており、協議会資料3、地域生活支援事業ブック、目次構成_前回対比、クロス集計設計、骨子案修正版 第2章1 がいずれも48.1％と書いている。同じ案件の中で高齢化率が45.2％と48.1％の2通りある状態で、村・委員会の双方が目にする。手帳所持者数の所持率法はこの総人口を分母に用いるため、どちらを用いるかが決まらないと手帳推計も定まらない（R-31）</t>
        </is>
      </c>
      <c r="F16" s="4" t="inlineStr">
        <is>
          <t>令和8年10月10日に当方の網羅性点検（第2章1）へ「どちらを用いるか村と決める。介護保険事業計画の人口基礎とも揃える（K-8）」として起票済み。令和8年10月13日に、手帳推計の試算（レビュー対応_第3回 02_手帳推計）で正本 表2-1 の側に合わせたうえで、人口が定まらないと推計も定まらないことを明記した。正本の数値を動かすかどうかは他メンバーの担当範囲であるため、当方から書き換えず、介護保険事業計画の人口基礎と併せて三者で一度に決める。入稿（令和9年3月17日）までに決めない場合は、当方の成果物の側を正本に合わせて45.2％へ揃える</t>
        </is>
      </c>
      <c r="G16" s="30" t="inlineStr">
        <is>
          <t>対応中</t>
        </is>
      </c>
    </row>
    <row r="17" ht="46" customHeight="1">
      <c r="A17" s="32" t="inlineStr">
        <is>
          <t>R-40</t>
        </is>
      </c>
      <c r="B17" s="32" t="inlineStr">
        <is>
          <t>推計</t>
        </is>
      </c>
      <c r="C17" s="40" t="inlineStr">
        <is>
          <t>最高</t>
        </is>
      </c>
      <c r="D17" s="7" t="inlineStr">
        <is>
          <t>正本 第2章2〜5 の本文と図6点が、仮置きの手帳所持者数の上に載っている</t>
        </is>
      </c>
      <c r="E17" s="7" t="inlineStr">
        <is>
          <t>正本 第2章2 は「令和５年４月現在156人と比較すると25人増加しており、特に精神障害者保健福祉手帳所持者が増加傾向にあります」、第2章3 は「令和５年に114人まで減少しましたが、その後は増加に転じ、令和５年と比較すると13人の増加」、第2章4 は「近年は増加傾向」、第2章5 は「令和５年と比較すると、８人増加」と、いずれも増加を事実として記述している。根拠は令和8年4月の127人・16人・38人であり、これが仮置きである（R-31）。図2-2から図2-7までの6点も同じ数値で描かれている。村の台帳の実数が減少であった場合、本文4か所と図6点を直すことになる。第2章は計画書の冒頭であり、ここが動くと第3章の指標・第5章の見込量の説明にも及ぶ</t>
        </is>
      </c>
      <c r="F17" s="7" t="inlineStr">
        <is>
          <t>令和8年10月13日に、正本 第2章2 に、127人・16人・38人が台帳による確定値でないことと、数値が変われば本章2から5までの本文と図2-2から図2-7までが変わることを明記した注記を入れた（ＲＶ-1・Ｍ-113）。手帳の種類ごとに別に推計する旨と、単一の数値ではなく幅で示す旨も本文に書いた。Ｍ-113の回答（期限 令和8年10月24日）を受けて本文を確定する。入稿（令和9年3月17日）までに確定しなければ、第2章の増減の記述を落として実数のみを示す形に切り替える</t>
        </is>
      </c>
      <c r="G17" s="32" t="inlineStr">
        <is>
          <t>対応中</t>
        </is>
      </c>
    </row>
    <row r="18" ht="46" customHeight="1">
      <c r="A18" s="30" t="inlineStr">
        <is>
          <t>R-26</t>
        </is>
      </c>
      <c r="B18" s="30" t="inlineStr">
        <is>
          <t>指標</t>
        </is>
      </c>
      <c r="C18" s="27" t="inlineStr">
        <is>
          <t>高</t>
        </is>
      </c>
      <c r="D18" s="4" t="inlineStr">
        <is>
          <t>第4次障がい者計画のアンケート指標3件が前回と比較できない</t>
        </is>
      </c>
      <c r="E18" s="4" t="inlineStr">
        <is>
          <t>①満足度は前回n=25（利用者のみ・2択）に対し今回n=33（「利用していない」を含む）。分母により39.4％（未達）と61.9％（目標60％超）に分かれ達成判定が逆転する。②差別・偏見は前回3択（25.3％）に対し今回は頻度尺度（29.0％）で、前回にない「わからない」が32.3％を占める。③外出の目的は今回の調査票に設問がなく測定できない</t>
        </is>
      </c>
      <c r="F18" s="4" t="inlineStr">
        <is>
          <t>令和8年10月4日に全数を洗い出し済み（北塩原村_目標KPI_前回比較可能性.xlsx）。報告書の確定前に、3指標の扱いを村と決める。①は前回と同じ基準（利用者のみ）に揃える。②は基準値を置き直すか定義を見直す。③は行政データによる代替指標へ振り替える（クロス集計設計 Ｓ-1）。計画素案 第3章5の目標値表に直結する</t>
        </is>
      </c>
      <c r="G18" s="30" t="inlineStr">
        <is>
          <t>未着手</t>
        </is>
      </c>
    </row>
    <row r="19" ht="46" customHeight="1">
      <c r="A19" s="32" t="inlineStr">
        <is>
          <t>R-23</t>
        </is>
      </c>
      <c r="B19" s="32" t="inlineStr">
        <is>
          <t>制度動向</t>
        </is>
      </c>
      <c r="C19" s="27" t="inlineStr">
        <is>
          <t>高</t>
        </is>
      </c>
      <c r="D19" s="7" t="inlineStr">
        <is>
          <t>告示後に基本指針が2度改正されており、追跡から漏れる</t>
        </is>
      </c>
      <c r="E19" s="7" t="inlineStr">
        <is>
          <t>令和8年3月31日の告示の後、同年7月10日（社会福祉法等改正）と8月19日（医療的ケア児支援法改正）に改正案が示されている。いずれも審議会資料として出たもので、告示本文だけを見ていると取りこぼす。前者は別表第二に六の項（人材確保・生産性向上・経営基盤）を新設し、市町村計画の定めるよう努めなければならない事項を1項目増やした。後者は医療的ケア者（成人）を新設し、成果目標 四の4を拡充した。計画確定の令和9年3月までにさらに改正が示される可能性がある</t>
        </is>
      </c>
      <c r="F19" s="7" t="inlineStr">
        <is>
          <t>社会保障審議会障害者部会・こども家庭審議会障害児支援部会の資料と、県からの市町村あて通知を定期的に確認する。村にも県通知の共有を依頼する。確認結果は骨子案レビューブックに追記する</t>
        </is>
      </c>
      <c r="G19" s="32" t="inlineStr">
        <is>
          <t>対応中</t>
        </is>
      </c>
    </row>
    <row r="20" ht="46" customHeight="1">
      <c r="A20" s="30" t="inlineStr">
        <is>
          <t>R-24</t>
        </is>
      </c>
      <c r="B20" s="30" t="inlineStr">
        <is>
          <t>記載事項</t>
        </is>
      </c>
      <c r="C20" s="27" t="inlineStr">
        <is>
          <t>高</t>
        </is>
      </c>
      <c r="D20" s="4" t="inlineStr">
        <is>
          <t>別表第二 三㈠⑤の基盤整備量が県の算定値待ちで確定できない</t>
        </is>
      </c>
      <c r="E20" s="4" t="inlineStr">
        <is>
          <t>長期入院患者の地域移行に伴う地域の精神保健医療福祉体制の基盤整備量（利用者数）は定めなければならない事項。県が別表第四の式で算定した値を勘案して村の値を定めるため、県の第8期計画の進捗に依存する</t>
        </is>
      </c>
      <c r="F20" s="4" t="inlineStr">
        <is>
          <t>県へ算定値と市町村への配分の考え方を照会する（レビュー Q-1）。県計画の公表が村の計画確定に間に合わない場合の取扱いも併せて確認する</t>
        </is>
      </c>
      <c r="G20" s="30" t="inlineStr">
        <is>
          <t>未着手</t>
        </is>
      </c>
    </row>
    <row r="21" ht="46" customHeight="1">
      <c r="A21" s="32" t="inlineStr">
        <is>
          <t>R-27</t>
        </is>
      </c>
      <c r="B21" s="32" t="inlineStr">
        <is>
          <t>指標</t>
        </is>
      </c>
      <c r="C21" s="35" t="inlineStr">
        <is>
          <t>中</t>
        </is>
      </c>
      <c r="D21" s="7" t="inlineStr">
        <is>
          <t>前回計画本編の目標値に転記誤りがある</t>
        </is>
      </c>
      <c r="E21" s="7" t="inlineStr">
        <is>
          <t>第4次障がい者計画の「外出の目的が趣味やスポーツ及びグループ活動である人の割合」の現状値28.1％は、前回調査報告書 問17（趣味やスポーツ16.3％＋グループ活動12.8％）から計算すると29.1％になる。本編は趣味やスポーツを15.3％と書いており1桁の転記誤りと考えられる。あわせて同指標は本編の④教育・育成(2)生涯学習に掲げられ、⑦スポーツ・文化で再掲されている（実質的な指標数は8件）</t>
        </is>
      </c>
      <c r="F21" s="7" t="inlineStr">
        <is>
          <t>現行計画は改定対象外のため本編は直さない。計画素案 第3章5の目標値表に現状値を引くときの扱いを村に確認する。ただし同指標は今回の調査票に設問がなく測定できないため、代替指標への振替と併せて協議する（目標KPI前回比較 T-1・K-5）</t>
        </is>
      </c>
      <c r="G21" s="32" t="inlineStr">
        <is>
          <t>未着手</t>
        </is>
      </c>
    </row>
    <row r="22" ht="46" customHeight="1">
      <c r="A22" s="30" t="inlineStr">
        <is>
          <t>R-25</t>
        </is>
      </c>
      <c r="B22" s="30" t="inlineStr">
        <is>
          <t>整合</t>
        </is>
      </c>
      <c r="C22" s="35" t="inlineStr">
        <is>
          <t>中</t>
        </is>
      </c>
      <c r="D22" s="4" t="inlineStr">
        <is>
          <t>就労継続支援A型の利用者が給付実績に現れない</t>
        </is>
      </c>
      <c r="E22" s="4" t="inlineStr">
        <is>
          <t>現行計画（第7期）と計画素案はA型1人としているが、村から受領した令和2〜7年度の給付実績にA型の計上がない。村外事業所の利用であれば給付実績に現れるはずである。見込量・給付費・成果目標（３）の就労選択支援の対象者数に影響する</t>
        </is>
      </c>
      <c r="F22" s="4" t="inlineStr">
        <is>
          <t>村に利用者の有無を確認する（見込量算定 Ｍ-4）。実在しなければ見込量は0、実在すれば単価とともに計上する。確認までは現行計画を据え置き、給付費は計上しない</t>
        </is>
      </c>
      <c r="G22" s="30" t="inlineStr">
        <is>
          <t>未着手</t>
        </is>
      </c>
    </row>
    <row r="23" ht="46" customHeight="1">
      <c r="A23" s="32" t="inlineStr">
        <is>
          <t>R-1</t>
        </is>
      </c>
      <c r="B23" s="32" t="inlineStr">
        <is>
          <t>スケジュール</t>
        </is>
      </c>
      <c r="C23" s="27" t="inlineStr">
        <is>
          <t>高</t>
        </is>
      </c>
      <c r="D23" s="7" t="inlineStr">
        <is>
          <t>アンケート発送が工程案の8月上旬に間に合わない</t>
        </is>
      </c>
      <c r="E23" s="7" t="inlineStr">
        <is>
          <t>印刷仕様の協議、村ラベルの受領、村封筒の手配がすべて未了。1週間の遅延は回収期間または集計期間の圧縮に直結する</t>
        </is>
      </c>
      <c r="F23" s="7" t="inlineStr">
        <is>
          <t>8月5日までに印刷仕様を確定し、ラベル提供日を村と合意する</t>
        </is>
      </c>
      <c r="G23" s="32" t="inlineStr">
        <is>
          <t>対応中</t>
        </is>
      </c>
    </row>
    <row r="24" ht="46" customHeight="1">
      <c r="A24" s="30" t="inlineStr">
        <is>
          <t>R-2</t>
        </is>
      </c>
      <c r="B24" s="30" t="inlineStr">
        <is>
          <t>契約</t>
        </is>
      </c>
      <c r="C24" s="27" t="inlineStr">
        <is>
          <t>高</t>
        </is>
      </c>
      <c r="D24" s="4" t="inlineStr">
        <is>
          <t>印刷仕様が仕様書と乖離している</t>
        </is>
      </c>
      <c r="E24" s="4" t="inlineStr">
        <is>
          <t>仕様書はA4判・約24ページ・黒1色の1種類。実際は34ページと37ページの2種類</t>
        </is>
      </c>
      <c r="F24" s="4" t="inlineStr">
        <is>
          <t>ページ数・種類数・部数・単価の取扱いを村と協議し、結果を書面で残す</t>
        </is>
      </c>
      <c r="G24" s="30" t="inlineStr">
        <is>
          <t>未着手</t>
        </is>
      </c>
    </row>
    <row r="25" ht="46" customHeight="1">
      <c r="A25" s="32" t="inlineStr">
        <is>
          <t>R-3</t>
        </is>
      </c>
      <c r="B25" s="32" t="inlineStr">
        <is>
          <t>契約</t>
        </is>
      </c>
      <c r="C25" s="27" t="inlineStr">
        <is>
          <t>高</t>
        </is>
      </c>
      <c r="D25" s="7" t="inlineStr">
        <is>
          <t>郵送費の負担が仕様書と異なる運用になっている</t>
        </is>
      </c>
      <c r="E25" s="7" t="inlineStr">
        <is>
          <t>仕様書は受託者負担。打合せでは村が立替え後日実費精算</t>
        </is>
      </c>
      <c r="F25" s="7" t="inlineStr">
        <is>
          <t>精算方法・範囲・上限を書面で確認する</t>
        </is>
      </c>
      <c r="G25" s="32" t="inlineStr">
        <is>
          <t>未着手</t>
        </is>
      </c>
    </row>
    <row r="26" ht="46" customHeight="1">
      <c r="A26" s="30" t="inlineStr">
        <is>
          <t>R-4</t>
        </is>
      </c>
      <c r="B26" s="30" t="inlineStr">
        <is>
          <t>推計</t>
        </is>
      </c>
      <c r="C26" s="27" t="inlineStr">
        <is>
          <t>高</t>
        </is>
      </c>
      <c r="D26" s="4" t="inlineStr">
        <is>
          <t>対象者数が確定せず、推計の起点が定まらない</t>
        </is>
      </c>
      <c r="E26" s="4" t="inlineStr">
        <is>
          <t>仕様書の約190人と現行計画の156人に22%の差。実数であれば手帳推計の方向が逆になる。前回調査は手帳所持者156人＋サービス利用者8人＝164人（重複3人含む）を発送しており、所持率トレンドを延長しても令和8年は157人にとどまる</t>
        </is>
      </c>
      <c r="F26" s="4" t="inlineStr">
        <is>
          <t>発送前に村へ確認する。確認まで手帳所持者数の将来推計を確定値として記載しない</t>
        </is>
      </c>
      <c r="G26" s="30" t="inlineStr">
        <is>
          <t>対応中</t>
        </is>
      </c>
    </row>
    <row r="27" ht="46" customHeight="1">
      <c r="A27" s="32" t="inlineStr">
        <is>
          <t>R-5</t>
        </is>
      </c>
      <c r="B27" s="32" t="inlineStr">
        <is>
          <t>推計</t>
        </is>
      </c>
      <c r="C27" s="27" t="inlineStr">
        <is>
          <t>高</t>
        </is>
      </c>
      <c r="D27" s="7" t="inlineStr">
        <is>
          <t>個別積上げに必要な村資料が揃わない</t>
        </is>
      </c>
      <c r="E27" s="7" t="inlineStr">
        <is>
          <t>年齢別・サービス別の利用者一覧と支給決定者数（実人数）がないと見込量が確定しない</t>
        </is>
      </c>
      <c r="F27" s="7" t="inlineStr">
        <is>
          <t>8月末を目途に受領する。遅れる場合は現行計画の据置値で暫定版を作り、受領後に差し替える段取りを村と共有する</t>
        </is>
      </c>
      <c r="G27" s="32" t="inlineStr">
        <is>
          <t>対応中</t>
        </is>
      </c>
    </row>
    <row r="28" ht="46" customHeight="1">
      <c r="A28" s="30" t="inlineStr">
        <is>
          <t>R-6</t>
        </is>
      </c>
      <c r="B28" s="30" t="inlineStr">
        <is>
          <t>個人情報</t>
        </is>
      </c>
      <c r="C28" s="35" t="inlineStr">
        <is>
          <t>中</t>
        </is>
      </c>
      <c r="D28" s="4" t="inlineStr">
        <is>
          <t>少数母数のクロス集計で個人が特定される</t>
        </is>
      </c>
      <c r="E28" s="4" t="inlineStr">
        <is>
          <t>対象者が極めて少ないサービス・地区がある</t>
        </is>
      </c>
      <c r="F28" s="4" t="inlineStr">
        <is>
          <t>n&lt;5の秘匿基準を事前に村と合意する。公表用報告書と内部管理報告書を分離する</t>
        </is>
      </c>
      <c r="G28" s="30" t="inlineStr">
        <is>
          <t>対応中</t>
        </is>
      </c>
    </row>
    <row r="29" ht="46" customHeight="1">
      <c r="A29" s="32" t="inlineStr">
        <is>
          <t>R-7</t>
        </is>
      </c>
      <c r="B29" s="32" t="inlineStr">
        <is>
          <t>品質</t>
        </is>
      </c>
      <c r="C29" s="32" t="inlineStr">
        <is>
          <t>低</t>
        </is>
      </c>
      <c r="D29" s="7" t="inlineStr">
        <is>
          <t>骨子案が引用する国基準数値の原典照合が未了</t>
        </is>
      </c>
      <c r="E29" s="7" t="inlineStr">
        <is>
          <t>【解消】告示第4号の本文・別表と11件を照合。319.3日・1.31倍・1.47倍はいずれも第8期の正しい数値。誤りは就労定着支援の基準（令和6年度末→令和6年度）1件。むしろ欠落6件（B型1.67倍等の事業種別目標、精神病床1年以上長期入院患者数ほか）が問題だった</t>
        </is>
      </c>
      <c r="F29" s="7" t="inlineStr">
        <is>
          <t>骨子案修正版 第4章へ反映済み。改正後概要と告示本文で表記が異なる箇所は告示本文に従う</t>
        </is>
      </c>
      <c r="G29" s="32" t="inlineStr">
        <is>
          <t>完了</t>
        </is>
      </c>
    </row>
    <row r="30" ht="46" customHeight="1">
      <c r="A30" s="30" t="inlineStr">
        <is>
          <t>R-12</t>
        </is>
      </c>
      <c r="B30" s="30" t="inlineStr">
        <is>
          <t>推計</t>
        </is>
      </c>
      <c r="C30" s="30" t="inlineStr">
        <is>
          <t>低</t>
        </is>
      </c>
      <c r="D30" s="4" t="inlineStr">
        <is>
          <t>基本指針 別表第五（地域差是正）の適用関係が未確定</t>
        </is>
      </c>
      <c r="E30" s="4" t="inlineStr">
        <is>
          <t>【解消】福島県「県内の過疎・中山間地域の指定状況」（令和7年4月1日現在）により、本村は過疎法第2条により全域が過疎地域に該当することを確認。別表第五 一の項⑴「全部過疎市町村ではないこと」を満たさず適用対象外。個別積上げ方式を原則どおり採用できる</t>
        </is>
      </c>
      <c r="F30" s="4" t="inlineStr">
        <is>
          <t>骨子案修正版 第5章1及びサービス見込量ブック 12 へ反映済み</t>
        </is>
      </c>
      <c r="G30" s="30" t="inlineStr">
        <is>
          <t>完了</t>
        </is>
      </c>
    </row>
    <row r="31" ht="46" customHeight="1">
      <c r="A31" s="32" t="inlineStr">
        <is>
          <t>R-15</t>
        </is>
      </c>
      <c r="B31" s="32" t="inlineStr">
        <is>
          <t>推計</t>
        </is>
      </c>
      <c r="C31" s="32" t="inlineStr">
        <is>
          <t>低</t>
        </is>
      </c>
      <c r="D31" s="7" t="inlineStr">
        <is>
          <t>国基準数値と福島県実績の系統が複数あり、どれを用いるかで目標値が変わる</t>
        </is>
      </c>
      <c r="E31" s="7" t="inlineStr">
        <is>
          <t>【一部解消】令和5年度630調査 Ⅲ.2.(11) の受領により、別表第四のCは住所地ベース2,591人（65歳未満901人・65歳以上1,690人）と確定。県第7期計画の長期在院者数と同系統であることも確認。残るのは平均生活日数のNDB通常集計327.1日と公費含む集計323.8日の使い分け</t>
        </is>
      </c>
      <c r="F31" s="7" t="inlineStr">
        <is>
          <t>計画本文には出典・時点・集計区分を必ず併記する。公費含む集計を用いるか否かは県の第8期計画に合わせる</t>
        </is>
      </c>
      <c r="G31" s="32" t="inlineStr">
        <is>
          <t>対応中</t>
        </is>
      </c>
    </row>
    <row r="32" ht="46" customHeight="1">
      <c r="A32" s="30" t="inlineStr">
        <is>
          <t>R-14</t>
        </is>
      </c>
      <c r="B32" s="30" t="inlineStr">
        <is>
          <t>提供体制</t>
        </is>
      </c>
      <c r="C32" s="27" t="inlineStr">
        <is>
          <t>高</t>
        </is>
      </c>
      <c r="D32" s="4" t="inlineStr">
        <is>
          <t>会津北部圏域の訪問系サービス事業所が本村の1か所のみになっている</t>
        </is>
      </c>
      <c r="E32" s="4" t="inlineStr">
        <is>
          <t>ReMHRAD障害福祉資源によれば、令和7年時点で本村に居宅介護1・重度訪問介護1・生活介護1の事業所がある一方、猪苗代町の居宅介護・重度訪問介護は令和2年の各1か所から0か所へ減った。圏域4町村で訪問系サービスを提供する事業所は本村の1か所のみ。この1か所が撤退すると圏域全体が会津若松市・喜多方市への依存となる</t>
        </is>
      </c>
      <c r="F32" s="4" t="inlineStr">
        <is>
          <t>告示が示す工夫（介護保険事業所への居宅介護指定の働きかけ、共生型サービスの周知、基準該当障害福祉サービス、多機能型・従たる事業所）を骨子案修正版 第5章8 に位置づけた。圏域4町村の担当者会議で各制度の活用可能性と訪問系の提供体制を協議する</t>
        </is>
      </c>
      <c r="G32" s="30" t="inlineStr">
        <is>
          <t>対応中</t>
        </is>
      </c>
    </row>
    <row r="33" ht="46" customHeight="1">
      <c r="A33" s="32" t="inlineStr">
        <is>
          <t>R-16</t>
        </is>
      </c>
      <c r="B33" s="32" t="inlineStr">
        <is>
          <t>記述</t>
        </is>
      </c>
      <c r="C33" s="35" t="inlineStr">
        <is>
          <t>中</t>
        </is>
      </c>
      <c r="D33" s="7" t="inlineStr">
        <is>
          <t>骨子案・当方資料の「本村には事業所がない」という記述が事実と異なる</t>
        </is>
      </c>
      <c r="E33" s="7" t="inlineStr">
        <is>
          <t>ReMHRAD障害福祉資源で、令和7年時点に居宅介護1・重度訪問介護1・生活介護1の事業所を確認。令和2年時点はいずれも0か所であり、その後の指定と考えられる。骨子案原本の「就労継続支援事業所がなく」「児童発達支援センター0か所」は事実と一致</t>
        </is>
      </c>
      <c r="F33" s="7" t="inlineStr">
        <is>
          <t>骨子案修正版 第5章8 を原典から表を生成する方式に変更済み。事業所名・指定年月・共生型指定の有無・受入可能人数を村に確認する</t>
        </is>
      </c>
      <c r="G33" s="32" t="inlineStr">
        <is>
          <t>対応中</t>
        </is>
      </c>
    </row>
    <row r="34" ht="46" customHeight="1">
      <c r="A34" s="30" t="inlineStr">
        <is>
          <t>R-13</t>
        </is>
      </c>
      <c r="B34" s="30" t="inlineStr">
        <is>
          <t>財源</t>
        </is>
      </c>
      <c r="C34" s="35" t="inlineStr">
        <is>
          <t>中</t>
        </is>
      </c>
      <c r="D34" s="4" t="inlineStr">
        <is>
          <t>令和8年度・令和9年度の報酬改定により単価前提が動く</t>
        </is>
      </c>
      <c r="E34" s="4" t="inlineStr">
        <is>
          <t>令和8年6月施行の処遇改善加算拡充（月1.0万円＝3.3%＋上乗せ1.0%）とB型基本報酬区分見直し。さらに令和9年度報酬改定が見込まれ、計画期間の初年度に当たる。令和7年度実績単価を据え置くと給付費推計が実勢とずれる</t>
        </is>
      </c>
      <c r="F34" s="4" t="inlineStr">
        <is>
          <t>財源構成案 08シートに改定率パラメータを設置済み。改定内容の確定後に入力する</t>
        </is>
      </c>
      <c r="G34" s="30" t="inlineStr">
        <is>
          <t>対応中</t>
        </is>
      </c>
    </row>
    <row r="35" ht="46" customHeight="1">
      <c r="A35" s="32" t="inlineStr">
        <is>
          <t>R-8</t>
        </is>
      </c>
      <c r="B35" s="32" t="inlineStr">
        <is>
          <t>品質</t>
        </is>
      </c>
      <c r="C35" s="35" t="inlineStr">
        <is>
          <t>中</t>
        </is>
      </c>
      <c r="D35" s="7" t="inlineStr">
        <is>
          <t>障がい児版調査票のルビ構造により本文が欠落して見える箇所がある</t>
        </is>
      </c>
      <c r="E35" s="7" t="inlineStr">
        <is>
          <t>問1〜問15で語句が欠けて抽出される。Word表示上は正常な可能性もある</t>
        </is>
      </c>
      <c r="F35" s="7" t="inlineStr">
        <is>
          <t>Word上でルビなしテキストとして読んで意味が通るかを確認する</t>
        </is>
      </c>
      <c r="G35" s="32" t="inlineStr">
        <is>
          <t>対応中</t>
        </is>
      </c>
    </row>
    <row r="36" ht="46" customHeight="1">
      <c r="A36" s="30" t="inlineStr">
        <is>
          <t>R-9</t>
        </is>
      </c>
      <c r="B36" s="30" t="inlineStr">
        <is>
          <t>調査設計</t>
        </is>
      </c>
      <c r="C36" s="27" t="inlineStr">
        <is>
          <t>高</t>
        </is>
      </c>
      <c r="D36" s="4" t="inlineStr">
        <is>
          <t>障がい者票に介護保険・65歳到達に関する設問がない（国の標準項目）</t>
        </is>
      </c>
      <c r="E36" s="4" t="inlineStr">
        <is>
          <t>令和11年の高齢化率が48.1%となる村で、65歳前後の実態を把握する手段がない。令和8年8月のマニュアルの調査票ひな型は問37（介護保険の利用）・問38（要介護度）・問39（利用している介護保険サービス）の3問を標準項目として置いている。同マニュアルは身体障害者の73%が65歳以上であることを踏まえ、18歳未満／18〜64歳／65歳以上の年齢階層別に分析する例を示している</t>
        </is>
      </c>
      <c r="F36" s="4" t="inlineStr">
        <is>
          <t>調査票が令和8年8月25日版で確定したため設問の追加は不可。支給決定者台帳と介護保険の要介護認定情報の突合に一本化する（クロス集計設計 A-1）。依頼済みの匿名利用者一覧に要介護認定の列を1つ追加する。アンケート側は問2×問27-1（C-12）、問2×問7（C-13）、問2×問27-3（C-14）で補う</t>
        </is>
      </c>
      <c r="G36" s="30" t="inlineStr">
        <is>
          <t>対応中</t>
        </is>
      </c>
    </row>
    <row r="37" ht="46" customHeight="1">
      <c r="A37" s="32" t="inlineStr">
        <is>
          <t>R-11</t>
        </is>
      </c>
      <c r="B37" s="32" t="inlineStr">
        <is>
          <t>調査設計</t>
        </is>
      </c>
      <c r="C37" s="27" t="inlineStr">
        <is>
          <t>高</t>
        </is>
      </c>
      <c r="D37" s="7" t="inlineStr">
        <is>
          <t>外出目的の設問がなく、第4次障がい者計画の1指標が測定できない（国の標準項目）</t>
        </is>
      </c>
      <c r="E37" s="7" t="inlineStr">
        <is>
          <t>「外出目的が趣味・スポーツ・グループ活動である人の割合（28.1%→40%）」について、前回調査にあった外出目的の設問が0728調査票にない。令和8年8月のマニュアルは図表6で「外出の目的」を主な調査項目に掲げ、「外出支援のために必要となる施策等の検討に利用」するとしている（調査票ひな型では問26）。移動支援・同行援護の見込量根拠にも直結する</t>
        </is>
      </c>
      <c r="F37" s="7" t="inlineStr">
        <is>
          <t>調査票が確定したため設問の追加は不可。確定版で最も近い問42は「今後参加したいもの」という意向であり、実態を問う前回値28.1%と接続できない。第4次障がい者計画は改定対象外のため、指標の測定方法の変更は村の判断事項。村との再協議が必要（クロス集計設計 Ｓ-1）</t>
        </is>
      </c>
      <c r="G37" s="32" t="inlineStr">
        <is>
          <t>要対応</t>
        </is>
      </c>
    </row>
    <row r="38" ht="46" customHeight="1">
      <c r="A38" s="30" t="inlineStr">
        <is>
          <t>R-10</t>
        </is>
      </c>
      <c r="B38" s="30" t="inlineStr">
        <is>
          <t>供給</t>
        </is>
      </c>
      <c r="C38" s="35" t="inlineStr">
        <is>
          <t>中</t>
        </is>
      </c>
      <c r="D38" s="4" t="inlineStr">
        <is>
          <t>圏域事業所の受入可能量が見込量の上限になる</t>
        </is>
      </c>
      <c r="E38" s="4" t="inlineStr">
        <is>
          <t>村内に事業所がなく、送迎・人材・定員が制約となる</t>
        </is>
      </c>
      <c r="F38" s="4" t="inlineStr">
        <is>
          <t>圏域事業所へ照会し、利用希望量と利用可能量を分けて管理する</t>
        </is>
      </c>
      <c r="G38" s="30" t="inlineStr">
        <is>
          <t>未着手</t>
        </is>
      </c>
    </row>
    <row r="39" ht="46" customHeight="1">
      <c r="A39" s="32" t="inlineStr">
        <is>
          <t>R-17</t>
        </is>
      </c>
      <c r="B39" s="32" t="inlineStr">
        <is>
          <t>調査設計</t>
        </is>
      </c>
      <c r="C39" s="35" t="inlineStr">
        <is>
          <t>中</t>
        </is>
      </c>
      <c r="D39" s="7" t="inlineStr">
        <is>
          <t>就労選択支援の設問（障がい者版 問36）が削除されると、圏域確保の根拠が窓口相談実績に限られる</t>
        </is>
      </c>
      <c r="E39" s="7" t="inlineStr">
        <is>
          <t>村は「会津管内に事業所がないため設問不要」と判断。しかし基本指針は令和11年度末までに各市町村又は各圏域に1事業所以上の設置を目指すとしており（全国目標は令和11年度に年間82,000人）、事業所がないことは計画に書くべき課題である。選択肢6「制度を知らない」は認知度そのもののデータで、事業所の有無とは独立して意味がある</t>
        </is>
      </c>
      <c r="F39" s="7" t="inlineStr">
        <is>
          <t>村に再考を依頼済み。削除する場合でも、第5章の確保方策に「圏域内に事業所がないため会津若松地方の広域調整により確保を図る」旨を記載する（骨子案修正版 第4章(3)に反映済み）</t>
        </is>
      </c>
      <c r="G39" s="32" t="inlineStr">
        <is>
          <t>判断待ち</t>
        </is>
      </c>
    </row>
    <row r="40" ht="46" customHeight="1">
      <c r="A40" s="30" t="inlineStr">
        <is>
          <t>R-18</t>
        </is>
      </c>
      <c r="B40" s="30" t="inlineStr">
        <is>
          <t>整合</t>
        </is>
      </c>
      <c r="C40" s="35" t="inlineStr">
        <is>
          <t>中</t>
        </is>
      </c>
      <c r="D40" s="4" t="inlineStr">
        <is>
          <t>個別避難計画0件が第4次障がい者計画の指標と矛盾する可能性がある</t>
        </is>
      </c>
      <c r="E40" s="4" t="inlineStr">
        <is>
          <t>第4次障がい者計画は「個別避難計画作成 現状1件→令和11年度10件」を指標としているが、令和8年8月の村の朱書きは「作成者なし」としている。計画策定時の1件がその後失効したのか、集計方法が異なるのかが不明</t>
        </is>
      </c>
      <c r="F40" s="4" t="inlineStr">
        <is>
          <t>村に確認する。第4次障がい者計画は改定対象外だが、第8期計画の第3章5（目標値と進捗管理）で現状値を示す際に整合が必要</t>
        </is>
      </c>
      <c r="G40" s="30" t="inlineStr">
        <is>
          <t>未着手</t>
        </is>
      </c>
    </row>
    <row r="41" ht="46" customHeight="1">
      <c r="A41" s="32" t="inlineStr">
        <is>
          <t>R-20</t>
        </is>
      </c>
      <c r="B41" s="32" t="inlineStr">
        <is>
          <t>調査設計</t>
        </is>
      </c>
      <c r="C41" s="35" t="inlineStr">
        <is>
          <t>中</t>
        </is>
      </c>
      <c r="D41" s="7" t="inlineStr">
        <is>
          <t>強度行動障害の該当有無を聞く設問がなく、支援ニーズの母数が特定できない</t>
        </is>
      </c>
      <c r="E41" s="7" t="inlineStr">
        <is>
          <t>調査票は問20で「強度行動障がい支援に関して必要だと思う支援」を聞くが、回答者本人が該当するかを聞いていない。令和8年8月のマニュアルの調査票ひな型は問16で「強度行動障害があると言われたことはありますか」を置き、重度障害者の支援ニーズを把握するクロス集計を示している。第8期基本指針は強度行動障害を有する者の支援ニーズ把握を新規の視点としている</t>
        </is>
      </c>
      <c r="F41" s="7" t="inlineStr">
        <is>
          <t>調査票が確定したため設問の追加は不可。問19で「特にない」以外を選んだ回答をニーズ層として扱い（C-15・C-16）、実数は行政データ（区分6の2人の行動関連項目、行動援護の支給決定者数）で押さえる（クロス集計設計 A-2）。アンケートでは母数を特定できない旨を計画に明記する</t>
        </is>
      </c>
      <c r="G41" s="32" t="inlineStr">
        <is>
          <t>対応中</t>
        </is>
      </c>
    </row>
    <row r="42" ht="46" customHeight="1">
      <c r="A42" s="30" t="inlineStr">
        <is>
          <t>R-21</t>
        </is>
      </c>
      <c r="B42" s="30" t="inlineStr">
        <is>
          <t>調査設計</t>
        </is>
      </c>
      <c r="C42" s="35" t="inlineStr">
        <is>
          <t>中</t>
        </is>
      </c>
      <c r="D42" s="4" t="inlineStr">
        <is>
          <t>障害支援区分の削除は国の標準項目を落とすことになる</t>
        </is>
      </c>
      <c r="E42" s="4" t="inlineStr">
        <is>
          <t>村は問7の削除を指示し、当方は対象者15人という規模から削除に異議なしと回答した。一方、令和8年8月のマニュアルは障害支援区分をクロス集計の項目として明示し（P.12）、調査票ひな型でも問35に置いている。ただし同マニュアル自身が、調査対象者数が少ない場合は標本誤差が大きくなるため集計結果の解釈を慎重に行う必要があるとしている</t>
        </is>
      </c>
      <c r="F42" s="4" t="inlineStr">
        <is>
          <t>令和8年8月25日版で削除が確定した。区分別人数15人は村から受領済みで、見込量の推計に支障はない。アンケート側は「重度層（代理指標）」で層別する（クロス集計設計 03・C-17）。区分別クロス集計ができないことは計画に明記する</t>
        </is>
      </c>
      <c r="G42" s="30" t="inlineStr">
        <is>
          <t>完了</t>
        </is>
      </c>
    </row>
    <row r="43" ht="46" customHeight="1">
      <c r="A43" s="32" t="inlineStr">
        <is>
          <t>R-22</t>
        </is>
      </c>
      <c r="B43" s="32" t="inlineStr">
        <is>
          <t>調査設計</t>
        </is>
      </c>
      <c r="C43" s="35" t="inlineStr">
        <is>
          <t>中</t>
        </is>
      </c>
      <c r="D43" s="7" t="inlineStr">
        <is>
          <t>国のマニュアルの発出と調査票の確定の時期が重なった</t>
        </is>
      </c>
      <c r="E43" s="7" t="inlineStr">
        <is>
          <t>マニュアルは令和8年8月19日事務連絡（県通知8月24日）、調査票の確定は8月25日版。標準項目3件の欠落は、当方の設計の不備ではなくこの時期の重なりによる。第9期の策定時に同じ論点が生じうる</t>
        </is>
      </c>
      <c r="F43" s="7" t="inlineStr">
        <is>
          <t>経緯を打合せ記録に残し、計画書の調査概要にも「調査票確定後に国のマニュアルが改定された」旨を注記する（クロス集計設計 Ｓ-4）。算定根拠への疑義に対する説明にもなる</t>
        </is>
      </c>
      <c r="G43" s="32" t="inlineStr">
        <is>
          <t>対応中</t>
        </is>
      </c>
    </row>
    <row r="44" ht="46" customHeight="1">
      <c r="A44" s="30" t="inlineStr">
        <is>
          <t>R-19</t>
        </is>
      </c>
      <c r="B44" s="30" t="inlineStr">
        <is>
          <t>調査設計</t>
        </is>
      </c>
      <c r="C44" s="30" t="inlineStr">
        <is>
          <t>低</t>
        </is>
      </c>
      <c r="D44" s="4" t="inlineStr">
        <is>
          <t>障がい児版の設問番号に誤りがある</t>
        </is>
      </c>
      <c r="E44" s="4" t="inlineStr">
        <is>
          <t>問11の選択肢番号「13」が2つある（「自傷、他害、強いこだわり、パニックなどへの対応」と「特にない」）。問10の選択肢番号は「3」が欠番。いずれも村の朱書きとは別に、通読して気づいたもの</t>
        </is>
      </c>
      <c r="F44" s="4" t="inlineStr">
        <is>
          <t>調査票担当へ申し送り済み。印刷前に番号を振り直す。問10は問8との統合指示があるため、統合時に整理する</t>
        </is>
      </c>
      <c r="G44" s="30" t="inlineStr">
        <is>
          <t>対応中</t>
        </is>
      </c>
    </row>
  </sheetData>
  <autoFilter ref="A5:G44"/>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20" customWidth="1" min="3" max="3"/>
    <col width="30" customWidth="1" min="4" max="4"/>
    <col width="50" customWidth="1" min="5" max="5"/>
    <col width="40" customWidth="1" min="6" max="6"/>
  </cols>
  <sheetData>
    <row r="1" ht="30" customHeight="1">
      <c r="A1" s="29" t="inlineStr">
        <is>
          <t>打合せ・会議の記録（仕様書Ⅲ・Ⅱ(7)）</t>
        </is>
      </c>
    </row>
    <row r="2" ht="30" customHeight="1">
      <c r="A2" s="2" t="inlineStr">
        <is>
          <t>仕様書Ⅲの打合せ等業務と、Ⅱ(7)の自立支援協議会の開催記録です。協議会の開催は1回程度を見込みます。</t>
        </is>
      </c>
    </row>
    <row r="5" ht="30" customHeight="1">
      <c r="A5" s="3" t="inlineStr">
        <is>
          <t>日付</t>
        </is>
      </c>
      <c r="B5" s="3" t="inlineStr">
        <is>
          <t>区分</t>
        </is>
      </c>
      <c r="C5" s="3" t="inlineStr">
        <is>
          <t>場所・形式</t>
        </is>
      </c>
      <c r="D5" s="3" t="inlineStr">
        <is>
          <t>出席</t>
        </is>
      </c>
      <c r="E5" s="3" t="inlineStr">
        <is>
          <t>主な決定事項</t>
        </is>
      </c>
      <c r="F5" s="3" t="inlineStr">
        <is>
          <t>残課題</t>
        </is>
      </c>
    </row>
    <row r="6" ht="66" customHeight="1">
      <c r="A6" s="22" t="inlineStr">
        <is>
          <t>2026-07-07</t>
        </is>
      </c>
      <c r="B6" s="30" t="inlineStr">
        <is>
          <t>打合せ</t>
        </is>
      </c>
      <c r="C6" s="4" t="inlineStr">
        <is>
          <t>北塩原村役場（対面）</t>
        </is>
      </c>
      <c r="D6" s="4" t="inlineStr">
        <is>
          <t>村：保健福祉課ほか3名／当社：3名</t>
        </is>
      </c>
      <c r="E6" s="4" t="inlineStr">
        <is>
          <t>アンケートを障がい者用・障がい児用の2種類に分離。村の封筒を使用し差出人・返送先を村役場に設定。村役場で一括受領し窓口回収。郵便料金は村が立替え後日精算。14pt・ルビ・白黒印刷。重複回答等は集計除外せず報告書欄外に件数を注記。8月上旬発送。</t>
        </is>
      </c>
      <c r="F6" s="4" t="inlineStr">
        <is>
          <t>郵送費の精算方法の書面化、印刷仕様の確定、ラベル提供時期</t>
        </is>
      </c>
    </row>
    <row r="7" ht="30" customHeight="1">
      <c r="A7" s="39" t="n"/>
      <c r="B7" s="41" t="inlineStr">
        <is>
          <t>打合せ</t>
        </is>
      </c>
      <c r="C7" s="38" t="n"/>
      <c r="D7" s="38" t="n"/>
      <c r="E7" s="38" t="n"/>
      <c r="F7" s="38" t="n"/>
    </row>
    <row r="8" ht="30" customHeight="1">
      <c r="A8" s="39" t="n"/>
      <c r="B8" s="41" t="inlineStr">
        <is>
          <t>協議会</t>
        </is>
      </c>
      <c r="C8" s="38" t="n"/>
      <c r="D8" s="38" t="n"/>
      <c r="E8" s="38" t="n"/>
      <c r="F8" s="38" t="n"/>
    </row>
    <row r="9" ht="30" customHeight="1">
      <c r="A9" s="39" t="n"/>
      <c r="B9" s="41" t="inlineStr">
        <is>
          <t>打合せ</t>
        </is>
      </c>
      <c r="C9" s="38" t="n"/>
      <c r="D9" s="38" t="n"/>
      <c r="E9" s="38" t="n"/>
      <c r="F9" s="38" t="n"/>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6"/>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60" customWidth="1" min="3" max="3"/>
    <col width="40" customWidth="1" min="4" max="4"/>
  </cols>
  <sheetData>
    <row r="1" ht="30" customHeight="1">
      <c r="A1" s="29" t="inlineStr">
        <is>
          <t>進捗管理の更新履歴</t>
        </is>
      </c>
    </row>
    <row r="2" ht="30" customHeight="1">
      <c r="A2" s="2" t="inlineStr">
        <is>
          <t>本ブックの更新と、主要な成果物の版を記録します。</t>
        </is>
      </c>
    </row>
    <row r="5" ht="30" customHeight="1">
      <c r="A5" s="3" t="inlineStr">
        <is>
          <t>日付</t>
        </is>
      </c>
      <c r="B5" s="3" t="inlineStr">
        <is>
          <t>区分</t>
        </is>
      </c>
      <c r="C5" s="3" t="inlineStr">
        <is>
          <t>内容</t>
        </is>
      </c>
      <c r="D5" s="3" t="inlineStr">
        <is>
          <t>成果物</t>
        </is>
      </c>
    </row>
    <row r="6" ht="34" customHeight="1">
      <c r="A6" s="22" t="inlineStr">
        <is>
          <t>2026-10-07</t>
        </is>
      </c>
      <c r="B6" s="30" t="inlineStr">
        <is>
          <t>アンケート</t>
        </is>
      </c>
      <c r="C6" s="4" t="inlineStr">
        <is>
          <t>前回報告書（概要＋分野別12区分の単純集計の2部のみ）と前回計画本編（報告書を頁単位で5か所引用、第3章は［現状と課題］＋［具体的な取組み］の2段構成）を確認の上、報告書の構成案を作成。ご提案の6区分のうちニーズと計画策定時の注意点の章立てに賛成し、要因分析は統計的分析が成り立たないため村の実績との突合に置き換えて「調査結果の背景」とすることを提案。現行6章に2章を足した8章19節を提示。経年比較を行わない方針を受け、行わない理由を留意事項に書く案を併記。人材確保を設問から外す判断は妥当とし、別表第二 六の項が計画の努力義務であること（計画素案 第5章13で対応済み）を整理</t>
        </is>
      </c>
      <c r="D6" s="4" t="inlineStr">
        <is>
          <t>北塩原村_アンケート報告書_構成案.xlsx</t>
        </is>
      </c>
    </row>
    <row r="7" ht="34" customHeight="1">
      <c r="A7" s="26" t="inlineStr">
        <is>
          <t>2026-10-05</t>
        </is>
      </c>
      <c r="B7" s="32" t="inlineStr">
        <is>
          <t>アンケート</t>
        </is>
      </c>
      <c r="C7" s="7" t="inlineStr">
        <is>
          <t>村から受領した分析報告書（6章・表26・図61）と図表データ集をレビュー。数値整合は良好で、本文の割合521件のうち520件が集計と一致し、クロス表10件の割合は不一致0。指摘19件（重大4・中9・小6）。最大の欠落は経年比較で前回調査との対比が0件、回収率の低下（57.9％→22.1％）にも言及なし。自由記述に個人特定の可能性。当方の計画素案の割合の分母が報告書・前回調査と不一致だったため11項目修正し、見込量MECEチェックに混入していた個票の「計」行を除去</t>
        </is>
      </c>
      <c r="D7" s="7" t="inlineStr">
        <is>
          <t>北塩原村_アンケート分析報告書_レビュー.xlsx／北塩原村_計画素案.docx／北塩原村_見込量算定_MECEチェック.xlsx</t>
        </is>
      </c>
    </row>
    <row r="8" ht="34" customHeight="1">
      <c r="A8" s="22" t="inlineStr">
        <is>
          <t>2026-10-05</t>
        </is>
      </c>
      <c r="B8" s="30" t="inlineStr">
        <is>
          <t>見込量</t>
        </is>
      </c>
      <c r="C8" s="4" t="inlineStr">
        <is>
          <t>国の基本指針・通達を確認の上、見込量算定のMECEチェック。別表第一 二〜六の31事項・地域生活支援事業13事業・算定方法6・付加要件8を点検し、指摘17件（重大4・中8・小5）。区分の網羅性は満たすが、告示が「ものとする」とした継続入所者の控除と保育所等の受入体制が算定に入っていないことを検出。マニュアル（参考）のアンケートによる増減判断を実施し増加要素19・減少要素9。条文番号・単位・廃止区分・系列の重複の6件を是正</t>
        </is>
      </c>
      <c r="D8" s="4" t="inlineStr">
        <is>
          <t>北塩原村_見込量算定_MECEチェック.xlsx／北塩原村_計画素案.docx／北塩原村_地域生活支援事業.xlsx</t>
        </is>
      </c>
    </row>
    <row r="9" ht="34" customHeight="1">
      <c r="A9" s="26" t="inlineStr">
        <is>
          <t>2026-10-04</t>
        </is>
      </c>
      <c r="B9" s="32" t="inlineStr">
        <is>
          <t>品質管理</t>
        </is>
      </c>
      <c r="C9" s="7" t="inlineStr">
        <is>
          <t>成果物の再現性を点検する仕組みを整備。生成器23本・成果物35点の対応を依存順に明記し、未追跡ファイル・ライブラリの欠落・絶対パスの直書き・外部資料の入手先を7項目で点検。全22本の再実行で34/34点の内容一致を確認。Pillow欠落時に管理表2点の画像シートが警告なく欠ける不具合を発見し手当て</t>
        </is>
      </c>
      <c r="D9" s="7" t="inlineStr">
        <is>
          <t>check_reproducibility.py／requirements.txt／北塩原村_成果物の再現性点検と再発防止.md</t>
        </is>
      </c>
    </row>
    <row r="10" ht="34" customHeight="1">
      <c r="A10" s="22" t="inlineStr">
        <is>
          <t>2026-10-04</t>
        </is>
      </c>
      <c r="B10" s="30" t="inlineStr">
        <is>
          <t>計画素案</t>
        </is>
      </c>
      <c r="C10" s="4" t="inlineStr">
        <is>
          <t>アンケート結果と見込量第1次概算を計画素案に反映。第5章3〜7の見込量表を第1次概算（27サービス）に差し替えて基準年度の請求件数の列を追加し、医療型児童発達支援の行を削除。第2章8をアンケート実施結果に書き換え、第3章5の目標値表に本調査の結果と前回との比較可能性の列を追加</t>
        </is>
      </c>
      <c r="D10" s="4" t="inlineStr">
        <is>
          <t>北塩原村_計画素案.docx</t>
        </is>
      </c>
    </row>
    <row r="11" ht="34" customHeight="1">
      <c r="A11" s="26" t="inlineStr">
        <is>
          <t>2026-10-04</t>
        </is>
      </c>
      <c r="B11" s="32" t="inlineStr">
        <is>
          <t>指標</t>
        </is>
      </c>
      <c r="C11" s="7" t="inlineStr">
        <is>
          <t>目標・KPIの前回比較可能性を全数洗い出し。第4次計画の施策目標8指標・成果目標8区分・見込量27区分・活動指標33項目・地域生活支援事業15事業・アンケート設問50問の対応を整理。前回計画本編の転記誤り1件（外出の目的28.1％→29.1％）を含む訂正5件を特定</t>
        </is>
      </c>
      <c r="D11" s="7" t="inlineStr">
        <is>
          <t>北塩原村_目標KPI_前回比較可能性.xlsx</t>
        </is>
      </c>
    </row>
    <row r="12" ht="34" customHeight="1">
      <c r="A12" s="22" t="inlineStr">
        <is>
          <t>2026-10-03</t>
        </is>
      </c>
      <c r="B12" s="30" t="inlineStr">
        <is>
          <t>アンケート</t>
        </is>
      </c>
      <c r="C12" s="4" t="inlineStr">
        <is>
          <t>アンケート結果報告書（作成中）を点検。個票から集計を再計算し、報告書本文の割合320件を突合して計算誤り0件を確認。分母の取り方・前回調査との比較可能性・障がい児調査の内部矛盾・未記入の11件を洗い出し、村の実績との突合で論点4件を追加</t>
        </is>
      </c>
      <c r="D12" s="4" t="inlineStr">
        <is>
          <t>北塩原村_アンケート結果報告書_点検結果.xlsx</t>
        </is>
      </c>
    </row>
    <row r="13" ht="34" customHeight="1">
      <c r="A13" s="26" t="inlineStr">
        <is>
          <t>2026-09-24</t>
        </is>
      </c>
      <c r="B13" s="32" t="inlineStr">
        <is>
          <t>見込量</t>
        </is>
      </c>
      <c r="C13" s="7" t="inlineStr">
        <is>
          <t>大雪地区広域連合・川崎町で確立した算定の手順を障がい福祉計画に移し、サービス見込量の第1次概算を算定。基準年度は令和7年度、採用はパターン3（基準年度据え置き＋成果目標による補正）。3か年給付費172,859,691円。据え置き10件・自己点検12件すべて合</t>
        </is>
      </c>
      <c r="D13" s="7" t="inlineStr">
        <is>
          <t>北塩原村_サービス見込量算定.xlsx</t>
        </is>
      </c>
    </row>
    <row r="14" ht="34" customHeight="1">
      <c r="A14" s="22" t="inlineStr">
        <is>
          <t>2026-09-24</t>
        </is>
      </c>
      <c r="B14" s="30" t="inlineStr">
        <is>
          <t>計画素案</t>
        </is>
      </c>
      <c r="C14" s="4" t="inlineStr">
        <is>
          <t>レビュー優先度 高の4件を反映。第5章13（人材確保・生産性向上・経営基盤／別表第二 六の項）と第5章14（関係機関との連携／別表第二 五）を新設し、第4章（２）に基盤整備量、第4章（４）に医療的ケア児等の協議の場を追加。第5章の節番号の参照ずれ3か所も修正</t>
        </is>
      </c>
      <c r="D14" s="4" t="inlineStr">
        <is>
          <t>北塩原村_計画素案.docx</t>
        </is>
      </c>
    </row>
    <row r="15" ht="34" customHeight="1">
      <c r="A15" s="26" t="inlineStr">
        <is>
          <t>2026-09-17</t>
        </is>
      </c>
      <c r="B15" s="32" t="inlineStr">
        <is>
          <t>制度確認</t>
        </is>
      </c>
      <c r="C15" s="7" t="inlineStr">
        <is>
          <t>村から基本指針の改正2件（社会福祉法等改正 令和8年7月10日、医療的ケア児支援法改正 令和8年8月19日）を受領し、骨子案・計画素案との網羅性を確認。別表第二 六の項の新設と医療的ケア者の新設により、不足14件・確認事項8件を洗い出し</t>
        </is>
      </c>
      <c r="D15" s="7" t="inlineStr">
        <is>
          <t>北塩原村_骨子案レビュー_基本指針網羅性.xlsx</t>
        </is>
      </c>
    </row>
    <row r="16" ht="34" customHeight="1">
      <c r="A16" s="22" t="inlineStr">
        <is>
          <t>2026-09-17</t>
        </is>
      </c>
      <c r="B16" s="30" t="inlineStr">
        <is>
          <t>概要版</t>
        </is>
      </c>
      <c r="C16" s="4" t="inlineStr">
        <is>
          <t>住民向けの概要版（A4・4頁）を別ファイルで作成。前回の概要版の構成を踏襲しつつ、改定対象外の障がい者計画は「継承する内容」として整理し、ＳＤＧｓの節を国の基本指針の見直しのポイントに差し替え</t>
        </is>
      </c>
      <c r="D16" s="4" t="inlineStr">
        <is>
          <t>北塩原村_計画素案_概要版.docx</t>
        </is>
      </c>
    </row>
    <row r="17" ht="34" customHeight="1">
      <c r="A17" s="26" t="inlineStr">
        <is>
          <t>2026-09-17</t>
        </is>
      </c>
      <c r="B17" s="32" t="inlineStr">
        <is>
          <t>計画素案</t>
        </is>
      </c>
      <c r="C17" s="7" t="inlineStr">
        <is>
          <t>表題を「骨子案」から「素案」に変更。作成年月を令和8年9月、奥付の編集所管課を保健福祉課福祉係に更新し、ファイル名も北塩原村_計画素案.docx に統一</t>
        </is>
      </c>
      <c r="D17" s="7" t="inlineStr">
        <is>
          <t>北塩原村_計画素案.docx</t>
        </is>
      </c>
    </row>
    <row r="18" ht="34" customHeight="1">
      <c r="A18" s="22" t="inlineStr">
        <is>
          <t>2026-08-03</t>
        </is>
      </c>
      <c r="B18" s="30" t="inlineStr">
        <is>
          <t>計画素案</t>
        </is>
      </c>
      <c r="C18" s="4" t="inlineStr">
        <is>
          <t>第3章を「第4次障がい者計画の推進状況（参考）」から「計画の基本理念・基本目標及び施策体系」へ再構成。第8期で加わる視点と施策体系の対応表を新設し、仕様書4-Ⅱ(5)①②を措置</t>
        </is>
      </c>
      <c r="D18" s="4" t="inlineStr">
        <is>
          <t>北塩原村_計画素案.docx</t>
        </is>
      </c>
    </row>
    <row r="19" ht="34" customHeight="1">
      <c r="A19" s="26" t="inlineStr">
        <is>
          <t>2026-08-03</t>
        </is>
      </c>
      <c r="B19" s="32" t="inlineStr">
        <is>
          <t>評価</t>
        </is>
      </c>
      <c r="C19" s="7" t="inlineStr">
        <is>
          <t>現行計画評価ブックを作成。令和3〜5年度の見込量と実績を突合し、計上漏れ2件・過大計上3件・施策指標1件の測定不能を検出</t>
        </is>
      </c>
      <c r="D19" s="7" t="inlineStr">
        <is>
          <t>北塩原村_現行計画評価.xlsx</t>
        </is>
      </c>
    </row>
    <row r="20" ht="34" customHeight="1">
      <c r="A20" s="22" t="inlineStr">
        <is>
          <t>2026-08-03</t>
        </is>
      </c>
      <c r="B20" s="30" t="inlineStr">
        <is>
          <t>資料受領</t>
        </is>
      </c>
      <c r="C20" s="4" t="inlineStr">
        <is>
          <t>現行計画本編・アンケート調査結果報告書・概要版を受領。年齢3区分別人口5年分、前回調査の内訳（発送164人・回収95人）、成果目標の設定根拠が確定。将来推計・給付費の記載がないことを一次確認</t>
        </is>
      </c>
      <c r="D20" s="4" t="inlineStr">
        <is>
          <t>現行計画本編（3379.pdf）／調査結果報告書（3380.pdf）／概要版（3388.pdf）</t>
        </is>
      </c>
    </row>
    <row r="21" ht="34" customHeight="1">
      <c r="A21" s="26" t="inlineStr">
        <is>
          <t>2026-08-03</t>
        </is>
      </c>
      <c r="B21" s="32" t="inlineStr">
        <is>
          <t>進捗管理</t>
        </is>
      </c>
      <c r="C21" s="7" t="inlineStr">
        <is>
          <t>業務進捗管理ブックを新規作成。仕様書条項別の進捗台帳、村資料受領状況、課題・リスクを一本化</t>
        </is>
      </c>
      <c r="D21" s="7" t="inlineStr">
        <is>
          <t>北塩原村_業務進捗管理.xlsx</t>
        </is>
      </c>
    </row>
    <row r="22" ht="34" customHeight="1">
      <c r="A22" s="22" t="inlineStr">
        <is>
          <t>2026-08-03</t>
        </is>
      </c>
      <c r="B22" s="30" t="inlineStr">
        <is>
          <t>推計方法</t>
        </is>
      </c>
      <c r="C22" s="4" t="inlineStr">
        <is>
          <t>サービス見込量を個別積上げ方式へ切替。計画素案に第5章1（見込量の推計方法）・第5章2（年齢到達に伴うサービスの移行）を新設</t>
        </is>
      </c>
      <c r="D22" s="4" t="inlineStr">
        <is>
          <t>北塩原村_サービス見込量.xlsx／北塩原村_計画素案.docx</t>
        </is>
      </c>
    </row>
    <row r="23" ht="34" customHeight="1">
      <c r="A23" s="26" t="inlineStr">
        <is>
          <t>2026-08-03</t>
        </is>
      </c>
      <c r="B23" s="32" t="inlineStr">
        <is>
          <t>調査</t>
        </is>
      </c>
      <c r="C23" s="7" t="inlineStr">
        <is>
          <t>年齢到達による給付の終了・移行を調査。骨子案に65歳・18歳の記述が0件、障がい者票に介護保険の設問がないことを確認</t>
        </is>
      </c>
      <c r="D23" s="7" t="inlineStr">
        <is>
          <t>北塩原村_年齢到達による給付移行_調査報告.md</t>
        </is>
      </c>
    </row>
    <row r="24" ht="34" customHeight="1">
      <c r="A24" s="22" t="inlineStr">
        <is>
          <t>2026-08-03</t>
        </is>
      </c>
      <c r="B24" s="30" t="inlineStr">
        <is>
          <t>検証</t>
        </is>
      </c>
      <c r="C24" s="4" t="inlineStr">
        <is>
          <t>推計方法のレッドチーム検証。時点表記の1年ずれ、方法Aの予測区間、方法Bの分母感度、過去稿の記載と計算の不一致を検出・修正</t>
        </is>
      </c>
      <c r="D24" s="4" t="inlineStr">
        <is>
          <t>北塩原村_推計方法_レッドチーム検証.md</t>
        </is>
      </c>
    </row>
    <row r="25" ht="34" customHeight="1">
      <c r="A25" s="26" t="inlineStr">
        <is>
          <t>2026-08-03</t>
        </is>
      </c>
      <c r="B25" s="32" t="inlineStr">
        <is>
          <t>計画素案</t>
        </is>
      </c>
      <c r="C25" s="7" t="inlineStr">
        <is>
          <t>骨子案を正本とし、手帳将来推計・最新人口・財源構成・こども家庭センターを移植</t>
        </is>
      </c>
      <c r="D25" s="7" t="inlineStr">
        <is>
          <t>北塩原村_計画素案.docx</t>
        </is>
      </c>
    </row>
    <row r="26" ht="34" customHeight="1">
      <c r="A26" s="22" t="inlineStr">
        <is>
          <t>2026-08-03</t>
        </is>
      </c>
      <c r="B26" s="30" t="inlineStr">
        <is>
          <t>レビュー</t>
        </is>
      </c>
      <c r="C26" s="4" t="inlineStr">
        <is>
          <t>骨子案★版と計画素案第9稿を比較し、正本を骨子案に決定</t>
        </is>
      </c>
      <c r="D26" s="4" t="inlineStr">
        <is>
          <t>北塩原村_骨子案_計画素案第9稿_比較レビュー.md</t>
        </is>
      </c>
    </row>
    <row r="27" ht="34" customHeight="1">
      <c r="A27" s="26" t="inlineStr">
        <is>
          <t>2026-08-03</t>
        </is>
      </c>
      <c r="B27" s="32" t="inlineStr">
        <is>
          <t>受注整理</t>
        </is>
      </c>
      <c r="C27" s="7" t="inlineStr">
        <is>
          <t>仕様書・議事録・成果物を突合し受注内容を整理</t>
        </is>
      </c>
      <c r="D27" s="7" t="inlineStr">
        <is>
          <t>北塩原村_第8期障がい福祉計画_受注内容整理.md</t>
        </is>
      </c>
    </row>
    <row r="28" ht="34" customHeight="1">
      <c r="A28" s="22" t="inlineStr">
        <is>
          <t>2026-07-28</t>
        </is>
      </c>
      <c r="B28" s="30" t="inlineStr">
        <is>
          <t>調査票</t>
        </is>
      </c>
      <c r="C28" s="4" t="inlineStr">
        <is>
          <t>0728版アンケート調査票のレビュー（障がい者52問・障がい児51問）</t>
        </is>
      </c>
      <c r="D28" s="4" t="inlineStr">
        <is>
          <t>0728北塩原村_障がい福祉／障がい児福祉アンケート調査票.docx</t>
        </is>
      </c>
    </row>
    <row r="29" ht="34" customHeight="1">
      <c r="A29" s="26" t="inlineStr">
        <is>
          <t>2026-07-24</t>
        </is>
      </c>
      <c r="B29" s="32" t="inlineStr">
        <is>
          <t>実績</t>
        </is>
      </c>
      <c r="C29" s="7" t="inlineStr">
        <is>
          <t>障がいサービス給付実績（令和2〜7年度）を整理</t>
        </is>
      </c>
      <c r="D29" s="7" t="inlineStr">
        <is>
          <t>北塩原村_障がいサービス給付実績_整理版.xlsx</t>
        </is>
      </c>
    </row>
    <row r="30" ht="34" customHeight="1">
      <c r="A30" s="22" t="inlineStr">
        <is>
          <t>2026-07-07</t>
        </is>
      </c>
      <c r="B30" s="30" t="inlineStr">
        <is>
          <t>打合せ</t>
        </is>
      </c>
      <c r="C30" s="4" t="inlineStr">
        <is>
          <t>北塩原村役場にて打合せ。アンケート実施設計を決定</t>
        </is>
      </c>
      <c r="D30" s="4" t="inlineStr">
        <is>
          <t>議事録</t>
        </is>
      </c>
    </row>
    <row r="31">
      <c r="A31" s="39" t="n"/>
      <c r="B31" s="41" t="n"/>
      <c r="C31" s="38" t="n"/>
      <c r="D31" s="38" t="n"/>
    </row>
    <row r="32">
      <c r="A32" s="39" t="n"/>
      <c r="B32" s="41" t="n"/>
      <c r="C32" s="38" t="n"/>
      <c r="D32" s="38" t="n"/>
    </row>
    <row r="33">
      <c r="A33" s="39" t="n"/>
      <c r="B33" s="41" t="n"/>
      <c r="C33" s="38" t="n"/>
      <c r="D33" s="38" t="n"/>
    </row>
    <row r="34">
      <c r="A34" s="39" t="n"/>
      <c r="B34" s="41" t="n"/>
      <c r="C34" s="38" t="n"/>
      <c r="D34" s="38" t="n"/>
    </row>
    <row r="35">
      <c r="A35" s="39" t="n"/>
      <c r="B35" s="41" t="n"/>
      <c r="C35" s="38" t="n"/>
      <c r="D35" s="38" t="n"/>
    </row>
    <row r="36">
      <c r="A36" s="39" t="n"/>
      <c r="B36" s="41" t="n"/>
      <c r="C36" s="38" t="n"/>
      <c r="D36" s="38" t="n"/>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2" customWidth="1" min="4" max="4"/>
    <col width="12" customWidth="1" min="5" max="5"/>
    <col width="56" customWidth="1" min="6" max="6"/>
  </cols>
  <sheetData>
    <row r="1" ht="30" customHeight="1">
      <c r="A1" s="29" t="inlineStr">
        <is>
          <t>計画書の分量配分計画（成果品①：A4判・両面約60頁）</t>
        </is>
      </c>
    </row>
    <row r="2" ht="30" customHeight="1">
      <c r="A2" s="2" t="inlineStr">
        <is>
          <t>村資料が揃ってから分量を考えると組版段階で削る作業が発生するため、章ごとの目標頁数を先に決める。計画素案の頁は目次整理後の推定値（A4・余白2cm・行送り18pt・本文10.5ptで1頁40行として積算。作業用の注記33件を含む）。現行計画は本文57頁（製本63頁は白紙・奥付を含む）。</t>
        </is>
      </c>
    </row>
    <row r="5" ht="30" customHeight="1">
      <c r="A5" s="3" t="inlineStr">
        <is>
          <t>章</t>
        </is>
      </c>
      <c r="B5" s="3" t="inlineStr">
        <is>
          <t>現行計画
（本文57頁）</t>
        </is>
      </c>
      <c r="C5" s="3" t="inlineStr">
        <is>
          <t>計画素案
（推定）</t>
        </is>
      </c>
      <c r="D5" s="3" t="inlineStr">
        <is>
          <t>目標頁</t>
        </is>
      </c>
      <c r="E5" s="3" t="inlineStr">
        <is>
          <t>増減</t>
        </is>
      </c>
      <c r="F5" s="3" t="inlineStr">
        <is>
          <t>根拠</t>
        </is>
      </c>
    </row>
    <row r="6" ht="30" customHeight="1">
      <c r="A6" s="4" t="inlineStr">
        <is>
          <t>第1章 計画の策定にあたって</t>
        </is>
      </c>
      <c r="B6" s="42" t="n">
        <v>9</v>
      </c>
      <c r="C6" s="42" t="n">
        <v>9</v>
      </c>
      <c r="D6" s="42" t="n">
        <v>9</v>
      </c>
      <c r="E6" s="43" t="n">
        <v>0</v>
      </c>
      <c r="F6" s="4" t="inlineStr">
        <is>
          <t>基本指針の改正16項目とPDCAの推進体制が中心。令和8年9月に障がい福祉サービスの体系（第1章7）を新設し、現行計画と同じ9頁に戻した</t>
        </is>
      </c>
    </row>
    <row r="7" ht="30" customHeight="1">
      <c r="A7" s="7" t="inlineStr">
        <is>
          <t>第2章 本村の障がい者の現状</t>
        </is>
      </c>
      <c r="B7" s="44" t="n">
        <v>5</v>
      </c>
      <c r="C7" s="44" t="n">
        <v>6</v>
      </c>
      <c r="D7" s="44" t="n">
        <v>7</v>
      </c>
      <c r="E7" s="45" t="n">
        <v>1</v>
      </c>
      <c r="F7" s="7" t="inlineStr">
        <is>
          <t>手帳所持者数の将来推計（仕様書4-Ⅱ(3)①）を新設。実績データの受領で図表が埋まる</t>
        </is>
      </c>
    </row>
    <row r="8" ht="30" customHeight="1">
      <c r="A8" s="4" t="inlineStr">
        <is>
          <t>第3章 基本理念・基本目標及び施策体系</t>
        </is>
      </c>
      <c r="B8" s="42" t="n">
        <v>13</v>
      </c>
      <c r="C8" s="42" t="n">
        <v>5</v>
      </c>
      <c r="D8" s="42" t="n">
        <v>5</v>
      </c>
      <c r="E8" s="43" t="n">
        <v>0</v>
      </c>
      <c r="F8" s="4" t="inlineStr">
        <is>
          <t>改定対象外の第4次障がい者計画の再掲。骨格と第8期で加わる視点との対応表に絞る。ＳＤＧｓ対応表は今回は追加しない方針</t>
        </is>
      </c>
    </row>
    <row r="9" ht="30" customHeight="1">
      <c r="A9" s="7" t="inlineStr">
        <is>
          <t>第4章 令和11年度に向けた成果目標</t>
        </is>
      </c>
      <c r="B9" s="44" t="n">
        <v>11</v>
      </c>
      <c r="C9" s="44" t="n">
        <v>9</v>
      </c>
      <c r="D9" s="44" t="n">
        <v>11</v>
      </c>
      <c r="E9" s="45" t="n">
        <v>2</v>
      </c>
      <c r="F9" s="7" t="inlineStr">
        <is>
          <t>7項目→8項目。目標値・考え方の記入で増える</t>
        </is>
      </c>
    </row>
    <row r="10" ht="30" customHeight="1">
      <c r="A10" s="4" t="inlineStr">
        <is>
          <t>第5章 サービス等の実績と今後の見込み量</t>
        </is>
      </c>
      <c r="B10" s="42" t="n">
        <v>16</v>
      </c>
      <c r="C10" s="42" t="n">
        <v>22</v>
      </c>
      <c r="D10" s="42" t="n">
        <v>20</v>
      </c>
      <c r="E10" s="43" t="n">
        <v>-2</v>
      </c>
      <c r="F10" s="4" t="inlineStr">
        <is>
          <t>推計方法・年齢到達移行・活動指標・財源構成を新設。本計画の実質的な付加価値。注記の削除で2頁程度減る見込み</t>
        </is>
      </c>
    </row>
    <row r="11" ht="30" customHeight="1">
      <c r="A11" s="7" t="inlineStr">
        <is>
          <t>第6章 成年後見制度の利用促進</t>
        </is>
      </c>
      <c r="B11" s="44" t="n">
        <v>2</v>
      </c>
      <c r="C11" s="44" t="n">
        <v>1</v>
      </c>
      <c r="D11" s="44" t="n">
        <v>2</v>
      </c>
      <c r="E11" s="45" t="n">
        <v>1</v>
      </c>
      <c r="F11" s="7" t="inlineStr">
        <is>
          <t>現行と同水準。中核機関の記述を補う</t>
        </is>
      </c>
    </row>
    <row r="12" ht="30" customHeight="1">
      <c r="A12" s="4" t="inlineStr">
        <is>
          <t>第7章 他計画との連携</t>
        </is>
      </c>
      <c r="B12" s="42" t="inlineStr">
        <is>
          <t>―</t>
        </is>
      </c>
      <c r="C12" s="42" t="n">
        <v>3</v>
      </c>
      <c r="D12" s="42" t="n">
        <v>3</v>
      </c>
      <c r="E12" s="43" t="n">
        <v>0</v>
      </c>
      <c r="F12" s="4" t="inlineStr">
        <is>
          <t>新設章。健康21・総合振興計画・こども子育て計画</t>
        </is>
      </c>
    </row>
    <row r="13" ht="30" customHeight="1">
      <c r="A13" s="7" t="inlineStr">
        <is>
          <t>第8章 資料編</t>
        </is>
      </c>
      <c r="B13" s="44" t="n">
        <v>1</v>
      </c>
      <c r="C13" s="44" t="n">
        <v>3</v>
      </c>
      <c r="D13" s="44" t="n">
        <v>3</v>
      </c>
      <c r="E13" s="45" t="n">
        <v>0</v>
      </c>
      <c r="F13" s="7" t="inlineStr">
        <is>
          <t>アンケート集計結果は成果品②（別冊約60頁）に収める。令和8年9月に用語解説（第8章4・30語）を新設</t>
        </is>
      </c>
    </row>
    <row r="14">
      <c r="A14" s="46" t="inlineStr">
        <is>
          <t>合計</t>
        </is>
      </c>
      <c r="B14" s="47">
        <f>SUM(B6:B13)</f>
        <v/>
      </c>
      <c r="C14" s="47">
        <f>ROUND(SUM(C6:C13),0)</f>
        <v/>
      </c>
      <c r="D14" s="47">
        <f>SUM(D6:D13)</f>
        <v/>
      </c>
      <c r="E14" s="48">
        <f>D14-C14</f>
        <v/>
      </c>
      <c r="F14" s="46" t="inlineStr">
        <is>
          <t>目標60頁。計画素案の推定58頁のうち注記33件を削ると実質53頁前後で、実績データの記入に7頁程度の余地がある</t>
        </is>
      </c>
    </row>
    <row r="16">
      <c r="A16" s="13" t="inlineStr">
        <is>
          <t>60頁に収まらない場合の削減順序（上から削る）</t>
        </is>
      </c>
    </row>
    <row r="17" ht="30" customHeight="1">
      <c r="A17" s="3" t="inlineStr">
        <is>
          <t>順</t>
        </is>
      </c>
      <c r="B17" s="3" t="inlineStr">
        <is>
          <t>削減対象</t>
        </is>
      </c>
      <c r="C17" s="3" t="inlineStr"/>
      <c r="D17" s="3" t="inlineStr"/>
      <c r="E17" s="3" t="inlineStr"/>
      <c r="F17" s="3" t="inlineStr">
        <is>
          <t>理由</t>
        </is>
      </c>
    </row>
    <row r="18" ht="24" customHeight="1">
      <c r="A18" s="30" t="inlineStr">
        <is>
          <t>1</t>
        </is>
      </c>
      <c r="B18" s="4" t="inlineStr">
        <is>
          <t>第3章の施策別の記述</t>
        </is>
      </c>
      <c r="C18" s="23" t="n"/>
      <c r="D18" s="23" t="n"/>
      <c r="E18" s="24" t="n"/>
      <c r="F18" s="4" t="inlineStr">
        <is>
          <t>改定対象外の再掲であり、詳細は第4次障がい者計画本体を参照すればよい</t>
        </is>
      </c>
    </row>
    <row r="19" ht="24" customHeight="1">
      <c r="A19" s="32" t="inlineStr">
        <is>
          <t>2</t>
        </is>
      </c>
      <c r="B19" s="7" t="inlineStr">
        <is>
          <t>第1章の基本指針改正16項目</t>
        </is>
      </c>
      <c r="C19" s="23" t="n"/>
      <c r="D19" s="23" t="n"/>
      <c r="E19" s="24" t="n"/>
      <c r="F19" s="7" t="inlineStr">
        <is>
          <t>16項目すべてを列挙せず、本村に関係する項目に絞る</t>
        </is>
      </c>
    </row>
    <row r="20" ht="24" customHeight="1">
      <c r="A20" s="30" t="inlineStr">
        <is>
          <t>3</t>
        </is>
      </c>
      <c r="B20" s="4" t="inlineStr">
        <is>
          <t>第8章の資料編</t>
        </is>
      </c>
      <c r="C20" s="23" t="n"/>
      <c r="D20" s="23" t="n"/>
      <c r="E20" s="24" t="n"/>
      <c r="F20" s="4" t="inlineStr">
        <is>
          <t>成果品②へ移す</t>
        </is>
      </c>
    </row>
    <row r="21" ht="24" customHeight="1">
      <c r="A21" s="32" t="inlineStr">
        <is>
          <t>4</t>
        </is>
      </c>
      <c r="B21" s="7" t="inlineStr">
        <is>
          <t>第5章の実績値の年次</t>
        </is>
      </c>
      <c r="C21" s="23" t="n"/>
      <c r="D21" s="23" t="n"/>
      <c r="E21" s="24" t="n"/>
      <c r="F21" s="7" t="inlineStr">
        <is>
          <t>令和2年度からの6年分を令和5年度からの4年分に短縮する</t>
        </is>
      </c>
    </row>
    <row r="23">
      <c r="A23" s="49" t="inlineStr">
        <is>
          <t>削ってはならないもの</t>
        </is>
      </c>
    </row>
    <row r="24" ht="30" customHeight="1">
      <c r="A24" s="3" t="inlineStr">
        <is>
          <t>項目</t>
        </is>
      </c>
      <c r="B24" s="3" t="inlineStr"/>
      <c r="C24" s="3" t="inlineStr"/>
      <c r="D24" s="3" t="inlineStr"/>
      <c r="E24" s="3" t="inlineStr"/>
      <c r="F24" s="3" t="inlineStr">
        <is>
          <t>理由</t>
        </is>
      </c>
    </row>
    <row r="25" ht="24" customHeight="1">
      <c r="A25" s="4" t="inlineStr">
        <is>
          <t>第4章の成果目標8項目</t>
        </is>
      </c>
      <c r="B25" s="23" t="n"/>
      <c r="C25" s="23" t="n"/>
      <c r="D25" s="23" t="n"/>
      <c r="E25" s="24" t="n"/>
      <c r="F25" s="4" t="inlineStr">
        <is>
          <t>基本指針が求める必須事項</t>
        </is>
      </c>
    </row>
    <row r="26" ht="24" customHeight="1">
      <c r="A26" s="7" t="inlineStr">
        <is>
          <t>第5章のサービス見込量</t>
        </is>
      </c>
      <c r="B26" s="23" t="n"/>
      <c r="C26" s="23" t="n"/>
      <c r="D26" s="23" t="n"/>
      <c r="E26" s="24" t="n"/>
      <c r="F26" s="7" t="inlineStr">
        <is>
          <t>別表第二 三の項の必須記載事項</t>
        </is>
      </c>
    </row>
    <row r="27" ht="24" customHeight="1">
      <c r="A27" s="4" t="inlineStr">
        <is>
          <t>第5章の活動指標のうち見込量に相当するもの</t>
        </is>
      </c>
      <c r="B27" s="23" t="n"/>
      <c r="C27" s="23" t="n"/>
      <c r="D27" s="23" t="n"/>
      <c r="E27" s="24" t="n"/>
      <c r="F27" s="4" t="inlineStr">
        <is>
          <t>同上（第三 四㈡により見込量以外は任意）</t>
        </is>
      </c>
    </row>
    <row r="28" ht="24" customHeight="1">
      <c r="A28" s="7" t="inlineStr">
        <is>
          <t>第5章1の推計方法</t>
        </is>
      </c>
      <c r="B28" s="23" t="n"/>
      <c r="C28" s="23" t="n"/>
      <c r="D28" s="23" t="n"/>
      <c r="E28" s="24" t="n"/>
      <c r="F28" s="7" t="inlineStr">
        <is>
          <t>別表第五の適用判定を含む算定根拠</t>
        </is>
      </c>
    </row>
    <row r="30" ht="34" customHeight="1">
      <c r="A30" s="2" t="inlineStr">
        <is>
          <t>※ 本頁換算は文字数からの概算であり、実際の頁数はスタイル（フォントサイズ・行間・余白）で変わる。第1章の原稿が固まった時点で実際の組版にかけ、1頁あたりの文字数を実測して本計画を補正する。</t>
        </is>
      </c>
    </row>
  </sheetData>
  <mergeCells count="13">
    <mergeCell ref="A2:F2"/>
    <mergeCell ref="A16:F16"/>
    <mergeCell ref="B18:E18"/>
    <mergeCell ref="A26:E26"/>
    <mergeCell ref="A1:F1"/>
    <mergeCell ref="A23:F23"/>
    <mergeCell ref="B21:E21"/>
    <mergeCell ref="A25:E25"/>
    <mergeCell ref="A28:E28"/>
    <mergeCell ref="B19:E19"/>
    <mergeCell ref="B20:E20"/>
    <mergeCell ref="A30:F30"/>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2026-10-22T04:36:30Z</dcterms:created>
  <dcterms:modified xmlns:dcterms="http://purl.org/dc/terms/" xmlns:xsi="http://www.w3.org/2001/XMLSchema-instance" xsi:type="dcterms:W3CDTF">2026-10-22T04:36:30Z</dcterms:modified>
</cp:coreProperties>
</file>