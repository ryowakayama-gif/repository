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仕様書別進捗" sheetId="2" state="visible" r:id="rId2"/>
    <sheet xmlns:r="http://schemas.openxmlformats.org/officeDocument/2006/relationships" name="02_成果品管理" sheetId="3" state="visible" r:id="rId3"/>
    <sheet xmlns:r="http://schemas.openxmlformats.org/officeDocument/2006/relationships" name="03_スケジュール" sheetId="4" state="visible" r:id="rId4"/>
    <sheet xmlns:r="http://schemas.openxmlformats.org/officeDocument/2006/relationships" name="04_村資料受領状況" sheetId="5" state="visible" r:id="rId5"/>
    <sheet xmlns:r="http://schemas.openxmlformats.org/officeDocument/2006/relationships" name="05_課題・リスク" sheetId="6" state="visible" r:id="rId6"/>
    <sheet xmlns:r="http://schemas.openxmlformats.org/officeDocument/2006/relationships" name="06_打合せ記録" sheetId="7" state="visible" r:id="rId7"/>
    <sheet xmlns:r="http://schemas.openxmlformats.org/officeDocument/2006/relationships" name="07_更新履歴" sheetId="8" state="visible" r:id="rId8"/>
  </sheets>
  <definedNames>
    <definedName name="_xlnm._FilterDatabase" localSheetId="1" hidden="1">'01_仕様書別進捗'!$A$5:$I$38</definedName>
    <definedName name="_xlnm._FilterDatabase" localSheetId="4" hidden="1">'04_村資料受領状況'!$A$5:$G$28</definedName>
    <definedName name="_xlnm._FilterDatabase" localSheetId="5" hidden="1">'05_課題・リスク'!$A$5:$G$19</definedName>
  </definedNames>
  <calcPr calcId="124519" fullCalcOnLoad="1"/>
</workbook>
</file>

<file path=xl/styles.xml><?xml version="1.0" encoding="utf-8"?>
<styleSheet xmlns="http://schemas.openxmlformats.org/spreadsheetml/2006/main">
  <numFmts count="1">
    <numFmt numFmtId="164" formatCode="yyyy/mm/dd"/>
  </numFmts>
  <fonts count="7">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sz val="11"/>
    </font>
    <font>
      <name val="游ゴシック"/>
      <b val="1"/>
      <color rgb="00FFFFFF"/>
      <sz val="11"/>
    </font>
  </fonts>
  <fills count="15">
    <fill>
      <patternFill/>
    </fill>
    <fill>
      <patternFill patternType="gray125"/>
    </fill>
    <fill>
      <patternFill patternType="solid">
        <fgColor rgb="001F3864"/>
      </patternFill>
    </fill>
    <fill>
      <patternFill patternType="solid">
        <fgColor rgb="002E75B6"/>
      </patternFill>
    </fill>
    <fill>
      <patternFill patternType="solid">
        <fgColor rgb="009E480E"/>
      </patternFill>
    </fill>
    <fill>
      <patternFill patternType="solid">
        <fgColor rgb="00F7FAFC"/>
      </patternFill>
    </fill>
    <fill>
      <patternFill patternType="solid">
        <fgColor rgb="0070AD47"/>
      </patternFill>
    </fill>
    <fill>
      <patternFill patternType="solid">
        <fgColor rgb="00808080"/>
      </patternFill>
    </fill>
    <fill>
      <patternFill patternType="solid">
        <fgColor rgb="00ED7D31"/>
      </patternFill>
    </fill>
    <fill>
      <patternFill patternType="solid">
        <fgColor rgb="007030A0"/>
      </patternFill>
    </fill>
    <fill>
      <patternFill patternType="solid">
        <fgColor rgb="00C00000"/>
      </patternFill>
    </fill>
    <fill>
      <patternFill patternType="solid">
        <fgColor rgb="00FF7F0E"/>
      </patternFill>
    </fill>
    <fill>
      <patternFill patternType="solid">
        <fgColor rgb="00DDEBF7"/>
      </patternFill>
    </fill>
    <fill>
      <patternFill patternType="solid">
        <fgColor rgb="002CA02C"/>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0">
    <xf numFmtId="0" fontId="0" fillId="0" borderId="0" pivotButton="0" quotePrefix="0" xfId="0"/>
    <xf numFmtId="0" fontId="1" fillId="11"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1" fontId="4" fillId="0" borderId="1" applyAlignment="1" pivotButton="0" quotePrefix="0" xfId="0">
      <alignment horizontal="right" vertical="center"/>
    </xf>
    <xf numFmtId="9" fontId="4" fillId="0" borderId="1" applyAlignment="1" pivotButton="0" quotePrefix="0" xfId="0">
      <alignment horizontal="right" vertical="center"/>
    </xf>
    <xf numFmtId="0" fontId="4" fillId="5" borderId="1" applyAlignment="1" pivotButton="0" quotePrefix="0" xfId="0">
      <alignment horizontal="left" vertical="center" wrapText="1" indent="1"/>
    </xf>
    <xf numFmtId="1" fontId="4" fillId="5" borderId="1" applyAlignment="1" pivotButton="0" quotePrefix="0" xfId="0">
      <alignment horizontal="right" vertical="center"/>
    </xf>
    <xf numFmtId="9" fontId="4" fillId="5" borderId="1" applyAlignment="1" pivotButton="0" quotePrefix="0" xfId="0">
      <alignment horizontal="right" vertical="center"/>
    </xf>
    <xf numFmtId="0" fontId="5" fillId="12" borderId="1" applyAlignment="1" pivotButton="0" quotePrefix="0" xfId="0">
      <alignment horizontal="left" vertical="center" wrapText="1" indent="1"/>
    </xf>
    <xf numFmtId="1" fontId="5" fillId="12" borderId="1" applyAlignment="1" pivotButton="0" quotePrefix="0" xfId="0">
      <alignment horizontal="right" vertical="center"/>
    </xf>
    <xf numFmtId="9" fontId="5" fillId="12" borderId="1" applyAlignment="1" pivotButton="0" quotePrefix="0" xfId="0">
      <alignment horizontal="right" vertical="center"/>
    </xf>
    <xf numFmtId="0" fontId="6" fillId="3" borderId="0" applyAlignment="1" pivotButton="0" quotePrefix="0" xfId="0">
      <alignment horizontal="left" vertical="center" indent="1"/>
    </xf>
    <xf numFmtId="0" fontId="3" fillId="13" borderId="1" applyAlignment="1" pivotButton="0" quotePrefix="0" xfId="0">
      <alignment horizontal="left" vertical="center" wrapText="1" indent="1"/>
    </xf>
    <xf numFmtId="0" fontId="3" fillId="7" borderId="1" applyAlignment="1" pivotButton="0" quotePrefix="0" xfId="0">
      <alignment horizontal="left" vertical="center" wrapText="1" indent="1"/>
    </xf>
    <xf numFmtId="0" fontId="3" fillId="6" borderId="1" applyAlignment="1" pivotButton="0" quotePrefix="0" xfId="0">
      <alignment horizontal="left" vertical="center" wrapText="1" indent="1"/>
    </xf>
    <xf numFmtId="0" fontId="3" fillId="10" borderId="1" applyAlignment="1" pivotButton="0" quotePrefix="0" xfId="0">
      <alignment horizontal="left" vertical="center" wrapText="1" indent="1"/>
    </xf>
    <xf numFmtId="0" fontId="3" fillId="8" borderId="1" applyAlignment="1" pivotButton="0" quotePrefix="0" xfId="0">
      <alignment horizontal="left" vertical="center" wrapText="1" indent="1"/>
    </xf>
    <xf numFmtId="0" fontId="3" fillId="9" borderId="1" applyAlignment="1" pivotButton="0" quotePrefix="0" xfId="0">
      <alignment horizontal="left" vertical="center" wrapText="1" indent="1"/>
    </xf>
    <xf numFmtId="0" fontId="3" fillId="3" borderId="1" applyAlignment="1" pivotButton="0" quotePrefix="0" xfId="0">
      <alignment horizontal="left" vertical="center" wrapText="1" indent="1"/>
    </xf>
    <xf numFmtId="0" fontId="3" fillId="4" borderId="1" applyAlignment="1" pivotButton="0" quotePrefix="0" xfId="0">
      <alignment horizontal="left" vertical="center" wrapText="1" indent="1"/>
    </xf>
    <xf numFmtId="164" fontId="4" fillId="0" borderId="1" applyAlignment="1" pivotButton="0" quotePrefix="0" xfId="0">
      <alignment horizontal="center" vertical="center"/>
    </xf>
    <xf numFmtId="0" fontId="0" fillId="0" borderId="4" pivotButton="0" quotePrefix="0" xfId="0"/>
    <xf numFmtId="0" fontId="0" fillId="0" borderId="5" pivotButton="0" quotePrefix="0" xfId="0"/>
    <xf numFmtId="0" fontId="3" fillId="9" borderId="1" applyAlignment="1" pivotButton="0" quotePrefix="0" xfId="0">
      <alignment horizontal="center" vertical="center"/>
    </xf>
    <xf numFmtId="164" fontId="4" fillId="5" borderId="1" applyAlignment="1" pivotButton="0" quotePrefix="0" xfId="0">
      <alignment horizontal="center" vertical="center"/>
    </xf>
    <xf numFmtId="0" fontId="3" fillId="10" borderId="1" applyAlignment="1" pivotButton="0" quotePrefix="0" xfId="0">
      <alignment horizontal="center" vertical="center"/>
    </xf>
    <xf numFmtId="0" fontId="3" fillId="7" borderId="1" applyAlignment="1" pivotButton="0" quotePrefix="0" xfId="0">
      <alignment horizontal="center" vertical="center"/>
    </xf>
    <xf numFmtId="0" fontId="1" fillId="2" borderId="0" applyAlignment="1" pivotButton="0" quotePrefix="0" xfId="0">
      <alignment horizontal="left" vertical="center" indent="1"/>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3" fillId="8" borderId="1" applyAlignment="1" pivotButton="0" quotePrefix="0" xfId="0">
      <alignment horizontal="center" vertical="center"/>
    </xf>
    <xf numFmtId="0" fontId="3" fillId="3" borderId="1" applyAlignment="1" pivotButton="0" quotePrefix="0" xfId="0">
      <alignment horizontal="center" vertical="center"/>
    </xf>
    <xf numFmtId="0" fontId="3" fillId="13" borderId="1" applyAlignment="1" pivotButton="0" quotePrefix="0" xfId="0">
      <alignment horizontal="center" vertical="center"/>
    </xf>
    <xf numFmtId="164" fontId="4" fillId="14" borderId="1" applyAlignment="1" pivotButton="0" quotePrefix="0" xfId="0">
      <alignment horizontal="center" vertical="center"/>
    </xf>
    <xf numFmtId="0" fontId="4" fillId="14" borderId="1" applyAlignment="1" pivotButton="0" quotePrefix="0" xfId="0">
      <alignment horizontal="center" vertical="center"/>
    </xf>
    <xf numFmtId="0" fontId="4" fillId="14" borderId="1" applyAlignment="1" pivotButton="0" quotePrefix="0" xfId="0">
      <alignment horizontal="left" vertical="center" wrapText="1"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46" customWidth="1" min="7" max="7"/>
  </cols>
  <sheetData>
    <row r="1" ht="32" customHeight="1">
      <c r="A1" s="1" t="inlineStr">
        <is>
          <t>北塩原村 障がい福祉計画策定業務　進捗ダッシュボード</t>
        </is>
      </c>
    </row>
    <row r="2" ht="28" customHeight="1">
      <c r="A2" s="2" t="inlineStr">
        <is>
          <t>委託第24号　第8期北塩原村障がい福祉計画・第4期北塩原村障がい児福祉計画策定業務委託／業務期間：契約締結の日から令和9年3月31日まで／数値は01_仕様書別進捗から自動集計します。</t>
        </is>
      </c>
    </row>
    <row r="4" ht="30" customHeight="1">
      <c r="A4" s="3" t="inlineStr">
        <is>
          <t>区分</t>
        </is>
      </c>
      <c r="B4" s="3" t="inlineStr">
        <is>
          <t>項目数</t>
        </is>
      </c>
      <c r="C4" s="3" t="inlineStr">
        <is>
          <t>平均進捗率</t>
        </is>
      </c>
      <c r="D4" s="3" t="inlineStr">
        <is>
          <t>完了・概ね完了</t>
        </is>
      </c>
      <c r="E4" s="3" t="inlineStr">
        <is>
          <t>作業中</t>
        </is>
      </c>
      <c r="F4" s="3" t="inlineStr">
        <is>
          <t>未着手等</t>
        </is>
      </c>
      <c r="G4" s="3" t="inlineStr">
        <is>
          <t>備考</t>
        </is>
      </c>
    </row>
    <row r="5" ht="26" customHeight="1">
      <c r="A5" s="4" t="inlineStr">
        <is>
          <t>Ⅰ ニーズ調査</t>
        </is>
      </c>
      <c r="B5" s="5">
        <f>COUNTIF('01_仕様書別進捗'!$A$6:$A$38,A5)</f>
        <v/>
      </c>
      <c r="C5" s="6">
        <f>IFERROR(AVERAGEIF('01_仕様書別進捗'!$A$6:$A$38,A5,'01_仕様書別進捗'!$F$6:$F$38),0)</f>
        <v/>
      </c>
      <c r="D5" s="5">
        <f>COUNTIFS('01_仕様書別進捗'!$A$6:$A$38,A5,'01_仕様書別進捗'!$E$6:$E$38,"完了")+COUNTIFS('01_仕様書別進捗'!$A$6:$A$38,A5,'01_仕様書別進捗'!$E$6:$E$38,"概ね完了")</f>
        <v/>
      </c>
      <c r="E5" s="5">
        <f>COUNTIFS('01_仕様書別進捗'!$A$6:$A$38,A5,'01_仕様書別進捗'!$E$6:$E$38,"作業中")+COUNTIFS('01_仕様書別進捗'!$A$6:$A$38,A5,'01_仕様書別進捗'!$E$6:$E$38,"継続実施")</f>
        <v/>
      </c>
      <c r="F5" s="5">
        <f>B5-D5-E5</f>
        <v/>
      </c>
      <c r="G5" s="4" t="inlineStr">
        <is>
          <t>調査票の設計はほぼ完了。印刷・発送・集計が未着手</t>
        </is>
      </c>
    </row>
    <row r="6" ht="26" customHeight="1">
      <c r="A6" s="7" t="inlineStr">
        <is>
          <t>Ⅱ 計画策定業務</t>
        </is>
      </c>
      <c r="B6" s="8">
        <f>COUNTIF('01_仕様書別進捗'!$A$6:$A$38,A6)</f>
        <v/>
      </c>
      <c r="C6" s="9">
        <f>IFERROR(AVERAGEIF('01_仕様書別進捗'!$A$6:$A$38,A6,'01_仕様書別進捗'!$F$6:$F$38),0)</f>
        <v/>
      </c>
      <c r="D6" s="8">
        <f>COUNTIFS('01_仕様書別進捗'!$A$6:$A$38,A6,'01_仕様書別進捗'!$E$6:$E$38,"完了")+COUNTIFS('01_仕様書別進捗'!$A$6:$A$38,A6,'01_仕様書別進捗'!$E$6:$E$38,"概ね完了")</f>
        <v/>
      </c>
      <c r="E6" s="8">
        <f>COUNTIFS('01_仕様書別進捗'!$A$6:$A$38,A6,'01_仕様書別進捗'!$E$6:$E$38,"作業中")+COUNTIFS('01_仕様書別進捗'!$A$6:$A$38,A6,'01_仕様書別進捗'!$E$6:$E$38,"継続実施")</f>
        <v/>
      </c>
      <c r="F6" s="8">
        <f>B6-D6-E6</f>
        <v/>
      </c>
      <c r="G6" s="7" t="inlineStr">
        <is>
          <t>様式・受け皿は整備済み。村の実績データ待ちの項目が多い</t>
        </is>
      </c>
    </row>
    <row r="7" ht="26" customHeight="1">
      <c r="A7" s="4" t="inlineStr">
        <is>
          <t>Ⅲ 打合せ等業務</t>
        </is>
      </c>
      <c r="B7" s="5">
        <f>COUNTIF('01_仕様書別進捗'!$A$6:$A$38,A7)</f>
        <v/>
      </c>
      <c r="C7" s="6">
        <f>IFERROR(AVERAGEIF('01_仕様書別進捗'!$A$6:$A$38,A7,'01_仕様書別進捗'!$F$6:$F$38),0)</f>
        <v/>
      </c>
      <c r="D7" s="5">
        <f>COUNTIFS('01_仕様書別進捗'!$A$6:$A$38,A7,'01_仕様書別進捗'!$E$6:$E$38,"完了")+COUNTIFS('01_仕様書別進捗'!$A$6:$A$38,A7,'01_仕様書別進捗'!$E$6:$E$38,"概ね完了")</f>
        <v/>
      </c>
      <c r="E7" s="5">
        <f>COUNTIFS('01_仕様書別進捗'!$A$6:$A$38,A7,'01_仕様書別進捗'!$E$6:$E$38,"作業中")+COUNTIFS('01_仕様書別進捗'!$A$6:$A$38,A7,'01_仕様書別進捗'!$E$6:$E$38,"継続実施")</f>
        <v/>
      </c>
      <c r="F7" s="5">
        <f>B7-D7-E7</f>
        <v/>
      </c>
      <c r="G7" s="4" t="inlineStr">
        <is>
          <t>7月7日実施済み。業務期間を通じて継続</t>
        </is>
      </c>
    </row>
    <row r="8" ht="26" customHeight="1">
      <c r="A8" s="7" t="inlineStr">
        <is>
          <t>成果品</t>
        </is>
      </c>
      <c r="B8" s="8">
        <f>COUNTIF('01_仕様書別進捗'!$A$6:$A$38,A8)</f>
        <v/>
      </c>
      <c r="C8" s="9">
        <f>IFERROR(AVERAGEIF('01_仕様書別進捗'!$A$6:$A$38,A8,'01_仕様書別進捗'!$F$6:$F$38),0)</f>
        <v/>
      </c>
      <c r="D8" s="8">
        <f>COUNTIFS('01_仕様書別進捗'!$A$6:$A$38,A8,'01_仕様書別進捗'!$E$6:$E$38,"完了")+COUNTIFS('01_仕様書別進捗'!$A$6:$A$38,A8,'01_仕様書別進捗'!$E$6:$E$38,"概ね完了")</f>
        <v/>
      </c>
      <c r="E8" s="8">
        <f>COUNTIFS('01_仕様書別進捗'!$A$6:$A$38,A8,'01_仕様書別進捗'!$E$6:$E$38,"作業中")+COUNTIFS('01_仕様書別進捗'!$A$6:$A$38,A8,'01_仕様書別進捗'!$E$6:$E$38,"継続実施")</f>
        <v/>
      </c>
      <c r="F8" s="8">
        <f>B8-D8-E8</f>
        <v/>
      </c>
      <c r="G8" s="7" t="inlineStr">
        <is>
          <t>計画書は骨子案修正版が原型。報告書は集計後</t>
        </is>
      </c>
    </row>
    <row r="9" ht="26" customHeight="1">
      <c r="A9" s="4" t="inlineStr">
        <is>
          <t>契約管理</t>
        </is>
      </c>
      <c r="B9" s="5">
        <f>COUNTIF('01_仕様書別進捗'!$A$6:$A$38,A9)</f>
        <v/>
      </c>
      <c r="C9" s="6">
        <f>IFERROR(AVERAGEIF('01_仕様書別進捗'!$A$6:$A$38,A9,'01_仕様書別進捗'!$F$6:$F$38),0)</f>
        <v/>
      </c>
      <c r="D9" s="5">
        <f>COUNTIFS('01_仕様書別進捗'!$A$6:$A$38,A9,'01_仕様書別進捗'!$E$6:$E$38,"完了")+COUNTIFS('01_仕様書別進捗'!$A$6:$A$38,A9,'01_仕様書別進捗'!$E$6:$E$38,"概ね完了")</f>
        <v/>
      </c>
      <c r="E9" s="5">
        <f>COUNTIFS('01_仕様書別進捗'!$A$6:$A$38,A9,'01_仕様書別進捗'!$E$6:$E$38,"作業中")+COUNTIFS('01_仕様書別進捗'!$A$6:$A$38,A9,'01_仕様書別進捗'!$E$6:$E$38,"継続実施")</f>
        <v/>
      </c>
      <c r="F9" s="5">
        <f>B9-D9-E9</f>
        <v/>
      </c>
      <c r="G9" s="4" t="inlineStr">
        <is>
          <t>仕様書との差異が未協議のまま残っている</t>
        </is>
      </c>
    </row>
    <row r="10">
      <c r="A10" s="10" t="inlineStr">
        <is>
          <t>全体</t>
        </is>
      </c>
      <c r="B10" s="11">
        <f>SUM(B5:B9)</f>
        <v/>
      </c>
      <c r="C10" s="12">
        <f>IFERROR(AVERAGE('01_仕様書別進捗'!$F$6:$F$38),0)</f>
        <v/>
      </c>
      <c r="D10" s="11">
        <f>SUM(D5:D9)</f>
        <v/>
      </c>
      <c r="E10" s="11">
        <f>SUM(E5:E9)</f>
        <v/>
      </c>
      <c r="F10" s="11">
        <f>SUM(F5:F9)</f>
        <v/>
      </c>
      <c r="G10" s="10" t="inlineStr">
        <is>
          <t>全体の平均進捗率（項目数による単純平均）</t>
        </is>
      </c>
    </row>
    <row r="12">
      <c r="A12" s="13" t="inlineStr">
        <is>
          <t>状態別の件数</t>
        </is>
      </c>
    </row>
    <row r="13" ht="30" customHeight="1">
      <c r="A13" s="3" t="inlineStr">
        <is>
          <t>状態</t>
        </is>
      </c>
      <c r="B13" s="3" t="inlineStr">
        <is>
          <t>件数</t>
        </is>
      </c>
      <c r="C13" s="3" t="inlineStr"/>
      <c r="D13" s="3" t="inlineStr">
        <is>
          <t>状態</t>
        </is>
      </c>
      <c r="E13" s="3" t="inlineStr">
        <is>
          <t>件数</t>
        </is>
      </c>
      <c r="F13" s="3" t="inlineStr"/>
      <c r="G13" s="3" t="inlineStr"/>
    </row>
    <row r="14">
      <c r="A14" s="14" t="inlineStr">
        <is>
          <t>完了</t>
        </is>
      </c>
      <c r="B14" s="5">
        <f>COUNTIF('01_仕様書別進捗'!$E$6:$E$38,A14)</f>
        <v/>
      </c>
      <c r="C14" s="4" t="inlineStr"/>
      <c r="D14" s="15" t="inlineStr">
        <is>
          <t>未着手</t>
        </is>
      </c>
      <c r="E14" s="5">
        <f>COUNTIF('01_仕様書別進捗'!$E$6:$E$38,D14)</f>
        <v/>
      </c>
      <c r="F14" s="4" t="inlineStr"/>
      <c r="G14" s="4" t="inlineStr"/>
    </row>
    <row r="15">
      <c r="A15" s="16" t="inlineStr">
        <is>
          <t>概ね完了</t>
        </is>
      </c>
      <c r="B15" s="8">
        <f>COUNTIF('01_仕様書別進捗'!$E$6:$E$38,A15)</f>
        <v/>
      </c>
      <c r="C15" s="7" t="inlineStr"/>
      <c r="D15" s="17" t="inlineStr">
        <is>
          <t>村資料待ち</t>
        </is>
      </c>
      <c r="E15" s="8">
        <f>COUNTIF('01_仕様書別進捗'!$E$6:$E$38,D15)</f>
        <v/>
      </c>
      <c r="F15" s="7" t="inlineStr"/>
      <c r="G15" s="7" t="inlineStr"/>
    </row>
    <row r="16">
      <c r="A16" s="18" t="inlineStr">
        <is>
          <t>作業中</t>
        </is>
      </c>
      <c r="B16" s="5">
        <f>COUNTIF('01_仕様書別進捗'!$E$6:$E$38,A16)</f>
        <v/>
      </c>
      <c r="C16" s="4" t="inlineStr"/>
      <c r="D16" s="19" t="inlineStr">
        <is>
          <t>要協議</t>
        </is>
      </c>
      <c r="E16" s="5">
        <f>COUNTIF('01_仕様書別進捗'!$E$6:$E$38,D16)</f>
        <v/>
      </c>
      <c r="F16" s="4" t="inlineStr"/>
      <c r="G16" s="4" t="inlineStr"/>
    </row>
    <row r="17">
      <c r="A17" s="20" t="inlineStr">
        <is>
          <t>継続実施</t>
        </is>
      </c>
      <c r="B17" s="8">
        <f>COUNTIF('01_仕様書別進捗'!$E$6:$E$38,A17)</f>
        <v/>
      </c>
      <c r="C17" s="7" t="inlineStr"/>
      <c r="D17" s="21" t="inlineStr">
        <is>
          <t>村側作業</t>
        </is>
      </c>
      <c r="E17" s="8">
        <f>COUNTIF('01_仕様書別進捗'!$E$6:$E$38,D17)</f>
        <v/>
      </c>
      <c r="F17" s="7" t="inlineStr"/>
      <c r="G17" s="7" t="inlineStr"/>
    </row>
    <row r="19">
      <c r="A19" s="13" t="inlineStr">
        <is>
          <t>クリティカルパスと直近の期限</t>
        </is>
      </c>
    </row>
    <row r="20" ht="30" customHeight="1">
      <c r="A20" s="3" t="inlineStr">
        <is>
          <t>期限</t>
        </is>
      </c>
      <c r="B20" s="3" t="inlineStr">
        <is>
          <t>内容</t>
        </is>
      </c>
      <c r="C20" s="3" t="inlineStr"/>
      <c r="D20" s="3" t="inlineStr"/>
      <c r="E20" s="3" t="inlineStr"/>
      <c r="F20" s="3" t="inlineStr">
        <is>
          <t>状態</t>
        </is>
      </c>
      <c r="G20" s="3" t="inlineStr">
        <is>
          <t>備考</t>
        </is>
      </c>
    </row>
    <row r="21" ht="26" customHeight="1">
      <c r="A21" s="22" t="inlineStr">
        <is>
          <t>2026-08-05</t>
        </is>
      </c>
      <c r="B21" s="4" t="inlineStr">
        <is>
          <t>印刷仕様の協議・確定（仕様書は約24ページ1種類／実際は2種類・34頁と37頁）</t>
        </is>
      </c>
      <c r="C21" s="23" t="n"/>
      <c r="D21" s="23" t="n"/>
      <c r="E21" s="24" t="n"/>
      <c r="F21" s="25" t="inlineStr">
        <is>
          <t>要協議</t>
        </is>
      </c>
      <c r="G21" s="4" t="inlineStr">
        <is>
          <t>これが決まらないと印刷に入れない</t>
        </is>
      </c>
    </row>
    <row r="22" ht="26" customHeight="1">
      <c r="A22" s="26" t="inlineStr">
        <is>
          <t>2026-08-05</t>
        </is>
      </c>
      <c r="B22" s="7" t="inlineStr">
        <is>
          <t>宛名ラベルシールの受領（仕様書Ⅰ(1)により村が抽出・提供）</t>
        </is>
      </c>
      <c r="C22" s="23" t="n"/>
      <c r="D22" s="23" t="n"/>
      <c r="E22" s="24" t="n"/>
      <c r="F22" s="27" t="inlineStr">
        <is>
          <t>村資料待ち</t>
        </is>
      </c>
      <c r="G22" s="7" t="inlineStr">
        <is>
          <t>発送作業の前提</t>
        </is>
      </c>
    </row>
    <row r="23" ht="26" customHeight="1">
      <c r="A23" s="22" t="inlineStr">
        <is>
          <t>2026-08-05</t>
        </is>
      </c>
      <c r="B23" s="4" t="inlineStr">
        <is>
          <t>対象者数の確定（約190人と156人の差）</t>
        </is>
      </c>
      <c r="C23" s="23" t="n"/>
      <c r="D23" s="23" t="n"/>
      <c r="E23" s="24" t="n"/>
      <c r="F23" s="27" t="inlineStr">
        <is>
          <t>村資料待ち</t>
        </is>
      </c>
      <c r="G23" s="4" t="inlineStr">
        <is>
          <t>回収率の分母・管理番号設計に直結</t>
        </is>
      </c>
    </row>
    <row r="24" ht="26" customHeight="1">
      <c r="A24" s="26" t="inlineStr">
        <is>
          <t>2026-08-05</t>
        </is>
      </c>
      <c r="B24" s="7" t="inlineStr">
        <is>
          <t>郵送費の精算方法の書面確認</t>
        </is>
      </c>
      <c r="C24" s="23" t="n"/>
      <c r="D24" s="23" t="n"/>
      <c r="E24" s="24" t="n"/>
      <c r="F24" s="25" t="inlineStr">
        <is>
          <t>要協議</t>
        </is>
      </c>
      <c r="G24" s="7" t="inlineStr">
        <is>
          <t>仕様書と運用が異なる</t>
        </is>
      </c>
    </row>
    <row r="25" ht="26" customHeight="1">
      <c r="A25" s="22" t="inlineStr">
        <is>
          <t>2026-08-10</t>
        </is>
      </c>
      <c r="B25" s="4" t="inlineStr">
        <is>
          <t>アンケート発送</t>
        </is>
      </c>
      <c r="C25" s="23" t="n"/>
      <c r="D25" s="23" t="n"/>
      <c r="E25" s="24" t="n"/>
      <c r="F25" s="28" t="inlineStr">
        <is>
          <t>未着手</t>
        </is>
      </c>
      <c r="G25" s="4" t="inlineStr">
        <is>
          <t>工程案は8月上旬。回収期間約1か月</t>
        </is>
      </c>
    </row>
    <row r="26" ht="26" customHeight="1">
      <c r="A26" s="26" t="inlineStr">
        <is>
          <t>2026-08-31</t>
        </is>
      </c>
      <c r="B26" s="7" t="inlineStr">
        <is>
          <t>年齢別・サービス別の匿名利用者一覧の受領</t>
        </is>
      </c>
      <c r="C26" s="23" t="n"/>
      <c r="D26" s="23" t="n"/>
      <c r="E26" s="24" t="n"/>
      <c r="F26" s="27" t="inlineStr">
        <is>
          <t>村資料待ち</t>
        </is>
      </c>
      <c r="G26" s="7" t="inlineStr">
        <is>
          <t>見込量の個別積上げの起点</t>
        </is>
      </c>
    </row>
    <row r="27" ht="26" customHeight="1">
      <c r="A27" s="22" t="inlineStr">
        <is>
          <t>2026-09-30</t>
        </is>
      </c>
      <c r="B27" s="4" t="inlineStr">
        <is>
          <t>令和6・7年度実績、令和8年度見込の受領</t>
        </is>
      </c>
      <c r="C27" s="23" t="n"/>
      <c r="D27" s="23" t="n"/>
      <c r="E27" s="24" t="n"/>
      <c r="F27" s="27" t="inlineStr">
        <is>
          <t>村資料待ち</t>
        </is>
      </c>
      <c r="G27" s="4" t="inlineStr">
        <is>
          <t>現行計画の評価と見込量の確定</t>
        </is>
      </c>
    </row>
    <row r="28" ht="26" customHeight="1">
      <c r="A28" s="26" t="inlineStr">
        <is>
          <t>2026-12-31</t>
        </is>
      </c>
      <c r="B28" s="7" t="inlineStr">
        <is>
          <t>自立支援協議会（年内1回）</t>
        </is>
      </c>
      <c r="C28" s="23" t="n"/>
      <c r="D28" s="23" t="n"/>
      <c r="E28" s="24" t="n"/>
      <c r="F28" s="28" t="inlineStr">
        <is>
          <t>未着手</t>
        </is>
      </c>
      <c r="G28" s="7" t="inlineStr">
        <is>
          <t>資料作成・出席・記録作成</t>
        </is>
      </c>
    </row>
    <row r="30" ht="40" customHeight="1">
      <c r="A30" s="2" t="inlineStr">
        <is>
          <t>本業務の進捗は、計画本文の作成が工程案より前倒しで進んでいる一方、アンケートの印刷・発送が仕様の協議待ちで止まっている状態です。8月上旬発送を維持するには、印刷仕様・ラベル・対象者数・郵送費の4点を8月5日までに決める必要があります。</t>
        </is>
      </c>
    </row>
  </sheetData>
  <mergeCells count="13">
    <mergeCell ref="B23:E23"/>
    <mergeCell ref="B26:E26"/>
    <mergeCell ref="B27:E27"/>
    <mergeCell ref="A1:G1"/>
    <mergeCell ref="B21:E21"/>
    <mergeCell ref="A12:G12"/>
    <mergeCell ref="B28:E28"/>
    <mergeCell ref="A30:G30"/>
    <mergeCell ref="A2:G2"/>
    <mergeCell ref="B25:E25"/>
    <mergeCell ref="B24:E24"/>
    <mergeCell ref="A19:G19"/>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0"/>
  <sheetViews>
    <sheetView showGridLines="0" workbookViewId="0">
      <pane ySplit="4" topLeftCell="A5" activePane="bottomLeft" state="frozen"/>
      <selection pane="bottomLeft" activeCell="A1" sqref="A1"/>
    </sheetView>
  </sheetViews>
  <sheetFormatPr baseColWidth="8" defaultRowHeight="15"/>
  <cols>
    <col width="16" customWidth="1" min="1" max="1"/>
    <col width="10" customWidth="1" min="2" max="2"/>
    <col width="46" customWidth="1" min="3" max="3"/>
    <col width="40" customWidth="1" min="4" max="4"/>
    <col width="13" customWidth="1" min="5" max="5"/>
    <col width="9" customWidth="1" min="6" max="6"/>
    <col width="15" customWidth="1" min="7" max="7"/>
    <col width="13" customWidth="1" min="8" max="8"/>
    <col width="46" customWidth="1" min="9" max="9"/>
  </cols>
  <sheetData>
    <row r="1" ht="30" customHeight="1">
      <c r="A1" s="29" t="inlineStr">
        <is>
          <t>業務委託仕様書 条項別 進捗管理</t>
        </is>
      </c>
    </row>
    <row r="2" ht="30" customHeight="1">
      <c r="A2" s="2" t="inlineStr">
        <is>
          <t>業務委託仕様書（8北保福第366号 別紙）4のⅠ〜Ⅲ、5の成果品、及び令和8年7月7日打合せで生じた契約管理事項を条項単位で管理します。進捗率は手入力で、00_ダッシュボードが区分別に自動集計します。</t>
        </is>
      </c>
    </row>
    <row r="5" ht="30" customHeight="1">
      <c r="A5" s="3" t="inlineStr">
        <is>
          <t>区分</t>
        </is>
      </c>
      <c r="B5" s="3" t="inlineStr">
        <is>
          <t>項番</t>
        </is>
      </c>
      <c r="C5" s="3" t="inlineStr">
        <is>
          <t>仕様書の要求</t>
        </is>
      </c>
      <c r="D5" s="3" t="inlineStr">
        <is>
          <t>現在の成果物・根拠</t>
        </is>
      </c>
      <c r="E5" s="3" t="inlineStr">
        <is>
          <t>状態</t>
        </is>
      </c>
      <c r="F5" s="3" t="inlineStr">
        <is>
          <t>進捗率</t>
        </is>
      </c>
      <c r="G5" s="3" t="inlineStr">
        <is>
          <t>主担当</t>
        </is>
      </c>
      <c r="H5" s="3" t="inlineStr">
        <is>
          <t>期限</t>
        </is>
      </c>
      <c r="I5" s="3" t="inlineStr">
        <is>
          <t>次の一手・ブロッカー</t>
        </is>
      </c>
    </row>
    <row r="6" ht="44" customHeight="1">
      <c r="A6" s="4" t="inlineStr">
        <is>
          <t>Ⅰ ニーズ調査</t>
        </is>
      </c>
      <c r="B6" s="30" t="inlineStr">
        <is>
          <t>Ⅰ(1)</t>
        </is>
      </c>
      <c r="C6" s="4" t="inlineStr">
        <is>
          <t>調査対象の抽出（身体約130人・精神約40人・療育約20人＝約190人）。抽出は委託者が行い、受託者にラベルシールとして提供する。</t>
        </is>
      </c>
      <c r="D6" s="4" t="inlineStr">
        <is>
          <t>―（村側作業）</t>
        </is>
      </c>
      <c r="E6" s="31" t="inlineStr">
        <is>
          <t>村側作業</t>
        </is>
      </c>
      <c r="F6" s="6" t="n">
        <v>0</v>
      </c>
      <c r="G6" s="30" t="inlineStr">
        <is>
          <t>北塩原村</t>
        </is>
      </c>
      <c r="H6" s="22" t="inlineStr">
        <is>
          <t>2026-08-05</t>
        </is>
      </c>
      <c r="I6" s="4" t="inlineStr">
        <is>
          <t>対象者数が確定していない。仕様書の約190人と現行計画の156人（令和5年）の差の理由を確認する。ラベルシールの提供時期を確定する</t>
        </is>
      </c>
    </row>
    <row r="7" ht="44" customHeight="1">
      <c r="A7" s="7" t="inlineStr">
        <is>
          <t>Ⅰ ニーズ調査</t>
        </is>
      </c>
      <c r="B7" s="32" t="inlineStr">
        <is>
          <t>Ⅰ(2)a</t>
        </is>
      </c>
      <c r="C7" s="7" t="inlineStr">
        <is>
          <t>調査票の設計（厚労省の調査項目及び過去調査を踏まえ、委託者との協議の上決定）</t>
        </is>
      </c>
      <c r="D7" s="7" t="inlineStr">
        <is>
          <t>0728北塩原村_障がい福祉アンケート調査票（52問）／同 障がい児福祉（51問）／0728アンケート調査票レビュー結果</t>
        </is>
      </c>
      <c r="E7" s="33" t="inlineStr">
        <is>
          <t>概ね完了</t>
        </is>
      </c>
      <c r="F7" s="9" t="n">
        <v>0.9</v>
      </c>
      <c r="G7" s="32" t="inlineStr">
        <is>
          <t>当社</t>
        </is>
      </c>
      <c r="H7" s="26" t="inlineStr">
        <is>
          <t>2026-08-05</t>
        </is>
      </c>
      <c r="I7" s="7" t="inlineStr">
        <is>
          <t>障がい児版のルビ構造による本文欠落リスク（問1〜15）をWord上で目視確認する</t>
        </is>
      </c>
    </row>
    <row r="8" ht="44" customHeight="1">
      <c r="A8" s="4" t="inlineStr">
        <is>
          <t>Ⅰ ニーズ調査</t>
        </is>
      </c>
      <c r="B8" s="30" t="inlineStr">
        <is>
          <t>Ⅰ(2)b</t>
        </is>
      </c>
      <c r="C8" s="4" t="inlineStr">
        <is>
          <t>文字の大きさ・フォント・表現の工夫、ルビ等の障がい特性に応じた配慮</t>
        </is>
      </c>
      <c r="D8" s="4" t="inlineStr">
        <is>
          <t>14pt程度・ルビ付与・白黒印刷・専門用語への短い解説（7/7打合せで決定）</t>
        </is>
      </c>
      <c r="E8" s="33" t="inlineStr">
        <is>
          <t>概ね完了</t>
        </is>
      </c>
      <c r="F8" s="6" t="n">
        <v>0.9</v>
      </c>
      <c r="G8" s="30" t="inlineStr">
        <is>
          <t>当社</t>
        </is>
      </c>
      <c r="H8" s="22" t="inlineStr">
        <is>
          <t>2026-08-05</t>
        </is>
      </c>
      <c r="I8" s="4" t="inlineStr">
        <is>
          <t>最終レイアウトでの表示確認</t>
        </is>
      </c>
    </row>
    <row r="9" ht="44" customHeight="1">
      <c r="A9" s="7" t="inlineStr">
        <is>
          <t>Ⅰ ニーズ調査</t>
        </is>
      </c>
      <c r="B9" s="32" t="inlineStr">
        <is>
          <t>Ⅰ(2)c</t>
        </is>
      </c>
      <c r="C9" s="7" t="inlineStr">
        <is>
          <t>ウェブ回答用フォームの作成</t>
        </is>
      </c>
      <c r="D9" s="7" t="inlineStr">
        <is>
          <t>Googleフォーム自動作成 Code（1本統合分岐版・修正版）／設問精査レポート／修正対応メモ</t>
        </is>
      </c>
      <c r="E9" s="33" t="inlineStr">
        <is>
          <t>概ね完了</t>
        </is>
      </c>
      <c r="F9" s="9" t="n">
        <v>0.85</v>
      </c>
      <c r="G9" s="32" t="inlineStr">
        <is>
          <t>当社</t>
        </is>
      </c>
      <c r="H9" s="26" t="inlineStr">
        <is>
          <t>2026-08-05</t>
        </is>
      </c>
      <c r="I9" s="7" t="inlineStr">
        <is>
          <t>枝番設問（障がい者版 問29-1〜3、障がい児版 問32〜34）の選択肢順序を固定する</t>
        </is>
      </c>
    </row>
    <row r="10" ht="44" customHeight="1">
      <c r="A10" s="4" t="inlineStr">
        <is>
          <t>Ⅰ ニーズ調査</t>
        </is>
      </c>
      <c r="B10" s="30" t="inlineStr">
        <is>
          <t>Ⅰ(2)d</t>
        </is>
      </c>
      <c r="C10" s="4" t="inlineStr">
        <is>
          <t>該当ページの二次元コードを調査票又は依頼状に印字</t>
        </is>
      </c>
      <c r="D10" s="4" t="inlineStr">
        <is>
          <t>―</t>
        </is>
      </c>
      <c r="E10" s="28" t="inlineStr">
        <is>
          <t>未着手</t>
        </is>
      </c>
      <c r="F10" s="6" t="n">
        <v>0</v>
      </c>
      <c r="G10" s="30" t="inlineStr">
        <is>
          <t>当社</t>
        </is>
      </c>
      <c r="H10" s="22" t="inlineStr">
        <is>
          <t>2026-08-05</t>
        </is>
      </c>
      <c r="I10" s="4" t="inlineStr">
        <is>
          <t>フォームURL確定後にQRを生成し、依頼状に配置する</t>
        </is>
      </c>
    </row>
    <row r="11" ht="44" customHeight="1">
      <c r="A11" s="7" t="inlineStr">
        <is>
          <t>Ⅰ ニーズ調査</t>
        </is>
      </c>
      <c r="B11" s="32" t="inlineStr">
        <is>
          <t>Ⅰ(2)e</t>
        </is>
      </c>
      <c r="C11" s="7" t="inlineStr">
        <is>
          <t>紙とウェブの重複回答が集計されないよう管理番号等で管理</t>
        </is>
      </c>
      <c r="D11" s="7" t="inlineStr">
        <is>
          <t>管理番号設計（04_紙Web設計確認）</t>
        </is>
      </c>
      <c r="E11" s="34" t="inlineStr">
        <is>
          <t>作業中</t>
        </is>
      </c>
      <c r="F11" s="9" t="n">
        <v>0.6</v>
      </c>
      <c r="G11" s="32" t="inlineStr">
        <is>
          <t>当社</t>
        </is>
      </c>
      <c r="H11" s="26" t="inlineStr">
        <is>
          <t>2026-08-05</t>
        </is>
      </c>
      <c r="I11" s="7" t="inlineStr">
        <is>
          <t>管理番号の付番はラベルシールの提供を受けてから確定する</t>
        </is>
      </c>
    </row>
    <row r="12" ht="44" customHeight="1">
      <c r="A12" s="4" t="inlineStr">
        <is>
          <t>Ⅰ ニーズ調査</t>
        </is>
      </c>
      <c r="B12" s="30" t="inlineStr">
        <is>
          <t>Ⅰ(3)</t>
        </is>
      </c>
      <c r="C12" s="4" t="inlineStr">
        <is>
          <t>調査票及び封筒（配布用・回収用）の印刷。調査票はA4判・約24ページ・黒1色。</t>
        </is>
      </c>
      <c r="D12" s="4" t="inlineStr">
        <is>
          <t>―</t>
        </is>
      </c>
      <c r="E12" s="25" t="inlineStr">
        <is>
          <t>要協議</t>
        </is>
      </c>
      <c r="F12" s="6" t="n">
        <v>0</v>
      </c>
      <c r="G12" s="30" t="inlineStr">
        <is>
          <t>当社／北塩原村</t>
        </is>
      </c>
      <c r="H12" s="22" t="inlineStr">
        <is>
          <t>2026-08-05</t>
        </is>
      </c>
      <c r="I12" s="4" t="inlineStr">
        <is>
          <t>仕様は約24ページ1種類だが、実際は障がい者版34ページ・障がい児版37ページの2種類。ページ数・種類数・部数・単価の取扱いを村と協議する。封筒は村の封筒を使用</t>
        </is>
      </c>
    </row>
    <row r="13" ht="44" customHeight="1">
      <c r="A13" s="7" t="inlineStr">
        <is>
          <t>Ⅰ ニーズ調査</t>
        </is>
      </c>
      <c r="B13" s="32" t="inlineStr">
        <is>
          <t>Ⅰ(4)</t>
        </is>
      </c>
      <c r="C13" s="7" t="inlineStr">
        <is>
          <t>宛名ラベルの貼付、封入・封緘、発送。回収票の開封確認。発送及び回収に係る費用は受託者の負担。</t>
        </is>
      </c>
      <c r="D13" s="7" t="inlineStr">
        <is>
          <t>―</t>
        </is>
      </c>
      <c r="E13" s="28" t="inlineStr">
        <is>
          <t>未着手</t>
        </is>
      </c>
      <c r="F13" s="9" t="n">
        <v>0</v>
      </c>
      <c r="G13" s="32" t="inlineStr">
        <is>
          <t>当社／北塩原村</t>
        </is>
      </c>
      <c r="H13" s="26" t="inlineStr">
        <is>
          <t>2026-08-10</t>
        </is>
      </c>
      <c r="I13" s="7" t="inlineStr">
        <is>
          <t>7/7打合せにより、村の封筒を使用し差出人・返送先を村役場とする運用に変更。村役場での一括受領・窓口回収。郵便料金は村が立替え後日実費精算（書面確認が必要）</t>
        </is>
      </c>
    </row>
    <row r="14" ht="44" customHeight="1">
      <c r="A14" s="4" t="inlineStr">
        <is>
          <t>Ⅰ ニーズ調査</t>
        </is>
      </c>
      <c r="B14" s="30" t="inlineStr">
        <is>
          <t>Ⅰ(5)</t>
        </is>
      </c>
      <c r="C14" s="4" t="inlineStr">
        <is>
          <t>厚生労働省が提示する集計ファイル様式を基本としたデータ入力</t>
        </is>
      </c>
      <c r="D14" s="4" t="inlineStr">
        <is>
          <t>―</t>
        </is>
      </c>
      <c r="E14" s="28" t="inlineStr">
        <is>
          <t>未着手</t>
        </is>
      </c>
      <c r="F14" s="6" t="n">
        <v>0</v>
      </c>
      <c r="G14" s="30" t="inlineStr">
        <is>
          <t>当社</t>
        </is>
      </c>
      <c r="H14" s="22" t="inlineStr">
        <is>
          <t>2026-09-10</t>
        </is>
      </c>
      <c r="I14" s="4" t="inlineStr">
        <is>
          <t>集計様式の入手。回収開始までに入力体制を確定する</t>
        </is>
      </c>
    </row>
    <row r="15" ht="44" customHeight="1">
      <c r="A15" s="7" t="inlineStr">
        <is>
          <t>Ⅰ ニーズ調査</t>
        </is>
      </c>
      <c r="B15" s="32" t="inlineStr">
        <is>
          <t>Ⅰ(6)</t>
        </is>
      </c>
      <c r="C15" s="7" t="inlineStr">
        <is>
          <t>基本集計及び年齢・障がい種別等によるクロス集計。自由回答の取りまとめ。設問間クロス集計等は委託者と協議の上決定。</t>
        </is>
      </c>
      <c r="D15" s="7" t="inlineStr">
        <is>
          <t>北塩原村_アンケート集計分析方法_少数母数対応_計画接続メモ</t>
        </is>
      </c>
      <c r="E15" s="34" t="inlineStr">
        <is>
          <t>作業中</t>
        </is>
      </c>
      <c r="F15" s="9" t="n">
        <v>0.3</v>
      </c>
      <c r="G15" s="32" t="inlineStr">
        <is>
          <t>当社</t>
        </is>
      </c>
      <c r="H15" s="26" t="inlineStr">
        <is>
          <t>2026-10-31</t>
        </is>
      </c>
      <c r="I15" s="7" t="inlineStr">
        <is>
          <t>少数母数の公表基準（n&lt;5の秘匿、地区別・障がい種別クロスの扱い）を村と合意する</t>
        </is>
      </c>
    </row>
    <row r="16" ht="44" customHeight="1">
      <c r="A16" s="4" t="inlineStr">
        <is>
          <t>Ⅰ ニーズ調査</t>
        </is>
      </c>
      <c r="B16" s="30" t="inlineStr">
        <is>
          <t>Ⅰ(7)</t>
        </is>
      </c>
      <c r="C16" s="4" t="inlineStr">
        <is>
          <t>設問ごとのグラフ作成と分析結果の報告書としての取りまとめ</t>
        </is>
      </c>
      <c r="D16" s="4" t="inlineStr">
        <is>
          <t>―</t>
        </is>
      </c>
      <c r="E16" s="28" t="inlineStr">
        <is>
          <t>未着手</t>
        </is>
      </c>
      <c r="F16" s="6" t="n">
        <v>0</v>
      </c>
      <c r="G16" s="30" t="inlineStr">
        <is>
          <t>当社</t>
        </is>
      </c>
      <c r="H16" s="22" t="inlineStr">
        <is>
          <t>2026-11-30</t>
        </is>
      </c>
      <c r="I16" s="4" t="inlineStr">
        <is>
          <t>集計完了後に着手</t>
        </is>
      </c>
    </row>
    <row r="17" ht="44" customHeight="1">
      <c r="A17" s="7" t="inlineStr">
        <is>
          <t>Ⅱ 計画策定業務</t>
        </is>
      </c>
      <c r="B17" s="32" t="inlineStr">
        <is>
          <t>Ⅱ(1)</t>
        </is>
      </c>
      <c r="C17" s="7" t="inlineStr">
        <is>
          <t>法制度の改正動向、国の基本指針、福島県障がい福祉計画等の収集・整理</t>
        </is>
      </c>
      <c r="D17" s="7" t="inlineStr">
        <is>
          <t>骨子案 第1章4（基本指針改正16項目、法定雇用率2.7%）／年齢到達による給付移行 調査報告／現行計画本編 第4章1（第7期の基本指針見直し）／国基準数値 原典照合結果／告示本文・新旧対照表・改正後概要（source/基本指針）／令和8年度報酬改定資料（source/報酬改定）</t>
        </is>
      </c>
      <c r="E17" s="33" t="inlineStr">
        <is>
          <t>概ね完了</t>
        </is>
      </c>
      <c r="F17" s="9" t="n">
        <v>0.95</v>
      </c>
      <c r="G17" s="32" t="inlineStr">
        <is>
          <t>当社</t>
        </is>
      </c>
      <c r="H17" s="26" t="inlineStr">
        <is>
          <t>2026-09-30</t>
        </is>
      </c>
      <c r="I17" s="7" t="inlineStr">
        <is>
          <t>国基準数値11件を告示第4号の本文・別表と照合済み（誤り1件・補足4件・欠落6件を骨子案修正版へ反映）。残るは福島県 第8期計画の公表待ち（別表第四による長期入院患者の基盤整備量、心のサポーター目標）</t>
        </is>
      </c>
    </row>
    <row r="18" ht="44" customHeight="1">
      <c r="A18" s="4" t="inlineStr">
        <is>
          <t>Ⅱ 計画策定業務</t>
        </is>
      </c>
      <c r="B18" s="30" t="inlineStr">
        <is>
          <t>Ⅱ(2)</t>
        </is>
      </c>
      <c r="C18" s="4" t="inlineStr">
        <is>
          <t>現行計画（令和6〜8年度）のサービス利用実績、成果目標・活動指標の達成状況の評価・検証</t>
        </is>
      </c>
      <c r="D18" s="4" t="inlineStr">
        <is>
          <t>北塩原村_現行計画評価.xlsx（7シート）／前回計画評価_アンケート精査管理表／現行計画本編</t>
        </is>
      </c>
      <c r="E18" s="34" t="inlineStr">
        <is>
          <t>作業中</t>
        </is>
      </c>
      <c r="F18" s="6" t="n">
        <v>0.7</v>
      </c>
      <c r="G18" s="30" t="inlineStr">
        <is>
          <t>当社</t>
        </is>
      </c>
      <c r="H18" s="22" t="inlineStr">
        <is>
          <t>2026-10-31</t>
        </is>
      </c>
      <c r="I18" s="4" t="inlineStr">
        <is>
          <t>令和3〜5年度の見込量と実績の突合（サービス25区分・地域生活支援事業13事業）を完了。令和6・7年度実績と令和8年度見込を受領するまで第7期の達成判定は確定できない</t>
        </is>
      </c>
    </row>
    <row r="19" ht="44" customHeight="1">
      <c r="A19" s="7" t="inlineStr">
        <is>
          <t>Ⅱ 計画策定業務</t>
        </is>
      </c>
      <c r="B19" s="32" t="inlineStr">
        <is>
          <t>Ⅱ(3)①</t>
        </is>
      </c>
      <c r="C19" s="7" t="inlineStr">
        <is>
          <t>障がい者手帳所持者数（身体・療育・精神）の将来推計</t>
        </is>
      </c>
      <c r="D19" s="7" t="inlineStr">
        <is>
          <t>北塩原村_将来推計.xlsx（03_手帳将来推計・04_推計の不確実性・05_年齢階級別推計）／骨子案修正版 第2章6</t>
        </is>
      </c>
      <c r="E19" s="27" t="inlineStr">
        <is>
          <t>村資料待ち</t>
        </is>
      </c>
      <c r="F19" s="9" t="n">
        <v>0.65</v>
      </c>
      <c r="G19" s="32" t="inlineStr">
        <is>
          <t>当社</t>
        </is>
      </c>
      <c r="H19" s="26" t="inlineStr">
        <is>
          <t>2026-10-31</t>
        </is>
      </c>
      <c r="I19" s="7" t="inlineStr">
        <is>
          <t>現行計画本編の受領により年齢3区分別人口5年分が判明し、所持率の推移を算定できた。令和6〜8年度実績と年齢階級別内訳を受領し、方法C（年齢階級別所持率法）へ切り替える</t>
        </is>
      </c>
    </row>
    <row r="20" ht="44" customHeight="1">
      <c r="A20" s="4" t="inlineStr">
        <is>
          <t>Ⅱ 計画策定業務</t>
        </is>
      </c>
      <c r="B20" s="30" t="inlineStr">
        <is>
          <t>Ⅱ(3)②</t>
        </is>
      </c>
      <c r="C20" s="4" t="inlineStr">
        <is>
          <t>障がい福祉サービス（介護給付・訓練等給付）の見込量の推計</t>
        </is>
      </c>
      <c r="D20" s="4" t="inlineStr">
        <is>
          <t>北塩原村_サービス見込量.xlsx（03_積上げ_障害福祉サービス）／骨子案修正版 第5章1</t>
        </is>
      </c>
      <c r="E20" s="27" t="inlineStr">
        <is>
          <t>村資料待ち</t>
        </is>
      </c>
      <c r="F20" s="6" t="n">
        <v>0.35</v>
      </c>
      <c r="G20" s="30" t="inlineStr">
        <is>
          <t>当社</t>
        </is>
      </c>
      <c r="H20" s="22" t="inlineStr">
        <is>
          <t>2026-10-31</t>
        </is>
      </c>
      <c r="I20" s="4" t="inlineStr">
        <is>
          <t>年齢別・サービス別の匿名利用者一覧と支給決定者数（実人数）を受領する</t>
        </is>
      </c>
    </row>
    <row r="21" ht="44" customHeight="1">
      <c r="A21" s="7" t="inlineStr">
        <is>
          <t>Ⅱ 計画策定業務</t>
        </is>
      </c>
      <c r="B21" s="32" t="inlineStr">
        <is>
          <t>Ⅱ(3)③</t>
        </is>
      </c>
      <c r="C21" s="7" t="inlineStr">
        <is>
          <t>障がい児通所支援等の見込量の推計</t>
        </is>
      </c>
      <c r="D21" s="7" t="inlineStr">
        <is>
          <t>北塩原村_サービス見込量.xlsx（04_積上げ_障害児通所支援）</t>
        </is>
      </c>
      <c r="E21" s="27" t="inlineStr">
        <is>
          <t>村資料待ち</t>
        </is>
      </c>
      <c r="F21" s="9" t="n">
        <v>0.35</v>
      </c>
      <c r="G21" s="32" t="inlineStr">
        <is>
          <t>当社</t>
        </is>
      </c>
      <c r="H21" s="26" t="inlineStr">
        <is>
          <t>2026-10-31</t>
        </is>
      </c>
      <c r="I21" s="7" t="inlineStr">
        <is>
          <t>利用児童の学年と就学予定年度、令和6・7年度の給付費変動理由を確認する</t>
        </is>
      </c>
    </row>
    <row r="22" ht="44" customHeight="1">
      <c r="A22" s="4" t="inlineStr">
        <is>
          <t>Ⅱ 計画策定業務</t>
        </is>
      </c>
      <c r="B22" s="30" t="inlineStr">
        <is>
          <t>Ⅱ(3)④</t>
        </is>
      </c>
      <c r="C22" s="4" t="inlineStr">
        <is>
          <t>地域生活支援事業の見込量の推計</t>
        </is>
      </c>
      <c r="D22" s="4" t="inlineStr">
        <is>
          <t>北塩原村_サービス見込量.xlsx（09_地域生活支援事業）／財源構成案.xlsx（06）</t>
        </is>
      </c>
      <c r="E22" s="27" t="inlineStr">
        <is>
          <t>村資料待ち</t>
        </is>
      </c>
      <c r="F22" s="6" t="n">
        <v>0.3</v>
      </c>
      <c r="G22" s="30" t="inlineStr">
        <is>
          <t>当社</t>
        </is>
      </c>
      <c r="H22" s="22" t="inlineStr">
        <is>
          <t>2026-10-31</t>
        </is>
      </c>
      <c r="I22" s="4" t="inlineStr">
        <is>
          <t>移動支援0人の理由（制度未周知／代替／ニーズ不在）を確認する。事業別の事業費・補助額・村負担</t>
        </is>
      </c>
    </row>
    <row r="23" ht="44" customHeight="1">
      <c r="A23" s="7" t="inlineStr">
        <is>
          <t>Ⅱ 計画策定業務</t>
        </is>
      </c>
      <c r="B23" s="32" t="inlineStr">
        <is>
          <t>Ⅱ(3)⑤</t>
        </is>
      </c>
      <c r="C23" s="7" t="inlineStr">
        <is>
          <t>成果目標及び活動指標の設定</t>
        </is>
      </c>
      <c r="D23" s="7" t="inlineStr">
        <is>
          <t>骨子案 第4章（8区分＋国基準数値＋村の目標値案）</t>
        </is>
      </c>
      <c r="E23" s="27" t="inlineStr">
        <is>
          <t>村資料待ち</t>
        </is>
      </c>
      <c r="F23" s="9" t="n">
        <v>0.6</v>
      </c>
      <c r="G23" s="32" t="inlineStr">
        <is>
          <t>当社</t>
        </is>
      </c>
      <c r="H23" s="26" t="inlineStr">
        <is>
          <t>2026-10-31</t>
        </is>
      </c>
      <c r="I23" s="7" t="inlineStr">
        <is>
          <t>令和7年度末の施設入所者数等の基準値を受領する。活動指標を成果目標と区分して整理する</t>
        </is>
      </c>
    </row>
    <row r="24" ht="44" customHeight="1">
      <c r="A24" s="4" t="inlineStr">
        <is>
          <t>Ⅱ 計画策定業務</t>
        </is>
      </c>
      <c r="B24" s="30" t="inlineStr">
        <is>
          <t>Ⅱ(4)</t>
        </is>
      </c>
      <c r="C24" s="4" t="inlineStr">
        <is>
          <t>現行計画の成果と課題を踏まえた障がい者福祉施策の検討</t>
        </is>
      </c>
      <c r="D24" s="4" t="inlineStr">
        <is>
          <t>骨子案修正版 第3章（再構成済み）／北塩原村_現行計画評価.xlsx（03・06）</t>
        </is>
      </c>
      <c r="E24" s="33" t="inlineStr">
        <is>
          <t>概ね完了</t>
        </is>
      </c>
      <c r="F24" s="6" t="n">
        <v>0.85</v>
      </c>
      <c r="G24" s="30" t="inlineStr">
        <is>
          <t>当社</t>
        </is>
      </c>
      <c r="H24" s="22" t="inlineStr">
        <is>
          <t>2026-11-30</t>
        </is>
      </c>
      <c r="I24" s="4" t="inlineStr">
        <is>
          <t>第3章を「計画の基本理念・基本目標及び施策体系」へ再構成し、第8期で加わる視点と施策体系の対応表を新設。中間年評価の実績値の反映が残る</t>
        </is>
      </c>
    </row>
    <row r="25" ht="44" customHeight="1">
      <c r="A25" s="7" t="inlineStr">
        <is>
          <t>Ⅱ 計画策定業務</t>
        </is>
      </c>
      <c r="B25" s="32" t="inlineStr">
        <is>
          <t>Ⅱ(5)</t>
        </is>
      </c>
      <c r="C25" s="7" t="inlineStr">
        <is>
          <t>計画案の検討・作成（8事項）。国基本指針・県計画・村関連計画との整合。</t>
        </is>
      </c>
      <c r="D25" s="7" t="inlineStr">
        <is>
          <t>骨子案修正版（全8章。第2章6・第3章・第5章1・2・11を新設又は再構成）</t>
        </is>
      </c>
      <c r="E25" s="34" t="inlineStr">
        <is>
          <t>作業中</t>
        </is>
      </c>
      <c r="F25" s="9" t="n">
        <v>0.7</v>
      </c>
      <c r="G25" s="32" t="inlineStr">
        <is>
          <t>当社</t>
        </is>
      </c>
      <c r="H25" s="26" t="inlineStr">
        <is>
          <t>2026-12-31</t>
        </is>
      </c>
      <c r="I25" s="7" t="inlineStr">
        <is>
          <t>8事項のうち①基本理念・基本目標と②施策体系を第3章で措置済み。③〜⑦は村資料の受領後に数値を確定する。⑧推進体制は第1章6</t>
        </is>
      </c>
    </row>
    <row r="26" ht="44" customHeight="1">
      <c r="A26" s="4" t="inlineStr">
        <is>
          <t>Ⅱ 計画策定業務</t>
        </is>
      </c>
      <c r="B26" s="30" t="inlineStr">
        <is>
          <t>Ⅱ(6)</t>
        </is>
      </c>
      <c r="C26" s="4" t="inlineStr">
        <is>
          <t>自立支援協議会での審議、パブリックコメントを経た計画書の最終取りまとめ</t>
        </is>
      </c>
      <c r="D26" s="4" t="inlineStr">
        <is>
          <t>―</t>
        </is>
      </c>
      <c r="E26" s="28" t="inlineStr">
        <is>
          <t>未着手</t>
        </is>
      </c>
      <c r="F26" s="6" t="n">
        <v>0</v>
      </c>
      <c r="G26" s="30" t="inlineStr">
        <is>
          <t>当社</t>
        </is>
      </c>
      <c r="H26" s="22" t="inlineStr">
        <is>
          <t>2027-03-15</t>
        </is>
      </c>
      <c r="I26" s="4" t="inlineStr">
        <is>
          <t>協議会・パブコメの実施後</t>
        </is>
      </c>
    </row>
    <row r="27" ht="44" customHeight="1">
      <c r="A27" s="7" t="inlineStr">
        <is>
          <t>Ⅱ 計画策定業務</t>
        </is>
      </c>
      <c r="B27" s="32" t="inlineStr">
        <is>
          <t>Ⅱ(7)</t>
        </is>
      </c>
      <c r="C27" s="7" t="inlineStr">
        <is>
          <t>計画策定委員会の支援（会議資料の作成、会議への出席、会議記録の作成）。協議会の開催は1回程度。</t>
        </is>
      </c>
      <c r="D27" s="7" t="inlineStr">
        <is>
          <t>―</t>
        </is>
      </c>
      <c r="E27" s="28" t="inlineStr">
        <is>
          <t>未着手</t>
        </is>
      </c>
      <c r="F27" s="9" t="n">
        <v>0.05</v>
      </c>
      <c r="G27" s="32" t="inlineStr">
        <is>
          <t>当社</t>
        </is>
      </c>
      <c r="H27" s="26" t="inlineStr">
        <is>
          <t>2026-12-31</t>
        </is>
      </c>
      <c r="I27" s="7" t="inlineStr">
        <is>
          <t>開催日の確定。報告・説明の主体は村。受託者は資料作成・出席・記録作成</t>
        </is>
      </c>
    </row>
    <row r="28" ht="44" customHeight="1">
      <c r="A28" s="4" t="inlineStr">
        <is>
          <t>Ⅲ 打合せ等業務</t>
        </is>
      </c>
      <c r="B28" s="30" t="inlineStr">
        <is>
          <t>Ⅲ</t>
        </is>
      </c>
      <c r="C28" s="4" t="inlineStr">
        <is>
          <t>計画策定業務実施中の電話及び面談（オンライン・対面）による打合せ</t>
        </is>
      </c>
      <c r="D28" s="4" t="inlineStr">
        <is>
          <t>令和8年7月7日 打合せ（村役場）実施済／議事録作成済</t>
        </is>
      </c>
      <c r="E28" s="35" t="inlineStr">
        <is>
          <t>継続実施</t>
        </is>
      </c>
      <c r="F28" s="6" t="n">
        <v>0.4</v>
      </c>
      <c r="G28" s="30" t="inlineStr">
        <is>
          <t>当社</t>
        </is>
      </c>
      <c r="H28" s="22" t="inlineStr">
        <is>
          <t>2027-03-31</t>
        </is>
      </c>
      <c r="I28" s="4" t="inlineStr">
        <is>
          <t>次回打合せの設定。アンケート発送前の確認事項（印刷仕様・郵送費・ラベル）を議題とする</t>
        </is>
      </c>
    </row>
    <row r="29" ht="44" customHeight="1">
      <c r="A29" s="7" t="inlineStr">
        <is>
          <t>成果品</t>
        </is>
      </c>
      <c r="B29" s="32" t="inlineStr">
        <is>
          <t>成果品①</t>
        </is>
      </c>
      <c r="C29" s="7" t="inlineStr">
        <is>
          <t>障がい福祉計画書　A4判・両面約60頁・モノクロ・コピー・くるみ製本　30部</t>
        </is>
      </c>
      <c r="D29" s="7" t="inlineStr">
        <is>
          <t>骨子案修正版（30ページ相当）</t>
        </is>
      </c>
      <c r="E29" s="34" t="inlineStr">
        <is>
          <t>作業中</t>
        </is>
      </c>
      <c r="F29" s="9" t="n">
        <v>0.4</v>
      </c>
      <c r="G29" s="32" t="inlineStr">
        <is>
          <t>当社</t>
        </is>
      </c>
      <c r="H29" s="26" t="inlineStr">
        <is>
          <t>2027-03-31</t>
        </is>
      </c>
      <c r="I29" s="7" t="inlineStr">
        <is>
          <t>本文の確定後に組版。60頁の想定に対する現在の分量を確認する</t>
        </is>
      </c>
    </row>
    <row r="30" ht="44" customHeight="1">
      <c r="A30" s="4" t="inlineStr">
        <is>
          <t>成果品</t>
        </is>
      </c>
      <c r="B30" s="30" t="inlineStr">
        <is>
          <t>成果品②</t>
        </is>
      </c>
      <c r="C30" s="4" t="inlineStr">
        <is>
          <t>アンケート調査報告書　A4判・両面約60頁・モノクロ・コピー・ホチキス製本　10部</t>
        </is>
      </c>
      <c r="D30" s="4" t="inlineStr">
        <is>
          <t>―</t>
        </is>
      </c>
      <c r="E30" s="28" t="inlineStr">
        <is>
          <t>未着手</t>
        </is>
      </c>
      <c r="F30" s="6" t="n">
        <v>0</v>
      </c>
      <c r="G30" s="30" t="inlineStr">
        <is>
          <t>当社</t>
        </is>
      </c>
      <c r="H30" s="22" t="inlineStr">
        <is>
          <t>2027-03-31</t>
        </is>
      </c>
      <c r="I30" s="4" t="inlineStr">
        <is>
          <t>集計完了後に着手</t>
        </is>
      </c>
    </row>
    <row r="31" ht="44" customHeight="1">
      <c r="A31" s="7" t="inlineStr">
        <is>
          <t>成果品</t>
        </is>
      </c>
      <c r="B31" s="32" t="inlineStr">
        <is>
          <t>成果品③</t>
        </is>
      </c>
      <c r="C31" s="7" t="inlineStr">
        <is>
          <t>成果品及び関連データを収録した電子媒体（Word・Excel・PowerPoint・PDF等）CD-R等一式</t>
        </is>
      </c>
      <c r="D31" s="7" t="inlineStr">
        <is>
          <t>管理ブック4本（将来推計・サービス見込量・財源構成案・業務進捗管理）</t>
        </is>
      </c>
      <c r="E31" s="34" t="inlineStr">
        <is>
          <t>作業中</t>
        </is>
      </c>
      <c r="F31" s="9" t="n">
        <v>0.3</v>
      </c>
      <c r="G31" s="32" t="inlineStr">
        <is>
          <t>当社</t>
        </is>
      </c>
      <c r="H31" s="26" t="inlineStr">
        <is>
          <t>2027-03-31</t>
        </is>
      </c>
      <c r="I31" s="7" t="inlineStr">
        <is>
          <t>納品時の収録範囲を確定する。管理ブックを収録対象とするか村と確認</t>
        </is>
      </c>
    </row>
    <row r="32" ht="44" customHeight="1">
      <c r="A32" s="4" t="inlineStr">
        <is>
          <t>契約管理</t>
        </is>
      </c>
      <c r="B32" s="30" t="inlineStr">
        <is>
          <t>管理1</t>
        </is>
      </c>
      <c r="C32" s="4" t="inlineStr">
        <is>
          <t>印刷仕様の差異（仕様書：A4判・約24ページ・黒1色の1種類）</t>
        </is>
      </c>
      <c r="D32" s="4" t="inlineStr">
        <is>
          <t>0728版は障がい者版34ページ・障がい児版37ページの2種類</t>
        </is>
      </c>
      <c r="E32" s="25" t="inlineStr">
        <is>
          <t>要協議</t>
        </is>
      </c>
      <c r="F32" s="6" t="n">
        <v>0</v>
      </c>
      <c r="G32" s="30" t="inlineStr">
        <is>
          <t>当社／北塩原村</t>
        </is>
      </c>
      <c r="H32" s="22" t="inlineStr">
        <is>
          <t>2026-08-05</t>
        </is>
      </c>
      <c r="I32" s="4" t="inlineStr">
        <is>
          <t>ページ数・種類数・部数・単価の取扱いを村と協議し、結果を記録する</t>
        </is>
      </c>
    </row>
    <row r="33" ht="44" customHeight="1">
      <c r="A33" s="7" t="inlineStr">
        <is>
          <t>契約管理</t>
        </is>
      </c>
      <c r="B33" s="32" t="inlineStr">
        <is>
          <t>管理2</t>
        </is>
      </c>
      <c r="C33" s="7" t="inlineStr">
        <is>
          <t>郵送費の負担（仕様書：発送及び回収に係る費用は受託者の負担）</t>
        </is>
      </c>
      <c r="D33" s="7" t="inlineStr">
        <is>
          <t>7/7打合せ：郵便料金は村が郵便局へ立替え、後日実費を当社へ請求・精算する方向</t>
        </is>
      </c>
      <c r="E33" s="25" t="inlineStr">
        <is>
          <t>要協議</t>
        </is>
      </c>
      <c r="F33" s="9" t="n">
        <v>0.2</v>
      </c>
      <c r="G33" s="32" t="inlineStr">
        <is>
          <t>当社／北塩原村</t>
        </is>
      </c>
      <c r="H33" s="26" t="inlineStr">
        <is>
          <t>2026-08-05</t>
        </is>
      </c>
      <c r="I33" s="7" t="inlineStr">
        <is>
          <t>精算方法・範囲・上限を書面で確認する</t>
        </is>
      </c>
    </row>
    <row r="34" ht="44" customHeight="1">
      <c r="A34" s="4" t="inlineStr">
        <is>
          <t>契約管理</t>
        </is>
      </c>
      <c r="B34" s="30" t="inlineStr">
        <is>
          <t>管理3</t>
        </is>
      </c>
      <c r="C34" s="4" t="inlineStr">
        <is>
          <t>発送・回収の運用変更（村封筒使用、村役場一括受領、窓口回収）</t>
        </is>
      </c>
      <c r="D34" s="4" t="inlineStr">
        <is>
          <t>7/7議事録に記載済</t>
        </is>
      </c>
      <c r="E34" s="34" t="inlineStr">
        <is>
          <t>作業中</t>
        </is>
      </c>
      <c r="F34" s="6" t="n">
        <v>0.5</v>
      </c>
      <c r="G34" s="30" t="inlineStr">
        <is>
          <t>当社／北塩原村</t>
        </is>
      </c>
      <c r="H34" s="22" t="inlineStr">
        <is>
          <t>2026-08-05</t>
        </is>
      </c>
      <c r="I34" s="4" t="inlineStr">
        <is>
          <t>仕様書Ⅰ(4)との差異として記録化し、受渡し日程・記録方法・個人情報の受渡し手順を取り決める</t>
        </is>
      </c>
    </row>
    <row r="35" ht="44" customHeight="1">
      <c r="A35" s="7" t="inlineStr">
        <is>
          <t>契約管理</t>
        </is>
      </c>
      <c r="B35" s="32" t="inlineStr">
        <is>
          <t>管理4</t>
        </is>
      </c>
      <c r="C35" s="7" t="inlineStr">
        <is>
          <t>追加業務の位置づけ（補足ヒアリング調査、財政負担の可視化）</t>
        </is>
      </c>
      <c r="D35" s="7" t="inlineStr">
        <is>
          <t>7/7議事録に記載。財政負担は財源構成案ブックで対応中</t>
        </is>
      </c>
      <c r="E35" s="25" t="inlineStr">
        <is>
          <t>要協議</t>
        </is>
      </c>
      <c r="F35" s="9" t="n">
        <v>0.3</v>
      </c>
      <c r="G35" s="32" t="inlineStr">
        <is>
          <t>当社</t>
        </is>
      </c>
      <c r="H35" s="26" t="inlineStr">
        <is>
          <t>2026-09-30</t>
        </is>
      </c>
      <c r="I35" s="7" t="inlineStr">
        <is>
          <t>仕様書に明示のない業務のため、範囲・工数・対象機関を整理して協議する</t>
        </is>
      </c>
    </row>
    <row r="36" ht="44" customHeight="1">
      <c r="A36" s="4" t="inlineStr">
        <is>
          <t>契約管理</t>
        </is>
      </c>
      <c r="B36" s="30" t="inlineStr">
        <is>
          <t>管理5</t>
        </is>
      </c>
      <c r="C36" s="4" t="inlineStr">
        <is>
          <t>対象者数の確定（仕様書 約190人 と 現行計画 156人 の差）</t>
        </is>
      </c>
      <c r="D36" s="4" t="inlineStr">
        <is>
          <t>将来推計.xlsx 04_推計の不確実性 に突合表</t>
        </is>
      </c>
      <c r="E36" s="27" t="inlineStr">
        <is>
          <t>村資料待ち</t>
        </is>
      </c>
      <c r="F36" s="6" t="n">
        <v>0.1</v>
      </c>
      <c r="G36" s="30" t="inlineStr">
        <is>
          <t>北塩原村</t>
        </is>
      </c>
      <c r="H36" s="22" t="inlineStr">
        <is>
          <t>2026-08-05</t>
        </is>
      </c>
      <c r="I36" s="4" t="inlineStr">
        <is>
          <t>回収率の分母・集計母数・管理番号設計に直結する。発送前に確定が必要</t>
        </is>
      </c>
    </row>
    <row r="37" ht="44" customHeight="1">
      <c r="A37" s="7" t="inlineStr">
        <is>
          <t>契約管理</t>
        </is>
      </c>
      <c r="B37" s="32" t="inlineStr">
        <is>
          <t>管理6</t>
        </is>
      </c>
      <c r="C37" s="7" t="inlineStr">
        <is>
          <t>計画書の編集所管課の表記（仕様書：保健福祉課福祉係／骨子案奥付：住民課）</t>
        </is>
      </c>
      <c r="D37" s="7" t="inlineStr">
        <is>
          <t>骨子案修正版に確認注記を追加済</t>
        </is>
      </c>
      <c r="E37" s="27" t="inlineStr">
        <is>
          <t>村資料待ち</t>
        </is>
      </c>
      <c r="F37" s="9" t="n">
        <v>0.5</v>
      </c>
      <c r="G37" s="32" t="inlineStr">
        <is>
          <t>北塩原村</t>
        </is>
      </c>
      <c r="H37" s="26" t="inlineStr">
        <is>
          <t>2026-12-31</t>
        </is>
      </c>
      <c r="I37" s="7" t="inlineStr">
        <is>
          <t>組織改編の有無を含め村に確認する</t>
        </is>
      </c>
    </row>
    <row r="38" ht="44" customHeight="1">
      <c r="A38" s="4" t="inlineStr">
        <is>
          <t>契約管理</t>
        </is>
      </c>
      <c r="B38" s="30" t="inlineStr">
        <is>
          <t>管理7</t>
        </is>
      </c>
      <c r="C38" s="4" t="inlineStr">
        <is>
          <t>守秘義務・再委託の禁止・契約約款の遵守</t>
        </is>
      </c>
      <c r="D38" s="4" t="inlineStr">
        <is>
          <t>仕様書6。個人情報を含む資料は内部管理とし、公表用報告書と分離</t>
        </is>
      </c>
      <c r="E38" s="35" t="inlineStr">
        <is>
          <t>継続実施</t>
        </is>
      </c>
      <c r="F38" s="6" t="n">
        <v>0.5</v>
      </c>
      <c r="G38" s="30" t="inlineStr">
        <is>
          <t>当社</t>
        </is>
      </c>
      <c r="H38" s="22" t="inlineStr">
        <is>
          <t>2027-03-31</t>
        </is>
      </c>
      <c r="I38" s="4" t="inlineStr">
        <is>
          <t>アンケート回収物の受渡し手順、匿名利用者一覧の取扱いを明文化する</t>
        </is>
      </c>
    </row>
    <row r="40" ht="32" customHeight="1">
      <c r="A40" s="2" t="inlineStr">
        <is>
          <t>状態の凡例：完了／概ね完了（残作業が確認レベル）／作業中／継続実施（業務期間を通じて実施）／未着手／村資料待ち（当社側の作業は終えており村の資料受領で進む）／要協議（村との協議が必要）／村側作業（仕様書上、村が実施する）。</t>
        </is>
      </c>
    </row>
  </sheetData>
  <autoFilter ref="A5:I38"/>
  <mergeCells count="3">
    <mergeCell ref="A1:I1"/>
    <mergeCell ref="A40:I40"/>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2"/>
  <sheetViews>
    <sheetView showGridLines="0" workbookViewId="0">
      <pane ySplit="4" topLeftCell="A5" activePane="bottomLeft" state="frozen"/>
      <selection pane="bottomLeft" activeCell="A1" sqref="A1"/>
    </sheetView>
  </sheetViews>
  <sheetFormatPr baseColWidth="8" defaultRowHeight="15"/>
  <cols>
    <col width="10" customWidth="1" min="1" max="1"/>
    <col width="30" customWidth="1" min="2" max="2"/>
    <col width="40" customWidth="1" min="3" max="3"/>
    <col width="12" customWidth="1" min="4" max="4"/>
    <col width="12" customWidth="1" min="5" max="5"/>
    <col width="14" customWidth="1" min="6" max="6"/>
    <col width="44" customWidth="1" min="7" max="7"/>
  </cols>
  <sheetData>
    <row r="1" ht="30" customHeight="1">
      <c r="A1" s="29" t="inlineStr">
        <is>
          <t>成果品の管理（仕様書5）</t>
        </is>
      </c>
    </row>
    <row r="2" ht="30" customHeight="1">
      <c r="A2" s="2" t="inlineStr">
        <is>
          <t>納品する成果品の仕様と進捗です。仕様書5に定める3点に加え、納品時に電子媒体へ収録する関連データを整理します。</t>
        </is>
      </c>
    </row>
    <row r="5" ht="30" customHeight="1">
      <c r="A5" s="3" t="inlineStr">
        <is>
          <t>区分</t>
        </is>
      </c>
      <c r="B5" s="3" t="inlineStr">
        <is>
          <t>成果品</t>
        </is>
      </c>
      <c r="C5" s="3" t="inlineStr">
        <is>
          <t>仕様</t>
        </is>
      </c>
      <c r="D5" s="3" t="inlineStr">
        <is>
          <t>部数</t>
        </is>
      </c>
      <c r="E5" s="3" t="inlineStr">
        <is>
          <t>状態</t>
        </is>
      </c>
      <c r="F5" s="3" t="inlineStr">
        <is>
          <t>進捗率</t>
        </is>
      </c>
      <c r="G5" s="3" t="inlineStr">
        <is>
          <t>備考</t>
        </is>
      </c>
    </row>
    <row r="6" ht="44" customHeight="1">
      <c r="A6" s="30" t="inlineStr">
        <is>
          <t>①</t>
        </is>
      </c>
      <c r="B6" s="4" t="inlineStr">
        <is>
          <t>障がい福祉計画書</t>
        </is>
      </c>
      <c r="C6" s="4" t="inlineStr">
        <is>
          <t>A4判、両面約60頁、モノクロ印刷、コピー・くるみ製本</t>
        </is>
      </c>
      <c r="D6" s="30" t="inlineStr">
        <is>
          <t>30部</t>
        </is>
      </c>
      <c r="E6" s="34" t="inlineStr">
        <is>
          <t>作業中</t>
        </is>
      </c>
      <c r="F6" s="6" t="n">
        <v>0.4</v>
      </c>
      <c r="G6" s="4" t="inlineStr">
        <is>
          <t>骨子案修正版が原型。全8章＋新設5節。アンケート結果・実績データの反映後に確定</t>
        </is>
      </c>
    </row>
    <row r="7" ht="44" customHeight="1">
      <c r="A7" s="32" t="inlineStr">
        <is>
          <t>②</t>
        </is>
      </c>
      <c r="B7" s="7" t="inlineStr">
        <is>
          <t>アンケート調査報告書</t>
        </is>
      </c>
      <c r="C7" s="7" t="inlineStr">
        <is>
          <t>A4判、両面約60頁、モノクロ印刷、コピー・ホチキス製本</t>
        </is>
      </c>
      <c r="D7" s="32" t="inlineStr">
        <is>
          <t>10部</t>
        </is>
      </c>
      <c r="E7" s="28" t="inlineStr">
        <is>
          <t>未着手</t>
        </is>
      </c>
      <c r="F7" s="9" t="n">
        <v>0</v>
      </c>
      <c r="G7" s="7" t="inlineStr">
        <is>
          <t>設問ごとのグラフと分析。集計完了後に着手</t>
        </is>
      </c>
    </row>
    <row r="8" ht="44" customHeight="1">
      <c r="A8" s="30" t="inlineStr">
        <is>
          <t>③</t>
        </is>
      </c>
      <c r="B8" s="4" t="inlineStr">
        <is>
          <t>電子媒体</t>
        </is>
      </c>
      <c r="C8" s="4" t="inlineStr">
        <is>
          <t>上記成果品及び関連データを収録（Word、Excel、PowerPoint、PDF形式等）CD-R等</t>
        </is>
      </c>
      <c r="D8" s="30" t="inlineStr">
        <is>
          <t>一式</t>
        </is>
      </c>
      <c r="E8" s="34" t="inlineStr">
        <is>
          <t>作業中</t>
        </is>
      </c>
      <c r="F8" s="6" t="n">
        <v>0.3</v>
      </c>
      <c r="G8" s="4" t="inlineStr">
        <is>
          <t>収録範囲を村と確認する</t>
        </is>
      </c>
    </row>
    <row r="10">
      <c r="A10" s="13" t="inlineStr">
        <is>
          <t>電子媒体への収録候補</t>
        </is>
      </c>
    </row>
    <row r="11" ht="30" customHeight="1">
      <c r="A11" s="3" t="inlineStr">
        <is>
          <t>区分</t>
        </is>
      </c>
      <c r="B11" s="3" t="inlineStr">
        <is>
          <t>ファイル</t>
        </is>
      </c>
      <c r="C11" s="3" t="inlineStr">
        <is>
          <t>内容</t>
        </is>
      </c>
      <c r="D11" s="3" t="inlineStr"/>
      <c r="E11" s="3" t="inlineStr">
        <is>
          <t>状態</t>
        </is>
      </c>
      <c r="F11" s="3" t="inlineStr"/>
      <c r="G11" s="3" t="inlineStr">
        <is>
          <t>備考</t>
        </is>
      </c>
    </row>
    <row r="12" ht="28" customHeight="1">
      <c r="A12" s="30" t="inlineStr">
        <is>
          <t>計画書</t>
        </is>
      </c>
      <c r="B12" s="4" t="inlineStr">
        <is>
          <t>北塩原村_骨子案_修正版.docx</t>
        </is>
      </c>
      <c r="C12" s="4" t="inlineStr">
        <is>
          <t>計画書本編のドラフト</t>
        </is>
      </c>
      <c r="D12" s="24" t="n"/>
      <c r="E12" s="34" t="inlineStr">
        <is>
          <t>作業中</t>
        </is>
      </c>
      <c r="F12" s="24" t="n"/>
      <c r="G12" s="4" t="inlineStr">
        <is>
          <t>全8章。第2章6・第5章1・第5章2・第5章11を新設済み</t>
        </is>
      </c>
    </row>
    <row r="13" ht="28" customHeight="1">
      <c r="A13" s="32" t="inlineStr">
        <is>
          <t>推計</t>
        </is>
      </c>
      <c r="B13" s="7" t="inlineStr">
        <is>
          <t>北塩原村_将来推計.xlsx</t>
        </is>
      </c>
      <c r="C13" s="7" t="inlineStr">
        <is>
          <t>人口推計・手帳所持者数の将来推計（8シート）</t>
        </is>
      </c>
      <c r="D13" s="24" t="n"/>
      <c r="E13" s="34" t="inlineStr">
        <is>
          <t>作業中</t>
        </is>
      </c>
      <c r="F13" s="24" t="n"/>
      <c r="G13" s="7" t="inlineStr">
        <is>
          <t>方法A・B・中位、不確実性の定量評価、年齢階級別推計（方法C）</t>
        </is>
      </c>
    </row>
    <row r="14" ht="28" customHeight="1">
      <c r="A14" s="30" t="inlineStr">
        <is>
          <t>推計</t>
        </is>
      </c>
      <c r="B14" s="4" t="inlineStr">
        <is>
          <t>北塩原村_サービス見込量.xlsx</t>
        </is>
      </c>
      <c r="C14" s="4" t="inlineStr">
        <is>
          <t>サービス見込量の個別積上げ（11シート）</t>
        </is>
      </c>
      <c r="D14" s="24" t="n"/>
      <c r="E14" s="34" t="inlineStr">
        <is>
          <t>作業中</t>
        </is>
      </c>
      <c r="F14" s="24" t="n"/>
      <c r="G14" s="4" t="inlineStr">
        <is>
          <t>年齢到達者一覧、65歳移行判定、供給制約を含む</t>
        </is>
      </c>
    </row>
    <row r="15" ht="28" customHeight="1">
      <c r="A15" s="32" t="inlineStr">
        <is>
          <t>財源</t>
        </is>
      </c>
      <c r="B15" s="7" t="inlineStr">
        <is>
          <t>北塩原村_財源構成案.xlsx</t>
        </is>
      </c>
      <c r="C15" s="7" t="inlineStr">
        <is>
          <t>国・県・村の負担内訳（10シート）</t>
        </is>
      </c>
      <c r="D15" s="24" t="n"/>
      <c r="E15" s="34" t="inlineStr">
        <is>
          <t>作業中</t>
        </is>
      </c>
      <c r="F15" s="24" t="n"/>
      <c r="G15" s="7" t="inlineStr">
        <is>
          <t>給付実績R2〜R7、財源構成試算、見込量×単価の積上げ</t>
        </is>
      </c>
    </row>
    <row r="16" ht="28" customHeight="1">
      <c r="A16" s="30" t="inlineStr">
        <is>
          <t>評価</t>
        </is>
      </c>
      <c r="B16" s="4" t="inlineStr">
        <is>
          <t>北塩原村_現行計画評価.xlsx</t>
        </is>
      </c>
      <c r="C16" s="4" t="inlineStr">
        <is>
          <t>現行計画の評価（7シート）</t>
        </is>
      </c>
      <c r="D16" s="24" t="n"/>
      <c r="E16" s="34" t="inlineStr">
        <is>
          <t>作業中</t>
        </is>
      </c>
      <c r="F16" s="24" t="n"/>
      <c r="G16" s="4" t="inlineStr">
        <is>
          <t>令和3〜5年度の見込量と実績の突合、成果目標・施策目標の評価</t>
        </is>
      </c>
    </row>
    <row r="17" ht="28" customHeight="1">
      <c r="A17" s="32" t="inlineStr">
        <is>
          <t>管理</t>
        </is>
      </c>
      <c r="B17" s="7" t="inlineStr">
        <is>
          <t>北塩原村_業務進捗管理.xlsx</t>
        </is>
      </c>
      <c r="C17" s="7" t="inlineStr">
        <is>
          <t>本ブック</t>
        </is>
      </c>
      <c r="D17" s="24" t="n"/>
      <c r="E17" s="34" t="inlineStr">
        <is>
          <t>作業中</t>
        </is>
      </c>
      <c r="F17" s="24" t="n"/>
      <c r="G17" s="7" t="inlineStr">
        <is>
          <t>納品対象とするか村と確認</t>
        </is>
      </c>
    </row>
    <row r="18" ht="28" customHeight="1">
      <c r="A18" s="30" t="inlineStr">
        <is>
          <t>調査</t>
        </is>
      </c>
      <c r="B18" s="4" t="inlineStr">
        <is>
          <t>0728北塩原村_障がい福祉アンケート調査票.docx</t>
        </is>
      </c>
      <c r="C18" s="4" t="inlineStr">
        <is>
          <t>調査票（障がい者版・52問）</t>
        </is>
      </c>
      <c r="D18" s="24" t="n"/>
      <c r="E18" s="33" t="inlineStr">
        <is>
          <t>概ね完了</t>
        </is>
      </c>
      <c r="F18" s="24" t="n"/>
      <c r="G18" s="4" t="inlineStr">
        <is>
          <t>最終目視確認が残</t>
        </is>
      </c>
    </row>
    <row r="19" ht="28" customHeight="1">
      <c r="A19" s="32" t="inlineStr">
        <is>
          <t>調査</t>
        </is>
      </c>
      <c r="B19" s="7" t="inlineStr">
        <is>
          <t>0728北塩原村_障がい児福祉アンケート調査票.docx</t>
        </is>
      </c>
      <c r="C19" s="7" t="inlineStr">
        <is>
          <t>調査票（障がい児版・51問）</t>
        </is>
      </c>
      <c r="D19" s="24" t="n"/>
      <c r="E19" s="33" t="inlineStr">
        <is>
          <t>概ね完了</t>
        </is>
      </c>
      <c r="F19" s="24" t="n"/>
      <c r="G19" s="7" t="inlineStr">
        <is>
          <t>ルビ構造の確認が残</t>
        </is>
      </c>
    </row>
    <row r="20" ht="28" customHeight="1">
      <c r="A20" s="30" t="inlineStr">
        <is>
          <t>調査</t>
        </is>
      </c>
      <c r="B20" s="4" t="inlineStr">
        <is>
          <t>Googleフォーム自動作成 Code（.gs）</t>
        </is>
      </c>
      <c r="C20" s="4" t="inlineStr">
        <is>
          <t>ウェブ回答フォームの生成スクリプト</t>
        </is>
      </c>
      <c r="D20" s="24" t="n"/>
      <c r="E20" s="33" t="inlineStr">
        <is>
          <t>概ね完了</t>
        </is>
      </c>
      <c r="F20" s="24" t="n"/>
      <c r="G20" s="4" t="inlineStr">
        <is>
          <t>選択肢順序の固定が残</t>
        </is>
      </c>
    </row>
    <row r="21" ht="28" customHeight="1">
      <c r="A21" s="32" t="inlineStr">
        <is>
          <t>実績</t>
        </is>
      </c>
      <c r="B21" s="7" t="inlineStr">
        <is>
          <t>北塩原村_障がいサービス給付実績_整理版.xlsx</t>
        </is>
      </c>
      <c r="C21" s="7" t="inlineStr">
        <is>
          <t>受領データの整理版（6シート）</t>
        </is>
      </c>
      <c r="D21" s="24" t="n"/>
      <c r="E21" s="36" t="inlineStr">
        <is>
          <t>完了</t>
        </is>
      </c>
      <c r="F21" s="24" t="n"/>
      <c r="G21" s="7" t="inlineStr">
        <is>
          <t>令和2〜7年度、介護給付費・障害児給付費</t>
        </is>
      </c>
    </row>
    <row r="22" ht="28" customHeight="1">
      <c r="A22" s="30" t="inlineStr">
        <is>
          <t>報告</t>
        </is>
      </c>
      <c r="B22" s="4" t="inlineStr">
        <is>
          <t>調査結果報告書（未作成）</t>
        </is>
      </c>
      <c r="C22" s="4" t="inlineStr">
        <is>
          <t>アンケート集計結果</t>
        </is>
      </c>
      <c r="D22" s="24" t="n"/>
      <c r="E22" s="28" t="inlineStr">
        <is>
          <t>未着手</t>
        </is>
      </c>
      <c r="F22" s="24" t="n"/>
      <c r="G22" s="4" t="inlineStr">
        <is>
          <t>集計後</t>
        </is>
      </c>
    </row>
  </sheetData>
  <mergeCells count="25">
    <mergeCell ref="E12:F12"/>
    <mergeCell ref="C15:D15"/>
    <mergeCell ref="C14:D14"/>
    <mergeCell ref="E14:F14"/>
    <mergeCell ref="E17:F17"/>
    <mergeCell ref="A10:G10"/>
    <mergeCell ref="C20:D20"/>
    <mergeCell ref="E20:F20"/>
    <mergeCell ref="C16:D16"/>
    <mergeCell ref="E19:F19"/>
    <mergeCell ref="E13:F13"/>
    <mergeCell ref="C22:D22"/>
    <mergeCell ref="C12:D12"/>
    <mergeCell ref="A1:G1"/>
    <mergeCell ref="C21:D21"/>
    <mergeCell ref="E15:F15"/>
    <mergeCell ref="C17:D17"/>
    <mergeCell ref="E16:F16"/>
    <mergeCell ref="C19:D19"/>
    <mergeCell ref="A2:G2"/>
    <mergeCell ref="E22:F22"/>
    <mergeCell ref="C13:D13"/>
    <mergeCell ref="C18:D18"/>
    <mergeCell ref="E18:F18"/>
    <mergeCell ref="E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46" customWidth="1" min="3" max="3"/>
    <col width="20" customWidth="1" min="4" max="4"/>
    <col width="13" customWidth="1" min="5" max="5"/>
    <col width="52" customWidth="1" min="6" max="6"/>
  </cols>
  <sheetData>
    <row r="1" ht="30" customHeight="1">
      <c r="A1" s="29" t="inlineStr">
        <is>
          <t>工程管理（令和8年7月7日打合せの工程案）</t>
        </is>
      </c>
    </row>
    <row r="2" ht="30" customHeight="1">
      <c r="A2" s="2" t="inlineStr">
        <is>
          <t>前回計画時よりスケジュールを前倒しし、8月上旬のアンケート発送を目指す工程です。業務期間は契約締結の日から令和9年3月31日まで。</t>
        </is>
      </c>
    </row>
    <row r="5" ht="30" customHeight="1">
      <c r="A5" s="3" t="inlineStr">
        <is>
          <t>開始</t>
        </is>
      </c>
      <c r="B5" s="3" t="inlineStr">
        <is>
          <t>終了</t>
        </is>
      </c>
      <c r="C5" s="3" t="inlineStr">
        <is>
          <t>作業内容</t>
        </is>
      </c>
      <c r="D5" s="3" t="inlineStr">
        <is>
          <t>主担当</t>
        </is>
      </c>
      <c r="E5" s="3" t="inlineStr">
        <is>
          <t>状態</t>
        </is>
      </c>
      <c r="F5" s="3" t="inlineStr">
        <is>
          <t>備考</t>
        </is>
      </c>
    </row>
    <row r="6" ht="34" customHeight="1">
      <c r="A6" s="22" t="inlineStr">
        <is>
          <t>2026-08-05</t>
        </is>
      </c>
      <c r="B6" s="22" t="inlineStr">
        <is>
          <t>2026-08-10</t>
        </is>
      </c>
      <c r="C6" s="4" t="inlineStr">
        <is>
          <t>アンケート印刷・封入・発送準備</t>
        </is>
      </c>
      <c r="D6" s="30" t="inlineStr">
        <is>
          <t>当社／北塩原村</t>
        </is>
      </c>
      <c r="E6" s="34" t="inlineStr">
        <is>
          <t>作業中</t>
        </is>
      </c>
      <c r="F6" s="4" t="inlineStr">
        <is>
          <t>印刷仕様の協議、村ラベルの受領、村封筒の手配がすべて前提。現在すべて未了</t>
        </is>
      </c>
    </row>
    <row r="7" ht="34" customHeight="1">
      <c r="A7" s="26" t="inlineStr">
        <is>
          <t>2026-08-10</t>
        </is>
      </c>
      <c r="B7" s="26" t="inlineStr">
        <is>
          <t>2026-09-10</t>
        </is>
      </c>
      <c r="C7" s="7" t="inlineStr">
        <is>
          <t>アンケート発送・回収（約1か月の回収期間）、役場での受領保管</t>
        </is>
      </c>
      <c r="D7" s="32" t="inlineStr">
        <is>
          <t>北塩原村／当社</t>
        </is>
      </c>
      <c r="E7" s="28" t="inlineStr">
        <is>
          <t>未着手</t>
        </is>
      </c>
      <c r="F7" s="7" t="inlineStr">
        <is>
          <t>返送先は村役場。窓口での現地回収</t>
        </is>
      </c>
    </row>
    <row r="8" ht="34" customHeight="1">
      <c r="A8" s="22" t="inlineStr">
        <is>
          <t>2026-09-01</t>
        </is>
      </c>
      <c r="B8" s="22" t="inlineStr">
        <is>
          <t>2026-10-31</t>
        </is>
      </c>
      <c r="C8" s="4" t="inlineStr">
        <is>
          <t>データ入力、集計、実績・財源・施策評価の整合</t>
        </is>
      </c>
      <c r="D8" s="30" t="inlineStr">
        <is>
          <t>当社</t>
        </is>
      </c>
      <c r="E8" s="28" t="inlineStr">
        <is>
          <t>未着手</t>
        </is>
      </c>
      <c r="F8" s="4" t="inlineStr">
        <is>
          <t>厚労省の集計様式による入力。少数母数の公表基準を事前に合意</t>
        </is>
      </c>
    </row>
    <row r="9" ht="34" customHeight="1">
      <c r="A9" s="26" t="inlineStr">
        <is>
          <t>2026-09-01</t>
        </is>
      </c>
      <c r="B9" s="26" t="inlineStr">
        <is>
          <t>2026-10-31</t>
        </is>
      </c>
      <c r="C9" s="7" t="inlineStr">
        <is>
          <t>将来見込量・成果目標の算定とすり合わせ</t>
        </is>
      </c>
      <c r="D9" s="32" t="inlineStr">
        <is>
          <t>当社／北塩原村</t>
        </is>
      </c>
      <c r="E9" s="34" t="inlineStr">
        <is>
          <t>作業中</t>
        </is>
      </c>
      <c r="F9" s="7" t="inlineStr">
        <is>
          <t>個別積上げ方式。年齢別・サービス別の利用者一覧が前提</t>
        </is>
      </c>
    </row>
    <row r="10" ht="34" customHeight="1">
      <c r="A10" s="22" t="inlineStr">
        <is>
          <t>2026-11-01</t>
        </is>
      </c>
      <c r="B10" s="22" t="inlineStr">
        <is>
          <t>2026-12-31</t>
        </is>
      </c>
      <c r="C10" s="4" t="inlineStr">
        <is>
          <t>計画骨子・素案の作成</t>
        </is>
      </c>
      <c r="D10" s="30" t="inlineStr">
        <is>
          <t>当社</t>
        </is>
      </c>
      <c r="E10" s="34" t="inlineStr">
        <is>
          <t>作業中</t>
        </is>
      </c>
      <c r="F10" s="4" t="inlineStr">
        <is>
          <t>骨子案修正版が原型。前倒しで進捗している</t>
        </is>
      </c>
    </row>
    <row r="11" ht="34" customHeight="1">
      <c r="A11" s="26" t="inlineStr">
        <is>
          <t>2026-12-01</t>
        </is>
      </c>
      <c r="B11" s="26" t="inlineStr">
        <is>
          <t>2026-12-31</t>
        </is>
      </c>
      <c r="C11" s="7" t="inlineStr">
        <is>
          <t>北塩原村障がい者自立支援協議会（年内1回）への提出・審議</t>
        </is>
      </c>
      <c r="D11" s="32" t="inlineStr">
        <is>
          <t>北塩原村／当社</t>
        </is>
      </c>
      <c r="E11" s="28" t="inlineStr">
        <is>
          <t>未着手</t>
        </is>
      </c>
      <c r="F11" s="7" t="inlineStr">
        <is>
          <t>報告・説明は村。受託者は資料作成・出席・記録作成</t>
        </is>
      </c>
    </row>
    <row r="12" ht="34" customHeight="1">
      <c r="A12" s="22" t="inlineStr">
        <is>
          <t>2027-01-01</t>
        </is>
      </c>
      <c r="B12" s="22" t="inlineStr">
        <is>
          <t>2027-02-28</t>
        </is>
      </c>
      <c r="C12" s="4" t="inlineStr">
        <is>
          <t>計画原案の修正・提示、パブリックコメントの実施、庁内確認</t>
        </is>
      </c>
      <c r="D12" s="30" t="inlineStr">
        <is>
          <t>北塩原村／当社</t>
        </is>
      </c>
      <c r="E12" s="28" t="inlineStr">
        <is>
          <t>未着手</t>
        </is>
      </c>
      <c r="F12" s="4" t="inlineStr">
        <is>
          <t>前回計画では2週間実施（令和6年2月9日〜23日）</t>
        </is>
      </c>
    </row>
    <row r="13" ht="34" customHeight="1">
      <c r="A13" s="26" t="inlineStr">
        <is>
          <t>2027-03-01</t>
        </is>
      </c>
      <c r="B13" s="26" t="inlineStr">
        <is>
          <t>2027-03-31</t>
        </is>
      </c>
      <c r="C13" s="7" t="inlineStr">
        <is>
          <t>最終修正、成果品の作成・納品</t>
        </is>
      </c>
      <c r="D13" s="32" t="inlineStr">
        <is>
          <t>当社</t>
        </is>
      </c>
      <c r="E13" s="28" t="inlineStr">
        <is>
          <t>未着手</t>
        </is>
      </c>
      <c r="F13" s="7" t="inlineStr">
        <is>
          <t>計画書30部、アンケート報告書10部、電子媒体一式</t>
        </is>
      </c>
    </row>
    <row r="15" ht="46" customHeight="1">
      <c r="A15" s="2" t="inlineStr">
        <is>
          <t>クリティカルパスは「調査票の確定 → 印刷仕様の協議 → 印刷 → 村からのラベル受領 → 封入・発送」です。8月上旬の発送が遅れると、回収期間（約1か月）または集計・分析期間（9〜10月）のいずれかが圧縮されます。回収期間を削ると回収率が下がり、少数母数の本村では分析の信頼性に直結するため、遅延時は集計期間側で吸収する前提で調整してください。</t>
        </is>
      </c>
    </row>
  </sheetData>
  <mergeCells count="3">
    <mergeCell ref="A2:F2"/>
    <mergeCell ref="A1:F1"/>
    <mergeCell ref="A15:F1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0"/>
  <sheetViews>
    <sheetView showGridLines="0" workbookViewId="0">
      <pane ySplit="4" topLeftCell="A5" activePane="bottomLeft" state="frozen"/>
      <selection pane="bottomLeft" activeCell="A1" sqref="A1"/>
    </sheetView>
  </sheetViews>
  <sheetFormatPr baseColWidth="8" defaultRowHeight="15"/>
  <cols>
    <col width="10" customWidth="1" min="1" max="1"/>
    <col width="34" customWidth="1" min="2" max="2"/>
    <col width="50" customWidth="1" min="3" max="3"/>
    <col width="34" customWidth="1" min="4" max="4"/>
    <col width="12" customWidth="1" min="5" max="5"/>
    <col width="14" customWidth="1" min="6" max="6"/>
    <col width="20" customWidth="1" min="7" max="7"/>
  </cols>
  <sheetData>
    <row r="1" ht="30" customHeight="1">
      <c r="A1" s="29" t="inlineStr">
        <is>
          <t>村からの資料受領状況（横断管理）</t>
        </is>
      </c>
    </row>
    <row r="2" ht="30" customHeight="1">
      <c r="A2" s="2" t="inlineStr">
        <is>
          <t>将来推計・サービス見込量・財源構成案の各ブックに分散していた村確認事項を一本化しました。受領したら「状態」を受領済に変更し、該当ブックへ入力してください。</t>
        </is>
      </c>
    </row>
    <row r="5" ht="30" customHeight="1">
      <c r="A5" s="3" t="inlineStr">
        <is>
          <t>優先度</t>
        </is>
      </c>
      <c r="B5" s="3" t="inlineStr">
        <is>
          <t>資料</t>
        </is>
      </c>
      <c r="C5" s="3" t="inlineStr">
        <is>
          <t>内容</t>
        </is>
      </c>
      <c r="D5" s="3" t="inlineStr">
        <is>
          <t>反映先</t>
        </is>
      </c>
      <c r="E5" s="3" t="inlineStr">
        <is>
          <t>状態</t>
        </is>
      </c>
      <c r="F5" s="3" t="inlineStr">
        <is>
          <t>希望期限</t>
        </is>
      </c>
      <c r="G5" s="3" t="inlineStr">
        <is>
          <t>受領日</t>
        </is>
      </c>
    </row>
    <row r="6" ht="34" customHeight="1">
      <c r="A6" s="27" t="inlineStr">
        <is>
          <t>最優先</t>
        </is>
      </c>
      <c r="B6" s="4" t="inlineStr">
        <is>
          <t>本村の過疎区分（全部過疎／一部過疎／みなし過疎）</t>
        </is>
      </c>
      <c r="C6" s="4" t="inlineStr">
        <is>
          <t>【受領済み】福島県「県内の過疎・中山間地域の指定状況」（令和7年4月1日現在）。過疎法第2条により全域が過疎地域。県条例の中山間地域にも全域が該当</t>
        </is>
      </c>
      <c r="D6" s="4" t="inlineStr">
        <is>
          <t>サービス見込量 12_別表第五判定</t>
        </is>
      </c>
      <c r="E6" s="36" t="inlineStr">
        <is>
          <t>受領済</t>
        </is>
      </c>
      <c r="F6" s="22" t="inlineStr">
        <is>
          <t>2026-08-05</t>
        </is>
      </c>
      <c r="G6" s="37" t="n"/>
    </row>
    <row r="7" ht="34" customHeight="1">
      <c r="A7" s="34" t="inlineStr">
        <is>
          <t>高</t>
        </is>
      </c>
      <c r="B7" s="7" t="inlineStr">
        <is>
          <t>圏域事業所の制度活用状況</t>
        </is>
      </c>
      <c r="C7" s="7" t="inlineStr">
        <is>
          <t>共生型サービスの指定の有無、多機能型・従たる事業所の設置可能性、介護保険事業所（訪問介護・居宅介護支援）の居宅介護指定取得の意向</t>
        </is>
      </c>
      <c r="D7" s="7" t="inlineStr">
        <is>
          <t>骨子案修正版 第5章8／サービス見込量 08</t>
        </is>
      </c>
      <c r="E7" s="27" t="inlineStr">
        <is>
          <t>未受領</t>
        </is>
      </c>
      <c r="F7" s="26" t="inlineStr">
        <is>
          <t>2026-10-31</t>
        </is>
      </c>
      <c r="G7" s="37" t="n"/>
    </row>
    <row r="8" ht="34" customHeight="1">
      <c r="A8" s="34" t="inlineStr">
        <is>
          <t>高</t>
        </is>
      </c>
      <c r="B8" s="4" t="inlineStr">
        <is>
          <t>福島県の長期入院患者に係る基盤整備量（利用者数）</t>
        </is>
      </c>
      <c r="C8" s="4" t="inlineStr">
        <is>
          <t>県が基本指針 別表第四の三の項の式により算定した令和11年度末の値。市町村はこれを勘案して当該区域の基盤整備量を定めなければならない（別表第二 三の項）</t>
        </is>
      </c>
      <c r="D8" s="4" t="inlineStr">
        <is>
          <t>骨子案修正版 第4章(2)</t>
        </is>
      </c>
      <c r="E8" s="27" t="inlineStr">
        <is>
          <t>未受領</t>
        </is>
      </c>
      <c r="F8" s="22" t="inlineStr">
        <is>
          <t>2026-10-31</t>
        </is>
      </c>
      <c r="G8" s="37" t="n"/>
    </row>
    <row r="9" ht="34" customHeight="1">
      <c r="A9" s="34" t="inlineStr">
        <is>
          <t>高</t>
        </is>
      </c>
      <c r="B9" s="7" t="inlineStr">
        <is>
          <t>令和6年度の一般就労移行実績・就労定着支援利用実績</t>
        </is>
      </c>
      <c r="C9" s="7" t="inlineStr">
        <is>
          <t>成果目標の倍率（全体1.31倍、就労移行支援1.14倍、A型おおむね1.52倍、B型おおむね1.67倍、就労定着支援1.47倍）の基準値。事業種別ごとに必要</t>
        </is>
      </c>
      <c r="D9" s="7" t="inlineStr">
        <is>
          <t>骨子案修正版 第4章(3)</t>
        </is>
      </c>
      <c r="E9" s="27" t="inlineStr">
        <is>
          <t>未受領</t>
        </is>
      </c>
      <c r="F9" s="26" t="inlineStr">
        <is>
          <t>2026-09-30</t>
        </is>
      </c>
      <c r="G9" s="37" t="n"/>
    </row>
    <row r="10" ht="34" customHeight="1">
      <c r="A10" s="30" t="inlineStr">
        <is>
          <t>中</t>
        </is>
      </c>
      <c r="B10" s="4" t="inlineStr">
        <is>
          <t>第7期計画の令和8年度目標の達成見込み</t>
        </is>
      </c>
      <c r="C10" s="4" t="inlineStr">
        <is>
          <t>未達の場合、未達成割合を令和11年度目標に上乗せする規定がある（第二 一・三）。本村は地域移行0人・削減0人が目標のため、達成／未達の整理が必要</t>
        </is>
      </c>
      <c r="D10" s="4" t="inlineStr">
        <is>
          <t>骨子案修正版 第4章(1)(3)</t>
        </is>
      </c>
      <c r="E10" s="27" t="inlineStr">
        <is>
          <t>未受領</t>
        </is>
      </c>
      <c r="F10" s="22" t="inlineStr">
        <is>
          <t>2026-10-31</t>
        </is>
      </c>
      <c r="G10" s="37" t="n"/>
    </row>
    <row r="11" ht="34" customHeight="1">
      <c r="A11" s="27" t="inlineStr">
        <is>
          <t>最優先</t>
        </is>
      </c>
      <c r="B11" s="7" t="inlineStr">
        <is>
          <t>年齢別・サービス別の匿名利用者一覧</t>
        </is>
      </c>
      <c r="C11" s="7" t="inlineStr">
        <is>
          <t>利用者番号、生年月、障害支援区分、利用中のサービス、月利用日数・時間。氏名不要</t>
        </is>
      </c>
      <c r="D11" s="7" t="inlineStr">
        <is>
          <t>サービス見込量 02・03・04</t>
        </is>
      </c>
      <c r="E11" s="27" t="inlineStr">
        <is>
          <t>未受領</t>
        </is>
      </c>
      <c r="F11" s="26" t="inlineStr">
        <is>
          <t>2026-08-31</t>
        </is>
      </c>
      <c r="G11" s="37" t="n"/>
    </row>
    <row r="12" ht="34" customHeight="1">
      <c r="A12" s="27" t="inlineStr">
        <is>
          <t>最優先</t>
        </is>
      </c>
      <c r="B12" s="4" t="inlineStr">
        <is>
          <t>サービス別の支給決定者数（実人数）</t>
        </is>
      </c>
      <c r="C12" s="4" t="inlineStr">
        <is>
          <t>請求件数ではなく実人数。計画相談支援は請求と実人数が一致しないため特に必要</t>
        </is>
      </c>
      <c r="D12" s="4" t="inlineStr">
        <is>
          <t>サービス見込量 03・04</t>
        </is>
      </c>
      <c r="E12" s="27" t="inlineStr">
        <is>
          <t>未受領</t>
        </is>
      </c>
      <c r="F12" s="22" t="inlineStr">
        <is>
          <t>2026-08-31</t>
        </is>
      </c>
      <c r="G12" s="37" t="n"/>
    </row>
    <row r="13" ht="34" customHeight="1">
      <c r="A13" s="27" t="inlineStr">
        <is>
          <t>最優先</t>
        </is>
      </c>
      <c r="B13" s="7" t="inlineStr">
        <is>
          <t>年齢階級別の手帳所持者数・人口</t>
        </is>
      </c>
      <c r="C13" s="7" t="inlineStr">
        <is>
          <t>身体は0〜17／18〜39／40〜64／65〜74／75歳以上、療育・精神は18歳未満／18〜64／65歳以上</t>
        </is>
      </c>
      <c r="D13" s="7" t="inlineStr">
        <is>
          <t>将来推計 05</t>
        </is>
      </c>
      <c r="E13" s="27" t="inlineStr">
        <is>
          <t>未受領</t>
        </is>
      </c>
      <c r="F13" s="26" t="inlineStr">
        <is>
          <t>2026-09-30</t>
        </is>
      </c>
      <c r="G13" s="37" t="n"/>
    </row>
    <row r="14" ht="34" customHeight="1">
      <c r="A14" s="34" t="inlineStr">
        <is>
          <t>高</t>
        </is>
      </c>
      <c r="B14" s="4" t="inlineStr">
        <is>
          <t>令和6・7年度実績、令和8年度見込</t>
        </is>
      </c>
      <c r="C14" s="4" t="inlineStr">
        <is>
          <t>成果目標、サービス別利用者数・利用量、給付費、地域生活支援事業、相談件数</t>
        </is>
      </c>
      <c r="D14" s="4" t="inlineStr">
        <is>
          <t>前回計画評価／サービス見込量／財源構成案</t>
        </is>
      </c>
      <c r="E14" s="27" t="inlineStr">
        <is>
          <t>未受領</t>
        </is>
      </c>
      <c r="F14" s="22" t="inlineStr">
        <is>
          <t>2026-09-30</t>
        </is>
      </c>
      <c r="G14" s="37" t="n"/>
    </row>
    <row r="15" ht="34" customHeight="1">
      <c r="A15" s="34" t="inlineStr">
        <is>
          <t>高</t>
        </is>
      </c>
      <c r="B15" s="7" t="inlineStr">
        <is>
          <t>発送対象者数（重複除外後）</t>
        </is>
      </c>
      <c r="C15" s="7" t="inlineStr">
        <is>
          <t>仕様書の約190人の内訳と、現行計画156人との差の理由</t>
        </is>
      </c>
      <c r="D15" s="7" t="inlineStr">
        <is>
          <t>契約管理5／アンケート発送設計</t>
        </is>
      </c>
      <c r="E15" s="27" t="inlineStr">
        <is>
          <t>未受領</t>
        </is>
      </c>
      <c r="F15" s="26" t="inlineStr">
        <is>
          <t>2026-08-05</t>
        </is>
      </c>
      <c r="G15" s="37" t="n"/>
    </row>
    <row r="16" ht="34" customHeight="1">
      <c r="A16" s="34" t="inlineStr">
        <is>
          <t>高</t>
        </is>
      </c>
      <c r="B16" s="4" t="inlineStr">
        <is>
          <t>宛名ラベルシール</t>
        </is>
      </c>
      <c r="C16" s="4" t="inlineStr">
        <is>
          <t>仕様書Ⅰ(1)により委託者が抽出し提供</t>
        </is>
      </c>
      <c r="D16" s="4" t="inlineStr">
        <is>
          <t>アンケート発送</t>
        </is>
      </c>
      <c r="E16" s="27" t="inlineStr">
        <is>
          <t>未受領</t>
        </is>
      </c>
      <c r="F16" s="22" t="inlineStr">
        <is>
          <t>2026-08-05</t>
        </is>
      </c>
      <c r="G16" s="37" t="n"/>
    </row>
    <row r="17" ht="34" customHeight="1">
      <c r="A17" s="34" t="inlineStr">
        <is>
          <t>高</t>
        </is>
      </c>
      <c r="B17" s="7" t="inlineStr">
        <is>
          <t>特別支援学校・特別支援学級の在籍者</t>
        </is>
      </c>
      <c r="C17" s="7" t="inlineStr">
        <is>
          <t>学年、卒業予定年度、卒業後の進路。令和6〜7年度に卒業した方の現在の利用状況も含む</t>
        </is>
      </c>
      <c r="D17" s="7" t="inlineStr">
        <is>
          <t>サービス見込量 02・03</t>
        </is>
      </c>
      <c r="E17" s="27" t="inlineStr">
        <is>
          <t>未受領</t>
        </is>
      </c>
      <c r="F17" s="26" t="inlineStr">
        <is>
          <t>2026-09-30</t>
        </is>
      </c>
      <c r="G17" s="37" t="n"/>
    </row>
    <row r="18" ht="34" customHeight="1">
      <c r="A18" s="34" t="inlineStr">
        <is>
          <t>高</t>
        </is>
      </c>
      <c r="B18" s="4" t="inlineStr">
        <is>
          <t>令和9〜11年度の65歳到達者</t>
        </is>
      </c>
      <c r="C18" s="4" t="inlineStr">
        <is>
          <t>到達年度、現在利用しているサービス、月量</t>
        </is>
      </c>
      <c r="D18" s="4" t="inlineStr">
        <is>
          <t>サービス見込量 02・06</t>
        </is>
      </c>
      <c r="E18" s="27" t="inlineStr">
        <is>
          <t>未受領</t>
        </is>
      </c>
      <c r="F18" s="22" t="inlineStr">
        <is>
          <t>2026-09-30</t>
        </is>
      </c>
      <c r="G18" s="37" t="n"/>
    </row>
    <row r="19" ht="34" customHeight="1">
      <c r="A19" s="32" t="inlineStr">
        <is>
          <t>―</t>
        </is>
      </c>
      <c r="B19" s="7" t="inlineStr">
        <is>
          <t>前回調査の調査結果報告書</t>
        </is>
      </c>
      <c r="C19" s="7" t="inlineStr">
        <is>
          <t>発送164人・回収95人・回収率57.9%。設問別の集計結果を収録</t>
        </is>
      </c>
      <c r="D19" s="7" t="inlineStr">
        <is>
          <t>アンケート集計設計・経年比較</t>
        </is>
      </c>
      <c r="E19" s="36" t="inlineStr">
        <is>
          <t>受領済</t>
        </is>
      </c>
      <c r="F19" s="26" t="inlineStr">
        <is>
          <t>2026-08-03</t>
        </is>
      </c>
      <c r="G19" s="37" t="n"/>
    </row>
    <row r="20" ht="34" customHeight="1">
      <c r="A20" s="34" t="inlineStr">
        <is>
          <t>高</t>
        </is>
      </c>
      <c r="B20" s="4" t="inlineStr">
        <is>
          <t>小規模公表基準</t>
        </is>
      </c>
      <c r="C20" s="4" t="inlineStr">
        <is>
          <t>n&lt;5の秘匿、地区別・障がい種別クロスの扱い</t>
        </is>
      </c>
      <c r="D20" s="4" t="inlineStr">
        <is>
          <t>アンケート集計・報告書</t>
        </is>
      </c>
      <c r="E20" s="27" t="inlineStr">
        <is>
          <t>未受領</t>
        </is>
      </c>
      <c r="F20" s="22" t="inlineStr">
        <is>
          <t>2026-09-30</t>
        </is>
      </c>
      <c r="G20" s="37" t="n"/>
    </row>
    <row r="21" ht="34" customHeight="1">
      <c r="A21" s="34" t="inlineStr">
        <is>
          <t>高</t>
        </is>
      </c>
      <c r="B21" s="7" t="inlineStr">
        <is>
          <t>障がい福祉関係の歳入歳出決算</t>
        </is>
      </c>
      <c r="C21" s="7" t="inlineStr">
        <is>
          <t>自立支援給付費負担金、障害児施設給付費負担金、地域生活支援事業費補助金の交付額と村負担</t>
        </is>
      </c>
      <c r="D21" s="7" t="inlineStr">
        <is>
          <t>財源構成案 04・06・07</t>
        </is>
      </c>
      <c r="E21" s="27" t="inlineStr">
        <is>
          <t>未受領</t>
        </is>
      </c>
      <c r="F21" s="26" t="inlineStr">
        <is>
          <t>2026-10-31</t>
        </is>
      </c>
      <c r="G21" s="37" t="n"/>
    </row>
    <row r="22" ht="34" customHeight="1">
      <c r="A22" s="34" t="inlineStr">
        <is>
          <t>高</t>
        </is>
      </c>
      <c r="B22" s="4" t="inlineStr">
        <is>
          <t>令和6・7年度の障害児給付費の変動理由</t>
        </is>
      </c>
      <c r="C22" s="4" t="inlineStr">
        <is>
          <t>児童発達支援23件→1件、放課後等デイ12件→27件の理由。受給者単位で就学移行かを確認</t>
        </is>
      </c>
      <c r="D22" s="4" t="inlineStr">
        <is>
          <t>サービス見込量 04／計画本文</t>
        </is>
      </c>
      <c r="E22" s="27" t="inlineStr">
        <is>
          <t>未受領</t>
        </is>
      </c>
      <c r="F22" s="22" t="inlineStr">
        <is>
          <t>2026-09-30</t>
        </is>
      </c>
      <c r="G22" s="37" t="n"/>
    </row>
    <row r="23" ht="34" customHeight="1">
      <c r="A23" s="32" t="inlineStr">
        <is>
          <t>―</t>
        </is>
      </c>
      <c r="B23" s="7" t="inlineStr">
        <is>
          <t>現行計画本編（第4次障がい者計画・第7期・第3期）</t>
        </is>
      </c>
      <c r="C23" s="7" t="inlineStr">
        <is>
          <t>本編63頁、アンケート調査結果報告書69頁、概要版4頁。令和6年3月策定</t>
        </is>
      </c>
      <c r="D23" s="7" t="inlineStr">
        <is>
          <t>全体（年齢3区分別人口・前回調査の内訳を反映済み）</t>
        </is>
      </c>
      <c r="E23" s="36" t="inlineStr">
        <is>
          <t>受領済</t>
        </is>
      </c>
      <c r="F23" s="26" t="inlineStr">
        <is>
          <t>2026-08-03</t>
        </is>
      </c>
      <c r="G23" s="37" t="n"/>
    </row>
    <row r="24" ht="34" customHeight="1">
      <c r="A24" s="30" t="inlineStr">
        <is>
          <t>中</t>
        </is>
      </c>
      <c r="B24" s="4" t="inlineStr">
        <is>
          <t>圏域事業所の受入可能性</t>
        </is>
      </c>
      <c r="C24" s="4" t="inlineStr">
        <is>
          <t>定員、空き、送迎範囲、受入可否。介護保険事業所の共生型サービス指定の有無を含む</t>
        </is>
      </c>
      <c r="D24" s="4" t="inlineStr">
        <is>
          <t>サービス見込量 08</t>
        </is>
      </c>
      <c r="E24" s="27" t="inlineStr">
        <is>
          <t>未受領</t>
        </is>
      </c>
      <c r="F24" s="22" t="inlineStr">
        <is>
          <t>2026-10-31</t>
        </is>
      </c>
      <c r="G24" s="37" t="n"/>
    </row>
    <row r="25" ht="34" customHeight="1">
      <c r="A25" s="32" t="inlineStr">
        <is>
          <t>中</t>
        </is>
      </c>
      <c r="B25" s="7" t="inlineStr">
        <is>
          <t>医療的ケア児者・地域生活支援拠点・個別避難計画の実態</t>
        </is>
      </c>
      <c r="C25" s="7" t="inlineStr">
        <is>
          <t>対象者数、支援内容、拠点の検証会・緊急対応、名簿・計画の作成状況</t>
        </is>
      </c>
      <c r="D25" s="7" t="inlineStr">
        <is>
          <t>計画本文 第4章・第6章</t>
        </is>
      </c>
      <c r="E25" s="27" t="inlineStr">
        <is>
          <t>未受領</t>
        </is>
      </c>
      <c r="F25" s="26" t="inlineStr">
        <is>
          <t>2026-10-31</t>
        </is>
      </c>
      <c r="G25" s="37" t="n"/>
    </row>
    <row r="26" ht="34" customHeight="1">
      <c r="A26" s="30" t="inlineStr">
        <is>
          <t>中</t>
        </is>
      </c>
      <c r="B26" s="4" t="inlineStr">
        <is>
          <t>第5次総合振興計画たたき台、健康21現行計画、高齢者福祉・介護保険事業計画</t>
        </is>
      </c>
      <c r="C26" s="4" t="inlineStr">
        <is>
          <t>関連計画との整合確認</t>
        </is>
      </c>
      <c r="D26" s="4" t="inlineStr">
        <is>
          <t>計画本文 第1章・第7章</t>
        </is>
      </c>
      <c r="E26" s="27" t="inlineStr">
        <is>
          <t>未受領</t>
        </is>
      </c>
      <c r="F26" s="22" t="inlineStr">
        <is>
          <t>2026-10-31</t>
        </is>
      </c>
      <c r="G26" s="37" t="n"/>
    </row>
    <row r="27" ht="34" customHeight="1">
      <c r="A27" s="32" t="inlineStr">
        <is>
          <t>中</t>
        </is>
      </c>
      <c r="B27" s="7" t="inlineStr">
        <is>
          <t>40歳以上65歳未満の特定疾病該当者</t>
        </is>
      </c>
      <c r="C27" s="7" t="inlineStr">
        <is>
          <t>16の特定疾病に該当し要介護認定を受けている方の有無</t>
        </is>
      </c>
      <c r="D27" s="7" t="inlineStr">
        <is>
          <t>サービス見込量 02</t>
        </is>
      </c>
      <c r="E27" s="27" t="inlineStr">
        <is>
          <t>未受領</t>
        </is>
      </c>
      <c r="F27" s="26" t="inlineStr">
        <is>
          <t>2026-10-31</t>
        </is>
      </c>
      <c r="G27" s="37" t="n"/>
    </row>
    <row r="28" ht="34" customHeight="1">
      <c r="A28" s="30" t="inlineStr">
        <is>
          <t>中</t>
        </is>
      </c>
      <c r="B28" s="4" t="inlineStr">
        <is>
          <t>自立支援協議会の委員名簿</t>
        </is>
      </c>
      <c r="C28" s="4" t="inlineStr">
        <is>
          <t>任期・氏名・所属・役職</t>
        </is>
      </c>
      <c r="D28" s="4" t="inlineStr">
        <is>
          <t>計画書 資料編</t>
        </is>
      </c>
      <c r="E28" s="27" t="inlineStr">
        <is>
          <t>未受領</t>
        </is>
      </c>
      <c r="F28" s="22" t="inlineStr">
        <is>
          <t>2026-12-31</t>
        </is>
      </c>
      <c r="G28" s="37" t="n"/>
    </row>
    <row r="30" ht="40" customHeight="1">
      <c r="A30" s="2" t="inlineStr">
        <is>
          <t>未受領：23件（うち最優先3件、高9件）。最優先の3件が揃わないとサービス見込量の個別積上げと手帳所持者数の年齢階級別推計を確定できません。8月5日期限の3件（対象者数、宛名ラベル、印刷仕様）はアンケート発送のクリティカルパス上にあります。</t>
        </is>
      </c>
    </row>
  </sheetData>
  <autoFilter ref="A5:G28"/>
  <mergeCells count="3">
    <mergeCell ref="A30:G30"/>
    <mergeCell ref="A2:G2"/>
    <mergeCell ref="A1:G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9"/>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10" customWidth="1" min="3" max="3"/>
    <col width="34" customWidth="1" min="4" max="4"/>
    <col width="50" customWidth="1" min="5" max="5"/>
    <col width="50" customWidth="1" min="6" max="6"/>
    <col width="13" customWidth="1" min="7" max="7"/>
  </cols>
  <sheetData>
    <row r="1" ht="30" customHeight="1">
      <c r="A1" s="29" t="inlineStr">
        <is>
          <t>課題・リスク管理</t>
        </is>
      </c>
    </row>
    <row r="2" ht="30" customHeight="1">
      <c r="A2" s="2" t="inlineStr">
        <is>
          <t>業務遂行上の課題とリスクを、区分・重要度・対応方針とあわせて管理します。</t>
        </is>
      </c>
    </row>
    <row r="5" ht="30" customHeight="1">
      <c r="A5" s="3" t="inlineStr">
        <is>
          <t>No</t>
        </is>
      </c>
      <c r="B5" s="3" t="inlineStr">
        <is>
          <t>区分</t>
        </is>
      </c>
      <c r="C5" s="3" t="inlineStr">
        <is>
          <t>重要度</t>
        </is>
      </c>
      <c r="D5" s="3" t="inlineStr">
        <is>
          <t>リスク</t>
        </is>
      </c>
      <c r="E5" s="3" t="inlineStr">
        <is>
          <t>内容</t>
        </is>
      </c>
      <c r="F5" s="3" t="inlineStr">
        <is>
          <t>対応方針</t>
        </is>
      </c>
      <c r="G5" s="3" t="inlineStr">
        <is>
          <t>状態</t>
        </is>
      </c>
    </row>
    <row r="6" ht="46" customHeight="1">
      <c r="A6" s="30" t="inlineStr">
        <is>
          <t>R-1</t>
        </is>
      </c>
      <c r="B6" s="30" t="inlineStr">
        <is>
          <t>スケジュール</t>
        </is>
      </c>
      <c r="C6" s="27" t="inlineStr">
        <is>
          <t>高</t>
        </is>
      </c>
      <c r="D6" s="4" t="inlineStr">
        <is>
          <t>アンケート発送が工程案の8月上旬に間に合わない</t>
        </is>
      </c>
      <c r="E6" s="4" t="inlineStr">
        <is>
          <t>印刷仕様の協議、村ラベルの受領、村封筒の手配がすべて未了。1週間の遅延は回収期間または集計期間の圧縮に直結する</t>
        </is>
      </c>
      <c r="F6" s="4" t="inlineStr">
        <is>
          <t>8月5日までに印刷仕様を確定し、ラベル提供日を村と合意する</t>
        </is>
      </c>
      <c r="G6" s="30" t="inlineStr">
        <is>
          <t>対応中</t>
        </is>
      </c>
    </row>
    <row r="7" ht="46" customHeight="1">
      <c r="A7" s="32" t="inlineStr">
        <is>
          <t>R-2</t>
        </is>
      </c>
      <c r="B7" s="32" t="inlineStr">
        <is>
          <t>契約</t>
        </is>
      </c>
      <c r="C7" s="27" t="inlineStr">
        <is>
          <t>高</t>
        </is>
      </c>
      <c r="D7" s="7" t="inlineStr">
        <is>
          <t>印刷仕様が仕様書と乖離している</t>
        </is>
      </c>
      <c r="E7" s="7" t="inlineStr">
        <is>
          <t>仕様書はA4判・約24ページ・黒1色の1種類。実際は34ページと37ページの2種類</t>
        </is>
      </c>
      <c r="F7" s="7" t="inlineStr">
        <is>
          <t>ページ数・種類数・部数・単価の取扱いを村と協議し、結果を書面で残す</t>
        </is>
      </c>
      <c r="G7" s="32" t="inlineStr">
        <is>
          <t>未着手</t>
        </is>
      </c>
    </row>
    <row r="8" ht="46" customHeight="1">
      <c r="A8" s="30" t="inlineStr">
        <is>
          <t>R-3</t>
        </is>
      </c>
      <c r="B8" s="30" t="inlineStr">
        <is>
          <t>契約</t>
        </is>
      </c>
      <c r="C8" s="27" t="inlineStr">
        <is>
          <t>高</t>
        </is>
      </c>
      <c r="D8" s="4" t="inlineStr">
        <is>
          <t>郵送費の負担が仕様書と異なる運用になっている</t>
        </is>
      </c>
      <c r="E8" s="4" t="inlineStr">
        <is>
          <t>仕様書は受託者負担。打合せでは村が立替え後日実費精算</t>
        </is>
      </c>
      <c r="F8" s="4" t="inlineStr">
        <is>
          <t>精算方法・範囲・上限を書面で確認する</t>
        </is>
      </c>
      <c r="G8" s="30" t="inlineStr">
        <is>
          <t>未着手</t>
        </is>
      </c>
    </row>
    <row r="9" ht="46" customHeight="1">
      <c r="A9" s="32" t="inlineStr">
        <is>
          <t>R-4</t>
        </is>
      </c>
      <c r="B9" s="32" t="inlineStr">
        <is>
          <t>推計</t>
        </is>
      </c>
      <c r="C9" s="27" t="inlineStr">
        <is>
          <t>高</t>
        </is>
      </c>
      <c r="D9" s="7" t="inlineStr">
        <is>
          <t>対象者数が確定せず、推計の起点が定まらない</t>
        </is>
      </c>
      <c r="E9" s="7"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F9" s="7" t="inlineStr">
        <is>
          <t>発送前に村へ確認する。確認まで手帳所持者数の将来推計を確定値として記載しない</t>
        </is>
      </c>
      <c r="G9" s="32" t="inlineStr">
        <is>
          <t>対応中</t>
        </is>
      </c>
    </row>
    <row r="10" ht="46" customHeight="1">
      <c r="A10" s="30" t="inlineStr">
        <is>
          <t>R-5</t>
        </is>
      </c>
      <c r="B10" s="30" t="inlineStr">
        <is>
          <t>推計</t>
        </is>
      </c>
      <c r="C10" s="27" t="inlineStr">
        <is>
          <t>高</t>
        </is>
      </c>
      <c r="D10" s="4" t="inlineStr">
        <is>
          <t>個別積上げに必要な村資料が揃わない</t>
        </is>
      </c>
      <c r="E10" s="4" t="inlineStr">
        <is>
          <t>年齢別・サービス別の利用者一覧と支給決定者数（実人数）がないと見込量が確定しない</t>
        </is>
      </c>
      <c r="F10" s="4" t="inlineStr">
        <is>
          <t>8月末を目途に受領する。遅れる場合は現行計画の据置値で暫定版を作り、受領後に差し替える段取りを村と共有する</t>
        </is>
      </c>
      <c r="G10" s="30" t="inlineStr">
        <is>
          <t>対応中</t>
        </is>
      </c>
    </row>
    <row r="11" ht="46" customHeight="1">
      <c r="A11" s="32" t="inlineStr">
        <is>
          <t>R-6</t>
        </is>
      </c>
      <c r="B11" s="32" t="inlineStr">
        <is>
          <t>個人情報</t>
        </is>
      </c>
      <c r="C11" s="34" t="inlineStr">
        <is>
          <t>中</t>
        </is>
      </c>
      <c r="D11" s="7" t="inlineStr">
        <is>
          <t>少数母数のクロス集計で個人が特定される</t>
        </is>
      </c>
      <c r="E11" s="7" t="inlineStr">
        <is>
          <t>対象者が極めて少ないサービス・地区がある</t>
        </is>
      </c>
      <c r="F11" s="7" t="inlineStr">
        <is>
          <t>n&lt;5の秘匿基準を事前に村と合意する。公表用報告書と内部管理報告書を分離する</t>
        </is>
      </c>
      <c r="G11" s="32" t="inlineStr">
        <is>
          <t>対応中</t>
        </is>
      </c>
    </row>
    <row r="12" ht="46" customHeight="1">
      <c r="A12" s="30" t="inlineStr">
        <is>
          <t>R-7</t>
        </is>
      </c>
      <c r="B12" s="30" t="inlineStr">
        <is>
          <t>品質</t>
        </is>
      </c>
      <c r="C12" s="30" t="inlineStr">
        <is>
          <t>低</t>
        </is>
      </c>
      <c r="D12" s="4" t="inlineStr">
        <is>
          <t>骨子案が引用する国基準数値の原典照合が未了</t>
        </is>
      </c>
      <c r="E12" s="4"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F12" s="4" t="inlineStr">
        <is>
          <t>骨子案修正版 第4章へ反映済み。改正後概要と告示本文で表記が異なる箇所は告示本文に従う</t>
        </is>
      </c>
      <c r="G12" s="30" t="inlineStr">
        <is>
          <t>完了</t>
        </is>
      </c>
    </row>
    <row r="13" ht="46" customHeight="1">
      <c r="A13" s="32" t="inlineStr">
        <is>
          <t>R-12</t>
        </is>
      </c>
      <c r="B13" s="32" t="inlineStr">
        <is>
          <t>推計</t>
        </is>
      </c>
      <c r="C13" s="32" t="inlineStr">
        <is>
          <t>低</t>
        </is>
      </c>
      <c r="D13" s="7" t="inlineStr">
        <is>
          <t>基本指針 別表第五（地域差是正）の適用関係が未確定</t>
        </is>
      </c>
      <c r="E13" s="7"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F13" s="7" t="inlineStr">
        <is>
          <t>骨子案修正版 第5章1及びサービス見込量ブック 12 へ反映済み</t>
        </is>
      </c>
      <c r="G13" s="32" t="inlineStr">
        <is>
          <t>完了</t>
        </is>
      </c>
    </row>
    <row r="14" ht="46" customHeight="1">
      <c r="A14" s="30" t="inlineStr">
        <is>
          <t>R-14</t>
        </is>
      </c>
      <c r="B14" s="30" t="inlineStr">
        <is>
          <t>提供体制</t>
        </is>
      </c>
      <c r="C14" s="27" t="inlineStr">
        <is>
          <t>高</t>
        </is>
      </c>
      <c r="D14" s="4" t="inlineStr">
        <is>
          <t>村内に障がい福祉サービス事業所が1か所もない</t>
        </is>
      </c>
      <c r="E14" s="4" t="inlineStr">
        <is>
          <t>基本指針 第三の二の2(二)は、訪問系サービス及び指定通所支援について「各市町村において事業を実施する事業所を最低一箇所確保できるよう努める」としている。本村は0か所であり、圏域及び近隣市の事業所に全面的に依存している。事業所の撤退・受入制限がそのまま利用不能につながる</t>
        </is>
      </c>
      <c r="F14"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に位置づけた。圏域4町村の担当者会議で各制度の活用可能性を確認する</t>
        </is>
      </c>
      <c r="G14" s="30" t="inlineStr">
        <is>
          <t>対応中</t>
        </is>
      </c>
    </row>
    <row r="15" ht="46" customHeight="1">
      <c r="A15" s="32" t="inlineStr">
        <is>
          <t>R-13</t>
        </is>
      </c>
      <c r="B15" s="32" t="inlineStr">
        <is>
          <t>財源</t>
        </is>
      </c>
      <c r="C15" s="34" t="inlineStr">
        <is>
          <t>中</t>
        </is>
      </c>
      <c r="D15" s="7" t="inlineStr">
        <is>
          <t>令和8年度・令和9年度の報酬改定により単価前提が動く</t>
        </is>
      </c>
      <c r="E15" s="7"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F15" s="7" t="inlineStr">
        <is>
          <t>財源構成案 08シートに改定率パラメータを設置済み。改定内容の確定後に入力する</t>
        </is>
      </c>
      <c r="G15" s="32" t="inlineStr">
        <is>
          <t>対応中</t>
        </is>
      </c>
    </row>
    <row r="16" ht="46" customHeight="1">
      <c r="A16" s="30" t="inlineStr">
        <is>
          <t>R-8</t>
        </is>
      </c>
      <c r="B16" s="30" t="inlineStr">
        <is>
          <t>品質</t>
        </is>
      </c>
      <c r="C16" s="34" t="inlineStr">
        <is>
          <t>中</t>
        </is>
      </c>
      <c r="D16" s="4" t="inlineStr">
        <is>
          <t>障がい児版調査票のルビ構造により本文が欠落して見える箇所がある</t>
        </is>
      </c>
      <c r="E16" s="4" t="inlineStr">
        <is>
          <t>問1〜問15で語句が欠けて抽出される。Word表示上は正常な可能性もある</t>
        </is>
      </c>
      <c r="F16" s="4" t="inlineStr">
        <is>
          <t>Word上でルビなしテキストとして読んで意味が通るかを確認する</t>
        </is>
      </c>
      <c r="G16" s="30" t="inlineStr">
        <is>
          <t>対応中</t>
        </is>
      </c>
    </row>
    <row r="17" ht="46" customHeight="1">
      <c r="A17" s="32" t="inlineStr">
        <is>
          <t>R-9</t>
        </is>
      </c>
      <c r="B17" s="32" t="inlineStr">
        <is>
          <t>調査設計</t>
        </is>
      </c>
      <c r="C17" s="34" t="inlineStr">
        <is>
          <t>中</t>
        </is>
      </c>
      <c r="D17" s="7" t="inlineStr">
        <is>
          <t>障がい者票に介護保険・65歳到達に関する設問がない</t>
        </is>
      </c>
      <c r="E17" s="7" t="inlineStr">
        <is>
          <t>令和11年の高齢化率が48.1%となる村で、65歳前後の実態を把握する手段がない</t>
        </is>
      </c>
      <c r="F17" s="7" t="inlineStr">
        <is>
          <t>発送前であれば既存設問への選択肢追加で対応する。追加しない場合は支給決定者台帳での確認に一本化する</t>
        </is>
      </c>
      <c r="G17" s="32" t="inlineStr">
        <is>
          <t>判断待ち</t>
        </is>
      </c>
    </row>
    <row r="18" ht="46" customHeight="1">
      <c r="A18" s="30" t="inlineStr">
        <is>
          <t>R-11</t>
        </is>
      </c>
      <c r="B18" s="30" t="inlineStr">
        <is>
          <t>調査設計</t>
        </is>
      </c>
      <c r="C18" s="27" t="inlineStr">
        <is>
          <t>高</t>
        </is>
      </c>
      <c r="D18" s="4" t="inlineStr">
        <is>
          <t>第4次障がい者計画の施策目標のうち1指標が測定できない</t>
        </is>
      </c>
      <c r="E18" s="4" t="inlineStr">
        <is>
          <t>「外出目的が趣味・スポーツ・グループ活動である人の割合（28.1%→40%）」について、前回調査にあった外出目的の設問が0728調査票にない</t>
        </is>
      </c>
      <c r="F18" s="4" t="inlineStr">
        <is>
          <t>発送前であれば問13の後に外出目的の設問を追加するか、問45の選択肢を前回に揃える。発送後であれば別の把握方法へ切り替える旨を村と協議する</t>
        </is>
      </c>
      <c r="G18" s="30" t="inlineStr">
        <is>
          <t>判断待ち</t>
        </is>
      </c>
    </row>
    <row r="19" ht="46" customHeight="1">
      <c r="A19" s="32" t="inlineStr">
        <is>
          <t>R-10</t>
        </is>
      </c>
      <c r="B19" s="32" t="inlineStr">
        <is>
          <t>供給</t>
        </is>
      </c>
      <c r="C19" s="34" t="inlineStr">
        <is>
          <t>中</t>
        </is>
      </c>
      <c r="D19" s="7" t="inlineStr">
        <is>
          <t>圏域事業所の受入可能量が見込量の上限になる</t>
        </is>
      </c>
      <c r="E19" s="7" t="inlineStr">
        <is>
          <t>村内に事業所がなく、送迎・人材・定員が制約となる</t>
        </is>
      </c>
      <c r="F19" s="7" t="inlineStr">
        <is>
          <t>圏域事業所へ照会し、利用希望量と利用可能量を分けて管理する</t>
        </is>
      </c>
      <c r="G19" s="32" t="inlineStr">
        <is>
          <t>未着手</t>
        </is>
      </c>
    </row>
  </sheetData>
  <autoFilter ref="A5:G19"/>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20" customWidth="1" min="3" max="3"/>
    <col width="30" customWidth="1" min="4" max="4"/>
    <col width="50" customWidth="1" min="5" max="5"/>
    <col width="40" customWidth="1" min="6" max="6"/>
  </cols>
  <sheetData>
    <row r="1" ht="30" customHeight="1">
      <c r="A1" s="29" t="inlineStr">
        <is>
          <t>打合せ・会議の記録（仕様書Ⅲ・Ⅱ(7)）</t>
        </is>
      </c>
    </row>
    <row r="2" ht="30" customHeight="1">
      <c r="A2" s="2" t="inlineStr">
        <is>
          <t>仕様書Ⅲの打合せ等業務と、Ⅱ(7)の自立支援協議会の開催記録です。協議会の開催は1回程度を見込みます。</t>
        </is>
      </c>
    </row>
    <row r="5" ht="30" customHeight="1">
      <c r="A5" s="3" t="inlineStr">
        <is>
          <t>日付</t>
        </is>
      </c>
      <c r="B5" s="3" t="inlineStr">
        <is>
          <t>区分</t>
        </is>
      </c>
      <c r="C5" s="3" t="inlineStr">
        <is>
          <t>場所・形式</t>
        </is>
      </c>
      <c r="D5" s="3" t="inlineStr">
        <is>
          <t>出席</t>
        </is>
      </c>
      <c r="E5" s="3" t="inlineStr">
        <is>
          <t>主な決定事項</t>
        </is>
      </c>
      <c r="F5" s="3" t="inlineStr">
        <is>
          <t>残課題</t>
        </is>
      </c>
    </row>
    <row r="6" ht="66" customHeight="1">
      <c r="A6" s="22" t="inlineStr">
        <is>
          <t>2026-07-07</t>
        </is>
      </c>
      <c r="B6" s="30" t="inlineStr">
        <is>
          <t>打合せ</t>
        </is>
      </c>
      <c r="C6" s="4" t="inlineStr">
        <is>
          <t>北塩原村役場（対面）</t>
        </is>
      </c>
      <c r="D6" s="4" t="inlineStr">
        <is>
          <t>村：保健福祉課ほか3名／当社：3名</t>
        </is>
      </c>
      <c r="E6" s="4" t="inlineStr">
        <is>
          <t>アンケートを障がい者用・障がい児用の2種類に分離。村の封筒を使用し差出人・返送先を村役場に設定。村役場で一括受領し窓口回収。郵便料金は村が立替え後日精算。14pt・ルビ・白黒印刷。重複回答等は集計除外せず報告書欄外に件数を注記。8月上旬発送。</t>
        </is>
      </c>
      <c r="F6" s="4" t="inlineStr">
        <is>
          <t>郵送費の精算方法の書面化、印刷仕様の確定、ラベル提供時期</t>
        </is>
      </c>
    </row>
    <row r="7" ht="30" customHeight="1">
      <c r="A7" s="37" t="n"/>
      <c r="B7" s="38" t="inlineStr">
        <is>
          <t>打合せ</t>
        </is>
      </c>
      <c r="C7" s="39" t="n"/>
      <c r="D7" s="39" t="n"/>
      <c r="E7" s="39" t="n"/>
      <c r="F7" s="39" t="n"/>
    </row>
    <row r="8" ht="30" customHeight="1">
      <c r="A8" s="37" t="n"/>
      <c r="B8" s="38" t="inlineStr">
        <is>
          <t>協議会</t>
        </is>
      </c>
      <c r="C8" s="39" t="n"/>
      <c r="D8" s="39" t="n"/>
      <c r="E8" s="39" t="n"/>
      <c r="F8" s="39" t="n"/>
    </row>
    <row r="9" ht="30" customHeight="1">
      <c r="A9" s="37" t="n"/>
      <c r="B9" s="38" t="inlineStr">
        <is>
          <t>打合せ</t>
        </is>
      </c>
      <c r="C9" s="39" t="n"/>
      <c r="D9" s="39" t="n"/>
      <c r="E9" s="39" t="n"/>
      <c r="F9" s="39" t="n"/>
    </row>
  </sheetData>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4"/>
  <sheetViews>
    <sheetView showGridLines="0" workbookViewId="0">
      <pane ySplit="4" topLeftCell="A5" activePane="bottomLeft" state="frozen"/>
      <selection pane="bottomLeft" activeCell="A1" sqref="A1"/>
    </sheetView>
  </sheetViews>
  <sheetFormatPr baseColWidth="8" defaultRowHeight="15"/>
  <cols>
    <col width="14" customWidth="1" min="1" max="1"/>
    <col width="24" customWidth="1" min="2" max="2"/>
    <col width="60" customWidth="1" min="3" max="3"/>
    <col width="40" customWidth="1" min="4" max="4"/>
  </cols>
  <sheetData>
    <row r="1" ht="30" customHeight="1">
      <c r="A1" s="29" t="inlineStr">
        <is>
          <t>進捗管理の更新履歴</t>
        </is>
      </c>
    </row>
    <row r="2" ht="30" customHeight="1">
      <c r="A2" s="2" t="inlineStr">
        <is>
          <t>本ブックの更新と、主要な成果物の版を記録します。</t>
        </is>
      </c>
    </row>
    <row r="5" ht="30" customHeight="1">
      <c r="A5" s="3" t="inlineStr">
        <is>
          <t>日付</t>
        </is>
      </c>
      <c r="B5" s="3" t="inlineStr">
        <is>
          <t>区分</t>
        </is>
      </c>
      <c r="C5" s="3" t="inlineStr">
        <is>
          <t>内容</t>
        </is>
      </c>
      <c r="D5" s="3" t="inlineStr">
        <is>
          <t>成果物</t>
        </is>
      </c>
    </row>
    <row r="6" ht="34" customHeight="1">
      <c r="A6" s="22" t="inlineStr">
        <is>
          <t>2026-08-03</t>
        </is>
      </c>
      <c r="B6" s="30" t="inlineStr">
        <is>
          <t>計画素案</t>
        </is>
      </c>
      <c r="C6" s="4" t="inlineStr">
        <is>
          <t>第3章を「第4次障がい者計画の推進状況（参考）」から「計画の基本理念・基本目標及び施策体系」へ再構成。第8期で加わる視点と施策体系の対応表を新設し、仕様書4-Ⅱ(5)①②を措置</t>
        </is>
      </c>
      <c r="D6" s="4" t="inlineStr">
        <is>
          <t>北塩原村_骨子案_修正版.docx</t>
        </is>
      </c>
    </row>
    <row r="7" ht="34" customHeight="1">
      <c r="A7" s="26" t="inlineStr">
        <is>
          <t>2026-08-03</t>
        </is>
      </c>
      <c r="B7" s="32" t="inlineStr">
        <is>
          <t>評価</t>
        </is>
      </c>
      <c r="C7" s="7" t="inlineStr">
        <is>
          <t>現行計画評価ブックを作成。令和3〜5年度の見込量と実績を突合し、計上漏れ2件・過大計上3件・施策指標1件の測定不能を検出</t>
        </is>
      </c>
      <c r="D7" s="7" t="inlineStr">
        <is>
          <t>北塩原村_現行計画評価.xlsx</t>
        </is>
      </c>
    </row>
    <row r="8" ht="34" customHeight="1">
      <c r="A8" s="22" t="inlineStr">
        <is>
          <t>2026-08-03</t>
        </is>
      </c>
      <c r="B8" s="30" t="inlineStr">
        <is>
          <t>資料受領</t>
        </is>
      </c>
      <c r="C8" s="4" t="inlineStr">
        <is>
          <t>現行計画本編・アンケート調査結果報告書・概要版を受領。年齢3区分別人口5年分、前回調査の内訳（発送164人・回収95人）、成果目標の設定根拠が確定。将来推計・給付費の記載がないことを一次確認</t>
        </is>
      </c>
      <c r="D8" s="4" t="inlineStr">
        <is>
          <t>現行計画本編（3379.pdf）／調査結果報告書（3380.pdf）／概要版（3388.pdf）</t>
        </is>
      </c>
    </row>
    <row r="9" ht="34" customHeight="1">
      <c r="A9" s="26" t="inlineStr">
        <is>
          <t>2026-08-03</t>
        </is>
      </c>
      <c r="B9" s="32" t="inlineStr">
        <is>
          <t>進捗管理</t>
        </is>
      </c>
      <c r="C9" s="7" t="inlineStr">
        <is>
          <t>業務進捗管理ブックを新規作成。仕様書条項別の進捗台帳、村資料受領状況、課題・リスクを一本化</t>
        </is>
      </c>
      <c r="D9" s="7" t="inlineStr">
        <is>
          <t>北塩原村_業務進捗管理.xlsx</t>
        </is>
      </c>
    </row>
    <row r="10" ht="34" customHeight="1">
      <c r="A10" s="22" t="inlineStr">
        <is>
          <t>2026-08-03</t>
        </is>
      </c>
      <c r="B10" s="30" t="inlineStr">
        <is>
          <t>推計方法</t>
        </is>
      </c>
      <c r="C10" s="4" t="inlineStr">
        <is>
          <t>サービス見込量を個別積上げ方式へ切替。計画素案に第5章1（見込量の推計方法）・第5章2（年齢到達に伴うサービスの移行）を新設</t>
        </is>
      </c>
      <c r="D10" s="4" t="inlineStr">
        <is>
          <t>北塩原村_サービス見込量.xlsx／北塩原村_骨子案_修正版.docx</t>
        </is>
      </c>
    </row>
    <row r="11" ht="34" customHeight="1">
      <c r="A11" s="26" t="inlineStr">
        <is>
          <t>2026-08-03</t>
        </is>
      </c>
      <c r="B11" s="32" t="inlineStr">
        <is>
          <t>調査</t>
        </is>
      </c>
      <c r="C11" s="7" t="inlineStr">
        <is>
          <t>年齢到達による給付の終了・移行を調査。骨子案に65歳・18歳の記述が0件、障がい者票に介護保険の設問がないことを確認</t>
        </is>
      </c>
      <c r="D11" s="7" t="inlineStr">
        <is>
          <t>北塩原村_年齢到達による給付移行_調査報告.md</t>
        </is>
      </c>
    </row>
    <row r="12" ht="34" customHeight="1">
      <c r="A12" s="22" t="inlineStr">
        <is>
          <t>2026-08-03</t>
        </is>
      </c>
      <c r="B12" s="30" t="inlineStr">
        <is>
          <t>検証</t>
        </is>
      </c>
      <c r="C12" s="4" t="inlineStr">
        <is>
          <t>推計方法のレッドチーム検証。時点表記の1年ずれ、方法Aの予測区間、方法Bの分母感度、過去稿の記載と計算の不一致を検出・修正</t>
        </is>
      </c>
      <c r="D12" s="4" t="inlineStr">
        <is>
          <t>北塩原村_推計方法_レッドチーム検証.md</t>
        </is>
      </c>
    </row>
    <row r="13" ht="34" customHeight="1">
      <c r="A13" s="26" t="inlineStr">
        <is>
          <t>2026-08-03</t>
        </is>
      </c>
      <c r="B13" s="32" t="inlineStr">
        <is>
          <t>計画素案</t>
        </is>
      </c>
      <c r="C13" s="7" t="inlineStr">
        <is>
          <t>骨子案を正本とし、手帳将来推計・最新人口・財源構成・こども家庭センターを移植</t>
        </is>
      </c>
      <c r="D13" s="7" t="inlineStr">
        <is>
          <t>北塩原村_骨子案_修正版.docx</t>
        </is>
      </c>
    </row>
    <row r="14" ht="34" customHeight="1">
      <c r="A14" s="22" t="inlineStr">
        <is>
          <t>2026-08-03</t>
        </is>
      </c>
      <c r="B14" s="30" t="inlineStr">
        <is>
          <t>レビュー</t>
        </is>
      </c>
      <c r="C14" s="4" t="inlineStr">
        <is>
          <t>骨子案★版と計画素案第9稿を比較し、正本を骨子案に決定</t>
        </is>
      </c>
      <c r="D14" s="4" t="inlineStr">
        <is>
          <t>北塩原村_骨子案_計画素案第9稿_比較レビュー.md</t>
        </is>
      </c>
    </row>
    <row r="15" ht="34" customHeight="1">
      <c r="A15" s="26" t="inlineStr">
        <is>
          <t>2026-08-03</t>
        </is>
      </c>
      <c r="B15" s="32" t="inlineStr">
        <is>
          <t>受注整理</t>
        </is>
      </c>
      <c r="C15" s="7" t="inlineStr">
        <is>
          <t>仕様書・議事録・成果物を突合し受注内容を整理</t>
        </is>
      </c>
      <c r="D15" s="7" t="inlineStr">
        <is>
          <t>北塩原村_第8期障がい福祉計画_受注内容整理.md</t>
        </is>
      </c>
    </row>
    <row r="16" ht="34" customHeight="1">
      <c r="A16" s="22" t="inlineStr">
        <is>
          <t>2026-07-28</t>
        </is>
      </c>
      <c r="B16" s="30" t="inlineStr">
        <is>
          <t>調査票</t>
        </is>
      </c>
      <c r="C16" s="4" t="inlineStr">
        <is>
          <t>0728版アンケート調査票のレビュー（障がい者52問・障がい児51問）</t>
        </is>
      </c>
      <c r="D16" s="4" t="inlineStr">
        <is>
          <t>0728北塩原村_障がい福祉／障がい児福祉アンケート調査票.docx</t>
        </is>
      </c>
    </row>
    <row r="17" ht="34" customHeight="1">
      <c r="A17" s="26" t="inlineStr">
        <is>
          <t>2026-07-24</t>
        </is>
      </c>
      <c r="B17" s="32" t="inlineStr">
        <is>
          <t>実績</t>
        </is>
      </c>
      <c r="C17" s="7" t="inlineStr">
        <is>
          <t>障がいサービス給付実績（令和2〜7年度）を整理</t>
        </is>
      </c>
      <c r="D17" s="7" t="inlineStr">
        <is>
          <t>北塩原村_障がいサービス給付実績_整理版.xlsx</t>
        </is>
      </c>
    </row>
    <row r="18" ht="34" customHeight="1">
      <c r="A18" s="22" t="inlineStr">
        <is>
          <t>2026-07-07</t>
        </is>
      </c>
      <c r="B18" s="30" t="inlineStr">
        <is>
          <t>打合せ</t>
        </is>
      </c>
      <c r="C18" s="4" t="inlineStr">
        <is>
          <t>北塩原村役場にて打合せ。アンケート実施設計を決定</t>
        </is>
      </c>
      <c r="D18" s="4" t="inlineStr">
        <is>
          <t>議事録</t>
        </is>
      </c>
    </row>
    <row r="19">
      <c r="A19" s="37" t="n"/>
      <c r="B19" s="38" t="n"/>
      <c r="C19" s="39" t="n"/>
      <c r="D19" s="39" t="n"/>
    </row>
    <row r="20">
      <c r="A20" s="37" t="n"/>
      <c r="B20" s="38" t="n"/>
      <c r="C20" s="39" t="n"/>
      <c r="D20" s="39" t="n"/>
    </row>
    <row r="21">
      <c r="A21" s="37" t="n"/>
      <c r="B21" s="38" t="n"/>
      <c r="C21" s="39" t="n"/>
      <c r="D21" s="39" t="n"/>
    </row>
    <row r="22">
      <c r="A22" s="37" t="n"/>
      <c r="B22" s="38" t="n"/>
      <c r="C22" s="39" t="n"/>
      <c r="D22" s="39" t="n"/>
    </row>
    <row r="23">
      <c r="A23" s="37" t="n"/>
      <c r="B23" s="38" t="n"/>
      <c r="C23" s="39" t="n"/>
      <c r="D23" s="39" t="n"/>
    </row>
    <row r="24">
      <c r="A24" s="37" t="n"/>
      <c r="B24" s="38" t="n"/>
      <c r="C24" s="39" t="n"/>
      <c r="D24" s="39" t="n"/>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2026-08-05T04:05:58Z</dcterms:created>
  <dcterms:modified xmlns:dcterms="http://purl.org/dc/terms/" xmlns:xsi="http://www.w3.org/2001/XMLSchema-instance" xsi:type="dcterms:W3CDTF">2026-08-05T04:05:58Z</dcterms:modified>
</cp:coreProperties>
</file>