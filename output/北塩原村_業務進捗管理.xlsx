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'05_課題・リスク'!$A$5:$G$27</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骨子案修正版（目次整理済・推定54頁）／分量配分計画（docs・進捗管理08）／北塩原村_目次構成_前回対比.xlsx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5"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サービス見込量の個別積上げ（13シート）</t>
        </is>
      </c>
      <c r="D14" s="24" t="n"/>
      <c r="E14" s="35" t="inlineStr">
        <is>
          <t>作業中</t>
        </is>
      </c>
      <c r="F14" s="24" t="n"/>
      <c r="G14" s="4" t="inlineStr">
        <is>
          <t>年齢到達者一覧、65歳移行判定、供給制約、告示別表第一根拠、別表第五判定を含む</t>
        </is>
      </c>
    </row>
    <row r="15" ht="28" customHeight="1">
      <c r="A15" s="32" t="inlineStr">
        <is>
          <t>推計</t>
        </is>
      </c>
      <c r="B15" s="7" t="inlineStr">
        <is>
          <t>北塩原村_活動指標.xlsx</t>
        </is>
      </c>
      <c r="C15" s="7" t="inlineStr">
        <is>
          <t>活動指標の設定（4シート）</t>
        </is>
      </c>
      <c r="D15" s="24" t="n"/>
      <c r="E15" s="35" t="inlineStr">
        <is>
          <t>作業中</t>
        </is>
      </c>
      <c r="F15" s="24" t="n"/>
      <c r="G15" s="7" t="inlineStr">
        <is>
          <t>別表第一の83項目。必須33・任意。仕様書4-Ⅱ(3)⑤に対応</t>
        </is>
      </c>
    </row>
    <row r="16" ht="28" customHeight="1">
      <c r="A16" s="30" t="inlineStr">
        <is>
          <t>資源</t>
        </is>
      </c>
      <c r="B16" s="4" t="inlineStr">
        <is>
          <t>北塩原村_圏域サービス資源.xlsx</t>
        </is>
      </c>
      <c r="C16" s="4" t="inlineStr">
        <is>
          <t>圏域の事業所数（5シート）</t>
        </is>
      </c>
      <c r="D16" s="24" t="n"/>
      <c r="E16" s="33" t="inlineStr">
        <is>
          <t>完了</t>
        </is>
      </c>
      <c r="F16" s="24" t="n"/>
      <c r="G16" s="4" t="inlineStr">
        <is>
          <t>ReMHRAD障害福祉資源18サービス×市町村別、2020→2025</t>
        </is>
      </c>
    </row>
    <row r="17" ht="28" customHeight="1">
      <c r="A17" s="32" t="inlineStr">
        <is>
          <t>精神</t>
        </is>
      </c>
      <c r="B17" s="7" t="inlineStr">
        <is>
          <t>福島県_精神医療指標抽出.xlsx</t>
        </is>
      </c>
      <c r="C17" s="7" t="inlineStr">
        <is>
          <t>福島県の精神医療指標（7シート）</t>
        </is>
      </c>
      <c r="D17" s="24" t="n"/>
      <c r="E17" s="33" t="inlineStr">
        <is>
          <t>完了</t>
        </is>
      </c>
      <c r="F17" s="24" t="n"/>
      <c r="G17" s="7" t="inlineStr">
        <is>
          <t>平均生活日数・再入院率・長期入院患者・別表第四の当てはめ・村の在院者</t>
        </is>
      </c>
    </row>
    <row r="18" ht="28" customHeight="1">
      <c r="A18" s="30" t="inlineStr">
        <is>
          <t>財源</t>
        </is>
      </c>
      <c r="B18" s="4" t="inlineStr">
        <is>
          <t>北塩原村_財源構成案.xlsx</t>
        </is>
      </c>
      <c r="C18" s="4" t="inlineStr">
        <is>
          <t>国・県・村の負担内訳（10シート）</t>
        </is>
      </c>
      <c r="D18" s="24" t="n"/>
      <c r="E18" s="35" t="inlineStr">
        <is>
          <t>作業中</t>
        </is>
      </c>
      <c r="F18" s="24" t="n"/>
      <c r="G18" s="4" t="inlineStr">
        <is>
          <t>給付実績R2〜R7、財源構成試算、見込量×単価の積上げ</t>
        </is>
      </c>
    </row>
    <row r="19" ht="28" customHeight="1">
      <c r="A19" s="32" t="inlineStr">
        <is>
          <t>評価</t>
        </is>
      </c>
      <c r="B19" s="7" t="inlineStr">
        <is>
          <t>北塩原村_現行計画評価.xlsx</t>
        </is>
      </c>
      <c r="C19" s="7" t="inlineStr">
        <is>
          <t>現行計画の評価（7シート）</t>
        </is>
      </c>
      <c r="D19" s="24" t="n"/>
      <c r="E19" s="35" t="inlineStr">
        <is>
          <t>作業中</t>
        </is>
      </c>
      <c r="F19" s="24" t="n"/>
      <c r="G19" s="7" t="inlineStr">
        <is>
          <t>令和3〜5年度の見込量と実績の突合、成果目標・施策目標の評価</t>
        </is>
      </c>
    </row>
    <row r="20" ht="28" customHeight="1">
      <c r="A20" s="30" t="inlineStr">
        <is>
          <t>管理</t>
        </is>
      </c>
      <c r="B20" s="4" t="inlineStr">
        <is>
          <t>北塩原村_業務進捗管理.xlsx</t>
        </is>
      </c>
      <c r="C20" s="4" t="inlineStr">
        <is>
          <t>本ブック</t>
        </is>
      </c>
      <c r="D20" s="24" t="n"/>
      <c r="E20" s="35" t="inlineStr">
        <is>
          <t>作業中</t>
        </is>
      </c>
      <c r="F20" s="24" t="n"/>
      <c r="G20" s="4" t="inlineStr">
        <is>
          <t>納品対象とするか村と確認</t>
        </is>
      </c>
    </row>
    <row r="21" ht="28" customHeight="1">
      <c r="A21" s="32" t="inlineStr">
        <is>
          <t>調査</t>
        </is>
      </c>
      <c r="B21" s="7" t="inlineStr">
        <is>
          <t>0728北塩原村_障がい福祉アンケート調査票.docx</t>
        </is>
      </c>
      <c r="C21" s="7" t="inlineStr">
        <is>
          <t>調査票（障がい者版・52問）</t>
        </is>
      </c>
      <c r="D21" s="24" t="n"/>
      <c r="E21" s="34" t="inlineStr">
        <is>
          <t>概ね完了</t>
        </is>
      </c>
      <c r="F21" s="24" t="n"/>
      <c r="G21" s="7" t="inlineStr">
        <is>
          <t>最終目視確認が残</t>
        </is>
      </c>
    </row>
    <row r="22" ht="28" customHeight="1">
      <c r="A22" s="30" t="inlineStr">
        <is>
          <t>調査</t>
        </is>
      </c>
      <c r="B22" s="4" t="inlineStr">
        <is>
          <t>0728北塩原村_障がい児福祉アンケート調査票.docx</t>
        </is>
      </c>
      <c r="C22" s="4" t="inlineStr">
        <is>
          <t>調査票（障がい児版・51問）</t>
        </is>
      </c>
      <c r="D22" s="24" t="n"/>
      <c r="E22" s="34" t="inlineStr">
        <is>
          <t>概ね完了</t>
        </is>
      </c>
      <c r="F22" s="24" t="n"/>
      <c r="G22" s="4" t="inlineStr">
        <is>
          <t>ルビ構造の確認が残</t>
        </is>
      </c>
    </row>
    <row r="23" ht="28" customHeight="1">
      <c r="A23" s="32" t="inlineStr">
        <is>
          <t>調査</t>
        </is>
      </c>
      <c r="B23" s="7" t="inlineStr">
        <is>
          <t>Googleフォーム自動作成 Code（.gs）</t>
        </is>
      </c>
      <c r="C23" s="7" t="inlineStr">
        <is>
          <t>ウェブ回答フォームの生成スクリプト</t>
        </is>
      </c>
      <c r="D23" s="24" t="n"/>
      <c r="E23" s="34" t="inlineStr">
        <is>
          <t>概ね完了</t>
        </is>
      </c>
      <c r="F23" s="24" t="n"/>
      <c r="G23" s="7" t="inlineStr">
        <is>
          <t>選択肢順序の固定が残</t>
        </is>
      </c>
    </row>
    <row r="24" ht="28" customHeight="1">
      <c r="A24" s="30" t="inlineStr">
        <is>
          <t>実績</t>
        </is>
      </c>
      <c r="B24" s="4" t="inlineStr">
        <is>
          <t>北塩原村_障がいサービス給付実績_整理版.xlsx</t>
        </is>
      </c>
      <c r="C24" s="4" t="inlineStr">
        <is>
          <t>受領データの整理版（6シート）</t>
        </is>
      </c>
      <c r="D24" s="24" t="n"/>
      <c r="E24" s="33" t="inlineStr">
        <is>
          <t>完了</t>
        </is>
      </c>
      <c r="F24" s="24" t="n"/>
      <c r="G24" s="4" t="inlineStr">
        <is>
          <t>令和2〜7年度、介護給付費・障害児給付費</t>
        </is>
      </c>
    </row>
    <row r="25" ht="28" customHeight="1">
      <c r="A25" s="32" t="inlineStr">
        <is>
          <t>指標</t>
        </is>
      </c>
      <c r="B25" s="7" t="inlineStr">
        <is>
          <t>北塩原村_活動指標.xlsx</t>
        </is>
      </c>
      <c r="C25" s="7" t="inlineStr">
        <is>
          <t>活動指標の設定（4シート）</t>
        </is>
      </c>
      <c r="D25" s="24" t="n"/>
      <c r="E25" s="35" t="inlineStr">
        <is>
          <t>作業中</t>
        </is>
      </c>
      <c r="F25" s="24" t="n"/>
      <c r="G25" s="7" t="inlineStr">
        <is>
          <t>別表第一83項目。必須33・任意。仕様書4-Ⅱ(3)⑤</t>
        </is>
      </c>
    </row>
    <row r="26" ht="28" customHeight="1">
      <c r="A26" s="30" t="inlineStr">
        <is>
          <t>事業</t>
        </is>
      </c>
      <c r="B26" s="4" t="inlineStr">
        <is>
          <t>北塩原村_地域生活支援事業.xlsx</t>
        </is>
      </c>
      <c r="C26" s="4" t="inlineStr">
        <is>
          <t>地域生活支援事業（4シート）</t>
        </is>
      </c>
      <c r="D26" s="24" t="n"/>
      <c r="E26" s="35" t="inlineStr">
        <is>
          <t>作業中</t>
        </is>
      </c>
      <c r="F26" s="24" t="n"/>
      <c r="G26" s="4" t="inlineStr">
        <is>
          <t>必須15・任意3。告示第三の二の3の4事項との対応</t>
        </is>
      </c>
    </row>
    <row r="27" ht="28" customHeight="1">
      <c r="A27" s="32" t="inlineStr">
        <is>
          <t>会議</t>
        </is>
      </c>
      <c r="B27" s="7" t="inlineStr">
        <is>
          <t>会議資料/（5ファイル）</t>
        </is>
      </c>
      <c r="C27" s="7" t="inlineStr">
        <is>
          <t>協議会資料1・2・8、庁議資料2・4</t>
        </is>
      </c>
      <c r="D27" s="24" t="n"/>
      <c r="E27" s="35" t="inlineStr">
        <is>
          <t>作業中</t>
        </is>
      </c>
      <c r="F27" s="24" t="n"/>
      <c r="G27" s="7" t="inlineStr">
        <is>
          <t>村資料に依存しない資料。残りは村資料の受領後</t>
        </is>
      </c>
    </row>
    <row r="28" ht="28" customHeight="1">
      <c r="A28" s="30" t="inlineStr">
        <is>
          <t>村データ</t>
        </is>
      </c>
      <c r="B28" s="4" t="inlineStr">
        <is>
          <t>北塩原村_村提供実績データ.xlsx</t>
        </is>
      </c>
      <c r="C28" s="4" t="inlineStr">
        <is>
          <t>調査票の朱書きで判明した村の実データ（7シート）</t>
        </is>
      </c>
      <c r="D28" s="24" t="n"/>
      <c r="E28" s="33" t="inlineStr">
        <is>
          <t>完了</t>
        </is>
      </c>
      <c r="F28" s="24" t="n"/>
      <c r="G28" s="4" t="inlineStr">
        <is>
          <t>実データ9件・修正指示40か所・照会事項8件。骨子案 第4章(3)(4)(6)・第5章1へ反映済み</t>
        </is>
      </c>
    </row>
    <row r="29" ht="28" customHeight="1">
      <c r="A29" s="32" t="inlineStr">
        <is>
          <t>報告</t>
        </is>
      </c>
      <c r="B29" s="7" t="inlineStr">
        <is>
          <t>調査結果報告書（未作成）</t>
        </is>
      </c>
      <c r="C29" s="7" t="inlineStr">
        <is>
          <t>アンケート集計結果</t>
        </is>
      </c>
      <c r="D29" s="24" t="n"/>
      <c r="E29" s="28" t="inlineStr">
        <is>
          <t>未着手</t>
        </is>
      </c>
      <c r="F29" s="24" t="n"/>
      <c r="G29" s="7" t="inlineStr">
        <is>
          <t>集計後</t>
        </is>
      </c>
    </row>
  </sheetData>
  <mergeCells count="39">
    <mergeCell ref="E12:F12"/>
    <mergeCell ref="C24:D24"/>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5"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5"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5"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5"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27" t="inlineStr">
        <is>
          <t>高</t>
        </is>
      </c>
      <c r="D19" s="7" t="inlineStr">
        <is>
          <t>障がい者票に介護保険・65歳到達に関する設問がない（国の標準項目）</t>
        </is>
      </c>
      <c r="E19"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19"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19" s="32" t="inlineStr">
        <is>
          <t>対応中</t>
        </is>
      </c>
    </row>
    <row r="20" ht="46" customHeight="1">
      <c r="A20" s="30" t="inlineStr">
        <is>
          <t>R-11</t>
        </is>
      </c>
      <c r="B20" s="30" t="inlineStr">
        <is>
          <t>調査設計</t>
        </is>
      </c>
      <c r="C20" s="27" t="inlineStr">
        <is>
          <t>高</t>
        </is>
      </c>
      <c r="D20" s="4" t="inlineStr">
        <is>
          <t>外出目的の設問がなく、第4次障がい者計画の1指標が測定できない（国の標準項目）</t>
        </is>
      </c>
      <c r="E2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0" s="30" t="inlineStr">
        <is>
          <t>要対応</t>
        </is>
      </c>
    </row>
    <row r="21" ht="46" customHeight="1">
      <c r="A21" s="32" t="inlineStr">
        <is>
          <t>R-10</t>
        </is>
      </c>
      <c r="B21" s="32" t="inlineStr">
        <is>
          <t>供給</t>
        </is>
      </c>
      <c r="C21" s="35"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row r="22" ht="46" customHeight="1">
      <c r="A22" s="30" t="inlineStr">
        <is>
          <t>R-17</t>
        </is>
      </c>
      <c r="B22" s="30" t="inlineStr">
        <is>
          <t>調査設計</t>
        </is>
      </c>
      <c r="C22" s="35" t="inlineStr">
        <is>
          <t>中</t>
        </is>
      </c>
      <c r="D22" s="4" t="inlineStr">
        <is>
          <t>就労選択支援の設問（障がい者版 問36）が削除されると、圏域確保の根拠が窓口相談実績に限られる</t>
        </is>
      </c>
      <c r="E2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2" s="4" t="inlineStr">
        <is>
          <t>村に再考を依頼済み。削除する場合でも、第5章の確保方策に「圏域内に事業所がないため会津若松地方の広域調整により確保を図る」旨を記載する（骨子案修正版 第4章(3)に反映済み）</t>
        </is>
      </c>
      <c r="G22" s="30" t="inlineStr">
        <is>
          <t>判断待ち</t>
        </is>
      </c>
    </row>
    <row r="23" ht="46" customHeight="1">
      <c r="A23" s="32" t="inlineStr">
        <is>
          <t>R-18</t>
        </is>
      </c>
      <c r="B23" s="32" t="inlineStr">
        <is>
          <t>整合</t>
        </is>
      </c>
      <c r="C23" s="35" t="inlineStr">
        <is>
          <t>中</t>
        </is>
      </c>
      <c r="D23" s="7" t="inlineStr">
        <is>
          <t>個別避難計画0件が第4次障がい者計画の指標と矛盾する可能性がある</t>
        </is>
      </c>
      <c r="E2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3" s="7" t="inlineStr">
        <is>
          <t>村に確認する。第4次障がい者計画は改定対象外だが、第8期計画の第3章5（目標値と進捗管理）で現状値を示す際に整合が必要</t>
        </is>
      </c>
      <c r="G23" s="32" t="inlineStr">
        <is>
          <t>未着手</t>
        </is>
      </c>
    </row>
    <row r="24" ht="46" customHeight="1">
      <c r="A24" s="30" t="inlineStr">
        <is>
          <t>R-20</t>
        </is>
      </c>
      <c r="B24" s="30" t="inlineStr">
        <is>
          <t>調査設計</t>
        </is>
      </c>
      <c r="C24" s="35" t="inlineStr">
        <is>
          <t>中</t>
        </is>
      </c>
      <c r="D24" s="4" t="inlineStr">
        <is>
          <t>強度行動障害の該当有無を聞く設問がなく、支援ニーズの母数が特定できない</t>
        </is>
      </c>
      <c r="E2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4" s="30" t="inlineStr">
        <is>
          <t>対応中</t>
        </is>
      </c>
    </row>
    <row r="25" ht="46" customHeight="1">
      <c r="A25" s="32" t="inlineStr">
        <is>
          <t>R-21</t>
        </is>
      </c>
      <c r="B25" s="32" t="inlineStr">
        <is>
          <t>調査設計</t>
        </is>
      </c>
      <c r="C25" s="35" t="inlineStr">
        <is>
          <t>中</t>
        </is>
      </c>
      <c r="D25" s="7" t="inlineStr">
        <is>
          <t>障害支援区分の削除は国の標準項目を落とすことになる</t>
        </is>
      </c>
      <c r="E25"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5"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25" s="32" t="inlineStr">
        <is>
          <t>完了</t>
        </is>
      </c>
    </row>
    <row r="26" ht="46" customHeight="1">
      <c r="A26" s="30" t="inlineStr">
        <is>
          <t>R-22</t>
        </is>
      </c>
      <c r="B26" s="30" t="inlineStr">
        <is>
          <t>調査設計</t>
        </is>
      </c>
      <c r="C26" s="35" t="inlineStr">
        <is>
          <t>中</t>
        </is>
      </c>
      <c r="D26" s="4" t="inlineStr">
        <is>
          <t>国のマニュアルの発出と調査票の確定の時期が重なった</t>
        </is>
      </c>
      <c r="E26" s="4" t="inlineStr">
        <is>
          <t>マニュアルは令和8年8月19日事務連絡（県通知8月24日）、調査票の確定は8月25日版。標準項目3件の欠落は、当方の設計の不備ではなくこの時期の重なりによる。第9期の策定時に同じ論点が生じうる</t>
        </is>
      </c>
      <c r="F26" s="4" t="inlineStr">
        <is>
          <t>経緯を打合せ記録に残し、計画書の調査概要にも「調査票確定後に国のマニュアルが改定された」旨を注記する（クロス集計設計 S-4）。算定根拠への疑義に対する説明にもなる</t>
        </is>
      </c>
      <c r="G26" s="30" t="inlineStr">
        <is>
          <t>対応中</t>
        </is>
      </c>
    </row>
    <row r="27" ht="46" customHeight="1">
      <c r="A27" s="32" t="inlineStr">
        <is>
          <t>R-19</t>
        </is>
      </c>
      <c r="B27" s="32" t="inlineStr">
        <is>
          <t>調査設計</t>
        </is>
      </c>
      <c r="C27" s="32" t="inlineStr">
        <is>
          <t>低</t>
        </is>
      </c>
      <c r="D27" s="7" t="inlineStr">
        <is>
          <t>障がい児版の設問番号に誤りがある</t>
        </is>
      </c>
      <c r="E27" s="7" t="inlineStr">
        <is>
          <t>問11の選択肢番号「13」が2つある（「自傷、他害、強いこだわり、パニックなどへの対応」と「特にない」）。問10の選択肢番号は「3」が欠番。いずれも村の朱書きとは別に、通読して気づいたもの</t>
        </is>
      </c>
      <c r="F27" s="7" t="inlineStr">
        <is>
          <t>調査票担当へ申し送り済み。印刷前に番号を振り直す。問10は問8との統合指示があるため、統合時に整理する</t>
        </is>
      </c>
      <c r="G27" s="32" t="inlineStr">
        <is>
          <t>対応中</t>
        </is>
      </c>
    </row>
  </sheetData>
  <autoFilter ref="A5:G27"/>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7</v>
      </c>
      <c r="D6" s="40" t="n">
        <v>7</v>
      </c>
      <c r="E6" s="41" t="n">
        <v>0</v>
      </c>
      <c r="F6" s="4" t="inlineStr">
        <is>
          <t>基本指針の改正16項目とPDCAの推進体制が中心。現行9頁には基本理念・体系（第3章へ移動）が含まれる</t>
        </is>
      </c>
    </row>
    <row r="7" ht="30" customHeight="1">
      <c r="A7" s="7" t="inlineStr">
        <is>
          <t>第2章 本村の障がい者の現状</t>
        </is>
      </c>
      <c r="B7" s="42" t="n">
        <v>5</v>
      </c>
      <c r="C7" s="42" t="n">
        <v>6</v>
      </c>
      <c r="D7" s="42" t="n">
        <v>8</v>
      </c>
      <c r="E7" s="43" t="n">
        <v>2</v>
      </c>
      <c r="F7" s="7" t="inlineStr">
        <is>
          <t>手帳所持者数の将来推計（仕様書4-Ⅱ(3)①）を新設したため現行より増。実績データの受領で図表が埋まる</t>
        </is>
      </c>
    </row>
    <row r="8" ht="30" customHeight="1">
      <c r="A8" s="4" t="inlineStr">
        <is>
          <t>第3章 基本理念・基本目標及び施策体系</t>
        </is>
      </c>
      <c r="B8" s="40" t="n">
        <v>13</v>
      </c>
      <c r="C8" s="40" t="n">
        <v>5</v>
      </c>
      <c r="D8" s="40" t="n">
        <v>6</v>
      </c>
      <c r="E8" s="41" t="n">
        <v>1</v>
      </c>
      <c r="F8" s="4" t="inlineStr">
        <is>
          <t>改定対象外の第4次障がい者計画の再掲。骨格と第8期で加わる視点との対応表に絞る。ＳＤＧｓ対応表を戻す場合は+1頁</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1</v>
      </c>
      <c r="D13" s="42" t="n">
        <v>3</v>
      </c>
      <c r="E13" s="43" t="n">
        <v>2</v>
      </c>
      <c r="F13" s="7" t="inlineStr">
        <is>
          <t>アンケート集計結果は成果品②（別冊約60頁）に収め、計画書は要約と委員名簿・策定経過のみ。用語解説を置く場合は+1頁</t>
        </is>
      </c>
    </row>
    <row r="14">
      <c r="A14" s="44" t="inlineStr">
        <is>
          <t>合計</t>
        </is>
      </c>
      <c r="B14" s="45">
        <f>SUM(B6:B13)</f>
        <v/>
      </c>
      <c r="C14" s="45">
        <f>ROUND(SUM(C6:C13),0)</f>
        <v/>
      </c>
      <c r="D14" s="45">
        <f>SUM(D6:D13)</f>
        <v/>
      </c>
      <c r="E14" s="46">
        <f>D14-C14</f>
        <v/>
      </c>
      <c r="F14" s="44" t="inlineStr">
        <is>
          <t>目標60頁。計画素案の推定54頁のうち注記33件を削ると実質50頁前後で、実績データの記入に10頁程度の余地がある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2026-09-16T23:42:37Z</dcterms:created>
  <dcterms:modified xmlns:dcterms="http://purl.org/dc/terms/" xmlns:xsi="http://www.w3.org/2001/XMLSchema-instance" xsi:type="dcterms:W3CDTF">2026-09-16T23:42:37Z</dcterms:modified>
</cp:coreProperties>
</file>