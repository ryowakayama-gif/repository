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仕様書別進捗" sheetId="2" state="visible" r:id="rId2"/>
    <sheet xmlns:r="http://schemas.openxmlformats.org/officeDocument/2006/relationships" name="02_成果品管理" sheetId="3" state="visible" r:id="rId3"/>
    <sheet xmlns:r="http://schemas.openxmlformats.org/officeDocument/2006/relationships" name="03_スケジュール" sheetId="4" state="visible" r:id="rId4"/>
    <sheet xmlns:r="http://schemas.openxmlformats.org/officeDocument/2006/relationships" name="04_村資料受領状況" sheetId="5" state="visible" r:id="rId5"/>
    <sheet xmlns:r="http://schemas.openxmlformats.org/officeDocument/2006/relationships" name="05_課題・リスク" sheetId="6" state="visible" r:id="rId6"/>
    <sheet xmlns:r="http://schemas.openxmlformats.org/officeDocument/2006/relationships" name="06_打合せ記録" sheetId="7" state="visible" r:id="rId7"/>
    <sheet xmlns:r="http://schemas.openxmlformats.org/officeDocument/2006/relationships" name="07_更新履歴" sheetId="8" state="visible" r:id="rId8"/>
    <sheet xmlns:r="http://schemas.openxmlformats.org/officeDocument/2006/relationships" name="08_分量配分計画" sheetId="9" state="visible" r:id="rId9"/>
  </sheets>
  <definedNames>
    <definedName name="_xlnm._FilterDatabase" localSheetId="1" hidden="1">'01_仕様書別進捗'!$A$5:$I$38</definedName>
    <definedName name="_xlnm._FilterDatabase" localSheetId="4" hidden="1">'04_村資料受領状況'!$A$5:$G$37</definedName>
    <definedName name="_xlnm._FilterDatabase" localSheetId="5" hidden="1">'05_課題・リスク'!$A$5:$G$32</definedName>
  </definedNames>
  <calcPr calcId="124519" fullCalcOnLoad="1"/>
</workbook>
</file>

<file path=xl/styles.xml><?xml version="1.0" encoding="utf-8"?>
<styleSheet xmlns="http://schemas.openxmlformats.org/spreadsheetml/2006/main">
  <numFmts count="2">
    <numFmt numFmtId="164" formatCode="yyyy/mm/dd"/>
    <numFmt numFmtId="165" formatCode="+0;-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sz val="11"/>
    </font>
    <font>
      <name val="游ゴシック"/>
      <b val="1"/>
      <color rgb="00FFFFFF"/>
      <sz val="11"/>
    </font>
    <font>
      <name val="游ゴシック"/>
      <b val="1"/>
      <sz val="10"/>
    </font>
  </fonts>
  <fills count="15">
    <fill>
      <patternFill/>
    </fill>
    <fill>
      <patternFill patternType="gray125"/>
    </fill>
    <fill>
      <patternFill patternType="solid">
        <fgColor rgb="001F3864"/>
      </patternFill>
    </fill>
    <fill>
      <patternFill patternType="solid">
        <fgColor rgb="002E75B6"/>
      </patternFill>
    </fill>
    <fill>
      <patternFill patternType="solid">
        <fgColor rgb="009E480E"/>
      </patternFill>
    </fill>
    <fill>
      <patternFill patternType="solid">
        <fgColor rgb="00F7FAFC"/>
      </patternFill>
    </fill>
    <fill>
      <patternFill patternType="solid">
        <fgColor rgb="002CA02C"/>
      </patternFill>
    </fill>
    <fill>
      <patternFill patternType="solid">
        <fgColor rgb="0070AD47"/>
      </patternFill>
    </fill>
    <fill>
      <patternFill patternType="solid">
        <fgColor rgb="00808080"/>
      </patternFill>
    </fill>
    <fill>
      <patternFill patternType="solid">
        <fgColor rgb="00ED7D31"/>
      </patternFill>
    </fill>
    <fill>
      <patternFill patternType="solid">
        <fgColor rgb="007030A0"/>
      </patternFill>
    </fill>
    <fill>
      <patternFill patternType="solid">
        <fgColor rgb="00C00000"/>
      </patternFill>
    </fill>
    <fill>
      <patternFill patternType="solid">
        <fgColor rgb="00FF7F0E"/>
      </patternFill>
    </fill>
    <fill>
      <patternFill patternType="solid">
        <fgColor rgb="00DDEBF7"/>
      </patternFill>
    </fill>
    <fill>
      <patternFill patternType="solid">
        <fgColor rgb="00FFF2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48">
    <xf numFmtId="0" fontId="0" fillId="0" borderId="0" pivotButton="0" quotePrefix="0" xfId="0"/>
    <xf numFmtId="0" fontId="1" fillId="1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1" fontId="4" fillId="0" borderId="1" applyAlignment="1" pivotButton="0" quotePrefix="0" xfId="0">
      <alignment horizontal="right" vertical="center"/>
    </xf>
    <xf numFmtId="9" fontId="4" fillId="0" borderId="1" applyAlignment="1" pivotButton="0" quotePrefix="0" xfId="0">
      <alignment horizontal="right" vertical="center"/>
    </xf>
    <xf numFmtId="0" fontId="4" fillId="5" borderId="1" applyAlignment="1" pivotButton="0" quotePrefix="0" xfId="0">
      <alignment horizontal="left" vertical="center" wrapText="1" indent="1"/>
    </xf>
    <xf numFmtId="1" fontId="4" fillId="5" borderId="1" applyAlignment="1" pivotButton="0" quotePrefix="0" xfId="0">
      <alignment horizontal="right" vertical="center"/>
    </xf>
    <xf numFmtId="9" fontId="4" fillId="5" borderId="1" applyAlignment="1" pivotButton="0" quotePrefix="0" xfId="0">
      <alignment horizontal="right" vertical="center"/>
    </xf>
    <xf numFmtId="0" fontId="5" fillId="13" borderId="1" applyAlignment="1" pivotButton="0" quotePrefix="0" xfId="0">
      <alignment horizontal="left" vertical="center" wrapText="1" indent="1"/>
    </xf>
    <xf numFmtId="1" fontId="5" fillId="13" borderId="1" applyAlignment="1" pivotButton="0" quotePrefix="0" xfId="0">
      <alignment horizontal="right" vertical="center"/>
    </xf>
    <xf numFmtId="9" fontId="5" fillId="13" borderId="1" applyAlignment="1" pivotButton="0" quotePrefix="0" xfId="0">
      <alignment horizontal="right" vertical="center"/>
    </xf>
    <xf numFmtId="0" fontId="6" fillId="3" borderId="0" applyAlignment="1" pivotButton="0" quotePrefix="0" xfId="0">
      <alignment horizontal="left" vertical="center" indent="1"/>
    </xf>
    <xf numFmtId="0" fontId="3" fillId="6" borderId="1" applyAlignment="1" pivotButton="0" quotePrefix="0" xfId="0">
      <alignment horizontal="left" vertical="center" wrapText="1" indent="1"/>
    </xf>
    <xf numFmtId="0" fontId="3" fillId="8" borderId="1" applyAlignment="1" pivotButton="0" quotePrefix="0" xfId="0">
      <alignment horizontal="left" vertical="center" wrapText="1" indent="1"/>
    </xf>
    <xf numFmtId="0" fontId="3" fillId="7" borderId="1" applyAlignment="1" pivotButton="0" quotePrefix="0" xfId="0">
      <alignment horizontal="left" vertical="center" wrapText="1" indent="1"/>
    </xf>
    <xf numFmtId="0" fontId="3" fillId="11" borderId="1" applyAlignment="1" pivotButton="0" quotePrefix="0" xfId="0">
      <alignment horizontal="left" vertical="center" wrapText="1" indent="1"/>
    </xf>
    <xf numFmtId="0" fontId="3" fillId="9" borderId="1" applyAlignment="1" pivotButton="0" quotePrefix="0" xfId="0">
      <alignment horizontal="left" vertical="center" wrapText="1" indent="1"/>
    </xf>
    <xf numFmtId="0" fontId="3" fillId="10" borderId="1" applyAlignment="1" pivotButton="0" quotePrefix="0" xfId="0">
      <alignment horizontal="left" vertical="center" wrapText="1" indent="1"/>
    </xf>
    <xf numFmtId="0" fontId="3" fillId="3" borderId="1" applyAlignment="1" pivotButton="0" quotePrefix="0" xfId="0">
      <alignment horizontal="left" vertical="center" wrapText="1" indent="1"/>
    </xf>
    <xf numFmtId="0" fontId="3" fillId="4" borderId="1" applyAlignment="1" pivotButton="0" quotePrefix="0" xfId="0">
      <alignment horizontal="left" vertical="center" wrapText="1" indent="1"/>
    </xf>
    <xf numFmtId="164" fontId="4" fillId="0" borderId="1" applyAlignment="1" pivotButton="0" quotePrefix="0" xfId="0">
      <alignment horizontal="center" vertical="center"/>
    </xf>
    <xf numFmtId="0" fontId="0" fillId="0" borderId="4" pivotButton="0" quotePrefix="0" xfId="0"/>
    <xf numFmtId="0" fontId="0" fillId="0" borderId="5" pivotButton="0" quotePrefix="0" xfId="0"/>
    <xf numFmtId="0" fontId="3" fillId="10" borderId="1" applyAlignment="1" pivotButton="0" quotePrefix="0" xfId="0">
      <alignment horizontal="center" vertical="center"/>
    </xf>
    <xf numFmtId="164" fontId="4" fillId="5" borderId="1" applyAlignment="1" pivotButton="0" quotePrefix="0" xfId="0">
      <alignment horizontal="center" vertical="center"/>
    </xf>
    <xf numFmtId="0" fontId="3" fillId="11" borderId="1" applyAlignment="1" pivotButton="0" quotePrefix="0" xfId="0">
      <alignment horizontal="center" vertical="center"/>
    </xf>
    <xf numFmtId="0" fontId="3" fillId="8" borderId="1" applyAlignment="1" pivotButton="0" quotePrefix="0" xfId="0">
      <alignment horizontal="center" vertical="center"/>
    </xf>
    <xf numFmtId="0" fontId="1" fillId="2" borderId="0" applyAlignment="1" pivotButton="0" quotePrefix="0" xfId="0">
      <alignment horizontal="left" vertical="center" indent="1"/>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0" fontId="3" fillId="7" borderId="1" applyAlignment="1" pivotButton="0" quotePrefix="0" xfId="0">
      <alignment horizontal="center" vertical="center"/>
    </xf>
    <xf numFmtId="0" fontId="3" fillId="9" borderId="1" applyAlignment="1" pivotButton="0" quotePrefix="0" xfId="0">
      <alignment horizontal="center" vertical="center"/>
    </xf>
    <xf numFmtId="0" fontId="3" fillId="3" borderId="1" applyAlignment="1" pivotButton="0" quotePrefix="0" xfId="0">
      <alignment horizontal="center" vertical="center"/>
    </xf>
    <xf numFmtId="164" fontId="4" fillId="14" borderId="1" applyAlignment="1" pivotButton="0" quotePrefix="0" xfId="0">
      <alignment horizontal="center" vertical="center"/>
    </xf>
    <xf numFmtId="0" fontId="4" fillId="14" borderId="1" applyAlignment="1" pivotButton="0" quotePrefix="0" xfId="0">
      <alignment horizontal="center" vertical="center"/>
    </xf>
    <xf numFmtId="0" fontId="4" fillId="14" borderId="1" applyAlignment="1" pivotButton="0" quotePrefix="0" xfId="0">
      <alignment horizontal="left" vertical="center" wrapText="1" indent="1"/>
    </xf>
    <xf numFmtId="3" fontId="4" fillId="0" borderId="1" applyAlignment="1" pivotButton="0" quotePrefix="0" xfId="0">
      <alignment horizontal="right" vertical="center"/>
    </xf>
    <xf numFmtId="165" fontId="4" fillId="0" borderId="1" applyAlignment="1" pivotButton="0" quotePrefix="0" xfId="0">
      <alignment horizontal="right" vertical="center"/>
    </xf>
    <xf numFmtId="3" fontId="4" fillId="5" borderId="1" applyAlignment="1" pivotButton="0" quotePrefix="0" xfId="0">
      <alignment horizontal="right" vertical="center"/>
    </xf>
    <xf numFmtId="165" fontId="4" fillId="5" borderId="1" applyAlignment="1" pivotButton="0" quotePrefix="0" xfId="0">
      <alignment horizontal="right" vertical="center"/>
    </xf>
    <xf numFmtId="0" fontId="7" fillId="13" borderId="1" applyAlignment="1" pivotButton="0" quotePrefix="0" xfId="0">
      <alignment horizontal="left" vertical="center" wrapText="1" indent="1"/>
    </xf>
    <xf numFmtId="3" fontId="7" fillId="13" borderId="1" applyAlignment="1" pivotButton="0" quotePrefix="0" xfId="0">
      <alignment horizontal="right" vertical="center"/>
    </xf>
    <xf numFmtId="165" fontId="7" fillId="13" borderId="1" applyAlignment="1" pivotButton="0" quotePrefix="0" xfId="0">
      <alignment horizontal="right" vertical="center"/>
    </xf>
    <xf numFmtId="0" fontId="6" fillId="12" borderId="0" applyAlignment="1" pivotButton="0" quotePrefix="0" xfId="0">
      <alignment horizontal="left" vertical="center" inden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0"/>
  <sheetViews>
    <sheetView showGridLines="0"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46" customWidth="1" min="7" max="7"/>
  </cols>
  <sheetData>
    <row r="1" ht="32" customHeight="1">
      <c r="A1" s="1" t="inlineStr">
        <is>
          <t>北塩原村 障がい福祉計画策定業務　進捗ダッシュボード</t>
        </is>
      </c>
    </row>
    <row r="2" ht="28" customHeight="1">
      <c r="A2" s="2" t="inlineStr">
        <is>
          <t>委託第24号　第8期北塩原村障がい福祉計画・第4期北塩原村障がい児福祉計画策定業務委託／業務期間：契約締結の日から令和9年3月31日まで／数値は01_仕様書別進捗から自動集計します。</t>
        </is>
      </c>
    </row>
    <row r="4" ht="30" customHeight="1">
      <c r="A4" s="3" t="inlineStr">
        <is>
          <t>区分</t>
        </is>
      </c>
      <c r="B4" s="3" t="inlineStr">
        <is>
          <t>項目数</t>
        </is>
      </c>
      <c r="C4" s="3" t="inlineStr">
        <is>
          <t>平均進捗率</t>
        </is>
      </c>
      <c r="D4" s="3" t="inlineStr">
        <is>
          <t>完了・概ね完了</t>
        </is>
      </c>
      <c r="E4" s="3" t="inlineStr">
        <is>
          <t>作業中</t>
        </is>
      </c>
      <c r="F4" s="3" t="inlineStr">
        <is>
          <t>未着手等</t>
        </is>
      </c>
      <c r="G4" s="3" t="inlineStr">
        <is>
          <t>備考</t>
        </is>
      </c>
    </row>
    <row r="5" ht="26" customHeight="1">
      <c r="A5" s="4" t="inlineStr">
        <is>
          <t>Ⅰ ニーズ調査</t>
        </is>
      </c>
      <c r="B5" s="5">
        <f>COUNTIF('01_仕様書別進捗'!$A$6:$A$38,A5)</f>
        <v/>
      </c>
      <c r="C5" s="6">
        <f>IFERROR(AVERAGEIF('01_仕様書別進捗'!$A$6:$A$38,A5,'01_仕様書別進捗'!$F$6:$F$38),0)</f>
        <v/>
      </c>
      <c r="D5" s="5">
        <f>COUNTIFS('01_仕様書別進捗'!$A$6:$A$38,A5,'01_仕様書別進捗'!$E$6:$E$38,"完了")+COUNTIFS('01_仕様書別進捗'!$A$6:$A$38,A5,'01_仕様書別進捗'!$E$6:$E$38,"概ね完了")</f>
        <v/>
      </c>
      <c r="E5" s="5">
        <f>COUNTIFS('01_仕様書別進捗'!$A$6:$A$38,A5,'01_仕様書別進捗'!$E$6:$E$38,"作業中")+COUNTIFS('01_仕様書別進捗'!$A$6:$A$38,A5,'01_仕様書別進捗'!$E$6:$E$38,"継続実施")</f>
        <v/>
      </c>
      <c r="F5" s="5">
        <f>B5-D5-E5</f>
        <v/>
      </c>
      <c r="G5" s="4" t="inlineStr">
        <is>
          <t>調査票の設計はほぼ完了。印刷・発送・集計が未着手</t>
        </is>
      </c>
    </row>
    <row r="6" ht="26" customHeight="1">
      <c r="A6" s="7" t="inlineStr">
        <is>
          <t>Ⅱ 計画策定業務</t>
        </is>
      </c>
      <c r="B6" s="8">
        <f>COUNTIF('01_仕様書別進捗'!$A$6:$A$38,A6)</f>
        <v/>
      </c>
      <c r="C6" s="9">
        <f>IFERROR(AVERAGEIF('01_仕様書別進捗'!$A$6:$A$38,A6,'01_仕様書別進捗'!$F$6:$F$38),0)</f>
        <v/>
      </c>
      <c r="D6" s="8">
        <f>COUNTIFS('01_仕様書別進捗'!$A$6:$A$38,A6,'01_仕様書別進捗'!$E$6:$E$38,"完了")+COUNTIFS('01_仕様書別進捗'!$A$6:$A$38,A6,'01_仕様書別進捗'!$E$6:$E$38,"概ね完了")</f>
        <v/>
      </c>
      <c r="E6" s="8">
        <f>COUNTIFS('01_仕様書別進捗'!$A$6:$A$38,A6,'01_仕様書別進捗'!$E$6:$E$38,"作業中")+COUNTIFS('01_仕様書別進捗'!$A$6:$A$38,A6,'01_仕様書別進捗'!$E$6:$E$38,"継続実施")</f>
        <v/>
      </c>
      <c r="F6" s="8">
        <f>B6-D6-E6</f>
        <v/>
      </c>
      <c r="G6" s="7" t="inlineStr">
        <is>
          <t>様式・受け皿は整備済み。村の実績データ待ちの項目が多い</t>
        </is>
      </c>
    </row>
    <row r="7" ht="26" customHeight="1">
      <c r="A7" s="4" t="inlineStr">
        <is>
          <t>Ⅲ 打合せ等業務</t>
        </is>
      </c>
      <c r="B7" s="5">
        <f>COUNTIF('01_仕様書別進捗'!$A$6:$A$38,A7)</f>
        <v/>
      </c>
      <c r="C7" s="6">
        <f>IFERROR(AVERAGEIF('01_仕様書別進捗'!$A$6:$A$38,A7,'01_仕様書別進捗'!$F$6:$F$38),0)</f>
        <v/>
      </c>
      <c r="D7" s="5">
        <f>COUNTIFS('01_仕様書別進捗'!$A$6:$A$38,A7,'01_仕様書別進捗'!$E$6:$E$38,"完了")+COUNTIFS('01_仕様書別進捗'!$A$6:$A$38,A7,'01_仕様書別進捗'!$E$6:$E$38,"概ね完了")</f>
        <v/>
      </c>
      <c r="E7" s="5">
        <f>COUNTIFS('01_仕様書別進捗'!$A$6:$A$38,A7,'01_仕様書別進捗'!$E$6:$E$38,"作業中")+COUNTIFS('01_仕様書別進捗'!$A$6:$A$38,A7,'01_仕様書別進捗'!$E$6:$E$38,"継続実施")</f>
        <v/>
      </c>
      <c r="F7" s="5">
        <f>B7-D7-E7</f>
        <v/>
      </c>
      <c r="G7" s="4" t="inlineStr">
        <is>
          <t>7月7日実施済み。業務期間を通じて継続</t>
        </is>
      </c>
    </row>
    <row r="8" ht="26" customHeight="1">
      <c r="A8" s="7" t="inlineStr">
        <is>
          <t>成果品</t>
        </is>
      </c>
      <c r="B8" s="8">
        <f>COUNTIF('01_仕様書別進捗'!$A$6:$A$38,A8)</f>
        <v/>
      </c>
      <c r="C8" s="9">
        <f>IFERROR(AVERAGEIF('01_仕様書別進捗'!$A$6:$A$38,A8,'01_仕様書別進捗'!$F$6:$F$38),0)</f>
        <v/>
      </c>
      <c r="D8" s="8">
        <f>COUNTIFS('01_仕様書別進捗'!$A$6:$A$38,A8,'01_仕様書別進捗'!$E$6:$E$38,"完了")+COUNTIFS('01_仕様書別進捗'!$A$6:$A$38,A8,'01_仕様書別進捗'!$E$6:$E$38,"概ね完了")</f>
        <v/>
      </c>
      <c r="E8" s="8">
        <f>COUNTIFS('01_仕様書別進捗'!$A$6:$A$38,A8,'01_仕様書別進捗'!$E$6:$E$38,"作業中")+COUNTIFS('01_仕様書別進捗'!$A$6:$A$38,A8,'01_仕様書別進捗'!$E$6:$E$38,"継続実施")</f>
        <v/>
      </c>
      <c r="F8" s="8">
        <f>B8-D8-E8</f>
        <v/>
      </c>
      <c r="G8" s="7" t="inlineStr">
        <is>
          <t>計画書は骨子案修正版が原型。報告書は集計後</t>
        </is>
      </c>
    </row>
    <row r="9" ht="26" customHeight="1">
      <c r="A9" s="4" t="inlineStr">
        <is>
          <t>契約管理</t>
        </is>
      </c>
      <c r="B9" s="5">
        <f>COUNTIF('01_仕様書別進捗'!$A$6:$A$38,A9)</f>
        <v/>
      </c>
      <c r="C9" s="6">
        <f>IFERROR(AVERAGEIF('01_仕様書別進捗'!$A$6:$A$38,A9,'01_仕様書別進捗'!$F$6:$F$38),0)</f>
        <v/>
      </c>
      <c r="D9" s="5">
        <f>COUNTIFS('01_仕様書別進捗'!$A$6:$A$38,A9,'01_仕様書別進捗'!$E$6:$E$38,"完了")+COUNTIFS('01_仕様書別進捗'!$A$6:$A$38,A9,'01_仕様書別進捗'!$E$6:$E$38,"概ね完了")</f>
        <v/>
      </c>
      <c r="E9" s="5">
        <f>COUNTIFS('01_仕様書別進捗'!$A$6:$A$38,A9,'01_仕様書別進捗'!$E$6:$E$38,"作業中")+COUNTIFS('01_仕様書別進捗'!$A$6:$A$38,A9,'01_仕様書別進捗'!$E$6:$E$38,"継続実施")</f>
        <v/>
      </c>
      <c r="F9" s="5">
        <f>B9-D9-E9</f>
        <v/>
      </c>
      <c r="G9" s="4" t="inlineStr">
        <is>
          <t>仕様書との差異が未協議のまま残っている</t>
        </is>
      </c>
    </row>
    <row r="10">
      <c r="A10" s="10" t="inlineStr">
        <is>
          <t>全体</t>
        </is>
      </c>
      <c r="B10" s="11">
        <f>SUM(B5:B9)</f>
        <v/>
      </c>
      <c r="C10" s="12">
        <f>IFERROR(AVERAGE('01_仕様書別進捗'!$F$6:$F$38),0)</f>
        <v/>
      </c>
      <c r="D10" s="11">
        <f>SUM(D5:D9)</f>
        <v/>
      </c>
      <c r="E10" s="11">
        <f>SUM(E5:E9)</f>
        <v/>
      </c>
      <c r="F10" s="11">
        <f>SUM(F5:F9)</f>
        <v/>
      </c>
      <c r="G10" s="10" t="inlineStr">
        <is>
          <t>全体の平均進捗率（項目数による単純平均）</t>
        </is>
      </c>
    </row>
    <row r="12">
      <c r="A12" s="13" t="inlineStr">
        <is>
          <t>状態別の件数</t>
        </is>
      </c>
    </row>
    <row r="13" ht="30" customHeight="1">
      <c r="A13" s="3" t="inlineStr">
        <is>
          <t>状態</t>
        </is>
      </c>
      <c r="B13" s="3" t="inlineStr">
        <is>
          <t>件数</t>
        </is>
      </c>
      <c r="C13" s="3" t="inlineStr"/>
      <c r="D13" s="3" t="inlineStr">
        <is>
          <t>状態</t>
        </is>
      </c>
      <c r="E13" s="3" t="inlineStr">
        <is>
          <t>件数</t>
        </is>
      </c>
      <c r="F13" s="3" t="inlineStr"/>
      <c r="G13" s="3" t="inlineStr"/>
    </row>
    <row r="14">
      <c r="A14" s="14" t="inlineStr">
        <is>
          <t>完了</t>
        </is>
      </c>
      <c r="B14" s="5">
        <f>COUNTIF('01_仕様書別進捗'!$E$6:$E$38,A14)</f>
        <v/>
      </c>
      <c r="C14" s="4" t="inlineStr"/>
      <c r="D14" s="15" t="inlineStr">
        <is>
          <t>未着手</t>
        </is>
      </c>
      <c r="E14" s="5">
        <f>COUNTIF('01_仕様書別進捗'!$E$6:$E$38,D14)</f>
        <v/>
      </c>
      <c r="F14" s="4" t="inlineStr"/>
      <c r="G14" s="4" t="inlineStr"/>
    </row>
    <row r="15">
      <c r="A15" s="16" t="inlineStr">
        <is>
          <t>概ね完了</t>
        </is>
      </c>
      <c r="B15" s="8">
        <f>COUNTIF('01_仕様書別進捗'!$E$6:$E$38,A15)</f>
        <v/>
      </c>
      <c r="C15" s="7" t="inlineStr"/>
      <c r="D15" s="17" t="inlineStr">
        <is>
          <t>村資料待ち</t>
        </is>
      </c>
      <c r="E15" s="8">
        <f>COUNTIF('01_仕様書別進捗'!$E$6:$E$38,D15)</f>
        <v/>
      </c>
      <c r="F15" s="7" t="inlineStr"/>
      <c r="G15" s="7" t="inlineStr"/>
    </row>
    <row r="16">
      <c r="A16" s="18" t="inlineStr">
        <is>
          <t>作業中</t>
        </is>
      </c>
      <c r="B16" s="5">
        <f>COUNTIF('01_仕様書別進捗'!$E$6:$E$38,A16)</f>
        <v/>
      </c>
      <c r="C16" s="4" t="inlineStr"/>
      <c r="D16" s="19" t="inlineStr">
        <is>
          <t>要協議</t>
        </is>
      </c>
      <c r="E16" s="5">
        <f>COUNTIF('01_仕様書別進捗'!$E$6:$E$38,D16)</f>
        <v/>
      </c>
      <c r="F16" s="4" t="inlineStr"/>
      <c r="G16" s="4" t="inlineStr"/>
    </row>
    <row r="17">
      <c r="A17" s="20" t="inlineStr">
        <is>
          <t>継続実施</t>
        </is>
      </c>
      <c r="B17" s="8">
        <f>COUNTIF('01_仕様書別進捗'!$E$6:$E$38,A17)</f>
        <v/>
      </c>
      <c r="C17" s="7" t="inlineStr"/>
      <c r="D17" s="21" t="inlineStr">
        <is>
          <t>村側作業</t>
        </is>
      </c>
      <c r="E17" s="8">
        <f>COUNTIF('01_仕様書別進捗'!$E$6:$E$38,D17)</f>
        <v/>
      </c>
      <c r="F17" s="7" t="inlineStr"/>
      <c r="G17" s="7" t="inlineStr"/>
    </row>
    <row r="19">
      <c r="A19" s="13" t="inlineStr">
        <is>
          <t>クリティカルパスと直近の期限</t>
        </is>
      </c>
    </row>
    <row r="20" ht="30" customHeight="1">
      <c r="A20" s="3" t="inlineStr">
        <is>
          <t>期限</t>
        </is>
      </c>
      <c r="B20" s="3" t="inlineStr">
        <is>
          <t>内容</t>
        </is>
      </c>
      <c r="C20" s="3" t="inlineStr"/>
      <c r="D20" s="3" t="inlineStr"/>
      <c r="E20" s="3" t="inlineStr"/>
      <c r="F20" s="3" t="inlineStr">
        <is>
          <t>状態</t>
        </is>
      </c>
      <c r="G20" s="3" t="inlineStr">
        <is>
          <t>備考</t>
        </is>
      </c>
    </row>
    <row r="21" ht="26" customHeight="1">
      <c r="A21" s="22" t="inlineStr">
        <is>
          <t>2026-08-05</t>
        </is>
      </c>
      <c r="B21" s="4" t="inlineStr">
        <is>
          <t>印刷仕様の協議・確定（仕様書は約24ページ1種類／実際は2種類・34頁と37頁）</t>
        </is>
      </c>
      <c r="C21" s="23" t="n"/>
      <c r="D21" s="23" t="n"/>
      <c r="E21" s="24" t="n"/>
      <c r="F21" s="25" t="inlineStr">
        <is>
          <t>要協議</t>
        </is>
      </c>
      <c r="G21" s="4" t="inlineStr">
        <is>
          <t>これが決まらないと印刷に入れない</t>
        </is>
      </c>
    </row>
    <row r="22" ht="26" customHeight="1">
      <c r="A22" s="26" t="inlineStr">
        <is>
          <t>2026-08-05</t>
        </is>
      </c>
      <c r="B22" s="7" t="inlineStr">
        <is>
          <t>宛名ラベルシールの受領（仕様書Ⅰ(1)により村が抽出・提供）</t>
        </is>
      </c>
      <c r="C22" s="23" t="n"/>
      <c r="D22" s="23" t="n"/>
      <c r="E22" s="24" t="n"/>
      <c r="F22" s="27" t="inlineStr">
        <is>
          <t>村資料待ち</t>
        </is>
      </c>
      <c r="G22" s="7" t="inlineStr">
        <is>
          <t>発送作業の前提</t>
        </is>
      </c>
    </row>
    <row r="23" ht="26" customHeight="1">
      <c r="A23" s="22" t="inlineStr">
        <is>
          <t>2026-08-05</t>
        </is>
      </c>
      <c r="B23" s="4" t="inlineStr">
        <is>
          <t>対象者数の確定（約190人と156人の差）</t>
        </is>
      </c>
      <c r="C23" s="23" t="n"/>
      <c r="D23" s="23" t="n"/>
      <c r="E23" s="24" t="n"/>
      <c r="F23" s="27" t="inlineStr">
        <is>
          <t>村資料待ち</t>
        </is>
      </c>
      <c r="G23" s="4" t="inlineStr">
        <is>
          <t>回収率の分母・管理番号設計に直結</t>
        </is>
      </c>
    </row>
    <row r="24" ht="26" customHeight="1">
      <c r="A24" s="26" t="inlineStr">
        <is>
          <t>2026-08-05</t>
        </is>
      </c>
      <c r="B24" s="7" t="inlineStr">
        <is>
          <t>郵送費の精算方法の書面確認</t>
        </is>
      </c>
      <c r="C24" s="23" t="n"/>
      <c r="D24" s="23" t="n"/>
      <c r="E24" s="24" t="n"/>
      <c r="F24" s="25" t="inlineStr">
        <is>
          <t>要協議</t>
        </is>
      </c>
      <c r="G24" s="7" t="inlineStr">
        <is>
          <t>仕様書と運用が異なる</t>
        </is>
      </c>
    </row>
    <row r="25" ht="26" customHeight="1">
      <c r="A25" s="22" t="inlineStr">
        <is>
          <t>2026-08-10</t>
        </is>
      </c>
      <c r="B25" s="4" t="inlineStr">
        <is>
          <t>アンケート発送</t>
        </is>
      </c>
      <c r="C25" s="23" t="n"/>
      <c r="D25" s="23" t="n"/>
      <c r="E25" s="24" t="n"/>
      <c r="F25" s="28" t="inlineStr">
        <is>
          <t>未着手</t>
        </is>
      </c>
      <c r="G25" s="4" t="inlineStr">
        <is>
          <t>工程案は8月上旬。回収期間約1か月</t>
        </is>
      </c>
    </row>
    <row r="26" ht="26" customHeight="1">
      <c r="A26" s="26" t="inlineStr">
        <is>
          <t>2026-08-31</t>
        </is>
      </c>
      <c r="B26" s="7" t="inlineStr">
        <is>
          <t>年齢別・サービス別の匿名利用者一覧の受領</t>
        </is>
      </c>
      <c r="C26" s="23" t="n"/>
      <c r="D26" s="23" t="n"/>
      <c r="E26" s="24" t="n"/>
      <c r="F26" s="27" t="inlineStr">
        <is>
          <t>村資料待ち</t>
        </is>
      </c>
      <c r="G26" s="7" t="inlineStr">
        <is>
          <t>見込量の個別積上げの起点</t>
        </is>
      </c>
    </row>
    <row r="27" ht="26" customHeight="1">
      <c r="A27" s="22" t="inlineStr">
        <is>
          <t>2026-09-30</t>
        </is>
      </c>
      <c r="B27" s="4" t="inlineStr">
        <is>
          <t>令和6・7年度実績、令和8年度見込の受領</t>
        </is>
      </c>
      <c r="C27" s="23" t="n"/>
      <c r="D27" s="23" t="n"/>
      <c r="E27" s="24" t="n"/>
      <c r="F27" s="27" t="inlineStr">
        <is>
          <t>村資料待ち</t>
        </is>
      </c>
      <c r="G27" s="4" t="inlineStr">
        <is>
          <t>現行計画の評価と見込量の確定</t>
        </is>
      </c>
    </row>
    <row r="28" ht="26" customHeight="1">
      <c r="A28" s="26" t="inlineStr">
        <is>
          <t>2026-12-31</t>
        </is>
      </c>
      <c r="B28" s="7" t="inlineStr">
        <is>
          <t>自立支援協議会（年内1回）</t>
        </is>
      </c>
      <c r="C28" s="23" t="n"/>
      <c r="D28" s="23" t="n"/>
      <c r="E28" s="24" t="n"/>
      <c r="F28" s="28" t="inlineStr">
        <is>
          <t>未着手</t>
        </is>
      </c>
      <c r="G28" s="7" t="inlineStr">
        <is>
          <t>資料作成・出席・記録作成</t>
        </is>
      </c>
    </row>
    <row r="30" ht="40" customHeight="1">
      <c r="A30" s="2" t="inlineStr">
        <is>
          <t>本業務の進捗は、計画本文の作成が工程案より前倒しで進んでいる一方、アンケートの印刷・発送が仕様の協議待ちで止まっている状態です。8月上旬発送を維持するには、印刷仕様・ラベル・対象者数・郵送費の4点を8月5日までに決める必要があります。</t>
        </is>
      </c>
    </row>
  </sheetData>
  <mergeCells count="13">
    <mergeCell ref="B23:E23"/>
    <mergeCell ref="B26:E26"/>
    <mergeCell ref="B27:E27"/>
    <mergeCell ref="A1:G1"/>
    <mergeCell ref="B21:E21"/>
    <mergeCell ref="A12:G12"/>
    <mergeCell ref="B28:E28"/>
    <mergeCell ref="A30:G30"/>
    <mergeCell ref="A2:G2"/>
    <mergeCell ref="B25:E25"/>
    <mergeCell ref="B24:E24"/>
    <mergeCell ref="A19:G19"/>
    <mergeCell ref="B22:E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40"/>
  <sheetViews>
    <sheetView showGridLines="0" workbookViewId="0">
      <pane ySplit="4" topLeftCell="A5" activePane="bottomLeft" state="frozen"/>
      <selection pane="bottomLeft" activeCell="A1" sqref="A1"/>
    </sheetView>
  </sheetViews>
  <sheetFormatPr baseColWidth="8" defaultRowHeight="15"/>
  <cols>
    <col width="16" customWidth="1" min="1" max="1"/>
    <col width="10" customWidth="1" min="2" max="2"/>
    <col width="46" customWidth="1" min="3" max="3"/>
    <col width="40" customWidth="1" min="4" max="4"/>
    <col width="13" customWidth="1" min="5" max="5"/>
    <col width="9" customWidth="1" min="6" max="6"/>
    <col width="15" customWidth="1" min="7" max="7"/>
    <col width="13" customWidth="1" min="8" max="8"/>
    <col width="46" customWidth="1" min="9" max="9"/>
  </cols>
  <sheetData>
    <row r="1" ht="30" customHeight="1">
      <c r="A1" s="29" t="inlineStr">
        <is>
          <t>業務委託仕様書 条項別 進捗管理</t>
        </is>
      </c>
    </row>
    <row r="2" ht="30" customHeight="1">
      <c r="A2" s="2" t="inlineStr">
        <is>
          <t>業務委託仕様書（8北保福第366号 別紙）4のⅠ〜Ⅲ、5の成果品、及び令和8年7月7日打合せで生じた契約管理事項を条項単位で管理します。進捗率は手入力で、00_ダッシュボードが区分別に自動集計します。</t>
        </is>
      </c>
    </row>
    <row r="5" ht="30" customHeight="1">
      <c r="A5" s="3" t="inlineStr">
        <is>
          <t>区分</t>
        </is>
      </c>
      <c r="B5" s="3" t="inlineStr">
        <is>
          <t>項番</t>
        </is>
      </c>
      <c r="C5" s="3" t="inlineStr">
        <is>
          <t>仕様書の要求</t>
        </is>
      </c>
      <c r="D5" s="3" t="inlineStr">
        <is>
          <t>現在の成果物・根拠</t>
        </is>
      </c>
      <c r="E5" s="3" t="inlineStr">
        <is>
          <t>状態</t>
        </is>
      </c>
      <c r="F5" s="3" t="inlineStr">
        <is>
          <t>進捗率</t>
        </is>
      </c>
      <c r="G5" s="3" t="inlineStr">
        <is>
          <t>主担当</t>
        </is>
      </c>
      <c r="H5" s="3" t="inlineStr">
        <is>
          <t>期限</t>
        </is>
      </c>
      <c r="I5" s="3" t="inlineStr">
        <is>
          <t>次の一手・ブロッカー</t>
        </is>
      </c>
    </row>
    <row r="6" ht="44" customHeight="1">
      <c r="A6" s="4" t="inlineStr">
        <is>
          <t>Ⅰ ニーズ調査</t>
        </is>
      </c>
      <c r="B6" s="30" t="inlineStr">
        <is>
          <t>Ⅰ(1)</t>
        </is>
      </c>
      <c r="C6" s="4" t="inlineStr">
        <is>
          <t>調査対象の抽出（身体約130人・精神約40人・療育約20人＝約190人）。抽出は委託者が行い、受託者にラベルシールとして提供する。</t>
        </is>
      </c>
      <c r="D6" s="4" t="inlineStr">
        <is>
          <t>―（村側作業）</t>
        </is>
      </c>
      <c r="E6" s="31" t="inlineStr">
        <is>
          <t>村側作業</t>
        </is>
      </c>
      <c r="F6" s="6" t="n">
        <v>0</v>
      </c>
      <c r="G6" s="30" t="inlineStr">
        <is>
          <t>北塩原村</t>
        </is>
      </c>
      <c r="H6" s="22" t="inlineStr">
        <is>
          <t>2026-08-05</t>
        </is>
      </c>
      <c r="I6" s="4" t="inlineStr">
        <is>
          <t>対象者数が確定していない。仕様書の約190人と現行計画の156人（令和5年）の差の理由を確認する。ラベルシールの提供時期を確定する</t>
        </is>
      </c>
    </row>
    <row r="7" ht="44" customHeight="1">
      <c r="A7" s="7" t="inlineStr">
        <is>
          <t>Ⅰ ニーズ調査</t>
        </is>
      </c>
      <c r="B7" s="32" t="inlineStr">
        <is>
          <t>Ⅰ(2)a</t>
        </is>
      </c>
      <c r="C7" s="7" t="inlineStr">
        <is>
          <t>調査票の設計（厚労省の調査項目及び過去調査を踏まえ、委託者との協議の上決定）</t>
        </is>
      </c>
      <c r="D7" s="7" t="inlineStr">
        <is>
          <t>0825確定版（障がい者版45問・障がい児版44問）／村朱書き修正指示40か所／北塩原村_アンケート調査票_村修正指示_確認結果</t>
        </is>
      </c>
      <c r="E7" s="33" t="inlineStr">
        <is>
          <t>完了</t>
        </is>
      </c>
      <c r="F7" s="9" t="n">
        <v>1</v>
      </c>
      <c r="G7" s="32" t="inlineStr">
        <is>
          <t>当社</t>
        </is>
      </c>
      <c r="H7" s="26" t="inlineStr">
        <is>
          <t>2026-08-25</t>
        </is>
      </c>
      <c r="I7" s="7" t="inlineStr">
        <is>
          <t>令和8年8月25日版で確定。村の修正指示40か所は反映済み。確定後に国のマニュアル（8月19日事務連絡・県通知8月24日）が発出されたため、標準項目3件（外出の目的・介護保険・強度行動障害の該当有無）と障害支援区分が確定版にない。クロス集計と行政データで代替する（北塩原村_クロス集計設計.xlsx）</t>
        </is>
      </c>
    </row>
    <row r="8" ht="44" customHeight="1">
      <c r="A8" s="4" t="inlineStr">
        <is>
          <t>Ⅰ ニーズ調査</t>
        </is>
      </c>
      <c r="B8" s="30" t="inlineStr">
        <is>
          <t>Ⅰ(2)b</t>
        </is>
      </c>
      <c r="C8" s="4" t="inlineStr">
        <is>
          <t>文字の大きさ・フォント・表現の工夫、ルビ等の障がい特性に応じた配慮</t>
        </is>
      </c>
      <c r="D8" s="4" t="inlineStr">
        <is>
          <t>14pt程度・ルビ付与・白黒印刷・専門用語への短い解説（7/7打合せで決定）</t>
        </is>
      </c>
      <c r="E8" s="34" t="inlineStr">
        <is>
          <t>概ね完了</t>
        </is>
      </c>
      <c r="F8" s="6" t="n">
        <v>0.9</v>
      </c>
      <c r="G8" s="30" t="inlineStr">
        <is>
          <t>当社</t>
        </is>
      </c>
      <c r="H8" s="22" t="inlineStr">
        <is>
          <t>2026-08-05</t>
        </is>
      </c>
      <c r="I8" s="4" t="inlineStr">
        <is>
          <t>最終レイアウトでの表示確認</t>
        </is>
      </c>
    </row>
    <row r="9" ht="44" customHeight="1">
      <c r="A9" s="7" t="inlineStr">
        <is>
          <t>Ⅰ ニーズ調査</t>
        </is>
      </c>
      <c r="B9" s="32" t="inlineStr">
        <is>
          <t>Ⅰ(2)c</t>
        </is>
      </c>
      <c r="C9" s="7" t="inlineStr">
        <is>
          <t>ウェブ回答用フォームの作成</t>
        </is>
      </c>
      <c r="D9" s="7" t="inlineStr">
        <is>
          <t>Googleフォーム自動作成 Code（1本統合分岐版・修正版）／設問精査レポート／修正対応メモ</t>
        </is>
      </c>
      <c r="E9" s="34" t="inlineStr">
        <is>
          <t>概ね完了</t>
        </is>
      </c>
      <c r="F9" s="9" t="n">
        <v>0.85</v>
      </c>
      <c r="G9" s="32" t="inlineStr">
        <is>
          <t>当社</t>
        </is>
      </c>
      <c r="H9" s="26" t="inlineStr">
        <is>
          <t>2026-08-05</t>
        </is>
      </c>
      <c r="I9" s="7" t="inlineStr">
        <is>
          <t>枝番設問（障がい者版 問29-1〜3、障がい児版 問32〜34）の選択肢順序を固定する</t>
        </is>
      </c>
    </row>
    <row r="10" ht="44" customHeight="1">
      <c r="A10" s="4" t="inlineStr">
        <is>
          <t>Ⅰ ニーズ調査</t>
        </is>
      </c>
      <c r="B10" s="30" t="inlineStr">
        <is>
          <t>Ⅰ(2)d</t>
        </is>
      </c>
      <c r="C10" s="4" t="inlineStr">
        <is>
          <t>該当ページの二次元コードを調査票又は依頼状に印字</t>
        </is>
      </c>
      <c r="D10" s="4" t="inlineStr">
        <is>
          <t>―</t>
        </is>
      </c>
      <c r="E10" s="28" t="inlineStr">
        <is>
          <t>未着手</t>
        </is>
      </c>
      <c r="F10" s="6" t="n">
        <v>0</v>
      </c>
      <c r="G10" s="30" t="inlineStr">
        <is>
          <t>当社</t>
        </is>
      </c>
      <c r="H10" s="22" t="inlineStr">
        <is>
          <t>2026-08-05</t>
        </is>
      </c>
      <c r="I10" s="4" t="inlineStr">
        <is>
          <t>フォームURL確定後にQRを生成し、依頼状に配置する</t>
        </is>
      </c>
    </row>
    <row r="11" ht="44" customHeight="1">
      <c r="A11" s="7" t="inlineStr">
        <is>
          <t>Ⅰ ニーズ調査</t>
        </is>
      </c>
      <c r="B11" s="32" t="inlineStr">
        <is>
          <t>Ⅰ(2)e</t>
        </is>
      </c>
      <c r="C11" s="7" t="inlineStr">
        <is>
          <t>紙とウェブの重複回答が集計されないよう管理番号等で管理</t>
        </is>
      </c>
      <c r="D11" s="7" t="inlineStr">
        <is>
          <t>管理番号設計（04_紙Web設計確認）</t>
        </is>
      </c>
      <c r="E11" s="35" t="inlineStr">
        <is>
          <t>作業中</t>
        </is>
      </c>
      <c r="F11" s="9" t="n">
        <v>0.6</v>
      </c>
      <c r="G11" s="32" t="inlineStr">
        <is>
          <t>当社</t>
        </is>
      </c>
      <c r="H11" s="26" t="inlineStr">
        <is>
          <t>2026-08-05</t>
        </is>
      </c>
      <c r="I11" s="7" t="inlineStr">
        <is>
          <t>管理番号の付番はラベルシールの提供を受けてから確定する</t>
        </is>
      </c>
    </row>
    <row r="12" ht="44" customHeight="1">
      <c r="A12" s="4" t="inlineStr">
        <is>
          <t>Ⅰ ニーズ調査</t>
        </is>
      </c>
      <c r="B12" s="30" t="inlineStr">
        <is>
          <t>Ⅰ(3)</t>
        </is>
      </c>
      <c r="C12" s="4" t="inlineStr">
        <is>
          <t>調査票及び封筒（配布用・回収用）の印刷。調査票はA4判・約24ページ・黒1色。</t>
        </is>
      </c>
      <c r="D12" s="4" t="inlineStr">
        <is>
          <t>―</t>
        </is>
      </c>
      <c r="E12" s="25" t="inlineStr">
        <is>
          <t>要協議</t>
        </is>
      </c>
      <c r="F12" s="6" t="n">
        <v>0</v>
      </c>
      <c r="G12" s="30" t="inlineStr">
        <is>
          <t>当社／北塩原村</t>
        </is>
      </c>
      <c r="H12" s="22" t="inlineStr">
        <is>
          <t>2026-08-05</t>
        </is>
      </c>
      <c r="I12" s="4" t="inlineStr">
        <is>
          <t>仕様は約24ページ1種類だが、実際は障がい者版34ページ・障がい児版37ページの2種類。ページ数・種類数・部数・単価の取扱いを村と協議する。封筒は村の封筒を使用</t>
        </is>
      </c>
    </row>
    <row r="13" ht="44" customHeight="1">
      <c r="A13" s="7" t="inlineStr">
        <is>
          <t>Ⅰ ニーズ調査</t>
        </is>
      </c>
      <c r="B13" s="32" t="inlineStr">
        <is>
          <t>Ⅰ(4)</t>
        </is>
      </c>
      <c r="C13" s="7" t="inlineStr">
        <is>
          <t>宛名ラベルの貼付、封入・封緘、発送。回収票の開封確認。発送及び回収に係る費用は受託者の負担。</t>
        </is>
      </c>
      <c r="D13" s="7" t="inlineStr">
        <is>
          <t>―</t>
        </is>
      </c>
      <c r="E13" s="28" t="inlineStr">
        <is>
          <t>未着手</t>
        </is>
      </c>
      <c r="F13" s="9" t="n">
        <v>0</v>
      </c>
      <c r="G13" s="32" t="inlineStr">
        <is>
          <t>当社／北塩原村</t>
        </is>
      </c>
      <c r="H13" s="26" t="inlineStr">
        <is>
          <t>2026-08-10</t>
        </is>
      </c>
      <c r="I13" s="7" t="inlineStr">
        <is>
          <t>7/7打合せにより、村の封筒を使用し差出人・返送先を村役場とする運用に変更。村役場での一括受領・窓口回収。郵便料金は村が立替え後日実費精算（書面確認が必要）</t>
        </is>
      </c>
    </row>
    <row r="14" ht="44" customHeight="1">
      <c r="A14" s="4" t="inlineStr">
        <is>
          <t>Ⅰ ニーズ調査</t>
        </is>
      </c>
      <c r="B14" s="30" t="inlineStr">
        <is>
          <t>Ⅰ(5)</t>
        </is>
      </c>
      <c r="C14" s="4" t="inlineStr">
        <is>
          <t>厚生労働省が提示する集計ファイル様式を基本としたデータ入力</t>
        </is>
      </c>
      <c r="D14" s="4" t="inlineStr">
        <is>
          <t>―</t>
        </is>
      </c>
      <c r="E14" s="28" t="inlineStr">
        <is>
          <t>未着手</t>
        </is>
      </c>
      <c r="F14" s="6" t="n">
        <v>0</v>
      </c>
      <c r="G14" s="30" t="inlineStr">
        <is>
          <t>当社</t>
        </is>
      </c>
      <c r="H14" s="22" t="inlineStr">
        <is>
          <t>2026-09-10</t>
        </is>
      </c>
      <c r="I14" s="4" t="inlineStr">
        <is>
          <t>集計様式の入手。回収開始までに入力体制を確定する</t>
        </is>
      </c>
    </row>
    <row r="15" ht="44" customHeight="1">
      <c r="A15" s="7" t="inlineStr">
        <is>
          <t>Ⅰ ニーズ調査</t>
        </is>
      </c>
      <c r="B15" s="32" t="inlineStr">
        <is>
          <t>Ⅰ(6)</t>
        </is>
      </c>
      <c r="C15" s="7" t="inlineStr">
        <is>
          <t>基本集計及び年齢・障がい種別等によるクロス集計。自由回答の取りまとめ。設問間クロス集計等は委託者と協議の上決定。</t>
        </is>
      </c>
      <c r="D15" s="7" t="inlineStr">
        <is>
          <t>北塩原村_アンケート集計分析方法_少数母数対応_計画接続メモ／北塩原村_クロス集計設計.xlsx（25件・層6区分・行政データ突合6件）</t>
        </is>
      </c>
      <c r="E15" s="35" t="inlineStr">
        <is>
          <t>作業中</t>
        </is>
      </c>
      <c r="F15" s="9" t="n">
        <v>0.55</v>
      </c>
      <c r="G15" s="32" t="inlineStr">
        <is>
          <t>当社</t>
        </is>
      </c>
      <c r="H15" s="26" t="inlineStr">
        <is>
          <t>2026-10-31</t>
        </is>
      </c>
      <c r="I15" s="7" t="inlineStr">
        <is>
          <t>少数母数の公表基準（n&lt;5の秘匿、地区別・障がい種別クロスの扱い）を村と合意する</t>
        </is>
      </c>
    </row>
    <row r="16" ht="44" customHeight="1">
      <c r="A16" s="4" t="inlineStr">
        <is>
          <t>Ⅰ ニーズ調査</t>
        </is>
      </c>
      <c r="B16" s="30" t="inlineStr">
        <is>
          <t>Ⅰ(7)</t>
        </is>
      </c>
      <c r="C16" s="4" t="inlineStr">
        <is>
          <t>設問ごとのグラフ作成と分析結果の報告書としての取りまとめ</t>
        </is>
      </c>
      <c r="D16" s="4" t="inlineStr">
        <is>
          <t>―</t>
        </is>
      </c>
      <c r="E16" s="28" t="inlineStr">
        <is>
          <t>未着手</t>
        </is>
      </c>
      <c r="F16" s="6" t="n">
        <v>0</v>
      </c>
      <c r="G16" s="30" t="inlineStr">
        <is>
          <t>当社</t>
        </is>
      </c>
      <c r="H16" s="22" t="inlineStr">
        <is>
          <t>2026-11-30</t>
        </is>
      </c>
      <c r="I16" s="4" t="inlineStr">
        <is>
          <t>集計完了後に着手</t>
        </is>
      </c>
    </row>
    <row r="17" ht="44" customHeight="1">
      <c r="A17" s="7" t="inlineStr">
        <is>
          <t>Ⅱ 計画策定業務</t>
        </is>
      </c>
      <c r="B17" s="32" t="inlineStr">
        <is>
          <t>Ⅱ(1)</t>
        </is>
      </c>
      <c r="C17" s="7" t="inlineStr">
        <is>
          <t>法制度の改正動向、国の基本指針、福島県障がい福祉計画等の収集・整理</t>
        </is>
      </c>
      <c r="D17" s="7" t="inlineStr">
        <is>
          <t>骨子案 第1章4（基本指針改正16項目、法定雇用率2.7%）／年齢到達による給付移行 調査報告／現行計画本編 第4章1（第7期の基本指針見直し）／国基準数値 原典照合結果／告示本文・新旧対照表・改正後概要（source/基本指針）／令和8年度報酬改定資料（source/報酬改定）</t>
        </is>
      </c>
      <c r="E17" s="34" t="inlineStr">
        <is>
          <t>概ね完了</t>
        </is>
      </c>
      <c r="F17" s="9" t="n">
        <v>0.95</v>
      </c>
      <c r="G17" s="32" t="inlineStr">
        <is>
          <t>当社</t>
        </is>
      </c>
      <c r="H17" s="26" t="inlineStr">
        <is>
          <t>2026-09-30</t>
        </is>
      </c>
      <c r="I17" s="7" t="inlineStr">
        <is>
          <t>国基準数値11件を告示第4号の本文・別表と照合済み（誤り1件・補足4件・欠落6件を骨子案修正版へ反映）。残るは福島県 第8期計画の公表待ち（別表第四による長期入院患者の基盤整備量、心のサポーター目標）</t>
        </is>
      </c>
    </row>
    <row r="18" ht="44" customHeight="1">
      <c r="A18" s="4" t="inlineStr">
        <is>
          <t>Ⅱ 計画策定業務</t>
        </is>
      </c>
      <c r="B18" s="30" t="inlineStr">
        <is>
          <t>Ⅱ(2)</t>
        </is>
      </c>
      <c r="C18" s="4" t="inlineStr">
        <is>
          <t>現行計画（令和6〜8年度）のサービス利用実績、成果目標・活動指標の達成状況の評価・検証</t>
        </is>
      </c>
      <c r="D18" s="4" t="inlineStr">
        <is>
          <t>北塩原村_現行計画評価.xlsx（7シート）／前回計画評価_アンケート精査管理表／現行計画本編</t>
        </is>
      </c>
      <c r="E18" s="35" t="inlineStr">
        <is>
          <t>作業中</t>
        </is>
      </c>
      <c r="F18" s="6" t="n">
        <v>0.7</v>
      </c>
      <c r="G18" s="30" t="inlineStr">
        <is>
          <t>当社</t>
        </is>
      </c>
      <c r="H18" s="22" t="inlineStr">
        <is>
          <t>2026-10-31</t>
        </is>
      </c>
      <c r="I18" s="4" t="inlineStr">
        <is>
          <t>令和3〜5年度の見込量と実績の突合（サービス25区分・地域生活支援事業13事業）を完了。令和6・7年度実績と令和8年度見込を受領するまで第7期の達成判定は確定できない</t>
        </is>
      </c>
    </row>
    <row r="19" ht="44" customHeight="1">
      <c r="A19" s="7" t="inlineStr">
        <is>
          <t>Ⅱ 計画策定業務</t>
        </is>
      </c>
      <c r="B19" s="32" t="inlineStr">
        <is>
          <t>Ⅱ(3)①</t>
        </is>
      </c>
      <c r="C19" s="7" t="inlineStr">
        <is>
          <t>障がい者手帳所持者数（身体・療育・精神）の将来推計</t>
        </is>
      </c>
      <c r="D19" s="7" t="inlineStr">
        <is>
          <t>北塩原村_将来推計.xlsx（9シート。08_県との比較を追加）／骨子案修正版 第2章6</t>
        </is>
      </c>
      <c r="E19" s="27" t="inlineStr">
        <is>
          <t>村資料待ち</t>
        </is>
      </c>
      <c r="F19" s="9" t="n">
        <v>0.68</v>
      </c>
      <c r="G19" s="32" t="inlineStr">
        <is>
          <t>当社</t>
        </is>
      </c>
      <c r="H19" s="26" t="inlineStr">
        <is>
          <t>2026-10-31</t>
        </is>
      </c>
      <c r="I19" s="7" t="inlineStr">
        <is>
          <t>現行計画本編の受領により年齢3区分別人口5年分が判明し、所持率の推移を算定できた。630調査により福島県の精神手帳所持者数の推移（令和5年度18,002人→令和7年度19,107人）を把握し、方法B（所持率一定）が精神で成り立たないことの傍証を得た。県の交付件数の年齢構成を村に当てはめる代替推計は、交付件数が新規交付のみで所持者の年齢構成と異なるため採用しない。方法Cには引き続き村の年齢階級別所持者数が必要</t>
        </is>
      </c>
    </row>
    <row r="20" ht="44" customHeight="1">
      <c r="A20" s="4" t="inlineStr">
        <is>
          <t>Ⅱ 計画策定業務</t>
        </is>
      </c>
      <c r="B20" s="30" t="inlineStr">
        <is>
          <t>Ⅱ(3)②</t>
        </is>
      </c>
      <c r="C20" s="4" t="inlineStr">
        <is>
          <t>障がい福祉サービス（介護給付・訓練等給付）の見込量の推計</t>
        </is>
      </c>
      <c r="D20" s="4" t="inlineStr">
        <is>
          <t>北塩原村_サービス見込量.xlsx（03_積上げ_障害福祉サービス）／骨子案修正版 第5章1</t>
        </is>
      </c>
      <c r="E20" s="27" t="inlineStr">
        <is>
          <t>村資料待ち</t>
        </is>
      </c>
      <c r="F20" s="6" t="n">
        <v>0.35</v>
      </c>
      <c r="G20" s="30" t="inlineStr">
        <is>
          <t>当社</t>
        </is>
      </c>
      <c r="H20" s="22" t="inlineStr">
        <is>
          <t>2026-10-31</t>
        </is>
      </c>
      <c r="I20" s="4" t="inlineStr">
        <is>
          <t>年齢別・サービス別の匿名利用者一覧と支給決定者数（実人数）を受領する</t>
        </is>
      </c>
    </row>
    <row r="21" ht="44" customHeight="1">
      <c r="A21" s="7" t="inlineStr">
        <is>
          <t>Ⅱ 計画策定業務</t>
        </is>
      </c>
      <c r="B21" s="32" t="inlineStr">
        <is>
          <t>Ⅱ(3)③</t>
        </is>
      </c>
      <c r="C21" s="7" t="inlineStr">
        <is>
          <t>障がい児通所支援等の見込量の推計</t>
        </is>
      </c>
      <c r="D21" s="7" t="inlineStr">
        <is>
          <t>北塩原村_サービス見込量.xlsx（04_積上げ_障害児通所支援）</t>
        </is>
      </c>
      <c r="E21" s="27" t="inlineStr">
        <is>
          <t>村資料待ち</t>
        </is>
      </c>
      <c r="F21" s="9" t="n">
        <v>0.35</v>
      </c>
      <c r="G21" s="32" t="inlineStr">
        <is>
          <t>当社</t>
        </is>
      </c>
      <c r="H21" s="26" t="inlineStr">
        <is>
          <t>2026-10-31</t>
        </is>
      </c>
      <c r="I21" s="7" t="inlineStr">
        <is>
          <t>利用児童の学年と就学予定年度、令和6・7年度の給付費変動理由を確認する</t>
        </is>
      </c>
    </row>
    <row r="22" ht="44" customHeight="1">
      <c r="A22" s="4" t="inlineStr">
        <is>
          <t>Ⅱ 計画策定業務</t>
        </is>
      </c>
      <c r="B22" s="30" t="inlineStr">
        <is>
          <t>Ⅱ(3)④</t>
        </is>
      </c>
      <c r="C22" s="4" t="inlineStr">
        <is>
          <t>地域生活支援事業の見込量の推計</t>
        </is>
      </c>
      <c r="D22" s="4" t="inlineStr">
        <is>
          <t>北塩原村_地域生活支援事業.xlsx（4シート）／骨子案修正版 第5章9「事業ごとの実施に関する考え方」</t>
        </is>
      </c>
      <c r="E22" s="35" t="inlineStr">
        <is>
          <t>作業中</t>
        </is>
      </c>
      <c r="F22" s="6" t="n">
        <v>0.55</v>
      </c>
      <c r="G22" s="30" t="inlineStr">
        <is>
          <t>当社</t>
        </is>
      </c>
      <c r="H22" s="22" t="inlineStr">
        <is>
          <t>2026-10-31</t>
        </is>
      </c>
      <c r="I22" s="4" t="inlineStr">
        <is>
          <t>告示第三の二の3が定める4事項との対応を確認し、不足していた「事業ごとの実施に関する考え方」を計画本文に追加。移動支援0人の理由、福祉ホームの実績と見込の逆転、見込量表に行がない2事業（法人後見支援・手話奉仕員養成研修）の扱いを村へ確認する。事業別の事業費・補助額・村負担額も未受領</t>
        </is>
      </c>
    </row>
    <row r="23" ht="44" customHeight="1">
      <c r="A23" s="7" t="inlineStr">
        <is>
          <t>Ⅱ 計画策定業務</t>
        </is>
      </c>
      <c r="B23" s="32" t="inlineStr">
        <is>
          <t>Ⅱ(3)⑤</t>
        </is>
      </c>
      <c r="C23" s="7" t="inlineStr">
        <is>
          <t>成果目標及び活動指標の設定</t>
        </is>
      </c>
      <c r="D23" s="7" t="inlineStr">
        <is>
          <t>骨子案修正版 第4章（成果目標8項目）・第5章10（活動指標）／北塩原村_活動指標.xlsx（4シート）</t>
        </is>
      </c>
      <c r="E23" s="35" t="inlineStr">
        <is>
          <t>作業中</t>
        </is>
      </c>
      <c r="F23" s="9" t="n">
        <v>0.7</v>
      </c>
      <c r="G23" s="32" t="inlineStr">
        <is>
          <t>当社</t>
        </is>
      </c>
      <c r="H23" s="26" t="inlineStr">
        <is>
          <t>2026-10-31</t>
        </is>
      </c>
      <c r="I23" s="7" t="inlineStr">
        <is>
          <t>活動指標は骨子案に節・表がなく未着手だったが、告示別表第一の83項目から本村分65項目を抽出し、必須33（サービスの見込量に相当）と任意（第三の四㈡）を区分した上で第5章10として新設。成果目標は令和7年度末の施設入所者数等の基準値を受領するまで数値が確定しない</t>
        </is>
      </c>
    </row>
    <row r="24" ht="44" customHeight="1">
      <c r="A24" s="4" t="inlineStr">
        <is>
          <t>Ⅱ 計画策定業務</t>
        </is>
      </c>
      <c r="B24" s="30" t="inlineStr">
        <is>
          <t>Ⅱ(4)</t>
        </is>
      </c>
      <c r="C24" s="4" t="inlineStr">
        <is>
          <t>現行計画の成果と課題を踏まえた障がい者福祉施策の検討</t>
        </is>
      </c>
      <c r="D24" s="4" t="inlineStr">
        <is>
          <t>骨子案修正版 第3章（再構成済み）／北塩原村_現行計画評価.xlsx（03・06）</t>
        </is>
      </c>
      <c r="E24" s="34" t="inlineStr">
        <is>
          <t>概ね完了</t>
        </is>
      </c>
      <c r="F24" s="6" t="n">
        <v>0.85</v>
      </c>
      <c r="G24" s="30" t="inlineStr">
        <is>
          <t>当社</t>
        </is>
      </c>
      <c r="H24" s="22" t="inlineStr">
        <is>
          <t>2026-11-30</t>
        </is>
      </c>
      <c r="I24" s="4" t="inlineStr">
        <is>
          <t>第3章を「計画の基本理念・基本目標及び施策体系」へ再構成し、第8期で加わる視点と施策体系の対応表を新設。中間年評価の実績値の反映が残る</t>
        </is>
      </c>
    </row>
    <row r="25" ht="44" customHeight="1">
      <c r="A25" s="7" t="inlineStr">
        <is>
          <t>Ⅱ 計画策定業務</t>
        </is>
      </c>
      <c r="B25" s="32" t="inlineStr">
        <is>
          <t>Ⅱ(5)</t>
        </is>
      </c>
      <c r="C25" s="7" t="inlineStr">
        <is>
          <t>計画案の検討・作成（8事項）。国基本指針・県計画・村関連計画との整合。</t>
        </is>
      </c>
      <c r="D25" s="7" t="inlineStr">
        <is>
          <t>骨子案修正版（全8章。第2章6・第3章・第5章1・2・11を新設又は再構成）</t>
        </is>
      </c>
      <c r="E25" s="35" t="inlineStr">
        <is>
          <t>作業中</t>
        </is>
      </c>
      <c r="F25" s="9" t="n">
        <v>0.7</v>
      </c>
      <c r="G25" s="32" t="inlineStr">
        <is>
          <t>当社</t>
        </is>
      </c>
      <c r="H25" s="26" t="inlineStr">
        <is>
          <t>2026-12-31</t>
        </is>
      </c>
      <c r="I25" s="7" t="inlineStr">
        <is>
          <t>8事項のうち①基本理念・基本目標と②施策体系を第3章で措置済み。③〜⑦は村資料の受領後に数値を確定する。⑧推進体制は第1章6</t>
        </is>
      </c>
    </row>
    <row r="26" ht="44" customHeight="1">
      <c r="A26" s="4" t="inlineStr">
        <is>
          <t>Ⅱ 計画策定業務</t>
        </is>
      </c>
      <c r="B26" s="30" t="inlineStr">
        <is>
          <t>Ⅱ(6)</t>
        </is>
      </c>
      <c r="C26" s="4" t="inlineStr">
        <is>
          <t>自立支援協議会での審議、パブリックコメントを経た計画書の最終取りまとめ</t>
        </is>
      </c>
      <c r="D26" s="4" t="inlineStr">
        <is>
          <t>―</t>
        </is>
      </c>
      <c r="E26" s="28" t="inlineStr">
        <is>
          <t>未着手</t>
        </is>
      </c>
      <c r="F26" s="6" t="n">
        <v>0</v>
      </c>
      <c r="G26" s="30" t="inlineStr">
        <is>
          <t>当社</t>
        </is>
      </c>
      <c r="H26" s="22" t="inlineStr">
        <is>
          <t>2027-03-15</t>
        </is>
      </c>
      <c r="I26" s="4" t="inlineStr">
        <is>
          <t>協議会・パブコメの実施後</t>
        </is>
      </c>
    </row>
    <row r="27" ht="44" customHeight="1">
      <c r="A27" s="7" t="inlineStr">
        <is>
          <t>Ⅱ 計画策定業務</t>
        </is>
      </c>
      <c r="B27" s="32" t="inlineStr">
        <is>
          <t>Ⅱ(7)</t>
        </is>
      </c>
      <c r="C27" s="7" t="inlineStr">
        <is>
          <t>計画策定委員会の支援（会議資料の作成、会議への出席、会議記録の作成）。協議会の開催は村</t>
        </is>
      </c>
      <c r="D27" s="7" t="inlineStr">
        <is>
          <t>output/会議資料/（協議会資料1・2・8、庁議資料2・4の5点を作成済み）／北塩原村_協議会等資料_構成案.md（協議会9資料・庁議4資料・パブコメ資料の構成と論点）</t>
        </is>
      </c>
      <c r="E27" s="35" t="inlineStr">
        <is>
          <t>作業中</t>
        </is>
      </c>
      <c r="F27" s="9" t="n">
        <v>0.45</v>
      </c>
      <c r="G27" s="32" t="inlineStr">
        <is>
          <t>当社</t>
        </is>
      </c>
      <c r="H27" s="26" t="inlineStr">
        <is>
          <t>2026-12-31</t>
        </is>
      </c>
      <c r="I27" s="7" t="inlineStr">
        <is>
          <t>村資料に依存しない5資料を作成済み。残る資料3〜7・9は村資料の受領後に作成する。協議会が令和8年12月の1回のみで第8期の審議事項を賄えるか、2回への分割を村と協議する。開催日の確定後、会議記録の様式（「計画への反映」欄を設ける案）を村と合意する</t>
        </is>
      </c>
    </row>
    <row r="28" ht="44" customHeight="1">
      <c r="A28" s="4" t="inlineStr">
        <is>
          <t>Ⅲ 打合せ等業務</t>
        </is>
      </c>
      <c r="B28" s="30" t="inlineStr">
        <is>
          <t>Ⅲ</t>
        </is>
      </c>
      <c r="C28" s="4" t="inlineStr">
        <is>
          <t>計画策定業務実施中の電話及び面談（オンライン・対面）による打合せ</t>
        </is>
      </c>
      <c r="D28" s="4" t="inlineStr">
        <is>
          <t>令和8年7月7日 打合せ（村役場）実施済／議事録作成済</t>
        </is>
      </c>
      <c r="E28" s="36" t="inlineStr">
        <is>
          <t>継続実施</t>
        </is>
      </c>
      <c r="F28" s="6" t="n">
        <v>0.4</v>
      </c>
      <c r="G28" s="30" t="inlineStr">
        <is>
          <t>当社</t>
        </is>
      </c>
      <c r="H28" s="22" t="inlineStr">
        <is>
          <t>2027-03-31</t>
        </is>
      </c>
      <c r="I28" s="4" t="inlineStr">
        <is>
          <t>次回打合せの設定。アンケート発送前の確認事項（印刷仕様・郵送費・ラベル）を議題とする</t>
        </is>
      </c>
    </row>
    <row r="29" ht="44" customHeight="1">
      <c r="A29" s="7" t="inlineStr">
        <is>
          <t>成果品</t>
        </is>
      </c>
      <c r="B29" s="32" t="inlineStr">
        <is>
          <t>成果品①</t>
        </is>
      </c>
      <c r="C29" s="7" t="inlineStr">
        <is>
          <t>障がい福祉計画書　A4判・両面約60頁・モノクロ・コピー・くるみ製本　30部</t>
        </is>
      </c>
      <c r="D29" s="7" t="inlineStr">
        <is>
          <t>骨子案修正版（目次整理済・推定58頁）／分量配分計画（docs・進捗管理08）／北塩原村_目次構成_前回対比.xlsx</t>
        </is>
      </c>
      <c r="E29" s="35" t="inlineStr">
        <is>
          <t>作業中</t>
        </is>
      </c>
      <c r="F29" s="9" t="n">
        <v>0.45</v>
      </c>
      <c r="G29" s="32" t="inlineStr">
        <is>
          <t>当社</t>
        </is>
      </c>
      <c r="H29" s="26" t="inlineStr">
        <is>
          <t>2027-03-31</t>
        </is>
      </c>
      <c r="I29" s="7" t="inlineStr">
        <is>
          <t>現行計画の本文57頁の章別配分を基準に、章ごとの目標頁数を設定済み（合計60頁）。現在の本文は注記を除き約45頁で15頁の余地がある。第5章に20頁を配分。第1章の原稿確定後に実組版で1頁あたりの文字数を実測し配分計画を補正する</t>
        </is>
      </c>
    </row>
    <row r="30" ht="44" customHeight="1">
      <c r="A30" s="4" t="inlineStr">
        <is>
          <t>成果品</t>
        </is>
      </c>
      <c r="B30" s="30" t="inlineStr">
        <is>
          <t>成果品②</t>
        </is>
      </c>
      <c r="C30" s="4" t="inlineStr">
        <is>
          <t>アンケート調査報告書　A4判・両面約60頁・モノクロ・コピー・ホチキス製本　10部</t>
        </is>
      </c>
      <c r="D30" s="4" t="inlineStr">
        <is>
          <t>―</t>
        </is>
      </c>
      <c r="E30" s="28" t="inlineStr">
        <is>
          <t>未着手</t>
        </is>
      </c>
      <c r="F30" s="6" t="n">
        <v>0</v>
      </c>
      <c r="G30" s="30" t="inlineStr">
        <is>
          <t>当社</t>
        </is>
      </c>
      <c r="H30" s="22" t="inlineStr">
        <is>
          <t>2027-03-31</t>
        </is>
      </c>
      <c r="I30" s="4" t="inlineStr">
        <is>
          <t>集計完了後に着手</t>
        </is>
      </c>
    </row>
    <row r="31" ht="44" customHeight="1">
      <c r="A31" s="7" t="inlineStr">
        <is>
          <t>成果品</t>
        </is>
      </c>
      <c r="B31" s="32" t="inlineStr">
        <is>
          <t>成果品③</t>
        </is>
      </c>
      <c r="C31" s="7" t="inlineStr">
        <is>
          <t>成果品及び関連データを収録した電子媒体（Word・Excel・PowerPoint・PDF等）CD-R等一式</t>
        </is>
      </c>
      <c r="D31" s="7" t="inlineStr">
        <is>
          <t>管理ブック4本（将来推計・サービス見込量・財源構成案・業務進捗管理）</t>
        </is>
      </c>
      <c r="E31" s="35" t="inlineStr">
        <is>
          <t>作業中</t>
        </is>
      </c>
      <c r="F31" s="9" t="n">
        <v>0.3</v>
      </c>
      <c r="G31" s="32" t="inlineStr">
        <is>
          <t>当社</t>
        </is>
      </c>
      <c r="H31" s="26" t="inlineStr">
        <is>
          <t>2027-03-31</t>
        </is>
      </c>
      <c r="I31" s="7" t="inlineStr">
        <is>
          <t>納品時の収録範囲を確定する。管理ブックを収録対象とするか村と確認</t>
        </is>
      </c>
    </row>
    <row r="32" ht="44" customHeight="1">
      <c r="A32" s="4" t="inlineStr">
        <is>
          <t>契約管理</t>
        </is>
      </c>
      <c r="B32" s="30" t="inlineStr">
        <is>
          <t>管理1</t>
        </is>
      </c>
      <c r="C32" s="4" t="inlineStr">
        <is>
          <t>印刷仕様の差異（仕様書：A4判・約24ページ・黒1色の1種類）</t>
        </is>
      </c>
      <c r="D32" s="4" t="inlineStr">
        <is>
          <t>0728版は障がい者版34ページ・障がい児版37ページの2種類</t>
        </is>
      </c>
      <c r="E32" s="25" t="inlineStr">
        <is>
          <t>要協議</t>
        </is>
      </c>
      <c r="F32" s="6" t="n">
        <v>0</v>
      </c>
      <c r="G32" s="30" t="inlineStr">
        <is>
          <t>当社／北塩原村</t>
        </is>
      </c>
      <c r="H32" s="22" t="inlineStr">
        <is>
          <t>2026-08-05</t>
        </is>
      </c>
      <c r="I32" s="4" t="inlineStr">
        <is>
          <t>ページ数・種類数・部数・単価の取扱いを村と協議し、結果を記録する</t>
        </is>
      </c>
    </row>
    <row r="33" ht="44" customHeight="1">
      <c r="A33" s="7" t="inlineStr">
        <is>
          <t>契約管理</t>
        </is>
      </c>
      <c r="B33" s="32" t="inlineStr">
        <is>
          <t>管理2</t>
        </is>
      </c>
      <c r="C33" s="7" t="inlineStr">
        <is>
          <t>郵送費の負担（仕様書：発送及び回収に係る費用は受託者の負担）</t>
        </is>
      </c>
      <c r="D33" s="7" t="inlineStr">
        <is>
          <t>7/7打合せ：郵便料金は村が郵便局へ立替え、後日実費を当社へ請求・精算する方向</t>
        </is>
      </c>
      <c r="E33" s="25" t="inlineStr">
        <is>
          <t>要協議</t>
        </is>
      </c>
      <c r="F33" s="9" t="n">
        <v>0.2</v>
      </c>
      <c r="G33" s="32" t="inlineStr">
        <is>
          <t>当社／北塩原村</t>
        </is>
      </c>
      <c r="H33" s="26" t="inlineStr">
        <is>
          <t>2026-08-05</t>
        </is>
      </c>
      <c r="I33" s="7" t="inlineStr">
        <is>
          <t>精算方法・範囲・上限を書面で確認する</t>
        </is>
      </c>
    </row>
    <row r="34" ht="44" customHeight="1">
      <c r="A34" s="4" t="inlineStr">
        <is>
          <t>契約管理</t>
        </is>
      </c>
      <c r="B34" s="30" t="inlineStr">
        <is>
          <t>管理3</t>
        </is>
      </c>
      <c r="C34" s="4" t="inlineStr">
        <is>
          <t>発送・回収の運用変更（村封筒使用、村役場一括受領、窓口回収）</t>
        </is>
      </c>
      <c r="D34" s="4" t="inlineStr">
        <is>
          <t>7/7議事録に記載済</t>
        </is>
      </c>
      <c r="E34" s="35" t="inlineStr">
        <is>
          <t>作業中</t>
        </is>
      </c>
      <c r="F34" s="6" t="n">
        <v>0.5</v>
      </c>
      <c r="G34" s="30" t="inlineStr">
        <is>
          <t>当社／北塩原村</t>
        </is>
      </c>
      <c r="H34" s="22" t="inlineStr">
        <is>
          <t>2026-08-05</t>
        </is>
      </c>
      <c r="I34" s="4" t="inlineStr">
        <is>
          <t>仕様書Ⅰ(4)との差異として記録化し、受渡し日程・記録方法・個人情報の受渡し手順を取り決める</t>
        </is>
      </c>
    </row>
    <row r="35" ht="44" customHeight="1">
      <c r="A35" s="7" t="inlineStr">
        <is>
          <t>契約管理</t>
        </is>
      </c>
      <c r="B35" s="32" t="inlineStr">
        <is>
          <t>管理4</t>
        </is>
      </c>
      <c r="C35" s="7" t="inlineStr">
        <is>
          <t>追加業務の位置づけ（補足ヒアリング調査、財政負担の可視化）</t>
        </is>
      </c>
      <c r="D35" s="7" t="inlineStr">
        <is>
          <t>7/7議事録に記載。財政負担は財源構成案ブックで対応中</t>
        </is>
      </c>
      <c r="E35" s="25" t="inlineStr">
        <is>
          <t>要協議</t>
        </is>
      </c>
      <c r="F35" s="9" t="n">
        <v>0.3</v>
      </c>
      <c r="G35" s="32" t="inlineStr">
        <is>
          <t>当社</t>
        </is>
      </c>
      <c r="H35" s="26" t="inlineStr">
        <is>
          <t>2026-09-30</t>
        </is>
      </c>
      <c r="I35" s="7" t="inlineStr">
        <is>
          <t>仕様書に明示のない業務のため、範囲・工数・対象機関を整理して協議する</t>
        </is>
      </c>
    </row>
    <row r="36" ht="44" customHeight="1">
      <c r="A36" s="4" t="inlineStr">
        <is>
          <t>契約管理</t>
        </is>
      </c>
      <c r="B36" s="30" t="inlineStr">
        <is>
          <t>管理5</t>
        </is>
      </c>
      <c r="C36" s="4" t="inlineStr">
        <is>
          <t>対象者数の確定（仕様書 約190人 と 現行計画 156人 の差）</t>
        </is>
      </c>
      <c r="D36" s="4" t="inlineStr">
        <is>
          <t>将来推計.xlsx 04_推計の不確実性 に突合表</t>
        </is>
      </c>
      <c r="E36" s="27" t="inlineStr">
        <is>
          <t>村資料待ち</t>
        </is>
      </c>
      <c r="F36" s="6" t="n">
        <v>0.1</v>
      </c>
      <c r="G36" s="30" t="inlineStr">
        <is>
          <t>北塩原村</t>
        </is>
      </c>
      <c r="H36" s="22" t="inlineStr">
        <is>
          <t>2026-08-05</t>
        </is>
      </c>
      <c r="I36" s="4" t="inlineStr">
        <is>
          <t>回収率の分母・集計母数・管理番号設計に直結する。発送前に確定が必要</t>
        </is>
      </c>
    </row>
    <row r="37" ht="44" customHeight="1">
      <c r="A37" s="7" t="inlineStr">
        <is>
          <t>契約管理</t>
        </is>
      </c>
      <c r="B37" s="32" t="inlineStr">
        <is>
          <t>管理6</t>
        </is>
      </c>
      <c r="C37" s="7" t="inlineStr">
        <is>
          <t>計画書の編集所管課の表記（仕様書：保健福祉課福祉係／骨子案奥付：住民課）</t>
        </is>
      </c>
      <c r="D37" s="7" t="inlineStr">
        <is>
          <t>骨子案修正版の奥付を「保健福祉課福祉係」に確定</t>
        </is>
      </c>
      <c r="E37" s="33" t="inlineStr">
        <is>
          <t>完了</t>
        </is>
      </c>
      <c r="F37" s="9" t="n">
        <v>1</v>
      </c>
      <c r="G37" s="32" t="inlineStr">
        <is>
          <t>北塩原村</t>
        </is>
      </c>
      <c r="H37" s="26" t="inlineStr">
        <is>
          <t>2026-08-14</t>
        </is>
      </c>
      <c r="I37" s="7" t="inlineStr">
        <is>
          <t>令和8年8月の調査票修正指示で、問合せ先が「医療福祉班」から「保健福祉課 福祉係」に修正されたことにより確定。現行計画が障がい者相談支援事業の実施主体を住民課としている記載は組織改編前のものとして整理する</t>
        </is>
      </c>
    </row>
    <row r="38" ht="44" customHeight="1">
      <c r="A38" s="4" t="inlineStr">
        <is>
          <t>契約管理</t>
        </is>
      </c>
      <c r="B38" s="30" t="inlineStr">
        <is>
          <t>管理7</t>
        </is>
      </c>
      <c r="C38" s="4" t="inlineStr">
        <is>
          <t>守秘義務・再委託の禁止・契約約款の遵守</t>
        </is>
      </c>
      <c r="D38" s="4" t="inlineStr">
        <is>
          <t>仕様書6。個人情報を含む資料は内部管理とし、公表用報告書と分離</t>
        </is>
      </c>
      <c r="E38" s="36" t="inlineStr">
        <is>
          <t>継続実施</t>
        </is>
      </c>
      <c r="F38" s="6" t="n">
        <v>0.5</v>
      </c>
      <c r="G38" s="30" t="inlineStr">
        <is>
          <t>当社</t>
        </is>
      </c>
      <c r="H38" s="22" t="inlineStr">
        <is>
          <t>2027-03-31</t>
        </is>
      </c>
      <c r="I38" s="4" t="inlineStr">
        <is>
          <t>アンケート回収物の受渡し手順、匿名利用者一覧の取扱いを明文化する</t>
        </is>
      </c>
    </row>
    <row r="40" ht="32" customHeight="1">
      <c r="A40" s="2" t="inlineStr">
        <is>
          <t>状態の凡例：完了／概ね完了（残作業が確認レベル）／作業中／継続実施（業務期間を通じて実施）／未着手／村資料待ち（当社側の作業は終えており村の資料受領で進む）／要協議（村との協議が必要）／村側作業（仕様書上、村が実施する）。</t>
        </is>
      </c>
    </row>
  </sheetData>
  <autoFilter ref="A5:I38"/>
  <mergeCells count="3">
    <mergeCell ref="A1:I1"/>
    <mergeCell ref="A40:I40"/>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0"/>
  <sheetViews>
    <sheetView showGridLines="0" workbookViewId="0">
      <pane ySplit="4" topLeftCell="A5" activePane="bottomLeft" state="frozen"/>
      <selection pane="bottomLeft" activeCell="A1" sqref="A1"/>
    </sheetView>
  </sheetViews>
  <sheetFormatPr baseColWidth="8" defaultRowHeight="15"/>
  <cols>
    <col width="10" customWidth="1" min="1" max="1"/>
    <col width="30" customWidth="1" min="2" max="2"/>
    <col width="40" customWidth="1" min="3" max="3"/>
    <col width="12" customWidth="1" min="4" max="4"/>
    <col width="12" customWidth="1" min="5" max="5"/>
    <col width="14" customWidth="1" min="6" max="6"/>
    <col width="44" customWidth="1" min="7" max="7"/>
  </cols>
  <sheetData>
    <row r="1" ht="30" customHeight="1">
      <c r="A1" s="29" t="inlineStr">
        <is>
          <t>成果品の管理（仕様書5）</t>
        </is>
      </c>
    </row>
    <row r="2" ht="30" customHeight="1">
      <c r="A2" s="2" t="inlineStr">
        <is>
          <t>納品する成果品の仕様と進捗です。仕様書5に定める3点に加え、納品時に電子媒体へ収録する関連データを整理します。</t>
        </is>
      </c>
    </row>
    <row r="5" ht="30" customHeight="1">
      <c r="A5" s="3" t="inlineStr">
        <is>
          <t>区分</t>
        </is>
      </c>
      <c r="B5" s="3" t="inlineStr">
        <is>
          <t>成果品</t>
        </is>
      </c>
      <c r="C5" s="3" t="inlineStr">
        <is>
          <t>仕様</t>
        </is>
      </c>
      <c r="D5" s="3" t="inlineStr">
        <is>
          <t>部数</t>
        </is>
      </c>
      <c r="E5" s="3" t="inlineStr">
        <is>
          <t>状態</t>
        </is>
      </c>
      <c r="F5" s="3" t="inlineStr">
        <is>
          <t>進捗率</t>
        </is>
      </c>
      <c r="G5" s="3" t="inlineStr">
        <is>
          <t>備考</t>
        </is>
      </c>
    </row>
    <row r="6" ht="44" customHeight="1">
      <c r="A6" s="30" t="inlineStr">
        <is>
          <t>①</t>
        </is>
      </c>
      <c r="B6" s="4" t="inlineStr">
        <is>
          <t>障がい福祉計画書</t>
        </is>
      </c>
      <c r="C6" s="4" t="inlineStr">
        <is>
          <t>A4判、両面約60頁、モノクロ印刷、コピー・くるみ製本</t>
        </is>
      </c>
      <c r="D6" s="30" t="inlineStr">
        <is>
          <t>30部</t>
        </is>
      </c>
      <c r="E6" s="35" t="inlineStr">
        <is>
          <t>作業中</t>
        </is>
      </c>
      <c r="F6" s="6" t="n">
        <v>0.4</v>
      </c>
      <c r="G6" s="4" t="inlineStr">
        <is>
          <t>骨子案修正版が原型。全8章＋新設5節。アンケート結果・実績データの反映後に確定</t>
        </is>
      </c>
    </row>
    <row r="7" ht="44" customHeight="1">
      <c r="A7" s="32" t="inlineStr">
        <is>
          <t>②</t>
        </is>
      </c>
      <c r="B7" s="7" t="inlineStr">
        <is>
          <t>アンケート調査報告書</t>
        </is>
      </c>
      <c r="C7" s="7" t="inlineStr">
        <is>
          <t>A4判、両面約60頁、モノクロ印刷、コピー・ホチキス製本</t>
        </is>
      </c>
      <c r="D7" s="32" t="inlineStr">
        <is>
          <t>10部</t>
        </is>
      </c>
      <c r="E7" s="28" t="inlineStr">
        <is>
          <t>未着手</t>
        </is>
      </c>
      <c r="F7" s="9" t="n">
        <v>0</v>
      </c>
      <c r="G7" s="7" t="inlineStr">
        <is>
          <t>設問ごとのグラフと分析。集計完了後に着手</t>
        </is>
      </c>
    </row>
    <row r="8" ht="44" customHeight="1">
      <c r="A8" s="30" t="inlineStr">
        <is>
          <t>③</t>
        </is>
      </c>
      <c r="B8" s="4" t="inlineStr">
        <is>
          <t>電子媒体</t>
        </is>
      </c>
      <c r="C8" s="4" t="inlineStr">
        <is>
          <t>上記成果品及び関連データを収録（Word、Excel、PowerPoint、PDF形式等）CD-R等</t>
        </is>
      </c>
      <c r="D8" s="30" t="inlineStr">
        <is>
          <t>一式</t>
        </is>
      </c>
      <c r="E8" s="35" t="inlineStr">
        <is>
          <t>作業中</t>
        </is>
      </c>
      <c r="F8" s="6" t="n">
        <v>0.3</v>
      </c>
      <c r="G8" s="4" t="inlineStr">
        <is>
          <t>収録範囲を村と確認する</t>
        </is>
      </c>
    </row>
    <row r="10">
      <c r="A10" s="13" t="inlineStr">
        <is>
          <t>電子媒体への収録候補</t>
        </is>
      </c>
    </row>
    <row r="11" ht="30" customHeight="1">
      <c r="A11" s="3" t="inlineStr">
        <is>
          <t>区分</t>
        </is>
      </c>
      <c r="B11" s="3" t="inlineStr">
        <is>
          <t>ファイル</t>
        </is>
      </c>
      <c r="C11" s="3" t="inlineStr">
        <is>
          <t>内容</t>
        </is>
      </c>
      <c r="D11" s="3" t="inlineStr"/>
      <c r="E11" s="3" t="inlineStr">
        <is>
          <t>状態</t>
        </is>
      </c>
      <c r="F11" s="3" t="inlineStr"/>
      <c r="G11" s="3" t="inlineStr">
        <is>
          <t>備考</t>
        </is>
      </c>
    </row>
    <row r="12" ht="28" customHeight="1">
      <c r="A12" s="30" t="inlineStr">
        <is>
          <t>計画書</t>
        </is>
      </c>
      <c r="B12" s="4" t="inlineStr">
        <is>
          <t>北塩原村_計画素案.docx</t>
        </is>
      </c>
      <c r="C12" s="4" t="inlineStr">
        <is>
          <t>計画書本編のドラフト</t>
        </is>
      </c>
      <c r="D12" s="24" t="n"/>
      <c r="E12" s="35" t="inlineStr">
        <is>
          <t>作業中</t>
        </is>
      </c>
      <c r="F12" s="24" t="n"/>
      <c r="G12" s="4" t="inlineStr">
        <is>
          <t>全8章。第2章6・第5章1・第5章2・第5章11を新設済み</t>
        </is>
      </c>
    </row>
    <row r="13" ht="28" customHeight="1">
      <c r="A13" s="32" t="inlineStr">
        <is>
          <t>計画書</t>
        </is>
      </c>
      <c r="B13" s="7" t="inlineStr">
        <is>
          <t>北塩原村_計画素案_概要版.docx</t>
        </is>
      </c>
      <c r="C13" s="7" t="inlineStr">
        <is>
          <t>住民向けの概要版（A4・4頁）</t>
        </is>
      </c>
      <c r="D13" s="24" t="n"/>
      <c r="E13" s="35" t="inlineStr">
        <is>
          <t>作業中</t>
        </is>
      </c>
      <c r="F13" s="24" t="n"/>
      <c r="G13" s="7" t="inlineStr">
        <is>
          <t>令和8年9月17日に村の指示により作成。仕様書5の成果品3点には含まれていない</t>
        </is>
      </c>
    </row>
    <row r="14" ht="28" customHeight="1">
      <c r="A14" s="30" t="inlineStr">
        <is>
          <t>推計</t>
        </is>
      </c>
      <c r="B14" s="4" t="inlineStr">
        <is>
          <t>北塩原村_将来推計.xlsx</t>
        </is>
      </c>
      <c r="C14" s="4" t="inlineStr">
        <is>
          <t>人口推計・手帳所持者数の将来推計（8シート）</t>
        </is>
      </c>
      <c r="D14" s="24" t="n"/>
      <c r="E14" s="35" t="inlineStr">
        <is>
          <t>作業中</t>
        </is>
      </c>
      <c r="F14" s="24" t="n"/>
      <c r="G14" s="4" t="inlineStr">
        <is>
          <t>方法A・B・中位、不確実性の定量評価、年齢階級別推計（方法C）</t>
        </is>
      </c>
    </row>
    <row r="15" ht="28" customHeight="1">
      <c r="A15" s="32" t="inlineStr">
        <is>
          <t>推計</t>
        </is>
      </c>
      <c r="B15" s="7" t="inlineStr">
        <is>
          <t>北塩原村_サービス見込量.xlsx</t>
        </is>
      </c>
      <c r="C15" s="7" t="inlineStr">
        <is>
          <t>サービス見込量の個別積上げ（13シート）</t>
        </is>
      </c>
      <c r="D15" s="24" t="n"/>
      <c r="E15" s="35" t="inlineStr">
        <is>
          <t>作業中</t>
        </is>
      </c>
      <c r="F15" s="24" t="n"/>
      <c r="G15" s="7" t="inlineStr">
        <is>
          <t>年齢到達者一覧、65歳移行判定、供給制約、告示別表第一根拠、別表第五判定を含む</t>
        </is>
      </c>
    </row>
    <row r="16" ht="28" customHeight="1">
      <c r="A16" s="30" t="inlineStr">
        <is>
          <t>推計</t>
        </is>
      </c>
      <c r="B16" s="4" t="inlineStr">
        <is>
          <t>北塩原村_活動指標.xlsx</t>
        </is>
      </c>
      <c r="C16" s="4" t="inlineStr">
        <is>
          <t>活動指標の設定（4シート）</t>
        </is>
      </c>
      <c r="D16" s="24" t="n"/>
      <c r="E16" s="35" t="inlineStr">
        <is>
          <t>作業中</t>
        </is>
      </c>
      <c r="F16" s="24" t="n"/>
      <c r="G16" s="4" t="inlineStr">
        <is>
          <t>別表第一の83項目。必須33・任意。仕様書4-Ⅱ(3)⑤に対応</t>
        </is>
      </c>
    </row>
    <row r="17" ht="28" customHeight="1">
      <c r="A17" s="32" t="inlineStr">
        <is>
          <t>資源</t>
        </is>
      </c>
      <c r="B17" s="7" t="inlineStr">
        <is>
          <t>北塩原村_圏域サービス資源.xlsx</t>
        </is>
      </c>
      <c r="C17" s="7" t="inlineStr">
        <is>
          <t>圏域の事業所数（5シート）</t>
        </is>
      </c>
      <c r="D17" s="24" t="n"/>
      <c r="E17" s="33" t="inlineStr">
        <is>
          <t>完了</t>
        </is>
      </c>
      <c r="F17" s="24" t="n"/>
      <c r="G17" s="7" t="inlineStr">
        <is>
          <t>ReMHRAD障害福祉資源18サービス×市町村別、2020→2025</t>
        </is>
      </c>
    </row>
    <row r="18" ht="28" customHeight="1">
      <c r="A18" s="30" t="inlineStr">
        <is>
          <t>精神</t>
        </is>
      </c>
      <c r="B18" s="4" t="inlineStr">
        <is>
          <t>福島県_精神医療指標抽出.xlsx</t>
        </is>
      </c>
      <c r="C18" s="4" t="inlineStr">
        <is>
          <t>福島県の精神医療指標（7シート）</t>
        </is>
      </c>
      <c r="D18" s="24" t="n"/>
      <c r="E18" s="33" t="inlineStr">
        <is>
          <t>完了</t>
        </is>
      </c>
      <c r="F18" s="24" t="n"/>
      <c r="G18" s="4" t="inlineStr">
        <is>
          <t>平均生活日数・再入院率・長期入院患者・別表第四の当てはめ・村の在院者</t>
        </is>
      </c>
    </row>
    <row r="19" ht="28" customHeight="1">
      <c r="A19" s="32" t="inlineStr">
        <is>
          <t>財源</t>
        </is>
      </c>
      <c r="B19" s="7" t="inlineStr">
        <is>
          <t>北塩原村_財源構成案.xlsx</t>
        </is>
      </c>
      <c r="C19" s="7" t="inlineStr">
        <is>
          <t>国・県・村の負担内訳（10シート）</t>
        </is>
      </c>
      <c r="D19" s="24" t="n"/>
      <c r="E19" s="35" t="inlineStr">
        <is>
          <t>作業中</t>
        </is>
      </c>
      <c r="F19" s="24" t="n"/>
      <c r="G19" s="7" t="inlineStr">
        <is>
          <t>給付実績R2〜R7、財源構成試算、見込量×単価の積上げ</t>
        </is>
      </c>
    </row>
    <row r="20" ht="28" customHeight="1">
      <c r="A20" s="30" t="inlineStr">
        <is>
          <t>評価</t>
        </is>
      </c>
      <c r="B20" s="4" t="inlineStr">
        <is>
          <t>北塩原村_現行計画評価.xlsx</t>
        </is>
      </c>
      <c r="C20" s="4" t="inlineStr">
        <is>
          <t>現行計画の評価（7シート）</t>
        </is>
      </c>
      <c r="D20" s="24" t="n"/>
      <c r="E20" s="35" t="inlineStr">
        <is>
          <t>作業中</t>
        </is>
      </c>
      <c r="F20" s="24" t="n"/>
      <c r="G20" s="4" t="inlineStr">
        <is>
          <t>令和3〜5年度の見込量と実績の突合、成果目標・施策目標の評価</t>
        </is>
      </c>
    </row>
    <row r="21" ht="28" customHeight="1">
      <c r="A21" s="32" t="inlineStr">
        <is>
          <t>管理</t>
        </is>
      </c>
      <c r="B21" s="7" t="inlineStr">
        <is>
          <t>北塩原村_業務進捗管理.xlsx</t>
        </is>
      </c>
      <c r="C21" s="7" t="inlineStr">
        <is>
          <t>本ブック</t>
        </is>
      </c>
      <c r="D21" s="24" t="n"/>
      <c r="E21" s="35" t="inlineStr">
        <is>
          <t>作業中</t>
        </is>
      </c>
      <c r="F21" s="24" t="n"/>
      <c r="G21" s="7" t="inlineStr">
        <is>
          <t>納品対象とするか村と確認</t>
        </is>
      </c>
    </row>
    <row r="22" ht="28" customHeight="1">
      <c r="A22" s="30" t="inlineStr">
        <is>
          <t>調査</t>
        </is>
      </c>
      <c r="B22" s="4" t="inlineStr">
        <is>
          <t>0728北塩原村_障がい福祉アンケート調査票.docx</t>
        </is>
      </c>
      <c r="C22" s="4" t="inlineStr">
        <is>
          <t>調査票（障がい者版・52問）</t>
        </is>
      </c>
      <c r="D22" s="24" t="n"/>
      <c r="E22" s="34" t="inlineStr">
        <is>
          <t>概ね完了</t>
        </is>
      </c>
      <c r="F22" s="24" t="n"/>
      <c r="G22" s="4" t="inlineStr">
        <is>
          <t>最終目視確認が残</t>
        </is>
      </c>
    </row>
    <row r="23" ht="28" customHeight="1">
      <c r="A23" s="32" t="inlineStr">
        <is>
          <t>調査</t>
        </is>
      </c>
      <c r="B23" s="7" t="inlineStr">
        <is>
          <t>0728北塩原村_障がい児福祉アンケート調査票.docx</t>
        </is>
      </c>
      <c r="C23" s="7" t="inlineStr">
        <is>
          <t>調査票（障がい児版・51問）</t>
        </is>
      </c>
      <c r="D23" s="24" t="n"/>
      <c r="E23" s="34" t="inlineStr">
        <is>
          <t>概ね完了</t>
        </is>
      </c>
      <c r="F23" s="24" t="n"/>
      <c r="G23" s="7" t="inlineStr">
        <is>
          <t>ルビ構造の確認が残</t>
        </is>
      </c>
    </row>
    <row r="24" ht="28" customHeight="1">
      <c r="A24" s="30" t="inlineStr">
        <is>
          <t>調査</t>
        </is>
      </c>
      <c r="B24" s="4" t="inlineStr">
        <is>
          <t>Googleフォーム自動作成 Code（.gs）</t>
        </is>
      </c>
      <c r="C24" s="4" t="inlineStr">
        <is>
          <t>ウェブ回答フォームの生成スクリプト</t>
        </is>
      </c>
      <c r="D24" s="24" t="n"/>
      <c r="E24" s="34" t="inlineStr">
        <is>
          <t>概ね完了</t>
        </is>
      </c>
      <c r="F24" s="24" t="n"/>
      <c r="G24" s="4" t="inlineStr">
        <is>
          <t>選択肢順序の固定が残</t>
        </is>
      </c>
    </row>
    <row r="25" ht="28" customHeight="1">
      <c r="A25" s="32" t="inlineStr">
        <is>
          <t>実績</t>
        </is>
      </c>
      <c r="B25" s="7" t="inlineStr">
        <is>
          <t>北塩原村_障がいサービス給付実績_整理版.xlsx</t>
        </is>
      </c>
      <c r="C25" s="7" t="inlineStr">
        <is>
          <t>受領データの整理版（6シート）</t>
        </is>
      </c>
      <c r="D25" s="24" t="n"/>
      <c r="E25" s="33" t="inlineStr">
        <is>
          <t>完了</t>
        </is>
      </c>
      <c r="F25" s="24" t="n"/>
      <c r="G25" s="7" t="inlineStr">
        <is>
          <t>令和2〜7年度、介護給付費・障害児給付費</t>
        </is>
      </c>
    </row>
    <row r="26" ht="28" customHeight="1">
      <c r="A26" s="30" t="inlineStr">
        <is>
          <t>指標</t>
        </is>
      </c>
      <c r="B26" s="4" t="inlineStr">
        <is>
          <t>北塩原村_活動指標.xlsx</t>
        </is>
      </c>
      <c r="C26" s="4" t="inlineStr">
        <is>
          <t>活動指標の設定（4シート）</t>
        </is>
      </c>
      <c r="D26" s="24" t="n"/>
      <c r="E26" s="35" t="inlineStr">
        <is>
          <t>作業中</t>
        </is>
      </c>
      <c r="F26" s="24" t="n"/>
      <c r="G26" s="4" t="inlineStr">
        <is>
          <t>別表第一83項目。必須33・任意。仕様書4-Ⅱ(3)⑤</t>
        </is>
      </c>
    </row>
    <row r="27" ht="28" customHeight="1">
      <c r="A27" s="32" t="inlineStr">
        <is>
          <t>事業</t>
        </is>
      </c>
      <c r="B27" s="7" t="inlineStr">
        <is>
          <t>北塩原村_地域生活支援事業.xlsx</t>
        </is>
      </c>
      <c r="C27" s="7" t="inlineStr">
        <is>
          <t>地域生活支援事業（4シート）</t>
        </is>
      </c>
      <c r="D27" s="24" t="n"/>
      <c r="E27" s="35" t="inlineStr">
        <is>
          <t>作業中</t>
        </is>
      </c>
      <c r="F27" s="24" t="n"/>
      <c r="G27" s="7" t="inlineStr">
        <is>
          <t>必須15・任意3。告示第三の二の3の4事項との対応</t>
        </is>
      </c>
    </row>
    <row r="28" ht="28" customHeight="1">
      <c r="A28" s="30" t="inlineStr">
        <is>
          <t>会議</t>
        </is>
      </c>
      <c r="B28" s="4" t="inlineStr">
        <is>
          <t>会議資料/（5ファイル）</t>
        </is>
      </c>
      <c r="C28" s="4" t="inlineStr">
        <is>
          <t>協議会資料1・2・8、庁議資料2・4</t>
        </is>
      </c>
      <c r="D28" s="24" t="n"/>
      <c r="E28" s="35" t="inlineStr">
        <is>
          <t>作業中</t>
        </is>
      </c>
      <c r="F28" s="24" t="n"/>
      <c r="G28" s="4" t="inlineStr">
        <is>
          <t>村資料に依存しない資料。残りは村資料の受領後</t>
        </is>
      </c>
    </row>
    <row r="29" ht="28" customHeight="1">
      <c r="A29" s="32" t="inlineStr">
        <is>
          <t>村データ</t>
        </is>
      </c>
      <c r="B29" s="7" t="inlineStr">
        <is>
          <t>北塩原村_村提供実績データ.xlsx</t>
        </is>
      </c>
      <c r="C29" s="7" t="inlineStr">
        <is>
          <t>調査票の朱書きで判明した村の実データ（7シート）</t>
        </is>
      </c>
      <c r="D29" s="24" t="n"/>
      <c r="E29" s="33" t="inlineStr">
        <is>
          <t>完了</t>
        </is>
      </c>
      <c r="F29" s="24" t="n"/>
      <c r="G29" s="7" t="inlineStr">
        <is>
          <t>実データ9件・修正指示40か所・照会事項8件。骨子案 第4章(3)(4)(6)・第5章1へ反映済み</t>
        </is>
      </c>
    </row>
    <row r="30" ht="28" customHeight="1">
      <c r="A30" s="30" t="inlineStr">
        <is>
          <t>報告</t>
        </is>
      </c>
      <c r="B30" s="4" t="inlineStr">
        <is>
          <t>調査結果報告書（未作成）</t>
        </is>
      </c>
      <c r="C30" s="4" t="inlineStr">
        <is>
          <t>アンケート集計結果</t>
        </is>
      </c>
      <c r="D30" s="24" t="n"/>
      <c r="E30" s="28" t="inlineStr">
        <is>
          <t>未着手</t>
        </is>
      </c>
      <c r="F30" s="24" t="n"/>
      <c r="G30" s="4" t="inlineStr">
        <is>
          <t>集計後</t>
        </is>
      </c>
    </row>
  </sheetData>
  <mergeCells count="41">
    <mergeCell ref="E12:F12"/>
    <mergeCell ref="C24:D24"/>
    <mergeCell ref="C30:D30"/>
    <mergeCell ref="C15:D15"/>
    <mergeCell ref="E24:F24"/>
    <mergeCell ref="C14:D14"/>
    <mergeCell ref="E23:F23"/>
    <mergeCell ref="E14:F14"/>
    <mergeCell ref="E17:F17"/>
    <mergeCell ref="C26:D26"/>
    <mergeCell ref="A10:G10"/>
    <mergeCell ref="C20:D20"/>
    <mergeCell ref="E20:F20"/>
    <mergeCell ref="C29:D29"/>
    <mergeCell ref="C16:D16"/>
    <mergeCell ref="E29:F29"/>
    <mergeCell ref="C25:D25"/>
    <mergeCell ref="E19:F19"/>
    <mergeCell ref="E28:F28"/>
    <mergeCell ref="E13:F13"/>
    <mergeCell ref="C22:D22"/>
    <mergeCell ref="C12:D12"/>
    <mergeCell ref="A1:G1"/>
    <mergeCell ref="C21:D21"/>
    <mergeCell ref="E30:F30"/>
    <mergeCell ref="E15:F15"/>
    <mergeCell ref="C27:D27"/>
    <mergeCell ref="E27:F27"/>
    <mergeCell ref="E26:F26"/>
    <mergeCell ref="C17:D17"/>
    <mergeCell ref="C23:D23"/>
    <mergeCell ref="E16:F16"/>
    <mergeCell ref="E25:F25"/>
    <mergeCell ref="C19:D19"/>
    <mergeCell ref="C28:D28"/>
    <mergeCell ref="A2:G2"/>
    <mergeCell ref="E22:F22"/>
    <mergeCell ref="C13:D13"/>
    <mergeCell ref="C18:D18"/>
    <mergeCell ref="E18:F18"/>
    <mergeCell ref="E21:F2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5"/>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46" customWidth="1" min="3" max="3"/>
    <col width="20" customWidth="1" min="4" max="4"/>
    <col width="13" customWidth="1" min="5" max="5"/>
    <col width="52" customWidth="1" min="6" max="6"/>
  </cols>
  <sheetData>
    <row r="1" ht="30" customHeight="1">
      <c r="A1" s="29" t="inlineStr">
        <is>
          <t>工程管理（令和8年7月7日打合せの工程案）</t>
        </is>
      </c>
    </row>
    <row r="2" ht="30" customHeight="1">
      <c r="A2" s="2" t="inlineStr">
        <is>
          <t>前回計画時よりスケジュールを前倒しし、8月上旬のアンケート発送を目指す工程です。業務期間は契約締結の日から令和9年3月31日まで。</t>
        </is>
      </c>
    </row>
    <row r="5" ht="30" customHeight="1">
      <c r="A5" s="3" t="inlineStr">
        <is>
          <t>開始</t>
        </is>
      </c>
      <c r="B5" s="3" t="inlineStr">
        <is>
          <t>終了</t>
        </is>
      </c>
      <c r="C5" s="3" t="inlineStr">
        <is>
          <t>作業内容</t>
        </is>
      </c>
      <c r="D5" s="3" t="inlineStr">
        <is>
          <t>主担当</t>
        </is>
      </c>
      <c r="E5" s="3" t="inlineStr">
        <is>
          <t>状態</t>
        </is>
      </c>
      <c r="F5" s="3" t="inlineStr">
        <is>
          <t>備考</t>
        </is>
      </c>
    </row>
    <row r="6" ht="34" customHeight="1">
      <c r="A6" s="22" t="inlineStr">
        <is>
          <t>2026-08-05</t>
        </is>
      </c>
      <c r="B6" s="22" t="inlineStr">
        <is>
          <t>2026-08-10</t>
        </is>
      </c>
      <c r="C6" s="4" t="inlineStr">
        <is>
          <t>アンケート印刷・封入・発送準備</t>
        </is>
      </c>
      <c r="D6" s="30" t="inlineStr">
        <is>
          <t>当社／北塩原村</t>
        </is>
      </c>
      <c r="E6" s="35" t="inlineStr">
        <is>
          <t>作業中</t>
        </is>
      </c>
      <c r="F6" s="4" t="inlineStr">
        <is>
          <t>印刷仕様の協議、村ラベルの受領、村封筒の手配がすべて前提。現在すべて未了</t>
        </is>
      </c>
    </row>
    <row r="7" ht="34" customHeight="1">
      <c r="A7" s="26" t="inlineStr">
        <is>
          <t>2026-08-10</t>
        </is>
      </c>
      <c r="B7" s="26" t="inlineStr">
        <is>
          <t>2026-09-10</t>
        </is>
      </c>
      <c r="C7" s="7" t="inlineStr">
        <is>
          <t>アンケート発送・回収（約1か月の回収期間）、役場での受領保管</t>
        </is>
      </c>
      <c r="D7" s="32" t="inlineStr">
        <is>
          <t>北塩原村／当社</t>
        </is>
      </c>
      <c r="E7" s="28" t="inlineStr">
        <is>
          <t>未着手</t>
        </is>
      </c>
      <c r="F7" s="7" t="inlineStr">
        <is>
          <t>返送先は村役場。窓口での現地回収</t>
        </is>
      </c>
    </row>
    <row r="8" ht="34" customHeight="1">
      <c r="A8" s="22" t="inlineStr">
        <is>
          <t>2026-09-01</t>
        </is>
      </c>
      <c r="B8" s="22" t="inlineStr">
        <is>
          <t>2026-10-31</t>
        </is>
      </c>
      <c r="C8" s="4" t="inlineStr">
        <is>
          <t>データ入力、集計、実績・財源・施策評価の整合</t>
        </is>
      </c>
      <c r="D8" s="30" t="inlineStr">
        <is>
          <t>当社</t>
        </is>
      </c>
      <c r="E8" s="28" t="inlineStr">
        <is>
          <t>未着手</t>
        </is>
      </c>
      <c r="F8" s="4" t="inlineStr">
        <is>
          <t>厚労省の集計様式による入力。少数母数の公表基準を事前に合意</t>
        </is>
      </c>
    </row>
    <row r="9" ht="34" customHeight="1">
      <c r="A9" s="26" t="inlineStr">
        <is>
          <t>2026-09-01</t>
        </is>
      </c>
      <c r="B9" s="26" t="inlineStr">
        <is>
          <t>2026-10-31</t>
        </is>
      </c>
      <c r="C9" s="7" t="inlineStr">
        <is>
          <t>将来見込量・成果目標の算定とすり合わせ</t>
        </is>
      </c>
      <c r="D9" s="32" t="inlineStr">
        <is>
          <t>当社／北塩原村</t>
        </is>
      </c>
      <c r="E9" s="35" t="inlineStr">
        <is>
          <t>作業中</t>
        </is>
      </c>
      <c r="F9" s="7" t="inlineStr">
        <is>
          <t>個別積上げ方式。年齢別・サービス別の利用者一覧が前提</t>
        </is>
      </c>
    </row>
    <row r="10" ht="34" customHeight="1">
      <c r="A10" s="22" t="inlineStr">
        <is>
          <t>2026-11-01</t>
        </is>
      </c>
      <c r="B10" s="22" t="inlineStr">
        <is>
          <t>2026-12-31</t>
        </is>
      </c>
      <c r="C10" s="4" t="inlineStr">
        <is>
          <t>計画骨子・素案の作成</t>
        </is>
      </c>
      <c r="D10" s="30" t="inlineStr">
        <is>
          <t>当社</t>
        </is>
      </c>
      <c r="E10" s="35" t="inlineStr">
        <is>
          <t>作業中</t>
        </is>
      </c>
      <c r="F10" s="4" t="inlineStr">
        <is>
          <t>骨子案修正版が原型。前倒しで進捗している</t>
        </is>
      </c>
    </row>
    <row r="11" ht="34" customHeight="1">
      <c r="A11" s="26" t="inlineStr">
        <is>
          <t>2026-12-01</t>
        </is>
      </c>
      <c r="B11" s="26" t="inlineStr">
        <is>
          <t>2026-12-31</t>
        </is>
      </c>
      <c r="C11" s="7" t="inlineStr">
        <is>
          <t>北塩原村障がい者自立支援協議会（年内1回）への提出・審議</t>
        </is>
      </c>
      <c r="D11" s="32" t="inlineStr">
        <is>
          <t>北塩原村／当社</t>
        </is>
      </c>
      <c r="E11" s="28" t="inlineStr">
        <is>
          <t>未着手</t>
        </is>
      </c>
      <c r="F11" s="7" t="inlineStr">
        <is>
          <t>報告・説明は村。受託者は資料作成・出席・記録作成</t>
        </is>
      </c>
    </row>
    <row r="12" ht="34" customHeight="1">
      <c r="A12" s="22" t="inlineStr">
        <is>
          <t>2027-01-01</t>
        </is>
      </c>
      <c r="B12" s="22" t="inlineStr">
        <is>
          <t>2027-02-28</t>
        </is>
      </c>
      <c r="C12" s="4" t="inlineStr">
        <is>
          <t>計画原案の修正・提示、パブリックコメントの実施、庁内確認</t>
        </is>
      </c>
      <c r="D12" s="30" t="inlineStr">
        <is>
          <t>北塩原村／当社</t>
        </is>
      </c>
      <c r="E12" s="28" t="inlineStr">
        <is>
          <t>未着手</t>
        </is>
      </c>
      <c r="F12" s="4" t="inlineStr">
        <is>
          <t>前回計画では2週間実施（令和6年2月9日〜23日）</t>
        </is>
      </c>
    </row>
    <row r="13" ht="34" customHeight="1">
      <c r="A13" s="26" t="inlineStr">
        <is>
          <t>2027-03-01</t>
        </is>
      </c>
      <c r="B13" s="26" t="inlineStr">
        <is>
          <t>2027-03-31</t>
        </is>
      </c>
      <c r="C13" s="7" t="inlineStr">
        <is>
          <t>最終修正、成果品の作成・納品</t>
        </is>
      </c>
      <c r="D13" s="32" t="inlineStr">
        <is>
          <t>当社</t>
        </is>
      </c>
      <c r="E13" s="28" t="inlineStr">
        <is>
          <t>未着手</t>
        </is>
      </c>
      <c r="F13" s="7" t="inlineStr">
        <is>
          <t>計画書30部、アンケート報告書10部、電子媒体一式</t>
        </is>
      </c>
    </row>
    <row r="15" ht="46" customHeight="1">
      <c r="A15" s="2" t="inlineStr">
        <is>
          <t>クリティカルパスは「調査票の確定 → 印刷仕様の協議 → 印刷 → 村からのラベル受領 → 封入・発送」です。8月上旬の発送が遅れると、回収期間（約1か月）または集計・分析期間（9〜10月）のいずれかが圧縮されます。回収期間を削ると回収率が下がり、少数母数の本村では分析の信頼性に直結するため、遅延時は集計期間側で吸収する前提で調整してください。</t>
        </is>
      </c>
    </row>
  </sheetData>
  <mergeCells count="3">
    <mergeCell ref="A2:F2"/>
    <mergeCell ref="A1:F1"/>
    <mergeCell ref="A15:F1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39"/>
  <sheetViews>
    <sheetView showGridLines="0" workbookViewId="0">
      <pane ySplit="4" topLeftCell="A5" activePane="bottomLeft" state="frozen"/>
      <selection pane="bottomLeft" activeCell="A1" sqref="A1"/>
    </sheetView>
  </sheetViews>
  <sheetFormatPr baseColWidth="8" defaultRowHeight="15"/>
  <cols>
    <col width="10" customWidth="1" min="1" max="1"/>
    <col width="34" customWidth="1" min="2" max="2"/>
    <col width="50" customWidth="1" min="3" max="3"/>
    <col width="34" customWidth="1" min="4" max="4"/>
    <col width="12" customWidth="1" min="5" max="5"/>
    <col width="14" customWidth="1" min="6" max="6"/>
    <col width="20" customWidth="1" min="7" max="7"/>
  </cols>
  <sheetData>
    <row r="1" ht="30" customHeight="1">
      <c r="A1" s="29" t="inlineStr">
        <is>
          <t>村からの資料受領状況（横断管理）</t>
        </is>
      </c>
    </row>
    <row r="2" ht="30" customHeight="1">
      <c r="A2" s="2" t="inlineStr">
        <is>
          <t>将来推計・サービス見込量・財源構成案の各ブックに分散していた村確認事項を一本化しました。受領したら「状態」を受領済に変更し、該当ブックへ入力してください。</t>
        </is>
      </c>
    </row>
    <row r="5" ht="30" customHeight="1">
      <c r="A5" s="3" t="inlineStr">
        <is>
          <t>優先度</t>
        </is>
      </c>
      <c r="B5" s="3" t="inlineStr">
        <is>
          <t>資料</t>
        </is>
      </c>
      <c r="C5" s="3" t="inlineStr">
        <is>
          <t>内容</t>
        </is>
      </c>
      <c r="D5" s="3" t="inlineStr">
        <is>
          <t>反映先</t>
        </is>
      </c>
      <c r="E5" s="3" t="inlineStr">
        <is>
          <t>状態</t>
        </is>
      </c>
      <c r="F5" s="3" t="inlineStr">
        <is>
          <t>希望期限</t>
        </is>
      </c>
      <c r="G5" s="3" t="inlineStr">
        <is>
          <t>受領日</t>
        </is>
      </c>
    </row>
    <row r="6" ht="34" customHeight="1">
      <c r="A6" s="27" t="inlineStr">
        <is>
          <t>最優先</t>
        </is>
      </c>
      <c r="B6" s="4" t="inlineStr">
        <is>
          <t>本村の過疎区分（全部過疎／一部過疎／みなし過疎）</t>
        </is>
      </c>
      <c r="C6" s="4" t="inlineStr">
        <is>
          <t>【受領済み】福島県「県内の過疎・中山間地域の指定状況」（令和7年4月1日現在）。過疎法第2条により全域が過疎地域。県条例の中山間地域にも全域が該当</t>
        </is>
      </c>
      <c r="D6" s="4" t="inlineStr">
        <is>
          <t>サービス見込量 12_別表第五判定</t>
        </is>
      </c>
      <c r="E6" s="33" t="inlineStr">
        <is>
          <t>受領済</t>
        </is>
      </c>
      <c r="F6" s="22" t="inlineStr">
        <is>
          <t>2026-08-05</t>
        </is>
      </c>
      <c r="G6" s="37" t="n"/>
    </row>
    <row r="7" ht="34" customHeight="1">
      <c r="A7" s="27" t="inlineStr">
        <is>
          <t>最優先</t>
        </is>
      </c>
      <c r="B7" s="7" t="inlineStr">
        <is>
          <t>村内3事業所の詳細</t>
        </is>
      </c>
      <c r="C7" s="7" t="inlineStr">
        <is>
          <t>ReMHRAD障害福祉資源で確認した居宅介護1・重度訪問介護1・生活介護1について、事業所名、指定年月、共生型サービスの指定の有無、受入可能人数、送迎範囲</t>
        </is>
      </c>
      <c r="D7" s="7" t="inlineStr">
        <is>
          <t>骨子案修正版 第5章8／サービス見込量 08</t>
        </is>
      </c>
      <c r="E7" s="27" t="inlineStr">
        <is>
          <t>未受領</t>
        </is>
      </c>
      <c r="F7" s="26" t="inlineStr">
        <is>
          <t>2026-09-30</t>
        </is>
      </c>
      <c r="G7" s="37" t="n"/>
    </row>
    <row r="8" ht="34" customHeight="1">
      <c r="A8" s="35" t="inlineStr">
        <is>
          <t>高</t>
        </is>
      </c>
      <c r="B8" s="4" t="inlineStr">
        <is>
          <t>圏域事業所の制度活用状況</t>
        </is>
      </c>
      <c r="C8" s="4" t="inlineStr">
        <is>
          <t>共生型サービスの指定の有無、多機能型・従たる事業所の設置可能性、介護保険事業所（訪問介護・居宅介護支援）の居宅介護指定取得の意向</t>
        </is>
      </c>
      <c r="D8" s="4" t="inlineStr">
        <is>
          <t>骨子案修正版 第5章8／サービス見込量 08</t>
        </is>
      </c>
      <c r="E8" s="27" t="inlineStr">
        <is>
          <t>未受領</t>
        </is>
      </c>
      <c r="F8" s="22" t="inlineStr">
        <is>
          <t>2026-10-31</t>
        </is>
      </c>
      <c r="G8" s="37" t="n"/>
    </row>
    <row r="9" ht="34" customHeight="1">
      <c r="A9" s="27" t="inlineStr">
        <is>
          <t>最優先</t>
        </is>
      </c>
      <c r="B9" s="7" t="inlineStr">
        <is>
          <t>令和7年度末時点の1年以上長期入院者の実数</t>
        </is>
      </c>
      <c r="C9" s="7"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t>
        </is>
      </c>
      <c r="D9" s="7" t="inlineStr">
        <is>
          <t>骨子案修正版 第4章(2)</t>
        </is>
      </c>
      <c r="E9" s="27" t="inlineStr">
        <is>
          <t>未受領</t>
        </is>
      </c>
      <c r="F9" s="26" t="inlineStr">
        <is>
          <t>2026-09-30</t>
        </is>
      </c>
      <c r="G9" s="37" t="n"/>
    </row>
    <row r="10" ht="34" customHeight="1">
      <c r="A10" s="35" t="inlineStr">
        <is>
          <t>高</t>
        </is>
      </c>
      <c r="B10" s="4" t="inlineStr">
        <is>
          <t>福島県の長期入院患者に係る基盤整備量（利用者数）</t>
        </is>
      </c>
      <c r="C10" s="4"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t>
        </is>
      </c>
      <c r="D10" s="4" t="inlineStr">
        <is>
          <t>骨子案修正版 第4章(2)</t>
        </is>
      </c>
      <c r="E10" s="36" t="inlineStr">
        <is>
          <t>県照会中</t>
        </is>
      </c>
      <c r="F10" s="22" t="inlineStr">
        <is>
          <t>2026-10-31</t>
        </is>
      </c>
      <c r="G10" s="37" t="n"/>
    </row>
    <row r="11" ht="34" customHeight="1">
      <c r="A11" s="35" t="inlineStr">
        <is>
          <t>高</t>
        </is>
      </c>
      <c r="B11" s="7" t="inlineStr">
        <is>
          <t>令和6年度の一般就労移行実績・就労定着支援利用実績</t>
        </is>
      </c>
      <c r="C11" s="7" t="inlineStr">
        <is>
          <t>成果目標の倍率（全体1.31倍、就労移行支援1.14倍、A型おおむね1.52倍、B型おおむね1.67倍、就労定着支援1.47倍）の基準値。事業種別ごとに必要</t>
        </is>
      </c>
      <c r="D11" s="7" t="inlineStr">
        <is>
          <t>骨子案修正版 第4章(3)</t>
        </is>
      </c>
      <c r="E11" s="27" t="inlineStr">
        <is>
          <t>未受領</t>
        </is>
      </c>
      <c r="F11" s="26" t="inlineStr">
        <is>
          <t>2026-09-30</t>
        </is>
      </c>
      <c r="G11" s="37" t="n"/>
    </row>
    <row r="12" ht="34" customHeight="1">
      <c r="A12" s="30" t="inlineStr">
        <is>
          <t>中</t>
        </is>
      </c>
      <c r="B12" s="4" t="inlineStr">
        <is>
          <t>第7期計画の令和8年度目標の達成見込み</t>
        </is>
      </c>
      <c r="C12" s="4" t="inlineStr">
        <is>
          <t>未達の場合、未達成割合を令和11年度目標に上乗せする規定がある（第二 一・三）。本村は地域移行0人・削減0人が目標のため、達成／未達の整理が必要</t>
        </is>
      </c>
      <c r="D12" s="4" t="inlineStr">
        <is>
          <t>骨子案修正版 第4章(1)(3)</t>
        </is>
      </c>
      <c r="E12" s="27" t="inlineStr">
        <is>
          <t>未受領</t>
        </is>
      </c>
      <c r="F12" s="22" t="inlineStr">
        <is>
          <t>2026-10-31</t>
        </is>
      </c>
      <c r="G12" s="37" t="n"/>
    </row>
    <row r="13" ht="34" customHeight="1">
      <c r="A13" s="27" t="inlineStr">
        <is>
          <t>最優先</t>
        </is>
      </c>
      <c r="B13" s="7" t="inlineStr">
        <is>
          <t>年齢別・サービス別の匿名利用者一覧</t>
        </is>
      </c>
      <c r="C13" s="7" t="inlineStr">
        <is>
          <t>利用者番号、生年月、障害支援区分、利用中のサービス、月利用日数・時間。氏名不要</t>
        </is>
      </c>
      <c r="D13" s="7" t="inlineStr">
        <is>
          <t>サービス見込量 02・03・04</t>
        </is>
      </c>
      <c r="E13" s="27" t="inlineStr">
        <is>
          <t>未受領</t>
        </is>
      </c>
      <c r="F13" s="26" t="inlineStr">
        <is>
          <t>2026-08-31</t>
        </is>
      </c>
      <c r="G13" s="37" t="n"/>
    </row>
    <row r="14" ht="34" customHeight="1">
      <c r="A14" s="27" t="inlineStr">
        <is>
          <t>最優先</t>
        </is>
      </c>
      <c r="B14" s="4" t="inlineStr">
        <is>
          <t>サービス別の支給決定者数（実人数）</t>
        </is>
      </c>
      <c r="C14" s="4" t="inlineStr">
        <is>
          <t>請求件数ではなく実人数。計画相談支援は請求と実人数が一致しないため特に必要</t>
        </is>
      </c>
      <c r="D14" s="4" t="inlineStr">
        <is>
          <t>サービス見込量 03・04</t>
        </is>
      </c>
      <c r="E14" s="27" t="inlineStr">
        <is>
          <t>未受領</t>
        </is>
      </c>
      <c r="F14" s="22" t="inlineStr">
        <is>
          <t>2026-08-31</t>
        </is>
      </c>
      <c r="G14" s="37" t="n"/>
    </row>
    <row r="15" ht="34" customHeight="1">
      <c r="A15" s="27" t="inlineStr">
        <is>
          <t>最優先</t>
        </is>
      </c>
      <c r="B15" s="7" t="inlineStr">
        <is>
          <t>年齢階級別の手帳所持者数・人口</t>
        </is>
      </c>
      <c r="C15" s="7" t="inlineStr">
        <is>
          <t>身体は0〜17／18〜39／40〜64／65〜74／75歳以上、療育・精神は18歳未満／18〜64／65歳以上</t>
        </is>
      </c>
      <c r="D15" s="7" t="inlineStr">
        <is>
          <t>将来推計 05</t>
        </is>
      </c>
      <c r="E15" s="27" t="inlineStr">
        <is>
          <t>未受領</t>
        </is>
      </c>
      <c r="F15" s="26" t="inlineStr">
        <is>
          <t>2026-09-30</t>
        </is>
      </c>
      <c r="G15" s="37" t="n"/>
    </row>
    <row r="16" ht="34" customHeight="1">
      <c r="A16" s="35" t="inlineStr">
        <is>
          <t>高</t>
        </is>
      </c>
      <c r="B16" s="4" t="inlineStr">
        <is>
          <t>令和6・7年度実績、令和8年度見込</t>
        </is>
      </c>
      <c r="C16" s="4" t="inlineStr">
        <is>
          <t>成果目標、サービス別利用者数・利用量、給付費、地域生活支援事業、相談件数</t>
        </is>
      </c>
      <c r="D16" s="4" t="inlineStr">
        <is>
          <t>前回計画評価／サービス見込量／財源構成案</t>
        </is>
      </c>
      <c r="E16" s="27" t="inlineStr">
        <is>
          <t>未受領</t>
        </is>
      </c>
      <c r="F16" s="22" t="inlineStr">
        <is>
          <t>2026-09-30</t>
        </is>
      </c>
      <c r="G16" s="37" t="n"/>
    </row>
    <row r="17" ht="34" customHeight="1">
      <c r="A17" s="35" t="inlineStr">
        <is>
          <t>高</t>
        </is>
      </c>
      <c r="B17" s="7" t="inlineStr">
        <is>
          <t>発送対象者数（重複除外後）</t>
        </is>
      </c>
      <c r="C17" s="7" t="inlineStr">
        <is>
          <t>仕様書の約190人の内訳と、現行計画156人との差の理由</t>
        </is>
      </c>
      <c r="D17" s="7" t="inlineStr">
        <is>
          <t>契約管理5／アンケート発送設計</t>
        </is>
      </c>
      <c r="E17" s="27" t="inlineStr">
        <is>
          <t>未受領</t>
        </is>
      </c>
      <c r="F17" s="26" t="inlineStr">
        <is>
          <t>2026-08-05</t>
        </is>
      </c>
      <c r="G17" s="37" t="n"/>
    </row>
    <row r="18" ht="34" customHeight="1">
      <c r="A18" s="35" t="inlineStr">
        <is>
          <t>高</t>
        </is>
      </c>
      <c r="B18" s="4" t="inlineStr">
        <is>
          <t>宛名ラベルシール</t>
        </is>
      </c>
      <c r="C18" s="4" t="inlineStr">
        <is>
          <t>仕様書Ⅰ(1)により委託者が抽出し提供</t>
        </is>
      </c>
      <c r="D18" s="4" t="inlineStr">
        <is>
          <t>アンケート発送</t>
        </is>
      </c>
      <c r="E18" s="27" t="inlineStr">
        <is>
          <t>未受領</t>
        </is>
      </c>
      <c r="F18" s="22" t="inlineStr">
        <is>
          <t>2026-08-05</t>
        </is>
      </c>
      <c r="G18" s="37" t="n"/>
    </row>
    <row r="19" ht="34" customHeight="1">
      <c r="A19" s="35" t="inlineStr">
        <is>
          <t>高</t>
        </is>
      </c>
      <c r="B19" s="7" t="inlineStr">
        <is>
          <t>特別支援学校・特別支援学級の在籍者</t>
        </is>
      </c>
      <c r="C19" s="7" t="inlineStr">
        <is>
          <t>学年、卒業予定年度、卒業後の進路。令和6〜7年度に卒業した方の現在の利用状況も含む</t>
        </is>
      </c>
      <c r="D19" s="7" t="inlineStr">
        <is>
          <t>サービス見込量 02・03</t>
        </is>
      </c>
      <c r="E19" s="27" t="inlineStr">
        <is>
          <t>未受領</t>
        </is>
      </c>
      <c r="F19" s="26" t="inlineStr">
        <is>
          <t>2026-09-30</t>
        </is>
      </c>
      <c r="G19" s="37" t="n"/>
    </row>
    <row r="20" ht="34" customHeight="1">
      <c r="A20" s="35" t="inlineStr">
        <is>
          <t>高</t>
        </is>
      </c>
      <c r="B20" s="4" t="inlineStr">
        <is>
          <t>令和9〜11年度の65歳到達者</t>
        </is>
      </c>
      <c r="C20" s="4" t="inlineStr">
        <is>
          <t>到達年度、現在利用しているサービス、月量</t>
        </is>
      </c>
      <c r="D20" s="4" t="inlineStr">
        <is>
          <t>サービス見込量 02・06</t>
        </is>
      </c>
      <c r="E20" s="27" t="inlineStr">
        <is>
          <t>未受領</t>
        </is>
      </c>
      <c r="F20" s="22" t="inlineStr">
        <is>
          <t>2026-09-30</t>
        </is>
      </c>
      <c r="G20" s="37" t="n"/>
    </row>
    <row r="21" ht="34" customHeight="1">
      <c r="A21" s="32" t="inlineStr">
        <is>
          <t>―</t>
        </is>
      </c>
      <c r="B21" s="7" t="inlineStr">
        <is>
          <t>前回調査の調査結果報告書</t>
        </is>
      </c>
      <c r="C21" s="7" t="inlineStr">
        <is>
          <t>発送164人・回収95人・回収率57.9%。設問別の集計結果を収録</t>
        </is>
      </c>
      <c r="D21" s="7" t="inlineStr">
        <is>
          <t>アンケート集計設計・経年比較</t>
        </is>
      </c>
      <c r="E21" s="33" t="inlineStr">
        <is>
          <t>受領済</t>
        </is>
      </c>
      <c r="F21" s="26" t="inlineStr">
        <is>
          <t>2026-08-03</t>
        </is>
      </c>
      <c r="G21" s="37" t="n"/>
    </row>
    <row r="22" ht="34" customHeight="1">
      <c r="A22" s="35" t="inlineStr">
        <is>
          <t>高</t>
        </is>
      </c>
      <c r="B22" s="4" t="inlineStr">
        <is>
          <t>小規模公表基準</t>
        </is>
      </c>
      <c r="C22" s="4" t="inlineStr">
        <is>
          <t>n&lt;5の秘匿、地区別・障がい種別クロスの扱い</t>
        </is>
      </c>
      <c r="D22" s="4" t="inlineStr">
        <is>
          <t>アンケート集計・報告書</t>
        </is>
      </c>
      <c r="E22" s="27" t="inlineStr">
        <is>
          <t>未受領</t>
        </is>
      </c>
      <c r="F22" s="22" t="inlineStr">
        <is>
          <t>2026-09-30</t>
        </is>
      </c>
      <c r="G22" s="37" t="n"/>
    </row>
    <row r="23" ht="34" customHeight="1">
      <c r="A23" s="35" t="inlineStr">
        <is>
          <t>高</t>
        </is>
      </c>
      <c r="B23" s="7" t="inlineStr">
        <is>
          <t>障がい福祉関係の歳入歳出決算</t>
        </is>
      </c>
      <c r="C23" s="7" t="inlineStr">
        <is>
          <t>自立支援給付費負担金、障害児施設給付費負担金、地域生活支援事業費補助金の交付額と村負担</t>
        </is>
      </c>
      <c r="D23" s="7" t="inlineStr">
        <is>
          <t>財源構成案 04・06・07</t>
        </is>
      </c>
      <c r="E23" s="27" t="inlineStr">
        <is>
          <t>未受領</t>
        </is>
      </c>
      <c r="F23" s="26" t="inlineStr">
        <is>
          <t>2026-10-31</t>
        </is>
      </c>
      <c r="G23" s="37" t="n"/>
    </row>
    <row r="24" ht="34" customHeight="1">
      <c r="A24" s="35" t="inlineStr">
        <is>
          <t>高</t>
        </is>
      </c>
      <c r="B24" s="4" t="inlineStr">
        <is>
          <t>令和6・7年度の障害児給付費の変動理由</t>
        </is>
      </c>
      <c r="C24" s="4" t="inlineStr">
        <is>
          <t>児童発達支援23件→1件、放課後等デイ12件→27件の理由。受給者単位で就学移行かを確認</t>
        </is>
      </c>
      <c r="D24" s="4" t="inlineStr">
        <is>
          <t>サービス見込量 04／計画本文</t>
        </is>
      </c>
      <c r="E24" s="27" t="inlineStr">
        <is>
          <t>未受領</t>
        </is>
      </c>
      <c r="F24" s="22" t="inlineStr">
        <is>
          <t>2026-09-30</t>
        </is>
      </c>
      <c r="G24" s="37" t="n"/>
    </row>
    <row r="25" ht="34" customHeight="1">
      <c r="A25" s="32" t="inlineStr">
        <is>
          <t>―</t>
        </is>
      </c>
      <c r="B25" s="7" t="inlineStr">
        <is>
          <t>現行計画本編（第4次障がい者計画・第7期・第3期）</t>
        </is>
      </c>
      <c r="C25" s="7" t="inlineStr">
        <is>
          <t>本編63頁、アンケート調査結果報告書69頁、概要版4頁。令和6年3月策定</t>
        </is>
      </c>
      <c r="D25" s="7" t="inlineStr">
        <is>
          <t>全体（年齢3区分別人口・前回調査の内訳を反映済み）</t>
        </is>
      </c>
      <c r="E25" s="33" t="inlineStr">
        <is>
          <t>受領済</t>
        </is>
      </c>
      <c r="F25" s="26" t="inlineStr">
        <is>
          <t>2026-08-03</t>
        </is>
      </c>
      <c r="G25" s="37" t="n"/>
    </row>
    <row r="26" ht="34" customHeight="1">
      <c r="A26" s="30" t="inlineStr">
        <is>
          <t>中</t>
        </is>
      </c>
      <c r="B26" s="4" t="inlineStr">
        <is>
          <t>圏域事業所の受入可能性</t>
        </is>
      </c>
      <c r="C26" s="4" t="inlineStr">
        <is>
          <t>定員、空き、送迎範囲、受入可否。介護保険事業所の共生型サービス指定の有無を含む</t>
        </is>
      </c>
      <c r="D26" s="4" t="inlineStr">
        <is>
          <t>サービス見込量 08</t>
        </is>
      </c>
      <c r="E26" s="27" t="inlineStr">
        <is>
          <t>未受領</t>
        </is>
      </c>
      <c r="F26" s="22" t="inlineStr">
        <is>
          <t>2026-10-31</t>
        </is>
      </c>
      <c r="G26" s="37" t="n"/>
    </row>
    <row r="27" ht="34" customHeight="1">
      <c r="A27" s="32" t="inlineStr">
        <is>
          <t>中</t>
        </is>
      </c>
      <c r="B27" s="7" t="inlineStr">
        <is>
          <t>医療的ケア児者・地域生活支援拠点・個別避難計画の実態</t>
        </is>
      </c>
      <c r="C27" s="7"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t>
        </is>
      </c>
      <c r="D27" s="7" t="inlineStr">
        <is>
          <t>計画本文 第4章・第6章／村提供実績データ 01</t>
        </is>
      </c>
      <c r="E27" s="34" t="inlineStr">
        <is>
          <t>一部受領</t>
        </is>
      </c>
      <c r="F27" s="26" t="inlineStr">
        <is>
          <t>2026-10-31</t>
        </is>
      </c>
      <c r="G27" s="37" t="n"/>
    </row>
    <row r="28" ht="34" customHeight="1">
      <c r="A28" s="27" t="inlineStr">
        <is>
          <t>最優先</t>
        </is>
      </c>
      <c r="B28" s="4" t="inlineStr">
        <is>
          <t>障害支援区分別人数の基準日とサービス利用状況</t>
        </is>
      </c>
      <c r="C28" s="4"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t>
        </is>
      </c>
      <c r="D28" s="4" t="inlineStr">
        <is>
          <t>村提供実績データ 02／骨子案修正版 第5章1</t>
        </is>
      </c>
      <c r="E28" s="34" t="inlineStr">
        <is>
          <t>一部受領</t>
        </is>
      </c>
      <c r="F28" s="22" t="inlineStr">
        <is>
          <t>2026-09-30</t>
        </is>
      </c>
      <c r="G28" s="37" t="n"/>
    </row>
    <row r="29" ht="34" customHeight="1">
      <c r="A29" s="32" t="inlineStr">
        <is>
          <t>―</t>
        </is>
      </c>
      <c r="B29" s="7" t="inlineStr">
        <is>
          <t>セルフプラン率・基幹相談支援センター・就労選択支援事業所の状況</t>
        </is>
      </c>
      <c r="C29" s="7"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t>
        </is>
      </c>
      <c r="D29" s="7" t="inlineStr">
        <is>
          <t>村提供実績データ 01／骨子案修正版 第4章(3)(6)</t>
        </is>
      </c>
      <c r="E29" s="34" t="inlineStr">
        <is>
          <t>一部受領</t>
        </is>
      </c>
      <c r="F29" s="26" t="inlineStr">
        <is>
          <t>2026-09-30</t>
        </is>
      </c>
      <c r="G29" s="37" t="n"/>
    </row>
    <row r="30" ht="34" customHeight="1">
      <c r="A30" s="30" t="inlineStr">
        <is>
          <t>―</t>
        </is>
      </c>
      <c r="B30" s="4" t="inlineStr">
        <is>
          <t>障がい児の入所・申請の状況</t>
        </is>
      </c>
      <c r="C30" s="4" t="inlineStr">
        <is>
          <t>【受領済み】令和8年8月の調査票朱書きで、障がい児入所施設・児童福祉施設の利用児0件、障害児通所支援の申請中0件を確認。第5章の障害児入所支援の見込量を0とする根拠</t>
        </is>
      </c>
      <c r="D30" s="4" t="inlineStr">
        <is>
          <t>村提供実績データ 01／骨子案修正版 第4章(4)</t>
        </is>
      </c>
      <c r="E30" s="33" t="inlineStr">
        <is>
          <t>受領済</t>
        </is>
      </c>
      <c r="F30" s="22" t="inlineStr">
        <is>
          <t>2026-08-14</t>
        </is>
      </c>
      <c r="G30" s="37" t="n"/>
    </row>
    <row r="31" ht="34" customHeight="1">
      <c r="A31" s="32" t="inlineStr">
        <is>
          <t>―</t>
        </is>
      </c>
      <c r="B31" s="7" t="inlineStr">
        <is>
          <t>実態調査及びPDCAサイクルに関するマニュアル（令和8年8月）</t>
        </is>
      </c>
      <c r="C31" s="7" t="inlineStr">
        <is>
          <t>【受領済み】福島県通知（8生福第2646号・8こ第2041号 令和8年8月24日）により受領。厚労省・こども家庭庁の令和8年8月19日事務連絡の別添。全81頁。令和2年版を基本指針の改正を踏まえて修正したもの</t>
        </is>
      </c>
      <c r="D31" s="7" t="inlineStr">
        <is>
          <t>サービス見込量 12_別表第五判定／骨子案修正版 第1章6・第5章1／北塩原村_実態調査PDCAマニュアル_確認結果</t>
        </is>
      </c>
      <c r="E31" s="33" t="inlineStr">
        <is>
          <t>受領済</t>
        </is>
      </c>
      <c r="F31" s="26" t="inlineStr">
        <is>
          <t>2026-08-27</t>
        </is>
      </c>
      <c r="G31" s="37" t="n"/>
    </row>
    <row r="32" ht="34" customHeight="1">
      <c r="A32" s="27" t="inlineStr">
        <is>
          <t>最優先</t>
        </is>
      </c>
      <c r="B32" s="4" t="inlineStr">
        <is>
          <t>要介護認定の有無・要介護度（匿名利用者一覧への列追加）</t>
        </is>
      </c>
      <c r="C32" s="4" t="inlineStr">
        <is>
          <t>依頼済みの「年齢別・サービス別の匿名利用者一覧」に、要介護認定の有無・要介護度・利用している介護保険サービスの列を追加。確定版の調査票に介護保険の設問がないため、これが唯一の把握手段になる</t>
        </is>
      </c>
      <c r="D32" s="4" t="inlineStr">
        <is>
          <t>クロス集計設計 A-1／サービス見込量 06_65歳移行判定</t>
        </is>
      </c>
      <c r="E32" s="27" t="inlineStr">
        <is>
          <t>未受領</t>
        </is>
      </c>
      <c r="F32" s="22" t="inlineStr">
        <is>
          <t>2026-09-30</t>
        </is>
      </c>
      <c r="G32" s="37" t="n"/>
    </row>
    <row r="33" ht="34" customHeight="1">
      <c r="A33" s="35" t="inlineStr">
        <is>
          <t>高</t>
        </is>
      </c>
      <c r="B33" s="7" t="inlineStr">
        <is>
          <t>PDCAの評価体制・スケジュール・公表方法</t>
        </is>
      </c>
      <c r="C33" s="7" t="inlineStr">
        <is>
          <t>自立支援協議会と庁内会議体の役割分担、実績把握と評価の時期（村の予算編成に合わせる）、中間評価の結果の公表方法（ホームページ・広報誌・協議会資料の公開範囲）</t>
        </is>
      </c>
      <c r="D33" s="7" t="inlineStr">
        <is>
          <t>骨子案修正版 第1章6</t>
        </is>
      </c>
      <c r="E33" s="27" t="inlineStr">
        <is>
          <t>未受領</t>
        </is>
      </c>
      <c r="F33" s="26" t="inlineStr">
        <is>
          <t>2026-12-31</t>
        </is>
      </c>
      <c r="G33" s="37" t="n"/>
    </row>
    <row r="34" ht="34" customHeight="1">
      <c r="A34" s="30" t="inlineStr">
        <is>
          <t>―</t>
        </is>
      </c>
      <c r="B34" s="4" t="inlineStr">
        <is>
          <t>アンケート調査票への村の修正指示</t>
        </is>
      </c>
      <c r="C34" s="4" t="inlineStr">
        <is>
          <t>【受領済み】障がい者版17頁・障がい児版19頁のスキャンPDF。朱書き40か所。設問の削除・追加・順序変更のほか、削除理由として村の実データ9件が書き添えられている</t>
        </is>
      </c>
      <c r="D34" s="4" t="inlineStr">
        <is>
          <t>村提供実績データ 05／北塩原村_アンケート調査票_村修正指示_確認結果</t>
        </is>
      </c>
      <c r="E34" s="33" t="inlineStr">
        <is>
          <t>受領済</t>
        </is>
      </c>
      <c r="F34" s="22" t="inlineStr">
        <is>
          <t>2026-08-14</t>
        </is>
      </c>
      <c r="G34" s="37" t="n"/>
    </row>
    <row r="35" ht="34" customHeight="1">
      <c r="A35" s="32" t="inlineStr">
        <is>
          <t>中</t>
        </is>
      </c>
      <c r="B35" s="7" t="inlineStr">
        <is>
          <t>第5次総合振興計画たたき台、健康21現行計画、高齢者福祉・介護保険事業計画</t>
        </is>
      </c>
      <c r="C35" s="7" t="inlineStr">
        <is>
          <t>関連計画との整合確認</t>
        </is>
      </c>
      <c r="D35" s="7" t="inlineStr">
        <is>
          <t>計画本文 第1章・第7章</t>
        </is>
      </c>
      <c r="E35" s="27" t="inlineStr">
        <is>
          <t>未受領</t>
        </is>
      </c>
      <c r="F35" s="26" t="inlineStr">
        <is>
          <t>2026-10-31</t>
        </is>
      </c>
      <c r="G35" s="37" t="n"/>
    </row>
    <row r="36" ht="34" customHeight="1">
      <c r="A36" s="30" t="inlineStr">
        <is>
          <t>中</t>
        </is>
      </c>
      <c r="B36" s="4" t="inlineStr">
        <is>
          <t>40歳以上65歳未満の特定疾病該当者</t>
        </is>
      </c>
      <c r="C36" s="4" t="inlineStr">
        <is>
          <t>16の特定疾病に該当し要介護認定を受けている方の有無</t>
        </is>
      </c>
      <c r="D36" s="4" t="inlineStr">
        <is>
          <t>サービス見込量 02</t>
        </is>
      </c>
      <c r="E36" s="27" t="inlineStr">
        <is>
          <t>未受領</t>
        </is>
      </c>
      <c r="F36" s="22" t="inlineStr">
        <is>
          <t>2026-10-31</t>
        </is>
      </c>
      <c r="G36" s="37" t="n"/>
    </row>
    <row r="37" ht="34" customHeight="1">
      <c r="A37" s="32" t="inlineStr">
        <is>
          <t>中</t>
        </is>
      </c>
      <c r="B37" s="7" t="inlineStr">
        <is>
          <t>自立支援協議会の委員名簿</t>
        </is>
      </c>
      <c r="C37" s="7" t="inlineStr">
        <is>
          <t>任期・氏名・所属・役職</t>
        </is>
      </c>
      <c r="D37" s="7" t="inlineStr">
        <is>
          <t>計画書 資料編</t>
        </is>
      </c>
      <c r="E37" s="27" t="inlineStr">
        <is>
          <t>未受領</t>
        </is>
      </c>
      <c r="F37" s="26" t="inlineStr">
        <is>
          <t>2026-12-31</t>
        </is>
      </c>
      <c r="G37" s="37" t="n"/>
    </row>
    <row r="39" ht="46" customHeight="1">
      <c r="A39" s="2" t="inlineStr">
        <is>
          <t>未受領：22件（うち最優先6件、高11件）、一部受領：3件。未受領の最優先案件が揃わないとサービス見込量の個別積上げと手帳所持者数の年齢階級別推計を確定できません。8月5日期限の3件（対象者数、宛名ラベル、印刷仕様）はアンケート発送のクリティカルパス上にあります。「一部受領」は令和8年8月の調査票朱書きで数値の一部が判明したもので、基準日や内訳の確認が残っています（村提供実績データ 06 参照）。</t>
        </is>
      </c>
    </row>
  </sheetData>
  <autoFilter ref="A5:G37"/>
  <mergeCells count="3">
    <mergeCell ref="A2:G2"/>
    <mergeCell ref="A39:G39"/>
    <mergeCell ref="A1:G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32"/>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10" customWidth="1" min="3" max="3"/>
    <col width="34" customWidth="1" min="4" max="4"/>
    <col width="50" customWidth="1" min="5" max="5"/>
    <col width="50" customWidth="1" min="6" max="6"/>
    <col width="13" customWidth="1" min="7" max="7"/>
  </cols>
  <sheetData>
    <row r="1" ht="30" customHeight="1">
      <c r="A1" s="29" t="inlineStr">
        <is>
          <t>課題・リスク管理</t>
        </is>
      </c>
    </row>
    <row r="2" ht="30" customHeight="1">
      <c r="A2" s="2" t="inlineStr">
        <is>
          <t>業務遂行上の課題とリスクを、区分・重要度・対応方針とあわせて管理します。</t>
        </is>
      </c>
    </row>
    <row r="5" ht="30" customHeight="1">
      <c r="A5" s="3" t="inlineStr">
        <is>
          <t>No</t>
        </is>
      </c>
      <c r="B5" s="3" t="inlineStr">
        <is>
          <t>区分</t>
        </is>
      </c>
      <c r="C5" s="3" t="inlineStr">
        <is>
          <t>重要度</t>
        </is>
      </c>
      <c r="D5" s="3" t="inlineStr">
        <is>
          <t>リスク</t>
        </is>
      </c>
      <c r="E5" s="3" t="inlineStr">
        <is>
          <t>内容</t>
        </is>
      </c>
      <c r="F5" s="3" t="inlineStr">
        <is>
          <t>対応方針</t>
        </is>
      </c>
      <c r="G5" s="3" t="inlineStr">
        <is>
          <t>状態</t>
        </is>
      </c>
    </row>
    <row r="6" ht="46" customHeight="1">
      <c r="A6" s="30" t="inlineStr">
        <is>
          <t>R-26</t>
        </is>
      </c>
      <c r="B6" s="30" t="inlineStr">
        <is>
          <t>指標</t>
        </is>
      </c>
      <c r="C6" s="27" t="inlineStr">
        <is>
          <t>高</t>
        </is>
      </c>
      <c r="D6" s="4" t="inlineStr">
        <is>
          <t>第4次障がい者計画のアンケート指標3件が前回と比較できない</t>
        </is>
      </c>
      <c r="E6" s="4" t="inlineStr">
        <is>
          <t>①満足度は前回n=25（利用者のみ・2択）に対し今回n=33（「利用していない」を含む）。分母により39.4％（未達）と61.9％（目標60％超）に分かれ達成判定が逆転する。②差別・偏見は前回3択（25.3％）に対し今回は頻度尺度（29.0％）で、前回にない「わからない」が32.3％を占める。③外出の目的は今回の調査票に設問がなく測定できない</t>
        </is>
      </c>
      <c r="F6" s="4" t="inlineStr">
        <is>
          <t>令和8年10月4日に全数を洗い出し済み（北塩原村_目標KPI_前回比較可能性.xlsx）。報告書の確定前に、3指標の扱いを村と決める。①は前回と同じ基準（利用者のみ）に揃える。②は基準値を置き直すか定義を見直す。③は行政データによる代替指標へ振り替える（クロス集計設計 S-1）。計画素案 第3章5の目標値表に直結する</t>
        </is>
      </c>
      <c r="G6" s="30" t="inlineStr">
        <is>
          <t>未着手</t>
        </is>
      </c>
    </row>
    <row r="7" ht="46" customHeight="1">
      <c r="A7" s="32" t="inlineStr">
        <is>
          <t>R-23</t>
        </is>
      </c>
      <c r="B7" s="32" t="inlineStr">
        <is>
          <t>制度動向</t>
        </is>
      </c>
      <c r="C7" s="27" t="inlineStr">
        <is>
          <t>高</t>
        </is>
      </c>
      <c r="D7" s="7" t="inlineStr">
        <is>
          <t>告示後に基本指針が2度改正されており、追跡から漏れる</t>
        </is>
      </c>
      <c r="E7" s="7" t="inlineStr">
        <is>
          <t>令和8年3月31日の告示の後、同年7月10日（社会福祉法等改正）と8月19日（医療的ケア児支援法改正）に改正案が示されている。いずれも審議会資料として出たもので、告示本文だけを見ていると取りこぼす。前者は別表第二に六の項（人材確保・生産性向上・経営基盤）を新設し、市町村計画の定めるよう努めなければならない事項を1項目増やした。後者は医療的ケア者（成人）を新設し、成果目標 四の4を拡充した。計画確定の令和9年3月までにさらに改正が示される可能性がある</t>
        </is>
      </c>
      <c r="F7" s="7" t="inlineStr">
        <is>
          <t>社会保障審議会障害者部会・こども家庭審議会障害児支援部会の資料と、県からの市町村あて通知を定期的に確認する。村にも県通知の共有を依頼する。確認結果は骨子案レビューブックに追記する</t>
        </is>
      </c>
      <c r="G7" s="32" t="inlineStr">
        <is>
          <t>対応中</t>
        </is>
      </c>
    </row>
    <row r="8" ht="46" customHeight="1">
      <c r="A8" s="30" t="inlineStr">
        <is>
          <t>R-24</t>
        </is>
      </c>
      <c r="B8" s="30" t="inlineStr">
        <is>
          <t>記載事項</t>
        </is>
      </c>
      <c r="C8" s="27" t="inlineStr">
        <is>
          <t>高</t>
        </is>
      </c>
      <c r="D8" s="4" t="inlineStr">
        <is>
          <t>別表第二 三㈠⑤の基盤整備量が県の算定値待ちで確定できない</t>
        </is>
      </c>
      <c r="E8" s="4" t="inlineStr">
        <is>
          <t>長期入院患者の地域移行に伴う地域の精神保健医療福祉体制の基盤整備量（利用者数）は定めなければならない事項。県が別表第四の式で算定した値を勘案して村の値を定めるため、県の第8期計画の進捗に依存する</t>
        </is>
      </c>
      <c r="F8" s="4" t="inlineStr">
        <is>
          <t>県へ算定値と市町村への配分の考え方を照会する（レビュー Q-1）。県計画の公表が村の計画確定に間に合わない場合の取扱いも併せて確認する</t>
        </is>
      </c>
      <c r="G8" s="30" t="inlineStr">
        <is>
          <t>未着手</t>
        </is>
      </c>
    </row>
    <row r="9" ht="46" customHeight="1">
      <c r="A9" s="32" t="inlineStr">
        <is>
          <t>R-27</t>
        </is>
      </c>
      <c r="B9" s="32" t="inlineStr">
        <is>
          <t>指標</t>
        </is>
      </c>
      <c r="C9" s="35" t="inlineStr">
        <is>
          <t>中</t>
        </is>
      </c>
      <c r="D9" s="7" t="inlineStr">
        <is>
          <t>前回計画本編の目標値に転記誤りがある</t>
        </is>
      </c>
      <c r="E9" s="7" t="inlineStr">
        <is>
          <t>第4次障がい者計画の「外出の目的が趣味やスポーツ及びグループ活動である人の割合」の現状値28.1％は、前回調査報告書 問17（趣味やスポーツ16.3％＋グループ活動12.8％）から計算すると29.1％になる。本編は趣味やスポーツを15.3％と書いており1桁の転記誤りと考えられる。あわせて同指標は本編の④教育・育成(2)生涯学習に掲げられ、⑦スポーツ・文化で再掲されている（実質的な指標数は8件）</t>
        </is>
      </c>
      <c r="F9" s="7" t="inlineStr">
        <is>
          <t>現行計画は改定対象外のため本編は直さない。計画素案 第3章5の目標値表に現状値を引くときの扱いを村に確認する。ただし同指標は今回の調査票に設問がなく測定できないため、代替指標への振替と併せて協議する（目標KPI前回比較 T-1・K-5）</t>
        </is>
      </c>
      <c r="G9" s="32" t="inlineStr">
        <is>
          <t>未着手</t>
        </is>
      </c>
    </row>
    <row r="10" ht="46" customHeight="1">
      <c r="A10" s="30" t="inlineStr">
        <is>
          <t>R-25</t>
        </is>
      </c>
      <c r="B10" s="30" t="inlineStr">
        <is>
          <t>整合</t>
        </is>
      </c>
      <c r="C10" s="35" t="inlineStr">
        <is>
          <t>中</t>
        </is>
      </c>
      <c r="D10" s="4" t="inlineStr">
        <is>
          <t>就労継続支援A型の利用者が給付実績に現れない</t>
        </is>
      </c>
      <c r="E10" s="4" t="inlineStr">
        <is>
          <t>現行計画（第7期）と計画素案はA型1人としているが、村から受領した令和2〜7年度の給付実績にA型の計上がない。村外事業所の利用であれば給付実績に現れるはずである。見込量・給付費・成果目標（３）の就労選択支援の対象者数に影響する</t>
        </is>
      </c>
      <c r="F10" s="4" t="inlineStr">
        <is>
          <t>村に利用者の有無を確認する（見込量算定 M-4）。実在しなければ見込量は0、実在すれば単価とともに計上する。確認までは現行計画を据え置き、給付費は計上しない</t>
        </is>
      </c>
      <c r="G10" s="30" t="inlineStr">
        <is>
          <t>未着手</t>
        </is>
      </c>
    </row>
    <row r="11" ht="46" customHeight="1">
      <c r="A11" s="32" t="inlineStr">
        <is>
          <t>R-1</t>
        </is>
      </c>
      <c r="B11" s="32" t="inlineStr">
        <is>
          <t>スケジュール</t>
        </is>
      </c>
      <c r="C11" s="27" t="inlineStr">
        <is>
          <t>高</t>
        </is>
      </c>
      <c r="D11" s="7" t="inlineStr">
        <is>
          <t>アンケート発送が工程案の8月上旬に間に合わない</t>
        </is>
      </c>
      <c r="E11" s="7" t="inlineStr">
        <is>
          <t>印刷仕様の協議、村ラベルの受領、村封筒の手配がすべて未了。1週間の遅延は回収期間または集計期間の圧縮に直結する</t>
        </is>
      </c>
      <c r="F11" s="7" t="inlineStr">
        <is>
          <t>8月5日までに印刷仕様を確定し、ラベル提供日を村と合意する</t>
        </is>
      </c>
      <c r="G11" s="32" t="inlineStr">
        <is>
          <t>対応中</t>
        </is>
      </c>
    </row>
    <row r="12" ht="46" customHeight="1">
      <c r="A12" s="30" t="inlineStr">
        <is>
          <t>R-2</t>
        </is>
      </c>
      <c r="B12" s="30" t="inlineStr">
        <is>
          <t>契約</t>
        </is>
      </c>
      <c r="C12" s="27" t="inlineStr">
        <is>
          <t>高</t>
        </is>
      </c>
      <c r="D12" s="4" t="inlineStr">
        <is>
          <t>印刷仕様が仕様書と乖離している</t>
        </is>
      </c>
      <c r="E12" s="4" t="inlineStr">
        <is>
          <t>仕様書はA4判・約24ページ・黒1色の1種類。実際は34ページと37ページの2種類</t>
        </is>
      </c>
      <c r="F12" s="4" t="inlineStr">
        <is>
          <t>ページ数・種類数・部数・単価の取扱いを村と協議し、結果を書面で残す</t>
        </is>
      </c>
      <c r="G12" s="30" t="inlineStr">
        <is>
          <t>未着手</t>
        </is>
      </c>
    </row>
    <row r="13" ht="46" customHeight="1">
      <c r="A13" s="32" t="inlineStr">
        <is>
          <t>R-3</t>
        </is>
      </c>
      <c r="B13" s="32" t="inlineStr">
        <is>
          <t>契約</t>
        </is>
      </c>
      <c r="C13" s="27" t="inlineStr">
        <is>
          <t>高</t>
        </is>
      </c>
      <c r="D13" s="7" t="inlineStr">
        <is>
          <t>郵送費の負担が仕様書と異なる運用になっている</t>
        </is>
      </c>
      <c r="E13" s="7" t="inlineStr">
        <is>
          <t>仕様書は受託者負担。打合せでは村が立替え後日実費精算</t>
        </is>
      </c>
      <c r="F13" s="7" t="inlineStr">
        <is>
          <t>精算方法・範囲・上限を書面で確認する</t>
        </is>
      </c>
      <c r="G13" s="32" t="inlineStr">
        <is>
          <t>未着手</t>
        </is>
      </c>
    </row>
    <row r="14" ht="46" customHeight="1">
      <c r="A14" s="30" t="inlineStr">
        <is>
          <t>R-4</t>
        </is>
      </c>
      <c r="B14" s="30" t="inlineStr">
        <is>
          <t>推計</t>
        </is>
      </c>
      <c r="C14" s="27" t="inlineStr">
        <is>
          <t>高</t>
        </is>
      </c>
      <c r="D14" s="4" t="inlineStr">
        <is>
          <t>対象者数が確定せず、推計の起点が定まらない</t>
        </is>
      </c>
      <c r="E14" s="4"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F14" s="4" t="inlineStr">
        <is>
          <t>発送前に村へ確認する。確認まで手帳所持者数の将来推計を確定値として記載しない</t>
        </is>
      </c>
      <c r="G14" s="30" t="inlineStr">
        <is>
          <t>対応中</t>
        </is>
      </c>
    </row>
    <row r="15" ht="46" customHeight="1">
      <c r="A15" s="32" t="inlineStr">
        <is>
          <t>R-5</t>
        </is>
      </c>
      <c r="B15" s="32" t="inlineStr">
        <is>
          <t>推計</t>
        </is>
      </c>
      <c r="C15" s="27" t="inlineStr">
        <is>
          <t>高</t>
        </is>
      </c>
      <c r="D15" s="7" t="inlineStr">
        <is>
          <t>個別積上げに必要な村資料が揃わない</t>
        </is>
      </c>
      <c r="E15" s="7" t="inlineStr">
        <is>
          <t>年齢別・サービス別の利用者一覧と支給決定者数（実人数）がないと見込量が確定しない</t>
        </is>
      </c>
      <c r="F15" s="7" t="inlineStr">
        <is>
          <t>8月末を目途に受領する。遅れる場合は現行計画の据置値で暫定版を作り、受領後に差し替える段取りを村と共有する</t>
        </is>
      </c>
      <c r="G15" s="32" t="inlineStr">
        <is>
          <t>対応中</t>
        </is>
      </c>
    </row>
    <row r="16" ht="46" customHeight="1">
      <c r="A16" s="30" t="inlineStr">
        <is>
          <t>R-6</t>
        </is>
      </c>
      <c r="B16" s="30" t="inlineStr">
        <is>
          <t>個人情報</t>
        </is>
      </c>
      <c r="C16" s="35" t="inlineStr">
        <is>
          <t>中</t>
        </is>
      </c>
      <c r="D16" s="4" t="inlineStr">
        <is>
          <t>少数母数のクロス集計で個人が特定される</t>
        </is>
      </c>
      <c r="E16" s="4" t="inlineStr">
        <is>
          <t>対象者が極めて少ないサービス・地区がある</t>
        </is>
      </c>
      <c r="F16" s="4" t="inlineStr">
        <is>
          <t>n&lt;5の秘匿基準を事前に村と合意する。公表用報告書と内部管理報告書を分離する</t>
        </is>
      </c>
      <c r="G16" s="30" t="inlineStr">
        <is>
          <t>対応中</t>
        </is>
      </c>
    </row>
    <row r="17" ht="46" customHeight="1">
      <c r="A17" s="32" t="inlineStr">
        <is>
          <t>R-7</t>
        </is>
      </c>
      <c r="B17" s="32" t="inlineStr">
        <is>
          <t>品質</t>
        </is>
      </c>
      <c r="C17" s="32" t="inlineStr">
        <is>
          <t>低</t>
        </is>
      </c>
      <c r="D17" s="7" t="inlineStr">
        <is>
          <t>骨子案が引用する国基準数値の原典照合が未了</t>
        </is>
      </c>
      <c r="E17" s="7"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F17" s="7" t="inlineStr">
        <is>
          <t>骨子案修正版 第4章へ反映済み。改正後概要と告示本文で表記が異なる箇所は告示本文に従う</t>
        </is>
      </c>
      <c r="G17" s="32" t="inlineStr">
        <is>
          <t>完了</t>
        </is>
      </c>
    </row>
    <row r="18" ht="46" customHeight="1">
      <c r="A18" s="30" t="inlineStr">
        <is>
          <t>R-12</t>
        </is>
      </c>
      <c r="B18" s="30" t="inlineStr">
        <is>
          <t>推計</t>
        </is>
      </c>
      <c r="C18" s="30" t="inlineStr">
        <is>
          <t>低</t>
        </is>
      </c>
      <c r="D18" s="4" t="inlineStr">
        <is>
          <t>基本指針 別表第五（地域差是正）の適用関係が未確定</t>
        </is>
      </c>
      <c r="E18" s="4"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F18" s="4" t="inlineStr">
        <is>
          <t>骨子案修正版 第5章1及びサービス見込量ブック 12 へ反映済み</t>
        </is>
      </c>
      <c r="G18" s="30" t="inlineStr">
        <is>
          <t>完了</t>
        </is>
      </c>
    </row>
    <row r="19" ht="46" customHeight="1">
      <c r="A19" s="32" t="inlineStr">
        <is>
          <t>R-15</t>
        </is>
      </c>
      <c r="B19" s="32" t="inlineStr">
        <is>
          <t>推計</t>
        </is>
      </c>
      <c r="C19" s="32" t="inlineStr">
        <is>
          <t>低</t>
        </is>
      </c>
      <c r="D19" s="7" t="inlineStr">
        <is>
          <t>国基準数値と福島県実績の系統が複数あり、どれを用いるかで目標値が変わる</t>
        </is>
      </c>
      <c r="E19" s="7"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F19" s="7" t="inlineStr">
        <is>
          <t>計画本文には出典・時点・集計区分を必ず併記する。公費含む集計を用いるか否かは県の第8期計画に合わせる</t>
        </is>
      </c>
      <c r="G19" s="32" t="inlineStr">
        <is>
          <t>対応中</t>
        </is>
      </c>
    </row>
    <row r="20" ht="46" customHeight="1">
      <c r="A20" s="30" t="inlineStr">
        <is>
          <t>R-14</t>
        </is>
      </c>
      <c r="B20" s="30" t="inlineStr">
        <is>
          <t>提供体制</t>
        </is>
      </c>
      <c r="C20" s="27" t="inlineStr">
        <is>
          <t>高</t>
        </is>
      </c>
      <c r="D20" s="4" t="inlineStr">
        <is>
          <t>会津北部圏域の訪問系サービス事業所が本村の1か所のみになっている</t>
        </is>
      </c>
      <c r="E20" s="4"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F20" s="4"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G20" s="30" t="inlineStr">
        <is>
          <t>対応中</t>
        </is>
      </c>
    </row>
    <row r="21" ht="46" customHeight="1">
      <c r="A21" s="32" t="inlineStr">
        <is>
          <t>R-16</t>
        </is>
      </c>
      <c r="B21" s="32" t="inlineStr">
        <is>
          <t>記述</t>
        </is>
      </c>
      <c r="C21" s="35" t="inlineStr">
        <is>
          <t>中</t>
        </is>
      </c>
      <c r="D21" s="7" t="inlineStr">
        <is>
          <t>骨子案・当方資料の「本村には事業所がない」という記述が事実と異なる</t>
        </is>
      </c>
      <c r="E21" s="7"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F21" s="7" t="inlineStr">
        <is>
          <t>骨子案修正版 第5章8 を原典から表を生成する方式に変更済み。事業所名・指定年月・共生型指定の有無・受入可能人数を村に確認する</t>
        </is>
      </c>
      <c r="G21" s="32" t="inlineStr">
        <is>
          <t>対応中</t>
        </is>
      </c>
    </row>
    <row r="22" ht="46" customHeight="1">
      <c r="A22" s="30" t="inlineStr">
        <is>
          <t>R-13</t>
        </is>
      </c>
      <c r="B22" s="30" t="inlineStr">
        <is>
          <t>財源</t>
        </is>
      </c>
      <c r="C22" s="35" t="inlineStr">
        <is>
          <t>中</t>
        </is>
      </c>
      <c r="D22" s="4" t="inlineStr">
        <is>
          <t>令和8年度・令和9年度の報酬改定により単価前提が動く</t>
        </is>
      </c>
      <c r="E22" s="4"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F22" s="4" t="inlineStr">
        <is>
          <t>財源構成案 08シートに改定率パラメータを設置済み。改定内容の確定後に入力する</t>
        </is>
      </c>
      <c r="G22" s="30" t="inlineStr">
        <is>
          <t>対応中</t>
        </is>
      </c>
    </row>
    <row r="23" ht="46" customHeight="1">
      <c r="A23" s="32" t="inlineStr">
        <is>
          <t>R-8</t>
        </is>
      </c>
      <c r="B23" s="32" t="inlineStr">
        <is>
          <t>品質</t>
        </is>
      </c>
      <c r="C23" s="35" t="inlineStr">
        <is>
          <t>中</t>
        </is>
      </c>
      <c r="D23" s="7" t="inlineStr">
        <is>
          <t>障がい児版調査票のルビ構造により本文が欠落して見える箇所がある</t>
        </is>
      </c>
      <c r="E23" s="7" t="inlineStr">
        <is>
          <t>問1〜問15で語句が欠けて抽出される。Word表示上は正常な可能性もある</t>
        </is>
      </c>
      <c r="F23" s="7" t="inlineStr">
        <is>
          <t>Word上でルビなしテキストとして読んで意味が通るかを確認する</t>
        </is>
      </c>
      <c r="G23" s="32" t="inlineStr">
        <is>
          <t>対応中</t>
        </is>
      </c>
    </row>
    <row r="24" ht="46" customHeight="1">
      <c r="A24" s="30" t="inlineStr">
        <is>
          <t>R-9</t>
        </is>
      </c>
      <c r="B24" s="30" t="inlineStr">
        <is>
          <t>調査設計</t>
        </is>
      </c>
      <c r="C24" s="27" t="inlineStr">
        <is>
          <t>高</t>
        </is>
      </c>
      <c r="D24" s="4" t="inlineStr">
        <is>
          <t>障がい者票に介護保険・65歳到達に関する設問がない（国の標準項目）</t>
        </is>
      </c>
      <c r="E24" s="4"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F24" s="4"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G24" s="30" t="inlineStr">
        <is>
          <t>対応中</t>
        </is>
      </c>
    </row>
    <row r="25" ht="46" customHeight="1">
      <c r="A25" s="32" t="inlineStr">
        <is>
          <t>R-11</t>
        </is>
      </c>
      <c r="B25" s="32" t="inlineStr">
        <is>
          <t>調査設計</t>
        </is>
      </c>
      <c r="C25" s="27" t="inlineStr">
        <is>
          <t>高</t>
        </is>
      </c>
      <c r="D25" s="7" t="inlineStr">
        <is>
          <t>外出目的の設問がなく、第4次障がい者計画の1指標が測定できない（国の標準項目）</t>
        </is>
      </c>
      <c r="E25" s="7"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F25" s="7"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S-1）</t>
        </is>
      </c>
      <c r="G25" s="32" t="inlineStr">
        <is>
          <t>要対応</t>
        </is>
      </c>
    </row>
    <row r="26" ht="46" customHeight="1">
      <c r="A26" s="30" t="inlineStr">
        <is>
          <t>R-10</t>
        </is>
      </c>
      <c r="B26" s="30" t="inlineStr">
        <is>
          <t>供給</t>
        </is>
      </c>
      <c r="C26" s="35" t="inlineStr">
        <is>
          <t>中</t>
        </is>
      </c>
      <c r="D26" s="4" t="inlineStr">
        <is>
          <t>圏域事業所の受入可能量が見込量の上限になる</t>
        </is>
      </c>
      <c r="E26" s="4" t="inlineStr">
        <is>
          <t>村内に事業所がなく、送迎・人材・定員が制約となる</t>
        </is>
      </c>
      <c r="F26" s="4" t="inlineStr">
        <is>
          <t>圏域事業所へ照会し、利用希望量と利用可能量を分けて管理する</t>
        </is>
      </c>
      <c r="G26" s="30" t="inlineStr">
        <is>
          <t>未着手</t>
        </is>
      </c>
    </row>
    <row r="27" ht="46" customHeight="1">
      <c r="A27" s="32" t="inlineStr">
        <is>
          <t>R-17</t>
        </is>
      </c>
      <c r="B27" s="32" t="inlineStr">
        <is>
          <t>調査設計</t>
        </is>
      </c>
      <c r="C27" s="35" t="inlineStr">
        <is>
          <t>中</t>
        </is>
      </c>
      <c r="D27" s="7" t="inlineStr">
        <is>
          <t>就労選択支援の設問（障がい者版 問36）が削除されると、圏域確保の根拠が窓口相談実績に限られる</t>
        </is>
      </c>
      <c r="E27" s="7"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F27" s="7" t="inlineStr">
        <is>
          <t>村に再考を依頼済み。削除する場合でも、第5章の確保方策に「圏域内に事業所がないため会津若松地方の広域調整により確保を図る」旨を記載する（骨子案修正版 第4章(3)に反映済み）</t>
        </is>
      </c>
      <c r="G27" s="32" t="inlineStr">
        <is>
          <t>判断待ち</t>
        </is>
      </c>
    </row>
    <row r="28" ht="46" customHeight="1">
      <c r="A28" s="30" t="inlineStr">
        <is>
          <t>R-18</t>
        </is>
      </c>
      <c r="B28" s="30" t="inlineStr">
        <is>
          <t>整合</t>
        </is>
      </c>
      <c r="C28" s="35" t="inlineStr">
        <is>
          <t>中</t>
        </is>
      </c>
      <c r="D28" s="4" t="inlineStr">
        <is>
          <t>個別避難計画0件が第4次障がい者計画の指標と矛盾する可能性がある</t>
        </is>
      </c>
      <c r="E28" s="4"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F28" s="4" t="inlineStr">
        <is>
          <t>村に確認する。第4次障がい者計画は改定対象外だが、第8期計画の第3章5（目標値と進捗管理）で現状値を示す際に整合が必要</t>
        </is>
      </c>
      <c r="G28" s="30" t="inlineStr">
        <is>
          <t>未着手</t>
        </is>
      </c>
    </row>
    <row r="29" ht="46" customHeight="1">
      <c r="A29" s="32" t="inlineStr">
        <is>
          <t>R-20</t>
        </is>
      </c>
      <c r="B29" s="32" t="inlineStr">
        <is>
          <t>調査設計</t>
        </is>
      </c>
      <c r="C29" s="35" t="inlineStr">
        <is>
          <t>中</t>
        </is>
      </c>
      <c r="D29" s="7" t="inlineStr">
        <is>
          <t>強度行動障害の該当有無を聞く設問がなく、支援ニーズの母数が特定できない</t>
        </is>
      </c>
      <c r="E29" s="7"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F29" s="7"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G29" s="32" t="inlineStr">
        <is>
          <t>対応中</t>
        </is>
      </c>
    </row>
    <row r="30" ht="46" customHeight="1">
      <c r="A30" s="30" t="inlineStr">
        <is>
          <t>R-21</t>
        </is>
      </c>
      <c r="B30" s="30" t="inlineStr">
        <is>
          <t>調査設計</t>
        </is>
      </c>
      <c r="C30" s="35" t="inlineStr">
        <is>
          <t>中</t>
        </is>
      </c>
      <c r="D30" s="4" t="inlineStr">
        <is>
          <t>障害支援区分の削除は国の標準項目を落とすことになる</t>
        </is>
      </c>
      <c r="E30" s="4"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F30" s="4"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G30" s="30" t="inlineStr">
        <is>
          <t>完了</t>
        </is>
      </c>
    </row>
    <row r="31" ht="46" customHeight="1">
      <c r="A31" s="32" t="inlineStr">
        <is>
          <t>R-22</t>
        </is>
      </c>
      <c r="B31" s="32" t="inlineStr">
        <is>
          <t>調査設計</t>
        </is>
      </c>
      <c r="C31" s="35" t="inlineStr">
        <is>
          <t>中</t>
        </is>
      </c>
      <c r="D31" s="7" t="inlineStr">
        <is>
          <t>国のマニュアルの発出と調査票の確定の時期が重なった</t>
        </is>
      </c>
      <c r="E31" s="7" t="inlineStr">
        <is>
          <t>マニュアルは令和8年8月19日事務連絡（県通知8月24日）、調査票の確定は8月25日版。標準項目3件の欠落は、当方の設計の不備ではなくこの時期の重なりによる。第9期の策定時に同じ論点が生じうる</t>
        </is>
      </c>
      <c r="F31" s="7" t="inlineStr">
        <is>
          <t>経緯を打合せ記録に残し、計画書の調査概要にも「調査票確定後に国のマニュアルが改定された」旨を注記する（クロス集計設計 S-4）。算定根拠への疑義に対する説明にもなる</t>
        </is>
      </c>
      <c r="G31" s="32" t="inlineStr">
        <is>
          <t>対応中</t>
        </is>
      </c>
    </row>
    <row r="32" ht="46" customHeight="1">
      <c r="A32" s="30" t="inlineStr">
        <is>
          <t>R-19</t>
        </is>
      </c>
      <c r="B32" s="30" t="inlineStr">
        <is>
          <t>調査設計</t>
        </is>
      </c>
      <c r="C32" s="30" t="inlineStr">
        <is>
          <t>低</t>
        </is>
      </c>
      <c r="D32" s="4" t="inlineStr">
        <is>
          <t>障がい児版の設問番号に誤りがある</t>
        </is>
      </c>
      <c r="E32" s="4" t="inlineStr">
        <is>
          <t>問11の選択肢番号「13」が2つある（「自傷、他害、強いこだわり、パニックなどへの対応」と「特にない」）。問10の選択肢番号は「3」が欠番。いずれも村の朱書きとは別に、通読して気づいたもの</t>
        </is>
      </c>
      <c r="F32" s="4" t="inlineStr">
        <is>
          <t>調査票担当へ申し送り済み。印刷前に番号を振り直す。問10は問8との統合指示があるため、統合時に整理する</t>
        </is>
      </c>
      <c r="G32" s="30" t="inlineStr">
        <is>
          <t>対応中</t>
        </is>
      </c>
    </row>
  </sheetData>
  <autoFilter ref="A5:G32"/>
  <mergeCells count="2">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9"/>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20" customWidth="1" min="3" max="3"/>
    <col width="30" customWidth="1" min="4" max="4"/>
    <col width="50" customWidth="1" min="5" max="5"/>
    <col width="40" customWidth="1" min="6" max="6"/>
  </cols>
  <sheetData>
    <row r="1" ht="30" customHeight="1">
      <c r="A1" s="29" t="inlineStr">
        <is>
          <t>打合せ・会議の記録（仕様書Ⅲ・Ⅱ(7)）</t>
        </is>
      </c>
    </row>
    <row r="2" ht="30" customHeight="1">
      <c r="A2" s="2" t="inlineStr">
        <is>
          <t>仕様書Ⅲの打合せ等業務と、Ⅱ(7)の自立支援協議会の開催記録です。協議会の開催は1回程度を見込みます。</t>
        </is>
      </c>
    </row>
    <row r="5" ht="30" customHeight="1">
      <c r="A5" s="3" t="inlineStr">
        <is>
          <t>日付</t>
        </is>
      </c>
      <c r="B5" s="3" t="inlineStr">
        <is>
          <t>区分</t>
        </is>
      </c>
      <c r="C5" s="3" t="inlineStr">
        <is>
          <t>場所・形式</t>
        </is>
      </c>
      <c r="D5" s="3" t="inlineStr">
        <is>
          <t>出席</t>
        </is>
      </c>
      <c r="E5" s="3" t="inlineStr">
        <is>
          <t>主な決定事項</t>
        </is>
      </c>
      <c r="F5" s="3" t="inlineStr">
        <is>
          <t>残課題</t>
        </is>
      </c>
    </row>
    <row r="6" ht="66" customHeight="1">
      <c r="A6" s="22" t="inlineStr">
        <is>
          <t>2026-07-07</t>
        </is>
      </c>
      <c r="B6" s="30" t="inlineStr">
        <is>
          <t>打合せ</t>
        </is>
      </c>
      <c r="C6" s="4" t="inlineStr">
        <is>
          <t>北塩原村役場（対面）</t>
        </is>
      </c>
      <c r="D6" s="4" t="inlineStr">
        <is>
          <t>村：保健福祉課ほか3名／当社：3名</t>
        </is>
      </c>
      <c r="E6" s="4" t="inlineStr">
        <is>
          <t>アンケートを障がい者用・障がい児用の2種類に分離。村の封筒を使用し差出人・返送先を村役場に設定。村役場で一括受領し窓口回収。郵便料金は村が立替え後日精算。14pt・ルビ・白黒印刷。重複回答等は集計除外せず報告書欄外に件数を注記。8月上旬発送。</t>
        </is>
      </c>
      <c r="F6" s="4" t="inlineStr">
        <is>
          <t>郵送費の精算方法の書面化、印刷仕様の確定、ラベル提供時期</t>
        </is>
      </c>
    </row>
    <row r="7" ht="30" customHeight="1">
      <c r="A7" s="37" t="n"/>
      <c r="B7" s="38" t="inlineStr">
        <is>
          <t>打合せ</t>
        </is>
      </c>
      <c r="C7" s="39" t="n"/>
      <c r="D7" s="39" t="n"/>
      <c r="E7" s="39" t="n"/>
      <c r="F7" s="39" t="n"/>
    </row>
    <row r="8" ht="30" customHeight="1">
      <c r="A8" s="37" t="n"/>
      <c r="B8" s="38" t="inlineStr">
        <is>
          <t>協議会</t>
        </is>
      </c>
      <c r="C8" s="39" t="n"/>
      <c r="D8" s="39" t="n"/>
      <c r="E8" s="39" t="n"/>
      <c r="F8" s="39" t="n"/>
    </row>
    <row r="9" ht="30" customHeight="1">
      <c r="A9" s="37" t="n"/>
      <c r="B9" s="38" t="inlineStr">
        <is>
          <t>打合せ</t>
        </is>
      </c>
      <c r="C9" s="39" t="n"/>
      <c r="D9" s="39" t="n"/>
      <c r="E9" s="39" t="n"/>
      <c r="F9" s="39" t="n"/>
    </row>
  </sheetData>
  <mergeCells count="2">
    <mergeCell ref="A2:F2"/>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36"/>
  <sheetViews>
    <sheetView showGridLines="0" workbookViewId="0">
      <pane ySplit="4" topLeftCell="A5" activePane="bottomLeft" state="frozen"/>
      <selection pane="bottomLeft" activeCell="A1" sqref="A1"/>
    </sheetView>
  </sheetViews>
  <sheetFormatPr baseColWidth="8" defaultRowHeight="15"/>
  <cols>
    <col width="14" customWidth="1" min="1" max="1"/>
    <col width="24" customWidth="1" min="2" max="2"/>
    <col width="60" customWidth="1" min="3" max="3"/>
    <col width="40" customWidth="1" min="4" max="4"/>
  </cols>
  <sheetData>
    <row r="1" ht="30" customHeight="1">
      <c r="A1" s="29" t="inlineStr">
        <is>
          <t>進捗管理の更新履歴</t>
        </is>
      </c>
    </row>
    <row r="2" ht="30" customHeight="1">
      <c r="A2" s="2" t="inlineStr">
        <is>
          <t>本ブックの更新と、主要な成果物の版を記録します。</t>
        </is>
      </c>
    </row>
    <row r="5" ht="30" customHeight="1">
      <c r="A5" s="3" t="inlineStr">
        <is>
          <t>日付</t>
        </is>
      </c>
      <c r="B5" s="3" t="inlineStr">
        <is>
          <t>区分</t>
        </is>
      </c>
      <c r="C5" s="3" t="inlineStr">
        <is>
          <t>内容</t>
        </is>
      </c>
      <c r="D5" s="3" t="inlineStr">
        <is>
          <t>成果物</t>
        </is>
      </c>
    </row>
    <row r="6" ht="34" customHeight="1">
      <c r="A6" s="22" t="inlineStr">
        <is>
          <t>2026-10-07</t>
        </is>
      </c>
      <c r="B6" s="30" t="inlineStr">
        <is>
          <t>アンケート</t>
        </is>
      </c>
      <c r="C6" s="4" t="inlineStr">
        <is>
          <t>前回報告書（概要＋分野別12区分の単純集計の2部のみ）と前回計画本編（報告書を頁単位で5か所引用、第3章は［現状と課題］＋［具体的な取組み］の2段構成）を確認の上、報告書の構成案を作成。ご提案の6区分のうちニーズと計画策定時の注意点の章立てに賛成し、要因分析は統計的分析が成り立たないため村の実績との突合に置き換えて「調査結果の背景」とすることを提案。現行6章に2章を足した8章19節を提示。経年比較を行わない方針を受け、行わない理由を留意事項に書く案を併記。人材確保を設問から外す判断は妥当とし、別表第二 六の項が計画の努力義務であること（計画素案 第5章13で対応済み）を整理</t>
        </is>
      </c>
      <c r="D6" s="4" t="inlineStr">
        <is>
          <t>北塩原村_アンケート報告書_構成案.xlsx</t>
        </is>
      </c>
    </row>
    <row r="7" ht="34" customHeight="1">
      <c r="A7" s="26" t="inlineStr">
        <is>
          <t>2026-10-05</t>
        </is>
      </c>
      <c r="B7" s="32" t="inlineStr">
        <is>
          <t>アンケート</t>
        </is>
      </c>
      <c r="C7" s="7" t="inlineStr">
        <is>
          <t>村から受領した分析報告書（6章・表26・図61）と図表データ集をレビュー。数値整合は良好で、本文の割合521件のうち520件が集計と一致し、クロス表10件の割合は不一致0。指摘19件（重大4・中9・小6）。最大の欠落は経年比較で前回調査との対比が0件、回収率の低下（57.9％→22.1％）にも言及なし。自由記述に個人特定の可能性。当方の計画素案の割合の分母が報告書・前回調査と不一致だったため11項目修正し、見込量MECEチェックに混入していた個票の「計」行を除去</t>
        </is>
      </c>
      <c r="D7" s="7" t="inlineStr">
        <is>
          <t>北塩原村_アンケート分析報告書_レビュー.xlsx／北塩原村_計画素案.docx／北塩原村_見込量算定_MECEチェック.xlsx</t>
        </is>
      </c>
    </row>
    <row r="8" ht="34" customHeight="1">
      <c r="A8" s="22" t="inlineStr">
        <is>
          <t>2026-10-05</t>
        </is>
      </c>
      <c r="B8" s="30" t="inlineStr">
        <is>
          <t>見込量</t>
        </is>
      </c>
      <c r="C8" s="4" t="inlineStr">
        <is>
          <t>国の基本指針・通達を確認の上、見込量算定のMECEチェック。別表第一 二〜六の31事項・地域生活支援事業13事業・算定方法6・付加要件8を点検し、指摘17件（重大4・中8・小5）。区分の網羅性は満たすが、告示が「ものとする」とした継続入所者の控除と保育所等の受入体制が算定に入っていないことを検出。マニュアル（参考）のアンケートによる増減判断を実施し増加要素19・減少要素9。条文番号・単位・廃止区分・系列の重複の6件を是正</t>
        </is>
      </c>
      <c r="D8" s="4" t="inlineStr">
        <is>
          <t>北塩原村_見込量算定_MECEチェック.xlsx／北塩原村_計画素案.docx／北塩原村_地域生活支援事業.xlsx</t>
        </is>
      </c>
    </row>
    <row r="9" ht="34" customHeight="1">
      <c r="A9" s="26" t="inlineStr">
        <is>
          <t>2026-10-04</t>
        </is>
      </c>
      <c r="B9" s="32" t="inlineStr">
        <is>
          <t>品質管理</t>
        </is>
      </c>
      <c r="C9" s="7" t="inlineStr">
        <is>
          <t>成果物の再現性を点検する仕組みを整備。生成器23本・成果物35点の対応を依存順に明記し、未追跡ファイル・ライブラリの欠落・絶対パスの直書き・外部資料の入手先を7項目で点検。全22本の再実行で34/34点の内容一致を確認。Pillow欠落時に管理表2点の画像シートが警告なく欠ける不具合を発見し手当て</t>
        </is>
      </c>
      <c r="D9" s="7" t="inlineStr">
        <is>
          <t>check_reproducibility.py／requirements.txt／北塩原村_成果物の再現性点検と再発防止.md</t>
        </is>
      </c>
    </row>
    <row r="10" ht="34" customHeight="1">
      <c r="A10" s="22" t="inlineStr">
        <is>
          <t>2026-10-04</t>
        </is>
      </c>
      <c r="B10" s="30" t="inlineStr">
        <is>
          <t>計画素案</t>
        </is>
      </c>
      <c r="C10" s="4" t="inlineStr">
        <is>
          <t>アンケート結果と見込量第1次概算を計画素案に反映。第5章3〜7の見込量表を第1次概算（27サービス）に差し替えて基準年度の請求件数の列を追加し、医療型児童発達支援の行を削除。第2章8をアンケート実施結果に書き換え、第3章5の目標値表に本調査の結果と前回との比較可能性の列を追加</t>
        </is>
      </c>
      <c r="D10" s="4" t="inlineStr">
        <is>
          <t>北塩原村_計画素案.docx</t>
        </is>
      </c>
    </row>
    <row r="11" ht="34" customHeight="1">
      <c r="A11" s="26" t="inlineStr">
        <is>
          <t>2026-10-04</t>
        </is>
      </c>
      <c r="B11" s="32" t="inlineStr">
        <is>
          <t>指標</t>
        </is>
      </c>
      <c r="C11" s="7" t="inlineStr">
        <is>
          <t>目標・KPIの前回比較可能性を全数洗い出し。第4次計画の施策目標8指標・成果目標8区分・見込量27区分・活動指標33項目・地域生活支援事業15事業・アンケート設問50問の対応を整理。前回計画本編の転記誤り1件（外出の目的28.1％→29.1％）を含む訂正5件を特定</t>
        </is>
      </c>
      <c r="D11" s="7" t="inlineStr">
        <is>
          <t>北塩原村_目標KPI_前回比較可能性.xlsx</t>
        </is>
      </c>
    </row>
    <row r="12" ht="34" customHeight="1">
      <c r="A12" s="22" t="inlineStr">
        <is>
          <t>2026-10-03</t>
        </is>
      </c>
      <c r="B12" s="30" t="inlineStr">
        <is>
          <t>アンケート</t>
        </is>
      </c>
      <c r="C12" s="4" t="inlineStr">
        <is>
          <t>アンケート結果報告書（作成中）を点検。個票から集計を再計算し、報告書本文の割合320件を突合して計算誤り0件を確認。分母の取り方・前回調査との比較可能性・障がい児調査の内部矛盾・未記入の11件を洗い出し、村の実績との突合で論点4件を追加</t>
        </is>
      </c>
      <c r="D12" s="4" t="inlineStr">
        <is>
          <t>北塩原村_アンケート結果報告書_点検結果.xlsx</t>
        </is>
      </c>
    </row>
    <row r="13" ht="34" customHeight="1">
      <c r="A13" s="26" t="inlineStr">
        <is>
          <t>2026-09-24</t>
        </is>
      </c>
      <c r="B13" s="32" t="inlineStr">
        <is>
          <t>見込量</t>
        </is>
      </c>
      <c r="C13" s="7" t="inlineStr">
        <is>
          <t>大雪地区広域連合・川崎町で確立した算定の手順を障がい福祉計画に移し、サービス見込量の第1次概算を算定。基準年度は令和7年度、採用はパターン3（基準年度据え置き＋成果目標による補正）。3か年給付費172,859,691円。据え置き10件・自己点検12件すべて合</t>
        </is>
      </c>
      <c r="D13" s="7" t="inlineStr">
        <is>
          <t>北塩原村_サービス見込量算定.xlsx</t>
        </is>
      </c>
    </row>
    <row r="14" ht="34" customHeight="1">
      <c r="A14" s="22" t="inlineStr">
        <is>
          <t>2026-09-24</t>
        </is>
      </c>
      <c r="B14" s="30" t="inlineStr">
        <is>
          <t>計画素案</t>
        </is>
      </c>
      <c r="C14" s="4" t="inlineStr">
        <is>
          <t>レビュー優先度 高の4件を反映。第5章13（人材確保・生産性向上・経営基盤／別表第二 六の項）と第5章14（関係機関との連携／別表第二 五）を新設し、第4章（２）に基盤整備量、第4章（４）に医療的ケア児等の協議の場を追加。第5章の節番号の参照ずれ3か所も修正</t>
        </is>
      </c>
      <c r="D14" s="4" t="inlineStr">
        <is>
          <t>北塩原村_計画素案.docx</t>
        </is>
      </c>
    </row>
    <row r="15" ht="34" customHeight="1">
      <c r="A15" s="26" t="inlineStr">
        <is>
          <t>2026-09-17</t>
        </is>
      </c>
      <c r="B15" s="32" t="inlineStr">
        <is>
          <t>制度確認</t>
        </is>
      </c>
      <c r="C15" s="7" t="inlineStr">
        <is>
          <t>村から基本指針の改正2件（社会福祉法等改正 令和8年7月10日、医療的ケア児支援法改正 令和8年8月19日）を受領し、骨子案・計画素案との網羅性を確認。別表第二 六の項の新設と医療的ケア者の新設により、不足14件・確認事項8件を洗い出し</t>
        </is>
      </c>
      <c r="D15" s="7" t="inlineStr">
        <is>
          <t>北塩原村_骨子案レビュー_基本指針網羅性.xlsx</t>
        </is>
      </c>
    </row>
    <row r="16" ht="34" customHeight="1">
      <c r="A16" s="22" t="inlineStr">
        <is>
          <t>2026-09-17</t>
        </is>
      </c>
      <c r="B16" s="30" t="inlineStr">
        <is>
          <t>概要版</t>
        </is>
      </c>
      <c r="C16" s="4" t="inlineStr">
        <is>
          <t>住民向けの概要版（A4・4頁）を別ファイルで作成。前回の概要版の構成を踏襲しつつ、改定対象外の障がい者計画は「継承する内容」として整理し、ＳＤＧｓの節を国の基本指針の見直しのポイントに差し替え</t>
        </is>
      </c>
      <c r="D16" s="4" t="inlineStr">
        <is>
          <t>北塩原村_計画素案_概要版.docx</t>
        </is>
      </c>
    </row>
    <row r="17" ht="34" customHeight="1">
      <c r="A17" s="26" t="inlineStr">
        <is>
          <t>2026-09-17</t>
        </is>
      </c>
      <c r="B17" s="32" t="inlineStr">
        <is>
          <t>計画素案</t>
        </is>
      </c>
      <c r="C17" s="7" t="inlineStr">
        <is>
          <t>表題を「骨子案」から「素案」に変更。作成年月を令和8年9月、奥付の編集所管課を保健福祉課福祉係に更新し、ファイル名も北塩原村_計画素案.docx に統一</t>
        </is>
      </c>
      <c r="D17" s="7" t="inlineStr">
        <is>
          <t>北塩原村_計画素案.docx</t>
        </is>
      </c>
    </row>
    <row r="18" ht="34" customHeight="1">
      <c r="A18" s="22" t="inlineStr">
        <is>
          <t>2026-08-03</t>
        </is>
      </c>
      <c r="B18" s="30" t="inlineStr">
        <is>
          <t>計画素案</t>
        </is>
      </c>
      <c r="C18" s="4" t="inlineStr">
        <is>
          <t>第3章を「第4次障がい者計画の推進状況（参考）」から「計画の基本理念・基本目標及び施策体系」へ再構成。第8期で加わる視点と施策体系の対応表を新設し、仕様書4-Ⅱ(5)①②を措置</t>
        </is>
      </c>
      <c r="D18" s="4" t="inlineStr">
        <is>
          <t>北塩原村_計画素案.docx</t>
        </is>
      </c>
    </row>
    <row r="19" ht="34" customHeight="1">
      <c r="A19" s="26" t="inlineStr">
        <is>
          <t>2026-08-03</t>
        </is>
      </c>
      <c r="B19" s="32" t="inlineStr">
        <is>
          <t>評価</t>
        </is>
      </c>
      <c r="C19" s="7" t="inlineStr">
        <is>
          <t>現行計画評価ブックを作成。令和3〜5年度の見込量と実績を突合し、計上漏れ2件・過大計上3件・施策指標1件の測定不能を検出</t>
        </is>
      </c>
      <c r="D19" s="7" t="inlineStr">
        <is>
          <t>北塩原村_現行計画評価.xlsx</t>
        </is>
      </c>
    </row>
    <row r="20" ht="34" customHeight="1">
      <c r="A20" s="22" t="inlineStr">
        <is>
          <t>2026-08-03</t>
        </is>
      </c>
      <c r="B20" s="30" t="inlineStr">
        <is>
          <t>資料受領</t>
        </is>
      </c>
      <c r="C20" s="4" t="inlineStr">
        <is>
          <t>現行計画本編・アンケート調査結果報告書・概要版を受領。年齢3区分別人口5年分、前回調査の内訳（発送164人・回収95人）、成果目標の設定根拠が確定。将来推計・給付費の記載がないことを一次確認</t>
        </is>
      </c>
      <c r="D20" s="4" t="inlineStr">
        <is>
          <t>現行計画本編（3379.pdf）／調査結果報告書（3380.pdf）／概要版（3388.pdf）</t>
        </is>
      </c>
    </row>
    <row r="21" ht="34" customHeight="1">
      <c r="A21" s="26" t="inlineStr">
        <is>
          <t>2026-08-03</t>
        </is>
      </c>
      <c r="B21" s="32" t="inlineStr">
        <is>
          <t>進捗管理</t>
        </is>
      </c>
      <c r="C21" s="7" t="inlineStr">
        <is>
          <t>業務進捗管理ブックを新規作成。仕様書条項別の進捗台帳、村資料受領状況、課題・リスクを一本化</t>
        </is>
      </c>
      <c r="D21" s="7" t="inlineStr">
        <is>
          <t>北塩原村_業務進捗管理.xlsx</t>
        </is>
      </c>
    </row>
    <row r="22" ht="34" customHeight="1">
      <c r="A22" s="22" t="inlineStr">
        <is>
          <t>2026-08-03</t>
        </is>
      </c>
      <c r="B22" s="30" t="inlineStr">
        <is>
          <t>推計方法</t>
        </is>
      </c>
      <c r="C22" s="4" t="inlineStr">
        <is>
          <t>サービス見込量を個別積上げ方式へ切替。計画素案に第5章1（見込量の推計方法）・第5章2（年齢到達に伴うサービスの移行）を新設</t>
        </is>
      </c>
      <c r="D22" s="4" t="inlineStr">
        <is>
          <t>北塩原村_サービス見込量.xlsx／北塩原村_計画素案.docx</t>
        </is>
      </c>
    </row>
    <row r="23" ht="34" customHeight="1">
      <c r="A23" s="26" t="inlineStr">
        <is>
          <t>2026-08-03</t>
        </is>
      </c>
      <c r="B23" s="32" t="inlineStr">
        <is>
          <t>調査</t>
        </is>
      </c>
      <c r="C23" s="7" t="inlineStr">
        <is>
          <t>年齢到達による給付の終了・移行を調査。骨子案に65歳・18歳の記述が0件、障がい者票に介護保険の設問がないことを確認</t>
        </is>
      </c>
      <c r="D23" s="7" t="inlineStr">
        <is>
          <t>北塩原村_年齢到達による給付移行_調査報告.md</t>
        </is>
      </c>
    </row>
    <row r="24" ht="34" customHeight="1">
      <c r="A24" s="22" t="inlineStr">
        <is>
          <t>2026-08-03</t>
        </is>
      </c>
      <c r="B24" s="30" t="inlineStr">
        <is>
          <t>検証</t>
        </is>
      </c>
      <c r="C24" s="4" t="inlineStr">
        <is>
          <t>推計方法のレッドチーム検証。時点表記の1年ずれ、方法Aの予測区間、方法Bの分母感度、過去稿の記載と計算の不一致を検出・修正</t>
        </is>
      </c>
      <c r="D24" s="4" t="inlineStr">
        <is>
          <t>北塩原村_推計方法_レッドチーム検証.md</t>
        </is>
      </c>
    </row>
    <row r="25" ht="34" customHeight="1">
      <c r="A25" s="26" t="inlineStr">
        <is>
          <t>2026-08-03</t>
        </is>
      </c>
      <c r="B25" s="32" t="inlineStr">
        <is>
          <t>計画素案</t>
        </is>
      </c>
      <c r="C25" s="7" t="inlineStr">
        <is>
          <t>骨子案を正本とし、手帳将来推計・最新人口・財源構成・こども家庭センターを移植</t>
        </is>
      </c>
      <c r="D25" s="7" t="inlineStr">
        <is>
          <t>北塩原村_計画素案.docx</t>
        </is>
      </c>
    </row>
    <row r="26" ht="34" customHeight="1">
      <c r="A26" s="22" t="inlineStr">
        <is>
          <t>2026-08-03</t>
        </is>
      </c>
      <c r="B26" s="30" t="inlineStr">
        <is>
          <t>レビュー</t>
        </is>
      </c>
      <c r="C26" s="4" t="inlineStr">
        <is>
          <t>骨子案★版と計画素案第9稿を比較し、正本を骨子案に決定</t>
        </is>
      </c>
      <c r="D26" s="4" t="inlineStr">
        <is>
          <t>北塩原村_骨子案_計画素案第9稿_比較レビュー.md</t>
        </is>
      </c>
    </row>
    <row r="27" ht="34" customHeight="1">
      <c r="A27" s="26" t="inlineStr">
        <is>
          <t>2026-08-03</t>
        </is>
      </c>
      <c r="B27" s="32" t="inlineStr">
        <is>
          <t>受注整理</t>
        </is>
      </c>
      <c r="C27" s="7" t="inlineStr">
        <is>
          <t>仕様書・議事録・成果物を突合し受注内容を整理</t>
        </is>
      </c>
      <c r="D27" s="7" t="inlineStr">
        <is>
          <t>北塩原村_第8期障がい福祉計画_受注内容整理.md</t>
        </is>
      </c>
    </row>
    <row r="28" ht="34" customHeight="1">
      <c r="A28" s="22" t="inlineStr">
        <is>
          <t>2026-07-28</t>
        </is>
      </c>
      <c r="B28" s="30" t="inlineStr">
        <is>
          <t>調査票</t>
        </is>
      </c>
      <c r="C28" s="4" t="inlineStr">
        <is>
          <t>0728版アンケート調査票のレビュー（障がい者52問・障がい児51問）</t>
        </is>
      </c>
      <c r="D28" s="4" t="inlineStr">
        <is>
          <t>0728北塩原村_障がい福祉／障がい児福祉アンケート調査票.docx</t>
        </is>
      </c>
    </row>
    <row r="29" ht="34" customHeight="1">
      <c r="A29" s="26" t="inlineStr">
        <is>
          <t>2026-07-24</t>
        </is>
      </c>
      <c r="B29" s="32" t="inlineStr">
        <is>
          <t>実績</t>
        </is>
      </c>
      <c r="C29" s="7" t="inlineStr">
        <is>
          <t>障がいサービス給付実績（令和2〜7年度）を整理</t>
        </is>
      </c>
      <c r="D29" s="7" t="inlineStr">
        <is>
          <t>北塩原村_障がいサービス給付実績_整理版.xlsx</t>
        </is>
      </c>
    </row>
    <row r="30" ht="34" customHeight="1">
      <c r="A30" s="22" t="inlineStr">
        <is>
          <t>2026-07-07</t>
        </is>
      </c>
      <c r="B30" s="30" t="inlineStr">
        <is>
          <t>打合せ</t>
        </is>
      </c>
      <c r="C30" s="4" t="inlineStr">
        <is>
          <t>北塩原村役場にて打合せ。アンケート実施設計を決定</t>
        </is>
      </c>
      <c r="D30" s="4" t="inlineStr">
        <is>
          <t>議事録</t>
        </is>
      </c>
    </row>
    <row r="31">
      <c r="A31" s="37" t="n"/>
      <c r="B31" s="38" t="n"/>
      <c r="C31" s="39" t="n"/>
      <c r="D31" s="39" t="n"/>
    </row>
    <row r="32">
      <c r="A32" s="37" t="n"/>
      <c r="B32" s="38" t="n"/>
      <c r="C32" s="39" t="n"/>
      <c r="D32" s="39" t="n"/>
    </row>
    <row r="33">
      <c r="A33" s="37" t="n"/>
      <c r="B33" s="38" t="n"/>
      <c r="C33" s="39" t="n"/>
      <c r="D33" s="39" t="n"/>
    </row>
    <row r="34">
      <c r="A34" s="37" t="n"/>
      <c r="B34" s="38" t="n"/>
      <c r="C34" s="39" t="n"/>
      <c r="D34" s="39" t="n"/>
    </row>
    <row r="35">
      <c r="A35" s="37" t="n"/>
      <c r="B35" s="38" t="n"/>
      <c r="C35" s="39" t="n"/>
      <c r="D35" s="39" t="n"/>
    </row>
    <row r="36">
      <c r="A36" s="37" t="n"/>
      <c r="B36" s="38" t="n"/>
      <c r="C36" s="39" t="n"/>
      <c r="D36" s="39" t="n"/>
    </row>
  </sheetData>
  <mergeCells count="2">
    <mergeCell ref="A1:D1"/>
    <mergeCell ref="A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0"/>
  <sheetViews>
    <sheetView showGridLines="0"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2" customWidth="1" min="4" max="4"/>
    <col width="12" customWidth="1" min="5" max="5"/>
    <col width="56" customWidth="1" min="6" max="6"/>
  </cols>
  <sheetData>
    <row r="1" ht="30" customHeight="1">
      <c r="A1" s="29" t="inlineStr">
        <is>
          <t>計画書の分量配分計画（成果品①：A4判・両面約60頁）</t>
        </is>
      </c>
    </row>
    <row r="2" ht="30" customHeight="1">
      <c r="A2" s="2" t="inlineStr">
        <is>
          <t>村資料が揃ってから分量を考えると組版段階で削る作業が発生するため、章ごとの目標頁数を先に決める。計画素案の頁は目次整理後の推定値（A4・余白2cm・行送り18pt・本文10.5ptで1頁40行として積算。作業用の注記33件を含む）。現行計画は本文57頁（製本63頁は白紙・奥付を含む）。</t>
        </is>
      </c>
    </row>
    <row r="5" ht="30" customHeight="1">
      <c r="A5" s="3" t="inlineStr">
        <is>
          <t>章</t>
        </is>
      </c>
      <c r="B5" s="3" t="inlineStr">
        <is>
          <t>現行計画
（本文57頁）</t>
        </is>
      </c>
      <c r="C5" s="3" t="inlineStr">
        <is>
          <t>計画素案
（推定）</t>
        </is>
      </c>
      <c r="D5" s="3" t="inlineStr">
        <is>
          <t>目標頁</t>
        </is>
      </c>
      <c r="E5" s="3" t="inlineStr">
        <is>
          <t>増減</t>
        </is>
      </c>
      <c r="F5" s="3" t="inlineStr">
        <is>
          <t>根拠</t>
        </is>
      </c>
    </row>
    <row r="6" ht="30" customHeight="1">
      <c r="A6" s="4" t="inlineStr">
        <is>
          <t>第1章 計画の策定にあたって</t>
        </is>
      </c>
      <c r="B6" s="40" t="n">
        <v>9</v>
      </c>
      <c r="C6" s="40" t="n">
        <v>9</v>
      </c>
      <c r="D6" s="40" t="n">
        <v>9</v>
      </c>
      <c r="E6" s="41" t="n">
        <v>0</v>
      </c>
      <c r="F6" s="4" t="inlineStr">
        <is>
          <t>基本指針の改正16項目とPDCAの推進体制が中心。令和8年9月に障がい福祉サービスの体系（第1章7）を新設し、現行計画と同じ9頁に戻した</t>
        </is>
      </c>
    </row>
    <row r="7" ht="30" customHeight="1">
      <c r="A7" s="7" t="inlineStr">
        <is>
          <t>第2章 本村の障がい者の現状</t>
        </is>
      </c>
      <c r="B7" s="42" t="n">
        <v>5</v>
      </c>
      <c r="C7" s="42" t="n">
        <v>6</v>
      </c>
      <c r="D7" s="42" t="n">
        <v>7</v>
      </c>
      <c r="E7" s="43" t="n">
        <v>1</v>
      </c>
      <c r="F7" s="7" t="inlineStr">
        <is>
          <t>手帳所持者数の将来推計（仕様書4-Ⅱ(3)①）を新設。実績データの受領で図表が埋まる</t>
        </is>
      </c>
    </row>
    <row r="8" ht="30" customHeight="1">
      <c r="A8" s="4" t="inlineStr">
        <is>
          <t>第3章 基本理念・基本目標及び施策体系</t>
        </is>
      </c>
      <c r="B8" s="40" t="n">
        <v>13</v>
      </c>
      <c r="C8" s="40" t="n">
        <v>5</v>
      </c>
      <c r="D8" s="40" t="n">
        <v>5</v>
      </c>
      <c r="E8" s="41" t="n">
        <v>0</v>
      </c>
      <c r="F8" s="4" t="inlineStr">
        <is>
          <t>改定対象外の第4次障がい者計画の再掲。骨格と第8期で加わる視点との対応表に絞る。ＳＤＧｓ対応表は今回は追加しない方針</t>
        </is>
      </c>
    </row>
    <row r="9" ht="30" customHeight="1">
      <c r="A9" s="7" t="inlineStr">
        <is>
          <t>第4章 令和11年度に向けた成果目標</t>
        </is>
      </c>
      <c r="B9" s="42" t="n">
        <v>11</v>
      </c>
      <c r="C9" s="42" t="n">
        <v>9</v>
      </c>
      <c r="D9" s="42" t="n">
        <v>11</v>
      </c>
      <c r="E9" s="43" t="n">
        <v>2</v>
      </c>
      <c r="F9" s="7" t="inlineStr">
        <is>
          <t>7項目→8項目。目標値・考え方の記入で増える</t>
        </is>
      </c>
    </row>
    <row r="10" ht="30" customHeight="1">
      <c r="A10" s="4" t="inlineStr">
        <is>
          <t>第5章 サービス等の実績と今後の見込み量</t>
        </is>
      </c>
      <c r="B10" s="40" t="n">
        <v>16</v>
      </c>
      <c r="C10" s="40" t="n">
        <v>22</v>
      </c>
      <c r="D10" s="40" t="n">
        <v>20</v>
      </c>
      <c r="E10" s="41" t="n">
        <v>-2</v>
      </c>
      <c r="F10" s="4" t="inlineStr">
        <is>
          <t>推計方法・年齢到達移行・活動指標・財源構成を新設。本計画の実質的な付加価値。注記の削除で2頁程度減る見込み</t>
        </is>
      </c>
    </row>
    <row r="11" ht="30" customHeight="1">
      <c r="A11" s="7" t="inlineStr">
        <is>
          <t>第6章 成年後見制度の利用促進</t>
        </is>
      </c>
      <c r="B11" s="42" t="n">
        <v>2</v>
      </c>
      <c r="C11" s="42" t="n">
        <v>1</v>
      </c>
      <c r="D11" s="42" t="n">
        <v>2</v>
      </c>
      <c r="E11" s="43" t="n">
        <v>1</v>
      </c>
      <c r="F11" s="7" t="inlineStr">
        <is>
          <t>現行と同水準。中核機関の記述を補う</t>
        </is>
      </c>
    </row>
    <row r="12" ht="30" customHeight="1">
      <c r="A12" s="4" t="inlineStr">
        <is>
          <t>第7章 他計画との連携</t>
        </is>
      </c>
      <c r="B12" s="40" t="inlineStr">
        <is>
          <t>―</t>
        </is>
      </c>
      <c r="C12" s="40" t="n">
        <v>3</v>
      </c>
      <c r="D12" s="40" t="n">
        <v>3</v>
      </c>
      <c r="E12" s="41" t="n">
        <v>0</v>
      </c>
      <c r="F12" s="4" t="inlineStr">
        <is>
          <t>新設章。健康21・総合振興計画・こども子育て計画</t>
        </is>
      </c>
    </row>
    <row r="13" ht="30" customHeight="1">
      <c r="A13" s="7" t="inlineStr">
        <is>
          <t>第8章 資料編</t>
        </is>
      </c>
      <c r="B13" s="42" t="n">
        <v>1</v>
      </c>
      <c r="C13" s="42" t="n">
        <v>3</v>
      </c>
      <c r="D13" s="42" t="n">
        <v>3</v>
      </c>
      <c r="E13" s="43" t="n">
        <v>0</v>
      </c>
      <c r="F13" s="7" t="inlineStr">
        <is>
          <t>アンケート集計結果は成果品②（別冊約60頁）に収める。令和8年9月に用語解説（第8章4・30語）を新設</t>
        </is>
      </c>
    </row>
    <row r="14">
      <c r="A14" s="44" t="inlineStr">
        <is>
          <t>合計</t>
        </is>
      </c>
      <c r="B14" s="45">
        <f>SUM(B6:B13)</f>
        <v/>
      </c>
      <c r="C14" s="45">
        <f>ROUND(SUM(C6:C13),0)</f>
        <v/>
      </c>
      <c r="D14" s="45">
        <f>SUM(D6:D13)</f>
        <v/>
      </c>
      <c r="E14" s="46">
        <f>D14-C14</f>
        <v/>
      </c>
      <c r="F14" s="44" t="inlineStr">
        <is>
          <t>目標60頁。計画素案の推定58頁のうち注記33件を削ると実質53頁前後で、実績データの記入に7頁程度の余地がある</t>
        </is>
      </c>
    </row>
    <row r="16">
      <c r="A16" s="13" t="inlineStr">
        <is>
          <t>60頁に収まらない場合の削減順序（上から削る）</t>
        </is>
      </c>
    </row>
    <row r="17" ht="30" customHeight="1">
      <c r="A17" s="3" t="inlineStr">
        <is>
          <t>順</t>
        </is>
      </c>
      <c r="B17" s="3" t="inlineStr">
        <is>
          <t>削減対象</t>
        </is>
      </c>
      <c r="C17" s="3" t="inlineStr"/>
      <c r="D17" s="3" t="inlineStr"/>
      <c r="E17" s="3" t="inlineStr"/>
      <c r="F17" s="3" t="inlineStr">
        <is>
          <t>理由</t>
        </is>
      </c>
    </row>
    <row r="18" ht="24" customHeight="1">
      <c r="A18" s="30" t="inlineStr">
        <is>
          <t>1</t>
        </is>
      </c>
      <c r="B18" s="4" t="inlineStr">
        <is>
          <t>第3章の施策別の記述</t>
        </is>
      </c>
      <c r="C18" s="23" t="n"/>
      <c r="D18" s="23" t="n"/>
      <c r="E18" s="24" t="n"/>
      <c r="F18" s="4" t="inlineStr">
        <is>
          <t>改定対象外の再掲であり、詳細は第4次障がい者計画本体を参照すればよい</t>
        </is>
      </c>
    </row>
    <row r="19" ht="24" customHeight="1">
      <c r="A19" s="32" t="inlineStr">
        <is>
          <t>2</t>
        </is>
      </c>
      <c r="B19" s="7" t="inlineStr">
        <is>
          <t>第1章の基本指針改正16項目</t>
        </is>
      </c>
      <c r="C19" s="23" t="n"/>
      <c r="D19" s="23" t="n"/>
      <c r="E19" s="24" t="n"/>
      <c r="F19" s="7" t="inlineStr">
        <is>
          <t>16項目すべてを列挙せず、本村に関係する項目に絞る</t>
        </is>
      </c>
    </row>
    <row r="20" ht="24" customHeight="1">
      <c r="A20" s="30" t="inlineStr">
        <is>
          <t>3</t>
        </is>
      </c>
      <c r="B20" s="4" t="inlineStr">
        <is>
          <t>第8章の資料編</t>
        </is>
      </c>
      <c r="C20" s="23" t="n"/>
      <c r="D20" s="23" t="n"/>
      <c r="E20" s="24" t="n"/>
      <c r="F20" s="4" t="inlineStr">
        <is>
          <t>成果品②へ移す</t>
        </is>
      </c>
    </row>
    <row r="21" ht="24" customHeight="1">
      <c r="A21" s="32" t="inlineStr">
        <is>
          <t>4</t>
        </is>
      </c>
      <c r="B21" s="7" t="inlineStr">
        <is>
          <t>第5章の実績値の年次</t>
        </is>
      </c>
      <c r="C21" s="23" t="n"/>
      <c r="D21" s="23" t="n"/>
      <c r="E21" s="24" t="n"/>
      <c r="F21" s="7" t="inlineStr">
        <is>
          <t>令和2年度からの6年分を令和5年度からの4年分に短縮する</t>
        </is>
      </c>
    </row>
    <row r="23">
      <c r="A23" s="47" t="inlineStr">
        <is>
          <t>削ってはならないもの</t>
        </is>
      </c>
    </row>
    <row r="24" ht="30" customHeight="1">
      <c r="A24" s="3" t="inlineStr">
        <is>
          <t>項目</t>
        </is>
      </c>
      <c r="B24" s="3" t="inlineStr"/>
      <c r="C24" s="3" t="inlineStr"/>
      <c r="D24" s="3" t="inlineStr"/>
      <c r="E24" s="3" t="inlineStr"/>
      <c r="F24" s="3" t="inlineStr">
        <is>
          <t>理由</t>
        </is>
      </c>
    </row>
    <row r="25" ht="24" customHeight="1">
      <c r="A25" s="4" t="inlineStr">
        <is>
          <t>第4章の成果目標8項目</t>
        </is>
      </c>
      <c r="B25" s="23" t="n"/>
      <c r="C25" s="23" t="n"/>
      <c r="D25" s="23" t="n"/>
      <c r="E25" s="24" t="n"/>
      <c r="F25" s="4" t="inlineStr">
        <is>
          <t>基本指針が求める必須事項</t>
        </is>
      </c>
    </row>
    <row r="26" ht="24" customHeight="1">
      <c r="A26" s="7" t="inlineStr">
        <is>
          <t>第5章のサービス見込量</t>
        </is>
      </c>
      <c r="B26" s="23" t="n"/>
      <c r="C26" s="23" t="n"/>
      <c r="D26" s="23" t="n"/>
      <c r="E26" s="24" t="n"/>
      <c r="F26" s="7" t="inlineStr">
        <is>
          <t>別表第二 三の項の必須記載事項</t>
        </is>
      </c>
    </row>
    <row r="27" ht="24" customHeight="1">
      <c r="A27" s="4" t="inlineStr">
        <is>
          <t>第5章の活動指標のうち見込量に相当するもの</t>
        </is>
      </c>
      <c r="B27" s="23" t="n"/>
      <c r="C27" s="23" t="n"/>
      <c r="D27" s="23" t="n"/>
      <c r="E27" s="24" t="n"/>
      <c r="F27" s="4" t="inlineStr">
        <is>
          <t>同上（第三 四㈡により見込量以外は任意）</t>
        </is>
      </c>
    </row>
    <row r="28" ht="24" customHeight="1">
      <c r="A28" s="7" t="inlineStr">
        <is>
          <t>第5章1の推計方法</t>
        </is>
      </c>
      <c r="B28" s="23" t="n"/>
      <c r="C28" s="23" t="n"/>
      <c r="D28" s="23" t="n"/>
      <c r="E28" s="24" t="n"/>
      <c r="F28" s="7" t="inlineStr">
        <is>
          <t>別表第五の適用判定を含む算定根拠</t>
        </is>
      </c>
    </row>
    <row r="30" ht="34" customHeight="1">
      <c r="A30" s="2" t="inlineStr">
        <is>
          <t>※ 本頁換算は文字数からの概算であり、実際の頁数はスタイル（フォントサイズ・行間・余白）で変わる。第1章の原稿が固まった時点で実際の組版にかけ、1頁あたりの文字数を実測して本計画を補正する。</t>
        </is>
      </c>
    </row>
  </sheetData>
  <mergeCells count="13">
    <mergeCell ref="A2:F2"/>
    <mergeCell ref="A16:F16"/>
    <mergeCell ref="B18:E18"/>
    <mergeCell ref="A26:E26"/>
    <mergeCell ref="A1:F1"/>
    <mergeCell ref="A23:F23"/>
    <mergeCell ref="B21:E21"/>
    <mergeCell ref="A25:E25"/>
    <mergeCell ref="A28:E28"/>
    <mergeCell ref="B19:E19"/>
    <mergeCell ref="B20:E20"/>
    <mergeCell ref="A30:F30"/>
    <mergeCell ref="A27:E2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2026-10-08T13:34:47Z</dcterms:created>
  <dcterms:modified xmlns:dcterms="http://purl.org/dc/terms/" xmlns:xsi="http://www.w3.org/2001/XMLSchema-instance" xsi:type="dcterms:W3CDTF">2026-10-08T13:34:48Z</dcterms:modified>
</cp:coreProperties>
</file>