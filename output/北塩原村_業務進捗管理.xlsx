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3b_納期からの逆算" sheetId="5" state="visible" r:id="rId5"/>
    <sheet xmlns:r="http://schemas.openxmlformats.org/officeDocument/2006/relationships" name="04_村資料受領状況" sheetId="6" state="visible" r:id="rId6"/>
    <sheet xmlns:r="http://schemas.openxmlformats.org/officeDocument/2006/relationships" name="05_課題・リスク" sheetId="7" state="visible" r:id="rId7"/>
    <sheet xmlns:r="http://schemas.openxmlformats.org/officeDocument/2006/relationships" name="06_打合せ記録" sheetId="8" state="visible" r:id="rId8"/>
    <sheet xmlns:r="http://schemas.openxmlformats.org/officeDocument/2006/relationships" name="07_更新履歴" sheetId="9" state="visible" r:id="rId9"/>
    <sheet xmlns:r="http://schemas.openxmlformats.org/officeDocument/2006/relationships" name="08_分量配分計画" sheetId="10" state="visible" r:id="rId10"/>
  </sheets>
  <definedNames>
    <definedName name="_xlnm._FilterDatabase" localSheetId="1" hidden="1">'01_仕様書別進捗'!$A$5:$I$38</definedName>
    <definedName name="_xlnm._FilterDatabase" localSheetId="5" hidden="1">'04_村資料受領状況'!$A$5:$G$74</definedName>
    <definedName name="_xlnm._FilterDatabase" localSheetId="6" hidden="1">'05_課題・リスク'!$A$5:$G$43</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7">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E2EFDA"/>
      </patternFill>
    </fill>
    <fill>
      <patternFill patternType="solid">
        <fgColor rgb="00FFF2CC"/>
      </patternFill>
    </fill>
    <fill>
      <patternFill patternType="solid">
        <fgColor rgb="007B0000"/>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0">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0" fontId="4" fillId="14" borderId="1" applyAlignment="1" pivotButton="0" quotePrefix="0" xfId="0">
      <alignment horizontal="left" vertical="center" wrapText="1" indent="1"/>
    </xf>
    <xf numFmtId="0" fontId="4" fillId="15" borderId="1" applyAlignment="1" pivotButton="0" quotePrefix="0" xfId="0">
      <alignment horizontal="left" vertical="center" wrapText="1" indent="1"/>
    </xf>
    <xf numFmtId="164" fontId="4" fillId="15" borderId="1" applyAlignment="1" pivotButton="0" quotePrefix="0" xfId="0">
      <alignment horizontal="center" vertical="center"/>
    </xf>
    <xf numFmtId="0" fontId="3" fillId="16" borderId="1" applyAlignment="1" pivotButton="0" quotePrefix="0" xfId="0">
      <alignment horizontal="center" vertical="center"/>
    </xf>
    <xf numFmtId="0" fontId="4" fillId="15" borderId="1" applyAlignment="1" pivotButton="0" quotePrefix="0" xfId="0">
      <alignment horizontal="center" vertical="center"/>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北塩原村_将来推計.xlsx（9シート。08_県との比較を追加）／北塩原村_レビュー対応_第3回.xlsx 02_手帳推計／正本 第2章2（ＲＶ-1）</t>
        </is>
      </c>
      <c r="E19" s="27" t="inlineStr">
        <is>
          <t>村資料待ち</t>
        </is>
      </c>
      <c r="F19" s="9" t="n">
        <v>0.72</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令和8年10月13日に、手帳別に別の係数を用いた4通りの試算を行い、令和11年の合計に139人から206人まで67人の幅があることを示した。幅の大半は令和5年から令和8年までの25人の増加を実際の増加と見るか数え方の違いと見るかで生じており、令和6年・令和7年の実数1件で決まる（Ｍ-113）。正本 第2章2 には手帳別に推計する旨と幅で示す旨を書き、基礎の127人・16人・38人が台帳による確定値でないことを明記した</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pane="bottomLeft" activeCell="A1" sqref="A1"/>
    </sheetView>
  </sheetViews>
  <sheetFormatPr baseColWidth="8" defaultRowHeight="15"/>
  <cols>
    <col width="6" customWidth="1" min="1" max="1"/>
    <col width="14" customWidth="1" min="2" max="2"/>
    <col width="46" customWidth="1" min="3" max="3"/>
    <col width="12" customWidth="1" min="4" max="4"/>
    <col width="22" customWidth="1" min="5" max="5"/>
    <col width="44" customWidth="1" min="6" max="6"/>
  </cols>
  <sheetData>
    <row r="1" ht="30" customHeight="1">
      <c r="A1" s="29" t="inlineStr">
        <is>
          <t>履行期限からの逆算（令和9年3月31日）</t>
        </is>
      </c>
    </row>
    <row r="2" ht="30" customHeight="1">
      <c r="A2" s="2" t="inlineStr">
        <is>
          <t>工程表は2027年3月を「最終修正、成果品の作成・納品」の1行にまとめており、入稿の日がありませんでした。納期から戻して日を置きます。所要日数のうち原典があるのは納期と部数・製本の形だけで、印刷・製本の所要日数は当方の想定です（Ｍ-112で確認）。</t>
        </is>
      </c>
    </row>
    <row r="5" ht="30" customHeight="1">
      <c r="A5" s="3" t="inlineStr">
        <is>
          <t>順</t>
        </is>
      </c>
      <c r="B5" s="3" t="inlineStr">
        <is>
          <t>期限</t>
        </is>
      </c>
      <c r="C5" s="3" t="inlineStr">
        <is>
          <t>工程</t>
        </is>
      </c>
      <c r="D5" s="3" t="inlineStr">
        <is>
          <t>所要日数</t>
        </is>
      </c>
      <c r="E5" s="3" t="inlineStr">
        <is>
          <t>誰が</t>
        </is>
      </c>
      <c r="F5" s="3" t="inlineStr">
        <is>
          <t>出所</t>
        </is>
      </c>
    </row>
    <row r="6" ht="30" customHeight="1">
      <c r="A6" s="30" t="n">
        <v>1</v>
      </c>
      <c r="B6" s="22" t="inlineStr">
        <is>
          <t>2027-03-31</t>
        </is>
      </c>
      <c r="C6" s="4" t="inlineStr">
        <is>
          <t>成果品の納品（計画書30部・調査報告書10部・電子媒体一式）</t>
        </is>
      </c>
      <c r="D6" s="30" t="inlineStr">
        <is>
          <t>―</t>
        </is>
      </c>
      <c r="E6" s="30" t="inlineStr">
        <is>
          <t>当社</t>
        </is>
      </c>
      <c r="F6" s="37" t="inlineStr">
        <is>
          <t>仕様書5（原典あり）</t>
        </is>
      </c>
    </row>
    <row r="7" ht="30" customHeight="1">
      <c r="A7" s="32" t="n">
        <v>2</v>
      </c>
      <c r="B7" s="26" t="inlineStr">
        <is>
          <t>2027-03-26</t>
        </is>
      </c>
      <c r="C7" s="7" t="inlineStr">
        <is>
          <t>製本（計画書はくるみ製本、報告書はホチキス製本）</t>
        </is>
      </c>
      <c r="D7" s="32" t="inlineStr">
        <is>
          <t>3営業日</t>
        </is>
      </c>
      <c r="E7" s="32" t="inlineStr">
        <is>
          <t>印刷業者又は当社</t>
        </is>
      </c>
      <c r="F7" s="38" t="inlineStr">
        <is>
          <t>当方の想定（Ｍ-112で確認）</t>
        </is>
      </c>
    </row>
    <row r="8" ht="30" customHeight="1">
      <c r="A8" s="30" t="n">
        <v>3</v>
      </c>
      <c r="B8" s="22" t="inlineStr">
        <is>
          <t>2027-03-19</t>
        </is>
      </c>
      <c r="C8" s="4" t="inlineStr">
        <is>
          <t>印刷（A4判両面・モノクロ・コピー）</t>
        </is>
      </c>
      <c r="D8" s="30" t="inlineStr">
        <is>
          <t>5営業日</t>
        </is>
      </c>
      <c r="E8" s="30" t="inlineStr">
        <is>
          <t>印刷業者又は当社</t>
        </is>
      </c>
      <c r="F8" s="38" t="inlineStr">
        <is>
          <t>当方の想定（Ｍ-112で確認）</t>
        </is>
      </c>
    </row>
    <row r="9" ht="30" customHeight="1">
      <c r="A9" s="32" t="n">
        <v>4</v>
      </c>
      <c r="B9" s="26" t="inlineStr">
        <is>
          <t>2027-03-17</t>
        </is>
      </c>
      <c r="C9" s="7" t="inlineStr">
        <is>
          <t>入稿（印刷用データの引渡し）</t>
        </is>
      </c>
      <c r="D9" s="32" t="inlineStr">
        <is>
          <t>1営業日</t>
        </is>
      </c>
      <c r="E9" s="32" t="inlineStr">
        <is>
          <t>当社</t>
        </is>
      </c>
      <c r="F9" s="38" t="inlineStr">
        <is>
          <t>当方の想定。工程表に無かった日（レビューの指摘）</t>
        </is>
      </c>
    </row>
    <row r="10" ht="30" customHeight="1">
      <c r="A10" s="30" t="n">
        <v>5</v>
      </c>
      <c r="B10" s="22" t="inlineStr">
        <is>
          <t>2027-03-12</t>
        </is>
      </c>
      <c r="C10" s="4" t="inlineStr">
        <is>
          <t>校了（村の最終確認の完了）</t>
        </is>
      </c>
      <c r="D10" s="30" t="inlineStr">
        <is>
          <t>3営業日</t>
        </is>
      </c>
      <c r="E10" s="30" t="inlineStr">
        <is>
          <t>北塩原村</t>
        </is>
      </c>
      <c r="F10" s="38" t="inlineStr">
        <is>
          <t>当方の想定（Ｍ-112で確認）</t>
        </is>
      </c>
    </row>
    <row r="11" ht="30" customHeight="1">
      <c r="A11" s="32" t="n">
        <v>6</v>
      </c>
      <c r="B11" s="26" t="inlineStr">
        <is>
          <t>2027-03-05</t>
        </is>
      </c>
      <c r="C11" s="7" t="inlineStr">
        <is>
          <t>再校（村の指摘の反映と再提出）</t>
        </is>
      </c>
      <c r="D11" s="32" t="inlineStr">
        <is>
          <t>5営業日</t>
        </is>
      </c>
      <c r="E11" s="32" t="inlineStr">
        <is>
          <t>当社</t>
        </is>
      </c>
      <c r="F11" s="38" t="inlineStr">
        <is>
          <t>当方の想定</t>
        </is>
      </c>
    </row>
    <row r="12" ht="30" customHeight="1">
      <c r="A12" s="30" t="n">
        <v>7</v>
      </c>
      <c r="B12" s="22" t="inlineStr">
        <is>
          <t>2027-02-26</t>
        </is>
      </c>
      <c r="C12" s="4" t="inlineStr">
        <is>
          <t>初校（村へ提出し確認を受ける）</t>
        </is>
      </c>
      <c r="D12" s="30" t="inlineStr">
        <is>
          <t>5営業日</t>
        </is>
      </c>
      <c r="E12" s="30" t="inlineStr">
        <is>
          <t>当社・北塩原村</t>
        </is>
      </c>
      <c r="F12" s="38" t="inlineStr">
        <is>
          <t>当方の想定</t>
        </is>
      </c>
    </row>
    <row r="13" ht="30" customHeight="1">
      <c r="A13" s="32" t="n">
        <v>8</v>
      </c>
      <c r="B13" s="26" t="inlineStr">
        <is>
          <t>2027-02-19</t>
        </is>
      </c>
      <c r="C13" s="7" t="inlineStr">
        <is>
          <t>目次と頁数の確定（Wordの目次の更新）</t>
        </is>
      </c>
      <c r="D13" s="32" t="inlineStr">
        <is>
          <t>5営業日</t>
        </is>
      </c>
      <c r="E13" s="32" t="inlineStr">
        <is>
          <t>当社又は北塩原村</t>
        </is>
      </c>
      <c r="F13" s="38" t="inlineStr">
        <is>
          <t>当方の想定。当方の環境ではWordの目次を更新できないため、他メンバー又は村に依頼する</t>
        </is>
      </c>
    </row>
    <row r="14" ht="30" customHeight="1">
      <c r="A14" s="30" t="n">
        <v>9</v>
      </c>
      <c r="B14" s="22" t="inlineStr">
        <is>
          <t>2027-02-12</t>
        </is>
      </c>
      <c r="C14" s="4" t="inlineStr">
        <is>
          <t>計画の決定（庁議・議会への説明を経る）</t>
        </is>
      </c>
      <c r="D14" s="30" t="inlineStr">
        <is>
          <t>―</t>
        </is>
      </c>
      <c r="E14" s="30" t="inlineStr">
        <is>
          <t>北塩原村</t>
        </is>
      </c>
      <c r="F14" s="37" t="inlineStr">
        <is>
          <t>村の計画策定方針（令和8年5月25日。原典あり）</t>
        </is>
      </c>
    </row>
    <row r="16" ht="110" customHeight="1">
      <c r="A16" s="2" t="inlineStr">
        <is>
          <t>この逆算で分かること。①入稿は令和9年3月17日である。②入稿に間に合わせるには、校了が3月12日、初校の提出が2月26日になる。③初校を出すには、目次と頁数が2月19日までに確定していなければならない。当方の環境ではWordの目次を更新できないため、この作業を他メンバー又は村に依頼する時期が2月19日までということになる。④計画の決定（村の方針では2月）から入稿までは約1か月しかない。パブリックコメントの日程が後ろへ動くと、最初に削られるのは校正の期間である。⑤印刷・製本の所要日数は当方の想定である。仕様は「コピー・くるみ製本」であり、業者によって所要日数が変わるため確かめる（Ｍ-112）。</t>
        </is>
      </c>
    </row>
  </sheetData>
  <mergeCells count="3">
    <mergeCell ref="A2:F2"/>
    <mergeCell ref="A16:F16"/>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計画値の基礎とする系列（Ｍ-19）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9" t="n"/>
    </row>
    <row r="7" ht="34" customHeight="1">
      <c r="A7" s="27" t="inlineStr">
        <is>
          <t>最優先</t>
        </is>
      </c>
      <c r="B7" s="7" t="inlineStr">
        <is>
          <t>移行管理台帳（Ｍ-18）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7" s="7" t="inlineStr">
        <is>
          <t>計画素案 第5章1・第5章2（第2次算定の入力）</t>
        </is>
      </c>
      <c r="E7" s="27" t="inlineStr">
        <is>
          <t>未受領</t>
        </is>
      </c>
      <c r="F7" s="26" t="inlineStr">
        <is>
          <t>2026-10-09</t>
        </is>
      </c>
      <c r="G7" s="39" t="n"/>
    </row>
    <row r="8" ht="34" customHeight="1">
      <c r="A8" s="27" t="inlineStr">
        <is>
          <t>最優先</t>
        </is>
      </c>
      <c r="B8" s="4" t="inlineStr">
        <is>
          <t>施設入所支援4人の支給決定の内容（Ｍ-13）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9" t="n"/>
    </row>
    <row r="9" ht="34" customHeight="1">
      <c r="A9" s="27" t="inlineStr">
        <is>
          <t>最優先</t>
        </is>
      </c>
      <c r="B9" s="7" t="inlineStr">
        <is>
          <t>介護保険の第2号被保険者との重なり（Ｍ-14）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9" t="n"/>
    </row>
    <row r="10" ht="34" customHeight="1">
      <c r="A10" s="35" t="inlineStr">
        <is>
          <t>高</t>
        </is>
      </c>
      <c r="B10" s="4" t="inlineStr">
        <is>
          <t>相談支援の体制（Ｍ-20）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9" t="n"/>
    </row>
    <row r="11" ht="34" customHeight="1">
      <c r="A11" s="27" t="inlineStr">
        <is>
          <t>最優先</t>
        </is>
      </c>
      <c r="B11" s="7" t="inlineStr">
        <is>
          <t>グループホーム・福祉ホームの設置の予定（Ｍ-37）</t>
        </is>
      </c>
      <c r="C11" s="7"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11" s="7" t="inlineStr">
        <is>
          <t>計画素案 第5章の居住系の見込量・確保方策・地域生活支援事業</t>
        </is>
      </c>
      <c r="E11" s="27" t="inlineStr">
        <is>
          <t>未受領</t>
        </is>
      </c>
      <c r="F11" s="26" t="inlineStr">
        <is>
          <t>2026-10-16</t>
        </is>
      </c>
      <c r="G11" s="39" t="n"/>
    </row>
    <row r="12" ht="34" customHeight="1">
      <c r="A12" s="35" t="inlineStr">
        <is>
          <t>高</t>
        </is>
      </c>
      <c r="B12" s="4" t="inlineStr">
        <is>
          <t>物品調達の実績（Ｍ-34）</t>
        </is>
      </c>
      <c r="C12" s="4" t="inlineStr">
        <is>
          <t>障がい者就労施設等からの物品調達の実績（目標3件に対する令和6〜8年度の件数）と、障害者優先調達推進法第9条に基づく調達方針の策定・公表の有無</t>
        </is>
      </c>
      <c r="D12" s="4" t="inlineStr">
        <is>
          <t>計画素案 第3章5（第4次障がい者計画の目標値の進捗）</t>
        </is>
      </c>
      <c r="E12" s="27" t="inlineStr">
        <is>
          <t>未受領</t>
        </is>
      </c>
      <c r="F12" s="22" t="inlineStr">
        <is>
          <t>2026-10-31</t>
        </is>
      </c>
      <c r="G12" s="39" t="n"/>
    </row>
    <row r="13" ht="34" customHeight="1">
      <c r="A13" s="35" t="inlineStr">
        <is>
          <t>高</t>
        </is>
      </c>
      <c r="B13" s="7" t="inlineStr">
        <is>
          <t>社会福祉法改正への対応（Ｍ-35）</t>
        </is>
      </c>
      <c r="C13" s="7" t="inlineStr">
        <is>
          <t>身寄りのない高齢者への日常生活支援・入院手続・死後事務への対応と、権利擁護の窓口の配置の検討状況。障がい者の親亡き後の支援と同じ課題であり、第6章に書くかを判断する</t>
        </is>
      </c>
      <c r="D13" s="7" t="inlineStr">
        <is>
          <t>計画素案 第6章・第7章</t>
        </is>
      </c>
      <c r="E13" s="27" t="inlineStr">
        <is>
          <t>未受領</t>
        </is>
      </c>
      <c r="F13" s="26" t="inlineStr">
        <is>
          <t>2026-10-31</t>
        </is>
      </c>
      <c r="G13" s="39" t="n"/>
    </row>
    <row r="14" ht="34" customHeight="1">
      <c r="A14" s="30" t="inlineStr">
        <is>
          <t>中</t>
        </is>
      </c>
      <c r="B14" s="4" t="inlineStr">
        <is>
          <t>防災の取組の状況（Ｍ-36）</t>
        </is>
      </c>
      <c r="C14" s="4" t="inlineStr">
        <is>
          <t>防災無線の設置状況、災害図上訓練（ＤＩＧ）・避難所運営ゲーム（ＨＵＧ）の実施状況、避難訓練の頻度。個別避難計画10件の目標を達成する手順として書く</t>
        </is>
      </c>
      <c r="D14" s="4" t="inlineStr">
        <is>
          <t>計画素案 第3章3（⑥生活環境）</t>
        </is>
      </c>
      <c r="E14" s="27" t="inlineStr">
        <is>
          <t>未受領</t>
        </is>
      </c>
      <c r="F14" s="22" t="inlineStr">
        <is>
          <t>2026-10-31</t>
        </is>
      </c>
      <c r="G14" s="39" t="n"/>
    </row>
    <row r="15" ht="34" customHeight="1">
      <c r="A15" s="35" t="inlineStr">
        <is>
          <t>高</t>
        </is>
      </c>
      <c r="B15" s="7" t="inlineStr">
        <is>
          <t>排泄管理支援用具の増減の理由（Ｍ-38）</t>
        </is>
      </c>
      <c r="C15" s="7"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5" s="7" t="inlineStr">
        <is>
          <t>計画素案 第5章9／地域生活支援事業 01</t>
        </is>
      </c>
      <c r="E15" s="27" t="inlineStr">
        <is>
          <t>未受領</t>
        </is>
      </c>
      <c r="F15" s="26" t="inlineStr">
        <is>
          <t>2026-10-31</t>
        </is>
      </c>
      <c r="G15" s="39" t="n"/>
    </row>
    <row r="16" ht="34" customHeight="1">
      <c r="A16" s="35" t="inlineStr">
        <is>
          <t>高</t>
        </is>
      </c>
      <c r="B16" s="4" t="inlineStr">
        <is>
          <t>成年後見の類型別内訳（Ｍ-39）</t>
        </is>
      </c>
      <c r="C16"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6" s="4" t="inlineStr">
        <is>
          <t>計画素案 第6章</t>
        </is>
      </c>
      <c r="E16" s="27" t="inlineStr">
        <is>
          <t>未受領</t>
        </is>
      </c>
      <c r="F16" s="22" t="inlineStr">
        <is>
          <t>2026-10-31</t>
        </is>
      </c>
      <c r="G16" s="39" t="n"/>
    </row>
    <row r="17" ht="34" customHeight="1">
      <c r="A17" s="35" t="inlineStr">
        <is>
          <t>高</t>
        </is>
      </c>
      <c r="B17" s="7" t="inlineStr">
        <is>
          <t>指定難病による対象者（Ｍ-32）</t>
        </is>
      </c>
      <c r="C17" s="7"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7" s="7" t="inlineStr">
        <is>
          <t>計画素案 第2章2・第5章1（推計方法）</t>
        </is>
      </c>
      <c r="E17" s="27" t="inlineStr">
        <is>
          <t>未受領</t>
        </is>
      </c>
      <c r="F17" s="26" t="inlineStr">
        <is>
          <t>2026-10-31</t>
        </is>
      </c>
      <c r="G17" s="39" t="n"/>
    </row>
    <row r="18" ht="34" customHeight="1">
      <c r="A18" s="35" t="inlineStr">
        <is>
          <t>高</t>
        </is>
      </c>
      <c r="B18" s="4" t="inlineStr">
        <is>
          <t>9月30日時点の人口・手帳所持者数（Ｍ-28）</t>
        </is>
      </c>
      <c r="C1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8" s="4" t="inlineStr">
        <is>
          <t>計画素案 第2章1・2</t>
        </is>
      </c>
      <c r="E18" s="27" t="inlineStr">
        <is>
          <t>未受領</t>
        </is>
      </c>
      <c r="F18" s="22" t="inlineStr">
        <is>
          <t>2026-10-16</t>
        </is>
      </c>
      <c r="G18" s="39" t="n"/>
    </row>
    <row r="19" ht="34" customHeight="1">
      <c r="A19" s="35" t="inlineStr">
        <is>
          <t>高</t>
        </is>
      </c>
      <c r="B19" s="7" t="inlineStr">
        <is>
          <t>こども・子育て計画の人口推計の元データ（Ｍ-29）</t>
        </is>
      </c>
      <c r="C19" s="7"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9" s="7" t="inlineStr">
        <is>
          <t>計画素案 第2章1／介護保険事業計画との整合 K-8</t>
        </is>
      </c>
      <c r="E19" s="27" t="inlineStr">
        <is>
          <t>未受領</t>
        </is>
      </c>
      <c r="F19" s="26" t="inlineStr">
        <is>
          <t>2026-10-16</t>
        </is>
      </c>
      <c r="G19" s="39" t="n"/>
    </row>
    <row r="20" ht="34" customHeight="1">
      <c r="A20" s="30" t="inlineStr">
        <is>
          <t>中</t>
        </is>
      </c>
      <c r="B20" s="4" t="inlineStr">
        <is>
          <t>職場適応訓練等の実績（Ｍ-30）</t>
        </is>
      </c>
      <c r="C2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20" s="4" t="inlineStr">
        <is>
          <t>計画素案 第5章9・第5章14</t>
        </is>
      </c>
      <c r="E20" s="27" t="inlineStr">
        <is>
          <t>未受領</t>
        </is>
      </c>
      <c r="F20" s="22" t="inlineStr">
        <is>
          <t>2026-10-31</t>
        </is>
      </c>
      <c r="G20" s="39" t="n"/>
    </row>
    <row r="21" ht="34" customHeight="1">
      <c r="A21" s="35" t="inlineStr">
        <is>
          <t>高</t>
        </is>
      </c>
      <c r="B21" s="7" t="inlineStr">
        <is>
          <t>地域生活支援事業・社協で担える範囲（Ｍ-31）</t>
        </is>
      </c>
      <c r="C21" s="7"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21" s="7" t="inlineStr">
        <is>
          <t>計画素案 第5章4・第5章9・第5章12</t>
        </is>
      </c>
      <c r="E21" s="27" t="inlineStr">
        <is>
          <t>未受領</t>
        </is>
      </c>
      <c r="F21" s="26" t="inlineStr">
        <is>
          <t>2026-10-31</t>
        </is>
      </c>
      <c r="G21" s="39" t="n"/>
    </row>
    <row r="22" ht="34" customHeight="1">
      <c r="A22" s="27" t="inlineStr">
        <is>
          <t>最優先</t>
        </is>
      </c>
      <c r="B22" s="4" t="inlineStr">
        <is>
          <t>重度障がい者の人数（Ｍ-22）</t>
        </is>
      </c>
      <c r="C2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22" s="4" t="inlineStr">
        <is>
          <t>計画素案 第5章4（重度障がい者の内数）</t>
        </is>
      </c>
      <c r="E22" s="27" t="inlineStr">
        <is>
          <t>未受領</t>
        </is>
      </c>
      <c r="F22" s="22" t="inlineStr">
        <is>
          <t>2026-10-16</t>
        </is>
      </c>
      <c r="G22" s="39" t="n"/>
    </row>
    <row r="23" ht="34" customHeight="1">
      <c r="A23" s="27" t="inlineStr">
        <is>
          <t>最優先</t>
        </is>
      </c>
      <c r="B23" s="7" t="inlineStr">
        <is>
          <t>施設入所者4人の6項目の確認状況（Ｍ-23）</t>
        </is>
      </c>
      <c r="C23" s="7"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23" s="7" t="inlineStr">
        <is>
          <t>計画素案 第4章（１）</t>
        </is>
      </c>
      <c r="E23" s="27" t="inlineStr">
        <is>
          <t>未受領</t>
        </is>
      </c>
      <c r="F23" s="26" t="inlineStr">
        <is>
          <t>2026-10-16</t>
        </is>
      </c>
      <c r="G23" s="39" t="n"/>
    </row>
    <row r="24" ht="34" customHeight="1">
      <c r="A24" s="27" t="inlineStr">
        <is>
          <t>最優先</t>
        </is>
      </c>
      <c r="B24" s="4" t="inlineStr">
        <is>
          <t>村外の利用事業所の一覧（Ｍ-24）</t>
        </is>
      </c>
      <c r="C2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4" s="4" t="inlineStr">
        <is>
          <t>計画素案 第5章8（事業所の受入余力の把握）</t>
        </is>
      </c>
      <c r="E24" s="27" t="inlineStr">
        <is>
          <t>未受領</t>
        </is>
      </c>
      <c r="F24" s="22" t="inlineStr">
        <is>
          <t>2026-10-16</t>
        </is>
      </c>
      <c r="G24" s="39" t="n"/>
    </row>
    <row r="25" ht="34" customHeight="1">
      <c r="A25" s="35" t="inlineStr">
        <is>
          <t>高</t>
        </is>
      </c>
      <c r="B25" s="7" t="inlineStr">
        <is>
          <t>事業所の経営基盤（Ｍ-25）</t>
        </is>
      </c>
      <c r="C25" s="7"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5" s="7" t="inlineStr">
        <is>
          <t>計画素案 第5章13（経営基盤を供給制約として見る）</t>
        </is>
      </c>
      <c r="E25" s="27" t="inlineStr">
        <is>
          <t>未受領</t>
        </is>
      </c>
      <c r="F25" s="26" t="inlineStr">
        <is>
          <t>2026-10-31</t>
        </is>
      </c>
      <c r="G25" s="39" t="n"/>
    </row>
    <row r="26" ht="34" customHeight="1">
      <c r="A26" s="35" t="inlineStr">
        <is>
          <t>高</t>
        </is>
      </c>
      <c r="B26" s="4" t="inlineStr">
        <is>
          <t>成人の医療的ケア者・重症心身障害者（Ｍ-26）</t>
        </is>
      </c>
      <c r="C2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6" s="4" t="inlineStr">
        <is>
          <t>計画素案 第4章（４）・第5章4</t>
        </is>
      </c>
      <c r="E26" s="27" t="inlineStr">
        <is>
          <t>未受領</t>
        </is>
      </c>
      <c r="F26" s="22" t="inlineStr">
        <is>
          <t>2026-10-16</t>
        </is>
      </c>
      <c r="G26" s="39" t="n"/>
    </row>
    <row r="27" ht="34" customHeight="1">
      <c r="A27" s="35" t="inlineStr">
        <is>
          <t>高</t>
        </is>
      </c>
      <c r="B27" s="7" t="inlineStr">
        <is>
          <t>退院者1人の生活の見通し（Ｍ-27）</t>
        </is>
      </c>
      <c r="C27" s="7"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7" s="7" t="inlineStr">
        <is>
          <t>計画素案 第4章（２）</t>
        </is>
      </c>
      <c r="E27" s="27" t="inlineStr">
        <is>
          <t>未受領</t>
        </is>
      </c>
      <c r="F27" s="26" t="inlineStr">
        <is>
          <t>2026-10-16</t>
        </is>
      </c>
      <c r="G27" s="39" t="n"/>
    </row>
    <row r="28" ht="34" customHeight="1">
      <c r="A28" s="35" t="inlineStr">
        <is>
          <t>高</t>
        </is>
      </c>
      <c r="B28" s="4" t="inlineStr">
        <is>
          <t>卒業予定者の一覧（Ｍ-21）</t>
        </is>
      </c>
      <c r="C28" s="4" t="inlineStr">
        <is>
          <t>令和9〜11年度に特別支援学校又は特別支援学級を卒業する予定の方の卒業年度・在籍校・進路希望・就労選択支援の利用予定・医療的ケア及び強度行動障害の有無</t>
        </is>
      </c>
      <c r="D28" s="4" t="inlineStr">
        <is>
          <t>計画素案 第5章2（学校卒業に伴うサービスの移行）</t>
        </is>
      </c>
      <c r="E28" s="27" t="inlineStr">
        <is>
          <t>未受領</t>
        </is>
      </c>
      <c r="F28" s="22" t="inlineStr">
        <is>
          <t>2026-10-09</t>
        </is>
      </c>
      <c r="G28" s="39" t="n"/>
    </row>
    <row r="29" ht="34" customHeight="1">
      <c r="A29" s="32" t="inlineStr">
        <is>
          <t>―</t>
        </is>
      </c>
      <c r="B29" s="7" t="inlineStr">
        <is>
          <t>自立支援協議会の資料13点（令和8年5月25日）</t>
        </is>
      </c>
      <c r="C29" s="7"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9" s="7" t="inlineStr">
        <is>
          <t>計画素案 第4章（実績6件を反映）／村資料点検 01〜07シート</t>
        </is>
      </c>
      <c r="E29" s="33" t="inlineStr">
        <is>
          <t>受領済</t>
        </is>
      </c>
      <c r="F29" s="26" t="inlineStr">
        <is>
          <t>2026-10-08</t>
        </is>
      </c>
      <c r="G29" s="39" t="n"/>
    </row>
    <row r="30" ht="34" customHeight="1">
      <c r="A30" s="35" t="inlineStr">
        <is>
          <t>高</t>
        </is>
      </c>
      <c r="B30" s="4" t="inlineStr">
        <is>
          <t>高齢者サービスの手引きと高齢者福祉施策の対象要件（Ｍ-50）</t>
        </is>
      </c>
      <c r="C30"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30" s="4" t="inlineStr">
        <is>
          <t>計画素案 第5章5（65歳到達）・第5章1（3）（住まい。W-7で反映）／第5章2（4）（共生型サービス。W-11で反映）</t>
        </is>
      </c>
      <c r="E30" s="34" t="inlineStr">
        <is>
          <t>一部受領</t>
        </is>
      </c>
      <c r="F30" s="22" t="inlineStr">
        <is>
          <t>2026-10-20</t>
        </is>
      </c>
      <c r="G30" s="39" t="n"/>
    </row>
    <row r="31" ht="34" customHeight="1">
      <c r="A31" s="35" t="inlineStr">
        <is>
          <t>高</t>
        </is>
      </c>
      <c r="B31" s="7" t="inlineStr">
        <is>
          <t>高齢者世帯等除雪サービス事業の「等」の範囲（Ｍ-49）</t>
        </is>
      </c>
      <c r="C31" s="7"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31" s="7" t="inlineStr">
        <is>
          <t>計画素案 第5章2（冬季の提供体制）／12重点施策 評価設計 01シート</t>
        </is>
      </c>
      <c r="E31" s="34" t="inlineStr">
        <is>
          <t>一部受領</t>
        </is>
      </c>
      <c r="F31" s="26" t="inlineStr">
        <is>
          <t>2026-10-20</t>
        </is>
      </c>
      <c r="G31" s="39" t="n"/>
    </row>
    <row r="32" ht="34" customHeight="1">
      <c r="A32" s="35" t="inlineStr">
        <is>
          <t>高</t>
        </is>
      </c>
      <c r="B32" s="4" t="inlineStr">
        <is>
          <t>権利擁護・成年後見の件数（Ｍ-51）</t>
        </is>
      </c>
      <c r="C32"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32" s="4" t="inlineStr">
        <is>
          <t>計画素案 第6章1（3）（W-12で反映）・第6章3（W-6で6指標の枠を入れた）</t>
        </is>
      </c>
      <c r="E32" s="27" t="inlineStr">
        <is>
          <t>未受領</t>
        </is>
      </c>
      <c r="F32" s="22" t="inlineStr">
        <is>
          <t>2026-10-20</t>
        </is>
      </c>
      <c r="G32" s="39" t="n"/>
    </row>
    <row r="33" ht="34" customHeight="1">
      <c r="A33" s="32" t="inlineStr">
        <is>
          <t>中</t>
        </is>
      </c>
      <c r="B33" s="7" t="inlineStr">
        <is>
          <t>緊急連絡カードの配布対象と障がい分野での活用（Ｍ-52）</t>
        </is>
      </c>
      <c r="C33" s="7"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33" s="7" t="inlineStr">
        <is>
          <t>計画素案 第5章2（11）（W-8で4場面、W-4で様式の活用を入れた）</t>
        </is>
      </c>
      <c r="E33" s="34" t="inlineStr">
        <is>
          <t>一部受領</t>
        </is>
      </c>
      <c r="F33" s="26" t="inlineStr">
        <is>
          <t>2026-10-20</t>
        </is>
      </c>
      <c r="G33" s="39" t="n"/>
    </row>
    <row r="34" ht="34" customHeight="1">
      <c r="A34" s="30" t="inlineStr">
        <is>
          <t>中</t>
        </is>
      </c>
      <c r="B34" s="4" t="inlineStr">
        <is>
          <t>地域生活支援拠点等の5機能の実績（Ｍ-54）</t>
        </is>
      </c>
      <c r="C34" s="4" t="inlineStr">
        <is>
          <t>会津北部地域生活支援拠点の相談・緊急時の受入れ・体験の機会及び場・専門的人材の確保養成・地域の体制づくりの機能ごとの令和6・7年度の実績と検証・検討の実施回数</t>
        </is>
      </c>
      <c r="D34" s="4" t="inlineStr">
        <is>
          <t>計画素案 第4章2（5）（W-3で機能ごとの記録の枠を入れた）</t>
        </is>
      </c>
      <c r="E34" s="27" t="inlineStr">
        <is>
          <t>未受領</t>
        </is>
      </c>
      <c r="F34" s="22" t="inlineStr">
        <is>
          <t>2026-10-27</t>
        </is>
      </c>
      <c r="G34" s="39" t="n"/>
    </row>
    <row r="35" ht="34" customHeight="1">
      <c r="A35" s="35" t="inlineStr">
        <is>
          <t>高</t>
        </is>
      </c>
      <c r="B35" s="7" t="inlineStr">
        <is>
          <t>除雪サービスの利用実績と助成の内容（Ｍ-55・Ｍ-56）</t>
        </is>
      </c>
      <c r="C35" s="7"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5" s="7" t="inlineStr">
        <is>
          <t>計画素案 第5章2（14）冬季の地域生活の継続（W-13で反映）</t>
        </is>
      </c>
      <c r="E35" s="27" t="inlineStr">
        <is>
          <t>未受領</t>
        </is>
      </c>
      <c r="F35" s="26" t="inlineStr">
        <is>
          <t>2026-10-20</t>
        </is>
      </c>
      <c r="G35" s="39" t="n"/>
    </row>
    <row r="36" ht="34" customHeight="1">
      <c r="A36" s="30" t="inlineStr">
        <is>
          <t>中</t>
        </is>
      </c>
      <c r="B36" s="4" t="inlineStr">
        <is>
          <t>冬季の除雪の供給の制約とつなぐ運用（Ｍ-57・Ｍ-58）</t>
        </is>
      </c>
      <c r="C36"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6" s="4" t="inlineStr">
        <is>
          <t>計画素案 第5章2（14）・第5章2（7）事業所の受入余力の把握</t>
        </is>
      </c>
      <c r="E36" s="27" t="inlineStr">
        <is>
          <t>未受領</t>
        </is>
      </c>
      <c r="F36" s="22" t="inlineStr">
        <is>
          <t>2026-10-27</t>
        </is>
      </c>
      <c r="G36" s="39" t="n"/>
    </row>
    <row r="37" ht="34" customHeight="1">
      <c r="A37" s="35" t="inlineStr">
        <is>
          <t>高</t>
        </is>
      </c>
      <c r="B37" s="7" t="inlineStr">
        <is>
          <t>手話施策の実績（Ｍ-59・Ｍ-60）</t>
        </is>
      </c>
      <c r="C37" s="7" t="inlineStr">
        <is>
          <t>公式動画による手話の紹介の年度別公開本数・再生回数・テーマ、手話出前講座の年度別開催団体数・参加者数・団体の属性。令和7年度は3回・参加者60名（進捗管理評価シート1で確認）</t>
        </is>
      </c>
      <c r="D37" s="7" t="inlineStr">
        <is>
          <t>計画素案 第5章3（2）意思疎通支援事業・手話奉仕員養成研修事業（X-2で反映）</t>
        </is>
      </c>
      <c r="E37" s="27" t="inlineStr">
        <is>
          <t>未受領</t>
        </is>
      </c>
      <c r="F37" s="26" t="inlineStr">
        <is>
          <t>2026-10-27</t>
        </is>
      </c>
      <c r="G37" s="39" t="n"/>
    </row>
    <row r="38" ht="34" customHeight="1">
      <c r="A38" s="35" t="inlineStr">
        <is>
          <t>高</t>
        </is>
      </c>
      <c r="B38" s="4" t="inlineStr">
        <is>
          <t>人工透析通院交通費助成と除雪の障がい者世帯の利用実績（Ｍ-64・Ｍ-65）</t>
        </is>
      </c>
      <c r="C38"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8" s="4" t="inlineStr">
        <is>
          <t>計画素案 第5章7（4）村単独事業／第5章2（14）冬季の地域生活の継続（X-4で反映）</t>
        </is>
      </c>
      <c r="E38" s="27" t="inlineStr">
        <is>
          <t>未受領</t>
        </is>
      </c>
      <c r="F38" s="22" t="inlineStr">
        <is>
          <t>2026-10-20</t>
        </is>
      </c>
      <c r="G38" s="39" t="n"/>
    </row>
    <row r="39" ht="34" customHeight="1">
      <c r="A39" s="35" t="inlineStr">
        <is>
          <t>高</t>
        </is>
      </c>
      <c r="B39" s="7" t="inlineStr">
        <is>
          <t>障がい者活躍推進計画と物品調達方針（Ｍ-67・Ｍ-68）</t>
        </is>
      </c>
      <c r="C39" s="7" t="inlineStr">
        <is>
          <t>北塩原村障がい者活躍推進計画（第2期・令和7〜11年度）の内容と村の障がい者雇用率。令和8年9月に更新された障がい者就労施設等からの物品等の調達方針の内容と、年度別の調達件数・金額・対象施設</t>
        </is>
      </c>
      <c r="D39" s="7" t="inlineStr">
        <is>
          <t>計画素案 第1章2 関連計画（X-1で反映）／第4章2（3）優先調達</t>
        </is>
      </c>
      <c r="E39" s="27" t="inlineStr">
        <is>
          <t>未受領</t>
        </is>
      </c>
      <c r="F39" s="26" t="inlineStr">
        <is>
          <t>2026-10-20</t>
        </is>
      </c>
      <c r="G39" s="39" t="n"/>
    </row>
    <row r="40" ht="34" customHeight="1">
      <c r="A40" s="30" t="inlineStr">
        <is>
          <t>中</t>
        </is>
      </c>
      <c r="B40" s="4" t="inlineStr">
        <is>
          <t>情報保障の配布実績と差別に関する相談（Ｍ-61〜Ｍ-63）</t>
        </is>
      </c>
      <c r="C40" s="4" t="inlineStr">
        <is>
          <t>電話お願い手帳の対象者・配布場所・配布数。ヘルプマーク・ヘルプカード・耳マークの年度別配布数。つなぐ窓口の相談件数・内容・対応結果</t>
        </is>
      </c>
      <c r="D40" s="4" t="inlineStr">
        <is>
          <t>計画素案 第5章2（1）住民への情報提供等（X-3で反映）</t>
        </is>
      </c>
      <c r="E40" s="27" t="inlineStr">
        <is>
          <t>未受領</t>
        </is>
      </c>
      <c r="F40" s="22" t="inlineStr">
        <is>
          <t>2026-10-27</t>
        </is>
      </c>
      <c r="G40" s="39" t="n"/>
    </row>
    <row r="41" ht="34" customHeight="1">
      <c r="A41" s="32" t="inlineStr">
        <is>
          <t>低</t>
        </is>
      </c>
      <c r="B41" s="7" t="inlineStr">
        <is>
          <t>パラスポーツへの村民の参加（Ｍ-66）</t>
        </is>
      </c>
      <c r="C41" s="7" t="inlineStr">
        <is>
          <t>パラスポーツ指導員養成講習会の村民の受講者・資格取得者、村内活動への接続、障がいのある方本人のスポーツ参加の状況</t>
        </is>
      </c>
      <c r="D41" s="7" t="inlineStr">
        <is>
          <t>計画素案 第3章3 基本施策⑦スポーツ・文化</t>
        </is>
      </c>
      <c r="E41" s="27" t="inlineStr">
        <is>
          <t>未受領</t>
        </is>
      </c>
      <c r="F41" s="26" t="inlineStr">
        <is>
          <t>2026-10-27</t>
        </is>
      </c>
      <c r="G41" s="39" t="n"/>
    </row>
    <row r="42" ht="34" customHeight="1">
      <c r="A42" s="30" t="inlineStr">
        <is>
          <t>低</t>
        </is>
      </c>
      <c r="B42" s="4" t="inlineStr">
        <is>
          <t>就労の受け皿（職親委託等）の実績（Ｍ-53）</t>
        </is>
      </c>
      <c r="C42" s="4" t="inlineStr">
        <is>
          <t>職親委託制度の実績、村内事業所での雇用実績、特別支援学校卒業者の就労先</t>
        </is>
      </c>
      <c r="D42" s="4" t="inlineStr">
        <is>
          <t>計画素案 第4章2（3）</t>
        </is>
      </c>
      <c r="E42" s="27" t="inlineStr">
        <is>
          <t>未受領</t>
        </is>
      </c>
      <c r="F42" s="22" t="inlineStr">
        <is>
          <t>2026-10-27</t>
        </is>
      </c>
      <c r="G42" s="39" t="n"/>
    </row>
    <row r="43" ht="34" customHeight="1">
      <c r="A43" s="27" t="inlineStr">
        <is>
          <t>最優先</t>
        </is>
      </c>
      <c r="B43" s="7" t="inlineStr">
        <is>
          <t>本村の過疎区分（全部過疎／一部過疎／みなし過疎）</t>
        </is>
      </c>
      <c r="C43" s="7" t="inlineStr">
        <is>
          <t>【受領済み】福島県「県内の過疎・中山間地域の指定状況」（令和7年4月1日現在）。過疎法第2条により全域が過疎地域。県条例の中山間地域にも全域が該当</t>
        </is>
      </c>
      <c r="D43" s="7" t="inlineStr">
        <is>
          <t>サービス見込量 12_別表第五判定</t>
        </is>
      </c>
      <c r="E43" s="33" t="inlineStr">
        <is>
          <t>受領済</t>
        </is>
      </c>
      <c r="F43" s="26" t="inlineStr">
        <is>
          <t>2026-08-05</t>
        </is>
      </c>
      <c r="G43" s="39" t="n"/>
    </row>
    <row r="44" ht="34" customHeight="1">
      <c r="A44" s="27" t="inlineStr">
        <is>
          <t>最優先</t>
        </is>
      </c>
      <c r="B44" s="4" t="inlineStr">
        <is>
          <t>村内3事業所の詳細</t>
        </is>
      </c>
      <c r="C44" s="4" t="inlineStr">
        <is>
          <t>ReMHRAD障害福祉資源で確認した居宅介護1・重度訪問介護1・生活介護1について、事業所名、指定年月、共生型サービスの指定の有無、受入可能人数、送迎範囲</t>
        </is>
      </c>
      <c r="D44" s="4" t="inlineStr">
        <is>
          <t>骨子案修正版 第5章8／サービス見込量 08</t>
        </is>
      </c>
      <c r="E44" s="27" t="inlineStr">
        <is>
          <t>未受領</t>
        </is>
      </c>
      <c r="F44" s="22" t="inlineStr">
        <is>
          <t>2026-09-30</t>
        </is>
      </c>
      <c r="G44" s="39" t="n"/>
    </row>
    <row r="45" ht="34" customHeight="1">
      <c r="A45" s="35" t="inlineStr">
        <is>
          <t>高</t>
        </is>
      </c>
      <c r="B45" s="7" t="inlineStr">
        <is>
          <t>圏域事業所の制度活用状況</t>
        </is>
      </c>
      <c r="C45" s="7" t="inlineStr">
        <is>
          <t>共生型サービスの指定の有無、多機能型・従たる事業所の設置可能性、介護保険事業所（訪問介護・居宅介護支援）の居宅介護指定取得の意向</t>
        </is>
      </c>
      <c r="D45" s="7" t="inlineStr">
        <is>
          <t>骨子案修正版 第5章8／サービス見込量 08</t>
        </is>
      </c>
      <c r="E45" s="27" t="inlineStr">
        <is>
          <t>未受領</t>
        </is>
      </c>
      <c r="F45" s="26" t="inlineStr">
        <is>
          <t>2026-10-31</t>
        </is>
      </c>
      <c r="G45" s="39" t="n"/>
    </row>
    <row r="46" ht="34" customHeight="1">
      <c r="A46" s="27" t="inlineStr">
        <is>
          <t>最優先</t>
        </is>
      </c>
      <c r="B46" s="4" t="inlineStr">
        <is>
          <t>令和7年度末時点の1年以上長期入院者の実数</t>
        </is>
      </c>
      <c r="C4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6" s="4" t="inlineStr">
        <is>
          <t>骨子案修正版 第4章(2)</t>
        </is>
      </c>
      <c r="E46" s="27" t="inlineStr">
        <is>
          <t>未受領</t>
        </is>
      </c>
      <c r="F46" s="22" t="inlineStr">
        <is>
          <t>2026-09-30</t>
        </is>
      </c>
      <c r="G46" s="39" t="n"/>
    </row>
    <row r="47" ht="34" customHeight="1">
      <c r="A47" s="35" t="inlineStr">
        <is>
          <t>高</t>
        </is>
      </c>
      <c r="B47" s="7" t="inlineStr">
        <is>
          <t>福島県の長期入院患者に係る基盤整備量（利用者数）</t>
        </is>
      </c>
      <c r="C4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7" s="7" t="inlineStr">
        <is>
          <t>骨子案修正版 第4章(2)</t>
        </is>
      </c>
      <c r="E47" s="36" t="inlineStr">
        <is>
          <t>県照会中</t>
        </is>
      </c>
      <c r="F47" s="26" t="inlineStr">
        <is>
          <t>2026-10-31</t>
        </is>
      </c>
      <c r="G47" s="39" t="n"/>
    </row>
    <row r="48" ht="34" customHeight="1">
      <c r="A48" s="35" t="inlineStr">
        <is>
          <t>高</t>
        </is>
      </c>
      <c r="B48" s="4" t="inlineStr">
        <is>
          <t>令和6年度の一般就労移行実績・就労定着支援利用実績</t>
        </is>
      </c>
      <c r="C48" s="4" t="inlineStr">
        <is>
          <t>成果目標の倍率（全体1.31倍、就労移行支援1.14倍、A型おおむね1.52倍、B型おおむね1.67倍、就労定着支援1.47倍）の基準値。事業種別ごとに必要</t>
        </is>
      </c>
      <c r="D48" s="4" t="inlineStr">
        <is>
          <t>骨子案修正版 第4章(3)</t>
        </is>
      </c>
      <c r="E48" s="27" t="inlineStr">
        <is>
          <t>未受領</t>
        </is>
      </c>
      <c r="F48" s="22" t="inlineStr">
        <is>
          <t>2026-09-30</t>
        </is>
      </c>
      <c r="G48" s="39" t="n"/>
    </row>
    <row r="49" ht="34" customHeight="1">
      <c r="A49" s="32" t="inlineStr">
        <is>
          <t>中</t>
        </is>
      </c>
      <c r="B49" s="7" t="inlineStr">
        <is>
          <t>第7期計画の令和8年度目標の達成見込み</t>
        </is>
      </c>
      <c r="C49" s="7" t="inlineStr">
        <is>
          <t>未達の場合、未達成割合を令和11年度目標に上乗せする規定がある（第二 一・三）。本村は地域移行0人・削減0人が目標のため、達成／未達の整理が必要</t>
        </is>
      </c>
      <c r="D49" s="7" t="inlineStr">
        <is>
          <t>骨子案修正版 第4章(1)(3)</t>
        </is>
      </c>
      <c r="E49" s="27" t="inlineStr">
        <is>
          <t>未受領</t>
        </is>
      </c>
      <c r="F49" s="26" t="inlineStr">
        <is>
          <t>2026-10-31</t>
        </is>
      </c>
      <c r="G49" s="39" t="n"/>
    </row>
    <row r="50" ht="34" customHeight="1">
      <c r="A50" s="27" t="inlineStr">
        <is>
          <t>最優先</t>
        </is>
      </c>
      <c r="B50" s="4" t="inlineStr">
        <is>
          <t>年齢別・サービス別の匿名利用者一覧</t>
        </is>
      </c>
      <c r="C50" s="4" t="inlineStr">
        <is>
          <t>利用者番号、生年月、障害支援区分、利用中のサービス、月利用日数・時間。氏名不要</t>
        </is>
      </c>
      <c r="D50" s="4" t="inlineStr">
        <is>
          <t>サービス見込量 02・03・04</t>
        </is>
      </c>
      <c r="E50" s="27" t="inlineStr">
        <is>
          <t>未受領</t>
        </is>
      </c>
      <c r="F50" s="22" t="inlineStr">
        <is>
          <t>2026-08-31</t>
        </is>
      </c>
      <c r="G50" s="39" t="n"/>
    </row>
    <row r="51" ht="34" customHeight="1">
      <c r="A51" s="27" t="inlineStr">
        <is>
          <t>最優先</t>
        </is>
      </c>
      <c r="B51" s="7" t="inlineStr">
        <is>
          <t>サービス別の支給決定者数（実人数）</t>
        </is>
      </c>
      <c r="C51" s="7" t="inlineStr">
        <is>
          <t>請求件数ではなく実人数。計画相談支援は請求と実人数が一致しないため特に必要</t>
        </is>
      </c>
      <c r="D51" s="7" t="inlineStr">
        <is>
          <t>サービス見込量 03・04</t>
        </is>
      </c>
      <c r="E51" s="27" t="inlineStr">
        <is>
          <t>未受領</t>
        </is>
      </c>
      <c r="F51" s="26" t="inlineStr">
        <is>
          <t>2026-08-31</t>
        </is>
      </c>
      <c r="G51" s="39" t="n"/>
    </row>
    <row r="52" ht="34" customHeight="1">
      <c r="A52" s="27" t="inlineStr">
        <is>
          <t>最優先</t>
        </is>
      </c>
      <c r="B52" s="4" t="inlineStr">
        <is>
          <t>年齢階級別の手帳所持者数・人口</t>
        </is>
      </c>
      <c r="C52" s="4" t="inlineStr">
        <is>
          <t>身体は0〜17／18〜39／40〜64／65〜74／75歳以上、療育・精神は18歳未満／18〜64／65歳以上</t>
        </is>
      </c>
      <c r="D52" s="4" t="inlineStr">
        <is>
          <t>将来推計 05</t>
        </is>
      </c>
      <c r="E52" s="27" t="inlineStr">
        <is>
          <t>未受領</t>
        </is>
      </c>
      <c r="F52" s="22" t="inlineStr">
        <is>
          <t>2026-09-30</t>
        </is>
      </c>
      <c r="G52" s="39" t="n"/>
    </row>
    <row r="53" ht="34" customHeight="1">
      <c r="A53" s="35" t="inlineStr">
        <is>
          <t>高</t>
        </is>
      </c>
      <c r="B53" s="7" t="inlineStr">
        <is>
          <t>令和6・7年度実績、令和8年度見込</t>
        </is>
      </c>
      <c r="C53" s="7" t="inlineStr">
        <is>
          <t>成果目標、サービス別利用者数・利用量、給付費、地域生活支援事業、相談件数</t>
        </is>
      </c>
      <c r="D53" s="7" t="inlineStr">
        <is>
          <t>前回計画評価／サービス見込量／財源構成案</t>
        </is>
      </c>
      <c r="E53" s="27" t="inlineStr">
        <is>
          <t>未受領</t>
        </is>
      </c>
      <c r="F53" s="26" t="inlineStr">
        <is>
          <t>2026-09-30</t>
        </is>
      </c>
      <c r="G53" s="39" t="n"/>
    </row>
    <row r="54" ht="34" customHeight="1">
      <c r="A54" s="35" t="inlineStr">
        <is>
          <t>高</t>
        </is>
      </c>
      <c r="B54" s="4" t="inlineStr">
        <is>
          <t>発送対象者数（重複除外後）</t>
        </is>
      </c>
      <c r="C54" s="4" t="inlineStr">
        <is>
          <t>仕様書の約190人の内訳と、現行計画156人との差の理由</t>
        </is>
      </c>
      <c r="D54" s="4" t="inlineStr">
        <is>
          <t>契約管理5／アンケート発送設計</t>
        </is>
      </c>
      <c r="E54" s="27" t="inlineStr">
        <is>
          <t>未受領</t>
        </is>
      </c>
      <c r="F54" s="22" t="inlineStr">
        <is>
          <t>2026-08-05</t>
        </is>
      </c>
      <c r="G54" s="39" t="n"/>
    </row>
    <row r="55" ht="34" customHeight="1">
      <c r="A55" s="35" t="inlineStr">
        <is>
          <t>高</t>
        </is>
      </c>
      <c r="B55" s="7" t="inlineStr">
        <is>
          <t>宛名ラベルシール</t>
        </is>
      </c>
      <c r="C55" s="7" t="inlineStr">
        <is>
          <t>仕様書Ⅰ(1)により委託者が抽出し提供</t>
        </is>
      </c>
      <c r="D55" s="7" t="inlineStr">
        <is>
          <t>アンケート発送</t>
        </is>
      </c>
      <c r="E55" s="27" t="inlineStr">
        <is>
          <t>未受領</t>
        </is>
      </c>
      <c r="F55" s="26" t="inlineStr">
        <is>
          <t>2026-08-05</t>
        </is>
      </c>
      <c r="G55" s="39" t="n"/>
    </row>
    <row r="56" ht="34" customHeight="1">
      <c r="A56" s="35" t="inlineStr">
        <is>
          <t>高</t>
        </is>
      </c>
      <c r="B56" s="4" t="inlineStr">
        <is>
          <t>特別支援学校・特別支援学級の在籍者</t>
        </is>
      </c>
      <c r="C56" s="4" t="inlineStr">
        <is>
          <t>学年、卒業予定年度、卒業後の進路。令和6〜7年度に卒業した方の現在の利用状況も含む</t>
        </is>
      </c>
      <c r="D56" s="4" t="inlineStr">
        <is>
          <t>サービス見込量 02・03</t>
        </is>
      </c>
      <c r="E56" s="27" t="inlineStr">
        <is>
          <t>未受領</t>
        </is>
      </c>
      <c r="F56" s="22" t="inlineStr">
        <is>
          <t>2026-09-30</t>
        </is>
      </c>
      <c r="G56" s="39" t="n"/>
    </row>
    <row r="57" ht="34" customHeight="1">
      <c r="A57" s="35" t="inlineStr">
        <is>
          <t>高</t>
        </is>
      </c>
      <c r="B57" s="7" t="inlineStr">
        <is>
          <t>令和9〜11年度の65歳到達者</t>
        </is>
      </c>
      <c r="C57" s="7" t="inlineStr">
        <is>
          <t>到達年度、現在利用しているサービス、月量</t>
        </is>
      </c>
      <c r="D57" s="7" t="inlineStr">
        <is>
          <t>サービス見込量 02・06</t>
        </is>
      </c>
      <c r="E57" s="27" t="inlineStr">
        <is>
          <t>未受領</t>
        </is>
      </c>
      <c r="F57" s="26" t="inlineStr">
        <is>
          <t>2026-09-30</t>
        </is>
      </c>
      <c r="G57" s="39" t="n"/>
    </row>
    <row r="58" ht="34" customHeight="1">
      <c r="A58" s="30" t="inlineStr">
        <is>
          <t>―</t>
        </is>
      </c>
      <c r="B58" s="4" t="inlineStr">
        <is>
          <t>前回調査の調査結果報告書</t>
        </is>
      </c>
      <c r="C58" s="4" t="inlineStr">
        <is>
          <t>発送164人・回収95人・回収率57.9%。設問別の集計結果を収録</t>
        </is>
      </c>
      <c r="D58" s="4" t="inlineStr">
        <is>
          <t>アンケート集計設計・経年比較</t>
        </is>
      </c>
      <c r="E58" s="33" t="inlineStr">
        <is>
          <t>受領済</t>
        </is>
      </c>
      <c r="F58" s="22" t="inlineStr">
        <is>
          <t>2026-08-03</t>
        </is>
      </c>
      <c r="G58" s="39" t="n"/>
    </row>
    <row r="59" ht="34" customHeight="1">
      <c r="A59" s="35" t="inlineStr">
        <is>
          <t>高</t>
        </is>
      </c>
      <c r="B59" s="7" t="inlineStr">
        <is>
          <t>小規模公表基準</t>
        </is>
      </c>
      <c r="C59" s="7" t="inlineStr">
        <is>
          <t>n&lt;5の秘匿、地区別・障がい種別クロスの扱い</t>
        </is>
      </c>
      <c r="D59" s="7" t="inlineStr">
        <is>
          <t>アンケート集計・報告書</t>
        </is>
      </c>
      <c r="E59" s="27" t="inlineStr">
        <is>
          <t>未受領</t>
        </is>
      </c>
      <c r="F59" s="26" t="inlineStr">
        <is>
          <t>2026-09-30</t>
        </is>
      </c>
      <c r="G59" s="39" t="n"/>
    </row>
    <row r="60" ht="34" customHeight="1">
      <c r="A60" s="35" t="inlineStr">
        <is>
          <t>高</t>
        </is>
      </c>
      <c r="B60" s="4" t="inlineStr">
        <is>
          <t>障がい福祉関係の歳入歳出決算</t>
        </is>
      </c>
      <c r="C60" s="4" t="inlineStr">
        <is>
          <t>自立支援給付費負担金、障害児施設給付費負担金、地域生活支援事業費補助金の交付額と村負担</t>
        </is>
      </c>
      <c r="D60" s="4" t="inlineStr">
        <is>
          <t>財源構成案 04・06・07</t>
        </is>
      </c>
      <c r="E60" s="27" t="inlineStr">
        <is>
          <t>未受領</t>
        </is>
      </c>
      <c r="F60" s="22" t="inlineStr">
        <is>
          <t>2026-10-31</t>
        </is>
      </c>
      <c r="G60" s="39" t="n"/>
    </row>
    <row r="61" ht="34" customHeight="1">
      <c r="A61" s="35" t="inlineStr">
        <is>
          <t>高</t>
        </is>
      </c>
      <c r="B61" s="7" t="inlineStr">
        <is>
          <t>令和6・7年度の障害児給付費の変動理由</t>
        </is>
      </c>
      <c r="C61" s="7" t="inlineStr">
        <is>
          <t>児童発達支援23件→1件、放課後等デイ12件→27件の理由。受給者単位で就学移行かを確認</t>
        </is>
      </c>
      <c r="D61" s="7" t="inlineStr">
        <is>
          <t>サービス見込量 04／計画本文</t>
        </is>
      </c>
      <c r="E61" s="27" t="inlineStr">
        <is>
          <t>未受領</t>
        </is>
      </c>
      <c r="F61" s="26" t="inlineStr">
        <is>
          <t>2026-09-30</t>
        </is>
      </c>
      <c r="G61" s="39" t="n"/>
    </row>
    <row r="62" ht="34" customHeight="1">
      <c r="A62" s="30" t="inlineStr">
        <is>
          <t>―</t>
        </is>
      </c>
      <c r="B62" s="4" t="inlineStr">
        <is>
          <t>現行計画本編（第4次障がい者計画・第7期・第3期）</t>
        </is>
      </c>
      <c r="C62" s="4" t="inlineStr">
        <is>
          <t>本編63頁、アンケート調査結果報告書69頁、概要版4頁。令和6年3月策定</t>
        </is>
      </c>
      <c r="D62" s="4" t="inlineStr">
        <is>
          <t>全体（年齢3区分別人口・前回調査の内訳を反映済み）</t>
        </is>
      </c>
      <c r="E62" s="33" t="inlineStr">
        <is>
          <t>受領済</t>
        </is>
      </c>
      <c r="F62" s="22" t="inlineStr">
        <is>
          <t>2026-08-03</t>
        </is>
      </c>
      <c r="G62" s="39" t="n"/>
    </row>
    <row r="63" ht="34" customHeight="1">
      <c r="A63" s="32" t="inlineStr">
        <is>
          <t>中</t>
        </is>
      </c>
      <c r="B63" s="7" t="inlineStr">
        <is>
          <t>圏域事業所の受入可能性</t>
        </is>
      </c>
      <c r="C63" s="7" t="inlineStr">
        <is>
          <t>定員、空き、送迎範囲、受入可否。介護保険事業所の共生型サービス指定の有無を含む</t>
        </is>
      </c>
      <c r="D63" s="7" t="inlineStr">
        <is>
          <t>サービス見込量 08</t>
        </is>
      </c>
      <c r="E63" s="27" t="inlineStr">
        <is>
          <t>未受領</t>
        </is>
      </c>
      <c r="F63" s="26" t="inlineStr">
        <is>
          <t>2026-10-31</t>
        </is>
      </c>
      <c r="G63" s="39" t="n"/>
    </row>
    <row r="64" ht="34" customHeight="1">
      <c r="A64" s="30" t="inlineStr">
        <is>
          <t>中</t>
        </is>
      </c>
      <c r="B64" s="4" t="inlineStr">
        <is>
          <t>医療的ケア児者・地域生活支援拠点・個別避難計画の実態</t>
        </is>
      </c>
      <c r="C6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4" s="4" t="inlineStr">
        <is>
          <t>計画本文 第4章・第6章／村提供実績データ 01</t>
        </is>
      </c>
      <c r="E64" s="34" t="inlineStr">
        <is>
          <t>一部受領</t>
        </is>
      </c>
      <c r="F64" s="22" t="inlineStr">
        <is>
          <t>2026-10-31</t>
        </is>
      </c>
      <c r="G64" s="39" t="n"/>
    </row>
    <row r="65" ht="34" customHeight="1">
      <c r="A65" s="27" t="inlineStr">
        <is>
          <t>最優先</t>
        </is>
      </c>
      <c r="B65" s="7" t="inlineStr">
        <is>
          <t>障害支援区分別人数の基準日とサービス利用状況</t>
        </is>
      </c>
      <c r="C6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5" s="7" t="inlineStr">
        <is>
          <t>村提供実績データ 02／骨子案修正版 第5章1</t>
        </is>
      </c>
      <c r="E65" s="34" t="inlineStr">
        <is>
          <t>一部受領</t>
        </is>
      </c>
      <c r="F65" s="26" t="inlineStr">
        <is>
          <t>2026-09-30</t>
        </is>
      </c>
      <c r="G65" s="39" t="n"/>
    </row>
    <row r="66" ht="34" customHeight="1">
      <c r="A66" s="30" t="inlineStr">
        <is>
          <t>―</t>
        </is>
      </c>
      <c r="B66" s="4" t="inlineStr">
        <is>
          <t>セルフプラン率・基幹相談支援センター・就労選択支援事業所の状況</t>
        </is>
      </c>
      <c r="C6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6" s="4" t="inlineStr">
        <is>
          <t>村提供実績データ 01／骨子案修正版 第4章(3)(6)</t>
        </is>
      </c>
      <c r="E66" s="34" t="inlineStr">
        <is>
          <t>一部受領</t>
        </is>
      </c>
      <c r="F66" s="22" t="inlineStr">
        <is>
          <t>2026-09-30</t>
        </is>
      </c>
      <c r="G66" s="39" t="n"/>
    </row>
    <row r="67" ht="34" customHeight="1">
      <c r="A67" s="32" t="inlineStr">
        <is>
          <t>―</t>
        </is>
      </c>
      <c r="B67" s="7" t="inlineStr">
        <is>
          <t>障がい児の入所・申請の状況</t>
        </is>
      </c>
      <c r="C67" s="7" t="inlineStr">
        <is>
          <t>【受領済み】令和8年8月の調査票朱書きで、障がい児入所施設・児童福祉施設の利用児0件、障害児通所支援の申請中0件を確認。第5章の障害児入所支援の見込量を0とする根拠</t>
        </is>
      </c>
      <c r="D67" s="7" t="inlineStr">
        <is>
          <t>村提供実績データ 01／骨子案修正版 第4章(4)</t>
        </is>
      </c>
      <c r="E67" s="33" t="inlineStr">
        <is>
          <t>受領済</t>
        </is>
      </c>
      <c r="F67" s="26" t="inlineStr">
        <is>
          <t>2026-08-14</t>
        </is>
      </c>
      <c r="G67" s="39" t="n"/>
    </row>
    <row r="68" ht="34" customHeight="1">
      <c r="A68" s="30" t="inlineStr">
        <is>
          <t>―</t>
        </is>
      </c>
      <c r="B68" s="4" t="inlineStr">
        <is>
          <t>実態調査及びPDCAサイクルに関するマニュアル（令和8年8月）</t>
        </is>
      </c>
      <c r="C68" s="4" t="inlineStr">
        <is>
          <t>【受領済み】福島県通知（8生福第2646号・8こ第2041号 令和8年8月24日）により受領。厚労省・こども家庭庁の令和8年8月19日事務連絡の別添。全81頁。令和2年版を基本指針の改正を踏まえて修正したもの</t>
        </is>
      </c>
      <c r="D68" s="4" t="inlineStr">
        <is>
          <t>サービス見込量 12_別表第五判定／骨子案修正版 第1章6・第5章1／北塩原村_実態調査PDCAマニュアル_確認結果</t>
        </is>
      </c>
      <c r="E68" s="33" t="inlineStr">
        <is>
          <t>受領済</t>
        </is>
      </c>
      <c r="F68" s="22" t="inlineStr">
        <is>
          <t>2026-08-27</t>
        </is>
      </c>
      <c r="G68" s="39" t="n"/>
    </row>
    <row r="69" ht="34" customHeight="1">
      <c r="A69" s="27" t="inlineStr">
        <is>
          <t>最優先</t>
        </is>
      </c>
      <c r="B69" s="7" t="inlineStr">
        <is>
          <t>要介護認定の有無・要介護度（匿名利用者一覧への列追加）</t>
        </is>
      </c>
      <c r="C6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9" s="7" t="inlineStr">
        <is>
          <t>クロス集計設計 A-1／サービス見込量 06_65歳移行判定</t>
        </is>
      </c>
      <c r="E69" s="27" t="inlineStr">
        <is>
          <t>未受領</t>
        </is>
      </c>
      <c r="F69" s="26" t="inlineStr">
        <is>
          <t>2026-09-30</t>
        </is>
      </c>
      <c r="G69" s="39" t="n"/>
    </row>
    <row r="70" ht="34" customHeight="1">
      <c r="A70" s="35" t="inlineStr">
        <is>
          <t>高</t>
        </is>
      </c>
      <c r="B70" s="4" t="inlineStr">
        <is>
          <t>PDCAの評価体制・スケジュール・公表方法</t>
        </is>
      </c>
      <c r="C70" s="4" t="inlineStr">
        <is>
          <t>自立支援協議会と庁内会議体の役割分担、実績把握と評価の時期（村の予算編成に合わせる）、中間評価の結果の公表方法（ホームページ・広報誌・協議会資料の公開範囲）</t>
        </is>
      </c>
      <c r="D70" s="4" t="inlineStr">
        <is>
          <t>骨子案修正版 第1章6</t>
        </is>
      </c>
      <c r="E70" s="27" t="inlineStr">
        <is>
          <t>未受領</t>
        </is>
      </c>
      <c r="F70" s="22" t="inlineStr">
        <is>
          <t>2026-12-31</t>
        </is>
      </c>
      <c r="G70" s="39" t="n"/>
    </row>
    <row r="71" ht="34" customHeight="1">
      <c r="A71" s="32" t="inlineStr">
        <is>
          <t>―</t>
        </is>
      </c>
      <c r="B71" s="7" t="inlineStr">
        <is>
          <t>アンケート調査票への村の修正指示</t>
        </is>
      </c>
      <c r="C71" s="7" t="inlineStr">
        <is>
          <t>【受領済み】障がい者版17頁・障がい児版19頁のスキャンPDF。朱書き40か所。設問の削除・追加・順序変更のほか、削除理由として村の実データ9件が書き添えられている</t>
        </is>
      </c>
      <c r="D71" s="7" t="inlineStr">
        <is>
          <t>村提供実績データ 05／北塩原村_アンケート調査票_村修正指示_確認結果</t>
        </is>
      </c>
      <c r="E71" s="33" t="inlineStr">
        <is>
          <t>受領済</t>
        </is>
      </c>
      <c r="F71" s="26" t="inlineStr">
        <is>
          <t>2026-08-14</t>
        </is>
      </c>
      <c r="G71" s="39" t="n"/>
    </row>
    <row r="72" ht="34" customHeight="1">
      <c r="A72" s="30" t="inlineStr">
        <is>
          <t>中</t>
        </is>
      </c>
      <c r="B72" s="4" t="inlineStr">
        <is>
          <t>第5次総合振興計画たたき台、健康21現行計画、高齢者福祉・介護保険事業計画</t>
        </is>
      </c>
      <c r="C72" s="4" t="inlineStr">
        <is>
          <t>関連計画との整合確認</t>
        </is>
      </c>
      <c r="D72" s="4" t="inlineStr">
        <is>
          <t>計画本文 第1章・第7章</t>
        </is>
      </c>
      <c r="E72" s="27" t="inlineStr">
        <is>
          <t>未受領</t>
        </is>
      </c>
      <c r="F72" s="22" t="inlineStr">
        <is>
          <t>2026-10-31</t>
        </is>
      </c>
      <c r="G72" s="39" t="n"/>
    </row>
    <row r="73" ht="34" customHeight="1">
      <c r="A73" s="32" t="inlineStr">
        <is>
          <t>中</t>
        </is>
      </c>
      <c r="B73" s="7" t="inlineStr">
        <is>
          <t>40歳以上65歳未満の特定疾病該当者</t>
        </is>
      </c>
      <c r="C73" s="7" t="inlineStr">
        <is>
          <t>16の特定疾病に該当し要介護認定を受けている方の有無</t>
        </is>
      </c>
      <c r="D73" s="7" t="inlineStr">
        <is>
          <t>サービス見込量 02</t>
        </is>
      </c>
      <c r="E73" s="27" t="inlineStr">
        <is>
          <t>未受領</t>
        </is>
      </c>
      <c r="F73" s="26" t="inlineStr">
        <is>
          <t>2026-10-31</t>
        </is>
      </c>
      <c r="G73" s="39" t="n"/>
    </row>
    <row r="74" ht="34" customHeight="1">
      <c r="A74" s="30" t="inlineStr">
        <is>
          <t>中</t>
        </is>
      </c>
      <c r="B74" s="4" t="inlineStr">
        <is>
          <t>自立支援協議会の委員名簿</t>
        </is>
      </c>
      <c r="C74" s="4" t="inlineStr">
        <is>
          <t>任期・氏名・所属・役職</t>
        </is>
      </c>
      <c r="D74" s="4" t="inlineStr">
        <is>
          <t>計画書 資料編</t>
        </is>
      </c>
      <c r="E74" s="27" t="inlineStr">
        <is>
          <t>未受領</t>
        </is>
      </c>
      <c r="F74" s="22" t="inlineStr">
        <is>
          <t>2026-12-31</t>
        </is>
      </c>
      <c r="G74" s="39" t="n"/>
    </row>
    <row r="76" ht="46" customHeight="1">
      <c r="A76" s="2" t="inlineStr">
        <is>
          <t>未受領：55件（うち最優先14件、高29件）、一部受領：6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74"/>
  <mergeCells count="3">
    <mergeCell ref="A76:G7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R-39</t>
        </is>
      </c>
      <c r="B6" s="30" t="inlineStr">
        <is>
          <t>照会の立て方</t>
        </is>
      </c>
      <c r="C6" s="35" t="inlineStr">
        <is>
          <t>中</t>
        </is>
      </c>
      <c r="D6" s="4" t="inlineStr">
        <is>
          <t>高齢者施策への接続について、村が答えられない形で照会していた</t>
        </is>
      </c>
      <c r="E6"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F6"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G6" s="30" t="inlineStr">
        <is>
          <t>対応済み</t>
        </is>
      </c>
    </row>
    <row r="7" ht="46" customHeight="1">
      <c r="A7" s="32" t="inlineStr">
        <is>
          <t>R-38</t>
        </is>
      </c>
      <c r="B7" s="32" t="inlineStr">
        <is>
          <t>制度動向</t>
        </is>
      </c>
      <c r="C7" s="27" t="inlineStr">
        <is>
          <t>高</t>
        </is>
      </c>
      <c r="D7" s="7" t="inlineStr">
        <is>
          <t>高次脳機能障害者支援法が令和8年4月1日に施行され、村にも窓口の明確化と実施状況の公表が求められる</t>
        </is>
      </c>
      <c r="E7" s="7"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F7" s="7"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G7" s="32" t="inlineStr">
        <is>
          <t>対応中</t>
        </is>
      </c>
    </row>
    <row r="8" ht="46" customHeight="1">
      <c r="A8" s="30" t="inlineStr">
        <is>
          <t>R-37</t>
        </is>
      </c>
      <c r="B8" s="30" t="inlineStr">
        <is>
          <t>資料の読み方</t>
        </is>
      </c>
      <c r="C8" s="27" t="inlineStr">
        <is>
          <t>高</t>
        </is>
      </c>
      <c r="D8" s="4" t="inlineStr">
        <is>
          <t>国の予算資料は当初予算と前年度補正予算が同じ資料に載るため、年度を取り違えやすい</t>
        </is>
      </c>
      <c r="E8"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F8"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G8" s="30" t="inlineStr">
        <is>
          <t>対応済み</t>
        </is>
      </c>
    </row>
    <row r="9" ht="46" customHeight="1">
      <c r="A9" s="32" t="inlineStr">
        <is>
          <t>R-36</t>
        </is>
      </c>
      <c r="B9" s="32" t="inlineStr">
        <is>
          <t>記述の整合</t>
        </is>
      </c>
      <c r="C9" s="27" t="inlineStr">
        <is>
          <t>高</t>
        </is>
      </c>
      <c r="D9" s="7" t="inlineStr">
        <is>
          <t>確保の方策の記述が当方の中で食い違っていた（共生型サービス）</t>
        </is>
      </c>
      <c r="E9" s="7"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F9" s="7"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G9" s="32" t="inlineStr">
        <is>
          <t>対応中</t>
        </is>
      </c>
    </row>
    <row r="10" ht="46" customHeight="1">
      <c r="A10" s="30" t="inlineStr">
        <is>
          <t>R-35</t>
        </is>
      </c>
      <c r="B10" s="30" t="inlineStr">
        <is>
          <t>財政</t>
        </is>
      </c>
      <c r="C10" s="27" t="inlineStr">
        <is>
          <t>高</t>
        </is>
      </c>
      <c r="D10" s="4" t="inlineStr">
        <is>
          <t>令和8年度の報酬改定（＋1.84％）を見込量の基準年度に織り込んでいない</t>
        </is>
      </c>
      <c r="E10"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F10"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G10" s="30" t="inlineStr">
        <is>
          <t>対応中</t>
        </is>
      </c>
    </row>
    <row r="11" ht="46" customHeight="1">
      <c r="A11" s="32" t="inlineStr">
        <is>
          <t>R-34</t>
        </is>
      </c>
      <c r="B11" s="32" t="inlineStr">
        <is>
          <t>制度動向</t>
        </is>
      </c>
      <c r="C11" s="35" t="inlineStr">
        <is>
          <t>中</t>
        </is>
      </c>
      <c r="D11" s="7" t="inlineStr">
        <is>
          <t>意思決定支援ガイドラインが第2版に改訂され、考え方が変わった</t>
        </is>
      </c>
      <c r="E11" s="7"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F11" s="7"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G11" s="32" t="inlineStr">
        <is>
          <t>対応中</t>
        </is>
      </c>
    </row>
    <row r="12" ht="46" customHeight="1">
      <c r="A12" s="30" t="inlineStr">
        <is>
          <t>R-33</t>
        </is>
      </c>
      <c r="B12" s="30" t="inlineStr">
        <is>
          <t>成果目標</t>
        </is>
      </c>
      <c r="C12" s="35" t="inlineStr">
        <is>
          <t>中</t>
        </is>
      </c>
      <c r="D12" s="4" t="inlineStr">
        <is>
          <t>情報公表制度の公表率・更新率100％は、村に達成の手段がほとんどない</t>
        </is>
      </c>
      <c r="E12"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F12"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G12" s="30" t="inlineStr">
        <is>
          <t>対応中</t>
        </is>
      </c>
    </row>
    <row r="13" ht="46" customHeight="1">
      <c r="A13" s="32" t="inlineStr">
        <is>
          <t>R-32</t>
        </is>
      </c>
      <c r="B13" s="32" t="inlineStr">
        <is>
          <t>広域連携</t>
        </is>
      </c>
      <c r="C13" s="27" t="inlineStr">
        <is>
          <t>高</t>
        </is>
      </c>
      <c r="D13" s="7" t="inlineStr">
        <is>
          <t>広域で確保するとした機能が、相手方の計画と同じ単位・同じ数え方になっているか確かめられていない</t>
        </is>
      </c>
      <c r="E13" s="7"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F13" s="7"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G13" s="32" t="inlineStr">
        <is>
          <t>対応中</t>
        </is>
      </c>
    </row>
    <row r="14" ht="46" customHeight="1">
      <c r="A14" s="30" t="inlineStr">
        <is>
          <t>R-31</t>
        </is>
      </c>
      <c r="B14" s="30" t="inlineStr">
        <is>
          <t>推計</t>
        </is>
      </c>
      <c r="C14" s="40" t="inlineStr">
        <is>
          <t>最高</t>
        </is>
      </c>
      <c r="D14" s="4" t="inlineStr">
        <is>
          <t>手帳所持者数の将来推計の基礎となる令和8年の値が仮置きである</t>
        </is>
      </c>
      <c r="E14"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F14"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幅を狭めるために要るのは村の手帳台帳の実数1件であり、令和6・7・8年の各4月1日現在の数値と数え方を照会した（Ｍ-113）。それまでの間、令和11年度の推計値を計画本文・概要版・委員会資料に載せない</t>
        </is>
      </c>
      <c r="G14" s="30" t="inlineStr">
        <is>
          <t>対応中</t>
        </is>
      </c>
    </row>
    <row r="15" ht="46" customHeight="1">
      <c r="A15" s="32" t="inlineStr">
        <is>
          <t>R-41</t>
        </is>
      </c>
      <c r="B15" s="32" t="inlineStr">
        <is>
          <t>記述の整合</t>
        </is>
      </c>
      <c r="C15" s="40" t="inlineStr">
        <is>
          <t>最高</t>
        </is>
      </c>
      <c r="D15" s="7" t="inlineStr">
        <is>
          <t>人口の見通しが、正本と当方の他の成果物とで食い違っている</t>
        </is>
      </c>
      <c r="E15" s="7"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F15" s="7"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G15" s="32" t="inlineStr">
        <is>
          <t>対応中</t>
        </is>
      </c>
    </row>
    <row r="16" ht="46" customHeight="1">
      <c r="A16" s="30" t="inlineStr">
        <is>
          <t>R-40</t>
        </is>
      </c>
      <c r="B16" s="30" t="inlineStr">
        <is>
          <t>推計</t>
        </is>
      </c>
      <c r="C16" s="40" t="inlineStr">
        <is>
          <t>最高</t>
        </is>
      </c>
      <c r="D16" s="4" t="inlineStr">
        <is>
          <t>正本 第2章2〜5 の本文と図6点が、仮置きの手帳所持者数の上に載っている</t>
        </is>
      </c>
      <c r="E16"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F16"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G16" s="30" t="inlineStr">
        <is>
          <t>対応中</t>
        </is>
      </c>
    </row>
    <row r="17" ht="46" customHeight="1">
      <c r="A17" s="32" t="inlineStr">
        <is>
          <t>R-26</t>
        </is>
      </c>
      <c r="B17" s="32" t="inlineStr">
        <is>
          <t>指標</t>
        </is>
      </c>
      <c r="C17" s="27" t="inlineStr">
        <is>
          <t>高</t>
        </is>
      </c>
      <c r="D17" s="7" t="inlineStr">
        <is>
          <t>第4次障がい者計画のアンケート指標3件が前回と比較できない</t>
        </is>
      </c>
      <c r="E17" s="7"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17" s="7"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G17" s="32" t="inlineStr">
        <is>
          <t>未着手</t>
        </is>
      </c>
    </row>
    <row r="18" ht="46" customHeight="1">
      <c r="A18" s="30" t="inlineStr">
        <is>
          <t>R-23</t>
        </is>
      </c>
      <c r="B18" s="30" t="inlineStr">
        <is>
          <t>制度動向</t>
        </is>
      </c>
      <c r="C18" s="27" t="inlineStr">
        <is>
          <t>高</t>
        </is>
      </c>
      <c r="D18" s="4" t="inlineStr">
        <is>
          <t>告示後に基本指針が2度改正されており、追跡から漏れる</t>
        </is>
      </c>
      <c r="E18"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18"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18" s="30" t="inlineStr">
        <is>
          <t>対応中</t>
        </is>
      </c>
    </row>
    <row r="19" ht="46" customHeight="1">
      <c r="A19" s="32" t="inlineStr">
        <is>
          <t>R-24</t>
        </is>
      </c>
      <c r="B19" s="32" t="inlineStr">
        <is>
          <t>記載事項</t>
        </is>
      </c>
      <c r="C19" s="27" t="inlineStr">
        <is>
          <t>高</t>
        </is>
      </c>
      <c r="D19" s="7" t="inlineStr">
        <is>
          <t>別表第二 三㈠⑤の基盤整備量が県の算定値待ちで確定できない</t>
        </is>
      </c>
      <c r="E19" s="7"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19" s="7" t="inlineStr">
        <is>
          <t>県へ算定値と市町村への配分の考え方を照会する（レビュー Q-1）。県計画の公表が村の計画確定に間に合わない場合の取扱いも併せて確認する</t>
        </is>
      </c>
      <c r="G19" s="32" t="inlineStr">
        <is>
          <t>未着手</t>
        </is>
      </c>
    </row>
    <row r="20" ht="46" customHeight="1">
      <c r="A20" s="30" t="inlineStr">
        <is>
          <t>R-27</t>
        </is>
      </c>
      <c r="B20" s="30" t="inlineStr">
        <is>
          <t>指標</t>
        </is>
      </c>
      <c r="C20" s="35" t="inlineStr">
        <is>
          <t>中</t>
        </is>
      </c>
      <c r="D20" s="4" t="inlineStr">
        <is>
          <t>前回計画本編の目標値に転記誤りがある</t>
        </is>
      </c>
      <c r="E20"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20"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20" s="30" t="inlineStr">
        <is>
          <t>未着手</t>
        </is>
      </c>
    </row>
    <row r="21" ht="46" customHeight="1">
      <c r="A21" s="32" t="inlineStr">
        <is>
          <t>R-25</t>
        </is>
      </c>
      <c r="B21" s="32" t="inlineStr">
        <is>
          <t>整合</t>
        </is>
      </c>
      <c r="C21" s="35" t="inlineStr">
        <is>
          <t>中</t>
        </is>
      </c>
      <c r="D21" s="7" t="inlineStr">
        <is>
          <t>就労継続支援A型の利用者が給付実績に現れない</t>
        </is>
      </c>
      <c r="E21" s="7"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21" s="7" t="inlineStr">
        <is>
          <t>村に利用者の有無を確認する（見込量算定 Ｍ-4）。実在しなければ見込量は0、実在すれば単価とともに計上する。確認までは現行計画を据え置き、給付費は計上しない</t>
        </is>
      </c>
      <c r="G21" s="32" t="inlineStr">
        <is>
          <t>未着手</t>
        </is>
      </c>
    </row>
    <row r="22" ht="46" customHeight="1">
      <c r="A22" s="30" t="inlineStr">
        <is>
          <t>R-1</t>
        </is>
      </c>
      <c r="B22" s="30" t="inlineStr">
        <is>
          <t>スケジュール</t>
        </is>
      </c>
      <c r="C22" s="27" t="inlineStr">
        <is>
          <t>高</t>
        </is>
      </c>
      <c r="D22" s="4" t="inlineStr">
        <is>
          <t>アンケート発送が工程案の8月上旬に間に合わない</t>
        </is>
      </c>
      <c r="E22" s="4" t="inlineStr">
        <is>
          <t>印刷仕様の協議、村ラベルの受領、村封筒の手配がすべて未了。1週間の遅延は回収期間または集計期間の圧縮に直結する</t>
        </is>
      </c>
      <c r="F22" s="4" t="inlineStr">
        <is>
          <t>8月5日までに印刷仕様を確定し、ラベル提供日を村と合意する</t>
        </is>
      </c>
      <c r="G22" s="30" t="inlineStr">
        <is>
          <t>対応中</t>
        </is>
      </c>
    </row>
    <row r="23" ht="46" customHeight="1">
      <c r="A23" s="32" t="inlineStr">
        <is>
          <t>R-2</t>
        </is>
      </c>
      <c r="B23" s="32" t="inlineStr">
        <is>
          <t>契約</t>
        </is>
      </c>
      <c r="C23" s="27" t="inlineStr">
        <is>
          <t>高</t>
        </is>
      </c>
      <c r="D23" s="7" t="inlineStr">
        <is>
          <t>印刷仕様が仕様書と乖離している</t>
        </is>
      </c>
      <c r="E23" s="7" t="inlineStr">
        <is>
          <t>仕様書はA4判・約24ページ・黒1色の1種類。実際は34ページと37ページの2種類</t>
        </is>
      </c>
      <c r="F23" s="7" t="inlineStr">
        <is>
          <t>ページ数・種類数・部数・単価の取扱いを村と協議し、結果を書面で残す</t>
        </is>
      </c>
      <c r="G23" s="32" t="inlineStr">
        <is>
          <t>未着手</t>
        </is>
      </c>
    </row>
    <row r="24" ht="46" customHeight="1">
      <c r="A24" s="30" t="inlineStr">
        <is>
          <t>R-3</t>
        </is>
      </c>
      <c r="B24" s="30" t="inlineStr">
        <is>
          <t>契約</t>
        </is>
      </c>
      <c r="C24" s="27" t="inlineStr">
        <is>
          <t>高</t>
        </is>
      </c>
      <c r="D24" s="4" t="inlineStr">
        <is>
          <t>郵送費の負担が仕様書と異なる運用になっている</t>
        </is>
      </c>
      <c r="E24" s="4" t="inlineStr">
        <is>
          <t>仕様書は受託者負担。打合せでは村が立替え後日実費精算</t>
        </is>
      </c>
      <c r="F24" s="4" t="inlineStr">
        <is>
          <t>精算方法・範囲・上限を書面で確認する</t>
        </is>
      </c>
      <c r="G24" s="30" t="inlineStr">
        <is>
          <t>未着手</t>
        </is>
      </c>
    </row>
    <row r="25" ht="46" customHeight="1">
      <c r="A25" s="32" t="inlineStr">
        <is>
          <t>R-4</t>
        </is>
      </c>
      <c r="B25" s="32" t="inlineStr">
        <is>
          <t>推計</t>
        </is>
      </c>
      <c r="C25" s="27" t="inlineStr">
        <is>
          <t>高</t>
        </is>
      </c>
      <c r="D25" s="7" t="inlineStr">
        <is>
          <t>対象者数が確定せず、推計の起点が定まらない</t>
        </is>
      </c>
      <c r="E25" s="7"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25" s="7" t="inlineStr">
        <is>
          <t>発送前に村へ確認する。確認まで手帳所持者数の将来推計を確定値として記載しない</t>
        </is>
      </c>
      <c r="G25" s="32" t="inlineStr">
        <is>
          <t>対応中</t>
        </is>
      </c>
    </row>
    <row r="26" ht="46" customHeight="1">
      <c r="A26" s="30" t="inlineStr">
        <is>
          <t>R-5</t>
        </is>
      </c>
      <c r="B26" s="30" t="inlineStr">
        <is>
          <t>推計</t>
        </is>
      </c>
      <c r="C26" s="27" t="inlineStr">
        <is>
          <t>高</t>
        </is>
      </c>
      <c r="D26" s="4" t="inlineStr">
        <is>
          <t>個別積上げに必要な村資料が揃わない</t>
        </is>
      </c>
      <c r="E26" s="4" t="inlineStr">
        <is>
          <t>年齢別・サービス別の利用者一覧と支給決定者数（実人数）がないと見込量が確定しない</t>
        </is>
      </c>
      <c r="F26" s="4" t="inlineStr">
        <is>
          <t>8月末を目途に受領する。遅れる場合は現行計画の据置値で暫定版を作り、受領後に差し替える段取りを村と共有する</t>
        </is>
      </c>
      <c r="G26" s="30" t="inlineStr">
        <is>
          <t>対応中</t>
        </is>
      </c>
    </row>
    <row r="27" ht="46" customHeight="1">
      <c r="A27" s="32" t="inlineStr">
        <is>
          <t>R-6</t>
        </is>
      </c>
      <c r="B27" s="32" t="inlineStr">
        <is>
          <t>個人情報</t>
        </is>
      </c>
      <c r="C27" s="35" t="inlineStr">
        <is>
          <t>中</t>
        </is>
      </c>
      <c r="D27" s="7" t="inlineStr">
        <is>
          <t>少数母数のクロス集計で個人が特定される</t>
        </is>
      </c>
      <c r="E27" s="7" t="inlineStr">
        <is>
          <t>対象者が極めて少ないサービス・地区がある</t>
        </is>
      </c>
      <c r="F27" s="7" t="inlineStr">
        <is>
          <t>n&lt;5の秘匿基準を事前に村と合意する。公表用報告書と内部管理報告書を分離する</t>
        </is>
      </c>
      <c r="G27" s="32" t="inlineStr">
        <is>
          <t>対応中</t>
        </is>
      </c>
    </row>
    <row r="28" ht="46" customHeight="1">
      <c r="A28" s="30" t="inlineStr">
        <is>
          <t>R-7</t>
        </is>
      </c>
      <c r="B28" s="30" t="inlineStr">
        <is>
          <t>品質</t>
        </is>
      </c>
      <c r="C28" s="30" t="inlineStr">
        <is>
          <t>低</t>
        </is>
      </c>
      <c r="D28" s="4" t="inlineStr">
        <is>
          <t>骨子案が引用する国基準数値の原典照合が未了</t>
        </is>
      </c>
      <c r="E28"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28" s="4" t="inlineStr">
        <is>
          <t>骨子案修正版 第4章へ反映済み。改正後概要と告示本文で表記が異なる箇所は告示本文に従う</t>
        </is>
      </c>
      <c r="G28" s="30" t="inlineStr">
        <is>
          <t>完了</t>
        </is>
      </c>
    </row>
    <row r="29" ht="46" customHeight="1">
      <c r="A29" s="32" t="inlineStr">
        <is>
          <t>R-12</t>
        </is>
      </c>
      <c r="B29" s="32" t="inlineStr">
        <is>
          <t>推計</t>
        </is>
      </c>
      <c r="C29" s="32" t="inlineStr">
        <is>
          <t>低</t>
        </is>
      </c>
      <c r="D29" s="7" t="inlineStr">
        <is>
          <t>基本指針 別表第五（地域差是正）の適用関係が未確定</t>
        </is>
      </c>
      <c r="E29" s="7"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29" s="7" t="inlineStr">
        <is>
          <t>骨子案修正版 第5章1及びサービス見込量ブック 12 へ反映済み</t>
        </is>
      </c>
      <c r="G29" s="32" t="inlineStr">
        <is>
          <t>完了</t>
        </is>
      </c>
    </row>
    <row r="30" ht="46" customHeight="1">
      <c r="A30" s="30" t="inlineStr">
        <is>
          <t>R-15</t>
        </is>
      </c>
      <c r="B30" s="30" t="inlineStr">
        <is>
          <t>推計</t>
        </is>
      </c>
      <c r="C30" s="30" t="inlineStr">
        <is>
          <t>低</t>
        </is>
      </c>
      <c r="D30" s="4" t="inlineStr">
        <is>
          <t>国基準数値と福島県実績の系統が複数あり、どれを用いるかで目標値が変わる</t>
        </is>
      </c>
      <c r="E30"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30" s="4" t="inlineStr">
        <is>
          <t>計画本文には出典・時点・集計区分を必ず併記する。公費含む集計を用いるか否かは県の第8期計画に合わせる</t>
        </is>
      </c>
      <c r="G30" s="30" t="inlineStr">
        <is>
          <t>対応中</t>
        </is>
      </c>
    </row>
    <row r="31" ht="46" customHeight="1">
      <c r="A31" s="32" t="inlineStr">
        <is>
          <t>R-14</t>
        </is>
      </c>
      <c r="B31" s="32" t="inlineStr">
        <is>
          <t>提供体制</t>
        </is>
      </c>
      <c r="C31" s="27" t="inlineStr">
        <is>
          <t>高</t>
        </is>
      </c>
      <c r="D31" s="7" t="inlineStr">
        <is>
          <t>会津北部圏域の訪問系サービス事業所が本村の1か所のみになっている</t>
        </is>
      </c>
      <c r="E31" s="7"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31" s="7"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31" s="32" t="inlineStr">
        <is>
          <t>対応中</t>
        </is>
      </c>
    </row>
    <row r="32" ht="46" customHeight="1">
      <c r="A32" s="30" t="inlineStr">
        <is>
          <t>R-16</t>
        </is>
      </c>
      <c r="B32" s="30" t="inlineStr">
        <is>
          <t>記述</t>
        </is>
      </c>
      <c r="C32" s="35" t="inlineStr">
        <is>
          <t>中</t>
        </is>
      </c>
      <c r="D32" s="4" t="inlineStr">
        <is>
          <t>骨子案・当方資料の「本村には事業所がない」という記述が事実と異なる</t>
        </is>
      </c>
      <c r="E32"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32" s="4" t="inlineStr">
        <is>
          <t>骨子案修正版 第5章8 を原典から表を生成する方式に変更済み。事業所名・指定年月・共生型指定の有無・受入可能人数を村に確認する</t>
        </is>
      </c>
      <c r="G32" s="30" t="inlineStr">
        <is>
          <t>対応中</t>
        </is>
      </c>
    </row>
    <row r="33" ht="46" customHeight="1">
      <c r="A33" s="32" t="inlineStr">
        <is>
          <t>R-13</t>
        </is>
      </c>
      <c r="B33" s="32" t="inlineStr">
        <is>
          <t>財源</t>
        </is>
      </c>
      <c r="C33" s="35" t="inlineStr">
        <is>
          <t>中</t>
        </is>
      </c>
      <c r="D33" s="7" t="inlineStr">
        <is>
          <t>令和8年度・令和9年度の報酬改定により単価前提が動く</t>
        </is>
      </c>
      <c r="E33" s="7"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33" s="7" t="inlineStr">
        <is>
          <t>財源構成案 08シートに改定率パラメータを設置済み。改定内容の確定後に入力する</t>
        </is>
      </c>
      <c r="G33" s="32" t="inlineStr">
        <is>
          <t>対応中</t>
        </is>
      </c>
    </row>
    <row r="34" ht="46" customHeight="1">
      <c r="A34" s="30" t="inlineStr">
        <is>
          <t>R-8</t>
        </is>
      </c>
      <c r="B34" s="30" t="inlineStr">
        <is>
          <t>品質</t>
        </is>
      </c>
      <c r="C34" s="35" t="inlineStr">
        <is>
          <t>中</t>
        </is>
      </c>
      <c r="D34" s="4" t="inlineStr">
        <is>
          <t>障がい児版調査票のルビ構造により本文が欠落して見える箇所がある</t>
        </is>
      </c>
      <c r="E34" s="4" t="inlineStr">
        <is>
          <t>問1〜問15で語句が欠けて抽出される。Word表示上は正常な可能性もある</t>
        </is>
      </c>
      <c r="F34" s="4" t="inlineStr">
        <is>
          <t>Word上でルビなしテキストとして読んで意味が通るかを確認する</t>
        </is>
      </c>
      <c r="G34" s="30" t="inlineStr">
        <is>
          <t>対応中</t>
        </is>
      </c>
    </row>
    <row r="35" ht="46" customHeight="1">
      <c r="A35" s="32" t="inlineStr">
        <is>
          <t>R-9</t>
        </is>
      </c>
      <c r="B35" s="32" t="inlineStr">
        <is>
          <t>調査設計</t>
        </is>
      </c>
      <c r="C35" s="27" t="inlineStr">
        <is>
          <t>高</t>
        </is>
      </c>
      <c r="D35" s="7" t="inlineStr">
        <is>
          <t>障がい者票に介護保険・65歳到達に関する設問がない（国の標準項目）</t>
        </is>
      </c>
      <c r="E35" s="7"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35" s="7"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35" s="32" t="inlineStr">
        <is>
          <t>対応中</t>
        </is>
      </c>
    </row>
    <row r="36" ht="46" customHeight="1">
      <c r="A36" s="30" t="inlineStr">
        <is>
          <t>R-11</t>
        </is>
      </c>
      <c r="B36" s="30" t="inlineStr">
        <is>
          <t>調査設計</t>
        </is>
      </c>
      <c r="C36" s="27" t="inlineStr">
        <is>
          <t>高</t>
        </is>
      </c>
      <c r="D36" s="4" t="inlineStr">
        <is>
          <t>外出目的の設問がなく、第4次障がい者計画の1指標が測定できない（国の標準項目）</t>
        </is>
      </c>
      <c r="E36"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36"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G36" s="30" t="inlineStr">
        <is>
          <t>要対応</t>
        </is>
      </c>
    </row>
    <row r="37" ht="46" customHeight="1">
      <c r="A37" s="32" t="inlineStr">
        <is>
          <t>R-10</t>
        </is>
      </c>
      <c r="B37" s="32" t="inlineStr">
        <is>
          <t>供給</t>
        </is>
      </c>
      <c r="C37" s="35" t="inlineStr">
        <is>
          <t>中</t>
        </is>
      </c>
      <c r="D37" s="7" t="inlineStr">
        <is>
          <t>圏域事業所の受入可能量が見込量の上限になる</t>
        </is>
      </c>
      <c r="E37" s="7" t="inlineStr">
        <is>
          <t>村内に事業所がなく、送迎・人材・定員が制約となる</t>
        </is>
      </c>
      <c r="F37" s="7" t="inlineStr">
        <is>
          <t>圏域事業所へ照会し、利用希望量と利用可能量を分けて管理する</t>
        </is>
      </c>
      <c r="G37" s="32" t="inlineStr">
        <is>
          <t>未着手</t>
        </is>
      </c>
    </row>
    <row r="38" ht="46" customHeight="1">
      <c r="A38" s="30" t="inlineStr">
        <is>
          <t>R-17</t>
        </is>
      </c>
      <c r="B38" s="30" t="inlineStr">
        <is>
          <t>調査設計</t>
        </is>
      </c>
      <c r="C38" s="35" t="inlineStr">
        <is>
          <t>中</t>
        </is>
      </c>
      <c r="D38" s="4" t="inlineStr">
        <is>
          <t>就労選択支援の設問（障がい者版 問36）が削除されると、圏域確保の根拠が窓口相談実績に限られる</t>
        </is>
      </c>
      <c r="E38"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38" s="4" t="inlineStr">
        <is>
          <t>村に再考を依頼済み。削除する場合でも、第5章の確保方策に「圏域内に事業所がないため会津若松地方の広域調整により確保を図る」旨を記載する（骨子案修正版 第4章(3)に反映済み）</t>
        </is>
      </c>
      <c r="G38" s="30" t="inlineStr">
        <is>
          <t>判断待ち</t>
        </is>
      </c>
    </row>
    <row r="39" ht="46" customHeight="1">
      <c r="A39" s="32" t="inlineStr">
        <is>
          <t>R-18</t>
        </is>
      </c>
      <c r="B39" s="32" t="inlineStr">
        <is>
          <t>整合</t>
        </is>
      </c>
      <c r="C39" s="35" t="inlineStr">
        <is>
          <t>中</t>
        </is>
      </c>
      <c r="D39" s="7" t="inlineStr">
        <is>
          <t>個別避難計画0件が第4次障がい者計画の指標と矛盾する可能性がある</t>
        </is>
      </c>
      <c r="E39" s="7"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39" s="7" t="inlineStr">
        <is>
          <t>村に確認する。第4次障がい者計画は改定対象外だが、第8期計画の第3章5（目標値と進捗管理）で現状値を示す際に整合が必要</t>
        </is>
      </c>
      <c r="G39" s="32" t="inlineStr">
        <is>
          <t>未着手</t>
        </is>
      </c>
    </row>
    <row r="40" ht="46" customHeight="1">
      <c r="A40" s="30" t="inlineStr">
        <is>
          <t>R-20</t>
        </is>
      </c>
      <c r="B40" s="30" t="inlineStr">
        <is>
          <t>調査設計</t>
        </is>
      </c>
      <c r="C40" s="35" t="inlineStr">
        <is>
          <t>中</t>
        </is>
      </c>
      <c r="D40" s="4" t="inlineStr">
        <is>
          <t>強度行動障害の該当有無を聞く設問がなく、支援ニーズの母数が特定できない</t>
        </is>
      </c>
      <c r="E40"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40"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40" s="30" t="inlineStr">
        <is>
          <t>対応中</t>
        </is>
      </c>
    </row>
    <row r="41" ht="46" customHeight="1">
      <c r="A41" s="32" t="inlineStr">
        <is>
          <t>R-21</t>
        </is>
      </c>
      <c r="B41" s="32" t="inlineStr">
        <is>
          <t>調査設計</t>
        </is>
      </c>
      <c r="C41" s="35" t="inlineStr">
        <is>
          <t>中</t>
        </is>
      </c>
      <c r="D41" s="7" t="inlineStr">
        <is>
          <t>障害支援区分の削除は国の標準項目を落とすことになる</t>
        </is>
      </c>
      <c r="E41" s="7"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41" s="7"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41" s="32" t="inlineStr">
        <is>
          <t>完了</t>
        </is>
      </c>
    </row>
    <row r="42" ht="46" customHeight="1">
      <c r="A42" s="30" t="inlineStr">
        <is>
          <t>R-22</t>
        </is>
      </c>
      <c r="B42" s="30" t="inlineStr">
        <is>
          <t>調査設計</t>
        </is>
      </c>
      <c r="C42" s="35" t="inlineStr">
        <is>
          <t>中</t>
        </is>
      </c>
      <c r="D42" s="4" t="inlineStr">
        <is>
          <t>国のマニュアルの発出と調査票の確定の時期が重なった</t>
        </is>
      </c>
      <c r="E42" s="4" t="inlineStr">
        <is>
          <t>マニュアルは令和8年8月19日事務連絡（県通知8月24日）、調査票の確定は8月25日版。標準項目3件の欠落は、当方の設計の不備ではなくこの時期の重なりによる。第9期の策定時に同じ論点が生じうる</t>
        </is>
      </c>
      <c r="F42" s="4" t="inlineStr">
        <is>
          <t>経緯を打合せ記録に残し、計画書の調査概要にも「調査票確定後に国のマニュアルが改定された」旨を注記する（クロス集計設計 Ｓ-4）。算定根拠への疑義に対する説明にもなる</t>
        </is>
      </c>
      <c r="G42" s="30" t="inlineStr">
        <is>
          <t>対応中</t>
        </is>
      </c>
    </row>
    <row r="43" ht="46" customHeight="1">
      <c r="A43" s="32" t="inlineStr">
        <is>
          <t>R-19</t>
        </is>
      </c>
      <c r="B43" s="32" t="inlineStr">
        <is>
          <t>調査設計</t>
        </is>
      </c>
      <c r="C43" s="32" t="inlineStr">
        <is>
          <t>低</t>
        </is>
      </c>
      <c r="D43" s="7" t="inlineStr">
        <is>
          <t>障がい児版の設問番号に誤りがある</t>
        </is>
      </c>
      <c r="E43" s="7" t="inlineStr">
        <is>
          <t>問11の選択肢番号「13」が2つある（「自傷、他害、強いこだわり、パニックなどへの対応」と「特にない」）。問10の選択肢番号は「3」が欠番。いずれも村の朱書きとは別に、通読して気づいたもの</t>
        </is>
      </c>
      <c r="F43" s="7" t="inlineStr">
        <is>
          <t>調査票担当へ申し送り済み。印刷前に番号を振り直す。問10は問8との統合指示があるため、統合時に整理する</t>
        </is>
      </c>
      <c r="G43" s="32" t="inlineStr">
        <is>
          <t>対応中</t>
        </is>
      </c>
    </row>
  </sheetData>
  <autoFilter ref="A5:G43"/>
  <mergeCells count="2">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9" t="n"/>
      <c r="B7" s="41" t="inlineStr">
        <is>
          <t>打合せ</t>
        </is>
      </c>
      <c r="C7" s="38" t="n"/>
      <c r="D7" s="38" t="n"/>
      <c r="E7" s="38" t="n"/>
      <c r="F7" s="38" t="n"/>
    </row>
    <row r="8" ht="30" customHeight="1">
      <c r="A8" s="39" t="n"/>
      <c r="B8" s="41" t="inlineStr">
        <is>
          <t>協議会</t>
        </is>
      </c>
      <c r="C8" s="38" t="n"/>
      <c r="D8" s="38" t="n"/>
      <c r="E8" s="38" t="n"/>
      <c r="F8" s="38" t="n"/>
    </row>
    <row r="9" ht="30" customHeight="1">
      <c r="A9" s="39" t="n"/>
      <c r="B9" s="41" t="inlineStr">
        <is>
          <t>打合せ</t>
        </is>
      </c>
      <c r="C9" s="38" t="n"/>
      <c r="D9" s="38" t="n"/>
      <c r="E9" s="38" t="n"/>
      <c r="F9" s="38"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9" t="n"/>
      <c r="B31" s="41" t="n"/>
      <c r="C31" s="38" t="n"/>
      <c r="D31" s="38" t="n"/>
    </row>
    <row r="32">
      <c r="A32" s="39" t="n"/>
      <c r="B32" s="41" t="n"/>
      <c r="C32" s="38" t="n"/>
      <c r="D32" s="38" t="n"/>
    </row>
    <row r="33">
      <c r="A33" s="39" t="n"/>
      <c r="B33" s="41" t="n"/>
      <c r="C33" s="38" t="n"/>
      <c r="D33" s="38" t="n"/>
    </row>
    <row r="34">
      <c r="A34" s="39" t="n"/>
      <c r="B34" s="41" t="n"/>
      <c r="C34" s="38" t="n"/>
      <c r="D34" s="38" t="n"/>
    </row>
    <row r="35">
      <c r="A35" s="39" t="n"/>
      <c r="B35" s="41" t="n"/>
      <c r="C35" s="38" t="n"/>
      <c r="D35" s="38" t="n"/>
    </row>
    <row r="36">
      <c r="A36" s="39" t="n"/>
      <c r="B36" s="41" t="n"/>
      <c r="C36" s="38" t="n"/>
      <c r="D36" s="38" t="n"/>
    </row>
  </sheetData>
  <mergeCells count="2">
    <mergeCell ref="A1:D1"/>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2" t="n">
        <v>9</v>
      </c>
      <c r="C6" s="42" t="n">
        <v>9</v>
      </c>
      <c r="D6" s="42" t="n">
        <v>9</v>
      </c>
      <c r="E6" s="43"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4" t="n">
        <v>5</v>
      </c>
      <c r="C7" s="44" t="n">
        <v>6</v>
      </c>
      <c r="D7" s="44" t="n">
        <v>7</v>
      </c>
      <c r="E7" s="45" t="n">
        <v>1</v>
      </c>
      <c r="F7" s="7" t="inlineStr">
        <is>
          <t>手帳所持者数の将来推計（仕様書4-Ⅱ(3)①）を新設。実績データの受領で図表が埋まる</t>
        </is>
      </c>
    </row>
    <row r="8" ht="30" customHeight="1">
      <c r="A8" s="4" t="inlineStr">
        <is>
          <t>第3章 基本理念・基本目標及び施策体系</t>
        </is>
      </c>
      <c r="B8" s="42" t="n">
        <v>13</v>
      </c>
      <c r="C8" s="42" t="n">
        <v>5</v>
      </c>
      <c r="D8" s="42" t="n">
        <v>5</v>
      </c>
      <c r="E8" s="43"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4" t="n">
        <v>11</v>
      </c>
      <c r="C9" s="44" t="n">
        <v>9</v>
      </c>
      <c r="D9" s="44" t="n">
        <v>11</v>
      </c>
      <c r="E9" s="45" t="n">
        <v>2</v>
      </c>
      <c r="F9" s="7" t="inlineStr">
        <is>
          <t>7項目→8項目。目標値・考え方の記入で増える</t>
        </is>
      </c>
    </row>
    <row r="10" ht="30" customHeight="1">
      <c r="A10" s="4" t="inlineStr">
        <is>
          <t>第5章 サービス等の実績と今後の見込み量</t>
        </is>
      </c>
      <c r="B10" s="42" t="n">
        <v>16</v>
      </c>
      <c r="C10" s="42" t="n">
        <v>22</v>
      </c>
      <c r="D10" s="42" t="n">
        <v>20</v>
      </c>
      <c r="E10" s="43"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4" t="n">
        <v>2</v>
      </c>
      <c r="C11" s="44" t="n">
        <v>1</v>
      </c>
      <c r="D11" s="44" t="n">
        <v>2</v>
      </c>
      <c r="E11" s="45" t="n">
        <v>1</v>
      </c>
      <c r="F11" s="7" t="inlineStr">
        <is>
          <t>現行と同水準。中核機関の記述を補う</t>
        </is>
      </c>
    </row>
    <row r="12" ht="30" customHeight="1">
      <c r="A12" s="4" t="inlineStr">
        <is>
          <t>第7章 他計画との連携</t>
        </is>
      </c>
      <c r="B12" s="42" t="inlineStr">
        <is>
          <t>―</t>
        </is>
      </c>
      <c r="C12" s="42" t="n">
        <v>3</v>
      </c>
      <c r="D12" s="42" t="n">
        <v>3</v>
      </c>
      <c r="E12" s="43" t="n">
        <v>0</v>
      </c>
      <c r="F12" s="4" t="inlineStr">
        <is>
          <t>新設章。健康21・総合振興計画・こども子育て計画</t>
        </is>
      </c>
    </row>
    <row r="13" ht="30" customHeight="1">
      <c r="A13" s="7" t="inlineStr">
        <is>
          <t>第8章 資料編</t>
        </is>
      </c>
      <c r="B13" s="44" t="n">
        <v>1</v>
      </c>
      <c r="C13" s="44" t="n">
        <v>3</v>
      </c>
      <c r="D13" s="44" t="n">
        <v>3</v>
      </c>
      <c r="E13" s="45" t="n">
        <v>0</v>
      </c>
      <c r="F13" s="7" t="inlineStr">
        <is>
          <t>アンケート集計結果は成果品②（別冊約60頁）に収める。令和8年9月に用語解説（第8章4・30語）を新設</t>
        </is>
      </c>
    </row>
    <row r="14">
      <c r="A14" s="46" t="inlineStr">
        <is>
          <t>合計</t>
        </is>
      </c>
      <c r="B14" s="47">
        <f>SUM(B6:B13)</f>
        <v/>
      </c>
      <c r="C14" s="47">
        <f>ROUND(SUM(C6:C13),0)</f>
        <v/>
      </c>
      <c r="D14" s="47">
        <f>SUM(D6:D13)</f>
        <v/>
      </c>
      <c r="E14" s="48">
        <f>D14-C14</f>
        <v/>
      </c>
      <c r="F14" s="46"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9"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2026-10-13T06:30:15Z</dcterms:created>
  <dcterms:modified xmlns:dcterms="http://purl.org/dc/terms/" xmlns:xsi="http://www.w3.org/2001/XMLSchema-instance" xsi:type="dcterms:W3CDTF">2026-10-13T06:30:16Z</dcterms:modified>
</cp:coreProperties>
</file>