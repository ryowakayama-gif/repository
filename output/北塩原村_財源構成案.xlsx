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負担区分マスタ" sheetId="2" state="visible" r:id="rId2"/>
    <sheet xmlns:r="http://schemas.openxmlformats.org/officeDocument/2006/relationships" name="02_給付実績_介護給付費" sheetId="3" state="visible" r:id="rId3"/>
    <sheet xmlns:r="http://schemas.openxmlformats.org/officeDocument/2006/relationships" name="03_給付実績_障害児給付費" sheetId="4" state="visible" r:id="rId4"/>
    <sheet xmlns:r="http://schemas.openxmlformats.org/officeDocument/2006/relationships" name="04_財源構成試算" sheetId="5" state="visible" r:id="rId5"/>
    <sheet xmlns:r="http://schemas.openxmlformats.org/officeDocument/2006/relationships" name="05_サービス別財源構成" sheetId="6" state="visible" r:id="rId6"/>
    <sheet xmlns:r="http://schemas.openxmlformats.org/officeDocument/2006/relationships" name="06_地域生活支援事業" sheetId="7" state="visible" r:id="rId7"/>
    <sheet xmlns:r="http://schemas.openxmlformats.org/officeDocument/2006/relationships" name="07_村単独事業" sheetId="8" state="visible" r:id="rId8"/>
    <sheet xmlns:r="http://schemas.openxmlformats.org/officeDocument/2006/relationships" name="08_R9R11推計" sheetId="9" state="visible" r:id="rId9"/>
    <sheet xmlns:r="http://schemas.openxmlformats.org/officeDocument/2006/relationships" name="09_村確認事項" sheetId="10" state="visible" r:id="rId10"/>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0.0%;-0.0%"/>
  </numFmts>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b val="1"/>
      <sz val="10"/>
    </font>
  </fonts>
  <fills count="12">
    <fill>
      <patternFill/>
    </fill>
    <fill>
      <patternFill patternType="gray125"/>
    </fill>
    <fill>
      <patternFill patternType="solid">
        <fgColor rgb="00FF7F0E"/>
      </patternFill>
    </fill>
    <fill>
      <patternFill patternType="solid">
        <fgColor rgb="002E75B6"/>
      </patternFill>
    </fill>
    <fill>
      <patternFill patternType="solid">
        <fgColor rgb="002CA02C"/>
      </patternFill>
    </fill>
    <fill>
      <patternFill patternType="solid">
        <fgColor rgb="00F7FAFC"/>
      </patternFill>
    </fill>
    <fill>
      <patternFill patternType="solid">
        <fgColor rgb="00ED7D31"/>
      </patternFill>
    </fill>
    <fill>
      <patternFill patternType="solid">
        <fgColor rgb="00C00000"/>
      </patternFill>
    </fill>
    <fill>
      <patternFill patternType="solid">
        <fgColor rgb="001F3864"/>
      </patternFill>
    </fill>
    <fill>
      <patternFill patternType="solid">
        <fgColor rgb="00FFF2CC"/>
      </patternFill>
    </fill>
    <fill>
      <patternFill patternType="solid">
        <fgColor rgb="00DDEBF7"/>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3" fontId="4" fillId="0" borderId="1" applyAlignment="1" pivotButton="0" quotePrefix="0" xfId="0">
      <alignment horizontal="right" vertical="center"/>
    </xf>
    <xf numFmtId="0" fontId="4" fillId="0"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center" wrapText="1" indent="1"/>
    </xf>
    <xf numFmtId="3" fontId="4" fillId="5" borderId="1" applyAlignment="1" pivotButton="0" quotePrefix="0" xfId="0">
      <alignment horizontal="right"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164" fontId="4" fillId="0" borderId="1" applyAlignment="1" pivotButton="0" quotePrefix="0" xfId="0">
      <alignment horizontal="right" vertical="center"/>
    </xf>
    <xf numFmtId="0" fontId="3" fillId="7" borderId="1" applyAlignment="1" pivotButton="0" quotePrefix="0" xfId="0">
      <alignment horizontal="center" vertical="center"/>
    </xf>
    <xf numFmtId="0" fontId="5" fillId="3" borderId="0" applyAlignment="1" pivotButton="0" quotePrefix="0" xfId="0">
      <alignment horizontal="left" vertical="center" indent="1"/>
    </xf>
    <xf numFmtId="0" fontId="1" fillId="8" borderId="0" applyAlignment="1" pivotButton="0" quotePrefix="0" xfId="0">
      <alignment horizontal="left" vertical="center" indent="1"/>
    </xf>
    <xf numFmtId="164" fontId="6" fillId="9" borderId="1" applyAlignment="1" pivotButton="0" quotePrefix="0" xfId="0">
      <alignment horizontal="center" vertical="center"/>
    </xf>
    <xf numFmtId="164" fontId="4" fillId="0" borderId="1" applyAlignment="1" pivotButton="0" quotePrefix="0" xfId="0">
      <alignment horizontal="center" vertical="center"/>
    </xf>
    <xf numFmtId="164" fontId="4" fillId="5" borderId="1" applyAlignment="1" pivotButton="0" quotePrefix="0" xfId="0">
      <alignment horizontal="center" vertical="center"/>
    </xf>
    <xf numFmtId="164" fontId="4" fillId="5" borderId="1" applyAlignment="1" pivotButton="0" quotePrefix="0" xfId="0">
      <alignment horizontal="right" vertical="center"/>
    </xf>
    <xf numFmtId="0" fontId="6" fillId="10" borderId="1" applyAlignment="1" pivotButton="0" quotePrefix="0" xfId="0">
      <alignment horizontal="left" vertical="center" wrapText="1" indent="1"/>
    </xf>
    <xf numFmtId="0" fontId="6" fillId="10" borderId="1" applyAlignment="1" pivotButton="0" quotePrefix="0" xfId="0">
      <alignment horizontal="center" vertical="center"/>
    </xf>
    <xf numFmtId="3" fontId="6" fillId="10" borderId="1" applyAlignment="1" pivotButton="0" quotePrefix="0" xfId="0">
      <alignment horizontal="right" vertical="center"/>
    </xf>
    <xf numFmtId="164" fontId="6" fillId="10" borderId="1" applyAlignment="1" pivotButton="0" quotePrefix="0" xfId="0">
      <alignment horizontal="right" vertical="center"/>
    </xf>
    <xf numFmtId="0" fontId="4" fillId="0" borderId="1" applyAlignment="1" pivotButton="0" quotePrefix="0" xfId="0">
      <alignment horizontal="right" vertical="center"/>
    </xf>
    <xf numFmtId="0" fontId="4" fillId="5" borderId="1" applyAlignment="1" pivotButton="0" quotePrefix="0" xfId="0">
      <alignment horizontal="right" vertical="center"/>
    </xf>
    <xf numFmtId="0" fontId="6" fillId="10" borderId="1" applyAlignment="1" pivotButton="0" quotePrefix="0" xfId="0">
      <alignment horizontal="right" vertical="center"/>
    </xf>
    <xf numFmtId="3" fontId="4" fillId="11" borderId="1" applyAlignment="1" pivotButton="0" quotePrefix="0" xfId="0">
      <alignment horizontal="right" vertical="center"/>
    </xf>
    <xf numFmtId="3" fontId="4" fillId="9" borderId="1" applyAlignment="1" pivotButton="0" quotePrefix="0" xfId="0">
      <alignment horizontal="right" vertical="center"/>
    </xf>
    <xf numFmtId="165" fontId="4" fillId="9" borderId="1" applyAlignment="1" pivotButton="0" quotePrefix="0" xfId="0">
      <alignment horizontal="right" vertical="center"/>
    </xf>
    <xf numFmtId="0" fontId="0" fillId="0" borderId="4" pivotButton="0" quotePrefix="0" xfId="0"/>
    <xf numFmtId="0" fontId="0" fillId="0" borderId="5" pivotButton="0" quotePrefix="0" xfId="0"/>
    <xf numFmtId="165" fontId="6" fillId="11" borderId="1" applyAlignment="1" pivotButton="0" quotePrefix="0" xfId="0">
      <alignment horizontal="right" vertical="center"/>
    </xf>
    <xf numFmtId="0" fontId="4" fillId="10" borderId="1" applyAlignment="1" pivotButton="0" quotePrefix="0" xfId="0">
      <alignment horizontal="center" vertical="center"/>
    </xf>
    <xf numFmtId="0" fontId="4" fillId="10" borderId="1" applyAlignment="1" pivotButton="0" quotePrefix="0" xfId="0">
      <alignment horizontal="left" vertical="center" wrapText="1" indent="1"/>
    </xf>
    <xf numFmtId="166" fontId="4" fillId="9" borderId="1" applyAlignment="1" pivotButton="0" quotePrefix="0" xfId="0">
      <alignment horizontal="right" vertical="center"/>
    </xf>
    <xf numFmtId="164" fontId="4" fillId="11" borderId="1" applyAlignment="1" pivotButton="0" quotePrefix="0" xfId="0">
      <alignment horizontal="right" vertical="center"/>
    </xf>
    <xf numFmtId="167" fontId="4" fillId="0" borderId="1" applyAlignment="1" pivotButton="0" quotePrefix="0" xfId="0">
      <alignment horizontal="right" vertical="center"/>
    </xf>
    <xf numFmtId="167" fontId="4"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34" customWidth="1" min="1" max="1"/>
    <col width="20" customWidth="1" min="2" max="2"/>
    <col width="20" customWidth="1" min="3" max="3"/>
    <col width="14" customWidth="1" min="4" max="4"/>
    <col width="46" customWidth="1" min="5" max="5"/>
  </cols>
  <sheetData>
    <row r="1" ht="32" customHeight="1">
      <c r="A1" s="1" t="inlineStr">
        <is>
          <t>北塩原村 財源構成案 管理ブック（国・県・村の負担内訳）</t>
        </is>
      </c>
    </row>
    <row r="2" ht="28" customHeight="1">
      <c r="A2" s="2" t="inlineStr">
        <is>
          <t>第8期北塩原村障がい福祉計画・第4期北塩原村障がい児福祉計画／令和8年7月7日打合せ「国・県・村の財政負担（自立支援給付等の内訳）の推移を計画に盛り込み可視化する」に対応。</t>
        </is>
      </c>
    </row>
    <row r="4" ht="30" customHeight="1">
      <c r="A4" s="3" t="inlineStr">
        <is>
          <t>確認項目</t>
        </is>
      </c>
      <c r="B4" s="3" t="inlineStr">
        <is>
          <t>現在値（自動計算）</t>
        </is>
      </c>
      <c r="C4" s="3" t="inlineStr">
        <is>
          <t>参照先</t>
        </is>
      </c>
      <c r="D4" s="3" t="inlineStr">
        <is>
          <t>状態</t>
        </is>
      </c>
      <c r="E4" s="3" t="inlineStr">
        <is>
          <t>備考</t>
        </is>
      </c>
    </row>
    <row r="5">
      <c r="A5" s="4" t="inlineStr">
        <is>
          <t>令和7年度 自立支援給付費 総額</t>
        </is>
      </c>
      <c r="B5" s="5">
        <f>'04_財源構成試算'!D11</f>
        <v/>
      </c>
      <c r="C5" s="6" t="inlineStr">
        <is>
          <t>04_財源構成試算</t>
        </is>
      </c>
      <c r="D5" s="7" t="inlineStr">
        <is>
          <t>確定</t>
        </is>
      </c>
      <c r="E5" s="4" t="inlineStr">
        <is>
          <t>介護給付費＋障害児給付費。受領データ（令和2〜7年度）による</t>
        </is>
      </c>
    </row>
    <row r="6">
      <c r="A6" s="8" t="inlineStr">
        <is>
          <t>うち 国庫負担（1/2）</t>
        </is>
      </c>
      <c r="B6" s="9">
        <f>'04_財源構成試算'!E11</f>
        <v/>
      </c>
      <c r="C6" s="10" t="inlineStr">
        <is>
          <t>04_財源構成試算</t>
        </is>
      </c>
      <c r="D6" s="11" t="inlineStr">
        <is>
          <t>暫定</t>
        </is>
      </c>
      <c r="E6" s="8" t="inlineStr">
        <is>
          <t>法定負担割合による試算。村の決算額との突合が必要</t>
        </is>
      </c>
    </row>
    <row r="7">
      <c r="A7" s="4" t="inlineStr">
        <is>
          <t>うち 県負担（1/4）</t>
        </is>
      </c>
      <c r="B7" s="5">
        <f>'04_財源構成試算'!F11</f>
        <v/>
      </c>
      <c r="C7" s="6" t="inlineStr">
        <is>
          <t>04_財源構成試算</t>
        </is>
      </c>
      <c r="D7" s="11" t="inlineStr">
        <is>
          <t>暫定</t>
        </is>
      </c>
      <c r="E7" s="4" t="inlineStr">
        <is>
          <t>同上</t>
        </is>
      </c>
    </row>
    <row r="8">
      <c r="A8" s="8" t="inlineStr">
        <is>
          <t>うち 村負担（1/4）</t>
        </is>
      </c>
      <c r="B8" s="9">
        <f>'04_財源構成試算'!G11</f>
        <v/>
      </c>
      <c r="C8" s="10" t="inlineStr">
        <is>
          <t>04_財源構成試算</t>
        </is>
      </c>
      <c r="D8" s="11" t="inlineStr">
        <is>
          <t>暫定</t>
        </is>
      </c>
      <c r="E8" s="8" t="inlineStr">
        <is>
          <t>同上</t>
        </is>
      </c>
    </row>
    <row r="9">
      <c r="A9" s="4" t="inlineStr">
        <is>
          <t>令和2年度からの増加率（総額）</t>
        </is>
      </c>
      <c r="B9" s="12">
        <f>'04_財源構成試算'!I11</f>
        <v/>
      </c>
      <c r="C9" s="6" t="inlineStr">
        <is>
          <t>04_財源構成試算</t>
        </is>
      </c>
      <c r="D9" s="7" t="inlineStr">
        <is>
          <t>確定</t>
        </is>
      </c>
      <c r="E9" s="4" t="inlineStr">
        <is>
          <t>令和2年度 36,748千円 → 令和7年度 55,513千円</t>
        </is>
      </c>
    </row>
    <row r="10">
      <c r="A10" s="8" t="inlineStr">
        <is>
          <t>地域生活支援事業費（令和7年度）</t>
        </is>
      </c>
      <c r="B10" s="9">
        <f>'06_地域生活支援事業'!C16</f>
        <v/>
      </c>
      <c r="C10" s="10" t="inlineStr">
        <is>
          <t>06_地域生活支援事業</t>
        </is>
      </c>
      <c r="D10" s="13" t="inlineStr">
        <is>
          <t>村資料待ち</t>
        </is>
      </c>
      <c r="E10" s="8" t="inlineStr">
        <is>
          <t>補助基準額の範囲内補助のため、村負担・超過負担の把握には村決算が必要</t>
        </is>
      </c>
    </row>
    <row r="11">
      <c r="A11" s="4" t="inlineStr">
        <is>
          <t>村単独事業費（令和7年度）</t>
        </is>
      </c>
      <c r="B11" s="5">
        <f>'07_村単独事業'!D11</f>
        <v/>
      </c>
      <c r="C11" s="6" t="inlineStr">
        <is>
          <t>07_村単独事業</t>
        </is>
      </c>
      <c r="D11" s="13" t="inlineStr">
        <is>
          <t>村資料待ち</t>
        </is>
      </c>
      <c r="E11" s="4" t="inlineStr">
        <is>
          <t>重度心身障害者医療費助成、人工透析患者通院交通費助成等</t>
        </is>
      </c>
    </row>
    <row r="12">
      <c r="A12" s="8" t="inlineStr">
        <is>
          <t>令和11年度 給付費推計（積上げ）</t>
        </is>
      </c>
      <c r="B12" s="9">
        <f>'08_R9R11推計'!H29</f>
        <v/>
      </c>
      <c r="C12" s="10" t="inlineStr">
        <is>
          <t>08_R9R11推計</t>
        </is>
      </c>
      <c r="D12" s="13" t="inlineStr">
        <is>
          <t>村資料待ち</t>
        </is>
      </c>
      <c r="E12" s="8" t="inlineStr">
        <is>
          <t>サービス見込量ブックの個別積上げ×単価。見込量と単価の入力後に確定する</t>
        </is>
      </c>
    </row>
    <row r="14">
      <c r="A14" s="14" t="inlineStr">
        <is>
          <t>本ブックの使い方と留意点</t>
        </is>
      </c>
    </row>
    <row r="15" ht="26" customHeight="1">
      <c r="A15" s="2" t="inlineStr">
        <is>
          <t>1. 02・03シートの給付実績は受領データ（令和2〜7年度）の確定値です。原則として変更しません。</t>
        </is>
      </c>
    </row>
    <row r="16" ht="26" customHeight="1">
      <c r="A16" s="2" t="inlineStr">
        <is>
          <t>2. 財源構成（04・05）は、01_負担区分マスタの負担割合を掛けた法定ベースの試算です。国庫負担基準額を超えた分は村負担となるため、実際の決算額とは一致しません。</t>
        </is>
      </c>
    </row>
    <row r="17" ht="26" customHeight="1">
      <c r="A17" s="2" t="inlineStr">
        <is>
          <t>3. 村の歳入歳出決算（障害者自立支援給付費負担金・障害児施設給付費負担金等）を受領したら、09_村確認事項の該当行を更新し、試算値と決算額の差を確認してください。</t>
        </is>
      </c>
    </row>
    <row r="18" ht="26" customHeight="1">
      <c r="A18" s="2" t="inlineStr">
        <is>
          <t>4. 地域生活支援事業（06）は国1/2以内・県1/4以内の統合補助金です。補助基準額を超える部分は全額村負担となるため、事業費・交付額・村負担を分けて把握する必要があります。</t>
        </is>
      </c>
    </row>
    <row r="19" ht="26" customHeight="1">
      <c r="A19" s="2" t="inlineStr">
        <is>
          <t>5. 令和9〜11年度の給付費は、伸び率ではなく「北塩原村_サービス見込量.xlsx」の個別積上げ×単価で算定します。08シートに見込量と単価を入力してください。</t>
        </is>
      </c>
    </row>
    <row r="20" ht="26" customHeight="1">
      <c r="A20" s="2" t="inlineStr">
        <is>
          <t>6. 計画書への掲載は、金額の羅列ではなく「総額の推移」「財源別構成比の推移」「サービス別の構成」の3点に絞ると読みやすくなります。</t>
        </is>
      </c>
    </row>
  </sheetData>
  <mergeCells count="9">
    <mergeCell ref="A20:E20"/>
    <mergeCell ref="A2:E2"/>
    <mergeCell ref="A16:E16"/>
    <mergeCell ref="A15:E15"/>
    <mergeCell ref="A19:E19"/>
    <mergeCell ref="A1:E1"/>
    <mergeCell ref="A14:E14"/>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4" customWidth="1" min="6" max="6"/>
    <col width="52" customWidth="1" min="7" max="7"/>
  </cols>
  <sheetData>
    <row r="1" ht="30" customHeight="1">
      <c r="A1" s="15" t="inlineStr">
        <is>
          <t>財源の負担区分</t>
        </is>
      </c>
    </row>
    <row r="2" ht="30" customHeight="1">
      <c r="A2" s="2" t="inlineStr">
        <is>
          <t>障害者総合支援法・児童福祉法に基づく法定負担割合。04・05・08シートはこの表の負担割合（C6:E6）を参照して計算します。実際の交付額・村負担は村の決算で確認してください。</t>
        </is>
      </c>
    </row>
    <row r="5" ht="30" customHeight="1">
      <c r="A5" s="3" t="inlineStr">
        <is>
          <t>費目</t>
        </is>
      </c>
      <c r="B5" s="3" t="inlineStr">
        <is>
          <t>国</t>
        </is>
      </c>
      <c r="C5" s="3" t="inlineStr">
        <is>
          <t>県</t>
        </is>
      </c>
      <c r="D5" s="3" t="inlineStr">
        <is>
          <t>村</t>
        </is>
      </c>
      <c r="E5" s="3" t="inlineStr">
        <is>
          <t>計</t>
        </is>
      </c>
      <c r="F5" s="3" t="inlineStr">
        <is>
          <t>性格</t>
        </is>
      </c>
      <c r="G5" s="3" t="inlineStr">
        <is>
          <t>根拠・留意点</t>
        </is>
      </c>
    </row>
    <row r="6" ht="32" customHeight="1">
      <c r="A6" s="4" t="inlineStr">
        <is>
          <t>介護給付費・訓練等給付費（自立支援給付）</t>
        </is>
      </c>
      <c r="B6" s="16" t="n">
        <v>0.5</v>
      </c>
      <c r="C6" s="16" t="n">
        <v>0.25</v>
      </c>
      <c r="D6" s="16" t="n">
        <v>0.25</v>
      </c>
      <c r="E6" s="17">
        <f>SUM(B6:D6)</f>
        <v/>
      </c>
      <c r="F6" s="6" t="inlineStr">
        <is>
          <t>義務的経費</t>
        </is>
      </c>
      <c r="G6" s="4" t="inlineStr">
        <is>
          <t>障害者総合支援法第92条〜第95条。国庫負担基準額の範囲内。</t>
        </is>
      </c>
    </row>
    <row r="7" ht="32" customHeight="1">
      <c r="A7" s="8" t="inlineStr">
        <is>
          <t>計画相談支援給付費</t>
        </is>
      </c>
      <c r="B7" s="18" t="n">
        <v>0.5</v>
      </c>
      <c r="C7" s="18" t="n">
        <v>0.25</v>
      </c>
      <c r="D7" s="18" t="n">
        <v>0.25</v>
      </c>
      <c r="E7" s="18">
        <f>SUM(B7:D7)</f>
        <v/>
      </c>
      <c r="F7" s="10" t="inlineStr">
        <is>
          <t>義務的経費</t>
        </is>
      </c>
      <c r="G7" s="8" t="inlineStr">
        <is>
          <t>障害者総合支援法に基づく自立支援給付。</t>
        </is>
      </c>
    </row>
    <row r="8" ht="32" customHeight="1">
      <c r="A8" s="4" t="inlineStr">
        <is>
          <t>障害児通所給付費</t>
        </is>
      </c>
      <c r="B8" s="17" t="n">
        <v>0.5</v>
      </c>
      <c r="C8" s="17" t="n">
        <v>0.25</v>
      </c>
      <c r="D8" s="17" t="n">
        <v>0.25</v>
      </c>
      <c r="E8" s="17">
        <f>SUM(B8:D8)</f>
        <v/>
      </c>
      <c r="F8" s="6" t="inlineStr">
        <is>
          <t>義務的経費</t>
        </is>
      </c>
      <c r="G8" s="4" t="inlineStr">
        <is>
          <t>児童福祉法第57条の2等。</t>
        </is>
      </c>
    </row>
    <row r="9" ht="32" customHeight="1">
      <c r="A9" s="8" t="inlineStr">
        <is>
          <t>障害児相談支援給付費</t>
        </is>
      </c>
      <c r="B9" s="18" t="n">
        <v>0.5</v>
      </c>
      <c r="C9" s="18" t="n">
        <v>0.25</v>
      </c>
      <c r="D9" s="18" t="n">
        <v>0.25</v>
      </c>
      <c r="E9" s="18">
        <f>SUM(B9:D9)</f>
        <v/>
      </c>
      <c r="F9" s="10" t="inlineStr">
        <is>
          <t>義務的経費</t>
        </is>
      </c>
      <c r="G9" s="8" t="inlineStr">
        <is>
          <t>児童福祉法に基づく給付。</t>
        </is>
      </c>
    </row>
    <row r="10" ht="32" customHeight="1">
      <c r="A10" s="4" t="inlineStr">
        <is>
          <t>自立支援医療（更生医療・育成医療）</t>
        </is>
      </c>
      <c r="B10" s="17" t="n">
        <v>0.5</v>
      </c>
      <c r="C10" s="17" t="n">
        <v>0.25</v>
      </c>
      <c r="D10" s="17" t="n">
        <v>0.25</v>
      </c>
      <c r="E10" s="17">
        <f>SUM(B10:D10)</f>
        <v/>
      </c>
      <c r="F10" s="6" t="inlineStr">
        <is>
          <t>義務的経費</t>
        </is>
      </c>
      <c r="G10" s="4" t="inlineStr">
        <is>
          <t>精神通院医療は都道府県の実施事務のため村負担なし。</t>
        </is>
      </c>
    </row>
    <row r="11" ht="32" customHeight="1">
      <c r="A11" s="8" t="inlineStr">
        <is>
          <t>補装具費</t>
        </is>
      </c>
      <c r="B11" s="18" t="n">
        <v>0.5</v>
      </c>
      <c r="C11" s="18" t="n">
        <v>0.25</v>
      </c>
      <c r="D11" s="18" t="n">
        <v>0.25</v>
      </c>
      <c r="E11" s="18">
        <f>SUM(B11:D11)</f>
        <v/>
      </c>
      <c r="F11" s="10" t="inlineStr">
        <is>
          <t>義務的経費</t>
        </is>
      </c>
      <c r="G11" s="8" t="inlineStr">
        <is>
          <t>障害者総合支援法第76条。</t>
        </is>
      </c>
    </row>
    <row r="12" ht="32" customHeight="1">
      <c r="A12" s="4" t="inlineStr">
        <is>
          <t>地域生活支援事業</t>
        </is>
      </c>
      <c r="B12" s="17" t="n">
        <v>0.5</v>
      </c>
      <c r="C12" s="17" t="n">
        <v>0.25</v>
      </c>
      <c r="D12" s="17" t="n">
        <v>0.25</v>
      </c>
      <c r="E12" s="17">
        <f>SUM(B12:D12)</f>
        <v/>
      </c>
      <c r="F12" s="6" t="inlineStr">
        <is>
          <t>裁量的経費</t>
        </is>
      </c>
      <c r="G12" s="4" t="inlineStr">
        <is>
          <t>国1/2以内・県1/4以内の統合補助金。補助基準額を超える分は村単独負担となる。</t>
        </is>
      </c>
    </row>
    <row r="13" ht="32" customHeight="1">
      <c r="A13" s="8" t="inlineStr">
        <is>
          <t>村単独事業（重度心身障害者医療費助成等）</t>
        </is>
      </c>
      <c r="B13" s="10" t="inlineStr">
        <is>
          <t>－</t>
        </is>
      </c>
      <c r="C13" s="10" t="inlineStr">
        <is>
          <t>事業ごと</t>
        </is>
      </c>
      <c r="D13" s="10" t="inlineStr">
        <is>
          <t>残額</t>
        </is>
      </c>
      <c r="E13" s="10" t="inlineStr"/>
      <c r="F13" s="10" t="inlineStr">
        <is>
          <t>村単独</t>
        </is>
      </c>
      <c r="G13" s="8" t="inlineStr">
        <is>
          <t>一部に県補助金あり。県補助率は事業ごとに確認が必要。</t>
        </is>
      </c>
    </row>
    <row r="15">
      <c r="A15" s="2" t="inlineStr">
        <is>
          <t>※ 黄色セル（B6:D6）が04・05・08シートの計算に使われる負担割合です。制度改正等で割合が変わった場合はここを直すと全シートに反映されます。</t>
        </is>
      </c>
    </row>
    <row r="17">
      <c r="A17" s="14" t="inlineStr">
        <is>
          <t>計画書に記載する際の整理</t>
        </is>
      </c>
    </row>
    <row r="18" ht="30" customHeight="1">
      <c r="A18" s="2" t="inlineStr">
        <is>
          <t>・自立支援給付（介護給付費・訓練等給付費・計画相談支援給付費）と障害児通所給付費は義務的経費であり、利用があれば国・県の負担が伴います。村の裁量で増減させるものではありません。</t>
        </is>
      </c>
    </row>
    <row r="19" ht="30" customHeight="1">
      <c r="A19" s="2" t="inlineStr">
        <is>
          <t>・これに対し地域生活支援事業は裁量的経費（統合補助金）で、国1/2以内・県1/4以内の「以内補助」です。補助基準額を超えた分は村の一般財源で賄うことになります。</t>
        </is>
      </c>
    </row>
    <row r="20" ht="30" customHeight="1">
      <c r="A20" s="2" t="inlineStr">
        <is>
          <t>・したがって「実施の有無」だけで施策を評価せず、事業費・国県補助額・村負担額・超過負担の有無を分けて評価する必要があります（計画書 現行計画評価の章）。</t>
        </is>
      </c>
    </row>
    <row r="21" ht="30" customHeight="1">
      <c r="A21" s="2" t="inlineStr">
        <is>
          <t>・村単独事業（重度心身障害者医療費助成、在宅重度障害者対策事業、人工透析患者通院交通費助成等）は、生活継続を支える基盤であるため、対象者数と村負担額を継続して把握します。</t>
        </is>
      </c>
    </row>
  </sheetData>
  <mergeCells count="8">
    <mergeCell ref="A1:G1"/>
    <mergeCell ref="A17:G17"/>
    <mergeCell ref="A18:G18"/>
    <mergeCell ref="A21:G21"/>
    <mergeCell ref="A20:G20"/>
    <mergeCell ref="A2:G2"/>
    <mergeCell ref="A15:G15"/>
    <mergeCell ref="A19:G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showGridLines="0" workbookViewId="0">
      <pane ySplit="4" topLeftCell="A5"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2" customWidth="1" min="9" max="9"/>
    <col width="14" customWidth="1" min="10" max="10"/>
  </cols>
  <sheetData>
    <row r="1" ht="30" customHeight="1">
      <c r="A1" s="15" t="inlineStr">
        <is>
          <t>介護給付費・訓練等給付費 実績（サービス別）</t>
        </is>
      </c>
    </row>
    <row r="2" ht="30" customHeight="1">
      <c r="A2" s="2" t="inlineStr">
        <is>
          <t>受領データ「【北塩原村】障がいサービス給付実績.xlsx」の整理版による確定値（令和2〜7年度）。空欄は当該年度に実績がないことを示します。原則として変更しません。</t>
        </is>
      </c>
    </row>
    <row r="5" ht="30" customHeight="1">
      <c r="A5" s="3" t="inlineStr">
        <is>
          <t>サービス</t>
        </is>
      </c>
      <c r="B5" s="3" t="inlineStr">
        <is>
          <t>区分</t>
        </is>
      </c>
      <c r="C5" s="3" t="inlineStr">
        <is>
          <t>令和2年度</t>
        </is>
      </c>
      <c r="D5" s="3" t="inlineStr">
        <is>
          <t>令和3年度</t>
        </is>
      </c>
      <c r="E5" s="3" t="inlineStr">
        <is>
          <t>令和4年度</t>
        </is>
      </c>
      <c r="F5" s="3" t="inlineStr">
        <is>
          <t>令和5年度</t>
        </is>
      </c>
      <c r="G5" s="3" t="inlineStr">
        <is>
          <t>令和6年度</t>
        </is>
      </c>
      <c r="H5" s="3" t="inlineStr">
        <is>
          <t>令和7年度</t>
        </is>
      </c>
      <c r="I5" s="3" t="inlineStr">
        <is>
          <t>令和2年度比</t>
        </is>
      </c>
      <c r="J5" s="3" t="inlineStr">
        <is>
          <t>備考</t>
        </is>
      </c>
    </row>
    <row r="6">
      <c r="A6" s="4" t="inlineStr">
        <is>
          <t>居宅介護</t>
        </is>
      </c>
      <c r="B6" s="6" t="inlineStr">
        <is>
          <t>金額</t>
        </is>
      </c>
      <c r="C6" s="5" t="n">
        <v>1387313</v>
      </c>
      <c r="D6" s="5" t="n">
        <v>1294783</v>
      </c>
      <c r="E6" s="5" t="n">
        <v>1016801</v>
      </c>
      <c r="F6" s="5" t="n">
        <v>1095062</v>
      </c>
      <c r="G6" s="5" t="n">
        <v>1155018</v>
      </c>
      <c r="H6" s="5" t="n">
        <v>1713336</v>
      </c>
      <c r="I6" s="12">
        <f>IF(OR(C6="",C6=0,H6=""),"",H6/C6-1)</f>
        <v/>
      </c>
      <c r="J6" s="4" t="inlineStr"/>
    </row>
    <row r="7">
      <c r="A7" s="8" t="inlineStr">
        <is>
          <t>生活介護</t>
        </is>
      </c>
      <c r="B7" s="10" t="inlineStr">
        <is>
          <t>金額</t>
        </is>
      </c>
      <c r="C7" s="9" t="n">
        <v>9144480</v>
      </c>
      <c r="D7" s="9" t="n">
        <v>10414930</v>
      </c>
      <c r="E7" s="9" t="n">
        <v>11977750</v>
      </c>
      <c r="F7" s="9" t="n">
        <v>12373933</v>
      </c>
      <c r="G7" s="9" t="n">
        <v>13040653</v>
      </c>
      <c r="H7" s="9" t="n">
        <v>13209810</v>
      </c>
      <c r="I7" s="19">
        <f>IF(OR(C7="",C7=0,H7=""),"",H7/C7-1)</f>
        <v/>
      </c>
      <c r="J7" s="8" t="inlineStr"/>
    </row>
    <row r="8">
      <c r="A8" s="4" t="inlineStr">
        <is>
          <t>生活介護（基準該当）</t>
        </is>
      </c>
      <c r="B8" s="6" t="inlineStr">
        <is>
          <t>金額</t>
        </is>
      </c>
      <c r="C8" s="5" t="n"/>
      <c r="D8" s="5" t="n"/>
      <c r="E8" s="5" t="n"/>
      <c r="F8" s="5" t="n"/>
      <c r="G8" s="5" t="n">
        <v>99627</v>
      </c>
      <c r="H8" s="5" t="n">
        <v>55760</v>
      </c>
      <c r="I8" s="12">
        <f>IF(OR(C8="",C8=0,H8=""),"",H8/C8-1)</f>
        <v/>
      </c>
      <c r="J8" s="4" t="inlineStr"/>
    </row>
    <row r="9">
      <c r="A9" s="8" t="inlineStr">
        <is>
          <t>短期入所</t>
        </is>
      </c>
      <c r="B9" s="10" t="inlineStr">
        <is>
          <t>金額</t>
        </is>
      </c>
      <c r="C9" s="9" t="n"/>
      <c r="D9" s="9" t="n"/>
      <c r="E9" s="9" t="n"/>
      <c r="F9" s="9" t="n"/>
      <c r="G9" s="9" t="n">
        <v>26000</v>
      </c>
      <c r="H9" s="9" t="n">
        <v>54630</v>
      </c>
      <c r="I9" s="19">
        <f>IF(OR(C9="",C9=0,H9=""),"",H9/C9-1)</f>
        <v/>
      </c>
      <c r="J9" s="8" t="inlineStr">
        <is>
          <t>令和6年度から実績あり。拠点の緊急受入と接続</t>
        </is>
      </c>
    </row>
    <row r="10">
      <c r="A10" s="4" t="inlineStr">
        <is>
          <t>自立訓練（生活訓練）</t>
        </is>
      </c>
      <c r="B10" s="6" t="inlineStr">
        <is>
          <t>金額</t>
        </is>
      </c>
      <c r="C10" s="5" t="n">
        <v>2615274</v>
      </c>
      <c r="D10" s="5" t="n">
        <v>3023251</v>
      </c>
      <c r="E10" s="5" t="n">
        <v>1973204</v>
      </c>
      <c r="F10" s="5" t="n">
        <v>1183986</v>
      </c>
      <c r="G10" s="5" t="n">
        <v>0</v>
      </c>
      <c r="H10" s="5" t="n">
        <v>382238</v>
      </c>
      <c r="I10" s="12">
        <f>IF(OR(C10="",C10=0,H10=""),"",H10/C10-1)</f>
        <v/>
      </c>
      <c r="J10" s="4" t="inlineStr"/>
    </row>
    <row r="11">
      <c r="A11" s="8" t="inlineStr">
        <is>
          <t>宿泊型自立訓練</t>
        </is>
      </c>
      <c r="B11" s="10" t="inlineStr">
        <is>
          <t>金額</t>
        </is>
      </c>
      <c r="C11" s="9" t="n">
        <v>689860</v>
      </c>
      <c r="D11" s="9" t="n">
        <v>0</v>
      </c>
      <c r="E11" s="9" t="n">
        <v>0</v>
      </c>
      <c r="F11" s="9" t="n">
        <v>0</v>
      </c>
      <c r="G11" s="9" t="n"/>
      <c r="H11" s="9" t="n"/>
      <c r="I11" s="19">
        <f>IF(OR(C11="",C11=0,H11=""),"",H11/C11-1)</f>
        <v/>
      </c>
      <c r="J11" s="8" t="inlineStr"/>
    </row>
    <row r="12">
      <c r="A12" s="4" t="inlineStr">
        <is>
          <t>就労移行支援</t>
        </is>
      </c>
      <c r="B12" s="6" t="inlineStr">
        <is>
          <t>金額</t>
        </is>
      </c>
      <c r="C12" s="5" t="n"/>
      <c r="D12" s="5" t="n"/>
      <c r="E12" s="5" t="n">
        <v>40690</v>
      </c>
      <c r="F12" s="5" t="n">
        <v>744891</v>
      </c>
      <c r="G12" s="5" t="n"/>
      <c r="H12" s="5" t="n"/>
      <c r="I12" s="12">
        <f>IF(OR(C12="",C12=0,H12=""),"",H12/C12-1)</f>
        <v/>
      </c>
      <c r="J12" s="4" t="inlineStr"/>
    </row>
    <row r="13">
      <c r="A13" s="8" t="inlineStr">
        <is>
          <t>就労定着支援</t>
        </is>
      </c>
      <c r="B13" s="10" t="inlineStr">
        <is>
          <t>金額</t>
        </is>
      </c>
      <c r="C13" s="9" t="n">
        <v>295250</v>
      </c>
      <c r="D13" s="9" t="n">
        <v>53230</v>
      </c>
      <c r="E13" s="9" t="n"/>
      <c r="F13" s="9" t="n"/>
      <c r="G13" s="9" t="n"/>
      <c r="H13" s="9" t="n"/>
      <c r="I13" s="19">
        <f>IF(OR(C13="",C13=0,H13=""),"",H13/C13-1)</f>
        <v/>
      </c>
      <c r="J13" s="8" t="inlineStr"/>
    </row>
    <row r="14">
      <c r="A14" s="4" t="inlineStr">
        <is>
          <t>就労継続支援（B型）</t>
        </is>
      </c>
      <c r="B14" s="6" t="inlineStr">
        <is>
          <t>金額</t>
        </is>
      </c>
      <c r="C14" s="5" t="n">
        <v>9458880</v>
      </c>
      <c r="D14" s="5" t="n">
        <v>10911480</v>
      </c>
      <c r="E14" s="5" t="n">
        <v>12180133</v>
      </c>
      <c r="F14" s="5" t="n">
        <v>14141251</v>
      </c>
      <c r="G14" s="5" t="n">
        <v>19829973</v>
      </c>
      <c r="H14" s="5" t="n">
        <v>19707121</v>
      </c>
      <c r="I14" s="12">
        <f>IF(OR(C14="",C14=0,H14=""),"",H14/C14-1)</f>
        <v/>
      </c>
      <c r="J14" s="4" t="inlineStr">
        <is>
          <t>金額最大。日中活動・就労支援の見込量根拠</t>
        </is>
      </c>
    </row>
    <row r="15">
      <c r="A15" s="8" t="inlineStr">
        <is>
          <t>共同生活援助</t>
        </is>
      </c>
      <c r="B15" s="10" t="inlineStr">
        <is>
          <t>金額</t>
        </is>
      </c>
      <c r="C15" s="9" t="n">
        <v>6413031</v>
      </c>
      <c r="D15" s="9" t="n">
        <v>13103695</v>
      </c>
      <c r="E15" s="9" t="n">
        <v>9680695</v>
      </c>
      <c r="F15" s="9" t="n">
        <v>8186883</v>
      </c>
      <c r="G15" s="9" t="n">
        <v>9927798</v>
      </c>
      <c r="H15" s="9" t="n">
        <v>9663491</v>
      </c>
      <c r="I15" s="19">
        <f>IF(OR(C15="",C15=0,H15=""),"",H15/C15-1)</f>
        <v/>
      </c>
      <c r="J15" s="8" t="inlineStr"/>
    </row>
    <row r="16">
      <c r="A16" s="4" t="inlineStr">
        <is>
          <t>共同生活援助（特定障害者特別給付費）</t>
        </is>
      </c>
      <c r="B16" s="6" t="inlineStr">
        <is>
          <t>金額</t>
        </is>
      </c>
      <c r="C16" s="5" t="n"/>
      <c r="D16" s="5" t="n"/>
      <c r="E16" s="5" t="n"/>
      <c r="F16" s="5" t="n"/>
      <c r="G16" s="5" t="n">
        <v>810000</v>
      </c>
      <c r="H16" s="5" t="n">
        <v>1026928</v>
      </c>
      <c r="I16" s="12">
        <f>IF(OR(C16="",C16=0,H16=""),"",H16/C16-1)</f>
        <v/>
      </c>
      <c r="J16" s="4" t="inlineStr"/>
    </row>
    <row r="17">
      <c r="A17" s="8" t="inlineStr">
        <is>
          <t>施設入所支援</t>
        </is>
      </c>
      <c r="B17" s="10" t="inlineStr">
        <is>
          <t>金額</t>
        </is>
      </c>
      <c r="C17" s="9" t="n">
        <v>4993225</v>
      </c>
      <c r="D17" s="9" t="n">
        <v>5747691</v>
      </c>
      <c r="E17" s="9" t="n">
        <v>5829436</v>
      </c>
      <c r="F17" s="9" t="n">
        <v>5696159</v>
      </c>
      <c r="G17" s="9" t="n">
        <v>5845600</v>
      </c>
      <c r="H17" s="9" t="n">
        <v>5993690</v>
      </c>
      <c r="I17" s="19">
        <f>IF(OR(C17="",C17=0,H17=""),"",H17/C17-1)</f>
        <v/>
      </c>
      <c r="J17" s="8" t="inlineStr"/>
    </row>
    <row r="18">
      <c r="A18" s="4" t="inlineStr">
        <is>
          <t>施設入所支援（特定障害者特別給付費）</t>
        </is>
      </c>
      <c r="B18" s="6" t="inlineStr">
        <is>
          <t>金額</t>
        </is>
      </c>
      <c r="C18" s="5" t="n"/>
      <c r="D18" s="5" t="n"/>
      <c r="E18" s="5" t="n"/>
      <c r="F18" s="5" t="n"/>
      <c r="G18" s="5" t="n">
        <v>269576</v>
      </c>
      <c r="H18" s="5" t="n">
        <v>206084</v>
      </c>
      <c r="I18" s="12">
        <f>IF(OR(C18="",C18=0,H18=""),"",H18/C18-1)</f>
        <v/>
      </c>
      <c r="J18" s="4" t="inlineStr"/>
    </row>
    <row r="19">
      <c r="A19" s="8" t="inlineStr">
        <is>
          <t>計画相談支援</t>
        </is>
      </c>
      <c r="B19" s="10" t="inlineStr">
        <is>
          <t>金額</t>
        </is>
      </c>
      <c r="C19" s="9" t="n">
        <v>1004961</v>
      </c>
      <c r="D19" s="9" t="n">
        <v>1442575</v>
      </c>
      <c r="E19" s="9" t="n">
        <v>1535312</v>
      </c>
      <c r="F19" s="9" t="n">
        <v>997809</v>
      </c>
      <c r="G19" s="9" t="n">
        <v>1694563</v>
      </c>
      <c r="H19" s="9" t="n">
        <v>1863988</v>
      </c>
      <c r="I19" s="19">
        <f>IF(OR(C19="",C19=0,H19=""),"",H19/C19-1)</f>
        <v/>
      </c>
      <c r="J19" s="8" t="inlineStr"/>
    </row>
    <row r="20">
      <c r="A20" s="20" t="inlineStr">
        <is>
          <t>介護給付費 合計</t>
        </is>
      </c>
      <c r="B20" s="21" t="inlineStr">
        <is>
          <t>金額</t>
        </is>
      </c>
      <c r="C20" s="22">
        <f>SUM(C6:C19)</f>
        <v/>
      </c>
      <c r="D20" s="22">
        <f>SUM(D6:D19)</f>
        <v/>
      </c>
      <c r="E20" s="22">
        <f>SUM(E6:E19)</f>
        <v/>
      </c>
      <c r="F20" s="22">
        <f>SUM(F6:F19)</f>
        <v/>
      </c>
      <c r="G20" s="22">
        <f>SUM(G6:G19)</f>
        <v/>
      </c>
      <c r="H20" s="22">
        <f>SUM(H6:H19)</f>
        <v/>
      </c>
      <c r="I20" s="23">
        <f>H20/C20-1</f>
        <v/>
      </c>
      <c r="J20" s="20" t="inlineStr">
        <is>
          <t>内訳の合計＝原票の年度合計と一致</t>
        </is>
      </c>
    </row>
    <row r="22">
      <c r="A22" s="14" t="inlineStr">
        <is>
          <t>参考：件数</t>
        </is>
      </c>
    </row>
    <row r="23" ht="30" customHeight="1">
      <c r="A23" s="3" t="inlineStr">
        <is>
          <t>サービス</t>
        </is>
      </c>
      <c r="B23" s="3" t="inlineStr">
        <is>
          <t>区分</t>
        </is>
      </c>
      <c r="C23" s="3" t="inlineStr">
        <is>
          <t>令和2年度</t>
        </is>
      </c>
      <c r="D23" s="3" t="inlineStr">
        <is>
          <t>令和3年度</t>
        </is>
      </c>
      <c r="E23" s="3" t="inlineStr">
        <is>
          <t>令和4年度</t>
        </is>
      </c>
      <c r="F23" s="3" t="inlineStr">
        <is>
          <t>令和5年度</t>
        </is>
      </c>
      <c r="G23" s="3" t="inlineStr">
        <is>
          <t>令和6年度</t>
        </is>
      </c>
      <c r="H23" s="3" t="inlineStr">
        <is>
          <t>令和7年度</t>
        </is>
      </c>
      <c r="I23" s="3" t="inlineStr">
        <is>
          <t>令和2年度比</t>
        </is>
      </c>
      <c r="J23" s="3" t="inlineStr">
        <is>
          <t>備考</t>
        </is>
      </c>
    </row>
    <row r="24">
      <c r="A24" s="4" t="inlineStr">
        <is>
          <t>居宅介護</t>
        </is>
      </c>
      <c r="B24" s="6" t="inlineStr">
        <is>
          <t>件数</t>
        </is>
      </c>
      <c r="C24" s="5" t="n">
        <v>27</v>
      </c>
      <c r="D24" s="5" t="n">
        <v>24</v>
      </c>
      <c r="E24" s="5" t="n">
        <v>24</v>
      </c>
      <c r="F24" s="5" t="n">
        <v>27</v>
      </c>
      <c r="G24" s="5" t="n">
        <v>43</v>
      </c>
      <c r="H24" s="5" t="n">
        <v>44</v>
      </c>
      <c r="I24" s="24" t="inlineStr"/>
      <c r="J24" s="4" t="inlineStr"/>
    </row>
    <row r="25">
      <c r="A25" s="8" t="inlineStr">
        <is>
          <t>生活介護</t>
        </is>
      </c>
      <c r="B25" s="10" t="inlineStr">
        <is>
          <t>件数</t>
        </is>
      </c>
      <c r="C25" s="9" t="n">
        <v>58</v>
      </c>
      <c r="D25" s="9" t="n">
        <v>64</v>
      </c>
      <c r="E25" s="9" t="n">
        <v>83</v>
      </c>
      <c r="F25" s="9" t="n">
        <v>84</v>
      </c>
      <c r="G25" s="9" t="n">
        <v>84</v>
      </c>
      <c r="H25" s="9" t="n">
        <v>79</v>
      </c>
      <c r="I25" s="25" t="inlineStr"/>
      <c r="J25" s="8" t="inlineStr"/>
    </row>
    <row r="26">
      <c r="A26" s="4" t="inlineStr">
        <is>
          <t>生活介護（基準該当）</t>
        </is>
      </c>
      <c r="B26" s="6" t="inlineStr">
        <is>
          <t>件数</t>
        </is>
      </c>
      <c r="C26" s="5" t="n"/>
      <c r="D26" s="5" t="n"/>
      <c r="E26" s="5" t="n"/>
      <c r="F26" s="5" t="n"/>
      <c r="G26" s="5" t="n">
        <v>11</v>
      </c>
      <c r="H26" s="5" t="n">
        <v>7</v>
      </c>
      <c r="I26" s="24" t="inlineStr"/>
      <c r="J26" s="4" t="inlineStr"/>
    </row>
    <row r="27">
      <c r="A27" s="8" t="inlineStr">
        <is>
          <t>短期入所</t>
        </is>
      </c>
      <c r="B27" s="10" t="inlineStr">
        <is>
          <t>件数</t>
        </is>
      </c>
      <c r="C27" s="9" t="n"/>
      <c r="D27" s="9" t="n"/>
      <c r="E27" s="9" t="n"/>
      <c r="F27" s="9" t="n"/>
      <c r="G27" s="9" t="n">
        <v>2</v>
      </c>
      <c r="H27" s="9" t="n">
        <v>3</v>
      </c>
      <c r="I27" s="25" t="inlineStr"/>
      <c r="J27" s="8" t="inlineStr"/>
    </row>
    <row r="28">
      <c r="A28" s="4" t="inlineStr">
        <is>
          <t>自立訓練（生活訓練）</t>
        </is>
      </c>
      <c r="B28" s="6" t="inlineStr">
        <is>
          <t>件数</t>
        </is>
      </c>
      <c r="C28" s="5" t="n">
        <v>23</v>
      </c>
      <c r="D28" s="5" t="n">
        <v>21</v>
      </c>
      <c r="E28" s="5" t="n">
        <v>11</v>
      </c>
      <c r="F28" s="5" t="n">
        <v>7</v>
      </c>
      <c r="G28" s="5" t="n">
        <v>0</v>
      </c>
      <c r="H28" s="5" t="n">
        <v>2</v>
      </c>
      <c r="I28" s="24" t="inlineStr"/>
      <c r="J28" s="4" t="inlineStr"/>
    </row>
    <row r="29">
      <c r="A29" s="8" t="inlineStr">
        <is>
          <t>宿泊型自立訓練</t>
        </is>
      </c>
      <c r="B29" s="10" t="inlineStr">
        <is>
          <t>件数</t>
        </is>
      </c>
      <c r="C29" s="9" t="n">
        <v>11</v>
      </c>
      <c r="D29" s="9" t="n">
        <v>0</v>
      </c>
      <c r="E29" s="9" t="n">
        <v>0</v>
      </c>
      <c r="F29" s="9" t="n">
        <v>0</v>
      </c>
      <c r="G29" s="9" t="n"/>
      <c r="H29" s="9" t="n"/>
      <c r="I29" s="25" t="inlineStr"/>
      <c r="J29" s="8" t="inlineStr"/>
    </row>
    <row r="30">
      <c r="A30" s="4" t="inlineStr">
        <is>
          <t>就労移行支援</t>
        </is>
      </c>
      <c r="B30" s="6" t="inlineStr">
        <is>
          <t>件数</t>
        </is>
      </c>
      <c r="C30" s="5" t="n"/>
      <c r="D30" s="5" t="n"/>
      <c r="E30" s="5" t="n">
        <v>2</v>
      </c>
      <c r="F30" s="5" t="n">
        <v>5</v>
      </c>
      <c r="G30" s="5" t="n"/>
      <c r="H30" s="5" t="n"/>
      <c r="I30" s="24" t="inlineStr"/>
      <c r="J30" s="4" t="inlineStr"/>
    </row>
    <row r="31">
      <c r="A31" s="8" t="inlineStr">
        <is>
          <t>就労定着支援</t>
        </is>
      </c>
      <c r="B31" s="10" t="inlineStr">
        <is>
          <t>件数</t>
        </is>
      </c>
      <c r="C31" s="9" t="n">
        <v>12</v>
      </c>
      <c r="D31" s="9" t="n">
        <v>2</v>
      </c>
      <c r="E31" s="9" t="n"/>
      <c r="F31" s="9" t="n"/>
      <c r="G31" s="9" t="n"/>
      <c r="H31" s="9" t="n"/>
      <c r="I31" s="25" t="inlineStr"/>
      <c r="J31" s="8" t="inlineStr"/>
    </row>
    <row r="32">
      <c r="A32" s="4" t="inlineStr">
        <is>
          <t>就労継続支援（B型）</t>
        </is>
      </c>
      <c r="B32" s="6" t="inlineStr">
        <is>
          <t>件数</t>
        </is>
      </c>
      <c r="C32" s="5" t="n">
        <v>74</v>
      </c>
      <c r="D32" s="5" t="n">
        <v>89</v>
      </c>
      <c r="E32" s="5" t="n">
        <v>106</v>
      </c>
      <c r="F32" s="5" t="n">
        <v>114</v>
      </c>
      <c r="G32" s="5" t="n">
        <v>140</v>
      </c>
      <c r="H32" s="5" t="n">
        <v>143</v>
      </c>
      <c r="I32" s="24" t="inlineStr"/>
      <c r="J32" s="4" t="inlineStr"/>
    </row>
    <row r="33">
      <c r="A33" s="8" t="inlineStr">
        <is>
          <t>共同生活援助</t>
        </is>
      </c>
      <c r="B33" s="10" t="inlineStr">
        <is>
          <t>件数</t>
        </is>
      </c>
      <c r="C33" s="9" t="n">
        <v>64</v>
      </c>
      <c r="D33" s="9" t="n">
        <v>108</v>
      </c>
      <c r="E33" s="9" t="n">
        <v>83</v>
      </c>
      <c r="F33" s="9" t="n">
        <v>75</v>
      </c>
      <c r="G33" s="9" t="n">
        <v>82</v>
      </c>
      <c r="H33" s="9" t="n">
        <v>105</v>
      </c>
      <c r="I33" s="25" t="inlineStr"/>
      <c r="J33" s="8" t="inlineStr"/>
    </row>
    <row r="34">
      <c r="A34" s="4" t="inlineStr">
        <is>
          <t>共同生活援助（特定障害者特別給付費）</t>
        </is>
      </c>
      <c r="B34" s="6" t="inlineStr">
        <is>
          <t>件数</t>
        </is>
      </c>
      <c r="C34" s="5" t="n"/>
      <c r="D34" s="5" t="n"/>
      <c r="E34" s="5" t="n"/>
      <c r="F34" s="5" t="n"/>
      <c r="G34" s="5" t="n">
        <v>81</v>
      </c>
      <c r="H34" s="5" t="n">
        <v>105</v>
      </c>
      <c r="I34" s="24" t="inlineStr"/>
      <c r="J34" s="4" t="inlineStr"/>
    </row>
    <row r="35">
      <c r="A35" s="8" t="inlineStr">
        <is>
          <t>施設入所支援</t>
        </is>
      </c>
      <c r="B35" s="10" t="inlineStr">
        <is>
          <t>件数</t>
        </is>
      </c>
      <c r="C35" s="9" t="n">
        <v>46</v>
      </c>
      <c r="D35" s="9" t="n">
        <v>50</v>
      </c>
      <c r="E35" s="9" t="n">
        <v>48</v>
      </c>
      <c r="F35" s="9" t="n">
        <v>48</v>
      </c>
      <c r="G35" s="9" t="n">
        <v>48</v>
      </c>
      <c r="H35" s="9" t="n">
        <v>48</v>
      </c>
      <c r="I35" s="25" t="inlineStr"/>
      <c r="J35" s="8" t="inlineStr"/>
    </row>
    <row r="36">
      <c r="A36" s="4" t="inlineStr">
        <is>
          <t>施設入所支援（特定障害者特別給付費）</t>
        </is>
      </c>
      <c r="B36" s="6" t="inlineStr">
        <is>
          <t>件数</t>
        </is>
      </c>
      <c r="C36" s="5" t="n"/>
      <c r="D36" s="5" t="n"/>
      <c r="E36" s="5" t="n"/>
      <c r="F36" s="5" t="n"/>
      <c r="G36" s="5" t="n">
        <v>43</v>
      </c>
      <c r="H36" s="5" t="n">
        <v>12</v>
      </c>
      <c r="I36" s="24" t="inlineStr"/>
      <c r="J36" s="4" t="inlineStr"/>
    </row>
    <row r="37">
      <c r="A37" s="8" t="inlineStr">
        <is>
          <t>計画相談支援</t>
        </is>
      </c>
      <c r="B37" s="10" t="inlineStr">
        <is>
          <t>件数</t>
        </is>
      </c>
      <c r="C37" s="9" t="n">
        <v>61</v>
      </c>
      <c r="D37" s="9" t="n">
        <v>81</v>
      </c>
      <c r="E37" s="9" t="n">
        <v>83</v>
      </c>
      <c r="F37" s="9" t="n">
        <v>55</v>
      </c>
      <c r="G37" s="9" t="n">
        <v>71</v>
      </c>
      <c r="H37" s="9" t="n">
        <v>76</v>
      </c>
      <c r="I37" s="25" t="inlineStr"/>
      <c r="J37" s="8" t="inlineStr"/>
    </row>
    <row r="38">
      <c r="A38" s="20" t="inlineStr">
        <is>
          <t>介護給付費 合計</t>
        </is>
      </c>
      <c r="B38" s="21" t="inlineStr">
        <is>
          <t>件数</t>
        </is>
      </c>
      <c r="C38" s="22">
        <f>SUM(C24:C37)</f>
        <v/>
      </c>
      <c r="D38" s="22">
        <f>SUM(D24:D37)</f>
        <v/>
      </c>
      <c r="E38" s="22">
        <f>SUM(E24:E37)</f>
        <v/>
      </c>
      <c r="F38" s="22">
        <f>SUM(F24:F37)</f>
        <v/>
      </c>
      <c r="G38" s="22">
        <f>SUM(G24:G37)</f>
        <v/>
      </c>
      <c r="H38" s="22">
        <f>SUM(H24:H37)</f>
        <v/>
      </c>
      <c r="I38" s="26" t="inlineStr"/>
      <c r="J38" s="20" t="inlineStr"/>
    </row>
  </sheetData>
  <mergeCells count="3">
    <mergeCell ref="A22:J2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2" customWidth="1" min="9" max="9"/>
    <col width="14" customWidth="1" min="10" max="10"/>
  </cols>
  <sheetData>
    <row r="1" ht="30" customHeight="1">
      <c r="A1" s="15" t="inlineStr">
        <is>
          <t>障害児通所給付費・障害児相談支援給付費 実績（サービス別）</t>
        </is>
      </c>
    </row>
    <row r="2" ht="30" customHeight="1">
      <c r="A2" s="2" t="inlineStr">
        <is>
          <t>受領データの整理版による確定値（令和2〜7年度）。障害児給付費は令和4年度をピークに減少し、令和7年度は放課後等デイサービスが中心となっています。</t>
        </is>
      </c>
    </row>
    <row r="5" ht="30" customHeight="1">
      <c r="A5" s="3" t="inlineStr">
        <is>
          <t>サービス</t>
        </is>
      </c>
      <c r="B5" s="3" t="inlineStr">
        <is>
          <t>区分</t>
        </is>
      </c>
      <c r="C5" s="3" t="inlineStr">
        <is>
          <t>令和2年度</t>
        </is>
      </c>
      <c r="D5" s="3" t="inlineStr">
        <is>
          <t>令和3年度</t>
        </is>
      </c>
      <c r="E5" s="3" t="inlineStr">
        <is>
          <t>令和4年度</t>
        </is>
      </c>
      <c r="F5" s="3" t="inlineStr">
        <is>
          <t>令和5年度</t>
        </is>
      </c>
      <c r="G5" s="3" t="inlineStr">
        <is>
          <t>令和6年度</t>
        </is>
      </c>
      <c r="H5" s="3" t="inlineStr">
        <is>
          <t>令和7年度</t>
        </is>
      </c>
      <c r="I5" s="3" t="inlineStr">
        <is>
          <t>令和2年度比</t>
        </is>
      </c>
      <c r="J5" s="3" t="inlineStr">
        <is>
          <t>備考</t>
        </is>
      </c>
    </row>
    <row r="6">
      <c r="A6" s="4" t="inlineStr">
        <is>
          <t>児童発達支援</t>
        </is>
      </c>
      <c r="B6" s="6" t="inlineStr">
        <is>
          <t>金額</t>
        </is>
      </c>
      <c r="C6" s="5" t="n">
        <v>308236</v>
      </c>
      <c r="D6" s="5" t="n">
        <v>3032590</v>
      </c>
      <c r="E6" s="5" t="n">
        <v>3715790</v>
      </c>
      <c r="F6" s="5" t="n">
        <v>3338200</v>
      </c>
      <c r="G6" s="5" t="n">
        <v>1452980</v>
      </c>
      <c r="H6" s="5" t="n">
        <v>124060</v>
      </c>
      <c r="I6" s="12">
        <f>IF(OR(C6="",C6=0,H6=""),"",H6/C6-1)</f>
        <v/>
      </c>
      <c r="J6" s="4" t="inlineStr"/>
    </row>
    <row r="7">
      <c r="A7" s="8" t="inlineStr">
        <is>
          <t>放課後等デイサービス</t>
        </is>
      </c>
      <c r="B7" s="10" t="inlineStr">
        <is>
          <t>金額</t>
        </is>
      </c>
      <c r="C7" s="9" t="n">
        <v>161658</v>
      </c>
      <c r="D7" s="9" t="n">
        <v>174771</v>
      </c>
      <c r="E7" s="9" t="n">
        <v>176913</v>
      </c>
      <c r="F7" s="9" t="n">
        <v>128322</v>
      </c>
      <c r="G7" s="9" t="n">
        <v>111195</v>
      </c>
      <c r="H7" s="9" t="n">
        <v>1075951</v>
      </c>
      <c r="I7" s="19">
        <f>IF(OR(C7="",C7=0,H7=""),"",H7/C7-1)</f>
        <v/>
      </c>
      <c r="J7" s="8" t="inlineStr">
        <is>
          <t>令和7年度に件数・金額とも大幅増</t>
        </is>
      </c>
    </row>
    <row r="8">
      <c r="A8" s="4" t="inlineStr">
        <is>
          <t>保育所等訪問支援</t>
        </is>
      </c>
      <c r="B8" s="6" t="inlineStr">
        <is>
          <t>金額</t>
        </is>
      </c>
      <c r="C8" s="5" t="n"/>
      <c r="D8" s="5" t="n"/>
      <c r="E8" s="5" t="n"/>
      <c r="F8" s="5" t="n"/>
      <c r="G8" s="5" t="n"/>
      <c r="H8" s="5" t="n">
        <v>105232</v>
      </c>
      <c r="I8" s="12">
        <f>IF(OR(C8="",C8=0,H8=""),"",H8/C8-1)</f>
        <v/>
      </c>
      <c r="J8" s="4" t="inlineStr">
        <is>
          <t>令和7年度に初めて実績が発生</t>
        </is>
      </c>
    </row>
    <row r="9">
      <c r="A9" s="8" t="inlineStr">
        <is>
          <t>障害児相談支援</t>
        </is>
      </c>
      <c r="B9" s="10" t="inlineStr">
        <is>
          <t>金額</t>
        </is>
      </c>
      <c r="C9" s="9" t="n">
        <v>276170</v>
      </c>
      <c r="D9" s="9" t="n">
        <v>47260</v>
      </c>
      <c r="E9" s="9" t="n">
        <v>137720</v>
      </c>
      <c r="F9" s="9" t="n">
        <v>111310</v>
      </c>
      <c r="G9" s="9" t="n">
        <v>77100</v>
      </c>
      <c r="H9" s="9" t="n">
        <v>330460</v>
      </c>
      <c r="I9" s="19">
        <f>IF(OR(C9="",C9=0,H9=""),"",H9/C9-1)</f>
        <v/>
      </c>
      <c r="J9" s="8" t="inlineStr"/>
    </row>
    <row r="10">
      <c r="A10" s="20" t="inlineStr">
        <is>
          <t>障害児給付費 合計</t>
        </is>
      </c>
      <c r="B10" s="21" t="inlineStr">
        <is>
          <t>金額</t>
        </is>
      </c>
      <c r="C10" s="22">
        <f>SUM(C6:C9)</f>
        <v/>
      </c>
      <c r="D10" s="22">
        <f>SUM(D6:D9)</f>
        <v/>
      </c>
      <c r="E10" s="22">
        <f>SUM(E6:E9)</f>
        <v/>
      </c>
      <c r="F10" s="22">
        <f>SUM(F6:F9)</f>
        <v/>
      </c>
      <c r="G10" s="22">
        <f>SUM(G6:G9)</f>
        <v/>
      </c>
      <c r="H10" s="22">
        <f>SUM(H6:H9)</f>
        <v/>
      </c>
      <c r="I10" s="23">
        <f>H10/C10-1</f>
        <v/>
      </c>
      <c r="J10" s="20" t="inlineStr">
        <is>
          <t>内訳の合計＝原票の年度合計と一致</t>
        </is>
      </c>
    </row>
    <row r="12">
      <c r="A12" s="14" t="inlineStr">
        <is>
          <t>参考：件数</t>
        </is>
      </c>
    </row>
    <row r="13" ht="30" customHeight="1">
      <c r="A13" s="3" t="inlineStr">
        <is>
          <t>サービス</t>
        </is>
      </c>
      <c r="B13" s="3" t="inlineStr">
        <is>
          <t>区分</t>
        </is>
      </c>
      <c r="C13" s="3" t="inlineStr">
        <is>
          <t>令和2年度</t>
        </is>
      </c>
      <c r="D13" s="3" t="inlineStr">
        <is>
          <t>令和3年度</t>
        </is>
      </c>
      <c r="E13" s="3" t="inlineStr">
        <is>
          <t>令和4年度</t>
        </is>
      </c>
      <c r="F13" s="3" t="inlineStr">
        <is>
          <t>令和5年度</t>
        </is>
      </c>
      <c r="G13" s="3" t="inlineStr">
        <is>
          <t>令和6年度</t>
        </is>
      </c>
      <c r="H13" s="3" t="inlineStr">
        <is>
          <t>令和7年度</t>
        </is>
      </c>
      <c r="I13" s="3" t="inlineStr">
        <is>
          <t>令和2年度比</t>
        </is>
      </c>
      <c r="J13" s="3" t="inlineStr">
        <is>
          <t>備考</t>
        </is>
      </c>
    </row>
    <row r="14">
      <c r="A14" s="4" t="inlineStr">
        <is>
          <t>児童発達支援</t>
        </is>
      </c>
      <c r="B14" s="6" t="inlineStr">
        <is>
          <t>件数</t>
        </is>
      </c>
      <c r="C14" s="5" t="n">
        <v>7</v>
      </c>
      <c r="D14" s="5" t="n">
        <v>22</v>
      </c>
      <c r="E14" s="5" t="n">
        <v>24</v>
      </c>
      <c r="F14" s="5" t="n">
        <v>23</v>
      </c>
      <c r="G14" s="5" t="n">
        <v>13</v>
      </c>
      <c r="H14" s="5" t="n">
        <v>1</v>
      </c>
      <c r="I14" s="24" t="inlineStr"/>
      <c r="J14" s="4" t="inlineStr"/>
    </row>
    <row r="15">
      <c r="A15" s="8" t="inlineStr">
        <is>
          <t>放課後等デイサービス</t>
        </is>
      </c>
      <c r="B15" s="10" t="inlineStr">
        <is>
          <t>件数</t>
        </is>
      </c>
      <c r="C15" s="9" t="n">
        <v>11</v>
      </c>
      <c r="D15" s="9" t="n">
        <v>11</v>
      </c>
      <c r="E15" s="9" t="n">
        <v>12</v>
      </c>
      <c r="F15" s="9" t="n">
        <v>12</v>
      </c>
      <c r="G15" s="9" t="n">
        <v>12</v>
      </c>
      <c r="H15" s="9" t="n">
        <v>27</v>
      </c>
      <c r="I15" s="25" t="inlineStr"/>
      <c r="J15" s="8" t="inlineStr"/>
    </row>
    <row r="16">
      <c r="A16" s="4" t="inlineStr">
        <is>
          <t>保育所等訪問支援</t>
        </is>
      </c>
      <c r="B16" s="6" t="inlineStr">
        <is>
          <t>件数</t>
        </is>
      </c>
      <c r="C16" s="5" t="n"/>
      <c r="D16" s="5" t="n"/>
      <c r="E16" s="5" t="n"/>
      <c r="F16" s="5" t="n"/>
      <c r="G16" s="5" t="n"/>
      <c r="H16" s="5" t="n">
        <v>3</v>
      </c>
      <c r="I16" s="24" t="inlineStr"/>
      <c r="J16" s="4" t="inlineStr"/>
    </row>
    <row r="17">
      <c r="A17" s="8" t="inlineStr">
        <is>
          <t>障害児相談支援</t>
        </is>
      </c>
      <c r="B17" s="10" t="inlineStr">
        <is>
          <t>件数</t>
        </is>
      </c>
      <c r="C17" s="9" t="n">
        <v>11</v>
      </c>
      <c r="D17" s="9" t="n">
        <v>3</v>
      </c>
      <c r="E17" s="9" t="n">
        <v>6</v>
      </c>
      <c r="F17" s="9" t="n">
        <v>5</v>
      </c>
      <c r="G17" s="9" t="n">
        <v>3</v>
      </c>
      <c r="H17" s="9" t="n">
        <v>8</v>
      </c>
      <c r="I17" s="25" t="inlineStr"/>
      <c r="J17" s="8" t="inlineStr"/>
    </row>
    <row r="18">
      <c r="A18" s="20" t="inlineStr">
        <is>
          <t>障害児給付費 合計</t>
        </is>
      </c>
      <c r="B18" s="21" t="inlineStr">
        <is>
          <t>件数</t>
        </is>
      </c>
      <c r="C18" s="22">
        <f>SUM(C14:C17)</f>
        <v/>
      </c>
      <c r="D18" s="22">
        <f>SUM(D14:D17)</f>
        <v/>
      </c>
      <c r="E18" s="22">
        <f>SUM(E14:E17)</f>
        <v/>
      </c>
      <c r="F18" s="22">
        <f>SUM(F14:F17)</f>
        <v/>
      </c>
      <c r="G18" s="22">
        <f>SUM(G14:G17)</f>
        <v/>
      </c>
      <c r="H18" s="22">
        <f>SUM(H14:H17)</f>
        <v/>
      </c>
      <c r="I18" s="26" t="inlineStr"/>
      <c r="J18" s="20" t="inlineStr"/>
    </row>
  </sheetData>
  <mergeCells count="3">
    <mergeCell ref="A1:J1"/>
    <mergeCell ref="A12:J12"/>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30" customWidth="1" min="10" max="10"/>
  </cols>
  <sheetData>
    <row r="1" ht="30" customHeight="1">
      <c r="A1" s="15" t="inlineStr">
        <is>
          <t>財源構成試算（国・県・村の負担内訳の推移）</t>
        </is>
      </c>
    </row>
    <row r="2" ht="30" customHeight="1">
      <c r="A2" s="2" t="inlineStr">
        <is>
          <t>自立支援給付費・障害児給付費に法定負担割合を掛けた試算です。国庫負担基準額を超えた分は村負担となるため、実際の決算額とは一致しません。村の決算受領後に突合してください。単位：円。</t>
        </is>
      </c>
    </row>
    <row r="5" ht="30" customHeight="1">
      <c r="A5" s="3" t="inlineStr">
        <is>
          <t>年度</t>
        </is>
      </c>
      <c r="B5" s="3" t="inlineStr">
        <is>
          <t>介護給付費</t>
        </is>
      </c>
      <c r="C5" s="3" t="inlineStr">
        <is>
          <t>障害児給付費</t>
        </is>
      </c>
      <c r="D5" s="3" t="inlineStr">
        <is>
          <t>自立支援給付計</t>
        </is>
      </c>
      <c r="E5" s="3" t="inlineStr">
        <is>
          <t>国庫負担</t>
        </is>
      </c>
      <c r="F5" s="3" t="inlineStr">
        <is>
          <t>県負担</t>
        </is>
      </c>
      <c r="G5" s="3" t="inlineStr">
        <is>
          <t>村負担</t>
        </is>
      </c>
      <c r="H5" s="3" t="inlineStr">
        <is>
          <t>前年度比</t>
        </is>
      </c>
      <c r="I5" s="3" t="inlineStr">
        <is>
          <t>令和2年度比</t>
        </is>
      </c>
      <c r="J5" s="3" t="inlineStr">
        <is>
          <t>備考</t>
        </is>
      </c>
    </row>
    <row r="6">
      <c r="A6" s="6" t="inlineStr">
        <is>
          <t>令和2年度</t>
        </is>
      </c>
      <c r="B6" s="27">
        <f>'02_給付実績_介護給付費'!C20</f>
        <v/>
      </c>
      <c r="C6" s="27">
        <f>'03_給付実績_障害児給付費'!C10</f>
        <v/>
      </c>
      <c r="D6" s="27">
        <f>B6+C6</f>
        <v/>
      </c>
      <c r="E6" s="27">
        <f>ROUND(D6*'01_負担区分マスタ'!$C$6,0)</f>
        <v/>
      </c>
      <c r="F6" s="27">
        <f>ROUND(D6*'01_負担区分マスタ'!$D$6,0)</f>
        <v/>
      </c>
      <c r="G6" s="27">
        <f>D6-E6-F6</f>
        <v/>
      </c>
      <c r="H6" s="12" t="inlineStr"/>
      <c r="I6" s="12" t="inlineStr"/>
      <c r="J6" s="4" t="inlineStr">
        <is>
          <t>基準年度</t>
        </is>
      </c>
    </row>
    <row r="7">
      <c r="A7" s="10" t="inlineStr">
        <is>
          <t>令和3年度</t>
        </is>
      </c>
      <c r="B7" s="27">
        <f>'02_給付実績_介護給付費'!D20</f>
        <v/>
      </c>
      <c r="C7" s="27">
        <f>'03_給付実績_障害児給付費'!D10</f>
        <v/>
      </c>
      <c r="D7" s="27">
        <f>B7+C7</f>
        <v/>
      </c>
      <c r="E7" s="27">
        <f>ROUND(D7*'01_負担区分マスタ'!$C$6,0)</f>
        <v/>
      </c>
      <c r="F7" s="27">
        <f>ROUND(D7*'01_負担区分マスタ'!$D$6,0)</f>
        <v/>
      </c>
      <c r="G7" s="27">
        <f>D7-E7-F7</f>
        <v/>
      </c>
      <c r="H7" s="19">
        <f>D7/D6-1</f>
        <v/>
      </c>
      <c r="I7" s="19">
        <f>D7/D$6-1</f>
        <v/>
      </c>
      <c r="J7" s="8" t="inlineStr">
        <is>
          <t>共同生活援助・就労継続支援B型の増</t>
        </is>
      </c>
    </row>
    <row r="8">
      <c r="A8" s="6" t="inlineStr">
        <is>
          <t>令和4年度</t>
        </is>
      </c>
      <c r="B8" s="27">
        <f>'02_給付実績_介護給付費'!E20</f>
        <v/>
      </c>
      <c r="C8" s="27">
        <f>'03_給付実績_障害児給付費'!E10</f>
        <v/>
      </c>
      <c r="D8" s="27">
        <f>B8+C8</f>
        <v/>
      </c>
      <c r="E8" s="27">
        <f>ROUND(D8*'01_負担区分マスタ'!$C$6,0)</f>
        <v/>
      </c>
      <c r="F8" s="27">
        <f>ROUND(D8*'01_負担区分マスタ'!$D$6,0)</f>
        <v/>
      </c>
      <c r="G8" s="27">
        <f>D8-E8-F8</f>
        <v/>
      </c>
      <c r="H8" s="12">
        <f>D8/D7-1</f>
        <v/>
      </c>
      <c r="I8" s="12">
        <f>D8/D$6-1</f>
        <v/>
      </c>
      <c r="J8" s="4" t="inlineStr"/>
    </row>
    <row r="9">
      <c r="A9" s="10" t="inlineStr">
        <is>
          <t>令和5年度</t>
        </is>
      </c>
      <c r="B9" s="27">
        <f>'02_給付実績_介護給付費'!F20</f>
        <v/>
      </c>
      <c r="C9" s="27">
        <f>'03_給付実績_障害児給付費'!F10</f>
        <v/>
      </c>
      <c r="D9" s="27">
        <f>B9+C9</f>
        <v/>
      </c>
      <c r="E9" s="27">
        <f>ROUND(D9*'01_負担区分マスタ'!$C$6,0)</f>
        <v/>
      </c>
      <c r="F9" s="27">
        <f>ROUND(D9*'01_負担区分マスタ'!$D$6,0)</f>
        <v/>
      </c>
      <c r="G9" s="27">
        <f>D9-E9-F9</f>
        <v/>
      </c>
      <c r="H9" s="19">
        <f>D9/D8-1</f>
        <v/>
      </c>
      <c r="I9" s="19">
        <f>D9/D$6-1</f>
        <v/>
      </c>
      <c r="J9" s="8" t="inlineStr"/>
    </row>
    <row r="10">
      <c r="A10" s="6" t="inlineStr">
        <is>
          <t>令和6年度</t>
        </is>
      </c>
      <c r="B10" s="27">
        <f>'02_給付実績_介護給付費'!G20</f>
        <v/>
      </c>
      <c r="C10" s="27">
        <f>'03_給付実績_障害児給付費'!G10</f>
        <v/>
      </c>
      <c r="D10" s="27">
        <f>B10+C10</f>
        <v/>
      </c>
      <c r="E10" s="27">
        <f>ROUND(D10*'01_負担区分マスタ'!$C$6,0)</f>
        <v/>
      </c>
      <c r="F10" s="27">
        <f>ROUND(D10*'01_負担区分マスタ'!$D$6,0)</f>
        <v/>
      </c>
      <c r="G10" s="27">
        <f>D10-E10-F10</f>
        <v/>
      </c>
      <c r="H10" s="12">
        <f>D10/D9-1</f>
        <v/>
      </c>
      <c r="I10" s="12">
        <f>D10/D$6-1</f>
        <v/>
      </c>
      <c r="J10" s="4" t="inlineStr">
        <is>
          <t>件数が605件へ増加。特定障害者特別給付費を計上</t>
        </is>
      </c>
    </row>
    <row r="11">
      <c r="A11" s="10" t="inlineStr">
        <is>
          <t>令和7年度</t>
        </is>
      </c>
      <c r="B11" s="27">
        <f>'02_給付実績_介護給付費'!H20</f>
        <v/>
      </c>
      <c r="C11" s="27">
        <f>'03_給付実績_障害児給付費'!H10</f>
        <v/>
      </c>
      <c r="D11" s="27">
        <f>B11+C11</f>
        <v/>
      </c>
      <c r="E11" s="27">
        <f>ROUND(D11*'01_負担区分マスタ'!$C$6,0)</f>
        <v/>
      </c>
      <c r="F11" s="27">
        <f>ROUND(D11*'01_負担区分マスタ'!$D$6,0)</f>
        <v/>
      </c>
      <c r="G11" s="27">
        <f>D11-E11-F11</f>
        <v/>
      </c>
      <c r="H11" s="19">
        <f>D11/D10-1</f>
        <v/>
      </c>
      <c r="I11" s="19">
        <f>D11/D$6-1</f>
        <v/>
      </c>
      <c r="J11" s="8" t="inlineStr">
        <is>
          <t>直近年度。伸びは鈍化</t>
        </is>
      </c>
    </row>
    <row r="13">
      <c r="A13" s="14" t="inlineStr">
        <is>
          <t>財源別構成比（計画書掲載用）</t>
        </is>
      </c>
    </row>
    <row r="14" ht="30" customHeight="1">
      <c r="A14" s="3" t="inlineStr">
        <is>
          <t>年度</t>
        </is>
      </c>
      <c r="B14" s="3" t="inlineStr">
        <is>
          <t>自立支援給付計</t>
        </is>
      </c>
      <c r="C14" s="3" t="inlineStr">
        <is>
          <t>国庫負担</t>
        </is>
      </c>
      <c r="D14" s="3" t="inlineStr">
        <is>
          <t>県負担</t>
        </is>
      </c>
      <c r="E14" s="3" t="inlineStr">
        <is>
          <t>村負担</t>
        </is>
      </c>
      <c r="F14" s="3" t="inlineStr">
        <is>
          <t>国 構成比</t>
        </is>
      </c>
      <c r="G14" s="3" t="inlineStr">
        <is>
          <t>県 構成比</t>
        </is>
      </c>
      <c r="H14" s="3" t="inlineStr">
        <is>
          <t>村 構成比</t>
        </is>
      </c>
      <c r="I14" s="3" t="inlineStr"/>
      <c r="J14" s="3" t="inlineStr"/>
    </row>
    <row r="15">
      <c r="A15" s="6" t="inlineStr">
        <is>
          <t>令和2年度</t>
        </is>
      </c>
      <c r="B15" s="5">
        <f>D6</f>
        <v/>
      </c>
      <c r="C15" s="5">
        <f>E6</f>
        <v/>
      </c>
      <c r="D15" s="5">
        <f>F6</f>
        <v/>
      </c>
      <c r="E15" s="5">
        <f>G6</f>
        <v/>
      </c>
      <c r="F15" s="12">
        <f>E6/D6</f>
        <v/>
      </c>
      <c r="G15" s="12">
        <f>F6/D6</f>
        <v/>
      </c>
      <c r="H15" s="12">
        <f>G6/D6</f>
        <v/>
      </c>
      <c r="I15" s="4" t="inlineStr"/>
      <c r="J15" s="4" t="inlineStr"/>
    </row>
    <row r="16">
      <c r="A16" s="10" t="inlineStr">
        <is>
          <t>令和3年度</t>
        </is>
      </c>
      <c r="B16" s="9">
        <f>D7</f>
        <v/>
      </c>
      <c r="C16" s="9">
        <f>E7</f>
        <v/>
      </c>
      <c r="D16" s="9">
        <f>F7</f>
        <v/>
      </c>
      <c r="E16" s="9">
        <f>G7</f>
        <v/>
      </c>
      <c r="F16" s="19">
        <f>E7/D7</f>
        <v/>
      </c>
      <c r="G16" s="19">
        <f>F7/D7</f>
        <v/>
      </c>
      <c r="H16" s="19">
        <f>G7/D7</f>
        <v/>
      </c>
      <c r="I16" s="8" t="inlineStr"/>
      <c r="J16" s="8" t="inlineStr"/>
    </row>
    <row r="17">
      <c r="A17" s="6" t="inlineStr">
        <is>
          <t>令和4年度</t>
        </is>
      </c>
      <c r="B17" s="5">
        <f>D8</f>
        <v/>
      </c>
      <c r="C17" s="5">
        <f>E8</f>
        <v/>
      </c>
      <c r="D17" s="5">
        <f>F8</f>
        <v/>
      </c>
      <c r="E17" s="5">
        <f>G8</f>
        <v/>
      </c>
      <c r="F17" s="12">
        <f>E8/D8</f>
        <v/>
      </c>
      <c r="G17" s="12">
        <f>F8/D8</f>
        <v/>
      </c>
      <c r="H17" s="12">
        <f>G8/D8</f>
        <v/>
      </c>
      <c r="I17" s="4" t="inlineStr"/>
      <c r="J17" s="4" t="inlineStr"/>
    </row>
    <row r="18">
      <c r="A18" s="10" t="inlineStr">
        <is>
          <t>令和5年度</t>
        </is>
      </c>
      <c r="B18" s="9">
        <f>D9</f>
        <v/>
      </c>
      <c r="C18" s="9">
        <f>E9</f>
        <v/>
      </c>
      <c r="D18" s="9">
        <f>F9</f>
        <v/>
      </c>
      <c r="E18" s="9">
        <f>G9</f>
        <v/>
      </c>
      <c r="F18" s="19">
        <f>E9/D9</f>
        <v/>
      </c>
      <c r="G18" s="19">
        <f>F9/D9</f>
        <v/>
      </c>
      <c r="H18" s="19">
        <f>G9/D9</f>
        <v/>
      </c>
      <c r="I18" s="8" t="inlineStr"/>
      <c r="J18" s="8" t="inlineStr"/>
    </row>
    <row r="19">
      <c r="A19" s="6" t="inlineStr">
        <is>
          <t>令和6年度</t>
        </is>
      </c>
      <c r="B19" s="5">
        <f>D10</f>
        <v/>
      </c>
      <c r="C19" s="5">
        <f>E10</f>
        <v/>
      </c>
      <c r="D19" s="5">
        <f>F10</f>
        <v/>
      </c>
      <c r="E19" s="5">
        <f>G10</f>
        <v/>
      </c>
      <c r="F19" s="12">
        <f>E10/D10</f>
        <v/>
      </c>
      <c r="G19" s="12">
        <f>F10/D10</f>
        <v/>
      </c>
      <c r="H19" s="12">
        <f>G10/D10</f>
        <v/>
      </c>
      <c r="I19" s="4" t="inlineStr"/>
      <c r="J19" s="4" t="inlineStr"/>
    </row>
    <row r="20">
      <c r="A20" s="10" t="inlineStr">
        <is>
          <t>令和7年度</t>
        </is>
      </c>
      <c r="B20" s="9">
        <f>D11</f>
        <v/>
      </c>
      <c r="C20" s="9">
        <f>E11</f>
        <v/>
      </c>
      <c r="D20" s="9">
        <f>F11</f>
        <v/>
      </c>
      <c r="E20" s="9">
        <f>G11</f>
        <v/>
      </c>
      <c r="F20" s="19">
        <f>E11/D11</f>
        <v/>
      </c>
      <c r="G20" s="19">
        <f>F11/D11</f>
        <v/>
      </c>
      <c r="H20" s="19">
        <f>G11/D11</f>
        <v/>
      </c>
      <c r="I20" s="8" t="inlineStr"/>
      <c r="J20" s="8" t="inlineStr"/>
    </row>
    <row r="22" ht="34" customHeight="1">
      <c r="A22" s="2" t="inlineStr">
        <is>
          <t>読み取り：介護給付費は令和2年度36,002千円から令和7年度53,877千円へ約49.6％増加しています。一方、障害児給付費は令和4年度4,030千円をピークに令和7年度1,636千円まで減少しています。村負担（1/4相当）は総額の増加に比例して増えるため、計画書では総額の推移とあわせて村負担の推移を示してください。</t>
        </is>
      </c>
    </row>
  </sheetData>
  <mergeCells count="4">
    <mergeCell ref="A22:J22"/>
    <mergeCell ref="A1:J1"/>
    <mergeCell ref="A13:J1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32" customWidth="1" min="1" max="1"/>
    <col width="16" customWidth="1" min="2" max="2"/>
    <col width="12" customWidth="1" min="3" max="3"/>
    <col width="16" customWidth="1" min="4" max="4"/>
    <col width="16" customWidth="1" min="5" max="5"/>
    <col width="16" customWidth="1" min="6" max="6"/>
    <col width="40" customWidth="1" min="7" max="7"/>
  </cols>
  <sheetData>
    <row r="1" ht="30" customHeight="1">
      <c r="A1" s="15" t="inlineStr">
        <is>
          <t>令和7年度 サービス別の財源構成</t>
        </is>
      </c>
    </row>
    <row r="2" ht="30" customHeight="1">
      <c r="A2" s="2" t="inlineStr">
        <is>
          <t>直近年度（令和7年度）のサービス別給付費に法定負担割合を掛けたものです。計画書では上位サービスに絞って掲載し、見込量の根拠と結び付けて説明します。単位：円。</t>
        </is>
      </c>
    </row>
    <row r="5" ht="30" customHeight="1">
      <c r="A5" s="3" t="inlineStr">
        <is>
          <t>サービス</t>
        </is>
      </c>
      <c r="B5" s="3" t="inlineStr">
        <is>
          <t>令和7年度 給付費</t>
        </is>
      </c>
      <c r="C5" s="3" t="inlineStr">
        <is>
          <t>構成比</t>
        </is>
      </c>
      <c r="D5" s="3" t="inlineStr">
        <is>
          <t>国庫負担</t>
        </is>
      </c>
      <c r="E5" s="3" t="inlineStr">
        <is>
          <t>県負担</t>
        </is>
      </c>
      <c r="F5" s="3" t="inlineStr">
        <is>
          <t>村負担</t>
        </is>
      </c>
      <c r="G5" s="3" t="inlineStr">
        <is>
          <t>計画上の位置付け</t>
        </is>
      </c>
    </row>
    <row r="6">
      <c r="A6" s="4" t="inlineStr">
        <is>
          <t>就労継続支援（B型）</t>
        </is>
      </c>
      <c r="B6" s="5" t="n">
        <v>19707121</v>
      </c>
      <c r="C6" s="12">
        <f>B6/$B$21</f>
        <v/>
      </c>
      <c r="D6" s="5">
        <f>ROUND(B6*'01_負担区分マスタ'!$C$6,0)</f>
        <v/>
      </c>
      <c r="E6" s="5">
        <f>ROUND(B6*'01_負担区分マスタ'!$D$6,0)</f>
        <v/>
      </c>
      <c r="F6" s="5">
        <f>B6-D6-E6</f>
        <v/>
      </c>
      <c r="G6" s="4" t="inlineStr">
        <is>
          <t>村内に事業所なし。喜多方市・会津若松市等の圏域事業所を利用。令和2年度比2.08倍</t>
        </is>
      </c>
    </row>
    <row r="7">
      <c r="A7" s="8" t="inlineStr">
        <is>
          <t>生活介護</t>
        </is>
      </c>
      <c r="B7" s="9" t="n">
        <v>13209810</v>
      </c>
      <c r="C7" s="19">
        <f>B7/$B$21</f>
        <v/>
      </c>
      <c r="D7" s="9">
        <f>ROUND(B7*'01_負担区分マスタ'!$C$6,0)</f>
        <v/>
      </c>
      <c r="E7" s="9">
        <f>ROUND(B7*'01_負担区分マスタ'!$D$6,0)</f>
        <v/>
      </c>
      <c r="F7" s="9">
        <f>B7-D7-E7</f>
        <v/>
      </c>
      <c r="G7" s="8" t="inlineStr">
        <is>
          <t>重度者の日中活動。特別支援学校卒業予定者の進路と接続</t>
        </is>
      </c>
    </row>
    <row r="8">
      <c r="A8" s="4" t="inlineStr">
        <is>
          <t>共同生活援助</t>
        </is>
      </c>
      <c r="B8" s="5" t="n">
        <v>9663491</v>
      </c>
      <c r="C8" s="12">
        <f>B8/$B$21</f>
        <v/>
      </c>
      <c r="D8" s="5">
        <f>ROUND(B8*'01_負担区分マスタ'!$C$6,0)</f>
        <v/>
      </c>
      <c r="E8" s="5">
        <f>ROUND(B8*'01_負担区分マスタ'!$D$6,0)</f>
        <v/>
      </c>
      <c r="F8" s="5">
        <f>B8-D8-E8</f>
        <v/>
      </c>
      <c r="G8" s="4" t="inlineStr">
        <is>
          <t>居住系の中心。地域移行・親亡き後支援と接続</t>
        </is>
      </c>
    </row>
    <row r="9">
      <c r="A9" s="8" t="inlineStr">
        <is>
          <t>施設入所支援</t>
        </is>
      </c>
      <c r="B9" s="9" t="n">
        <v>5993690</v>
      </c>
      <c r="C9" s="19">
        <f>B9/$B$21</f>
        <v/>
      </c>
      <c r="D9" s="9">
        <f>ROUND(B9*'01_負担区分マスタ'!$C$6,0)</f>
        <v/>
      </c>
      <c r="E9" s="9">
        <f>ROUND(B9*'01_負担区分マスタ'!$D$6,0)</f>
        <v/>
      </c>
      <c r="F9" s="9">
        <f>B9-D9-E9</f>
        <v/>
      </c>
      <c r="G9" s="8" t="inlineStr">
        <is>
          <t>4人で横ばい。成果目標「施設入所者の地域生活移行」の対象</t>
        </is>
      </c>
    </row>
    <row r="10">
      <c r="A10" s="4" t="inlineStr">
        <is>
          <t>計画相談支援</t>
        </is>
      </c>
      <c r="B10" s="5" t="n">
        <v>1863988</v>
      </c>
      <c r="C10" s="12">
        <f>B10/$B$21</f>
        <v/>
      </c>
      <c r="D10" s="5">
        <f>ROUND(B10*'01_負担区分マスタ'!$C$6,0)</f>
        <v/>
      </c>
      <c r="E10" s="5">
        <f>ROUND(B10*'01_負担区分マスタ'!$D$6,0)</f>
        <v/>
      </c>
      <c r="F10" s="5">
        <f>B10-D10-E10</f>
        <v/>
      </c>
      <c r="G10" s="4" t="inlineStr">
        <is>
          <t>圏域の相談支援事業所が実施。基幹相談支援センター広域設置と接続</t>
        </is>
      </c>
    </row>
    <row r="11">
      <c r="A11" s="8" t="inlineStr">
        <is>
          <t>居宅介護</t>
        </is>
      </c>
      <c r="B11" s="9" t="n">
        <v>1713336</v>
      </c>
      <c r="C11" s="19">
        <f>B11/$B$21</f>
        <v/>
      </c>
      <c r="D11" s="9">
        <f>ROUND(B11*'01_負担区分マスタ'!$C$6,0)</f>
        <v/>
      </c>
      <c r="E11" s="9">
        <f>ROUND(B11*'01_負担区分マスタ'!$D$6,0)</f>
        <v/>
      </c>
      <c r="F11" s="9">
        <f>B11-D11-E11</f>
        <v/>
      </c>
      <c r="G11" s="8" t="inlineStr">
        <is>
          <t>訪問可能地区・冬季提供体制の制約を確認</t>
        </is>
      </c>
    </row>
    <row r="12">
      <c r="A12" s="4" t="inlineStr">
        <is>
          <t>放課後等デイサービス</t>
        </is>
      </c>
      <c r="B12" s="5" t="n">
        <v>1075951</v>
      </c>
      <c r="C12" s="12">
        <f>B12/$B$21</f>
        <v/>
      </c>
      <c r="D12" s="5">
        <f>ROUND(B12*'01_負担区分マスタ'!$C$6,0)</f>
        <v/>
      </c>
      <c r="E12" s="5">
        <f>ROUND(B12*'01_負担区分マスタ'!$D$6,0)</f>
        <v/>
      </c>
      <c r="F12" s="5">
        <f>B12-D12-E12</f>
        <v/>
      </c>
      <c r="G12" s="4" t="inlineStr">
        <is>
          <t>障がい児支援。教育・保育・相談支援ニーズと接続</t>
        </is>
      </c>
    </row>
    <row r="13">
      <c r="A13" s="8" t="inlineStr">
        <is>
          <t>共同生活援助（特定障害者特別給付費）</t>
        </is>
      </c>
      <c r="B13" s="9" t="n">
        <v>1026928</v>
      </c>
      <c r="C13" s="19">
        <f>B13/$B$21</f>
        <v/>
      </c>
      <c r="D13" s="9">
        <f>ROUND(B13*'01_負担区分マスタ'!$C$6,0)</f>
        <v/>
      </c>
      <c r="E13" s="9">
        <f>ROUND(B13*'01_負担区分マスタ'!$D$6,0)</f>
        <v/>
      </c>
      <c r="F13" s="9">
        <f>B13-D13-E13</f>
        <v/>
      </c>
      <c r="G13" s="8" t="inlineStr">
        <is>
          <t>家賃補助分</t>
        </is>
      </c>
    </row>
    <row r="14">
      <c r="A14" s="4" t="inlineStr">
        <is>
          <t>自立訓練（生活訓練）</t>
        </is>
      </c>
      <c r="B14" s="5" t="n">
        <v>382238</v>
      </c>
      <c r="C14" s="12">
        <f>B14/$B$21</f>
        <v/>
      </c>
      <c r="D14" s="5">
        <f>ROUND(B14*'01_負担区分マスタ'!$C$6,0)</f>
        <v/>
      </c>
      <c r="E14" s="5">
        <f>ROUND(B14*'01_負担区分マスタ'!$D$6,0)</f>
        <v/>
      </c>
      <c r="F14" s="5">
        <f>B14-D14-E14</f>
        <v/>
      </c>
      <c r="G14" s="4" t="inlineStr">
        <is>
          <t>利用の増減が大きい。個別ケース確認が必要</t>
        </is>
      </c>
    </row>
    <row r="15">
      <c r="A15" s="8" t="inlineStr">
        <is>
          <t>障害児相談支援</t>
        </is>
      </c>
      <c r="B15" s="9" t="n">
        <v>330460</v>
      </c>
      <c r="C15" s="19">
        <f>B15/$B$21</f>
        <v/>
      </c>
      <c r="D15" s="9">
        <f>ROUND(B15*'01_負担区分マスタ'!$C$6,0)</f>
        <v/>
      </c>
      <c r="E15" s="9">
        <f>ROUND(B15*'01_負担区分マスタ'!$D$6,0)</f>
        <v/>
      </c>
      <c r="F15" s="9">
        <f>B15-D15-E15</f>
        <v/>
      </c>
      <c r="G15" s="8" t="inlineStr">
        <is>
          <t>障がい児支援。教育・保育・相談支援ニーズと接続</t>
        </is>
      </c>
    </row>
    <row r="16">
      <c r="A16" s="4" t="inlineStr">
        <is>
          <t>施設入所支援（特定障害者特別給付費）</t>
        </is>
      </c>
      <c r="B16" s="5" t="n">
        <v>206084</v>
      </c>
      <c r="C16" s="12">
        <f>B16/$B$21</f>
        <v/>
      </c>
      <c r="D16" s="5">
        <f>ROUND(B16*'01_負担区分マスタ'!$C$6,0)</f>
        <v/>
      </c>
      <c r="E16" s="5">
        <f>ROUND(B16*'01_負担区分マスタ'!$D$6,0)</f>
        <v/>
      </c>
      <c r="F16" s="5">
        <f>B16-D16-E16</f>
        <v/>
      </c>
      <c r="G16" s="4" t="inlineStr">
        <is>
          <t>食費・光熱水費の補足給付分</t>
        </is>
      </c>
    </row>
    <row r="17">
      <c r="A17" s="8" t="inlineStr">
        <is>
          <t>児童発達支援</t>
        </is>
      </c>
      <c r="B17" s="9" t="n">
        <v>124060</v>
      </c>
      <c r="C17" s="19">
        <f>B17/$B$21</f>
        <v/>
      </c>
      <c r="D17" s="9">
        <f>ROUND(B17*'01_負担区分マスタ'!$C$6,0)</f>
        <v/>
      </c>
      <c r="E17" s="9">
        <f>ROUND(B17*'01_負担区分マスタ'!$D$6,0)</f>
        <v/>
      </c>
      <c r="F17" s="9">
        <f>B17-D17-E17</f>
        <v/>
      </c>
      <c r="G17" s="8" t="inlineStr">
        <is>
          <t>障がい児支援。教育・保育・相談支援ニーズと接続</t>
        </is>
      </c>
    </row>
    <row r="18">
      <c r="A18" s="4" t="inlineStr">
        <is>
          <t>保育所等訪問支援</t>
        </is>
      </c>
      <c r="B18" s="5" t="n">
        <v>105232</v>
      </c>
      <c r="C18" s="12">
        <f>B18/$B$21</f>
        <v/>
      </c>
      <c r="D18" s="5">
        <f>ROUND(B18*'01_負担区分マスタ'!$C$6,0)</f>
        <v/>
      </c>
      <c r="E18" s="5">
        <f>ROUND(B18*'01_負担区分マスタ'!$D$6,0)</f>
        <v/>
      </c>
      <c r="F18" s="5">
        <f>B18-D18-E18</f>
        <v/>
      </c>
      <c r="G18" s="4" t="inlineStr">
        <is>
          <t>障がい児支援。教育・保育・相談支援ニーズと接続</t>
        </is>
      </c>
    </row>
    <row r="19">
      <c r="A19" s="8" t="inlineStr">
        <is>
          <t>生活介護（基準該当）</t>
        </is>
      </c>
      <c r="B19" s="9" t="n">
        <v>55760</v>
      </c>
      <c r="C19" s="19">
        <f>B19/$B$21</f>
        <v/>
      </c>
      <c r="D19" s="9">
        <f>ROUND(B19*'01_負担区分マスタ'!$C$6,0)</f>
        <v/>
      </c>
      <c r="E19" s="9">
        <f>ROUND(B19*'01_負担区分マスタ'!$D$6,0)</f>
        <v/>
      </c>
      <c r="F19" s="9">
        <f>B19-D19-E19</f>
        <v/>
      </c>
      <c r="G19" s="8" t="inlineStr">
        <is>
          <t>基準該当事業所の利用。少額</t>
        </is>
      </c>
    </row>
    <row r="20">
      <c r="A20" s="4" t="inlineStr">
        <is>
          <t>短期入所</t>
        </is>
      </c>
      <c r="B20" s="5" t="n">
        <v>54630</v>
      </c>
      <c r="C20" s="12">
        <f>B20/$B$21</f>
        <v/>
      </c>
      <c r="D20" s="5">
        <f>ROUND(B20*'01_負担区分マスタ'!$C$6,0)</f>
        <v/>
      </c>
      <c r="E20" s="5">
        <f>ROUND(B20*'01_負担区分マスタ'!$D$6,0)</f>
        <v/>
      </c>
      <c r="F20" s="5">
        <f>B20-D20-E20</f>
        <v/>
      </c>
      <c r="G20" s="4" t="inlineStr">
        <is>
          <t>令和6年度から実績。地域生活支援拠点の緊急受入機能と一体で検討</t>
        </is>
      </c>
    </row>
    <row r="21">
      <c r="A21" s="20" t="inlineStr">
        <is>
          <t>合計</t>
        </is>
      </c>
      <c r="B21" s="22">
        <f>SUM(B6:B20)</f>
        <v/>
      </c>
      <c r="C21" s="23">
        <f>B21/B21</f>
        <v/>
      </c>
      <c r="D21" s="22">
        <f>SUM(D6:D20)</f>
        <v/>
      </c>
      <c r="E21" s="22">
        <f>SUM(E6:E20)</f>
        <v/>
      </c>
      <c r="F21" s="22">
        <f>SUM(F6:F20)</f>
        <v/>
      </c>
      <c r="G21" s="20" t="inlineStr">
        <is>
          <t>介護給付費53,877,076円＋障害児給付費1,635,703円</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4" customWidth="1" min="7" max="7"/>
    <col width="36" customWidth="1" min="8" max="8"/>
  </cols>
  <sheetData>
    <row r="1" ht="30" customHeight="1">
      <c r="A1" s="15" t="inlineStr">
        <is>
          <t>地域生活支援事業の財源構成（入力欄）</t>
        </is>
      </c>
    </row>
    <row r="2" ht="30" customHeight="1">
      <c r="A2" s="2" t="inlineStr">
        <is>
          <t>地域生活支援事業は国1/2以内・県1/4以内の統合補助金です。補助基準額を超えた分は全額村負担となるため、事業費・交付額・村負担を分けて把握する必要があります。黄色セルに村の決算値を入力してください。単位：円。</t>
        </is>
      </c>
    </row>
    <row r="5" ht="30" customHeight="1">
      <c r="A5" s="3" t="inlineStr">
        <is>
          <t>事業</t>
        </is>
      </c>
      <c r="B5" s="3" t="inlineStr">
        <is>
          <t>令和6年度
事業費</t>
        </is>
      </c>
      <c r="C5" s="3" t="inlineStr">
        <is>
          <t>令和7年度
事業費</t>
        </is>
      </c>
      <c r="D5" s="3" t="inlineStr">
        <is>
          <t>令和8年度
事業費（見込）</t>
        </is>
      </c>
      <c r="E5" s="3" t="inlineStr">
        <is>
          <t>国補助額</t>
        </is>
      </c>
      <c r="F5" s="3" t="inlineStr">
        <is>
          <t>県補助額</t>
        </is>
      </c>
      <c r="G5" s="3" t="inlineStr">
        <is>
          <t>村負担額</t>
        </is>
      </c>
      <c r="H5" s="3" t="inlineStr">
        <is>
          <t>確認事項</t>
        </is>
      </c>
    </row>
    <row r="6" ht="30" customHeight="1">
      <c r="A6" s="4" t="inlineStr">
        <is>
          <t>障がい者相談支援事業</t>
        </is>
      </c>
      <c r="B6" s="28" t="n"/>
      <c r="C6" s="28" t="n"/>
      <c r="D6" s="28" t="n"/>
      <c r="E6" s="28" t="n"/>
      <c r="F6" s="28" t="n"/>
      <c r="G6" s="27">
        <f>IF(COUNT(C6,E6,F6)=0,"",C6-E6-F6)</f>
        <v/>
      </c>
      <c r="H6" s="4" t="inlineStr">
        <is>
          <t>村住民課・地域生活支援センターいなわしろの2か所。基本相談部分を委託</t>
        </is>
      </c>
    </row>
    <row r="7" ht="30" customHeight="1">
      <c r="A7" s="8" t="inlineStr">
        <is>
          <t>成年後見制度利用支援事業</t>
        </is>
      </c>
      <c r="B7" s="28" t="n"/>
      <c r="C7" s="28" t="n"/>
      <c r="D7" s="28" t="n"/>
      <c r="E7" s="28" t="n"/>
      <c r="F7" s="28" t="n"/>
      <c r="G7" s="27">
        <f>IF(COUNT(C7,E7,F7)=0,"",C7-E7-F7)</f>
        <v/>
      </c>
      <c r="H7" s="8" t="inlineStr">
        <is>
          <t>現行計画見込5人に対し令和5年度実績1人。乖離要因を確認</t>
        </is>
      </c>
    </row>
    <row r="8" ht="30" customHeight="1">
      <c r="A8" s="4" t="inlineStr">
        <is>
          <t>意思疎通支援事業</t>
        </is>
      </c>
      <c r="B8" s="28" t="n"/>
      <c r="C8" s="28" t="n"/>
      <c r="D8" s="28" t="n"/>
      <c r="E8" s="28" t="n"/>
      <c r="F8" s="28" t="n"/>
      <c r="G8" s="27">
        <f>IF(COUNT(C8,E8,F8)=0,"",C8-E8-F8)</f>
        <v/>
      </c>
      <c r="H8" s="4" t="inlineStr">
        <is>
          <t>実績0人。手話通訳者派遣の需要の有無を確認</t>
        </is>
      </c>
    </row>
    <row r="9" ht="30" customHeight="1">
      <c r="A9" s="8" t="inlineStr">
        <is>
          <t>日常生活用具給付等事業</t>
        </is>
      </c>
      <c r="B9" s="28" t="n"/>
      <c r="C9" s="28" t="n"/>
      <c r="D9" s="28" t="n"/>
      <c r="E9" s="28" t="n"/>
      <c r="F9" s="28" t="n"/>
      <c r="G9" s="27">
        <f>IF(COUNT(C9,E9,F9)=0,"",C9-E9-F9)</f>
        <v/>
      </c>
      <c r="H9" s="8" t="inlineStr">
        <is>
          <t>令和5年度実績69件。排泄管理支援用具が大半</t>
        </is>
      </c>
    </row>
    <row r="10" ht="30" customHeight="1">
      <c r="A10" s="4" t="inlineStr">
        <is>
          <t>移動支援事業</t>
        </is>
      </c>
      <c r="B10" s="28" t="n"/>
      <c r="C10" s="28" t="n"/>
      <c r="D10" s="28" t="n"/>
      <c r="E10" s="28" t="n"/>
      <c r="F10" s="28" t="n"/>
      <c r="G10" s="27">
        <f>IF(COUNT(C10,E10,F10)=0,"",C10-E10-F10)</f>
        <v/>
      </c>
      <c r="H10" s="4" t="inlineStr">
        <is>
          <t>令和3〜8年度の全期間で見込量0人・実績0人。制度未周知／代替手段／ニーズ不在の切り分けが必要</t>
        </is>
      </c>
    </row>
    <row r="11" ht="30" customHeight="1">
      <c r="A11" s="8" t="inlineStr">
        <is>
          <t>日中一時支援事業</t>
        </is>
      </c>
      <c r="B11" s="28" t="n"/>
      <c r="C11" s="28" t="n"/>
      <c r="D11" s="28" t="n"/>
      <c r="E11" s="28" t="n"/>
      <c r="F11" s="28" t="n"/>
      <c r="G11" s="27">
        <f>IF(COUNT(C11,E11,F11)=0,"",C11-E11-F11)</f>
        <v/>
      </c>
      <c r="H11" s="8" t="inlineStr">
        <is>
          <t>令和5年度実績2人（増加傾向）。家族レスパイト・障がい児と接続</t>
        </is>
      </c>
    </row>
    <row r="12" ht="30" customHeight="1">
      <c r="A12" s="4" t="inlineStr">
        <is>
          <t>地域活動支援センター機能強化事業</t>
        </is>
      </c>
      <c r="B12" s="28" t="n"/>
      <c r="C12" s="28" t="n"/>
      <c r="D12" s="28" t="n"/>
      <c r="E12" s="28" t="n"/>
      <c r="F12" s="28" t="n"/>
      <c r="G12" s="27">
        <f>IF(COUNT(C12,E12,F12)=0,"",C12-E12-F12)</f>
        <v/>
      </c>
      <c r="H12" s="4" t="inlineStr">
        <is>
          <t>令和5年度実績3人が見込量2人を上回っている。次期見込量に実績を反映</t>
        </is>
      </c>
    </row>
    <row r="13" ht="30" customHeight="1">
      <c r="A13" s="8" t="inlineStr">
        <is>
          <t>訪問入浴サービス事業</t>
        </is>
      </c>
      <c r="B13" s="28" t="n"/>
      <c r="C13" s="28" t="n"/>
      <c r="D13" s="28" t="n"/>
      <c r="E13" s="28" t="n"/>
      <c r="F13" s="28" t="n"/>
      <c r="G13" s="27">
        <f>IF(COUNT(C13,E13,F13)=0,"",C13-E13-F13)</f>
        <v/>
      </c>
      <c r="H13" s="8" t="inlineStr">
        <is>
          <t>実績0人</t>
        </is>
      </c>
    </row>
    <row r="14" ht="30" customHeight="1">
      <c r="A14" s="4" t="inlineStr">
        <is>
          <t>理解促進研修・啓発事業</t>
        </is>
      </c>
      <c r="B14" s="28" t="n"/>
      <c r="C14" s="28" t="n"/>
      <c r="D14" s="28" t="n"/>
      <c r="E14" s="28" t="n"/>
      <c r="F14" s="28" t="n"/>
      <c r="G14" s="27">
        <f>IF(COUNT(C14,E14,F14)=0,"",C14-E14-F14)</f>
        <v/>
      </c>
      <c r="H14" s="4" t="inlineStr">
        <is>
          <t>実績0件。実施方法と財源を確認</t>
        </is>
      </c>
    </row>
    <row r="15" ht="30" customHeight="1">
      <c r="A15" s="8" t="inlineStr">
        <is>
          <t>自発的活動支援事業</t>
        </is>
      </c>
      <c r="B15" s="28" t="n"/>
      <c r="C15" s="28" t="n"/>
      <c r="D15" s="28" t="n"/>
      <c r="E15" s="28" t="n"/>
      <c r="F15" s="28" t="n"/>
      <c r="G15" s="27">
        <f>IF(COUNT(C15,E15,F15)=0,"",C15-E15-F15)</f>
        <v/>
      </c>
      <c r="H15" s="8" t="inlineStr">
        <is>
          <t>実績0件。障がい者団体・家族会の活動支援と接続</t>
        </is>
      </c>
    </row>
    <row r="16">
      <c r="A16" s="20" t="inlineStr">
        <is>
          <t>合計</t>
        </is>
      </c>
      <c r="B16" s="22">
        <f>SUM(B6:B15)</f>
        <v/>
      </c>
      <c r="C16" s="22">
        <f>SUM(C6:C15)</f>
        <v/>
      </c>
      <c r="D16" s="22">
        <f>SUM(D6:D15)</f>
        <v/>
      </c>
      <c r="E16" s="22">
        <f>SUM(E6:E15)</f>
        <v/>
      </c>
      <c r="F16" s="22">
        <f>SUM(F6:F15)</f>
        <v/>
      </c>
      <c r="G16" s="22">
        <f>SUM(G6:G15)</f>
        <v/>
      </c>
      <c r="H16" s="20" t="inlineStr">
        <is>
          <t>村負担＝事業費－国補助－県補助（補助基準額超過分を含む）</t>
        </is>
      </c>
    </row>
    <row r="18" ht="44" customHeight="1">
      <c r="A18" s="2" t="inlineStr">
        <is>
          <t>留意：移動支援事業が令和3年度から令和8年度まで一貫して0人であることは、地区分散・冬季移動が中心的な地域課題である本村の実態と整合しません。実績ゼロをニーズ不在と即断せず、制度未周知・家族送迎等での代替・ニーズ自体の不在のいずれに該当するかを、アンケート結果と個別ケースで確認したうえで次期見込量を確定してください（令和8年7月7日打合せの決定事項）。</t>
        </is>
      </c>
    </row>
  </sheetData>
  <mergeCells count="3">
    <mergeCell ref="A18:H18"/>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6" customWidth="1" min="3" max="3"/>
    <col width="16" customWidth="1" min="4" max="4"/>
    <col width="16" customWidth="1" min="5" max="5"/>
    <col width="16" customWidth="1" min="6" max="6"/>
    <col width="40" customWidth="1" min="7" max="7"/>
  </cols>
  <sheetData>
    <row r="1" ht="30" customHeight="1">
      <c r="A1" s="15" t="inlineStr">
        <is>
          <t>村単独事業の財源構成（入力欄）</t>
        </is>
      </c>
    </row>
    <row r="2" ht="30" customHeight="1">
      <c r="A2" s="2" t="inlineStr">
        <is>
          <t>村が単独で実施する助成事業です。一部に県補助金があります。障がいのある方の生活継続を支える基盤であるため、対象者数と村負担額を継続して把握します。黄色セルに村の決算値を入力してください。単位：円。</t>
        </is>
      </c>
    </row>
    <row r="5" ht="30" customHeight="1">
      <c r="A5" s="3" t="inlineStr">
        <is>
          <t>事業</t>
        </is>
      </c>
      <c r="B5" s="3" t="inlineStr">
        <is>
          <t>対象者数</t>
        </is>
      </c>
      <c r="C5" s="3" t="inlineStr">
        <is>
          <t>令和6年度
事業費</t>
        </is>
      </c>
      <c r="D5" s="3" t="inlineStr">
        <is>
          <t>令和7年度
事業費</t>
        </is>
      </c>
      <c r="E5" s="3" t="inlineStr">
        <is>
          <t>県補助額</t>
        </is>
      </c>
      <c r="F5" s="3" t="inlineStr">
        <is>
          <t>村負担額</t>
        </is>
      </c>
      <c r="G5" s="3" t="inlineStr">
        <is>
          <t>内容・確認事項</t>
        </is>
      </c>
    </row>
    <row r="6" ht="28" customHeight="1">
      <c r="A6" s="4" t="inlineStr">
        <is>
          <t>重度心身障害者医療費助成</t>
        </is>
      </c>
      <c r="B6" s="28" t="n"/>
      <c r="C6" s="28" t="n"/>
      <c r="D6" s="28" t="n"/>
      <c r="E6" s="28" t="n"/>
      <c r="F6" s="27">
        <f>IF(COUNT(D6,E6)=0,"",D6-E6)</f>
        <v/>
      </c>
      <c r="G6" s="4" t="inlineStr">
        <is>
          <t>重度障がい者の医療費自己負担分を助成。対象者数と一人当たり額を確認</t>
        </is>
      </c>
    </row>
    <row r="7" ht="28" customHeight="1">
      <c r="A7" s="8" t="inlineStr">
        <is>
          <t>在宅重度障害者対策事業</t>
        </is>
      </c>
      <c r="B7" s="28" t="n"/>
      <c r="C7" s="28" t="n"/>
      <c r="D7" s="28" t="n"/>
      <c r="E7" s="28" t="n"/>
      <c r="F7" s="27">
        <f>IF(COUNT(D7,E7)=0,"",D7-E7)</f>
        <v/>
      </c>
      <c r="G7" s="8" t="inlineStr">
        <is>
          <t>在宅の重度障がい者への助成。対象要件と実績を確認</t>
        </is>
      </c>
    </row>
    <row r="8" ht="28" customHeight="1">
      <c r="A8" s="4" t="inlineStr">
        <is>
          <t>人工透析患者通院交通費助成</t>
        </is>
      </c>
      <c r="B8" s="28" t="n"/>
      <c r="C8" s="28" t="n"/>
      <c r="D8" s="28" t="n"/>
      <c r="E8" s="28" t="n"/>
      <c r="F8" s="27">
        <f>IF(COUNT(D8,E8)=0,"",D8-E8)</f>
        <v/>
      </c>
      <c r="G8" s="4" t="inlineStr">
        <is>
          <t>通院交通費の助成。地区分散・冬季移動の課題と直結する事業</t>
        </is>
      </c>
    </row>
    <row r="9" ht="28" customHeight="1">
      <c r="A9" s="8" t="inlineStr">
        <is>
          <t>障がい者団体等への補助</t>
        </is>
      </c>
      <c r="B9" s="28" t="n"/>
      <c r="C9" s="28" t="n"/>
      <c r="D9" s="28" t="n"/>
      <c r="E9" s="28" t="n"/>
      <c r="F9" s="27">
        <f>IF(COUNT(D9,E9)=0,"",D9-E9)</f>
        <v/>
      </c>
      <c r="G9" s="8" t="inlineStr">
        <is>
          <t>障がい者団体・家族会の活動支援。自発的活動支援事業との関係を確認</t>
        </is>
      </c>
    </row>
    <row r="10" ht="28" customHeight="1">
      <c r="A10" s="4" t="inlineStr">
        <is>
          <t>その他（　　　　　）</t>
        </is>
      </c>
      <c r="B10" s="28" t="n"/>
      <c r="C10" s="28" t="n"/>
      <c r="D10" s="28" t="n"/>
      <c r="E10" s="28" t="n"/>
      <c r="F10" s="27">
        <f>IF(COUNT(D10,E10)=0,"",D10-E10)</f>
        <v/>
      </c>
      <c r="G10" s="4" t="inlineStr">
        <is>
          <t>村単独で実施している事業があれば追記</t>
        </is>
      </c>
    </row>
    <row r="11">
      <c r="A11" s="20" t="inlineStr">
        <is>
          <t>合計</t>
        </is>
      </c>
      <c r="B11" s="22">
        <f>SUM(B6:B10)</f>
        <v/>
      </c>
      <c r="C11" s="22">
        <f>SUM(C6:C10)</f>
        <v/>
      </c>
      <c r="D11" s="22">
        <f>SUM(D6:D10)</f>
        <v/>
      </c>
      <c r="E11" s="22">
        <f>SUM(E6:E10)</f>
        <v/>
      </c>
      <c r="F11" s="22">
        <f>SUM(F6:F10)</f>
        <v/>
      </c>
      <c r="G11" s="20" t="inlineStr">
        <is>
          <t>村負担＝事業費－県補助</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4" customWidth="1" min="3" max="3"/>
    <col width="16" customWidth="1" min="4" max="4"/>
    <col width="16" customWidth="1" min="5" max="5"/>
    <col width="16" customWidth="1" min="6" max="6"/>
    <col width="16" customWidth="1" min="7" max="7"/>
    <col width="16" customWidth="1" min="8" max="8"/>
    <col width="34" customWidth="1" min="9" max="9"/>
  </cols>
  <sheetData>
    <row r="1" ht="30" customHeight="1">
      <c r="A1" s="15" t="inlineStr">
        <is>
          <t>次期計画期間（令和9〜11年度）の給付費・財源構成 推計</t>
        </is>
      </c>
    </row>
    <row r="2" ht="30" customHeight="1">
      <c r="A2" s="2" t="inlineStr">
        <is>
          <t>給付費は「サービス見込量ブック（北塩原村_サービス見込量.xlsx）の個別積上げ × 単価」で算定します。伸び率による推計は、未特定の潜在需要（第3層）を補正する場合に限って用います。本村では利用者1人の増減が生活介護で16.7%、居宅介護・施設入所支援で25%を占め、年率2〜8%の伸び率を大きく上回るためです。単位：円。</t>
        </is>
      </c>
    </row>
    <row r="5">
      <c r="A5" s="14" t="inlineStr">
        <is>
          <t>1. 報酬改定の前提（単価の補正率）</t>
        </is>
      </c>
    </row>
    <row r="6" ht="30" customHeight="1">
      <c r="A6" s="3" t="inlineStr">
        <is>
          <t>区分</t>
        </is>
      </c>
      <c r="B6" s="3" t="inlineStr">
        <is>
          <t>改定率</t>
        </is>
      </c>
      <c r="C6" s="3" t="inlineStr">
        <is>
          <t>施行</t>
        </is>
      </c>
      <c r="D6" s="3" t="inlineStr">
        <is>
          <t>内容</t>
        </is>
      </c>
      <c r="E6" s="3" t="inlineStr"/>
      <c r="F6" s="3" t="inlineStr"/>
      <c r="G6" s="3" t="inlineStr"/>
      <c r="H6" s="3" t="inlineStr"/>
      <c r="I6" s="3" t="inlineStr"/>
    </row>
    <row r="7" ht="58" customHeight="1">
      <c r="A7" s="4" t="inlineStr">
        <is>
          <t>令和8年度報酬改定</t>
        </is>
      </c>
      <c r="B7" s="29" t="n">
        <v>1</v>
      </c>
      <c r="C7" s="6" t="inlineStr">
        <is>
          <t>令和8年6月1日</t>
        </is>
      </c>
      <c r="D7" s="4" t="inlineStr">
        <is>
          <t>①福祉・介護職員等処遇改善加算の拡充（対象を障害福祉従事者へ拡大。月1.0万円＝3.3％の賃上げ、生産性向上・協働化に取り組む事業者は月0.3万円＝1.0％を上乗せ。計画相談支援・障害児相談支援・地域相談支援に新設）②就労継続支援B型の基本報酬区分の基準見直し ③新規指定事業所に限る応急的な報酬単価（B型 所定単位数の984/1000、共同生活援助（介護サービス包括型・日中サービス支援型）972/1000 ほか児童発達支援・放課後等デイサービス）</t>
        </is>
      </c>
      <c r="E7" s="30" t="n"/>
      <c r="F7" s="30" t="n"/>
      <c r="G7" s="30" t="n"/>
      <c r="H7" s="30" t="n"/>
      <c r="I7" s="31" t="n"/>
    </row>
    <row r="8" ht="58" customHeight="1">
      <c r="A8" s="8" t="inlineStr">
        <is>
          <t>令和9年度報酬改定</t>
        </is>
      </c>
      <c r="B8" s="29" t="n">
        <v>1</v>
      </c>
      <c r="C8" s="10" t="inlineStr">
        <is>
          <t>令和9年4月（予定）</t>
        </is>
      </c>
      <c r="D8" s="8" t="inlineStr">
        <is>
          <t>次期計画期間の初年度に当たる。令和8年度改定の応急的単価が「令和9年度報酬改定までの間」とされていることから実施が見込まれる。内容確定後に改定率を入力する</t>
        </is>
      </c>
      <c r="E8" s="30" t="n"/>
      <c r="F8" s="30" t="n"/>
      <c r="G8" s="30" t="n"/>
      <c r="H8" s="30" t="n"/>
      <c r="I8" s="31" t="n"/>
    </row>
    <row r="9" ht="44" customHeight="1">
      <c r="A9" s="20" t="inlineStr">
        <is>
          <t>適用倍率（合計）</t>
        </is>
      </c>
      <c r="B9" s="32">
        <f>B7*B8</f>
        <v/>
      </c>
      <c r="C9" s="33" t="inlineStr">
        <is>
          <t>―</t>
        </is>
      </c>
      <c r="D9" s="34" t="inlineStr">
        <is>
          <t>下表の令和11年度年間給付費に乗じます。改定率が確定するまでは1.000（改定なし）として計算します。離島・中山間地域（特別地域加算の対象地域）の事業所や重度障がい者に係る基本報酬には従前単価が適用される配慮措置があるため、圏域事業所の該当状況を確認してください。</t>
        </is>
      </c>
      <c r="E9" s="30" t="n"/>
      <c r="F9" s="30" t="n"/>
      <c r="G9" s="30" t="n"/>
      <c r="H9" s="30" t="n"/>
      <c r="I9" s="31" t="n"/>
    </row>
    <row r="11">
      <c r="A11" s="14" t="inlineStr">
        <is>
          <t>2. サービス別の積上げ（見込量×単価）</t>
        </is>
      </c>
    </row>
    <row r="12" ht="30" customHeight="1">
      <c r="A12" s="3" t="inlineStr">
        <is>
          <t>サービス</t>
        </is>
      </c>
      <c r="B12" s="3" t="inlineStr">
        <is>
          <t>単位</t>
        </is>
      </c>
      <c r="C12" s="3" t="inlineStr">
        <is>
          <t>月額単価</t>
        </is>
      </c>
      <c r="D12" s="3" t="inlineStr">
        <is>
          <t>令和8年度
見込量</t>
        </is>
      </c>
      <c r="E12" s="3" t="inlineStr">
        <is>
          <t>令和9年度
見込量</t>
        </is>
      </c>
      <c r="F12" s="3" t="inlineStr">
        <is>
          <t>令和10年度
見込量</t>
        </is>
      </c>
      <c r="G12" s="3" t="inlineStr">
        <is>
          <t>令和11年度
見込量</t>
        </is>
      </c>
      <c r="H12" s="3" t="inlineStr">
        <is>
          <t>令和11年度
年間給付費</t>
        </is>
      </c>
      <c r="I12" s="3" t="inlineStr">
        <is>
          <t>備考</t>
        </is>
      </c>
    </row>
    <row r="13" ht="26" customHeight="1">
      <c r="A13" s="4" t="inlineStr">
        <is>
          <t>生活介護</t>
        </is>
      </c>
      <c r="B13" s="6" t="inlineStr">
        <is>
          <t>人日／月</t>
        </is>
      </c>
      <c r="C13" s="28" t="n"/>
      <c r="D13" s="35" t="n"/>
      <c r="E13" s="35" t="n"/>
      <c r="F13" s="35" t="n"/>
      <c r="G13" s="35" t="n"/>
      <c r="H13" s="27">
        <f>IFERROR(ROUND(C13*G13*12*$B$9,0),"")</f>
        <v/>
      </c>
      <c r="I13" s="4" t="inlineStr">
        <is>
          <t>令和7年度 給付費13,209,810円。特別支援学校卒業者の主な移行先</t>
        </is>
      </c>
    </row>
    <row r="14" ht="26" customHeight="1">
      <c r="A14" s="8" t="inlineStr">
        <is>
          <t>就労継続支援（B型）</t>
        </is>
      </c>
      <c r="B14" s="10" t="inlineStr">
        <is>
          <t>人日／月</t>
        </is>
      </c>
      <c r="C14" s="28" t="n"/>
      <c r="D14" s="35" t="n"/>
      <c r="E14" s="35" t="n"/>
      <c r="F14" s="35" t="n"/>
      <c r="G14" s="35" t="n"/>
      <c r="H14" s="27">
        <f>IFERROR(ROUND(C14*G14*12*$B$9,0),"")</f>
        <v/>
      </c>
      <c r="I14" s="8" t="inlineStr">
        <is>
          <t>令和7年度 給付費19,707,121円。令和2年度比2.08倍の要因分析が必要</t>
        </is>
      </c>
    </row>
    <row r="15" ht="26" customHeight="1">
      <c r="A15" s="4" t="inlineStr">
        <is>
          <t>共同生活援助</t>
        </is>
      </c>
      <c r="B15" s="6" t="inlineStr">
        <is>
          <t>人／月</t>
        </is>
      </c>
      <c r="C15" s="28" t="n"/>
      <c r="D15" s="35" t="n"/>
      <c r="E15" s="35" t="n"/>
      <c r="F15" s="35" t="n"/>
      <c r="G15" s="35" t="n"/>
      <c r="H15" s="27">
        <f>IFERROR(ROUND(C15*G15*12*$B$9,0),"")</f>
        <v/>
      </c>
      <c r="I15" s="4" t="inlineStr">
        <is>
          <t>介護保険に相当サービスがなく、65歳以降も継続する</t>
        </is>
      </c>
    </row>
    <row r="16" ht="26" customHeight="1">
      <c r="A16" s="8" t="inlineStr">
        <is>
          <t>施設入所支援</t>
        </is>
      </c>
      <c r="B16" s="10" t="inlineStr">
        <is>
          <t>人／月</t>
        </is>
      </c>
      <c r="C16" s="28" t="n"/>
      <c r="D16" s="35" t="n"/>
      <c r="E16" s="35" t="n"/>
      <c r="F16" s="35" t="n"/>
      <c r="G16" s="35" t="n"/>
      <c r="H16" s="27">
        <f>IFERROR(ROUND(C16*G16*12*$B$9,0),"")</f>
        <v/>
      </c>
      <c r="I16" s="8" t="inlineStr">
        <is>
          <t>介護保険に相当サービスなし。成果目標（１）と整合させる</t>
        </is>
      </c>
    </row>
    <row r="17" ht="26" customHeight="1">
      <c r="A17" s="4" t="inlineStr">
        <is>
          <t>居宅介護</t>
        </is>
      </c>
      <c r="B17" s="6" t="inlineStr">
        <is>
          <t>時間／月</t>
        </is>
      </c>
      <c r="C17" s="28" t="n"/>
      <c r="D17" s="35" t="n"/>
      <c r="E17" s="35" t="n"/>
      <c r="F17" s="35" t="n"/>
      <c r="G17" s="35" t="n"/>
      <c r="H17" s="27">
        <f>IFERROR(ROUND(C17*G17*12*$B$9,0),"")</f>
        <v/>
      </c>
      <c r="I17" s="4" t="inlineStr">
        <is>
          <t>介護保険の訪問介護に相当。65歳到達者は個別に判定する</t>
        </is>
      </c>
    </row>
    <row r="18" ht="26" customHeight="1">
      <c r="A18" s="8" t="inlineStr">
        <is>
          <t>計画相談支援</t>
        </is>
      </c>
      <c r="B18" s="10" t="inlineStr">
        <is>
          <t>人／月</t>
        </is>
      </c>
      <c r="C18" s="28" t="n"/>
      <c r="D18" s="35" t="n"/>
      <c r="E18" s="35" t="n"/>
      <c r="F18" s="35" t="n"/>
      <c r="G18" s="35" t="n"/>
      <c r="H18" s="27">
        <f>IFERROR(ROUND(C18*G18*12*$B$9,0),"")</f>
        <v/>
      </c>
      <c r="I18" s="8" t="inlineStr">
        <is>
          <t>請求は計画作成・モニタリング時のみ。実利用者数と請求件数は異なる</t>
        </is>
      </c>
    </row>
    <row r="19" ht="26" customHeight="1">
      <c r="A19" s="4" t="inlineStr">
        <is>
          <t>短期入所</t>
        </is>
      </c>
      <c r="B19" s="6" t="inlineStr">
        <is>
          <t>人日／月</t>
        </is>
      </c>
      <c r="C19" s="28" t="n"/>
      <c r="D19" s="35" t="n"/>
      <c r="E19" s="35" t="n"/>
      <c r="F19" s="35" t="n"/>
      <c r="G19" s="35" t="n"/>
      <c r="H19" s="27">
        <f>IFERROR(ROUND(C19*G19*12*$B$9,0),"")</f>
        <v/>
      </c>
      <c r="I19" s="4" t="inlineStr">
        <is>
          <t>令和6年度2件・令和7年度3件の実績。令和9年度からの計上を検討</t>
        </is>
      </c>
    </row>
    <row r="20" ht="26" customHeight="1">
      <c r="A20" s="8" t="inlineStr">
        <is>
          <t>自立訓練（生活訓練）</t>
        </is>
      </c>
      <c r="B20" s="10" t="inlineStr">
        <is>
          <t>人日／月</t>
        </is>
      </c>
      <c r="C20" s="28" t="n"/>
      <c r="D20" s="35" t="n"/>
      <c r="E20" s="35" t="n"/>
      <c r="F20" s="35" t="n"/>
      <c r="G20" s="35" t="n"/>
      <c r="H20" s="27">
        <f>IFERROR(ROUND(C20*G20*12*$B$9,0),"")</f>
        <v/>
      </c>
      <c r="I20" s="8" t="inlineStr">
        <is>
          <t>令和7年度 給付費382,238円</t>
        </is>
      </c>
    </row>
    <row r="21" ht="26" customHeight="1">
      <c r="A21" s="4" t="inlineStr">
        <is>
          <t>就労移行支援</t>
        </is>
      </c>
      <c r="B21" s="6" t="inlineStr">
        <is>
          <t>人日／月</t>
        </is>
      </c>
      <c r="C21" s="28" t="n"/>
      <c r="D21" s="35" t="n"/>
      <c r="E21" s="35" t="n"/>
      <c r="F21" s="35" t="n"/>
      <c r="G21" s="35" t="n"/>
      <c r="H21" s="27">
        <f>IFERROR(ROUND(C21*G21*12*$B$9,0),"")</f>
        <v/>
      </c>
      <c r="I21" s="4" t="inlineStr">
        <is>
          <t>一般就労移行の成果目標と連動</t>
        </is>
      </c>
    </row>
    <row r="22" ht="26" customHeight="1">
      <c r="A22" s="8" t="inlineStr">
        <is>
          <t>就労継続支援（A型）</t>
        </is>
      </c>
      <c r="B22" s="10" t="inlineStr">
        <is>
          <t>人日／月</t>
        </is>
      </c>
      <c r="C22" s="28" t="n"/>
      <c r="D22" s="35" t="n"/>
      <c r="E22" s="35" t="n"/>
      <c r="F22" s="35" t="n"/>
      <c r="G22" s="35" t="n"/>
      <c r="H22" s="27">
        <f>IFERROR(ROUND(C22*G22*12*$B$9,0),"")</f>
        <v/>
      </c>
      <c r="I22" s="8" t="inlineStr">
        <is>
          <t>現利用者への継続提供</t>
        </is>
      </c>
    </row>
    <row r="23" ht="26" customHeight="1">
      <c r="A23" s="4" t="inlineStr">
        <is>
          <t>就労定着支援</t>
        </is>
      </c>
      <c r="B23" s="6" t="inlineStr">
        <is>
          <t>人／月</t>
        </is>
      </c>
      <c r="C23" s="28" t="n"/>
      <c r="D23" s="35" t="n"/>
      <c r="E23" s="35" t="n"/>
      <c r="F23" s="35" t="n"/>
      <c r="G23" s="35" t="n"/>
      <c r="H23" s="27">
        <f>IFERROR(ROUND(C23*G23*12*$B$9,0),"")</f>
        <v/>
      </c>
      <c r="I23" s="4" t="inlineStr">
        <is>
          <t>一般就労移行者数と連動</t>
        </is>
      </c>
    </row>
    <row r="24" ht="26" customHeight="1">
      <c r="A24" s="8" t="inlineStr">
        <is>
          <t>就労選択支援</t>
        </is>
      </c>
      <c r="B24" s="10" t="inlineStr">
        <is>
          <t>人／月</t>
        </is>
      </c>
      <c r="C24" s="28" t="n"/>
      <c r="D24" s="35" t="n"/>
      <c r="E24" s="35" t="n"/>
      <c r="F24" s="35" t="n"/>
      <c r="G24" s="35" t="n"/>
      <c r="H24" s="27">
        <f>IFERROR(ROUND(C24*G24*12*$B$9,0),"")</f>
        <v/>
      </c>
      <c r="I24" s="8" t="inlineStr">
        <is>
          <t>令和7年10月開始。圏域事業所の有無を確認</t>
        </is>
      </c>
    </row>
    <row r="25" ht="26" customHeight="1">
      <c r="A25" s="4" t="inlineStr">
        <is>
          <t>児童発達支援</t>
        </is>
      </c>
      <c r="B25" s="6" t="inlineStr">
        <is>
          <t>人日／月</t>
        </is>
      </c>
      <c r="C25" s="28" t="n"/>
      <c r="D25" s="35" t="n"/>
      <c r="E25" s="35" t="n"/>
      <c r="F25" s="35" t="n"/>
      <c r="G25" s="35" t="n"/>
      <c r="H25" s="27">
        <f>IFERROR(ROUND(C25*G25*12*$B$9,0),"")</f>
        <v/>
      </c>
      <c r="I25" s="4" t="inlineStr">
        <is>
          <t>令和7年度は請求1件。就学に伴う移行の可能性（要確認）</t>
        </is>
      </c>
    </row>
    <row r="26" ht="26" customHeight="1">
      <c r="A26" s="8" t="inlineStr">
        <is>
          <t>放課後等デイサービス</t>
        </is>
      </c>
      <c r="B26" s="10" t="inlineStr">
        <is>
          <t>人日／月</t>
        </is>
      </c>
      <c r="C26" s="28" t="n"/>
      <c r="D26" s="35" t="n"/>
      <c r="E26" s="35" t="n"/>
      <c r="F26" s="35" t="n"/>
      <c r="G26" s="35" t="n"/>
      <c r="H26" s="27">
        <f>IFERROR(ROUND(C26*G26*12*$B$9,0),"")</f>
        <v/>
      </c>
      <c r="I26" s="8" t="inlineStr">
        <is>
          <t>令和7年度は請求27件。就学に伴う流入の可能性（要確認）</t>
        </is>
      </c>
    </row>
    <row r="27" ht="26" customHeight="1">
      <c r="A27" s="4" t="inlineStr">
        <is>
          <t>保育所等訪問支援</t>
        </is>
      </c>
      <c r="B27" s="6" t="inlineStr">
        <is>
          <t>人／月</t>
        </is>
      </c>
      <c r="C27" s="28" t="n"/>
      <c r="D27" s="35" t="n"/>
      <c r="E27" s="35" t="n"/>
      <c r="F27" s="35" t="n"/>
      <c r="G27" s="35" t="n"/>
      <c r="H27" s="27">
        <f>IFERROR(ROUND(C27*G27*12*$B$9,0),"")</f>
        <v/>
      </c>
      <c r="I27" s="4" t="inlineStr">
        <is>
          <t>令和7年度に初めて実績</t>
        </is>
      </c>
    </row>
    <row r="28" ht="26" customHeight="1">
      <c r="A28" s="8" t="inlineStr">
        <is>
          <t>障がい児相談支援</t>
        </is>
      </c>
      <c r="B28" s="10" t="inlineStr">
        <is>
          <t>人／月</t>
        </is>
      </c>
      <c r="C28" s="28" t="n"/>
      <c r="D28" s="35" t="n"/>
      <c r="E28" s="35" t="n"/>
      <c r="F28" s="35" t="n"/>
      <c r="G28" s="35" t="n"/>
      <c r="H28" s="27">
        <f>IFERROR(ROUND(C28*G28*12*$B$9,0),"")</f>
        <v/>
      </c>
      <c r="I28" s="8" t="inlineStr">
        <is>
          <t>令和7年度 給付費330,460円</t>
        </is>
      </c>
    </row>
    <row r="29">
      <c r="A29" s="20" t="inlineStr">
        <is>
          <t>合計</t>
        </is>
      </c>
      <c r="B29" s="21" t="inlineStr">
        <is>
          <t>―</t>
        </is>
      </c>
      <c r="C29" s="21" t="inlineStr">
        <is>
          <t>―</t>
        </is>
      </c>
      <c r="D29" s="21" t="inlineStr">
        <is>
          <t>―</t>
        </is>
      </c>
      <c r="E29" s="21" t="inlineStr">
        <is>
          <t>―</t>
        </is>
      </c>
      <c r="F29" s="21" t="inlineStr">
        <is>
          <t>―</t>
        </is>
      </c>
      <c r="G29" s="21" t="inlineStr">
        <is>
          <t>―</t>
        </is>
      </c>
      <c r="H29" s="22">
        <f>SUM(H13:H28)</f>
        <v/>
      </c>
      <c r="I29" s="20" t="inlineStr">
        <is>
          <t>積上げによる令和11年度の年間給付費</t>
        </is>
      </c>
    </row>
    <row r="30" ht="34" customHeight="1">
      <c r="A30" s="2" t="inlineStr">
        <is>
          <t>見込量は「北塩原村_サービス見込量.xlsx」の03・04シートの『月間サービス量』を転記します。単価は直近の実績単価（令和7年度の給付費÷利用量）を基本とし、報酬改定による補正は上表1の適用倍率で一括して行います（単価欄には改定前の実績単価を入力してください）。外部リンクにするとファイル移動時に壊れるため、転記は手作業としています。</t>
        </is>
      </c>
    </row>
    <row r="32">
      <c r="A32" s="14" t="inlineStr">
        <is>
          <t>3. 財源構成</t>
        </is>
      </c>
    </row>
    <row r="33" ht="30" customHeight="1">
      <c r="A33" s="3" t="inlineStr">
        <is>
          <t>年度</t>
        </is>
      </c>
      <c r="B33" s="3" t="inlineStr"/>
      <c r="C33" s="3" t="inlineStr"/>
      <c r="D33" s="3" t="inlineStr">
        <is>
          <t>自立支援給付計</t>
        </is>
      </c>
      <c r="E33" s="3" t="inlineStr">
        <is>
          <t>国庫負担</t>
        </is>
      </c>
      <c r="F33" s="3" t="inlineStr">
        <is>
          <t>県負担</t>
        </is>
      </c>
      <c r="G33" s="3" t="inlineStr">
        <is>
          <t>村負担</t>
        </is>
      </c>
      <c r="H33" s="3" t="inlineStr">
        <is>
          <t>対令和7年度</t>
        </is>
      </c>
      <c r="I33" s="3" t="inlineStr">
        <is>
          <t>区分・備考</t>
        </is>
      </c>
    </row>
    <row r="34" ht="26" customHeight="1">
      <c r="A34" s="6" t="inlineStr">
        <is>
          <t>令和7年度</t>
        </is>
      </c>
      <c r="B34" s="4" t="inlineStr"/>
      <c r="C34" s="4" t="inlineStr"/>
      <c r="D34" s="27">
        <f>'04_財源構成試算'!D11</f>
        <v/>
      </c>
      <c r="E34" s="27">
        <f>IFERROR(ROUND(D34*'01_負担区分マスタ'!$C$6,0),"")</f>
        <v/>
      </c>
      <c r="F34" s="27">
        <f>IFERROR(ROUND(D34*'01_負担区分マスタ'!$D$6,0),"")</f>
        <v/>
      </c>
      <c r="G34" s="27">
        <f>IFERROR(D34-E34-F34,"")</f>
        <v/>
      </c>
      <c r="H34" s="36">
        <f>IFERROR(D34/D$34-1,"")</f>
        <v/>
      </c>
      <c r="I34" s="4" t="inlineStr">
        <is>
          <t>実績／受領データによる確定値</t>
        </is>
      </c>
    </row>
    <row r="35" ht="26" customHeight="1">
      <c r="A35" s="10" t="inlineStr">
        <is>
          <t>令和8年度</t>
        </is>
      </c>
      <c r="B35" s="8" t="inlineStr"/>
      <c r="C35" s="8" t="inlineStr"/>
      <c r="D35" s="28" t="n"/>
      <c r="E35" s="27">
        <f>IFERROR(ROUND(D35*'01_負担区分マスタ'!$C$6,0),"")</f>
        <v/>
      </c>
      <c r="F35" s="27">
        <f>IFERROR(ROUND(D35*'01_負担区分マスタ'!$D$6,0),"")</f>
        <v/>
      </c>
      <c r="G35" s="27">
        <f>IFERROR(D35-E35-F35,"")</f>
        <v/>
      </c>
      <c r="H35" s="36">
        <f>IFERROR(D35/D$34-1,"")</f>
        <v/>
      </c>
      <c r="I35" s="8" t="inlineStr">
        <is>
          <t>見込／村の最新見込を受領して入力する</t>
        </is>
      </c>
    </row>
    <row r="36" ht="26" customHeight="1">
      <c r="A36" s="6" t="inlineStr">
        <is>
          <t>令和9年度</t>
        </is>
      </c>
      <c r="B36" s="4" t="inlineStr"/>
      <c r="C36" s="4" t="inlineStr"/>
      <c r="D36" s="28" t="n"/>
      <c r="E36" s="27">
        <f>IFERROR(ROUND(D36*'01_負担区分マスタ'!$C$6,0),"")</f>
        <v/>
      </c>
      <c r="F36" s="27">
        <f>IFERROR(ROUND(D36*'01_負担区分マスタ'!$D$6,0),"")</f>
        <v/>
      </c>
      <c r="G36" s="27">
        <f>IFERROR(D36-E36-F36,"")</f>
        <v/>
      </c>
      <c r="H36" s="36">
        <f>IFERROR(D36/D$34-1,"")</f>
        <v/>
      </c>
      <c r="I36" s="4" t="inlineStr">
        <is>
          <t>推計／積上げ結果を入力する（次期計画1年目）</t>
        </is>
      </c>
    </row>
    <row r="37" ht="26" customHeight="1">
      <c r="A37" s="10" t="inlineStr">
        <is>
          <t>令和10年度</t>
        </is>
      </c>
      <c r="B37" s="8" t="inlineStr"/>
      <c r="C37" s="8" t="inlineStr"/>
      <c r="D37" s="28" t="n"/>
      <c r="E37" s="27">
        <f>IFERROR(ROUND(D37*'01_負担区分マスタ'!$C$6,0),"")</f>
        <v/>
      </c>
      <c r="F37" s="27">
        <f>IFERROR(ROUND(D37*'01_負担区分マスタ'!$D$6,0),"")</f>
        <v/>
      </c>
      <c r="G37" s="27">
        <f>IFERROR(D37-E37-F37,"")</f>
        <v/>
      </c>
      <c r="H37" s="36">
        <f>IFERROR(D37/D$34-1,"")</f>
        <v/>
      </c>
      <c r="I37" s="8" t="inlineStr">
        <is>
          <t>推計／積上げ結果を入力する（次期計画2年目）</t>
        </is>
      </c>
    </row>
    <row r="38" ht="26" customHeight="1">
      <c r="A38" s="6" t="inlineStr">
        <is>
          <t>令和11年度</t>
        </is>
      </c>
      <c r="B38" s="4" t="inlineStr"/>
      <c r="C38" s="4" t="inlineStr"/>
      <c r="D38" s="27">
        <f>H29</f>
        <v/>
      </c>
      <c r="E38" s="27">
        <f>IFERROR(ROUND(D38*'01_負担区分マスタ'!$C$6,0),"")</f>
        <v/>
      </c>
      <c r="F38" s="27">
        <f>IFERROR(ROUND(D38*'01_負担区分マスタ'!$D$6,0),"")</f>
        <v/>
      </c>
      <c r="G38" s="27">
        <f>IFERROR(D38-E38-F38,"")</f>
        <v/>
      </c>
      <c r="H38" s="36">
        <f>IFERROR(D38/D$34-1,"")</f>
        <v/>
      </c>
      <c r="I38" s="4" t="inlineStr">
        <is>
          <t>推計／上表の積上げ合計を自動参照（目標年度）</t>
        </is>
      </c>
    </row>
    <row r="40">
      <c r="A40" s="14" t="inlineStr">
        <is>
          <t>4. 参考：伸び率による推計（第3層の補正にのみ用いる）</t>
        </is>
      </c>
    </row>
    <row r="41" ht="30" customHeight="1">
      <c r="A41" s="3" t="inlineStr">
        <is>
          <t>年度</t>
        </is>
      </c>
      <c r="B41" s="3" t="inlineStr">
        <is>
          <t>介護給付費</t>
        </is>
      </c>
      <c r="C41" s="3" t="inlineStr">
        <is>
          <t>前年度比</t>
        </is>
      </c>
      <c r="D41" s="3" t="inlineStr">
        <is>
          <t>障害児給付費</t>
        </is>
      </c>
      <c r="E41" s="3" t="inlineStr">
        <is>
          <t>前年度比</t>
        </is>
      </c>
      <c r="F41" s="3" t="inlineStr"/>
      <c r="G41" s="3" t="inlineStr"/>
      <c r="H41" s="3" t="inlineStr"/>
      <c r="I41" s="3" t="inlineStr">
        <is>
          <t>備考</t>
        </is>
      </c>
    </row>
    <row r="42">
      <c r="A42" s="6" t="inlineStr">
        <is>
          <t>令和2年度</t>
        </is>
      </c>
      <c r="B42" s="5" t="n">
        <v>36002274</v>
      </c>
      <c r="C42" s="37" t="n"/>
      <c r="D42" s="5" t="n">
        <v>746064</v>
      </c>
      <c r="E42" s="37" t="n"/>
      <c r="F42" s="4" t="inlineStr"/>
      <c r="G42" s="4" t="inlineStr"/>
      <c r="H42" s="4" t="inlineStr"/>
      <c r="I42" s="4" t="inlineStr">
        <is>
          <t>基準年度</t>
        </is>
      </c>
    </row>
    <row r="43">
      <c r="A43" s="10" t="inlineStr">
        <is>
          <t>令和3年度</t>
        </is>
      </c>
      <c r="B43" s="9" t="n">
        <v>45991635</v>
      </c>
      <c r="C43" s="38" t="n">
        <v>0.277</v>
      </c>
      <c r="D43" s="9" t="n">
        <v>3254621</v>
      </c>
      <c r="E43" s="38" t="n">
        <v>3.362</v>
      </c>
      <c r="F43" s="8" t="inlineStr"/>
      <c r="G43" s="8" t="inlineStr"/>
      <c r="H43" s="8" t="inlineStr"/>
      <c r="I43" s="8" t="inlineStr">
        <is>
          <t>共同生活援助・就労継続支援B型の増</t>
        </is>
      </c>
    </row>
    <row r="44">
      <c r="A44" s="6" t="inlineStr">
        <is>
          <t>令和4年度</t>
        </is>
      </c>
      <c r="B44" s="5" t="n">
        <v>44234021</v>
      </c>
      <c r="C44" s="37" t="n">
        <v>-0.038</v>
      </c>
      <c r="D44" s="5" t="n">
        <v>4030423</v>
      </c>
      <c r="E44" s="37" t="n">
        <v>0.238</v>
      </c>
      <c r="F44" s="4" t="inlineStr"/>
      <c r="G44" s="4" t="inlineStr"/>
      <c r="H44" s="4" t="inlineStr"/>
      <c r="I44" s="4" t="inlineStr">
        <is>
          <t>障害児給付費のピーク</t>
        </is>
      </c>
    </row>
    <row r="45">
      <c r="A45" s="10" t="inlineStr">
        <is>
          <t>令和5年度</t>
        </is>
      </c>
      <c r="B45" s="9" t="n">
        <v>44419974</v>
      </c>
      <c r="C45" s="38" t="n">
        <v>0.004</v>
      </c>
      <c r="D45" s="9" t="n">
        <v>3577832</v>
      </c>
      <c r="E45" s="38" t="n">
        <v>-0.112</v>
      </c>
      <c r="F45" s="8" t="inlineStr"/>
      <c r="G45" s="8" t="inlineStr"/>
      <c r="H45" s="8" t="inlineStr"/>
      <c r="I45" s="8" t="inlineStr">
        <is>
          <t>ほぼ横ばい</t>
        </is>
      </c>
    </row>
    <row r="46">
      <c r="A46" s="6" t="inlineStr">
        <is>
          <t>令和6年度</t>
        </is>
      </c>
      <c r="B46" s="5" t="n">
        <v>52698808</v>
      </c>
      <c r="C46" s="37" t="n">
        <v>0.186</v>
      </c>
      <c r="D46" s="5" t="n">
        <v>1641275</v>
      </c>
      <c r="E46" s="37" t="n">
        <v>-0.541</v>
      </c>
      <c r="F46" s="4" t="inlineStr"/>
      <c r="G46" s="4" t="inlineStr"/>
      <c r="H46" s="4" t="inlineStr"/>
      <c r="I46" s="4" t="inlineStr">
        <is>
          <t>介護は大幅増。障害児の減は就学移行の可能性</t>
        </is>
      </c>
    </row>
    <row r="47">
      <c r="A47" s="10" t="inlineStr">
        <is>
          <t>令和7年度</t>
        </is>
      </c>
      <c r="B47" s="9" t="n">
        <v>53877076</v>
      </c>
      <c r="C47" s="38" t="n">
        <v>0.022</v>
      </c>
      <c r="D47" s="9" t="n">
        <v>1635703</v>
      </c>
      <c r="E47" s="38" t="n">
        <v>-0.003</v>
      </c>
      <c r="F47" s="8" t="inlineStr"/>
      <c r="G47" s="8" t="inlineStr"/>
      <c r="H47" s="8" t="inlineStr"/>
      <c r="I47" s="8" t="inlineStr">
        <is>
          <t>介護の伸びは鈍化</t>
        </is>
      </c>
    </row>
    <row r="48" ht="62" customHeight="1">
      <c r="A48" s="2" t="inlineStr">
        <is>
          <t>介護給付費の前年度比は＋27.7％から−3.8％まで振れており、令和2〜7年度のCAGRは＋8.4％、直近1年は＋2.2％です。いずれも単一値として将来4年に当てはめる根拠は弱く、本表は伸び率の不安定さを示す参考資料として置いています。障害児給付費の減少は、令和6・7年度に児童発達支援が減り放課後等デイサービスが増えていることから、対象児童の就学に伴う移行である可能性があります（受給者単位の確認が必要）。ニーズの減少と断定しないでください。前回計画課題整理でも「1人の利用開始・終了で実績が大きく動くため、機械的な伸び率推計を避ける」ことを方針としています。</t>
        </is>
      </c>
    </row>
  </sheetData>
  <mergeCells count="11">
    <mergeCell ref="A2:I2"/>
    <mergeCell ref="A11:I11"/>
    <mergeCell ref="A5:I5"/>
    <mergeCell ref="A32:I32"/>
    <mergeCell ref="A1:I1"/>
    <mergeCell ref="D9:I9"/>
    <mergeCell ref="A40:I40"/>
    <mergeCell ref="A30:I30"/>
    <mergeCell ref="A48:I48"/>
    <mergeCell ref="D7:I7"/>
    <mergeCell ref="D8:I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30" customWidth="1" min="1" max="1"/>
    <col width="52" customWidth="1" min="2" max="2"/>
    <col width="26" customWidth="1" min="3" max="3"/>
    <col width="12" customWidth="1" min="4" max="4"/>
    <col width="32" customWidth="1" min="5" max="5"/>
  </cols>
  <sheetData>
    <row r="1" ht="30" customHeight="1">
      <c r="A1" s="15" t="inlineStr">
        <is>
          <t>村への確認・依頼事項（財源関係）</t>
        </is>
      </c>
    </row>
    <row r="2" ht="30" customHeight="1">
      <c r="A2" s="2" t="inlineStr">
        <is>
          <t>受領・確認が済んだものは「状態」を更新し、該当シートに入力してください。</t>
        </is>
      </c>
    </row>
    <row r="5" ht="30" customHeight="1">
      <c r="A5" s="3" t="inlineStr">
        <is>
          <t>確認事項</t>
        </is>
      </c>
      <c r="B5" s="3" t="inlineStr">
        <is>
          <t>確認したい内容</t>
        </is>
      </c>
      <c r="C5" s="3" t="inlineStr">
        <is>
          <t>使途・反映先</t>
        </is>
      </c>
      <c r="D5" s="3" t="inlineStr">
        <is>
          <t>優先度</t>
        </is>
      </c>
      <c r="E5" s="3" t="inlineStr">
        <is>
          <t>状態</t>
        </is>
      </c>
    </row>
    <row r="6" ht="42" customHeight="1">
      <c r="A6" s="4" t="inlineStr">
        <is>
          <t>障がい福祉関係の歳入歳出決算</t>
        </is>
      </c>
      <c r="B6" s="4" t="inlineStr">
        <is>
          <t>障害者自立支援給付費負担金（国・県）、障害児施設給付費負担金、地域生活支援事業費補助金の令和6・7年度交付額と、村の一般財源負担額。</t>
        </is>
      </c>
      <c r="C6" s="4" t="inlineStr">
        <is>
          <t>04_財源構成試算との突合</t>
        </is>
      </c>
      <c r="D6" s="6" t="inlineStr">
        <is>
          <t>高</t>
        </is>
      </c>
      <c r="E6" s="13" t="inlineStr">
        <is>
          <t>村資料待ち</t>
        </is>
      </c>
    </row>
    <row r="7" ht="42" customHeight="1">
      <c r="A7" s="8" t="inlineStr">
        <is>
          <t>地域生活支援事業の事業費・交付額</t>
        </is>
      </c>
      <c r="B7" s="8" t="inlineStr">
        <is>
          <t>事業別の事業費、補助基準額、国・県補助額、村負担額。補助基準額を超過している事業の有無。</t>
        </is>
      </c>
      <c r="C7" s="8" t="inlineStr">
        <is>
          <t>06_地域生活支援事業</t>
        </is>
      </c>
      <c r="D7" s="10" t="inlineStr">
        <is>
          <t>高</t>
        </is>
      </c>
      <c r="E7" s="13" t="inlineStr">
        <is>
          <t>村資料待ち</t>
        </is>
      </c>
    </row>
    <row r="8" ht="42" customHeight="1">
      <c r="A8" s="4" t="inlineStr">
        <is>
          <t>国庫負担基準額の超過の有無</t>
        </is>
      </c>
      <c r="B8" s="4" t="inlineStr">
        <is>
          <t>訪問系サービス等で国庫負担基準額を超過し、村の超過負担が生じているかどうか。</t>
        </is>
      </c>
      <c r="C8" s="4" t="inlineStr">
        <is>
          <t>04_財源構成試算の注記</t>
        </is>
      </c>
      <c r="D8" s="6" t="inlineStr">
        <is>
          <t>高</t>
        </is>
      </c>
      <c r="E8" s="13" t="inlineStr">
        <is>
          <t>村資料待ち</t>
        </is>
      </c>
    </row>
    <row r="9" ht="42" customHeight="1">
      <c r="A9" s="8" t="inlineStr">
        <is>
          <t>令和8年度の給付費見込</t>
        </is>
      </c>
      <c r="B9" s="8" t="inlineStr">
        <is>
          <t>現行計画最終年度の給付費見込額。次期推計の起点となる。</t>
        </is>
      </c>
      <c r="C9" s="8" t="inlineStr">
        <is>
          <t>08_R9R11推計</t>
        </is>
      </c>
      <c r="D9" s="10" t="inlineStr">
        <is>
          <t>高</t>
        </is>
      </c>
      <c r="E9" s="13" t="inlineStr">
        <is>
          <t>村資料待ち</t>
        </is>
      </c>
    </row>
    <row r="10" ht="42" customHeight="1">
      <c r="A10" s="4" t="inlineStr">
        <is>
          <t>村単独事業の実績</t>
        </is>
      </c>
      <c r="B10" s="4" t="inlineStr">
        <is>
          <t>重度心身障害者医療費助成、在宅重度障害者対策事業、人工透析患者通院交通費助成等の対象者数・事業費・県補助額。</t>
        </is>
      </c>
      <c r="C10" s="4" t="inlineStr">
        <is>
          <t>07_村単独事業</t>
        </is>
      </c>
      <c r="D10" s="6" t="inlineStr">
        <is>
          <t>中</t>
        </is>
      </c>
      <c r="E10" s="13" t="inlineStr">
        <is>
          <t>村資料待ち</t>
        </is>
      </c>
    </row>
    <row r="11" ht="42" customHeight="1">
      <c r="A11" s="8" t="inlineStr">
        <is>
          <t>就労継続支援B型の増加要因</t>
        </is>
      </c>
      <c r="B11" s="8" t="inlineStr">
        <is>
          <t>令和2年度9,458,880円から令和7年度19,707,121円へ約2.08倍に増加した要因。利用者数の増、利用日数の増、報酬改定、重度化のいずれによるものか。</t>
        </is>
      </c>
      <c r="C11" s="8" t="inlineStr">
        <is>
          <t>05_サービス別財源構成／08_R9R11推計</t>
        </is>
      </c>
      <c r="D11" s="10" t="inlineStr">
        <is>
          <t>高</t>
        </is>
      </c>
      <c r="E11" s="13" t="inlineStr">
        <is>
          <t>村資料待ち</t>
        </is>
      </c>
    </row>
    <row r="12" ht="42" customHeight="1">
      <c r="A12" s="4" t="inlineStr">
        <is>
          <t>障害児給付費の減少要因</t>
        </is>
      </c>
      <c r="B12" s="4" t="inlineStr">
        <is>
          <t>令和4年度4,030,423円から令和6・7年度1,600千円台へ減少した要因。対象児童の就学・転出・サービス終了等の個別事情を確認する。</t>
        </is>
      </c>
      <c r="C12" s="4" t="inlineStr">
        <is>
          <t>03_給付実績_障害児給付費</t>
        </is>
      </c>
      <c r="D12" s="6" t="inlineStr">
        <is>
          <t>高</t>
        </is>
      </c>
      <c r="E12" s="13" t="inlineStr">
        <is>
          <t>村資料待ち</t>
        </is>
      </c>
    </row>
    <row r="13" ht="42" customHeight="1">
      <c r="A13" s="8" t="inlineStr">
        <is>
          <t>短期入所の利用状況</t>
        </is>
      </c>
      <c r="B13" s="8" t="inlineStr">
        <is>
          <t>令和6年度2件・令和7年度3件の実績の内容（利用者、利用目的、受入先）。地域生活支援拠点の緊急受入機能との関係。</t>
        </is>
      </c>
      <c r="C13" s="8" t="inlineStr">
        <is>
          <t>05_サービス別財源構成／08_R9R11推計</t>
        </is>
      </c>
      <c r="D13" s="10" t="inlineStr">
        <is>
          <t>中</t>
        </is>
      </c>
      <c r="E13" s="13" t="inlineStr">
        <is>
          <t>村資料待ち</t>
        </is>
      </c>
    </row>
    <row r="14" ht="42" customHeight="1">
      <c r="A14" s="4" t="inlineStr">
        <is>
          <t>マイナス計上の確認</t>
        </is>
      </c>
      <c r="B14" s="4" t="inlineStr">
        <is>
          <t>受領原票で一部にマイナス値が見られる。返戻・過誤調整によるものかを確認する。</t>
        </is>
      </c>
      <c r="C14" s="4" t="inlineStr">
        <is>
          <t>02・03給付実績</t>
        </is>
      </c>
      <c r="D14" s="6" t="inlineStr">
        <is>
          <t>中</t>
        </is>
      </c>
      <c r="E14" s="13" t="inlineStr">
        <is>
          <t>村資料待ち</t>
        </is>
      </c>
    </row>
    <row r="15" ht="42" customHeight="1">
      <c r="A15" s="8" t="inlineStr">
        <is>
          <t>令和7年度実績の確定状況</t>
        </is>
      </c>
      <c r="B15" s="8" t="inlineStr">
        <is>
          <t>令和7年度は12か月分の値が入っているが、確定実績か、見込・調整後データを含むか。</t>
        </is>
      </c>
      <c r="C15" s="8" t="inlineStr">
        <is>
          <t>全シート</t>
        </is>
      </c>
      <c r="D15" s="10" t="inlineStr">
        <is>
          <t>中</t>
        </is>
      </c>
      <c r="E15" s="13" t="inlineStr">
        <is>
          <t>村資料待ち</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2026-10-13T07:23:42Z</dcterms:created>
  <dcterms:modified xmlns:dcterms="http://purl.org/dc/terms/" xmlns:xsi="http://www.w3.org/2001/XMLSchema-instance" xsi:type="dcterms:W3CDTF">2026-10-13T07:23:42Z</dcterms:modified>
</cp:coreProperties>
</file>