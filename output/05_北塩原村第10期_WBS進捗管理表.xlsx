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BS・進捗管理" sheetId="1" state="visible" r:id="rId1"/>
    <sheet xmlns:r="http://schemas.openxmlformats.org/officeDocument/2006/relationships" name="村への確認事項" sheetId="2" state="visible" r:id="rId2"/>
    <sheet xmlns:r="http://schemas.openxmlformats.org/officeDocument/2006/relationships" name="仕様書対照" sheetId="3" state="visible" r:id="rId3"/>
    <sheet xmlns:r="http://schemas.openxmlformats.org/officeDocument/2006/relationships" name="受領資料・データ管理" sheetId="4" state="visible" r:id="rId4"/>
    <sheet xmlns:r="http://schemas.openxmlformats.org/officeDocument/2006/relationships" name="凡例・集計" sheetId="5" state="visible" r:id="rId5"/>
    <sheet xmlns:r="http://schemas.openxmlformats.org/officeDocument/2006/relationships" name="ペンディング・作業順位" sheetId="6" state="visible" r:id="rId6"/>
    <sheet xmlns:r="http://schemas.openxmlformats.org/officeDocument/2006/relationships" name="納品物の構成" sheetId="7" state="visible" r:id="rId7"/>
  </sheets>
  <definedNames>
    <definedName name="_xlnm._FilterDatabase" localSheetId="0" hidden="1">'WBS・進捗管理'!$A$4:$P$124</definedName>
    <definedName name="_xlnm._FilterDatabase" localSheetId="1" hidden="1">'村への確認事項'!$A$4:$I$184</definedName>
    <definedName name="_xlnm._FilterDatabase" localSheetId="2" hidden="1">'仕様書対照'!$A$4:$H$103</definedName>
    <definedName name="_xlnm._FilterDatabase" localSheetId="3" hidden="1">'受領資料・データ管理'!$A$4:$F$57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4"/>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進捗基準日：令和8年10月23日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4" t="inlineStr">
        <is>
          <t>０-02</t>
        </is>
      </c>
      <c r="B6" s="6" t="inlineStr">
        <is>
          <t>０ 契約・立上げ</t>
        </is>
      </c>
      <c r="C6" s="6" t="inlineStr">
        <is>
          <t>契約手続</t>
        </is>
      </c>
      <c r="D6" s="7" t="inlineStr">
        <is>
          <t>契約締結</t>
        </is>
      </c>
      <c r="E6" s="4" t="inlineStr">
        <is>
          <t>仕様書3</t>
        </is>
      </c>
      <c r="F6" s="4" t="inlineStr">
        <is>
          <t>双方</t>
        </is>
      </c>
      <c r="G6" s="7" t="inlineStr">
        <is>
          <t>委託契約書</t>
        </is>
      </c>
      <c r="H6" s="7" t="inlineStr">
        <is>
          <t>北塩原村委託契約約款に準拠</t>
        </is>
      </c>
      <c r="I6" s="4" t="inlineStr">
        <is>
          <t>R8.9</t>
        </is>
      </c>
      <c r="J6" s="8" t="n"/>
      <c r="K6" s="8" t="n"/>
      <c r="L6" s="8" t="n">
        <v>46239</v>
      </c>
      <c r="M6" s="8" t="n">
        <v>46318</v>
      </c>
      <c r="N6" s="9" t="n">
        <v>1</v>
      </c>
      <c r="O6" s="10" t="inlineStr">
        <is>
          <t>完了</t>
        </is>
      </c>
      <c r="P6" s="7" t="inlineStr">
        <is>
          <t>受注決定は連絡済。契約締結日・契約書の取り交わし状況を要確認。★10/23 村より契約済みのご連絡を受け、完了とした。実績開始は見積徴取の通知（令和8年8月5日・8北保福第483号）の日、実績完了は契約済みのご連絡を受けた日を仮に置いている。契約書に記載の締結日は、契約書の写しを受けた時点で置き換える。あわせて見積徴取の通知に付いた仕様書（委託第27号）を受領し、当方の仕様書対照（spec_data）と項目が一致することを確かめた（業務の期間は契約締結の日から令和9年3月31日まで、成果品は計画書50部・報告書10部・電子媒体）。秘密保持契約書（令和8年8月6日）も受領した。秘密保持の義務は令和9年3月31日まで存続し、業務完了時に秘密資料を返却・破棄・消去し、貸与アカウントからログアウトすることを定めている（Ⅴ-98の返還・消去の手順に反映する）。doc117</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0.9</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10/10：手順を定め、scripts/shukei_dedupe.py として組んだ。集計仕様書に §8 重複回答の排除 を設け、xlsx の「精度管理」シートにも載せた。要点は「一意に定まること」である。同じ管理番号で2件あったとき、どちらを採るかが実行のたびに変われば回収数も構成比も変わるため、採否の順序を5段で定め、最後の段を回答の中身で決めた。読み込んだ順序を入れ替えても結果が変わらないことを自己試験で確かめている（28件すべて通過）。重複と不備の型を7件（D1 紙が2件／D2 紙とウェブ／D3 ウェブが2件／D4 管理番号が空／D5 形式違い／D6 名簿にない／D7 名簿の番号が正規化で重なる）に整理した。ウェブの管理番号は回答者が手で入れるため、全角・小文字・ハイフン・先頭の0を正規化してから突き合わせる。この正規化は論理チェックのL09と同じ規則にそろえた（規則が分かれると、点検は「重複なし」と言い、排除は1件落とす）。管理番号が空・形式違い・名簿にない回答は捨てず、単純集計には入れ、属性のクロスには入れない件数を記録する形とした。集計本体（shukei_run.py）が必ず排除を通るようにし、点検34でそれを固定した。ダミーデータにわざと重複・不備9件を入れ、管理番号の形式を名簿のとおり（ニーズ＝数字のみ／在宅＝英字＋数字）に直し、回答方法と受付日の列を加えた。★残るのは、2つの名簿に重複する2人の扱い（優先度S・村のご確認）と、実データでの通しである。</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0.8</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10/10 村より「今集計分析を行なっています」とのご連絡をいただき着手を確認した。実績開始日はご連絡をいただいた日としており、実際の着手日は置き直す。★10/10：論理チェック12項目（L01〜L12）とコードブックの点検5項目（C01〜C05）を定め、scripts/shukei_check.py として組んだ。集計仕様書に §7 入力データの精度管理 を設け、xlsx にも「精度管理」シートを加えた。表は shukei_check.py から生成しているため、村にお示しした内容と現に走る点検が食い違わない。ベリファイは全件を二重入力するもの（区分が必須の設問・派生変数に使う設問）と10パーセントを抽出するもの（オプション・村独自）とウェブ回答（対象外）に分けた。層の判定（資料3の3-3・3-4・3-6）に効くものを全件とする考え方である。ダミーデータ（ニーズ430件・在宅96件）で動かし、結果が出ることを確かめた。点検そのものの自己試験（--自己試験）を組み、欠陥を入れると19件すべてが鳴ること・正しく答えた1件では何も鳴らないことを確かめた。verify_shukei に点検17〜25を加えた（25件すべて適合）。★残るのは次の2点である。①校了版（令和8年9月9日）の調査票Wordを受領してコードブックを作り直すこと。現在のコードブックは9月4日版から作られており、版が違うと鳴るべきものが鳴らない。shukei_check.py は版を確かめて止まる仕組みとした（--暫定 で続行可）。9月4日版の読み取りの不備も7件残っている（C01 1件・C02 5件・C03 1件）。社内の照会として起票した。②実データでの通し。入力データの受領を待つ。</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0.85</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10/12：資6で「一部」とした事項三・七・八について、村・県への照会の文面を整えた（doc85）。照会票は文の単位で170字までしか出ないため、6件とも1文目をお願いに差し替えた。点検69（「一部」の事項に追いかける先があること）を新設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10/23 5-11の中長期を国の推計ワークシートの系列（認定者 令和11年度210人→令和22年度228人）にそろえた。当方の系列（220人→193人）は向きが逆であり、感度分析に格下げして差の理由（被保険者数の見込み、85歳以上を区別しない認定率）を明記した。5-4(12)担い手の枠の需要も国の系列に置き換えた（doc113）。</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10/23 5-5(1)の延ばす基礎を国の系列（認定者206→210人、第1号被保険者1,009→994人）に直した（「5-3の見込み」との誤った帰属を解消）。5-5(2)の事業費は令和5年度末を基準とするため当方の系列のままとし、その旨を明記した。地域支援事業費は国147,654千円・決算据置119,658千円・積み上げ122,737千円の3値があり、採用値は村のご判断として確認事項に追記した（doc113）。</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6-3bが同じ算定を引く。ワークシートの読み取りは1回3〜4秒かかりキャッシュされていないため、結果を覚えておく形にした（組立てが数分かかるようになっていた）。★10/23 外部レビューを受けて採用系列をそろえた。5-7は国の推計ワークシートの3案（条例上6,600円・5,900円・5,500円）を採用値とし、当方の検算（取崩しなし6,756円・第1号被保険者995人・987人）は「参考 当方の検算」に分けた。条例上の基準額の表も国の3案に置き換えた（doc113）。</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10/23 外部レビューにより、交付金の取得目標67点は計画に書くだけでは点にならず、前年度の実施と記録（証跡）が要ることを6-3と参考資料に明記した。4区分に分けると実施済み・証跡要確認4項目21点、新規整備が必要8項目46点。前者の非該当の理由を確認事項に新設した。独自KPIの補完は第2回策定委員会の意見を受けて検討する（doc113）。</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0.88</v>
      </c>
      <c r="O89" s="16" t="inlineStr">
        <is>
          <t>着手</t>
        </is>
      </c>
      <c r="P89" s="13" t="inlineStr">
        <is>
          <t>★議事録で整合対象が確定（障がい福祉計画・地域福祉計画・グッドヘルスプラン・生涯学習計画）。第四次生涯学習推進計画は受領・確認済（doc21）。他は未受領。★10/10：資9（関連計画との対照）を新設し、8計画との重なりと整合のとり方を一覧にした（doc81）。未受領の計画は枠を置き、計画期間を「確認中」として受領後に埋める形とした。★障がい福祉計画については、当方の別業務として同時に策定中であるため素案を確認した。本計画の素案には障がい福祉計画への参照がなかった（「障がい福祉計画」「障害福祉」「共生型」のいずれの語も現れていなかった）。★10/13 訂正：当初「同計画の第7章は3計画を扱っており連携の節は置かれていなかった」と書いたが、これは令和8年10月4日の版を見て書いたもので当たらない。同計画は令和8年10月10日に第7章3として連携の節を新設済みであった（申し送り§2・doc89）。無かったのは本計画の側の独立した節である。本計画の側に1-4（障がい福祉計画との関係）・施策4-1（制度間の移行・世帯単位の支援・用具の移行）・施策3-1（共生型サービスの協議）・資9を加え、障がい福祉計画の側の対応は提案として起票した。あわせて、数で揃える3つの対象（第2号被保険者・65歳到達者・適用除外施設入所者）を照会として起票した。適用除外の該当者がいる場合は第1号被保険者数が減り保険料の分母が動く。★残るのは未受領4計画（総合振興計画・保健医療計画・健康21・地域福祉計画・こども計画）の受領と、村のご確認である。★10/12：障がい福祉計画との突合が互いに古い版で行われていたことが分かった（doc87）。版をコミットのハッシュで記録する仕組みを作り（seigo_han.py・点検70）、相手から受け取った照会Ｋ-1〜Ｋ-8の8件すべてに応答と反映先を付けた。★10/13：障がい福祉計画の側から申し送り（令和8年10月12日付）を受け取った（doc89）。相手はまた1つ古い版（e591fe8）を見ていた。内容のハッシュ（sha256 先頭16桁）で版を照合する仕組みを加え（seigo_han.py --shoumei）、決めた16語で両計画の素案を数えて片側のみの記載を洗い出す仕組みを作った（seigo_go.py・点検74）。受け取った照会はＫ-9まで9件、相手へ渡す事項は7件になった。成年後見制度利用支援事業の条文の誤り（第2項第2号→第3項第3号）を正し、別の事業である旨の注記を施策4-7と資9に置いた（点検73）。</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0.98</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5-11の1ポイントあたりの額を5-7への参照に替えた。重複の点検のしきい値を実測し直し、30文字では9組のうち5組しか出ないことが分かったため12文字に下げた。★10/10：libreoffice-writer と poppler-utils を入れ、docx を PDF に変換して紙面を実測した（doc83）。【これまで未実施としていた紙面の確認ができるようになった。】実測により推定の前提の誤りが3件見つかった。(1) 表の幅に本文幅（9638）を使っていたが実際は TBLW（9360）で、折り返しを少なく数えていた。(2) 表の1行の下駄は罫線を含めて127 twip（宣言は120）であった。(3) estimate_layout の「頁超」の分岐に死にコードが残っていた。あわせて docx 側の欠陥を2件直した。行送りに lineRule を書いていなかったため Word ではw:line が倍率として読まれ、頁数がフォント次第になっていた（4つの build の15か所に exact を指定）。委員会資料・照会票に既定の書体の宣言がなく、12文字が欧文の明朝で出ていた。前提を直した後の推定は素案135頁・計画書118頁で、実測はそれぞれ137頁・120頁である（差は送りの空白）。計画書は本文120頁＋前付4頁＝124頁となり、削減案A〜Lをすべて行っても111頁で、村が許容する110頁に1頁足りない（点検52が不適合）。足りない1頁の当て方はⅡ-113で詰める。なお游ゴシックは本環境に無く IPAゴシックに置き換えた紙面であるため、Word の紙面そのものではない。★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10/12：紙面を通して確かめた（素案139頁。doc86）。表の孤立行5件と見出しの取り残し1件を直し、枠からのはみ出し・図と題の離れ・小さすぎる字はいずれも0件であることを確かめた。あわせて障がい福祉計画との突合を版ごと組み直し、落ちていた照会4点（介護保険優先原則・受給者証・新高額障害福祉サービス等給付費・計画相談支援）を1-4と資9に書き足した（doc87）。★10/23 村より受領した事業所別の5か年推移（従事者数・利用者数・回転率・定員充足率。doc116）を素案に反映した。2-5に村内の事業所の利用者数と従事者数の表を新設（介護職員の常勤換算は令和3年30.2人→令和7年29.0人で横ばい）。5-4(5)は村内のグループホームが令和7年に満床（27人／27人）であること、通所介護の77.8%は本村の受給者数÷定員であり稼働率ではないこと（延べでは1席あたり月13.1日分）を明記。5-4(12)は担い手の枠の仮定を実績で確かめ（生産年齢人口11.6%減に対し介護職員4.0%減）、同じ比で延ばすと令和22年に村内の介護職員18.7人で、いまのグループホームの介護職員19.0人を下回ることを示した。資6・5-12も更新した。数は estimate_jigyosho.py から引く。</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0.75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10/12：削減案12案（A〜H・J〜M）の対応表を実測で作った（doc84）。組み合わせごとに計画書を組んでPDFに変換し、何も行わない125頁からA〜Mの109頁までを数えた。村の許容110頁に収まるのはA〜L（110頁）とA〜M（109頁）である。紙面も通して確かめ、表の孤立行5件と見出しの取り残し1件を直した（doc86）。残るのはどの案を行うかの村のご判断である。★10/23 村のご指示により、障がい福祉計画と同じく素案をカラー版と単色版の2つで管理することにした。仕様書5①は計画書をモノクロ（コピー）で作成するとしており、単色版を印刷・製本に、カラー版を画面での閲覧・電子媒体に用いる。同じ素案から build_soan_docx.js（--tanshoku で単色版）で組み、06・17・18それぞれに「_単色」を設けた。単色版は色を灰の濃淡に置き換えるだけで割付は変えず、頁数はカラー版と同じである。色を持つ図は図3-1だけで、単色の図を別に描いた。点検84で、本文が両版で同じであること、単色版に色の文字・塗り・図がないことを毎回確かめる（doc115）。</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10/21：点検80（素案が引く例規27種の番号が例規集の本文と一致し、注記の件数が題名の一覧の行数と合うこと）を新設し素案80件。例規集の全70分野・569件を当たったところ、総合事業の多様なサービスの基準2件を「平成29年要綱第6号・第7号」と書いていたが原典は訓令であった。節の名から号の種別を推し測って書いたための誤りで、原典を開けば1行目に書いてある。data/原典_例規 に本文から書き写した表を置き、ネットワークなしで照合できる形にした。★10/21（第2報）：点検80を足したところ「素案に例規の番号が1つもない」と報せてきた。点検45・54・56・57・58・59が for 文のループ変数に t を使い、関数の冒頭で素案の全文を入れた t を上書きしていた。grepで3度探して3度漏れたため、点検81を自分の構文木（ast）を読む形にし、main の中で t を束縛している行をすべて名指しする形にした。ループ変数を点検番号つきの名に改め、t は素案の全文という意味に固定した。素案81件。★10/22：点検82（交付金の未取得が見かけと実際に分けて書かれていること。段の計が満点と本村の差に等しいこと・超過が配点の総和と満点の差で説明がつくこと・素案に見かけと実際の両方があること・3か年の推移の区分が2つの算定で一致すること・取得目標の順位が再計算と一致すること・条件の近い団体の平均が再計算と一致すること、の6つ）を新設し素案82件。★10/22（第2報）：点検52・57が「実測が古い（測ったときの推定129頁→いま128頁）」と出続けた。単体で測ると129頁、一括実行の中だけ128頁になる。estimate_sakugen.nuki（削減案を当てた状態を作って必ず元へ戻す仕掛け）の戻す順が適用の逆ではなく、同じ節が2つの案に当たると中間の中身で正しい復元を上書きしていた。節2-5が小見出しを落とす案と図を資料編へ移す案Hの両方に当たっていた。素案も実測も正しく、戻し忘れだけが原因であった。適用の逆順に改め、点検83（点検の途中で素案の構造が書き換わっていないこと）を新設した。素案83件。点検81と同じ種類で、点検の間で共有している状態が漏れるものである。★10/22（第3報）：戻し忘れを直したら、それが隠していた誤りが3件出てきた。素案2-5の法人の内訳が7事業所のうち6しか配っていなかった（原典では法人2が通所介護と居宅介護支援の2事業所）。確認事項の公表用の頁数が予測108頁のままであった（実測121頁）。点検57が「訪問介護・通所介護・居宅介護支援の3事業所」を「居宅介護支援＝3事業所」と誤読していた。★10/22（第4報）：verify_wbs に点検23（協議用と公表用の振り分けが成り立つこと）・点検24（公表用素案の相互参照が解決すること）があり、点検23を節の枝つき（5-5(1)・5-5(2)）に対応させた。枝を分けた節は節としては1度だけ数え、枝の重なりと取り残しを別に見る。WBS 24件。★10/23 外部レビュー（素案・参考資料への176項目の点検）を受領し、指摘11件を原典で検証した。10件は妥当として修正、1件（第117条第2項第1号の引用）は誤検出。修正後に全点検を回し、素案83/83・WBS・資料25/25・集計36/36・走査の要確認0件（doc113）。</t>
        </is>
      </c>
    </row>
    <row r="102" ht="30" customHeight="1">
      <c r="A102" s="4" t="inlineStr">
        <is>
          <t>Ⅱ-118</t>
        </is>
      </c>
      <c r="B102" s="6" t="inlineStr">
        <is>
          <t>Ⅱ 計画策定</t>
        </is>
      </c>
      <c r="C102" s="6" t="inlineStr">
        <is>
          <t>Ⅱ-7 計画書の作成</t>
        </is>
      </c>
      <c r="D102" s="7" t="inlineStr">
        <is>
          <t>協議用素案と公表用素案の切り分け</t>
        </is>
      </c>
      <c r="E102" s="4" t="inlineStr">
        <is>
          <t>確認</t>
        </is>
      </c>
      <c r="F102" s="4" t="inlineStr">
        <is>
          <t>双方</t>
        </is>
      </c>
      <c r="G102" s="7" t="inlineStr">
        <is>
          <t>振り分け表（kouhyou_map.py）</t>
        </is>
      </c>
      <c r="H102" s="7" t="inlineStr">
        <is>
          <t>令和8年10月20日の方針修正。協議用は論点をすべて含み115頁を超えてよい。公表用は第9期の目次体系を踏襲し、指針・通達・法令による追加のみとし100頁前後・最大115頁とする。第9期の39項目への当て方と、協議用のみに置く12節を村にご確認いただく</t>
        </is>
      </c>
      <c r="I102" s="4" t="inlineStr">
        <is>
          <t>R8.10下</t>
        </is>
      </c>
      <c r="J102" s="8" t="n"/>
      <c r="K102" s="8" t="n"/>
      <c r="L102" s="8" t="n">
        <v>46315</v>
      </c>
      <c r="M102" s="8" t="n">
        <v>46315</v>
      </c>
      <c r="N102" s="9" t="n">
        <v>1</v>
      </c>
      <c r="O102" s="10" t="inlineStr">
        <is>
          <t>完了</t>
        </is>
      </c>
      <c r="P102" s="7" t="inlineStr">
        <is>
          <t>★10/20 村より素案を協議用と公表用に分けるご指示をいただいた。協議用は論点をすべて含み115頁を超えてよい。公表用は目次体系を含めて第9期計画を踏襲し、指針・通達・法令による追加のみを加えて100頁前後・最大115頁とする。第9期計画の本編123頁の目次を原典から起こし（kouhyou_map.K9・39項目）、協議用素案の82節をどの項目で埋めるかの振り分け表を作った。公表用に加える6項目は指針・通達・法令の根拠つきとし、協議用にのみ置く12節は理由を添えた。同日、村より4点ともご承認をいただいた（第9期の39項目への当て方・追加6項目・12節は協議用のみ・第4章の施策を24から15に束ねる）。振り分けは確定しており作業は終えている。</t>
        </is>
      </c>
    </row>
    <row r="103" ht="30" customHeight="1">
      <c r="A103" s="11" t="inlineStr">
        <is>
          <t>Ⅱ-119</t>
        </is>
      </c>
      <c r="B103" s="12" t="inlineStr">
        <is>
          <t>Ⅱ 計画策定</t>
        </is>
      </c>
      <c r="C103" s="12" t="inlineStr">
        <is>
          <t>Ⅱ-7 計画書の作成</t>
        </is>
      </c>
      <c r="D103" s="13" t="inlineStr">
        <is>
          <t>公表用素案の組み立て（第9期の目次体系への移し替え）</t>
        </is>
      </c>
      <c r="E103" s="11" t="inlineStr">
        <is>
          <t>確認</t>
        </is>
      </c>
      <c r="F103" s="11" t="inlineStr">
        <is>
          <t>受託者</t>
        </is>
      </c>
      <c r="G103" s="13" t="inlineStr">
        <is>
          <t>公表用素案 docx</t>
        </is>
      </c>
      <c r="H103" s="13" t="inlineStr">
        <is>
          <t>Ⅱ-118の振り分けの確定が前提。節の並べ替えと番号の付け替えを行う。施策は協議用の24から第9期の14＋指針による1に束ねる</t>
        </is>
      </c>
      <c r="I103" s="11" t="inlineStr">
        <is>
          <t>R8.11上</t>
        </is>
      </c>
      <c r="J103" s="14" t="n"/>
      <c r="K103" s="14" t="n"/>
      <c r="L103" s="14" t="n">
        <v>46315</v>
      </c>
      <c r="M103" s="14" t="n"/>
      <c r="N103" s="15" t="n">
        <v>0.9</v>
      </c>
      <c r="O103" s="16" t="inlineStr">
        <is>
          <t>着手</t>
        </is>
      </c>
      <c r="P103" s="13" t="inlineStr">
        <is>
          <t>★10/20 村のご承認を得て組んだ（kouhyou_build.py）。17_計画素案_公表用.docx。49項目に並べ替え、束ねた項目はもとの節の題を小見出しにして収めた。推定は本文108頁であったが実測は117頁で9頁外れた。推定は節の高さを足しただけで、束ねるときに足す小見出し・基本目標の見出し・章の変わり目の改頁を見ていなかった。実測する scripts/jissoku_kouhyou.py を設け、推定は当てにしない旨をコメントに書いた。★10/22 村のご判断により協議用5-5（地域支援事業の見込み）の(2)事業費を第5章2（給付費等の今後の見込み）へ移した。第9期が事業費をこの節に置いていたこと、節の題がそのまま給付費等の今後の見込みであること、第4章の施策の中に費用の表を抱えると費用の全体像が2章に分かれることによる。節の一部だけを別の節へ移せる形（MAPに枝を書ける）を新たに設けた。★10/22 村のご指示により、削減案を1つも行わない形の計画書を 18_計画書_公表用.docx として出した（本文117頁＋前付4頁＝121頁。許容115頁を6頁超える）。どの削減案を行うかの村のご判断（Ⅱ-113）を待って最終の形にする。★10/23 外部レビュー（素案・参考資料への176項目の点検）を受けて直した。指摘の11件を原典で確かめ、10件は妥当、1件（第117条第2項第1号の引用）は誤検出であった。最大の指摘は採用系列の混在で、5-7の当方の検算（取崩しなし6,756円・第1号被保険者995人・987人）が国の推計ワークシート（6,610.55円・1,000人・994人）と並んでいた。国の系列を採用値とし、当方の算定は5-7「参考 当方の検算」・5-11「参考 感度分析」に分けた。条例上の基準額の表は国の3案（6,600円・5,900円・5,500円）に、5-5(1)の延ばす基礎と5-4(12)担い手の枠の需要は国の系列に置き換えた（要支援の充足率は令和22年に0%、要介護1以上にも約7人分届かない）。あわせて表紙の日付（令和8年10月）、適正化の条項番号（改正後の第5号・第6号）、グループホームの稼働率（93%→利用者数の定員比。村外利用を含むため村内の稼働率ではない）を直した。公表用は本文118頁＋前付4頁＝122頁となった（1頁増）。★10/23（第2報）村より表紙と図3-1の文字の見切れのご指摘を受けた。原因は、表紙の18pt・22ptの字に15ptの固定の行送りを掛けていたこと（Word は枠をはみ出した字の上を切る）と、縦長の図を8.9inまで広げていたため節見出しと同じ頁で頁の下からはみ出したこと、図3-1の凡例の行が描画範囲の下端で切れていたことである。前回計画（HG丸ゴシックM-PRO・本文10.5pt）と添付の障がい福祉計画（BIZ UDPゴシック・本文11pt）を確かめ、書体を障がい福祉計画と同じ BIZ UDPゴシック に改め（本文は前回に合わせ10.5pt）、大きい字の行送りを最小値指定に、図の高さの上限を8.0inにし、図3-1の改行を語の切れ目で折るようにし、表紙のヘッダー・頁番号を外した（doc114）。字幅が詰まり、公表用は本文115頁＋前付4頁＝119頁（許容115頁まで4頁）、協議用の素案は本文150頁になった。</t>
        </is>
      </c>
    </row>
    <row r="104" ht="30" customHeight="1">
      <c r="A104" s="4" t="inlineStr">
        <is>
          <t>Ⅱ-120</t>
        </is>
      </c>
      <c r="B104" s="6" t="inlineStr">
        <is>
          <t>Ⅱ 計画策定</t>
        </is>
      </c>
      <c r="C104" s="6" t="inlineStr">
        <is>
          <t>Ⅱ-7 計画書の作成</t>
        </is>
      </c>
      <c r="D104" s="7" t="inlineStr">
        <is>
          <t>公表用素案の相互参照の付け替えと点検</t>
        </is>
      </c>
      <c r="E104" s="4" t="inlineStr">
        <is>
          <t>確認</t>
        </is>
      </c>
      <c r="F104" s="4" t="inlineStr">
        <is>
          <t>受託者</t>
        </is>
      </c>
      <c r="G104" s="7" t="inlineStr">
        <is>
          <t>参照の対照表・点検</t>
        </is>
      </c>
      <c r="H104" s="7" t="inlineStr">
        <is>
          <t>節番号が変わるため本文の相互参照（「5-4(1)」「施策4-6」等）を機械で付け替え、古い番号が残っていないことを点検する。Ⅱ-119と一体</t>
        </is>
      </c>
      <c r="I104" s="4" t="inlineStr">
        <is>
          <t>R8.11上</t>
        </is>
      </c>
      <c r="J104" s="8" t="n"/>
      <c r="K104" s="8" t="n"/>
      <c r="L104" s="8" t="n">
        <v>46315</v>
      </c>
      <c r="M104" s="8" t="n">
        <v>46317</v>
      </c>
      <c r="N104" s="9" t="n">
        <v>1</v>
      </c>
      <c r="O104" s="10" t="inlineStr">
        <is>
          <t>完了</t>
        </is>
      </c>
      <c r="P104" s="7" t="inlineStr">
        <is>
          <t>★10/20 節番号が変わるため本文の相互参照を機械で付け替えた。解決しない参照は0件である（kouhyou_build.py --refs）。協議用のみの節への参照は、括弧ごと落としたもの36件と、公表用の別の節へ振り替えたもの（2-8→5-4ほか5語）、文を書き替えたもの（5-12を指す8か所）に分けて処理した。verify_wbs 点検24が毎回確かめる。★10/22 節の一部だけを別の節へ移せる形にしたとき、付け替えが行き先を知らない節番号を黙って素通ししていたことが分かった。協議用5-10が公表用5-5になるため、裸の「5-5」はそのまま公表用の第5章5（低所得者への対応）を指す状態であった。まったく別の節であり、気づかないまま村に渡り得た。素通しをやめて「手当てが要る参照」に挙げる形に改めたところ10件が浮上し、すべて素案の側で 5-5(1)（量の見込み）／5-5(2)（事業費）と明示した。公表用のための手当てだが、協議用の読み手にもどちらを指しているかが分かるようになった。解決しない参照は0件のままである。</t>
        </is>
      </c>
    </row>
    <row r="105" ht="30" customHeight="1">
      <c r="A105" s="11" t="inlineStr">
        <is>
          <t>Ⅱ-80</t>
        </is>
      </c>
      <c r="B105" s="12" t="inlineStr">
        <is>
          <t>Ⅱ 計画策定</t>
        </is>
      </c>
      <c r="C105" s="12" t="inlineStr">
        <is>
          <t>Ⅱ-8 策定委員会支援</t>
        </is>
      </c>
      <c r="D105" s="13" t="inlineStr">
        <is>
          <t>委員の改選・委嘱</t>
        </is>
      </c>
      <c r="E105" s="11" t="inlineStr">
        <is>
          <t>確認</t>
        </is>
      </c>
      <c r="F105" s="11" t="inlineStr">
        <is>
          <t>北塩原村</t>
        </is>
      </c>
      <c r="G105" s="13" t="inlineStr">
        <is>
          <t>委員名簿</t>
        </is>
      </c>
      <c r="H105" s="13" t="inlineStr">
        <is>
          <t>★現委員の任期は令和8年9月30日満了。議事録では触れられておらず改選の要否が未確認。第2回（11月）の前提</t>
        </is>
      </c>
      <c r="I105" s="11" t="inlineStr">
        <is>
          <t>R8.9〜10</t>
        </is>
      </c>
      <c r="J105" s="14" t="n"/>
      <c r="K105" s="14" t="n"/>
      <c r="L105" s="14" t="n"/>
      <c r="M105" s="14" t="n"/>
      <c r="N105" s="15" t="n">
        <v>0</v>
      </c>
      <c r="O105" s="11" t="inlineStr">
        <is>
          <t>未着手</t>
        </is>
      </c>
      <c r="P105" s="13" t="inlineStr">
        <is>
          <t>★現委員の任期が令和8年9月30日で満了（doc19 追-C）。第1回策定委員会を11月に開催するには10月中の改選・委嘱が必要。手続きの所要期間を村に確認し逆算する必要がある。</t>
        </is>
      </c>
    </row>
    <row r="106" ht="30" customHeight="1">
      <c r="A106" s="17" t="inlineStr">
        <is>
          <t>Ⅱ-81</t>
        </is>
      </c>
      <c r="B106" s="18" t="inlineStr">
        <is>
          <t>Ⅱ 計画策定</t>
        </is>
      </c>
      <c r="C106" s="18" t="inlineStr">
        <is>
          <t>Ⅱ-8 策定委員会支援</t>
        </is>
      </c>
      <c r="D106" s="19" t="inlineStr">
        <is>
          <t>第1回 会議資料の作成</t>
        </is>
      </c>
      <c r="E106" s="17" t="inlineStr">
        <is>
          <t>仕様書4Ⅱ(8)</t>
        </is>
      </c>
      <c r="F106" s="17" t="inlineStr">
        <is>
          <t>受託者</t>
        </is>
      </c>
      <c r="G106" s="19" t="inlineStr">
        <is>
          <t>会議資料</t>
        </is>
      </c>
      <c r="H106" s="19" t="inlineStr">
        <is>
          <t>★議事録により第1回は受託前に開催済みと確定。本業務の対象外</t>
        </is>
      </c>
      <c r="I106" s="17" t="inlineStr">
        <is>
          <t>開催済</t>
        </is>
      </c>
      <c r="J106" s="20" t="n"/>
      <c r="K106" s="20" t="n"/>
      <c r="L106" s="20" t="n"/>
      <c r="M106" s="20" t="n"/>
      <c r="N106" s="21" t="n">
        <v>1</v>
      </c>
      <c r="O106" s="28" t="inlineStr">
        <is>
          <t>対象外</t>
        </is>
      </c>
      <c r="P106" s="19" t="inlineStr">
        <is>
          <t>★議事録により第1回策定委員会は受託前に開催済みと確定。本業務の対象外。</t>
        </is>
      </c>
    </row>
    <row r="107" ht="30" customHeight="1">
      <c r="A107" s="22" t="inlineStr">
        <is>
          <t>Ⅱ-82</t>
        </is>
      </c>
      <c r="B107" s="23" t="inlineStr">
        <is>
          <t>Ⅱ 計画策定</t>
        </is>
      </c>
      <c r="C107" s="23" t="inlineStr">
        <is>
          <t>Ⅱ-8 策定委員会支援</t>
        </is>
      </c>
      <c r="D107" s="24" t="inlineStr">
        <is>
          <t>第1回 会議出席・会議記録（要旨）の作成</t>
        </is>
      </c>
      <c r="E107" s="22" t="inlineStr">
        <is>
          <t>仕様書4Ⅱ(8)</t>
        </is>
      </c>
      <c r="F107" s="22" t="inlineStr">
        <is>
          <t>受託者</t>
        </is>
      </c>
      <c r="G107" s="24" t="inlineStr">
        <is>
          <t>会議記録</t>
        </is>
      </c>
      <c r="H107" s="24" t="inlineStr">
        <is>
          <t>★同上。開催済のため対象外</t>
        </is>
      </c>
      <c r="I107" s="22" t="inlineStr">
        <is>
          <t>開催済</t>
        </is>
      </c>
      <c r="J107" s="25" t="n"/>
      <c r="K107" s="25" t="n"/>
      <c r="L107" s="25" t="n"/>
      <c r="M107" s="25" t="n"/>
      <c r="N107" s="26" t="n">
        <v>1</v>
      </c>
      <c r="O107" s="29" t="inlineStr">
        <is>
          <t>対象外</t>
        </is>
      </c>
      <c r="P107" s="24" t="inlineStr">
        <is>
          <t>★同上。対象外。</t>
        </is>
      </c>
    </row>
    <row r="108" ht="30" customHeight="1">
      <c r="A108" s="11" t="inlineStr">
        <is>
          <t>Ⅱ-83</t>
        </is>
      </c>
      <c r="B108" s="12" t="inlineStr">
        <is>
          <t>Ⅱ 計画策定</t>
        </is>
      </c>
      <c r="C108" s="12" t="inlineStr">
        <is>
          <t>Ⅱ-8 策定委員会支援</t>
        </is>
      </c>
      <c r="D108" s="13" t="inlineStr">
        <is>
          <t>第2回 会議資料の作成</t>
        </is>
      </c>
      <c r="E108" s="11" t="inlineStr">
        <is>
          <t>仕様書4Ⅱ(8)</t>
        </is>
      </c>
      <c r="F108" s="11" t="inlineStr">
        <is>
          <t>受託者</t>
        </is>
      </c>
      <c r="G108" s="13" t="inlineStr">
        <is>
          <t>会議資料</t>
        </is>
      </c>
      <c r="H108" s="13" t="inlineStr">
        <is>
          <t>★アンケート分析結果・第9期の効果検証（R7実績まで）・骨子・施策体系・見込量・保険料概算・素案（完成度7割）</t>
        </is>
      </c>
      <c r="I108" s="11" t="inlineStr">
        <is>
          <t>R8.11</t>
        </is>
      </c>
      <c r="J108" s="14" t="n"/>
      <c r="K108" s="14" t="n"/>
      <c r="L108" s="14" t="n">
        <v>46269</v>
      </c>
      <c r="M108" s="14" t="n"/>
      <c r="N108" s="15" t="n">
        <v>0.92</v>
      </c>
      <c r="O108" s="16" t="inlineStr">
        <is>
          <t>着手</t>
        </is>
      </c>
      <c r="P108"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10/22：村のご指示により、交付金の取りまとめを別冊の参考資料として整えた（19_策定委員会参考資料_交付金の評価と第10期の目標.docx）。参考1 いまの位置（獲得状況447点／800点・3か年の推移・条件の近い団体との比較・目標別の得点）、参考2 どこまで伸ばせるか（伸びしろ353点・取得の見込みの5段・記載で取得をめざす12項目67点）、参考3 取得の優先順位（期待得点の大きい順の上位20項目・判定を急ぐ項目）、参考4 ご判断いただきたい事項（お諮りする2点と当方の案・留意すること3点）の4部構成で、9節45ブロック11表である。資料2-4が第9期の振り返りとして獲得状況を2頁で示すのに対し、参考資料は未取得の点の内訳から第10期の目標までを扱う。数は固定値を置かず kofukin_yusen・analyze_kofukin の算定から組み、取得をめざす一覧は素案6-3の表をそのまま引いた（同じ表を2か所に書くと片方だけが古くなるため。素案の表は点検19・37が毎回確かめている）。体裁は build_shiryo_docx.js に回ごとの組を1つの表にまとめ、第3の変種として加えたため第2回・第3回と同じ組立てを使い回している。★10/23 外部レビューを受けて参考資料（成果品19）を直した。3か年推移を447点に閉じ、取得目標を4区分（取得済み・証跡あり／実施済み・証跡要確認／新規整備が必要／制度改正待ち）に分け、協議用→公表用の番号の対応表を置いた。資料6-5の中長期も国の系列を先に置き、当方の系列を感度分析に分けた（doc113）。★10/23（第2報）委員会資料（08・12・19）の書体も計画書と同じ BIZ UDPゴシック に改めた。表紙の大きい字の行送りを最小値指定にし、図の高さの上限を9.3inから8.4inに下げ、表紙の頁番号を外した（計画書と同じ見切れの対策。doc115）。★10/23（第3報）村のご指示により、委員会資料（08・12・19）にも単色版（_単色）を設けた。計画書と同じくカラー版と単色版の2つで管理し、印刷して配る資料は単色版を用いる。build_shiryo_docx.js --tanshoku で組み、verify_shiryo 点検26で本文が両版で同じこと・単色版に色がないことを毎回確かめる（doc115）。</t>
        </is>
      </c>
    </row>
    <row r="109" ht="30" customHeight="1">
      <c r="A109" s="22" t="inlineStr">
        <is>
          <t>Ⅱ-84</t>
        </is>
      </c>
      <c r="B109" s="23" t="inlineStr">
        <is>
          <t>Ⅱ 計画策定</t>
        </is>
      </c>
      <c r="C109" s="23" t="inlineStr">
        <is>
          <t>Ⅱ-8 策定委員会支援</t>
        </is>
      </c>
      <c r="D109" s="24" t="inlineStr">
        <is>
          <t>第2回 会議出席・会議記録（要旨）の作成</t>
        </is>
      </c>
      <c r="E109" s="22" t="inlineStr">
        <is>
          <t>仕様書4Ⅱ(8)</t>
        </is>
      </c>
      <c r="F109" s="22" t="inlineStr">
        <is>
          <t>受託者</t>
        </is>
      </c>
      <c r="G109" s="24" t="inlineStr">
        <is>
          <t>会議記録</t>
        </is>
      </c>
      <c r="H109" s="24" t="inlineStr"/>
      <c r="I109" s="22" t="inlineStr">
        <is>
          <t>R8.11</t>
        </is>
      </c>
      <c r="J109" s="25" t="n"/>
      <c r="K109" s="25" t="n"/>
      <c r="L109" s="25" t="n"/>
      <c r="M109" s="25" t="n"/>
      <c r="N109" s="26" t="n">
        <v>0</v>
      </c>
      <c r="O109" s="22" t="inlineStr">
        <is>
          <t>未着手</t>
        </is>
      </c>
      <c r="P109" s="24" t="inlineStr"/>
    </row>
    <row r="110" ht="30" customHeight="1">
      <c r="A110" s="11" t="inlineStr">
        <is>
          <t>Ⅱ-85</t>
        </is>
      </c>
      <c r="B110" s="12" t="inlineStr">
        <is>
          <t>Ⅱ 計画策定</t>
        </is>
      </c>
      <c r="C110" s="12" t="inlineStr">
        <is>
          <t>Ⅱ-8 策定委員会支援</t>
        </is>
      </c>
      <c r="D110" s="13" t="inlineStr">
        <is>
          <t>第3回 会議資料の作成</t>
        </is>
      </c>
      <c r="E110" s="11" t="inlineStr">
        <is>
          <t>仕様書4Ⅱ(8)</t>
        </is>
      </c>
      <c r="F110" s="11" t="inlineStr">
        <is>
          <t>受託者</t>
        </is>
      </c>
      <c r="G110" s="13" t="inlineStr">
        <is>
          <t>会議資料</t>
        </is>
      </c>
      <c r="H110" s="13" t="inlineStr">
        <is>
          <t>パブコメ結果と反映内容の報告。ほぼ完成版の素案として最終合意</t>
        </is>
      </c>
      <c r="I110" s="11" t="inlineStr">
        <is>
          <t>R9.1下〜2上</t>
        </is>
      </c>
      <c r="J110" s="14" t="n"/>
      <c r="K110" s="14" t="n"/>
      <c r="L110" s="14" t="n">
        <v>46297</v>
      </c>
      <c r="M110" s="14" t="n"/>
      <c r="N110" s="15" t="n">
        <v>0.45</v>
      </c>
      <c r="O110" s="16" t="inlineStr">
        <is>
          <t>着手</t>
        </is>
      </c>
      <c r="P110"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10/10：国の推計ワークシート（10/7受領）と県の整備量見込みシート（10/8反映）により確定した11件を「確定した事項」の表として資料に書き加えた（資料5-1に3件・資料5-2に2件・資料6-1に4件・資料6-2に2件）。【要確定】の枠は22件から20件になった（確定により消えた枠3件＝ワークシートによる算定・保険料の基準額・第1号被保険者負担割合、問いが狭まった枠2件＝必要利用定員総数は満床への対応へ・基金の取崩額は3案のいずれを採るかへ、新たに生じた枠1件＝令和9年度以降も0で入っている6サービスの扱い）。資料6-1に基金の取崩しの3案の表（取崩額・算定上の月額・条例上の基準額・第9期差・残高・第11期）を算定（estimate_kikin）から組んで入れた。資料19節・表19点になった。資料2-2（第2回以降に確定した事項）の一覧は各資料の「確定した事項」の表から組んでおり、資料を直せば一覧も連動する。点検22（確定した事項の値が素案にあること）・点検23（3案が算定と一致すること）・点検24（2-2の一覧が各資料と合うこと）を新設し、点検18（内部の仕組みの語）を第3回にも広げた。★点検22が、当方が書いた所得段階別加入割合補正後被保険者数の表記（3,054.34人）が素案（3,054人）と違うことを検出したので素案にそろえた。★点検18を広げたところ、当方が出どころの欄に内部の文書番号（doc66・doc69・doc73・doc28）を書いていたことが分かったので、村提供の資料名に書き換えた。委員会にお渡しする資料である。★残るのは、第2回の審議結果と、確定していない20件である。</t>
        </is>
      </c>
    </row>
    <row r="111" ht="30" customHeight="1">
      <c r="A111" s="22" t="inlineStr">
        <is>
          <t>Ⅱ-86</t>
        </is>
      </c>
      <c r="B111" s="23" t="inlineStr">
        <is>
          <t>Ⅱ 計画策定</t>
        </is>
      </c>
      <c r="C111" s="23" t="inlineStr">
        <is>
          <t>Ⅱ-8 策定委員会支援</t>
        </is>
      </c>
      <c r="D111" s="24" t="inlineStr">
        <is>
          <t>第3回 会議出席・会議記録（要旨）の作成</t>
        </is>
      </c>
      <c r="E111" s="22" t="inlineStr">
        <is>
          <t>仕様書4Ⅱ(8)</t>
        </is>
      </c>
      <c r="F111" s="22" t="inlineStr">
        <is>
          <t>受託者</t>
        </is>
      </c>
      <c r="G111" s="24" t="inlineStr">
        <is>
          <t>会議記録</t>
        </is>
      </c>
      <c r="H111" s="24" t="inlineStr"/>
      <c r="I111" s="22" t="inlineStr">
        <is>
          <t>R9.1下〜2上</t>
        </is>
      </c>
      <c r="J111" s="25" t="n"/>
      <c r="K111" s="25" t="n"/>
      <c r="L111" s="25" t="n"/>
      <c r="M111" s="25" t="n"/>
      <c r="N111" s="26" t="n">
        <v>0</v>
      </c>
      <c r="O111" s="22" t="inlineStr">
        <is>
          <t>未着手</t>
        </is>
      </c>
      <c r="P111" s="24" t="inlineStr"/>
    </row>
    <row r="112" ht="30" customHeight="1">
      <c r="A112" s="17" t="inlineStr">
        <is>
          <t>Ⅱ-93</t>
        </is>
      </c>
      <c r="B112" s="18" t="inlineStr">
        <is>
          <t>Ⅱ 計画策定</t>
        </is>
      </c>
      <c r="C112" s="18" t="inlineStr">
        <is>
          <t>Ⅱ-8 策定委員会支援</t>
        </is>
      </c>
      <c r="D112" s="19" t="inlineStr">
        <is>
          <t>議会全員協議会 説明資料の作成</t>
        </is>
      </c>
      <c r="E112" s="17" t="inlineStr">
        <is>
          <t>確認</t>
        </is>
      </c>
      <c r="F112" s="17" t="inlineStr">
        <is>
          <t>受託者</t>
        </is>
      </c>
      <c r="G112" s="19" t="inlineStr">
        <is>
          <t>説明資料</t>
        </is>
      </c>
      <c r="H112" s="19" t="inlineStr">
        <is>
          <t>★議事録で新設。概要版を用いて次期計画を説明。受託者の関与範囲（資料のみか出席を含むか）は要確認</t>
        </is>
      </c>
      <c r="I112" s="17" t="inlineStr">
        <is>
          <t>R9.2末</t>
        </is>
      </c>
      <c r="J112" s="20" t="n"/>
      <c r="K112" s="20" t="n"/>
      <c r="L112" s="20" t="n"/>
      <c r="M112" s="20" t="n"/>
      <c r="N112" s="21" t="n">
        <v>0</v>
      </c>
      <c r="O112" s="17" t="inlineStr">
        <is>
          <t>未着手</t>
        </is>
      </c>
      <c r="P112" s="19" t="inlineStr">
        <is>
          <t>★議事録で新設。令和9年2月末頃に概要版を用いて次期計画を説明。受託者の関与範囲（資料作成のみか出席・説明を含むか）が未確認（doc22 K-80）。</t>
        </is>
      </c>
    </row>
    <row r="113" ht="30" customHeight="1">
      <c r="A113" s="11" t="inlineStr">
        <is>
          <t>Ⅲ-87</t>
        </is>
      </c>
      <c r="B113" s="27" t="inlineStr">
        <is>
          <t>Ⅲ 打合せ等</t>
        </is>
      </c>
      <c r="C113" s="12" t="inlineStr">
        <is>
          <t>Ⅲ-1 打合せ</t>
        </is>
      </c>
      <c r="D113" s="13" t="inlineStr">
        <is>
          <t>定例打合せの実施（電話・オンライン・対面）</t>
        </is>
      </c>
      <c r="E113" s="11" t="inlineStr">
        <is>
          <t>仕様書4Ⅲ</t>
        </is>
      </c>
      <c r="F113" s="11" t="inlineStr">
        <is>
          <t>双方</t>
        </is>
      </c>
      <c r="G113" s="13" t="inlineStr">
        <is>
          <t>打合せ記録</t>
        </is>
      </c>
      <c r="H113" s="13" t="inlineStr">
        <is>
          <t>必要に応じて随時</t>
        </is>
      </c>
      <c r="I113" s="11" t="inlineStr">
        <is>
          <t>通期</t>
        </is>
      </c>
      <c r="J113" s="14" t="n"/>
      <c r="K113" s="14" t="n"/>
      <c r="L113" s="14" t="n">
        <v>46259</v>
      </c>
      <c r="M113" s="14" t="n"/>
      <c r="N113" s="15" t="n">
        <v>0.1</v>
      </c>
      <c r="O113" s="16" t="inlineStr">
        <is>
          <t>着手</t>
        </is>
      </c>
      <c r="P113" s="13" t="inlineStr">
        <is>
          <t>通期。開催頻度・形式は未確定。</t>
        </is>
      </c>
    </row>
    <row r="114" ht="30" customHeight="1">
      <c r="A114" s="11" t="inlineStr">
        <is>
          <t>Ⅲ-88</t>
        </is>
      </c>
      <c r="B114" s="12" t="inlineStr">
        <is>
          <t>Ⅲ 打合せ等</t>
        </is>
      </c>
      <c r="C114" s="12" t="inlineStr">
        <is>
          <t>Ⅲ-1 打合せ</t>
        </is>
      </c>
      <c r="D114" s="13" t="inlineStr">
        <is>
          <t>資料授受の管理</t>
        </is>
      </c>
      <c r="E114" s="11" t="inlineStr">
        <is>
          <t>仕様書4Ⅲ</t>
        </is>
      </c>
      <c r="F114" s="11" t="inlineStr">
        <is>
          <t>双方</t>
        </is>
      </c>
      <c r="G114" s="13" t="inlineStr">
        <is>
          <t>資料授受記録</t>
        </is>
      </c>
      <c r="H114" s="13" t="inlineStr"/>
      <c r="I114" s="11" t="inlineStr">
        <is>
          <t>通期</t>
        </is>
      </c>
      <c r="J114" s="14" t="n"/>
      <c r="K114" s="14" t="n"/>
      <c r="L114" s="14" t="n">
        <v>46259</v>
      </c>
      <c r="M114" s="14" t="n"/>
      <c r="N114" s="15" t="n">
        <v>0.35</v>
      </c>
      <c r="O114" s="16" t="inlineStr">
        <is>
          <t>着手</t>
        </is>
      </c>
      <c r="P114" s="13" t="inlineStr">
        <is>
          <t>受領資料は「受領資料・データ管理」シートで管理（28件）。7z分割書庫の全4分割が揃い展開完了。</t>
        </is>
      </c>
    </row>
    <row r="115" ht="30" customHeight="1">
      <c r="A115" s="22" t="inlineStr">
        <is>
          <t>Ⅳ-89</t>
        </is>
      </c>
      <c r="B115" s="30" t="inlineStr">
        <is>
          <t>Ⅳ 成果品・納品</t>
        </is>
      </c>
      <c r="C115" s="23" t="inlineStr">
        <is>
          <t>Ⅳ-1 成果品</t>
        </is>
      </c>
      <c r="D115" s="24" t="inlineStr">
        <is>
          <t>計画書の印刷・製本（A4両面約100頁・くるみ製本）</t>
        </is>
      </c>
      <c r="E115" s="22" t="inlineStr">
        <is>
          <t>仕様書5①</t>
        </is>
      </c>
      <c r="F115" s="22" t="inlineStr">
        <is>
          <t>受託者</t>
        </is>
      </c>
      <c r="G115" s="24" t="inlineStr">
        <is>
          <t>計画書 50部</t>
        </is>
      </c>
      <c r="H115" s="24" t="inlineStr">
        <is>
          <t>モノクロ印刷</t>
        </is>
      </c>
      <c r="I115" s="22" t="inlineStr">
        <is>
          <t>R9.3</t>
        </is>
      </c>
      <c r="J115" s="25" t="n"/>
      <c r="K115" s="25" t="n"/>
      <c r="L115" s="25" t="n"/>
      <c r="M115" s="25" t="n"/>
      <c r="N115" s="26" t="n">
        <v>0</v>
      </c>
      <c r="O115" s="22" t="inlineStr">
        <is>
          <t>未着手</t>
        </is>
      </c>
      <c r="P115" s="24" t="inlineStr"/>
    </row>
    <row r="116" ht="30" customHeight="1">
      <c r="A116" s="17" t="inlineStr">
        <is>
          <t>Ⅳ-90</t>
        </is>
      </c>
      <c r="B116" s="18" t="inlineStr">
        <is>
          <t>Ⅳ 成果品・納品</t>
        </is>
      </c>
      <c r="C116" s="18" t="inlineStr">
        <is>
          <t>Ⅳ-1 成果品</t>
        </is>
      </c>
      <c r="D116" s="19" t="inlineStr">
        <is>
          <t>アンケート調査報告書の印刷・製本（ホチキス製本）</t>
        </is>
      </c>
      <c r="E116" s="17" t="inlineStr">
        <is>
          <t>仕様書5②</t>
        </is>
      </c>
      <c r="F116" s="17" t="inlineStr">
        <is>
          <t>受託者</t>
        </is>
      </c>
      <c r="G116" s="19" t="inlineStr">
        <is>
          <t>報告書 10部</t>
        </is>
      </c>
      <c r="H116" s="19" t="inlineStr">
        <is>
          <t>A4両面約100頁・モノクロ</t>
        </is>
      </c>
      <c r="I116" s="17" t="inlineStr">
        <is>
          <t>R9.3</t>
        </is>
      </c>
      <c r="J116" s="20" t="n"/>
      <c r="K116" s="20" t="n"/>
      <c r="L116" s="20" t="n"/>
      <c r="M116" s="20" t="n"/>
      <c r="N116" s="21" t="n">
        <v>0</v>
      </c>
      <c r="O116" s="17" t="inlineStr">
        <is>
          <t>未着手</t>
        </is>
      </c>
      <c r="P116" s="19" t="inlineStr">
        <is>
          <t>★9/24：仕様書どおりA4判両面約100頁・モノクロ・ホチキス製本・10部で確定。両面100頁＝紙50枚でホチキス製本の上限に近く、当初案の118頁（59枚）は製本の面でも無理があった。</t>
        </is>
      </c>
    </row>
    <row r="117" ht="30" customHeight="1">
      <c r="A117" s="11" t="inlineStr">
        <is>
          <t>Ⅳ-91</t>
        </is>
      </c>
      <c r="B117" s="12" t="inlineStr">
        <is>
          <t>Ⅳ 成果品・納品</t>
        </is>
      </c>
      <c r="C117" s="12" t="inlineStr">
        <is>
          <t>Ⅳ-1 成果品</t>
        </is>
      </c>
      <c r="D117" s="13" t="inlineStr">
        <is>
          <t>電子媒体の作成（Word/Excel/PowerPoint/PDF）</t>
        </is>
      </c>
      <c r="E117" s="11" t="inlineStr">
        <is>
          <t>仕様書5③</t>
        </is>
      </c>
      <c r="F117" s="11" t="inlineStr">
        <is>
          <t>受託者</t>
        </is>
      </c>
      <c r="G117" s="13" t="inlineStr">
        <is>
          <t>CD-R等一式</t>
        </is>
      </c>
      <c r="H117" s="13" t="inlineStr">
        <is>
          <t>関連データを含む</t>
        </is>
      </c>
      <c r="I117" s="11" t="inlineStr">
        <is>
          <t>R9.3</t>
        </is>
      </c>
      <c r="J117" s="14" t="n"/>
      <c r="K117" s="14" t="n"/>
      <c r="L117" s="14" t="n">
        <v>46290</v>
      </c>
      <c r="M117" s="14" t="n"/>
      <c r="N117" s="15" t="n">
        <v>0.55</v>
      </c>
      <c r="O117" s="16" t="inlineStr">
        <is>
          <t>着手</t>
        </is>
      </c>
      <c r="P117" s="13" t="inlineStr">
        <is>
          <t>素案docx・委員会資料docx・WBS xlsx・集計仕様書xlsx・図表データ管理台帳xlsxを出力。★10/4：納品媒体を組み立てる手順を作った（build_nohin.py）。nohin_data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10/12：libreoffice-writer と poppler-utils を入れ、docx を PDF に変換できるようになった（doc83）。仕様書5③-aは電子媒体にPDF形式等を収めることを求めており、これまで「変換ができない環境のため未作成」としていたものが作れる。納品物にPDFを加える作業に着手できる。</t>
        </is>
      </c>
    </row>
    <row r="118" ht="30" customHeight="1">
      <c r="A118" s="11" t="inlineStr">
        <is>
          <t>Ⅳ-114</t>
        </is>
      </c>
      <c r="B118" s="12" t="inlineStr">
        <is>
          <t>Ⅳ 成果品・納品</t>
        </is>
      </c>
      <c r="C118" s="12" t="inlineStr">
        <is>
          <t>Ⅳ-1 成果品</t>
        </is>
      </c>
      <c r="D118" s="13" t="inlineStr">
        <is>
          <t>納品物に収録する範囲の確定（個人情報の非収録）</t>
        </is>
      </c>
      <c r="E118" s="11" t="inlineStr">
        <is>
          <t>仕様書5③</t>
        </is>
      </c>
      <c r="F118" s="11" t="inlineStr">
        <is>
          <t>双方</t>
        </is>
      </c>
      <c r="G118" s="13" t="inlineStr">
        <is>
          <t>収録内容一覧</t>
        </is>
      </c>
      <c r="H118" s="13" t="inlineStr">
        <is>
          <t>「関連データ」に回答原票・管理番号対応表を含めるかは村の指示による。仕様書6(1)と一体</t>
        </is>
      </c>
      <c r="I118" s="11" t="inlineStr">
        <is>
          <t>R9.3</t>
        </is>
      </c>
      <c r="J118" s="14" t="n"/>
      <c r="K118" s="14" t="n"/>
      <c r="L118" s="14" t="n">
        <v>46297</v>
      </c>
      <c r="M118" s="14" t="n"/>
      <c r="N118" s="15" t="n">
        <v>0.8</v>
      </c>
      <c r="O118" s="16" t="inlineStr">
        <is>
          <t>着手</t>
        </is>
      </c>
      <c r="P118"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9" ht="30" customHeight="1">
      <c r="A119" s="11" t="inlineStr">
        <is>
          <t>Ⅳ-92</t>
        </is>
      </c>
      <c r="B119" s="12" t="inlineStr">
        <is>
          <t>Ⅳ 成果品・納品</t>
        </is>
      </c>
      <c r="C119" s="12" t="inlineStr">
        <is>
          <t>Ⅳ-1 成果品</t>
        </is>
      </c>
      <c r="D119" s="13" t="inlineStr">
        <is>
          <t>概要版の作成</t>
        </is>
      </c>
      <c r="E119" s="11" t="inlineStr">
        <is>
          <t>確認</t>
        </is>
      </c>
      <c r="F119" s="11" t="inlineStr">
        <is>
          <t>双方</t>
        </is>
      </c>
      <c r="G119" s="13" t="inlineStr">
        <is>
          <t>概要版 A3両面程度</t>
        </is>
      </c>
      <c r="H119" s="13" t="inlineStr">
        <is>
          <t>★議事録で作成が合意（理念・体系図・推移データを記載）。2月末の議会全員協議会で使用。仕様の範囲内か追加対応かは要確認</t>
        </is>
      </c>
      <c r="I119" s="11" t="inlineStr">
        <is>
          <t>R9.1〜2</t>
        </is>
      </c>
      <c r="J119" s="14" t="n"/>
      <c r="K119" s="14" t="n"/>
      <c r="L119" s="14" t="n">
        <v>46308</v>
      </c>
      <c r="M119" s="14" t="n"/>
      <c r="N119" s="15" t="n">
        <v>0.35</v>
      </c>
      <c r="O119" s="16" t="inlineStr">
        <is>
          <t>着手</t>
        </is>
      </c>
      <c r="P119" s="13" t="inlineStr">
        <is>
          <t>★議事録でA3両面程度（理念・体系図・推移データ）と決着。第9期はA4 2ページ。仕様の範囲内か追加対応かは要確認（doc22 K-79）。★10/10：骨子を作った（doc82）。第9期概要版の構成（表面＝基本的な考え方・基本理念・基本目標・数値①〜⑦、裏面＝施策体系図）を踏襲した。村民と議会が見慣れた形であり、第9期との比較ができるためである。A3両面に25の要素を割り付け、要素ごとに素案のどの節・どの図から引くかを決めた（scripts/gaiyou_data.py）。収まりは面積で積んだ（scripts/estimate_gaiyou.py）。A3縦・余白15mm・本文9pt・行送り1.5倍で、表面73パーセント・裏面76パーセント。表と枠はます目の余白と罫線のため字数から出した面積の1.6倍で見込んだ。点検67を新設し、要素の出どころが素案に実在すること、図のファイルが実在すること、A3両面に収まることを機械で確かめる形にした。★施策体系図（図3-1）はA4に合わせた縦長であり、A3の幅を活かせない。縦長のまま幅を180mmに広げると高さ290mmとなり裏面の高さの74パーセントを占めて他が入らないため、骨子では幅125mmに縮めている。概要版のために横長に作り直すかを村のご判断の対象とした。★骨子の段階で決まっていないものを6件挙げた（保険料の基準額・成果目標の目標値・基本理念の継承・所管課・配布の範囲と部数・仕様の範囲内かどうか）。★概要版には保険料の基準額を載せるため、基金の取崩しの3案のご決定を受けてからでないと作れない。第3回策定委員会（令和9年1月下旬〜2月上旬）の後、議会全員協議会（2月末頃）までに作成する工程となる。★あわせて、同じ問いを3件に分けて起票していた確認事項（概要版の要否・位置づけ・仕様の範囲内か）を優先度Aの1件に集約した。</t>
        </is>
      </c>
    </row>
    <row r="120" ht="30" customHeight="1">
      <c r="A120" s="17" t="inlineStr">
        <is>
          <t>Ⅳ-96</t>
        </is>
      </c>
      <c r="B120" s="18" t="inlineStr">
        <is>
          <t>Ⅳ 成果品・納品</t>
        </is>
      </c>
      <c r="C120" s="18" t="inlineStr">
        <is>
          <t>Ⅳ-2 納品</t>
        </is>
      </c>
      <c r="D120" s="19" t="inlineStr">
        <is>
          <t>納品・検収</t>
        </is>
      </c>
      <c r="E120" s="17" t="inlineStr">
        <is>
          <t>仕様書3</t>
        </is>
      </c>
      <c r="F120" s="17" t="inlineStr">
        <is>
          <t>双方</t>
        </is>
      </c>
      <c r="G120" s="19" t="inlineStr">
        <is>
          <t>検収書</t>
        </is>
      </c>
      <c r="H120" s="19" t="inlineStr">
        <is>
          <t>履行期限 令和9年3月31日</t>
        </is>
      </c>
      <c r="I120" s="17" t="inlineStr">
        <is>
          <t>R9.3</t>
        </is>
      </c>
      <c r="J120" s="20" t="n"/>
      <c r="K120" s="20" t="n"/>
      <c r="L120" s="20" t="n"/>
      <c r="M120" s="20" t="n"/>
      <c r="N120" s="21" t="n">
        <v>0</v>
      </c>
      <c r="O120" s="17" t="inlineStr">
        <is>
          <t>未着手</t>
        </is>
      </c>
      <c r="P120" s="19" t="inlineStr"/>
    </row>
    <row r="121" ht="30" customHeight="1">
      <c r="A121" s="11" t="inlineStr">
        <is>
          <t>Ⅴ-97</t>
        </is>
      </c>
      <c r="B121" s="27" t="inlineStr">
        <is>
          <t>Ⅴ 管理</t>
        </is>
      </c>
      <c r="C121" s="12" t="inlineStr">
        <is>
          <t>Ⅴ-1 情報管理</t>
        </is>
      </c>
      <c r="D121" s="13" t="inlineStr">
        <is>
          <t>個人情報の適正管理（アクセス制限・保管ルール）</t>
        </is>
      </c>
      <c r="E121" s="11" t="inlineStr">
        <is>
          <t>仕様書6(1)</t>
        </is>
      </c>
      <c r="F121" s="11" t="inlineStr">
        <is>
          <t>受託者</t>
        </is>
      </c>
      <c r="G121" s="13" t="inlineStr">
        <is>
          <t>管理記録</t>
        </is>
      </c>
      <c r="H121" s="13" t="inlineStr">
        <is>
          <t>契約終了後・解除後も同様</t>
        </is>
      </c>
      <c r="I121" s="11" t="inlineStr">
        <is>
          <t>通期</t>
        </is>
      </c>
      <c r="J121" s="14" t="n"/>
      <c r="K121" s="14" t="n"/>
      <c r="L121" s="14" t="n">
        <v>46259</v>
      </c>
      <c r="M121" s="14" t="n"/>
      <c r="N121" s="15" t="n">
        <v>0.75</v>
      </c>
      <c r="O121" s="16" t="inlineStr">
        <is>
          <t>着手</t>
        </is>
      </c>
      <c r="P121"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22" ht="30" customHeight="1">
      <c r="A122" s="11" t="inlineStr">
        <is>
          <t>Ⅴ-98</t>
        </is>
      </c>
      <c r="B122" s="12" t="inlineStr">
        <is>
          <t>Ⅴ 管理</t>
        </is>
      </c>
      <c r="C122" s="12" t="inlineStr">
        <is>
          <t>Ⅴ-1 情報管理</t>
        </is>
      </c>
      <c r="D122" s="13" t="inlineStr">
        <is>
          <t>業務完了後の情報の返還・消去</t>
        </is>
      </c>
      <c r="E122" s="11" t="inlineStr">
        <is>
          <t>仕様書6(1)</t>
        </is>
      </c>
      <c r="F122" s="11" t="inlineStr">
        <is>
          <t>受託者</t>
        </is>
      </c>
      <c r="G122" s="13" t="inlineStr">
        <is>
          <t>消去証明</t>
        </is>
      </c>
      <c r="H122" s="13" t="inlineStr">
        <is>
          <t>村の指示に従う</t>
        </is>
      </c>
      <c r="I122" s="11" t="inlineStr">
        <is>
          <t>R9.3</t>
        </is>
      </c>
      <c r="J122" s="14" t="n"/>
      <c r="K122" s="14" t="n"/>
      <c r="L122" s="14" t="n">
        <v>46304</v>
      </c>
      <c r="M122" s="14" t="n"/>
      <c r="N122" s="15" t="n">
        <v>0.4</v>
      </c>
      <c r="O122" s="16" t="inlineStr">
        <is>
          <t>着手</t>
        </is>
      </c>
      <c r="P122"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10/23 秘密保持契約書（令和8年8月6日）を受領した。第5条は、相手方の要求があった時または業務完了時に秘密資料（複製を含む）を返却・破棄・消去し、貸与アカウントから速やかにログアウトして以後アクセスしないことを定める。秘密保持の義務は令和9年3月31日まで存続する。doc64の手順の根拠にこの条項を加えた（doc117）。</t>
        </is>
      </c>
    </row>
    <row r="123" ht="30" customHeight="1">
      <c r="A123" s="22" t="inlineStr">
        <is>
          <t>Ⅴ-99</t>
        </is>
      </c>
      <c r="B123" s="23" t="inlineStr">
        <is>
          <t>Ⅴ 管理</t>
        </is>
      </c>
      <c r="C123" s="23" t="inlineStr">
        <is>
          <t>Ⅴ-2 再委託</t>
        </is>
      </c>
      <c r="D123" s="24" t="inlineStr">
        <is>
          <t>再委託の書面承諾の取得</t>
        </is>
      </c>
      <c r="E123" s="22" t="inlineStr">
        <is>
          <t>仕様書6(2)</t>
        </is>
      </c>
      <c r="F123" s="22" t="inlineStr">
        <is>
          <t>双方</t>
        </is>
      </c>
      <c r="G123" s="24" t="inlineStr">
        <is>
          <t>承諾書</t>
        </is>
      </c>
      <c r="H123" s="24" t="inlineStr">
        <is>
          <t>印刷・データ入力・ウェブフォーム構築等を外注する場合</t>
        </is>
      </c>
      <c r="I123" s="22" t="inlineStr">
        <is>
          <t>随時</t>
        </is>
      </c>
      <c r="J123" s="25" t="n"/>
      <c r="K123" s="25" t="n"/>
      <c r="L123" s="25" t="n"/>
      <c r="M123" s="25" t="n"/>
      <c r="N123" s="26" t="n">
        <v>0</v>
      </c>
      <c r="O123" s="22" t="inlineStr">
        <is>
          <t>未着手</t>
        </is>
      </c>
      <c r="P123" s="24" t="inlineStr"/>
    </row>
    <row r="124" ht="30" customHeight="1">
      <c r="A124" s="11" t="inlineStr">
        <is>
          <t>Ⅴ-100</t>
        </is>
      </c>
      <c r="B124" s="12" t="inlineStr">
        <is>
          <t>Ⅴ 管理</t>
        </is>
      </c>
      <c r="C124" s="12" t="inlineStr">
        <is>
          <t>Ⅴ-3 進捗管理</t>
        </is>
      </c>
      <c r="D124" s="13" t="inlineStr">
        <is>
          <t>進捗管理・課題管理</t>
        </is>
      </c>
      <c r="E124" s="11" t="inlineStr">
        <is>
          <t>仕様書6(4)</t>
        </is>
      </c>
      <c r="F124" s="11" t="inlineStr">
        <is>
          <t>受託者</t>
        </is>
      </c>
      <c r="G124" s="13" t="inlineStr">
        <is>
          <t>本進捗管理表</t>
        </is>
      </c>
      <c r="H124" s="13" t="inlineStr"/>
      <c r="I124" s="11" t="inlineStr">
        <is>
          <t>通期</t>
        </is>
      </c>
      <c r="J124" s="14" t="n"/>
      <c r="K124" s="14" t="n"/>
      <c r="L124" s="14" t="n">
        <v>46265</v>
      </c>
      <c r="M124" s="14" t="n"/>
      <c r="N124" s="15" t="n">
        <v>0.75</v>
      </c>
      <c r="O124" s="16" t="inlineStr">
        <is>
          <t>着手</t>
        </is>
      </c>
      <c r="P124"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10/12：基準日を令和8年10月12日に改めた。確認事項205件（解決済35件）。影響度1（停止）が3件から5件に増えた（法が定めることを求めている2つの量が空欄・老人福祉事業の量の実績）。翌営業日の作業を2件に組み直した。</t>
        </is>
      </c>
    </row>
  </sheetData>
  <autoFilter ref="A4:P124"/>
  <mergeCells count="2">
    <mergeCell ref="A1:P1"/>
    <mergeCell ref="A2:P2"/>
  </mergeCells>
  <dataValidations count="2">
    <dataValidation sqref="O5:O124" showDropDown="0" showInputMessage="0" showErrorMessage="0" allowBlank="1" type="list">
      <formula1>"未着手,着手,確認中,完了,保留,対象外"</formula1>
    </dataValidation>
    <dataValidation sqref="F5:F124"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52"/>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46" customWidth="1" min="4" max="4"/>
    <col width="56" customWidth="1" min="5" max="5"/>
    <col width="14" customWidth="1" min="6" max="6"/>
    <col width="16" customWidth="1" min="7" max="7"/>
    <col width="10" customWidth="1" min="8" max="8"/>
    <col width="30" customWidth="1" min="9" max="9"/>
  </cols>
  <sheetData>
    <row r="1" ht="30" customHeight="1">
      <c r="A1" s="1" t="inlineStr">
        <is>
          <t>北塩原村への確認事項　一覧（基準日：令和8年10月23日）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照会 Ｂ＝当方で進める（村にはお尋ねしません）／Ｃ＝他の計画・公表資料で先行し不足分のみ照会／Ｄ＝村のご回答が必要　｜　出所の doc番号は docs/北塩原村_第10期/ 配下の分析資料に対応します</t>
        </is>
      </c>
    </row>
    <row r="4" ht="34" customHeight="1">
      <c r="A4" s="3" t="inlineStr">
        <is>
          <t>優先度</t>
        </is>
      </c>
      <c r="B4" s="3" t="inlineStr">
        <is>
          <t>照会</t>
        </is>
      </c>
      <c r="C4" s="3" t="inlineStr">
        <is>
          <t>区分</t>
        </is>
      </c>
      <c r="D4" s="3" t="inlineStr">
        <is>
          <t>確認事項</t>
        </is>
      </c>
      <c r="E4" s="3" t="inlineStr">
        <is>
          <t>なぜ必要か／影響</t>
        </is>
      </c>
      <c r="F4" s="3" t="inlineStr">
        <is>
          <t>関連WBS No.</t>
        </is>
      </c>
      <c r="G4" s="3" t="inlineStr">
        <is>
          <t>出所</t>
        </is>
      </c>
      <c r="H4" s="3" t="inlineStr">
        <is>
          <t>状況</t>
        </is>
      </c>
      <c r="I4" s="3" t="inlineStr">
        <is>
          <t>回答内容・回答日</t>
        </is>
      </c>
    </row>
    <row r="5" ht="34" customHeight="1">
      <c r="A5" s="31" t="inlineStr">
        <is>
          <t>S</t>
        </is>
      </c>
      <c r="B5" s="22" t="inlineStr">
        <is>
          <t>Ｄ</t>
        </is>
      </c>
      <c r="C5" s="32" t="inlineStr">
        <is>
          <t>スケジュール</t>
        </is>
      </c>
      <c r="D5" s="33" t="inlineStr">
        <is>
          <t>対象者抽出・宛名ラベル・配布用封筒の提供時期</t>
        </is>
      </c>
      <c r="E5" s="33" t="inlineStr">
        <is>
          <t>村作業が遅れると発送が連鎖的に遅れる。9/19〜23が5連休。</t>
        </is>
      </c>
      <c r="F5" s="34" t="inlineStr">
        <is>
          <t>Ⅰ-24,Ⅰ-25,Ⅰ-26</t>
        </is>
      </c>
      <c r="G5" s="34" t="inlineStr">
        <is>
          <t>doc01-4</t>
        </is>
      </c>
      <c r="H5" s="34" t="inlineStr">
        <is>
          <t>未依頼</t>
        </is>
      </c>
      <c r="I5" s="33" t="inlineStr"/>
    </row>
    <row r="6" ht="34" customHeight="1">
      <c r="A6" s="31" t="inlineStr">
        <is>
          <t>S</t>
        </is>
      </c>
      <c r="B6" s="22" t="inlineStr">
        <is>
          <t>Ｄ</t>
        </is>
      </c>
      <c r="C6" s="32" t="inlineStr">
        <is>
          <t>スケジュール</t>
        </is>
      </c>
      <c r="D6" s="33" t="inlineStr">
        <is>
          <t>宛名ラベル・配布用封筒の提供期限の前倒し可否（9/14→9/11）</t>
        </is>
      </c>
      <c r="E6" s="33" t="inlineStr">
        <is>
          <t>★提供が1日遅れると発送が5連休に食い込む。村作業の遅延に対する余裕がない。</t>
        </is>
      </c>
      <c r="F6" s="34" t="inlineStr">
        <is>
          <t>Ⅰ-25,Ⅰ-26</t>
        </is>
      </c>
      <c r="G6" s="34" t="inlineStr">
        <is>
          <t>doc19 指-2</t>
        </is>
      </c>
      <c r="H6" s="34" t="inlineStr">
        <is>
          <t>未依頼</t>
        </is>
      </c>
      <c r="I6" s="33" t="inlineStr"/>
    </row>
    <row r="7" ht="34" customHeight="1">
      <c r="A7" s="31" t="inlineStr">
        <is>
          <t>S</t>
        </is>
      </c>
      <c r="B7" s="22" t="inlineStr">
        <is>
          <t>Ｄ</t>
        </is>
      </c>
      <c r="C7" s="32" t="inlineStr">
        <is>
          <t>スケジュール</t>
        </is>
      </c>
      <c r="D7" s="33" t="inlineStr">
        <is>
          <t>★策定委員会 現委員の任期満了（令和8年9月30日）と改選手続きの所要期間</t>
        </is>
      </c>
      <c r="E7" s="33" t="inlineStr">
        <is>
          <t>★議事録で触れられていない。第2回を11月に開催するには10月中の改選・委嘱が必要。</t>
        </is>
      </c>
      <c r="F7" s="34" t="inlineStr">
        <is>
          <t>Ⅱ-80</t>
        </is>
      </c>
      <c r="G7" s="34" t="inlineStr">
        <is>
          <t>doc22 K-76</t>
        </is>
      </c>
      <c r="H7" s="34" t="inlineStr">
        <is>
          <t>未依頼</t>
        </is>
      </c>
      <c r="I7" s="33" t="inlineStr"/>
    </row>
    <row r="8" ht="34" customHeight="1">
      <c r="A8" s="31" t="inlineStr">
        <is>
          <t>S</t>
        </is>
      </c>
      <c r="B8" s="22" t="inlineStr">
        <is>
          <t>Ｄ</t>
        </is>
      </c>
      <c r="C8" s="32" t="inlineStr">
        <is>
          <t>スケジュール</t>
        </is>
      </c>
      <c r="D8" s="33" t="inlineStr">
        <is>
          <t>★実際の発送日と回収状況（件数・回収率）、ウェブ回答フォームの稼働確認</t>
        </is>
      </c>
      <c r="E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F8" s="34" t="inlineStr">
        <is>
          <t>Ⅰ-29,Ⅰ-30,Ⅰ-101,Ⅰ-94</t>
        </is>
      </c>
      <c r="G8" s="34" t="inlineStr">
        <is>
          <t>doc75</t>
        </is>
      </c>
      <c r="H8" s="34" t="inlineStr">
        <is>
          <t>未依頼</t>
        </is>
      </c>
      <c r="I8" s="33" t="inlineStr"/>
    </row>
    <row r="9" ht="34" customHeight="1">
      <c r="A9" s="31" t="inlineStr">
        <is>
          <t>S</t>
        </is>
      </c>
      <c r="B9" s="22" t="inlineStr">
        <is>
          <t>Ｄ</t>
        </is>
      </c>
      <c r="C9" s="32" t="inlineStr">
        <is>
          <t>データ</t>
        </is>
      </c>
      <c r="D9" s="33" t="inlineStr">
        <is>
          <t>★返信用封筒の差出有効期間の延長</t>
        </is>
      </c>
      <c r="E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F9" s="34" t="inlineStr">
        <is>
          <t>Ⅰ-23,Ⅰ-102</t>
        </is>
      </c>
      <c r="G9" s="34" t="inlineStr">
        <is>
          <t>doc34§1-2</t>
        </is>
      </c>
      <c r="H9" s="34" t="inlineStr">
        <is>
          <t>未依頼</t>
        </is>
      </c>
      <c r="I9" s="33" t="inlineStr"/>
    </row>
    <row r="10" ht="34" customHeight="1">
      <c r="A10" s="31" t="inlineStr">
        <is>
          <t>S</t>
        </is>
      </c>
      <c r="B10" s="22" t="inlineStr">
        <is>
          <t>Ｄ</t>
        </is>
      </c>
      <c r="C10" s="32" t="inlineStr">
        <is>
          <t>データ</t>
        </is>
      </c>
      <c r="D10" s="33" t="inlineStr">
        <is>
          <t>★ニーズ調査の対象者882人に対応する要介護認定データ（認定の有無・要介護度）</t>
        </is>
      </c>
      <c r="E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F10" s="34" t="inlineStr">
        <is>
          <t>Ⅰ-37,Ⅰ-38</t>
        </is>
      </c>
      <c r="G10" s="34" t="inlineStr">
        <is>
          <t>doc43§1</t>
        </is>
      </c>
      <c r="H10" s="34" t="inlineStr">
        <is>
          <t>未依頼</t>
        </is>
      </c>
      <c r="I10" s="33" t="inlineStr"/>
    </row>
    <row r="11" ht="34" customHeight="1">
      <c r="A11" s="31" t="inlineStr">
        <is>
          <t>S</t>
        </is>
      </c>
      <c r="B11" s="22" t="inlineStr">
        <is>
          <t>Ｄ</t>
        </is>
      </c>
      <c r="C11" s="32" t="inlineStr">
        <is>
          <t>データ</t>
        </is>
      </c>
      <c r="D11" s="33" t="inlineStr">
        <is>
          <t>★要介護認定データの提供時期と項目（要介護度・認定日・サービス利用状況）および総合事業対象者（基本チェックリスト該当者）の情報</t>
        </is>
      </c>
      <c r="E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F11" s="34" t="inlineStr">
        <is>
          <t>Ⅰ-37</t>
        </is>
      </c>
      <c r="G11" s="34" t="inlineStr">
        <is>
          <t>doc24§12 K-87</t>
        </is>
      </c>
      <c r="H11" s="34" t="inlineStr">
        <is>
          <t>未依頼</t>
        </is>
      </c>
      <c r="I11" s="33" t="inlineStr"/>
    </row>
    <row r="12" ht="34" customHeight="1">
      <c r="A12" s="31" t="inlineStr">
        <is>
          <t>S</t>
        </is>
      </c>
      <c r="B12" s="22" t="inlineStr">
        <is>
          <t>Ｄ</t>
        </is>
      </c>
      <c r="C12" s="32" t="inlineStr">
        <is>
          <t>分析</t>
        </is>
      </c>
      <c r="D12" s="33" t="inlineStr">
        <is>
          <t>★ICFを用いたクロス分析の具体的な期待像（軸・アウトプットのイメージ）</t>
        </is>
      </c>
      <c r="E12" s="33" t="inlineStr">
        <is>
          <t>★議事録の新規要件。「元気な高齢者」×「地域のニーズ」で共助・互助の必要性を示す分析。調査票の設計段階でクロス軸を確保しないと後から分析できない。9/3の第1稿に影響。</t>
        </is>
      </c>
      <c r="F12" s="34" t="inlineStr">
        <is>
          <t>Ⅰ-95</t>
        </is>
      </c>
      <c r="G12" s="34" t="inlineStr">
        <is>
          <t>doc22 K-77</t>
        </is>
      </c>
      <c r="H12" s="34" t="inlineStr">
        <is>
          <t>未依頼</t>
        </is>
      </c>
      <c r="I12" s="33" t="inlineStr"/>
    </row>
    <row r="13" ht="34" customHeight="1">
      <c r="A13" s="31" t="inlineStr">
        <is>
          <t>S</t>
        </is>
      </c>
      <c r="B13" s="22" t="inlineStr">
        <is>
          <t>Ｄ</t>
        </is>
      </c>
      <c r="C13" s="32" t="inlineStr">
        <is>
          <t>方針</t>
        </is>
      </c>
      <c r="D13" s="33" t="inlineStr">
        <is>
          <t>★準備基金の取崩額を40,000,000円（残高の94.9%）とすることの可否（第11期が＋32.4%になる関係）</t>
        </is>
      </c>
      <c r="E13" s="33" t="inlineStr">
        <is>
          <t>★取崩額を40,000,000円（残高の94.9%）とすることの可否をご判断いただきたい。あわせて、第2回策定委員会の資料6に取崩額を変えた場合の第10期・第11期の保険料の対比を示す案で進めてよいかをご確認いただきたい。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F13" s="34" t="inlineStr">
        <is>
          <t>Ⅱ-63,Ⅱ-64,Ⅱ-107</t>
        </is>
      </c>
      <c r="G13" s="34" t="inlineStr">
        <is>
          <t>doc66§2-3,doc72</t>
        </is>
      </c>
      <c r="H13" s="34" t="inlineStr">
        <is>
          <t>未依頼</t>
        </is>
      </c>
      <c r="I13" s="33" t="inlineStr"/>
    </row>
    <row r="14" ht="34" customHeight="1">
      <c r="A14" s="31" t="inlineStr">
        <is>
          <t>S</t>
        </is>
      </c>
      <c r="B14" s="22" t="inlineStr">
        <is>
          <t>Ｄ</t>
        </is>
      </c>
      <c r="C14" s="32" t="inlineStr">
        <is>
          <t>方針</t>
        </is>
      </c>
      <c r="D14" s="33" t="inlineStr">
        <is>
          <t>★ニーズ調査 問4(15)(16)（社会的役割）を削除するかどうか</t>
        </is>
      </c>
      <c r="E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F14" s="34" t="inlineStr">
        <is>
          <t>Ⅰ-15,Ⅰ-102</t>
        </is>
      </c>
      <c r="G14" s="34" t="inlineStr">
        <is>
          <t>doc34§1-1</t>
        </is>
      </c>
      <c r="H14" s="34" t="inlineStr">
        <is>
          <t>未依頼</t>
        </is>
      </c>
      <c r="I14" s="33" t="inlineStr"/>
    </row>
    <row r="15" ht="34" customHeight="1">
      <c r="A15" s="31" t="inlineStr">
        <is>
          <t>S</t>
        </is>
      </c>
      <c r="B15" s="22" t="inlineStr">
        <is>
          <t>Ｄ</t>
        </is>
      </c>
      <c r="C15" s="32" t="inlineStr">
        <is>
          <t>疑義</t>
        </is>
      </c>
      <c r="D15" s="33" t="inlineStr">
        <is>
          <t>★【期限 令和8年10月13日18時】令和9年度以降も0で入っている6サービスを0のままとしてよいか</t>
        </is>
      </c>
      <c r="E15" s="33" t="inlineStr">
        <is>
          <t>★★令和9年度以降も0のままとするか、修正するかをご確認いただきたい。修正する場合は県にご相談いただきたい。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t>
        </is>
      </c>
      <c r="F15" s="34" t="inlineStr">
        <is>
          <t>Ⅱ-56,Ⅱ-62,Ⅱ-107</t>
        </is>
      </c>
      <c r="G15" s="34" t="inlineStr">
        <is>
          <t>doc66§3-1,§5</t>
        </is>
      </c>
      <c r="H15" s="34" t="inlineStr">
        <is>
          <t>未依頼</t>
        </is>
      </c>
      <c r="I15" s="33" t="inlineStr"/>
    </row>
    <row r="16" ht="34" customHeight="1">
      <c r="A16" s="31" t="inlineStr">
        <is>
          <t>S</t>
        </is>
      </c>
      <c r="B16" s="22" t="inlineStr">
        <is>
          <t>Ｄ</t>
        </is>
      </c>
      <c r="C16" s="32" t="inlineStr">
        <is>
          <t>疑義</t>
        </is>
      </c>
      <c r="D16" s="33" t="inlineStr">
        <is>
          <t>★調査票の印刷前修正5件（p2投函期限の空欄・問7-1の「問6」・問10の記号K L・A票問15の分岐・URLとQRコード）</t>
        </is>
      </c>
      <c r="E16" s="33" t="inlineStr">
        <is>
          <t>★いずれも0909校正版で残っている。問7-1の参照先の誤りは分析編の中核クロス（X-15）に、A票問15の分岐はB票の回答対象者の確定に関わる。</t>
        </is>
      </c>
      <c r="F16" s="34" t="inlineStr">
        <is>
          <t>Ⅰ-15,Ⅰ-102</t>
        </is>
      </c>
      <c r="G16" s="34" t="inlineStr">
        <is>
          <t>doc34§1</t>
        </is>
      </c>
      <c r="H16" s="34" t="inlineStr">
        <is>
          <t>未依頼</t>
        </is>
      </c>
      <c r="I16" s="33" t="inlineStr"/>
    </row>
    <row r="17" ht="34" customHeight="1">
      <c r="A17" s="31" t="inlineStr">
        <is>
          <t>S</t>
        </is>
      </c>
      <c r="B17" s="22" t="inlineStr">
        <is>
          <t>Ｄ</t>
        </is>
      </c>
      <c r="C17" s="32" t="inlineStr">
        <is>
          <t>疑義</t>
        </is>
      </c>
      <c r="D17" s="33" t="inlineStr">
        <is>
          <t>★2つの名簿に重複して含まれる2人の扱い</t>
        </is>
      </c>
      <c r="E1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F17" s="34" t="inlineStr">
        <is>
          <t>Ⅰ-24,Ⅰ-30,Ⅰ-36</t>
        </is>
      </c>
      <c r="G17" s="34" t="inlineStr">
        <is>
          <t>doc43§2-3</t>
        </is>
      </c>
      <c r="H17" s="34" t="inlineStr">
        <is>
          <t>未依頼</t>
        </is>
      </c>
      <c r="I17" s="33" t="inlineStr"/>
    </row>
    <row r="18" ht="34" customHeight="1">
      <c r="A18" s="31" t="inlineStr">
        <is>
          <t>S</t>
        </is>
      </c>
      <c r="B18" s="22" t="inlineStr">
        <is>
          <t>Ｄ</t>
        </is>
      </c>
      <c r="C18" s="32" t="inlineStr">
        <is>
          <t>調査設計</t>
        </is>
      </c>
      <c r="D18" s="33" t="inlineStr">
        <is>
          <t>在宅介護実態調査の手法（手法Ⅲか、手法Ⅳ〈新版 在宅生活改善調査〉を加えるか）</t>
        </is>
      </c>
      <c r="E18" s="33" t="inlineStr">
        <is>
          <t>調査票の設計・印刷頁数・集計方法がすべて決まる。第10期の新設手法。</t>
        </is>
      </c>
      <c r="F18" s="34" t="inlineStr">
        <is>
          <t>Ⅰ-07,Ⅰ-10</t>
        </is>
      </c>
      <c r="G18" s="34" t="inlineStr">
        <is>
          <t>doc03/doc05</t>
        </is>
      </c>
      <c r="H18" s="34" t="inlineStr">
        <is>
          <t>未依頼</t>
        </is>
      </c>
      <c r="I18" s="33" t="inlineStr"/>
    </row>
    <row r="19" ht="34" customHeight="1">
      <c r="A19" s="31" t="inlineStr">
        <is>
          <t>S</t>
        </is>
      </c>
      <c r="B19" s="22" t="inlineStr">
        <is>
          <t>Ｄ</t>
        </is>
      </c>
      <c r="C19" s="32" t="inlineStr">
        <is>
          <t>調査設計</t>
        </is>
      </c>
      <c r="D19" s="33" t="inlineStr">
        <is>
          <t>ニーズ調査 約850人の抽出基準（要支援認定者を含むか／第9期との対比）</t>
        </is>
      </c>
      <c r="E19" s="33" t="inlineStr">
        <is>
          <t>議事録で在宅150件は「要支援1・2および要介護1〜5の在宅生活者等」と決着。ニーズ約850件の抽出基準（要支援を含むか）は未決着のため残置。</t>
        </is>
      </c>
      <c r="F19" s="34" t="inlineStr">
        <is>
          <t>Ⅰ-08,Ⅰ-24</t>
        </is>
      </c>
      <c r="G19" s="34" t="inlineStr">
        <is>
          <t>doc01-2,3／doc22</t>
        </is>
      </c>
      <c r="H19" s="34" t="inlineStr">
        <is>
          <t>一部回答</t>
        </is>
      </c>
      <c r="I19" s="33" t="inlineStr"/>
    </row>
    <row r="20" ht="34" customHeight="1">
      <c r="A20" s="31" t="inlineStr">
        <is>
          <t>S</t>
        </is>
      </c>
      <c r="B20" s="22" t="inlineStr">
        <is>
          <t>Ｄ</t>
        </is>
      </c>
      <c r="C20" s="32" t="inlineStr">
        <is>
          <t>調査設計</t>
        </is>
      </c>
      <c r="D20" s="33" t="inlineStr">
        <is>
          <t>オプション項目の採否（「問6 就労について」ほか）</t>
        </is>
      </c>
      <c r="E20" s="33" t="inlineStr">
        <is>
          <t>令和7年8月版で就労はオプションと確定。採否で頁数が変わる。</t>
        </is>
      </c>
      <c r="F20" s="34" t="inlineStr">
        <is>
          <t>Ⅰ-12</t>
        </is>
      </c>
      <c r="G20" s="34" t="inlineStr">
        <is>
          <t>doc05</t>
        </is>
      </c>
      <c r="H20" s="34" t="inlineStr">
        <is>
          <t>未依頼</t>
        </is>
      </c>
      <c r="I20" s="33" t="inlineStr"/>
    </row>
    <row r="21" ht="34" customHeight="1">
      <c r="A21" s="31" t="inlineStr">
        <is>
          <t>S</t>
        </is>
      </c>
      <c r="B21" s="22" t="inlineStr">
        <is>
          <t>Ｄ</t>
        </is>
      </c>
      <c r="C21" s="32" t="inlineStr">
        <is>
          <t>調査設計</t>
        </is>
      </c>
      <c r="D21" s="33" t="inlineStr">
        <is>
          <t>村独自設問の採否（除雪・在宅医療・成年後見・歯科受診・服薬ほか）</t>
        </is>
      </c>
      <c r="E21" s="33" t="inlineStr">
        <is>
          <t>第9期との時系列比較を優先するか、新規論点を入れるかの判断。</t>
        </is>
      </c>
      <c r="F21" s="34" t="inlineStr">
        <is>
          <t>Ⅰ-13</t>
        </is>
      </c>
      <c r="G21" s="34" t="inlineStr">
        <is>
          <t>doc03</t>
        </is>
      </c>
      <c r="H21" s="34" t="inlineStr">
        <is>
          <t>未依頼</t>
        </is>
      </c>
      <c r="I21" s="33" t="inlineStr"/>
    </row>
    <row r="22" ht="34" customHeight="1">
      <c r="A22" s="31" t="inlineStr">
        <is>
          <t>S</t>
        </is>
      </c>
      <c r="B22" s="22" t="inlineStr">
        <is>
          <t>Ｄ</t>
        </is>
      </c>
      <c r="C22" s="32" t="inlineStr">
        <is>
          <t>調査設計</t>
        </is>
      </c>
      <c r="D22" s="33" t="inlineStr">
        <is>
          <t>ウェブ回答フォームの仕様（回答期限・村HP掲載の有無・二次元コード印字位置）</t>
        </is>
      </c>
      <c r="E22" s="33" t="inlineStr">
        <is>
          <t>入稿データ作成の前提。</t>
        </is>
      </c>
      <c r="F22" s="34" t="inlineStr">
        <is>
          <t>Ⅰ-16,Ⅰ-17</t>
        </is>
      </c>
      <c r="G22" s="34" t="inlineStr">
        <is>
          <t>doc01-8</t>
        </is>
      </c>
      <c r="H22" s="34" t="inlineStr">
        <is>
          <t>未依頼</t>
        </is>
      </c>
      <c r="I22" s="33" t="inlineStr"/>
    </row>
    <row r="23" ht="34" customHeight="1">
      <c r="A23" s="31" t="inlineStr">
        <is>
          <t>S</t>
        </is>
      </c>
      <c r="B23" s="22" t="inlineStr">
        <is>
          <t>Ｄ</t>
        </is>
      </c>
      <c r="C23" s="32" t="inlineStr">
        <is>
          <t>調査設計</t>
        </is>
      </c>
      <c r="D23" s="33" t="inlineStr">
        <is>
          <t>★発送日の確定（9/17前倒し／9/18のまま／9/24後ろ倒し）と回収期限</t>
        </is>
      </c>
      <c r="E23" s="33" t="inlineStr">
        <is>
          <t>★議事録は「9月18日頃」とするのみで、5連休の論点に触れていない。9/17（木）への前倒し可否と回収期限を9/3の第1稿提出時に併せて提起する。</t>
        </is>
      </c>
      <c r="F23" s="34" t="inlineStr">
        <is>
          <t>Ⅰ-29,Ⅰ-32</t>
        </is>
      </c>
      <c r="G23" s="34" t="inlineStr">
        <is>
          <t>doc19 指-1／doc22 A-4</t>
        </is>
      </c>
      <c r="H23" s="34" t="inlineStr">
        <is>
          <t>再提起</t>
        </is>
      </c>
      <c r="I23" s="33" t="inlineStr"/>
    </row>
    <row r="24" ht="34" customHeight="1">
      <c r="A24" s="31" t="inlineStr">
        <is>
          <t>S</t>
        </is>
      </c>
      <c r="B24" s="22" t="inlineStr">
        <is>
          <t>Ｄ</t>
        </is>
      </c>
      <c r="C24" s="32" t="inlineStr">
        <is>
          <t>調査設計</t>
        </is>
      </c>
      <c r="D24" s="33" t="inlineStr">
        <is>
          <t>★ウェブ回答フォームにGoogleフォームを用いることの可否</t>
        </is>
      </c>
      <c r="E24" s="33" t="inlineStr">
        <is>
          <t>★通信の暗号化とデータの保存先は別の論点。回答データが村外サーバに保存される。個人情報保護条例上の取扱いと、重複排除の実装・エクスポート後の元データ削除・公開期間管理の確認が必要。</t>
        </is>
      </c>
      <c r="F24" s="34" t="inlineStr">
        <is>
          <t>Ⅰ-16,Ⅰ-18</t>
        </is>
      </c>
      <c r="G24" s="34" t="inlineStr">
        <is>
          <t>doc19 追-3</t>
        </is>
      </c>
      <c r="H24" s="34" t="inlineStr">
        <is>
          <t>未依頼</t>
        </is>
      </c>
      <c r="I24" s="33" t="inlineStr"/>
    </row>
    <row r="25" ht="34" customHeight="1">
      <c r="A25" s="31" t="inlineStr">
        <is>
          <t>S</t>
        </is>
      </c>
      <c r="B25" s="22" t="inlineStr">
        <is>
          <t>Ｄ</t>
        </is>
      </c>
      <c r="C25" s="32" t="inlineStr">
        <is>
          <t>調査設計</t>
        </is>
      </c>
      <c r="D25" s="33" t="inlineStr">
        <is>
          <t>調査票の印刷頁数の調整方針（仕様書はニーズ約12頁／在宅約8頁）</t>
        </is>
      </c>
      <c r="E25" s="33" t="inlineStr">
        <is>
          <t>現在の調査票案は設問数が多く、レイアウト調整か設問の絞り込みが必要になる可能性。オプション項目の採否と一体。</t>
        </is>
      </c>
      <c r="F25" s="34" t="inlineStr">
        <is>
          <t>Ⅰ-20,Ⅰ-21</t>
        </is>
      </c>
      <c r="G25" s="34" t="inlineStr">
        <is>
          <t>doc19 S-5</t>
        </is>
      </c>
      <c r="H25" s="34" t="inlineStr">
        <is>
          <t>未依頼</t>
        </is>
      </c>
      <c r="I25" s="33" t="inlineStr"/>
    </row>
    <row r="26" ht="34" customHeight="1">
      <c r="A26" s="31" t="inlineStr">
        <is>
          <t>S</t>
        </is>
      </c>
      <c r="B26" s="22" t="inlineStr">
        <is>
          <t>Ｄ</t>
        </is>
      </c>
      <c r="C26" s="32" t="inlineStr">
        <is>
          <t>調査設計</t>
        </is>
      </c>
      <c r="D26" s="33" t="inlineStr">
        <is>
          <t>依頼状の差出人名義（村名義／村長名）</t>
        </is>
      </c>
      <c r="E26" s="33" t="inlineStr">
        <is>
          <t>★第1稿は「北塩原村長　遠藤　和夫」と村長名で作成済み。名義の可否と、あわせて現職の村長名が正しいかの確認が必要（当方が保有する平成30年の資料では別の方が村長）。</t>
        </is>
      </c>
      <c r="F26" s="34" t="inlineStr">
        <is>
          <t>Ⅰ-14</t>
        </is>
      </c>
      <c r="G26" s="34" t="inlineStr">
        <is>
          <t>doc19 追-4／doc23§5</t>
        </is>
      </c>
      <c r="H26" s="34" t="inlineStr">
        <is>
          <t>一部回答</t>
        </is>
      </c>
      <c r="I26" s="33" t="inlineStr"/>
    </row>
    <row r="27" ht="34" customHeight="1">
      <c r="A27" s="31" t="inlineStr">
        <is>
          <t>S</t>
        </is>
      </c>
      <c r="B27" s="22" t="inlineStr">
        <is>
          <t>Ｄ</t>
        </is>
      </c>
      <c r="C27" s="32" t="inlineStr">
        <is>
          <t>調査設計</t>
        </is>
      </c>
      <c r="D27" s="33" t="inlineStr">
        <is>
          <t>調査票の印刷部数（予備を何部見込むか）</t>
        </is>
      </c>
      <c r="E27" s="33" t="inlineStr">
        <is>
          <t>約1,000部＋予備。発送後の追加印刷は工程上困難。</t>
        </is>
      </c>
      <c r="F27" s="34" t="inlineStr">
        <is>
          <t>Ⅰ-21,Ⅰ-22</t>
        </is>
      </c>
      <c r="G27" s="34" t="inlineStr">
        <is>
          <t>doc19 追-5</t>
        </is>
      </c>
      <c r="H27" s="34" t="inlineStr">
        <is>
          <t>未依頼</t>
        </is>
      </c>
      <c r="I27" s="33" t="inlineStr"/>
    </row>
    <row r="28" ht="34" customHeight="1">
      <c r="A28" s="31" t="inlineStr">
        <is>
          <t>S</t>
        </is>
      </c>
      <c r="B28" s="22" t="inlineStr">
        <is>
          <t>Ｄ</t>
        </is>
      </c>
      <c r="C28" s="32" t="inlineStr">
        <is>
          <t>調査設計</t>
        </is>
      </c>
      <c r="D28" s="33" t="inlineStr">
        <is>
          <t>在宅介護実態調査 問8・問9の基準月</t>
        </is>
      </c>
      <c r="E28" s="33" t="inlineStr">
        <is>
          <t>発送月の前月が通常。発送日の確定とセット。</t>
        </is>
      </c>
      <c r="F28" s="34" t="inlineStr">
        <is>
          <t>Ⅰ-10</t>
        </is>
      </c>
      <c r="G28" s="34" t="inlineStr">
        <is>
          <t>doc19 追-2</t>
        </is>
      </c>
      <c r="H28" s="34" t="inlineStr">
        <is>
          <t>未依頼</t>
        </is>
      </c>
      <c r="I28" s="33" t="inlineStr"/>
    </row>
    <row r="29" ht="34" customHeight="1">
      <c r="A29" s="31" t="inlineStr">
        <is>
          <t>S</t>
        </is>
      </c>
      <c r="B29" s="22" t="inlineStr">
        <is>
          <t>Ｄ</t>
        </is>
      </c>
      <c r="C29" s="32" t="inlineStr">
        <is>
          <t>調査設計</t>
        </is>
      </c>
      <c r="D29" s="33" t="inlineStr">
        <is>
          <t>★ニーズ調査 問7(7)「この1か月間に会った友人・知人の人数」の採用可否</t>
        </is>
      </c>
      <c r="E29" s="33" t="inlineStr">
        <is>
          <t>★第1稿では不採用のうえ以降の番号を繰り上げているため、見える化への入力時に設問の対応が崩れる。採用すれば番号ずれが解消し、かつICF分析の「参加」の量的指標としてそのまま使える。</t>
        </is>
      </c>
      <c r="F29" s="34" t="inlineStr">
        <is>
          <t>Ⅰ-09</t>
        </is>
      </c>
      <c r="G29" s="34" t="inlineStr">
        <is>
          <t>doc23§1-2</t>
        </is>
      </c>
      <c r="H29" s="34" t="inlineStr">
        <is>
          <t>未依頼</t>
        </is>
      </c>
      <c r="I29" s="33" t="inlineStr"/>
    </row>
    <row r="30" ht="34" customHeight="1">
      <c r="A30" s="31" t="inlineStr">
        <is>
          <t>S</t>
        </is>
      </c>
      <c r="B30" s="22" t="inlineStr">
        <is>
          <t>Ｄ</t>
        </is>
      </c>
      <c r="C30" s="32" t="inlineStr">
        <is>
          <t>調査設計</t>
        </is>
      </c>
      <c r="D30" s="33" t="inlineStr">
        <is>
          <t>★ニーズ調査 村独自設問14問の採否と頁数（問3(10)の削除・問7(9)の簡素化）</t>
        </is>
      </c>
      <c r="E30"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F30" s="34" t="inlineStr">
        <is>
          <t>Ⅰ-12,Ⅰ-13</t>
        </is>
      </c>
      <c r="G30" s="34" t="inlineStr">
        <is>
          <t>doc23§4</t>
        </is>
      </c>
      <c r="H30" s="34" t="inlineStr">
        <is>
          <t>未依頼</t>
        </is>
      </c>
      <c r="I30" s="33" t="inlineStr"/>
    </row>
    <row r="31" ht="34" customHeight="1">
      <c r="A31" s="31" t="inlineStr">
        <is>
          <t>S</t>
        </is>
      </c>
      <c r="B31" s="22" t="inlineStr">
        <is>
          <t>Ｄ</t>
        </is>
      </c>
      <c r="C31" s="32" t="inlineStr">
        <is>
          <t>調査設計</t>
        </is>
      </c>
      <c r="D31" s="33" t="inlineStr">
        <is>
          <t>★現職の村長名・所管課・役場の住所の確認</t>
        </is>
      </c>
      <c r="E31"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F31" s="34" t="inlineStr">
        <is>
          <t>Ⅰ-14</t>
        </is>
      </c>
      <c r="G31" s="34" t="inlineStr">
        <is>
          <t>doc23§5</t>
        </is>
      </c>
      <c r="H31" s="34" t="inlineStr">
        <is>
          <t>未依頼</t>
        </is>
      </c>
      <c r="I31" s="33" t="inlineStr"/>
    </row>
    <row r="32" ht="34" customHeight="1">
      <c r="A32" s="31" t="inlineStr">
        <is>
          <t>S</t>
        </is>
      </c>
      <c r="B32" s="22" t="inlineStr">
        <is>
          <t>Ｄ</t>
        </is>
      </c>
      <c r="C32" s="32" t="inlineStr">
        <is>
          <t>調査設計</t>
        </is>
      </c>
      <c r="D32" s="33" t="inlineStr">
        <is>
          <t>★【必須】在宅A票 訪問診療の設問を問13に直す（問12が重複し問13が欠番）</t>
        </is>
      </c>
      <c r="E32" s="33" t="inlineStr">
        <is>
          <t>★第2稿で訪問診療が復活したが番号が問12となり、今後必要と感じる支援（問12）と重複している。回答者が混乱し集計時に設問を特定できない。9/9の校了までに必ず修正。</t>
        </is>
      </c>
      <c r="F32" s="34" t="inlineStr">
        <is>
          <t>Ⅰ-10</t>
        </is>
      </c>
      <c r="G32" s="34" t="inlineStr">
        <is>
          <t>doc27§3-1</t>
        </is>
      </c>
      <c r="H32" s="34" t="inlineStr">
        <is>
          <t>未依頼</t>
        </is>
      </c>
      <c r="I32" s="33" t="inlineStr"/>
    </row>
    <row r="33" ht="34" customHeight="1">
      <c r="A33" s="31" t="inlineStr">
        <is>
          <t>S</t>
        </is>
      </c>
      <c r="B33" s="22" t="inlineStr">
        <is>
          <t>Ｄ</t>
        </is>
      </c>
      <c r="C33" s="32" t="inlineStr">
        <is>
          <t>調査設計</t>
        </is>
      </c>
      <c r="D33" s="33" t="inlineStr">
        <is>
          <t>★【必須】在宅A票 問9の基準月を「令和8年8月」に修正</t>
        </is>
      </c>
      <c r="E33" s="33" t="inlineStr">
        <is>
          <t>★問8は修正されたが問9が「令和●年●月」のまま。</t>
        </is>
      </c>
      <c r="F33" s="34" t="inlineStr">
        <is>
          <t>Ⅰ-10</t>
        </is>
      </c>
      <c r="G33" s="34" t="inlineStr">
        <is>
          <t>doc27§3-2</t>
        </is>
      </c>
      <c r="H33" s="34" t="inlineStr">
        <is>
          <t>未依頼</t>
        </is>
      </c>
      <c r="I33" s="33" t="inlineStr"/>
    </row>
    <row r="34" ht="34" customHeight="1">
      <c r="A34" s="31" t="inlineStr">
        <is>
          <t>S</t>
        </is>
      </c>
      <c r="B34" s="22" t="inlineStr">
        <is>
          <t>Ｄ</t>
        </is>
      </c>
      <c r="C34" s="32" t="inlineStr">
        <is>
          <t>調査設計</t>
        </is>
      </c>
      <c r="D34" s="33" t="inlineStr">
        <is>
          <t>★【必須】ニーズ 問1(2)① 選択肢14・15を「14．その他／15．不明」に修正</t>
        </is>
      </c>
      <c r="E34" s="33" t="inlineStr">
        <is>
          <t>★選択肢の順序の修正7か所のうち、この1か所のみ修正漏れ。標準は13．高齢による衰弱／14．その他（　）／15．不明。</t>
        </is>
      </c>
      <c r="F34" s="34" t="inlineStr">
        <is>
          <t>Ⅰ-09</t>
        </is>
      </c>
      <c r="G34" s="34" t="inlineStr">
        <is>
          <t>doc27§2-1</t>
        </is>
      </c>
      <c r="H34" s="34" t="inlineStr">
        <is>
          <t>未依頼</t>
        </is>
      </c>
      <c r="I34" s="33" t="inlineStr"/>
    </row>
    <row r="35" ht="34" customHeight="1">
      <c r="A35" s="35" t="inlineStr">
        <is>
          <t>A</t>
        </is>
      </c>
      <c r="B35" s="22" t="inlineStr">
        <is>
          <t>Ｄ</t>
        </is>
      </c>
      <c r="C35" s="32" t="inlineStr">
        <is>
          <t>スケジュール</t>
        </is>
      </c>
      <c r="D35" s="33" t="inlineStr">
        <is>
          <t>★第2回策定委員会の開催日（11月のいつか）</t>
        </is>
      </c>
      <c r="E35" s="33" t="inlineStr">
        <is>
          <t>★資料の事前送付の期限が決まる。素案約90頁を当日配付では読めないため事前送付が前提。</t>
        </is>
      </c>
      <c r="F35" s="34" t="inlineStr">
        <is>
          <t>Ⅱ-83</t>
        </is>
      </c>
      <c r="G35" s="34" t="inlineStr">
        <is>
          <t>doc26§10 K-95</t>
        </is>
      </c>
      <c r="H35" s="34" t="inlineStr">
        <is>
          <t>未依頼</t>
        </is>
      </c>
      <c r="I35" s="33" t="inlineStr"/>
    </row>
    <row r="36" ht="34" customHeight="1">
      <c r="A36" s="35" t="inlineStr">
        <is>
          <t>A</t>
        </is>
      </c>
      <c r="B36" s="22" t="inlineStr">
        <is>
          <t>Ｄ</t>
        </is>
      </c>
      <c r="C36" s="32" t="inlineStr">
        <is>
          <t>データ</t>
        </is>
      </c>
      <c r="D36" s="33" t="inlineStr">
        <is>
          <t>★調整交付金見込交付割合5.36／5.03／4.67%の出所（県の指示値か村の入力値か）</t>
        </is>
      </c>
      <c r="E36" s="33" t="inlineStr">
        <is>
          <t>★国の推計ワークシートに入っている調整交付金見込交付割合5.36／5.03／4.67%が、県から示されたものか村が入力したものかをご確認いただきたい。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F36" s="34" t="inlineStr">
        <is>
          <t>Ⅱ-62,Ⅱ-64</t>
        </is>
      </c>
      <c r="G36" s="34" t="inlineStr">
        <is>
          <t>doc66§3-3</t>
        </is>
      </c>
      <c r="H36" s="34" t="inlineStr">
        <is>
          <t>未依頼</t>
        </is>
      </c>
      <c r="I36" s="33" t="inlineStr"/>
    </row>
    <row r="37" ht="34" customHeight="1">
      <c r="A37" s="35" t="inlineStr">
        <is>
          <t>A</t>
        </is>
      </c>
      <c r="B37" s="22" t="inlineStr">
        <is>
          <t>Ｄ</t>
        </is>
      </c>
      <c r="C37" s="32" t="inlineStr">
        <is>
          <t>データ</t>
        </is>
      </c>
      <c r="D37" s="33" t="inlineStr">
        <is>
          <t>通いの場の参加者281人は実人数か延べ人数か（基準値の置き方）</t>
        </is>
      </c>
      <c r="E37"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F37" s="34" t="inlineStr">
        <is>
          <t>Ⅱ-65</t>
        </is>
      </c>
      <c r="G37" s="34" t="inlineStr">
        <is>
          <t>doc35§2</t>
        </is>
      </c>
      <c r="H37" s="34" t="inlineStr">
        <is>
          <t>未依頼</t>
        </is>
      </c>
      <c r="I37" s="33" t="inlineStr"/>
    </row>
    <row r="38" ht="34" customHeight="1">
      <c r="A38" s="35" t="inlineStr">
        <is>
          <t>A</t>
        </is>
      </c>
      <c r="B38" s="22" t="inlineStr">
        <is>
          <t>Ｄ</t>
        </is>
      </c>
      <c r="C38" s="32" t="inlineStr">
        <is>
          <t>データ</t>
        </is>
      </c>
      <c r="D38" s="33" t="inlineStr">
        <is>
          <t>★介護給付適正化の主要3事業のうち「要介護認定の適正化」の実施状況（令和8年度に0点となった原因）</t>
        </is>
      </c>
      <c r="E38"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F38" s="34" t="inlineStr">
        <is>
          <t>Ⅱ-109</t>
        </is>
      </c>
      <c r="G38" s="34" t="inlineStr">
        <is>
          <t>doc42§3</t>
        </is>
      </c>
      <c r="H38" s="34" t="inlineStr">
        <is>
          <t>未依頼</t>
        </is>
      </c>
      <c r="I38" s="33" t="inlineStr"/>
    </row>
    <row r="39" ht="34" customHeight="1">
      <c r="A39" s="35" t="inlineStr">
        <is>
          <t>A</t>
        </is>
      </c>
      <c r="B39" s="22" t="inlineStr">
        <is>
          <t>Ｄ</t>
        </is>
      </c>
      <c r="C39" s="32" t="inlineStr">
        <is>
          <t>データ</t>
        </is>
      </c>
      <c r="D39" s="33" t="inlineStr">
        <is>
          <t>交付金の取得目標のうち、令和6・7年度に点があり令和8年度に0点となった4項目21点の取組の実施状況と記録</t>
        </is>
      </c>
      <c r="E39" s="33" t="inlineStr">
        <is>
          <t>★10/23 外部レビューにより、計画への記載だけでは点にならず、前年度の実施と記録（証跡）が要ることを参考資料（成果品19）に明記した。取得目標67点を4つに分けると、実施済み・証跡要確認が4項目21点（福祉用具購入費・住宅改修費の点検 8点、主要3事業 6点、在宅医療・介護連携の課題・対応策の検討 5点、相談内容の取りまとめと共有 2点）、新規整備が必要が7項目＋認知症施策推進計画で46点である。前者の4項目について、令和7年度に取組が続いていたか、令和8年度の調査票でなぜ非該当となったか（実施していない／記録がない／回答の誤り）をご教示いただきたい。</t>
        </is>
      </c>
      <c r="F39" s="34" t="inlineStr">
        <is>
          <t>Ⅱ-83</t>
        </is>
      </c>
      <c r="G39" s="34" t="inlineStr">
        <is>
          <t>doc113</t>
        </is>
      </c>
      <c r="H39" s="34" t="inlineStr">
        <is>
          <t>未依頼</t>
        </is>
      </c>
      <c r="I39" s="33" t="inlineStr"/>
    </row>
    <row r="40" ht="34" customHeight="1">
      <c r="A40" s="35" t="inlineStr">
        <is>
          <t>A</t>
        </is>
      </c>
      <c r="B40" s="22" t="inlineStr">
        <is>
          <t>Ｄ</t>
        </is>
      </c>
      <c r="C40" s="32" t="inlineStr">
        <is>
          <t>データ</t>
        </is>
      </c>
      <c r="D40" s="33" t="inlineStr">
        <is>
          <t>地域支援事業費・総合事業費の決算の複数年の推移（可能な範囲で5か年以上）</t>
        </is>
      </c>
      <c r="E40" s="33" t="inlineStr">
        <is>
          <t>地域支援事業費・総合事業費の決算の複数年の推移（可能な範囲で5か年以上）をご提供いただきたい。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F40" s="34" t="inlineStr">
        <is>
          <t>Ⅱ-55,Ⅱ-56,Ⅱ-106</t>
        </is>
      </c>
      <c r="G40" s="34" t="inlineStr">
        <is>
          <t>doc47§5,doc66§3-3</t>
        </is>
      </c>
      <c r="H40" s="34" t="inlineStr">
        <is>
          <t>未依頼</t>
        </is>
      </c>
      <c r="I40" s="33" t="inlineStr"/>
    </row>
    <row r="41" ht="34" customHeight="1">
      <c r="A41" s="35" t="inlineStr">
        <is>
          <t>A</t>
        </is>
      </c>
      <c r="B41" s="22" t="inlineStr">
        <is>
          <t>Ｄ</t>
        </is>
      </c>
      <c r="C41" s="32" t="inlineStr">
        <is>
          <t>データ</t>
        </is>
      </c>
      <c r="D41" s="33" t="inlineStr">
        <is>
          <t>★給付費適正化「主要3事業の全て実施」が令和7年度6点→令和8年度0点に低下した理由</t>
        </is>
      </c>
      <c r="E41"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F41" s="34" t="inlineStr">
        <is>
          <t>Ⅱ-65</t>
        </is>
      </c>
      <c r="G41" s="34" t="inlineStr">
        <is>
          <t>doc20§8-2 K-61</t>
        </is>
      </c>
      <c r="H41" s="34" t="inlineStr">
        <is>
          <t>未依頼</t>
        </is>
      </c>
      <c r="I41" s="33" t="inlineStr"/>
    </row>
    <row r="42" ht="34" customHeight="1">
      <c r="A42" s="35" t="inlineStr">
        <is>
          <t>A</t>
        </is>
      </c>
      <c r="B42" s="22" t="inlineStr">
        <is>
          <t>Ｄ</t>
        </is>
      </c>
      <c r="C42" s="32" t="inlineStr">
        <is>
          <t>データ</t>
        </is>
      </c>
      <c r="D42" s="33" t="inlineStr">
        <is>
          <t>★福祉用具購入費・住宅改修費へのリハビリ専門職の関与（配点8点）が令和7年度8点→令和8年度0点に低下した理由</t>
        </is>
      </c>
      <c r="E42" s="33" t="inlineStr">
        <is>
          <t>★アと合わせ14点が1年で失われている。仕組みが失われたのか調査票の記載によるものかを確認。</t>
        </is>
      </c>
      <c r="F42" s="34" t="inlineStr">
        <is>
          <t>Ⅱ-65</t>
        </is>
      </c>
      <c r="G42" s="34" t="inlineStr">
        <is>
          <t>doc20§8-2 K-61b</t>
        </is>
      </c>
      <c r="H42" s="34" t="inlineStr">
        <is>
          <t>未依頼</t>
        </is>
      </c>
      <c r="I42" s="33" t="inlineStr"/>
    </row>
    <row r="43" ht="34" customHeight="1">
      <c r="A43" s="35" t="inlineStr">
        <is>
          <t>A</t>
        </is>
      </c>
      <c r="B43" s="22" t="inlineStr">
        <is>
          <t>Ｄ</t>
        </is>
      </c>
      <c r="C43" s="32" t="inlineStr">
        <is>
          <t>データ</t>
        </is>
      </c>
      <c r="D43" s="33" t="inlineStr">
        <is>
          <t>認知症サポーター養成数・認知症地域支援推進員の配置と活動内容・チームオレンジの整備予定</t>
        </is>
      </c>
      <c r="E43" s="33" t="inlineStr">
        <is>
          <t>★支援交付金目標Ⅱ（認知症総合支援）は32/100点で全国平均51.1点を19点下回る唯一の目標。3か年で唯一低下局面があった。</t>
        </is>
      </c>
      <c r="F43" s="34" t="inlineStr">
        <is>
          <t>Ⅱ-68</t>
        </is>
      </c>
      <c r="G43" s="34" t="inlineStr">
        <is>
          <t>doc20§6-2 K-62</t>
        </is>
      </c>
      <c r="H43" s="34" t="inlineStr">
        <is>
          <t>未依頼</t>
        </is>
      </c>
      <c r="I43" s="33" t="inlineStr"/>
    </row>
    <row r="44" ht="34" customHeight="1">
      <c r="A44" s="35" t="inlineStr">
        <is>
          <t>A</t>
        </is>
      </c>
      <c r="B44" s="22" t="inlineStr">
        <is>
          <t>Ｄ</t>
        </is>
      </c>
      <c r="C44" s="32" t="inlineStr">
        <is>
          <t>データ</t>
        </is>
      </c>
      <c r="D44" s="33" t="inlineStr">
        <is>
          <t>難聴高齢者の早期発見・早期介入の取組（健診での聴力チェック等）の有無</t>
        </is>
      </c>
      <c r="E44" s="33" t="inlineStr">
        <is>
          <t>令和8年度評価で配点10点が0点（全国該当率48.8〜68.9%）。保健事業との連携で取得可能。</t>
        </is>
      </c>
      <c r="F44" s="34" t="inlineStr">
        <is>
          <t>Ⅱ-68</t>
        </is>
      </c>
      <c r="G44" s="34" t="inlineStr">
        <is>
          <t>doc20§6-2 K-63</t>
        </is>
      </c>
      <c r="H44" s="34" t="inlineStr">
        <is>
          <t>未依頼</t>
        </is>
      </c>
      <c r="I44" s="33" t="inlineStr"/>
    </row>
    <row r="45" ht="34" customHeight="1">
      <c r="A45" s="35" t="inlineStr">
        <is>
          <t>A</t>
        </is>
      </c>
      <c r="B45" s="22" t="inlineStr">
        <is>
          <t>Ｃ</t>
        </is>
      </c>
      <c r="C45" s="32" t="inlineStr">
        <is>
          <t>データ</t>
        </is>
      </c>
      <c r="D45" s="33" t="inlineStr">
        <is>
          <t>在宅医療・介護連携推進事業の実施体制（村単独か会津圏域か）と課題・対応策の検討の場</t>
        </is>
      </c>
      <c r="E45" s="33" t="inlineStr">
        <is>
          <t>★10/20 当方の先行：第8次福島県医療計画を読み、県側の体制を確かめた（data/原典_県計画）。ア 県計画の数値目標C102は「在宅医療・介護連携推進事業を実施する市町村数」を令和4年の54市町村から令和8年に59市町村（県内の全市町村）とするものである。実施の主体は市町村であり、県は「市町村が主体となって行う在宅医療・介護連携の取組を支援する」としている。したがって本村が実施主体であること自体は県計画から確かめられる。イ 在宅医療に関する圏域は7圏域で、本村は「会津」圏域に属する（二次医療圏の「会津・南会津」とは区切りが違う）。ウ 在宅療養支援病院・診療所が所在しない市町村への広域的な支援は、各地域の協議会や部会で議論する体制とされている。本村はこれに当たる。エ 県は福島県在宅医療・介護連携支援センターを設置し、各地域の在宅医療・介護連携支援センターへの連携支援と、設置を検討している市町村への開設に向けた総合的な支援を行うとしている。オ 残るお尋ねは、本村が村単独で実施しているのか会津圏域の枠組みに乗っているのか、課題・対応策の検討の場をどこに置いているのか（会津の協議会・部会に参加しているか）の2点である。県の体制は分かったが、本村がそのどこに位置しているかは村でなければ分からない。支援交付金目標Ⅲの「課題・対応策の検討」ア・エが0点（配点計10点、全国該当率57〜72%）。</t>
        </is>
      </c>
      <c r="F45" s="34" t="inlineStr">
        <is>
          <t>Ⅱ-54</t>
        </is>
      </c>
      <c r="G45" s="34" t="inlineStr">
        <is>
          <t>doc20§6-2 K-64</t>
        </is>
      </c>
      <c r="H45" s="34" t="inlineStr">
        <is>
          <t>未依頼</t>
        </is>
      </c>
      <c r="I45" s="33" t="inlineStr"/>
    </row>
    <row r="46" ht="34" customHeight="1">
      <c r="A46" s="35" t="inlineStr">
        <is>
          <t>A</t>
        </is>
      </c>
      <c r="B46" s="22" t="inlineStr">
        <is>
          <t>Ｄ</t>
        </is>
      </c>
      <c r="C46" s="32" t="inlineStr">
        <is>
          <t>データ</t>
        </is>
      </c>
      <c r="D46" s="33" t="inlineStr">
        <is>
          <t>★施設サービスが伸びない要因「重度化による病院への転院」の裏づけデータ</t>
        </is>
      </c>
      <c r="E46" s="33" t="inlineStr">
        <is>
          <t>★議事録で示された村の見解。当方は村内施設ゼロ・村外施設依存の文脈で解釈していたため、素案の記述を修正する必要がある。KDB・給付実績で確認したい。</t>
        </is>
      </c>
      <c r="F46" s="34" t="inlineStr">
        <is>
          <t>Ⅱ-55</t>
        </is>
      </c>
      <c r="G46" s="34" t="inlineStr">
        <is>
          <t>doc22 K-75</t>
        </is>
      </c>
      <c r="H46" s="34" t="inlineStr">
        <is>
          <t>未依頼</t>
        </is>
      </c>
      <c r="I46" s="33" t="inlineStr"/>
    </row>
    <row r="47" ht="34" customHeight="1">
      <c r="A47" s="35" t="inlineStr">
        <is>
          <t>A</t>
        </is>
      </c>
      <c r="B47" s="22" t="inlineStr">
        <is>
          <t>Ｄ</t>
        </is>
      </c>
      <c r="C47" s="32" t="inlineStr">
        <is>
          <t>データ</t>
        </is>
      </c>
      <c r="D47" s="33" t="inlineStr">
        <is>
          <t>★会津権利擁護・成年後見センターへの相談が1年で件数▲43%・時間▲55%と減少した要因</t>
        </is>
      </c>
      <c r="E47" s="33" t="inlineStr">
        <is>
          <t>★令和6年度134件・1,625分→令和7年度76件・729分。圏域13市町村の総計は増加しているなかで本村のみ大きく減少。施策評価に必要。</t>
        </is>
      </c>
      <c r="F47" s="34" t="inlineStr">
        <is>
          <t>Ⅱ-68</t>
        </is>
      </c>
      <c r="G47" s="34" t="inlineStr">
        <is>
          <t>doc28§3-3 K-108</t>
        </is>
      </c>
      <c r="H47" s="34" t="inlineStr">
        <is>
          <t>未依頼</t>
        </is>
      </c>
      <c r="I47" s="33" t="inlineStr"/>
    </row>
    <row r="48" ht="34" customHeight="1">
      <c r="A48" s="35" t="inlineStr">
        <is>
          <t>A</t>
        </is>
      </c>
      <c r="B48" s="22" t="inlineStr">
        <is>
          <t>Ｄ</t>
        </is>
      </c>
      <c r="C48" s="32" t="inlineStr">
        <is>
          <t>データ</t>
        </is>
      </c>
      <c r="D48" s="33" t="inlineStr">
        <is>
          <t>養護老人ホームへの措置・軽費老人ホームの利用・老人クラブの実績（見える化に系列が一切ない）</t>
        </is>
      </c>
      <c r="E48" s="33" t="inlineStr">
        <is>
          <t>★養護老人ホームへの措置、軽費老人ホームの利用、老人クラブの実績をご提供いただきたい。老人福祉法第20条の8第2項が計画への記載を義務づける「老人福祉事業の量の目標」（素案4-6）の基礎。見える化に該当する系列がないため、村資料の受領が必須。代替手段はない。</t>
        </is>
      </c>
      <c r="F48" s="34" t="inlineStr">
        <is>
          <t>Ⅱ-53,Ⅱ-54</t>
        </is>
      </c>
      <c r="G48" s="34" t="inlineStr">
        <is>
          <t>doc38§D</t>
        </is>
      </c>
      <c r="H48" s="34" t="inlineStr">
        <is>
          <t>未依頼</t>
        </is>
      </c>
      <c r="I48" s="33" t="inlineStr"/>
    </row>
    <row r="49" ht="34" customHeight="1">
      <c r="A49" s="35" t="inlineStr">
        <is>
          <t>A</t>
        </is>
      </c>
      <c r="B49" s="22" t="inlineStr">
        <is>
          <t>Ｄ</t>
        </is>
      </c>
      <c r="C49" s="32" t="inlineStr">
        <is>
          <t>データ</t>
        </is>
      </c>
      <c r="D49" s="33" t="inlineStr">
        <is>
          <t>★令和6・7年度に取得していた5項目（22点）が令和8年度に0点になった理由</t>
        </is>
      </c>
      <c r="E49"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F49" s="34" t="inlineStr">
        <is>
          <t>Ⅱ-67</t>
        </is>
      </c>
      <c r="G49" s="34" t="inlineStr">
        <is>
          <t>doc48§1-2</t>
        </is>
      </c>
      <c r="H49" s="34" t="inlineStr">
        <is>
          <t>未依頼</t>
        </is>
      </c>
      <c r="I49" s="33" t="inlineStr"/>
    </row>
    <row r="50" ht="34" customHeight="1">
      <c r="A50" s="35" t="inlineStr">
        <is>
          <t>A</t>
        </is>
      </c>
      <c r="B50" s="22" t="inlineStr">
        <is>
          <t>Ｃ</t>
        </is>
      </c>
      <c r="C50" s="32" t="inlineStr">
        <is>
          <t>データ</t>
        </is>
      </c>
      <c r="D50" s="33" t="inlineStr">
        <is>
          <t>★介護給付費財政調整交付金の算定における主要3事業の取組状況の勘案（県への照会）</t>
        </is>
      </c>
      <c r="E50" s="33" t="inlineStr">
        <is>
          <t>★県に対し、介護給付費財政調整交付金の算定方法と主要3事業の取組状況の勘案の有無・程度、本村の交付割合の見通しを照会いただきたい。あわせて指針の該当箇所（第二の(2)④）の原文の確認をお願いしたい。「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F50" s="34" t="inlineStr">
        <is>
          <t>Ⅱ-62,Ⅱ-64,Ⅱ-109</t>
        </is>
      </c>
      <c r="G50" s="34" t="inlineStr">
        <is>
          <t>doc46§3,doc66§3-3</t>
        </is>
      </c>
      <c r="H50" s="34" t="inlineStr">
        <is>
          <t>一部回答</t>
        </is>
      </c>
      <c r="I50" s="33" t="inlineStr"/>
    </row>
    <row r="51" ht="34" customHeight="1">
      <c r="A51" s="35" t="inlineStr">
        <is>
          <t>A</t>
        </is>
      </c>
      <c r="B51" s="22" t="inlineStr">
        <is>
          <t>Ｄ</t>
        </is>
      </c>
      <c r="C51" s="32" t="inlineStr">
        <is>
          <t>データ</t>
        </is>
      </c>
      <c r="D51" s="33" t="inlineStr">
        <is>
          <t>認知症対応型共同生活介護（村内27人分）の待機者数と、村外のグループホームを利用している方の人数</t>
        </is>
      </c>
      <c r="E51"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10/23 一部解決：村より受領した事業所別の5か年推移（doc116）により、村内2事業所の1月あたりの利用者数（実数）は令和7年に9人＋18人＝27人で定員27人と同じ、延べ利用者数を定員で割ると両事業所とも30.0（日）で満床である（令和3年は約75〜80%）。残るのは待機者数、入居者のうち本村の被保険者の数、村外のグループホームを利用している本村の被保険者の数である。★同日、素案2-5・5-4(5)・5-4(8)・5-12に反映した（満床であること、本村の被保険者の利用者数24人との差の内訳が未確認であること）</t>
        </is>
      </c>
      <c r="F51" s="34" t="inlineStr">
        <is>
          <t>Ⅱ-56,Ⅱ-67</t>
        </is>
      </c>
      <c r="G51" s="34" t="inlineStr">
        <is>
          <t>doc36§3,doc18 5-4(8)・5-4(13),doc47§4</t>
        </is>
      </c>
      <c r="H51" s="34" t="inlineStr">
        <is>
          <t>未依頼</t>
        </is>
      </c>
      <c r="I51" s="33" t="inlineStr"/>
    </row>
    <row r="52" ht="34" customHeight="1">
      <c r="A52" s="35" t="inlineStr">
        <is>
          <t>A</t>
        </is>
      </c>
      <c r="B52" s="22" t="inlineStr">
        <is>
          <t>Ｄ</t>
        </is>
      </c>
      <c r="C52" s="32" t="inlineStr">
        <is>
          <t>データ</t>
        </is>
      </c>
      <c r="D52" s="33" t="inlineStr">
        <is>
          <t>認知症関連事業の実績（認知症カフェの箇所数、認知症初期集中支援推進事業の対象者数、認知症地域支援推進員の活動実績）</t>
        </is>
      </c>
      <c r="E52" s="33" t="inlineStr">
        <is>
          <t>★素案5-5(1)の地域支援事業の量に認知症総合支援事業の行を新設したが、いずれも実績が未受領。国の様式では認知症総合支援事業の量を定めることが求められる。</t>
        </is>
      </c>
      <c r="F52" s="34" t="inlineStr">
        <is>
          <t>Ⅱ-53,Ⅱ-68</t>
        </is>
      </c>
      <c r="G52" s="34" t="inlineStr">
        <is>
          <t>doc36§4,doc18 5-5(1)</t>
        </is>
      </c>
      <c r="H52" s="34" t="inlineStr">
        <is>
          <t>未依頼</t>
        </is>
      </c>
      <c r="I52" s="33" t="inlineStr"/>
    </row>
    <row r="53" ht="34" customHeight="1">
      <c r="A53" s="35" t="inlineStr">
        <is>
          <t>A</t>
        </is>
      </c>
      <c r="B53" s="22" t="inlineStr">
        <is>
          <t>Ｃ</t>
        </is>
      </c>
      <c r="C53" s="32" t="inlineStr">
        <is>
          <t>データ</t>
        </is>
      </c>
      <c r="D53" s="33" t="inlineStr">
        <is>
          <t>認知症サポーター約237人が国の評価指標で0点となっている理由</t>
        </is>
      </c>
      <c r="E53"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F53" s="34" t="inlineStr">
        <is>
          <t>Ⅱ-65,Ⅱ-68</t>
        </is>
      </c>
      <c r="G53" s="34" t="inlineStr">
        <is>
          <t>doc35§7-2(6)</t>
        </is>
      </c>
      <c r="H53" s="34" t="inlineStr">
        <is>
          <t>未依頼</t>
        </is>
      </c>
      <c r="I53" s="33" t="inlineStr"/>
    </row>
    <row r="54" ht="34" customHeight="1">
      <c r="A54" s="35" t="inlineStr">
        <is>
          <t>A</t>
        </is>
      </c>
      <c r="B54" s="22" t="inlineStr">
        <is>
          <t>Ｄ</t>
        </is>
      </c>
      <c r="C54" s="32" t="inlineStr">
        <is>
          <t>データ</t>
        </is>
      </c>
      <c r="D54" s="33" t="inlineStr">
        <is>
          <t>要介護3〜5の方の状態の変化が令和8年度に2指標とも0点となった実態</t>
        </is>
      </c>
      <c r="E54"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F54" s="34" t="inlineStr">
        <is>
          <t>Ⅱ-65</t>
        </is>
      </c>
      <c r="G54" s="34" t="inlineStr">
        <is>
          <t>doc35§7-2(3)</t>
        </is>
      </c>
      <c r="H54" s="34" t="inlineStr">
        <is>
          <t>未依頼</t>
        </is>
      </c>
      <c r="I54" s="33" t="inlineStr"/>
    </row>
    <row r="55" ht="34" customHeight="1">
      <c r="A55" s="35" t="inlineStr">
        <is>
          <t>A</t>
        </is>
      </c>
      <c r="B55" s="22" t="inlineStr">
        <is>
          <t>Ｄ</t>
        </is>
      </c>
      <c r="C55" s="32" t="inlineStr">
        <is>
          <t>データ</t>
        </is>
      </c>
      <c r="D55" s="33" t="inlineStr">
        <is>
          <t>高額医療合算介護サービス費の自動償還を実施するかどうか</t>
        </is>
      </c>
      <c r="E55"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F55" s="34" t="inlineStr">
        <is>
          <t>Ⅱ-62</t>
        </is>
      </c>
      <c r="G55" s="34" t="inlineStr">
        <is>
          <t>doc49§2-2,doc66§3-3</t>
        </is>
      </c>
      <c r="H55" s="34" t="inlineStr">
        <is>
          <t>未依頼</t>
        </is>
      </c>
      <c r="I55" s="33" t="inlineStr"/>
    </row>
    <row r="56" ht="34" customHeight="1">
      <c r="A56" s="35" t="inlineStr">
        <is>
          <t>A</t>
        </is>
      </c>
      <c r="B56" s="22" t="inlineStr">
        <is>
          <t>Ｄ</t>
        </is>
      </c>
      <c r="C56" s="32" t="inlineStr">
        <is>
          <t>データ</t>
        </is>
      </c>
      <c r="D56" s="33" t="inlineStr">
        <is>
          <t>★障がい福祉と介護保険で数を揃える3つの対象（第2号被保険者・65歳到達者・適用除外施設入所者）</t>
        </is>
      </c>
      <c r="E56" s="33" t="inlineStr">
        <is>
          <t>★第2号被保険者・65歳到達者・適用除外施設入所者の3つについて、障がい福祉計画と同じ数を用いるための人数をご教示いただきたい。10/10 起票：両計画が同じ方を別々に数えることを防ぐため、次の3つを同じ名簿で確かめたい。本村の規模では1人の移行が両計画の見込量を動かすため、率ではなく個票による突合が要る。①第2号被保険者の認定者（本計画は各年度2人から3人の見込み・5-3）のうち、障がい福祉サービスの受給者または障害支援区分の認定者と重なる方がいるか。若年性認知症の方が含まれるか（素案4-7(2)は本村の該当者の状況を把握できていないとしている）。②令和9年度から令和11年度までに65歳に達する障がい福祉サービス利用者の一覧。到達の年月、現に利用しているサービスと量、介護保険に相当するサービスの有無、受入れの可否、障がい福祉として続けるサービス、共生型サービスの利用の可否、本人の意向。障がい福祉計画は個別積上げ方式を採っており、同計画の第1層（確定・高確度案件）に「令和9〜11年度の65歳到達者」が挙がっているため、同じ一覧を用いることができる。③介護保険の適用除外となる施設の入所者。指定障害者支援施設に生活介護および施設入所支援の支給決定を受けて入所している方は介護保険の被保険者とならない。障がい福祉計画は施設入所支援の利用者を扱っているため、同一の名簿で確かめたい。該当者がいる場合、本計画の第1号被保険者数が減り、保険料の分母が動く。★個人情報の取扱い：氏名は不要である。匿名の整理番号・生年月・区分・利用しているサービス・月の利用量で足りる（doc16 §5-2）。計画書には人数のみを載せる。★当方の扱い：ご回答がない場合、第2号被保険者は現在の見込み（各年度2人から3人）を据え置き、65歳到達による移行は0として算定し、適用除外の該当者はないものとして第1号被保険者数を置く。いずれも資9と5-12にその旨を明記する。</t>
        </is>
      </c>
      <c r="F56" s="34" t="inlineStr">
        <is>
          <t>Ⅱ-72,Ⅱ-56,Ⅱ-62</t>
        </is>
      </c>
      <c r="G56" s="34" t="inlineStr">
        <is>
          <t>素案資9,素案5-1,素案5-3,障がい福祉計画素案 第5章2</t>
        </is>
      </c>
      <c r="H56" s="34" t="inlineStr">
        <is>
          <t>未依頼</t>
        </is>
      </c>
      <c r="I56" s="33" t="inlineStr"/>
    </row>
    <row r="57" ht="34" customHeight="1">
      <c r="A57" s="35" t="inlineStr">
        <is>
          <t>A</t>
        </is>
      </c>
      <c r="B57" s="22" t="inlineStr">
        <is>
          <t>Ｄ</t>
        </is>
      </c>
      <c r="C57" s="32" t="inlineStr">
        <is>
          <t>データ</t>
        </is>
      </c>
      <c r="D57" s="33" t="inlineStr">
        <is>
          <t>★法が定めることを求めている2つの量が空欄である（老人福祉事業の量19事業・地域支援事業の量10事業）</t>
        </is>
      </c>
      <c r="E57" s="33" t="inlineStr">
        <is>
          <t>★老人福祉事業19事業と地域支援事業10事業について、令和5年度から令和7年度までの実績をご提供いただきたい。10/12 起票：次の2つは、法が計画に定めることを求めている事項でありながら、令和9年度から令和11年度までの量が空欄のままである。仮定を置いて進めることができない。①老人福祉法第20条の8第2項の「確保すべき老人福祉事業の量の目標」（素案4-6）。20事業のうち19事業が空欄である（養護老人ホーム措置・軽費老人ホーム・生活支援ハウス、緊急通報システム・除雪支援・移動支援・寝具洗濯・訪問理美容・家族介護者リフレッシュ・介護用品の支給ほか村単独17事業）。確保の方策（該当施策）は記載済みである。②介護保険法第117条第2項第2号の地域支援事業の量の見込み（素案5-5）。量の表19事業のうち10事業、事業費の表12区分のうち7区分が空欄である（訪問型・通所型サービス（従前相当）、介護予防ケアマネジメント、総合相談支援、認知症初期集中支援推進事業、認知症カフェ、認知症サポーター養成講座ほか。包括的支援事業（社会保障充実分）の4つの内訳は決算の内訳が未受領のため実績も置けない）。いずれも令和5年度から令和7年度までの実績をご提供いただければ、本計画で量を立てられる。★当方の扱い：ご回答がない場合、空欄のまま計画書に載せることになる。法が定めることを求めている事項であるため、空欄のままでは計画として成り立たない。素案5-12に空欄であることと確定の条件を明記している。</t>
        </is>
      </c>
      <c r="F57" s="34" t="inlineStr">
        <is>
          <t>Ⅱ-53,Ⅱ-54,Ⅱ-110</t>
        </is>
      </c>
      <c r="G57" s="34" t="inlineStr">
        <is>
          <t>素案4-6,素案5-5,素案5-12,doc32§4-1</t>
        </is>
      </c>
      <c r="H57" s="34" t="inlineStr">
        <is>
          <t>未依頼</t>
        </is>
      </c>
      <c r="I57" s="33" t="inlineStr"/>
    </row>
    <row r="58" ht="34" customHeight="1">
      <c r="A58" s="35" t="inlineStr">
        <is>
          <t>A</t>
        </is>
      </c>
      <c r="B58" s="22" t="inlineStr">
        <is>
          <t>Ｃ</t>
        </is>
      </c>
      <c r="C58" s="32" t="inlineStr">
        <is>
          <t>データ</t>
        </is>
      </c>
      <c r="D58" s="33" t="inlineStr">
        <is>
          <t>★共生型サービスの事業所の名寄せ（障がい福祉と介護保険で同一の事業所か）</t>
        </is>
      </c>
      <c r="E58" s="33" t="inlineStr">
        <is>
          <t>★村内の共生型サービスの事業所が障がい福祉と介護保険で同一のものかを、事業所番号でご確認いただきたい。10/12 起票：村内の事業所を事業所番号で突き合わせ、同一の事業所が両計画に二重に現れていないかを確かめたい。障がい福祉計画は村内に居宅介護1か所・重度訪問介護1か所・生活介護1か所（生活介護は基準該当）としており、本計画は訪問介護1か所・通所介護2か所としている（素案2-5）。社会福祉協議会が両方を担っている場合、両計画の事業所数を足すと実態の倍になる。本計画の施策3-1は「共生型サービスについて協議した事業所数 0か所→村内3か所」を指標に置いているが、すでに実質的な共生型の提供がある場合、現状値0は実態と合わない。★10/13 追記：障がい福祉計画の担当から、施策3-1の目標値「村内3か所」が何を数えたものかの照会を受けた（申し送り§4⑤）。村内の介護サービス事業所7か所のうち共生型サービスの対象となる種類を提供している訪問介護1・通所介護2の3か所を数えたものである旨を回答し、施策3-1の注記と資9に明記した。障がい福祉の3か所とは別に数えている。また同担当の調べでは、北塩原村社会福祉協議会が障がい者居宅介護・生活介護を既に実施しており生活介護は基準該当障害福祉サービスとして提供されているとの外部レビューがあるが、同担当は原典を持たず未確認としている。事実であれば協議の相手は3か所より少なくなるため、事業所番号による名寄せの結果により目標値を見直す。★当方の扱い：ご回答がない場合、施策3-1の現状値は0のまま据え置き、指標の見直しが要ることを5-12に明記する。</t>
        </is>
      </c>
      <c r="F58" s="34" t="inlineStr">
        <is>
          <t>Ⅱ-72,Ⅱ-54</t>
        </is>
      </c>
      <c r="G58" s="34" t="inlineStr">
        <is>
          <t>素案 施策3-1,素案2-5,障がい福祉計画の整合Ｋ-5</t>
        </is>
      </c>
      <c r="H58" s="34" t="inlineStr">
        <is>
          <t>未依頼</t>
        </is>
      </c>
      <c r="I58" s="33" t="inlineStr"/>
    </row>
    <row r="59" ht="34" customHeight="1">
      <c r="A59" s="35" t="inlineStr">
        <is>
          <t>A</t>
        </is>
      </c>
      <c r="B59" s="22" t="inlineStr">
        <is>
          <t>Ｃ</t>
        </is>
      </c>
      <c r="C59" s="32" t="inlineStr">
        <is>
          <t>体制</t>
        </is>
      </c>
      <c r="D59" s="33" t="inlineStr">
        <is>
          <t>★従事者名簿・誓約書・持出簿・廃棄記録簿の様式と、誓約書に書く条例の名称</t>
        </is>
      </c>
      <c r="E59" s="33" t="inlineStr">
        <is>
          <t>★従事者名簿・誓約書・持出簿・廃棄記録簿について、村指定の様式があるかをご確認いただきたい。様式がない場合は当方が作成した様式を用いる。★10/20 一部解決：例規集のドメインを加えていただき当方で確かめた。誓約書に書く条例の名称が誤っていた。当方は「北塩原村個人情報保護条例」と置いていたが、この名称の条例は存在しない。令和5年4月の個人情報保護法の改正により地方公共団体の個人情報保護制度が法に一元化され、本村も「北塩原村個人情報保護法施行条例」（令和5年3月10日条例第1号）に置き換えている。施行規則は「北塩原村個人情報保護法施行条例施行規則」（令和5年3月31日規則第14号）である。誓約書の文面をこの名称に改める。残るお尋ねは、従事者名簿・誓約書・持出簿・廃棄記録簿について村指定の様式があるかの1点である。様式がない場合は当方が作成した様式（doc74）を用いる。★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F59" s="34" t="inlineStr">
        <is>
          <t>Ⅴ-97,０-02</t>
        </is>
      </c>
      <c r="G59" s="34" t="inlineStr">
        <is>
          <t>doc74</t>
        </is>
      </c>
      <c r="H59" s="34" t="inlineStr">
        <is>
          <t>未依頼</t>
        </is>
      </c>
      <c r="I59" s="33" t="inlineStr"/>
    </row>
    <row r="60" ht="34" customHeight="1">
      <c r="A60" s="35" t="inlineStr">
        <is>
          <t>A</t>
        </is>
      </c>
      <c r="B60" s="22" t="inlineStr">
        <is>
          <t>Ｄ</t>
        </is>
      </c>
      <c r="C60" s="32" t="inlineStr">
        <is>
          <t>体制</t>
        </is>
      </c>
      <c r="D60" s="33" t="inlineStr">
        <is>
          <t>★見える化システムのアカウント（障がい福祉計画分の継続利用可否）と秘密保持契約の要否</t>
        </is>
      </c>
      <c r="E60" s="33" t="inlineStr">
        <is>
          <t>★すでに19,591レコードを受領して分析に着手している。遡って手続きが必要な場合はその整理も要する。★10/23 一部解決：本計画の秘密保持契約書（令和8年8月6日付。貸与アカウントとそれを通じて得られるデータを秘密情報に含む）を受領した。残るのは障がい福祉計画の分のアカウントを継続して使ってよいかである（doc117）。</t>
        </is>
      </c>
      <c r="F60" s="34" t="inlineStr">
        <is>
          <t>０-06</t>
        </is>
      </c>
      <c r="G60" s="34" t="inlineStr">
        <is>
          <t>doc19 追-12,doc117</t>
        </is>
      </c>
      <c r="H60" s="34" t="inlineStr">
        <is>
          <t>未依頼</t>
        </is>
      </c>
      <c r="I60" s="33" t="inlineStr"/>
    </row>
    <row r="61" ht="34" customHeight="1">
      <c r="A61" s="35" t="inlineStr">
        <is>
          <t>A</t>
        </is>
      </c>
      <c r="B61" s="22" t="inlineStr">
        <is>
          <t>Ｄ</t>
        </is>
      </c>
      <c r="C61" s="32" t="inlineStr">
        <is>
          <t>体制</t>
        </is>
      </c>
      <c r="D61" s="33" t="inlineStr">
        <is>
          <t>★調査票の受渡し記録の様式（村が100件程度ごとに随時送付する運用に対応）</t>
        </is>
      </c>
      <c r="E61" s="33" t="inlineStr">
        <is>
          <t>★個人情報を含む調査票の授受が複数回に分かれるため、日付・数量・受渡者・受領者の記録が必要。doc16に追記する。</t>
        </is>
      </c>
      <c r="F61" s="34" t="inlineStr">
        <is>
          <t>Ⅰ-94</t>
        </is>
      </c>
      <c r="G61" s="34" t="inlineStr">
        <is>
          <t>doc22 K-78</t>
        </is>
      </c>
      <c r="H61" s="34" t="inlineStr">
        <is>
          <t>未依頼</t>
        </is>
      </c>
      <c r="I61" s="33" t="inlineStr"/>
    </row>
    <row r="62" ht="34" customHeight="1">
      <c r="A62" s="35" t="inlineStr">
        <is>
          <t>A</t>
        </is>
      </c>
      <c r="B62" s="22" t="inlineStr">
        <is>
          <t>Ｄ</t>
        </is>
      </c>
      <c r="C62" s="32" t="inlineStr">
        <is>
          <t>体制</t>
        </is>
      </c>
      <c r="D62" s="33" t="inlineStr">
        <is>
          <t>自由記述の匿名化の方針（削除・置換の範囲）</t>
        </is>
      </c>
      <c r="E62"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F62" s="34" t="inlineStr">
        <is>
          <t>Ⅰ-44</t>
        </is>
      </c>
      <c r="G62" s="34" t="inlineStr">
        <is>
          <t>doc24§12 K-89</t>
        </is>
      </c>
      <c r="H62" s="34" t="inlineStr">
        <is>
          <t>未依頼</t>
        </is>
      </c>
      <c r="I62" s="33" t="inlineStr"/>
    </row>
    <row r="63" ht="34" customHeight="1">
      <c r="A63" s="35" t="inlineStr">
        <is>
          <t>A</t>
        </is>
      </c>
      <c r="B63" s="22" t="inlineStr">
        <is>
          <t>Ｄ</t>
        </is>
      </c>
      <c r="C63" s="32" t="inlineStr">
        <is>
          <t>体制</t>
        </is>
      </c>
      <c r="D63" s="33" t="inlineStr">
        <is>
          <t>第2回策定委員会の資料の事前送付の可否と時期</t>
        </is>
      </c>
      <c r="E63" s="33" t="inlineStr">
        <is>
          <t>素案（完成度7割・約90頁）は別冊として事前送付する前提で資料を設計している。</t>
        </is>
      </c>
      <c r="F63" s="34" t="inlineStr">
        <is>
          <t>Ⅱ-83</t>
        </is>
      </c>
      <c r="G63" s="34" t="inlineStr">
        <is>
          <t>doc26§10 K-97</t>
        </is>
      </c>
      <c r="H63" s="34" t="inlineStr">
        <is>
          <t>未依頼</t>
        </is>
      </c>
      <c r="I63" s="33" t="inlineStr"/>
    </row>
    <row r="64" ht="34" customHeight="1">
      <c r="A64" s="35" t="inlineStr">
        <is>
          <t>A</t>
        </is>
      </c>
      <c r="B64" s="22" t="inlineStr">
        <is>
          <t>Ｄ</t>
        </is>
      </c>
      <c r="C64" s="32" t="inlineStr">
        <is>
          <t>体制</t>
        </is>
      </c>
      <c r="D64" s="33" t="inlineStr">
        <is>
          <t>★見える化の「将来推計」メニューで在宅サービス利用率の分母を確認する</t>
        </is>
      </c>
      <c r="E64"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10/10：【当方でできることは尽きた。解決済とする。】 10/7に受領した将来推計総括表を調べたが、総括表に記されているのは「在宅サービス受給率＝在宅サービス利用者数÷第1号被保険者数」というグラフ用の受給率の定義のみで、推計に用いる利用率の分母は書かれていない。総括表から利用者数を復元して4つの分母の候補で利用率を出しても、推計がサービス別・要介護度別に行われているため合算の利用率は要介護度の構成で動き、分母を特定できない（doc85）。残るのは推計ワークシート本体の受領であり、確認事項「国の推計ワークシートが求める在宅サービス利用率の分母」（優先度A）が引き継ぐ。</t>
        </is>
      </c>
      <c r="F64" s="34" t="inlineStr">
        <is>
          <t>Ⅱ-56</t>
        </is>
      </c>
      <c r="G64" s="34" t="inlineStr">
        <is>
          <t>doc38§C-1,doc85</t>
        </is>
      </c>
      <c r="H64" s="34" t="inlineStr">
        <is>
          <t>解決済</t>
        </is>
      </c>
      <c r="I64" s="33" t="inlineStr"/>
    </row>
    <row r="65" ht="34" customHeight="1">
      <c r="A65" s="35" t="inlineStr">
        <is>
          <t>A</t>
        </is>
      </c>
      <c r="B65" s="22" t="inlineStr">
        <is>
          <t>Ｄ</t>
        </is>
      </c>
      <c r="C65" s="32" t="inlineStr">
        <is>
          <t>体制</t>
        </is>
      </c>
      <c r="D65" s="33" t="inlineStr">
        <is>
          <t>★【社内】校了版（令和8年9月9日）の調査票Wordの提供（コードブックの作り直しに必要）</t>
        </is>
      </c>
      <c r="E65" s="33" t="inlineStr">
        <is>
          <t>★校了版（令和8年9月9日）の調査票Word（ニーズ・在宅の2点）をご提供いただきたい。10/10 起票：発送が完了し集計分析に着手したため、入力データの論理チェックを作った（doc25 §7）。論理チェックは設問の番号・選択肢・分岐をコードブック（data/集計_コードブック.json）から引くが、現在のコードブックは令和8年9月4日版の調査票から作られている。実際に配られたのは9月9日の校了版である。版が違うと、鳴るべきものが鳴らず、鳴らなくてよいものが鳴る。具体的には①在宅調査の設問番号が全体に＋1（問0→問1）、②在宅 問10（旧問9）のサービスが12→9で記号もA〜I、③在宅 問8（旧問7・傷病）に「15.なし」「16.わからない」が追加、④ニーズ 問4(15) の削除、⑤ニーズ 問7(5)(8)(10) の選択肢の順序の入れ替えである（doc34 §4）。このため shukei_check.py は版を確かめ、食い違っていれば止まる仕組みとした（--暫定 で続行可）。★あわせて、9月4日版から作ったコードブックには読み取りの不備が7件残っている。C01 ZB_問8 が2回定義されている／C02 ニーズ問3(10)・在宅A問5・問8・問14・在宅B問7 の選択肢が拾えていない／C03 ニーズ問7(10) の列が13で選択肢が12。いずれも作り直しで同時に解消する。★お願いしたいのは、校了版の調査票Word（ニーズ・在宅の2点）の提供のみである。調査票は他メンバーの担当であり、当方では作成しない。受領後、当方でコードブックを作り直し（scripts/shukei_codebook.py の BUILT_FROM を校了版に改める）、派生変数 S01・S02 の参照設問も校了版の番号に直す。所要は半日である。★入力が始まってからでは、鳴らなかった件が「誤りがない」のか「版違いで鳴らなかった」のか区別できなくなる。入力の開始前に作り直すのが望ましい。</t>
        </is>
      </c>
      <c r="F65" s="34" t="inlineStr">
        <is>
          <t>Ⅰ-104,Ⅰ-35,Ⅰ-36</t>
        </is>
      </c>
      <c r="G65" s="34" t="inlineStr">
        <is>
          <t>doc25§7,doc34§4</t>
        </is>
      </c>
      <c r="H65" s="34" t="inlineStr">
        <is>
          <t>未依頼</t>
        </is>
      </c>
      <c r="I65" s="33" t="inlineStr"/>
    </row>
    <row r="66" ht="34" customHeight="1">
      <c r="A66" s="35" t="inlineStr">
        <is>
          <t>A</t>
        </is>
      </c>
      <c r="B66" s="22" t="inlineStr">
        <is>
          <t>Ｃ</t>
        </is>
      </c>
      <c r="C66" s="32" t="inlineStr">
        <is>
          <t>分析</t>
        </is>
      </c>
      <c r="D66" s="33" t="inlineStr">
        <is>
          <t>★時系列比較（第8期・第9期との対比）の対象とする設問の範囲</t>
        </is>
      </c>
      <c r="E66" s="33" t="inlineStr">
        <is>
          <t>★令和4年8月版と令和7年8月版で設問文・選択肢が変わった設問は単純比較できない。doc05の逐条突合に基づき比較可能な設問のみを対象とするが、どこまで遡るかは村の判断。</t>
        </is>
      </c>
      <c r="F66" s="34" t="inlineStr">
        <is>
          <t>Ⅰ-42</t>
        </is>
      </c>
      <c r="G66" s="34" t="inlineStr">
        <is>
          <t>doc24§12 K-86</t>
        </is>
      </c>
      <c r="H66" s="34" t="inlineStr">
        <is>
          <t>未依頼</t>
        </is>
      </c>
      <c r="I66" s="33" t="inlineStr"/>
    </row>
    <row r="67" ht="34" customHeight="1">
      <c r="A67" s="35" t="inlineStr">
        <is>
          <t>A</t>
        </is>
      </c>
      <c r="B67" s="22" t="inlineStr">
        <is>
          <t>Ｄ</t>
        </is>
      </c>
      <c r="C67" s="32" t="inlineStr">
        <is>
          <t>判断</t>
        </is>
      </c>
      <c r="D67" s="33" t="inlineStr">
        <is>
          <t>保険料の所得段階を区分する合計所得金額の基準額（82.65万円）に係る条例改正の予定</t>
        </is>
      </c>
      <c r="E67" s="33" t="inlineStr">
        <is>
          <t>5-7の所得段階の設定。政令改正済みで第1段階から第3段階の区分に用いる額が変わるため、村の条例改正の手続と時期を確認する。</t>
        </is>
      </c>
      <c r="F67" s="34" t="inlineStr">
        <is>
          <t>Ⅱ-63</t>
        </is>
      </c>
      <c r="G67" s="34" t="inlineStr">
        <is>
          <t>doc49§2-2</t>
        </is>
      </c>
      <c r="H67" s="34" t="inlineStr">
        <is>
          <t>未依頼</t>
        </is>
      </c>
      <c r="I67" s="33" t="inlineStr"/>
    </row>
    <row r="68" ht="34" customHeight="1">
      <c r="A68" s="35" t="inlineStr">
        <is>
          <t>A</t>
        </is>
      </c>
      <c r="B68" s="22" t="inlineStr">
        <is>
          <t>Ｃ</t>
        </is>
      </c>
      <c r="C68" s="32" t="inlineStr">
        <is>
          <t>判断</t>
        </is>
      </c>
      <c r="D68" s="33" t="inlineStr">
        <is>
          <t>算定上の保険料月額を条例上の基準額に置き換える方法（第9期の扱い）</t>
        </is>
      </c>
      <c r="E68" s="33" t="inlineStr">
        <is>
          <t>5-7。第9期の条例基準額6,700円が算定上の月額からどのように定められたかを確認し、第10期も同じ扱いとする。</t>
        </is>
      </c>
      <c r="F68" s="34" t="inlineStr">
        <is>
          <t>Ⅱ-63</t>
        </is>
      </c>
      <c r="G68" s="34" t="inlineStr">
        <is>
          <t>doc49§2-2</t>
        </is>
      </c>
      <c r="H68" s="34" t="inlineStr">
        <is>
          <t>未依頼</t>
        </is>
      </c>
      <c r="I68" s="33" t="inlineStr"/>
    </row>
    <row r="69" ht="34" customHeight="1">
      <c r="A69" s="35" t="inlineStr">
        <is>
          <t>A</t>
        </is>
      </c>
      <c r="B69" s="22" t="inlineStr">
        <is>
          <t>Ｄ</t>
        </is>
      </c>
      <c r="C69" s="32" t="inlineStr">
        <is>
          <t>取組</t>
        </is>
      </c>
      <c r="D69" s="33" t="inlineStr">
        <is>
          <t>難聴高齢者の早期発見・早期介入の取組の実施可否（普及啓発・早期発見）</t>
        </is>
      </c>
      <c r="E69"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F69" s="34" t="inlineStr">
        <is>
          <t>Ⅱ-67,Ⅱ-65</t>
        </is>
      </c>
      <c r="G69" s="34" t="inlineStr">
        <is>
          <t>doc42§3</t>
        </is>
      </c>
      <c r="H69" s="34" t="inlineStr">
        <is>
          <t>未依頼</t>
        </is>
      </c>
      <c r="I69" s="33" t="inlineStr"/>
    </row>
    <row r="70" ht="34" customHeight="1">
      <c r="A70" s="35" t="inlineStr">
        <is>
          <t>A</t>
        </is>
      </c>
      <c r="B70" s="22" t="inlineStr">
        <is>
          <t>Ｄ</t>
        </is>
      </c>
      <c r="C70" s="32" t="inlineStr">
        <is>
          <t>取組</t>
        </is>
      </c>
      <c r="D70" s="33" t="inlineStr">
        <is>
          <t>計画の進捗管理（目標Ⅰの3項目）が令和7年度0点から令和8年度48点満点になった根拠</t>
        </is>
      </c>
      <c r="E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F70" s="34" t="inlineStr">
        <is>
          <t>Ⅱ-70,Ⅱ-71</t>
        </is>
      </c>
      <c r="G70" s="34" t="inlineStr">
        <is>
          <t>doc35§7-2(3)</t>
        </is>
      </c>
      <c r="H70" s="34" t="inlineStr">
        <is>
          <t>未依頼</t>
        </is>
      </c>
      <c r="I70" s="33" t="inlineStr"/>
    </row>
    <row r="71" ht="34" customHeight="1">
      <c r="A71" s="35" t="inlineStr">
        <is>
          <t>A</t>
        </is>
      </c>
      <c r="B71" s="22" t="inlineStr">
        <is>
          <t>Ｄ</t>
        </is>
      </c>
      <c r="C71" s="32" t="inlineStr">
        <is>
          <t>委員会</t>
        </is>
      </c>
      <c r="D71" s="33" t="inlineStr">
        <is>
          <t>策定委員会の委員改選手続きの所要期間と第1回開催希望時期・開催形式</t>
        </is>
      </c>
      <c r="E71" s="33" t="inlineStr">
        <is>
          <t>★現委員の任期は令和8年9月30日満了。第1回を11月に開くには10月中の委嘱が必要。</t>
        </is>
      </c>
      <c r="F71" s="34" t="inlineStr">
        <is>
          <t>Ⅱ-80,Ⅱ-81</t>
        </is>
      </c>
      <c r="G71" s="34" t="inlineStr">
        <is>
          <t>doc01-6,doc19 追-15</t>
        </is>
      </c>
      <c r="H71" s="34" t="inlineStr">
        <is>
          <t>未依頼</t>
        </is>
      </c>
      <c r="I71" s="33" t="inlineStr"/>
    </row>
    <row r="72" ht="34" customHeight="1">
      <c r="A72" s="35" t="inlineStr">
        <is>
          <t>A</t>
        </is>
      </c>
      <c r="B72" s="22" t="inlineStr">
        <is>
          <t>Ｄ</t>
        </is>
      </c>
      <c r="C72" s="32" t="inlineStr">
        <is>
          <t>成果品</t>
        </is>
      </c>
      <c r="D72" s="33" t="inlineStr">
        <is>
          <t>パブリックコメント（30日間）の実施時期・実施主体と庁内手続き日程</t>
        </is>
      </c>
      <c r="E72" s="33" t="inlineStr">
        <is>
          <t>★30日間必要。第2回策定委員会が1月にずれると第3回（2月）までに終わらず工程が破綻する。年末年始も挟む。</t>
        </is>
      </c>
      <c r="F72" s="34" t="inlineStr">
        <is>
          <t>Ⅱ-76,Ⅱ-77</t>
        </is>
      </c>
      <c r="G72" s="34" t="inlineStr">
        <is>
          <t>doc01-7,doc19 指-3</t>
        </is>
      </c>
      <c r="H72" s="34" t="inlineStr">
        <is>
          <t>未依頼</t>
        </is>
      </c>
      <c r="I72" s="33" t="inlineStr"/>
    </row>
    <row r="73" ht="34" customHeight="1">
      <c r="A73" s="35" t="inlineStr">
        <is>
          <t>A</t>
        </is>
      </c>
      <c r="B73" s="22" t="inlineStr">
        <is>
          <t>Ｃ</t>
        </is>
      </c>
      <c r="C73" s="32" t="inlineStr">
        <is>
          <t>成果品</t>
        </is>
      </c>
      <c r="D73" s="33" t="inlineStr">
        <is>
          <t>★概要版（A3両面程度）が仕様の範囲内か追加対応か</t>
        </is>
      </c>
      <c r="E73" s="33" t="inlineStr">
        <is>
          <t>★議事録で作成が合意（理念・体系図・推移データ）。第9期はA4 2ページ。仕様書に記載がなく成果品一覧にもない。★10/10：同じ問いを3件に分けて起票していたため本項目に集約した（「概要版の要否」優先度Cと「概要版の位置づけ」優先度Bを取り消した）。★10/10：骨子を作った（doc82）。第9期概要版の構成（表面＝基本的な考え方・基本理念・基本目標・数値、裏面＝施策体系図）を踏襲し、A3両面に25の要素を割り付けた。要素ごとに素案のどの節・どの図から引くかを決めており、面積の積み上げでは表面73パーセント・裏面76パーセントで収まる見込みである。★骨子の段階で村のご判断を要するのは次の5点である。・仕様の範囲内か追加対応か（本項目の本来の問い）。・基本理念を第9期から継承するか（素案3-1も村との協議事項としている）。・配布の範囲と部数。議会全員協議会で用いる想定だが、村民への配布を行うかが未定である。・所管課と問い合わせ先の表記。氏名・直通番号は載せない（doc16 §5-3）。・施策体系図を概要版のために横長に作り直すか。計画書の図3-1はA4に合わせた縦長であり、A3の幅を活かせない。縦長のまま幅を広げると裏面の高さの74パーセントを占めて他が入らないため、骨子では幅125mmに縮めている。★作成の時期について。概要版には保険料の基準額を載せるため、基金の取崩しの3案のうちいずれを採るかが決まってからでないと作れない。議会全員協議会（令和9年2月末頃）の時点では条例案が定まっている必要がある。第3回策定委員会（令和9年1月下旬〜2月上旬）のご決定を受けて作成する工程となる。★当方の扱い：ご回答がない場合も骨子は固めておき、保険料の欄を枠のまま残す。</t>
        </is>
      </c>
      <c r="F73" s="34" t="inlineStr">
        <is>
          <t>Ⅳ-92</t>
        </is>
      </c>
      <c r="G73" s="34" t="inlineStr">
        <is>
          <t>doc22 K-79,doc82</t>
        </is>
      </c>
      <c r="H73" s="34" t="inlineStr">
        <is>
          <t>未依頼</t>
        </is>
      </c>
      <c r="I73" s="33" t="inlineStr"/>
    </row>
    <row r="74" ht="34" customHeight="1">
      <c r="A74" s="35" t="inlineStr">
        <is>
          <t>A</t>
        </is>
      </c>
      <c r="B74" s="22" t="inlineStr">
        <is>
          <t>Ｄ</t>
        </is>
      </c>
      <c r="C74" s="32" t="inlineStr">
        <is>
          <t>成果品</t>
        </is>
      </c>
      <c r="D74" s="33" t="inlineStr">
        <is>
          <t>★計画書の分量を仕様書の目安100頁に収めるための削減案（A〜N）の採否</t>
        </is>
      </c>
      <c r="E74" s="33" t="inlineStr">
        <is>
          <t>★10/20 方針修正：村より、素案を協議用と公表用に分け、協議用は論点をすべて含んで115頁を超えてよい、公表用は第9期の目次体系を踏襲し100頁前後・最大115頁とする、とのご指示をいただいた。本項の削減案A〜Nは公表用に適用する。協議用はいまの素案（本文129頁）のままとする。★公表用は第9期の目次体系に移し替えるため、削減案とは別に12節が落ちる（kouhyou_map.py）。移し替えた場合の推定は108頁（前付を含めて112頁）であったが、組んで測ると121頁で、許容115頁を6頁超えた。推定が9頁外れたのは、束ねるときに足す小見出し・基本目標の見出し・章の変わり目の改頁を推定が見ていなかったためである（doc109）。削減案A〜Eで113頁、＋H・Jで110頁、＋G・K・Lで107頁になる（いずれも実測）。公表用の紙面は scripts/jissoku_kouhyou.py で測る。★協議用の計画書は本文131頁＋前付4頁＝135頁である（10/23、書体を BIZ UDPゴシック に改め、事業所別の5か年推移を反映して測り直した）。協議用に分量の制約はない。公表用は案を1つも行わないと本文117頁＋前付4頁＝121頁で許容115頁を6頁超え、案をすべて行うと108頁にな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これ以上は介護保険法第117条第2項が求める事項か前付（表紙・本書の見方・目次の4頁）に手を入れることになるため、当方からは勧めない。★10/10：村より「10頁程度の超過は許容する」とのご判断をいただいた。★10/10：障がい福祉計画との整合のため1-4・施策3-1・施策4-1・資9を加え、本文が116頁から118頁になった（計画間の整合は双方に無い状態であり、法定記載事項ではないが第2回策定委員会の前に要る。doc81）。到達できる最小はA〜Lの109頁となり、村が許容する110頁に対する余裕は3頁から1頁に減った。これ以上の加筆は、削減案の組み合わせでは許容に収まらなくなる。★10/10：docx を PDF に変換して紙面を実測した（doc83・doc84）。推定は送りによる空白を小さく見るため0〜3頁少なく出ることが分かったので、以下の頁数は組み合わせごとに実際に組んで数えた値である。何も行わない場合は124頁（本文120頁＋前付4頁）。A〜Eのみ118頁、＋F・Hで115頁、＋Jで112頁、A〜Lをすべて行うと110頁で許容ちょうどである。あわせて案M（資8 図表番号一覧を図表データ管理台帳へ移す。同じ内容を納品する電子媒体 04_図表データ の11_図表データ管理台帳.xlsx として別に納めており重複している）を加えた。A〜Mをすべて行うと109頁となり、許容110頁に1頁の余裕が生じる。なお游ゴシックが当方の環境に無く IPAゴシックで組んだ紙面であるため、村のWordでは±1〜2頁動き得る。110頁ちょうどの組み合わせ（A〜L）は余裕がないため、案Mまで行うことを当方からは勧めたい。案Mを行う場合は資9（関連計画との対照）を資8に、資10（中長期的な推計）を資9に繰り上げる。許容の範囲（110頁）に収めるには案A〜M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10/14：令和9年度改定の論点を反映して5-4・5-12・施策3-1・施策4-1・施策4-6・1-8に書き足したため、測り直した。推定はどの組み合わせでも動かなかったが、実測は6つとも1〜2頁増えていた（頁の境目は寡婦行の処理により推定と実測で違う）。何も行わない場合は127頁、A〜Eのみ119頁、＋F・Hで116頁、＋Jで113頁、A〜Lで111頁、A〜Mをすべて行って110頁である。許容110頁ちょうどとなり、余裕は1頁から0頁になった。これ以上の加筆は、削減案を1つ増やすか許容頁数のご判断をいただかないと収まらない。測った時点の素案の内容のハッシュを記録し、素案が変われば測り直す形に改めた。★10/15：全国介護保険担当課長会議資料・福島県高齢者居住安定確保計画・介護職員の必要数を照合して1-2・1-4・1-8の4・施策2-3・施策2-6・施策4-6・5-7・資9・資10・5-12に書き足したため、測り直した。推定は1〜2頁増えたが、実測は6つの組み合わせとも前と同じであった（頁の境目に余白があったため）。何も行わない場合129頁、A〜Mをすべて行って113頁で、許容115頁に対し2頁の余裕は変わらない。★10/15：村より「15頁は許容する」とのご判断をいただいたため、許容を115頁に改めた。あわせて令和8年法律第51号により加わった法定記載事項7件を反映し、中長期的な推計は本文ではなく資料編（資10）に置いた。測り直した結果、何も行わない場合は129頁、A〜Eのみ121頁、＋F・Hで119頁、＋Jで117頁、A〜Lで114頁、A〜Mをすべて行って113頁である。許容115頁に対し2頁の余裕がある。案Mを行う場合の繰り上げは、資9を資8に、資10を資9にとなる。★10/20：老人福祉法の原文（e-gov 法令検索）に当たり、同法上の13区分の対応表（4-6）・(1)の老人福祉施設の並びへの組み直し・第20条の8第9項の県の意見聴取（1-6）を加えたため、測り直した。協議用で何も行わない場合は135頁、A〜Eのみ127頁、＋F・Hで125頁、＋Jで122頁、A〜Lで119頁、A〜Mで118頁、A〜Nで117頁である。★A〜Mをすべて行っても許容115頁を1頁超える。加えたものは老人福祉法第20条の8が定めることを求めている事項であり、削る候補にできない。そこで案N（資7 主な参照資料を別冊へ移す）を設けた。節の末尾の注記が述べているとおり、各表・各図の出典は本文のそれぞれの箇所に示してあり、本表は区分ごとの索引にあたる。第9期計画にも対応する記載がなく、案Mと同じ性格の案である。A〜Nをすべて行うと115頁で、許容ちょうどとなる。案Nを行う場合は資8以降を1つずつ繰り上げる（案Mとあわせて行うと資9が資7になる）。★10/20（2回目）：交付金の獲得状況の整理（doc107）により5-9の算術の誤りを直したところ、推定は動かないのに実測が1頁増え、A〜Nで116頁となって許容115頁を1頁超えた。文を詰めても戻らず、改頁の位置が送られたことによるものと分かった。5-9の記述を算術の訂正だけにとどめ、新たに分かったことは成果品15（交付金の獲得状況と優先順位）に置いたところ、A〜Nで115頁に戻った。★余裕は0頁のままである。本文を1行足すだけで許容を超え得るため、これ以上の加筆は削減案をさらに設けるか許容頁数のご判断をいただきたい。当方からは資6（国の基本指針の別表11事項への対応）を別冊へ移す案を用意できる。当方の自己点検の記録であり、第9期計画には対応する記載がない。</t>
        </is>
      </c>
      <c r="F74" s="34" t="inlineStr">
        <is>
          <t>Ⅱ-113,Ⅱ-75</t>
        </is>
      </c>
      <c r="G74" s="34" t="inlineStr">
        <is>
          <t>doc59</t>
        </is>
      </c>
      <c r="H74" s="34" t="inlineStr">
        <is>
          <t>未依頼</t>
        </is>
      </c>
      <c r="I74" s="33" t="inlineStr"/>
    </row>
    <row r="75" ht="34" customHeight="1">
      <c r="A75" s="35" t="inlineStr">
        <is>
          <t>A</t>
        </is>
      </c>
      <c r="B75" s="22" t="inlineStr">
        <is>
          <t>Ｄ</t>
        </is>
      </c>
      <c r="C75" s="32" t="inlineStr">
        <is>
          <t>方針</t>
        </is>
      </c>
      <c r="D75" s="33" t="inlineStr">
        <is>
          <t>★特定地域居宅サービス等事業・介護情報利活用事業が0で入っていることの扱い</t>
        </is>
      </c>
      <c r="E75" s="33" t="inlineStr">
        <is>
          <t>★特定地域居宅サービス等事業と介護情報利活用事業に第10期の計画期間中に取り組む意向があるかを、中山間・人口減少地域の指定の意向（別項目）と一体でご判断いただきたい。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t>
        </is>
      </c>
      <c r="F75" s="34" t="inlineStr">
        <is>
          <t>Ⅱ-56,Ⅱ-67,Ⅱ-106</t>
        </is>
      </c>
      <c r="G75" s="34" t="inlineStr">
        <is>
          <t>doc66§3-2</t>
        </is>
      </c>
      <c r="H75" s="34" t="inlineStr">
        <is>
          <t>未依頼</t>
        </is>
      </c>
      <c r="I75" s="33" t="inlineStr"/>
    </row>
    <row r="76" ht="34" customHeight="1">
      <c r="A76" s="35" t="inlineStr">
        <is>
          <t>A</t>
        </is>
      </c>
      <c r="B76" s="22" t="inlineStr">
        <is>
          <t>Ｄ</t>
        </is>
      </c>
      <c r="C76" s="32" t="inlineStr">
        <is>
          <t>方針</t>
        </is>
      </c>
      <c r="D76" s="33" t="inlineStr">
        <is>
          <t>★交付金で61点が取れる未得点項目11件の取組可否（計画への記載・要綱改正・手順の明文化のみで取得できるもの）</t>
        </is>
      </c>
      <c r="E76"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F76" s="34" t="inlineStr">
        <is>
          <t>Ⅱ-65,Ⅱ-67,Ⅱ-109</t>
        </is>
      </c>
      <c r="G76" s="34" t="inlineStr">
        <is>
          <t>doc42§3</t>
        </is>
      </c>
      <c r="H76" s="34" t="inlineStr">
        <is>
          <t>未依頼</t>
        </is>
      </c>
      <c r="I76" s="33" t="inlineStr"/>
    </row>
    <row r="77" ht="34" customHeight="1">
      <c r="A77" s="35" t="inlineStr">
        <is>
          <t>A</t>
        </is>
      </c>
      <c r="B77" s="22" t="inlineStr">
        <is>
          <t>Ｄ</t>
        </is>
      </c>
      <c r="C77" s="32" t="inlineStr">
        <is>
          <t>方針</t>
        </is>
      </c>
      <c r="D77" s="33" t="inlineStr">
        <is>
          <t>ケアプラン点検に村外の有料老人ホーム・サービス付き高齢者向け住宅の入居者分を含める体制の構築可否</t>
        </is>
      </c>
      <c r="E77"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F77" s="34" t="inlineStr">
        <is>
          <t>Ⅱ-109,Ⅱ-61</t>
        </is>
      </c>
      <c r="G77" s="34" t="inlineStr">
        <is>
          <t>doc42§3-1</t>
        </is>
      </c>
      <c r="H77" s="34" t="inlineStr">
        <is>
          <t>未依頼</t>
        </is>
      </c>
      <c r="I77" s="33" t="inlineStr"/>
    </row>
    <row r="78" ht="34" customHeight="1">
      <c r="A78" s="35" t="inlineStr">
        <is>
          <t>A</t>
        </is>
      </c>
      <c r="B78" s="22" t="inlineStr">
        <is>
          <t>Ｄ</t>
        </is>
      </c>
      <c r="C78" s="32" t="inlineStr">
        <is>
          <t>方針</t>
        </is>
      </c>
      <c r="D78" s="33" t="inlineStr">
        <is>
          <t>福祉用具・住宅改修へのリハビリテーション専門職等の関与の仕組み（広域連携による整備の可否）</t>
        </is>
      </c>
      <c r="E78" s="33" t="inlineStr">
        <is>
          <t>★福祉用具購入費・住宅改修費の支給申請にリハビリテーション専門職等が関与する仕組みを整備できるかをご判断いただきたい。あわせて、令和6・7年度は実施していたものが令和8年度に0点となっているため、後退の原因もご教示いただきたい。交付金の配点は合わせて16点である。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t>
        </is>
      </c>
      <c r="F78" s="34" t="inlineStr">
        <is>
          <t>Ⅱ-109</t>
        </is>
      </c>
      <c r="G78" s="34" t="inlineStr">
        <is>
          <t>doc42§3-1</t>
        </is>
      </c>
      <c r="H78" s="34" t="inlineStr">
        <is>
          <t>未依頼</t>
        </is>
      </c>
      <c r="I78" s="33" t="inlineStr"/>
    </row>
    <row r="79" ht="34" customHeight="1">
      <c r="A79" s="35" t="inlineStr">
        <is>
          <t>A</t>
        </is>
      </c>
      <c r="B79" s="22" t="inlineStr">
        <is>
          <t>Ｃ</t>
        </is>
      </c>
      <c r="C79" s="32" t="inlineStr">
        <is>
          <t>方針</t>
        </is>
      </c>
      <c r="D79" s="33" t="inlineStr">
        <is>
          <t>★高齢者サービスの手引きにあって素案に載っていない村単独事業9件を計画に掲げるか</t>
        </is>
      </c>
      <c r="E79" s="33" t="inlineStr">
        <is>
          <t>★村単独事業9件について、本計画に掲げる範囲をご判断いただきたい。★10/20 当方の先行：例規集のドメインを加えていただき、北塩原村例規集（内容現在 令和8年6月26日）の第8類 厚生 第1章 社会福祉 第4節 老人福祉の32件と突き合わせた。ア 9件のうち4件は根拠となる例規を確かめた。寝具洗濯サービスは北塩原村寝たきり老人等寝具丸洗い事業実施要綱（平成14年告示第19号）、訪問理美容サービスは同訪問理美容サービス事業実施要綱（平成15年訓令第1号）、健康長寿祝金は同健康長寿祝金条例（令和6年条例第9号）および同条例施行規則（令和6年規則第13号）である。火災警報器の配布は北塩原村老人日常生活用具給付等事業実施要綱（平成8年訓令第6号）による可能性が高いが、対象品目を確かめていない。イ 名称の食い違いがある。手引きは「寝具洗濯サービス」、例規は「寝具丸洗い」である。素案は手引きの呼び方を用い、根拠例規の名称を注記に書いた。ウ 残る5件（なりすまし詐欺抑止装置・長寿を祝う会・防犯カメラ等の助成・地域健康づくり活動活性化助成金・帯状疱疹予防接種）は第4節 老人福祉になく、他の章（防災・保健衛生等）にあるとみられる。例規集への接続が再び拒まれたため当方では確かめられていない。エ 逆向きの突合せでより重いものが見つかった。例規にあって素案4-6に対応がない老人福祉法上の事業・施設が3件ある。1つめは老人介護支援センター（北塩原村在宅介護支援センター条例 平成11年条例第5号・同運営事業実施要綱 平成18年要綱第5号）。老人福祉法第5条の3の老人福祉施設であり、第20条の8第2項第1号が定めることを求める施設にあたる。2つめは老人日常生活用具給付等（平成8年訓令第6号）で、同法第10条の4第1項第3号の事業である。3つめは短期入所のやむを得ない事由による措置（平成10年要綱第1号）で、同項第4号の措置であり、介護保険の短期入所生活介護とは別のものである。オ 3件を素案4-6(2)に加えた。ただし要綱が効力を有することと事業が現に行われていることとは別であるため、実績と目標は【要確認】としている。とくに在宅介護支援センターは、地域包括支援センターの設置（平成18年）により役割が移っている可能性がある。カ これによりご確認いただきたいことが3点増えた。★10/20 当方の先行（2回目）：老人福祉法の原文（e-gov 法令検索）に当たったところ、ご判断いただきたいことの前提そのものが変わった。キ 「老人福祉事業」は法律上の定義語である。第20条の8第1項は「老人居宅生活支援事業及び老人福祉施設による事業」を老人福祉事業と定義しており、第2項の量の目標はこの13区分（第5条の2第1項の6事業・第5条の3の7施設）についてのものである。村単独事業はこの定義に含まれない。したがって「村単独事業を老人福祉事業の量の目標に掲げるか」は法定記載事項の問題ではなく、任意の記載の問題である。素案4-6を、13区分の量の目標の所在を示す対応表と、(1)老人福祉施設および措置による確保、(2)村が実施する高齢者福祉サービスの構成に組み直した。ク 当方の条項の引用に2か所の誤りがあった。老人日常生活用具給付等は第10条の4第1項第3号ではなく同条第2項、短期入所の措置は同項第4号ではなく第3号である（第4号は小規模多機能型居宅介護）。原文で確かめて直した。ケ 例規の一覧から、村が老人福祉法上の施設を条例により設置していることが分かった。北塩原村デイサービスセンター条例（平成17年条例第35号）・同管理規則（平成17年規則第14号）・デイサービス運営事業実施要綱（平成11年要綱第5号）である。老人デイサービスセンターは第20条の2の2の老人福祉施設であり、量の目標の対象である。公表システムで確かめた村内の通所介護2か所はいずれも社会福祉法人の運営であり、うち1か所が村の条例による施設にあたるとみられる。コ 同様に、ホームヘルパー派遣手数料条例（平成3年条例第8号）・同施行規則（平成3年規則第5号）・登録ヘルパー事務処理要領（平成11年要領第1号）・ホームヘルプサービスチーム運営方式実施要綱（平成11年要綱第6号）があり、第10条の4第1項第1号の措置の枠組みが整っている。短期入所についても手数料徴収条例（平成5年条例第10号）・同施行規則（平成5年規則第11号）がある。いずれも素案は把握していなかった。サ 老人福祉センターは第4節に例規がない。ただし北塩原村活性化センター設置及び管理に関する条例（平成24年条例第12号）が第4節 老人福祉に置かれているため、同センターが老人福祉センターに相当する可能性がある。シ 手続の欠落が1つ見つかった。老人福祉法第20条の8第9項は、量の目標を定め、または変更しようとするときに、あらかじめ都道府県の意見を聴かなければならないとしている。素案1-6は介護保険法第117条第14項の意見聴取のみを書いていた。根拠も対象も違う別の義務であるため1-6に加えた。ス 残る5件のうち4件（なりすまし詐欺抑止装置・長寿を祝う会・防犯カメラ等の助成・活動活性化助成金）は第4節 老人福祉に根拠例規がなく、例規集への接続が拒まれたため他の章を当たれていない。帯状疱疹予防接種は予防接種法に基づく定期の予防接種であり、4-6には掲げない。10/10 起票：なりすまし詐欺抑止装置の無償貸与、火災警報器無償配布、在宅介護高齢者等寝具洗濯サービス、在宅介護高齢者等訪問理美容サービス、健康長寿祝金、長寿を祝う会（旧 敬老会）、防犯カメラ等の助成、地域・健康づくり活動活性化助成金、帯状疱疹予防接種の9件である。とくに防犯カメラ・なりすまし詐欺抑止装置・火災警報器の3件は施策2-4（安全・安心な暮らしの確保）の裏づけになる。素案は同施策を緊急通報システムだけで組み立てており、村はもっと広く手当している。老人福祉法第20条の8第2項の「確保すべき老人福祉事業の量の目標」として掲げるものと、施策の説明にとどめるものを分ける必要があるため、計画に掲げる範囲をご判断いただきたい。なお緊急通報システムとなりすまし詐欺抑止装置はいずれも「固定電話をお持ちの方」が要件である。固定電話のない高齢者世帯がどれだけあるかを把握していないため、見守りの網から漏れる層が生じ得る。把握されていればご教示いただきたい。★10/10：ご回答を待たずに素案を直した。老人福祉法第20条の8第2項は確保すべき老人福祉事業の量の目標を定めることを求めており、村が現に実施している事業を落とすと法定記載事項を欠くためである。9件のうち8件を4-6(2)の量の目標に加え、在宅福祉サービスを9事業から17事業に改めた（寝具洗濯サービス・訪問理美容サービス・なりすまし詐欺抑止装置の貸与・火災警報器の配布・防犯カメラ等の設置助成・長寿を祝う会・健康長寿祝金・地域・健康づくり活動活性化助成金）。帯状疱疹予防接種は予防接種による健康の保持の事業と考え、量の目標には掲げていない。あわせて、なりすまし詐欺抑止装置・火災警報器・防犯カメラの3件を施策2-4（日常生活の安全確保）の取組に加え、本文に村が緊急通報システムのほかにも広く手当していることを書いた。固定電話の要件についても、施策2-4の取組に「固定電話のない高齢者世帯の状況を把握し、代わりの手立てを検討します」を加え、指標を「未把握→把握」とした。★ご確認いただきたいのは次の10点である。①(2)に掲げた17のサービスは法律上の「老人福祉事業」ではない。村が現に行うものとして本節に掲げてよいか。掲げる範囲を狭めるご判断もあり得る。②このうち5事業（寝具洗濯・訪問理美容・長寿を祝う会・健康長寿祝金・活動活性化助成金）は第4章の施策体系に対応する施策がない。施策を新設するか、既存の施策に含めるか、量のみとするかのご判断をいただきたい。③固定電話のない高齢者世帯の数、または把握しているかどうか。④老人デイサービスセンター（平成17年条例第35号）は現に運営されているか。村内の通所介護2か所のうちどちらにあたるか。指定管理か委託か直営か。⑤老人介護支援センター（平成11年条例第5号）は現に設置されているか。地域包括支援センターとの関係はどうなっているか。⑥老人福祉センターとして設置された施設はあるか。活性化センター（平成24年条例第12号）がこれに相当するか。⑦老人福祉法第10条の4の3つの措置（第2項の日常生活用具給付等・第1項第1号のホームヘルパー派遣・第1項第3号の短期入所）の実績。火災警報器の配布は日常生活用具給付等事業によるものか。⑧養護老人ホーム（第11条第1項第1号）・特別養護老人ホーム（同項第2号）の措置の実績。養護受託者への養護委託（同項第3号）の実績。⑨第9期計画の策定にあたり、老人福祉法第20条の8第9項の県の意見聴取をどのように行ったか。介護保険法第117条第14項の意見聴取とあわせて1回で行えるか。⑩なりすまし詐欺抑止装置・長寿を祝う会・防犯カメラ等の助成・活動活性化助成金の4事業の実施の根拠。★10/21 当方の先行（3回目）：例規集への接続が通るようになったため、全70分野・569件（重複を除く）を当たった。ア 上記4事業の根拠となる例規は例規集にない。「詐欺」「なりすまし」「防犯カメラ」「健康づくり」「地域づくり」は0件、「長寿」は健康長寿祝金条例とその施行規則の2件のみ、「活性化」は活性化センター設置条例のみである。本村は補助金の交付要綱を例規集に登載する運用であり（骨髄移植ドナー支援事業助成金交付要綱・生ごみ処理機購入費補助金の交付等に関する要綱ほか）、また「北塩原村　事業補助金等の交付等に関する要綱（標準）」（昭和62年訓令第6号）を置いている。標準の要綱と予算措置により実施している可能性が高い。お尋ねするのは実施の根拠の1点である。イ あわせて第8類第4章 介護保険の22件と突き合わせたところ、素案に無い事業が2件あった。家族介護慰労金支給要綱（平成13年要綱第1号。要介護4・5で過去1年間施設サービスを受けなかった方を在宅で介護する家族に月額12,000円）と、住宅改修費の申請書に添付する理由書作成事業実施要綱（平成18年要綱第4号。60歳以上で認定を受けていない方。1件2,000円）である。いずれも4-6(2)に【要確認】で加えた。ウ 帯状疱疹予防接種は例規集に根拠がない。予防接種法に基づく定期の予防接種であるため当然である（4-6の注記のとおり）。★当方の扱い：ご回答がない場合は、13区分の対応表と(1)(2)の構成のまま、実績・目標を【要確認】として第2回策定委員会にお示しする。</t>
        </is>
      </c>
      <c r="F79" s="34" t="inlineStr">
        <is>
          <t>Ⅱ-110,Ⅱ-54,Ⅱ-67</t>
        </is>
      </c>
      <c r="G79" s="34" t="inlineStr">
        <is>
          <t>doc76§1-4,§1-5,素案4-6(2),素案 施策2-4</t>
        </is>
      </c>
      <c r="H79" s="34" t="inlineStr">
        <is>
          <t>未依頼</t>
        </is>
      </c>
      <c r="I79" s="33" t="inlineStr"/>
    </row>
    <row r="80" ht="34" customHeight="1">
      <c r="A80" s="35" t="inlineStr">
        <is>
          <t>A</t>
        </is>
      </c>
      <c r="B80" s="22" t="inlineStr">
        <is>
          <t>Ｄ</t>
        </is>
      </c>
      <c r="C80" s="32" t="inlineStr">
        <is>
          <t>方針</t>
        </is>
      </c>
      <c r="D80" s="33" t="inlineStr">
        <is>
          <t>★緊急連絡カードの計画上の位置づけと、当方が取り扱う予定の有無</t>
        </is>
      </c>
      <c r="E80" s="33" t="inlineStr">
        <is>
          <t>★10/10 起票：緊急連絡カード（2人分の様式）の提供を受けた。素案に記載がない。①施策2-4（安全・安心な暮らしの確保）に位置づけてよいか。緊急通報システムは「固定電話をお持ちの方」が要件であるのに対し、緊急連絡カードは固定電話がない世帯にも届く手段であり、要件の穴を補う位置にある。配布の実績（配布数・設置の確認）が分かればご教示いただきたい。②記入後のカードは持病・お薬・かかりつけ医・血液型という要配慮個人情報を含む。doc16 §1（本業務で取り扱う個人情報）の一覧に入っていない。当方がこのカードを取り扱う予定があるか、記入済みのカードが調査票と一緒に届くことがないかをご確認いただきたい。</t>
        </is>
      </c>
      <c r="F80" s="34" t="inlineStr">
        <is>
          <t>Ⅱ-67,Ⅴ-97</t>
        </is>
      </c>
      <c r="G80" s="34" t="inlineStr">
        <is>
          <t>doc76§2</t>
        </is>
      </c>
      <c r="H80" s="34" t="inlineStr">
        <is>
          <t>未依頼</t>
        </is>
      </c>
      <c r="I80" s="33" t="inlineStr"/>
    </row>
    <row r="81" ht="34" customHeight="1">
      <c r="A81" s="35" t="inlineStr">
        <is>
          <t>A</t>
        </is>
      </c>
      <c r="B81" s="22" t="inlineStr">
        <is>
          <t>Ｄ</t>
        </is>
      </c>
      <c r="C81" s="32" t="inlineStr">
        <is>
          <t>方針</t>
        </is>
      </c>
      <c r="D81" s="33" t="inlineStr">
        <is>
          <t>中山間・人口減少地域（特定地域）の指定を受ける意向</t>
        </is>
      </c>
      <c r="E81"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10/15 全国介護保険担当課長会議資料（令和8年7月15日）により、基準の見方が分かった。「75歳以上人口密度」「75歳以上人口」は足下のデータ（例：2025年）、「75歳以上人口変化率」は直近3年間の変化率（例：2022年→2025年）による。素案1-8の4は増減を将来推計（令和12年まで増加）で見ていたため、直近3年間の見方に直した。本村の75歳以上人口は社人研推計で2020年441人→2025年480人と増えており、直近3年間でも減少していないため、結論（密度要件による該当）は変わらない。ただし国の基準は住民基本台帳等の足下のデータで見るものと思われるため、令和4年と令和7年の75歳以上人口（住民基本台帳）の実績値をご教示いただきたい。あわせて対象の③は「特定のサービス類型の事業所が地域に存在しない、事業所が僅少かつ当該事業所が廃止を検討しているなど、現に指定サービス等を前提としたサービス基盤の維持が困難である地域」であり、村内で提供されているサービスが3種類にとどまる本村はこれにも当たる見込みである。同資料は、中山間・人口減少地域の実情に応じたサービス提供体制の在り方の方向性を第10期計画に記載することを求めている。県（市町村で該当し得る地域を選定する立場）に、本村を対象として選定する見込みの有無をご確認いただきたい。</t>
        </is>
      </c>
      <c r="F81" s="34" t="inlineStr">
        <is>
          <t>Ⅱ-56,Ⅱ-67</t>
        </is>
      </c>
      <c r="G81" s="34" t="inlineStr">
        <is>
          <t>doc33§3-5</t>
        </is>
      </c>
      <c r="H81" s="34" t="inlineStr">
        <is>
          <t>未依頼</t>
        </is>
      </c>
      <c r="I81" s="33" t="inlineStr"/>
    </row>
    <row r="82" ht="34" customHeight="1">
      <c r="A82" s="35" t="inlineStr">
        <is>
          <t>A</t>
        </is>
      </c>
      <c r="B82" s="22" t="inlineStr">
        <is>
          <t>Ｄ</t>
        </is>
      </c>
      <c r="C82" s="32" t="inlineStr">
        <is>
          <t>方針</t>
        </is>
      </c>
      <c r="D82" s="33" t="inlineStr">
        <is>
          <t>認知症の人および家族等の意見聴取の方法（認知症基本法第13条）</t>
        </is>
      </c>
      <c r="E82" s="33" t="inlineStr">
        <is>
          <t>策定委員会の委員に認知症の本人・家族が含まれるかをご確認いただき、含まれない場合は家族会・認知症カフェ等での意見聴取の機会を設けるかどうかをお決めいただきたい。認知症基本法第13条は市町村計画の策定にあたり認知症の人および家族等の意見を聴くことを求めている（努力義務）。記述の追加では埋まらず策定過程そのものに関わるため、第2回策定委員会（11月）までに方針を決める必要がある。機会を設ける場合は日程の確保が要るため、早めのご判断をお願いしたい。★当方の扱い：ご回答がない場合、策定委員会とパブリックコメント、アンケート調査により意見を聴取した旨のみを記載し、認知症の人および家族等の意見を聴いた旨は書かない。</t>
        </is>
      </c>
      <c r="F82" s="34" t="inlineStr">
        <is>
          <t>Ⅱ-53,Ⅱ-57</t>
        </is>
      </c>
      <c r="G82" s="34" t="inlineStr">
        <is>
          <t>doc32§7</t>
        </is>
      </c>
      <c r="H82" s="34" t="inlineStr">
        <is>
          <t>未依頼</t>
        </is>
      </c>
      <c r="I82" s="33" t="inlineStr"/>
    </row>
    <row r="83" ht="34" customHeight="1">
      <c r="A83" s="35" t="inlineStr">
        <is>
          <t>A</t>
        </is>
      </c>
      <c r="B83" s="22" t="inlineStr">
        <is>
          <t>Ｄ</t>
        </is>
      </c>
      <c r="C83" s="32" t="inlineStr">
        <is>
          <t>方針</t>
        </is>
      </c>
      <c r="D83" s="33" t="inlineStr">
        <is>
          <t>目標Ⅳ（成果指標群）が令和8年度に25点低下した要因の心当たり</t>
        </is>
      </c>
      <c r="E83" s="33" t="inlineStr">
        <is>
          <t>★成果指標群は村の申告でなくKDB等の統計から自動算定。65→70→45点と低下し、両交付金で計50点の減。要介護度の維持・改善の実績悪化を示唆。</t>
        </is>
      </c>
      <c r="F83" s="34" t="inlineStr">
        <is>
          <t>Ⅱ-65</t>
        </is>
      </c>
      <c r="G83" s="34" t="inlineStr">
        <is>
          <t>doc20§6-2 K-66</t>
        </is>
      </c>
      <c r="H83" s="34" t="inlineStr">
        <is>
          <t>未依頼</t>
        </is>
      </c>
      <c r="I83" s="33" t="inlineStr"/>
    </row>
    <row r="84" ht="34" customHeight="1">
      <c r="A84" s="35" t="inlineStr">
        <is>
          <t>A</t>
        </is>
      </c>
      <c r="B84" s="22" t="inlineStr">
        <is>
          <t>Ｃ</t>
        </is>
      </c>
      <c r="C84" s="32" t="inlineStr">
        <is>
          <t>方針</t>
        </is>
      </c>
      <c r="D84" s="33" t="inlineStr">
        <is>
          <t>★令和9年度介護報酬改定への対応（現行単価で試算し単価確定後に補正する方針の、補正時期と成果品への反映方法）</t>
        </is>
      </c>
      <c r="E84" s="33" t="inlineStr">
        <is>
          <t>★議事録で方針は決着。単価確定が履行期限（3/31）に近い場合の成果品の扱いを詰める必要がある。</t>
        </is>
      </c>
      <c r="F84" s="34" t="inlineStr">
        <is>
          <t>Ⅱ-62</t>
        </is>
      </c>
      <c r="G84" s="34" t="inlineStr">
        <is>
          <t>doc22 K-81</t>
        </is>
      </c>
      <c r="H84" s="34" t="inlineStr">
        <is>
          <t>未依頼</t>
        </is>
      </c>
      <c r="I84" s="33" t="inlineStr"/>
    </row>
    <row r="85" ht="34" customHeight="1">
      <c r="A85" s="35" t="inlineStr">
        <is>
          <t>A</t>
        </is>
      </c>
      <c r="B85" s="22" t="inlineStr">
        <is>
          <t>Ｄ</t>
        </is>
      </c>
      <c r="C85" s="32" t="inlineStr">
        <is>
          <t>方針</t>
        </is>
      </c>
      <c r="D85" s="33" t="inlineStr">
        <is>
          <t>★基本理念を第9期から変更するかどうかの村の意向</t>
        </is>
      </c>
      <c r="E85"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F85" s="34" t="inlineStr">
        <is>
          <t>Ⅱ-70</t>
        </is>
      </c>
      <c r="G85" s="34" t="inlineStr">
        <is>
          <t>doc26§10 K-98</t>
        </is>
      </c>
      <c r="H85" s="34" t="inlineStr">
        <is>
          <t>未依頼</t>
        </is>
      </c>
      <c r="I85" s="33" t="inlineStr"/>
    </row>
    <row r="86" ht="34" customHeight="1">
      <c r="A86" s="35" t="inlineStr">
        <is>
          <t>A</t>
        </is>
      </c>
      <c r="B86" s="22" t="inlineStr">
        <is>
          <t>Ｄ</t>
        </is>
      </c>
      <c r="C86" s="32" t="inlineStr">
        <is>
          <t>方針</t>
        </is>
      </c>
      <c r="D86" s="33" t="inlineStr">
        <is>
          <t>保険料シミュレーションの提示案数と基金残高の見通しの示し方</t>
        </is>
      </c>
      <c r="E86"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F86" s="34" t="inlineStr">
        <is>
          <t>Ⅱ-64</t>
        </is>
      </c>
      <c r="G86" s="34" t="inlineStr">
        <is>
          <t>doc26§10 K-99,doc66§2-3</t>
        </is>
      </c>
      <c r="H86" s="34" t="inlineStr">
        <is>
          <t>一部回答</t>
        </is>
      </c>
      <c r="I86" s="33" t="inlineStr"/>
    </row>
    <row r="87" ht="34" customHeight="1">
      <c r="A87" s="35" t="inlineStr">
        <is>
          <t>A</t>
        </is>
      </c>
      <c r="B87" s="22" t="inlineStr">
        <is>
          <t>Ｄ</t>
        </is>
      </c>
      <c r="C87" s="32" t="inlineStr">
        <is>
          <t>方針</t>
        </is>
      </c>
      <c r="D87" s="33" t="inlineStr">
        <is>
          <t>認知症施策の実施状況の評価と公表の運用</t>
        </is>
      </c>
      <c r="E87"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F87" s="34" t="inlineStr">
        <is>
          <t>Ⅱ-68,Ⅱ-71</t>
        </is>
      </c>
      <c r="G87" s="34" t="inlineStr">
        <is>
          <t>doc36§10-1,doc18 4-7(6)</t>
        </is>
      </c>
      <c r="H87" s="34" t="inlineStr">
        <is>
          <t>未依頼</t>
        </is>
      </c>
      <c r="I87" s="33" t="inlineStr"/>
    </row>
    <row r="88" ht="34" customHeight="1">
      <c r="A88" s="35" t="inlineStr">
        <is>
          <t>A</t>
        </is>
      </c>
      <c r="B88" s="22" t="inlineStr">
        <is>
          <t>Ｄ</t>
        </is>
      </c>
      <c r="C88" s="32" t="inlineStr">
        <is>
          <t>方針</t>
        </is>
      </c>
      <c r="D88" s="33" t="inlineStr">
        <is>
          <t>認知症の人およびご家族から意見を聴く方法</t>
        </is>
      </c>
      <c r="E88"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F88" s="34" t="inlineStr">
        <is>
          <t>Ⅱ-68,Ⅱ-71</t>
        </is>
      </c>
      <c r="G88" s="34" t="inlineStr">
        <is>
          <t>doc36§5,doc18 4-7(4)</t>
        </is>
      </c>
      <c r="H88" s="34" t="inlineStr">
        <is>
          <t>未依頼</t>
        </is>
      </c>
      <c r="I88" s="33" t="inlineStr"/>
    </row>
    <row r="89" ht="34" customHeight="1">
      <c r="A89" s="35" t="inlineStr">
        <is>
          <t>A</t>
        </is>
      </c>
      <c r="B89" s="22" t="inlineStr">
        <is>
          <t>Ｃ</t>
        </is>
      </c>
      <c r="C89" s="32" t="inlineStr">
        <is>
          <t>方針</t>
        </is>
      </c>
      <c r="D89" s="33" t="inlineStr">
        <is>
          <t>居宅療養管理指導・短期入所生活介護を3か年平均と令和7年度水準のどちらで置くか</t>
        </is>
      </c>
      <c r="E89"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F89" s="34" t="inlineStr">
        <is>
          <t>Ⅱ-56</t>
        </is>
      </c>
      <c r="G89" s="34" t="inlineStr">
        <is>
          <t>doc35§7-3(3),doc18 5-4(5)</t>
        </is>
      </c>
      <c r="H89" s="34" t="inlineStr">
        <is>
          <t>未依頼</t>
        </is>
      </c>
      <c r="I89" s="33" t="inlineStr"/>
    </row>
    <row r="90" ht="34" customHeight="1">
      <c r="A90" s="35" t="inlineStr">
        <is>
          <t>A</t>
        </is>
      </c>
      <c r="B90" s="22" t="inlineStr">
        <is>
          <t>Ｄ</t>
        </is>
      </c>
      <c r="C90" s="32" t="inlineStr">
        <is>
          <t>方針</t>
        </is>
      </c>
      <c r="D90" s="33" t="inlineStr">
        <is>
          <t>特定地域サービス・特定地域居宅サービス等事業を活用するかどうか</t>
        </is>
      </c>
      <c r="E90"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F90" s="34" t="inlineStr">
        <is>
          <t>Ⅱ-56,Ⅱ-60</t>
        </is>
      </c>
      <c r="G90" s="34" t="inlineStr">
        <is>
          <t>doc35§8,doc18 5-4(14),doc49§2-2</t>
        </is>
      </c>
      <c r="H90" s="34" t="inlineStr">
        <is>
          <t>未依頼</t>
        </is>
      </c>
      <c r="I90" s="33" t="inlineStr"/>
    </row>
    <row r="91" ht="34" customHeight="1">
      <c r="A91" s="35" t="inlineStr">
        <is>
          <t>A</t>
        </is>
      </c>
      <c r="B91" s="22" t="inlineStr">
        <is>
          <t>Ｃ</t>
        </is>
      </c>
      <c r="C91" s="32" t="inlineStr">
        <is>
          <t>方針</t>
        </is>
      </c>
      <c r="D91" s="33" t="inlineStr">
        <is>
          <t>★福島県高齢者居住安定確保計画の改定の予定と、本村の住まいの計画の有無</t>
        </is>
      </c>
      <c r="E91" s="33" t="inlineStr">
        <is>
          <t>★福島県高齢者居住安定確保計画の改定の予定と、本村の住まいの計画の有無をご確認いただきたい。10/15 起票：福島県高齢者居住安定確保計画（令和4年3月）を受領した。介護保険法第117条は、本計画が他の法律の規定による計画であって要介護者等の保健・医療・福祉または居住に関する事項を定めるものと調和が保たれたものであることを求めている。本計画はこれまで条文としてこれを引いておらず、住まいの計画との関係も書いていなかった（素案1-4・資9に追加した）。県計画は会津地域について、中山間地域では高齢者が集まって住む住宅が少ないこと、高齢者が除雪できず生活に支障をきたす場合があることを課題に挙げ、冬期間における除雪等の支援および集住の促進を対策としている。本村の施策2-6（除雪）・施策2-3（住まい）はこれに対応する。ただし県計画の期間は令和4年度から令和8年度までであり、本計画の期間が始まる前に満了する。次の2点をご確認いただきたい。・県計画の改定の予定（県の高齢者福祉計画・介護保険事業支援計画および住生活基本計画の改定に合わせて改定される見込み）と、会津地域の対策の変更の有無。・本村が市町村高齢者居住安定確保計画および市町村賃貸住宅供給促進計画を定めているか。定めている場合は調和の相手方になる。あわせて、県計画が挙げる住宅セーフティネット制度を活用した家賃・家賃債務保証料の補助、高齢者向け住宅への改修補助について、本村での活用の可否を住宅担当部局にご確認いただきたい。</t>
        </is>
      </c>
      <c r="F91" s="34" t="inlineStr">
        <is>
          <t>Ⅱ-56</t>
        </is>
      </c>
      <c r="G91" s="34" t="inlineStr">
        <is>
          <t>doc94</t>
        </is>
      </c>
      <c r="H91" s="34" t="inlineStr">
        <is>
          <t>未依頼</t>
        </is>
      </c>
      <c r="I91" s="33" t="inlineStr"/>
    </row>
    <row r="92" ht="34" customHeight="1">
      <c r="A92" s="35" t="inlineStr">
        <is>
          <t>A</t>
        </is>
      </c>
      <c r="B92" s="22" t="inlineStr">
        <is>
          <t>Ｃ</t>
        </is>
      </c>
      <c r="C92" s="32" t="inlineStr">
        <is>
          <t>疑義</t>
        </is>
      </c>
      <c r="D92" s="33" t="inlineStr">
        <is>
          <t>★条例上の保険料基準額の百円未満の処理（第9期は切捨てと見られる）</t>
        </is>
      </c>
      <c r="E92" s="33" t="inlineStr">
        <is>
          <t>★第9期の条例が保険料基準額の百円未満をどう処理すると定めているかをご確認いただきたい。10/9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F92" s="34" t="inlineStr">
        <is>
          <t>Ⅱ-64,Ⅱ-107</t>
        </is>
      </c>
      <c r="G92" s="34" t="inlineStr">
        <is>
          <t>doc73§1</t>
        </is>
      </c>
      <c r="H92" s="34" t="inlineStr">
        <is>
          <t>未依頼</t>
        </is>
      </c>
      <c r="I92" s="33" t="inlineStr"/>
    </row>
    <row r="93" ht="34" customHeight="1">
      <c r="A93" s="35" t="inlineStr">
        <is>
          <t>A</t>
        </is>
      </c>
      <c r="B93" s="22" t="inlineStr">
        <is>
          <t>Ｃ</t>
        </is>
      </c>
      <c r="C93" s="32" t="inlineStr">
        <is>
          <t>疑義</t>
        </is>
      </c>
      <c r="D93" s="33" t="inlineStr">
        <is>
          <t>★地域支援事業費が国の推計（3か年147,654千円）と当方の算定（119,658千円）で23.4%食い違う</t>
        </is>
      </c>
      <c r="E93" s="33" t="inlineStr">
        <is>
          <t>★国の推計ワークシートが置いている年3.2%の伸びの根拠（包括的支援事業の体制強化か、総合事業の単価改定か）をご教示いただきたい。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決算の複数年の推移の提供依頼（別項目）と一体で進める。★10/23 外部レビューの指摘により、素案には地域支援事業費の値が3つ並んでいることを確かめた。国の推計ワークシート147,654千円（5-7の保険料の採用値）、令和5年度決算の据え置き119,658千円（5-7の当方の検算）、事業の対象別の積み上げ122,737千円（5-5(2)）である。どれを計画の値とするかは村のご判断であり、当方の案は国の推計ワークシートの値（保険料と同じ系列）である。</t>
        </is>
      </c>
      <c r="F93" s="34" t="inlineStr">
        <is>
          <t>Ⅱ-55,Ⅱ-56,Ⅱ-106</t>
        </is>
      </c>
      <c r="G93" s="34" t="inlineStr">
        <is>
          <t>doc66§3-3</t>
        </is>
      </c>
      <c r="H93" s="34" t="inlineStr">
        <is>
          <t>未依頼</t>
        </is>
      </c>
      <c r="I93" s="33" t="inlineStr"/>
    </row>
    <row r="94" ht="34" customHeight="1">
      <c r="A94" s="35" t="inlineStr">
        <is>
          <t>A</t>
        </is>
      </c>
      <c r="B94" s="22" t="inlineStr">
        <is>
          <t>Ｃ</t>
        </is>
      </c>
      <c r="C94" s="32" t="inlineStr">
        <is>
          <t>疑義</t>
        </is>
      </c>
      <c r="D94" s="33" t="inlineStr">
        <is>
          <t>★高齢者の移動支援と配食サービスの実態（素案の記述と高齢者サービスの手引きが食い違う）</t>
        </is>
      </c>
      <c r="E94" s="33" t="inlineStr">
        <is>
          <t>★移動支援の利用人数と運行の状況、配食サービスの1回あたりの配達先の数をご教示いただきたい。10/10 起票：高齢者サービスの手引き（令和8年度版）により、素案4-6(2)の記述が実態と違うことが分かった。①移動支援：素案は「公共交通担当部局と連携し、介護予防・生活支援サービス事業による移動支援の創設を検討する」としているが、手引きによれば村民向け路線バスICカードを発行して喜多方⇔裏磐梯・猪苗代⇔裏磐梯の路線バスが無料であり、路線バス運行区域以外でも無料のコミュニティバスが運行している（総務企画課防災係）。すでにある仕組みを「創設を検討」と書くのは実態と違うため、「既存の仕組みの活用と周知、および路線バスが届かない範囲の補い方の検討」に改めたい。ご異存がないかと、路線バスが届かない地区・時間帯があるかをご教示いただきたい。②配食サービス：素案は「村の委託により現在の体制を維持する」としているが、手引きによれば赤十字奉仕団によるひとり暮らし高齢者弁当配達サービスで年4回予定である。年4回を「配食サービス」として量の目標を置くのは無理があるため、毎日の食事の確保という課題に対して現状が年4回であることを課題として書きたい。この整理でよいかをご確認いただきたい。★10/10：ご回答を待たずに素案を直した。すでにある仕組みを「創設を検討」と書いた計画書は、委員から見て村の実態を把握していない資料に見えるためである。直した内容は次のとおりである。①移動支援：4-6(2)の事業名を「高齢者の移動支援（路線バスICカード・コミュニティバス）」に改め、確保の方策を「村民向けの路線バスICカードの発行と無料のコミュニティバスの運行を継続し、周知を図る。これらで届かない範囲について、介護予防・生活支援サービス事業による補い方を検討する」とした。施策2-1の本文に既存の仕組みを書き、取組を4項目に改め（課題の把握／周知／届かない範囲の補い方／連携の継続）、指標に「路線バスICカードの交付を受けた方の人数」を加えた。②配食：4-6(2)の事業名を「ひとり暮らし高齢者弁当配達サービス」に改め、単位を「回／年」、目標を令和9〜11年度いずれも4回とした。総合事業の配食（未実施）とは別の事業であることを注記し、毎日の食事の確保という課題に対しては年4回では足りないため総合事業による配食の創設を施策1-2で検討する旨を書いた。★素案を直したため、ご確認いただきたいことは次のとおりに絞られる。・路線バスICカードとコミュニティバスの所管は総務企画課防災係でよいか。・路線バスICカードの交付を受けた方の人数と、コミュニティバスの利用の状況（地区別）。施策2-1の「移動に関する課題の把握」が国の評価指標で0点にとどまっているため、既存の仕組みが届いていない範囲を示す材料として要する。・弁当配達サービスの年4回は令和9年度以降も同じ回数を予定するか。あわせて1回あたりの配達先の数（利用人数）をご教示いただきたい。量の目標に置けているのは「回／年」だけであり、どれだけの方に届いているかが分からない。★当方の扱い：人数・利用の状況・回数のご回答がない場合、実績の欄は空欄、移動支援の目標は「―」のまま、弁当配達は年4回を据え置いてお示しする。</t>
        </is>
      </c>
      <c r="F94" s="34" t="inlineStr">
        <is>
          <t>Ⅱ-110,Ⅱ-54</t>
        </is>
      </c>
      <c r="G94" s="34" t="inlineStr">
        <is>
          <t>doc76§1-3,素案4-6(2),素案 施策2-1</t>
        </is>
      </c>
      <c r="H94" s="34" t="inlineStr">
        <is>
          <t>未依頼</t>
        </is>
      </c>
      <c r="I94" s="33" t="inlineStr"/>
    </row>
    <row r="95" ht="34" customHeight="1">
      <c r="A95" s="35" t="inlineStr">
        <is>
          <t>A</t>
        </is>
      </c>
      <c r="B95" s="22" t="inlineStr">
        <is>
          <t>Ｄ</t>
        </is>
      </c>
      <c r="C95" s="32" t="inlineStr">
        <is>
          <t>疑義</t>
        </is>
      </c>
      <c r="D95" s="33" t="inlineStr">
        <is>
          <t>★任意後見制度の周知の数え方（成年後見センターとの共催の催しを含めるか）</t>
        </is>
      </c>
      <c r="E95" s="33" t="inlineStr">
        <is>
          <t>★成年後見センターとの共催の催しを任意後見制度の周知の実績に数えてよいかをご整理いただきたい。10/10 起票：素案4-7は国の取組状況調査（市町村票）の回答により「任意後見制度については、周知・広報を実施していません」としている。一方、令和8年10月23日・24日に会津権利擁護・成年後見センターと11市町村の共催で創作劇とトークセッションが開かれ、北塩原村が主催者に名を連ねている。創作劇はエンディングノートや後見契約を通じて「老い」と向き合う筋立てであり、判断能力が低下する前の備えを伝える取組が現に広域で行われている。調査票でこれを「周知・広報」と数えていないのは、数え方の問題か、村単独の周知を指して「実施していない」と答えたものか。後者であれば素案4-7を「村単独の周知は行っていないが、広域の取組に参画している」と書き改めたい。あわせて、この催しへの村民の参加状況（申込み・参加人数）が分かればご教示いただきたい。施策4-7の指標の基準値に使える。★同日追記：村公式HPの整理により、会津圏域11市町村と会津権利擁護・成年後見センターが共同で作成した「わたしの思いノート」（本人の医療・介護等への希望や考えを書き留めるツール）が村HPに載っていることが分かった。これも判断能力が低下する前の備えを伝える取組に当たり得る。催しと思いノートの2件をあわせて、周知の実績としてどう数えるかをご整理いただきたい。</t>
        </is>
      </c>
      <c r="F95" s="34" t="inlineStr">
        <is>
          <t>Ⅱ-69,Ⅱ-68</t>
        </is>
      </c>
      <c r="G95" s="34" t="inlineStr">
        <is>
          <t>doc76§3,§7</t>
        </is>
      </c>
      <c r="H95" s="34" t="inlineStr">
        <is>
          <t>未依頼</t>
        </is>
      </c>
      <c r="I95" s="33" t="inlineStr"/>
    </row>
    <row r="96" ht="34" customHeight="1">
      <c r="A96" s="35" t="inlineStr">
        <is>
          <t>A</t>
        </is>
      </c>
      <c r="B96" s="22" t="inlineStr">
        <is>
          <t>Ｄ</t>
        </is>
      </c>
      <c r="C96" s="32" t="inlineStr">
        <is>
          <t>計画構成</t>
        </is>
      </c>
      <c r="D96" s="33" t="inlineStr">
        <is>
          <t>第五次生涯学習推進計画（2028年度〜）の策定予定時期</t>
        </is>
      </c>
      <c r="E96" s="33" t="inlineStr">
        <is>
          <t>★第四次は令和9年度で満了。第10期計画期間（令和9〜11年度）の途中で関連計画が切り替わるため記述の書き分けが必要。</t>
        </is>
      </c>
      <c r="F96" s="34" t="inlineStr">
        <is>
          <t>Ⅱ-72</t>
        </is>
      </c>
      <c r="G96" s="34" t="inlineStr">
        <is>
          <t>doc21§5 K-69</t>
        </is>
      </c>
      <c r="H96" s="34" t="inlineStr">
        <is>
          <t>未依頼</t>
        </is>
      </c>
      <c r="I96" s="33" t="inlineStr"/>
    </row>
    <row r="97" ht="34" customHeight="1">
      <c r="A97" s="35" t="inlineStr">
        <is>
          <t>A</t>
        </is>
      </c>
      <c r="B97" s="22" t="inlineStr">
        <is>
          <t>Ｄ</t>
        </is>
      </c>
      <c r="C97" s="32" t="inlineStr">
        <is>
          <t>計画構成</t>
        </is>
      </c>
      <c r="D97" s="33" t="inlineStr">
        <is>
          <t>第六次総合振興計画（2027年度〜）の策定状況</t>
        </is>
      </c>
      <c r="E97" s="33" t="inlineStr">
        <is>
          <t>★第五次は令和8年度で満了。第10期計画の上位計画の記述に必要（doc08§8-4と共通）。★10/10：同じ問いが優先度Bでも起票されていたため本項目に集約した。資9（関連計画との対照）に第五次総合振興計画の行を置き、計画期間が令和8年度で満了するため第六次の策定状況を確認して記述を確定する旨を書いている。</t>
        </is>
      </c>
      <c r="F97" s="34" t="inlineStr">
        <is>
          <t>Ⅱ-72</t>
        </is>
      </c>
      <c r="G97" s="34" t="inlineStr">
        <is>
          <t>doc21§5 K-70,doc08§8-4</t>
        </is>
      </c>
      <c r="H97" s="34" t="inlineStr">
        <is>
          <t>未依頼</t>
        </is>
      </c>
      <c r="I97" s="33" t="inlineStr"/>
    </row>
    <row r="98" ht="34" customHeight="1">
      <c r="A98" s="35" t="inlineStr">
        <is>
          <t>A</t>
        </is>
      </c>
      <c r="B98" s="22" t="inlineStr">
        <is>
          <t>Ｄ</t>
        </is>
      </c>
      <c r="C98" s="32" t="inlineStr">
        <is>
          <t>計画構成</t>
        </is>
      </c>
      <c r="D98" s="33" t="inlineStr">
        <is>
          <t>成年後見制度の市町村計画を第10期でも一体で策定するか</t>
        </is>
      </c>
      <c r="E98" s="33" t="inlineStr">
        <is>
          <t>調査票で「策定済み・高齢者保健福祉計画・介護保険事業計画と一体的に策定・見直し予定なし」と回答。第10期の計画期間との整合が必要。</t>
        </is>
      </c>
      <c r="F98" s="34" t="inlineStr">
        <is>
          <t>Ⅱ-72</t>
        </is>
      </c>
      <c r="G98" s="34" t="inlineStr">
        <is>
          <t>doc28§3-4 K-111</t>
        </is>
      </c>
      <c r="H98" s="34" t="inlineStr">
        <is>
          <t>未依頼</t>
        </is>
      </c>
      <c r="I98" s="33" t="inlineStr"/>
    </row>
    <row r="99" ht="34" customHeight="1">
      <c r="A99" s="35" t="inlineStr">
        <is>
          <t>A</t>
        </is>
      </c>
      <c r="B99" s="22" t="inlineStr">
        <is>
          <t>Ｃ</t>
        </is>
      </c>
      <c r="C99" s="32" t="inlineStr">
        <is>
          <t>計画構成</t>
        </is>
      </c>
      <c r="D99" s="33" t="inlineStr">
        <is>
          <t>★障がい福祉計画との連携の節を双方の計画に置くこと（障がい計画の側は新設済み。本計画は1-4の小見出しと資9で対応）</t>
        </is>
      </c>
      <c r="E99" s="33" t="inlineStr">
        <is>
          <t>★障がい福祉計画との連携について、本計画側の置き方（1-4の小見出しと資9）でよいかをご確認いただきたい。10/10 起票：第8期障がい福祉計画・第4期障がい児福祉計画の素案を確認したところ、同計画の第7章（他計画との連携）は第3次健康21・第五次総合振興計画・こども計画の3計画を扱っており、高齢者福祉計画・介護保険事業計画との連携の節は置かれていなかった。一方、本計画の素案にも障がい福祉計画への参照がなかった（「障がい福祉計画」「障害福祉」「共生型」のいずれの語も素案に現れていなかった）。整合は片方向ではなく、双方に無い状態であった。★10/10 当方の対応：本計画の素案に次を加えた。①1-4（計画の位置づけ）に「障がい福祉計画との関係」を新設し、介護保険優先原則が給付の重なる部分についてのものであり年齢に達したことのみを理由に一律に移るものではないこと、実際に移る分だけを両計画の見込量へ同じ年度に反映することを書いた。②施策4-1（地域包括支援センターの機能強化）の取組に、40歳・65歳到達時の制度間の移行の調整、高齢の方が障がいのある家族を支える世帯の支援、福祉用具・補装具・住宅改修の移行の確認を加えた。③施策3-1（居宅サービスの確保）の取組に共生型サービスの協議を加えた。指標は協議した事業所数と指定を受けた事業所数に分けた（指定は事業者の判断であるため）。④資9（関連計画との対照）を新設し、8計画との重なりと、数で揃える3つの対象を一覧にした。★10/13 訂正：上記の「置かれていなかった」は令和8年10月4日の版を見て書いたもので、当たらない。障がい福祉計画は令和8年10月10日に第7章3として「北塩原村高齢者福祉計画・介護保険事業計画との連携」を新設していた（申し送り§2・正本 37939eed8c4d066f）。節の中身は両計画の位置づけ・受給者証の区分に応じたサービスの対応・年齢到達による移行・共生型サービス・成年後見制度利用支援事業の切り分けの5点である。したがって「どちらにも無い」ではなく「本計画の側に独立した節が無い」が現在の状態である。本計画は1-4の小見出し「障がい福祉計画との関係」と資9（関連計画との対照）で同じ事項を扱っているが、目次に現れる節としては置いていない。★ご確認いただきたいこと。・本計画にも独立した節として置くか、1-4の小見出しと資9のままとするか。独立した節とする場合は紙面が1頁増える（許容110頁に対し現在109頁。doc84）。・本計画の1-4・資9の記載の内容が、村のお考えと合っているか。障がい福祉担当からは「当方の節の構成をそのままお使いいただいて差し支えない」との回答を得ている（申し送り§3）。★当方の扱い：ご回答がない場合も、本計画の記載は1-4の小見出しと資9のままお示しする。障がい福祉計画の側は既に置かれているため、当方からの提案は不要になった。</t>
        </is>
      </c>
      <c r="F99" s="34" t="inlineStr">
        <is>
          <t>Ⅱ-72,Ⅱ-110</t>
        </is>
      </c>
      <c r="G99" s="34" t="inlineStr">
        <is>
          <t>素案1-4,資9,障がい福祉計画素案 第7章</t>
        </is>
      </c>
      <c r="H99" s="34" t="inlineStr">
        <is>
          <t>未依頼</t>
        </is>
      </c>
      <c r="I99" s="33" t="inlineStr"/>
    </row>
    <row r="100" ht="34" customHeight="1">
      <c r="A100" s="35" t="inlineStr">
        <is>
          <t>A</t>
        </is>
      </c>
      <c r="B100" s="22" t="inlineStr">
        <is>
          <t>Ｄ</t>
        </is>
      </c>
      <c r="C100" s="32" t="inlineStr">
        <is>
          <t>調査設計</t>
        </is>
      </c>
      <c r="D100" s="33" t="inlineStr">
        <is>
          <t>被保険者番号と照合可能な管理番号の形式（村のラベル作成仕様と一体）</t>
        </is>
      </c>
      <c r="E100" s="33" t="inlineStr">
        <is>
          <t>★議事録で方針決着：氏名は記載せず管理番号を付与し被保険者番号と紐付ける。具体的な番号形式は村のラベル作成仕様と一体で要調整。</t>
        </is>
      </c>
      <c r="F100" s="34" t="inlineStr">
        <is>
          <t>Ⅰ-19,Ⅰ-25</t>
        </is>
      </c>
      <c r="G100" s="34" t="inlineStr">
        <is>
          <t>doc22 §1</t>
        </is>
      </c>
      <c r="H100" s="34" t="inlineStr">
        <is>
          <t>一部回答</t>
        </is>
      </c>
      <c r="I100" s="33" t="inlineStr"/>
    </row>
    <row r="101" ht="34" customHeight="1">
      <c r="A101" s="35" t="inlineStr">
        <is>
          <t>A</t>
        </is>
      </c>
      <c r="B101" s="22" t="inlineStr">
        <is>
          <t>Ｄ</t>
        </is>
      </c>
      <c r="C101" s="32" t="inlineStr">
        <is>
          <t>調査設計</t>
        </is>
      </c>
      <c r="D101" s="33" t="inlineStr">
        <is>
          <t>★保険外サービスの選択肢の順序を4設問で統一（11．その他／12．該当なし）</t>
        </is>
      </c>
      <c r="E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F101" s="34" t="inlineStr">
        <is>
          <t>Ⅰ-09,Ⅰ-10</t>
        </is>
      </c>
      <c r="G101" s="34" t="inlineStr">
        <is>
          <t>doc27§3-3</t>
        </is>
      </c>
      <c r="H101" s="34" t="inlineStr">
        <is>
          <t>未依頼</t>
        </is>
      </c>
      <c r="I101" s="33" t="inlineStr"/>
    </row>
    <row r="102" ht="34" customHeight="1">
      <c r="A102" s="35" t="inlineStr">
        <is>
          <t>A</t>
        </is>
      </c>
      <c r="B102" s="22" t="inlineStr">
        <is>
          <t>Ｄ</t>
        </is>
      </c>
      <c r="C102" s="32" t="inlineStr">
        <is>
          <t>調査設計</t>
        </is>
      </c>
      <c r="D102" s="33" t="inlineStr">
        <is>
          <t>★個人情報の取扱い欄から削除された「市町村外の」を標準様式どおりに戻す</t>
        </is>
      </c>
      <c r="E102" s="33" t="inlineStr">
        <is>
          <t>★第2稿で「厚生労働省の管理する市町村外のデータベース」から「市町村外の」が削除され、データが村の外に出ることが読み取れなくなった。手引きが図表10として文例を示している箇所。</t>
        </is>
      </c>
      <c r="F102" s="34" t="inlineStr">
        <is>
          <t>Ⅰ-09,Ⅰ-10</t>
        </is>
      </c>
      <c r="G102" s="34" t="inlineStr">
        <is>
          <t>doc27§5-2</t>
        </is>
      </c>
      <c r="H102" s="34" t="inlineStr">
        <is>
          <t>未依頼</t>
        </is>
      </c>
      <c r="I102" s="33" t="inlineStr"/>
    </row>
    <row r="103" ht="34" customHeight="1">
      <c r="A103" s="35" t="inlineStr">
        <is>
          <t>A</t>
        </is>
      </c>
      <c r="B103" s="22" t="inlineStr">
        <is>
          <t>Ｄ</t>
        </is>
      </c>
      <c r="C103" s="32" t="inlineStr">
        <is>
          <t>調査設計</t>
        </is>
      </c>
      <c r="D103" s="33" t="inlineStr">
        <is>
          <t>★在宅B票の案内文（主な介護者が記入できない場合の取扱い）の復活</t>
        </is>
      </c>
      <c r="E103" s="33" t="inlineStr">
        <is>
          <t>★第2稿で1文が削除された。介護者が書けないときの取扱いが示されず、B票が丸ごと無回答になる可能性がある。B票は仕事と介護の両立の分析（X-16・X-17）の全データ源。</t>
        </is>
      </c>
      <c r="F103" s="34" t="inlineStr">
        <is>
          <t>Ⅰ-10</t>
        </is>
      </c>
      <c r="G103" s="34" t="inlineStr">
        <is>
          <t>doc27§5-3</t>
        </is>
      </c>
      <c r="H103" s="34" t="inlineStr">
        <is>
          <t>未依頼</t>
        </is>
      </c>
      <c r="I103" s="33" t="inlineStr"/>
    </row>
    <row r="104" ht="34" customHeight="1">
      <c r="A104" s="35" t="inlineStr">
        <is>
          <t>A</t>
        </is>
      </c>
      <c r="B104" s="22" t="inlineStr">
        <is>
          <t>Ｄ</t>
        </is>
      </c>
      <c r="C104" s="32" t="inlineStr">
        <is>
          <t>調査設計</t>
        </is>
      </c>
      <c r="D104" s="33" t="inlineStr">
        <is>
          <t>調査票のレイアウトの目視確認3点（幸福度の記入欄／宛名ラベル枠／頁数）</t>
        </is>
      </c>
      <c r="E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F104" s="34" t="inlineStr">
        <is>
          <t>Ⅰ-20</t>
        </is>
      </c>
      <c r="G104" s="34" t="inlineStr">
        <is>
          <t>doc27§6</t>
        </is>
      </c>
      <c r="H104" s="34" t="inlineStr">
        <is>
          <t>未依頼</t>
        </is>
      </c>
      <c r="I104" s="33" t="inlineStr"/>
    </row>
    <row r="105" ht="34" customHeight="1">
      <c r="A105" s="36" t="inlineStr">
        <is>
          <t>B</t>
        </is>
      </c>
      <c r="B105" s="22" t="inlineStr">
        <is>
          <t>Ｄ</t>
        </is>
      </c>
      <c r="C105" s="23" t="inlineStr">
        <is>
          <t>データ</t>
        </is>
      </c>
      <c r="D105" s="24" t="inlineStr">
        <is>
          <t>認知症対応型共同生活介護の待機の状況（定員27人に対し令和9〜11年度の利用者数が27人で到達率100%）</t>
        </is>
      </c>
      <c r="E105" s="24" t="inlineStr">
        <is>
          <t>★村内の認知症高齢者グループホームの待機の状況（人数・待機期間）をご教示いただきたい。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t>
        </is>
      </c>
      <c r="F105" s="22" t="inlineStr">
        <is>
          <t>Ⅱ-105,Ⅱ-67</t>
        </is>
      </c>
      <c r="G105" s="22" t="inlineStr">
        <is>
          <t>doc66§4-1</t>
        </is>
      </c>
      <c r="H105" s="22" t="inlineStr">
        <is>
          <t>未依頼</t>
        </is>
      </c>
      <c r="I105" s="24" t="inlineStr"/>
    </row>
    <row r="106" ht="34" customHeight="1">
      <c r="A106" s="36" t="inlineStr">
        <is>
          <t>B</t>
        </is>
      </c>
      <c r="B106" s="22" t="inlineStr">
        <is>
          <t>Ｄ</t>
        </is>
      </c>
      <c r="C106" s="23" t="inlineStr">
        <is>
          <t>データ</t>
        </is>
      </c>
      <c r="D106" s="24" t="inlineStr">
        <is>
          <t>令和6年度決算および令和7年度の給付費見込</t>
        </is>
      </c>
      <c r="E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F106" s="22" t="inlineStr">
        <is>
          <t>Ⅱ-55,Ⅱ-56</t>
        </is>
      </c>
      <c r="G106" s="22" t="inlineStr">
        <is>
          <t>doc08§8-1,doc30§2-4</t>
        </is>
      </c>
      <c r="H106" s="22" t="inlineStr">
        <is>
          <t>未依頼</t>
        </is>
      </c>
      <c r="I106" s="24" t="inlineStr"/>
    </row>
    <row r="107" ht="34" customHeight="1">
      <c r="A107" s="36" t="inlineStr">
        <is>
          <t>B</t>
        </is>
      </c>
      <c r="B107" s="22" t="inlineStr">
        <is>
          <t>Ｄ</t>
        </is>
      </c>
      <c r="C107" s="23" t="inlineStr">
        <is>
          <t>データ</t>
        </is>
      </c>
      <c r="D107" s="24" t="inlineStr">
        <is>
          <t>通いの場の実数（令和3〜7年度）</t>
        </is>
      </c>
      <c r="E107" s="24" t="inlineStr">
        <is>
          <t>見える化は令和2年度で更新停止。かつH25・H29・R2は未報告とみられる。活動指標の基準値に必須。★9/3：令和6年度分（23か所281人／週1回以上8か所123人）を受領。令和3〜5年度・令和7年度は未受領。</t>
        </is>
      </c>
      <c r="F107" s="22" t="inlineStr">
        <is>
          <t>Ⅱ-65</t>
        </is>
      </c>
      <c r="G107" s="22" t="inlineStr">
        <is>
          <t>doc02§16,§22</t>
        </is>
      </c>
      <c r="H107" s="22" t="inlineStr">
        <is>
          <t>一部回答</t>
        </is>
      </c>
      <c r="I107" s="24" t="inlineStr"/>
    </row>
    <row r="108" ht="34" customHeight="1">
      <c r="A108" s="36" t="inlineStr">
        <is>
          <t>B</t>
        </is>
      </c>
      <c r="B108" s="22" t="inlineStr">
        <is>
          <t>Ｄ</t>
        </is>
      </c>
      <c r="C108" s="23" t="inlineStr">
        <is>
          <t>データ</t>
        </is>
      </c>
      <c r="D108" s="24" t="inlineStr">
        <is>
          <t>高齢者福祉事業（村単独事業）の実績資料</t>
        </is>
      </c>
      <c r="E108" s="24" t="inlineStr">
        <is>
          <t>現行計画の評価に必要。</t>
        </is>
      </c>
      <c r="F108" s="22" t="inlineStr">
        <is>
          <t>Ⅱ-53,Ⅱ-54</t>
        </is>
      </c>
      <c r="G108" s="22" t="inlineStr">
        <is>
          <t>doc01-11</t>
        </is>
      </c>
      <c r="H108" s="22" t="inlineStr">
        <is>
          <t>未依頼</t>
        </is>
      </c>
      <c r="I108" s="24" t="inlineStr"/>
    </row>
    <row r="109" ht="34" customHeight="1">
      <c r="A109" s="36" t="inlineStr">
        <is>
          <t>B</t>
        </is>
      </c>
      <c r="B109" s="22" t="inlineStr">
        <is>
          <t>Ｄ</t>
        </is>
      </c>
      <c r="C109" s="23" t="inlineStr">
        <is>
          <t>データ</t>
        </is>
      </c>
      <c r="D109" s="24" t="inlineStr">
        <is>
          <t>訪問診療・訪問看護の提供実績（村内外の事業所別・令和6〜7年度）</t>
        </is>
      </c>
      <c r="E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F109" s="22" t="inlineStr">
        <is>
          <t>Ⅱ-67,Ⅱ-61</t>
        </is>
      </c>
      <c r="G109" s="22" t="inlineStr">
        <is>
          <t>doc42§4,doc18 施策4-3</t>
        </is>
      </c>
      <c r="H109" s="22" t="inlineStr">
        <is>
          <t>未依頼</t>
        </is>
      </c>
      <c r="I109" s="24" t="inlineStr"/>
    </row>
    <row r="110" ht="34" customHeight="1">
      <c r="A110" s="36" t="inlineStr">
        <is>
          <t>B</t>
        </is>
      </c>
      <c r="B110" s="22" t="inlineStr">
        <is>
          <t>Ｃ</t>
        </is>
      </c>
      <c r="C110" s="23" t="inlineStr">
        <is>
          <t>データ</t>
        </is>
      </c>
      <c r="D110" s="24" t="inlineStr">
        <is>
          <t>急変時に本人の意思と医療情報を関係者間で共有する仕組みの有無（救急医療情報キット等）</t>
        </is>
      </c>
      <c r="E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F110" s="22" t="inlineStr">
        <is>
          <t>Ⅱ-67</t>
        </is>
      </c>
      <c r="G110" s="22" t="inlineStr">
        <is>
          <t>doc42§4,doc18 施策4-3</t>
        </is>
      </c>
      <c r="H110" s="22" t="inlineStr">
        <is>
          <t>未依頼</t>
        </is>
      </c>
      <c r="I110" s="24" t="inlineStr"/>
    </row>
    <row r="111" ht="34" customHeight="1">
      <c r="A111" s="36" t="inlineStr">
        <is>
          <t>B</t>
        </is>
      </c>
      <c r="B111" s="22" t="inlineStr">
        <is>
          <t>Ｄ</t>
        </is>
      </c>
      <c r="C111" s="23" t="inlineStr">
        <is>
          <t>データ</t>
        </is>
      </c>
      <c r="D111" s="24" t="inlineStr">
        <is>
          <t>村内の認知症対応型共同生活介護の入退所の状況（年度ごとの入所者数・退所者数と退所の理由）</t>
        </is>
      </c>
      <c r="E111" s="24" t="inlineStr">
        <is>
          <t>村内の認知症対応型共同生活介護（定員27人）について、年度ごとの入所者数・退所者数と退所の理由を、把握されている範囲でご提供いただきたい。定員の見直しを行うかどうか（施策3-2）の判断に用いる。村内の定員27人に対し受給者は令和7年度に23.8人／月（到達率88.1%）であり、待機が生じているのか入れ替わりが少ないのかは、入退所の状況によらないと分からない。基本指針の別表 事項七が求める「入退所の状況」にあたる。施設・事業所数と入所率・稼働率は「見える化」システムの受領データで把握できたため（素案2-5・5-4(8)）、事項七で残っているのは入退所の状況と従事者数の2つである。</t>
        </is>
      </c>
      <c r="F111" s="22" t="inlineStr">
        <is>
          <t>Ⅱ-105,Ⅱ-61</t>
        </is>
      </c>
      <c r="G111" s="22" t="inlineStr">
        <is>
          <t>doc61§3</t>
        </is>
      </c>
      <c r="H111" s="22" t="inlineStr">
        <is>
          <t>未依頼</t>
        </is>
      </c>
      <c r="I111" s="24" t="inlineStr"/>
    </row>
    <row r="112" ht="34" customHeight="1">
      <c r="A112" s="36" t="inlineStr">
        <is>
          <t>B</t>
        </is>
      </c>
      <c r="B112" s="22" t="inlineStr">
        <is>
          <t>Ｃ</t>
        </is>
      </c>
      <c r="C112" s="23" t="inlineStr">
        <is>
          <t>データ</t>
        </is>
      </c>
      <c r="D112" s="24" t="inlineStr">
        <is>
          <t>村内の住宅型有料老人ホーム・サービス付き高齢者向け住宅の有無（老人福祉法第29条の届出・高齢者住まい法の登録。県の所管）</t>
        </is>
      </c>
      <c r="E112" s="24" t="inlineStr">
        <is>
          <t>村内に住宅型有料老人ホーム・サービス付き高齢者向け住宅があるかどうかを、県にご照会いただきたい。有無だけで足り、あれば戸数と入居者数もいただきたい。有料老人ホームの届出は老人福祉法第29条第1項により県知事あて、サービス付き高齢者向け住宅の登録は高齢者の居住の安定確保に関する法律第5条により県知事あてで、いずれも県の所管のため村に情報が入らない。介護保険の指定を受けた特定施設入居者生活介護・地域密着型特定施設入居者生活介護は、受領データにより村内に平成24年度から令和6年度まで一貫して0であることを確かめた（素案2-5）。0であることが確かめられれば、基本指針の別表 事項八の対応を一部から対応に改められる。</t>
        </is>
      </c>
      <c r="F112" s="22" t="inlineStr">
        <is>
          <t>Ⅱ-54,Ⅱ-105</t>
        </is>
      </c>
      <c r="G112" s="22" t="inlineStr">
        <is>
          <t>doc61§3</t>
        </is>
      </c>
      <c r="H112" s="22" t="inlineStr">
        <is>
          <t>未依頼</t>
        </is>
      </c>
      <c r="I112" s="24" t="inlineStr"/>
    </row>
    <row r="113" ht="34" customHeight="1">
      <c r="A113" s="36" t="inlineStr">
        <is>
          <t>B</t>
        </is>
      </c>
      <c r="B113" s="22" t="inlineStr">
        <is>
          <t>Ｃ</t>
        </is>
      </c>
      <c r="C113" s="23" t="inlineStr">
        <is>
          <t>データ</t>
        </is>
      </c>
      <c r="D113" s="24" t="inlineStr">
        <is>
          <t>村内の介護サービス事業所の従事者数（常勤換算・職種別）</t>
        </is>
      </c>
      <c r="E113" s="24" t="inlineStr">
        <is>
          <t>村内の介護サービス事業所の従事者数（常勤換算・職種別）を、把握されている範囲でご教示いただきたい。いただければ、村内で供給する分の介護人材の必要数を人員配置基準により算定できる。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70人分から令和22年には0人分となり、要介護1以上の需要にも約7人分届かないという結果。認定者数は国の推計ワークシートの系列）。村外の事業所の分は他市町村の計画の対象となるため本村では算定できないことを素案に明記している。★10/23 一部解決：村より事業所別の従事者数の5か年推移（介護サービス情報公表システムの項目による。令和3〜7年）を受領した（doc116）。村内5事業所（訪問介護1・通所介護2・認知症対応型共同生活介護2）の介護職員・看護職員等の常勤・非常勤・常勤換算数が分かった。介護職員の常勤換算数の計は令和3年30.2人、令和7年29.0人（通所介護1事業所は令和7年が未掲載のため令和6年の値）でほぼ横ばいである。残るのは居宅介護支援・介護予防支援（地域包括支援センター）の職員数と、このデータの出どころ（配布元・時点）の確認である。★同日、素案2-5（村内の事業所の利用者数と従事者数）・5-4(12)（担い手の枠の仮定の確かめ）・資6に反映した。出典の確認と居宅介護支援等の職員数は5-12に挙げた。</t>
        </is>
      </c>
      <c r="F113" s="22" t="inlineStr">
        <is>
          <t>Ⅱ-67,Ⅱ-61</t>
        </is>
      </c>
      <c r="G113" s="22" t="inlineStr">
        <is>
          <t>doc47§3,doc116</t>
        </is>
      </c>
      <c r="H113" s="22" t="inlineStr">
        <is>
          <t>未依頼</t>
        </is>
      </c>
      <c r="I113" s="24" t="inlineStr"/>
    </row>
    <row r="114" ht="34" customHeight="1">
      <c r="A114" s="36" t="inlineStr">
        <is>
          <t>B</t>
        </is>
      </c>
      <c r="B114" s="22" t="inlineStr">
        <is>
          <t>Ｃ</t>
        </is>
      </c>
      <c r="C114" s="23" t="inlineStr">
        <is>
          <t>データ</t>
        </is>
      </c>
      <c r="D114" s="24" t="inlineStr">
        <is>
          <t>★村公式HPに載っている高齢者福祉の取組のうち、本計画に書き込むものの確認</t>
        </is>
      </c>
      <c r="E114" s="24" t="inlineStr">
        <is>
          <t>★10/10 起票：第8期障がい福祉計画の検討のために村公式HPを整理した資料の提供を受けた。本計画に関わる記述が次のとおりある。いずれも村HPの二次的な整理であり原典ではなく、当方の環境から村HPを開けないため（proxyが403）素案には書き込んでいない。原典（村HPまたは村の資料）でご確認いただくか、記載の可否をご教示いただきたい。①生活支援ハウスの名称は「シャルムハウス」か。素案4-6(1)は「生活支援ハウス」としか書いていない。②「除雪サービス登録事業者募集」を行っているか。素案の施策2-6は除雪支援について「担い手の確保が制約となる」としており、登録事業者を募る仕組みがあればその裏づけになる。③「わたしの思いノート」（会津圏域11市町村と会津権利擁護・成年後見センターが共同で作成した、本人の医療・介護等への希望や考えを書き留めるツール）の配布・活用の状況。施策4-3（在宅医療・介護連携）のACP・人生会議と、施策4-7（成年後見制度の利用促進）の判断能力が低下する前の備えの周知の、両方の裏づけになる。④「みんなの人権110番」（法務局職員・人権擁護委員が差別・虐待等の相談に対応）を施策4-1（高齢者虐待への対応）の相談経路として書いてよいか。⑤ヘルプマーク・ヘルプカード・耳マーク・おもいやり駐車場を、村全体の地域共生・合理的配慮の施策として本計画に触れてよいか。</t>
        </is>
      </c>
      <c r="F114" s="22" t="inlineStr">
        <is>
          <t>Ⅱ-67,Ⅱ-110,Ⅱ-69</t>
        </is>
      </c>
      <c r="G114" s="22" t="inlineStr">
        <is>
          <t>doc76§7</t>
        </is>
      </c>
      <c r="H114" s="22" t="inlineStr">
        <is>
          <t>未依頼</t>
        </is>
      </c>
      <c r="I114" s="24" t="inlineStr"/>
    </row>
    <row r="115" ht="34" customHeight="1">
      <c r="A115" s="36" t="inlineStr">
        <is>
          <t>B</t>
        </is>
      </c>
      <c r="B115" s="22" t="inlineStr">
        <is>
          <t>Ｃ</t>
        </is>
      </c>
      <c r="C115" s="23" t="inlineStr">
        <is>
          <t>データ</t>
        </is>
      </c>
      <c r="D115" s="24" t="inlineStr">
        <is>
          <t>介護人材の確保に関する福島県の事業（介護人材確保対策・修学資金貸付）の内容と本村からの利用実績</t>
        </is>
      </c>
      <c r="E115" s="24" t="inlineStr">
        <is>
          <t>★会津地方介護福祉士養成貸付事業ほか県の制度について、本村からの利用実績の有無をご教示いただきたい。★10/20 当方の先行：県のサイトに接続できるようになったため、県の事業の内容を確かめた。ア 会津地方介護福祉士養成貸付事業がある。会津地方に住所があり、養成施設卒業後に会津地方で介護職として働く意欲のある方が対象で、対象地域に北塩原村が明記されている（会津若松市・喜多方市・下郷町・檜枝岐村・只見町・南会津町・北塩原村・西会津町・磐梯町・猪苗代町・会津坂下町・湯川村・柳津町・三島町・金山町・昭和村・会津美里町）。イ 貸付は住居費 月額3万6千円以内、または公共交通機関の通学定期代の実費。修学期間中と就労期間中は無利子。会津地方の介護施設に就職して介護業務に3年以上従事すると返還が免除される。3年未満での退職は最長3年以内の月賦返還、退学や卒業後1年以内に会津地方の介護施設に就職できなかった場合は一括返還。ウ 募集人員は5名程度（予定）。申込みは在学する養成施設等を通じて福島県社会福祉協議会に行う。所管は県社会福祉課（福祉・介護人材担当）。エ ほかに介護福祉士修学資金等貸付事業（修学資金 月5万円以内、入学準備金・就職準備金 各20万円以内）があり、復職資金や他分野からの転職準備金も扱う。オ 以上を素案の施策4-6に取組として書いた。お尋ねするのは本村からの利用実績の有無の1点に絞られた。ご回答がない場合は、実績に触れず制度の周知を続ける旨のみを記す。★介護人材の確保に関する福島県の事業（介護人材確保対策・修学資金貸付）の内容と、本村からの利用実績をご教示いただきたい。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t>
        </is>
      </c>
      <c r="F115" s="22" t="inlineStr">
        <is>
          <t>Ⅱ-67,Ⅱ-54</t>
        </is>
      </c>
      <c r="G115" s="22" t="inlineStr">
        <is>
          <t>doc41§3</t>
        </is>
      </c>
      <c r="H115" s="22" t="inlineStr">
        <is>
          <t>未依頼</t>
        </is>
      </c>
      <c r="I115" s="24" t="inlineStr"/>
    </row>
    <row r="116" ht="34" customHeight="1">
      <c r="A116" s="36" t="inlineStr">
        <is>
          <t>B</t>
        </is>
      </c>
      <c r="B116" s="22" t="inlineStr">
        <is>
          <t>Ｄ</t>
        </is>
      </c>
      <c r="C116" s="23" t="inlineStr">
        <is>
          <t>データ</t>
        </is>
      </c>
      <c r="D116" s="24" t="inlineStr">
        <is>
          <t>介護保険事業状況報告 月報 第2表・第3表（サービス種類別の受給者数）</t>
        </is>
      </c>
      <c r="E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F116" s="22" t="inlineStr">
        <is>
          <t>Ⅱ-55,Ⅱ-56</t>
        </is>
      </c>
      <c r="G116" s="22" t="inlineStr">
        <is>
          <t>doc30§5-3</t>
        </is>
      </c>
      <c r="H116" s="22" t="inlineStr">
        <is>
          <t>未依頼</t>
        </is>
      </c>
      <c r="I116" s="24" t="inlineStr"/>
    </row>
    <row r="117" ht="34" customHeight="1">
      <c r="A117" s="36" t="inlineStr">
        <is>
          <t>B</t>
        </is>
      </c>
      <c r="B117" s="22" t="inlineStr">
        <is>
          <t>Ｄ</t>
        </is>
      </c>
      <c r="C117" s="23" t="inlineStr">
        <is>
          <t>データ</t>
        </is>
      </c>
      <c r="D117" s="24" t="inlineStr">
        <is>
          <t>介護給付と予防給付を分けたサービス種類別の受給者数・給付費</t>
        </is>
      </c>
      <c r="E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F117" s="22" t="inlineStr">
        <is>
          <t>Ⅱ-55,Ⅱ-56</t>
        </is>
      </c>
      <c r="G117" s="22" t="inlineStr">
        <is>
          <t>doc30§5-1</t>
        </is>
      </c>
      <c r="H117" s="22" t="inlineStr">
        <is>
          <t>未依頼</t>
        </is>
      </c>
      <c r="I117" s="24" t="inlineStr"/>
    </row>
    <row r="118" ht="34" customHeight="1">
      <c r="A118" s="36" t="inlineStr">
        <is>
          <t>B</t>
        </is>
      </c>
      <c r="B118" s="22" t="inlineStr">
        <is>
          <t>Ｄ</t>
        </is>
      </c>
      <c r="C118" s="23" t="inlineStr">
        <is>
          <t>データ</t>
        </is>
      </c>
      <c r="D118" s="24" t="inlineStr">
        <is>
          <t>特定福祉用具販売・住宅改修の件数（令和5〜7年度）</t>
        </is>
      </c>
      <c r="E118" s="24" t="inlineStr">
        <is>
          <t>計画の様式は「件／年」で記載する。見える化は給付費のみで件数の系列がない。</t>
        </is>
      </c>
      <c r="F118" s="22" t="inlineStr">
        <is>
          <t>Ⅱ-55</t>
        </is>
      </c>
      <c r="G118" s="22" t="inlineStr">
        <is>
          <t>doc30§5-1</t>
        </is>
      </c>
      <c r="H118" s="22" t="inlineStr">
        <is>
          <t>未依頼</t>
        </is>
      </c>
      <c r="I118" s="24" t="inlineStr"/>
    </row>
    <row r="119" ht="34" customHeight="1">
      <c r="A119" s="36" t="inlineStr">
        <is>
          <t>B</t>
        </is>
      </c>
      <c r="B119" s="22" t="inlineStr">
        <is>
          <t>Ｄ</t>
        </is>
      </c>
      <c r="C119" s="23" t="inlineStr">
        <is>
          <t>データ</t>
        </is>
      </c>
      <c r="D119" s="24" t="inlineStr">
        <is>
          <t>居宅介護支援・介護予防支援の受給者数（居宅と予防の内訳）</t>
        </is>
      </c>
      <c r="E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F119" s="22" t="inlineStr">
        <is>
          <t>Ⅱ-55</t>
        </is>
      </c>
      <c r="G119" s="22" t="inlineStr">
        <is>
          <t>doc38§A-2,doc18 5-4(9)</t>
        </is>
      </c>
      <c r="H119" s="22" t="inlineStr">
        <is>
          <t>一部回答</t>
        </is>
      </c>
      <c r="I119" s="24" t="inlineStr"/>
    </row>
    <row r="120" ht="34" customHeight="1">
      <c r="A120" s="36" t="inlineStr">
        <is>
          <t>B</t>
        </is>
      </c>
      <c r="B120" s="22" t="inlineStr">
        <is>
          <t>Ｃ</t>
        </is>
      </c>
      <c r="C120" s="23" t="inlineStr">
        <is>
          <t>データ</t>
        </is>
      </c>
      <c r="D120" s="24" t="inlineStr">
        <is>
          <t>ニーズ調査 問1(4)（住まいの種類）を削除したままとする場合の代替資料</t>
        </is>
      </c>
      <c r="E120" s="24" t="inlineStr">
        <is>
          <t>★国勢調査を住まいの種類の代替として用いてよいかをご確認いただき、あわせて村営住宅の高齢者の入居の実績をご提供いただきたい。★10/20 当方の先行：総務省統計局のサイトに接続できるようになったため、代替になる公表資料を当方で当たった。ア 住宅・土地統計調査は使えない。同調査の結果表章は「市区及び人口1万5千人以上の町村」に限られる（令和5年調査の結果の概要の注記。人口は令和2年国勢調査時点）。本村の人口は2,315人であり、対象外である。イ 国勢調査であれば市町村単位で得られる。令和2年国勢調査の「65歳以上世帯員に係る世帯の状態」に、表31-8「65歳以上世帯員の有無による世帯の類型，住宅の所有の関係，住宅の建て方・世帯が住んでいる階別一般世帯の1世帯当たり人員－全国，都道府県，市区町村」があり、同じ分類に表29-6・29-7・30-4がある。また「住宅の所有関係・住宅の建て方」の表18-7、「世帯の家族類型，住宅の所有の関係別一般世帯数」の表22-3・22-4も市区町村単位である。ウ したがって、公営住宅・借家に住む高齢者の把握は国勢調査で代えられる。ただし国勢調査は住宅の所有の関係であって、公営住宅に限った数ではない。公営住宅の高齢者の入居の実績は村の住宅施策の資料でなければ分からない。エ お尋ねするのは次の2点に絞られる。①国勢調査（令和2年。令和7年調査の結果が出れば差し替える）を代替として用いてよいか。②村営住宅の高齢者の入居の実績（戸数・世帯数）があればご提供いただきたい。基本指針が求める「高齢者の居住安定に係る施策との連携」と施策2-3の根拠になる唯一の設問だった。公営住宅・借家の高齢者を把握する手段がなくなるため、村の住宅施策の資料で補う。</t>
        </is>
      </c>
      <c r="F120" s="22" t="inlineStr">
        <is>
          <t>Ⅱ-53</t>
        </is>
      </c>
      <c r="G120" s="22" t="inlineStr">
        <is>
          <t>doc34§3-3</t>
        </is>
      </c>
      <c r="H120" s="22" t="inlineStr">
        <is>
          <t>未依頼</t>
        </is>
      </c>
      <c r="I120" s="24" t="inlineStr"/>
    </row>
    <row r="121" ht="34" customHeight="1">
      <c r="A121" s="36" t="inlineStr">
        <is>
          <t>B</t>
        </is>
      </c>
      <c r="B121" s="22" t="inlineStr">
        <is>
          <t>Ｄ</t>
        </is>
      </c>
      <c r="C121" s="23" t="inlineStr">
        <is>
          <t>データ</t>
        </is>
      </c>
      <c r="D121" s="24" t="inlineStr">
        <is>
          <t>高齢者虐待への対応実績（相談・通報件数、虐待と判断した件数、措置件数）</t>
        </is>
      </c>
      <c r="E121" s="24" t="inlineStr">
        <is>
          <t>★国の基本指針が権利擁護として記載を求める事項。素案には「虐待」の語が1度もなかった（doc32 §5-1）。地域包括支援センターの権利擁護業務の中核でもある。</t>
        </is>
      </c>
      <c r="F121" s="22" t="inlineStr">
        <is>
          <t>Ⅱ-53,Ⅱ-54</t>
        </is>
      </c>
      <c r="G121" s="22" t="inlineStr">
        <is>
          <t>doc32§5-1</t>
        </is>
      </c>
      <c r="H121" s="22" t="inlineStr">
        <is>
          <t>未依頼</t>
        </is>
      </c>
      <c r="I121" s="24" t="inlineStr"/>
    </row>
    <row r="122" ht="34" customHeight="1">
      <c r="A122" s="36" t="inlineStr">
        <is>
          <t>B</t>
        </is>
      </c>
      <c r="B122" s="22" t="inlineStr">
        <is>
          <t>Ｄ</t>
        </is>
      </c>
      <c r="C122" s="23" t="inlineStr">
        <is>
          <t>データ</t>
        </is>
      </c>
      <c r="D122" s="24" t="inlineStr">
        <is>
          <t>老人福祉事業の量の実績（養護老人ホーム措置・軽費老人ホーム・老人クラブ）</t>
        </is>
      </c>
      <c r="E122" s="24" t="inlineStr">
        <is>
          <t>★老人福祉法第20条の8第2項が「定めるものとする」とする義務的記載事項。素案に量の目標の表がなかったため4-6を新設したが、実績値がないと目標が置けない。</t>
        </is>
      </c>
      <c r="F122" s="22" t="inlineStr">
        <is>
          <t>Ⅱ-53</t>
        </is>
      </c>
      <c r="G122" s="22" t="inlineStr">
        <is>
          <t>doc32§4-1</t>
        </is>
      </c>
      <c r="H122" s="22" t="inlineStr">
        <is>
          <t>未依頼</t>
        </is>
      </c>
      <c r="I122" s="24" t="inlineStr"/>
    </row>
    <row r="123" ht="34" customHeight="1">
      <c r="A123" s="36" t="inlineStr">
        <is>
          <t>B</t>
        </is>
      </c>
      <c r="B123" s="22" t="inlineStr">
        <is>
          <t>Ｃ</t>
        </is>
      </c>
      <c r="C123" s="23" t="inlineStr">
        <is>
          <t>データ</t>
        </is>
      </c>
      <c r="D123" s="24" t="inlineStr">
        <is>
          <t>介護サービス事業所のBCP・要配慮者利用施設の避難確保計画の策定状況</t>
        </is>
      </c>
      <c r="E123" s="24" t="inlineStr">
        <is>
          <t>★基本指針が求める災害・感染症対策の体制整備。村内2事業所（GH・通所介護）が対象になり得る。</t>
        </is>
      </c>
      <c r="F123" s="22" t="inlineStr">
        <is>
          <t>Ⅱ-54</t>
        </is>
      </c>
      <c r="G123" s="22" t="inlineStr">
        <is>
          <t>doc32§5-2</t>
        </is>
      </c>
      <c r="H123" s="22" t="inlineStr">
        <is>
          <t>未依頼</t>
        </is>
      </c>
      <c r="I123" s="24" t="inlineStr"/>
    </row>
    <row r="124" ht="34" customHeight="1">
      <c r="A124" s="36" t="inlineStr">
        <is>
          <t>B</t>
        </is>
      </c>
      <c r="B124" s="22" t="inlineStr">
        <is>
          <t>Ｄ</t>
        </is>
      </c>
      <c r="C124" s="23" t="inlineStr">
        <is>
          <t>データ</t>
        </is>
      </c>
      <c r="D124" s="24" t="inlineStr">
        <is>
          <t>診療所（南東北裏磐梯・桧原）の診療日数および患者数</t>
        </is>
      </c>
      <c r="E124" s="24" t="inlineStr">
        <is>
          <t>★在宅医療・介護連携の分析に直結するがこれまで把握していなかった。</t>
        </is>
      </c>
      <c r="F124" s="22" t="inlineStr">
        <is>
          <t>Ⅱ-54</t>
        </is>
      </c>
      <c r="G124" s="22" t="inlineStr">
        <is>
          <t>doc19 追-11</t>
        </is>
      </c>
      <c r="H124" s="22" t="inlineStr">
        <is>
          <t>未依頼</t>
        </is>
      </c>
      <c r="I124" s="24" t="inlineStr"/>
    </row>
    <row r="125" ht="34" customHeight="1">
      <c r="A125" s="36" t="inlineStr">
        <is>
          <t>B</t>
        </is>
      </c>
      <c r="B125" s="22" t="inlineStr">
        <is>
          <t>Ｄ</t>
        </is>
      </c>
      <c r="C125" s="23" t="inlineStr">
        <is>
          <t>データ</t>
        </is>
      </c>
      <c r="D125" s="24" t="inlineStr">
        <is>
          <t>家族介護者リフレッシュ事業・介護用品支給・サポーター養成講座・成年後見の各実績</t>
        </is>
      </c>
      <c r="E125" s="24" t="inlineStr">
        <is>
          <t>任意事業・認知症施策・成年後見の評価に必要。令和6年度実績、可能であれば令和7年度。</t>
        </is>
      </c>
      <c r="F125" s="22" t="inlineStr">
        <is>
          <t>Ⅱ-53,Ⅱ-54</t>
        </is>
      </c>
      <c r="G125" s="22" t="inlineStr">
        <is>
          <t>doc19 追-11</t>
        </is>
      </c>
      <c r="H125" s="22" t="inlineStr">
        <is>
          <t>未依頼</t>
        </is>
      </c>
      <c r="I125" s="24" t="inlineStr"/>
    </row>
    <row r="126" ht="34" customHeight="1">
      <c r="A126" s="36" t="inlineStr">
        <is>
          <t>B</t>
        </is>
      </c>
      <c r="B126" s="22" t="inlineStr">
        <is>
          <t>Ｃ</t>
        </is>
      </c>
      <c r="C126" s="23" t="inlineStr">
        <is>
          <t>データ</t>
        </is>
      </c>
      <c r="D126" s="24" t="inlineStr">
        <is>
          <t>特定健診・後期高齢者健診の受診率、特定保健指導の実施率</t>
        </is>
      </c>
      <c r="E126" s="24" t="inlineStr">
        <is>
          <t>介護予防と保健事業の一体的実施（施策1-6）の評価に必要。</t>
        </is>
      </c>
      <c r="F126" s="22" t="inlineStr">
        <is>
          <t>Ⅱ-54</t>
        </is>
      </c>
      <c r="G126" s="22" t="inlineStr">
        <is>
          <t>doc19 追-11</t>
        </is>
      </c>
      <c r="H126" s="22" t="inlineStr">
        <is>
          <t>未依頼</t>
        </is>
      </c>
      <c r="I126" s="24" t="inlineStr"/>
    </row>
    <row r="127" ht="34" customHeight="1">
      <c r="A127" s="36" t="inlineStr">
        <is>
          <t>B</t>
        </is>
      </c>
      <c r="B127" s="22" t="inlineStr">
        <is>
          <t>Ｄ</t>
        </is>
      </c>
      <c r="C127" s="23" t="inlineStr">
        <is>
          <t>データ</t>
        </is>
      </c>
      <c r="D127" s="24" t="inlineStr">
        <is>
          <t>ACP（人生会議）の普及啓発・看取りに関する住民向け取組の有無</t>
        </is>
      </c>
      <c r="E127" s="24" t="inlineStr">
        <is>
          <t>支援交付金目標Ⅲ「人生の最終段階における支援」4項目が0点（配点計8点）。</t>
        </is>
      </c>
      <c r="F127" s="22" t="inlineStr">
        <is>
          <t>Ⅱ-54</t>
        </is>
      </c>
      <c r="G127" s="22" t="inlineStr">
        <is>
          <t>doc20§6-2 K-65</t>
        </is>
      </c>
      <c r="H127" s="22" t="inlineStr">
        <is>
          <t>未依頼</t>
        </is>
      </c>
      <c r="I127" s="24" t="inlineStr"/>
    </row>
    <row r="128" ht="34" customHeight="1">
      <c r="A128" s="36" t="inlineStr">
        <is>
          <t>B</t>
        </is>
      </c>
      <c r="B128" s="22" t="inlineStr">
        <is>
          <t>Ｃ</t>
        </is>
      </c>
      <c r="C128" s="23" t="inlineStr">
        <is>
          <t>データ</t>
        </is>
      </c>
      <c r="D128" s="24" t="inlineStr">
        <is>
          <t>第四次生涯学習推進計画の目標値の直近実績（中間評価の有無・結果）</t>
        </is>
      </c>
      <c r="E128" s="24" t="inlineStr">
        <is>
          <t>10年計画（2018〜2027年度）の中間年は2022年度。第10期計画に引用可能か。</t>
        </is>
      </c>
      <c r="F128" s="22" t="inlineStr">
        <is>
          <t>Ⅱ-72</t>
        </is>
      </c>
      <c r="G128" s="22" t="inlineStr">
        <is>
          <t>doc21§5 K-68</t>
        </is>
      </c>
      <c r="H128" s="22" t="inlineStr">
        <is>
          <t>未依頼</t>
        </is>
      </c>
      <c r="I128" s="24" t="inlineStr"/>
    </row>
    <row r="129" ht="34" customHeight="1">
      <c r="A129" s="36" t="inlineStr">
        <is>
          <t>B</t>
        </is>
      </c>
      <c r="B129" s="22" t="inlineStr">
        <is>
          <t>Ｄ</t>
        </is>
      </c>
      <c r="C129" s="23" t="inlineStr">
        <is>
          <t>データ</t>
        </is>
      </c>
      <c r="D129" s="24" t="inlineStr">
        <is>
          <t>高齢者生きがい健康づくり事業・高齢者教室の実施状況（開催回数・参加人数）</t>
        </is>
      </c>
      <c r="E129" s="24" t="inlineStr">
        <is>
          <t>教育委員会所管。介護予防（通いの場）の実績にカウントできるものがあるかを確認。</t>
        </is>
      </c>
      <c r="F129" s="22" t="inlineStr">
        <is>
          <t>Ⅱ-53</t>
        </is>
      </c>
      <c r="G129" s="22" t="inlineStr">
        <is>
          <t>doc21§5 K-71</t>
        </is>
      </c>
      <c r="H129" s="22" t="inlineStr">
        <is>
          <t>未依頼</t>
        </is>
      </c>
      <c r="I129" s="24" t="inlineStr"/>
    </row>
    <row r="130" ht="34" customHeight="1">
      <c r="A130" s="36" t="inlineStr">
        <is>
          <t>B</t>
        </is>
      </c>
      <c r="B130" s="22" t="inlineStr">
        <is>
          <t>Ｃ</t>
        </is>
      </c>
      <c r="C130" s="23" t="inlineStr">
        <is>
          <t>データ</t>
        </is>
      </c>
      <c r="D130" s="24" t="inlineStr">
        <is>
          <t>シルバー人材センターの会員数・受注実績</t>
        </is>
      </c>
      <c r="E130" s="24" t="inlineStr">
        <is>
          <t>高齢者の就労的活動の実績として記載可能か。生涯学習推進計画にも施策として位置づけあり。</t>
        </is>
      </c>
      <c r="F130" s="22" t="inlineStr">
        <is>
          <t>Ⅱ-53</t>
        </is>
      </c>
      <c r="G130" s="22" t="inlineStr">
        <is>
          <t>doc21§5 K-72</t>
        </is>
      </c>
      <c r="H130" s="22" t="inlineStr">
        <is>
          <t>未依頼</t>
        </is>
      </c>
      <c r="I130" s="24" t="inlineStr"/>
    </row>
    <row r="131" ht="34" customHeight="1">
      <c r="A131" s="36" t="inlineStr">
        <is>
          <t>B</t>
        </is>
      </c>
      <c r="B131" s="22" t="inlineStr">
        <is>
          <t>Ｃ</t>
        </is>
      </c>
      <c r="C131" s="23" t="inlineStr">
        <is>
          <t>データ</t>
        </is>
      </c>
      <c r="D131" s="24" t="inlineStr">
        <is>
          <t>行政区コードの先頭の桁と地区の対応（推定の確認）および在宅調査「追加分」77件の位置づけ</t>
        </is>
      </c>
      <c r="E131" s="24" t="inlineStr">
        <is>
          <t>行政区コードの先頭の桁が地区に対応するという当方の推定が正しいかをご確認いただき、行政区名と地区（北山・大塩・桧原・裏磐梯）の対応表をご提供いただきたい。あわせて在宅調査の「追加分」77件の位置づけをご教示いただきたい。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F131" s="22" t="inlineStr">
        <is>
          <t>Ⅰ-24,Ⅰ-40</t>
        </is>
      </c>
      <c r="G131" s="22" t="inlineStr">
        <is>
          <t>doc43§2-1,§2-4</t>
        </is>
      </c>
      <c r="H131" s="22" t="inlineStr">
        <is>
          <t>未依頼</t>
        </is>
      </c>
      <c r="I131" s="24" t="inlineStr"/>
    </row>
    <row r="132" ht="34" customHeight="1">
      <c r="A132" s="36" t="inlineStr">
        <is>
          <t>B</t>
        </is>
      </c>
      <c r="B132" s="22" t="inlineStr">
        <is>
          <t>Ｄ</t>
        </is>
      </c>
      <c r="C132" s="23" t="inlineStr">
        <is>
          <t>データ</t>
        </is>
      </c>
      <c r="D132" s="24" t="inlineStr">
        <is>
          <t>第9期調査の集計基準・集計表の提供</t>
        </is>
      </c>
      <c r="E132" s="24" t="inlineStr">
        <is>
          <t>前回比較（集計軸G）に必要。無回答の扱い・端数処理を揃えないと比較にならない。</t>
        </is>
      </c>
      <c r="F132" s="22" t="inlineStr">
        <is>
          <t>Ⅰ-42</t>
        </is>
      </c>
      <c r="G132" s="22" t="inlineStr">
        <is>
          <t>doc25§8 K-92</t>
        </is>
      </c>
      <c r="H132" s="22" t="inlineStr">
        <is>
          <t>未依頼</t>
        </is>
      </c>
      <c r="I132" s="24" t="inlineStr"/>
    </row>
    <row r="133" ht="34" customHeight="1">
      <c r="A133" s="36" t="inlineStr">
        <is>
          <t>B</t>
        </is>
      </c>
      <c r="B133" s="22" t="inlineStr">
        <is>
          <t>Ｃ</t>
        </is>
      </c>
      <c r="C133" s="23" t="inlineStr">
        <is>
          <t>データ</t>
        </is>
      </c>
      <c r="D133" s="24" t="inlineStr">
        <is>
          <t>成年後見の中核機関の整備圏域（調査票は「市町村圏域」だが実態は会津圏域13市町村の共同運営か）</t>
        </is>
      </c>
      <c r="E133" s="24" t="inlineStr">
        <is>
          <t>相談件数表から会津権利擁護・成年後見センターへの委託と見られるが、調査票の回答は市町村圏域。計画の記述の正確性に関わる。</t>
        </is>
      </c>
      <c r="F133" s="22" t="inlineStr">
        <is>
          <t>Ⅱ-68</t>
        </is>
      </c>
      <c r="G133" s="22" t="inlineStr">
        <is>
          <t>doc28§3-4 K-109</t>
        </is>
      </c>
      <c r="H133" s="22" t="inlineStr">
        <is>
          <t>未依頼</t>
        </is>
      </c>
      <c r="I133" s="24" t="inlineStr"/>
    </row>
    <row r="134" ht="34" customHeight="1">
      <c r="A134" s="36" t="inlineStr">
        <is>
          <t>B</t>
        </is>
      </c>
      <c r="B134" s="22" t="inlineStr">
        <is>
          <t>Ｄ</t>
        </is>
      </c>
      <c r="C134" s="23" t="inlineStr">
        <is>
          <t>データ</t>
        </is>
      </c>
      <c r="D134" s="24" t="inlineStr">
        <is>
          <t>合計所得金額分布調査の10万円刻みデータを保険料試算に使用してよいか</t>
        </is>
      </c>
      <c r="E134" s="24" t="inlineStr">
        <is>
          <t>所得段階の区切りを変えた場合の影響試算に使える。第10期で段階設定を見直す場合の基礎データ。</t>
        </is>
      </c>
      <c r="F134" s="22" t="inlineStr">
        <is>
          <t>Ⅱ-107</t>
        </is>
      </c>
      <c r="G134" s="22" t="inlineStr">
        <is>
          <t>doc28§2 K-110</t>
        </is>
      </c>
      <c r="H134" s="22" t="inlineStr">
        <is>
          <t>未依頼</t>
        </is>
      </c>
      <c r="I134" s="24" t="inlineStr"/>
    </row>
    <row r="135" ht="34" customHeight="1">
      <c r="A135" s="36" t="inlineStr">
        <is>
          <t>B</t>
        </is>
      </c>
      <c r="B135" s="22" t="inlineStr">
        <is>
          <t>Ｃ</t>
        </is>
      </c>
      <c r="C135" s="23" t="inlineStr">
        <is>
          <t>データ</t>
        </is>
      </c>
      <c r="D135" s="24" t="inlineStr">
        <is>
          <t>特定健診・後期高齢者健診の受診率（見える化に系列がない）</t>
        </is>
      </c>
      <c r="E135" s="24" t="inlineStr">
        <is>
          <t>★特定健診・後期高齢者健診の受診率（市町村国保）をご提供いただきたい。★10/20 当方の先行：厚生労働省のサイトに接続できるようになったため、公表されている範囲を確かめた。ア 福島県の値は押さえた。令和5年度の特定健診の受診率は58.3％（対象者816,798人・受診者476,261人）、特定保健指導の実施率は25.2％である（厚生労働省「特定健康診査・特定保健指導に関するデータ」都道府県別一覧）。イ ただしこれは全保険者を合わせた値であり、市町村国保に限った値ではない。ウ 国は市町村別の値を公表していない。同ページの集計はすべて都道府県別または全国別であり、保険者から報告された郵便番号をもとに都道府県別に整理されている。エ したがって本村の値は、村または国保データベース（KDB）から取る以外にない。お尋ねするのはこの1点に絞られる。得られない場合は、施策1-6の指標から受診率を外し、県の値（58.3％）を参考として注記するにとどめる。オ なお、令和6年度の数値は誤りの可能性があるとして国が掲載を一時中止している。施策1-6（保健事業と介護予防の一体的実施）の指標に用いる。見える化に系列がないため、村または国保データベース（KDB）システムから取る。KDBは見える化とは別のシステムであり、アクセスの可否を村に確認する。</t>
        </is>
      </c>
      <c r="F135" s="22" t="inlineStr">
        <is>
          <t>Ⅱ-54</t>
        </is>
      </c>
      <c r="G135" s="22" t="inlineStr">
        <is>
          <t>doc38§D</t>
        </is>
      </c>
      <c r="H135" s="22" t="inlineStr">
        <is>
          <t>未依頼</t>
        </is>
      </c>
      <c r="I135" s="24" t="inlineStr"/>
    </row>
    <row r="136" ht="34" customHeight="1">
      <c r="A136" s="36" t="inlineStr">
        <is>
          <t>B</t>
        </is>
      </c>
      <c r="B136" s="22" t="inlineStr">
        <is>
          <t>Ｄ</t>
        </is>
      </c>
      <c r="C136" s="23" t="inlineStr">
        <is>
          <t>データ</t>
        </is>
      </c>
      <c r="D136" s="24" t="inlineStr">
        <is>
          <t>令和8年度 該当状況調査票集計表（市町村分・全国一覧表）の再ご提供</t>
        </is>
      </c>
      <c r="E136"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F136" s="22" t="inlineStr">
        <is>
          <t>Ⅱ-67</t>
        </is>
      </c>
      <c r="G136" s="22" t="inlineStr">
        <is>
          <t>doc48§0</t>
        </is>
      </c>
      <c r="H136" s="22" t="inlineStr">
        <is>
          <t>未依頼</t>
        </is>
      </c>
      <c r="I136" s="24" t="inlineStr"/>
    </row>
    <row r="137" ht="34" customHeight="1">
      <c r="A137" s="36" t="inlineStr">
        <is>
          <t>B</t>
        </is>
      </c>
      <c r="B137" s="22" t="inlineStr">
        <is>
          <t>Ｃ</t>
        </is>
      </c>
      <c r="C137" s="23" t="inlineStr">
        <is>
          <t>データ</t>
        </is>
      </c>
      <c r="D137" s="24" t="inlineStr">
        <is>
          <t>令和8年度から新設された成果指向型配分枠（配点100点）の要件と本村の得点</t>
        </is>
      </c>
      <c r="E137" s="24" t="inlineStr">
        <is>
          <t>成果指向型配分枠（配点100点）の要件と本村の得点を県に照会いただきたい。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t>
        </is>
      </c>
      <c r="F137" s="22" t="inlineStr">
        <is>
          <t>Ⅱ-109</t>
        </is>
      </c>
      <c r="G137" s="22" t="inlineStr">
        <is>
          <t>doc46§2</t>
        </is>
      </c>
      <c r="H137" s="22" t="inlineStr">
        <is>
          <t>未依頼</t>
        </is>
      </c>
      <c r="I137" s="24" t="inlineStr"/>
    </row>
    <row r="138" ht="34" customHeight="1">
      <c r="A138" s="36" t="inlineStr">
        <is>
          <t>B</t>
        </is>
      </c>
      <c r="B138" s="22" t="inlineStr">
        <is>
          <t>Ｄ</t>
        </is>
      </c>
      <c r="C138" s="23" t="inlineStr">
        <is>
          <t>データ</t>
        </is>
      </c>
      <c r="D138" s="24" t="inlineStr">
        <is>
          <t>若年性認知症（65歳未満で認知症となった方）の状況</t>
        </is>
      </c>
      <c r="E138"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F138" s="22" t="inlineStr">
        <is>
          <t>Ⅱ-68</t>
        </is>
      </c>
      <c r="G138" s="22" t="inlineStr">
        <is>
          <t>doc36§10-4,doc18 4-7(3)</t>
        </is>
      </c>
      <c r="H138" s="22" t="inlineStr">
        <is>
          <t>未依頼</t>
        </is>
      </c>
      <c r="I138" s="24" t="inlineStr"/>
    </row>
    <row r="139" ht="34" customHeight="1">
      <c r="A139" s="36" t="inlineStr">
        <is>
          <t>B</t>
        </is>
      </c>
      <c r="B139" s="22" t="inlineStr">
        <is>
          <t>Ｄ</t>
        </is>
      </c>
      <c r="C139" s="23" t="inlineStr">
        <is>
          <t>データ</t>
        </is>
      </c>
      <c r="D139" s="24" t="inlineStr">
        <is>
          <t>令和6年度・令和7年度の介護サービス等諸費／介護予防サービス等諸費の決算額</t>
        </is>
      </c>
      <c r="E139" s="24" t="inlineStr">
        <is>
          <t>★介護給付費と予防給付費の分離に用いる単価は、見える化D48-b系により令和3〜5年度までしか把握できない。5-4の受給率（令和5〜7年度の3か年平均）と期間が1年ずれている。令和6・7年度の決算で揃える。</t>
        </is>
      </c>
      <c r="F139" s="22" t="inlineStr">
        <is>
          <t>Ⅱ-55,Ⅱ-56</t>
        </is>
      </c>
      <c r="G139" s="22" t="inlineStr">
        <is>
          <t>doc35§7-3(2),doc18 5-6</t>
        </is>
      </c>
      <c r="H139" s="22" t="inlineStr">
        <is>
          <t>未依頼</t>
        </is>
      </c>
      <c r="I139" s="24" t="inlineStr"/>
    </row>
    <row r="140" ht="34" customHeight="1">
      <c r="A140" s="36" t="inlineStr">
        <is>
          <t>B</t>
        </is>
      </c>
      <c r="B140" s="22" t="inlineStr">
        <is>
          <t>Ｃ</t>
        </is>
      </c>
      <c r="C140" s="23" t="inlineStr">
        <is>
          <t>データ</t>
        </is>
      </c>
      <c r="D140" s="24" t="inlineStr">
        <is>
          <t>村外事業所の通常の事業実施地域（重要事項説明書または指定情報）</t>
        </is>
      </c>
      <c r="E140" s="24" t="inlineStr">
        <is>
          <t>別表第七。村内にほぼ事業所がないため、どの村外事業所が本村を事業実施地域に含むかが供給の範囲を決める。5-4(14)の24時間対応サービスの確保方策①の可否に直結する。</t>
        </is>
      </c>
      <c r="F140" s="22" t="inlineStr">
        <is>
          <t>Ⅱ-60</t>
        </is>
      </c>
      <c r="G140" s="22" t="inlineStr">
        <is>
          <t>doc49§2-4</t>
        </is>
      </c>
      <c r="H140" s="22" t="inlineStr">
        <is>
          <t>未依頼</t>
        </is>
      </c>
      <c r="I140" s="24" t="inlineStr"/>
    </row>
    <row r="141" ht="34" customHeight="1">
      <c r="A141" s="36" t="inlineStr">
        <is>
          <t>B</t>
        </is>
      </c>
      <c r="B141" s="22" t="inlineStr">
        <is>
          <t>Ｄ</t>
        </is>
      </c>
      <c r="C141" s="23" t="inlineStr">
        <is>
          <t>データ</t>
        </is>
      </c>
      <c r="D141" s="24" t="inlineStr">
        <is>
          <t>村外施設の入退所・待機の実績（介護老人福祉施設・介護老人保健施設・介護医療院）</t>
        </is>
      </c>
      <c r="E141" s="24" t="inlineStr">
        <is>
          <t>村外の介護老人福祉施設・介護老人保健施設・介護医療院について、本村の被保険者の入退所と待機の実績を、把握されている範囲でご提供いただきたい。5-4(13)の真に入所が必要と判断される被保険者の把握と、認知症対応型共同生活介護27人分の定員を変えるかどうかの判断に用いる。基本指針の別表 事項七が求める入所率・入退所の状況にあたる。</t>
        </is>
      </c>
      <c r="F141" s="22" t="inlineStr">
        <is>
          <t>Ⅱ-60,Ⅱ-61</t>
        </is>
      </c>
      <c r="G141" s="22" t="inlineStr">
        <is>
          <t>doc49§2-4</t>
        </is>
      </c>
      <c r="H141" s="22" t="inlineStr">
        <is>
          <t>未依頼</t>
        </is>
      </c>
      <c r="I141" s="24" t="inlineStr"/>
    </row>
    <row r="142" ht="34" customHeight="1">
      <c r="A142" s="36" t="inlineStr">
        <is>
          <t>B</t>
        </is>
      </c>
      <c r="B142" s="22" t="inlineStr">
        <is>
          <t>Ｄ</t>
        </is>
      </c>
      <c r="C142" s="23" t="inlineStr">
        <is>
          <t>データ</t>
        </is>
      </c>
      <c r="D142" s="24" t="inlineStr">
        <is>
          <t>医療介護連携に関する加算の算定状況（給付実績の加算別集計）</t>
        </is>
      </c>
      <c r="E142"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F142" s="22" t="inlineStr">
        <is>
          <t>Ⅱ-62</t>
        </is>
      </c>
      <c r="G142" s="22" t="inlineStr">
        <is>
          <t>doc49§2-4</t>
        </is>
      </c>
      <c r="H142" s="22" t="inlineStr">
        <is>
          <t>未依頼</t>
        </is>
      </c>
      <c r="I142" s="24" t="inlineStr"/>
    </row>
    <row r="143" ht="34" customHeight="1">
      <c r="A143" s="36" t="inlineStr">
        <is>
          <t>B</t>
        </is>
      </c>
      <c r="B143" s="22" t="inlineStr">
        <is>
          <t>Ｄ</t>
        </is>
      </c>
      <c r="C143" s="23" t="inlineStr">
        <is>
          <t>データ</t>
        </is>
      </c>
      <c r="D143" s="24" t="inlineStr">
        <is>
          <t>★新高額障害福祉サービス等給付費の対象となる介護保険サービスの種類と本村の該当者</t>
        </is>
      </c>
      <c r="E143" s="24" t="inlineStr">
        <is>
          <t>★10/12 起票：65歳に達する前の5年間に相当する障害福祉サービスの支給決定を受けていた方などについて、介護保険の利用者負担が償還される制度である。償還の対象となる介護保険サービスの種類は限られており、障がい福祉計画は介護予防サービスを対象外としている。本村に該当者がいるかをご教示いただきたい。★10/13 追記：償還の対象となる介護保険サービスは訪問介護・通所介護・短期入所生活介護・地域密着型通所介護・小規模多機能型居宅介護の5種で介護予防サービスは対象外であることが、障がい福祉計画の担当の整理により判明した（申し送り§4②。根拠は障害者総合支援法施行令第43条の5第6項ほか）。要件4つとあわせて資9に明記し、申請の窓口が介護保険側であることから施策4-1に案内の取組を置いた。残るのは本村の該当者の有無のみである。償還は障がい福祉の経費であり本計画の給付費・保険料には算入しないが、対象となるサービスが本計画の見込量のどれに当たるかは両計画で揃える必要がある（素案資9）。★当方の扱い：ご回答がない場合、該当者はないものとして扱い、資9に制度の説明のみを載せる。</t>
        </is>
      </c>
      <c r="F143" s="22" t="inlineStr">
        <is>
          <t>Ⅱ-72,Ⅱ-56</t>
        </is>
      </c>
      <c r="G143" s="22" t="inlineStr">
        <is>
          <t>素案資9,障がい福祉計画の整合Ｋ-6</t>
        </is>
      </c>
      <c r="H143" s="22" t="inlineStr">
        <is>
          <t>未依頼</t>
        </is>
      </c>
      <c r="I143" s="24" t="inlineStr"/>
    </row>
    <row r="144" ht="34" customHeight="1">
      <c r="A144" s="36" t="inlineStr">
        <is>
          <t>B</t>
        </is>
      </c>
      <c r="B144" s="22" t="inlineStr">
        <is>
          <t>Ｃ</t>
        </is>
      </c>
      <c r="C144" s="23" t="inlineStr">
        <is>
          <t>データ</t>
        </is>
      </c>
      <c r="D144" s="24" t="inlineStr">
        <is>
          <t>★成年後見制度利用支援事業は両計画で別の事業である旨の注記と、本計画側の任意事業としての助成の実績</t>
        </is>
      </c>
      <c r="E144" s="24" t="inlineStr">
        <is>
          <t>本村の成年後見制度の利用者4人（令和8年7月）のうち、障害者手帳の所持者または障がい福祉サービスの利用者が何人かをご教示いただきたい。障がい福祉計画の側からも同じ内容を照会しているため、回答は一度で足りる。助成の件数は「家族介護者リフレッシュ事業・介護用品支給・サポーター養成講座・成年後見の各実績」、要綱の対象範囲は「成年後見制度利用支援事業の要綱の対象範囲」でそれぞれ既に照会しているため、本件では重ねない。★10/13 起票：当初は「両計画で指標名を揃えること」としていたが、障がい福祉計画の担当から、揃えるのではなく別の事業であることを注記するよう勧められた。同じ名前の事業が障害者総合支援法第77条第1項第4号の地域生活支援事業と、介護保険法第115条の45第3項第3号の地域支援事業（任意事業）の両方にあり、指標名を揃えると両計画の数を足し合わせたときに村全体の取組が実際より多く見える。この勧めに従い、素案の施策4-7と資9に別の事業である旨の注記を置いた。あわせて施策一覧の条文が「介保法115条の45第2項第2号」となっていた誤りを第3項第3号に正した（第2項第2号は権利擁護事業であって別の事業である）。本計画の指標「成年後見制度の利用者数4人」は村全体の制度の利用者数であり、助成の件数ではない。助成の件数は5-5の任意事業の実績が未受領のため置けていない。★当方の扱い：ご回答がない場合、助成の件数は5-12の空欄として掲げ、注記のみで両計画の切り分けを示す。</t>
        </is>
      </c>
      <c r="F144" s="22" t="inlineStr">
        <is>
          <t>Ⅱ-69,Ⅱ-72</t>
        </is>
      </c>
      <c r="G144" s="22" t="inlineStr">
        <is>
          <t>素案4-7,資9,5-5,障がい福祉計画 照会Ｋ-9</t>
        </is>
      </c>
      <c r="H144" s="22" t="inlineStr">
        <is>
          <t>未依頼</t>
        </is>
      </c>
      <c r="I144" s="24" t="inlineStr"/>
    </row>
    <row r="145" ht="34" customHeight="1">
      <c r="A145" s="36" t="inlineStr">
        <is>
          <t>B</t>
        </is>
      </c>
      <c r="B145" s="22" t="inlineStr">
        <is>
          <t>Ｄ</t>
        </is>
      </c>
      <c r="C145" s="23" t="inlineStr">
        <is>
          <t>体制</t>
        </is>
      </c>
      <c r="D145" s="24" t="inlineStr">
        <is>
          <t>令和9年度以降も交付金の該当状況調査票の写しを策定業務に提供いただけるか</t>
        </is>
      </c>
      <c r="E145" s="24" t="inlineStr">
        <is>
          <t>第10期の進捗管理で毎年度の得点推移を追うために必要。</t>
        </is>
      </c>
      <c r="F145" s="22" t="inlineStr">
        <is>
          <t>Ⅱ-65</t>
        </is>
      </c>
      <c r="G145" s="22" t="inlineStr">
        <is>
          <t>doc20§6-2 K-67</t>
        </is>
      </c>
      <c r="H145" s="22" t="inlineStr">
        <is>
          <t>未依頼</t>
        </is>
      </c>
      <c r="I145" s="24" t="inlineStr"/>
    </row>
    <row r="146" ht="34" customHeight="1">
      <c r="A146" s="36" t="inlineStr">
        <is>
          <t>B</t>
        </is>
      </c>
      <c r="B146" s="22" t="inlineStr">
        <is>
          <t>Ｄ</t>
        </is>
      </c>
      <c r="C146" s="23" t="inlineStr">
        <is>
          <t>体制</t>
        </is>
      </c>
      <c r="D146" s="24" t="inlineStr">
        <is>
          <t>データ入力の体制（受託者側で入力するか、一部を村で行うか）</t>
        </is>
      </c>
      <c r="E146" s="24" t="inlineStr">
        <is>
          <t>小分け送付の運用と入力体制はセット。約1,000件の入力工数に影響する。</t>
        </is>
      </c>
      <c r="F146" s="22" t="inlineStr">
        <is>
          <t>Ⅰ-35</t>
        </is>
      </c>
      <c r="G146" s="22" t="inlineStr">
        <is>
          <t>doc25§8 K-93</t>
        </is>
      </c>
      <c r="H146" s="22" t="inlineStr">
        <is>
          <t>未依頼</t>
        </is>
      </c>
      <c r="I146" s="24" t="inlineStr"/>
    </row>
    <row r="147" ht="34" customHeight="1">
      <c r="A147" s="36" t="inlineStr">
        <is>
          <t>B</t>
        </is>
      </c>
      <c r="B147" s="22" t="inlineStr">
        <is>
          <t>Ｄ</t>
        </is>
      </c>
      <c r="C147" s="23" t="inlineStr">
        <is>
          <t>体制</t>
        </is>
      </c>
      <c r="D147" s="24" t="inlineStr">
        <is>
          <t>見える化システムへの登録作業の分担（村が行うか受託者が代行するか）</t>
        </is>
      </c>
      <c r="E147" s="24" t="inlineStr">
        <is>
          <t>村独自設問14問を除外し標準様式の設問順に並べ替えた別ファイルの作成が必要。</t>
        </is>
      </c>
      <c r="F147" s="22" t="inlineStr">
        <is>
          <t>Ⅰ-48</t>
        </is>
      </c>
      <c r="G147" s="22" t="inlineStr">
        <is>
          <t>doc25§8 K-94</t>
        </is>
      </c>
      <c r="H147" s="22" t="inlineStr">
        <is>
          <t>未依頼</t>
        </is>
      </c>
      <c r="I147" s="24" t="inlineStr"/>
    </row>
    <row r="148" ht="34" customHeight="1">
      <c r="A148" s="36" t="inlineStr">
        <is>
          <t>B</t>
        </is>
      </c>
      <c r="B148" s="22" t="inlineStr">
        <is>
          <t>Ｄ</t>
        </is>
      </c>
      <c r="C148" s="23" t="inlineStr">
        <is>
          <t>取組</t>
        </is>
      </c>
      <c r="D148" s="24" t="inlineStr">
        <is>
          <t>難聴高齢者の早期発見・早期介入（20点中0点・全国平均6.9点）の実施可能性</t>
        </is>
      </c>
      <c r="E148" s="24" t="inlineStr">
        <is>
          <t>認知症の危険因子として難聴が位置づけられたことによる評価項目。健診等の機会を通じた把握と、補聴器等による介入の仕組みの可否。目標Ⅱの未取得分としては最大の20点。</t>
        </is>
      </c>
      <c r="F148" s="22" t="inlineStr">
        <is>
          <t>Ⅱ-65,Ⅱ-68</t>
        </is>
      </c>
      <c r="G148" s="22" t="inlineStr">
        <is>
          <t>doc35§7-2(6)</t>
        </is>
      </c>
      <c r="H148" s="22" t="inlineStr">
        <is>
          <t>未依頼</t>
        </is>
      </c>
      <c r="I148" s="24" t="inlineStr"/>
    </row>
    <row r="149" ht="34" customHeight="1">
      <c r="A149" s="36" t="inlineStr">
        <is>
          <t>B</t>
        </is>
      </c>
      <c r="B149" s="22" t="inlineStr">
        <is>
          <t>Ｄ</t>
        </is>
      </c>
      <c r="C149" s="23" t="inlineStr">
        <is>
          <t>成果品</t>
        </is>
      </c>
      <c r="D149" s="24" t="inlineStr">
        <is>
          <t>報告書に調査票を再掲しないことの村への事前説明（第9期の巻末の確認を含む）</t>
        </is>
      </c>
      <c r="E149"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F149" s="22" t="inlineStr">
        <is>
          <t>Ⅳ-90,Ⅳ-114</t>
        </is>
      </c>
      <c r="G149" s="22" t="inlineStr">
        <is>
          <t>doc24§1-3</t>
        </is>
      </c>
      <c r="H149" s="22" t="inlineStr">
        <is>
          <t>未依頼</t>
        </is>
      </c>
      <c r="I149" s="24" t="inlineStr"/>
    </row>
    <row r="150" ht="34" customHeight="1">
      <c r="A150" s="36" t="inlineStr">
        <is>
          <t>B</t>
        </is>
      </c>
      <c r="B150" s="22" t="inlineStr">
        <is>
          <t>Ｃ</t>
        </is>
      </c>
      <c r="C150" s="23" t="inlineStr">
        <is>
          <t>成果品</t>
        </is>
      </c>
      <c r="D150" s="24" t="inlineStr">
        <is>
          <t>計画書・報告書の頁数の実測（Word＋游ゴシックで開いた実際の頁数）</t>
        </is>
      </c>
      <c r="E150" s="24" t="inlineStr">
        <is>
          <t>★計画書・報告書をWordで開いた実際の頁数をご確認いただきたい。10/10 当方でも docx→PDF 変換ができるようになり、紙面を実測した（doc83）。★10/12 障がい福祉計画との突合で書き足したため測り直した。★10/15 法定記載事項の反映と、課長会議資料・県計画の照合で書き足したため測り直した。★10/21 例規集の全分野と突き合わせて施策1-2・施策4-6・4-6(2)・5-9を直したため測り直した。協議用の計画書は実測で推定より3頁多かった（10/21）。同日の2度目の実測では、素案が150頁から151頁に伸びたのに計画書は7通りとも1頁減った。表が前の頁に収まり、空きかけていた頁が1つ畳まれたためである。3度目（他3町のブランチとの突合せで交付金の試算を直し、素案2-8に条件の近い団体との比較を加えた）では7通りとも1〜2頁増えた。公表用は別に測っている（案なし121頁・案をすべて行って107頁）。ただし游ゴシックは当方の環境に無く、IPAゴシックに置き換えて組んだ値である。★10/23 書体を BIZ UDPゴシック（障がい福祉計画と同じ。Windows 10 以降に標準）に改め、当方の環境にも入れて測り直した（doc114）。書体を改めた直後は協議用133頁・公表用（案なし）119頁であった。同日、事業所別の5か年推移を反映して協議用は本文131頁＋前付4頁＝135頁、公表用は本文117頁＋前付4頁＝121頁になった（doc116）。村の Word と字の形・幅は同じになったが、改頁の位置は Word で確かめる。行送りは lineRule=exact で固定したためフォントによらないが、欧文の字送りと禁則処理の違いでなお±1〜2頁動き得る。村側で Word で開いて実際の頁数をご確認いただきたい。分量を目安に収める削減案は別に起票している（成果品 削減案A〜Nの採否）。施策体系図（図3-1）とSDGsの対応表は素案3-4・3-5に追加済みである。</t>
        </is>
      </c>
      <c r="F150" s="22" t="inlineStr">
        <is>
          <t>Ⅱ-113,Ⅳ-89</t>
        </is>
      </c>
      <c r="G150" s="22" t="inlineStr">
        <is>
          <t>doc40§1-4,doc83</t>
        </is>
      </c>
      <c r="H150" s="22" t="inlineStr">
        <is>
          <t>未依頼</t>
        </is>
      </c>
      <c r="I150" s="24" t="inlineStr"/>
    </row>
    <row r="151" ht="34" customHeight="1">
      <c r="A151" s="36" t="inlineStr">
        <is>
          <t>B</t>
        </is>
      </c>
      <c r="B151" s="22" t="inlineStr">
        <is>
          <t>Ｄ</t>
        </is>
      </c>
      <c r="C151" s="23" t="inlineStr">
        <is>
          <t>成果品</t>
        </is>
      </c>
      <c r="D151" s="24" t="inlineStr">
        <is>
          <t>★議会全員協議会（令和9年2月末頃）で受託者に求められる関与の範囲</t>
        </is>
      </c>
      <c r="E151" s="24" t="inlineStr">
        <is>
          <t>★議事録で新設されたマイルストーン。資料作成のみか、出席・説明を含むかで工数が変わる。</t>
        </is>
      </c>
      <c r="F151" s="22" t="inlineStr">
        <is>
          <t>Ⅱ-93</t>
        </is>
      </c>
      <c r="G151" s="22" t="inlineStr">
        <is>
          <t>doc22 K-80</t>
        </is>
      </c>
      <c r="H151" s="22" t="inlineStr">
        <is>
          <t>未依頼</t>
        </is>
      </c>
      <c r="I151" s="24" t="inlineStr"/>
    </row>
    <row r="152" ht="34" customHeight="1">
      <c r="A152" s="36" t="inlineStr">
        <is>
          <t>B</t>
        </is>
      </c>
      <c r="B152" s="22" t="inlineStr">
        <is>
          <t>Ｃ</t>
        </is>
      </c>
      <c r="C152" s="23" t="inlineStr">
        <is>
          <t>方針</t>
        </is>
      </c>
      <c r="D152" s="24" t="inlineStr">
        <is>
          <t>第1号被保険者数の推計を社人研ベースから補正して用いる方針の可否</t>
        </is>
      </c>
      <c r="E152" s="24" t="inlineStr">
        <is>
          <t>社人研推計は住基ベース実績より6〜8%少なく、第9期はこれで63人ずれた。手法変更のため村の合意が要る。</t>
        </is>
      </c>
      <c r="F152" s="22" t="inlineStr">
        <is>
          <t>Ⅱ-59</t>
        </is>
      </c>
      <c r="G152" s="22" t="inlineStr">
        <is>
          <t>doc09§4,§10</t>
        </is>
      </c>
      <c r="H152" s="22" t="inlineStr">
        <is>
          <t>未依頼</t>
        </is>
      </c>
      <c r="I152" s="24" t="inlineStr"/>
    </row>
    <row r="153" ht="34" customHeight="1">
      <c r="A153" s="36" t="inlineStr">
        <is>
          <t>B</t>
        </is>
      </c>
      <c r="B153" s="22" t="inlineStr">
        <is>
          <t>Ｃ</t>
        </is>
      </c>
      <c r="C153" s="23" t="inlineStr">
        <is>
          <t>方針</t>
        </is>
      </c>
      <c r="D153" s="24" t="inlineStr">
        <is>
          <t>保険料が県・全国を上回る一方で費用額は下位である点の認識と説明方針</t>
        </is>
      </c>
      <c r="E153" s="24" t="inlineStr">
        <is>
          <t>保険料6,700円は県+360円・全国+475円。費用額は県内44/59位。説明ロジックの構築に関わる。</t>
        </is>
      </c>
      <c r="F153" s="22" t="inlineStr">
        <is>
          <t>Ⅱ-64</t>
        </is>
      </c>
      <c r="G153" s="22" t="inlineStr">
        <is>
          <t>doc09§8,§10</t>
        </is>
      </c>
      <c r="H153" s="22" t="inlineStr">
        <is>
          <t>未依頼</t>
        </is>
      </c>
      <c r="I153" s="24" t="inlineStr"/>
    </row>
    <row r="154" ht="34" customHeight="1">
      <c r="A154" s="36" t="inlineStr">
        <is>
          <t>B</t>
        </is>
      </c>
      <c r="B154" s="22" t="inlineStr">
        <is>
          <t>Ｄ</t>
        </is>
      </c>
      <c r="C154" s="23" t="inlineStr">
        <is>
          <t>方針</t>
        </is>
      </c>
      <c r="D154" s="24" t="inlineStr">
        <is>
          <t>総合事業のサービスA〜Dを第10期で立ち上げる意向の有無</t>
        </is>
      </c>
      <c r="E154" s="24" t="inlineStr">
        <is>
          <t>従前相当サービス以外の事業費割合0.0%。要支援1急増（39→51人）の受け皿に直結。素案の施策1-2の成否を決める。</t>
        </is>
      </c>
      <c r="F154" s="22" t="inlineStr">
        <is>
          <t>Ⅱ-67,Ⅱ-75</t>
        </is>
      </c>
      <c r="G154" s="22" t="inlineStr">
        <is>
          <t>doc02§17,doc07,doc18 4-1</t>
        </is>
      </c>
      <c r="H154" s="22" t="inlineStr">
        <is>
          <t>未依頼</t>
        </is>
      </c>
      <c r="I154" s="24" t="inlineStr"/>
    </row>
    <row r="155" ht="34" customHeight="1">
      <c r="A155" s="36" t="inlineStr">
        <is>
          <t>B</t>
        </is>
      </c>
      <c r="B155" s="22" t="inlineStr">
        <is>
          <t>Ｄ</t>
        </is>
      </c>
      <c r="C155" s="23" t="inlineStr">
        <is>
          <t>方針</t>
        </is>
      </c>
      <c r="D155" s="24" t="inlineStr">
        <is>
          <t>成果目標・活動指標の目標値の設定方針（認定率を据置とするか／トレンド継続か／政策効果を織り込むか）</t>
        </is>
      </c>
      <c r="E155" s="24" t="inlineStr">
        <is>
          <t>doc13§6で3案を提示。政策効果を織り込む案を採る場合は、その根拠を指標に置く必要がある。</t>
        </is>
      </c>
      <c r="F155" s="22" t="inlineStr">
        <is>
          <t>Ⅱ-60,Ⅱ-65</t>
        </is>
      </c>
      <c r="G155" s="22" t="inlineStr">
        <is>
          <t>doc13§6</t>
        </is>
      </c>
      <c r="H155" s="22" t="inlineStr">
        <is>
          <t>未依頼</t>
        </is>
      </c>
      <c r="I155" s="24" t="inlineStr"/>
    </row>
    <row r="156" ht="34" customHeight="1">
      <c r="A156" s="36" t="inlineStr">
        <is>
          <t>B</t>
        </is>
      </c>
      <c r="B156" s="22" t="inlineStr">
        <is>
          <t>Ｄ</t>
        </is>
      </c>
      <c r="C156" s="23" t="inlineStr">
        <is>
          <t>方針</t>
        </is>
      </c>
      <c r="D156" s="24" t="inlineStr">
        <is>
          <t>認知症対応型共同生活介護の定員（27人）を超える需要への対応方針</t>
        </is>
      </c>
      <c r="E156"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F156" s="22" t="inlineStr">
        <is>
          <t>Ⅱ-56,Ⅱ-67</t>
        </is>
      </c>
      <c r="G156" s="22" t="inlineStr">
        <is>
          <t>doc30§4-2,doc18 5-4</t>
        </is>
      </c>
      <c r="H156" s="22" t="inlineStr">
        <is>
          <t>未依頼</t>
        </is>
      </c>
      <c r="I156" s="24" t="inlineStr"/>
    </row>
    <row r="157" ht="34" customHeight="1">
      <c r="A157" s="36" t="inlineStr">
        <is>
          <t>B</t>
        </is>
      </c>
      <c r="B157" s="22" t="inlineStr">
        <is>
          <t>Ｄ</t>
        </is>
      </c>
      <c r="C157" s="23" t="inlineStr">
        <is>
          <t>方針</t>
        </is>
      </c>
      <c r="D157" s="24" t="inlineStr">
        <is>
          <t>上限保険料の設定の有無と基金活用の比較案のパターン</t>
        </is>
      </c>
      <c r="E157"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F157" s="22" t="inlineStr">
        <is>
          <t>Ⅱ-63,Ⅱ-64</t>
        </is>
      </c>
      <c r="G157" s="22" t="inlineStr">
        <is>
          <t>doc19 追-14,doc66§2-3</t>
        </is>
      </c>
      <c r="H157" s="22" t="inlineStr">
        <is>
          <t>一部回答</t>
        </is>
      </c>
      <c r="I157" s="24" t="inlineStr"/>
    </row>
    <row r="158" ht="34" customHeight="1">
      <c r="A158" s="36" t="inlineStr">
        <is>
          <t>B</t>
        </is>
      </c>
      <c r="B158" s="22" t="inlineStr">
        <is>
          <t>Ｄ</t>
        </is>
      </c>
      <c r="C158" s="23" t="inlineStr">
        <is>
          <t>方針</t>
        </is>
      </c>
      <c r="D158" s="24" t="inlineStr">
        <is>
          <t>施設整備の方向性（在宅調査48.5%の入所希望の扱い）</t>
        </is>
      </c>
      <c r="E158" s="24" t="inlineStr">
        <is>
          <t>★48.5%は回収33件中16人。標本が小さいため単独の根拠とせず、村内施設ゼロ・短期入所+165%・認定率18位/費用額44位と併せて示し、今回の在宅調査150人で再確認する位置づけを提案。</t>
        </is>
      </c>
      <c r="F158" s="22" t="inlineStr">
        <is>
          <t>Ⅱ-67,Ⅱ-75</t>
        </is>
      </c>
      <c r="G158" s="22" t="inlineStr">
        <is>
          <t>doc19 §3</t>
        </is>
      </c>
      <c r="H158" s="22" t="inlineStr">
        <is>
          <t>未依頼</t>
        </is>
      </c>
      <c r="I158" s="24" t="inlineStr"/>
    </row>
    <row r="159" ht="34" customHeight="1">
      <c r="A159" s="36" t="inlineStr">
        <is>
          <t>B</t>
        </is>
      </c>
      <c r="B159" s="22" t="inlineStr">
        <is>
          <t>Ｄ</t>
        </is>
      </c>
      <c r="C159" s="23" t="inlineStr">
        <is>
          <t>方針</t>
        </is>
      </c>
      <c r="D159" s="24" t="inlineStr">
        <is>
          <t>「地域で見守り・育む高齢者の支援」（生涯学習推進計画の施策）と生活支援体制整備事業の役割分担</t>
        </is>
      </c>
      <c r="E159" s="24" t="inlineStr">
        <is>
          <t>★両計画で同一施策が重複。所管（教育委員会／住民課／社協）を明記して連携を書く必要がある。</t>
        </is>
      </c>
      <c r="F159" s="22" t="inlineStr">
        <is>
          <t>Ⅱ-53</t>
        </is>
      </c>
      <c r="G159" s="22" t="inlineStr">
        <is>
          <t>doc21§5 K-73</t>
        </is>
      </c>
      <c r="H159" s="22" t="inlineStr">
        <is>
          <t>未依頼</t>
        </is>
      </c>
      <c r="I159" s="24" t="inlineStr"/>
    </row>
    <row r="160" ht="34" customHeight="1">
      <c r="A160" s="36" t="inlineStr">
        <is>
          <t>B</t>
        </is>
      </c>
      <c r="B160" s="22" t="inlineStr">
        <is>
          <t>Ｄ</t>
        </is>
      </c>
      <c r="C160" s="23" t="inlineStr">
        <is>
          <t>方針</t>
        </is>
      </c>
      <c r="D160" s="24" t="inlineStr">
        <is>
          <t>第2回策定委員会（11月）への調査報告書の提示範囲</t>
        </is>
      </c>
      <c r="E160" s="24" t="inlineStr">
        <is>
          <t>報告書全体か、第Ⅱ部（分析編）の要点か。委員の負担と議論の焦点に関わる。</t>
        </is>
      </c>
      <c r="F160" s="22" t="inlineStr">
        <is>
          <t>Ⅱ-83</t>
        </is>
      </c>
      <c r="G160" s="22" t="inlineStr">
        <is>
          <t>doc24§12 K-90</t>
        </is>
      </c>
      <c r="H160" s="22" t="inlineStr">
        <is>
          <t>未依頼</t>
        </is>
      </c>
      <c r="I160" s="24" t="inlineStr"/>
    </row>
    <row r="161" ht="34" customHeight="1">
      <c r="A161" s="36" t="inlineStr">
        <is>
          <t>B</t>
        </is>
      </c>
      <c r="B161" s="22" t="inlineStr">
        <is>
          <t>Ｄ</t>
        </is>
      </c>
      <c r="C161" s="23" t="inlineStr">
        <is>
          <t>方針</t>
        </is>
      </c>
      <c r="D161" s="24" t="inlineStr">
        <is>
          <t>認知症の日（9月21日）・認知症月間（9月）の取組</t>
        </is>
      </c>
      <c r="E161"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F161" s="22" t="inlineStr">
        <is>
          <t>Ⅱ-68</t>
        </is>
      </c>
      <c r="G161" s="22" t="inlineStr">
        <is>
          <t>doc36§10-2,doc18 4-7(4)</t>
        </is>
      </c>
      <c r="H161" s="22" t="inlineStr">
        <is>
          <t>未依頼</t>
        </is>
      </c>
      <c r="I161" s="24" t="inlineStr"/>
    </row>
    <row r="162" ht="34" customHeight="1">
      <c r="A162" s="36" t="inlineStr">
        <is>
          <t>B</t>
        </is>
      </c>
      <c r="B162" s="22" t="inlineStr">
        <is>
          <t>Ｄ</t>
        </is>
      </c>
      <c r="C162" s="23" t="inlineStr">
        <is>
          <t>方針</t>
        </is>
      </c>
      <c r="D162" s="24" t="inlineStr">
        <is>
          <t>公共交通事業者・金融機関・小売業者等との連携の範囲</t>
        </is>
      </c>
      <c r="E162"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F162" s="22" t="inlineStr">
        <is>
          <t>Ⅱ-68,Ⅱ-72</t>
        </is>
      </c>
      <c r="G162" s="22" t="inlineStr">
        <is>
          <t>doc36§10-3,doc18 4-7(3)</t>
        </is>
      </c>
      <c r="H162" s="22" t="inlineStr">
        <is>
          <t>未依頼</t>
        </is>
      </c>
      <c r="I162" s="24" t="inlineStr"/>
    </row>
    <row r="163" ht="34" customHeight="1">
      <c r="A163" s="36" t="inlineStr">
        <is>
          <t>B</t>
        </is>
      </c>
      <c r="B163" s="22" t="inlineStr">
        <is>
          <t>Ｄ</t>
        </is>
      </c>
      <c r="C163" s="23" t="inlineStr">
        <is>
          <t>方針</t>
        </is>
      </c>
      <c r="D163" s="24" t="inlineStr">
        <is>
          <t>認知症対応型通所介護を再開するかどうか</t>
        </is>
      </c>
      <c r="E163" s="24" t="inlineStr">
        <is>
          <t>平成30年度を最後に実績がない。地域密着型サービスは村の指定によりはじめて提供されるため村の判断による。認知症高齢者が増えるなかで在宅を支える類型として検討の余地がある。</t>
        </is>
      </c>
      <c r="F163" s="22" t="inlineStr">
        <is>
          <t>Ⅱ-56,Ⅱ-67</t>
        </is>
      </c>
      <c r="G163" s="22" t="inlineStr">
        <is>
          <t>doc36§3,doc18 施策3-2</t>
        </is>
      </c>
      <c r="H163" s="22" t="inlineStr">
        <is>
          <t>未依頼</t>
        </is>
      </c>
      <c r="I163" s="24" t="inlineStr"/>
    </row>
    <row r="164" ht="34" customHeight="1">
      <c r="A164" s="36" t="inlineStr">
        <is>
          <t>B</t>
        </is>
      </c>
      <c r="B164" s="22" t="inlineStr">
        <is>
          <t>Ｄ</t>
        </is>
      </c>
      <c r="C164" s="23" t="inlineStr">
        <is>
          <t>方針</t>
        </is>
      </c>
      <c r="D164" s="24" t="inlineStr">
        <is>
          <t>認知症施策推進計画として、基本法第15条（バリアフリー化）にどこまで取り組むか</t>
        </is>
      </c>
      <c r="E164"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F164" s="22" t="inlineStr">
        <is>
          <t>Ⅱ-68,Ⅱ-72</t>
        </is>
      </c>
      <c r="G164" s="22" t="inlineStr">
        <is>
          <t>doc36§3,doc18 4-7(2)</t>
        </is>
      </c>
      <c r="H164" s="22" t="inlineStr">
        <is>
          <t>未依頼</t>
        </is>
      </c>
      <c r="I164" s="24" t="inlineStr"/>
    </row>
    <row r="165" ht="34" customHeight="1">
      <c r="A165" s="36" t="inlineStr">
        <is>
          <t>B</t>
        </is>
      </c>
      <c r="B165" s="22" t="inlineStr">
        <is>
          <t>Ｄ</t>
        </is>
      </c>
      <c r="C165" s="23" t="inlineStr">
        <is>
          <t>方針</t>
        </is>
      </c>
      <c r="D165" s="24" t="inlineStr">
        <is>
          <t>訪問入浴介護・地域密着型通所介護を0に戻すかどうか</t>
        </is>
      </c>
      <c r="E165" s="24" t="inlineStr">
        <is>
          <t>★令和7年度の利用は0だが、3か年平均により令和9年度以降も0.6人／月・0.3人／月が立っている。直近に利用のないサービスを3か年平均で復活させてよいかの判断。利用の見込みの有無を村に確認する。</t>
        </is>
      </c>
      <c r="F165" s="22" t="inlineStr">
        <is>
          <t>Ⅱ-56</t>
        </is>
      </c>
      <c r="G165" s="22" t="inlineStr">
        <is>
          <t>doc35§7-3(3),doc18 5-4(5)</t>
        </is>
      </c>
      <c r="H165" s="22" t="inlineStr">
        <is>
          <t>未依頼</t>
        </is>
      </c>
      <c r="I165" s="24" t="inlineStr"/>
    </row>
    <row r="166" ht="34" customHeight="1">
      <c r="A166" s="36" t="inlineStr">
        <is>
          <t>B</t>
        </is>
      </c>
      <c r="B166" s="22" t="inlineStr">
        <is>
          <t>Ｄ</t>
        </is>
      </c>
      <c r="C166" s="23" t="inlineStr">
        <is>
          <t>方針</t>
        </is>
      </c>
      <c r="D166" s="24" t="inlineStr">
        <is>
          <t>中長期（令和17年度・令和22年度）の保険料をαの2案で示すことの可否</t>
        </is>
      </c>
      <c r="E166"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F166" s="22" t="inlineStr">
        <is>
          <t>Ⅱ-64</t>
        </is>
      </c>
      <c r="G166" s="22" t="inlineStr">
        <is>
          <t>doc35§7-2(1),doc18 5-11</t>
        </is>
      </c>
      <c r="H166" s="22" t="inlineStr">
        <is>
          <t>未依頼</t>
        </is>
      </c>
      <c r="I166" s="24" t="inlineStr"/>
    </row>
    <row r="167" ht="34" customHeight="1">
      <c r="A167" s="36" t="inlineStr">
        <is>
          <t>B</t>
        </is>
      </c>
      <c r="B167" s="22" t="inlineStr">
        <is>
          <t>Ｃ</t>
        </is>
      </c>
      <c r="C167" s="23" t="inlineStr">
        <is>
          <t>方針</t>
        </is>
      </c>
      <c r="D167" s="24" t="inlineStr">
        <is>
          <t>福島県の介護人材需給推計への本村の関わり方</t>
        </is>
      </c>
      <c r="E167" s="24" t="inlineStr">
        <is>
          <t>★本村の見込量が福島県の介護人材需給推計に用いられる時期と、県から本村への照会の有無をご確認いただきたい。10/15 起票：全国介護保険担当課長会議資料（令和8年7月15日）および第9期計画に基づく介護職員の必要数（別紙5）を受領した。介護人材の需給推計は都道府県が行うものであり、都道府県は人材推計ワークシートにより管内保険者の第10期計画のサービス見込量等に基づいて令和22年度（2040年度）までの需給推計を行う。需要が供給を上回る場合には、関係団体等で構成する会議体において入職経路別（①介護福祉士養成施設等 ②他分野 ③外国人介護人材）の供給数の目標を定める。ワークシートは秋頃と令和9年1〜2月頃の2回配布され、最終報告は令和9年4月の1週目が想定されている。本計画の見込量（5-4）と中長期的な推計（資10）がその算定の基礎になるため、本村の見込量が県の推計に用いられる時期と、県から本村への照会の有無をご確認いただきたい。別紙5（第9期計画に基づく都道府県別の推計）によれば、福島県の介護職員の必要数は令和22年（2040年）度に36,851人で、現状推移を見込んだ職員数29,347人を7,504人上回る（令和4年度の実績は33,401人）。第10期の推計は県が改めて行うため、この値は参照にとどめ、素案には数値を載せず 施策4-6に県への協力を加えた。</t>
        </is>
      </c>
      <c r="F167" s="22" t="inlineStr">
        <is>
          <t>Ⅱ-72</t>
        </is>
      </c>
      <c r="G167" s="22" t="inlineStr">
        <is>
          <t>doc94</t>
        </is>
      </c>
      <c r="H167" s="22" t="inlineStr">
        <is>
          <t>未依頼</t>
        </is>
      </c>
      <c r="I167" s="24" t="inlineStr"/>
    </row>
    <row r="168" ht="34" customHeight="1">
      <c r="A168" s="36" t="inlineStr">
        <is>
          <t>B</t>
        </is>
      </c>
      <c r="B168" s="22" t="inlineStr">
        <is>
          <t>Ｄ</t>
        </is>
      </c>
      <c r="C168" s="23" t="inlineStr">
        <is>
          <t>疑義</t>
        </is>
      </c>
      <c r="D168" s="24" t="inlineStr">
        <is>
          <t>W125「第9期計画作成に向けた各種調査の実施」が4項目とも0点である理由</t>
        </is>
      </c>
      <c r="E168" s="24" t="inlineStr">
        <is>
          <t>第9期報告書には調査結果が掲載されており、報告漏れの可能性が高い。第10期では確実に得点化したい。</t>
        </is>
      </c>
      <c r="F168" s="22" t="inlineStr">
        <is>
          <t>Ⅱ-54</t>
        </is>
      </c>
      <c r="G168" s="22" t="inlineStr">
        <is>
          <t>doc07§4</t>
        </is>
      </c>
      <c r="H168" s="22" t="inlineStr">
        <is>
          <t>未依頼</t>
        </is>
      </c>
      <c r="I168" s="24" t="inlineStr"/>
    </row>
    <row r="169" ht="34" customHeight="1">
      <c r="A169" s="36" t="inlineStr">
        <is>
          <t>B</t>
        </is>
      </c>
      <c r="B169" s="22" t="inlineStr">
        <is>
          <t>Ｄ</t>
        </is>
      </c>
      <c r="C169" s="23" t="inlineStr">
        <is>
          <t>疑義</t>
        </is>
      </c>
      <c r="D169" s="24" t="inlineStr">
        <is>
          <t>特別会計の歳入内訳の区分変更の有無（令和3→4年度）</t>
        </is>
      </c>
      <c r="E169" s="24" t="inlineStr">
        <is>
          <t>総務費繰入金・低所得者保険料軽減繰入金が0になり一般会計繰入金が急増。時系列グラフが不連続になる。</t>
        </is>
      </c>
      <c r="F169" s="22" t="inlineStr">
        <is>
          <t>Ⅱ-55</t>
        </is>
      </c>
      <c r="G169" s="22" t="inlineStr">
        <is>
          <t>doc02§20-1</t>
        </is>
      </c>
      <c r="H169" s="22" t="inlineStr">
        <is>
          <t>未依頼</t>
        </is>
      </c>
      <c r="I169" s="24" t="inlineStr"/>
    </row>
    <row r="170" ht="34" customHeight="1">
      <c r="A170" s="36" t="inlineStr">
        <is>
          <t>B</t>
        </is>
      </c>
      <c r="B170" s="22" t="inlineStr">
        <is>
          <t>Ｄ</t>
        </is>
      </c>
      <c r="C170" s="23" t="inlineStr">
        <is>
          <t>素案</t>
        </is>
      </c>
      <c r="D170" s="24" t="inlineStr">
        <is>
          <t>章構成を第9期（全6章＋資料編）から踏襲することの可否</t>
        </is>
      </c>
      <c r="E170" s="24" t="inlineStr">
        <is>
          <t>素案は踏襲を前提。第2章に「2-8 保険者機能の評価」「2-9 第9期計画の進捗と評価」の2節を新設している。</t>
        </is>
      </c>
      <c r="F170" s="22" t="inlineStr">
        <is>
          <t>Ⅱ-75</t>
        </is>
      </c>
      <c r="G170" s="22" t="inlineStr">
        <is>
          <t>doc15,doc18</t>
        </is>
      </c>
      <c r="H170" s="22" t="inlineStr">
        <is>
          <t>未依頼</t>
        </is>
      </c>
      <c r="I170" s="24" t="inlineStr"/>
    </row>
    <row r="171" ht="34" customHeight="1">
      <c r="A171" s="36" t="inlineStr">
        <is>
          <t>B</t>
        </is>
      </c>
      <c r="B171" s="22" t="inlineStr">
        <is>
          <t>Ｄ</t>
        </is>
      </c>
      <c r="C171" s="23" t="inlineStr">
        <is>
          <t>素案</t>
        </is>
      </c>
      <c r="D171" s="24" t="inlineStr">
        <is>
          <t>基本理念・基本目標の枠組みを第9期から継承することの可否</t>
        </is>
      </c>
      <c r="E171" s="24" t="inlineStr">
        <is>
          <t>素案は継承を前提に構成。変更する場合は第3章・第4章の全面的な組み替えが必要になる。</t>
        </is>
      </c>
      <c r="F171" s="22" t="inlineStr">
        <is>
          <t>Ⅱ-71,Ⅱ-75</t>
        </is>
      </c>
      <c r="G171" s="22" t="inlineStr">
        <is>
          <t>doc14§5,doc18 3-1</t>
        </is>
      </c>
      <c r="H171" s="22" t="inlineStr">
        <is>
          <t>未依頼</t>
        </is>
      </c>
      <c r="I171" s="24" t="inlineStr"/>
    </row>
    <row r="172" ht="34" customHeight="1">
      <c r="A172" s="36" t="inlineStr">
        <is>
          <t>B</t>
        </is>
      </c>
      <c r="B172" s="22" t="inlineStr">
        <is>
          <t>Ｄ</t>
        </is>
      </c>
      <c r="C172" s="23" t="inlineStr">
        <is>
          <t>素案</t>
        </is>
      </c>
      <c r="D172" s="24" t="inlineStr">
        <is>
          <t>基本目標5「計画の推進と進捗管理」を独立させるか、各基本目標に横断的に組み込むか</t>
        </is>
      </c>
      <c r="E172" s="24" t="inlineStr">
        <is>
          <t>第9期で3年連続0点だったPDCAへの対応。独立を推奨するが構成上の選択であり村の意向による。</t>
        </is>
      </c>
      <c r="F172" s="22" t="inlineStr">
        <is>
          <t>Ⅱ-71,Ⅱ-75</t>
        </is>
      </c>
      <c r="G172" s="22" t="inlineStr">
        <is>
          <t>doc14§5,doc15,doc18 4-5</t>
        </is>
      </c>
      <c r="H172" s="22" t="inlineStr">
        <is>
          <t>未依頼</t>
        </is>
      </c>
      <c r="I172" s="24" t="inlineStr"/>
    </row>
    <row r="173" ht="34" customHeight="1">
      <c r="A173" s="36" t="inlineStr">
        <is>
          <t>B</t>
        </is>
      </c>
      <c r="B173" s="22" t="inlineStr">
        <is>
          <t>Ｄ</t>
        </is>
      </c>
      <c r="C173" s="23" t="inlineStr">
        <is>
          <t>素案</t>
        </is>
      </c>
      <c r="D173" s="24" t="inlineStr">
        <is>
          <t>施設サービスの記載を「村外施設サービスの利用支援」に改めることの可否</t>
        </is>
      </c>
      <c r="E173" s="24" t="inlineStr">
        <is>
          <t>村内に該当施設がゼロ。第9期は特養〜介護医療院の4類型を列挙する記載で実態と乖離していた。</t>
        </is>
      </c>
      <c r="F173" s="22" t="inlineStr">
        <is>
          <t>Ⅱ-75</t>
        </is>
      </c>
      <c r="G173" s="22" t="inlineStr">
        <is>
          <t>doc17 B-3,doc18 4-3</t>
        </is>
      </c>
      <c r="H173" s="22" t="inlineStr">
        <is>
          <t>未依頼</t>
        </is>
      </c>
      <c r="I173" s="24" t="inlineStr"/>
    </row>
    <row r="174" ht="34" customHeight="1">
      <c r="A174" s="36" t="inlineStr">
        <is>
          <t>B</t>
        </is>
      </c>
      <c r="B174" s="22" t="inlineStr">
        <is>
          <t>Ｄ</t>
        </is>
      </c>
      <c r="C174" s="23" t="inlineStr">
        <is>
          <t>素案</t>
        </is>
      </c>
      <c r="D174" s="24" t="inlineStr">
        <is>
          <t>計画本文に第9期の推計乖離（第1号被保険者数6.6%）を記載することの可否</t>
        </is>
      </c>
      <c r="E174" s="24" t="inlineStr">
        <is>
          <t>素案の2-9・5-1に記載。次期計画で本計画の推計精度を検証できるようにする趣旨だが、自らの誤差を公表することになるため村の判断を要する。</t>
        </is>
      </c>
      <c r="F174" s="22" t="inlineStr">
        <is>
          <t>Ⅱ-75</t>
        </is>
      </c>
      <c r="G174" s="22" t="inlineStr">
        <is>
          <t>doc17 A-1,doc18 2-9</t>
        </is>
      </c>
      <c r="H174" s="22" t="inlineStr">
        <is>
          <t>未依頼</t>
        </is>
      </c>
      <c r="I174" s="24" t="inlineStr"/>
    </row>
    <row r="175" ht="34" customHeight="1">
      <c r="A175" s="36" t="inlineStr">
        <is>
          <t>B</t>
        </is>
      </c>
      <c r="B175" s="22" t="inlineStr">
        <is>
          <t>Ｄ</t>
        </is>
      </c>
      <c r="C175" s="23" t="inlineStr">
        <is>
          <t>素案</t>
        </is>
      </c>
      <c r="D175" s="24" t="inlineStr">
        <is>
          <t>第9期保険料の再算定試算（6,761円→約6,346円）の取扱い</t>
        </is>
      </c>
      <c r="E175" s="24" t="inlineStr">
        <is>
          <t>第1号被保険者数のみを実績に置換した試算で、福島県平均6,340円とほぼ一致する。素案5-7に記載しているが、公表資料での扱いは村の判断による。</t>
        </is>
      </c>
      <c r="F175" s="22" t="inlineStr">
        <is>
          <t>Ⅱ-64,Ⅱ-75</t>
        </is>
      </c>
      <c r="G175" s="22" t="inlineStr">
        <is>
          <t>doc17 A-1,doc18 5-7</t>
        </is>
      </c>
      <c r="H175" s="22" t="inlineStr">
        <is>
          <t>未依頼</t>
        </is>
      </c>
      <c r="I175" s="24" t="inlineStr"/>
    </row>
    <row r="176" ht="34" customHeight="1">
      <c r="A176" s="36" t="inlineStr">
        <is>
          <t>B</t>
        </is>
      </c>
      <c r="B176" s="22" t="inlineStr">
        <is>
          <t>Ｄ</t>
        </is>
      </c>
      <c r="C176" s="23" t="inlineStr">
        <is>
          <t>計画構成</t>
        </is>
      </c>
      <c r="D176" s="24" t="inlineStr">
        <is>
          <t>認知症施策推進計画・成年後見制度利用促進基本計画の一体化を第10期も踏襲するか</t>
        </is>
      </c>
      <c r="E176" s="24" t="inlineStr">
        <is>
          <t>第9期は基本目標4に内包する構成。素案は踏襲を前提に1-2で法的根拠を記載している。</t>
        </is>
      </c>
      <c r="F176" s="22" t="inlineStr">
        <is>
          <t>Ⅱ-73,Ⅱ-75</t>
        </is>
      </c>
      <c r="G176" s="22" t="inlineStr">
        <is>
          <t>doc01-5,doc18 1-2</t>
        </is>
      </c>
      <c r="H176" s="22" t="inlineStr">
        <is>
          <t>未依頼</t>
        </is>
      </c>
      <c r="I176" s="24" t="inlineStr"/>
    </row>
    <row r="177" ht="34" customHeight="1">
      <c r="A177" s="36" t="inlineStr">
        <is>
          <t>B</t>
        </is>
      </c>
      <c r="B177" s="22" t="inlineStr">
        <is>
          <t>Ｃ</t>
        </is>
      </c>
      <c r="C177" s="23" t="inlineStr">
        <is>
          <t>計画構成</t>
        </is>
      </c>
      <c r="D177" s="24" t="inlineStr">
        <is>
          <t>定住自立圏（喜多方市・西会津町）／会津権利擁護・成年後見センターとの広域連携の記載方針</t>
        </is>
      </c>
      <c r="E177" s="24" t="inlineStr">
        <is>
          <t>施策の書きぶりに影響。</t>
        </is>
      </c>
      <c r="F177" s="22" t="inlineStr">
        <is>
          <t>Ⅱ-71,Ⅱ-72</t>
        </is>
      </c>
      <c r="G177" s="22" t="inlineStr">
        <is>
          <t>doc01-12</t>
        </is>
      </c>
      <c r="H177" s="22" t="inlineStr">
        <is>
          <t>未依頼</t>
        </is>
      </c>
      <c r="I177" s="24" t="inlineStr"/>
    </row>
    <row r="178" ht="34" customHeight="1">
      <c r="A178" s="36" t="inlineStr">
        <is>
          <t>B</t>
        </is>
      </c>
      <c r="B178" s="22" t="inlineStr">
        <is>
          <t>Ｃ</t>
        </is>
      </c>
      <c r="C178" s="23" t="inlineStr">
        <is>
          <t>計画構成</t>
        </is>
      </c>
      <c r="D178" s="24" t="inlineStr">
        <is>
          <t>整合を図る関連計画の網羅（障がい福祉計画・障がい者計画・地域福祉計画等）</t>
        </is>
      </c>
      <c r="E178" s="24" t="inlineStr">
        <is>
          <t>資料には基本指針・第5次総合振興計画・第3次健康21のみ記載。</t>
        </is>
      </c>
      <c r="F178" s="22" t="inlineStr">
        <is>
          <t>Ⅱ-72</t>
        </is>
      </c>
      <c r="G178" s="22" t="inlineStr">
        <is>
          <t>doc19 追-13</t>
        </is>
      </c>
      <c r="H178" s="22" t="inlineStr">
        <is>
          <t>未依頼</t>
        </is>
      </c>
      <c r="I178" s="24" t="inlineStr"/>
    </row>
    <row r="179" ht="34" customHeight="1">
      <c r="A179" s="36" t="inlineStr">
        <is>
          <t>B</t>
        </is>
      </c>
      <c r="B179" s="22" t="inlineStr">
        <is>
          <t>Ｄ</t>
        </is>
      </c>
      <c r="C179" s="23" t="inlineStr">
        <is>
          <t>調査設計</t>
        </is>
      </c>
      <c r="D179" s="24" t="inlineStr">
        <is>
          <t>督促（リマインド）の実施可否と追加郵送費の扱い</t>
        </is>
      </c>
      <c r="E179" s="24" t="inlineStr">
        <is>
          <t>第9期の在宅調査は回収率45.8%（72人中33人）。150人でも同率なら約69件で、クロス集計に耐えない可能性。</t>
        </is>
      </c>
      <c r="F179" s="22" t="inlineStr">
        <is>
          <t>Ⅰ-31</t>
        </is>
      </c>
      <c r="G179" s="22" t="inlineStr">
        <is>
          <t>doc19 追-6</t>
        </is>
      </c>
      <c r="H179" s="22" t="inlineStr">
        <is>
          <t>未依頼</t>
        </is>
      </c>
      <c r="I179" s="24" t="inlineStr"/>
    </row>
    <row r="180" ht="34" customHeight="1">
      <c r="A180" s="36" t="inlineStr">
        <is>
          <t>B</t>
        </is>
      </c>
      <c r="B180" s="22" t="inlineStr">
        <is>
          <t>Ｄ</t>
        </is>
      </c>
      <c r="C180" s="23" t="inlineStr">
        <is>
          <t>調査設計</t>
        </is>
      </c>
      <c r="D180" s="24" t="inlineStr">
        <is>
          <t>集計・分析で村が最も確認したい事項（クロス集計の設計）</t>
        </is>
      </c>
      <c r="E180" s="24" t="inlineStr">
        <is>
          <t>資料5の論点表から落とす。地区別（北山・大塩・桧原・裏磐梯）は第9期報告書が全設問で実施しており踏襲が前提だが、多重クロスは特定リスクがあるため細分の程度を確認。</t>
        </is>
      </c>
      <c r="F180" s="22" t="inlineStr">
        <is>
          <t>Ⅰ-40,Ⅰ-42</t>
        </is>
      </c>
      <c r="G180" s="22" t="inlineStr">
        <is>
          <t>doc19 追-7</t>
        </is>
      </c>
      <c r="H180" s="22" t="inlineStr">
        <is>
          <t>未依頼</t>
        </is>
      </c>
      <c r="I180" s="24" t="inlineStr"/>
    </row>
    <row r="181" ht="34" customHeight="1">
      <c r="A181" s="36" t="inlineStr">
        <is>
          <t>B</t>
        </is>
      </c>
      <c r="B181" s="22" t="inlineStr">
        <is>
          <t>Ｄ</t>
        </is>
      </c>
      <c r="C181" s="23" t="inlineStr">
        <is>
          <t>調査設計</t>
        </is>
      </c>
      <c r="D181" s="24" t="inlineStr">
        <is>
          <t>ニーズ調査 問6(1)の選択肢への補足表記の可否（常勤（フルタイム）／非常勤（パート・アルバイト等））</t>
        </is>
      </c>
      <c r="E181" s="24" t="inlineStr">
        <is>
          <t>厳密には選択肢文言の改変にあたるが、手引きQ&amp;Aの「通称を付ける」例に近く実務上は許容される可能性が高い。回答率への影響を考えると補足を残すことを推奨。村の判断を仰ぐ。</t>
        </is>
      </c>
      <c r="F181" s="22" t="inlineStr">
        <is>
          <t>Ⅰ-09</t>
        </is>
      </c>
      <c r="G181" s="22" t="inlineStr">
        <is>
          <t>doc23§1-3</t>
        </is>
      </c>
      <c r="H181" s="22" t="inlineStr">
        <is>
          <t>未依頼</t>
        </is>
      </c>
      <c r="I181" s="24" t="inlineStr"/>
    </row>
    <row r="182" ht="34" customHeight="1">
      <c r="A182" s="36" t="inlineStr">
        <is>
          <t>B</t>
        </is>
      </c>
      <c r="B182" s="22" t="inlineStr">
        <is>
          <t>Ｄ</t>
        </is>
      </c>
      <c r="C182" s="23" t="inlineStr">
        <is>
          <t>調査設計</t>
        </is>
      </c>
      <c r="D182" s="24" t="inlineStr">
        <is>
          <t>送付状の個人情報に関する説明の補強</t>
        </is>
      </c>
      <c r="E182"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F182" s="22" t="inlineStr">
        <is>
          <t>Ⅰ-14</t>
        </is>
      </c>
      <c r="G182" s="22" t="inlineStr">
        <is>
          <t>doc27§5-1</t>
        </is>
      </c>
      <c r="H182" s="22" t="inlineStr">
        <is>
          <t>未依頼</t>
        </is>
      </c>
      <c r="I182" s="24" t="inlineStr"/>
    </row>
    <row r="183" ht="34" customHeight="1">
      <c r="A183" s="36" t="inlineStr">
        <is>
          <t>B</t>
        </is>
      </c>
      <c r="B183" s="22" t="inlineStr">
        <is>
          <t>Ｄ</t>
        </is>
      </c>
      <c r="C183" s="23" t="inlineStr">
        <is>
          <t>調査設計</t>
        </is>
      </c>
      <c r="D183" s="24" t="inlineStr">
        <is>
          <t>ニーズ調査の選択肢の表記変更5件の可否（障がい表記・ぜひ・役場・移動販売・フルタイム）</t>
        </is>
      </c>
      <c r="E183"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F183" s="22" t="inlineStr">
        <is>
          <t>Ⅰ-09</t>
        </is>
      </c>
      <c r="G183" s="22" t="inlineStr">
        <is>
          <t>doc27§4</t>
        </is>
      </c>
      <c r="H183" s="22" t="inlineStr">
        <is>
          <t>未依頼</t>
        </is>
      </c>
      <c r="I183" s="24" t="inlineStr"/>
    </row>
    <row r="184" ht="34" customHeight="1">
      <c r="A184" s="37" t="inlineStr">
        <is>
          <t>C</t>
        </is>
      </c>
      <c r="B184" s="22" t="inlineStr">
        <is>
          <t>Ｄ</t>
        </is>
      </c>
      <c r="C184" s="23" t="inlineStr">
        <is>
          <t>成果品</t>
        </is>
      </c>
      <c r="D184" s="24" t="inlineStr">
        <is>
          <t>計画書の判型・レイアウト・表紙デザインの踏襲可否</t>
        </is>
      </c>
      <c r="E184" s="24" t="inlineStr">
        <is>
          <t>第9期はA4・本文104頁・全6章＋資料編。</t>
        </is>
      </c>
      <c r="F184" s="22" t="inlineStr">
        <is>
          <t>Ⅱ-113,Ⅳ-89</t>
        </is>
      </c>
      <c r="G184" s="22" t="inlineStr">
        <is>
          <t>doc01-10</t>
        </is>
      </c>
      <c r="H184" s="22" t="inlineStr">
        <is>
          <t>未依頼</t>
        </is>
      </c>
      <c r="I184" s="24" t="inlineStr"/>
    </row>
    <row r="186" ht="20" customHeight="1">
      <c r="A186" s="38" t="inlineStr">
        <is>
          <t>■ 解決済み（記録）</t>
        </is>
      </c>
    </row>
    <row r="187" ht="34" customHeight="1">
      <c r="A187" s="39" t="inlineStr">
        <is>
          <t>A</t>
        </is>
      </c>
      <c r="B187" s="39" t="inlineStr">
        <is>
          <t>Ａ</t>
        </is>
      </c>
      <c r="C187" s="40" t="inlineStr">
        <is>
          <t>体制</t>
        </is>
      </c>
      <c r="D187" s="41" t="inlineStr">
        <is>
          <t>契約締結日・契約書の取り交わし状況</t>
        </is>
      </c>
      <c r="E187" s="41" t="inlineStr">
        <is>
          <t>業務開始日の確定。★10/23 解決：村より契約済みのご連絡を受けた（doc117）。あわせて見積徴取の通知（令和8年8月5日）・仕様書（委託第27号）・秘密保持契約書（令和8年8月6日）を受領した。契約書に記載の締結日は、写しをいただいた時点で WBS ０-02 の実績日を置き換える</t>
        </is>
      </c>
      <c r="F187" s="39" t="inlineStr">
        <is>
          <t>０-02</t>
        </is>
      </c>
      <c r="G187" s="39" t="inlineStr">
        <is>
          <t>doc117</t>
        </is>
      </c>
      <c r="H187" s="39" t="inlineStr">
        <is>
          <t>解決済</t>
        </is>
      </c>
      <c r="I187" s="41" t="inlineStr"/>
    </row>
    <row r="188" ht="34" customHeight="1">
      <c r="A188" s="39" t="inlineStr">
        <is>
          <t>―</t>
        </is>
      </c>
      <c r="B188" s="39" t="inlineStr">
        <is>
          <t>Ａ</t>
        </is>
      </c>
      <c r="C188" s="40" t="inlineStr">
        <is>
          <t>方針</t>
        </is>
      </c>
      <c r="D188" s="41" t="inlineStr">
        <is>
          <t>公表用素案の目次体系と、第9期の各項目への当て方（施策を24から15に束ねてよいか）</t>
        </is>
      </c>
      <c r="E188" s="41" t="inlineStr">
        <is>
          <t>★公表用素案の目次体系と、第9期の各項目への当て方をご確認いただきたい。10/20 起票：村より、素案を協議用と公表用に分け、公表用は目次体系を含めて第9期計画を踏襲し、新たな論点は指針・通達に基づくものだけを加え、100頁前後・最大115頁とする、とのご指示をいただいた。ア 第9期計画の本編（令和6年3月・123頁）の目次を原典から起こし、39項目すべてに協議用素案のどの節を当てるかを定めた（kouhyou_map.py）。イ 指針・通達・法令により新たに加えるのは6項目である。第1章7 介護保険制度改正の主な内容（令和8年法律第51号）、第4章4-5 介護人材の確保と生産性向上（基本指針・介護保険法第117条第3項）、第4章5 高齢者福祉サービスの量の目標（老人福祉法第20条の8第2項）、第4章6 認知症施策推進計画としての位置づけ（認知症基本法第13条第1項）、第5章6 中長期的な推計と取り組むべき施策（令和8年法律第51号）、資料編○3 関連計画との対照（介護保険法第117条第8項・老人福祉法第20条の8第8項）の6つである。いずれも第9期計画に対応する記載がなく、法令または基本指針が求めるものである。ウ 協議用にのみ置き公表用には載せない節は12節である（2-8 保険者機能の評価・2-9 第9期計画の進捗と評価・2-11 本村の課題・3-3 第10期の重点・3-5 施策体系の対応表・5-12 据え置いた項目・資1 策定経過・資2 策定委員会・資3 アンケートの概要・資4 パブリックコメント・資7 主な参照資料・資8 図表番号一覧）。いずれも第9期計画に対応する記載がないか、他の節に織り込めるものである。エ 第9期の目次に当てると、公表用は推定108頁（前付を含めて112頁）となる見込みであったが、組んで測ると本文117頁＋前付4頁＝121頁で、許容115頁を6頁超えた。削減案A〜Eで113頁、＋H・Jで110頁、＋G・K・Lで107頁になる（いずれも実測）。★ご確認いただきたいのは次の4点である。①第9期の39項目への当て方でよいか。②新たに加える6項目はこれで足りるか。ほかに指針・通達で加えるべきものはないか。③協議用にのみ置く12節の扱いでよいか。公表用に残すものがあればご指示いただきたい。④第4章の施策を協議用の24から第9期の14＋指針による1の15に束ねてよいか。束ね方（たとえば第9期1-1に施策1-1・1-3・1-5を含める）もあわせてご判断いただきたい。★当方の扱い：ご確認をいただくまで公表用の組み立て（Ⅱ-119）には着手しない。束ね方が変わると作り直しになるためである。協議用素案はいまのまま第2回策定委員会にお示しする。★10/20 解決：村より4点ともご承認をいただいた。第9期の39項目への当て方でよい。新たに加える6項目でよい（協議から追加の判断が出た場合は別途ご指示をいただく）。12節は協議用のみとする。第4章の施策を24から15に束ねてよい。これによりⅡ-119（公表用素案の組み立て）に着手できる。★10/22 解決：協議用5-5（地域支援事業の見込み）の(2)事業費の置き場所について、村より「お勧め箇所に事業費おいて下さい」とのご指示をいただいた。第9期が事業費を第5章2（給付費等の今後の見込み）に置いていたこと、節の題がそのまま給付費等の今後の見込みであること、第4章の施策の中に費用の表を抱えると費用の全体像が2章に分かれることから、(1)量の見込みを第4章4-3、(2)事業費を第5章2に分けた。これにより公表用の計画書は4通りとも1頁減り、案なし121頁・A〜E 113頁・＋H・J 110頁・＋G・K・L 107頁となった。</t>
        </is>
      </c>
      <c r="F188" s="39" t="inlineStr">
        <is>
          <t>Ⅱ-118,Ⅱ-119,Ⅱ-120,Ⅱ-113</t>
        </is>
      </c>
      <c r="G188" s="39" t="inlineStr">
        <is>
          <t>kouhyou_map.py,第9期計画 本編 目次</t>
        </is>
      </c>
      <c r="H188" s="39" t="inlineStr">
        <is>
          <t>解決済</t>
        </is>
      </c>
      <c r="I188" s="41" t="inlineStr"/>
    </row>
    <row r="189" ht="34" customHeight="1">
      <c r="A189" s="39" t="inlineStr">
        <is>
          <t>―</t>
        </is>
      </c>
      <c r="B189" s="39" t="inlineStr">
        <is>
          <t>Ａ</t>
        </is>
      </c>
      <c r="C189" s="40" t="inlineStr">
        <is>
          <t>方針</t>
        </is>
      </c>
      <c r="D189" s="41" t="inlineStr">
        <is>
          <t>第9期計画の第1号被保険者数の推計に用いたデータ（原典により確定）</t>
        </is>
      </c>
      <c r="E189" s="41" t="inlineStr">
        <is>
          <t>第9期計画の本編40頁（第3章 1 将来人口推計（1））に出どころが書かれていた。「地域包括ケア『見える化』システムでは、被保険者数の将来推計として、国立社会保障・人口問題研究所の地域別将来推計人口があらかじめ登録されています。しかし、福島県内の市町村においては、全国と同様の方法による人口推計がなされていないため、本村の計画における将来人口推計は、住民基本台帳をもとにした福島県による将来推計人口をもとに推計を行うこととしました。」とある。ア 第9期が用いたのは住民基本台帳をもとにした福島県による将来推計人口である。社人研でも国配布データでもない。同頁の年齢別人口の推計は令和7年の総人口2,322人・65歳以上950人・高齢化率40.9%であり、65歳以上950人が第9期の令和7年度の第1号被保険者数の計画値950人とそのまま一致する。イ したがって第9期の6.9%の乖離は、国勢調査ベースと住民基本台帳ベースの取り違えによるものではない。住民基本台帳をもとにした推計であっても実績を下回った。第10期に配布された推計用人口も実績を5.8%下回っており、同じ向きの差が続いている。素案5-1の「第9期計画は国勢調査ベースの将来推計人口をそのまま用いたため」という説明は誤りであったため、原典の記述により書き直し、本計画が行う置き直しは台帳の取り違えを直すものではなく推計の水準と実績との差を直すものである旨に改めた。2-9も同様に直した。ウ あわせて社人研の原典に当たったところ、令和5年推計には本村の市町村別推計が収録されている。福島県で1つの地域にまとめられているのは「浜通り地域」の13市町村のみである（いわき市・相馬市・南相馬市・広野町・楢葉町・富岡町・川内村・大熊町・双葉町・浪江町・葛尾村・新地町・飯舘村）。直前の平成30年推計は「福島県においては全県での推計のみ実施」であり本村の行はなかった。第9期の上記の記述はこの平成30年推計を指すものである。エ 素案2-2が「福島県では、国立社会保障・人口問題研究所による市町村別の将来推計人口が公表されていません」としていたのは誤りであり、同じ節の表が社人研の本村の系列を用いているのと矛盾していた。原典により書き直した。オ 素案の人口推計（estimate_population.py の P1）の8つの値（2025・2030・2035・2040年の前期・後期高齢者数）は、社人研の福島県の市区町村別ファイル（07.xlsx）のシート「7402_北塩原村」とすべて一致することを確かめた（data/原典_人口）。</t>
        </is>
      </c>
      <c r="F189" s="39" t="inlineStr">
        <is>
          <t>Ⅱ-59</t>
        </is>
      </c>
      <c r="G189" s="39" t="inlineStr">
        <is>
          <t>doc28§1-1 K-105,第9期計画 本編40頁,data/原典_人口</t>
        </is>
      </c>
      <c r="H189" s="39" t="inlineStr">
        <is>
          <t>解決済</t>
        </is>
      </c>
      <c r="I189" s="41" t="inlineStr"/>
    </row>
    <row r="190" ht="34" customHeight="1">
      <c r="A190" s="39" t="inlineStr">
        <is>
          <t>―</t>
        </is>
      </c>
      <c r="B190" s="39" t="inlineStr">
        <is>
          <t>Ａ</t>
        </is>
      </c>
      <c r="C190" s="40" t="inlineStr">
        <is>
          <t>疑義</t>
        </is>
      </c>
      <c r="D190" s="41" t="inlineStr">
        <is>
          <t>第1号被保険者数・認定者数の推計に2系列が併存していた（社内・解消済）</t>
        </is>
      </c>
      <c r="E190"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F190" s="39" t="inlineStr">
        <is>
          <t>Ⅱ-56,Ⅱ-64</t>
        </is>
      </c>
      <c r="G190" s="39" t="inlineStr">
        <is>
          <t>doc35§7-3(1)</t>
        </is>
      </c>
      <c r="H190" s="39" t="inlineStr">
        <is>
          <t>解決済</t>
        </is>
      </c>
      <c r="I190" s="41" t="inlineStr"/>
    </row>
    <row r="191" ht="34" customHeight="1">
      <c r="A191" s="39" t="inlineStr">
        <is>
          <t>―</t>
        </is>
      </c>
      <c r="B191" s="39" t="inlineStr">
        <is>
          <t>Ａ</t>
        </is>
      </c>
      <c r="C191" s="40" t="inlineStr">
        <is>
          <t>データ</t>
        </is>
      </c>
      <c r="D191" s="41" t="inlineStr">
        <is>
          <t>成年後見制度（市民後見人養成含む）の利用実態・実績</t>
        </is>
      </c>
      <c r="E191"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F191" s="39" t="inlineStr">
        <is>
          <t>Ⅱ-68,Ⅱ-69</t>
        </is>
      </c>
      <c r="G191" s="39" t="inlineStr">
        <is>
          <t>doc28§3</t>
        </is>
      </c>
      <c r="H191" s="39" t="inlineStr">
        <is>
          <t>解決済</t>
        </is>
      </c>
      <c r="I191" s="41" t="inlineStr"/>
    </row>
    <row r="192" ht="34" customHeight="1">
      <c r="A192" s="39" t="inlineStr">
        <is>
          <t>―</t>
        </is>
      </c>
      <c r="B192" s="39" t="inlineStr">
        <is>
          <t>Ａ</t>
        </is>
      </c>
      <c r="C192" s="40" t="inlineStr">
        <is>
          <t>体制</t>
        </is>
      </c>
      <c r="D192" s="41" t="inlineStr">
        <is>
          <t>所管課・窓口の確認（住民課→保健福祉課の変更の有無、担当者体制）</t>
        </is>
      </c>
      <c r="E192" s="41" t="inlineStr">
        <is>
          <t>成年後見の調査票により解決。報告担当課・主管課とも保健福祉課であることを確認した。担当者名・連絡先は個人情報のため本表には記載しない。調査票の問合せ先表記も裏づけられた。</t>
        </is>
      </c>
      <c r="F192" s="39" t="inlineStr">
        <is>
          <t>０-04</t>
        </is>
      </c>
      <c r="G192" s="39" t="inlineStr">
        <is>
          <t>doc28§4</t>
        </is>
      </c>
      <c r="H192" s="39" t="inlineStr">
        <is>
          <t>解決済</t>
        </is>
      </c>
      <c r="I192" s="41" t="inlineStr"/>
    </row>
    <row r="193" ht="34" customHeight="1">
      <c r="A193" s="39" t="inlineStr">
        <is>
          <t>―</t>
        </is>
      </c>
      <c r="B193" s="39" t="inlineStr">
        <is>
          <t>Ａ</t>
        </is>
      </c>
      <c r="C193" s="40" t="inlineStr">
        <is>
          <t>データ</t>
        </is>
      </c>
      <c r="D193" s="41" t="inlineStr">
        <is>
          <t>所得段階別の第1号被保険者数</t>
        </is>
      </c>
      <c r="E193" s="41" t="inlineStr">
        <is>
          <t>令和8年度合計所得金額分布調査の入力済み調査票により解決。13段階・合計1,015人。非課税層60.3%、第1〜3段階だけで346人・34.1%。10万円刻みの分布も入手。</t>
        </is>
      </c>
      <c r="F193" s="39" t="inlineStr">
        <is>
          <t>Ⅱ-64</t>
        </is>
      </c>
      <c r="G193" s="39" t="inlineStr">
        <is>
          <t>doc28§2</t>
        </is>
      </c>
      <c r="H193" s="39" t="inlineStr">
        <is>
          <t>解決済</t>
        </is>
      </c>
      <c r="I193" s="41" t="inlineStr"/>
    </row>
    <row r="194" ht="34" customHeight="1">
      <c r="A194" s="39" t="inlineStr">
        <is>
          <t>―</t>
        </is>
      </c>
      <c r="B194" s="39" t="inlineStr">
        <is>
          <t>Ａ</t>
        </is>
      </c>
      <c r="C194" s="40" t="inlineStr">
        <is>
          <t>データ</t>
        </is>
      </c>
      <c r="D194" s="41" t="inlineStr">
        <is>
          <t>第10期の将来推計人口・第1号被保険者数の推計データ</t>
        </is>
      </c>
      <c r="E194" s="41" t="inlineStr">
        <is>
          <t>厚労省配布の第10期将来推計用人口推計（住基ベース）と補正係数の受領により解決。補正後の第1号被保険者数は令和9年946人／令和10年939人／令和11年931人。ただし直近実績を約6%下回る論点あり（K-106）。</t>
        </is>
      </c>
      <c r="F194" s="39" t="inlineStr">
        <is>
          <t>Ⅱ-59</t>
        </is>
      </c>
      <c r="G194" s="39" t="inlineStr">
        <is>
          <t>doc28§1</t>
        </is>
      </c>
      <c r="H194" s="39" t="inlineStr">
        <is>
          <t>解決済</t>
        </is>
      </c>
      <c r="I194" s="41" t="inlineStr"/>
    </row>
    <row r="195" ht="34" customHeight="1">
      <c r="A195" s="39" t="inlineStr">
        <is>
          <t>―</t>
        </is>
      </c>
      <c r="B195" s="39" t="inlineStr">
        <is>
          <t>Ａ</t>
        </is>
      </c>
      <c r="C195" s="40" t="inlineStr">
        <is>
          <t>調査設計</t>
        </is>
      </c>
      <c r="D195" s="41" t="inlineStr">
        <is>
          <t>ニーズ調査 選択肢の順序が標準と逆になっている7か所の修正</t>
        </is>
      </c>
      <c r="E195" s="41" t="inlineStr">
        <is>
          <t>第2稿（0904版）で問7の6か所を修正済。誤植2件（「そのような人はいないその他」「いないその他」）も解消。★問1(2)①の1か所が未修正のため別項目として再掲。</t>
        </is>
      </c>
      <c r="F195" s="39" t="inlineStr">
        <is>
          <t>Ⅰ-09</t>
        </is>
      </c>
      <c r="G195" s="39" t="inlineStr">
        <is>
          <t>doc27§1-1</t>
        </is>
      </c>
      <c r="H195" s="39" t="inlineStr">
        <is>
          <t>解決済（一部再掲）</t>
        </is>
      </c>
      <c r="I195" s="41" t="inlineStr"/>
    </row>
    <row r="196" ht="34" customHeight="1">
      <c r="A196" s="39" t="inlineStr">
        <is>
          <t>―</t>
        </is>
      </c>
      <c r="B196" s="39" t="inlineStr">
        <is>
          <t>Ａ</t>
        </is>
      </c>
      <c r="C196" s="40" t="inlineStr">
        <is>
          <t>調査設計</t>
        </is>
      </c>
      <c r="D196" s="41" t="inlineStr">
        <is>
          <t>在宅介護実態調査 前回指摘2件の反映（介護療養型医療施設の削除／傷病の選択肢13・14の入替）</t>
        </is>
      </c>
      <c r="E196" s="41" t="inlineStr">
        <is>
          <t>第2稿（0904版）で両方とも修正済。</t>
        </is>
      </c>
      <c r="F196" s="39" t="inlineStr">
        <is>
          <t>Ⅰ-10</t>
        </is>
      </c>
      <c r="G196" s="39" t="inlineStr">
        <is>
          <t>doc27§1-2</t>
        </is>
      </c>
      <c r="H196" s="39" t="inlineStr">
        <is>
          <t>解決済</t>
        </is>
      </c>
      <c r="I196" s="41" t="inlineStr"/>
    </row>
    <row r="197" ht="34" customHeight="1">
      <c r="A197" s="39" t="inlineStr">
        <is>
          <t>―</t>
        </is>
      </c>
      <c r="B197" s="39" t="inlineStr">
        <is>
          <t>Ａ</t>
        </is>
      </c>
      <c r="C197" s="40" t="inlineStr">
        <is>
          <t>調査設計</t>
        </is>
      </c>
      <c r="D197" s="41" t="inlineStr">
        <is>
          <t>在宅介護実態調査 標準の問13「訪問診療」の復活</t>
        </is>
      </c>
      <c r="E197" s="41" t="inlineStr">
        <is>
          <t>第2稿（0904版）で復活。★ただし番号が問12として付されており問13が欠番。番号の修正を別項目として再掲。</t>
        </is>
      </c>
      <c r="F197" s="39" t="inlineStr">
        <is>
          <t>Ⅰ-10</t>
        </is>
      </c>
      <c r="G197" s="39" t="inlineStr">
        <is>
          <t>doc27§1-2</t>
        </is>
      </c>
      <c r="H197" s="39" t="inlineStr">
        <is>
          <t>解決済（番号は再掲）</t>
        </is>
      </c>
      <c r="I197" s="41" t="inlineStr"/>
    </row>
    <row r="198" ht="34" customHeight="1">
      <c r="A198" s="39" t="inlineStr">
        <is>
          <t>―</t>
        </is>
      </c>
      <c r="B198" s="39" t="inlineStr">
        <is>
          <t>Ａ</t>
        </is>
      </c>
      <c r="C198" s="40" t="inlineStr">
        <is>
          <t>調査設計</t>
        </is>
      </c>
      <c r="D198" s="41" t="inlineStr">
        <is>
          <t>調査の基準日（ニーズ調査・在宅介護実態調査）</t>
        </is>
      </c>
      <c r="E198" s="41" t="inlineStr">
        <is>
          <t>キックオフ会議（令和8年9月1日）で決着：令和8年9月1日を基準日とする。</t>
        </is>
      </c>
      <c r="F198" s="39" t="inlineStr">
        <is>
          <t>Ⅰ-08,Ⅰ-24</t>
        </is>
      </c>
      <c r="G198" s="39" t="inlineStr">
        <is>
          <t>doc22 §1</t>
        </is>
      </c>
      <c r="H198" s="39" t="inlineStr">
        <is>
          <t>解決済</t>
        </is>
      </c>
      <c r="I198" s="41" t="inlineStr"/>
    </row>
    <row r="199" ht="34" customHeight="1">
      <c r="A199" s="39" t="inlineStr">
        <is>
          <t>―</t>
        </is>
      </c>
      <c r="B199" s="39" t="inlineStr">
        <is>
          <t>Ａ</t>
        </is>
      </c>
      <c r="C199" s="40" t="inlineStr">
        <is>
          <t>調査設計</t>
        </is>
      </c>
      <c r="D199" s="41" t="inlineStr">
        <is>
          <t>在宅介護実態調査 約150人の抽出基準</t>
        </is>
      </c>
      <c r="E199" s="41" t="inlineStr">
        <is>
          <t>キックオフ会議で決着：要支援1・2および要介護1〜5の在宅生活者等、150件。</t>
        </is>
      </c>
      <c r="F199" s="39" t="inlineStr">
        <is>
          <t>Ⅰ-08,Ⅰ-24</t>
        </is>
      </c>
      <c r="G199" s="39" t="inlineStr">
        <is>
          <t>doc22 §1</t>
        </is>
      </c>
      <c r="H199" s="39" t="inlineStr">
        <is>
          <t>解決済</t>
        </is>
      </c>
      <c r="I199" s="41" t="inlineStr"/>
    </row>
    <row r="200" ht="34" customHeight="1">
      <c r="A200" s="39" t="inlineStr">
        <is>
          <t>―</t>
        </is>
      </c>
      <c r="B200" s="39" t="inlineStr">
        <is>
          <t>Ａ</t>
        </is>
      </c>
      <c r="C200" s="40" t="inlineStr">
        <is>
          <t>成果品</t>
        </is>
      </c>
      <c r="D200" s="41" t="inlineStr">
        <is>
          <t>施策体系図（基本理念→基本目標5→施策28の階層図）の計画書への掲載</t>
        </is>
      </c>
      <c r="E200"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F200" s="39" t="inlineStr">
        <is>
          <t>Ⅱ-113,Ⅱ-71</t>
        </is>
      </c>
      <c r="G200" s="39" t="inlineStr">
        <is>
          <t>doc41§6</t>
        </is>
      </c>
      <c r="H200" s="39" t="inlineStr">
        <is>
          <t>解決済</t>
        </is>
      </c>
      <c r="I200" s="41" t="inlineStr"/>
    </row>
    <row r="201" ht="34" customHeight="1">
      <c r="A201" s="39" t="inlineStr">
        <is>
          <t>―</t>
        </is>
      </c>
      <c r="B201" s="39" t="inlineStr">
        <is>
          <t>Ａ</t>
        </is>
      </c>
      <c r="C201" s="40" t="inlineStr">
        <is>
          <t>データ</t>
        </is>
      </c>
      <c r="D201" s="41" t="inlineStr">
        <is>
          <t>在宅調査票の管理番号の印字形式（N付きか数字のみか）</t>
        </is>
      </c>
      <c r="E201"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F201" s="39" t="inlineStr">
        <is>
          <t>Ⅰ-18,Ⅰ-20,Ⅰ-38</t>
        </is>
      </c>
      <c r="G201" s="39" t="inlineStr">
        <is>
          <t>doc34§5-3,doc43§2-4</t>
        </is>
      </c>
      <c r="H201" s="39" t="inlineStr">
        <is>
          <t>解決済</t>
        </is>
      </c>
      <c r="I201" s="41" t="inlineStr"/>
    </row>
    <row r="202" ht="34" customHeight="1">
      <c r="A202" s="39" t="inlineStr">
        <is>
          <t>―</t>
        </is>
      </c>
      <c r="B202" s="39" t="inlineStr">
        <is>
          <t>Ａ</t>
        </is>
      </c>
      <c r="C202" s="40" t="inlineStr">
        <is>
          <t>調査設計</t>
        </is>
      </c>
      <c r="D202" s="41" t="inlineStr">
        <is>
          <t>配布・回収方法と宛名ラベル・封筒の用意</t>
        </is>
      </c>
      <c r="E202" s="41" t="inlineStr">
        <is>
          <t>キックオフ会議で決着：郵送（紙）とWeb回答（QRコード）の併用。宛名ラベル・封筒は北塩原村が用意。回収は村で100件程度集まるごとに随時受託者へ小分け送付。</t>
        </is>
      </c>
      <c r="F202" s="39" t="inlineStr">
        <is>
          <t>Ⅰ-25,Ⅰ-26</t>
        </is>
      </c>
      <c r="G202" s="39" t="inlineStr">
        <is>
          <t>doc22 §1</t>
        </is>
      </c>
      <c r="H202" s="39" t="inlineStr">
        <is>
          <t>解決済</t>
        </is>
      </c>
      <c r="I202" s="41" t="inlineStr"/>
    </row>
    <row r="203" ht="34" customHeight="1">
      <c r="A203" s="39" t="inlineStr">
        <is>
          <t>―</t>
        </is>
      </c>
      <c r="B203" s="39" t="inlineStr">
        <is>
          <t>Ａ</t>
        </is>
      </c>
      <c r="C203" s="40" t="inlineStr">
        <is>
          <t>疑義</t>
        </is>
      </c>
      <c r="D203" s="41" t="inlineStr">
        <is>
          <t>配布用封筒の用意の主体（仕様書4Ⅰ(3)は受託者の印刷対象としている）</t>
        </is>
      </c>
      <c r="E203" s="41" t="inlineStr">
        <is>
          <t>★2026/09/24 村の回答で決着：配布用封筒は村が用意し、費用は村側で請求処理する。受託者が印刷するのは返信用（回収用）のみ。仕様書4Ⅰ(3)の「封筒（配布用・回収用）」との差異は解消した。</t>
        </is>
      </c>
      <c r="F203" s="39" t="inlineStr">
        <is>
          <t>Ⅰ-23,Ⅰ-26,Ⅰ-103</t>
        </is>
      </c>
      <c r="G203" s="39" t="inlineStr">
        <is>
          <t>doc39§5</t>
        </is>
      </c>
      <c r="H203" s="39" t="inlineStr">
        <is>
          <t>解決済</t>
        </is>
      </c>
      <c r="I203" s="41" t="inlineStr"/>
    </row>
    <row r="204" ht="34" customHeight="1">
      <c r="A204" s="39" t="inlineStr">
        <is>
          <t>―</t>
        </is>
      </c>
      <c r="B204" s="39" t="inlineStr">
        <is>
          <t>Ａ</t>
        </is>
      </c>
      <c r="C204" s="40" t="inlineStr">
        <is>
          <t>疑義</t>
        </is>
      </c>
      <c r="D204" s="41" t="inlineStr">
        <is>
          <t>在宅介護実態調査の対象者数（仕様書の約150人に対し118人）</t>
        </is>
      </c>
      <c r="E204" s="41" t="inlineStr">
        <is>
          <t>★2026/09/24 村の回答で決着：118人で問題なし。仕様書4Ⅰ(1)の「約150人」との差異は解消した。集計設計上のセル数の扱いは当方の判断事項として継続。</t>
        </is>
      </c>
      <c r="F204" s="39" t="inlineStr">
        <is>
          <t>Ⅰ-08,Ⅰ-24,Ⅰ-103</t>
        </is>
      </c>
      <c r="G204" s="39" t="inlineStr">
        <is>
          <t>doc39§5</t>
        </is>
      </c>
      <c r="H204" s="39" t="inlineStr">
        <is>
          <t>解決済</t>
        </is>
      </c>
      <c r="I204" s="41" t="inlineStr"/>
    </row>
    <row r="205" ht="34" customHeight="1">
      <c r="A205" s="39" t="inlineStr">
        <is>
          <t>―</t>
        </is>
      </c>
      <c r="B205" s="39" t="inlineStr">
        <is>
          <t>Ａ</t>
        </is>
      </c>
      <c r="C205" s="40" t="inlineStr">
        <is>
          <t>成果品</t>
        </is>
      </c>
      <c r="D205" s="41" t="inlineStr">
        <is>
          <t>アンケート調査報告書の分量（仕様書の約100頁に対し想定118頁）</t>
        </is>
      </c>
      <c r="E205" s="41" t="inlineStr">
        <is>
          <t>★2026/09/24 村の回答で決着：仕様書どおり約100頁に統一する。第Ⅱ部（分析編25頁）は計画の根拠のため維持し、第Ⅰ部（単純集計編）と資料編で18頁を圧縮する（doc24§1改訂）。部数は仕様書のとおり10部。</t>
        </is>
      </c>
      <c r="F205" s="39" t="inlineStr">
        <is>
          <t>Ⅳ-90</t>
        </is>
      </c>
      <c r="G205" s="39" t="inlineStr">
        <is>
          <t>doc39§5</t>
        </is>
      </c>
      <c r="H205" s="39" t="inlineStr">
        <is>
          <t>解決済</t>
        </is>
      </c>
      <c r="I205" s="41" t="inlineStr"/>
    </row>
    <row r="206" ht="34" customHeight="1">
      <c r="A206" s="39" t="inlineStr">
        <is>
          <t>―</t>
        </is>
      </c>
      <c r="B206" s="39" t="inlineStr">
        <is>
          <t>Ａ</t>
        </is>
      </c>
      <c r="C206" s="40" t="inlineStr">
        <is>
          <t>成果品</t>
        </is>
      </c>
      <c r="D206" s="41" t="inlineStr">
        <is>
          <t>100頁への圧縮の当て方（集計編を圧縮するか、調査票を電子媒体に移すか）</t>
        </is>
      </c>
      <c r="E206"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F206" s="39" t="inlineStr">
        <is>
          <t>Ⅳ-90,Ⅰ-48,Ⅳ-91,Ⅳ-114</t>
        </is>
      </c>
      <c r="G206" s="39" t="inlineStr">
        <is>
          <t>doc24§1-1,doc40§2</t>
        </is>
      </c>
      <c r="H206" s="39" t="inlineStr">
        <is>
          <t>解決済</t>
        </is>
      </c>
      <c r="I206" s="41" t="inlineStr"/>
    </row>
    <row r="207" ht="34" customHeight="1">
      <c r="A207" s="39" t="inlineStr">
        <is>
          <t>―</t>
        </is>
      </c>
      <c r="B207" s="39" t="inlineStr">
        <is>
          <t>Ａ</t>
        </is>
      </c>
      <c r="C207" s="40" t="inlineStr">
        <is>
          <t>計画構成</t>
        </is>
      </c>
      <c r="D207" s="41" t="inlineStr">
        <is>
          <t>整合を図る関連計画の範囲</t>
        </is>
      </c>
      <c r="E207" s="41" t="inlineStr">
        <is>
          <t>キックオフ会議で決着：国の基本方針・総合計画・障がい福祉計画・地域福祉計画・グッドヘルスプラン（21計画）・生涯学習計画。</t>
        </is>
      </c>
      <c r="F207" s="39" t="inlineStr">
        <is>
          <t>Ⅱ-72</t>
        </is>
      </c>
      <c r="G207" s="39" t="inlineStr">
        <is>
          <t>doc22 §1</t>
        </is>
      </c>
      <c r="H207" s="39" t="inlineStr">
        <is>
          <t>解決済</t>
        </is>
      </c>
      <c r="I207" s="41" t="inlineStr"/>
    </row>
    <row r="208" ht="34" customHeight="1">
      <c r="A208" s="39" t="inlineStr">
        <is>
          <t>―</t>
        </is>
      </c>
      <c r="B208" s="39" t="inlineStr">
        <is>
          <t>Ａ</t>
        </is>
      </c>
      <c r="C208" s="40" t="inlineStr">
        <is>
          <t>データ</t>
        </is>
      </c>
      <c r="D208" s="41" t="inlineStr">
        <is>
          <t>保険者機能強化推進交付金（W系）の福島県平均・全国平均</t>
        </is>
      </c>
      <c r="E208" s="41" t="inlineStr">
        <is>
          <t>厚労省の全国集計表（令和6・7・8年度）の受領により解決。全国平均・中央値・標準偏差・該当率・全国順位を取得し、県内59市町村の生データから県平均・県内順位も算出。</t>
        </is>
      </c>
      <c r="F208" s="39" t="inlineStr">
        <is>
          <t>Ⅱ-65</t>
        </is>
      </c>
      <c r="G208" s="39" t="inlineStr">
        <is>
          <t>doc20§3,§4</t>
        </is>
      </c>
      <c r="H208" s="39" t="inlineStr">
        <is>
          <t>解決済</t>
        </is>
      </c>
      <c r="I208" s="41" t="inlineStr"/>
    </row>
    <row r="209" ht="34" customHeight="1">
      <c r="A209" s="39" t="inlineStr">
        <is>
          <t>―</t>
        </is>
      </c>
      <c r="B209" s="39" t="inlineStr">
        <is>
          <t>Ａ</t>
        </is>
      </c>
      <c r="C209" s="40" t="inlineStr">
        <is>
          <t>データ</t>
        </is>
      </c>
      <c r="D209" s="41" t="inlineStr">
        <is>
          <t>交付要綱の配点表（満点）</t>
        </is>
      </c>
      <c r="E209" s="41" t="inlineStr">
        <is>
          <t>令和8年度評価指標（市町村分）の配点表を受領し解決。推進交付金400点・支援交付金400点、目標Ⅰ〜Ⅳ各100点と判明。</t>
        </is>
      </c>
      <c r="F209" s="39" t="inlineStr">
        <is>
          <t>Ⅱ-65</t>
        </is>
      </c>
      <c r="G209" s="39" t="inlineStr">
        <is>
          <t>doc20§2</t>
        </is>
      </c>
      <c r="H209" s="39" t="inlineStr">
        <is>
          <t>解決済</t>
        </is>
      </c>
      <c r="I209" s="41" t="inlineStr"/>
    </row>
    <row r="210" ht="34" customHeight="1">
      <c r="A210" s="39" t="inlineStr">
        <is>
          <t>―</t>
        </is>
      </c>
      <c r="B210" s="39" t="inlineStr">
        <is>
          <t>Ａ</t>
        </is>
      </c>
      <c r="C210" s="40" t="inlineStr">
        <is>
          <t>データ</t>
        </is>
      </c>
      <c r="D210" s="41" t="inlineStr">
        <is>
          <t>令和6年度・令和7年度の交付金評価結果</t>
        </is>
      </c>
      <c r="E210" s="41" t="inlineStr">
        <is>
          <t>令和6・7・8年度の3か年を指標単位で取得し解決。合計295→339→447点。第10期の基準値は令和8年度447点/800点に置く。</t>
        </is>
      </c>
      <c r="F210" s="39" t="inlineStr">
        <is>
          <t>Ⅱ-65</t>
        </is>
      </c>
      <c r="G210" s="39" t="inlineStr">
        <is>
          <t>doc20§3-1</t>
        </is>
      </c>
      <c r="H210" s="39" t="inlineStr">
        <is>
          <t>解決済</t>
        </is>
      </c>
      <c r="I210" s="41" t="inlineStr"/>
    </row>
    <row r="211" ht="34" customHeight="1">
      <c r="A211" s="39" t="inlineStr">
        <is>
          <t>―</t>
        </is>
      </c>
      <c r="B211" s="39" t="inlineStr">
        <is>
          <t>Ａ</t>
        </is>
      </c>
      <c r="C211" s="40" t="inlineStr">
        <is>
          <t>データ</t>
        </is>
      </c>
      <c r="D211" s="41" t="inlineStr">
        <is>
          <t>高齢化率・認定率・費用額・保険料の福島県平均／全国平均</t>
        </is>
      </c>
      <c r="E211" s="41" t="inlineStr">
        <is>
          <t>地域分析P1〜P4の受領により解決。県内順位・全国順位も入手。</t>
        </is>
      </c>
      <c r="F211" s="39" t="inlineStr">
        <is>
          <t>Ⅱ-56,Ⅱ-58</t>
        </is>
      </c>
      <c r="G211" s="39" t="inlineStr">
        <is>
          <t>doc09</t>
        </is>
      </c>
      <c r="H211" s="39" t="inlineStr">
        <is>
          <t>解決済</t>
        </is>
      </c>
      <c r="I211" s="41" t="inlineStr"/>
    </row>
    <row r="212" ht="34" customHeight="1">
      <c r="A212" s="39" t="inlineStr">
        <is>
          <t>―</t>
        </is>
      </c>
      <c r="B212" s="39" t="inlineStr">
        <is>
          <t>Ａ</t>
        </is>
      </c>
      <c r="C212" s="40" t="inlineStr">
        <is>
          <t>データ</t>
        </is>
      </c>
      <c r="D212" s="41" t="inlineStr">
        <is>
          <t>1人あたり指標に用いる高齢者人口の分母の統一</t>
        </is>
      </c>
      <c r="E212" s="41" t="inlineStr">
        <is>
          <t>C1系の分母がB1第1号被保険者数であることを確認し解決。計画書はB1に統一。</t>
        </is>
      </c>
      <c r="F212" s="39" t="inlineStr">
        <is>
          <t>Ⅱ-59</t>
        </is>
      </c>
      <c r="G212" s="39" t="inlineStr">
        <is>
          <t>doc02§20-2</t>
        </is>
      </c>
      <c r="H212" s="39" t="inlineStr">
        <is>
          <t>解決済</t>
        </is>
      </c>
      <c r="I212" s="41" t="inlineStr"/>
    </row>
    <row r="213" ht="34" customHeight="1">
      <c r="A213" s="39" t="inlineStr">
        <is>
          <t>―</t>
        </is>
      </c>
      <c r="B213" s="39" t="inlineStr">
        <is>
          <t>Ａ</t>
        </is>
      </c>
      <c r="C213" s="40" t="inlineStr">
        <is>
          <t>データ</t>
        </is>
      </c>
      <c r="D213" s="41" t="inlineStr">
        <is>
          <t>国の指針・様式の更新有無</t>
        </is>
      </c>
      <c r="E213" s="41" t="inlineStr">
        <is>
          <t>令和7年8月版の標準様式を入手し逐条突合を完了（要確認0件）。</t>
        </is>
      </c>
      <c r="F213" s="39" t="inlineStr">
        <is>
          <t>Ⅰ-11</t>
        </is>
      </c>
      <c r="G213" s="39" t="inlineStr">
        <is>
          <t>doc04,doc05</t>
        </is>
      </c>
      <c r="H213" s="39" t="inlineStr">
        <is>
          <t>解決済</t>
        </is>
      </c>
      <c r="I213" s="41" t="inlineStr"/>
    </row>
    <row r="214" ht="34" customHeight="1">
      <c r="A214" s="39" t="inlineStr">
        <is>
          <t>―</t>
        </is>
      </c>
      <c r="B214" s="39" t="inlineStr">
        <is>
          <t>Ａ</t>
        </is>
      </c>
      <c r="C214" s="40" t="inlineStr">
        <is>
          <t>疑義</t>
        </is>
      </c>
      <c r="D214" s="41" t="inlineStr">
        <is>
          <t>総合事業の量（F29〜F40）が見える化で埋まるかどうか</t>
        </is>
      </c>
      <c r="E214"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F214" s="39" t="inlineStr">
        <is>
          <t>Ⅱ-56,Ⅱ-106</t>
        </is>
      </c>
      <c r="G214" s="39" t="inlineStr">
        <is>
          <t>doc38§C-2</t>
        </is>
      </c>
      <c r="H214" s="39" t="inlineStr">
        <is>
          <t>解決済</t>
        </is>
      </c>
      <c r="I214" s="41" t="inlineStr"/>
    </row>
    <row r="215" ht="34" customHeight="1">
      <c r="A215" s="39" t="inlineStr">
        <is>
          <t>―</t>
        </is>
      </c>
      <c r="B215" s="39" t="inlineStr">
        <is>
          <t>Ａ</t>
        </is>
      </c>
      <c r="C215" s="40" t="inlineStr">
        <is>
          <t>データ</t>
        </is>
      </c>
      <c r="D215" s="41" t="inlineStr">
        <is>
          <t>国の介護保険事業計画作成支援ツール（将来推計総括表）の出力一式</t>
        </is>
      </c>
      <c r="E215"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F215" s="39" t="inlineStr">
        <is>
          <t>Ⅱ-55,Ⅱ-56,Ⅱ-64</t>
        </is>
      </c>
      <c r="G215" s="39" t="inlineStr">
        <is>
          <t>doc66§1,§2-1</t>
        </is>
      </c>
      <c r="H215" s="39" t="inlineStr">
        <is>
          <t>解決済</t>
        </is>
      </c>
      <c r="I215" s="41" t="inlineStr"/>
    </row>
    <row r="216" ht="34" customHeight="1">
      <c r="A216" s="39" t="inlineStr">
        <is>
          <t>―</t>
        </is>
      </c>
      <c r="B216" s="39" t="inlineStr">
        <is>
          <t>Ａ</t>
        </is>
      </c>
      <c r="C216" s="40" t="inlineStr">
        <is>
          <t>データ</t>
        </is>
      </c>
      <c r="D216" s="41" t="inlineStr">
        <is>
          <t>国の推計ワークシート（第10期）の配布状況と入手時期の照会</t>
        </is>
      </c>
      <c r="E216"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F216" s="39" t="inlineStr">
        <is>
          <t>Ⅱ-62,Ⅱ-64,Ⅱ-107</t>
        </is>
      </c>
      <c r="G216" s="39" t="inlineStr">
        <is>
          <t>doc66§1</t>
        </is>
      </c>
      <c r="H216" s="39" t="inlineStr">
        <is>
          <t>解決済</t>
        </is>
      </c>
      <c r="I216" s="41" t="inlineStr"/>
    </row>
    <row r="217" ht="34" customHeight="1">
      <c r="A217" s="39" t="inlineStr">
        <is>
          <t>―</t>
        </is>
      </c>
      <c r="B217" s="39" t="inlineStr">
        <is>
          <t>Ａ</t>
        </is>
      </c>
      <c r="C217" s="40" t="inlineStr">
        <is>
          <t>方針</t>
        </is>
      </c>
      <c r="D217" s="41" t="inlineStr">
        <is>
          <t>第10期の第1号被保険者数をA案（配布データ）とB案（令和8年実績にリベース）のどちらで置くか</t>
        </is>
      </c>
      <c r="E217"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F217" s="39" t="inlineStr">
        <is>
          <t>Ⅱ-59,Ⅱ-64</t>
        </is>
      </c>
      <c r="G217" s="39" t="inlineStr">
        <is>
          <t>doc66§4-4</t>
        </is>
      </c>
      <c r="H217" s="39" t="inlineStr">
        <is>
          <t>解決済</t>
        </is>
      </c>
      <c r="I217" s="41" t="inlineStr"/>
    </row>
    <row r="218" ht="34" customHeight="1">
      <c r="A218" s="39" t="inlineStr">
        <is>
          <t>―</t>
        </is>
      </c>
      <c r="B218" s="39" t="inlineStr">
        <is>
          <t>Ａ</t>
        </is>
      </c>
      <c r="C218" s="40" t="inlineStr">
        <is>
          <t>方針</t>
        </is>
      </c>
      <c r="D218" s="41" t="inlineStr">
        <is>
          <t>基金取崩額の確認（第9期計画の24,000,000円と議事録の「800万円程度」の関係。年額か期間合計か）</t>
        </is>
      </c>
      <c r="E218"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F218" s="39" t="inlineStr">
        <is>
          <t>Ⅱ-63,Ⅱ-64</t>
        </is>
      </c>
      <c r="G218" s="39" t="inlineStr">
        <is>
          <t>doc66§2,§2-3</t>
        </is>
      </c>
      <c r="H218" s="39" t="inlineStr">
        <is>
          <t>解決済</t>
        </is>
      </c>
      <c r="I218" s="41" t="inlineStr"/>
    </row>
    <row r="219" ht="34" customHeight="1">
      <c r="A219" s="39" t="inlineStr">
        <is>
          <t>―</t>
        </is>
      </c>
      <c r="B219" s="39" t="inlineStr">
        <is>
          <t>Ａ</t>
        </is>
      </c>
      <c r="C219" s="40" t="inlineStr">
        <is>
          <t>データ</t>
        </is>
      </c>
      <c r="D219" s="41" t="inlineStr">
        <is>
          <t>介護給付費準備基金の現在高（令和6年度末実績・令和7年度末見込）</t>
        </is>
      </c>
      <c r="E219" s="41" t="inlineStr">
        <is>
          <t>★10/7 解決：国の推計ワークシートに令和8年度末の見込額42,128,183円が入っていた。決算で確認済のR4年度1,700万円・R5年度810万円の積立を足した額の範囲に収まる。</t>
        </is>
      </c>
      <c r="F219" s="39" t="inlineStr">
        <is>
          <t>Ⅱ-63,Ⅱ-64</t>
        </is>
      </c>
      <c r="G219" s="39" t="inlineStr">
        <is>
          <t>doc66§2</t>
        </is>
      </c>
      <c r="H219" s="39" t="inlineStr">
        <is>
          <t>解決済</t>
        </is>
      </c>
      <c r="I219" s="41" t="inlineStr"/>
    </row>
    <row r="220" ht="34" customHeight="1">
      <c r="A220" s="39" t="inlineStr">
        <is>
          <t>―</t>
        </is>
      </c>
      <c r="B220" s="39" t="inlineStr">
        <is>
          <t>Ａ</t>
        </is>
      </c>
      <c r="C220" s="40" t="inlineStr">
        <is>
          <t>データ</t>
        </is>
      </c>
      <c r="D220" s="41" t="inlineStr">
        <is>
          <t>第10期（令和9〜11年度）の第1号被保険者負担割合を定める政令の公布状況</t>
        </is>
      </c>
      <c r="E220"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F220" s="39" t="inlineStr">
        <is>
          <t>Ⅱ-64</t>
        </is>
      </c>
      <c r="G220" s="39" t="inlineStr">
        <is>
          <t>doc66§6-1</t>
        </is>
      </c>
      <c r="H220" s="39" t="inlineStr">
        <is>
          <t>解決済</t>
        </is>
      </c>
      <c r="I220" s="41" t="inlineStr"/>
    </row>
    <row r="221" ht="34" customHeight="1">
      <c r="A221" s="39" t="inlineStr">
        <is>
          <t>―</t>
        </is>
      </c>
      <c r="B221" s="39" t="inlineStr">
        <is>
          <t>Ａ</t>
        </is>
      </c>
      <c r="C221" s="40" t="inlineStr">
        <is>
          <t>方針</t>
        </is>
      </c>
      <c r="D221" s="41" t="inlineStr">
        <is>
          <t>地域密着型サービスの必要利用定員総数（グループホーム27人を維持するか）</t>
        </is>
      </c>
      <c r="E221"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F221" s="39" t="inlineStr">
        <is>
          <t>Ⅱ-105,Ⅱ-67</t>
        </is>
      </c>
      <c r="G221" s="39" t="inlineStr">
        <is>
          <t>doc66§4-1</t>
        </is>
      </c>
      <c r="H221" s="39" t="inlineStr">
        <is>
          <t>解決済</t>
        </is>
      </c>
      <c r="I221" s="41" t="inlineStr"/>
    </row>
    <row r="222" ht="34" customHeight="1">
      <c r="A222" s="39" t="inlineStr">
        <is>
          <t>―</t>
        </is>
      </c>
      <c r="B222" s="39" t="inlineStr">
        <is>
          <t>Ａ</t>
        </is>
      </c>
      <c r="C222" s="40" t="inlineStr">
        <is>
          <t>方針</t>
        </is>
      </c>
      <c r="D222" s="41" t="inlineStr">
        <is>
          <t>補正係数を①3区分と②前期・後期高齢者別のどちらで用いるか</t>
        </is>
      </c>
      <c r="E222"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F222" s="39" t="inlineStr">
        <is>
          <t>Ⅱ-59</t>
        </is>
      </c>
      <c r="G222" s="39" t="inlineStr">
        <is>
          <t>doc66§4-4</t>
        </is>
      </c>
      <c r="H222" s="39" t="inlineStr">
        <is>
          <t>解決済</t>
        </is>
      </c>
      <c r="I222" s="41" t="inlineStr"/>
    </row>
    <row r="223" ht="34" customHeight="1">
      <c r="A223" s="39" t="inlineStr">
        <is>
          <t>―</t>
        </is>
      </c>
      <c r="B223" s="39" t="inlineStr">
        <is>
          <t>Ａ</t>
        </is>
      </c>
      <c r="C223" s="40" t="inlineStr">
        <is>
          <t>データ</t>
        </is>
      </c>
      <c r="D223" s="41" t="inlineStr">
        <is>
          <t>社会保障審議会介護保険部会（令和8年9月18日）の資料の入手</t>
        </is>
      </c>
      <c r="E223"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F223" s="39" t="inlineStr">
        <is>
          <t>Ⅱ-50,Ⅱ-62,Ⅱ-64</t>
        </is>
      </c>
      <c r="G223" s="39" t="inlineStr">
        <is>
          <t>doc70§2,doc71</t>
        </is>
      </c>
      <c r="H223" s="39" t="inlineStr">
        <is>
          <t>解決済</t>
        </is>
      </c>
      <c r="I223" s="41" t="inlineStr"/>
    </row>
    <row r="224" ht="34" customHeight="1">
      <c r="A224" s="39" t="inlineStr">
        <is>
          <t>A</t>
        </is>
      </c>
      <c r="B224" s="39" t="inlineStr">
        <is>
          <t>Ａ</t>
        </is>
      </c>
      <c r="C224" s="40" t="inlineStr">
        <is>
          <t>疑義</t>
        </is>
      </c>
      <c r="D224" s="41" t="inlineStr">
        <is>
          <t>★第1号被保険者数の前期・後期の内訳が国の様式（3区分）と素案5-2（2区分）で食い違う</t>
        </is>
      </c>
      <c r="E224" s="41"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10/15 解決：素案5-2の表を国の推計ワークシート（将来推計総括表）の値に揃えた。令和9年度444／560、令和10年度425／575、令和11年度405／589、令和12年度386／602で、後期高齢者の割合も55.8／57.5／59.3%と国の値に一致する。2-2の「令和12年度602人」も同じ系列である。3区分で用いる理由は5-2の編集注記に書いた。</t>
        </is>
      </c>
      <c r="F224" s="39" t="inlineStr">
        <is>
          <t>Ⅱ-59,Ⅱ-56</t>
        </is>
      </c>
      <c r="G224" s="39" t="inlineStr">
        <is>
          <t>doc66§4-4</t>
        </is>
      </c>
      <c r="H224" s="39" t="inlineStr">
        <is>
          <t>解決済</t>
        </is>
      </c>
      <c r="I224" s="41" t="inlineStr"/>
    </row>
    <row r="225" ht="34" customHeight="1">
      <c r="A225" s="39" t="inlineStr">
        <is>
          <t>A</t>
        </is>
      </c>
      <c r="B225" s="39" t="inlineStr">
        <is>
          <t>Ａ</t>
        </is>
      </c>
      <c r="C225" s="40" t="inlineStr">
        <is>
          <t>疑義</t>
        </is>
      </c>
      <c r="D225" s="41" t="inlineStr">
        <is>
          <t>★認定者数が国の推計（3か年計629人）と当方の算定（651人）で3.4%食い違う</t>
        </is>
      </c>
      <c r="E225" s="41"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10/15 解決：素案5-3は国の推計ワークシートの値を本則とし、当方の算定（前期・後期別の要介護度別認定率の3か年平均を乗じる方法）を検算として併記する形にした。差は3か年計で22人（3.4%）であり、原因が認定率の置き方であることを本文に書いている。国は要介護度別の実績の推移から直接見込んでおり、当方の3か年平均はその動きを平す。どちらが正しいかではなく、国の様式に提出した値を本則とし、差の所在を示す扱いとした。</t>
        </is>
      </c>
      <c r="F225" s="39" t="inlineStr">
        <is>
          <t>Ⅱ-56,Ⅱ-59</t>
        </is>
      </c>
      <c r="G225" s="39" t="inlineStr">
        <is>
          <t>doc66§3-3,doc18 5-3</t>
        </is>
      </c>
      <c r="H225" s="39" t="inlineStr">
        <is>
          <t>解決済</t>
        </is>
      </c>
      <c r="I225" s="41" t="inlineStr"/>
    </row>
    <row r="226" ht="34" customHeight="1">
      <c r="A226" s="39" t="inlineStr">
        <is>
          <t>B</t>
        </is>
      </c>
      <c r="B226" s="39" t="inlineStr">
        <is>
          <t>Ａ</t>
        </is>
      </c>
      <c r="C226" s="40" t="inlineStr">
        <is>
          <t>方針</t>
        </is>
      </c>
      <c r="D226" s="41" t="inlineStr">
        <is>
          <t>認定率の分母をB1（第1号被保険者数）に統一することの可否</t>
        </is>
      </c>
      <c r="E226" s="41" t="inlineStr">
        <is>
          <t>第9期は同一計画書内に19.0%（193/1,016）と19.7%（197/1,002）が併記されていた。統一すると第9期の公表値と異なる数値を示すことになる。★10/15 解決：本計画は分母を第1号被保険者数（B1）に統一した。第9期の公表値と異なる数値になる点は、2-3に第9期との対比を示すことで扱う。分母の取り方は当方の算定上の整理であり、村のご判断を要するものではない。</t>
        </is>
      </c>
      <c r="F226" s="39" t="inlineStr">
        <is>
          <t>Ⅱ-56,Ⅱ-75</t>
        </is>
      </c>
      <c r="G226" s="39" t="inlineStr">
        <is>
          <t>doc17 C-1,doc02§20-2</t>
        </is>
      </c>
      <c r="H226" s="39" t="inlineStr">
        <is>
          <t>解決済</t>
        </is>
      </c>
      <c r="I226" s="41" t="inlineStr"/>
    </row>
    <row r="227" ht="34" customHeight="1">
      <c r="A227" s="39" t="inlineStr">
        <is>
          <t>B</t>
        </is>
      </c>
      <c r="B227" s="39" t="inlineStr">
        <is>
          <t>Ａ</t>
        </is>
      </c>
      <c r="C227" s="40" t="inlineStr">
        <is>
          <t>データ</t>
        </is>
      </c>
      <c r="D227" s="41" t="inlineStr">
        <is>
          <t>人口データの出所の統一（住基／国勢調査／福島県現住人口調査）</t>
        </is>
      </c>
      <c r="E227" s="41" t="inlineStr">
        <is>
          <t>計画書内で人口の数字が複数出ることを避ける。doc13は社人研＋住基の補正手法を採用。★10/15 解決：将来推計は厚生労働省が配布する住民基本台帳ベースの推計人口（令和8年8月配布）、実績は国勢調査、第1号被保険者数は国の推計ワークシートによる。いずれも素案2-1・2-2・5-2に出所を明記しており、計画書内で出所の異なる人口が並ぶことはない。</t>
        </is>
      </c>
      <c r="F227" s="39" t="inlineStr">
        <is>
          <t>Ⅱ-58,Ⅱ-59</t>
        </is>
      </c>
      <c r="G227" s="39" t="inlineStr">
        <is>
          <t>doc19 追-9</t>
        </is>
      </c>
      <c r="H227" s="39" t="inlineStr">
        <is>
          <t>解決済</t>
        </is>
      </c>
      <c r="I227" s="41" t="inlineStr"/>
    </row>
    <row r="228" ht="34" customHeight="1">
      <c r="A228" s="39" t="inlineStr">
        <is>
          <t>B</t>
        </is>
      </c>
      <c r="B228" s="39" t="inlineStr">
        <is>
          <t>Ａ</t>
        </is>
      </c>
      <c r="C228" s="40" t="inlineStr">
        <is>
          <t>方針</t>
        </is>
      </c>
      <c r="D228" s="41" t="inlineStr">
        <is>
          <t>サービス見込量の前提（受給率を3か年平均とするか令和7年度水準とするか）</t>
        </is>
      </c>
      <c r="E228" s="41" t="inlineStr">
        <is>
          <t>★3か年平均では令和9年度のサービス諸費が令和5年度決算比+1.8%にとどまるが、実績は令和4→5年度で+4.7%伸びている。前提の選び方で保険料が変わるため、委員会に感度分析を示して確認する。★10/15 解決：3か年平均を本則とした。令和7年度水準で置いた場合との差は5-4(10)②③の感応度として併記しており、前提の選び方が保険料をどれだけ動かすかは数字で示されている。委員会にはこの併記のままお示しする。</t>
        </is>
      </c>
      <c r="F228" s="39" t="inlineStr">
        <is>
          <t>Ⅱ-56,Ⅱ-64</t>
        </is>
      </c>
      <c r="G228" s="39" t="inlineStr">
        <is>
          <t>doc30§5-4</t>
        </is>
      </c>
      <c r="H228" s="39" t="inlineStr">
        <is>
          <t>解決済</t>
        </is>
      </c>
      <c r="I228" s="41" t="inlineStr"/>
    </row>
    <row r="229" ht="34" customHeight="1">
      <c r="A229" s="39" t="inlineStr">
        <is>
          <t>B</t>
        </is>
      </c>
      <c r="B229" s="39" t="inlineStr">
        <is>
          <t>Ａ</t>
        </is>
      </c>
      <c r="C229" s="40" t="inlineStr">
        <is>
          <t>疑義</t>
        </is>
      </c>
      <c r="D229" s="41" t="inlineStr">
        <is>
          <t>介護保険法第117条第2項各号・第3項各号および基本指針の記載事項の条項番号の照合</t>
        </is>
      </c>
      <c r="E229" s="41"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10/15 解決：原典を受領したため、外部接続に頼らず照合できた。社会福祉法等の一部を改正する法律案新旧対照条文（data/原典_法令）により第117条の項・号の並びを確定し（doc93）、全国介護保険担当課長会議資料（令和8年7月15日）の53頁以降に収録された基本指針（案）の新旧により基本指針の記載事項を照合した（doc94）。条文単位の対照は scripts/hotei_kisai.py に21件として持ち、点検78が毎回確かめる。</t>
        </is>
      </c>
      <c r="F229" s="39" t="inlineStr">
        <is>
          <t>Ⅱ-53</t>
        </is>
      </c>
      <c r="G229" s="39" t="inlineStr">
        <is>
          <t>doc32§1,§2</t>
        </is>
      </c>
      <c r="H229" s="39" t="inlineStr">
        <is>
          <t>解決済</t>
        </is>
      </c>
      <c r="I229" s="41" t="inlineStr"/>
    </row>
    <row r="230" ht="34" customHeight="1">
      <c r="A230" s="39" t="inlineStr">
        <is>
          <t>B</t>
        </is>
      </c>
      <c r="B230" s="39" t="inlineStr">
        <is>
          <t>Ａ</t>
        </is>
      </c>
      <c r="C230" s="40" t="inlineStr">
        <is>
          <t>方針</t>
        </is>
      </c>
      <c r="D230" s="41" t="inlineStr">
        <is>
          <t>令和9年4月の介護報酬改定率が示された後の単価の扱い</t>
        </is>
      </c>
      <c r="E230" s="41"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10/15 解決：運用を素案5-4(10)①の編集注記に明記した。「改定率が示された時点で、上表（単価の趨勢による補正）は取り下げ、改定率のみを用いる。改定率が示されない場合は趨勢を用いる。どちらか一方である」とした。二重計上は起こらない。</t>
        </is>
      </c>
      <c r="F230" s="39" t="inlineStr">
        <is>
          <t>Ⅱ-56,Ⅱ-64</t>
        </is>
      </c>
      <c r="G230" s="39" t="inlineStr">
        <is>
          <t>doc37§4,doc18 5-4(10)</t>
        </is>
      </c>
      <c r="H230" s="39" t="inlineStr">
        <is>
          <t>解決済</t>
        </is>
      </c>
      <c r="I230" s="41" t="inlineStr"/>
    </row>
    <row r="231" ht="34" customHeight="1">
      <c r="A231" s="39" t="inlineStr">
        <is>
          <t>B</t>
        </is>
      </c>
      <c r="B231" s="39" t="inlineStr">
        <is>
          <t>Ａ</t>
        </is>
      </c>
      <c r="C231" s="40" t="inlineStr">
        <is>
          <t>疑義</t>
        </is>
      </c>
      <c r="D231" s="41" t="inlineStr">
        <is>
          <t>★令和2年（2020年）の年齢3区分の計が総人口に1人足りない理由（国勢調査の年齢不詳か入力の誤りか）</t>
        </is>
      </c>
      <c r="E231" s="41"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はこの分だけを認めている。差は1人であり、素案2-1の15歳未満の1セル以外に影響しない。★10/15 解決：本計画は15歳未満を259人に書き替えず、年齢不詳1人として扱う。図2-1に「令和2年は年齢不詳1人を含むため、年齢区分の合計と総人口が1人異なります」と注記しており（build_figures.py）、点検46が年齢の恒等式を確かめたうえで宣言した1人のみを許す形にしている。数を動かさずに差を明示する扱いで足りる。</t>
        </is>
      </c>
      <c r="F231" s="39" t="inlineStr">
        <is>
          <t>Ⅱ-58,Ⅱ-59</t>
        </is>
      </c>
      <c r="G231" s="39" t="inlineStr">
        <is>
          <t>doc56§1-3</t>
        </is>
      </c>
      <c r="H231" s="39" t="inlineStr">
        <is>
          <t>解決済</t>
        </is>
      </c>
      <c r="I231" s="41" t="inlineStr"/>
    </row>
    <row r="232" ht="34" customHeight="1">
      <c r="A232" s="39" t="inlineStr">
        <is>
          <t>S</t>
        </is>
      </c>
      <c r="B232" s="39" t="inlineStr">
        <is>
          <t>Ａ</t>
        </is>
      </c>
      <c r="C232" s="40" t="inlineStr">
        <is>
          <t>計画構成</t>
        </is>
      </c>
      <c r="D232" s="41" t="inlineStr">
        <is>
          <t>★令和8年法律第51号により介護保険法第117条に加わった記載事項の第10期計画への適用</t>
        </is>
      </c>
      <c r="E232" s="41" t="inlineStr">
        <is>
          <t>令和8年法律第51号（社会福祉法等の一部を改正する法律。令和8年6月25日公布）は、介護保険法第117条に計画の記載事項を加えている。原則の施行は令和9年4月1日であり、第10期計画そのものに掛かる。法律案要綱の第2の14によれば、加わるのは次の7つである。①サービスの種類ごとの量および地域支援事業の量に関する中長期的な推計（義務）②提供体制の確保および地域支援事業の実施に関し中長期的な観点から市町村が取り組むべき施策（義務）③生産性の向上・従事者の確保・経営基盤の確立に資する都道府県と連携した取組（努力義務）④地域支援事業に従事する者の確保・資質の向上に資する都道府県と連携した取組（努力義務）⑤地域支援事業の実施における生産性の向上に資する都道府県と連携した取組（努力義務）⑥有料老人ホーム等の入居定員総数と、医療と介護の関係者の連携の状況の勘案⑦中長期的な推計を定めるときの都道府県への意見聴取（手続）次の3点をご教示いただきたい。・改正後の条文における号の並び（新旧対照条文。既存の号が繰り下がるか）。国の計画作成支援ツールや様式に反映されるかもあわせて。・都道府県への意見聴取（上記の7つ目）の時期と様式。県からの指示の有無。・医療と介護の関係者の連携の状況について、会津区域の値をどこから取るか。★10/15 起票：条文単位の対照を作ったところ、上記のうち7つが本計画に書かれていないことが分かった（scripts/hotei_kisai.py・点検78）。うち中長期的な推計と中長期的な観点からの施策の2つは義務であり、書かなければ計画が法の求めを満たさない。原典は法律案要綱（厚生労働省）を受領して確かめた。★10/15 新旧対照条文を受領し、号の並びを確かめた（https://www.mhlw.go.jp/content/001685803.pdf。PDF 91〜95頁）。号の番号を素案の本文に書き入れた。確かめて分かった訂正が2つある。ア「都道府県と連携した取組」は現行法にも既にあり（第3項第4号・第5号）、改正は文言の整理である。本計画に0件だったのは改正への未対応ではなく、現行法の努力義務を書いていなかったということである。イ 都道府県への意見聴取も現行第13項に既にあり、改正は対象の拡大（第2項第1号・第2号から第1号から第3号まで）である。現行法でも量の見込みについて意見聴取が要る。これも書いていなかった。あわせて、新第5項の挿入により現行の第5項から第7項が第6項から第8項へ繰り下がるため、本計画が引いている項番号（1-4の医療計画との整合）を条文で確かめる必要がある（5-12に掲げた）。また中長期的な推計のうち量は、現行の第3項第3号の努力義務から第2項第3号の義務へ格上げされた。費用と保険料の水準は努力義務のまま残る。★10/15 全国介護保険担当課長会議資料（令和8年7月15日）を受領し、残っていた3点のうち2点が原典により解けた。ア 有料老人ホーム等の入居定員総数は、県が令和7年6月時点の情報を把握して市町村へ提供する（サービス付き高齢者向け住宅は情報提供システムによる）。要介護者の入居状況は可能な限りの把握でよく、登録制の開始を理由に計画を変更する必要はないとされている。イ 医療計画との整合の方法は、令和8年7月14日付け3課長連名通知が示しており、第9期までの傾向を令和11年度まで伸ばすことを基本とするとされている。本計画の見込量はこの考え方によっている。1-4に引いた。ウ 項番号については、新旧対照条文 PDF 95頁の第120条の2が「第117条第5項の規定による市町村の分析」を引いていることから、現行の第5項は分析の規定であって医療計画との整合の規定ではないことが分かった。1-4の「第117条第5項」は誤りであり、項番号を落として引き直した。残るのは意見聴取の時期と様式、および会津区域の連携の状況の2点である。★当方の扱い：ご回答を待たず、要綱と新旧対照条文により書ける範囲は素案に加えた（資10の新設ほか。doc92）。許容を115頁とするご判断をいただいたため、削減案A〜Mをすべて行って113頁に収まっている。★10/15 解決：要綱・新旧対照条文・課長会議資料の3点を原典として受領し、加わった記載事項をすべて素案に反映した（doc92・doc93・doc94）。義務の2つ（中長期的な推計・中長期的な観点から取り組むべき施策）は資10と5-11に置き、努力義務の3つは5-5・施策4-3・施策4-6に、勘案の2つは資10に、都道府県への意見聴取は1-6に書いた。点検78が条文21件すべてを毎回確かめる。</t>
        </is>
      </c>
      <c r="F232" s="39" t="inlineStr">
        <is>
          <t>Ⅱ-72,Ⅱ-110,Ⅱ-113</t>
        </is>
      </c>
      <c r="G232" s="39" t="inlineStr">
        <is>
          <t>素案5-11,5-5,施策4-3,施策4-6,1-6／法律案要綱 第2の14</t>
        </is>
      </c>
      <c r="H232" s="39" t="inlineStr">
        <is>
          <t>解決済</t>
        </is>
      </c>
      <c r="I232" s="41" t="inlineStr"/>
    </row>
    <row r="233" ht="34" customHeight="1">
      <c r="A233" s="39" t="inlineStr">
        <is>
          <t>A</t>
        </is>
      </c>
      <c r="B233" s="39" t="inlineStr">
        <is>
          <t>Ａ</t>
        </is>
      </c>
      <c r="C233" s="40" t="inlineStr">
        <is>
          <t>疑義</t>
        </is>
      </c>
      <c r="D233" s="41" t="inlineStr">
        <is>
          <t>★後期高齢者加入割合補正係数（F）の算出方法（当方の復元が国の値と一致しない）</t>
        </is>
      </c>
      <c r="E233" s="41"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10/19 解決：復元できた。Ｆ＝全国の加重平均1人あたり給付費÷本村の加重平均1人あたり給付費であり、加重平均はいずれも、年齢3区分の加入割合に全国の区分別1人あたり給付費を乗じて合計したものである。全国の加入割合と区分別単価（前期4,296円・75〜84歳17,647円・85歳以上80,362円）は将来推計総括表の「(参考)保険料の推計に要する係数」にあり、本村の3区分は同総括表の被保険者数（令和9年度 前期444・75〜84歳357・85歳以上203）である。令和9・10・11・12・17・22年度の6年度とも、復元した値が国の値と0.0005以内で一致した。一致しなかったのは割る向きと年度の並びの取り違えである。scripts/verify_worksheet.py に点検を設け、毎回確かめる（向きを逆にすると落ちる）。</t>
        </is>
      </c>
      <c r="F233" s="39" t="inlineStr">
        <is>
          <t>Ⅱ-62,Ⅱ-64,Ⅱ-107</t>
        </is>
      </c>
      <c r="G233" s="39" t="inlineStr">
        <is>
          <t>doc68§3</t>
        </is>
      </c>
      <c r="H233" s="39" t="inlineStr">
        <is>
          <t>解決済</t>
        </is>
      </c>
      <c r="I233" s="41" t="inlineStr"/>
    </row>
    <row r="234" ht="34" customHeight="1">
      <c r="A234" s="39" t="inlineStr">
        <is>
          <t>A</t>
        </is>
      </c>
      <c r="B234" s="39" t="inlineStr">
        <is>
          <t>Ａ</t>
        </is>
      </c>
      <c r="C234" s="40" t="inlineStr">
        <is>
          <t>分析</t>
        </is>
      </c>
      <c r="D234" s="41" t="inlineStr">
        <is>
          <t>在宅介護実態調査の集計設計（要介護度3区分×介護者勤務形態3区分のセル数）</t>
        </is>
      </c>
      <c r="E234" s="41"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10/19 解決：要介護度を2区分（軽度＝要支援1〜要介護2／中重度＝要介護3〜5）に束ね、介護者勤務形態3区分との6セルとする。回収70〜80件で1セル平均12件前後となり、doc16§6の「該当数10未満のクロス集計は統合または非表示」に収まる。それでも10未満になるセルは、比率を付さず実数のみを示す。3区分×3区分の9セル（1セル平均8件前後）は採らない。</t>
        </is>
      </c>
      <c r="F234" s="39" t="inlineStr">
        <is>
          <t>Ⅰ-45</t>
        </is>
      </c>
      <c r="G234" s="39" t="inlineStr">
        <is>
          <t>doc34§5-2</t>
        </is>
      </c>
      <c r="H234" s="39" t="inlineStr">
        <is>
          <t>解決済</t>
        </is>
      </c>
      <c r="I234" s="41" t="inlineStr"/>
    </row>
    <row r="235" ht="34" customHeight="1">
      <c r="A235" s="39" t="inlineStr">
        <is>
          <t>A</t>
        </is>
      </c>
      <c r="B235" s="39" t="inlineStr">
        <is>
          <t>Ａ</t>
        </is>
      </c>
      <c r="C235" s="40" t="inlineStr">
        <is>
          <t>分析</t>
        </is>
      </c>
      <c r="D235" s="41" t="inlineStr">
        <is>
          <t>ICF分析は標準設問のみで完結することの確認</t>
        </is>
      </c>
      <c r="E235" s="41" t="inlineStr">
        <is>
          <t>★ICFの5領域（健康状態・心身機能・活動・参加・環境因子）はすべて標準の必須＋オプション項目で埋まる。分析のための独自設問の追加は不要。推奨対応は問7(7)の採用の1件のみ。★10/19 解決：標準の必須項目とオプション項目でICFの5領域（健康状態・心身機能・活動・参加・環境因子）がすべて埋まることを確かめた。分析のための独自設問は追加しない。推奨していた問7(7)の採用については、採否が調査票の側の判断であり、分析の成立には影響しない。</t>
        </is>
      </c>
      <c r="F235" s="39" t="inlineStr">
        <is>
          <t>Ⅰ-95</t>
        </is>
      </c>
      <c r="G235" s="39" t="inlineStr">
        <is>
          <t>doc23§3-4</t>
        </is>
      </c>
      <c r="H235" s="39" t="inlineStr">
        <is>
          <t>解決済</t>
        </is>
      </c>
      <c r="I235" s="41" t="inlineStr"/>
    </row>
    <row r="236" ht="34" customHeight="1">
      <c r="A236" s="39" t="inlineStr">
        <is>
          <t>A</t>
        </is>
      </c>
      <c r="B236" s="39" t="inlineStr">
        <is>
          <t>Ａ</t>
        </is>
      </c>
      <c r="C236" s="40" t="inlineStr">
        <is>
          <t>データ</t>
        </is>
      </c>
      <c r="D236" s="41" t="inlineStr">
        <is>
          <t>国の推計ワークシートが求める在宅サービス利用率の分母</t>
        </is>
      </c>
      <c r="E236" s="41" t="inlineStr">
        <is>
          <t>総括表の元になった推計ワークシート本体（入力シート）のファイルをご提供いただきたい。在宅サービス利用率の分母が何であるかが、受領した総括表（出力）からは特定できないためである。分母の取り違えは見込量を数割動かす（要介護1で58.8%→86.1%、要介護4で26.8%→70.1%、要介護2は107.7%と100%超）。★★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10/10：受領した将来推計総括表を調べた。(1)「1_推計値サマリ」に「在宅サービス受給率＝在宅サービス利用者数÷第1号被保険者数」と補足があるが、これは総括表のグラフに用いる受給率の定義であり、推計に用いる利用率の分母ではない。(2)「4_施策反映の解説」は推計手法を「サービス別／要介護度別に推計する」「在宅サービス利用者数 推計に用いた利用率の伸び：令和7年度→令和8年度の伸び」とするのみで、分母を書いていない。(3) 総括表から在宅・施設居住系の利用者数を復元し、4つの分母の候補（認定者数総数／同－施設居住系／認定者数うち第1号／同－施設居住系）で利用率を出したが、いずれも年度を通じて一定にも等比にもならない。推計が要介護度別に行われているため、合算の利用率は要介護度の構成で動く。したがって総括表（出力）だけでは分母を特定できない。分母の特定にはワークシート本体が要る（doc85）。★10/19 解決：分母は要介護度別認定者数である。見える化システムが公表している利用率と、受給者数を分母の候補で除した値を51組で突き合わせたところ、要介護度別認定者数では21組が±0.6ポイント以内で一致し、第1号被保険者数では0組であった（data/第10期_利用率の分母の検算.csv・素案5-4）。国のツールが用いる「認定者数－施設・居住系利用者数」の分母に置き換えた場合の差も5-4の編集注記に併記した。入力シートの受領を待たずに確定できる。</t>
        </is>
      </c>
      <c r="F236" s="39" t="inlineStr">
        <is>
          <t>Ⅱ-56</t>
        </is>
      </c>
      <c r="G236" s="39" t="inlineStr">
        <is>
          <t>doc37§3,doc18 5-4</t>
        </is>
      </c>
      <c r="H236" s="39" t="inlineStr">
        <is>
          <t>解決済</t>
        </is>
      </c>
      <c r="I236" s="41" t="inlineStr"/>
    </row>
    <row r="237" ht="34" customHeight="1">
      <c r="A237" s="39" t="inlineStr">
        <is>
          <t>B</t>
        </is>
      </c>
      <c r="B237" s="39" t="inlineStr">
        <is>
          <t>Ａ</t>
        </is>
      </c>
      <c r="C237" s="40" t="inlineStr">
        <is>
          <t>疑義</t>
        </is>
      </c>
      <c r="D237" s="41" t="inlineStr">
        <is>
          <t>要介護2の3区分の利用率の合計が101.5%となること</t>
        </is>
      </c>
      <c r="E237" s="41"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10/19 解決：誤りではなく、受給者数が年度の延べであることによる。年度の途中で在宅から施設へ移った方が両方に数えられるため、合計が100%を超え得る。重複の大きさは超過分の1.5%に当たる。素案5-4の本文にこの旨を書いており、実人数への置き換えは行わない（見込量は延べの受給者数で立てるためである）。</t>
        </is>
      </c>
      <c r="F237" s="39" t="inlineStr">
        <is>
          <t>Ⅱ-56</t>
        </is>
      </c>
      <c r="G237" s="39" t="inlineStr">
        <is>
          <t>doc37§3-2,doc18 5-4</t>
        </is>
      </c>
      <c r="H237" s="39" t="inlineStr">
        <is>
          <t>解決済</t>
        </is>
      </c>
      <c r="I237" s="41" t="inlineStr"/>
    </row>
    <row r="238" ht="34" customHeight="1">
      <c r="A238" s="39" t="inlineStr">
        <is>
          <t>B</t>
        </is>
      </c>
      <c r="B238" s="39" t="inlineStr">
        <is>
          <t>Ａ</t>
        </is>
      </c>
      <c r="C238" s="40" t="inlineStr">
        <is>
          <t>データ</t>
        </is>
      </c>
      <c r="D238" s="41" t="inlineStr">
        <is>
          <t>図2-9の平成29年度の1人1月あたり費用額（25,039円）の出所</t>
        </is>
      </c>
      <c r="E238" s="41" t="inlineStr">
        <is>
          <t>見える化の地域分析P3は平成30年度からの収録であり、平成29年度の値を突き合わせられない。図2-14が平成29年度を起点とするため図2-9も同年度から描いている。別の出所によるものか確かめる。★10/19 解決：出所を辿れなかったため、図2-9から平成29年度を落とした。費用額の正本である見える化システムのP3（介護費用額の推移）は平成30年度からの収録であり、村・県・全国のいずれも平成29年度の値がない。図2-14（サービス区分別の変化）が平成29年度を起点とするのに引かれて置いていたが、そちらは給付月額（D6系）であって費用額ではない。出所の違うものを並べない。あわせて build_figures.py の横軸を正本（data_zuhyo の cats）から引く形に改め、正本から年度を落としたときに図の本数が合わなくなるようにした。</t>
        </is>
      </c>
      <c r="F238" s="39" t="inlineStr">
        <is>
          <t>Ⅱ-58</t>
        </is>
      </c>
      <c r="G238" s="39" t="inlineStr">
        <is>
          <t>doc51§2-3</t>
        </is>
      </c>
      <c r="H238" s="39" t="inlineStr">
        <is>
          <t>解決済</t>
        </is>
      </c>
      <c r="I238" s="41" t="inlineStr"/>
    </row>
    <row r="239" ht="34" customHeight="1">
      <c r="A239" s="39" t="inlineStr">
        <is>
          <t>A</t>
        </is>
      </c>
      <c r="B239" s="39" t="inlineStr">
        <is>
          <t>Ａ</t>
        </is>
      </c>
      <c r="C239" s="40" t="inlineStr">
        <is>
          <t>分析</t>
        </is>
      </c>
      <c r="D239" s="41" t="inlineStr">
        <is>
          <t>★リスク判定10種の該当基準（見える化システムの算出方法との突合）</t>
        </is>
      </c>
      <c r="E239" s="41"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18.5以下のみ。他9種は基本チェックリストに準じた案を置いているが、独自基準では全国・県と比較できない。手引きは算出方法が将来更新され得るとも記載しており、第9期の基準の流用も不可。★10/19 必要な資料を特定した。見える化システムの指標の説明のうち、介護予防・日常生活圏域ニーズ調査のリスク判定（運動器機能低下・閉じこもり・転倒・低栄養・口腔機能低下・認知機能低下・うつ・IADL低下・社会的孤立・虚弱）の該当基準が書かれた画面または手引きをご提供いただきたい。システム内の指標の説明（「i」の吹き出し）か、ニーズ調査の分析支援ツールの手引きに当たる。これが得られれば、本計画のリスク判定を国と同じ基準に揃え、全国・県と比較できる。得られない場合は独自基準のままとし、全国・県との比較を行わない旨を注記する。★10/19 解決：「介護予防・日常生活圏域ニーズ調査 実施の手引き」（第10期用）を受領し、該当基準を原典で確定した（data/原典_調査。Q34運動器・Q35口腔・Q36低栄養・Q37認知機能、および参考資料2「設問の意図」の転倒・閉じこもり・うつ）。受領前に置いていた案のうち3つが原典と違っており、改めた。ア R01運動器は、問2(1)(2)(3)の3項目のうち「できない」が2項目以上としていたが、原典は問2(1)〜(5)の5項目のうち3項目以上であり、転倒経験と転倒不安も数える。イ R04低栄養は、BMI18.5以下または体重減少としていたが、原典は2段構えで、BMI18.5以下が「低栄養が疑われる」、これに体重減少が加わると「低栄養状態」である。後者はR04Sとして分け、R99の該当領域数には数えない。ウ R06認知機能は、問4(1)(2)(3)のいずれかとしていたが、原典は問4(1)だけである。原典に該当基準の記載がないのはR07・R08・R09の3つで、老研式活動能力指標の区分に準じた当方の定義である。これらは見える化システムの全国・県の値と比べず、集計仕様書と報告書の骨子に【当方の定義】と付した。判定の直しは、欠陥を戻すと結果が変わることを作った行で確かめてある。</t>
        </is>
      </c>
      <c r="F239" s="39" t="inlineStr">
        <is>
          <t>Ⅰ-46</t>
        </is>
      </c>
      <c r="G239" s="39" t="inlineStr">
        <is>
          <t>doc25§4-2 K-91</t>
        </is>
      </c>
      <c r="H239" s="39" t="inlineStr">
        <is>
          <t>解決済</t>
        </is>
      </c>
      <c r="I239" s="41" t="inlineStr"/>
    </row>
    <row r="240" ht="34" customHeight="1">
      <c r="A240" s="39" t="inlineStr">
        <is>
          <t>B</t>
        </is>
      </c>
      <c r="B240" s="39" t="inlineStr">
        <is>
          <t>Ａ</t>
        </is>
      </c>
      <c r="C240" s="40" t="inlineStr">
        <is>
          <t>疑義</t>
        </is>
      </c>
      <c r="D240" s="41" t="inlineStr">
        <is>
          <t>認知症高齢者自立度（B7）の認定者数合計が認定者数（B4-a）と一致しない</t>
        </is>
      </c>
      <c r="E240" s="41"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10/19 必要な資料を特定した。見える化システムの指標の説明のうちB4-a（認定者数）とB7（認知症高齢者の日常生活自立度の状況）の2つ、すなわち出典・集計時点・集計範囲（第2号被保険者を含むか、自立度の判定が未記入の者をどう扱うか）が書かれた部分をご提供いただきたい。あわせてB7の時系列の出力があれば、時点の差によるものかを当方で確かめられる。素案2-3は構成比を中心に記載しており、定義が確かめられるまで実数は掲げない。★10/19 解決：見える化システムの指標の解説（B7・B4-a）を受領し、差の理由が確定した。出どころの database が違う。B7は厚生労働省「介護保険総合データベース」、B4-aは同「介護保険事業状況報告」の月報・年報である。B7は各年4月末日および10月末日の二時点で要介護認定を受けていた要支援・要介護認定者を集計対象とし、自立度は各人の直近の認定時点のものである。B4-aの認定率は要支援・要介護認定者数を第1号被保険者数で除した値である。あわせて受領したB7の最新の出力（令和8年4月末まで）では認定者数合計275人であり、B4-aの同時点211人に対し30.3%高い。令和6年10月末でも253人対200人で同程度の開きがあり、差は年によらず一定である。データベースの違いによる構造的なものであって、本村固有の異常ではない。素案2-3はB7の構成比のみを用い実数を混ぜない扱いを続ける。</t>
        </is>
      </c>
      <c r="F240" s="39" t="inlineStr">
        <is>
          <t>Ⅱ-53</t>
        </is>
      </c>
      <c r="G240" s="39" t="inlineStr">
        <is>
          <t>doc36§2,doc18 2-3</t>
        </is>
      </c>
      <c r="H240" s="39" t="inlineStr">
        <is>
          <t>解決済</t>
        </is>
      </c>
      <c r="I240" s="41" t="inlineStr"/>
    </row>
    <row r="241" ht="34" customHeight="1">
      <c r="A241" s="39" t="inlineStr">
        <is>
          <t>A</t>
        </is>
      </c>
      <c r="B241" s="39" t="inlineStr">
        <is>
          <t>Ａ</t>
        </is>
      </c>
      <c r="C241" s="40" t="inlineStr">
        <is>
          <t>データ</t>
        </is>
      </c>
      <c r="D241" s="41" t="inlineStr">
        <is>
          <t>介護ＳＣＲ（標準化レセプト出現比）データの提供</t>
        </is>
      </c>
      <c r="E241" s="41"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10/19 解決：介護ＳＣＲの3ファイル（住所地ベースのＳＣＲ、事業所所在地ベースのｘＳＣＲ［二次医療圏版・老人福祉圏域版］）と「介護ＳＣＲの概説と利用上の留意点」（令和8年6月）を受領した（data/原典_SCR）。本村の行だけを取り出して data/第10期_介護SCR.csv に収めた。ア 名称を改めた。概説により本指標の分子はレセプトコード出現数（件数）であって給付費ではないため、「標準化給付費比」は誤りで、正しくは標準化レセプト出現比である。当方が受領前に置いていた呼び方の誤りであり、素案5-8(4)と確認事項の本文を改めた。イ 二次医療圏版（MED）と老人福祉圏域版（WEL）は圏域の区切りが違うだけで、市町村の行の値は同一であることを確かめた。本村については2系列で足りる。ウ 令和5年度の値は、介護給付系がＳＣＲ59.0・ｘＳＣＲ29.3、訪問系が21.9・7.4、通所系が78.5・120.6、居住系が170.4・188.3、施設系が77.2・0.0である。ｘＳＣＲが0でないサービス種別は訪問介護・通所介護・認知症対応型共同生活介護・居宅介護支援・介護予防支援の5つで、村内に所在する事業所の構成と一致した。エ ｘＳＣＲ÷ＳＣＲは自給率とは別のものである。ｘＳＣＲの分子には村外の方への提供が含まれるため、両者を同じ指標として扱わない旨を素案2-5に注記した。オ 素案2-5に「介護ＳＣＲによる需要と供給の対比」を新設し、5-8(4)を適正化の重点の選び方として書き替えた。資7に出どころを加えた。なお、未受領のものに将来推計（SCRPACKRMEDPRED2025_2050・SCRPACKRWELPRED2025_2050。2025年を100として2050年まで5年刻み）がある。別に確認事項として起こした。</t>
        </is>
      </c>
      <c r="F241" s="39" t="inlineStr">
        <is>
          <t>Ⅱ-109,Ⅱ-61</t>
        </is>
      </c>
      <c r="G241" s="39" t="inlineStr">
        <is>
          <t>doc46§4</t>
        </is>
      </c>
      <c r="H241" s="39" t="inlineStr">
        <is>
          <t>解決済</t>
        </is>
      </c>
      <c r="I241" s="41" t="inlineStr"/>
    </row>
    <row r="242" ht="34" customHeight="1">
      <c r="A242" s="39" t="inlineStr">
        <is>
          <t>B</t>
        </is>
      </c>
      <c r="B242" s="39" t="inlineStr">
        <is>
          <t>Ａ</t>
        </is>
      </c>
      <c r="C242" s="40" t="inlineStr">
        <is>
          <t>疑義</t>
        </is>
      </c>
      <c r="D242" s="41" t="inlineStr">
        <is>
          <t>★「見える化」地域分析の「在宅死亡者数（自宅）」の単位（36.74・単位は「人」とされている）</t>
        </is>
      </c>
      <c r="E242" s="41" t="inlineStr">
        <is>
          <t>見える化の指標の説明の画面を開き、「在宅死亡者数（自宅）」の分母の記載をご確認いただきたい。村のアカウントでなければ開けない画面であり、当方はファイルの提供を受けて作業しているため開けない。素案2-5および資6の事項三にあたる。δ1-c 医療介護連携に収録されている値で、偏差値は33.68と全国平均を大きく下回る。値36.74の単位が「人」とされているが、本村の年間死亡数に照らすと実数とは考えられず、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10/19 解決：指標の解説（L27-c）で単位が人口10万人あたりであることを確かめ、さらに表形式の出力を受領して、表形式にも実数値が収録されていないこと、収録が平成30年度・令和元年度の2か年のみであることを確かめた。値36.74（素案の記載）は人口10万人あたりの死亡者数であり、本村の人口規模では実数1人に当たる。基本指針の別表 事項三への対応を「一部」から「対応」に改めた。村にお尋ねすることは残っていない。</t>
        </is>
      </c>
      <c r="F242" s="39" t="inlineStr">
        <is>
          <t>Ⅱ-54,Ⅱ-56</t>
        </is>
      </c>
      <c r="G242" s="39" t="inlineStr">
        <is>
          <t>doc56§3-2,doc61§2</t>
        </is>
      </c>
      <c r="H242" s="39" t="inlineStr">
        <is>
          <t>解決済</t>
        </is>
      </c>
      <c r="I242" s="41" t="inlineStr"/>
    </row>
    <row r="243" ht="34" customHeight="1">
      <c r="A243" s="39" t="inlineStr">
        <is>
          <t>C</t>
        </is>
      </c>
      <c r="B243" s="39" t="inlineStr">
        <is>
          <t>Ａ</t>
        </is>
      </c>
      <c r="C243" s="40" t="inlineStr">
        <is>
          <t>データ</t>
        </is>
      </c>
      <c r="D243" s="41" t="inlineStr">
        <is>
          <t>死亡場所別の死亡数（人口動態統計の市町村別の公表の粒度）</t>
        </is>
      </c>
      <c r="E243" s="41" t="inlineStr">
        <is>
          <t>人口動態統計で死亡場所別の死亡数が本村の単位で得られるかどうかを、ご確認いただきたい。数そのものではなく、まず得られるかどうかだけで足りる。施策4-3の看取りへの対応の裏付けに用いる。本村の規模では公表の粒度により値が得られない可能性がある。得られない場合は、基本指針の別表 事項三を「一部」のままとし、「見える化」の在宅死亡者数（自宅）の偏差値を代わりに掲げる（素案2-5・資6）。★10/19 必要な資料を特定した。見える化システムの地域分析の「在宅死亡者数（自宅）」について、指標の説明（出典・分子と分母・単位）をご提供いただきたい。本村の値は36.74で単位が「人」とされているが、本村の年間死亡数に照らすと実数ではなく、割合か人口あたりの率とみられる。定義が確かめられれば、基本指針の別表「事項三 死亡場所別の死亡数」への対応を「一部」から改められる（素案2-5・資6）。人口動態統計そのもので市町村別の死亡場所別死亡数が得られるかは、当方の環境からe-Statに接続できないため確かめられていない。★10/19 見える化システムの指標の解説（L27-c）により、36.74は人口10万人あたりの値であり表形式では実数値も確認できることが分かった。当方は定義の確認を終えた。死亡場所別は L27-a（介護老人保健施設）・L27-b（老人ホーム）・L27-c（自宅）の3系列で取れる。表形式（実数値を含む）の出力のご提供をお願いする★10/19 解決：L27-a（介護老人保健施設）・L27-b（老人ホーム）・L27-c（自宅）の表形式の出力を受領した（data/mieruka_raw_追加分8）。ア 単位は人口10万人あたりで確定した（指標の解説と一致）。イ 表形式のシートにも実数値は収録されていなかった。雛形の行だけで値がなく、実値は「グラフの数値データ（時系列）」シートに人口10万人あたりの値として入っている。見える化システムは本指標の実数を出力しない。ウ 収録は平成30年度と令和元年度の2か年のみであり、村のご指摘のとおり令和元年度より新しい値は得られない。エ 値は、自宅が平成30年度36.0・令和元年度36.7、介護老人保健施設が0.0・36.7、老人ホームが0.0・0.0である。本村の人口規模では36.7が実数1人に当たるため、いずれの年も実数は0人または1人であり、年による動きから傾向は読めない。オ 3系列が揃ったため、基本指針の別表「事項三 死亡場所別の死亡数」への対応を「一部」から「対応」に改めた。素案2-5に3系列の表を置き、実数が0人または1人に当たる旨と収録年の限界を注記した。目標の設定には用いない。</t>
        </is>
      </c>
      <c r="F243" s="39" t="inlineStr">
        <is>
          <t>Ⅱ-56</t>
        </is>
      </c>
      <c r="G243" s="39" t="inlineStr">
        <is>
          <t>doc49§2-4</t>
        </is>
      </c>
      <c r="H243" s="39" t="inlineStr">
        <is>
          <t>解決済</t>
        </is>
      </c>
      <c r="I243" s="41" t="inlineStr"/>
    </row>
    <row r="244" ht="34" customHeight="1">
      <c r="A244" s="39" t="inlineStr">
        <is>
          <t>B</t>
        </is>
      </c>
      <c r="B244" s="39" t="inlineStr">
        <is>
          <t>Ａ</t>
        </is>
      </c>
      <c r="C244" s="40" t="inlineStr">
        <is>
          <t>データ</t>
        </is>
      </c>
      <c r="D244" s="41" t="inlineStr">
        <is>
          <t>介護ＳＣＲの将来推計（SCRPACKRWELPRED2025_2050）の提供</t>
        </is>
      </c>
      <c r="E244" s="41" t="inlineStr">
        <is>
          <t>10/19に受領した介護ＳＣＲの概説（別添1）により、同じ研究班が将来推計のデータセットも作っていることが分かった。SCRPACKRMEDPRED2025_2050・SCRPACKRWELPRED2025_2050の2つで、2025年を100として2050年まで5年刻みの各年のサービス需要の変化率を、サービス区分227区分について市町村別に収めたものである。本村は2025年以降に第1号被保険者数が減る局面に入るため、需要がいつ頭打ちになりどの速さで減るかは、施設・居住系の整備の是非（5-4(5)）と中長期の見通し（5-11）に直接効く。当方は人口推計から給付費を伸ばす形で推計しているが、この推計は同じ考え方（性・年齢階級別の出現率を据え置き、将来推計人口を乗じる）であるため、当方の推計の妥当性を外から確かめる材料になる。受領済みの3ファイルと同じ出どころであるため、併せてご提供いただけるかお尋ねしたい。なお、MED版とWEL版は圏域の区切りが違うだけで市町村の行の値は同一であることを受領済みのファイルで確かめているため、いずれか1つで足りる。得られない場合は、当方の人口推計による伸ばし方をそのまま用いる（計画の算定は止まらない）。★10/19 解決（受領しないことで決着）：村より、SCRPACKRWELPRED2025_2050はデータが重く添付できないため、そのまま進めるようご指示をいただいた。本計画は当方の人口推計（国立社会保障・人口問題研究所の地域別将来推計人口を基礎とし、性・年齢階級別の受給率を据え置いて伸ばす方法。5-1・5-4）をそのまま用いる。考え方は将来推計のデータセットと同じであるため、外からの確かめが得られないだけで、算定の方法は変わらない。素案に将来推計の値は掲げない。</t>
        </is>
      </c>
      <c r="F244" s="39" t="inlineStr">
        <is>
          <t>Ⅱ-109,Ⅱ-61</t>
        </is>
      </c>
      <c r="G244" s="39" t="inlineStr">
        <is>
          <t>doc99§1</t>
        </is>
      </c>
      <c r="H244" s="39" t="inlineStr">
        <is>
          <t>解決済</t>
        </is>
      </c>
      <c r="I244" s="41" t="inlineStr"/>
    </row>
    <row r="245" ht="34" customHeight="1">
      <c r="A245" s="39" t="inlineStr">
        <is>
          <t>A</t>
        </is>
      </c>
      <c r="B245" s="39" t="inlineStr">
        <is>
          <t>Ａ</t>
        </is>
      </c>
      <c r="C245" s="40" t="inlineStr">
        <is>
          <t>データ</t>
        </is>
      </c>
      <c r="D245" s="41" t="inlineStr">
        <is>
          <t>★本村の介護報酬の地域区分（級地）と、令和9年度の改定における見直しの有無</t>
        </is>
      </c>
      <c r="E245" s="41" t="inlineStr">
        <is>
          <t>介護報酬の1単位あたりの単価は地域区分（級地）により定められている。本計画の単価は本村の給付費の実績から算出しているため現行の地域区分が織り込まれているが、級地そのものを素案に書いていなかったため、見直しがあったときにどこが動くかを追えなかった。次の2点をご教示いただきたい。①本村に適用されている地域区分（級地）と、その根拠となる告示。②令和9年度の介護報酬改定において地域区分の見直しが本村に及ぶかの県からの情報。★10/14 起票：令和9年度改定に向けた検討の論点を整理したところ、地域区分が素案に0件であることが分かった。地域区分は国家公務員の地域手当に準拠して定めることを原則としており、社会保障審議会介護給付費分科会で見直しの論点に挙げられている。級地が変わると、単価の趨勢（5-4(10)の年1.30%）や改定率とは別に単価が動く。素案5-4(10)に地域区分が単価の前提であることを書き、5-12に確定の条件を掲げた。★当方の扱い：ご回答がない場合、現行の地域区分が給付費の実績に織り込まれている前提のまま算定し、5-12に確定の条件として掲げてお示しする。★10/20 解決：ネットワークの設定が改められ厚生労働省のサイトに接続できるようになったため、当方で確かめた。社会保障審議会介護給付費分科会（第262回・令和8年8月5日）資料3「地域区分」による。ア 本村の地域区分は「その他」であり、上乗せ割合は0％である。令和6年度から令和8年度までの地域区分の適用地域の一覧に福島県の市町村の記載はなく、県内はすべて「その他」である（隣接の宮城県・茨城県・栃木県には級地の設定がある）。イ 令和9年度の改定では枠組みそのものが見直される見通しである。令和6年人事院勧告により国家公務員の地域手当が市町村単位から都道府県単位を基本とする形に広げられ、区分の段階も7区分から5区分に改められた。地方公務員についても総務副大臣通知（令和6年11月29日）により同様の見直しが行われている。ウ ただし、見直し後の支給地域にも福島県は含まれていない（1級地20％から5級地4％までのいずれにも該当しない）。本村の上乗せ割合は0％のままと見込まれ、地域区分の見直しによる単価の変動は見込まない。エ 隣接する地域との級地差による特例があるが、本村が接する地域にも級地の設定がないため、特例による引上げの対象にもならない。素案5-4(10)に反映し、5-12の据え置いている項目から外した。令和9年度改定における地域区分の取扱いは同分科会で引き続き審議されているため、1-8の5（継続検討事項）で追う。</t>
        </is>
      </c>
      <c r="F245" s="39" t="inlineStr">
        <is>
          <t>Ⅱ-113,Ⅱ-63</t>
        </is>
      </c>
      <c r="G245" s="39" t="inlineStr">
        <is>
          <t>素案5-4(10),5-12,5-7</t>
        </is>
      </c>
      <c r="H245" s="39" t="inlineStr">
        <is>
          <t>解決済</t>
        </is>
      </c>
      <c r="I245" s="41" t="inlineStr"/>
    </row>
    <row r="246" ht="34" customHeight="1">
      <c r="A246" s="39" t="inlineStr">
        <is>
          <t>B</t>
        </is>
      </c>
      <c r="B246" s="39" t="inlineStr">
        <is>
          <t>Ａ</t>
        </is>
      </c>
      <c r="C246" s="40" t="inlineStr">
        <is>
          <t>疑義</t>
        </is>
      </c>
      <c r="D246" s="41" t="inlineStr">
        <is>
          <t>交付金「文書負担軽減」が11点→7点に低下した理由（取組の後退か判定基準の変更か）</t>
        </is>
      </c>
      <c r="E246" s="41" t="inlineStr">
        <is>
          <t>評価指標の読み方に影響。★10/20 解決：ネットワークの設定が改められ厚生労働省のサイトに接続できるようになったため、当方で確かめた。ア まず前提として、この項目は現在の交付金の評価指標にない。令和4年度の評価指標には「三４ 文書負担軽減に係る取組を実施しているか」があり、最大20点（ア押印・オ員数の記載・ク併設事業所 各2点／イ提出方法・ウ人員配置・エ写真・カ変更届・キ更新申請 各1点／ケ標準化 5点／コ様式例・ダウンロード 4点）であった。これに対し、当方が保持する令和6・7・8年度の評価指標961件に「文書」を含む項目はなく、令和8年度の評価指標（市町村分）の原典にも「文書」の語が現れない。この項目は令和6年度までに評価指標から外れており、第10期（令和9〜11年度）の交付金の見込みには影響しない。イ そのうえで低下の内訳を見ると、11点→7点の差は オ▲1・ク▲1・コ▲2 である。ウ 項目そのものも入れ替わっている。「サ システムの活用による標準化」が新設されて項目数が増え、「カ 変更届の標準添付書類の対応」は「同 簡素化」に、「ケ 実地指導の『標準化・効率化指針』を踏まえた標準化」は「ケ 介護保険施設等指導指針を踏まえた標準化」に名称が変わっている。エ 取組の後退か判定基準の変更かは、両方が混じっている。オとクは福島県の値も同じ向きに動いており（オ1.0→0.0、ク2.0→1.0）、判定基準側の動きとみられる。コのみ県の値がほぼ変わらない（2.1→2.0）のに本村は4.0→2.0であり、本村固有の動きである。オ 素案は施策4-6に「文書負担軽減に係る取組を進めます」を置いており、これは交付金の得点とは切り離した取組として成り立つ。素案の記述は改めない。</t>
        </is>
      </c>
      <c r="F246" s="39" t="inlineStr">
        <is>
          <t>Ⅱ-54</t>
        </is>
      </c>
      <c r="G246" s="39" t="inlineStr">
        <is>
          <t>doc07§8-4</t>
        </is>
      </c>
      <c r="H246" s="39" t="inlineStr">
        <is>
          <t>解決済</t>
        </is>
      </c>
      <c r="I246" s="41" t="inlineStr"/>
    </row>
    <row r="247" ht="34" customHeight="1">
      <c r="A247" s="39" t="inlineStr">
        <is>
          <t>B</t>
        </is>
      </c>
      <c r="B247" s="39" t="inlineStr">
        <is>
          <t>Ａ</t>
        </is>
      </c>
      <c r="C247" s="40" t="inlineStr">
        <is>
          <t>データ</t>
        </is>
      </c>
      <c r="D247" s="41" t="inlineStr">
        <is>
          <t>村内の居宅介護支援事業所は1か所か2か所か</t>
        </is>
      </c>
      <c r="E247" s="41" t="inlineStr">
        <is>
          <t>★10/10 起票：素案2-5の事業所数の表は見える化システムにより令和5年度から2か所としているが、高齢者サービスの手引き（令和8年度版）のサービス事業者一覧には北塩原村社会福祉協議会 居宅介護支援事業所の1事業所しか載っていない。令和6年度以降に1か所になったのか、手引きが主なものだけを載せているのかをご教示いただきたい。素案2-5は「居宅介護支援事業所が令和5年度に1か所から2か所に増えています」と書いており、これが偏差値の上昇の説明にもなっているため、数が変わると説明も変わる。★10/20 解決：厚生労働省「介護サービス情報公表システム」のオープンデータ（令和8年6月末時点）により当方で確かめた。市町村コード074021で抽出した結果、居宅介護支援の事業所は2か所である（事業所番号0772500112・0772500666）。素案2-5の事業所数の表（令和5年度から2か所）が正しく、高齢者サービスの手引きとの食い違いは手引き側の更新の遅れとみられる。あわせて村内の7事業所すべてを押さえた。訪問介護1・通所介護2・認知症対応型共同生活介護2・居宅介護支援2で、素案2-5の表と一致する。新たに分かったのは担い手の法人の数である。7事業所を運営しているのは4法人で、うち1法人が訪問介護・通所介護・居宅介護支援の3事業所を担い、村内で唯一の訪問介護の事業所もこの法人による。供給の担い手が少数の法人に集まっていることは、1法人の撤退がサービスの種類ごと失われることを意味するため、素案2-5の「供給の継続性を把握する手だて」に加えた。法人名は掲げず、数と集まり方のみを示している。抽出した一覧は data/原典_事業所/村内事業所_公表システム_R8.6末.csv に収めた。</t>
        </is>
      </c>
      <c r="F247" s="39" t="inlineStr">
        <is>
          <t>Ⅱ-54,Ⅱ-115</t>
        </is>
      </c>
      <c r="G247" s="39" t="inlineStr">
        <is>
          <t>doc76§1-1</t>
        </is>
      </c>
      <c r="H247" s="39" t="inlineStr">
        <is>
          <t>解決済</t>
        </is>
      </c>
      <c r="I247" s="41" t="inlineStr"/>
    </row>
    <row r="248" ht="34" customHeight="1">
      <c r="A248" s="39" t="inlineStr">
        <is>
          <t>A</t>
        </is>
      </c>
      <c r="B248" s="39" t="inlineStr">
        <is>
          <t>Ａ</t>
        </is>
      </c>
      <c r="C248" s="40" t="inlineStr">
        <is>
          <t>データ</t>
        </is>
      </c>
      <c r="D248" s="41" t="inlineStr">
        <is>
          <t>第9期計画の本文（サービス別見込量の表を含む全体）</t>
        </is>
      </c>
      <c r="E248" s="41"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10/20 解決：村のネットワークの設定が改められ村公式サイトに接続できるようになったため、第9期計画の本編（123頁。令和6年3月）を当方で取得した（data/原典_第9期。あわせて概要版の表・裏と第9期のアンケート調査結果報告書も取得）。ア 用途①の対計画比について。第9期計画はサービス別の見込量をグラフで示しており（第4章 基本目標3。3-1居宅サービス62頁・3-2地域密着型69頁・3-3施設70頁）、計画値と実績値を重ねた形である。実績値は令和5年度までしかないため、令和6〜8年度の列に現れる数は計画値だけであり、系列の取り違えなく読み取れる。19のグラフから令和6〜8年度の計画値を座標により読み取り、data/原典_第9期/第9期_サービス別計画値_令和6-8年度.csv に収めた。介護医療院の1件のみ年度により読み取れた数の個数が違うため《要確認》を付した。イ 用途②の老人福祉事業の量の目標について。第9期計画にこの記載はない。目次に該当する項目がなく、本編の全文に「老人福祉事業」の語が現れない。したがって「第9期の配置に揃える」という前提そのものが成り立たない。本計画が4-6に置いているのは新設であり、老人福祉法第20条の8第2項への対応として第9期にはなかったものを加えることになる。この旨を素案2-9に記す。</t>
        </is>
      </c>
      <c r="F248" s="39" t="inlineStr">
        <is>
          <t>Ⅱ-53,Ⅱ-55</t>
        </is>
      </c>
      <c r="G248" s="39" t="inlineStr">
        <is>
          <t>doc33§5-2</t>
        </is>
      </c>
      <c r="H248" s="39" t="inlineStr">
        <is>
          <t>解決済</t>
        </is>
      </c>
      <c r="I248" s="41" t="inlineStr"/>
    </row>
    <row r="249" ht="34" customHeight="1">
      <c r="A249" s="39" t="inlineStr">
        <is>
          <t>B</t>
        </is>
      </c>
      <c r="B249" s="39" t="inlineStr">
        <is>
          <t>Ａ</t>
        </is>
      </c>
      <c r="C249" s="40" t="inlineStr">
        <is>
          <t>データ</t>
        </is>
      </c>
      <c r="D249" s="41" t="inlineStr">
        <is>
          <t>第9期計画の本文（第5章81〜92ページ）</t>
        </is>
      </c>
      <c r="E249" s="41" t="inlineStr">
        <is>
          <t>★老人福祉事業の量の目標を第9期計画のどこに記載していたかを確認し、第10期の配置を揃えるために必要。現在は第4章末（4-6）に置いている。★10/20 解決：第9期計画の本編を取得した（data/原典_第9期）。第5章は「介護保険料の設定」であり、81〜92頁の構成は1 介護保険料の設定（81頁）／2 給付費等の今後の見込み（86頁）／3 介護給付適正化計画（88頁）／4 保険者機能強化推進交付金等の活用（89頁）／5 低所得者への対応（91頁）である。老人福祉事業の量の目標は、第5章にも本編のどこにもない。第9期計画の目次に該当する項目がなく、全文に「老人福祉事業」の語が現れない。第10期で4-6に置いている量の目標は新設であり、揃える先がない。</t>
        </is>
      </c>
      <c r="F249" s="39" t="inlineStr">
        <is>
          <t>Ⅱ-53</t>
        </is>
      </c>
      <c r="G249" s="39" t="inlineStr">
        <is>
          <t>doc32§4-1</t>
        </is>
      </c>
      <c r="H249" s="39" t="inlineStr">
        <is>
          <t>解決済</t>
        </is>
      </c>
      <c r="I249" s="41" t="inlineStr"/>
    </row>
    <row r="250" ht="34" customHeight="1">
      <c r="A250" s="39" t="inlineStr">
        <is>
          <t>B</t>
        </is>
      </c>
      <c r="B250" s="39" t="inlineStr">
        <is>
          <t>Ａ</t>
        </is>
      </c>
      <c r="C250" s="40" t="inlineStr">
        <is>
          <t>疑義</t>
        </is>
      </c>
      <c r="D250" s="41" t="inlineStr">
        <is>
          <t>第9期概要版④「地域支援事業費」の集計範囲（任意事業の扱い）</t>
        </is>
      </c>
      <c r="E250" s="41" t="inlineStr">
        <is>
          <t>決算と6,300〜10,100千円ずれる。揃えないと第10期が第9期と比較不能になる。★10/20 解決：第9期計画の本編を取得して当方で確かめた（data/原典_第9期）。ア 概要版④の値は決算ではない。 第9期計画が保険料の算定に用いた見込額であり、出典は見える化システムである（本編4-(2)「保険給付費及び地域支援事業費の推計」に「資料：見える化システム」と明記）。概要版④のR6年30,418千円・R7年30,926千円・R8年31,445千円は、本編の令和6年度30,418,338円・令和7年度30,926,338円・令和8年度31,445,338円と完全に一致する。イ したがって決算との差は集計範囲の違いというより、見込額と決算の違いである。概要版④のR5年29,738千円に対し、当方が持つ令和5年度決算は39,886千円で、差は10,148千円である。ウ 決算の内訳は一般介護予防1,825千円・介護予防生活支援サービス14,637千円・包括的支援事業および任意事業23,423千円である（素案2-6）。前2者の計16,462千円を29,738千円から差し引くと13,276千円となり、見える化の額に含まれる包括的支援事業・任意事業の分はこの程度にとどまる。差の10,148千円は包括的支援事業・任意事業の一部が含まれていないことによる。エ 第10期の比較の仕方を決めた。当方は決算の総額を用いる。素案5-6は決算を基礎としており、第9期の概要版④と直接並べない。並べるときは「第9期計画の見込額（見える化）」「決算」と断りを付けて別の列に置く。オ なお、残る確認は見える化の地域支援事業費が包括的支援事業・任意事業のどこまでを含むかである。これは村の決算の問題ではなく指標の定義の問題であるため、別項目（地域支援事業費が国の推計と当方の算定で食い違う）に寄せ、本項目は閉じる。</t>
        </is>
      </c>
      <c r="F250" s="39" t="inlineStr">
        <is>
          <t>Ⅱ-55,Ⅱ-56</t>
        </is>
      </c>
      <c r="G250" s="39" t="inlineStr">
        <is>
          <t>doc08§4,§8-2</t>
        </is>
      </c>
      <c r="H250" s="39" t="inlineStr">
        <is>
          <t>解決済</t>
        </is>
      </c>
      <c r="I250" s="41" t="inlineStr"/>
    </row>
    <row r="251" ht="34" customHeight="1">
      <c r="A251" s="39" t="inlineStr">
        <is>
          <t>B</t>
        </is>
      </c>
      <c r="B251" s="39" t="inlineStr">
        <is>
          <t>Ａ</t>
        </is>
      </c>
      <c r="C251" s="40" t="inlineStr">
        <is>
          <t>データ</t>
        </is>
      </c>
      <c r="D251" s="41" t="inlineStr">
        <is>
          <t>福島県保健医療計画（第八次）の会津・南会津区域に関する記載</t>
        </is>
      </c>
      <c r="E251" s="41" t="inlineStr">
        <is>
          <t>★介護保険法第117条により本計画は医療計画と整合が図られたものでなければならない（引いていた「第117条第5項」は誤りであり、10/15に項番号を落とした。doc94）。素案1-4に整合の記述を追加したが内容が未確定。★10/15 第8期障がい福祉計画のブランチ（同じ村の同時策定）に source/県保健医療計画/ として第8次福島県医療計画のPDF（表紙と目次・基本方針・地域医療構想・在宅医療ほか13分冊）が収められていることが分かった。県が公表している原典であり、これを読めば会津・南会津区域の記載を確かめられる。当方で読む（区分Ｃ）。村へのご依頼は不要になる見込みである。★10/20 解決：県のサイトに接続できるようになったため、第8次福島県医療計画（令和6年3月。令和6年度から令和11年度まで）を当方で取得して読んだ（data/原典_県計画。第8章 5疾病・6事業及び在宅医療の体制、第12章 圏域別の取組）。ア 本村は二次医療圏「会津・南会津」に属するが、在宅医療に関する圏域は医療圏とは別で、県北・県中・県南・会津・南会津・相双・いわきの7圏域とされ、本村は「会津」圏域に属する。イ 同計画は、在宅療養支援病院・在宅療養支援診療所が所在しない市町村への広域的な支援を各地域の協議会や部会で議論する体制とすることを掲げている。本村は村内に医療系の事業所がないため、この「所在しない市町村」に当たる。ウ 県は福島県在宅医療・介護連携支援センターを設置し、市町村が主体となって行う在宅医療・介護連携の取組を支援するとしている。エ 第12章第4節によれば、当圏域の令和7年の必要病床数との差は高度急性期148床の不足・急性期1,018床の超過・回復期580床の不足・慢性期22床の超過である。回復期の不足は退院後に在宅へ戻る流れに影響する。救急搬送困難件数の割合は会津0.1%・南会津0.0%で県内では低い水準にある。オ 以上を素案1-4の注記に書き、施策4-3の前提とした。村にお尋ねすることは残っていない。</t>
        </is>
      </c>
      <c r="F251" s="39" t="inlineStr">
        <is>
          <t>Ⅱ-53</t>
        </is>
      </c>
      <c r="G251" s="39" t="inlineStr">
        <is>
          <t>doc32§3-3</t>
        </is>
      </c>
      <c r="H251" s="39" t="inlineStr">
        <is>
          <t>解決済</t>
        </is>
      </c>
      <c r="I251" s="41" t="inlineStr"/>
    </row>
    <row r="252" ht="34" customHeight="1">
      <c r="A252" s="39" t="inlineStr">
        <is>
          <t>A</t>
        </is>
      </c>
      <c r="B252" s="39" t="inlineStr">
        <is>
          <t>Ａ</t>
        </is>
      </c>
      <c r="C252" s="40" t="inlineStr">
        <is>
          <t>取組</t>
        </is>
      </c>
      <c r="D252" s="41" t="inlineStr">
        <is>
          <t>成年後見制度利用支援事業の要綱の対象範囲（市町村長申立・生活保護受給者への限定を外す改正の可否）</t>
        </is>
      </c>
      <c r="E252" s="41"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10/20 解決：例規集のドメインを加えていただき当方で確かめた（北塩原村例規集。内容現在 令和8年6月26日）。ア 対象の限定はすでに外れている。北塩原村成年後見制度利用支援事業実施要綱（令和8年4月1日訓令第6号）の第2条は、対象者を「成年後見等開始の審判を受けた者（村長が成年後見等開始の審判請求を行った場合に限らない。）」と定めており、市町村長申立てに限っていない。イ 生活保護受給者への限定も外れている。同条第1項第2号は、ア 生活保護法の被保護者、イ 費用を負担することが困難であると村長が認めた者、ウ 本人および同一世帯の者全員が住民税非課税であること、エ 村長が必要であると認めた者、のいずれかとしている。ウ したがって、本項目が尋ねようとしていた「改正の可否」は、令和8年4月1日の要綱の制定によってすでに実現している。交付金の評価指標が求める要綱の整備（4点）は、要綱の上では満たされている。エ 助成の内容も確かめた。審判申立費用は収入印紙代・郵便切手代・診断書料・鑑定料が対象。報酬の助成の上限は施設入所者が月額18,000円、在宅生活者が月額28,000円で、対象期間のうち直近15月分（本人が死亡した場合は直近24月分）を限度とする。オ あわせて北塩原村成年後見制度における村長申立てに関する要綱（令和8年3月19日訓令第5号）も定められている。カ 素案の施策4-7を「改めます」から「整備済であり第10期は周知と運用に重点を置く」に書き替え、指標表の現状値も「要綱は整備済（令和8年4月1日訓令第6号）」に改めた。</t>
        </is>
      </c>
      <c r="F252" s="39" t="inlineStr">
        <is>
          <t>Ⅱ-69,Ⅱ-67</t>
        </is>
      </c>
      <c r="G252" s="39" t="inlineStr">
        <is>
          <t>doc42§3-3</t>
        </is>
      </c>
      <c r="H252" s="39" t="inlineStr">
        <is>
          <t>解決済</t>
        </is>
      </c>
      <c r="I252" s="41" t="inlineStr"/>
    </row>
  </sheetData>
  <autoFilter ref="A4:I184"/>
  <mergeCells count="3">
    <mergeCell ref="A1:I1"/>
    <mergeCell ref="A186:I186"/>
    <mergeCell ref="A2:I2"/>
  </mergeCells>
  <dataValidations count="2">
    <dataValidation sqref="A5:A184" showDropDown="0" showInputMessage="0" showErrorMessage="0" allowBlank="1" type="list">
      <formula1>"S,A,B,C"</formula1>
    </dataValidation>
    <dataValidation sqref="H5:H184"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30"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30"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30"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30"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30"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30"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30"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30"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3" t="n"/>
      <c r="H118" s="43"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3" t="n"/>
      <c r="H119" s="43" t="n"/>
    </row>
    <row r="120" ht="30" customHeight="1">
      <c r="A120" s="39" t="inlineStr">
        <is>
          <t>確認</t>
        </is>
      </c>
      <c r="B120" s="39" t="inlineStr">
        <is>
          <t>Ⅱ-118</t>
        </is>
      </c>
      <c r="C120" s="41" t="inlineStr">
        <is>
          <t>協議用素案と公表用素案の切り分け</t>
        </is>
      </c>
      <c r="D120" s="39" t="inlineStr">
        <is>
          <t>双方</t>
        </is>
      </c>
      <c r="E120" s="39" t="inlineStr">
        <is>
          <t>仕様書4Ⅱ(7)</t>
        </is>
      </c>
      <c r="F120" s="41" t="inlineStr">
        <is>
          <t>計画書の作成にあたり、協議に用いる版と公表する版を分ける。公表する版は仕様書5①の目安100頁に収めるため、前回計画の目次体系を踏襲する</t>
        </is>
      </c>
      <c r="G120" s="43" t="n"/>
      <c r="H120" s="43" t="n"/>
    </row>
    <row r="121" ht="30" customHeight="1">
      <c r="A121" s="39" t="inlineStr">
        <is>
          <t>確認</t>
        </is>
      </c>
      <c r="B121" s="39" t="inlineStr">
        <is>
          <t>Ⅱ-119</t>
        </is>
      </c>
      <c r="C121" s="41" t="inlineStr">
        <is>
          <t>公表用素案の組み立て（第9期の目次体系への移し替え）</t>
        </is>
      </c>
      <c r="D121" s="39" t="inlineStr">
        <is>
          <t>受託者</t>
        </is>
      </c>
      <c r="E121" s="39" t="inlineStr">
        <is>
          <t>仕様書4Ⅱ(7)</t>
        </is>
      </c>
      <c r="F121" s="41" t="inlineStr">
        <is>
          <t>公表する計画書そのものを組み立てる作業</t>
        </is>
      </c>
      <c r="G121" s="43" t="n"/>
      <c r="H121" s="43" t="n"/>
    </row>
    <row r="122" ht="30" customHeight="1">
      <c r="A122" s="39" t="inlineStr">
        <is>
          <t>確認</t>
        </is>
      </c>
      <c r="B122" s="39" t="inlineStr">
        <is>
          <t>Ⅱ-120</t>
        </is>
      </c>
      <c r="C122" s="41" t="inlineStr">
        <is>
          <t>公表用素案の相互参照の付け替えと点検</t>
        </is>
      </c>
      <c r="D122" s="39" t="inlineStr">
        <is>
          <t>受託者</t>
        </is>
      </c>
      <c r="E122" s="39" t="inlineStr">
        <is>
          <t>仕様書6(4)</t>
        </is>
      </c>
      <c r="F122" s="41" t="inlineStr">
        <is>
          <t>節番号の付け替えにより相互参照が壊れていないことを点検する</t>
        </is>
      </c>
      <c r="G122" s="43" t="n"/>
      <c r="H122" s="43" t="n"/>
    </row>
    <row r="123" ht="30" customHeight="1">
      <c r="A123" s="39" t="inlineStr">
        <is>
          <t>確認</t>
        </is>
      </c>
      <c r="B123" s="39" t="inlineStr">
        <is>
          <t>Ⅱ-80</t>
        </is>
      </c>
      <c r="C123" s="41" t="inlineStr">
        <is>
          <t>委員の改選・委嘱</t>
        </is>
      </c>
      <c r="D123" s="39" t="inlineStr">
        <is>
          <t>北塩原村</t>
        </is>
      </c>
      <c r="E123" s="39" t="inlineStr">
        <is>
          <t>仕様書4Ⅱ(8)</t>
        </is>
      </c>
      <c r="F123" s="41" t="inlineStr">
        <is>
          <t>委員が委嘱されていなければ会議が開催できない</t>
        </is>
      </c>
      <c r="G123" s="43" t="n"/>
      <c r="H123" s="43" t="n"/>
    </row>
    <row r="124" ht="30" customHeight="1">
      <c r="A124" s="39" t="inlineStr">
        <is>
          <t>確認</t>
        </is>
      </c>
      <c r="B124" s="39" t="inlineStr">
        <is>
          <t>Ⅱ-93</t>
        </is>
      </c>
      <c r="C124" s="41" t="inlineStr">
        <is>
          <t>議会全員協議会 説明資料の作成</t>
        </is>
      </c>
      <c r="D124" s="39" t="inlineStr">
        <is>
          <t>受託者</t>
        </is>
      </c>
      <c r="E124" s="39" t="inlineStr">
        <is>
          <t>仕様書4Ⅱ(8)</t>
        </is>
      </c>
      <c r="F124" s="41" t="inlineStr">
        <is>
          <t>★議事録で新設。受託者の関与範囲（資料のみか出席を含むか）が未確認</t>
        </is>
      </c>
      <c r="G124" s="43" t="n"/>
      <c r="H124" s="43" t="n"/>
    </row>
    <row r="125" ht="30" customHeight="1">
      <c r="A125" s="39" t="inlineStr">
        <is>
          <t>確認</t>
        </is>
      </c>
      <c r="B125" s="39" t="inlineStr">
        <is>
          <t>Ⅳ-92</t>
        </is>
      </c>
      <c r="C125" s="41" t="inlineStr">
        <is>
          <t>概要版の作成</t>
        </is>
      </c>
      <c r="D125" s="39" t="inlineStr">
        <is>
          <t>双方</t>
        </is>
      </c>
      <c r="E125" s="39" t="inlineStr">
        <is>
          <t>仕様書5①</t>
        </is>
      </c>
      <c r="F125" s="41" t="inlineStr">
        <is>
          <t>★議事録で作成が合意。仕様書の成果品に明記がなく追加対応か要確認</t>
        </is>
      </c>
      <c r="G125" s="43" t="n"/>
      <c r="H125" s="43" t="n"/>
    </row>
    <row r="127">
      <c r="A127" s="44" t="inlineStr">
        <is>
          <t>※ 手引き</t>
        </is>
      </c>
      <c r="B127" s="45" t="inlineStr">
        <is>
          <t>厚生労働省「介護予防・日常生活圏域ニーズ調査及び在宅介護実態調査の実施の手引き」（令和7年8月版）</t>
        </is>
      </c>
    </row>
    <row r="128">
      <c r="A128" s="44" t="inlineStr">
        <is>
          <t>※ 確認</t>
        </is>
      </c>
      <c r="B128" s="45" t="inlineStr">
        <is>
          <t>本業務の遂行上必要と判断し、村との確認事項として管理しているもの</t>
        </is>
      </c>
    </row>
    <row r="129">
      <c r="A129" s="44" t="inlineStr">
        <is>
          <t>※ 手引き／確認</t>
        </is>
      </c>
      <c r="B129" s="45" t="inlineStr">
        <is>
          <t>手引きに選択肢が示され、いずれを採るかを村と確認するもの</t>
        </is>
      </c>
    </row>
  </sheetData>
  <autoFilter ref="A4:H103"/>
  <mergeCells count="26">
    <mergeCell ref="F113:H113"/>
    <mergeCell ref="B127:H127"/>
    <mergeCell ref="F114:H114"/>
    <mergeCell ref="F110:H110"/>
    <mergeCell ref="A1:H1"/>
    <mergeCell ref="F106:H106"/>
    <mergeCell ref="F122:H122"/>
    <mergeCell ref="F109:H109"/>
    <mergeCell ref="F125:H125"/>
    <mergeCell ref="F121:H121"/>
    <mergeCell ref="F115:H115"/>
    <mergeCell ref="B129:H129"/>
    <mergeCell ref="F111:H111"/>
    <mergeCell ref="F117:H117"/>
    <mergeCell ref="F107:H107"/>
    <mergeCell ref="A105:H105"/>
    <mergeCell ref="F120:H120"/>
    <mergeCell ref="A2:H2"/>
    <mergeCell ref="F123:H123"/>
    <mergeCell ref="F119:H119"/>
    <mergeCell ref="F116:H116"/>
    <mergeCell ref="F112:H112"/>
    <mergeCell ref="F108:H108"/>
    <mergeCell ref="F124:H124"/>
    <mergeCell ref="F118:H118"/>
    <mergeCell ref="B128:H1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受領資料・データ管理（基準日：令和8年10月23日）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6"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6"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6"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6"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6"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6"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6"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6" t="n">
        <v>46302</v>
      </c>
      <c r="E49" s="7" t="inlineStr">
        <is>
          <t>docs/…/69_施設居住系の見込量を県シートに揃えた.md</t>
        </is>
      </c>
      <c r="F49" s="4" t="inlineStr">
        <is>
          <t>受領済</t>
        </is>
      </c>
    </row>
    <row r="50" ht="28" customHeight="1">
      <c r="A50" s="4" t="inlineStr">
        <is>
          <t>村データ</t>
        </is>
      </c>
      <c r="B50" s="7" t="inlineStr">
        <is>
          <t>北塩原村高齢者サービスの手引き（令和8年度版・令和8年4月発行）</t>
        </is>
      </c>
      <c r="C50" s="7" t="inlineStr">
        <is>
          <t>★村単独の高齢者福祉事業の一覧。相談窓口6／生きがい・活動3／教室・イベント4／健康7／お祝い1／福祉サービス12／村内のサービス事業者6事業所。素案4-6の12事業の内容と、2-5の事業所数の裏づけになる。実績値（件数・人数）は載っていない</t>
        </is>
      </c>
      <c r="D50" s="46" t="n">
        <v>46305</v>
      </c>
      <c r="E50" s="7" t="inlineStr">
        <is>
          <t>docs/…/76_村受領資料の確認_高齢者サービスの手引きほか.md</t>
        </is>
      </c>
      <c r="F50" s="4" t="inlineStr">
        <is>
          <t>受領済</t>
        </is>
      </c>
    </row>
    <row r="51" ht="28" customHeight="1">
      <c r="A51" s="4" t="inlineStr">
        <is>
          <t>社内</t>
        </is>
      </c>
      <c r="B51" s="7" t="inlineStr">
        <is>
          <t>北塩原村「高齢者福祉・児童福祉・社会福祉」ホームページ整理（令和8年10月10日作成）</t>
        </is>
      </c>
      <c r="C51" s="7" t="inlineStr">
        <is>
          <t>★第8期障がい福祉計画・第4期障がい児福祉計画の検討のために村公式HPを整理したもの。本計画に関わる記述として、生活支援ハウスの名称（シャルムハウス）、除雪サービス登録事業者募集、わたしの思いノート（会津圏域11市町村とセンターの共同作成）、みんなの人権110番、ヘルプマーク等、こども・子育て計画の期間（令和7〜11年度・令和9年度中間見直し）がある。【村HPの二次的な整理であり原典ではない。】当方の環境から村HPを開けないため（proxyが403）、素案には書き込まず確認事項として起票した</t>
        </is>
      </c>
      <c r="D51" s="46" t="n">
        <v>46305</v>
      </c>
      <c r="E51" s="7" t="inlineStr">
        <is>
          <t>docs/…/76_村受領資料の確認_高齢者サービスの手引きほか.md</t>
        </is>
      </c>
      <c r="F51" s="4" t="inlineStr">
        <is>
          <t>受領済</t>
        </is>
      </c>
    </row>
    <row r="52" ht="28" customHeight="1">
      <c r="A52" s="4" t="inlineStr">
        <is>
          <t>村データ</t>
        </is>
      </c>
      <c r="B52" s="7" t="inlineStr">
        <is>
          <t>緊急連絡カード（様式・2人分）</t>
        </is>
      </c>
      <c r="C52" s="7" t="inlineStr">
        <is>
          <t>★記入欄のみの白紙の様式。住所・固定電話・氏名・性別・血液型・生年月日・持病とお薬・かかりつけ医・緊急連絡先2件・備考。電話機や冷蔵庫の近くに備え付ける運用。施策2-4（見守り）と緊急通報システム事業に関わる</t>
        </is>
      </c>
      <c r="D52" s="46" t="n">
        <v>46305</v>
      </c>
      <c r="E52" s="7" t="inlineStr">
        <is>
          <t>同上</t>
        </is>
      </c>
      <c r="F52" s="4" t="inlineStr">
        <is>
          <t>受領済</t>
        </is>
      </c>
    </row>
    <row r="53" ht="28" customHeight="1">
      <c r="A53" s="4" t="inlineStr">
        <is>
          <t>村データ</t>
        </is>
      </c>
      <c r="B53" s="7" t="inlineStr">
        <is>
          <t>会津権利擁護・成年後見センター 創作劇とトークセッション（令和8年10月23日・24日）</t>
        </is>
      </c>
      <c r="C53" s="7" t="inlineStr">
        <is>
          <t>★北塩原村を含む11市町村とセンターの共催。申込期限は令和8年10月16日。施策4-7（成年後見制度の利用促進）の「制度の周知」の現に行われている取組である</t>
        </is>
      </c>
      <c r="D53" s="46" t="n">
        <v>46305</v>
      </c>
      <c r="E53" s="7" t="inlineStr">
        <is>
          <t>同上</t>
        </is>
      </c>
      <c r="F53" s="4" t="inlineStr">
        <is>
          <t>受領済</t>
        </is>
      </c>
    </row>
    <row r="54" ht="28" customHeight="1">
      <c r="A54" s="4" t="inlineStr">
        <is>
          <t>国資料</t>
        </is>
      </c>
      <c r="B54" s="7" t="inlineStr">
        <is>
          <t>第136回 社会保障審議会介護保険部会 資料1〜6＋参考資料（令和8年9月18日）</t>
        </is>
      </c>
      <c r="C54"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4" s="46" t="n">
        <v>46303</v>
      </c>
      <c r="E54" s="7" t="inlineStr">
        <is>
          <t>docs/…/71_部会資料の原典による素案の確定とレビューの反映.md</t>
        </is>
      </c>
      <c r="F54" s="4" t="inlineStr">
        <is>
          <t>受領済</t>
        </is>
      </c>
    </row>
    <row r="55" ht="28" customHeight="1">
      <c r="A55" s="4" t="inlineStr">
        <is>
          <t>国資料</t>
        </is>
      </c>
      <c r="B55" s="7" t="inlineStr">
        <is>
          <t>事業所別の従事者数・利用者数・回転率（通所系）・定員充足率（施設・居住系）の5か年推移（令和3〜7年、全国47都道府県）</t>
        </is>
      </c>
      <c r="C55" s="7" t="inlineStr">
        <is>
          <t>介護サービス情報公表システムの項目による事業所別の値。本村分（5事業所）のみを data/原典_事業所別5か年/ に取り出した。他市町村の値は取り込まない</t>
        </is>
      </c>
      <c r="D55" s="46" t="n">
        <v>46318</v>
      </c>
      <c r="E55" s="7" t="inlineStr">
        <is>
          <t>docs/…/116_事業所別5か年推移の受領と確認.md</t>
        </is>
      </c>
      <c r="F55" s="4" t="inlineStr">
        <is>
          <t>受領済</t>
        </is>
      </c>
    </row>
    <row r="56" ht="28" customHeight="1">
      <c r="A56" s="4" t="inlineStr">
        <is>
          <t>村データ</t>
        </is>
      </c>
      <c r="B56" s="7" t="inlineStr">
        <is>
          <t>見積徴取の通知（8北保福第483号・令和8年8月5日）と仕様書（委託第27号）</t>
        </is>
      </c>
      <c r="C56" s="7" t="inlineStr">
        <is>
          <t>仕様書は当方の仕様書対照（spec_data）と項目が一致。業務の期間は契約締結の日から令和9年3月31日まで。職員の氏名・印影を含むため写しは版管理に入れない</t>
        </is>
      </c>
      <c r="D56" s="46" t="n">
        <v>46318</v>
      </c>
      <c r="E56" s="7" t="inlineStr">
        <is>
          <t>docs/…/117_契約書類の受領とWBSの更新.md</t>
        </is>
      </c>
      <c r="F56" s="4" t="inlineStr">
        <is>
          <t>受領済</t>
        </is>
      </c>
    </row>
    <row r="57" ht="28" customHeight="1">
      <c r="A57" s="4" t="inlineStr">
        <is>
          <t>村データ</t>
        </is>
      </c>
      <c r="B57" s="7" t="inlineStr">
        <is>
          <t>秘密保持契約書（令和8年8月6日）</t>
        </is>
      </c>
      <c r="C57" s="7" t="inlineStr">
        <is>
          <t>貸与アカウントとそれにより得たデータを秘密情報に含む。義務は令和9年3月31日まで。業務完了時に返却・破棄・消去とアカウントのログアウト。氏名を含むため写しは版管理に入れない</t>
        </is>
      </c>
      <c r="D57" s="46" t="n">
        <v>46318</v>
      </c>
      <c r="E57" s="7" t="inlineStr">
        <is>
          <t>docs/…/117_契約書類の受領とWBSの更新.md</t>
        </is>
      </c>
      <c r="F57" s="4" t="inlineStr">
        <is>
          <t>受領済</t>
        </is>
      </c>
    </row>
  </sheetData>
  <autoFilter ref="A4:F5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COUNTIF('WBS・進捗管理'!$B$5:$B$124,$B18)</f>
        <v/>
      </c>
      <c r="D18" s="54">
        <f>COUNTIFS('WBS・進捗管理'!$B$5:$B$124,$B18,'WBS・進捗管理'!$O$5:$O$124,D$17)</f>
        <v/>
      </c>
      <c r="E18" s="54">
        <f>COUNTIFS('WBS・進捗管理'!$B$5:$B$124,$B18,'WBS・進捗管理'!$O$5:$O$124,E$17)</f>
        <v/>
      </c>
      <c r="F18" s="54">
        <f>COUNTIFS('WBS・進捗管理'!$B$5:$B$124,$B18,'WBS・進捗管理'!$O$5:$O$124,F$17)</f>
        <v/>
      </c>
      <c r="G18" s="54">
        <f>COUNTIFS('WBS・進捗管理'!$B$5:$B$124,$B18,'WBS・進捗管理'!$O$5:$O$124,G$17)</f>
        <v/>
      </c>
      <c r="H18" s="54">
        <f>COUNTIFS('WBS・進捗管理'!$B$5:$B$124,$B18,'WBS・進捗管理'!$O$5:$O$124,H$17)</f>
        <v/>
      </c>
      <c r="I18" s="54">
        <f>COUNTIFS('WBS・進捗管理'!$B$5:$B$124,$B18,'WBS・進捗管理'!$O$5:$O$124,I$17)</f>
        <v/>
      </c>
    </row>
    <row r="19">
      <c r="B19" s="49" t="inlineStr">
        <is>
          <t>Ⅰ ニーズ調査</t>
        </is>
      </c>
      <c r="C19" s="54">
        <f>COUNTIF('WBS・進捗管理'!$B$5:$B$124,$B19)</f>
        <v/>
      </c>
      <c r="D19" s="54">
        <f>COUNTIFS('WBS・進捗管理'!$B$5:$B$124,$B19,'WBS・進捗管理'!$O$5:$O$124,D$17)</f>
        <v/>
      </c>
      <c r="E19" s="54">
        <f>COUNTIFS('WBS・進捗管理'!$B$5:$B$124,$B19,'WBS・進捗管理'!$O$5:$O$124,E$17)</f>
        <v/>
      </c>
      <c r="F19" s="54">
        <f>COUNTIFS('WBS・進捗管理'!$B$5:$B$124,$B19,'WBS・進捗管理'!$O$5:$O$124,F$17)</f>
        <v/>
      </c>
      <c r="G19" s="54">
        <f>COUNTIFS('WBS・進捗管理'!$B$5:$B$124,$B19,'WBS・進捗管理'!$O$5:$O$124,G$17)</f>
        <v/>
      </c>
      <c r="H19" s="54">
        <f>COUNTIFS('WBS・進捗管理'!$B$5:$B$124,$B19,'WBS・進捗管理'!$O$5:$O$124,H$17)</f>
        <v/>
      </c>
      <c r="I19" s="54">
        <f>COUNTIFS('WBS・進捗管理'!$B$5:$B$124,$B19,'WBS・進捗管理'!$O$5:$O$124,I$17)</f>
        <v/>
      </c>
    </row>
    <row r="20">
      <c r="B20" s="49" t="inlineStr">
        <is>
          <t>Ⅱ 計画策定</t>
        </is>
      </c>
      <c r="C20" s="54">
        <f>COUNTIF('WBS・進捗管理'!$B$5:$B$124,$B20)</f>
        <v/>
      </c>
      <c r="D20" s="54">
        <f>COUNTIFS('WBS・進捗管理'!$B$5:$B$124,$B20,'WBS・進捗管理'!$O$5:$O$124,D$17)</f>
        <v/>
      </c>
      <c r="E20" s="54">
        <f>COUNTIFS('WBS・進捗管理'!$B$5:$B$124,$B20,'WBS・進捗管理'!$O$5:$O$124,E$17)</f>
        <v/>
      </c>
      <c r="F20" s="54">
        <f>COUNTIFS('WBS・進捗管理'!$B$5:$B$124,$B20,'WBS・進捗管理'!$O$5:$O$124,F$17)</f>
        <v/>
      </c>
      <c r="G20" s="54">
        <f>COUNTIFS('WBS・進捗管理'!$B$5:$B$124,$B20,'WBS・進捗管理'!$O$5:$O$124,G$17)</f>
        <v/>
      </c>
      <c r="H20" s="54">
        <f>COUNTIFS('WBS・進捗管理'!$B$5:$B$124,$B20,'WBS・進捗管理'!$O$5:$O$124,H$17)</f>
        <v/>
      </c>
      <c r="I20" s="54">
        <f>COUNTIFS('WBS・進捗管理'!$B$5:$B$124,$B20,'WBS・進捗管理'!$O$5:$O$124,I$17)</f>
        <v/>
      </c>
    </row>
    <row r="21">
      <c r="B21" s="49" t="inlineStr">
        <is>
          <t>Ⅲ 打合せ等</t>
        </is>
      </c>
      <c r="C21" s="54">
        <f>COUNTIF('WBS・進捗管理'!$B$5:$B$124,$B21)</f>
        <v/>
      </c>
      <c r="D21" s="54">
        <f>COUNTIFS('WBS・進捗管理'!$B$5:$B$124,$B21,'WBS・進捗管理'!$O$5:$O$124,D$17)</f>
        <v/>
      </c>
      <c r="E21" s="54">
        <f>COUNTIFS('WBS・進捗管理'!$B$5:$B$124,$B21,'WBS・進捗管理'!$O$5:$O$124,E$17)</f>
        <v/>
      </c>
      <c r="F21" s="54">
        <f>COUNTIFS('WBS・進捗管理'!$B$5:$B$124,$B21,'WBS・進捗管理'!$O$5:$O$124,F$17)</f>
        <v/>
      </c>
      <c r="G21" s="54">
        <f>COUNTIFS('WBS・進捗管理'!$B$5:$B$124,$B21,'WBS・進捗管理'!$O$5:$O$124,G$17)</f>
        <v/>
      </c>
      <c r="H21" s="54">
        <f>COUNTIFS('WBS・進捗管理'!$B$5:$B$124,$B21,'WBS・進捗管理'!$O$5:$O$124,H$17)</f>
        <v/>
      </c>
      <c r="I21" s="54">
        <f>COUNTIFS('WBS・進捗管理'!$B$5:$B$124,$B21,'WBS・進捗管理'!$O$5:$O$124,I$17)</f>
        <v/>
      </c>
    </row>
    <row r="22">
      <c r="B22" s="49" t="inlineStr">
        <is>
          <t>Ⅳ 成果品・納品</t>
        </is>
      </c>
      <c r="C22" s="54">
        <f>COUNTIF('WBS・進捗管理'!$B$5:$B$124,$B22)</f>
        <v/>
      </c>
      <c r="D22" s="54">
        <f>COUNTIFS('WBS・進捗管理'!$B$5:$B$124,$B22,'WBS・進捗管理'!$O$5:$O$124,D$17)</f>
        <v/>
      </c>
      <c r="E22" s="54">
        <f>COUNTIFS('WBS・進捗管理'!$B$5:$B$124,$B22,'WBS・進捗管理'!$O$5:$O$124,E$17)</f>
        <v/>
      </c>
      <c r="F22" s="54">
        <f>COUNTIFS('WBS・進捗管理'!$B$5:$B$124,$B22,'WBS・進捗管理'!$O$5:$O$124,F$17)</f>
        <v/>
      </c>
      <c r="G22" s="54">
        <f>COUNTIFS('WBS・進捗管理'!$B$5:$B$124,$B22,'WBS・進捗管理'!$O$5:$O$124,G$17)</f>
        <v/>
      </c>
      <c r="H22" s="54">
        <f>COUNTIFS('WBS・進捗管理'!$B$5:$B$124,$B22,'WBS・進捗管理'!$O$5:$O$124,H$17)</f>
        <v/>
      </c>
      <c r="I22" s="54">
        <f>COUNTIFS('WBS・進捗管理'!$B$5:$B$124,$B22,'WBS・進捗管理'!$O$5:$O$124,I$17)</f>
        <v/>
      </c>
    </row>
    <row r="23">
      <c r="B23" s="49" t="inlineStr">
        <is>
          <t>Ⅴ 管理</t>
        </is>
      </c>
      <c r="C23" s="54">
        <f>COUNTIF('WBS・進捗管理'!$B$5:$B$124,$B23)</f>
        <v/>
      </c>
      <c r="D23" s="54">
        <f>COUNTIFS('WBS・進捗管理'!$B$5:$B$124,$B23,'WBS・進捗管理'!$O$5:$O$124,D$17)</f>
        <v/>
      </c>
      <c r="E23" s="54">
        <f>COUNTIFS('WBS・進捗管理'!$B$5:$B$124,$B23,'WBS・進捗管理'!$O$5:$O$124,E$17)</f>
        <v/>
      </c>
      <c r="F23" s="54">
        <f>COUNTIFS('WBS・進捗管理'!$B$5:$B$124,$B23,'WBS・進捗管理'!$O$5:$O$124,F$17)</f>
        <v/>
      </c>
      <c r="G23" s="54">
        <f>COUNTIFS('WBS・進捗管理'!$B$5:$B$124,$B23,'WBS・進捗管理'!$O$5:$O$124,G$17)</f>
        <v/>
      </c>
      <c r="H23" s="54">
        <f>COUNTIFS('WBS・進捗管理'!$B$5:$B$124,$B23,'WBS・進捗管理'!$O$5:$O$124,H$17)</f>
        <v/>
      </c>
      <c r="I23" s="54">
        <f>COUNTIFS('WBS・進捗管理'!$B$5:$B$124,$B23,'WBS・進捗管理'!$O$5:$O$124,I$17)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AVERAGEIF('WBS・進捗管理'!$O$5:$O$124,"&lt;&gt;対象外",'WBS・進捗管理'!$N$5:$N$124)</f>
        <v/>
      </c>
    </row>
    <row r="28">
      <c r="B28" s="57" t="inlineStr">
        <is>
          <t>作業総数</t>
        </is>
      </c>
      <c r="C28" s="59">
        <f>COUNTA('WBS・進捗管理'!$A$5:$A$124)</f>
        <v/>
      </c>
    </row>
    <row r="29">
      <c r="B29" s="57" t="inlineStr">
        <is>
          <t>完了した作業</t>
        </is>
      </c>
      <c r="C29" s="59">
        <f>COUNTIF('WBS・進捗管理'!$O$5:$O$124,"完了")</f>
        <v/>
      </c>
    </row>
    <row r="30">
      <c r="B30" s="57" t="inlineStr">
        <is>
          <t>着手・確認中の作業</t>
        </is>
      </c>
      <c r="C30" s="59">
        <f>COUNTIF('WBS・進捗管理'!$O$5:$O$124,"着手")+COUNTIF('WBS・進捗管理'!$O$5:$O$124,"確認中")</f>
        <v/>
      </c>
    </row>
    <row r="31">
      <c r="B31" s="57" t="inlineStr">
        <is>
          <t>未着手の作業</t>
        </is>
      </c>
      <c r="C31" s="59">
        <f>COUNTIF('WBS・進捗管理'!$O$5:$O$124,"未着手")</f>
        <v/>
      </c>
    </row>
    <row r="32">
      <c r="B32" s="57" t="inlineStr">
        <is>
          <t>対象外の作業</t>
        </is>
      </c>
      <c r="C32" s="59">
        <f>COUNTIF('WBS・進捗管理'!$O$5:$O$124,"対象外")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進捗基準日は令和8年10月23日です。備考欄の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191"/>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7" t="inlineStr">
        <is>
          <t>ペンディングの影響度と作業順位（基準日 令和8年10月23日／対象の翌営業日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4" t="n"/>
      <c r="E5" s="64" t="n"/>
      <c r="F5" s="64" t="n"/>
      <c r="G5" s="64" t="n"/>
      <c r="H5" s="65" t="n"/>
    </row>
    <row r="6" ht="26" customHeight="1">
      <c r="A6" s="66" t="n">
        <v>0</v>
      </c>
      <c r="B6" s="66" t="inlineStr">
        <is>
          <t>社内</t>
        </is>
      </c>
      <c r="C6" s="67" t="inlineStr">
        <is>
          <t>村の回答を待つものではない。当方で確かめれば解消する。ペンディングとして数えない。</t>
        </is>
      </c>
      <c r="D6" s="67" t="n"/>
      <c r="E6" s="67" t="n"/>
      <c r="F6" s="67" t="n"/>
      <c r="G6" s="67" t="n"/>
      <c r="H6" s="67" t="n"/>
    </row>
    <row r="7" ht="26" customHeight="1">
      <c r="A7" s="66" t="n">
        <v>1</v>
      </c>
      <c r="B7" s="66" t="inlineStr">
        <is>
          <t>停止</t>
        </is>
      </c>
      <c r="C7" s="67" t="inlineStr">
        <is>
          <t>回答がないと当方の作業が前に進まない。据え置きでは代替できず、回答後の差替えが章節の広い範囲に及ぶ。</t>
        </is>
      </c>
      <c r="D7" s="67" t="n"/>
      <c r="E7" s="67" t="n"/>
      <c r="F7" s="67" t="n"/>
      <c r="G7" s="67" t="n"/>
      <c r="H7" s="67" t="n"/>
    </row>
    <row r="8" ht="26" customHeight="1">
      <c r="A8" s="66" t="n">
        <v>2</v>
      </c>
      <c r="B8" s="66" t="inlineStr">
        <is>
          <t>仮置き</t>
        </is>
      </c>
      <c r="C8" s="67" t="inlineStr">
        <is>
          <t>仮定を置いて進められている。確定時に数値が動くため再算定と差替えが生じる。差替えの範囲は節の単位にとどまる。</t>
        </is>
      </c>
      <c r="D8" s="67" t="n"/>
      <c r="E8" s="67" t="n"/>
      <c r="F8" s="67" t="n"/>
      <c r="G8" s="67" t="n"/>
      <c r="H8" s="67" t="n"/>
    </row>
    <row r="9" ht="26" customHeight="1">
      <c r="A9" s="66" t="n">
        <v>3</v>
      </c>
      <c r="B9" s="66" t="inlineStr">
        <is>
          <t>記載待ち</t>
        </is>
      </c>
      <c r="C9" s="67" t="inlineStr">
        <is>
          <t>記載そのものは済んでいる。回答により文言・施策の内容が変わる。数値は動かない。</t>
        </is>
      </c>
      <c r="D9" s="67" t="n"/>
      <c r="E9" s="67" t="n"/>
      <c r="F9" s="67" t="n"/>
      <c r="G9" s="67" t="n"/>
      <c r="H9" s="67" t="n"/>
    </row>
    <row r="10" ht="26" customHeight="1">
      <c r="A10" s="66" t="n">
        <v>4</v>
      </c>
      <c r="B10" s="66" t="inlineStr">
        <is>
          <t>工程外</t>
        </is>
      </c>
      <c r="C10" s="67" t="inlineStr">
        <is>
          <t>当方の作業は止まらない。村の内部手続または日程の決定を待つもの。</t>
        </is>
      </c>
      <c r="D10" s="67" t="n"/>
      <c r="E10" s="67" t="n"/>
      <c r="F10" s="67" t="n"/>
      <c r="G10" s="67" t="n"/>
      <c r="H10" s="67" t="n"/>
    </row>
    <row r="11" ht="26" customHeight="1">
      <c r="A11" s="66" t="n">
        <v>5</v>
      </c>
      <c r="B11" s="66" t="inlineStr">
        <is>
          <t>対象外</t>
        </is>
      </c>
      <c r="C11" s="67" t="inlineStr">
        <is>
          <t>調査工程の項目。調査票は他メンバーが作成しているため当方では作業を進めない。</t>
        </is>
      </c>
      <c r="D11" s="67" t="n"/>
      <c r="E11" s="67" t="n"/>
      <c r="F11" s="67" t="n"/>
      <c r="G11" s="67" t="n"/>
      <c r="H11" s="67" t="n"/>
    </row>
    <row r="13" ht="20" customHeight="1">
      <c r="A13" s="38" t="inlineStr">
        <is>
          <t>■ 確認事項 180件の内訳（影響度 × 優先度）　照会の区分は Ｂ 当方で進める0件・Ｃ 先行して縮小38件・Ｄ 村のご回答141件</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8" t="n">
        <v>0</v>
      </c>
      <c r="B15" s="69" t="inlineStr">
        <is>
          <t>社内</t>
        </is>
      </c>
      <c r="C15" s="68" t="n">
        <v>0</v>
      </c>
      <c r="D15" s="68" t="n">
        <v>2</v>
      </c>
      <c r="E15" s="68" t="n">
        <v>0</v>
      </c>
      <c r="F15" s="68" t="n">
        <v>0</v>
      </c>
      <c r="G15" s="70" t="n">
        <v>2</v>
      </c>
      <c r="H15" s="71" t="inlineStr">
        <is>
          <t>当方で確かめれば解消する。ペンディングとして数えない。</t>
        </is>
      </c>
    </row>
    <row r="16" ht="22" customHeight="1">
      <c r="A16" s="72" t="n">
        <v>1</v>
      </c>
      <c r="B16" s="73" t="inlineStr">
        <is>
          <t>停止</t>
        </is>
      </c>
      <c r="C16" s="72" t="n">
        <v>3</v>
      </c>
      <c r="D16" s="72" t="n">
        <v>2</v>
      </c>
      <c r="E16" s="72" t="n">
        <v>0</v>
      </c>
      <c r="F16" s="72" t="n">
        <v>0</v>
      </c>
      <c r="G16" s="74" t="n">
        <v>5</v>
      </c>
      <c r="H16" s="75" t="inlineStr">
        <is>
          <t>回答がないと成果品の数値が確定しない。最優先で照会する。</t>
        </is>
      </c>
    </row>
    <row r="17" ht="22" customHeight="1">
      <c r="A17" s="76" t="n">
        <v>2</v>
      </c>
      <c r="B17" s="77" t="inlineStr">
        <is>
          <t>仮置き</t>
        </is>
      </c>
      <c r="C17" s="76" t="n">
        <v>3</v>
      </c>
      <c r="D17" s="76" t="n">
        <v>21</v>
      </c>
      <c r="E17" s="76" t="n">
        <v>0</v>
      </c>
      <c r="F17" s="76" t="n">
        <v>0</v>
      </c>
      <c r="G17" s="78" t="n">
        <v>24</v>
      </c>
      <c r="H17" s="79" t="inlineStr">
        <is>
          <t>仮定を置いて進めている。確定時に再算定と差替えが生じる。</t>
        </is>
      </c>
    </row>
    <row r="18" ht="22" customHeight="1">
      <c r="A18" s="68" t="n">
        <v>3</v>
      </c>
      <c r="B18" s="69" t="inlineStr">
        <is>
          <t>記載待ち</t>
        </is>
      </c>
      <c r="C18" s="68" t="n">
        <v>0</v>
      </c>
      <c r="D18" s="68" t="n">
        <v>33</v>
      </c>
      <c r="E18" s="68" t="n">
        <v>0</v>
      </c>
      <c r="F18" s="68" t="n">
        <v>0</v>
      </c>
      <c r="G18" s="70" t="n">
        <v>33</v>
      </c>
      <c r="H18" s="71" t="inlineStr">
        <is>
          <t>記載は済んでいる。回答により文言・施策の内容が変わる。</t>
        </is>
      </c>
    </row>
    <row r="19" ht="22" customHeight="1">
      <c r="A19" s="68" t="n">
        <v>4</v>
      </c>
      <c r="B19" s="69" t="inlineStr">
        <is>
          <t>工程外</t>
        </is>
      </c>
      <c r="C19" s="68" t="n">
        <v>2</v>
      </c>
      <c r="D19" s="68" t="n">
        <v>7</v>
      </c>
      <c r="E19" s="68" t="n">
        <v>0</v>
      </c>
      <c r="F19" s="68" t="n">
        <v>0</v>
      </c>
      <c r="G19" s="70" t="n">
        <v>9</v>
      </c>
      <c r="H19" s="71" t="inlineStr">
        <is>
          <t>当方の作業は止まらない。村の内部手続または日程の決定を待つ。</t>
        </is>
      </c>
    </row>
    <row r="20" ht="22" customHeight="1">
      <c r="A20" s="80" t="n">
        <v>5</v>
      </c>
      <c r="B20" s="81" t="inlineStr">
        <is>
          <t>対象外</t>
        </is>
      </c>
      <c r="C20" s="80" t="n">
        <v>22</v>
      </c>
      <c r="D20" s="80" t="n">
        <v>5</v>
      </c>
      <c r="E20" s="80" t="n">
        <v>4</v>
      </c>
      <c r="F20" s="80" t="n">
        <v>0</v>
      </c>
      <c r="G20" s="82" t="n">
        <v>31</v>
      </c>
      <c r="H20" s="83" t="inlineStr">
        <is>
          <t>調査票は他メンバーが作成しているため当方では作業しない。</t>
        </is>
      </c>
    </row>
    <row r="21" ht="22" customHeight="1">
      <c r="A21" s="68" t="inlineStr">
        <is>
          <t>―</t>
        </is>
      </c>
      <c r="B21" s="69" t="inlineStr">
        <is>
          <t>判定未了</t>
        </is>
      </c>
      <c r="C21" s="68" t="n">
        <v>0</v>
      </c>
      <c r="D21" s="68" t="n">
        <v>0</v>
      </c>
      <c r="E21" s="68" t="n">
        <v>75</v>
      </c>
      <c r="F21" s="68" t="n">
        <v>1</v>
      </c>
      <c r="G21" s="70" t="n">
        <v>76</v>
      </c>
      <c r="H21" s="71"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4" t="inlineStr"/>
      <c r="B22" s="84" t="inlineStr">
        <is>
          <t>合計</t>
        </is>
      </c>
      <c r="C22" s="84" t="n">
        <v>30</v>
      </c>
      <c r="D22" s="84" t="n">
        <v>70</v>
      </c>
      <c r="E22" s="84" t="n">
        <v>79</v>
      </c>
      <c r="F22" s="84" t="n">
        <v>1</v>
      </c>
      <c r="G22" s="84" t="n">
        <v>180</v>
      </c>
      <c r="H22" s="84"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5" t="n">
        <v>1</v>
      </c>
      <c r="B26" s="66" t="inlineStr">
        <is>
          <t>K-009</t>
        </is>
      </c>
      <c r="C26" s="66" t="inlineStr">
        <is>
          <t>S</t>
        </is>
      </c>
      <c r="D26" s="67" t="inlineStr">
        <is>
          <t>★【期限 令和8年10月13日18時】令和9年度以降も0で入っている6サービスを0のままとしてよいか</t>
        </is>
      </c>
      <c r="E26" s="67" t="inlineStr">
        <is>
          <t>素案 5-4・5-6／Ⅱ-56・Ⅱ-62・Ⅱ-107</t>
        </is>
      </c>
      <c r="F26" s="67"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7" t="inlineStr">
        <is>
          <t>令和8年10月13日（火）18時（国の集計の提出期限。厳守）</t>
        </is>
      </c>
      <c r="H26" s="86" t="inlineStr">
        <is>
          <t>束1</t>
        </is>
      </c>
    </row>
    <row r="27" ht="52" customHeight="1">
      <c r="A27" s="85" t="n">
        <v>1</v>
      </c>
      <c r="B27" s="66" t="inlineStr">
        <is>
          <t>K-113</t>
        </is>
      </c>
      <c r="C27" s="66" t="inlineStr">
        <is>
          <t>S</t>
        </is>
      </c>
      <c r="D27" s="67" t="inlineStr">
        <is>
          <t>★ニーズ調査の対象者882人に対応する要介護認定データ（認定の有無・要介護度）</t>
        </is>
      </c>
      <c r="E27" s="67" t="inlineStr">
        <is>
          <t>資料3の3-3・3-4・3-6／Ⅰ-37・Ⅰ-38</t>
        </is>
      </c>
      <c r="F27" s="67"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7" t="inlineStr">
        <is>
          <t>10月中旬（第2回策定委員会の資料作成に入る前）</t>
        </is>
      </c>
      <c r="H27" s="86" t="inlineStr">
        <is>
          <t>束8</t>
        </is>
      </c>
    </row>
    <row r="28" ht="52" customHeight="1">
      <c r="A28" s="85" t="n">
        <v>1</v>
      </c>
      <c r="B28" s="66" t="inlineStr">
        <is>
          <t>K-117</t>
        </is>
      </c>
      <c r="C28" s="66" t="inlineStr">
        <is>
          <t>S</t>
        </is>
      </c>
      <c r="D28" s="67" t="inlineStr">
        <is>
          <t>★要介護認定データの提供時期と項目（要介護度・認定日・サービス利用状況）および総合事業対象者（基本チェックリスト該当者）の情報</t>
        </is>
      </c>
      <c r="E28" s="67" t="inlineStr">
        <is>
          <t>資料3の3-3・3-4・3-6／Ⅰ-37</t>
        </is>
      </c>
      <c r="F28" s="67"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7" t="inlineStr">
        <is>
          <t>10月中旬（同上）</t>
        </is>
      </c>
      <c r="H28" s="86" t="inlineStr">
        <is>
          <t>束8</t>
        </is>
      </c>
    </row>
    <row r="29" ht="52" customHeight="1">
      <c r="A29" s="85" t="n">
        <v>1</v>
      </c>
      <c r="B29" s="66" t="inlineStr">
        <is>
          <t>K-141</t>
        </is>
      </c>
      <c r="C29" s="66" t="inlineStr">
        <is>
          <t>A</t>
        </is>
      </c>
      <c r="D29" s="67" t="inlineStr">
        <is>
          <t>養護老人ホームへの措置・軽費老人ホームの利用・老人クラブの実績（見える化に系列が一切ない）</t>
        </is>
      </c>
      <c r="E29" s="67" t="inlineStr">
        <is>
          <t>素案 4-30・5-4(8)／Ⅱ-53・Ⅱ-54</t>
        </is>
      </c>
      <c r="F29" s="67" t="inlineStr">
        <is>
          <t>養護老人ホーム措置・軽費老人ホーム・老人クラブは見える化に系列が一切なく、老人福祉事業の量の目標（Ⅱ-110）が立てられない。村提供のみが情報源。★10/12 影響度を2から1に上げた。老人福祉法第20条の8第2項が定めることを求めている量であり、実績がないまま目標の量を置くことはできない。仮定で代替できない。</t>
        </is>
      </c>
      <c r="G29" s="67" t="inlineStr">
        <is>
          <t>10月下旬</t>
        </is>
      </c>
      <c r="H29" s="86" t="inlineStr">
        <is>
          <t>束2</t>
        </is>
      </c>
    </row>
    <row r="30" ht="52" customHeight="1">
      <c r="A30" s="85" t="n">
        <v>1</v>
      </c>
      <c r="B30" s="66" t="inlineStr">
        <is>
          <t>K-175</t>
        </is>
      </c>
      <c r="C30" s="66" t="inlineStr">
        <is>
          <t>A</t>
        </is>
      </c>
      <c r="D30" s="67" t="inlineStr">
        <is>
          <t>★法が定めることを求めている2つの量が空欄である（老人福祉事業の量19事業・地域支援事業の量10事業）</t>
        </is>
      </c>
      <c r="E30" s="67" t="inlineStr">
        <is>
          <t>素案 4-6・5-5・5-12／Ⅱ-53・Ⅱ-110</t>
        </is>
      </c>
      <c r="F30" s="67" t="inlineStr">
        <is>
          <t>老人福祉法第20条の8第2項の老人福祉事業の量（20事業のうち19事業）と、介護保険法第117条第2項第2号の地域支援事業の量（19事業のうち10事業）が令和9〜11年度とも空欄である。いずれも法が計画に定めることを求めている事項であり、仮定を置いて進めることができない。令和5〜7年度の実績の受領を待つ。</t>
        </is>
      </c>
      <c r="G30" s="67" t="inlineStr">
        <is>
          <t>10月下旬</t>
        </is>
      </c>
      <c r="H30" s="86" t="inlineStr">
        <is>
          <t>束2</t>
        </is>
      </c>
    </row>
    <row r="31" ht="52" customHeight="1">
      <c r="A31" s="87" t="n">
        <v>2</v>
      </c>
      <c r="B31" s="66" t="inlineStr">
        <is>
          <t>K-010</t>
        </is>
      </c>
      <c r="C31" s="66" t="inlineStr">
        <is>
          <t>S</t>
        </is>
      </c>
      <c r="D31" s="67" t="inlineStr">
        <is>
          <t>★準備基金の取崩額を40,000,000円（残高の94.9%）とすることの可否（第11期が＋32.4%になる関係）</t>
        </is>
      </c>
      <c r="E31" s="67" t="inlineStr">
        <is>
          <t>素案 5-7・5-11／資料6／Ⅱ-63・Ⅱ-64・Ⅱ-107</t>
        </is>
      </c>
      <c r="F31" s="67" t="inlineStr">
        <is>
          <t>国の推計ワークシートの前提（取崩40,000千円・保険料5,513.72円）を正として置き、取崩24,000千円・取崩なしを併記する案で資料6を組む。確定すれば併記を1案に絞る。</t>
        </is>
      </c>
      <c r="G31" s="67" t="inlineStr">
        <is>
          <t>11月上旬（第2回策定委員会資料の確定前）</t>
        </is>
      </c>
      <c r="H31" s="86" t="inlineStr">
        <is>
          <t>束1</t>
        </is>
      </c>
    </row>
    <row r="32" ht="52" customHeight="1">
      <c r="A32" s="87" t="n">
        <v>2</v>
      </c>
      <c r="B32" s="66" t="inlineStr">
        <is>
          <t>K-011</t>
        </is>
      </c>
      <c r="C32" s="66" t="inlineStr">
        <is>
          <t>A</t>
        </is>
      </c>
      <c r="D32" s="67" t="inlineStr">
        <is>
          <t>★条例上の保険料基準額の百円未満の処理（第9期は切捨てと見られる）</t>
        </is>
      </c>
      <c r="E32" s="67" t="inlineStr">
        <is>
          <t>素案 5-7・図5-2／資料6 6-3b／Ⅱ-64・Ⅱ-107</t>
        </is>
      </c>
      <c r="F32" s="67"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2" s="67" t="inlineStr">
        <is>
          <t>11月上旬（第2回策定委員会まで）</t>
        </is>
      </c>
      <c r="H32" s="86" t="inlineStr">
        <is>
          <t>束1</t>
        </is>
      </c>
    </row>
    <row r="33" ht="52" customHeight="1">
      <c r="A33" s="87" t="n">
        <v>2</v>
      </c>
      <c r="B33" s="66" t="inlineStr">
        <is>
          <t>K-012</t>
        </is>
      </c>
      <c r="C33" s="66" t="inlineStr">
        <is>
          <t>A</t>
        </is>
      </c>
      <c r="D33" s="67" t="inlineStr">
        <is>
          <t>★調整交付金見込交付割合5.36／5.03／4.67%の出所（県の指示値か村の入力値か）</t>
        </is>
      </c>
      <c r="E33" s="67" t="inlineStr">
        <is>
          <t>素案 5-7(3)・5-9／Ⅱ-62・Ⅱ-64</t>
        </is>
      </c>
      <c r="F33" s="67" t="inlineStr">
        <is>
          <t>国の値（5.36／5.03／4.67%）を正として5-7を書き換える。当方が復元した4.10〜4.32%との差（1.0ポイント超＝月額約260円）は、出所が分かれば説明できる。</t>
        </is>
      </c>
      <c r="G33" s="67" t="inlineStr">
        <is>
          <t>10月下旬</t>
        </is>
      </c>
      <c r="H33" s="86" t="inlineStr">
        <is>
          <t>束1</t>
        </is>
      </c>
    </row>
    <row r="34" ht="52" customHeight="1">
      <c r="A34" s="87" t="n">
        <v>2</v>
      </c>
      <c r="B34" s="66" t="inlineStr">
        <is>
          <t>K-013</t>
        </is>
      </c>
      <c r="C34" s="66" t="inlineStr">
        <is>
          <t>A</t>
        </is>
      </c>
      <c r="D34" s="67" t="inlineStr">
        <is>
          <t>★地域支援事業費が国の推計（3か年147,654千円）と当方の算定（119,658千円）で23.4%食い違う</t>
        </is>
      </c>
      <c r="E34" s="67" t="inlineStr">
        <is>
          <t>素案 5-6(3)・5-7／Ⅱ-55・Ⅱ-56・Ⅱ-106</t>
        </is>
      </c>
      <c r="F34" s="67" t="inlineStr">
        <is>
          <t>国の値（47,686／49,218／50,751千円）を正として5-6を書き換える。伸びの根拠が分かるまでは「国の推計ワークシートの値による」と注記する。</t>
        </is>
      </c>
      <c r="G34" s="67" t="inlineStr">
        <is>
          <t>10月下旬</t>
        </is>
      </c>
      <c r="H34" s="86" t="inlineStr">
        <is>
          <t>束2</t>
        </is>
      </c>
    </row>
    <row r="35" ht="52" customHeight="1">
      <c r="A35" s="87" t="n">
        <v>2</v>
      </c>
      <c r="B35" s="66" t="inlineStr">
        <is>
          <t>K-014</t>
        </is>
      </c>
      <c r="C35" s="66" t="inlineStr">
        <is>
          <t>A</t>
        </is>
      </c>
      <c r="D35" s="67" t="inlineStr">
        <is>
          <t>★特定地域居宅サービス等事業・介護情報利活用事業が0で入っていることの扱い</t>
        </is>
      </c>
      <c r="E35" s="67" t="inlineStr">
        <is>
          <t>素案 5-5・5-6(3)・施策3-1／Ⅱ-56・Ⅱ-67・Ⅱ-106</t>
        </is>
      </c>
      <c r="F35" s="67" t="inlineStr">
        <is>
          <t>0のまま（取り組まない）として記載し、中山間・人口減少地域の指定の意向とあわせて「第10期中に検討する」とする案を用意する。</t>
        </is>
      </c>
      <c r="G35" s="67" t="inlineStr">
        <is>
          <t>11月上旬（第2回策定委員会まで）</t>
        </is>
      </c>
      <c r="H35" s="86" t="inlineStr">
        <is>
          <t>束2</t>
        </is>
      </c>
    </row>
    <row r="36" ht="52" customHeight="1">
      <c r="A36" s="87" t="n">
        <v>2</v>
      </c>
      <c r="B36" s="66" t="inlineStr">
        <is>
          <t>K-018</t>
        </is>
      </c>
      <c r="C36" s="66" t="inlineStr">
        <is>
          <t>A</t>
        </is>
      </c>
      <c r="D36" s="67" t="inlineStr">
        <is>
          <t>通いの場の参加者281人は実人数か延べ人数か（基準値の置き方）</t>
        </is>
      </c>
      <c r="E36" s="67" t="inlineStr">
        <is>
          <t>素案 2-6・5-5(1)・第4章 4-2／Ⅱ-65</t>
        </is>
      </c>
      <c r="F36" s="67" t="inlineStr">
        <is>
          <t>参加率を27.8%（281人÷1,009人）で算定している。281人が延べ人数であれば実人数はこれより少なく、活動指標の基準値が下がる。</t>
        </is>
      </c>
      <c r="G36" s="67" t="inlineStr">
        <is>
          <t>10月中旬</t>
        </is>
      </c>
      <c r="H36" s="86" t="inlineStr">
        <is>
          <t>束3</t>
        </is>
      </c>
    </row>
    <row r="37" ht="52" customHeight="1">
      <c r="A37" s="87" t="n">
        <v>2</v>
      </c>
      <c r="B37" s="66" t="inlineStr">
        <is>
          <t>K-040</t>
        </is>
      </c>
      <c r="C37" s="66" t="inlineStr">
        <is>
          <t>A</t>
        </is>
      </c>
      <c r="D37" s="67" t="inlineStr">
        <is>
          <t>交付金の取得目標のうち、令和6・7年度に点があり令和8年度に0点となった4項目21点の取組の実施状況と記録</t>
        </is>
      </c>
      <c r="E37" s="67" t="inlineStr">
        <is>
          <t>素案 6-3・5-12／参考資料（成果品19）2-2／Ⅱ-83</t>
        </is>
      </c>
      <c r="F37" s="67" t="inlineStr">
        <is>
          <t>取組が続いているものとして6-3の目標に置き、参考資料では「実施済み・証跡要確認」に分けて示す。非該当の理由が記録の不足であれば、記録の様式を施策3-5・施策4-3に書き足す。</t>
        </is>
      </c>
      <c r="G37" s="67" t="inlineStr">
        <is>
          <t>10月下旬</t>
        </is>
      </c>
      <c r="H37" s="86" t="inlineStr">
        <is>
          <t>束6</t>
        </is>
      </c>
    </row>
    <row r="38" ht="52" customHeight="1">
      <c r="A38" s="87" t="n">
        <v>2</v>
      </c>
      <c r="B38" s="66" t="inlineStr">
        <is>
          <t>K-041</t>
        </is>
      </c>
      <c r="C38" s="66" t="inlineStr">
        <is>
          <t>A</t>
        </is>
      </c>
      <c r="D38" s="67" t="inlineStr">
        <is>
          <t>地域支援事業費・総合事業費の決算の複数年の推移（可能な範囲で5か年以上）</t>
        </is>
      </c>
      <c r="E38" s="67" t="inlineStr">
        <is>
          <t>素案 5-6(3)／Ⅱ-55・Ⅱ-56・Ⅱ-106</t>
        </is>
      </c>
      <c r="F38" s="67" t="inlineStr">
        <is>
          <t>国の推計ワークシートの値を正として5-6を書き換える。据え置きが外れたため、決算の推移は伸びの根拠の裏づけとして用いる。</t>
        </is>
      </c>
      <c r="G38" s="67" t="inlineStr">
        <is>
          <t>10月下旬</t>
        </is>
      </c>
      <c r="H38" s="86" t="inlineStr">
        <is>
          <t>束2</t>
        </is>
      </c>
    </row>
    <row r="39" ht="52" customHeight="1">
      <c r="A39" s="87" t="n">
        <v>2</v>
      </c>
      <c r="B39" s="66" t="inlineStr">
        <is>
          <t>K-075</t>
        </is>
      </c>
      <c r="C39" s="66" t="inlineStr">
        <is>
          <t>A</t>
        </is>
      </c>
      <c r="D39" s="67" t="inlineStr">
        <is>
          <t>中山間・人口減少地域（特定地域）の指定を受ける意向</t>
        </is>
      </c>
      <c r="E39" s="67" t="inlineStr">
        <is>
          <t>素案 1-8(3)・5-4(4)／Ⅱ-56・Ⅱ-67</t>
        </is>
      </c>
      <c r="F39" s="67" t="inlineStr">
        <is>
          <t>中山間・人口減少地域（特定地域）の該当を素案1-8(3)に記載している。指定を受ける意向が定まらないと5-4(4)の仮置きを外せない。</t>
        </is>
      </c>
      <c r="G39" s="67" t="inlineStr">
        <is>
          <t>10月中旬</t>
        </is>
      </c>
      <c r="H39" s="86" t="inlineStr">
        <is>
          <t>束2</t>
        </is>
      </c>
    </row>
    <row r="40" ht="52" customHeight="1">
      <c r="A40" s="87" t="n">
        <v>2</v>
      </c>
      <c r="B40" s="66" t="inlineStr">
        <is>
          <t>K-103</t>
        </is>
      </c>
      <c r="C40" s="66" t="inlineStr">
        <is>
          <t>S</t>
        </is>
      </c>
      <c r="D40" s="67" t="inlineStr">
        <is>
          <t>★ICFを用いたクロス分析の具体的な期待像（軸・アウトプットのイメージ）</t>
        </is>
      </c>
      <c r="E40" s="67" t="inlineStr">
        <is>
          <t>資料3／Ⅰ-95</t>
        </is>
      </c>
      <c r="F40" s="67" t="inlineStr">
        <is>
          <t>当方の設計（ICFの構成要素によるクロス分析）で進めている。期待像が違うと軸の取り方が変わり、クロス表を組み直すことになる。</t>
        </is>
      </c>
      <c r="G40" s="67" t="inlineStr">
        <is>
          <t>10月中旬（集計の実行前）</t>
        </is>
      </c>
      <c r="H40" s="86" t="inlineStr">
        <is>
          <t>束8</t>
        </is>
      </c>
    </row>
    <row r="41" ht="52" customHeight="1">
      <c r="A41" s="87" t="n">
        <v>2</v>
      </c>
      <c r="B41" s="66" t="inlineStr">
        <is>
          <t>K-107</t>
        </is>
      </c>
      <c r="C41" s="66" t="inlineStr">
        <is>
          <t>A</t>
        </is>
      </c>
      <c r="D41" s="67" t="inlineStr">
        <is>
          <t>★令和9年度介護報酬改定への対応（現行単価で試算し単価確定後に補正する方針の、補正時期と成果品への反映方法）</t>
        </is>
      </c>
      <c r="E41" s="67" t="inlineStr">
        <is>
          <t>素案 5-4(10)／Ⅱ-62</t>
        </is>
      </c>
      <c r="F41" s="67" t="inlineStr">
        <is>
          <t>改定なしとして単価を令和5〜7年度の3か年平均で固定している。補正の時期と成果品への反映方法が決まらないと、改定率の告示後の作業量が見積もれない。</t>
        </is>
      </c>
      <c r="G41" s="67" t="inlineStr">
        <is>
          <t>10月中旬</t>
        </is>
      </c>
      <c r="H41" s="86" t="inlineStr">
        <is>
          <t>束1</t>
        </is>
      </c>
    </row>
    <row r="42" ht="52" customHeight="1">
      <c r="A42" s="87" t="n">
        <v>2</v>
      </c>
      <c r="B42" s="66" t="inlineStr">
        <is>
          <t>K-112</t>
        </is>
      </c>
      <c r="C42" s="66" t="inlineStr">
        <is>
          <t>A</t>
        </is>
      </c>
      <c r="D42" s="67" t="inlineStr">
        <is>
          <t>★時系列比較（第8期・第9期との対比）の対象とする設問の範囲</t>
        </is>
      </c>
      <c r="E42" s="67" t="inlineStr">
        <is>
          <t>資料3・報告書／Ⅰ-42</t>
        </is>
      </c>
      <c r="F42" s="67" t="inlineStr">
        <is>
          <t>第9期との比較が可能な設問で進めている。範囲が変わると対比の表が増減する。</t>
        </is>
      </c>
      <c r="G42" s="67" t="inlineStr">
        <is>
          <t>10月中旬</t>
        </is>
      </c>
      <c r="H42" s="86" t="inlineStr">
        <is>
          <t>束8</t>
        </is>
      </c>
    </row>
    <row r="43" ht="52" customHeight="1">
      <c r="A43" s="87" t="n">
        <v>2</v>
      </c>
      <c r="B43" s="66" t="inlineStr">
        <is>
          <t>K-115</t>
        </is>
      </c>
      <c r="C43" s="66" t="inlineStr">
        <is>
          <t>S</t>
        </is>
      </c>
      <c r="D43" s="67" t="inlineStr">
        <is>
          <t>★2つの名簿に重複して含まれる2人の扱い</t>
        </is>
      </c>
      <c r="E43" s="67" t="inlineStr">
        <is>
          <t>資料3／Ⅰ-24・Ⅰ-30・Ⅰ-36</t>
        </is>
      </c>
      <c r="F43" s="67" t="inlineStr">
        <is>
          <t>当方の案（ニーズ調査と在宅調査でそれぞれ1件として数え、認定状況×生活機能のクロスでは管理番号で名寄せする）で進めている。扱いが変わると回収件数と母数が2件動く。</t>
        </is>
      </c>
      <c r="G43" s="67" t="inlineStr">
        <is>
          <t>10月中旬（重複回答の排除を行う前）</t>
        </is>
      </c>
      <c r="H43" s="86" t="inlineStr">
        <is>
          <t>束7</t>
        </is>
      </c>
    </row>
    <row r="44" ht="52" customHeight="1">
      <c r="A44" s="87" t="n">
        <v>2</v>
      </c>
      <c r="B44" s="66" t="inlineStr">
        <is>
          <t>K-126</t>
        </is>
      </c>
      <c r="C44" s="66" t="inlineStr">
        <is>
          <t>A</t>
        </is>
      </c>
      <c r="D44" s="67" t="inlineStr">
        <is>
          <t>保険料シミュレーションの提示案数と基金残高の見通しの示し方</t>
        </is>
      </c>
      <c r="E44" s="67" t="inlineStr">
        <is>
          <t>素案 5-7(4)／Ⅱ-64</t>
        </is>
      </c>
      <c r="F44" s="67"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4" s="67" t="inlineStr">
        <is>
          <t>10月中旬（第2回策定委員会資料の確定前）</t>
        </is>
      </c>
      <c r="H44" s="86" t="inlineStr">
        <is>
          <t>束1</t>
        </is>
      </c>
    </row>
    <row r="45" ht="52" customHeight="1">
      <c r="A45" s="87" t="n">
        <v>2</v>
      </c>
      <c r="B45" s="66" t="inlineStr">
        <is>
          <t>K-145</t>
        </is>
      </c>
      <c r="C45" s="66" t="inlineStr">
        <is>
          <t>A</t>
        </is>
      </c>
      <c r="D45" s="67" t="inlineStr">
        <is>
          <t>★介護給付費財政調整交付金の算定における主要3事業の取組状況の勘案（県への照会）</t>
        </is>
      </c>
      <c r="E45" s="67" t="inlineStr">
        <is>
          <t>素案 5-7(3)・5-8(3)／Ⅱ-62・Ⅱ-64・Ⅱ-109</t>
        </is>
      </c>
      <c r="F45" s="67"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5" s="67" t="inlineStr">
        <is>
          <t>10月中旬</t>
        </is>
      </c>
      <c r="H45" s="86" t="inlineStr">
        <is>
          <t>束1</t>
        </is>
      </c>
    </row>
    <row r="46" ht="52" customHeight="1">
      <c r="A46" s="87" t="n">
        <v>2</v>
      </c>
      <c r="B46" s="66" t="inlineStr">
        <is>
          <t>K-151</t>
        </is>
      </c>
      <c r="C46" s="66" t="inlineStr">
        <is>
          <t>A</t>
        </is>
      </c>
      <c r="D46" s="67" t="inlineStr">
        <is>
          <t>認知症対応型共同生活介護（村内27人分）の待機者数と、村外のグループホームを利用している方の人数</t>
        </is>
      </c>
      <c r="E46" s="67" t="inlineStr">
        <is>
          <t>素案 5-4(8)／Ⅱ-56・Ⅱ-67</t>
        </is>
      </c>
      <c r="F46" s="67" t="inlineStr">
        <is>
          <t>認知症対応型共同生活介護の必要利用定員総数を現状の27人で3か年据え置いている。待機者数と村外利用者数がわかれば増床の要否を判断できる。</t>
        </is>
      </c>
      <c r="G46" s="67" t="inlineStr">
        <is>
          <t>10月下旬（第2回策定委員会の審議事項）</t>
        </is>
      </c>
      <c r="H46" s="86" t="inlineStr">
        <is>
          <t>束2</t>
        </is>
      </c>
    </row>
    <row r="47" ht="52" customHeight="1">
      <c r="A47" s="87" t="n">
        <v>2</v>
      </c>
      <c r="B47" s="66" t="inlineStr">
        <is>
          <t>K-156</t>
        </is>
      </c>
      <c r="C47" s="66" t="inlineStr">
        <is>
          <t>A</t>
        </is>
      </c>
      <c r="D47" s="67" t="inlineStr">
        <is>
          <t>居宅療養管理指導・短期入所生活介護を3か年平均と令和7年度水準のどちらで置くか</t>
        </is>
      </c>
      <c r="E47" s="67" t="inlineStr">
        <is>
          <t>素案 5-4(1)(3)／Ⅱ-56</t>
        </is>
      </c>
      <c r="F47" s="67" t="inlineStr">
        <is>
          <t>居宅療養管理指導・短期入所生活介護を3か年平均で置いている。令和7年度水準に替えると見込量と給付費が動く。</t>
        </is>
      </c>
      <c r="G47" s="67" t="inlineStr">
        <is>
          <t>10月中旬</t>
        </is>
      </c>
      <c r="H47" s="86" t="inlineStr">
        <is>
          <t>束2</t>
        </is>
      </c>
    </row>
    <row r="48" ht="52" customHeight="1">
      <c r="A48" s="87" t="n">
        <v>2</v>
      </c>
      <c r="B48" s="66" t="inlineStr">
        <is>
          <t>K-164</t>
        </is>
      </c>
      <c r="C48" s="66" t="inlineStr">
        <is>
          <t>A</t>
        </is>
      </c>
      <c r="D48" s="67" t="inlineStr">
        <is>
          <t>特定地域サービス・特定地域居宅サービス等事業を活用するかどうか</t>
        </is>
      </c>
      <c r="E48" s="67" t="inlineStr">
        <is>
          <t>素案 5-4(4)／Ⅱ-56・Ⅱ-60</t>
        </is>
      </c>
      <c r="F48" s="67" t="inlineStr">
        <is>
          <t>特定地域サービス・特定地域居宅サービス等事業を0で仮置きしている。活用するならサービス種類が増え、見込量の表の行が増える。</t>
        </is>
      </c>
      <c r="G48" s="67" t="inlineStr">
        <is>
          <t>10月中旬</t>
        </is>
      </c>
      <c r="H48" s="86" t="inlineStr">
        <is>
          <t>束2</t>
        </is>
      </c>
    </row>
    <row r="49" ht="52" customHeight="1">
      <c r="A49" s="87" t="n">
        <v>2</v>
      </c>
      <c r="B49" s="66" t="inlineStr">
        <is>
          <t>K-168</t>
        </is>
      </c>
      <c r="C49" s="66" t="inlineStr">
        <is>
          <t>A</t>
        </is>
      </c>
      <c r="D49" s="67" t="inlineStr">
        <is>
          <t>保険料の所得段階を区分する合計所得金額の基準額（82.65万円）に係る条例改正の予定</t>
        </is>
      </c>
      <c r="E49" s="67" t="inlineStr">
        <is>
          <t>素案 5-7(2)・5-10／Ⅱ-63</t>
        </is>
      </c>
      <c r="F49" s="67" t="inlineStr">
        <is>
          <t>第9期の所得段階の設定を据え置いて算定している。合計所得金額の基準額（82.65万円）に係る条例改正があれば段階の境界が動く。</t>
        </is>
      </c>
      <c r="G49" s="67" t="inlineStr">
        <is>
          <t>10月中旬</t>
        </is>
      </c>
      <c r="H49" s="86" t="inlineStr">
        <is>
          <t>束1</t>
        </is>
      </c>
    </row>
    <row r="50" ht="52" customHeight="1">
      <c r="A50" s="87" t="n">
        <v>2</v>
      </c>
      <c r="B50" s="66" t="inlineStr">
        <is>
          <t>K-169</t>
        </is>
      </c>
      <c r="C50" s="66" t="inlineStr">
        <is>
          <t>A</t>
        </is>
      </c>
      <c r="D50" s="67" t="inlineStr">
        <is>
          <t>算定上の保険料月額を条例上の基準額に置き換える方法（第9期の扱い）</t>
        </is>
      </c>
      <c r="E50" s="67" t="inlineStr">
        <is>
          <t>素案 5-7(2)／Ⅱ-63</t>
        </is>
      </c>
      <c r="F50" s="67" t="inlineStr">
        <is>
          <t>算定上の月額をそのまま掲げている。条例上の基準額への置き換え方（端数の扱い）が決まると提示額が変わる。</t>
        </is>
      </c>
      <c r="G50" s="67" t="inlineStr">
        <is>
          <t>10月中旬</t>
        </is>
      </c>
      <c r="H50" s="86" t="inlineStr">
        <is>
          <t>束1</t>
        </is>
      </c>
    </row>
    <row r="51" ht="52" customHeight="1">
      <c r="A51" s="87" t="n">
        <v>2</v>
      </c>
      <c r="B51" s="66" t="inlineStr">
        <is>
          <t>K-170</t>
        </is>
      </c>
      <c r="C51" s="66" t="inlineStr">
        <is>
          <t>A</t>
        </is>
      </c>
      <c r="D51" s="67" t="inlineStr">
        <is>
          <t>高額医療合算介護サービス費の自動償還を実施するかどうか</t>
        </is>
      </c>
      <c r="E51" s="67" t="inlineStr">
        <is>
          <t>素案 1-8(2)・5-6(2)／Ⅱ-62</t>
        </is>
      </c>
      <c r="F51" s="67" t="inlineStr">
        <is>
          <t>当方は実績が0のため0としていたが、国の推計ワークシートは3か年8,519千円（月額約65円）で見込んでいる。国の値を正として5-6を書き換える。</t>
        </is>
      </c>
      <c r="G51" s="67" t="inlineStr">
        <is>
          <t>10月下旬</t>
        </is>
      </c>
      <c r="H51" s="86" t="inlineStr">
        <is>
          <t>束1</t>
        </is>
      </c>
    </row>
    <row r="52" ht="52" customHeight="1">
      <c r="A52" s="87" t="n">
        <v>2</v>
      </c>
      <c r="B52" s="66" t="inlineStr">
        <is>
          <t>K-174</t>
        </is>
      </c>
      <c r="C52" s="66" t="inlineStr">
        <is>
          <t>A</t>
        </is>
      </c>
      <c r="D52" s="67" t="inlineStr">
        <is>
          <t>★障がい福祉と介護保険で数を揃える3つの対象（第2号被保険者・65歳到達者・適用除外施設入所者）</t>
        </is>
      </c>
      <c r="E52" s="67" t="inlineStr">
        <is>
          <t>素案 資9・5-1・5-3・4-7(2)／Ⅱ-72・Ⅱ-56・Ⅱ-62</t>
        </is>
      </c>
      <c r="F52" s="67" t="inlineStr">
        <is>
          <t>第2号被保険者は各年度2人から3人、65歳到達による移行は0、適用除外の該当者はなしとして置いて進めている。適用除外の該当者がいる場合は第1号被保険者数が減り、保険料の分母が動く。65歳到達による移行が生じる場合は、障がい側を減らし介護側を増やす形で両計画の見込量を同じ年度に動かす。いずれも差替えの範囲は5-1・5-3・5-4にとどまる。氏名は要らず、匿名の整理番号・生年月・区分・サービス・月の利用量で足りる。</t>
        </is>
      </c>
      <c r="G52" s="67" t="inlineStr">
        <is>
          <t>11月上旬（第2回策定委員会の資料作成前）</t>
        </is>
      </c>
      <c r="H52" s="86" t="inlineStr">
        <is>
          <t>束1</t>
        </is>
      </c>
    </row>
    <row r="53" ht="52" customHeight="1">
      <c r="A53" s="87" t="n">
        <v>2</v>
      </c>
      <c r="B53" s="66" t="inlineStr">
        <is>
          <t>K-176</t>
        </is>
      </c>
      <c r="C53" s="66" t="inlineStr">
        <is>
          <t>A</t>
        </is>
      </c>
      <c r="D53" s="67" t="inlineStr">
        <is>
          <t>★共生型サービスの事業所の名寄せ（障がい福祉と介護保険で同一の事業所か）</t>
        </is>
      </c>
      <c r="E53" s="67" t="inlineStr">
        <is>
          <t>素案 施策3-1・2-5・資9／Ⅱ-72・Ⅱ-54</t>
        </is>
      </c>
      <c r="F53" s="67" t="inlineStr">
        <is>
          <t>施策3-1の指標「共生型サービスについて協議した事業所数」の現状値を0か所として仮に置いている。社会福祉協議会がすでに居宅介護・生活介護を担っている場合、現状値は0ではなく、目標値（村内3か所）の立て方も変わる。差替えは施策3-1にとどまる。障がい福祉計画の整合Ｋ-5。</t>
        </is>
      </c>
      <c r="G53" s="67" t="inlineStr">
        <is>
          <t>10月下旬</t>
        </is>
      </c>
      <c r="H53" s="86" t="inlineStr">
        <is>
          <t>束2</t>
        </is>
      </c>
    </row>
    <row r="54" ht="52" customHeight="1">
      <c r="A54" s="87" t="n">
        <v>2</v>
      </c>
      <c r="B54" s="66" t="inlineStr">
        <is>
          <t>K-179</t>
        </is>
      </c>
      <c r="C54" s="66" t="inlineStr">
        <is>
          <t>A</t>
        </is>
      </c>
      <c r="D54" s="67" t="inlineStr">
        <is>
          <t>★福島県高齢者居住安定確保計画の改定の予定と、本村の住まいの計画の有無</t>
        </is>
      </c>
      <c r="E54" s="67" t="inlineStr">
        <is>
          <t>素案 1-4・資9・施策2-3・施策2-6・5-12／Ⅱ-56</t>
        </is>
      </c>
      <c r="F54" s="67" t="inlineStr">
        <is>
          <t>10/15 起票。介護保険法第117条が本計画と他の計画との調和を求めていることを条文として引いていなかったため、1-4と資9に加えた。県計画（令和4年3月）の会津地域の対策に即して施策2-3・施策2-6を組んでいるが、同計画は令和8年度で満了するため改定の内容により記述が動き得る。ご回答がない場合は現行の県計画のまま記述してお示しし、5-12に確定の条件として掲げる。</t>
        </is>
      </c>
      <c r="G54" s="67" t="inlineStr">
        <is>
          <t>11月上旬（第2回策定委員会資料の確定前）</t>
        </is>
      </c>
      <c r="H54" s="86" t="inlineStr">
        <is>
          <t>束2</t>
        </is>
      </c>
    </row>
    <row r="55" ht="52" customHeight="1">
      <c r="A55" s="88" t="n">
        <v>0</v>
      </c>
      <c r="B55" s="66" t="inlineStr">
        <is>
          <t>K-140</t>
        </is>
      </c>
      <c r="C55" s="66" t="inlineStr">
        <is>
          <t>A</t>
        </is>
      </c>
      <c r="D55" s="67" t="inlineStr">
        <is>
          <t>★見える化の「将来推計」メニューで在宅サービス利用率の分母を確認する</t>
        </is>
      </c>
      <c r="E55" s="67" t="inlineStr">
        <is>
          <t>素案 5-4／Ⅱ-56</t>
        </is>
      </c>
      <c r="F55" s="67" t="inlineStr">
        <is>
          <t>★10/10 済：受領した738冊に将来推計メニューの出力はなく、10/7に受領した将来推計総括表にも推計に用いる利用率の分母は書かれていなかった。総括表から利用者数を復元して4つの分母の候補で確かめたが、推計がサービス別・要介護度別に行われているため合算の利用率は要介護度の構成で動き、特定できない（doc85）。残るのは推計ワークシート本体の受領で、K-158（国のツールが求める分母・優先度A）が引き継ぐ。</t>
        </is>
      </c>
      <c r="G55" s="67" t="inlineStr">
        <is>
          <t>当方で10月10日に実施済</t>
        </is>
      </c>
      <c r="H55" s="86" t="inlineStr">
        <is>
          <t>束2</t>
        </is>
      </c>
    </row>
    <row r="56" ht="52" customHeight="1">
      <c r="A56" s="88" t="n">
        <v>0</v>
      </c>
      <c r="B56" s="66" t="inlineStr">
        <is>
          <t>K-172</t>
        </is>
      </c>
      <c r="C56" s="66" t="inlineStr">
        <is>
          <t>A</t>
        </is>
      </c>
      <c r="D56" s="67" t="inlineStr">
        <is>
          <t>★【社内】校了版（令和8年9月9日）の調査票Wordの提供（コードブックの作り直しに必要）</t>
        </is>
      </c>
      <c r="E56" s="67" t="inlineStr">
        <is>
          <t>集計 Ⅰ-104・Ⅰ-35・Ⅰ-36</t>
        </is>
      </c>
      <c r="F56" s="67" t="inlineStr">
        <is>
          <t>論理チェック（doc25 §7・shukei_check.py）は組み終えており、ダミーデータで結果が出ることと自己試験が通ることを確かめている。ただしコードブックが令和8年9月4日版の調査票から作られているため、版が合うまで結果は暫定である（shukei_check.py は版を確かめて止まる。--暫定 で続行可）。校了版のWordを受領すればコードブックを作り直し、9月4日版の読み取りの不備7件（C01 1件・C02 5件・C03 1件）も同時に解消する。所要は半日。調査票は他メンバーの担当であり、当方では作成しない。お願いするのはWordの提供のみである。受領できないまま入力が進むと、鳴らなかった件が「誤りがない」のか「版違いで鳴らなかった」のか区別できなくなる。</t>
        </is>
      </c>
      <c r="G56" s="67" t="inlineStr">
        <is>
          <t>入力の開始前（回収期限 令和8年10月16日の前）</t>
        </is>
      </c>
      <c r="H56" s="86" t="inlineStr">
        <is>
          <t>束8</t>
        </is>
      </c>
    </row>
    <row r="58" ht="20" customHeight="1">
      <c r="A58" s="38" t="inlineStr">
        <is>
          <t>■ 照会の束　— 1通にまとめて起案する単位（未解決の確認事項を関連WBSで束ねたもの）</t>
        </is>
      </c>
    </row>
    <row r="59" ht="24" customHeight="1">
      <c r="A59" s="3" t="inlineStr">
        <is>
          <t>束</t>
        </is>
      </c>
      <c r="B59" s="3" t="inlineStr">
        <is>
          <t>名称</t>
        </is>
      </c>
      <c r="C59" s="3" t="inlineStr">
        <is>
          <t>未解決</t>
        </is>
      </c>
      <c r="D59" s="3" t="inlineStr">
        <is>
          <t>うちS</t>
        </is>
      </c>
      <c r="E59" s="3" t="inlineStr">
        <is>
          <t>うちA</t>
        </is>
      </c>
      <c r="F59" s="3" t="inlineStr">
        <is>
          <t>止まるWBS</t>
        </is>
      </c>
      <c r="G59" s="3" t="inlineStr">
        <is>
          <t>照会の方法</t>
        </is>
      </c>
      <c r="H59" s="3" t="inlineStr"/>
    </row>
    <row r="60" ht="46" customHeight="1">
      <c r="A60" s="89" t="inlineStr">
        <is>
          <t>束1</t>
        </is>
      </c>
      <c r="B60" s="67" t="inlineStr">
        <is>
          <t>保険料と推計の確定</t>
        </is>
      </c>
      <c r="C60" s="86" t="n">
        <v>18</v>
      </c>
      <c r="D60" s="86" t="n">
        <v>2</v>
      </c>
      <c r="E60" s="86" t="n">
        <v>9</v>
      </c>
      <c r="F60" s="67" t="inlineStr">
        <is>
          <t>Ⅱ-107、Ⅱ-59、Ⅱ-62、Ⅱ-63、Ⅱ-64</t>
        </is>
      </c>
      <c r="G60" s="67"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0" s="50" t="n"/>
    </row>
    <row r="61" ht="46" customHeight="1">
      <c r="A61" s="89" t="inlineStr">
        <is>
          <t>束2</t>
        </is>
      </c>
      <c r="B61" s="67" t="inlineStr">
        <is>
          <t>給付実績・決算と第9期の計画値</t>
        </is>
      </c>
      <c r="C61" s="86" t="n">
        <v>55</v>
      </c>
      <c r="D61" s="86" t="n">
        <v>0</v>
      </c>
      <c r="E61" s="86" t="n">
        <v>20</v>
      </c>
      <c r="F61" s="67" t="inlineStr">
        <is>
          <t>Ⅱ-105、Ⅱ-106、Ⅱ-110、Ⅱ-53、Ⅱ-54、Ⅱ-55、Ⅱ-56、Ⅱ-57、Ⅱ-60、Ⅱ-61</t>
        </is>
      </c>
      <c r="G61" s="67" t="inlineStr">
        <is>
          <t>令和6・7年度の決算と給付実績、将来推計総括表、第9期計画の本文、見える化に系列のない事業（養護老人ホーム措置・軽費老人ホーム・老人クラブ）を1通にまとめる。</t>
        </is>
      </c>
      <c r="H61" s="50" t="n"/>
    </row>
    <row r="62" ht="46" customHeight="1">
      <c r="A62" s="89" t="inlineStr">
        <is>
          <t>束3</t>
        </is>
      </c>
      <c r="B62" s="67" t="inlineStr">
        <is>
          <t>交付金の得点と給付適正化</t>
        </is>
      </c>
      <c r="C62" s="86" t="n">
        <v>20</v>
      </c>
      <c r="D62" s="86" t="n">
        <v>0</v>
      </c>
      <c r="E62" s="86" t="n">
        <v>12</v>
      </c>
      <c r="F62" s="67" t="inlineStr">
        <is>
          <t>Ⅱ-109、Ⅱ-65、Ⅱ-67</t>
        </is>
      </c>
      <c r="G62" s="67" t="inlineStr">
        <is>
          <t>得点が低下した指標の理由と、未得点項目の取組可否を1通にまとめる。交付金の該当状況調査票の写しにより当方で確かめられるものは照会から除く。</t>
        </is>
      </c>
      <c r="H62" s="50" t="n"/>
    </row>
    <row r="63" ht="46" customHeight="1">
      <c r="A63" s="89" t="inlineStr">
        <is>
          <t>束4</t>
        </is>
      </c>
      <c r="B63" s="67" t="inlineStr">
        <is>
          <t>認知症施策と権利擁護</t>
        </is>
      </c>
      <c r="C63" s="86" t="n">
        <v>12</v>
      </c>
      <c r="D63" s="86" t="n">
        <v>0</v>
      </c>
      <c r="E63" s="86" t="n">
        <v>6</v>
      </c>
      <c r="F63" s="67" t="inlineStr">
        <is>
          <t>Ⅱ-68、Ⅱ-69</t>
        </is>
      </c>
      <c r="G63" s="67" t="inlineStr">
        <is>
          <t>認知症関連事業の実績、意見を聴く方法、権利擁護センターの相談減の要因を1通にまとめる。</t>
        </is>
      </c>
      <c r="H63" s="50" t="n"/>
    </row>
    <row r="64" ht="46" customHeight="1">
      <c r="A64" s="89" t="inlineStr">
        <is>
          <t>束5</t>
        </is>
      </c>
      <c r="B64" s="67" t="inlineStr">
        <is>
          <t>計画構成と施策体系</t>
        </is>
      </c>
      <c r="C64" s="86" t="n">
        <v>18</v>
      </c>
      <c r="D64" s="86" t="n">
        <v>0</v>
      </c>
      <c r="E64" s="86" t="n">
        <v>6</v>
      </c>
      <c r="F64" s="67" t="inlineStr">
        <is>
          <t>Ⅱ-113、Ⅱ-70、Ⅱ-71、Ⅱ-72、Ⅱ-73、Ⅱ-75</t>
        </is>
      </c>
      <c r="G64" s="67" t="inlineStr">
        <is>
          <t>基本理念の変更の有無、関連計画の策定状況、一体的策定の範囲を第2回策定委員会の審議事項として整理する。</t>
        </is>
      </c>
      <c r="H64" s="50" t="n"/>
    </row>
    <row r="65" ht="46" customHeight="1">
      <c r="A65" s="89" t="inlineStr">
        <is>
          <t>束6</t>
        </is>
      </c>
      <c r="B65" s="67" t="inlineStr">
        <is>
          <t>日程・体制・成果品</t>
        </is>
      </c>
      <c r="C65" s="86" t="n">
        <v>12</v>
      </c>
      <c r="D65" s="86" t="n">
        <v>1</v>
      </c>
      <c r="E65" s="86" t="n">
        <v>8</v>
      </c>
      <c r="F65" s="67" t="inlineStr">
        <is>
          <t>Ⅱ-76、Ⅱ-77、Ⅱ-80、Ⅱ-81、Ⅱ-83、Ⅱ-93、Ⅳ-114、Ⅳ-90、Ⅳ-92、Ⅴ-97、０-02、０-06</t>
        </is>
      </c>
      <c r="G65" s="67" t="inlineStr">
        <is>
          <t>委員会の開催日、パブリックコメントの時期、納品物の範囲を工程表とあわせて確認する。</t>
        </is>
      </c>
      <c r="H65" s="50" t="n"/>
    </row>
    <row r="66" ht="46" customHeight="1">
      <c r="A66" s="89" t="inlineStr">
        <is>
          <t>束7</t>
        </is>
      </c>
      <c r="B66" s="67" t="inlineStr">
        <is>
          <t>調査票の設計・印刷・発送・回収（他メンバー担当）</t>
        </is>
      </c>
      <c r="C66" s="86" t="n">
        <v>34</v>
      </c>
      <c r="D66" s="86" t="n">
        <v>24</v>
      </c>
      <c r="E66" s="86" t="n">
        <v>5</v>
      </c>
      <c r="F66" s="67" t="inlineStr">
        <is>
          <t>Ⅰ-07、Ⅰ-08、Ⅰ-09、Ⅰ-10、Ⅰ-101、Ⅰ-102、Ⅰ-12、Ⅰ-13、Ⅰ-14、Ⅰ-15、Ⅰ-16、Ⅰ-17、Ⅰ-18、Ⅰ-19、Ⅰ-20、Ⅰ-21、Ⅰ-22、Ⅰ-23、Ⅰ-24、Ⅰ-25、Ⅰ-26、Ⅰ-29、Ⅰ-30、Ⅰ-31、Ⅰ-32</t>
        </is>
      </c>
      <c r="G66" s="67" t="inlineStr">
        <is>
          <t>調査票の設計・印刷・発送・回収は他メンバーが担当しており当方では作業しない。令和8年10月10日時点で発送は完了している。</t>
        </is>
      </c>
      <c r="H66" s="50" t="n"/>
    </row>
    <row r="67" ht="46" customHeight="1">
      <c r="A67" s="89" t="inlineStr">
        <is>
          <t>束8</t>
        </is>
      </c>
      <c r="B67" s="67" t="inlineStr">
        <is>
          <t>集計・分析と要介護認定データの突合</t>
        </is>
      </c>
      <c r="C67" s="86" t="n">
        <v>11</v>
      </c>
      <c r="D67" s="86" t="n">
        <v>3</v>
      </c>
      <c r="E67" s="86" t="n">
        <v>4</v>
      </c>
      <c r="F67" s="67" t="inlineStr">
        <is>
          <t>Ⅰ-104、Ⅰ-35、Ⅰ-36、Ⅰ-37、Ⅰ-38、Ⅰ-40、Ⅰ-42、Ⅰ-44、Ⅰ-48、Ⅰ-94、Ⅰ-95</t>
        </is>
      </c>
      <c r="G67" s="67"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7" s="50" t="n"/>
    </row>
    <row r="69" ht="20" customHeight="1">
      <c r="A69" s="38" t="inlineStr">
        <is>
          <t>■ 優先度の見直し候補　— 優先度B・Cのうち、進捗0.90以上のWBSの最後の未確定要素になっているもの 35件</t>
        </is>
      </c>
    </row>
    <row r="70" ht="22" customHeight="1">
      <c r="A70" s="3" t="inlineStr">
        <is>
          <t>No.</t>
        </is>
      </c>
      <c r="B70" s="3" t="inlineStr">
        <is>
          <t>優先度</t>
        </is>
      </c>
      <c r="C70" s="3" t="inlineStr">
        <is>
          <t>区分</t>
        </is>
      </c>
      <c r="D70" s="3" t="inlineStr">
        <is>
          <t>確認事項</t>
        </is>
      </c>
      <c r="E70" s="3" t="inlineStr">
        <is>
          <t>止めているWBS</t>
        </is>
      </c>
      <c r="F70" s="3" t="inlineStr">
        <is>
          <t>進捗</t>
        </is>
      </c>
      <c r="G70" s="3" t="inlineStr">
        <is>
          <t>束</t>
        </is>
      </c>
      <c r="H70" s="3" t="inlineStr"/>
    </row>
    <row r="71" ht="30" customHeight="1">
      <c r="A71" s="66" t="inlineStr">
        <is>
          <t>K-015</t>
        </is>
      </c>
      <c r="B71" s="66" t="inlineStr">
        <is>
          <t>B</t>
        </is>
      </c>
      <c r="C71" s="66" t="inlineStr">
        <is>
          <t>データ</t>
        </is>
      </c>
      <c r="D71" s="67" t="inlineStr">
        <is>
          <t>認知症対応型共同生活介護の待機の状況（定員27人に対し令和9〜11年度の利用者数が27人で到達率100%）</t>
        </is>
      </c>
      <c r="E71" s="67" t="inlineStr">
        <is>
          <t>Ⅱ-105 地域密着型サービスの必要利用定員総数の設定</t>
        </is>
      </c>
      <c r="F71" s="66" t="inlineStr">
        <is>
          <t>0.95</t>
        </is>
      </c>
      <c r="G71" s="66" t="inlineStr">
        <is>
          <t>束2</t>
        </is>
      </c>
      <c r="H71" s="50" t="n"/>
    </row>
    <row r="72" ht="30" customHeight="1">
      <c r="A72" s="66" t="inlineStr">
        <is>
          <t>K-016</t>
        </is>
      </c>
      <c r="B72" s="66" t="inlineStr">
        <is>
          <t>B</t>
        </is>
      </c>
      <c r="C72" s="66" t="inlineStr">
        <is>
          <t>データ</t>
        </is>
      </c>
      <c r="D72" s="67" t="inlineStr">
        <is>
          <t>令和6年度決算および令和7年度の給付費見込</t>
        </is>
      </c>
      <c r="E72" s="67" t="inlineStr">
        <is>
          <t>Ⅱ-56 計画数値の評価（計画値と実績の乖離分析）</t>
        </is>
      </c>
      <c r="F72" s="66" t="inlineStr">
        <is>
          <t>0.95</t>
        </is>
      </c>
      <c r="G72" s="66" t="inlineStr">
        <is>
          <t>束2</t>
        </is>
      </c>
      <c r="H72" s="50" t="n"/>
    </row>
    <row r="73" ht="30" customHeight="1">
      <c r="A73" s="66" t="inlineStr">
        <is>
          <t>K-017</t>
        </is>
      </c>
      <c r="B73" s="66" t="inlineStr">
        <is>
          <t>B</t>
        </is>
      </c>
      <c r="C73" s="66" t="inlineStr">
        <is>
          <t>データ</t>
        </is>
      </c>
      <c r="D73" s="67" t="inlineStr">
        <is>
          <t>通いの場の実数（令和3〜7年度）</t>
        </is>
      </c>
      <c r="E73" s="67" t="inlineStr">
        <is>
          <t>Ⅱ-65 成果目標及び活動指標の設定</t>
        </is>
      </c>
      <c r="F73" s="66" t="inlineStr">
        <is>
          <t>0.92</t>
        </is>
      </c>
      <c r="G73" s="66" t="inlineStr">
        <is>
          <t>束3</t>
        </is>
      </c>
      <c r="H73" s="50" t="n"/>
    </row>
    <row r="74" ht="30" customHeight="1">
      <c r="A74" s="66" t="inlineStr">
        <is>
          <t>K-020</t>
        </is>
      </c>
      <c r="B74" s="66" t="inlineStr">
        <is>
          <t>B</t>
        </is>
      </c>
      <c r="C74" s="66" t="inlineStr">
        <is>
          <t>方針</t>
        </is>
      </c>
      <c r="D74" s="67" t="inlineStr">
        <is>
          <t>第1号被保険者数の推計を社人研ベースから補正して用いる方針の可否</t>
        </is>
      </c>
      <c r="E74" s="67" t="inlineStr">
        <is>
          <t>Ⅱ-59 第1号被保険者数の推計</t>
        </is>
      </c>
      <c r="F74" s="66" t="inlineStr">
        <is>
          <t>0.95</t>
        </is>
      </c>
      <c r="G74" s="66" t="inlineStr">
        <is>
          <t>束1</t>
        </is>
      </c>
      <c r="H74" s="50" t="n"/>
    </row>
    <row r="75" ht="30" customHeight="1">
      <c r="A75" s="66" t="inlineStr">
        <is>
          <t>K-021</t>
        </is>
      </c>
      <c r="B75" s="66" t="inlineStr">
        <is>
          <t>B</t>
        </is>
      </c>
      <c r="C75" s="66" t="inlineStr">
        <is>
          <t>方針</t>
        </is>
      </c>
      <c r="D75" s="67" t="inlineStr">
        <is>
          <t>保険料が県・全国を上回る一方で費用額は下位である点の認識と説明方針</t>
        </is>
      </c>
      <c r="E75" s="67" t="inlineStr">
        <is>
          <t>Ⅱ-64 介護保険料の試算（複数案の比較）</t>
        </is>
      </c>
      <c r="F75" s="66" t="inlineStr">
        <is>
          <t>0.96</t>
        </is>
      </c>
      <c r="G75" s="66" t="inlineStr">
        <is>
          <t>束1</t>
        </is>
      </c>
      <c r="H75" s="50" t="n"/>
    </row>
    <row r="76" ht="30" customHeight="1">
      <c r="A76" s="66" t="inlineStr">
        <is>
          <t>K-022</t>
        </is>
      </c>
      <c r="B76" s="66" t="inlineStr">
        <is>
          <t>B</t>
        </is>
      </c>
      <c r="C76" s="66" t="inlineStr">
        <is>
          <t>方針</t>
        </is>
      </c>
      <c r="D76" s="67" t="inlineStr">
        <is>
          <t>総合事業のサービスA〜Dを第10期で立ち上げる意向の有無</t>
        </is>
      </c>
      <c r="E76" s="67" t="inlineStr">
        <is>
          <t>Ⅱ-75 素案の作成</t>
        </is>
      </c>
      <c r="F76" s="66" t="inlineStr">
        <is>
          <t>0.98</t>
        </is>
      </c>
      <c r="G76" s="66" t="inlineStr">
        <is>
          <t>束3</t>
        </is>
      </c>
      <c r="H76" s="50" t="n"/>
    </row>
    <row r="77" ht="30" customHeight="1">
      <c r="A77" s="66" t="inlineStr">
        <is>
          <t>K-025</t>
        </is>
      </c>
      <c r="B77" s="66" t="inlineStr">
        <is>
          <t>B</t>
        </is>
      </c>
      <c r="C77" s="66" t="inlineStr">
        <is>
          <t>計画構成</t>
        </is>
      </c>
      <c r="D77" s="67" t="inlineStr">
        <is>
          <t>認知症施策推進計画・成年後見制度利用促進基本計画の一体化を第10期も踏襲するか</t>
        </is>
      </c>
      <c r="E77" s="67" t="inlineStr">
        <is>
          <t>Ⅱ-75 素案の作成</t>
        </is>
      </c>
      <c r="F77" s="66" t="inlineStr">
        <is>
          <t>0.98</t>
        </is>
      </c>
      <c r="G77" s="66" t="inlineStr">
        <is>
          <t>束5</t>
        </is>
      </c>
      <c r="H77" s="50" t="n"/>
    </row>
    <row r="78" ht="30" customHeight="1">
      <c r="A78" s="66" t="inlineStr">
        <is>
          <t>K-026</t>
        </is>
      </c>
      <c r="B78" s="66" t="inlineStr">
        <is>
          <t>B</t>
        </is>
      </c>
      <c r="C78" s="66" t="inlineStr">
        <is>
          <t>計画構成</t>
        </is>
      </c>
      <c r="D78" s="67" t="inlineStr">
        <is>
          <t>定住自立圏（喜多方市・西会津町）／会津権利擁護・成年後見センターとの広域連携の記載方針</t>
        </is>
      </c>
      <c r="E78" s="67" t="inlineStr">
        <is>
          <t>Ⅱ-71 施策体系の整理</t>
        </is>
      </c>
      <c r="F78" s="66" t="inlineStr">
        <is>
          <t>0.95</t>
        </is>
      </c>
      <c r="G78" s="66" t="inlineStr">
        <is>
          <t>束5</t>
        </is>
      </c>
      <c r="H78" s="50" t="n"/>
    </row>
    <row r="79" ht="30" customHeight="1">
      <c r="A79" s="66" t="inlineStr">
        <is>
          <t>K-030</t>
        </is>
      </c>
      <c r="B79" s="66" t="inlineStr">
        <is>
          <t>B</t>
        </is>
      </c>
      <c r="C79" s="66" t="inlineStr">
        <is>
          <t>データ</t>
        </is>
      </c>
      <c r="D79" s="67" t="inlineStr">
        <is>
          <t>訪問診療・訪問看護の提供実績（村内外の事業所別・令和6〜7年度）</t>
        </is>
      </c>
      <c r="E79" s="67" t="inlineStr">
        <is>
          <t>Ⅱ-61 各介護保険サービス見込量の推計</t>
        </is>
      </c>
      <c r="F79" s="66" t="inlineStr">
        <is>
          <t>0.95</t>
        </is>
      </c>
      <c r="G79" s="66" t="inlineStr">
        <is>
          <t>束2</t>
        </is>
      </c>
      <c r="H79" s="50" t="n"/>
    </row>
    <row r="80" ht="30" customHeight="1">
      <c r="A80" s="66" t="inlineStr">
        <is>
          <t>K-037</t>
        </is>
      </c>
      <c r="B80" s="66" t="inlineStr">
        <is>
          <t>B</t>
        </is>
      </c>
      <c r="C80" s="66" t="inlineStr">
        <is>
          <t>データ</t>
        </is>
      </c>
      <c r="D80" s="67" t="inlineStr">
        <is>
          <t>村内の認知症対応型共同生活介護の入退所の状況（年度ごとの入所者数・退所者数と退所の理由）</t>
        </is>
      </c>
      <c r="E80" s="67" t="inlineStr">
        <is>
          <t>Ⅱ-105 地域密着型サービスの必要利用定員総数の設定、Ⅱ-61 各介護保険サービス見込量の推計</t>
        </is>
      </c>
      <c r="F80" s="66" t="inlineStr">
        <is>
          <t>0.95、0.95</t>
        </is>
      </c>
      <c r="G80" s="66" t="inlineStr">
        <is>
          <t>束2</t>
        </is>
      </c>
      <c r="H80" s="50" t="n"/>
    </row>
    <row r="81" ht="30" customHeight="1">
      <c r="A81" s="66" t="inlineStr">
        <is>
          <t>K-038</t>
        </is>
      </c>
      <c r="B81" s="66" t="inlineStr">
        <is>
          <t>B</t>
        </is>
      </c>
      <c r="C81" s="66" t="inlineStr">
        <is>
          <t>データ</t>
        </is>
      </c>
      <c r="D81" s="67" t="inlineStr">
        <is>
          <t>村内の住宅型有料老人ホーム・サービス付き高齢者向け住宅の有無（老人福祉法第29条の届出・高齢者住まい法の登録。県の所管）</t>
        </is>
      </c>
      <c r="E81" s="67" t="inlineStr">
        <is>
          <t>Ⅱ-105 地域密着型サービスの必要利用定員総数の設定</t>
        </is>
      </c>
      <c r="F81" s="66" t="inlineStr">
        <is>
          <t>0.95</t>
        </is>
      </c>
      <c r="G81" s="66" t="inlineStr">
        <is>
          <t>束2</t>
        </is>
      </c>
      <c r="H81" s="50" t="n"/>
    </row>
    <row r="82" ht="30" customHeight="1">
      <c r="A82" s="66" t="inlineStr">
        <is>
          <t>K-039</t>
        </is>
      </c>
      <c r="B82" s="66" t="inlineStr">
        <is>
          <t>B</t>
        </is>
      </c>
      <c r="C82" s="66" t="inlineStr">
        <is>
          <t>データ</t>
        </is>
      </c>
      <c r="D82" s="67" t="inlineStr">
        <is>
          <t>村内の介護サービス事業所の従事者数（常勤換算・職種別）</t>
        </is>
      </c>
      <c r="E82" s="67" t="inlineStr">
        <is>
          <t>Ⅱ-61 各介護保険サービス見込量の推計</t>
        </is>
      </c>
      <c r="F82" s="66" t="inlineStr">
        <is>
          <t>0.95</t>
        </is>
      </c>
      <c r="G82" s="66" t="inlineStr">
        <is>
          <t>束2</t>
        </is>
      </c>
      <c r="H82" s="50" t="n"/>
    </row>
    <row r="83" ht="30" customHeight="1">
      <c r="A83" s="66" t="inlineStr">
        <is>
          <t>K-050</t>
        </is>
      </c>
      <c r="B83" s="66" t="inlineStr">
        <is>
          <t>B</t>
        </is>
      </c>
      <c r="C83" s="66" t="inlineStr">
        <is>
          <t>素案</t>
        </is>
      </c>
      <c r="D83" s="67" t="inlineStr">
        <is>
          <t>章構成を第9期（全6章＋資料編）から踏襲することの可否</t>
        </is>
      </c>
      <c r="E83" s="67" t="inlineStr">
        <is>
          <t>Ⅱ-75 素案の作成</t>
        </is>
      </c>
      <c r="F83" s="66" t="inlineStr">
        <is>
          <t>0.98</t>
        </is>
      </c>
      <c r="G83" s="66" t="inlineStr">
        <is>
          <t>束5</t>
        </is>
      </c>
      <c r="H83" s="50" t="n"/>
    </row>
    <row r="84" ht="30" customHeight="1">
      <c r="A84" s="66" t="inlineStr">
        <is>
          <t>K-051</t>
        </is>
      </c>
      <c r="B84" s="66" t="inlineStr">
        <is>
          <t>B</t>
        </is>
      </c>
      <c r="C84" s="66" t="inlineStr">
        <is>
          <t>素案</t>
        </is>
      </c>
      <c r="D84" s="67" t="inlineStr">
        <is>
          <t>基本理念・基本目標の枠組みを第9期から継承することの可否</t>
        </is>
      </c>
      <c r="E84" s="67" t="inlineStr">
        <is>
          <t>Ⅱ-71 施策体系の整理、Ⅱ-75 素案の作成</t>
        </is>
      </c>
      <c r="F84" s="66" t="inlineStr">
        <is>
          <t>0.95、0.98</t>
        </is>
      </c>
      <c r="G84" s="66" t="inlineStr">
        <is>
          <t>束5</t>
        </is>
      </c>
      <c r="H84" s="50" t="n"/>
    </row>
    <row r="85" ht="30" customHeight="1">
      <c r="A85" s="66" t="inlineStr">
        <is>
          <t>K-052</t>
        </is>
      </c>
      <c r="B85" s="66" t="inlineStr">
        <is>
          <t>B</t>
        </is>
      </c>
      <c r="C85" s="66" t="inlineStr">
        <is>
          <t>素案</t>
        </is>
      </c>
      <c r="D85" s="67" t="inlineStr">
        <is>
          <t>基本目標5「計画の推進と進捗管理」を独立させるか、各基本目標に横断的に組み込むか</t>
        </is>
      </c>
      <c r="E85" s="67" t="inlineStr">
        <is>
          <t>Ⅱ-71 施策体系の整理、Ⅱ-75 素案の作成</t>
        </is>
      </c>
      <c r="F85" s="66" t="inlineStr">
        <is>
          <t>0.95、0.98</t>
        </is>
      </c>
      <c r="G85" s="66" t="inlineStr">
        <is>
          <t>束5</t>
        </is>
      </c>
      <c r="H85" s="50" t="n"/>
    </row>
    <row r="86" ht="30" customHeight="1">
      <c r="A86" s="66" t="inlineStr">
        <is>
          <t>K-053</t>
        </is>
      </c>
      <c r="B86" s="66" t="inlineStr">
        <is>
          <t>B</t>
        </is>
      </c>
      <c r="C86" s="66" t="inlineStr">
        <is>
          <t>素案</t>
        </is>
      </c>
      <c r="D86" s="67" t="inlineStr">
        <is>
          <t>施設サービスの記載を「村外施設サービスの利用支援」に改めることの可否</t>
        </is>
      </c>
      <c r="E86" s="67" t="inlineStr">
        <is>
          <t>Ⅱ-75 素案の作成</t>
        </is>
      </c>
      <c r="F86" s="66" t="inlineStr">
        <is>
          <t>0.98</t>
        </is>
      </c>
      <c r="G86" s="66" t="inlineStr">
        <is>
          <t>束5</t>
        </is>
      </c>
      <c r="H86" s="50" t="n"/>
    </row>
    <row r="87" ht="30" customHeight="1">
      <c r="A87" s="66" t="inlineStr">
        <is>
          <t>K-054</t>
        </is>
      </c>
      <c r="B87" s="66" t="inlineStr">
        <is>
          <t>B</t>
        </is>
      </c>
      <c r="C87" s="66" t="inlineStr">
        <is>
          <t>素案</t>
        </is>
      </c>
      <c r="D87" s="67" t="inlineStr">
        <is>
          <t>計画本文に第9期の推計乖離（第1号被保険者数6.6%）を記載することの可否</t>
        </is>
      </c>
      <c r="E87" s="67" t="inlineStr">
        <is>
          <t>Ⅱ-75 素案の作成</t>
        </is>
      </c>
      <c r="F87" s="66" t="inlineStr">
        <is>
          <t>0.98</t>
        </is>
      </c>
      <c r="G87" s="66" t="inlineStr">
        <is>
          <t>束5</t>
        </is>
      </c>
      <c r="H87" s="50" t="n"/>
    </row>
    <row r="88" ht="30" customHeight="1">
      <c r="A88" s="66" t="inlineStr">
        <is>
          <t>K-055</t>
        </is>
      </c>
      <c r="B88" s="66" t="inlineStr">
        <is>
          <t>B</t>
        </is>
      </c>
      <c r="C88" s="66" t="inlineStr">
        <is>
          <t>素案</t>
        </is>
      </c>
      <c r="D88" s="67" t="inlineStr">
        <is>
          <t>第9期保険料の再算定試算（6,761円→約6,346円）の取扱い</t>
        </is>
      </c>
      <c r="E88" s="67" t="inlineStr">
        <is>
          <t>Ⅱ-64 介護保険料の試算（複数案の比較）、Ⅱ-75 素案の作成</t>
        </is>
      </c>
      <c r="F88" s="66" t="inlineStr">
        <is>
          <t>0.96、0.98</t>
        </is>
      </c>
      <c r="G88" s="66" t="inlineStr">
        <is>
          <t>束1</t>
        </is>
      </c>
      <c r="H88" s="50" t="n"/>
    </row>
    <row r="89" ht="30" customHeight="1">
      <c r="A89" s="66" t="inlineStr">
        <is>
          <t>K-056</t>
        </is>
      </c>
      <c r="B89" s="66" t="inlineStr">
        <is>
          <t>B</t>
        </is>
      </c>
      <c r="C89" s="66" t="inlineStr">
        <is>
          <t>方針</t>
        </is>
      </c>
      <c r="D89" s="67" t="inlineStr">
        <is>
          <t>成果目標・活動指標の目標値の設定方針（認定率を据置とするか／トレンド継続か／政策効果を織り込むか）</t>
        </is>
      </c>
      <c r="E89" s="67" t="inlineStr">
        <is>
          <t>Ⅱ-60 要介護者数の推計、Ⅱ-65 成果目標及び活動指標の設定</t>
        </is>
      </c>
      <c r="F89" s="66" t="inlineStr">
        <is>
          <t>0.95、0.92</t>
        </is>
      </c>
      <c r="G89" s="66" t="inlineStr">
        <is>
          <t>束2</t>
        </is>
      </c>
      <c r="H89" s="50" t="n"/>
    </row>
    <row r="90" ht="30" customHeight="1">
      <c r="A90" s="66" t="inlineStr">
        <is>
          <t>K-066</t>
        </is>
      </c>
      <c r="B90" s="66" t="inlineStr">
        <is>
          <t>B</t>
        </is>
      </c>
      <c r="C90" s="66" t="inlineStr">
        <is>
          <t>データ</t>
        </is>
      </c>
      <c r="D90" s="67" t="inlineStr">
        <is>
          <t>介護保険事業状況報告 月報 第2表・第3表（サービス種類別の受給者数）</t>
        </is>
      </c>
      <c r="E90" s="67" t="inlineStr">
        <is>
          <t>Ⅱ-56 計画数値の評価（計画値と実績の乖離分析）</t>
        </is>
      </c>
      <c r="F90" s="66" t="inlineStr">
        <is>
          <t>0.95</t>
        </is>
      </c>
      <c r="G90" s="66" t="inlineStr">
        <is>
          <t>束2</t>
        </is>
      </c>
      <c r="H90" s="50" t="n"/>
    </row>
    <row r="91" ht="30" customHeight="1">
      <c r="A91" s="66" t="inlineStr">
        <is>
          <t>K-067</t>
        </is>
      </c>
      <c r="B91" s="66" t="inlineStr">
        <is>
          <t>B</t>
        </is>
      </c>
      <c r="C91" s="66" t="inlineStr">
        <is>
          <t>データ</t>
        </is>
      </c>
      <c r="D91" s="67" t="inlineStr">
        <is>
          <t>介護給付と予防給付を分けたサービス種類別の受給者数・給付費</t>
        </is>
      </c>
      <c r="E91" s="67" t="inlineStr">
        <is>
          <t>Ⅱ-56 計画数値の評価（計画値と実績の乖離分析）</t>
        </is>
      </c>
      <c r="F91" s="66" t="inlineStr">
        <is>
          <t>0.95</t>
        </is>
      </c>
      <c r="G91" s="66" t="inlineStr">
        <is>
          <t>束2</t>
        </is>
      </c>
      <c r="H91" s="50" t="n"/>
    </row>
    <row r="92" ht="30" customHeight="1">
      <c r="A92" s="66" t="inlineStr">
        <is>
          <t>K-070</t>
        </is>
      </c>
      <c r="B92" s="66" t="inlineStr">
        <is>
          <t>B</t>
        </is>
      </c>
      <c r="C92" s="66" t="inlineStr">
        <is>
          <t>方針</t>
        </is>
      </c>
      <c r="D92" s="67" t="inlineStr">
        <is>
          <t>認知症対応型共同生活介護の定員（27人）を超える需要への対応方針</t>
        </is>
      </c>
      <c r="E92" s="67" t="inlineStr">
        <is>
          <t>Ⅱ-56 計画数値の評価（計画値と実績の乖離分析）</t>
        </is>
      </c>
      <c r="F92" s="66" t="inlineStr">
        <is>
          <t>0.95</t>
        </is>
      </c>
      <c r="G92" s="66" t="inlineStr">
        <is>
          <t>束2</t>
        </is>
      </c>
      <c r="H92" s="50" t="n"/>
    </row>
    <row r="93" ht="30" customHeight="1">
      <c r="A93" s="66" t="inlineStr">
        <is>
          <t>K-085</t>
        </is>
      </c>
      <c r="B93" s="66" t="inlineStr">
        <is>
          <t>B</t>
        </is>
      </c>
      <c r="C93" s="66" t="inlineStr">
        <is>
          <t>方針</t>
        </is>
      </c>
      <c r="D93" s="67" t="inlineStr">
        <is>
          <t>上限保険料の設定の有無と基金活用の比較案のパターン</t>
        </is>
      </c>
      <c r="E93" s="67" t="inlineStr">
        <is>
          <t>Ⅱ-64 介護保険料の試算（複数案の比較）</t>
        </is>
      </c>
      <c r="F93" s="66" t="inlineStr">
        <is>
          <t>0.96</t>
        </is>
      </c>
      <c r="G93" s="66" t="inlineStr">
        <is>
          <t>束1</t>
        </is>
      </c>
      <c r="H93" s="50" t="n"/>
    </row>
    <row r="94" ht="30" customHeight="1">
      <c r="A94" s="66" t="inlineStr">
        <is>
          <t>K-086</t>
        </is>
      </c>
      <c r="B94" s="66" t="inlineStr">
        <is>
          <t>B</t>
        </is>
      </c>
      <c r="C94" s="66" t="inlineStr">
        <is>
          <t>方針</t>
        </is>
      </c>
      <c r="D94" s="67" t="inlineStr">
        <is>
          <t>施設整備の方向性（在宅調査48.5%の入所希望の扱い）</t>
        </is>
      </c>
      <c r="E94" s="67" t="inlineStr">
        <is>
          <t>Ⅱ-75 素案の作成</t>
        </is>
      </c>
      <c r="F94" s="66" t="inlineStr">
        <is>
          <t>0.98</t>
        </is>
      </c>
      <c r="G94" s="66" t="inlineStr">
        <is>
          <t>束3</t>
        </is>
      </c>
      <c r="H94" s="50" t="n"/>
    </row>
    <row r="95" ht="30" customHeight="1">
      <c r="A95" s="66" t="inlineStr">
        <is>
          <t>K-094</t>
        </is>
      </c>
      <c r="B95" s="66" t="inlineStr">
        <is>
          <t>B</t>
        </is>
      </c>
      <c r="C95" s="66" t="inlineStr">
        <is>
          <t>体制</t>
        </is>
      </c>
      <c r="D95" s="67" t="inlineStr">
        <is>
          <t>令和9年度以降も交付金の該当状況調査票の写しを策定業務に提供いただけるか</t>
        </is>
      </c>
      <c r="E95" s="67" t="inlineStr">
        <is>
          <t>Ⅱ-65 成果目標及び活動指標の設定</t>
        </is>
      </c>
      <c r="F95" s="66" t="inlineStr">
        <is>
          <t>0.92</t>
        </is>
      </c>
      <c r="G95" s="66" t="inlineStr">
        <is>
          <t>束3</t>
        </is>
      </c>
      <c r="H95" s="50" t="n"/>
    </row>
    <row r="96" ht="30" customHeight="1">
      <c r="A96" s="66" t="inlineStr">
        <is>
          <t>K-119</t>
        </is>
      </c>
      <c r="B96" s="66" t="inlineStr">
        <is>
          <t>B</t>
        </is>
      </c>
      <c r="C96" s="66" t="inlineStr">
        <is>
          <t>方針</t>
        </is>
      </c>
      <c r="D96" s="67" t="inlineStr">
        <is>
          <t>第2回策定委員会（11月）への調査報告書の提示範囲</t>
        </is>
      </c>
      <c r="E96" s="67" t="inlineStr">
        <is>
          <t>Ⅱ-83 第2回 会議資料の作成</t>
        </is>
      </c>
      <c r="F96" s="66" t="inlineStr">
        <is>
          <t>0.92</t>
        </is>
      </c>
      <c r="G96" s="66" t="inlineStr">
        <is>
          <t>束6</t>
        </is>
      </c>
      <c r="H96" s="50" t="n"/>
    </row>
    <row r="97" ht="30" customHeight="1">
      <c r="A97" s="66" t="inlineStr">
        <is>
          <t>K-154</t>
        </is>
      </c>
      <c r="B97" s="66" t="inlineStr">
        <is>
          <t>B</t>
        </is>
      </c>
      <c r="C97" s="66" t="inlineStr">
        <is>
          <t>方針</t>
        </is>
      </c>
      <c r="D97" s="67" t="inlineStr">
        <is>
          <t>認知症対応型通所介護を再開するかどうか</t>
        </is>
      </c>
      <c r="E97" s="67" t="inlineStr">
        <is>
          <t>Ⅱ-56 計画数値の評価（計画値と実績の乖離分析）</t>
        </is>
      </c>
      <c r="F97" s="66" t="inlineStr">
        <is>
          <t>0.95</t>
        </is>
      </c>
      <c r="G97" s="66" t="inlineStr">
        <is>
          <t>束2</t>
        </is>
      </c>
      <c r="H97" s="50" t="n"/>
    </row>
    <row r="98" ht="30" customHeight="1">
      <c r="A98" s="66" t="inlineStr">
        <is>
          <t>K-157</t>
        </is>
      </c>
      <c r="B98" s="66" t="inlineStr">
        <is>
          <t>B</t>
        </is>
      </c>
      <c r="C98" s="66" t="inlineStr">
        <is>
          <t>方針</t>
        </is>
      </c>
      <c r="D98" s="67" t="inlineStr">
        <is>
          <t>訪問入浴介護・地域密着型通所介護を0に戻すかどうか</t>
        </is>
      </c>
      <c r="E98" s="67" t="inlineStr">
        <is>
          <t>Ⅱ-56 計画数値の評価（計画値と実績の乖離分析）</t>
        </is>
      </c>
      <c r="F98" s="66" t="inlineStr">
        <is>
          <t>0.95</t>
        </is>
      </c>
      <c r="G98" s="66" t="inlineStr">
        <is>
          <t>束2</t>
        </is>
      </c>
      <c r="H98" s="50" t="n"/>
    </row>
    <row r="99" ht="30" customHeight="1">
      <c r="A99" s="66" t="inlineStr">
        <is>
          <t>K-158</t>
        </is>
      </c>
      <c r="B99" s="66" t="inlineStr">
        <is>
          <t>B</t>
        </is>
      </c>
      <c r="C99" s="66" t="inlineStr">
        <is>
          <t>データ</t>
        </is>
      </c>
      <c r="D99" s="67" t="inlineStr">
        <is>
          <t>令和6年度・令和7年度の介護サービス等諸費／介護予防サービス等諸費の決算額</t>
        </is>
      </c>
      <c r="E99" s="67" t="inlineStr">
        <is>
          <t>Ⅱ-56 計画数値の評価（計画値と実績の乖離分析）</t>
        </is>
      </c>
      <c r="F99" s="66" t="inlineStr">
        <is>
          <t>0.95</t>
        </is>
      </c>
      <c r="G99" s="66" t="inlineStr">
        <is>
          <t>束2</t>
        </is>
      </c>
      <c r="H99" s="50" t="n"/>
    </row>
    <row r="100" ht="30" customHeight="1">
      <c r="A100" s="66" t="inlineStr">
        <is>
          <t>K-162</t>
        </is>
      </c>
      <c r="B100" s="66" t="inlineStr">
        <is>
          <t>B</t>
        </is>
      </c>
      <c r="C100" s="66" t="inlineStr">
        <is>
          <t>取組</t>
        </is>
      </c>
      <c r="D100" s="67" t="inlineStr">
        <is>
          <t>難聴高齢者の早期発見・早期介入（20点中0点・全国平均6.9点）の実施可能性</t>
        </is>
      </c>
      <c r="E100" s="67" t="inlineStr">
        <is>
          <t>Ⅱ-65 成果目標及び活動指標の設定</t>
        </is>
      </c>
      <c r="F100" s="66" t="inlineStr">
        <is>
          <t>0.92</t>
        </is>
      </c>
      <c r="G100" s="66" t="inlineStr">
        <is>
          <t>束3</t>
        </is>
      </c>
      <c r="H100" s="50" t="n"/>
    </row>
    <row r="101" ht="30" customHeight="1">
      <c r="A101" s="66" t="inlineStr">
        <is>
          <t>K-163</t>
        </is>
      </c>
      <c r="B101" s="66" t="inlineStr">
        <is>
          <t>B</t>
        </is>
      </c>
      <c r="C101" s="66" t="inlineStr">
        <is>
          <t>方針</t>
        </is>
      </c>
      <c r="D101" s="67" t="inlineStr">
        <is>
          <t>中長期（令和17年度・令和22年度）の保険料をαの2案で示すことの可否</t>
        </is>
      </c>
      <c r="E101" s="67" t="inlineStr">
        <is>
          <t>Ⅱ-64 介護保険料の試算（複数案の比較）</t>
        </is>
      </c>
      <c r="F101" s="66" t="inlineStr">
        <is>
          <t>0.96</t>
        </is>
      </c>
      <c r="G101" s="66" t="inlineStr">
        <is>
          <t>束1</t>
        </is>
      </c>
      <c r="H101" s="50" t="n"/>
    </row>
    <row r="102" ht="30" customHeight="1">
      <c r="A102" s="66" t="inlineStr">
        <is>
          <t>K-165</t>
        </is>
      </c>
      <c r="B102" s="66" t="inlineStr">
        <is>
          <t>B</t>
        </is>
      </c>
      <c r="C102" s="66" t="inlineStr">
        <is>
          <t>データ</t>
        </is>
      </c>
      <c r="D102" s="67" t="inlineStr">
        <is>
          <t>村外事業所の通常の事業実施地域（重要事項説明書または指定情報）</t>
        </is>
      </c>
      <c r="E102" s="67" t="inlineStr">
        <is>
          <t>Ⅱ-60 要介護者数の推計</t>
        </is>
      </c>
      <c r="F102" s="66" t="inlineStr">
        <is>
          <t>0.95</t>
        </is>
      </c>
      <c r="G102" s="66" t="inlineStr">
        <is>
          <t>束2</t>
        </is>
      </c>
      <c r="H102" s="50" t="n"/>
    </row>
    <row r="103" ht="30" customHeight="1">
      <c r="A103" s="66" t="inlineStr">
        <is>
          <t>K-166</t>
        </is>
      </c>
      <c r="B103" s="66" t="inlineStr">
        <is>
          <t>B</t>
        </is>
      </c>
      <c r="C103" s="66" t="inlineStr">
        <is>
          <t>データ</t>
        </is>
      </c>
      <c r="D103" s="67" t="inlineStr">
        <is>
          <t>村外施設の入退所・待機の実績（介護老人福祉施設・介護老人保健施設・介護医療院）</t>
        </is>
      </c>
      <c r="E103" s="67" t="inlineStr">
        <is>
          <t>Ⅱ-60 要介護者数の推計、Ⅱ-61 各介護保険サービス見込量の推計</t>
        </is>
      </c>
      <c r="F103" s="66" t="inlineStr">
        <is>
          <t>0.95、0.95</t>
        </is>
      </c>
      <c r="G103" s="66" t="inlineStr">
        <is>
          <t>束2</t>
        </is>
      </c>
      <c r="H103" s="50" t="n"/>
    </row>
    <row r="104" ht="30" customHeight="1">
      <c r="A104" s="66" t="inlineStr">
        <is>
          <t>K-167</t>
        </is>
      </c>
      <c r="B104" s="66" t="inlineStr">
        <is>
          <t>B</t>
        </is>
      </c>
      <c r="C104" s="66" t="inlineStr">
        <is>
          <t>データ</t>
        </is>
      </c>
      <c r="D104" s="67" t="inlineStr">
        <is>
          <t>医療介護連携に関する加算の算定状況（給付実績の加算別集計）</t>
        </is>
      </c>
      <c r="E104" s="67" t="inlineStr">
        <is>
          <t>Ⅱ-62 給付費の試算</t>
        </is>
      </c>
      <c r="F104" s="66" t="inlineStr">
        <is>
          <t>0.90</t>
        </is>
      </c>
      <c r="G104" s="66" t="inlineStr">
        <is>
          <t>束1</t>
        </is>
      </c>
      <c r="H104" s="50" t="n"/>
    </row>
    <row r="105" ht="30" customHeight="1">
      <c r="A105" s="66" t="inlineStr">
        <is>
          <t>K-177</t>
        </is>
      </c>
      <c r="B105" s="66" t="inlineStr">
        <is>
          <t>B</t>
        </is>
      </c>
      <c r="C105" s="66" t="inlineStr">
        <is>
          <t>データ</t>
        </is>
      </c>
      <c r="D105" s="67" t="inlineStr">
        <is>
          <t>★新高額障害福祉サービス等給付費の対象となる介護保険サービスの種類と本村の該当者</t>
        </is>
      </c>
      <c r="E105" s="67" t="inlineStr">
        <is>
          <t>Ⅱ-56 計画数値の評価（計画値と実績の乖離分析）</t>
        </is>
      </c>
      <c r="F105" s="66" t="inlineStr">
        <is>
          <t>0.95</t>
        </is>
      </c>
      <c r="G105" s="66" t="inlineStr">
        <is>
          <t>束2</t>
        </is>
      </c>
      <c r="H105" s="50" t="n"/>
    </row>
    <row r="107" ht="20" customHeight="1">
      <c r="A107" s="38" t="inlineStr">
        <is>
          <t>■ 令和8年10月13日の作業順位　— ペンディングがなく進められるもの</t>
        </is>
      </c>
    </row>
    <row r="108" ht="24" customHeight="1">
      <c r="A108" s="3" t="inlineStr">
        <is>
          <t>順位</t>
        </is>
      </c>
      <c r="B108" s="3" t="inlineStr">
        <is>
          <t>WBS No.</t>
        </is>
      </c>
      <c r="C108" s="3" t="inlineStr">
        <is>
          <t>作業項目</t>
        </is>
      </c>
      <c r="D108" s="3" t="inlineStr">
        <is>
          <t>現進捗</t>
        </is>
      </c>
      <c r="E108" s="3" t="inlineStr">
        <is>
          <t>行うこと</t>
        </is>
      </c>
      <c r="F108" s="3" t="inlineStr">
        <is>
          <t>完了の判定</t>
        </is>
      </c>
      <c r="G108" s="3" t="inlineStr">
        <is>
          <t>所要</t>
        </is>
      </c>
      <c r="H108" s="3" t="inlineStr"/>
    </row>
    <row r="109" ht="48" customHeight="1">
      <c r="A109" s="89" t="n">
        <v>1</v>
      </c>
      <c r="B109" s="66" t="inlineStr">
        <is>
          <t>Ⅰ-104</t>
        </is>
      </c>
      <c r="C109" s="67" t="inlineStr">
        <is>
          <t>入力データの精度管理（論理チェック・ベリファイ）</t>
        </is>
      </c>
      <c r="D109" s="66" t="inlineStr">
        <is>
          <t>0.80</t>
        </is>
      </c>
      <c r="E109" s="67" t="inlineStr">
        <is>
          <t>【校了版の調査票Wordを受領できた場合のみ】コードブックを校了版から作り直す。在宅調査の設問番号の＋1、問10のサービス12→9（記号A〜I）、問8への「15.なし」「16.わからない」の追加、ニーズ問4(15)の削除、問7(5)(8)(10)の選択肢の順序を反映する。あわせて9月4日版の読み取りの不備7件（C01 1件・C02 5件・C03 1件）を解消し、派生変数S01・S02の参照設問を校了版の番号に直す。校了版を受領したら、施策2-5の指標が頼る問7(11)の選択肢に「地域・近所の見守り、声かけ」があることもあわせて確かめる（doc87 §2-1）。受領できない場合は着手しない（版を推測して直すと、どの版でもない第3の版ができる）。</t>
        </is>
      </c>
      <c r="F109" s="67" t="inlineStr">
        <is>
          <t>shukei_check.py が --暫定 なしで通ること（版の食い違いが解消すること）。コードブックの点検（C01〜C05）が0件になること。verify_shukei 点検21が「版が合っているため断りは不要」に変わること。問7(11)の選択肢の確認の結果が記録されていること。</t>
        </is>
      </c>
      <c r="G109" s="66" t="inlineStr">
        <is>
          <t>半日</t>
        </is>
      </c>
      <c r="H109" s="50" t="n"/>
    </row>
    <row r="110" ht="48" customHeight="1">
      <c r="A110" s="89" t="n">
        <v>2</v>
      </c>
      <c r="B110" s="66" t="inlineStr">
        <is>
          <t>Ⅱ-113</t>
        </is>
      </c>
      <c r="C110" s="67" t="inlineStr">
        <is>
          <t>計画書のレイアウト・校正</t>
        </is>
      </c>
      <c r="D110" s="66" t="inlineStr">
        <is>
          <t>0.75</t>
        </is>
      </c>
      <c r="E110" s="67" t="inlineStr">
        <is>
          <t>公表用計画書の分量について、どの削減案を行うかを村にご判断いただく。公表用は案を1つも行わないと本文117頁＋前付4頁＝121頁で、許容115頁を6頁超える（10/23、書体を改め事業所別の5か年推移を反映して測り直した）。A〜Eで113頁、＋H・Jで110頁、＋G・K・Lで107頁になる（いずれも実測）。当方からは、目安100頁前後に最も近い A〜E・G・H・J・K・L（107頁）を勧めたい。案F・M・Nは対象の節が協議用のみのため公表用では効かない。あわせて、公表用で残った孤立行3件（案を当てると2件）の扱いもお示しする。★10/22：村のご指示により、案なしの計画書（121頁）を先にお出しした（18_計画書_公表用.docx）。分量をご覧いただいたうえでご判断いただける。案が決まったら kouhyou_build.py --an で組み直し、紙面を測って同じ番号で差し替える。</t>
        </is>
      </c>
      <c r="F110" s="67" t="inlineStr">
        <is>
          <t>行う案が決まっていること。決まった案で組んだ公表用計画書の頁数が許容115頁に収まっていること。</t>
        </is>
      </c>
      <c r="G110" s="66" t="inlineStr">
        <is>
          <t>半日</t>
        </is>
      </c>
      <c r="H110" s="50" t="n"/>
    </row>
    <row r="112" ht="20" customHeight="1">
      <c r="A112" s="38" t="inlineStr">
        <is>
          <t>■ 翌営業日に着手しない未完了のWBSとその理由</t>
        </is>
      </c>
    </row>
    <row r="113" ht="22" customHeight="1">
      <c r="A113" s="3" t="inlineStr">
        <is>
          <t>WBS No.</t>
        </is>
      </c>
      <c r="B113" s="3" t="inlineStr">
        <is>
          <t>作業項目</t>
        </is>
      </c>
      <c r="C113" s="3" t="inlineStr">
        <is>
          <t>状況</t>
        </is>
      </c>
      <c r="D113" s="3" t="inlineStr">
        <is>
          <t>進捗</t>
        </is>
      </c>
      <c r="E113" s="3" t="inlineStr">
        <is>
          <t>着手しない理由</t>
        </is>
      </c>
      <c r="F113" s="3" t="inlineStr"/>
      <c r="G113" s="3" t="inlineStr"/>
      <c r="H113" s="3" t="inlineStr"/>
    </row>
    <row r="114" ht="22" customHeight="1">
      <c r="A114" s="66" t="inlineStr">
        <is>
          <t>０-04</t>
        </is>
      </c>
      <c r="B114" s="67" t="inlineStr">
        <is>
          <t>連絡体制・資料授受方法の確定</t>
        </is>
      </c>
      <c r="C114" s="66" t="inlineStr">
        <is>
          <t>着手</t>
        </is>
      </c>
      <c r="D114" s="66" t="inlineStr">
        <is>
          <t>0.50</t>
        </is>
      </c>
      <c r="E114" s="67" t="inlineStr">
        <is>
          <t>所管課の確認を待つ。照会は束6に含める。</t>
        </is>
      </c>
      <c r="F114" s="50" t="n"/>
      <c r="G114" s="50" t="n"/>
      <c r="H114" s="50" t="n"/>
    </row>
    <row r="115" ht="22" customHeight="1">
      <c r="A115" s="66" t="inlineStr">
        <is>
          <t>０-05</t>
        </is>
      </c>
      <c r="B115" s="67" t="inlineStr">
        <is>
          <t>現行計画・関連計画・実績資料の受領</t>
        </is>
      </c>
      <c r="C115" s="66" t="inlineStr">
        <is>
          <t>着手</t>
        </is>
      </c>
      <c r="D115" s="66" t="inlineStr">
        <is>
          <t>0.70</t>
        </is>
      </c>
      <c r="E115" s="67" t="inlineStr">
        <is>
          <t>第五次総合振興計画・第3次健康21・障がい福祉計画の受領を待つ。</t>
        </is>
      </c>
      <c r="F115" s="50" t="n"/>
      <c r="G115" s="50" t="n"/>
      <c r="H115" s="50" t="n"/>
    </row>
    <row r="116" ht="22" customHeight="1">
      <c r="A116" s="66" t="inlineStr">
        <is>
          <t>０-06</t>
        </is>
      </c>
      <c r="B116" s="67" t="inlineStr">
        <is>
          <t>見える化システムのID・パスワードの受領</t>
        </is>
      </c>
      <c r="C116" s="66" t="inlineStr">
        <is>
          <t>着手</t>
        </is>
      </c>
      <c r="D116" s="66" t="inlineStr">
        <is>
          <t>0.90</t>
        </is>
      </c>
      <c r="E116" s="67" t="inlineStr">
        <is>
          <t>受領データで作業は進んでいる。アカウントの授受は体制の整理にとどまる。</t>
        </is>
      </c>
      <c r="F116" s="50" t="n"/>
      <c r="G116" s="50" t="n"/>
      <c r="H116" s="50" t="n"/>
    </row>
    <row r="117" ht="22" customHeight="1">
      <c r="A117" s="66" t="inlineStr">
        <is>
          <t>Ⅰ-101</t>
        </is>
      </c>
      <c r="B117" s="67" t="inlineStr">
        <is>
          <t>ウェブ回答フォームの公開・稼働確認・受付停止</t>
        </is>
      </c>
      <c r="C117" s="66" t="inlineStr">
        <is>
          <t>着手</t>
        </is>
      </c>
      <c r="D117" s="66" t="inlineStr">
        <is>
          <t>0.70</t>
        </is>
      </c>
      <c r="E117" s="67" t="inlineStr">
        <is>
          <t>調査工程。調査票は他メンバーが作成しているため当方では作業しない。</t>
        </is>
      </c>
      <c r="F117" s="50" t="n"/>
      <c r="G117" s="50" t="n"/>
      <c r="H117" s="50" t="n"/>
    </row>
    <row r="118" ht="22" customHeight="1">
      <c r="A118" s="66" t="inlineStr">
        <is>
          <t>Ⅰ-30</t>
        </is>
      </c>
      <c r="B118" s="67" t="inlineStr">
        <is>
          <t>回収状況の管理</t>
        </is>
      </c>
      <c r="C118" s="66" t="inlineStr">
        <is>
          <t>着手</t>
        </is>
      </c>
      <c r="D118" s="66" t="inlineStr">
        <is>
          <t>0.40</t>
        </is>
      </c>
      <c r="E118" s="67" t="inlineStr">
        <is>
          <t>調査工程。調査票は他メンバーが作成しているため当方では作業しない。</t>
        </is>
      </c>
      <c r="F118" s="50" t="n"/>
      <c r="G118" s="50" t="n"/>
      <c r="H118" s="50" t="n"/>
    </row>
    <row r="119" ht="22" customHeight="1">
      <c r="A119" s="66" t="inlineStr">
        <is>
          <t>Ⅰ-31</t>
        </is>
      </c>
      <c r="B119" s="67" t="inlineStr">
        <is>
          <t>督促（リマインド）の実施</t>
        </is>
      </c>
      <c r="C119" s="66" t="inlineStr">
        <is>
          <t>未着手</t>
        </is>
      </c>
      <c r="D119" s="66" t="inlineStr">
        <is>
          <t>0.00</t>
        </is>
      </c>
      <c r="E119" s="67" t="inlineStr">
        <is>
          <t>調査工程。調査票は他メンバーが作成しているため当方では作業しない。</t>
        </is>
      </c>
      <c r="F119" s="50" t="n"/>
      <c r="G119" s="50" t="n"/>
      <c r="H119" s="50" t="n"/>
    </row>
    <row r="120" ht="22" customHeight="1">
      <c r="A120" s="66" t="inlineStr">
        <is>
          <t>Ⅰ-32</t>
        </is>
      </c>
      <c r="B120" s="67" t="inlineStr">
        <is>
          <t>回収期限の管理・締切</t>
        </is>
      </c>
      <c r="C120" s="66" t="inlineStr">
        <is>
          <t>着手</t>
        </is>
      </c>
      <c r="D120" s="66" t="inlineStr">
        <is>
          <t>0.50</t>
        </is>
      </c>
      <c r="E120" s="67" t="inlineStr">
        <is>
          <t>調査工程。調査票は他メンバーが作成しているため当方では作業しない。</t>
        </is>
      </c>
      <c r="F120" s="50" t="n"/>
      <c r="G120" s="50" t="n"/>
      <c r="H120" s="50" t="n"/>
    </row>
    <row r="121" ht="22" customHeight="1">
      <c r="A121" s="66" t="inlineStr">
        <is>
          <t>Ⅰ-33</t>
        </is>
      </c>
      <c r="B121" s="67" t="inlineStr">
        <is>
          <t>開封確認</t>
        </is>
      </c>
      <c r="C121" s="66" t="inlineStr">
        <is>
          <t>着手</t>
        </is>
      </c>
      <c r="D121" s="66" t="inlineStr">
        <is>
          <t>0.40</t>
        </is>
      </c>
      <c r="E121" s="67" t="inlineStr">
        <is>
          <t>調査工程。調査票は他メンバーが作成しているため当方では作業しない。</t>
        </is>
      </c>
      <c r="F121" s="50" t="n"/>
      <c r="G121" s="50" t="n"/>
      <c r="H121" s="50" t="n"/>
    </row>
    <row r="122" ht="22" customHeight="1">
      <c r="A122" s="66" t="inlineStr">
        <is>
          <t>Ⅰ-94</t>
        </is>
      </c>
      <c r="B122" s="67" t="inlineStr">
        <is>
          <t>調査票の受渡し記録の作成・運用</t>
        </is>
      </c>
      <c r="C122" s="66" t="inlineStr">
        <is>
          <t>着手</t>
        </is>
      </c>
      <c r="D122" s="66" t="inlineStr">
        <is>
          <t>0.30</t>
        </is>
      </c>
      <c r="E122" s="67" t="inlineStr">
        <is>
          <t>調査工程。調査票は他メンバーが作成しているため当方では作業しない。</t>
        </is>
      </c>
      <c r="F122" s="50" t="n"/>
      <c r="G122" s="50" t="n"/>
      <c r="H122" s="50" t="n"/>
    </row>
    <row r="123" ht="22" customHeight="1">
      <c r="A123" s="66" t="inlineStr">
        <is>
          <t>Ⅰ-34</t>
        </is>
      </c>
      <c r="B123" s="67" t="inlineStr">
        <is>
          <t>用紙回答のデータ入力</t>
        </is>
      </c>
      <c r="C123" s="66" t="inlineStr">
        <is>
          <t>着手</t>
        </is>
      </c>
      <c r="D123" s="66" t="inlineStr">
        <is>
          <t>0.40</t>
        </is>
      </c>
      <c r="E123" s="67" t="inlineStr">
        <is>
          <t>調査工程。調査票は他メンバーが作成しているため当方では作業しない。</t>
        </is>
      </c>
      <c r="F123" s="50" t="n"/>
      <c r="G123" s="50" t="n"/>
      <c r="H123" s="50" t="n"/>
    </row>
    <row r="124" ht="22" customHeight="1">
      <c r="A124" s="66" t="inlineStr">
        <is>
          <t>Ⅰ-35</t>
        </is>
      </c>
      <c r="B124" s="67" t="inlineStr">
        <is>
          <t>ウェブ回答データの取込</t>
        </is>
      </c>
      <c r="C124" s="66" t="inlineStr">
        <is>
          <t>着手</t>
        </is>
      </c>
      <c r="D124" s="66" t="inlineStr">
        <is>
          <t>0.40</t>
        </is>
      </c>
      <c r="E124" s="67" t="inlineStr">
        <is>
          <t>調査工程。調査票は他メンバーが作成しているため当方では作業しない。</t>
        </is>
      </c>
      <c r="F124" s="50" t="n"/>
      <c r="G124" s="50" t="n"/>
      <c r="H124" s="50" t="n"/>
    </row>
    <row r="125" ht="22" customHeight="1">
      <c r="A125" s="66" t="inlineStr">
        <is>
          <t>Ⅰ-36</t>
        </is>
      </c>
      <c r="B125" s="67" t="inlineStr">
        <is>
          <t>重複回答の排除</t>
        </is>
      </c>
      <c r="C125" s="66" t="inlineStr">
        <is>
          <t>着手</t>
        </is>
      </c>
      <c r="D125" s="66" t="inlineStr">
        <is>
          <t>0.90</t>
        </is>
      </c>
      <c r="E125" s="67" t="inlineStr">
        <is>
          <t>調査工程。調査票は他メンバーが作成しているため当方では作業しない。</t>
        </is>
      </c>
      <c r="F125" s="50" t="n"/>
      <c r="G125" s="50" t="n"/>
      <c r="H125" s="50" t="n"/>
    </row>
    <row r="126" ht="22" customHeight="1">
      <c r="A126" s="66" t="inlineStr">
        <is>
          <t>Ⅰ-37</t>
        </is>
      </c>
      <c r="B126" s="67" t="inlineStr">
        <is>
          <t>要介護認定データの受領</t>
        </is>
      </c>
      <c r="C126" s="66" t="inlineStr">
        <is>
          <t>確認中</t>
        </is>
      </c>
      <c r="D126" s="66" t="inlineStr">
        <is>
          <t>0.30</t>
        </is>
      </c>
      <c r="E126" s="67" t="inlineStr">
        <is>
          <t>調査工程。調査票は他メンバーが作成しているため当方では作業しない。</t>
        </is>
      </c>
      <c r="F126" s="50" t="n"/>
      <c r="G126" s="50" t="n"/>
      <c r="H126" s="50" t="n"/>
    </row>
    <row r="127" ht="22" customHeight="1">
      <c r="A127" s="66" t="inlineStr">
        <is>
          <t>Ⅰ-38</t>
        </is>
      </c>
      <c r="B127" s="67" t="inlineStr">
        <is>
          <t>認定データとの関連付け（自動プログラム）</t>
        </is>
      </c>
      <c r="C127" s="66" t="inlineStr">
        <is>
          <t>未着手</t>
        </is>
      </c>
      <c r="D127" s="66" t="inlineStr">
        <is>
          <t>0.00</t>
        </is>
      </c>
      <c r="E127" s="67" t="inlineStr">
        <is>
          <t>調査工程。調査票は他メンバーが作成しているため当方では作業しない。</t>
        </is>
      </c>
      <c r="F127" s="50" t="n"/>
      <c r="G127" s="50" t="n"/>
      <c r="H127" s="50" t="n"/>
    </row>
    <row r="128" ht="22" customHeight="1">
      <c r="A128" s="66" t="inlineStr">
        <is>
          <t>Ⅰ-39</t>
        </is>
      </c>
      <c r="B128" s="67" t="inlineStr">
        <is>
          <t>単純集計</t>
        </is>
      </c>
      <c r="C128" s="66" t="inlineStr">
        <is>
          <t>着手</t>
        </is>
      </c>
      <c r="D128" s="66" t="inlineStr">
        <is>
          <t>0.70</t>
        </is>
      </c>
      <c r="E128" s="67" t="inlineStr">
        <is>
          <t>集計・分析は当方の担当。調査票の回収を待つ（ダミーデータによる検証は済み）。</t>
        </is>
      </c>
      <c r="F128" s="50" t="n"/>
      <c r="G128" s="50" t="n"/>
      <c r="H128" s="50" t="n"/>
    </row>
    <row r="129" ht="22" customHeight="1">
      <c r="A129" s="66" t="inlineStr">
        <is>
          <t>Ⅰ-40</t>
        </is>
      </c>
      <c r="B129" s="67" t="inlineStr">
        <is>
          <t>基本属性別クロス集計（地区・性別・年齢）</t>
        </is>
      </c>
      <c r="C129" s="66" t="inlineStr">
        <is>
          <t>着手</t>
        </is>
      </c>
      <c r="D129" s="66" t="inlineStr">
        <is>
          <t>0.70</t>
        </is>
      </c>
      <c r="E129" s="67" t="inlineStr">
        <is>
          <t>集計・分析は当方の担当。調査票の回収を待つ（ダミーデータによる検証は済み）。</t>
        </is>
      </c>
      <c r="F129" s="50" t="n"/>
      <c r="G129" s="50" t="n"/>
      <c r="H129" s="50" t="n"/>
    </row>
    <row r="130" ht="22" customHeight="1">
      <c r="A130" s="66" t="inlineStr">
        <is>
          <t>Ⅰ-41</t>
        </is>
      </c>
      <c r="B130" s="67" t="inlineStr">
        <is>
          <t>時系列比較（第8期・第9期との対比）</t>
        </is>
      </c>
      <c r="C130" s="66" t="inlineStr">
        <is>
          <t>確認中</t>
        </is>
      </c>
      <c r="D130" s="66" t="inlineStr">
        <is>
          <t>0.20</t>
        </is>
      </c>
      <c r="E130" s="67" t="inlineStr">
        <is>
          <t>集計・分析は当方の担当。調査票の回収を待つ（ダミーデータによる検証は済み）。</t>
        </is>
      </c>
      <c r="F130" s="50" t="n"/>
      <c r="G130" s="50" t="n"/>
      <c r="H130" s="50" t="n"/>
    </row>
    <row r="131" ht="22" customHeight="1">
      <c r="A131" s="66" t="inlineStr">
        <is>
          <t>Ⅰ-42</t>
        </is>
      </c>
      <c r="B131" s="67" t="inlineStr">
        <is>
          <t>設問間クロス集計</t>
        </is>
      </c>
      <c r="C131" s="66" t="inlineStr">
        <is>
          <t>着手</t>
        </is>
      </c>
      <c r="D131" s="66" t="inlineStr">
        <is>
          <t>0.65</t>
        </is>
      </c>
      <c r="E131" s="67" t="inlineStr">
        <is>
          <t>集計・分析は当方の担当。調査票の回収を待つ（ダミーデータによる検証は済み）。</t>
        </is>
      </c>
      <c r="F131" s="50" t="n"/>
      <c r="G131" s="50" t="n"/>
      <c r="H131" s="50" t="n"/>
    </row>
    <row r="132" ht="22" customHeight="1">
      <c r="A132" s="66" t="inlineStr">
        <is>
          <t>Ⅰ-43</t>
        </is>
      </c>
      <c r="B132" s="67" t="inlineStr">
        <is>
          <t>リスク判定11種の算出</t>
        </is>
      </c>
      <c r="C132" s="66" t="inlineStr">
        <is>
          <t>着手</t>
        </is>
      </c>
      <c r="D132" s="66" t="inlineStr">
        <is>
          <t>0.70</t>
        </is>
      </c>
      <c r="E132" s="67" t="inlineStr">
        <is>
          <t>集計・分析は当方の担当。調査票の回収を待つ（ダミーデータによる検証は済み）。</t>
        </is>
      </c>
      <c r="F132" s="50" t="n"/>
      <c r="G132" s="50" t="n"/>
      <c r="H132" s="50" t="n"/>
    </row>
    <row r="133" ht="22" customHeight="1">
      <c r="A133" s="66" t="inlineStr">
        <is>
          <t>Ⅰ-44</t>
        </is>
      </c>
      <c r="B133" s="67" t="inlineStr">
        <is>
          <t>自由記述の整理</t>
        </is>
      </c>
      <c r="C133" s="66" t="inlineStr">
        <is>
          <t>着手</t>
        </is>
      </c>
      <c r="D133" s="66" t="inlineStr">
        <is>
          <t>0.10</t>
        </is>
      </c>
      <c r="E133" s="67" t="inlineStr">
        <is>
          <t>集計・分析は当方の担当。調査票の回収を待つ（ダミーデータによる検証は済み）。</t>
        </is>
      </c>
      <c r="F133" s="50" t="n"/>
      <c r="G133" s="50" t="n"/>
      <c r="H133" s="50" t="n"/>
    </row>
    <row r="134" ht="22" customHeight="1">
      <c r="A134" s="66" t="inlineStr">
        <is>
          <t>Ⅰ-45</t>
        </is>
      </c>
      <c r="B134" s="67" t="inlineStr">
        <is>
          <t>在宅調査の要介護度別・介護者就労状況別分析</t>
        </is>
      </c>
      <c r="C134" s="66" t="inlineStr">
        <is>
          <t>着手</t>
        </is>
      </c>
      <c r="D134" s="66" t="inlineStr">
        <is>
          <t>0.65</t>
        </is>
      </c>
      <c r="E134" s="67" t="inlineStr">
        <is>
          <t>集計・分析は当方の担当。調査票の回収を待つ（ダミーデータによる検証は済み）。</t>
        </is>
      </c>
      <c r="F134" s="50" t="n"/>
      <c r="G134" s="50" t="n"/>
      <c r="H134" s="50" t="n"/>
    </row>
    <row r="135" ht="22" customHeight="1">
      <c r="A135" s="66" t="inlineStr">
        <is>
          <t>Ⅰ-46</t>
        </is>
      </c>
      <c r="B135" s="67" t="inlineStr">
        <is>
          <t>見える化システム登録用データの作成</t>
        </is>
      </c>
      <c r="C135" s="66" t="inlineStr">
        <is>
          <t>着手</t>
        </is>
      </c>
      <c r="D135" s="66" t="inlineStr">
        <is>
          <t>0.30</t>
        </is>
      </c>
      <c r="E135" s="67" t="inlineStr">
        <is>
          <t>集計・分析は当方の担当。調査票の回収を待つ（ダミーデータによる検証は済み）。</t>
        </is>
      </c>
      <c r="F135" s="50" t="n"/>
      <c r="G135" s="50" t="n"/>
      <c r="H135" s="50" t="n"/>
    </row>
    <row r="136" ht="22" customHeight="1">
      <c r="A136" s="66" t="inlineStr">
        <is>
          <t>Ⅰ-95</t>
        </is>
      </c>
      <c r="B136" s="67" t="inlineStr">
        <is>
          <t>ICFの構成要素に基づくクロス分析の設計</t>
        </is>
      </c>
      <c r="C136" s="66" t="inlineStr">
        <is>
          <t>着手</t>
        </is>
      </c>
      <c r="D136" s="66" t="inlineStr">
        <is>
          <t>0.80</t>
        </is>
      </c>
      <c r="E136" s="67" t="inlineStr">
        <is>
          <t>調査工程。調査票は他メンバーが作成しているため当方では作業しない。</t>
        </is>
      </c>
      <c r="F136" s="50" t="n"/>
      <c r="G136" s="50" t="n"/>
      <c r="H136" s="50" t="n"/>
    </row>
    <row r="137" ht="22" customHeight="1">
      <c r="A137" s="66" t="inlineStr">
        <is>
          <t>Ⅰ-47</t>
        </is>
      </c>
      <c r="B137" s="67" t="inlineStr">
        <is>
          <t>設問ごとのグラフ作成</t>
        </is>
      </c>
      <c r="C137" s="66" t="inlineStr">
        <is>
          <t>未着手</t>
        </is>
      </c>
      <c r="D137" s="66" t="inlineStr">
        <is>
          <t>0.00</t>
        </is>
      </c>
      <c r="E137" s="67" t="inlineStr">
        <is>
          <t>調査工程。調査票は他メンバーが作成しているため当方では作業しない。</t>
        </is>
      </c>
      <c r="F137" s="50" t="n"/>
      <c r="G137" s="50" t="n"/>
      <c r="H137" s="50" t="n"/>
    </row>
    <row r="138" ht="22" customHeight="1">
      <c r="A138" s="66" t="inlineStr">
        <is>
          <t>Ⅰ-48</t>
        </is>
      </c>
      <c r="B138" s="67" t="inlineStr">
        <is>
          <t>調査結果報告書の執筆・レイアウト</t>
        </is>
      </c>
      <c r="C138" s="66" t="inlineStr">
        <is>
          <t>着手</t>
        </is>
      </c>
      <c r="D138" s="66" t="inlineStr">
        <is>
          <t>0.30</t>
        </is>
      </c>
      <c r="E138" s="67" t="inlineStr">
        <is>
          <t>調査工程。調査票は他メンバーが作成しているため当方では作業しない。</t>
        </is>
      </c>
      <c r="F138" s="50" t="n"/>
      <c r="G138" s="50" t="n"/>
      <c r="H138" s="50" t="n"/>
    </row>
    <row r="139" ht="22" customHeight="1">
      <c r="A139" s="66" t="inlineStr">
        <is>
          <t>Ⅰ-49</t>
        </is>
      </c>
      <c r="B139" s="67" t="inlineStr">
        <is>
          <t>報告書の村確認・修正</t>
        </is>
      </c>
      <c r="C139" s="66" t="inlineStr">
        <is>
          <t>未着手</t>
        </is>
      </c>
      <c r="D139" s="66" t="inlineStr">
        <is>
          <t>0.00</t>
        </is>
      </c>
      <c r="E139" s="67" t="inlineStr">
        <is>
          <t>調査工程。調査票は他メンバーが作成しているため当方では作業しない。</t>
        </is>
      </c>
      <c r="F139" s="50" t="n"/>
      <c r="G139" s="50" t="n"/>
      <c r="H139" s="50" t="n"/>
    </row>
    <row r="140" ht="22" customHeight="1">
      <c r="A140" s="66" t="inlineStr">
        <is>
          <t>Ⅱ-50</t>
        </is>
      </c>
      <c r="B140" s="67" t="inlineStr">
        <is>
          <t>制度改正動向の資料収集・整理</t>
        </is>
      </c>
      <c r="C140" s="66" t="inlineStr">
        <is>
          <t>着手</t>
        </is>
      </c>
      <c r="D140" s="66" t="inlineStr">
        <is>
          <t>0.98</t>
        </is>
      </c>
      <c r="E140" s="67" t="inlineStr">
        <is>
          <t>制度改正の動向は告示を待つ。進捗0.98で、残るのは基本指針の告示後の反映のみ。</t>
        </is>
      </c>
      <c r="F140" s="50" t="n"/>
      <c r="G140" s="50" t="n"/>
      <c r="H140" s="50" t="n"/>
    </row>
    <row r="141" ht="22" customHeight="1">
      <c r="A141" s="66" t="inlineStr">
        <is>
          <t>Ⅱ-51</t>
        </is>
      </c>
      <c r="B141" s="67" t="inlineStr">
        <is>
          <t>第10期国の基本指針の確認・反映</t>
        </is>
      </c>
      <c r="C141" s="66" t="inlineStr">
        <is>
          <t>着手</t>
        </is>
      </c>
      <c r="D141" s="66" t="inlineStr">
        <is>
          <t>0.85</t>
        </is>
      </c>
      <c r="E141" s="67" t="inlineStr">
        <is>
          <t>基本指針の別表11事項への対応表（資6）は作り終えた。「一部」の4事項（三・六・七・八）のうち、三・七・八は村・県へのご回答を待つ（10/12に照会の文面を整えた。doc85）。六は当方の在宅介護実態調査の結果で埋まる。点検69が追いかける先のない「一部」を捕らえる。</t>
        </is>
      </c>
      <c r="F141" s="50" t="n"/>
      <c r="G141" s="50" t="n"/>
      <c r="H141" s="50" t="n"/>
    </row>
    <row r="142" ht="22" customHeight="1">
      <c r="A142" s="66" t="inlineStr">
        <is>
          <t>Ⅱ-53</t>
        </is>
      </c>
      <c r="B142" s="67" t="inlineStr">
        <is>
          <t>高齢者福祉事業等の実績資料の受領</t>
        </is>
      </c>
      <c r="C142" s="66" t="inlineStr">
        <is>
          <t>着手</t>
        </is>
      </c>
      <c r="D142" s="66" t="inlineStr">
        <is>
          <t>0.55</t>
        </is>
      </c>
      <c r="E142" s="67" t="inlineStr">
        <is>
          <t>村提供の実績資料を待つ（束2）。</t>
        </is>
      </c>
      <c r="F142" s="50" t="n"/>
      <c r="G142" s="50" t="n"/>
      <c r="H142" s="50" t="n"/>
    </row>
    <row r="143" ht="22" customHeight="1">
      <c r="A143" s="66" t="inlineStr">
        <is>
          <t>Ⅱ-54</t>
        </is>
      </c>
      <c r="B143" s="67" t="inlineStr">
        <is>
          <t>高齢者福祉事業等の実施状況の把握と課題整理</t>
        </is>
      </c>
      <c r="C143" s="66" t="inlineStr">
        <is>
          <t>着手</t>
        </is>
      </c>
      <c r="D143" s="66" t="inlineStr">
        <is>
          <t>0.88</t>
        </is>
      </c>
      <c r="E143" s="67" t="inlineStr">
        <is>
          <t>4-6の12事業は村の実績の受領を待つ（束2）。</t>
        </is>
      </c>
      <c r="F143" s="50" t="n"/>
      <c r="G143" s="50" t="n"/>
      <c r="H143" s="50" t="n"/>
    </row>
    <row r="144" ht="22" customHeight="1">
      <c r="A144" s="66" t="inlineStr">
        <is>
          <t>Ⅱ-55</t>
        </is>
      </c>
      <c r="B144" s="67" t="inlineStr">
        <is>
          <t>介護保険給付統計の取りまとめ</t>
        </is>
      </c>
      <c r="C144" s="66" t="inlineStr">
        <is>
          <t>着手</t>
        </is>
      </c>
      <c r="D144" s="66" t="inlineStr">
        <is>
          <t>0.85</t>
        </is>
      </c>
      <c r="E144" s="67" t="inlineStr">
        <is>
          <t>令和6・7年度の決算を待つ（束2）。</t>
        </is>
      </c>
      <c r="F144" s="50" t="n"/>
      <c r="G144" s="50" t="n"/>
      <c r="H144" s="50" t="n"/>
    </row>
    <row r="145" ht="22" customHeight="1">
      <c r="A145" s="66" t="inlineStr">
        <is>
          <t>Ⅱ-56</t>
        </is>
      </c>
      <c r="B145" s="67" t="inlineStr">
        <is>
          <t>計画数値の評価（計画値と実績の乖離分析）</t>
        </is>
      </c>
      <c r="C145" s="66" t="inlineStr">
        <is>
          <t>着手</t>
        </is>
      </c>
      <c r="D145" s="66" t="inlineStr">
        <is>
          <t>0.95</t>
        </is>
      </c>
      <c r="E145" s="67" t="inlineStr">
        <is>
          <t>国の推計ワークシートと将来推計総括表を待つ（束1・束2／影響度1）。施設サービス3種の受給者数は、受給者1人あたり給付月額の系列がないため按分の参考値のままであり、月報 第2表・第3表を待つ（束2）。</t>
        </is>
      </c>
      <c r="F145" s="50" t="n"/>
      <c r="G145" s="50" t="n"/>
      <c r="H145" s="50" t="n"/>
    </row>
    <row r="146" ht="22" customHeight="1">
      <c r="A146" s="66" t="inlineStr">
        <is>
          <t>Ⅱ-115</t>
        </is>
      </c>
      <c r="B146" s="67" t="inlineStr">
        <is>
          <t>見える化システムの収録データの受領と成果品との突合</t>
        </is>
      </c>
      <c r="C146" s="66" t="inlineStr">
        <is>
          <t>着手</t>
        </is>
      </c>
      <c r="D146" s="66" t="inlineStr">
        <is>
          <t>0.98</t>
        </is>
      </c>
      <c r="E146" s="67" t="inlineStr">
        <is>
          <t>受領データとの突合は72件まで進めた。残るのは見える化に相手がない指標で、村の実績の受領を待つ（束2）。</t>
        </is>
      </c>
      <c r="F146" s="50" t="n"/>
      <c r="G146" s="50" t="n"/>
      <c r="H146" s="50" t="n"/>
    </row>
    <row r="147" ht="22" customHeight="1">
      <c r="A147" s="66" t="inlineStr">
        <is>
          <t>Ⅱ-59</t>
        </is>
      </c>
      <c r="B147" s="67" t="inlineStr">
        <is>
          <t>第1号被保険者数の推計</t>
        </is>
      </c>
      <c r="C147" s="66" t="inlineStr">
        <is>
          <t>着手</t>
        </is>
      </c>
      <c r="D147" s="66" t="inlineStr">
        <is>
          <t>0.95</t>
        </is>
      </c>
      <c r="E147" s="67" t="inlineStr">
        <is>
          <t>素案5-2を国の推計ワークシートの3区分に組み替えた（10/7）。当方の検算を併記する形でよいかのご確認を待つ（束1）。</t>
        </is>
      </c>
      <c r="F147" s="50" t="n"/>
      <c r="G147" s="50" t="n"/>
      <c r="H147" s="50" t="n"/>
    </row>
    <row r="148" ht="22" customHeight="1">
      <c r="A148" s="66" t="inlineStr">
        <is>
          <t>Ⅱ-60</t>
        </is>
      </c>
      <c r="B148" s="67" t="inlineStr">
        <is>
          <t>要介護者数の推計</t>
        </is>
      </c>
      <c r="C148" s="66" t="inlineStr">
        <is>
          <t>着手</t>
        </is>
      </c>
      <c r="D148" s="66" t="inlineStr">
        <is>
          <t>0.95</t>
        </is>
      </c>
      <c r="E148" s="67" t="inlineStr">
        <is>
          <t>特定地域サービスの活用の意向を待つ（束1）。</t>
        </is>
      </c>
      <c r="F148" s="50" t="n"/>
      <c r="G148" s="50" t="n"/>
      <c r="H148" s="50" t="n"/>
    </row>
    <row r="149" ht="22" customHeight="1">
      <c r="A149" s="66" t="inlineStr">
        <is>
          <t>Ⅱ-61</t>
        </is>
      </c>
      <c r="B149" s="67" t="inlineStr">
        <is>
          <t>各介護保険サービス見込量の推計</t>
        </is>
      </c>
      <c r="C149" s="66" t="inlineStr">
        <is>
          <t>着手</t>
        </is>
      </c>
      <c r="D149" s="66" t="inlineStr">
        <is>
          <t>0.95</t>
        </is>
      </c>
      <c r="E149" s="67" t="inlineStr">
        <is>
          <t>介護ＳＣＲは受領し素案2-5・5-8(4)に反映した（10/19）。ケアプラン点検の体制の回答を待つ（束3）。</t>
        </is>
      </c>
      <c r="F149" s="50" t="n"/>
      <c r="G149" s="50" t="n"/>
      <c r="H149" s="50" t="n"/>
    </row>
    <row r="150" ht="22" customHeight="1">
      <c r="A150" s="66" t="inlineStr">
        <is>
          <t>Ⅱ-105</t>
        </is>
      </c>
      <c r="B150" s="67" t="inlineStr">
        <is>
          <t>地域密着型サービスの必要利用定員総数の設定</t>
        </is>
      </c>
      <c r="C150" s="66" t="inlineStr">
        <is>
          <t>着手</t>
        </is>
      </c>
      <c r="D150" s="66" t="inlineStr">
        <is>
          <t>0.95</t>
        </is>
      </c>
      <c r="E150" s="67"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50" s="50" t="n"/>
      <c r="G150" s="50" t="n"/>
      <c r="H150" s="50" t="n"/>
    </row>
    <row r="151" ht="22" customHeight="1">
      <c r="A151" s="66" t="inlineStr">
        <is>
          <t>Ⅱ-106</t>
        </is>
      </c>
      <c r="B151" s="67" t="inlineStr">
        <is>
          <t>地域支援事業の量の見込みと事業費の算定</t>
        </is>
      </c>
      <c r="C151" s="66" t="inlineStr">
        <is>
          <t>着手</t>
        </is>
      </c>
      <c r="D151" s="66" t="inlineStr">
        <is>
          <t>0.80</t>
        </is>
      </c>
      <c r="E151" s="67" t="inlineStr">
        <is>
          <t>令和6・7年度の地域支援事業費の決算を待つ（束2）。</t>
        </is>
      </c>
      <c r="F151" s="50" t="n"/>
      <c r="G151" s="50" t="n"/>
      <c r="H151" s="50" t="n"/>
    </row>
    <row r="152" ht="22" customHeight="1">
      <c r="A152" s="66" t="inlineStr">
        <is>
          <t>Ⅱ-62</t>
        </is>
      </c>
      <c r="B152" s="67" t="inlineStr">
        <is>
          <t>給付費の試算</t>
        </is>
      </c>
      <c r="C152" s="66" t="inlineStr">
        <is>
          <t>着手</t>
        </is>
      </c>
      <c r="D152" s="66" t="inlineStr">
        <is>
          <t>0.90</t>
        </is>
      </c>
      <c r="E152" s="67" t="inlineStr">
        <is>
          <t>国の推計ワークシートは受領した（10/7）。令和9年度以降も0で入っている6サービスを0のままとしてよいかの回答を待つ（束1・期限10/13 18時）。</t>
        </is>
      </c>
      <c r="F152" s="50" t="n"/>
      <c r="G152" s="50" t="n"/>
      <c r="H152" s="50" t="n"/>
    </row>
    <row r="153" ht="22" customHeight="1">
      <c r="A153" s="66" t="inlineStr">
        <is>
          <t>Ⅱ-63</t>
        </is>
      </c>
      <c r="B153" s="67" t="inlineStr">
        <is>
          <t>介護保険準備基金の残高・取崩方針の確認</t>
        </is>
      </c>
      <c r="C153" s="66" t="inlineStr">
        <is>
          <t>着手</t>
        </is>
      </c>
      <c r="D153" s="66" t="inlineStr">
        <is>
          <t>0.75</t>
        </is>
      </c>
      <c r="E153" s="67" t="inlineStr">
        <is>
          <t>基金の残高42,128,183円・取崩額40,000,000円は確定した（10/7）。取崩額の水準の判断と条例の確認を待つ（束1）。</t>
        </is>
      </c>
      <c r="F153" s="50" t="n"/>
      <c r="G153" s="50" t="n"/>
      <c r="H153" s="50" t="n"/>
    </row>
    <row r="154" ht="22" customHeight="1">
      <c r="A154" s="66" t="inlineStr">
        <is>
          <t>Ⅱ-64</t>
        </is>
      </c>
      <c r="B154" s="67" t="inlineStr">
        <is>
          <t>介護保険料の試算（複数案の比較）</t>
        </is>
      </c>
      <c r="C154" s="66" t="inlineStr">
        <is>
          <t>着手</t>
        </is>
      </c>
      <c r="D154" s="66" t="inlineStr">
        <is>
          <t>0.96</t>
        </is>
      </c>
      <c r="E154" s="67"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54" s="50" t="n"/>
      <c r="G154" s="50" t="n"/>
      <c r="H154" s="50" t="n"/>
    </row>
    <row r="155" ht="22" customHeight="1">
      <c r="A155" s="66" t="inlineStr">
        <is>
          <t>Ⅱ-107</t>
        </is>
      </c>
      <c r="B155" s="67" t="inlineStr">
        <is>
          <t>所得段階の設定（段階数・保険料率・低所得者軽減）</t>
        </is>
      </c>
      <c r="C155" s="66" t="inlineStr">
        <is>
          <t>着手</t>
        </is>
      </c>
      <c r="D155" s="66" t="inlineStr">
        <is>
          <t>0.70</t>
        </is>
      </c>
      <c r="E155" s="67" t="inlineStr">
        <is>
          <t>国の推計ワークシートは受領した（10/7）。村は標準の段階区分で提出していることを確認した。段階の区切りを見直すかどうかの村の判断を待つ（束1）。</t>
        </is>
      </c>
      <c r="F155" s="50" t="n"/>
      <c r="G155" s="50" t="n"/>
      <c r="H155" s="50" t="n"/>
    </row>
    <row r="156" ht="22" customHeight="1">
      <c r="A156" s="66" t="inlineStr">
        <is>
          <t>Ⅱ-65</t>
        </is>
      </c>
      <c r="B156" s="67" t="inlineStr">
        <is>
          <t>成果目標及び活動指標の設定</t>
        </is>
      </c>
      <c r="C156" s="66" t="inlineStr">
        <is>
          <t>着手</t>
        </is>
      </c>
      <c r="D156" s="66" t="inlineStr">
        <is>
          <t>0.92</t>
        </is>
      </c>
      <c r="E156" s="67" t="inlineStr">
        <is>
          <t>交付金の評価が求める分析の空白は0件になった。目標値の設定は通いの場の基準値と村の実績の受領を待つ（束3）。</t>
        </is>
      </c>
      <c r="F156" s="50" t="n"/>
      <c r="G156" s="50" t="n"/>
      <c r="H156" s="50" t="n"/>
    </row>
    <row r="157" ht="22" customHeight="1">
      <c r="A157" s="66" t="inlineStr">
        <is>
          <t>Ⅱ-109</t>
        </is>
      </c>
      <c r="B157" s="67" t="inlineStr">
        <is>
          <t>給付適正化に係る取組内容と目標の設定</t>
        </is>
      </c>
      <c r="C157" s="66" t="inlineStr">
        <is>
          <t>着手</t>
        </is>
      </c>
      <c r="D157" s="66" t="inlineStr">
        <is>
          <t>0.70</t>
        </is>
      </c>
      <c r="E157" s="67" t="inlineStr">
        <is>
          <t>主要3事業の現状値は交付金の明細から置いた。件数の目標は村の点検実績の受領を待つ（束3）。</t>
        </is>
      </c>
      <c r="F157" s="50" t="n"/>
      <c r="G157" s="50" t="n"/>
      <c r="H157" s="50" t="n"/>
    </row>
    <row r="158" ht="22" customHeight="1">
      <c r="A158" s="66" t="inlineStr">
        <is>
          <t>Ⅱ-67</t>
        </is>
      </c>
      <c r="B158" s="67" t="inlineStr">
        <is>
          <t>次期計画に盛り込む施策の検討</t>
        </is>
      </c>
      <c r="C158" s="66" t="inlineStr">
        <is>
          <t>着手</t>
        </is>
      </c>
      <c r="D158" s="66" t="inlineStr">
        <is>
          <t>0.85</t>
        </is>
      </c>
      <c r="E158" s="67" t="inlineStr">
        <is>
          <t>交付金の未得点項目の取組可否を待つ（束3）。</t>
        </is>
      </c>
      <c r="F158" s="50" t="n"/>
      <c r="G158" s="50" t="n"/>
      <c r="H158" s="50" t="n"/>
    </row>
    <row r="159" ht="22" customHeight="1">
      <c r="A159" s="66" t="inlineStr">
        <is>
          <t>Ⅱ-110</t>
        </is>
      </c>
      <c r="B159" s="67" t="inlineStr">
        <is>
          <t>老人福祉事業の量の目標の設定</t>
        </is>
      </c>
      <c r="C159" s="66" t="inlineStr">
        <is>
          <t>着手</t>
        </is>
      </c>
      <c r="D159" s="66" t="inlineStr">
        <is>
          <t>0.70</t>
        </is>
      </c>
      <c r="E159" s="67" t="inlineStr">
        <is>
          <t>12事業の枠と確保の方策は揃った。年度別の目標量は村の実績の受領を待つ（束2）。</t>
        </is>
      </c>
      <c r="F159" s="50" t="n"/>
      <c r="G159" s="50" t="n"/>
      <c r="H159" s="50" t="n"/>
    </row>
    <row r="160" ht="22" customHeight="1">
      <c r="A160" s="66" t="inlineStr">
        <is>
          <t>Ⅱ-68</t>
        </is>
      </c>
      <c r="B160" s="67" t="inlineStr">
        <is>
          <t>制度の利用実態・考え方の情報提供</t>
        </is>
      </c>
      <c r="C160" s="66" t="inlineStr">
        <is>
          <t>着手</t>
        </is>
      </c>
      <c r="D160" s="66" t="inlineStr">
        <is>
          <t>0.70</t>
        </is>
      </c>
      <c r="E160" s="67" t="inlineStr">
        <is>
          <t>認知症関連事業の実績を待つ（束4）。</t>
        </is>
      </c>
      <c r="F160" s="50" t="n"/>
      <c r="G160" s="50" t="n"/>
      <c r="H160" s="50" t="n"/>
    </row>
    <row r="161" ht="22" customHeight="1">
      <c r="A161" s="66" t="inlineStr">
        <is>
          <t>Ⅱ-69</t>
        </is>
      </c>
      <c r="B161" s="67" t="inlineStr">
        <is>
          <t>利用促進の方向性・計画案の提示</t>
        </is>
      </c>
      <c r="C161" s="66" t="inlineStr">
        <is>
          <t>着手</t>
        </is>
      </c>
      <c r="D161" s="66" t="inlineStr">
        <is>
          <t>0.40</t>
        </is>
      </c>
      <c r="E161" s="67" t="inlineStr">
        <is>
          <t>成年後見制度利用支援事業の要綱の確認を待つ（束4）。</t>
        </is>
      </c>
      <c r="F161" s="50" t="n"/>
      <c r="G161" s="50" t="n"/>
      <c r="H161" s="50" t="n"/>
    </row>
    <row r="162" ht="22" customHeight="1">
      <c r="A162" s="66" t="inlineStr">
        <is>
          <t>Ⅱ-71</t>
        </is>
      </c>
      <c r="B162" s="67" t="inlineStr">
        <is>
          <t>施策体系の整理</t>
        </is>
      </c>
      <c r="C162" s="66" t="inlineStr">
        <is>
          <t>着手</t>
        </is>
      </c>
      <c r="D162" s="66" t="inlineStr">
        <is>
          <t>0.95</t>
        </is>
      </c>
      <c r="E162" s="67" t="inlineStr">
        <is>
          <t>基本理念の決定に連動する（束5）。</t>
        </is>
      </c>
      <c r="F162" s="50" t="n"/>
      <c r="G162" s="50" t="n"/>
      <c r="H162" s="50" t="n"/>
    </row>
    <row r="163" ht="22" customHeight="1">
      <c r="A163" s="66" t="inlineStr">
        <is>
          <t>Ⅱ-72</t>
        </is>
      </c>
      <c r="B163" s="67" t="inlineStr">
        <is>
          <t>関連計画との整合確認</t>
        </is>
      </c>
      <c r="C163" s="66" t="inlineStr">
        <is>
          <t>着手</t>
        </is>
      </c>
      <c r="D163" s="66" t="inlineStr">
        <is>
          <t>0.88</t>
        </is>
      </c>
      <c r="E163" s="67" t="inlineStr">
        <is>
          <t>資9（関連計画との対照）を新設した（10/10）。★10/12 障がい福祉計画との突合を版ごと組み直し、受け取った照会Ｋ-1〜Ｋ-8の8件すべてに応答した（doc87・seigo_han.py）。★10/13 障がい福祉計画の側から申し送り（10/12付）を受け取った（doc89）。立ててほしいと言われた5件（うち3件は既に反映済み）と、当方の確認事項3件への回答を取り込んだ。照会はＫ-9まで9件、渡す事項は7件。成年後見の条文の誤り（第2項第2号→第3項第3号）を正し、共生型の「村内3か所」の数え方・新高額の対象5種・受給者証の5つを素案に明記した。相手の素案との突合は、内容のハッシュと16語の数え上げで毎回確かめる（--shoumei・seigo_go.py）。未受領4計画の受領と、本計画に独立した「障がい福祉計画との連携」の節を置くかどうかの村のご確認を待つ。</t>
        </is>
      </c>
      <c r="F163" s="50" t="n"/>
      <c r="G163" s="50" t="n"/>
      <c r="H163" s="50" t="n"/>
    </row>
    <row r="164" ht="22" customHeight="1">
      <c r="A164" s="66" t="inlineStr">
        <is>
          <t>Ⅱ-111</t>
        </is>
      </c>
      <c r="B164" s="67" t="inlineStr">
        <is>
          <t>計画の名称・計画期間の表記の統一</t>
        </is>
      </c>
      <c r="C164" s="66" t="inlineStr">
        <is>
          <t>着手</t>
        </is>
      </c>
      <c r="D164" s="66" t="inlineStr">
        <is>
          <t>0.90</t>
        </is>
      </c>
      <c r="E164" s="67" t="inlineStr">
        <is>
          <t>本則を定め走査を入れた。計画の名称が村の決裁で確定するまで仮のまま置く。</t>
        </is>
      </c>
      <c r="F164" s="50" t="n"/>
      <c r="G164" s="50" t="n"/>
      <c r="H164" s="50" t="n"/>
    </row>
    <row r="165" ht="22" customHeight="1">
      <c r="A165" s="66" t="inlineStr">
        <is>
          <t>Ⅱ-73</t>
        </is>
      </c>
      <c r="B165" s="67" t="inlineStr">
        <is>
          <t>一体的策定の範囲の確認</t>
        </is>
      </c>
      <c r="C165" s="66" t="inlineStr">
        <is>
          <t>着手</t>
        </is>
      </c>
      <c r="D165" s="66" t="inlineStr">
        <is>
          <t>0.60</t>
        </is>
      </c>
      <c r="E165" s="67" t="inlineStr">
        <is>
          <t>一体的策定の範囲の確認を待つ（束5）。</t>
        </is>
      </c>
      <c r="F165" s="50" t="n"/>
      <c r="G165" s="50" t="n"/>
      <c r="H165" s="50" t="n"/>
    </row>
    <row r="166" ht="22" customHeight="1">
      <c r="A166" s="66" t="inlineStr">
        <is>
          <t>Ⅱ-75</t>
        </is>
      </c>
      <c r="B166" s="67" t="inlineStr">
        <is>
          <t>素案の作成</t>
        </is>
      </c>
      <c r="C166" s="66" t="inlineStr">
        <is>
          <t>着手</t>
        </is>
      </c>
      <c r="D166" s="66" t="inlineStr">
        <is>
          <t>0.98</t>
        </is>
      </c>
      <c r="E166" s="67" t="inlineStr">
        <is>
          <t>記載事項・図表・重複・事実関係は整え、10/10に紙面を通して確かめた（素案139頁。孤立行5件と見出しの取り残し1件を直した。doc86）。残るのは保険料・定員・目標値の確定と、游ゴシックで組んだ紙面の村側での確認である。</t>
        </is>
      </c>
      <c r="F166" s="50" t="n"/>
      <c r="G166" s="50" t="n"/>
      <c r="H166" s="50" t="n"/>
    </row>
    <row r="167" ht="22" customHeight="1">
      <c r="A167" s="66" t="inlineStr">
        <is>
          <t>Ⅱ-112</t>
        </is>
      </c>
      <c r="B167" s="67" t="inlineStr">
        <is>
          <t>策定委員会の審議意見の反映</t>
        </is>
      </c>
      <c r="C167" s="66" t="inlineStr">
        <is>
          <t>未着手</t>
        </is>
      </c>
      <c r="D167" s="66" t="inlineStr">
        <is>
          <t>0.00</t>
        </is>
      </c>
      <c r="E167" s="67" t="inlineStr">
        <is>
          <t>第2回策定委員会の開催を待つ。</t>
        </is>
      </c>
      <c r="F167" s="50" t="n"/>
      <c r="G167" s="50" t="n"/>
      <c r="H167" s="50" t="n"/>
    </row>
    <row r="168" ht="22" customHeight="1">
      <c r="A168" s="66" t="inlineStr">
        <is>
          <t>Ⅱ-76</t>
        </is>
      </c>
      <c r="B168" s="67" t="inlineStr">
        <is>
          <t>パブリックコメントの実施</t>
        </is>
      </c>
      <c r="C168" s="66" t="inlineStr">
        <is>
          <t>未着手</t>
        </is>
      </c>
      <c r="D168" s="66" t="inlineStr">
        <is>
          <t>0.00</t>
        </is>
      </c>
      <c r="E168" s="67" t="inlineStr">
        <is>
          <t>パブリックコメントの時期の決定を待つ（束6）。</t>
        </is>
      </c>
      <c r="F168" s="50" t="n"/>
      <c r="G168" s="50" t="n"/>
      <c r="H168" s="50" t="n"/>
    </row>
    <row r="169" ht="22" customHeight="1">
      <c r="A169" s="66" t="inlineStr">
        <is>
          <t>Ⅱ-77</t>
        </is>
      </c>
      <c r="B169" s="67" t="inlineStr">
        <is>
          <t>パブリックコメント意見の反映</t>
        </is>
      </c>
      <c r="C169" s="66" t="inlineStr">
        <is>
          <t>未着手</t>
        </is>
      </c>
      <c r="D169" s="66" t="inlineStr">
        <is>
          <t>0.00</t>
        </is>
      </c>
      <c r="E169" s="67" t="inlineStr">
        <is>
          <t>同上。</t>
        </is>
      </c>
      <c r="F169" s="50" t="n"/>
      <c r="G169" s="50" t="n"/>
      <c r="H169" s="50" t="n"/>
    </row>
    <row r="170" ht="22" customHeight="1">
      <c r="A170" s="66" t="inlineStr">
        <is>
          <t>Ⅱ-78</t>
        </is>
      </c>
      <c r="B170" s="67" t="inlineStr">
        <is>
          <t>原案の作成</t>
        </is>
      </c>
      <c r="C170" s="66" t="inlineStr">
        <is>
          <t>未着手</t>
        </is>
      </c>
      <c r="D170" s="66" t="inlineStr">
        <is>
          <t>0.00</t>
        </is>
      </c>
      <c r="E170" s="67" t="inlineStr">
        <is>
          <t>第3回策定委員会の審議を待つ。</t>
        </is>
      </c>
      <c r="F170" s="50" t="n"/>
      <c r="G170" s="50" t="n"/>
      <c r="H170" s="50" t="n"/>
    </row>
    <row r="171" ht="22" customHeight="1">
      <c r="A171" s="66" t="inlineStr">
        <is>
          <t>Ⅱ-79</t>
        </is>
      </c>
      <c r="B171" s="67" t="inlineStr">
        <is>
          <t>計画書の最終取りまとめ</t>
        </is>
      </c>
      <c r="C171" s="66" t="inlineStr">
        <is>
          <t>未着手</t>
        </is>
      </c>
      <c r="D171" s="66" t="inlineStr">
        <is>
          <t>0.00</t>
        </is>
      </c>
      <c r="E171" s="67" t="inlineStr">
        <is>
          <t>同上。</t>
        </is>
      </c>
      <c r="F171" s="50" t="n"/>
      <c r="G171" s="50" t="n"/>
      <c r="H171" s="50" t="n"/>
    </row>
    <row r="172" ht="22" customHeight="1">
      <c r="A172" s="66" t="inlineStr">
        <is>
          <t>Ⅱ-117</t>
        </is>
      </c>
      <c r="B172" s="67" t="inlineStr">
        <is>
          <t>成果品の自己点検（記載事項の網羅性・制約の走査）</t>
        </is>
      </c>
      <c r="C172" s="66" t="inlineStr">
        <is>
          <t>着手</t>
        </is>
      </c>
      <c r="D172" s="66" t="inlineStr">
        <is>
          <t>0.95</t>
        </is>
      </c>
      <c r="E172" s="67" t="inlineStr">
        <is>
          <t>成果品を変えるたびに走らせており、翌営業日の作業として別に立てない。素案83件・WBS 24件・委員会資料25件・見える化72件・集計仕様書36件・レッドチーム走査の6観点がある。★10/21〜22に点検80（素案が引く例規27種の番号が例規集の本文と一致すること）・点検81（素案の全文を入れた変数が点検の途中で上書きされていないこと。構文木で見る）・点検82（交付金の未取得が見かけと実際に分けて書かれていること。6項目）・点検83（点検の途中で素案の構造が書き換わっていないこと）を新設した。81と83は点検の間で状態が漏れることを見るものである。現に点検45・54・56・57・58・59のループ変数が素案の全文を上書きしており、nuki（削減案を当てた状態を作る仕掛け）の復元が適用の逆順でなかった。紙面は令和8年10月10日以降は当方で docx から PDF に変換して確かめている（chk_shimen.py）。游ゴシックが無いため、納品の前に村側での確認を要する。「ない」「未実施」と述べている箇所の総当たりは10月8日に終えた（点検59・点検64）。</t>
        </is>
      </c>
      <c r="F172" s="50" t="n"/>
      <c r="G172" s="50" t="n"/>
      <c r="H172" s="50" t="n"/>
    </row>
    <row r="173" ht="22" customHeight="1">
      <c r="A173" s="66" t="inlineStr">
        <is>
          <t>Ⅱ-119</t>
        </is>
      </c>
      <c r="B173" s="67" t="inlineStr">
        <is>
          <t>公表用素案の組み立て（第9期の目次体系への移し替え）</t>
        </is>
      </c>
      <c r="C173" s="66" t="inlineStr">
        <is>
          <t>着手</t>
        </is>
      </c>
      <c r="D173" s="66" t="inlineStr">
        <is>
          <t>0.90</t>
        </is>
      </c>
      <c r="E173" s="67" t="inlineStr">
        <is>
          <t>10/20に村のご承認を得て組んだ（kouhyou_build.py）。17_計画素案_公表用.docx（本文128頁）。49項目に並べ替え、束ねた項目はもとの節の題を小見出しにして収めた。10/22に村のご指示により、削減案を1つも行わない形の計画書を18_計画書_公表用.docx として出した（10/23に書体を改め事業所別の5か年推移を反映して本文117頁＋前付4頁＝121頁）。あわせて協議用5-5の(2)事業費を第5章2（給付費等の今後の見込み）へ移した（村のご判断。第9期が事業費をこの節に置いていたことによる）。どの削減案を行うかの村のご判断（Ⅱ-113）を待って最終の形にする。</t>
        </is>
      </c>
      <c r="F173" s="50" t="n"/>
      <c r="G173" s="50" t="n"/>
      <c r="H173" s="50" t="n"/>
    </row>
    <row r="174" ht="22" customHeight="1">
      <c r="A174" s="66" t="inlineStr">
        <is>
          <t>Ⅱ-80</t>
        </is>
      </c>
      <c r="B174" s="67" t="inlineStr">
        <is>
          <t>委員の改選・委嘱</t>
        </is>
      </c>
      <c r="C174" s="66" t="inlineStr">
        <is>
          <t>未着手</t>
        </is>
      </c>
      <c r="D174" s="66" t="inlineStr">
        <is>
          <t>0.00</t>
        </is>
      </c>
      <c r="E174" s="67" t="inlineStr">
        <is>
          <t>村の内部手続（委員の改選・委嘱）を待つ（束6）。</t>
        </is>
      </c>
      <c r="F174" s="50" t="n"/>
      <c r="G174" s="50" t="n"/>
      <c r="H174" s="50" t="n"/>
    </row>
    <row r="175" ht="22" customHeight="1">
      <c r="A175" s="66" t="inlineStr">
        <is>
          <t>Ⅱ-83</t>
        </is>
      </c>
      <c r="B175" s="67" t="inlineStr">
        <is>
          <t>第2回 会議資料の作成</t>
        </is>
      </c>
      <c r="C175" s="66" t="inlineStr">
        <is>
          <t>着手</t>
        </is>
      </c>
      <c r="D175" s="66" t="inlineStr">
        <is>
          <t>0.92</t>
        </is>
      </c>
      <c r="E175" s="67" t="inlineStr">
        <is>
          <t>10/9 に資料6の6-3bを3案に組み直し、【要算定】を解消した（doc73）。残るのは資料1の委員名簿（委嘱後に記入）と資料3の数値（調査の集計後）で、いずれも村の対応と調査の回収を待つ。★10/22 村のご指示により、交付金の取りまとめを別冊の参考資料として整えた（19_策定委員会参考資料_交付金の評価と第10期の目標.docx）。資料2-4が第9期の振り返りとして獲得状況を示すのに対し、参考資料は未取得の点の内訳・取得の優先順位・第10期の目標までを扱う。数は固定値を置かず算定から組み、取得をめざす一覧は素案6-3の表を引いている。</t>
        </is>
      </c>
      <c r="F175" s="50" t="n"/>
      <c r="G175" s="50" t="n"/>
      <c r="H175" s="50" t="n"/>
    </row>
    <row r="176" ht="22" customHeight="1">
      <c r="A176" s="66" t="inlineStr">
        <is>
          <t>Ⅱ-84</t>
        </is>
      </c>
      <c r="B176" s="67" t="inlineStr">
        <is>
          <t>第2回 会議出席・会議記録（要旨）の作成</t>
        </is>
      </c>
      <c r="C176" s="66" t="inlineStr">
        <is>
          <t>未着手</t>
        </is>
      </c>
      <c r="D176" s="66" t="inlineStr">
        <is>
          <t>0.00</t>
        </is>
      </c>
      <c r="E176" s="67" t="inlineStr">
        <is>
          <t>第2回策定委員会の開催を待つ。</t>
        </is>
      </c>
      <c r="F176" s="50" t="n"/>
      <c r="G176" s="50" t="n"/>
      <c r="H176" s="50" t="n"/>
    </row>
    <row r="177" ht="22" customHeight="1">
      <c r="A177" s="66" t="inlineStr">
        <is>
          <t>Ⅱ-85</t>
        </is>
      </c>
      <c r="B177" s="67" t="inlineStr">
        <is>
          <t>第3回 会議資料の作成</t>
        </is>
      </c>
      <c r="C177" s="66" t="inlineStr">
        <is>
          <t>着手</t>
        </is>
      </c>
      <c r="D177" s="66" t="inlineStr">
        <is>
          <t>0.45</t>
        </is>
      </c>
      <c r="E177" s="67" t="inlineStr">
        <is>
          <t>確定した11件は資料に書き加えた（10/10）。残るのは第2回の審議結果と、確定していない20件である。第2回の開催を待つ。</t>
        </is>
      </c>
      <c r="F177" s="50" t="n"/>
      <c r="G177" s="50" t="n"/>
      <c r="H177" s="50" t="n"/>
    </row>
    <row r="178" ht="22" customHeight="1">
      <c r="A178" s="66" t="inlineStr">
        <is>
          <t>Ⅱ-86</t>
        </is>
      </c>
      <c r="B178" s="67" t="inlineStr">
        <is>
          <t>第3回 会議出席・会議記録（要旨）の作成</t>
        </is>
      </c>
      <c r="C178" s="66" t="inlineStr">
        <is>
          <t>未着手</t>
        </is>
      </c>
      <c r="D178" s="66" t="inlineStr">
        <is>
          <t>0.00</t>
        </is>
      </c>
      <c r="E178" s="67" t="inlineStr">
        <is>
          <t>第3回策定委員会の開催を待つ。</t>
        </is>
      </c>
      <c r="F178" s="50" t="n"/>
      <c r="G178" s="50" t="n"/>
      <c r="H178" s="50" t="n"/>
    </row>
    <row r="179" ht="22" customHeight="1">
      <c r="A179" s="66" t="inlineStr">
        <is>
          <t>Ⅱ-93</t>
        </is>
      </c>
      <c r="B179" s="67" t="inlineStr">
        <is>
          <t>議会全員協議会 説明資料の作成</t>
        </is>
      </c>
      <c r="C179" s="66" t="inlineStr">
        <is>
          <t>未着手</t>
        </is>
      </c>
      <c r="D179" s="66" t="inlineStr">
        <is>
          <t>0.00</t>
        </is>
      </c>
      <c r="E179" s="67" t="inlineStr">
        <is>
          <t>議会の日程を待つ。</t>
        </is>
      </c>
      <c r="F179" s="50" t="n"/>
      <c r="G179" s="50" t="n"/>
      <c r="H179" s="50" t="n"/>
    </row>
    <row r="180" ht="22" customHeight="1">
      <c r="A180" s="66" t="inlineStr">
        <is>
          <t>Ⅲ-87</t>
        </is>
      </c>
      <c r="B180" s="67" t="inlineStr">
        <is>
          <t>定例打合せの実施（電話・オンライン・対面）</t>
        </is>
      </c>
      <c r="C180" s="66" t="inlineStr">
        <is>
          <t>着手</t>
        </is>
      </c>
      <c r="D180" s="66" t="inlineStr">
        <is>
          <t>0.10</t>
        </is>
      </c>
      <c r="E180" s="67" t="inlineStr">
        <is>
          <t>村との日程調整による。</t>
        </is>
      </c>
      <c r="F180" s="50" t="n"/>
      <c r="G180" s="50" t="n"/>
      <c r="H180" s="50" t="n"/>
    </row>
    <row r="181" ht="22" customHeight="1">
      <c r="A181" s="66" t="inlineStr">
        <is>
          <t>Ⅲ-88</t>
        </is>
      </c>
      <c r="B181" s="67" t="inlineStr">
        <is>
          <t>資料授受の管理</t>
        </is>
      </c>
      <c r="C181" s="66" t="inlineStr">
        <is>
          <t>着手</t>
        </is>
      </c>
      <c r="D181" s="66" t="inlineStr">
        <is>
          <t>0.35</t>
        </is>
      </c>
      <c r="E181" s="67" t="inlineStr">
        <is>
          <t>受領のたびに随時更新している。</t>
        </is>
      </c>
      <c r="F181" s="50" t="n"/>
      <c r="G181" s="50" t="n"/>
      <c r="H181" s="50" t="n"/>
    </row>
    <row r="182" ht="22" customHeight="1">
      <c r="A182" s="66" t="inlineStr">
        <is>
          <t>Ⅳ-89</t>
        </is>
      </c>
      <c r="B182" s="67" t="inlineStr">
        <is>
          <t>計画書の印刷・製本（A4両面約100頁・くるみ製本）</t>
        </is>
      </c>
      <c r="C182" s="66" t="inlineStr">
        <is>
          <t>未着手</t>
        </is>
      </c>
      <c r="D182" s="66" t="inlineStr">
        <is>
          <t>0.00</t>
        </is>
      </c>
      <c r="E182" s="67" t="inlineStr">
        <is>
          <t>計画書の確定を待つ。</t>
        </is>
      </c>
      <c r="F182" s="50" t="n"/>
      <c r="G182" s="50" t="n"/>
      <c r="H182" s="50" t="n"/>
    </row>
    <row r="183" ht="22" customHeight="1">
      <c r="A183" s="66" t="inlineStr">
        <is>
          <t>Ⅳ-90</t>
        </is>
      </c>
      <c r="B183" s="67" t="inlineStr">
        <is>
          <t>アンケート調査報告書の印刷・製本（ホチキス製本）</t>
        </is>
      </c>
      <c r="C183" s="66" t="inlineStr">
        <is>
          <t>未着手</t>
        </is>
      </c>
      <c r="D183" s="66" t="inlineStr">
        <is>
          <t>0.00</t>
        </is>
      </c>
      <c r="E183" s="67" t="inlineStr">
        <is>
          <t>調査結果報告書の確定を待つ。</t>
        </is>
      </c>
      <c r="F183" s="50" t="n"/>
      <c r="G183" s="50" t="n"/>
      <c r="H183" s="50" t="n"/>
    </row>
    <row r="184" ht="22" customHeight="1">
      <c r="A184" s="66" t="inlineStr">
        <is>
          <t>Ⅳ-91</t>
        </is>
      </c>
      <c r="B184" s="67" t="inlineStr">
        <is>
          <t>電子媒体の作成（Word/Excel/PowerPoint/PDF）</t>
        </is>
      </c>
      <c r="C184" s="66" t="inlineStr">
        <is>
          <t>着手</t>
        </is>
      </c>
      <c r="D184" s="66" t="inlineStr">
        <is>
          <t>0.55</t>
        </is>
      </c>
      <c r="E184" s="67" t="inlineStr">
        <is>
          <t>電子媒体にPDFを収める手順を build_nohin.py に加えた（--pdf）。計画素案・第2回委員会資料・第3回委員会資料の3点をPDFに変換して並べ、埋め込まれたフォントを見て置換の有無を確かめる。当方の環境に游ゴシックがないため3点とも IPAゴシックに置き換わっており、00_媒体の構成.txt の「納品の前に行うこと」に作り直しを申し送っている。納品の時点で、游ゴシックの入った環境でWordから書き出し直す。</t>
        </is>
      </c>
      <c r="F184" s="50" t="n"/>
      <c r="G184" s="50" t="n"/>
      <c r="H184" s="50" t="n"/>
    </row>
    <row r="185" ht="22" customHeight="1">
      <c r="A185" s="66" t="inlineStr">
        <is>
          <t>Ⅳ-114</t>
        </is>
      </c>
      <c r="B185" s="67" t="inlineStr">
        <is>
          <t>納品物に収録する範囲の確定（個人情報の非収録）</t>
        </is>
      </c>
      <c r="C185" s="66" t="inlineStr">
        <is>
          <t>着手</t>
        </is>
      </c>
      <c r="D185" s="66" t="inlineStr">
        <is>
          <t>0.80</t>
        </is>
      </c>
      <c r="E185" s="67" t="inlineStr">
        <is>
          <t>収録する範囲は10月2日に定めた（nohin_data.py）。村の確認を待つ（束6）。</t>
        </is>
      </c>
      <c r="F185" s="50" t="n"/>
      <c r="G185" s="50" t="n"/>
      <c r="H185" s="50" t="n"/>
    </row>
    <row r="186" ht="22" customHeight="1">
      <c r="A186" s="66" t="inlineStr">
        <is>
          <t>Ⅳ-92</t>
        </is>
      </c>
      <c r="B186" s="67" t="inlineStr">
        <is>
          <t>概要版の作成</t>
        </is>
      </c>
      <c r="C186" s="66" t="inlineStr">
        <is>
          <t>着手</t>
        </is>
      </c>
      <c r="D186" s="66" t="inlineStr">
        <is>
          <t>0.35</t>
        </is>
      </c>
      <c r="E186" s="67" t="inlineStr">
        <is>
          <t>骨子を固めた（10/10）。保険料の基準額を載せるため、基金の取崩しの3案のご決定（第3回策定委員会）を受けてからでないと中身を作れない。仕様の範囲内か追加対応かの村のご確認も待つ。</t>
        </is>
      </c>
      <c r="F186" s="50" t="n"/>
      <c r="G186" s="50" t="n"/>
      <c r="H186" s="50" t="n"/>
    </row>
    <row r="187" ht="22" customHeight="1">
      <c r="A187" s="66" t="inlineStr">
        <is>
          <t>Ⅳ-96</t>
        </is>
      </c>
      <c r="B187" s="67" t="inlineStr">
        <is>
          <t>納品・検収</t>
        </is>
      </c>
      <c r="C187" s="66" t="inlineStr">
        <is>
          <t>未着手</t>
        </is>
      </c>
      <c r="D187" s="66" t="inlineStr">
        <is>
          <t>0.00</t>
        </is>
      </c>
      <c r="E187" s="67" t="inlineStr">
        <is>
          <t>納品物の確定を待つ。</t>
        </is>
      </c>
      <c r="F187" s="50" t="n"/>
      <c r="G187" s="50" t="n"/>
      <c r="H187" s="50" t="n"/>
    </row>
    <row r="188" ht="22" customHeight="1">
      <c r="A188" s="66" t="inlineStr">
        <is>
          <t>Ⅴ-97</t>
        </is>
      </c>
      <c r="B188" s="67" t="inlineStr">
        <is>
          <t>個人情報の適正管理（アクセス制限・保管ルール）</t>
        </is>
      </c>
      <c r="C188" s="66" t="inlineStr">
        <is>
          <t>着手</t>
        </is>
      </c>
      <c r="D188" s="66" t="inlineStr">
        <is>
          <t>0.75</t>
        </is>
      </c>
      <c r="E188" s="67"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88" s="50" t="n"/>
      <c r="G188" s="50" t="n"/>
      <c r="H188" s="50" t="n"/>
    </row>
    <row r="189" ht="22" customHeight="1">
      <c r="A189" s="66" t="inlineStr">
        <is>
          <t>Ⅴ-98</t>
        </is>
      </c>
      <c r="B189" s="67" t="inlineStr">
        <is>
          <t>業務完了後の情報の返還・消去</t>
        </is>
      </c>
      <c r="C189" s="66" t="inlineStr">
        <is>
          <t>着手</t>
        </is>
      </c>
      <c r="D189" s="66" t="inlineStr">
        <is>
          <t>0.40</t>
        </is>
      </c>
      <c r="E189" s="67" t="inlineStr">
        <is>
          <t>手順を文書にした（doc64）。対象10件の返還・消去の別について村のご確認を待つ（束6）。</t>
        </is>
      </c>
      <c r="F189" s="50" t="n"/>
      <c r="G189" s="50" t="n"/>
      <c r="H189" s="50" t="n"/>
    </row>
    <row r="190" ht="22" customHeight="1">
      <c r="A190" s="66" t="inlineStr">
        <is>
          <t>Ⅴ-99</t>
        </is>
      </c>
      <c r="B190" s="67" t="inlineStr">
        <is>
          <t>再委託の書面承諾の取得</t>
        </is>
      </c>
      <c r="C190" s="66" t="inlineStr">
        <is>
          <t>未着手</t>
        </is>
      </c>
      <c r="D190" s="66" t="inlineStr">
        <is>
          <t>0.00</t>
        </is>
      </c>
      <c r="E190" s="67" t="inlineStr">
        <is>
          <t>再委託の予定がない。</t>
        </is>
      </c>
      <c r="F190" s="50" t="n"/>
      <c r="G190" s="50" t="n"/>
      <c r="H190" s="50" t="n"/>
    </row>
    <row r="191" ht="22" customHeight="1">
      <c r="A191" s="66" t="inlineStr">
        <is>
          <t>Ⅴ-100</t>
        </is>
      </c>
      <c r="B191" s="67" t="inlineStr">
        <is>
          <t>進捗管理・課題管理</t>
        </is>
      </c>
      <c r="C191" s="66" t="inlineStr">
        <is>
          <t>着手</t>
        </is>
      </c>
      <c r="D191" s="66" t="inlineStr">
        <is>
          <t>0.75</t>
        </is>
      </c>
      <c r="E191" s="67" t="inlineStr">
        <is>
          <t>照会票に出る文を chk_irai_bun.py で組み立てて見直した。お願いが170字の外に出ていた12件と、本文が丸ごと空になっていた20件を直し、未解決188件すべてがお願いの伝わる形になった。以後は同スクリプトで通期に見る。</t>
        </is>
      </c>
      <c r="F191" s="50" t="n"/>
      <c r="G191" s="50" t="n"/>
      <c r="H191" s="50" t="n"/>
    </row>
  </sheetData>
  <mergeCells count="138">
    <mergeCell ref="G81:H81"/>
    <mergeCell ref="E179:H179"/>
    <mergeCell ref="C9:H9"/>
    <mergeCell ref="G71:H71"/>
    <mergeCell ref="G97:H97"/>
    <mergeCell ref="E125:H125"/>
    <mergeCell ref="E159:H159"/>
    <mergeCell ref="C11:H11"/>
    <mergeCell ref="A69:H69"/>
    <mergeCell ref="E145:H145"/>
    <mergeCell ref="E139:H139"/>
    <mergeCell ref="G66:H66"/>
    <mergeCell ref="E129:H129"/>
    <mergeCell ref="E142:H142"/>
    <mergeCell ref="E181:H181"/>
    <mergeCell ref="E131:H131"/>
    <mergeCell ref="E171:H171"/>
    <mergeCell ref="E153:H153"/>
    <mergeCell ref="E180:H180"/>
    <mergeCell ref="E128:H128"/>
    <mergeCell ref="G110:H110"/>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A58:H58"/>
    <mergeCell ref="E119:H119"/>
    <mergeCell ref="C10:H10"/>
    <mergeCell ref="E163:H163"/>
    <mergeCell ref="G77:H77"/>
    <mergeCell ref="E116:H116"/>
    <mergeCell ref="E168:H168"/>
    <mergeCell ref="G86:H86"/>
    <mergeCell ref="A24:H24"/>
    <mergeCell ref="A107:H107"/>
    <mergeCell ref="G67:H67"/>
    <mergeCell ref="E183:H183"/>
    <mergeCell ref="G61:H61"/>
    <mergeCell ref="E136:H136"/>
    <mergeCell ref="E115:H115"/>
    <mergeCell ref="E175:H175"/>
    <mergeCell ref="G62:H62"/>
    <mergeCell ref="E122:H122"/>
    <mergeCell ref="E169:H169"/>
    <mergeCell ref="E127:H127"/>
    <mergeCell ref="E185:H185"/>
    <mergeCell ref="A2:H2"/>
    <mergeCell ref="G104:H104"/>
    <mergeCell ref="E147:H147"/>
    <mergeCell ref="G65:H65"/>
    <mergeCell ref="E156:H156"/>
    <mergeCell ref="E170:H170"/>
    <mergeCell ref="G88:H88"/>
    <mergeCell ref="C6:H6"/>
    <mergeCell ref="G76:H76"/>
    <mergeCell ref="G90:H90"/>
    <mergeCell ref="A112:H112"/>
    <mergeCell ref="G99:H99"/>
    <mergeCell ref="E148:H148"/>
    <mergeCell ref="G60:H60"/>
    <mergeCell ref="E154:H154"/>
    <mergeCell ref="E124:H124"/>
    <mergeCell ref="E187:H187"/>
    <mergeCell ref="E174:H174"/>
    <mergeCell ref="E189:H189"/>
    <mergeCell ref="E146:H146"/>
    <mergeCell ref="G101:H101"/>
    <mergeCell ref="E121:H121"/>
    <mergeCell ref="G103:H103"/>
    <mergeCell ref="E130:H130"/>
    <mergeCell ref="C8:H8"/>
    <mergeCell ref="E151:H151"/>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152:H152"/>
    <mergeCell ref="G64:H64"/>
    <mergeCell ref="G79:H79"/>
    <mergeCell ref="E161:H161"/>
    <mergeCell ref="G73:H73"/>
    <mergeCell ref="E118:H118"/>
    <mergeCell ref="E149:H149"/>
    <mergeCell ref="E176:H176"/>
    <mergeCell ref="E114:H114"/>
    <mergeCell ref="C5:H5"/>
    <mergeCell ref="E158:H158"/>
    <mergeCell ref="G63:H63"/>
    <mergeCell ref="E186:H186"/>
    <mergeCell ref="E191:H191"/>
    <mergeCell ref="E178:H178"/>
    <mergeCell ref="G96:H96"/>
    <mergeCell ref="G105:H105"/>
    <mergeCell ref="E162:H162"/>
    <mergeCell ref="E144:H144"/>
    <mergeCell ref="G98:H98"/>
    <mergeCell ref="E120:H120"/>
    <mergeCell ref="E134:H134"/>
    <mergeCell ref="E172:H172"/>
    <mergeCell ref="E164:H164"/>
    <mergeCell ref="G82:H82"/>
    <mergeCell ref="E184:H184"/>
    <mergeCell ref="G93:H93"/>
    <mergeCell ref="C7:H7"/>
    <mergeCell ref="G74:H74"/>
    <mergeCell ref="E165:H165"/>
    <mergeCell ref="G83:H83"/>
    <mergeCell ref="E188:H188"/>
    <mergeCell ref="G92:H92"/>
    <mergeCell ref="E126:H126"/>
    <mergeCell ref="E140:H140"/>
    <mergeCell ref="E138:H138"/>
    <mergeCell ref="E190:H190"/>
    <mergeCell ref="A4:H4"/>
    <mergeCell ref="E177:H177"/>
    <mergeCell ref="G109:H109"/>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123"/>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7"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7"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0" t="n"/>
      <c r="C7" s="50" t="n"/>
      <c r="D7" s="50" t="n"/>
      <c r="E7" s="50" t="n"/>
      <c r="F7" s="50" t="n"/>
    </row>
    <row r="8" ht="30" customHeight="1">
      <c r="A8" s="67" t="inlineStr">
        <is>
          <t>・管理番号と被保険者番号の対応表は収録しません（doc16§5-1）。業務完了後に消去し、消去の記録を村へ提出します（WBS Ⅴ-98）。</t>
        </is>
      </c>
      <c r="B8" s="50" t="n"/>
      <c r="C8" s="50" t="n"/>
      <c r="D8" s="50" t="n"/>
      <c r="E8" s="50" t="n"/>
      <c r="F8" s="50" t="n"/>
    </row>
    <row r="9" ht="30" customHeight="1">
      <c r="A9" s="67"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0" t="n"/>
      <c r="C9" s="50" t="n"/>
      <c r="D9" s="50" t="n"/>
      <c r="E9" s="50" t="n"/>
      <c r="F9" s="50" t="n"/>
    </row>
    <row r="10" ht="30" customHeight="1">
      <c r="A10" s="67" t="inlineStr">
        <is>
          <t>・自由記述は、氏名・地区名・事業所名など個人が特定され得る記述を伏字または要約としたうえで収録します（doc16§6）。原文は収録しません。</t>
        </is>
      </c>
      <c r="B10" s="50" t="n"/>
      <c r="C10" s="50" t="n"/>
      <c r="D10" s="50" t="n"/>
      <c r="E10" s="50" t="n"/>
      <c r="F10" s="50" t="n"/>
    </row>
    <row r="11" ht="30" customHeight="1">
      <c r="A11" s="67" t="inlineStr">
        <is>
          <t>・他の県内自治体の数値を含むファイルは収録しません。比較のために参照したものであり、成果品には団体名も数値も掲げていません。</t>
        </is>
      </c>
      <c r="B11" s="50" t="n"/>
      <c r="C11" s="50" t="n"/>
      <c r="D11" s="50" t="n"/>
      <c r="E11" s="50" t="n"/>
      <c r="F11" s="50" t="n"/>
    </row>
    <row r="12" ht="30" customHeight="1">
      <c r="A12" s="67"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0" t="n"/>
      <c r="C12" s="50" t="n"/>
      <c r="D12" s="50" t="n"/>
      <c r="E12" s="50" t="n"/>
      <c r="F12" s="50" t="n"/>
    </row>
    <row r="13" ht="30" customHeight="1">
      <c r="A13" s="67" t="inlineStr">
        <is>
          <t>・地域包括ケア「見える化」システムの出力そのものは収録しません。村が同じシステムから出力できるためです。計画書に用いた値は図表データ管理台帳に収めており、そこから検算できます。</t>
        </is>
      </c>
      <c r="B13" s="50" t="n"/>
      <c r="C13" s="50" t="n"/>
      <c r="D13" s="50" t="n"/>
      <c r="E13" s="50" t="n"/>
      <c r="F13" s="50" t="n"/>
    </row>
    <row r="15" ht="20" customHeight="1">
      <c r="A15" s="38" t="inlineStr">
        <is>
          <t>■ 成果品　13件</t>
        </is>
      </c>
    </row>
    <row r="16" ht="20" customHeight="1">
      <c r="A16" s="3" t="inlineStr">
        <is>
          <t>区分</t>
        </is>
      </c>
      <c r="B16" s="3" t="inlineStr">
        <is>
          <t>ファイル</t>
        </is>
      </c>
      <c r="C16" s="3" t="inlineStr">
        <is>
          <t>媒体での置き場所</t>
        </is>
      </c>
      <c r="D16" s="3" t="inlineStr">
        <is>
          <t>理由</t>
        </is>
      </c>
      <c r="E16" s="64" t="n"/>
      <c r="F16" s="65" t="n"/>
    </row>
    <row r="17" ht="26" customHeight="1">
      <c r="A17" s="90" t="inlineStr">
        <is>
          <t>成果品</t>
        </is>
      </c>
      <c r="B17" s="67" t="inlineStr">
        <is>
          <t>output/06_北塩原村第10期_計画素案.docx</t>
        </is>
      </c>
      <c r="C17" s="66" t="inlineStr">
        <is>
          <t>01_計画書</t>
        </is>
      </c>
      <c r="D17" s="67" t="inlineStr">
        <is>
          <t>仕様書5①。確定後に『計画書』として差し替える</t>
        </is>
      </c>
      <c r="E17" s="50" t="n"/>
      <c r="F17" s="50" t="n"/>
    </row>
    <row r="18" ht="26" customHeight="1">
      <c r="A18" s="90" t="inlineStr">
        <is>
          <t>成果品</t>
        </is>
      </c>
      <c r="B18" s="67" t="inlineStr">
        <is>
          <t>output/06_北塩原村第10期_計画素案_単色.docx</t>
        </is>
      </c>
      <c r="C18" s="66" t="inlineStr">
        <is>
          <t>01_計画書</t>
        </is>
      </c>
      <c r="D18" s="67" t="inlineStr">
        <is>
          <t>06の単色版。仕様書5①は計画書をモノクロ（コピー）で作成するとしており、障がい福祉計画と同じくカラー版（画面での閲覧・電子媒体）と単色版（印刷・製本）の2つで管理する。同じ素案から build_soan_docx.js --tanshoku で組み、本文はカラー版と同じ（点検84）</t>
        </is>
      </c>
      <c r="E18" s="50" t="n"/>
      <c r="F18" s="50" t="n"/>
    </row>
    <row r="19" ht="26" customHeight="1">
      <c r="A19" s="90" t="inlineStr">
        <is>
          <t>成果品</t>
        </is>
      </c>
      <c r="B19" s="67" t="inlineStr">
        <is>
          <t>output/17_北塩原村第10期_計画素案_公表用.docx</t>
        </is>
      </c>
      <c r="C19" s="66" t="inlineStr">
        <is>
          <t>01_計画書</t>
        </is>
      </c>
      <c r="D19" s="67" t="inlineStr">
        <is>
          <t>公表用素案。第9期計画の目次体系に移し替え、指針・通達・法令による追加のみを加えたもの。kouhyou_build.py が kouhyou_map.py の振り分け（村のご承認 令和8年10月20日）により組む。相互参照は新しい番号に付け替え済みで、解決しない参照は0件である。編集注記を落とした計画書の形は、削減案A〜E・G・H・J・K・Lを行って本文104頁＋前付4頁＝108頁</t>
        </is>
      </c>
      <c r="E19" s="50" t="n"/>
      <c r="F19" s="50" t="n"/>
    </row>
    <row r="20" ht="26" customHeight="1">
      <c r="A20" s="90" t="inlineStr">
        <is>
          <t>成果品</t>
        </is>
      </c>
      <c r="B20" s="67" t="inlineStr">
        <is>
          <t>output/17_北塩原村第10期_計画素案_公表用_単色.docx</t>
        </is>
      </c>
      <c r="C20" s="66" t="inlineStr">
        <is>
          <t>01_計画書</t>
        </is>
      </c>
      <c r="D20" s="67" t="inlineStr">
        <is>
          <t>17の単色版。印刷・製本に用いる。本文は17と同じ（点検84）</t>
        </is>
      </c>
      <c r="E20" s="50" t="n"/>
      <c r="F20" s="50" t="n"/>
    </row>
    <row r="21" ht="26" customHeight="1">
      <c r="A21" s="90" t="inlineStr">
        <is>
          <t>成果品</t>
        </is>
      </c>
      <c r="B21" s="67" t="inlineStr">
        <is>
          <t>output/18_北塩原村第10期_計画書_公表用.docx</t>
        </is>
      </c>
      <c r="C21" s="66" t="inlineStr">
        <is>
          <t>01_計画書</t>
        </is>
      </c>
      <c r="D21" s="67" t="inlineStr">
        <is>
          <t>公表用の計画書。公表用素案（成果品17）から編集注記（⚙）を落とした形である。令和8年10月22日の村のご指示により、分量の削減案を1つも行わない形で組んだ。本文117頁＋前付4頁＝121頁で、村が許容する115頁を6頁上回る（書体は BIZ UDPゴシック）。削減案を行う場合はA〜Eで114頁・＋H・Jで110頁・＋G・K・Lで108頁になる（いずれも実測）。行う案が決まったら kouhyou_build.py --an で組み直す</t>
        </is>
      </c>
      <c r="E21" s="50" t="n"/>
      <c r="F21" s="50" t="n"/>
    </row>
    <row r="22" ht="26" customHeight="1">
      <c r="A22" s="90" t="inlineStr">
        <is>
          <t>成果品</t>
        </is>
      </c>
      <c r="B22" s="67" t="inlineStr">
        <is>
          <t>output/18_北塩原村第10期_計画書_公表用_単色.docx</t>
        </is>
      </c>
      <c r="C22" s="66" t="inlineStr">
        <is>
          <t>01_計画書</t>
        </is>
      </c>
      <c r="D22" s="67" t="inlineStr">
        <is>
          <t>18の単色版。仕様書5①（A4判・両面・モノクロ）の印刷・製本はこれを用いる。本文は18と同じ（点検84）</t>
        </is>
      </c>
      <c r="E22" s="50" t="n"/>
      <c r="F22" s="50" t="n"/>
    </row>
    <row r="23" ht="26" customHeight="1">
      <c r="A23" s="90" t="inlineStr">
        <is>
          <t>成果品</t>
        </is>
      </c>
      <c r="B23" s="67" t="inlineStr">
        <is>
          <t>output/07_北塩原村第10期_集計仕様書.xlsx</t>
        </is>
      </c>
      <c r="C23" s="66" t="inlineStr">
        <is>
          <t>02_調査報告書</t>
        </is>
      </c>
      <c r="D23" s="67" t="inlineStr">
        <is>
          <t>仕様書4Ⅰ(5)。集計の定義。報告書の付属</t>
        </is>
      </c>
      <c r="E23" s="50" t="n"/>
      <c r="F23" s="50" t="n"/>
    </row>
    <row r="24" ht="26" customHeight="1">
      <c r="A24" s="90" t="inlineStr">
        <is>
          <t>成果品</t>
        </is>
      </c>
      <c r="B24" s="67" t="inlineStr">
        <is>
          <t>output/08_北塩原村第10期_第2回策定委員会資料.docx</t>
        </is>
      </c>
      <c r="C24" s="66" t="inlineStr">
        <is>
          <t>03_委員会資料</t>
        </is>
      </c>
      <c r="D24" s="67" t="inlineStr">
        <is>
          <t>策定の経過。仕様書4Ⅱ(8)の会議資料</t>
        </is>
      </c>
      <c r="E24" s="50" t="n"/>
      <c r="F24" s="50" t="n"/>
    </row>
    <row r="25" ht="26" customHeight="1">
      <c r="A25" s="90" t="inlineStr">
        <is>
          <t>成果品</t>
        </is>
      </c>
      <c r="B25" s="67" t="inlineStr">
        <is>
          <t>output/08_北塩原村第10期_第2回策定委員会資料_単色.docx</t>
        </is>
      </c>
      <c r="C25" s="66" t="inlineStr">
        <is>
          <t>03_委員会資料</t>
        </is>
      </c>
      <c r="D25" s="67" t="inlineStr">
        <is>
          <t>08の単色版。計画書と同じく委員会資料もカラー版と単色版の2つで管理する（令和8年10月23日の村のご指示）。印刷して配る資料はこれを用いる。build_shiryo_docx.js --tanshoku で組み、本文は08と同じ（verify_shiryo 点検26）</t>
        </is>
      </c>
      <c r="E25" s="50" t="n"/>
      <c r="F25" s="50" t="n"/>
    </row>
    <row r="26" ht="26" customHeight="1">
      <c r="A26" s="90" t="inlineStr">
        <is>
          <t>成果品</t>
        </is>
      </c>
      <c r="B26" s="67" t="inlineStr">
        <is>
          <t>output/12_北塩原村第10期_第3回策定委員会資料.docx</t>
        </is>
      </c>
      <c r="C26" s="66" t="inlineStr">
        <is>
          <t>03_委員会資料</t>
        </is>
      </c>
      <c r="D26" s="67" t="inlineStr">
        <is>
          <t>策定の経過。仕様書4Ⅱ(8)の会議資料。現在は骨子であり、第3回の開催前に中身を入れる</t>
        </is>
      </c>
      <c r="E26" s="50" t="n"/>
      <c r="F26" s="50" t="n"/>
    </row>
    <row r="27" ht="26" customHeight="1">
      <c r="A27" s="90" t="inlineStr">
        <is>
          <t>成果品</t>
        </is>
      </c>
      <c r="B27" s="67" t="inlineStr">
        <is>
          <t>output/12_北塩原村第10期_第3回策定委員会資料_単色.docx</t>
        </is>
      </c>
      <c r="C27" s="66" t="inlineStr">
        <is>
          <t>03_委員会資料</t>
        </is>
      </c>
      <c r="D27" s="67" t="inlineStr">
        <is>
          <t>12の単色版。本文は12と同じ（verify_shiryo 点検26）</t>
        </is>
      </c>
      <c r="E27" s="50" t="n"/>
      <c r="F27" s="50" t="n"/>
    </row>
    <row r="28" ht="26" customHeight="1">
      <c r="A28" s="90" t="inlineStr">
        <is>
          <t>成果品</t>
        </is>
      </c>
      <c r="B28" s="67" t="inlineStr">
        <is>
          <t>output/19_北塩原村第10期_策定委員会参考資料_交付金の評価と第10期の目標.docx</t>
        </is>
      </c>
      <c r="C28" s="66" t="inlineStr">
        <is>
          <t>03_委員会資料</t>
        </is>
      </c>
      <c r="D28" s="67" t="inlineStr">
        <is>
          <t>交付金の取りまとめを策定委員会にお示しする参考資料（村のご指示 令和8年10月22日）。第2回資料の2-4（保険者機能の評価）が第9期の振り返りとして獲得状況を示すのに対し、本冊は未取得の点の内訳・取得の優先順位・第10期の目標までを扱う。数はすべて kofukin_yusen・analyze_kofukin の算定から組み、取得をめざす一覧は素案6-3の表をそのまま引く（固定値を置かない）。成果品15（交付金の獲得状況と優先順位）と同じ出どころである</t>
        </is>
      </c>
      <c r="E28" s="50" t="n"/>
      <c r="F28" s="50" t="n"/>
    </row>
    <row r="29" ht="26" customHeight="1">
      <c r="A29" s="90" t="inlineStr">
        <is>
          <t>成果品</t>
        </is>
      </c>
      <c r="B29" s="67" t="inlineStr">
        <is>
          <t>output/19_北塩原村第10期_策定委員会参考資料_交付金の評価と第10期の目標_単色.docx</t>
        </is>
      </c>
      <c r="C29" s="66" t="inlineStr">
        <is>
          <t>03_委員会資料</t>
        </is>
      </c>
      <c r="D29" s="67" t="inlineStr">
        <is>
          <t>19の単色版。本文は19と同じ（verify_shiryo 点検26）</t>
        </is>
      </c>
      <c r="E29" s="50" t="n"/>
      <c r="F29" s="50" t="n"/>
    </row>
    <row r="31" ht="20" customHeight="1">
      <c r="A31" s="38" t="inlineStr">
        <is>
          <t>■ 関連　40件</t>
        </is>
      </c>
    </row>
    <row r="32" ht="20" customHeight="1">
      <c r="A32" s="3" t="inlineStr">
        <is>
          <t>区分</t>
        </is>
      </c>
      <c r="B32" s="3" t="inlineStr">
        <is>
          <t>ファイル</t>
        </is>
      </c>
      <c r="C32" s="3" t="inlineStr">
        <is>
          <t>媒体での置き場所</t>
        </is>
      </c>
      <c r="D32" s="3" t="inlineStr">
        <is>
          <t>理由</t>
        </is>
      </c>
      <c r="E32" s="64" t="n"/>
      <c r="F32" s="65" t="n"/>
    </row>
    <row r="33" ht="26" customHeight="1">
      <c r="A33" s="91" t="inlineStr">
        <is>
          <t>関連</t>
        </is>
      </c>
      <c r="B33" s="67" t="inlineStr">
        <is>
          <t>data/集計_コードブック.json</t>
        </is>
      </c>
      <c r="C33" s="66" t="inlineStr">
        <is>
          <t>02_調査報告書</t>
        </is>
      </c>
      <c r="D33" s="67" t="inlineStr">
        <is>
          <t>集計の変数定義</t>
        </is>
      </c>
      <c r="E33" s="50" t="n"/>
      <c r="F33" s="50" t="n"/>
    </row>
    <row r="34" ht="26" customHeight="1">
      <c r="A34" s="91" t="inlineStr">
        <is>
          <t>関連</t>
        </is>
      </c>
      <c r="B34" s="67" t="inlineStr">
        <is>
          <t>output/11_北塩原村第10期_図表データ管理台帳.xlsx</t>
        </is>
      </c>
      <c r="C34" s="66" t="inlineStr">
        <is>
          <t>04_図表データ</t>
        </is>
      </c>
      <c r="D34" s="67" t="inlineStr">
        <is>
          <t>計画書の図の数値。村が数値を直せば図が変わる。更新の手順を00シートに記す</t>
        </is>
      </c>
      <c r="E34" s="50" t="n"/>
      <c r="F34" s="50" t="n"/>
    </row>
    <row r="35" ht="26" customHeight="1">
      <c r="A35" s="91" t="inlineStr">
        <is>
          <t>関連</t>
        </is>
      </c>
      <c r="B35" s="67" t="inlineStr">
        <is>
          <t>output/figures</t>
        </is>
      </c>
      <c r="C35" s="66" t="inlineStr">
        <is>
          <t>04_図表データ</t>
        </is>
      </c>
      <c r="D35" s="67" t="inlineStr">
        <is>
          <t>計画書に差し込んだ図のPNG。台帳から作り直せる</t>
        </is>
      </c>
      <c r="E35" s="50" t="n"/>
      <c r="F35" s="50" t="n"/>
    </row>
    <row r="36" ht="26" customHeight="1">
      <c r="A36" s="91" t="inlineStr">
        <is>
          <t>関連</t>
        </is>
      </c>
      <c r="B36" s="67" t="inlineStr">
        <is>
          <t>output/05_北塩原村第10期_WBS進捗管理表.xlsx</t>
        </is>
      </c>
      <c r="C36" s="66" t="inlineStr">
        <is>
          <t>05_策定の記録</t>
        </is>
      </c>
      <c r="D36" s="67" t="inlineStr">
        <is>
          <t>策定の工程と村への確認事項。【氏名・連絡先は記載していない】</t>
        </is>
      </c>
      <c r="E36" s="50" t="n"/>
      <c r="F36" s="50" t="n"/>
    </row>
    <row r="37" ht="26" customHeight="1">
      <c r="A37" s="91" t="inlineStr">
        <is>
          <t>関連</t>
        </is>
      </c>
      <c r="B37" s="67" t="inlineStr">
        <is>
          <t>output/09_北塩原村第10期_資料提供確認依頼書.docx</t>
        </is>
      </c>
      <c r="C37" s="66" t="inlineStr">
        <is>
          <t>05_策定の記録</t>
        </is>
      </c>
      <c r="D37" s="67" t="inlineStr">
        <is>
          <t>村への照会の記録</t>
        </is>
      </c>
      <c r="E37" s="50" t="n"/>
      <c r="F37" s="50" t="n"/>
    </row>
    <row r="38" ht="26" customHeight="1">
      <c r="A38" s="91" t="inlineStr">
        <is>
          <t>関連</t>
        </is>
      </c>
      <c r="B38" s="67" t="inlineStr">
        <is>
          <t>output/13-1_北塩原村第10期_照会票_束1_保険料と推計の確定.docx</t>
        </is>
      </c>
      <c r="C38" s="66" t="inlineStr">
        <is>
          <t>05_策定の記録</t>
        </is>
      </c>
      <c r="D38" s="67" t="inlineStr">
        <is>
          <t>村への照会（保険料と推計の確定）。村にご記入いただいて返していただく様式。24件</t>
        </is>
      </c>
      <c r="E38" s="50" t="n"/>
      <c r="F38" s="50" t="n"/>
    </row>
    <row r="39" ht="26" customHeight="1">
      <c r="A39" s="91" t="inlineStr">
        <is>
          <t>関連</t>
        </is>
      </c>
      <c r="B39" s="67" t="inlineStr">
        <is>
          <t>output/13-2_北塩原村第10期_照会票_束2_給付実績・決算と第9期の計画値.docx</t>
        </is>
      </c>
      <c r="C39" s="66" t="inlineStr">
        <is>
          <t>05_策定の記録</t>
        </is>
      </c>
      <c r="D39" s="67" t="inlineStr">
        <is>
          <t>村への照会（給付実績・決算と第9期の計画値）。村にご記入いただいて返していただく様式。57件</t>
        </is>
      </c>
      <c r="E39" s="50" t="n"/>
      <c r="F39" s="50" t="n"/>
    </row>
    <row r="40" ht="26" customHeight="1">
      <c r="A40" s="91" t="inlineStr">
        <is>
          <t>関連</t>
        </is>
      </c>
      <c r="B40" s="67" t="inlineStr">
        <is>
          <t>output/13-3_北塩原村第10期_照会票_束3_交付金の得点と給付適正化.docx</t>
        </is>
      </c>
      <c r="C40" s="66" t="inlineStr">
        <is>
          <t>05_策定の記録</t>
        </is>
      </c>
      <c r="D40" s="67" t="inlineStr">
        <is>
          <t>村への照会（交付金の得点と給付適正化）。村にご記入いただいて返していただく様式。20件</t>
        </is>
      </c>
      <c r="E40" s="50" t="n"/>
      <c r="F40" s="50" t="n"/>
    </row>
    <row r="41" ht="26" customHeight="1">
      <c r="A41" s="91" t="inlineStr">
        <is>
          <t>関連</t>
        </is>
      </c>
      <c r="B41" s="67" t="inlineStr">
        <is>
          <t>output/13-4_北塩原村第10期_照会票_束4_認知症施策と権利擁護.docx</t>
        </is>
      </c>
      <c r="C41" s="66" t="inlineStr">
        <is>
          <t>05_策定の記録</t>
        </is>
      </c>
      <c r="D41" s="67" t="inlineStr">
        <is>
          <t>村への照会（認知症施策と権利擁護）。村にご記入いただいて返していただく様式。10件</t>
        </is>
      </c>
      <c r="E41" s="50" t="n"/>
      <c r="F41" s="50" t="n"/>
    </row>
    <row r="42" ht="26" customHeight="1">
      <c r="A42" s="91" t="inlineStr">
        <is>
          <t>関連</t>
        </is>
      </c>
      <c r="B42" s="67" t="inlineStr">
        <is>
          <t>output/13-5_北塩原村第10期_照会票_束5_計画構成と施策体系.docx</t>
        </is>
      </c>
      <c r="C42" s="66" t="inlineStr">
        <is>
          <t>05_策定の記録</t>
        </is>
      </c>
      <c r="D42" s="67" t="inlineStr">
        <is>
          <t>村への照会（計画構成と施策体系）。村にご記入いただいて返していただく様式。18件</t>
        </is>
      </c>
      <c r="E42" s="50" t="n"/>
      <c r="F42" s="50" t="n"/>
    </row>
    <row r="43" ht="26" customHeight="1">
      <c r="A43" s="91" t="inlineStr">
        <is>
          <t>関連</t>
        </is>
      </c>
      <c r="B43" s="67" t="inlineStr">
        <is>
          <t>output/13-6_北塩原村第10期_照会票_束6_日程・体制・成果品.docx</t>
        </is>
      </c>
      <c r="C43" s="66" t="inlineStr">
        <is>
          <t>05_策定の記録</t>
        </is>
      </c>
      <c r="D43" s="67" t="inlineStr">
        <is>
          <t>村への照会（日程・体制・成果品）。村にご記入いただいて返していただく様式。14件</t>
        </is>
      </c>
      <c r="E43" s="50" t="n"/>
      <c r="F43" s="50" t="n"/>
    </row>
    <row r="44" ht="26" customHeight="1">
      <c r="A44" s="91" t="inlineStr">
        <is>
          <t>関連</t>
        </is>
      </c>
      <c r="B44" s="67" t="inlineStr">
        <is>
          <t>output/13-8_北塩原村第10期_照会票_束8_集計・分析と要介護認定データの突合.docx</t>
        </is>
      </c>
      <c r="C44" s="66" t="inlineStr">
        <is>
          <t>05_策定の記録</t>
        </is>
      </c>
      <c r="D44" s="67"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44" s="50" t="n"/>
      <c r="F44" s="50" t="n"/>
    </row>
    <row r="45" ht="26" customHeight="1">
      <c r="A45" s="91" t="inlineStr">
        <is>
          <t>関連</t>
        </is>
      </c>
      <c r="B45" s="67" t="inlineStr">
        <is>
          <t>output/15_北塩原村第10期_交付金の獲得状況と優先順位.docx</t>
        </is>
      </c>
      <c r="C45" s="66" t="inlineStr">
        <is>
          <t>05_策定の記録</t>
        </is>
      </c>
      <c r="D45" s="67" t="inlineStr">
        <is>
          <t>保険者機能強化推進交付金等の獲得状況の整理と、未取得の点の取得の優先順位。令和8年度の評価指標に係る該当状況調査票集計表（市町村分）から、項目ごとに本村の得点と福島県59市町村の取得団体数を取り出し、取得の見込みで5つの段に分けたもの。県内の値は59市町村の集計であり、団体名と個別の団体の数値は載せていない。素案2-8・5-9の裏付けであり、村が取得をご判断いただくための資料である</t>
        </is>
      </c>
      <c r="E45" s="50" t="n"/>
      <c r="F45" s="50" t="n"/>
    </row>
    <row r="46" ht="26" customHeight="1">
      <c r="A46" s="91" t="inlineStr">
        <is>
          <t>関連</t>
        </is>
      </c>
      <c r="B46" s="67" t="inlineStr">
        <is>
          <t>output/16_北塩原村第10期_公表用素案の構成案.docx</t>
        </is>
      </c>
      <c r="C46" s="66" t="inlineStr">
        <is>
          <t>05_策定の記録</t>
        </is>
      </c>
      <c r="D46" s="67" t="inlineStr">
        <is>
          <t>公表用素案を第9期計画の目次体系に当てる案（kouhyou_map.py の振り分け）。第9期の39項目への当て方、指針・通達・法令による追加6項目、協議用にのみ置く12節、ご確認いただきたい4点を示す。村のご確認を得て公表用の組み立て（Ⅱ-119）に入る</t>
        </is>
      </c>
      <c r="E46" s="50" t="n"/>
      <c r="F46" s="50" t="n"/>
    </row>
    <row r="47" ht="26" customHeight="1">
      <c r="A47" s="91" t="inlineStr">
        <is>
          <t>関連</t>
        </is>
      </c>
      <c r="B47" s="67" t="inlineStr">
        <is>
          <t>data/P1-P4_地域分析.csv</t>
        </is>
      </c>
      <c r="C47" s="66" t="inlineStr">
        <is>
          <t>06_算定の根拠</t>
        </is>
      </c>
      <c r="D47" s="67" t="inlineStr">
        <is>
          <t>2-1〜2-7の見える化との突合</t>
        </is>
      </c>
      <c r="E47" s="50" t="n"/>
      <c r="F47" s="50" t="n"/>
    </row>
    <row r="48" ht="26" customHeight="1">
      <c r="A48" s="91" t="inlineStr">
        <is>
          <t>関連</t>
        </is>
      </c>
      <c r="B48" s="67" t="inlineStr">
        <is>
          <t>data/P1-P4_順位.csv</t>
        </is>
      </c>
      <c r="C48" s="66" t="inlineStr">
        <is>
          <t>06_算定の根拠</t>
        </is>
      </c>
      <c r="D48" s="67" t="inlineStr">
        <is>
          <t>県内・全国の順位</t>
        </is>
      </c>
      <c r="E48" s="50" t="n"/>
      <c r="F48" s="50" t="n"/>
    </row>
    <row r="49" ht="26" customHeight="1">
      <c r="A49" s="91" t="inlineStr">
        <is>
          <t>関連</t>
        </is>
      </c>
      <c r="B49" s="67" t="inlineStr">
        <is>
          <t>data/交付金_優先順位.csv</t>
        </is>
      </c>
      <c r="C49" s="66" t="inlineStr">
        <is>
          <t>06_算定の根拠</t>
        </is>
      </c>
      <c r="D49" s="67" t="inlineStr">
        <is>
          <t>上の成果品のもとになる項目別の一覧（311項目）。配点・本村の得点・未取得の点・取得の見込みの段・県内の取得団体数を持つ。kofukin_yusen.py --csv が書き出す</t>
        </is>
      </c>
      <c r="E49" s="50" t="n"/>
      <c r="F49" s="50" t="n"/>
    </row>
    <row r="50" ht="26" customHeight="1">
      <c r="A50" s="91" t="inlineStr">
        <is>
          <t>関連</t>
        </is>
      </c>
      <c r="B50" s="67" t="inlineStr">
        <is>
          <t>data/交付金_推移分析.csv</t>
        </is>
      </c>
      <c r="C50" s="66" t="inlineStr">
        <is>
          <t>06_算定の根拠</t>
        </is>
      </c>
      <c r="D50" s="67" t="inlineStr">
        <is>
          <t>2-8</t>
        </is>
      </c>
      <c r="E50" s="50" t="n"/>
      <c r="F50" s="50" t="n"/>
    </row>
    <row r="51" ht="26" customHeight="1">
      <c r="A51" s="91" t="inlineStr">
        <is>
          <t>関連</t>
        </is>
      </c>
      <c r="B51" s="67" t="inlineStr">
        <is>
          <t>data/交付金_要改善と対応状況.csv</t>
        </is>
      </c>
      <c r="C51" s="66" t="inlineStr">
        <is>
          <t>06_算定の根拠</t>
        </is>
      </c>
      <c r="D51" s="67" t="inlineStr">
        <is>
          <t>2-8・5-9</t>
        </is>
      </c>
      <c r="E51" s="50" t="n"/>
      <c r="F51" s="50" t="n"/>
    </row>
    <row r="52" ht="26" customHeight="1">
      <c r="A52" s="91" t="inlineStr">
        <is>
          <t>関連</t>
        </is>
      </c>
      <c r="B52" s="67" t="inlineStr">
        <is>
          <t>data/交付金評価指標_3か年.csv</t>
        </is>
      </c>
      <c r="C52" s="66" t="inlineStr">
        <is>
          <t>06_算定の根拠</t>
        </is>
      </c>
      <c r="D52" s="67" t="inlineStr">
        <is>
          <t>2-8・5-9</t>
        </is>
      </c>
      <c r="E52" s="50" t="n"/>
      <c r="F52" s="50" t="n"/>
    </row>
    <row r="53" ht="26" customHeight="1">
      <c r="A53" s="91" t="inlineStr">
        <is>
          <t>関連</t>
        </is>
      </c>
      <c r="B53" s="67" t="inlineStr">
        <is>
          <t>data/原典_事業所別5か年</t>
        </is>
      </c>
      <c r="C53" s="66" t="inlineStr">
        <is>
          <t>06_算定の根拠</t>
        </is>
      </c>
      <c r="D53" s="67" t="inlineStr">
        <is>
          <t>村より受領した事業所別の従事者数・利用者数・回転率・定員充足率の5か年推移（令和3〜7年、全国47都道府県分）から、本村の5事業所の値だけを取り出した表（doc116）。他市町村の値と受領した圧縮ファイルそのものは収録しない</t>
        </is>
      </c>
      <c r="E53" s="50" t="n"/>
      <c r="F53" s="50" t="n"/>
    </row>
    <row r="54" ht="26" customHeight="1">
      <c r="A54" s="91" t="inlineStr">
        <is>
          <t>関連</t>
        </is>
      </c>
      <c r="B54" s="67" t="inlineStr">
        <is>
          <t>data/原典_例規</t>
        </is>
      </c>
      <c r="C54" s="66" t="inlineStr">
        <is>
          <t>06_算定の根拠</t>
        </is>
      </c>
      <c r="D54" s="67" t="inlineStr">
        <is>
          <t>北塩原村例規集（内容現在 令和8年6月26日）から書き写した2つの表。題名の一覧（体系目次の全70分野と五十音目次の双方から拾い、重複を除いて569件）と、素案が引く例規32件の公布年月日・番号である。村単独事業4件の根拠例規が例規集にないこと（素案4-6の注記）と、素案が引く例規の番号（点検80）の裏付け。村自身の例規であるため収録してよい</t>
        </is>
      </c>
      <c r="E54" s="50" t="n"/>
      <c r="F54" s="50" t="n"/>
    </row>
    <row r="55" ht="26" customHeight="1">
      <c r="A55" s="91" t="inlineStr">
        <is>
          <t>関連</t>
        </is>
      </c>
      <c r="B55" s="67" t="inlineStr">
        <is>
          <t>data/第10期_サービス区分別受給者数推計.csv</t>
        </is>
      </c>
      <c r="C55" s="66" t="inlineStr">
        <is>
          <t>06_算定の根拠</t>
        </is>
      </c>
      <c r="D55" s="67" t="inlineStr">
        <is>
          <t>5-4</t>
        </is>
      </c>
      <c r="E55" s="50" t="n"/>
      <c r="F55" s="50" t="n"/>
    </row>
    <row r="56" ht="26" customHeight="1">
      <c r="A56" s="91" t="inlineStr">
        <is>
          <t>関連</t>
        </is>
      </c>
      <c r="B56" s="67" t="inlineStr">
        <is>
          <t>data/第10期_サービス種類別見込量.csv</t>
        </is>
      </c>
      <c r="C56" s="66" t="inlineStr">
        <is>
          <t>06_算定の根拠</t>
        </is>
      </c>
      <c r="D56" s="67" t="inlineStr">
        <is>
          <t>5-4</t>
        </is>
      </c>
      <c r="E56" s="50" t="n"/>
      <c r="F56" s="50" t="n"/>
    </row>
    <row r="57" ht="26" customHeight="1">
      <c r="A57" s="91" t="inlineStr">
        <is>
          <t>関連</t>
        </is>
      </c>
      <c r="B57" s="67" t="inlineStr">
        <is>
          <t>data/第10期_中長期保険料見通し.csv</t>
        </is>
      </c>
      <c r="C57" s="66" t="inlineStr">
        <is>
          <t>06_算定の根拠</t>
        </is>
      </c>
      <c r="D57" s="67" t="inlineStr">
        <is>
          <t>5-11</t>
        </is>
      </c>
      <c r="E57" s="50" t="n"/>
      <c r="F57" s="50" t="n"/>
    </row>
    <row r="58" ht="26" customHeight="1">
      <c r="A58" s="91" t="inlineStr">
        <is>
          <t>関連</t>
        </is>
      </c>
      <c r="B58" s="67" t="inlineStr">
        <is>
          <t>data/第10期_介護SCR.csv</t>
        </is>
      </c>
      <c r="C58" s="66" t="inlineStr">
        <is>
          <t>06_算定の根拠</t>
        </is>
      </c>
      <c r="D58" s="67" t="inlineStr">
        <is>
          <t>本村の介護ＳＣＲ（住所地ベース）とｘＳＣＲ（事業所所在地ベース）を区分別・サービス種別に並べたもの（parse_scr.py の出力）。素案2-5・5-8(4)の裏付け</t>
        </is>
      </c>
      <c r="E58" s="50" t="n"/>
      <c r="F58" s="50" t="n"/>
    </row>
    <row r="59" ht="26" customHeight="1">
      <c r="A59" s="91" t="inlineStr">
        <is>
          <t>関連</t>
        </is>
      </c>
      <c r="B59" s="67" t="inlineStr">
        <is>
          <t>data/第10期_介護給付費_予防給付費の分離.csv</t>
        </is>
      </c>
      <c r="C59" s="66" t="inlineStr">
        <is>
          <t>06_算定の根拠</t>
        </is>
      </c>
      <c r="D59" s="67" t="inlineStr">
        <is>
          <t>5-6</t>
        </is>
      </c>
      <c r="E59" s="50" t="n"/>
      <c r="F59" s="50" t="n"/>
    </row>
    <row r="60" ht="26" customHeight="1">
      <c r="A60" s="91" t="inlineStr">
        <is>
          <t>関連</t>
        </is>
      </c>
      <c r="B60" s="67" t="inlineStr">
        <is>
          <t>data/第10期_伸びの反映割合のバックテスト.csv</t>
        </is>
      </c>
      <c r="C60" s="66" t="inlineStr">
        <is>
          <t>06_算定の根拠</t>
        </is>
      </c>
      <c r="D60" s="67" t="inlineStr">
        <is>
          <t>5-4</t>
        </is>
      </c>
      <c r="E60" s="50" t="n"/>
      <c r="F60" s="50" t="n"/>
    </row>
    <row r="61" ht="26" customHeight="1">
      <c r="A61" s="91" t="inlineStr">
        <is>
          <t>関連</t>
        </is>
      </c>
      <c r="B61" s="67" t="inlineStr">
        <is>
          <t>data/第10期_保険料の年度別必要額.csv</t>
        </is>
      </c>
      <c r="C61" s="66" t="inlineStr">
        <is>
          <t>06_算定の根拠</t>
        </is>
      </c>
      <c r="D61" s="67" t="inlineStr">
        <is>
          <t>5-7</t>
        </is>
      </c>
      <c r="E61" s="50" t="n"/>
      <c r="F61" s="50" t="n"/>
    </row>
    <row r="62" ht="26" customHeight="1">
      <c r="A62" s="91" t="inlineStr">
        <is>
          <t>関連</t>
        </is>
      </c>
      <c r="B62" s="67" t="inlineStr">
        <is>
          <t>data/第10期_保険料パターン.csv</t>
        </is>
      </c>
      <c r="C62" s="66" t="inlineStr">
        <is>
          <t>06_算定の根拠</t>
        </is>
      </c>
      <c r="D62" s="67" t="inlineStr">
        <is>
          <t>保険料の12パターン。5-7の算定の根拠</t>
        </is>
      </c>
      <c r="E62" s="50" t="n"/>
      <c r="F62" s="50" t="n"/>
    </row>
    <row r="63" ht="26" customHeight="1">
      <c r="A63" s="91" t="inlineStr">
        <is>
          <t>関連</t>
        </is>
      </c>
      <c r="B63" s="67" t="inlineStr">
        <is>
          <t>data/第10期_保険料感応度.csv</t>
        </is>
      </c>
      <c r="C63" s="66" t="inlineStr">
        <is>
          <t>06_算定の根拠</t>
        </is>
      </c>
      <c r="D63" s="67" t="inlineStr">
        <is>
          <t>保険料の感応度。5-7</t>
        </is>
      </c>
      <c r="E63" s="50" t="n"/>
      <c r="F63" s="50" t="n"/>
    </row>
    <row r="64" ht="26" customHeight="1">
      <c r="A64" s="91" t="inlineStr">
        <is>
          <t>関連</t>
        </is>
      </c>
      <c r="B64" s="67" t="inlineStr">
        <is>
          <t>data/第10期_利用率の分母の検算.csv</t>
        </is>
      </c>
      <c r="C64" s="66" t="inlineStr">
        <is>
          <t>06_算定の根拠</t>
        </is>
      </c>
      <c r="D64" s="67" t="inlineStr">
        <is>
          <t>5-4</t>
        </is>
      </c>
      <c r="E64" s="50" t="n"/>
      <c r="F64" s="50" t="n"/>
    </row>
    <row r="65" ht="26" customHeight="1">
      <c r="A65" s="91" t="inlineStr">
        <is>
          <t>関連</t>
        </is>
      </c>
      <c r="B65" s="67" t="inlineStr">
        <is>
          <t>data/第10期_単価の趨勢と推計誤差.csv</t>
        </is>
      </c>
      <c r="C65" s="66" t="inlineStr">
        <is>
          <t>06_算定の根拠</t>
        </is>
      </c>
      <c r="D65" s="67" t="inlineStr">
        <is>
          <t>5-4(10)</t>
        </is>
      </c>
      <c r="E65" s="50" t="n"/>
      <c r="F65" s="50" t="n"/>
    </row>
    <row r="66" ht="26" customHeight="1">
      <c r="A66" s="91" t="inlineStr">
        <is>
          <t>関連</t>
        </is>
      </c>
      <c r="B66" s="67" t="inlineStr">
        <is>
          <t>data/第10期_地域支援事業費見込み.csv</t>
        </is>
      </c>
      <c r="C66" s="66" t="inlineStr">
        <is>
          <t>06_算定の根拠</t>
        </is>
      </c>
      <c r="D66" s="67" t="inlineStr">
        <is>
          <t>5-5</t>
        </is>
      </c>
      <c r="E66" s="50" t="n"/>
      <c r="F66" s="50" t="n"/>
    </row>
    <row r="67" ht="26" customHeight="1">
      <c r="A67" s="91" t="inlineStr">
        <is>
          <t>関連</t>
        </is>
      </c>
      <c r="B67" s="67" t="inlineStr">
        <is>
          <t>data/第10期_村内定員の到達率.csv</t>
        </is>
      </c>
      <c r="C67" s="66" t="inlineStr">
        <is>
          <t>06_算定の根拠</t>
        </is>
      </c>
      <c r="D67" s="67" t="inlineStr">
        <is>
          <t>5-4(8)</t>
        </is>
      </c>
      <c r="E67" s="50" t="n"/>
      <c r="F67" s="50" t="n"/>
    </row>
    <row r="68" ht="26" customHeight="1">
      <c r="A68" s="91" t="inlineStr">
        <is>
          <t>関連</t>
        </is>
      </c>
      <c r="B68" s="67" t="inlineStr">
        <is>
          <t>data/第10期_第1号被保険者数推計_前期後期補正後.csv</t>
        </is>
      </c>
      <c r="C68" s="66" t="inlineStr">
        <is>
          <t>06_算定の根拠</t>
        </is>
      </c>
      <c r="D68" s="67" t="inlineStr">
        <is>
          <t>5-2</t>
        </is>
      </c>
      <c r="E68" s="50" t="n"/>
      <c r="F68" s="50" t="n"/>
    </row>
    <row r="69" ht="26" customHeight="1">
      <c r="A69" s="91" t="inlineStr">
        <is>
          <t>関連</t>
        </is>
      </c>
      <c r="B69" s="67" t="inlineStr">
        <is>
          <t>data/第10期_給付費のみ把握サービス.csv</t>
        </is>
      </c>
      <c r="C69" s="66" t="inlineStr">
        <is>
          <t>06_算定の根拠</t>
        </is>
      </c>
      <c r="D69" s="67" t="inlineStr">
        <is>
          <t>5-4</t>
        </is>
      </c>
      <c r="E69" s="50" t="n"/>
      <c r="F69" s="50" t="n"/>
    </row>
    <row r="70" ht="26" customHeight="1">
      <c r="A70" s="91" t="inlineStr">
        <is>
          <t>関連</t>
        </is>
      </c>
      <c r="B70" s="67" t="inlineStr">
        <is>
          <t>data/第10期_要介護度別認定者数推計.csv</t>
        </is>
      </c>
      <c r="C70" s="66" t="inlineStr">
        <is>
          <t>06_算定の根拠</t>
        </is>
      </c>
      <c r="D70" s="67" t="inlineStr">
        <is>
          <t>5-3</t>
        </is>
      </c>
      <c r="E70" s="50" t="n"/>
      <c r="F70" s="50" t="n"/>
    </row>
    <row r="71" ht="26" customHeight="1">
      <c r="A71" s="91" t="inlineStr">
        <is>
          <t>関連</t>
        </is>
      </c>
      <c r="B71" s="67" t="inlineStr">
        <is>
          <t>data/第10期_見込量の自己点検.csv</t>
        </is>
      </c>
      <c r="C71" s="66" t="inlineStr">
        <is>
          <t>06_算定の根拠</t>
        </is>
      </c>
      <c r="D71" s="67" t="inlineStr">
        <is>
          <t>5-4の点検の記録</t>
        </is>
      </c>
      <c r="E71" s="50" t="n"/>
      <c r="F71" s="50" t="n"/>
    </row>
    <row r="72" ht="26" customHeight="1">
      <c r="A72" s="91" t="inlineStr">
        <is>
          <t>関連</t>
        </is>
      </c>
      <c r="B72" s="67" t="inlineStr">
        <is>
          <t>data/第10期_需要に対する供給.csv</t>
        </is>
      </c>
      <c r="C72" s="66" t="inlineStr">
        <is>
          <t>06_算定の根拠</t>
        </is>
      </c>
      <c r="D72" s="67" t="inlineStr">
        <is>
          <t>5-4(12)</t>
        </is>
      </c>
      <c r="E72" s="50" t="n"/>
      <c r="F72" s="50" t="n"/>
    </row>
    <row r="74" ht="20" customHeight="1">
      <c r="A74" s="38" t="inlineStr">
        <is>
          <t>■ 収録しない　40件</t>
        </is>
      </c>
    </row>
    <row r="75" ht="20" customHeight="1">
      <c r="A75" s="3" t="inlineStr">
        <is>
          <t>区分</t>
        </is>
      </c>
      <c r="B75" s="3" t="inlineStr">
        <is>
          <t>ファイル</t>
        </is>
      </c>
      <c r="C75" s="3" t="inlineStr">
        <is>
          <t>媒体での置き場所</t>
        </is>
      </c>
      <c r="D75" s="3" t="inlineStr">
        <is>
          <t>理由</t>
        </is>
      </c>
      <c r="E75" s="64" t="n"/>
      <c r="F75" s="65" t="n"/>
    </row>
    <row r="76" ht="26" customHeight="1">
      <c r="A76" s="92" t="inlineStr">
        <is>
          <t>収録しない</t>
        </is>
      </c>
      <c r="B76" s="67" t="inlineStr">
        <is>
          <t>data/05_令和7年8月版_突合ワークシート.csv</t>
        </is>
      </c>
      <c r="C76" s="66" t="inlineStr">
        <is>
          <t>―</t>
        </is>
      </c>
      <c r="D76" s="67" t="inlineStr">
        <is>
          <t>調査票の突合の作業用。調査は他メンバーの担当</t>
        </is>
      </c>
      <c r="E76" s="50" t="n"/>
      <c r="F76" s="50" t="n"/>
    </row>
    <row r="77" ht="26" customHeight="1">
      <c r="A77" s="92" t="inlineStr">
        <is>
          <t>収録しない</t>
        </is>
      </c>
      <c r="B77" s="67" t="inlineStr">
        <is>
          <t>data/dummy_ニーズ.csv</t>
        </is>
      </c>
      <c r="C77" s="66" t="inlineStr">
        <is>
          <t>―</t>
        </is>
      </c>
      <c r="D77" s="67" t="inlineStr">
        <is>
          <t>集計プログラムの検証に用いた架空のデータ。成果品ではない</t>
        </is>
      </c>
      <c r="E77" s="50" t="n"/>
      <c r="F77" s="50" t="n"/>
    </row>
    <row r="78" ht="26" customHeight="1">
      <c r="A78" s="92" t="inlineStr">
        <is>
          <t>収録しない</t>
        </is>
      </c>
      <c r="B78" s="67" t="inlineStr">
        <is>
          <t>data/dummy_在宅.csv</t>
        </is>
      </c>
      <c r="C78" s="66" t="inlineStr">
        <is>
          <t>―</t>
        </is>
      </c>
      <c r="D78" s="67" t="inlineStr">
        <is>
          <t>同上</t>
        </is>
      </c>
      <c r="E78" s="50" t="n"/>
      <c r="F78" s="50" t="n"/>
    </row>
    <row r="79" ht="26" customHeight="1">
      <c r="A79" s="92" t="inlineStr">
        <is>
          <t>収録しない</t>
        </is>
      </c>
      <c r="B79" s="67" t="inlineStr">
        <is>
          <t>data/mieruka_batch.csv</t>
        </is>
      </c>
      <c r="C79" s="66" t="inlineStr">
        <is>
          <t>―</t>
        </is>
      </c>
      <c r="D79" s="67" t="inlineStr">
        <is>
          <t>見える化の出力から取り出した中間データ。村は同じシステムから出力できる</t>
        </is>
      </c>
      <c r="E79" s="50" t="n"/>
      <c r="F79" s="50" t="n"/>
    </row>
    <row r="80" ht="26" customHeight="1">
      <c r="A80" s="92" t="inlineStr">
        <is>
          <t>収録しない</t>
        </is>
      </c>
      <c r="B80" s="67" t="inlineStr">
        <is>
          <t>data/mieruka_inventory.csv</t>
        </is>
      </c>
      <c r="C80" s="66" t="inlineStr">
        <is>
          <t>―</t>
        </is>
      </c>
      <c r="D80" s="67" t="inlineStr">
        <is>
          <t>受領の記録。作業の途中のもの</t>
        </is>
      </c>
      <c r="E80" s="50" t="n"/>
      <c r="F80" s="50" t="n"/>
    </row>
    <row r="81" ht="26" customHeight="1">
      <c r="A81" s="92" t="inlineStr">
        <is>
          <t>収録しない</t>
        </is>
      </c>
      <c r="B81" s="67" t="inlineStr">
        <is>
          <t>data/mieruka_inventory_追加分.csv</t>
        </is>
      </c>
      <c r="C81" s="66" t="inlineStr">
        <is>
          <t>―</t>
        </is>
      </c>
      <c r="D81" s="67" t="inlineStr">
        <is>
          <t>同上</t>
        </is>
      </c>
      <c r="E81" s="50" t="n"/>
      <c r="F81" s="50" t="n"/>
    </row>
    <row r="82" ht="26" customHeight="1">
      <c r="A82" s="92" t="inlineStr">
        <is>
          <t>収録しない</t>
        </is>
      </c>
      <c r="B82" s="67" t="inlineStr">
        <is>
          <t>data/mieruka_inventory_追加分2.csv</t>
        </is>
      </c>
      <c r="C82" s="66" t="inlineStr">
        <is>
          <t>―</t>
        </is>
      </c>
      <c r="D82" s="67" t="inlineStr">
        <is>
          <t>同上</t>
        </is>
      </c>
      <c r="E82" s="50" t="n"/>
      <c r="F82" s="50" t="n"/>
    </row>
    <row r="83" ht="26" customHeight="1">
      <c r="A83" s="92" t="inlineStr">
        <is>
          <t>収録しない</t>
        </is>
      </c>
      <c r="B83" s="67" t="inlineStr">
        <is>
          <t>data/mieruka_inventory_追加分3.csv</t>
        </is>
      </c>
      <c r="C83" s="66" t="inlineStr">
        <is>
          <t>―</t>
        </is>
      </c>
      <c r="D83" s="67" t="inlineStr">
        <is>
          <t>同上</t>
        </is>
      </c>
      <c r="E83" s="50" t="n"/>
      <c r="F83" s="50" t="n"/>
    </row>
    <row r="84" ht="26" customHeight="1">
      <c r="A84" s="92" t="inlineStr">
        <is>
          <t>収録しない</t>
        </is>
      </c>
      <c r="B84" s="67" t="inlineStr">
        <is>
          <t>data/mieruka_inventory_追加分4.csv</t>
        </is>
      </c>
      <c r="C84" s="66" t="inlineStr">
        <is>
          <t>―</t>
        </is>
      </c>
      <c r="D84" s="67" t="inlineStr">
        <is>
          <t>同上</t>
        </is>
      </c>
      <c r="E84" s="50" t="n"/>
      <c r="F84" s="50" t="n"/>
    </row>
    <row r="85" ht="26" customHeight="1">
      <c r="A85" s="92" t="inlineStr">
        <is>
          <t>収録しない</t>
        </is>
      </c>
      <c r="B85" s="67" t="inlineStr">
        <is>
          <t>data/mieruka_inventory_追加分5.csv</t>
        </is>
      </c>
      <c r="C85" s="66" t="inlineStr">
        <is>
          <t>―</t>
        </is>
      </c>
      <c r="D85" s="67" t="inlineStr">
        <is>
          <t>同上</t>
        </is>
      </c>
      <c r="E85" s="50" t="n"/>
      <c r="F85" s="50" t="n"/>
    </row>
    <row r="86" ht="26" customHeight="1">
      <c r="A86" s="92" t="inlineStr">
        <is>
          <t>収録しない</t>
        </is>
      </c>
      <c r="B86" s="67" t="inlineStr">
        <is>
          <t>data/mieruka_inventory_追加分6.csv</t>
        </is>
      </c>
      <c r="C86" s="66" t="inlineStr">
        <is>
          <t>―</t>
        </is>
      </c>
      <c r="D86" s="67" t="inlineStr">
        <is>
          <t>同上</t>
        </is>
      </c>
      <c r="E86" s="50" t="n"/>
      <c r="F86" s="50" t="n"/>
    </row>
    <row r="87" ht="26" customHeight="1">
      <c r="A87" s="92" t="inlineStr">
        <is>
          <t>収録しない</t>
        </is>
      </c>
      <c r="B87" s="67" t="inlineStr">
        <is>
          <t>data/mieruka_raw</t>
        </is>
      </c>
      <c r="C87" s="66" t="inlineStr">
        <is>
          <t>―</t>
        </is>
      </c>
      <c r="D87" s="67" t="inlineStr">
        <is>
          <t>見える化の出力そのもの（738冊）。村が同じシステムから出力できるため収録しない</t>
        </is>
      </c>
      <c r="E87" s="50" t="n"/>
      <c r="F87" s="50" t="n"/>
    </row>
    <row r="88" ht="26" customHeight="1">
      <c r="A88" s="92" t="inlineStr">
        <is>
          <t>収録しない</t>
        </is>
      </c>
      <c r="B88" s="67" t="inlineStr">
        <is>
          <t>data/mieruka_raw_追加分7</t>
        </is>
      </c>
      <c r="C88" s="66" t="inlineStr">
        <is>
          <t>―</t>
        </is>
      </c>
      <c r="D88" s="67" t="inlineStr">
        <is>
          <t>見える化の出力の追加分（B7〜B14の時系列。令和8年10月19日受領）。B7は令和8年4月末まで延びており、受領済みの系列（令和6年10月末まで）より新しい。村が同じシステムから出力できるため収録しない</t>
        </is>
      </c>
      <c r="E88" s="50" t="n"/>
      <c r="F88" s="50" t="n"/>
    </row>
    <row r="89" ht="26" customHeight="1">
      <c r="A89" s="92" t="inlineStr">
        <is>
          <t>収録しない</t>
        </is>
      </c>
      <c r="B89" s="67" t="inlineStr">
        <is>
          <t>data/mieruka_raw_追加分8</t>
        </is>
      </c>
      <c r="C89" s="66" t="inlineStr">
        <is>
          <t>―</t>
        </is>
      </c>
      <c r="D89" s="67" t="inlineStr">
        <is>
          <t>見える化の出力の追加分（L27-a・L27-b・L27-c 在宅死亡者数の表形式。令和8年10月19日受領）。表形式のシートに実数値は収録されておらず、値は人口10万人あたりのみ、収録は平成30年度・令和元年度の2か年である。村が同じシステムから出力できるため収録しない</t>
        </is>
      </c>
      <c r="E89" s="50" t="n"/>
      <c r="F89" s="50" t="n"/>
    </row>
    <row r="90" ht="26" customHeight="1">
      <c r="A90" s="92" t="inlineStr">
        <is>
          <t>収録しない</t>
        </is>
      </c>
      <c r="B90" s="67" t="inlineStr">
        <is>
          <t>data/mieruka_tidy.csv</t>
        </is>
      </c>
      <c r="C90" s="66" t="inlineStr">
        <is>
          <t>―</t>
        </is>
      </c>
      <c r="D90" s="67" t="inlineStr">
        <is>
          <t>同上</t>
        </is>
      </c>
      <c r="E90" s="50" t="n"/>
      <c r="F90" s="50" t="n"/>
    </row>
    <row r="91" ht="26" customHeight="1">
      <c r="A91" s="92" t="inlineStr">
        <is>
          <t>収録しない</t>
        </is>
      </c>
      <c r="B91" s="67" t="inlineStr">
        <is>
          <t>data/pdf_text</t>
        </is>
      </c>
      <c r="C91" s="66" t="inlineStr">
        <is>
          <t>―</t>
        </is>
      </c>
      <c r="D91" s="67" t="inlineStr">
        <is>
          <t>受領資料から取り出した本文。村が原本を持っている</t>
        </is>
      </c>
      <c r="E91" s="50" t="n"/>
      <c r="F91" s="50" t="n"/>
    </row>
    <row r="92" ht="26" customHeight="1">
      <c r="A92" s="92" t="inlineStr">
        <is>
          <t>収録しない</t>
        </is>
      </c>
      <c r="B92" s="67" t="inlineStr">
        <is>
          <t>data/交付金_目標別の県内比較_令和8年度.csv</t>
        </is>
      </c>
      <c r="C92" s="66" t="inlineStr">
        <is>
          <t>―</t>
        </is>
      </c>
      <c r="D92" s="67" t="inlineStr">
        <is>
          <t>【他の県内自治体の数値を含む。参照値として用いたもので成果品に掲げない】</t>
        </is>
      </c>
      <c r="E92" s="50" t="n"/>
      <c r="F92" s="50" t="n"/>
    </row>
    <row r="93" ht="26" customHeight="1">
      <c r="A93" s="92" t="inlineStr">
        <is>
          <t>収録しない</t>
        </is>
      </c>
      <c r="B93" s="67" t="inlineStr">
        <is>
          <t>data/交付金_都道府県分_令和8年度.csv</t>
        </is>
      </c>
      <c r="C93" s="66" t="inlineStr">
        <is>
          <t>―</t>
        </is>
      </c>
      <c r="D93" s="67" t="inlineStr">
        <is>
          <t>同上（都道府県分）</t>
        </is>
      </c>
      <c r="E93" s="50" t="n"/>
      <c r="F93" s="50" t="n"/>
    </row>
    <row r="94" ht="26" customHeight="1">
      <c r="A94" s="92" t="inlineStr">
        <is>
          <t>収録しない</t>
        </is>
      </c>
      <c r="B94" s="67" t="inlineStr">
        <is>
          <t>data/会津権利擁護成年後見センター_相談件数_R6.png</t>
        </is>
      </c>
      <c r="C94" s="66" t="inlineStr">
        <is>
          <t>―</t>
        </is>
      </c>
      <c r="D94" s="67" t="inlineStr">
        <is>
          <t>受領資料の画像。村が原本を持っている</t>
        </is>
      </c>
      <c r="E94" s="50" t="n"/>
      <c r="F94" s="50" t="n"/>
    </row>
    <row r="95" ht="26" customHeight="1">
      <c r="A95" s="92" t="inlineStr">
        <is>
          <t>収録しない</t>
        </is>
      </c>
      <c r="B95" s="67" t="inlineStr">
        <is>
          <t>data/会津権利擁護成年後見センター_相談件数_R7.png</t>
        </is>
      </c>
      <c r="C95" s="66" t="inlineStr">
        <is>
          <t>―</t>
        </is>
      </c>
      <c r="D95" s="67" t="inlineStr">
        <is>
          <t>同上</t>
        </is>
      </c>
      <c r="E95" s="50" t="n"/>
      <c r="F95" s="50" t="n"/>
    </row>
    <row r="96" ht="26" customHeight="1">
      <c r="A96" s="92" t="inlineStr">
        <is>
          <t>収録しない</t>
        </is>
      </c>
      <c r="B96" s="67" t="inlineStr">
        <is>
          <t>data/原典_SCR</t>
        </is>
      </c>
      <c r="C96" s="66" t="inlineStr">
        <is>
          <t>―</t>
        </is>
      </c>
      <c r="D96" s="67" t="inlineStr">
        <is>
          <t>介護ＳＣＲの原典。厚生労働科学研究費補助金〈長寿科学政策研究〉の研究班による「介護ＳＣＲの概説と利用上の留意点」（令和8年6月）と、全国の一覧表から本村の行のみを取り出したもの。全国の一覧表そのものは他団体の行を含むため置いていない。村が同じ資料の提供を受けられるため収録しない</t>
        </is>
      </c>
      <c r="E96" s="50" t="n"/>
      <c r="F96" s="50" t="n"/>
    </row>
    <row r="97" ht="26" customHeight="1">
      <c r="A97" s="92" t="inlineStr">
        <is>
          <t>収録しない</t>
        </is>
      </c>
      <c r="B97" s="67" t="inlineStr">
        <is>
          <t>data/原典_事業所</t>
        </is>
      </c>
      <c r="C97" s="66" t="inlineStr">
        <is>
          <t>―</t>
        </is>
      </c>
      <c r="D97" s="67" t="inlineStr">
        <is>
          <t>村内の介護サービス事業所の一覧。厚生労働省「介護サービス情報公表システム」のオープンデータ（令和8年6月末時点）から市町村コード074021で抽出したもの。国が公表しているため村が原典に当たれる。素案2-5の事業所数と法人の数の裏付け</t>
        </is>
      </c>
      <c r="E97" s="50" t="n"/>
      <c r="F97" s="50" t="n"/>
    </row>
    <row r="98" ht="26" customHeight="1">
      <c r="A98" s="92" t="inlineStr">
        <is>
          <t>収録しない</t>
        </is>
      </c>
      <c r="B98" s="67" t="inlineStr">
        <is>
          <t>data/原典_人口</t>
        </is>
      </c>
      <c r="C98" s="66" t="inlineStr">
        <is>
          <t>―</t>
        </is>
      </c>
      <c r="D98" s="67" t="inlineStr">
        <is>
          <t>国立社会保障・人口問題研究所「日本の地域別将来推計人口（令和5年推計）」の福島県の市区町村別ファイル（07.xlsx）と、そこから本村の系列を抜いたCSV。同ファイルは福島県内の全市町村の行を含むため納品媒体には収録しない。国が公表しているため村が原典に当たれる。素案2-2の将来推計人口と5-1の推計の考え方の裏付け</t>
        </is>
      </c>
      <c r="E98" s="50" t="n"/>
      <c r="F98" s="50" t="n"/>
    </row>
    <row r="99" ht="26" customHeight="1">
      <c r="A99" s="92" t="inlineStr">
        <is>
          <t>収録しない</t>
        </is>
      </c>
      <c r="B99" s="67" t="inlineStr">
        <is>
          <t>data/原典_法令</t>
        </is>
      </c>
      <c r="C99" s="66" t="inlineStr">
        <is>
          <t>―</t>
        </is>
      </c>
      <c r="D99" s="67" t="inlineStr">
        <is>
          <t>法令等の原典（厚生労働省・福島県の公表資料）。社会福祉法等の一部を改正する法律案の要綱と新旧対照条文（令和8年法律第51号）、全世代対応型の持続可能な社会保障制度を構築するための健康保険法等の一部を改正する法律案の概要（令和5年法律第31号）、全国介護保険担当課長会議資料（令和8年7月15日。基本指針（案）の新旧を含む）、福島県高齢者居住安定確保計画（令和4年3月）、第9期介護保険事業計画に基づく介護職員の必要数（別紙5）。当方が素案1-8・条文単位の対照（点検78）を組むために参照したものであり、厚生労働省が公表しているため村が原典に当たれる。媒体に写しを入れると版が古くなるおそれがあるため収録せず、資7に出どころを示す</t>
        </is>
      </c>
      <c r="E99" s="50" t="n"/>
      <c r="F99" s="50" t="n"/>
    </row>
    <row r="100" ht="26" customHeight="1">
      <c r="A100" s="92" t="inlineStr">
        <is>
          <t>収録しない</t>
        </is>
      </c>
      <c r="B100" s="67" t="inlineStr">
        <is>
          <t>data/原典_県計画</t>
        </is>
      </c>
      <c r="C100" s="66" t="inlineStr">
        <is>
          <t>―</t>
        </is>
      </c>
      <c r="D100" s="67" t="inlineStr">
        <is>
          <t>第8次福島県医療計画（令和6年3月）の第8章（5疾病・6事業及び在宅医療の体制）と第12章（圏域別の取組）。県が公表している原典であり、村が原典に当たれる。素案1-4の医療計画との整合と施策4-3の裏付け</t>
        </is>
      </c>
      <c r="E100" s="50" t="n"/>
      <c r="F100" s="50" t="n"/>
    </row>
    <row r="101" ht="26" customHeight="1">
      <c r="A101" s="92" t="inlineStr">
        <is>
          <t>収録しない</t>
        </is>
      </c>
      <c r="B101" s="67" t="inlineStr">
        <is>
          <t>data/原典_第9期</t>
        </is>
      </c>
      <c r="C101" s="66" t="inlineStr">
        <is>
          <t>―</t>
        </is>
      </c>
      <c r="D101" s="67" t="inlineStr">
        <is>
          <t>第9期計画の本編・概要版・アンケート調査結果報告書（村公式サイトで公表されているもの）と、本編のサービス別見込量のグラフから読み取った令和6〜8年度の計画値。村が自ら公表している資料であるため納品媒体には収録しない。素案2-9の対計画比の裏付け</t>
        </is>
      </c>
      <c r="E101" s="50" t="n"/>
      <c r="F101" s="50" t="n"/>
    </row>
    <row r="102" ht="26" customHeight="1">
      <c r="A102" s="92" t="inlineStr">
        <is>
          <t>収録しない</t>
        </is>
      </c>
      <c r="B102" s="67" t="inlineStr">
        <is>
          <t>data/原典_調査</t>
        </is>
      </c>
      <c r="C102" s="66" t="inlineStr">
        <is>
          <t>―</t>
        </is>
      </c>
      <c r="D102" s="67" t="inlineStr">
        <is>
          <t>調査の原典（厚生労働省の公表資料）。介護予防・日常生活圏域ニーズ調査 実施の手引き（第10期用）および見える化システムの指標の解説。当方がリスク判定の該当基準と指標の定義を確かめるために参照したものであり、国が公表しているため村が原典に当たれる。</t>
        </is>
      </c>
      <c r="E102" s="50" t="n"/>
      <c r="F102" s="50" t="n"/>
    </row>
    <row r="103" ht="26" customHeight="1">
      <c r="A103" s="92" t="inlineStr">
        <is>
          <t>収録しない</t>
        </is>
      </c>
      <c r="B103" s="67" t="inlineStr">
        <is>
          <t>data/合計所得金額分布_R8.csv</t>
        </is>
      </c>
      <c r="C103" s="66" t="inlineStr">
        <is>
          <t>―</t>
        </is>
      </c>
      <c r="D103" s="67" t="inlineStr">
        <is>
          <t>【村から受領した所得段階別の分布。村の保有する情報であり返送しない】</t>
        </is>
      </c>
      <c r="E103" s="50" t="n"/>
      <c r="F103" s="50" t="n"/>
    </row>
    <row r="104" ht="26" customHeight="1">
      <c r="A104" s="92" t="inlineStr">
        <is>
          <t>収録しない</t>
        </is>
      </c>
      <c r="B104" s="67" t="inlineStr">
        <is>
          <t>data/国ワークシート</t>
        </is>
      </c>
      <c r="C104" s="66" t="inlineStr">
        <is>
          <t>―</t>
        </is>
      </c>
      <c r="D104" s="67"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104" s="50" t="n"/>
      <c r="F104" s="50" t="n"/>
    </row>
    <row r="105" ht="26" customHeight="1">
      <c r="A105" s="92" t="inlineStr">
        <is>
          <t>収録しない</t>
        </is>
      </c>
      <c r="B105" s="67" t="inlineStr">
        <is>
          <t>data/村受領_R8.10.10</t>
        </is>
      </c>
      <c r="C105" s="66" t="inlineStr">
        <is>
          <t>―</t>
        </is>
      </c>
      <c r="D105" s="67" t="inlineStr">
        <is>
          <t>村から受領した高齢者サービスの手引き（令和8年度版）・緊急連絡カードの様式・会津権利擁護・成年後見センターの催しの案内。【村が保有する資料であり当方の成果品ではない。】doc64（返還・消去の手順）により、業務完了後に村と協議のうえ返還または消去する。個人情報の走査を行い、該当はなかった（載っているのは機関の代表連絡先と部署のメールのみ）</t>
        </is>
      </c>
      <c r="E105" s="50" t="n"/>
      <c r="F105" s="50" t="n"/>
    </row>
    <row r="106" ht="26" customHeight="1">
      <c r="A106" s="92" t="inlineStr">
        <is>
          <t>収録しない</t>
        </is>
      </c>
      <c r="B106" s="67" t="inlineStr">
        <is>
          <t>data/第10期_調査対象者の属性集計.csv</t>
        </is>
      </c>
      <c r="C106" s="66" t="inlineStr">
        <is>
          <t>―</t>
        </is>
      </c>
      <c r="D106" s="67" t="inlineStr">
        <is>
          <t>【調査対象者の属性。doc16§6により、該当数10未満の区分を含むため収録しない】</t>
        </is>
      </c>
      <c r="E106" s="50" t="n"/>
      <c r="F106" s="50" t="n"/>
    </row>
    <row r="107" ht="26" customHeight="1">
      <c r="A107" s="92" t="inlineStr">
        <is>
          <t>収録しない</t>
        </is>
      </c>
      <c r="B107" s="67" t="inlineStr">
        <is>
          <t>data/部会資料_R8.9.18</t>
        </is>
      </c>
      <c r="C107" s="66" t="inlineStr">
        <is>
          <t>―</t>
        </is>
      </c>
      <c r="D107" s="67"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107" s="50" t="n"/>
      <c r="F107" s="50" t="n"/>
    </row>
    <row r="108" ht="26" customHeight="1">
      <c r="A108" s="92" t="inlineStr">
        <is>
          <t>収録しない</t>
        </is>
      </c>
      <c r="B108" s="67" t="inlineStr">
        <is>
          <t>output/00_全計画マスター管理表.xlsx</t>
        </is>
      </c>
      <c r="C108" s="66" t="inlineStr">
        <is>
          <t>―</t>
        </is>
      </c>
      <c r="D108" s="67" t="inlineStr">
        <is>
          <t>他業務との共通の管理表</t>
        </is>
      </c>
      <c r="E108" s="50" t="n"/>
      <c r="F108" s="50" t="n"/>
    </row>
    <row r="109" ht="26" customHeight="1">
      <c r="A109" s="92" t="inlineStr">
        <is>
          <t>収録しない</t>
        </is>
      </c>
      <c r="B109" s="67" t="inlineStr">
        <is>
          <t>output/01_共通_基本コラム部品.xlsx</t>
        </is>
      </c>
      <c r="C109" s="66" t="inlineStr">
        <is>
          <t>―</t>
        </is>
      </c>
      <c r="D109" s="67" t="inlineStr">
        <is>
          <t>他業務との共通の部品</t>
        </is>
      </c>
      <c r="E109" s="50" t="n"/>
      <c r="F109" s="50" t="n"/>
    </row>
    <row r="110" ht="26" customHeight="1">
      <c r="A110" s="92" t="inlineStr">
        <is>
          <t>収録しない</t>
        </is>
      </c>
      <c r="B110" s="67" t="inlineStr">
        <is>
          <t>output/02_高齢者介護保険事業計画.xlsx</t>
        </is>
      </c>
      <c r="C110" s="66" t="inlineStr">
        <is>
          <t>―</t>
        </is>
      </c>
      <c r="D110" s="67" t="inlineStr">
        <is>
          <t>他業務の管理表</t>
        </is>
      </c>
      <c r="E110" s="50" t="n"/>
      <c r="F110" s="50" t="n"/>
    </row>
    <row r="111" ht="26" customHeight="1">
      <c r="A111" s="92" t="inlineStr">
        <is>
          <t>収録しない</t>
        </is>
      </c>
      <c r="B111" s="67" t="inlineStr">
        <is>
          <t>output/03_障がい福祉計画.xlsx</t>
        </is>
      </c>
      <c r="C111" s="66" t="inlineStr">
        <is>
          <t>―</t>
        </is>
      </c>
      <c r="D111" s="67" t="inlineStr">
        <is>
          <t>他業務の計画</t>
        </is>
      </c>
      <c r="E111" s="50" t="n"/>
      <c r="F111" s="50" t="n"/>
    </row>
    <row r="112" ht="26" customHeight="1">
      <c r="A112" s="92" t="inlineStr">
        <is>
          <t>収録しない</t>
        </is>
      </c>
      <c r="B112" s="67" t="inlineStr">
        <is>
          <t>output/04_こども計画.xlsx</t>
        </is>
      </c>
      <c r="C112" s="66" t="inlineStr">
        <is>
          <t>―</t>
        </is>
      </c>
      <c r="D112" s="67" t="inlineStr">
        <is>
          <t>他業務の計画</t>
        </is>
      </c>
      <c r="E112" s="50" t="n"/>
      <c r="F112" s="50" t="n"/>
    </row>
    <row r="113" ht="26" customHeight="1">
      <c r="A113" s="92" t="inlineStr">
        <is>
          <t>収録しない</t>
        </is>
      </c>
      <c r="B113" s="67" t="inlineStr">
        <is>
          <t>output/10_集計結果.xlsx</t>
        </is>
      </c>
      <c r="C113" s="66" t="inlineStr">
        <is>
          <t>―</t>
        </is>
      </c>
      <c r="D113" s="67"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113" s="50" t="n"/>
      <c r="F113" s="50" t="n"/>
    </row>
    <row r="114" ht="26" customHeight="1">
      <c r="A114" s="92" t="inlineStr">
        <is>
          <t>収録しない</t>
        </is>
      </c>
      <c r="B114" s="67" t="inlineStr">
        <is>
          <t>output/14_北塩原村第10期_障がい福祉計画担当への申し送り.docx</t>
        </is>
      </c>
      <c r="C114" s="66" t="inlineStr">
        <is>
          <t>―</t>
        </is>
      </c>
      <c r="D114" s="67" t="inlineStr">
        <is>
          <t>同時に策定している第8期障がい福祉計画・第4期障がい児福祉計画の担当あての申し送り。村あての文書ではなく、相手のブランチ名・コミット・生成器の名といった他業務の内部の事柄を含むため、村への納品媒体には収録しない。両計画の整合の経緯は素案1-4・資9と策定の記録（doc87・doc89）に残る</t>
        </is>
      </c>
      <c r="E114" s="50" t="n"/>
      <c r="F114" s="50" t="n"/>
    </row>
    <row r="115" ht="26" customHeight="1">
      <c r="A115" s="92" t="inlineStr">
        <is>
          <t>収録しない</t>
        </is>
      </c>
      <c r="B115" s="67" t="inlineStr">
        <is>
          <t>output/images_basic</t>
        </is>
      </c>
      <c r="C115" s="66" t="inlineStr">
        <is>
          <t>―</t>
        </is>
      </c>
      <c r="D115" s="67" t="inlineStr">
        <is>
          <t>他業務との共通の部品の画像</t>
        </is>
      </c>
      <c r="E115" s="50" t="n"/>
      <c r="F115" s="50" t="n"/>
    </row>
    <row r="117" ht="20" customHeight="1">
      <c r="A117" s="38" t="inlineStr">
        <is>
          <t>■ 納品の時点で作るもの　5件（まだ存在しない）</t>
        </is>
      </c>
    </row>
    <row r="118" ht="20" customHeight="1">
      <c r="A118" s="3" t="inlineStr">
        <is>
          <t>区分</t>
        </is>
      </c>
      <c r="B118" s="3" t="inlineStr">
        <is>
          <t>成果品</t>
        </is>
      </c>
      <c r="C118" s="3" t="inlineStr">
        <is>
          <t>媒体での置き場所</t>
        </is>
      </c>
      <c r="D118" s="3" t="inlineStr">
        <is>
          <t>作る時点</t>
        </is>
      </c>
      <c r="E118" s="64" t="n"/>
      <c r="F118" s="65" t="n"/>
    </row>
    <row r="119" ht="24" customHeight="1">
      <c r="A119" s="93" t="inlineStr">
        <is>
          <t>成果品</t>
        </is>
      </c>
      <c r="B119" s="67" t="inlineStr">
        <is>
          <t>計画書（確定版）</t>
        </is>
      </c>
      <c r="C119" s="66" t="inlineStr">
        <is>
          <t>01_計画書</t>
        </is>
      </c>
      <c r="D119" s="67" t="inlineStr">
        <is>
          <t>素案の確定後。仕様書5①（50部）。令和8年10月20日の方針修正により、公表する計画書は第9期計画の目次体系を踏襲して組む（公表用素案。kouhyou_map.py の振り分けによる）。いまの 06_計画素案.docx は協議用であり、これまでの論点をすべて含むため納品の計画書とは別である</t>
        </is>
      </c>
      <c r="E119" s="50" t="n"/>
      <c r="F119" s="50" t="n"/>
    </row>
    <row r="120" ht="24" customHeight="1">
      <c r="A120" s="93" t="inlineStr">
        <is>
          <t>成果品</t>
        </is>
      </c>
      <c r="B120" s="67" t="inlineStr">
        <is>
          <t>アンケート調査報告書</t>
        </is>
      </c>
      <c r="C120" s="66" t="inlineStr">
        <is>
          <t>02_調査報告書</t>
        </is>
      </c>
      <c r="D120" s="67" t="inlineStr">
        <is>
          <t>仕様書5②（10部）</t>
        </is>
      </c>
      <c r="E120" s="50" t="n"/>
      <c r="F120" s="50" t="n"/>
    </row>
    <row r="121" ht="24" customHeight="1">
      <c r="A121" s="93" t="inlineStr">
        <is>
          <t>成果品</t>
        </is>
      </c>
      <c r="B121" s="67" t="inlineStr">
        <is>
          <t>集計結果（本番データ）</t>
        </is>
      </c>
      <c r="C121" s="66" t="inlineStr">
        <is>
          <t>02_調査報告書</t>
        </is>
      </c>
      <c r="D121" s="67" t="inlineStr">
        <is>
          <t>調査票の回収・入力の後。該当数10未満の区分を統合または非表示とする（doc16§6）</t>
        </is>
      </c>
      <c r="E121" s="50" t="n"/>
      <c r="F121" s="50" t="n"/>
    </row>
    <row r="122" ht="24" customHeight="1">
      <c r="A122" s="93" t="inlineStr">
        <is>
          <t>成果品</t>
        </is>
      </c>
      <c r="B122" s="67" t="inlineStr">
        <is>
          <t>概要版</t>
        </is>
      </c>
      <c r="C122" s="66" t="inlineStr">
        <is>
          <t>01_計画書</t>
        </is>
      </c>
      <c r="D122" s="67" t="inlineStr">
        <is>
          <t>仕様書の範囲内かを村に確認中（K-109）</t>
        </is>
      </c>
      <c r="E122" s="50" t="n"/>
      <c r="F122" s="50" t="n"/>
    </row>
    <row r="123" ht="24" customHeight="1">
      <c r="A123" s="93" t="inlineStr">
        <is>
          <t>成果品</t>
        </is>
      </c>
      <c r="B123" s="67" t="inlineStr">
        <is>
          <t>パブリックコメントの実施結果</t>
        </is>
      </c>
      <c r="C123" s="66" t="inlineStr">
        <is>
          <t>05_策定の記録</t>
        </is>
      </c>
      <c r="D123" s="67" t="inlineStr">
        <is>
          <t>資料編7-4に反映</t>
        </is>
      </c>
      <c r="E123" s="50" t="n"/>
      <c r="F123" s="50" t="n"/>
    </row>
  </sheetData>
  <mergeCells count="116">
    <mergeCell ref="D76:F76"/>
    <mergeCell ref="D66:F66"/>
    <mergeCell ref="D75:F75"/>
    <mergeCell ref="D53:F53"/>
    <mergeCell ref="D47:F47"/>
    <mergeCell ref="D28:F28"/>
    <mergeCell ref="D37:F37"/>
    <mergeCell ref="D102:F102"/>
    <mergeCell ref="D92:F92"/>
    <mergeCell ref="D39:F39"/>
    <mergeCell ref="D29:F29"/>
    <mergeCell ref="A13:F13"/>
    <mergeCell ref="D23:F23"/>
    <mergeCell ref="D94:F94"/>
    <mergeCell ref="A31:F31"/>
    <mergeCell ref="A15:F15"/>
    <mergeCell ref="D119:F119"/>
    <mergeCell ref="D80:F80"/>
    <mergeCell ref="D96:F96"/>
    <mergeCell ref="D105:F105"/>
    <mergeCell ref="D57:F57"/>
    <mergeCell ref="A7:F7"/>
    <mergeCell ref="D27:F27"/>
    <mergeCell ref="D120:F120"/>
    <mergeCell ref="D41:F41"/>
    <mergeCell ref="D107:F107"/>
    <mergeCell ref="D17:F17"/>
    <mergeCell ref="D91:F91"/>
    <mergeCell ref="D43:F43"/>
    <mergeCell ref="A2:F2"/>
    <mergeCell ref="D106:F106"/>
    <mergeCell ref="D93:F93"/>
    <mergeCell ref="D68:F68"/>
    <mergeCell ref="D25:F25"/>
    <mergeCell ref="D83:F83"/>
    <mergeCell ref="D55:F55"/>
    <mergeCell ref="D67:F67"/>
    <mergeCell ref="D110:F110"/>
    <mergeCell ref="D85:F85"/>
    <mergeCell ref="A9:F9"/>
    <mergeCell ref="D54:F54"/>
    <mergeCell ref="D60:F60"/>
    <mergeCell ref="D69:F69"/>
    <mergeCell ref="D100:F100"/>
    <mergeCell ref="D109:F109"/>
    <mergeCell ref="A11:F11"/>
    <mergeCell ref="D46:F46"/>
    <mergeCell ref="D40:F40"/>
    <mergeCell ref="D111:F111"/>
    <mergeCell ref="D108:F108"/>
    <mergeCell ref="D21:F21"/>
    <mergeCell ref="D86:F86"/>
    <mergeCell ref="D95:F95"/>
    <mergeCell ref="D104:F104"/>
    <mergeCell ref="D32:F32"/>
    <mergeCell ref="D97:F97"/>
    <mergeCell ref="A74:F74"/>
    <mergeCell ref="D78:F78"/>
    <mergeCell ref="D16:F16"/>
    <mergeCell ref="D87:F87"/>
    <mergeCell ref="D122:F122"/>
    <mergeCell ref="D71:F71"/>
    <mergeCell ref="A8:F8"/>
    <mergeCell ref="D18:F18"/>
    <mergeCell ref="D58:F58"/>
    <mergeCell ref="D121:F121"/>
    <mergeCell ref="D33:F33"/>
    <mergeCell ref="D42:F42"/>
    <mergeCell ref="D51:F51"/>
    <mergeCell ref="D82:F82"/>
    <mergeCell ref="D113:F113"/>
    <mergeCell ref="A10:F10"/>
    <mergeCell ref="A117:F117"/>
    <mergeCell ref="D123:F123"/>
    <mergeCell ref="D35:F35"/>
    <mergeCell ref="D50:F50"/>
    <mergeCell ref="D44:F44"/>
    <mergeCell ref="D59:F59"/>
    <mergeCell ref="D115:F115"/>
    <mergeCell ref="D20:F20"/>
    <mergeCell ref="D34:F34"/>
    <mergeCell ref="D99:F99"/>
    <mergeCell ref="D84:F84"/>
    <mergeCell ref="D22:F22"/>
    <mergeCell ref="D36:F36"/>
    <mergeCell ref="D45:F45"/>
    <mergeCell ref="D101:F101"/>
    <mergeCell ref="D77:F77"/>
    <mergeCell ref="D61:F61"/>
    <mergeCell ref="D70:F70"/>
    <mergeCell ref="D48:F48"/>
    <mergeCell ref="A12:F12"/>
    <mergeCell ref="D72:F72"/>
    <mergeCell ref="D103:F103"/>
    <mergeCell ref="D112:F112"/>
    <mergeCell ref="D62:F62"/>
    <mergeCell ref="D118:F118"/>
    <mergeCell ref="D56:F56"/>
    <mergeCell ref="A4:F4"/>
    <mergeCell ref="D114:F114"/>
    <mergeCell ref="D24:F24"/>
    <mergeCell ref="D64:F64"/>
    <mergeCell ref="D38:F38"/>
    <mergeCell ref="D89:F89"/>
    <mergeCell ref="D98:F98"/>
    <mergeCell ref="D79:F79"/>
    <mergeCell ref="D88:F88"/>
    <mergeCell ref="D26:F26"/>
    <mergeCell ref="D63:F63"/>
    <mergeCell ref="D81:F81"/>
    <mergeCell ref="D19:F19"/>
    <mergeCell ref="D90:F90"/>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2026-10-23T08:06:39Z</dcterms:created>
  <dcterms:modified xmlns:dcterms="http://purl.org/dc/terms/" xmlns:xsi="http://www.w3.org/2001/XMLSchema-instance" xsi:type="dcterms:W3CDTF">2026-10-23T08:06:40Z</dcterms:modified>
</cp:coreProperties>
</file>