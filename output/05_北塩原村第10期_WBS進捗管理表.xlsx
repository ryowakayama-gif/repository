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'村への確認事項'!$A$4:$H$64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5050"/>
      </patternFill>
    </fill>
    <fill>
      <patternFill patternType="solid">
        <fgColor rgb="00FFF3F3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3" borderId="1" applyAlignment="1" pivotButton="0" quotePrefix="0" xfId="0">
      <alignment horizontal="center" vertical="top"/>
    </xf>
    <xf numFmtId="0" fontId="2" fillId="13" borderId="1" applyAlignment="1" pivotButton="0" quotePrefix="0" xfId="0">
      <alignment horizontal="left" vertical="top"/>
    </xf>
    <xf numFmtId="0" fontId="2" fillId="13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4" borderId="1" applyAlignment="1" pivotButton="0" quotePrefix="0" xfId="0">
      <alignment horizontal="center"/>
    </xf>
    <xf numFmtId="1" fontId="9" fillId="14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0.8</v>
      </c>
      <c r="O58" s="16" t="inlineStr">
        <is>
          <t>着手</t>
        </is>
      </c>
      <c r="P58" s="13" t="inlineStr">
        <is>
          <t>doc14で第9期施策19本を評価。キックオフ資料により村単独事業名（除雪サービス・緊急通報・生活支援ハウス・はつらつ貯筋教室等）を把握。実績数値は未受領のため一部保留。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11" t="inlineStr">
        <is>
          <t>Ⅱ-61</t>
        </is>
      </c>
      <c r="B65" s="12" t="inlineStr">
        <is>
          <t>Ⅱ 計画策定</t>
        </is>
      </c>
      <c r="C65" s="12" t="inlineStr">
        <is>
          <t>Ⅱ-3 見込量・保険料</t>
        </is>
      </c>
      <c r="D65" s="13" t="inlineStr">
        <is>
          <t>各介護保険サービス見込量の推計</t>
        </is>
      </c>
      <c r="E65" s="11" t="inlineStr">
        <is>
          <t>仕様書4Ⅱ(3)②</t>
        </is>
      </c>
      <c r="F65" s="11" t="inlineStr">
        <is>
          <t>受託者</t>
        </is>
      </c>
      <c r="G65" s="13" t="inlineStr">
        <is>
          <t>見込量表</t>
        </is>
      </c>
      <c r="H65" s="13" t="inlineStr">
        <is>
          <t>居宅・施設・地域密着型・総合事業。村外利用を考慮</t>
        </is>
      </c>
      <c r="I65" s="11" t="inlineStr">
        <is>
          <t>R8.12</t>
        </is>
      </c>
      <c r="J65" s="14" t="n"/>
      <c r="K65" s="14" t="n"/>
      <c r="L65" s="14" t="n">
        <v>46265</v>
      </c>
      <c r="M65" s="14" t="n"/>
      <c r="N65" s="15" t="n">
        <v>0.3</v>
      </c>
      <c r="O65" s="16" t="inlineStr">
        <is>
          <t>着手</t>
        </is>
      </c>
      <c r="P65" s="13" t="inlineStr">
        <is>
          <t>doc18 第5章5-4に見込量の様式を作成。27サービスの利用状況（実績あり18／過去のみ5／実績なし4）を確定し、受給者1人あたり利用日数・回数の実績を整理。受給者数の実績と見込量の数値は国ワークシートと村の月報・年報待ち。</t>
        </is>
      </c>
    </row>
    <row r="66" ht="30" customHeight="1">
      <c r="A66" s="11" t="inlineStr">
        <is>
          <t>Ⅱ-62</t>
        </is>
      </c>
      <c r="B66" s="12" t="inlineStr">
        <is>
          <t>Ⅱ 計画策定</t>
        </is>
      </c>
      <c r="C66" s="12" t="inlineStr">
        <is>
          <t>Ⅱ-3 見込量・保険料</t>
        </is>
      </c>
      <c r="D66" s="13" t="inlineStr">
        <is>
          <t>給付費の試算</t>
        </is>
      </c>
      <c r="E66" s="11" t="inlineStr">
        <is>
          <t>仕様書4Ⅱ(3)③</t>
        </is>
      </c>
      <c r="F66" s="11" t="inlineStr">
        <is>
          <t>受託者</t>
        </is>
      </c>
      <c r="G66" s="13" t="inlineStr">
        <is>
          <t>給付費試算表</t>
        </is>
      </c>
      <c r="H66" s="13" t="inlineStr">
        <is>
          <t>R9年度報酬改定は現行単価で仮試算→確定後に精緻化</t>
        </is>
      </c>
      <c r="I66" s="11" t="inlineStr">
        <is>
          <t>R8.12</t>
        </is>
      </c>
      <c r="J66" s="14" t="n"/>
      <c r="K66" s="14" t="n"/>
      <c r="L66" s="14" t="n">
        <v>46265</v>
      </c>
      <c r="M66" s="14" t="n"/>
      <c r="N66" s="15" t="n">
        <v>0.2</v>
      </c>
      <c r="O66" s="16" t="inlineStr">
        <is>
          <t>着手</t>
        </is>
      </c>
      <c r="P66" s="13" t="inlineStr">
        <is>
          <t>doc18 第5章5-6に標準給付費の様式を作成。第9期の計画値と実績の対比を参考として掲載。数値は国ワークシート待ち。</t>
        </is>
      </c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1" t="inlineStr">
        <is>
          <t>Ⅱ-64</t>
        </is>
      </c>
      <c r="B68" s="12" t="inlineStr">
        <is>
          <t>Ⅱ 計画策定</t>
        </is>
      </c>
      <c r="C68" s="12" t="inlineStr">
        <is>
          <t>Ⅱ-3 見込量・保険料</t>
        </is>
      </c>
      <c r="D68" s="13" t="inlineStr">
        <is>
          <t>介護保険料の試算（複数案の比較）</t>
        </is>
      </c>
      <c r="E68" s="11" t="inlineStr">
        <is>
          <t>仕様書4Ⅱ(3)③</t>
        </is>
      </c>
      <c r="F68" s="11" t="inlineStr">
        <is>
          <t>受託者</t>
        </is>
      </c>
      <c r="G68" s="13" t="inlineStr">
        <is>
          <t>保険料試算表</t>
        </is>
      </c>
      <c r="H68" s="13" t="inlineStr">
        <is>
          <t>所得段階・基金活用・上限の設定を反映</t>
        </is>
      </c>
      <c r="I68" s="11" t="inlineStr">
        <is>
          <t>R8.12〜R9.1</t>
        </is>
      </c>
      <c r="J68" s="14" t="n"/>
      <c r="K68" s="14" t="n"/>
      <c r="L68" s="14" t="n">
        <v>46265</v>
      </c>
      <c r="M68" s="14" t="n"/>
      <c r="N68" s="15" t="n">
        <v>0.2</v>
      </c>
      <c r="O68" s="16" t="inlineStr">
        <is>
          <t>着手</t>
        </is>
      </c>
      <c r="P68" s="13" t="inlineStr">
        <is>
          <t>doc18 第5章5-7に保険料算定の様式と所得段階13段階の枠を作成。第9期の算定結果を参考掲載。基金残高と国ワークシート待ち。</t>
        </is>
      </c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0.85</v>
      </c>
      <c r="O71" s="16" t="inlineStr">
        <is>
          <t>着手</t>
        </is>
      </c>
      <c r="P71" s="13" t="inlineStr">
        <is>
          <t>doc14・doc18として施策案を整理。第4章は26施策。住民ニーズ第1位の除雪を独立施策（2-6）として新設。基本目標5「計画の推進と進捗管理」の新設を提案。国の基本指針で追加・修正の可能性。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0.8</v>
      </c>
      <c r="O79" s="16" t="inlineStr">
        <is>
          <t>着手</t>
        </is>
      </c>
      <c r="P79" s="13" t="inlineStr">
        <is>
          <t>doc18／output/06_計画素案.docx として全6章・65節・73表・図18点を作成。第2章の図はモノクロ印刷を前提に明度差＋線種＋マーカー＋ハッチングで識別。施策2-6「冬期の生活支援（除雪）」を新設し施策26本。サービス区分別分析（訪問系−50.8%）を追加。第5章に見込量27サービスの様式・保険料算定様式・所得段階13段階・2040年見通しの枠を作成。数値は国ワークシート待ち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優先度S＝キックオフ会議（令和8年9月1日）で決着が必要（9月9日の入稿・9月中旬の発送を守るため）／A＝令和8年9月中に確定が必要／B＝第1回策定委員会（11月）まで／C＝第2回以降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S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S</t>
        </is>
      </c>
      <c r="B6" s="30" t="inlineStr">
        <is>
          <t>スケジュール</t>
        </is>
      </c>
      <c r="C6" s="31" t="inlineStr">
        <is>
          <t>宛名ラベル・配布用封筒の提供期限の前倒し可否（9/14→9/11）</t>
        </is>
      </c>
      <c r="D6" s="31" t="inlineStr">
        <is>
          <t>★提供が1日遅れると発送が5連休に食い込む。村作業の遅延に対する余裕がない。</t>
        </is>
      </c>
      <c r="E6" s="32" t="inlineStr">
        <is>
          <t>Ⅰ-25,Ⅰ-26</t>
        </is>
      </c>
      <c r="F6" s="32" t="inlineStr">
        <is>
          <t>doc19 指-2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S</t>
        </is>
      </c>
      <c r="B7" s="30" t="inlineStr">
        <is>
          <t>調査設計</t>
        </is>
      </c>
      <c r="C7" s="31" t="inlineStr">
        <is>
          <t>在宅介護実態調査の手法（手法Ⅲか、手法Ⅳ〈新版 在宅生活改善調査〉を加えるか）</t>
        </is>
      </c>
      <c r="D7" s="31" t="inlineStr">
        <is>
          <t>調査票の設計・印刷頁数・集計方法がすべて決まる。第10期の新設手法。</t>
        </is>
      </c>
      <c r="E7" s="32" t="inlineStr">
        <is>
          <t>Ⅰ-07,Ⅰ-10</t>
        </is>
      </c>
      <c r="F7" s="32" t="inlineStr">
        <is>
          <t>doc03/doc05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S</t>
        </is>
      </c>
      <c r="B8" s="30" t="inlineStr">
        <is>
          <t>調査設計</t>
        </is>
      </c>
      <c r="C8" s="31" t="inlineStr">
        <is>
          <t>ニーズ調査 約850人の抽出基準（要支援認定者を含むか／第9期との対比）</t>
        </is>
      </c>
      <c r="D8" s="31" t="inlineStr">
        <is>
          <t>対象者数が確定しないと印刷部数・郵送費が固まらない。</t>
        </is>
      </c>
      <c r="E8" s="32" t="inlineStr">
        <is>
          <t>Ⅰ-08,Ⅰ-24</t>
        </is>
      </c>
      <c r="F8" s="32" t="inlineStr">
        <is>
          <t>doc01-2,3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S</t>
        </is>
      </c>
      <c r="B9" s="30" t="inlineStr">
        <is>
          <t>調査設計</t>
        </is>
      </c>
      <c r="C9" s="31" t="inlineStr">
        <is>
          <t>在宅介護実態調査 約150人の抽出基準（要支援を含むか／施設入所者の除外方法）</t>
        </is>
      </c>
      <c r="D9" s="31" t="inlineStr">
        <is>
          <t>同上。手法Ⅲの対象定義に直結。</t>
        </is>
      </c>
      <c r="E9" s="32" t="inlineStr">
        <is>
          <t>Ⅰ-08,Ⅰ-24</t>
        </is>
      </c>
      <c r="F9" s="32" t="inlineStr">
        <is>
          <t>doc01-2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S</t>
        </is>
      </c>
      <c r="B10" s="30" t="inlineStr">
        <is>
          <t>調査設計</t>
        </is>
      </c>
      <c r="C10" s="31" t="inlineStr">
        <is>
          <t>オプション項目の採否（「問6 就労について」ほか）</t>
        </is>
      </c>
      <c r="D10" s="31" t="inlineStr">
        <is>
          <t>令和7年8月版で就労はオプションと確定。採否で頁数が変わる。</t>
        </is>
      </c>
      <c r="E10" s="32" t="inlineStr">
        <is>
          <t>Ⅰ-12</t>
        </is>
      </c>
      <c r="F10" s="32" t="inlineStr">
        <is>
          <t>doc05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S</t>
        </is>
      </c>
      <c r="B11" s="30" t="inlineStr">
        <is>
          <t>調査設計</t>
        </is>
      </c>
      <c r="C11" s="31" t="inlineStr">
        <is>
          <t>村独自設問の採否（除雪・在宅医療・成年後見・歯科受診・服薬ほか）</t>
        </is>
      </c>
      <c r="D11" s="31" t="inlineStr">
        <is>
          <t>第9期との時系列比較を優先するか、新規論点を入れるかの判断。</t>
        </is>
      </c>
      <c r="E11" s="32" t="inlineStr">
        <is>
          <t>Ⅰ-13</t>
        </is>
      </c>
      <c r="F11" s="32" t="inlineStr">
        <is>
          <t>doc03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S</t>
        </is>
      </c>
      <c r="B12" s="30" t="inlineStr">
        <is>
          <t>調査設計</t>
        </is>
      </c>
      <c r="C12" s="31" t="inlineStr">
        <is>
          <t>被保険者番号と照合可能な管理番号の形式（村のラベル作成仕様と一体）</t>
        </is>
      </c>
      <c r="D12" s="31" t="inlineStr">
        <is>
          <t>第10期の新規要件。ラベル発注前に確定が必要。</t>
        </is>
      </c>
      <c r="E12" s="32" t="inlineStr">
        <is>
          <t>Ⅰ-19,Ⅰ-25</t>
        </is>
      </c>
      <c r="F12" s="32" t="inlineStr">
        <is>
          <t>doc01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S</t>
        </is>
      </c>
      <c r="B13" s="30" t="inlineStr">
        <is>
          <t>調査設計</t>
        </is>
      </c>
      <c r="C13" s="31" t="inlineStr">
        <is>
          <t>ウェブ回答フォームの仕様（回答期限・村HP掲載の有無・二次元コード印字位置）</t>
        </is>
      </c>
      <c r="D13" s="31" t="inlineStr">
        <is>
          <t>入稿データ作成の前提。</t>
        </is>
      </c>
      <c r="E13" s="32" t="inlineStr">
        <is>
          <t>Ⅰ-16,Ⅰ-17</t>
        </is>
      </c>
      <c r="F13" s="32" t="inlineStr">
        <is>
          <t>doc01-8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S</t>
        </is>
      </c>
      <c r="B14" s="30" t="inlineStr">
        <is>
          <t>調査設計</t>
        </is>
      </c>
      <c r="C14" s="31" t="inlineStr">
        <is>
          <t>★調査の基準日（ニーズ調査・在宅介護実態調査）</t>
        </is>
      </c>
      <c r="D14" s="31" t="inlineStr">
        <is>
          <t>資料が空欄。基準日が決まらないと村が対象者を抽出できない。第9期は令和5年8月1日基準。</t>
        </is>
      </c>
      <c r="E14" s="32" t="inlineStr">
        <is>
          <t>Ⅰ-08,Ⅰ-24</t>
        </is>
      </c>
      <c r="F14" s="32" t="inlineStr">
        <is>
          <t>doc19 追-1</t>
        </is>
      </c>
      <c r="G14" s="32" t="inlineStr">
        <is>
          <t>未依頼</t>
        </is>
      </c>
      <c r="H14" s="31" t="inlineStr"/>
    </row>
    <row r="15" ht="34" customHeight="1">
      <c r="A15" s="29" t="inlineStr">
        <is>
          <t>S</t>
        </is>
      </c>
      <c r="B15" s="30" t="inlineStr">
        <is>
          <t>調査設計</t>
        </is>
      </c>
      <c r="C15" s="31" t="inlineStr">
        <is>
          <t>★発送日の確定（9/17前倒し／9/18のまま／9/24後ろ倒し）と回収期限</t>
        </is>
      </c>
      <c r="D15" s="31" t="inlineStr">
        <is>
          <t>★9/18は金曜で翌日から9/19〜23の5連休。配達が連休明けにずれる可能性。以降の全工程を左右する。</t>
        </is>
      </c>
      <c r="E15" s="32" t="inlineStr">
        <is>
          <t>Ⅰ-29,Ⅰ-32</t>
        </is>
      </c>
      <c r="F15" s="32" t="inlineStr">
        <is>
          <t>doc19 指-1</t>
        </is>
      </c>
      <c r="G15" s="32" t="inlineStr">
        <is>
          <t>未依頼</t>
        </is>
      </c>
      <c r="H15" s="31" t="inlineStr"/>
    </row>
    <row r="16" ht="34" customHeight="1">
      <c r="A16" s="29" t="inlineStr">
        <is>
          <t>S</t>
        </is>
      </c>
      <c r="B16" s="30" t="inlineStr">
        <is>
          <t>調査設計</t>
        </is>
      </c>
      <c r="C16" s="31" t="inlineStr">
        <is>
          <t>★ウェブ回答フォームにGoogleフォームを用いることの可否</t>
        </is>
      </c>
      <c r="D16" s="31" t="inlineStr">
        <is>
          <t>★通信の暗号化とデータの保存先は別の論点。回答データが村外サーバに保存される。個人情報保護条例上の取扱いと、重複排除の実装・エクスポート後の元データ削除・公開期間管理の確認が必要。</t>
        </is>
      </c>
      <c r="E16" s="32" t="inlineStr">
        <is>
          <t>Ⅰ-16,Ⅰ-18</t>
        </is>
      </c>
      <c r="F16" s="32" t="inlineStr">
        <is>
          <t>doc19 追-3</t>
        </is>
      </c>
      <c r="G16" s="32" t="inlineStr">
        <is>
          <t>未依頼</t>
        </is>
      </c>
      <c r="H16" s="31" t="inlineStr"/>
    </row>
    <row r="17" ht="34" customHeight="1">
      <c r="A17" s="29" t="inlineStr">
        <is>
          <t>S</t>
        </is>
      </c>
      <c r="B17" s="30" t="inlineStr">
        <is>
          <t>調査設計</t>
        </is>
      </c>
      <c r="C17" s="31" t="inlineStr">
        <is>
          <t>調査票の印刷頁数の調整方針（仕様書はニーズ約12頁／在宅約8頁）</t>
        </is>
      </c>
      <c r="D17" s="31" t="inlineStr">
        <is>
          <t>現在の調査票案は設問数が多く、レイアウト調整か設問の絞り込みが必要になる可能性。オプション項目の採否と一体。</t>
        </is>
      </c>
      <c r="E17" s="32" t="inlineStr">
        <is>
          <t>Ⅰ-20,Ⅰ-21</t>
        </is>
      </c>
      <c r="F17" s="32" t="inlineStr">
        <is>
          <t>doc19 S-5</t>
        </is>
      </c>
      <c r="G17" s="32" t="inlineStr">
        <is>
          <t>未依頼</t>
        </is>
      </c>
      <c r="H17" s="31" t="inlineStr"/>
    </row>
    <row r="18" ht="34" customHeight="1">
      <c r="A18" s="29" t="inlineStr">
        <is>
          <t>S</t>
        </is>
      </c>
      <c r="B18" s="30" t="inlineStr">
        <is>
          <t>調査設計</t>
        </is>
      </c>
      <c r="C18" s="31" t="inlineStr">
        <is>
          <t>依頼状の差出人名義（村名義／村長名）</t>
        </is>
      </c>
      <c r="D18" s="31" t="inlineStr">
        <is>
          <t>障がい福祉計画は村名義。回収率に影響し得るため村長名を推奨するが村の慣行による。</t>
        </is>
      </c>
      <c r="E18" s="32" t="inlineStr">
        <is>
          <t>Ⅰ-14</t>
        </is>
      </c>
      <c r="F18" s="32" t="inlineStr">
        <is>
          <t>doc19 追-4</t>
        </is>
      </c>
      <c r="G18" s="32" t="inlineStr">
        <is>
          <t>未依頼</t>
        </is>
      </c>
      <c r="H18" s="31" t="inlineStr"/>
    </row>
    <row r="19" ht="34" customHeight="1">
      <c r="A19" s="29" t="inlineStr">
        <is>
          <t>S</t>
        </is>
      </c>
      <c r="B19" s="30" t="inlineStr">
        <is>
          <t>調査設計</t>
        </is>
      </c>
      <c r="C19" s="31" t="inlineStr">
        <is>
          <t>調査票の印刷部数（予備を何部見込むか）</t>
        </is>
      </c>
      <c r="D19" s="31" t="inlineStr">
        <is>
          <t>約1,000部＋予備。発送後の追加印刷は工程上困難。</t>
        </is>
      </c>
      <c r="E19" s="32" t="inlineStr">
        <is>
          <t>Ⅰ-21,Ⅰ-22</t>
        </is>
      </c>
      <c r="F19" s="32" t="inlineStr">
        <is>
          <t>doc19 追-5</t>
        </is>
      </c>
      <c r="G19" s="32" t="inlineStr">
        <is>
          <t>未依頼</t>
        </is>
      </c>
      <c r="H19" s="31" t="inlineStr"/>
    </row>
    <row r="20" ht="34" customHeight="1">
      <c r="A20" s="29" t="inlineStr">
        <is>
          <t>S</t>
        </is>
      </c>
      <c r="B20" s="30" t="inlineStr">
        <is>
          <t>調査設計</t>
        </is>
      </c>
      <c r="C20" s="31" t="inlineStr">
        <is>
          <t>在宅介護実態調査 問8・問9の基準月</t>
        </is>
      </c>
      <c r="D20" s="31" t="inlineStr">
        <is>
          <t>発送月の前月が通常。発送日の確定とセット。</t>
        </is>
      </c>
      <c r="E20" s="32" t="inlineStr">
        <is>
          <t>Ⅰ-10</t>
        </is>
      </c>
      <c r="F20" s="32" t="inlineStr">
        <is>
          <t>doc19 追-2</t>
        </is>
      </c>
      <c r="G20" s="32" t="inlineStr">
        <is>
          <t>未依頼</t>
        </is>
      </c>
      <c r="H20" s="31" t="inlineStr"/>
    </row>
    <row r="21" ht="34" customHeight="1">
      <c r="A21" s="33" t="inlineStr">
        <is>
          <t>A</t>
        </is>
      </c>
      <c r="B21" s="30" t="inlineStr">
        <is>
          <t>体制</t>
        </is>
      </c>
      <c r="C21" s="31" t="inlineStr">
        <is>
          <t>所管課・窓口の確認（住民課→保健福祉課の変更の有無、担当者体制）</t>
        </is>
      </c>
      <c r="D21" s="31" t="inlineStr">
        <is>
          <t>連絡体制表の確定。第9期概要版の発行は住民課。</t>
        </is>
      </c>
      <c r="E21" s="32" t="inlineStr">
        <is>
          <t>０-04</t>
        </is>
      </c>
      <c r="F21" s="32" t="inlineStr">
        <is>
          <t>doc01-1</t>
        </is>
      </c>
      <c r="G21" s="32" t="inlineStr">
        <is>
          <t>未依頼</t>
        </is>
      </c>
      <c r="H21" s="31" t="inlineStr"/>
    </row>
    <row r="22" ht="34" customHeight="1">
      <c r="A22" s="33" t="inlineStr">
        <is>
          <t>A</t>
        </is>
      </c>
      <c r="B22" s="30" t="inlineStr">
        <is>
          <t>体制</t>
        </is>
      </c>
      <c r="C22" s="31" t="inlineStr">
        <is>
          <t>契約締結日・契約書の取り交わし状況</t>
        </is>
      </c>
      <c r="D22" s="31" t="inlineStr">
        <is>
          <t>業務開始日の確定。</t>
        </is>
      </c>
      <c r="E22" s="32" t="inlineStr">
        <is>
          <t>０-02</t>
        </is>
      </c>
      <c r="F22" s="32" t="inlineStr">
        <is>
          <t>―</t>
        </is>
      </c>
      <c r="G22" s="32" t="inlineStr">
        <is>
          <t>未依頼</t>
        </is>
      </c>
      <c r="H22" s="31" t="inlineStr"/>
    </row>
    <row r="23" ht="34" customHeight="1">
      <c r="A23" s="33" t="inlineStr">
        <is>
          <t>A</t>
        </is>
      </c>
      <c r="B23" s="30" t="inlineStr">
        <is>
          <t>体制</t>
        </is>
      </c>
      <c r="C23" s="31" t="inlineStr">
        <is>
          <t>★見える化システムのアカウント（障がい福祉計画分の継続利用可否）と秘密保持契約の要否</t>
        </is>
      </c>
      <c r="D23" s="31" t="inlineStr">
        <is>
          <t>★すでに19,591レコードを受領して分析に着手している。遡って手続きが必要な場合はその整理も要する。</t>
        </is>
      </c>
      <c r="E23" s="32" t="inlineStr">
        <is>
          <t>０-06</t>
        </is>
      </c>
      <c r="F23" s="32" t="inlineStr">
        <is>
          <t>doc19 追-12</t>
        </is>
      </c>
      <c r="G23" s="32" t="inlineStr">
        <is>
          <t>未依頼</t>
        </is>
      </c>
      <c r="H23" s="31" t="inlineStr"/>
    </row>
    <row r="24" ht="34" customHeight="1">
      <c r="A24" s="33" t="inlineStr">
        <is>
          <t>A</t>
        </is>
      </c>
      <c r="B24" s="30" t="inlineStr">
        <is>
          <t>委員会</t>
        </is>
      </c>
      <c r="C24" s="31" t="inlineStr">
        <is>
          <t>策定委員会の委員改選手続きの所要期間と第1回開催希望時期・開催形式</t>
        </is>
      </c>
      <c r="D24" s="31" t="inlineStr">
        <is>
          <t>★現委員の任期は令和8年9月30日満了。第1回を11月に開くには10月中の委嘱が必要。</t>
        </is>
      </c>
      <c r="E24" s="32" t="inlineStr">
        <is>
          <t>Ⅱ-80,Ⅱ-81</t>
        </is>
      </c>
      <c r="F24" s="32" t="inlineStr">
        <is>
          <t>doc01-6,doc19 追-15</t>
        </is>
      </c>
      <c r="G24" s="32" t="inlineStr">
        <is>
          <t>未依頼</t>
        </is>
      </c>
      <c r="H24" s="31" t="inlineStr"/>
    </row>
    <row r="25" ht="34" customHeight="1">
      <c r="A25" s="33" t="inlineStr">
        <is>
          <t>A</t>
        </is>
      </c>
      <c r="B25" s="30" t="inlineStr">
        <is>
          <t>成果品</t>
        </is>
      </c>
      <c r="C25" s="31" t="inlineStr">
        <is>
          <t>パブリックコメント（30日間）の実施時期・実施主体と庁内手続き日程</t>
        </is>
      </c>
      <c r="D25" s="31" t="inlineStr">
        <is>
          <t>★30日間必要。第2回策定委員会が1月にずれると第3回（2月）までに終わらず工程が破綻する。年末年始も挟む。</t>
        </is>
      </c>
      <c r="E25" s="32" t="inlineStr">
        <is>
          <t>Ⅱ-76,Ⅱ-77</t>
        </is>
      </c>
      <c r="F25" s="32" t="inlineStr">
        <is>
          <t>doc01-7,doc19 指-3</t>
        </is>
      </c>
      <c r="G25" s="32" t="inlineStr">
        <is>
          <t>未依頼</t>
        </is>
      </c>
      <c r="H25" s="31" t="inlineStr"/>
    </row>
    <row r="26" ht="34" customHeight="1">
      <c r="A26" s="34" t="inlineStr">
        <is>
          <t>B</t>
        </is>
      </c>
      <c r="B26" s="24" t="inlineStr">
        <is>
          <t>データ</t>
        </is>
      </c>
      <c r="C26" s="25" t="inlineStr">
        <is>
          <t>介護給付費準備基金の現在高（令和6年度末実績・令和7年度末見込）</t>
        </is>
      </c>
      <c r="D26" s="25" t="inlineStr">
        <is>
          <t>保険料算定の前提。決算でR4年度1,700万円・R5年度810万円の積立を確認済。</t>
        </is>
      </c>
      <c r="E26" s="23" t="inlineStr">
        <is>
          <t>Ⅱ-63,Ⅱ-64</t>
        </is>
      </c>
      <c r="F26" s="23" t="inlineStr">
        <is>
          <t>doc02§22,doc08§8</t>
        </is>
      </c>
      <c r="G26" s="23" t="inlineStr">
        <is>
          <t>未依頼</t>
        </is>
      </c>
      <c r="H26" s="25" t="inlineStr"/>
    </row>
    <row r="27" ht="34" customHeight="1">
      <c r="A27" s="34" t="inlineStr">
        <is>
          <t>B</t>
        </is>
      </c>
      <c r="B27" s="24" t="inlineStr">
        <is>
          <t>データ</t>
        </is>
      </c>
      <c r="C27" s="25" t="inlineStr">
        <is>
          <t>令和6年度決算および令和7年度の給付費見込</t>
        </is>
      </c>
      <c r="D27" s="25" t="inlineStr">
        <is>
          <t>第9期の計画値と実績の乖離を確定させるために必要。</t>
        </is>
      </c>
      <c r="E27" s="23" t="inlineStr">
        <is>
          <t>Ⅱ-55,Ⅱ-56</t>
        </is>
      </c>
      <c r="F27" s="23" t="inlineStr">
        <is>
          <t>doc08§8-1</t>
        </is>
      </c>
      <c r="G27" s="23" t="inlineStr">
        <is>
          <t>未依頼</t>
        </is>
      </c>
      <c r="H27" s="25" t="inlineStr"/>
    </row>
    <row r="28" ht="34" customHeight="1">
      <c r="A28" s="34" t="inlineStr">
        <is>
          <t>B</t>
        </is>
      </c>
      <c r="B28" s="24" t="inlineStr">
        <is>
          <t>データ</t>
        </is>
      </c>
      <c r="C28" s="25" t="inlineStr">
        <is>
          <t>通いの場の実数（令和3〜7年度）</t>
        </is>
      </c>
      <c r="D28" s="25" t="inlineStr">
        <is>
          <t>見える化は令和2年度で更新停止。かつH25・H29・R2は未報告とみられる。活動指標の基準値に必須。</t>
        </is>
      </c>
      <c r="E28" s="23" t="inlineStr">
        <is>
          <t>Ⅱ-65</t>
        </is>
      </c>
      <c r="F28" s="23" t="inlineStr">
        <is>
          <t>doc02§16,§22</t>
        </is>
      </c>
      <c r="G28" s="23" t="inlineStr">
        <is>
          <t>未依頼</t>
        </is>
      </c>
      <c r="H28" s="25" t="inlineStr"/>
    </row>
    <row r="29" ht="34" customHeight="1">
      <c r="A29" s="34" t="inlineStr">
        <is>
          <t>B</t>
        </is>
      </c>
      <c r="B29" s="24" t="inlineStr">
        <is>
          <t>データ</t>
        </is>
      </c>
      <c r="C29" s="25" t="inlineStr">
        <is>
          <t>保険者機能強化推進交付金（W系）の福島県平均・全国平均</t>
        </is>
      </c>
      <c r="D29" s="25" t="inlineStr">
        <is>
          <t>成果目標・活動指標の目標値設定に必要。P1〜P4で主要4指標は解決済だがW系は未入手。</t>
        </is>
      </c>
      <c r="E29" s="23" t="inlineStr">
        <is>
          <t>Ⅱ-65</t>
        </is>
      </c>
      <c r="F29" s="23" t="inlineStr">
        <is>
          <t>doc07§8-2,doc09§10</t>
        </is>
      </c>
      <c r="G29" s="23" t="inlineStr">
        <is>
          <t>未依頼</t>
        </is>
      </c>
      <c r="H29" s="25" t="inlineStr"/>
    </row>
    <row r="30" ht="34" customHeight="1">
      <c r="A30" s="34" t="inlineStr">
        <is>
          <t>B</t>
        </is>
      </c>
      <c r="B30" s="24" t="inlineStr">
        <is>
          <t>データ</t>
        </is>
      </c>
      <c r="C30" s="25" t="inlineStr">
        <is>
          <t>交付要綱の配点表（満点）</t>
        </is>
      </c>
      <c r="D30" s="25" t="inlineStr">
        <is>
          <t>得点しか出力されず達成率が算出できない。</t>
        </is>
      </c>
      <c r="E30" s="23" t="inlineStr">
        <is>
          <t>Ⅱ-65</t>
        </is>
      </c>
      <c r="F30" s="23" t="inlineStr">
        <is>
          <t>doc07§8-1</t>
        </is>
      </c>
      <c r="G30" s="23" t="inlineStr">
        <is>
          <t>未依頼</t>
        </is>
      </c>
      <c r="H30" s="25" t="inlineStr"/>
    </row>
    <row r="31" ht="34" customHeight="1">
      <c r="A31" s="34" t="inlineStr">
        <is>
          <t>B</t>
        </is>
      </c>
      <c r="B31" s="24" t="inlineStr">
        <is>
          <t>データ</t>
        </is>
      </c>
      <c r="C31" s="25" t="inlineStr">
        <is>
          <t>令和6年度・令和7年度の交付金評価結果</t>
        </is>
      </c>
      <c r="D31" s="25" t="inlineStr">
        <is>
          <t>受領データは令和5年度まで。第10期の基準値は最新年度に置くべき。</t>
        </is>
      </c>
      <c r="E31" s="23" t="inlineStr">
        <is>
          <t>Ⅱ-65</t>
        </is>
      </c>
      <c r="F31" s="23" t="inlineStr">
        <is>
          <t>doc07§8-5</t>
        </is>
      </c>
      <c r="G31" s="23" t="inlineStr">
        <is>
          <t>未依頼</t>
        </is>
      </c>
      <c r="H31" s="25" t="inlineStr"/>
    </row>
    <row r="32" ht="34" customHeight="1">
      <c r="A32" s="34" t="inlineStr">
        <is>
          <t>B</t>
        </is>
      </c>
      <c r="B32" s="24" t="inlineStr">
        <is>
          <t>データ</t>
        </is>
      </c>
      <c r="C32" s="25" t="inlineStr">
        <is>
          <t>成年後見制度（市民後見人養成含む）の利用実態・実績</t>
        </is>
      </c>
      <c r="D32" s="25" t="inlineStr">
        <is>
          <t>見える化に該当データがない。第9期は基本目標4-4に位置づけ。</t>
        </is>
      </c>
      <c r="E32" s="23" t="inlineStr">
        <is>
          <t>Ⅱ-68,Ⅱ-69</t>
        </is>
      </c>
      <c r="F32" s="23" t="inlineStr">
        <is>
          <t>doc08§8-5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B</t>
        </is>
      </c>
      <c r="B33" s="24" t="inlineStr">
        <is>
          <t>データ</t>
        </is>
      </c>
      <c r="C33" s="25" t="inlineStr">
        <is>
          <t>高齢者福祉事業（村単独事業）の実績資料</t>
        </is>
      </c>
      <c r="D33" s="25" t="inlineStr">
        <is>
          <t>現行計画の評価に必要。</t>
        </is>
      </c>
      <c r="E33" s="23" t="inlineStr">
        <is>
          <t>Ⅱ-53,Ⅱ-54</t>
        </is>
      </c>
      <c r="F33" s="23" t="inlineStr">
        <is>
          <t>doc01-11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B</t>
        </is>
      </c>
      <c r="B34" s="24" t="inlineStr">
        <is>
          <t>データ</t>
        </is>
      </c>
      <c r="C34" s="25" t="inlineStr">
        <is>
          <t>人口データの出所の統一（住基／国勢調査／福島県現住人口調査）</t>
        </is>
      </c>
      <c r="D34" s="25" t="inlineStr">
        <is>
          <t>計画書内で人口の数字が複数出ることを避ける。doc13は社人研＋住基の補正手法を採用。</t>
        </is>
      </c>
      <c r="E34" s="23" t="inlineStr">
        <is>
          <t>Ⅱ-58,Ⅱ-59</t>
        </is>
      </c>
      <c r="F34" s="23" t="inlineStr">
        <is>
          <t>doc19 追-9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B</t>
        </is>
      </c>
      <c r="B35" s="24" t="inlineStr">
        <is>
          <t>データ</t>
        </is>
      </c>
      <c r="C35" s="25" t="inlineStr">
        <is>
          <t>介護保険事業状況報告（月報・年報）の原データの提供可否</t>
        </is>
      </c>
      <c r="D35" s="25" t="inlineStr">
        <is>
          <t>見える化に収録されていない項目（サービス種類別利用者数の月次推移等）が扱えるようになる。</t>
        </is>
      </c>
      <c r="E35" s="23" t="inlineStr">
        <is>
          <t>Ⅱ-55</t>
        </is>
      </c>
      <c r="F35" s="23" t="inlineStr">
        <is>
          <t>doc19 追-10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B</t>
        </is>
      </c>
      <c r="B36" s="24" t="inlineStr">
        <is>
          <t>データ</t>
        </is>
      </c>
      <c r="C36" s="25" t="inlineStr">
        <is>
          <t>診療所（南東北裏磐梯・桧原）の診療日数および患者数</t>
        </is>
      </c>
      <c r="D36" s="25" t="inlineStr">
        <is>
          <t>★在宅医療・介護連携の分析に直結するがこれまで把握していなかった。</t>
        </is>
      </c>
      <c r="E36" s="23" t="inlineStr">
        <is>
          <t>Ⅱ-54</t>
        </is>
      </c>
      <c r="F36" s="23" t="inlineStr">
        <is>
          <t>doc19 追-11</t>
        </is>
      </c>
      <c r="G36" s="23" t="inlineStr">
        <is>
          <t>未依頼</t>
        </is>
      </c>
      <c r="H36" s="25" t="inlineStr"/>
    </row>
    <row r="37" ht="34" customHeight="1">
      <c r="A37" s="34" t="inlineStr">
        <is>
          <t>B</t>
        </is>
      </c>
      <c r="B37" s="24" t="inlineStr">
        <is>
          <t>データ</t>
        </is>
      </c>
      <c r="C37" s="25" t="inlineStr">
        <is>
          <t>家族介護者リフレッシュ事業・介護用品支給・サポーター養成講座・成年後見の各実績</t>
        </is>
      </c>
      <c r="D37" s="25" t="inlineStr">
        <is>
          <t>任意事業・認知症施策・成年後見の評価に必要。令和6年度実績、可能であれば令和7年度。</t>
        </is>
      </c>
      <c r="E37" s="23" t="inlineStr">
        <is>
          <t>Ⅱ-53,Ⅱ-54</t>
        </is>
      </c>
      <c r="F37" s="23" t="inlineStr">
        <is>
          <t>doc19 追-11</t>
        </is>
      </c>
      <c r="G37" s="23" t="inlineStr">
        <is>
          <t>未依頼</t>
        </is>
      </c>
      <c r="H37" s="25" t="inlineStr"/>
    </row>
    <row r="38" ht="34" customHeight="1">
      <c r="A38" s="34" t="inlineStr">
        <is>
          <t>B</t>
        </is>
      </c>
      <c r="B38" s="24" t="inlineStr">
        <is>
          <t>データ</t>
        </is>
      </c>
      <c r="C38" s="25" t="inlineStr">
        <is>
          <t>特定健診・後期高齢者健診の受診率、特定保健指導の実施率</t>
        </is>
      </c>
      <c r="D38" s="25" t="inlineStr">
        <is>
          <t>介護予防と保健事業の一体的実施（施策1-6）の評価に必要。</t>
        </is>
      </c>
      <c r="E38" s="23" t="inlineStr">
        <is>
          <t>Ⅱ-54</t>
        </is>
      </c>
      <c r="F38" s="23" t="inlineStr">
        <is>
          <t>doc19 追-11</t>
        </is>
      </c>
      <c r="G38" s="23" t="inlineStr">
        <is>
          <t>未依頼</t>
        </is>
      </c>
      <c r="H38" s="25" t="inlineStr"/>
    </row>
    <row r="39" ht="34" customHeight="1">
      <c r="A39" s="34" t="inlineStr">
        <is>
          <t>B</t>
        </is>
      </c>
      <c r="B39" s="24" t="inlineStr">
        <is>
          <t>成果品</t>
        </is>
      </c>
      <c r="C39" s="25" t="inlineStr">
        <is>
          <t>概要版の位置づけ（仕様の範囲内か追加対応か）</t>
        </is>
      </c>
      <c r="D39" s="25" t="inlineStr">
        <is>
          <t>仕様書に記載がなく成果品一覧にもないが、資料末尾に「必要に応じては概要版も作成致します」とある。第9期は2ページの概要版を作成。</t>
        </is>
      </c>
      <c r="E39" s="23" t="inlineStr">
        <is>
          <t>Ⅳ-92</t>
        </is>
      </c>
      <c r="F39" s="23" t="inlineStr">
        <is>
          <t>doc19 指-5</t>
        </is>
      </c>
      <c r="G39" s="23" t="inlineStr">
        <is>
          <t>未依頼</t>
        </is>
      </c>
      <c r="H39" s="25" t="inlineStr"/>
    </row>
    <row r="40" ht="34" customHeight="1">
      <c r="A40" s="34" t="inlineStr">
        <is>
          <t>B</t>
        </is>
      </c>
      <c r="B40" s="24" t="inlineStr">
        <is>
          <t>方針</t>
        </is>
      </c>
      <c r="C40" s="25" t="inlineStr">
        <is>
          <t>第1号被保険者数の推計を社人研ベースから補正して用いる方針の可否</t>
        </is>
      </c>
      <c r="D40" s="25" t="inlineStr">
        <is>
          <t>社人研推計は住基ベース実績より6〜8%少なく、第9期はこれで63人ずれた。手法変更のため村の合意が要る。</t>
        </is>
      </c>
      <c r="E40" s="23" t="inlineStr">
        <is>
          <t>Ⅱ-59</t>
        </is>
      </c>
      <c r="F40" s="23" t="inlineStr">
        <is>
          <t>doc09§4,§10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B</t>
        </is>
      </c>
      <c r="B41" s="24" t="inlineStr">
        <is>
          <t>方針</t>
        </is>
      </c>
      <c r="C41" s="25" t="inlineStr">
        <is>
          <t>保険料が県・全国を上回る一方で費用額は下位である点の認識と説明方針</t>
        </is>
      </c>
      <c r="D41" s="25" t="inlineStr">
        <is>
          <t>保険料6,700円は県+360円・全国+475円。費用額は県内44/59位。説明ロジックの構築に関わる。</t>
        </is>
      </c>
      <c r="E41" s="23" t="inlineStr">
        <is>
          <t>Ⅱ-64</t>
        </is>
      </c>
      <c r="F41" s="23" t="inlineStr">
        <is>
          <t>doc09§8,§10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B</t>
        </is>
      </c>
      <c r="B42" s="24" t="inlineStr">
        <is>
          <t>方針</t>
        </is>
      </c>
      <c r="C42" s="25" t="inlineStr">
        <is>
          <t>総合事業のサービスA〜Dを第10期で立ち上げる意向の有無</t>
        </is>
      </c>
      <c r="D42" s="25" t="inlineStr">
        <is>
          <t>従前相当サービス以外の事業費割合0.0%。要支援1急増（39→51人）の受け皿に直結。素案の施策1-2の成否を決める。</t>
        </is>
      </c>
      <c r="E42" s="23" t="inlineStr">
        <is>
          <t>Ⅱ-67,Ⅱ-75</t>
        </is>
      </c>
      <c r="F42" s="23" t="inlineStr">
        <is>
          <t>doc02§17,doc07,doc18 4-1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B</t>
        </is>
      </c>
      <c r="B43" s="24" t="inlineStr">
        <is>
          <t>方針</t>
        </is>
      </c>
      <c r="C43" s="25" t="inlineStr">
        <is>
          <t>認定率の分母をB1（第1号被保険者数）に統一することの可否</t>
        </is>
      </c>
      <c r="D43" s="25" t="inlineStr">
        <is>
          <t>第9期は同一計画書内に19.0%（193/1,016）と19.7%（197/1,002）が併記されていた。統一すると第9期の公表値と異なる数値を示すことになる。</t>
        </is>
      </c>
      <c r="E43" s="23" t="inlineStr">
        <is>
          <t>Ⅱ-56,Ⅱ-75</t>
        </is>
      </c>
      <c r="F43" s="23" t="inlineStr">
        <is>
          <t>doc17 C-1,doc02§20-2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B</t>
        </is>
      </c>
      <c r="B44" s="24" t="inlineStr">
        <is>
          <t>方針</t>
        </is>
      </c>
      <c r="C44" s="25" t="inlineStr">
        <is>
          <t>成果目標・活動指標の目標値の設定方針（認定率を据置とするか／トレンド継続か／政策効果を織り込むか）</t>
        </is>
      </c>
      <c r="D44" s="25" t="inlineStr">
        <is>
          <t>doc13§6で3案を提示。政策効果を織り込む案を採る場合は、その根拠を指標に置く必要がある。</t>
        </is>
      </c>
      <c r="E44" s="23" t="inlineStr">
        <is>
          <t>Ⅱ-60,Ⅱ-65</t>
        </is>
      </c>
      <c r="F44" s="23" t="inlineStr">
        <is>
          <t>doc13§6</t>
        </is>
      </c>
      <c r="G44" s="23" t="inlineStr">
        <is>
          <t>未依頼</t>
        </is>
      </c>
      <c r="H44" s="25" t="inlineStr"/>
    </row>
    <row r="45" ht="34" customHeight="1">
      <c r="A45" s="34" t="inlineStr">
        <is>
          <t>B</t>
        </is>
      </c>
      <c r="B45" s="24" t="inlineStr">
        <is>
          <t>方針</t>
        </is>
      </c>
      <c r="C45" s="25" t="inlineStr">
        <is>
          <t>上限保険料の設定の有無と基金活用の比較案のパターン</t>
        </is>
      </c>
      <c r="D45" s="25" t="inlineStr">
        <is>
          <t>第9期は基金24,000,000円の取崩を計画。全額取崩案／据置優先案／中間案など何案を示すかを確認。</t>
        </is>
      </c>
      <c r="E45" s="23" t="inlineStr">
        <is>
          <t>Ⅱ-63,Ⅱ-64</t>
        </is>
      </c>
      <c r="F45" s="23" t="inlineStr">
        <is>
          <t>doc19 追-14</t>
        </is>
      </c>
      <c r="G45" s="23" t="inlineStr">
        <is>
          <t>未依頼</t>
        </is>
      </c>
      <c r="H45" s="25" t="inlineStr"/>
    </row>
    <row r="46" ht="34" customHeight="1">
      <c r="A46" s="34" t="inlineStr">
        <is>
          <t>B</t>
        </is>
      </c>
      <c r="B46" s="24" t="inlineStr">
        <is>
          <t>方針</t>
        </is>
      </c>
      <c r="C46" s="25" t="inlineStr">
        <is>
          <t>施設整備の方向性（在宅調査48.5%の入所希望の扱い）</t>
        </is>
      </c>
      <c r="D46" s="25" t="inlineStr">
        <is>
          <t>★48.5%は回収33件中16人。標本が小さいため単独の根拠とせず、村内施設ゼロ・短期入所+165%・認定率18位/費用額44位と併せて示し、今回の在宅調査150人で再確認する位置づけを提案。</t>
        </is>
      </c>
      <c r="E46" s="23" t="inlineStr">
        <is>
          <t>Ⅱ-67,Ⅱ-75</t>
        </is>
      </c>
      <c r="F46" s="23" t="inlineStr">
        <is>
          <t>doc19 §3</t>
        </is>
      </c>
      <c r="G46" s="23" t="inlineStr">
        <is>
          <t>未依頼</t>
        </is>
      </c>
      <c r="H46" s="25" t="inlineStr"/>
    </row>
    <row r="47" ht="34" customHeight="1">
      <c r="A47" s="34" t="inlineStr">
        <is>
          <t>B</t>
        </is>
      </c>
      <c r="B47" s="24" t="inlineStr">
        <is>
          <t>疑義</t>
        </is>
      </c>
      <c r="C47" s="25" t="inlineStr">
        <is>
          <t>W125「第9期計画作成に向けた各種調査の実施」が4項目とも0点である理由</t>
        </is>
      </c>
      <c r="D47" s="25" t="inlineStr">
        <is>
          <t>第9期報告書には調査結果が掲載されており、報告漏れの可能性が高い。第10期では確実に得点化したい。</t>
        </is>
      </c>
      <c r="E47" s="23" t="inlineStr">
        <is>
          <t>Ⅱ-54</t>
        </is>
      </c>
      <c r="F47" s="23" t="inlineStr">
        <is>
          <t>doc07§4</t>
        </is>
      </c>
      <c r="G47" s="23" t="inlineStr">
        <is>
          <t>未依頼</t>
        </is>
      </c>
      <c r="H47" s="25" t="inlineStr"/>
    </row>
    <row r="48" ht="34" customHeight="1">
      <c r="A48" s="34" t="inlineStr">
        <is>
          <t>B</t>
        </is>
      </c>
      <c r="B48" s="24" t="inlineStr">
        <is>
          <t>疑義</t>
        </is>
      </c>
      <c r="C48" s="25" t="inlineStr">
        <is>
          <t>交付金「文書負担軽減」が11点→7点に低下した理由（取組の後退か判定基準の変更か）</t>
        </is>
      </c>
      <c r="D48" s="25" t="inlineStr">
        <is>
          <t>評価指標の読み方に影響。</t>
        </is>
      </c>
      <c r="E48" s="23" t="inlineStr">
        <is>
          <t>Ⅱ-54</t>
        </is>
      </c>
      <c r="F48" s="23" t="inlineStr">
        <is>
          <t>doc07§8-4</t>
        </is>
      </c>
      <c r="G48" s="23" t="inlineStr">
        <is>
          <t>未依頼</t>
        </is>
      </c>
      <c r="H48" s="25" t="inlineStr"/>
    </row>
    <row r="49" ht="34" customHeight="1">
      <c r="A49" s="34" t="inlineStr">
        <is>
          <t>B</t>
        </is>
      </c>
      <c r="B49" s="24" t="inlineStr">
        <is>
          <t>疑義</t>
        </is>
      </c>
      <c r="C49" s="25" t="inlineStr">
        <is>
          <t>第9期概要版④「地域支援事業費」の集計範囲（任意事業の扱い）</t>
        </is>
      </c>
      <c r="D49" s="25" t="inlineStr">
        <is>
          <t>決算と6,300〜10,100千円ずれる。揃えないと第10期が第9期と比較不能になる。</t>
        </is>
      </c>
      <c r="E49" s="23" t="inlineStr">
        <is>
          <t>Ⅱ-55,Ⅱ-56</t>
        </is>
      </c>
      <c r="F49" s="23" t="inlineStr">
        <is>
          <t>doc08§4,§8-2</t>
        </is>
      </c>
      <c r="G49" s="23" t="inlineStr">
        <is>
          <t>未依頼</t>
        </is>
      </c>
      <c r="H49" s="25" t="inlineStr"/>
    </row>
    <row r="50" ht="34" customHeight="1">
      <c r="A50" s="34" t="inlineStr">
        <is>
          <t>B</t>
        </is>
      </c>
      <c r="B50" s="24" t="inlineStr">
        <is>
          <t>疑義</t>
        </is>
      </c>
      <c r="C50" s="25" t="inlineStr">
        <is>
          <t>特別会計の歳入内訳の区分変更の有無（令和3→4年度）</t>
        </is>
      </c>
      <c r="D50" s="25" t="inlineStr">
        <is>
          <t>総務費繰入金・低所得者保険料軽減繰入金が0になり一般会計繰入金が急増。時系列グラフが不連続になる。</t>
        </is>
      </c>
      <c r="E50" s="23" t="inlineStr">
        <is>
          <t>Ⅱ-55</t>
        </is>
      </c>
      <c r="F50" s="23" t="inlineStr">
        <is>
          <t>doc02§20-1</t>
        </is>
      </c>
      <c r="G50" s="23" t="inlineStr">
        <is>
          <t>未依頼</t>
        </is>
      </c>
      <c r="H50" s="25" t="inlineStr"/>
    </row>
    <row r="51" ht="34" customHeight="1">
      <c r="A51" s="34" t="inlineStr">
        <is>
          <t>B</t>
        </is>
      </c>
      <c r="B51" s="24" t="inlineStr">
        <is>
          <t>素案</t>
        </is>
      </c>
      <c r="C51" s="25" t="inlineStr">
        <is>
          <t>章構成を第9期（全6章＋資料編）から踏襲することの可否</t>
        </is>
      </c>
      <c r="D51" s="25" t="inlineStr">
        <is>
          <t>素案は踏襲を前提。第2章に「2-8 保険者機能の評価」「2-9 第9期計画の進捗と評価」の2節を新設している。</t>
        </is>
      </c>
      <c r="E51" s="23" t="inlineStr">
        <is>
          <t>Ⅱ-75</t>
        </is>
      </c>
      <c r="F51" s="23" t="inlineStr">
        <is>
          <t>doc15,doc18</t>
        </is>
      </c>
      <c r="G51" s="23" t="inlineStr">
        <is>
          <t>未依頼</t>
        </is>
      </c>
      <c r="H51" s="25" t="inlineStr"/>
    </row>
    <row r="52" ht="34" customHeight="1">
      <c r="A52" s="34" t="inlineStr">
        <is>
          <t>B</t>
        </is>
      </c>
      <c r="B52" s="24" t="inlineStr">
        <is>
          <t>素案</t>
        </is>
      </c>
      <c r="C52" s="25" t="inlineStr">
        <is>
          <t>基本理念・基本目標の枠組みを第9期から継承することの可否</t>
        </is>
      </c>
      <c r="D52" s="25" t="inlineStr">
        <is>
          <t>素案は継承を前提に構成。変更する場合は第3章・第4章の全面的な組み替えが必要になる。</t>
        </is>
      </c>
      <c r="E52" s="23" t="inlineStr">
        <is>
          <t>Ⅱ-71,Ⅱ-75</t>
        </is>
      </c>
      <c r="F52" s="23" t="inlineStr">
        <is>
          <t>doc14§5,doc18 3-1</t>
        </is>
      </c>
      <c r="G52" s="23" t="inlineStr">
        <is>
          <t>未依頼</t>
        </is>
      </c>
      <c r="H52" s="25" t="inlineStr"/>
    </row>
    <row r="53" ht="34" customHeight="1">
      <c r="A53" s="34" t="inlineStr">
        <is>
          <t>B</t>
        </is>
      </c>
      <c r="B53" s="24" t="inlineStr">
        <is>
          <t>素案</t>
        </is>
      </c>
      <c r="C53" s="25" t="inlineStr">
        <is>
          <t>基本目標5「計画の推進と進捗管理」を独立させるか、各基本目標に横断的に組み込むか</t>
        </is>
      </c>
      <c r="D53" s="25" t="inlineStr">
        <is>
          <t>第9期で3年連続0点だったPDCAへの対応。独立を推奨するが構成上の選択であり村の意向による。</t>
        </is>
      </c>
      <c r="E53" s="23" t="inlineStr">
        <is>
          <t>Ⅱ-71,Ⅱ-75</t>
        </is>
      </c>
      <c r="F53" s="23" t="inlineStr">
        <is>
          <t>doc14§5,doc15,doc18 4-5</t>
        </is>
      </c>
      <c r="G53" s="23" t="inlineStr">
        <is>
          <t>未依頼</t>
        </is>
      </c>
      <c r="H53" s="25" t="inlineStr"/>
    </row>
    <row r="54" ht="34" customHeight="1">
      <c r="A54" s="34" t="inlineStr">
        <is>
          <t>B</t>
        </is>
      </c>
      <c r="B54" s="24" t="inlineStr">
        <is>
          <t>素案</t>
        </is>
      </c>
      <c r="C54" s="25" t="inlineStr">
        <is>
          <t>施設サービスの記載を「村外施設サービスの利用支援」に改めることの可否</t>
        </is>
      </c>
      <c r="D54" s="25" t="inlineStr">
        <is>
          <t>村内に該当施設がゼロ。第9期は特養〜介護医療院の4類型を列挙する記載で実態と乖離していた。</t>
        </is>
      </c>
      <c r="E54" s="23" t="inlineStr">
        <is>
          <t>Ⅱ-75</t>
        </is>
      </c>
      <c r="F54" s="23" t="inlineStr">
        <is>
          <t>doc17 B-3,doc18 4-3</t>
        </is>
      </c>
      <c r="G54" s="23" t="inlineStr">
        <is>
          <t>未依頼</t>
        </is>
      </c>
      <c r="H54" s="25" t="inlineStr"/>
    </row>
    <row r="55" ht="34" customHeight="1">
      <c r="A55" s="34" t="inlineStr">
        <is>
          <t>B</t>
        </is>
      </c>
      <c r="B55" s="24" t="inlineStr">
        <is>
          <t>素案</t>
        </is>
      </c>
      <c r="C55" s="25" t="inlineStr">
        <is>
          <t>計画本文に第9期の推計乖離（第1号被保険者数6.6%）を記載することの可否</t>
        </is>
      </c>
      <c r="D55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55" s="23" t="inlineStr">
        <is>
          <t>Ⅱ-75</t>
        </is>
      </c>
      <c r="F55" s="23" t="inlineStr">
        <is>
          <t>doc17 A-1,doc18 2-9</t>
        </is>
      </c>
      <c r="G55" s="23" t="inlineStr">
        <is>
          <t>未依頼</t>
        </is>
      </c>
      <c r="H55" s="25" t="inlineStr"/>
    </row>
    <row r="56" ht="34" customHeight="1">
      <c r="A56" s="34" t="inlineStr">
        <is>
          <t>B</t>
        </is>
      </c>
      <c r="B56" s="24" t="inlineStr">
        <is>
          <t>素案</t>
        </is>
      </c>
      <c r="C56" s="25" t="inlineStr">
        <is>
          <t>第9期保険料の再算定試算（6,761円→約6,346円）の取扱い</t>
        </is>
      </c>
      <c r="D56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56" s="23" t="inlineStr">
        <is>
          <t>Ⅱ-64,Ⅱ-75</t>
        </is>
      </c>
      <c r="F56" s="23" t="inlineStr">
        <is>
          <t>doc17 A-1,doc18 5-7</t>
        </is>
      </c>
      <c r="G56" s="23" t="inlineStr">
        <is>
          <t>未依頼</t>
        </is>
      </c>
      <c r="H56" s="25" t="inlineStr"/>
    </row>
    <row r="57" ht="34" customHeight="1">
      <c r="A57" s="34" t="inlineStr">
        <is>
          <t>B</t>
        </is>
      </c>
      <c r="B57" s="24" t="inlineStr">
        <is>
          <t>計画構成</t>
        </is>
      </c>
      <c r="C57" s="25" t="inlineStr">
        <is>
          <t>北塩原村第六次総合振興計画の策定状況</t>
        </is>
      </c>
      <c r="D57" s="25" t="inlineStr">
        <is>
          <t>第五次は2017〜2026。第10期（令和9〜11年度）の上位計画になる。</t>
        </is>
      </c>
      <c r="E57" s="23" t="inlineStr">
        <is>
          <t>Ⅱ-72</t>
        </is>
      </c>
      <c r="F57" s="23" t="inlineStr">
        <is>
          <t>doc08§8-4</t>
        </is>
      </c>
      <c r="G57" s="23" t="inlineStr">
        <is>
          <t>未依頼</t>
        </is>
      </c>
      <c r="H57" s="25" t="inlineStr"/>
    </row>
    <row r="58" ht="34" customHeight="1">
      <c r="A58" s="34" t="inlineStr">
        <is>
          <t>B</t>
        </is>
      </c>
      <c r="B58" s="24" t="inlineStr">
        <is>
          <t>計画構成</t>
        </is>
      </c>
      <c r="C58" s="25" t="inlineStr">
        <is>
          <t>認知症施策推進計画・成年後見制度利用促進基本計画の一体化を第10期も踏襲するか</t>
        </is>
      </c>
      <c r="D58" s="25" t="inlineStr">
        <is>
          <t>第9期は基本目標4に内包する構成。素案は踏襲を前提に1-2で法的根拠を記載している。</t>
        </is>
      </c>
      <c r="E58" s="23" t="inlineStr">
        <is>
          <t>Ⅱ-73,Ⅱ-75</t>
        </is>
      </c>
      <c r="F58" s="23" t="inlineStr">
        <is>
          <t>doc01-5,doc18 1-2</t>
        </is>
      </c>
      <c r="G58" s="23" t="inlineStr">
        <is>
          <t>未依頼</t>
        </is>
      </c>
      <c r="H58" s="25" t="inlineStr"/>
    </row>
    <row r="59" ht="34" customHeight="1">
      <c r="A59" s="34" t="inlineStr">
        <is>
          <t>B</t>
        </is>
      </c>
      <c r="B59" s="24" t="inlineStr">
        <is>
          <t>計画構成</t>
        </is>
      </c>
      <c r="C59" s="25" t="inlineStr">
        <is>
          <t>定住自立圏（喜多方市・西会津町）／会津権利擁護・成年後見センターとの広域連携の記載方針</t>
        </is>
      </c>
      <c r="D59" s="25" t="inlineStr">
        <is>
          <t>施策の書きぶりに影響。</t>
        </is>
      </c>
      <c r="E59" s="23" t="inlineStr">
        <is>
          <t>Ⅱ-71,Ⅱ-72</t>
        </is>
      </c>
      <c r="F59" s="23" t="inlineStr">
        <is>
          <t>doc01-12</t>
        </is>
      </c>
      <c r="G59" s="23" t="inlineStr">
        <is>
          <t>未依頼</t>
        </is>
      </c>
      <c r="H59" s="25" t="inlineStr"/>
    </row>
    <row r="60" ht="34" customHeight="1">
      <c r="A60" s="34" t="inlineStr">
        <is>
          <t>B</t>
        </is>
      </c>
      <c r="B60" s="24" t="inlineStr">
        <is>
          <t>計画構成</t>
        </is>
      </c>
      <c r="C60" s="25" t="inlineStr">
        <is>
          <t>整合を図る関連計画の網羅（障がい福祉計画・障がい者計画・地域福祉計画等）</t>
        </is>
      </c>
      <c r="D60" s="25" t="inlineStr">
        <is>
          <t>資料には基本指針・第5次総合振興計画・第3次健康21のみ記載。</t>
        </is>
      </c>
      <c r="E60" s="23" t="inlineStr">
        <is>
          <t>Ⅱ-72</t>
        </is>
      </c>
      <c r="F60" s="23" t="inlineStr">
        <is>
          <t>doc19 追-13</t>
        </is>
      </c>
      <c r="G60" s="23" t="inlineStr">
        <is>
          <t>未依頼</t>
        </is>
      </c>
      <c r="H60" s="25" t="inlineStr"/>
    </row>
    <row r="61" ht="34" customHeight="1">
      <c r="A61" s="34" t="inlineStr">
        <is>
          <t>B</t>
        </is>
      </c>
      <c r="B61" s="24" t="inlineStr">
        <is>
          <t>調査設計</t>
        </is>
      </c>
      <c r="C61" s="25" t="inlineStr">
        <is>
          <t>督促（リマインド）の実施可否と追加郵送費の扱い</t>
        </is>
      </c>
      <c r="D61" s="25" t="inlineStr">
        <is>
          <t>第9期の在宅調査は回収率45.8%（72人中33人）。150人でも同率なら約69件で、クロス集計に耐えない可能性。</t>
        </is>
      </c>
      <c r="E61" s="23" t="inlineStr">
        <is>
          <t>Ⅰ-31</t>
        </is>
      </c>
      <c r="F61" s="23" t="inlineStr">
        <is>
          <t>doc19 追-6</t>
        </is>
      </c>
      <c r="G61" s="23" t="inlineStr">
        <is>
          <t>未依頼</t>
        </is>
      </c>
      <c r="H61" s="25" t="inlineStr"/>
    </row>
    <row r="62" ht="34" customHeight="1">
      <c r="A62" s="34" t="inlineStr">
        <is>
          <t>B</t>
        </is>
      </c>
      <c r="B62" s="24" t="inlineStr">
        <is>
          <t>調査設計</t>
        </is>
      </c>
      <c r="C62" s="25" t="inlineStr">
        <is>
          <t>集計・分析で村が最も確認したい事項（クロス集計の設計）</t>
        </is>
      </c>
      <c r="D62" s="25" t="inlineStr">
        <is>
          <t>資料5の論点表から落とす。地区別（北山・大塩・桧原・裏磐梯）は第9期報告書が全設問で実施しており踏襲が前提だが、多重クロスは特定リスクがあるため細分の程度を確認。</t>
        </is>
      </c>
      <c r="E62" s="23" t="inlineStr">
        <is>
          <t>Ⅰ-40,Ⅰ-42</t>
        </is>
      </c>
      <c r="F62" s="23" t="inlineStr">
        <is>
          <t>doc19 追-7</t>
        </is>
      </c>
      <c r="G62" s="23" t="inlineStr">
        <is>
          <t>未依頼</t>
        </is>
      </c>
      <c r="H62" s="25" t="inlineStr"/>
    </row>
    <row r="63" ht="34" customHeight="1">
      <c r="A63" s="35" t="inlineStr">
        <is>
          <t>C</t>
        </is>
      </c>
      <c r="B63" s="24" t="inlineStr">
        <is>
          <t>成果品</t>
        </is>
      </c>
      <c r="C63" s="25" t="inlineStr">
        <is>
          <t>計画書の判型・レイアウト・表紙デザインの踏襲可否</t>
        </is>
      </c>
      <c r="D63" s="25" t="inlineStr">
        <is>
          <t>第9期はA4・本文104頁・全6章＋資料編。</t>
        </is>
      </c>
      <c r="E63" s="23" t="inlineStr">
        <is>
          <t>Ⅳ-89</t>
        </is>
      </c>
      <c r="F63" s="23" t="inlineStr">
        <is>
          <t>doc01-10</t>
        </is>
      </c>
      <c r="G63" s="23" t="inlineStr">
        <is>
          <t>未依頼</t>
        </is>
      </c>
      <c r="H63" s="25" t="inlineStr"/>
    </row>
    <row r="64" ht="34" customHeight="1">
      <c r="A64" s="35" t="inlineStr">
        <is>
          <t>C</t>
        </is>
      </c>
      <c r="B64" s="24" t="inlineStr">
        <is>
          <t>成果品</t>
        </is>
      </c>
      <c r="C64" s="25" t="inlineStr">
        <is>
          <t>概要版の要否（仕様書に記載なし。第9期は概要版を作成している）</t>
        </is>
      </c>
      <c r="D64" s="25" t="inlineStr">
        <is>
          <t>★第9期概要版（2ページ）の現物を受領し存在を確認。仕様書に記載がないため別途対応か要確認。</t>
        </is>
      </c>
      <c r="E64" s="23" t="inlineStr">
        <is>
          <t>Ⅳ-92</t>
        </is>
      </c>
      <c r="F64" s="23" t="inlineStr">
        <is>
          <t>doc01-10,doc08</t>
        </is>
      </c>
      <c r="G64" s="23" t="inlineStr">
        <is>
          <t>未依頼</t>
        </is>
      </c>
      <c r="H64" s="25" t="inlineStr"/>
    </row>
    <row r="66" ht="20" customHeight="1">
      <c r="A66" s="36" t="inlineStr">
        <is>
          <t>■ 解決済み（記録）</t>
        </is>
      </c>
    </row>
    <row r="67" ht="34" customHeight="1">
      <c r="A67" s="37" t="inlineStr">
        <is>
          <t>―</t>
        </is>
      </c>
      <c r="B67" s="38" t="inlineStr">
        <is>
          <t>データ</t>
        </is>
      </c>
      <c r="C67" s="39" t="inlineStr">
        <is>
          <t>高齢化率・認定率・費用額・保険料の福島県平均／全国平均</t>
        </is>
      </c>
      <c r="D67" s="39" t="inlineStr">
        <is>
          <t>地域分析P1〜P4の受領により解決。県内順位・全国順位も入手。</t>
        </is>
      </c>
      <c r="E67" s="37" t="inlineStr">
        <is>
          <t>Ⅱ-56,Ⅱ-58</t>
        </is>
      </c>
      <c r="F67" s="37" t="inlineStr">
        <is>
          <t>doc09</t>
        </is>
      </c>
      <c r="G67" s="37" t="inlineStr">
        <is>
          <t>解決済</t>
        </is>
      </c>
      <c r="H67" s="39" t="inlineStr"/>
    </row>
    <row r="68" ht="34" customHeight="1">
      <c r="A68" s="37" t="inlineStr">
        <is>
          <t>―</t>
        </is>
      </c>
      <c r="B68" s="38" t="inlineStr">
        <is>
          <t>データ</t>
        </is>
      </c>
      <c r="C68" s="39" t="inlineStr">
        <is>
          <t>1人あたり指標に用いる高齢者人口の分母の統一</t>
        </is>
      </c>
      <c r="D68" s="39" t="inlineStr">
        <is>
          <t>C1系の分母がB1第1号被保険者数であることを確認し解決。計画書はB1に統一。</t>
        </is>
      </c>
      <c r="E68" s="37" t="inlineStr">
        <is>
          <t>Ⅱ-59</t>
        </is>
      </c>
      <c r="F68" s="37" t="inlineStr">
        <is>
          <t>doc02§20-2</t>
        </is>
      </c>
      <c r="G68" s="37" t="inlineStr">
        <is>
          <t>解決済</t>
        </is>
      </c>
      <c r="H68" s="39" t="inlineStr"/>
    </row>
    <row r="69" ht="34" customHeight="1">
      <c r="A69" s="37" t="inlineStr">
        <is>
          <t>―</t>
        </is>
      </c>
      <c r="B69" s="38" t="inlineStr">
        <is>
          <t>データ</t>
        </is>
      </c>
      <c r="C69" s="39" t="inlineStr">
        <is>
          <t>国の指針・様式の更新有無</t>
        </is>
      </c>
      <c r="D69" s="39" t="inlineStr">
        <is>
          <t>令和7年8月版の標準様式を入手し逐条突合を完了（要確認0件）。</t>
        </is>
      </c>
      <c r="E69" s="37" t="inlineStr">
        <is>
          <t>Ⅰ-11</t>
        </is>
      </c>
      <c r="F69" s="37" t="inlineStr">
        <is>
          <t>doc04,doc05</t>
        </is>
      </c>
      <c r="G69" s="37" t="inlineStr">
        <is>
          <t>解決済</t>
        </is>
      </c>
      <c r="H69" s="39" t="inlineStr"/>
    </row>
  </sheetData>
  <autoFilter ref="A4:H64"/>
  <mergeCells count="3">
    <mergeCell ref="A2:H2"/>
    <mergeCell ref="A66:H66"/>
    <mergeCell ref="A1:H1"/>
  </mergeCells>
  <dataValidations count="2">
    <dataValidation sqref="A5:A64" showDropDown="0" showInputMessage="0" showErrorMessage="0" allowBlank="1" type="list">
      <formula1>"S,A,B,C"</formula1>
    </dataValidation>
    <dataValidation sqref="G5:G6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40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40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40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40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40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40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40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40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40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40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40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40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40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40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40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0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1" t="inlineStr">
        <is>
          <t>凡例・入力ルール／進捗集計</t>
        </is>
      </c>
    </row>
    <row r="4">
      <c r="B4" s="36" t="inlineStr">
        <is>
          <t>■ 入力する列（ここだけ編集してください）</t>
        </is>
      </c>
    </row>
    <row r="5">
      <c r="B5" s="42" t="inlineStr">
        <is>
          <t>予定開始・予定完了</t>
        </is>
      </c>
      <c r="C5" s="43" t="inlineStr">
        <is>
          <t>日付</t>
        </is>
      </c>
      <c r="D5" s="43" t="inlineStr">
        <is>
          <t>yyyy/mm/dd 形式で入力します。村との協議で工程が固まり次第、入力してください。</t>
        </is>
      </c>
      <c r="E5" s="44" t="n"/>
      <c r="F5" s="44" t="n"/>
      <c r="G5" s="44" t="n"/>
      <c r="H5" s="44" t="n"/>
    </row>
    <row r="6">
      <c r="B6" s="42" t="inlineStr">
        <is>
          <t>実績開始・実績完了</t>
        </is>
      </c>
      <c r="C6" s="43" t="inlineStr">
        <is>
          <t>日付</t>
        </is>
      </c>
      <c r="D6" s="43" t="inlineStr">
        <is>
          <t>着手日・完了日を実績として入力します。</t>
        </is>
      </c>
      <c r="E6" s="44" t="n"/>
      <c r="F6" s="44" t="n"/>
      <c r="G6" s="44" t="n"/>
      <c r="H6" s="44" t="n"/>
    </row>
    <row r="7">
      <c r="B7" s="42" t="inlineStr">
        <is>
          <t>進捗率</t>
        </is>
      </c>
      <c r="C7" s="43" t="inlineStr">
        <is>
          <t>％</t>
        </is>
      </c>
      <c r="D7" s="43" t="inlineStr">
        <is>
          <t>0〜100% を入力します。完了時は 100%。</t>
        </is>
      </c>
      <c r="E7" s="44" t="n"/>
      <c r="F7" s="44" t="n"/>
      <c r="G7" s="44" t="n"/>
      <c r="H7" s="44" t="n"/>
    </row>
    <row r="8">
      <c r="B8" s="42" t="inlineStr">
        <is>
          <t>ステータス</t>
        </is>
      </c>
      <c r="C8" s="43" t="inlineStr">
        <is>
          <t>選択</t>
        </is>
      </c>
      <c r="D8" s="43" t="inlineStr">
        <is>
          <t>未着手／着手／確認中／完了／保留／対象外 から選択します。</t>
        </is>
      </c>
      <c r="E8" s="44" t="n"/>
      <c r="F8" s="44" t="n"/>
      <c r="G8" s="44" t="n"/>
      <c r="H8" s="44" t="n"/>
    </row>
    <row r="9">
      <c r="B9" s="42" t="inlineStr">
        <is>
          <t>備考</t>
        </is>
      </c>
      <c r="C9" s="43" t="inlineStr">
        <is>
          <t>自由</t>
        </is>
      </c>
      <c r="D9" s="43" t="inlineStr">
        <is>
          <t>課題・懸案・村への確認事項などを記入します。</t>
        </is>
      </c>
      <c r="E9" s="44" t="n"/>
      <c r="F9" s="44" t="n"/>
      <c r="G9" s="44" t="n"/>
      <c r="H9" s="44" t="n"/>
    </row>
    <row r="11">
      <c r="B11" s="36" t="inlineStr">
        <is>
          <t>■ 行の塗り分け</t>
        </is>
      </c>
    </row>
    <row r="12">
      <c r="B12" s="45" t="inlineStr">
        <is>
          <t>薄い緑</t>
        </is>
      </c>
      <c r="C12" s="43" t="inlineStr">
        <is>
          <t>完了した作業です。</t>
        </is>
      </c>
      <c r="D12" s="44" t="n"/>
      <c r="E12" s="44" t="n"/>
      <c r="F12" s="44" t="n"/>
      <c r="G12" s="44" t="n"/>
      <c r="H12" s="44" t="n"/>
    </row>
    <row r="13">
      <c r="B13" s="46" t="inlineStr">
        <is>
          <t>薄い黄</t>
        </is>
      </c>
      <c r="C13" s="43" t="inlineStr">
        <is>
          <t>着手中・確認中の作業、または北塩原村が担当する作業です。</t>
        </is>
      </c>
      <c r="D13" s="44" t="n"/>
      <c r="E13" s="44" t="n"/>
      <c r="F13" s="44" t="n"/>
      <c r="G13" s="44" t="n"/>
      <c r="H13" s="44" t="n"/>
    </row>
    <row r="14">
      <c r="B14" s="47" t="inlineStr">
        <is>
          <t>薄い赤</t>
        </is>
      </c>
      <c r="C14" s="43" t="inlineStr">
        <is>
          <t>「村への確認事項」シートの優先度S・A、および未受領の資料です。</t>
        </is>
      </c>
      <c r="D14" s="44" t="n"/>
      <c r="E14" s="44" t="n"/>
      <c r="F14" s="44" t="n"/>
      <c r="G14" s="44" t="n"/>
      <c r="H14" s="44" t="n"/>
    </row>
    <row r="16">
      <c r="B16" s="36" t="inlineStr">
        <is>
          <t>■ 進捗集計（WBSシートから自動集計されます）</t>
        </is>
      </c>
    </row>
    <row r="17">
      <c r="B17" s="48" t="inlineStr">
        <is>
          <t>大分類</t>
        </is>
      </c>
      <c r="C17" s="48" t="inlineStr">
        <is>
          <t>件数</t>
        </is>
      </c>
      <c r="D17" s="48" t="inlineStr">
        <is>
          <t>未着手</t>
        </is>
      </c>
      <c r="E17" s="48" t="inlineStr">
        <is>
          <t>着手</t>
        </is>
      </c>
      <c r="F17" s="48" t="inlineStr">
        <is>
          <t>確認中</t>
        </is>
      </c>
      <c r="G17" s="48" t="inlineStr">
        <is>
          <t>完了</t>
        </is>
      </c>
      <c r="H17" s="48" t="inlineStr">
        <is>
          <t>保留</t>
        </is>
      </c>
      <c r="I17" s="48" t="inlineStr">
        <is>
          <t>対象外</t>
        </is>
      </c>
    </row>
    <row r="18">
      <c r="B18" s="43" t="inlineStr">
        <is>
          <t>０ 契約・立上げ</t>
        </is>
      </c>
      <c r="C18" s="49">
        <f>COUNTIF('WBS・進捗管理'!$B$5:$B$101,$B18)</f>
        <v/>
      </c>
      <c r="D18" s="49">
        <f>COUNTIFS('WBS・進捗管理'!$B$5:$B$101,$B18,'WBS・進捗管理'!$O$5:$O$101,D$17)</f>
        <v/>
      </c>
      <c r="E18" s="49">
        <f>COUNTIFS('WBS・進捗管理'!$B$5:$B$101,$B18,'WBS・進捗管理'!$O$5:$O$101,E$17)</f>
        <v/>
      </c>
      <c r="F18" s="49">
        <f>COUNTIFS('WBS・進捗管理'!$B$5:$B$101,$B18,'WBS・進捗管理'!$O$5:$O$101,F$17)</f>
        <v/>
      </c>
      <c r="G18" s="49">
        <f>COUNTIFS('WBS・進捗管理'!$B$5:$B$101,$B18,'WBS・進捗管理'!$O$5:$O$101,G$17)</f>
        <v/>
      </c>
      <c r="H18" s="49">
        <f>COUNTIFS('WBS・進捗管理'!$B$5:$B$101,$B18,'WBS・進捗管理'!$O$5:$O$101,H$17)</f>
        <v/>
      </c>
      <c r="I18" s="49">
        <f>COUNTIFS('WBS・進捗管理'!$B$5:$B$101,$B18,'WBS・進捗管理'!$O$5:$O$101,I$17)</f>
        <v/>
      </c>
    </row>
    <row r="19">
      <c r="B19" s="43" t="inlineStr">
        <is>
          <t>Ⅰ ニーズ調査</t>
        </is>
      </c>
      <c r="C19" s="49">
        <f>COUNTIF('WBS・進捗管理'!$B$5:$B$101,$B19)</f>
        <v/>
      </c>
      <c r="D19" s="49">
        <f>COUNTIFS('WBS・進捗管理'!$B$5:$B$101,$B19,'WBS・進捗管理'!$O$5:$O$101,D$17)</f>
        <v/>
      </c>
      <c r="E19" s="49">
        <f>COUNTIFS('WBS・進捗管理'!$B$5:$B$101,$B19,'WBS・進捗管理'!$O$5:$O$101,E$17)</f>
        <v/>
      </c>
      <c r="F19" s="49">
        <f>COUNTIFS('WBS・進捗管理'!$B$5:$B$101,$B19,'WBS・進捗管理'!$O$5:$O$101,F$17)</f>
        <v/>
      </c>
      <c r="G19" s="49">
        <f>COUNTIFS('WBS・進捗管理'!$B$5:$B$101,$B19,'WBS・進捗管理'!$O$5:$O$101,G$17)</f>
        <v/>
      </c>
      <c r="H19" s="49">
        <f>COUNTIFS('WBS・進捗管理'!$B$5:$B$101,$B19,'WBS・進捗管理'!$O$5:$O$101,H$17)</f>
        <v/>
      </c>
      <c r="I19" s="49">
        <f>COUNTIFS('WBS・進捗管理'!$B$5:$B$101,$B19,'WBS・進捗管理'!$O$5:$O$101,I$17)</f>
        <v/>
      </c>
    </row>
    <row r="20">
      <c r="B20" s="43" t="inlineStr">
        <is>
          <t>Ⅱ 計画策定</t>
        </is>
      </c>
      <c r="C20" s="49">
        <f>COUNTIF('WBS・進捗管理'!$B$5:$B$101,$B20)</f>
        <v/>
      </c>
      <c r="D20" s="49">
        <f>COUNTIFS('WBS・進捗管理'!$B$5:$B$101,$B20,'WBS・進捗管理'!$O$5:$O$101,D$17)</f>
        <v/>
      </c>
      <c r="E20" s="49">
        <f>COUNTIFS('WBS・進捗管理'!$B$5:$B$101,$B20,'WBS・進捗管理'!$O$5:$O$101,E$17)</f>
        <v/>
      </c>
      <c r="F20" s="49">
        <f>COUNTIFS('WBS・進捗管理'!$B$5:$B$101,$B20,'WBS・進捗管理'!$O$5:$O$101,F$17)</f>
        <v/>
      </c>
      <c r="G20" s="49">
        <f>COUNTIFS('WBS・進捗管理'!$B$5:$B$101,$B20,'WBS・進捗管理'!$O$5:$O$101,G$17)</f>
        <v/>
      </c>
      <c r="H20" s="49">
        <f>COUNTIFS('WBS・進捗管理'!$B$5:$B$101,$B20,'WBS・進捗管理'!$O$5:$O$101,H$17)</f>
        <v/>
      </c>
      <c r="I20" s="49">
        <f>COUNTIFS('WBS・進捗管理'!$B$5:$B$101,$B20,'WBS・進捗管理'!$O$5:$O$101,I$17)</f>
        <v/>
      </c>
    </row>
    <row r="21">
      <c r="B21" s="43" t="inlineStr">
        <is>
          <t>Ⅲ 打合せ等</t>
        </is>
      </c>
      <c r="C21" s="49">
        <f>COUNTIF('WBS・進捗管理'!$B$5:$B$101,$B21)</f>
        <v/>
      </c>
      <c r="D21" s="49">
        <f>COUNTIFS('WBS・進捗管理'!$B$5:$B$101,$B21,'WBS・進捗管理'!$O$5:$O$101,D$17)</f>
        <v/>
      </c>
      <c r="E21" s="49">
        <f>COUNTIFS('WBS・進捗管理'!$B$5:$B$101,$B21,'WBS・進捗管理'!$O$5:$O$101,E$17)</f>
        <v/>
      </c>
      <c r="F21" s="49">
        <f>COUNTIFS('WBS・進捗管理'!$B$5:$B$101,$B21,'WBS・進捗管理'!$O$5:$O$101,F$17)</f>
        <v/>
      </c>
      <c r="G21" s="49">
        <f>COUNTIFS('WBS・進捗管理'!$B$5:$B$101,$B21,'WBS・進捗管理'!$O$5:$O$101,G$17)</f>
        <v/>
      </c>
      <c r="H21" s="49">
        <f>COUNTIFS('WBS・進捗管理'!$B$5:$B$101,$B21,'WBS・進捗管理'!$O$5:$O$101,H$17)</f>
        <v/>
      </c>
      <c r="I21" s="49">
        <f>COUNTIFS('WBS・進捗管理'!$B$5:$B$101,$B21,'WBS・進捗管理'!$O$5:$O$101,I$17)</f>
        <v/>
      </c>
    </row>
    <row r="22">
      <c r="B22" s="43" t="inlineStr">
        <is>
          <t>Ⅳ 成果品・納品</t>
        </is>
      </c>
      <c r="C22" s="49">
        <f>COUNTIF('WBS・進捗管理'!$B$5:$B$101,$B22)</f>
        <v/>
      </c>
      <c r="D22" s="49">
        <f>COUNTIFS('WBS・進捗管理'!$B$5:$B$101,$B22,'WBS・進捗管理'!$O$5:$O$101,D$17)</f>
        <v/>
      </c>
      <c r="E22" s="49">
        <f>COUNTIFS('WBS・進捗管理'!$B$5:$B$101,$B22,'WBS・進捗管理'!$O$5:$O$101,E$17)</f>
        <v/>
      </c>
      <c r="F22" s="49">
        <f>COUNTIFS('WBS・進捗管理'!$B$5:$B$101,$B22,'WBS・進捗管理'!$O$5:$O$101,F$17)</f>
        <v/>
      </c>
      <c r="G22" s="49">
        <f>COUNTIFS('WBS・進捗管理'!$B$5:$B$101,$B22,'WBS・進捗管理'!$O$5:$O$101,G$17)</f>
        <v/>
      </c>
      <c r="H22" s="49">
        <f>COUNTIFS('WBS・進捗管理'!$B$5:$B$101,$B22,'WBS・進捗管理'!$O$5:$O$101,H$17)</f>
        <v/>
      </c>
      <c r="I22" s="49">
        <f>COUNTIFS('WBS・進捗管理'!$B$5:$B$101,$B22,'WBS・進捗管理'!$O$5:$O$101,I$17)</f>
        <v/>
      </c>
    </row>
    <row r="23">
      <c r="B23" s="43" t="inlineStr">
        <is>
          <t>Ⅴ 管理</t>
        </is>
      </c>
      <c r="C23" s="49">
        <f>COUNTIF('WBS・進捗管理'!$B$5:$B$101,$B23)</f>
        <v/>
      </c>
      <c r="D23" s="49">
        <f>COUNTIFS('WBS・進捗管理'!$B$5:$B$101,$B23,'WBS・進捗管理'!$O$5:$O$101,D$17)</f>
        <v/>
      </c>
      <c r="E23" s="49">
        <f>COUNTIFS('WBS・進捗管理'!$B$5:$B$101,$B23,'WBS・進捗管理'!$O$5:$O$101,E$17)</f>
        <v/>
      </c>
      <c r="F23" s="49">
        <f>COUNTIFS('WBS・進捗管理'!$B$5:$B$101,$B23,'WBS・進捗管理'!$O$5:$O$101,F$17)</f>
        <v/>
      </c>
      <c r="G23" s="49">
        <f>COUNTIFS('WBS・進捗管理'!$B$5:$B$101,$B23,'WBS・進捗管理'!$O$5:$O$101,G$17)</f>
        <v/>
      </c>
      <c r="H23" s="49">
        <f>COUNTIFS('WBS・進捗管理'!$B$5:$B$101,$B23,'WBS・進捗管理'!$O$5:$O$101,H$17)</f>
        <v/>
      </c>
      <c r="I23" s="49">
        <f>COUNTIFS('WBS・進捗管理'!$B$5:$B$101,$B23,'WBS・進捗管理'!$O$5:$O$101,I$17)</f>
        <v/>
      </c>
    </row>
    <row r="24">
      <c r="B24" s="50" t="inlineStr">
        <is>
          <t>合計</t>
        </is>
      </c>
      <c r="C24" s="51">
        <f>SUM(C18:C23)</f>
        <v/>
      </c>
      <c r="D24" s="51">
        <f>SUM(D18:D23)</f>
        <v/>
      </c>
      <c r="E24" s="51">
        <f>SUM(E18:E23)</f>
        <v/>
      </c>
      <c r="F24" s="51">
        <f>SUM(F18:F23)</f>
        <v/>
      </c>
      <c r="G24" s="51">
        <f>SUM(G18:G23)</f>
        <v/>
      </c>
      <c r="H24" s="51">
        <f>SUM(H18:H23)</f>
        <v/>
      </c>
      <c r="I24" s="51">
        <f>SUM(I18:I23)</f>
        <v/>
      </c>
    </row>
    <row r="26">
      <c r="B26" s="36" t="inlineStr">
        <is>
          <t>■ 主要指標</t>
        </is>
      </c>
    </row>
    <row r="27">
      <c r="B27" s="52" t="inlineStr">
        <is>
          <t>全体進捗率（平均）</t>
        </is>
      </c>
      <c r="C27" s="53">
        <f>AVERAGE('WBS・進捗管理'!$N$5:$N$101)</f>
        <v/>
      </c>
    </row>
    <row r="28">
      <c r="B28" s="52" t="inlineStr">
        <is>
          <t>作業総数</t>
        </is>
      </c>
      <c r="C28" s="54">
        <f>COUNTA('WBS・進捗管理'!$A$5:$A$101)</f>
        <v/>
      </c>
    </row>
    <row r="29">
      <c r="B29" s="52" t="inlineStr">
        <is>
          <t>完了した作業</t>
        </is>
      </c>
      <c r="C29" s="54">
        <f>COUNTIF('WBS・進捗管理'!$O$5:$O$101,"完了")</f>
        <v/>
      </c>
    </row>
    <row r="30">
      <c r="B30" s="52" t="inlineStr">
        <is>
          <t>着手・確認中の作業</t>
        </is>
      </c>
      <c r="C30" s="54">
        <f>COUNTIF('WBS・進捗管理'!$O$5:$O$101,"着手")+COUNTIF('WBS・進捗管理'!$O$5:$O$101,"確認中")</f>
        <v/>
      </c>
    </row>
    <row r="31">
      <c r="B31" s="52" t="inlineStr">
        <is>
          <t>未着手の作業</t>
        </is>
      </c>
      <c r="C31" s="54">
        <f>COUNTIF('WBS・進捗管理'!$O$5:$O$101,"未着手")</f>
        <v/>
      </c>
    </row>
    <row r="32">
      <c r="B32" s="52" t="inlineStr">
        <is>
          <t>村への確認事項（優先度S）</t>
        </is>
      </c>
      <c r="C32" s="54">
        <f>COUNTIF('村への確認事項'!$A:$A,"S")</f>
        <v/>
      </c>
    </row>
    <row r="33">
      <c r="B33" s="52" t="inlineStr">
        <is>
          <t>村への確認事項（優先度A）</t>
        </is>
      </c>
      <c r="C33" s="54">
        <f>COUNTIF('村への確認事項'!$A:$A,"A")</f>
        <v/>
      </c>
    </row>
    <row r="34">
      <c r="B34" s="52" t="inlineStr">
        <is>
          <t>村への確認事項（未依頼）</t>
        </is>
      </c>
      <c r="C34" s="54">
        <f>COUNTIF('村への確認事項'!$G:$G,"未依頼")</f>
        <v/>
      </c>
    </row>
    <row r="35">
      <c r="B35" s="52" t="inlineStr">
        <is>
          <t>未受領の資料・データ</t>
        </is>
      </c>
      <c r="C35" s="54">
        <f>COUNTIF('受領資料・データ管理'!$F:$F,"未受領")</f>
        <v/>
      </c>
    </row>
    <row r="37">
      <c r="B37" s="55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8">
      <c r="B38" s="55" t="inlineStr">
        <is>
          <t>※ 想定時期は仕様書の履行期限（令和9年3月31日）から逆算した目安です。村との協議結果により確定します。</t>
        </is>
      </c>
    </row>
    <row r="39">
      <c r="B39" s="55" t="inlineStr">
        <is>
          <t>※ 令和8年9月19日（土）〜23日（水）は5連休（敬老の日9/21・国民の休日9/22・秋分の日9/23）です。発送・回収工程に影響します。</t>
        </is>
      </c>
    </row>
    <row r="40">
      <c r="B40" s="55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2026-08-31T23:56:30Z</dcterms:created>
  <dcterms:modified xsi:type="dcterms:W3CDTF">2026-08-31T23:56:30Z</dcterms:modified>
</cp:coreProperties>
</file>