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WBS・進捗管理" sheetId="1" state="visible" r:id="rId1"/>
    <sheet name="村への確認事項" sheetId="2" state="visible" r:id="rId2"/>
    <sheet name="仕様書対照" sheetId="3" state="visible" r:id="rId3"/>
    <sheet name="受領資料・データ管理" sheetId="4" state="visible" r:id="rId4"/>
    <sheet name="凡例・集計" sheetId="5" state="visible" r:id="rId5"/>
  </sheets>
  <definedNames>
    <definedName name="_xlnm._FilterDatabase" localSheetId="0" hidden="1">'WBS・進捗管理'!$A$4:$P$118</definedName>
    <definedName name="_xlnm._FilterDatabase" localSheetId="1" hidden="1">'村への確認事項'!$A$4:$H$173</definedName>
    <definedName name="_xlnm._FilterDatabase" localSheetId="2" hidden="1">'仕様書対照'!$A$4:$H$103</definedName>
    <definedName name="_xlnm._FilterDatabase" localSheetId="3" hidden="1">'受領資料・データ管理'!$A$4:$F$45</definedName>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0.0%"/>
  </numFmts>
  <fonts count="12">
    <font>
      <name val="Calibri"/>
      <family val="2"/>
      <color theme="1"/>
      <sz val="11"/>
      <scheme val="minor"/>
    </font>
    <font>
      <name val="游ゴシック"/>
      <b val="1"/>
      <color rgb="00FFFFFF"/>
      <sz val="14"/>
    </font>
    <font>
      <name val="游ゴシック"/>
      <sz val="9"/>
    </font>
    <font>
      <name val="游ゴシック"/>
      <b val="1"/>
      <color rgb="00FFFFFF"/>
      <sz val="10"/>
    </font>
    <font>
      <name val="游ゴシック"/>
      <b val="1"/>
      <color rgb="001F3864"/>
      <sz val="9"/>
    </font>
    <font>
      <name val="游ゴシック"/>
      <b val="1"/>
      <sz val="9"/>
    </font>
    <font>
      <name val="游ゴシック"/>
      <b val="1"/>
      <sz val="10"/>
    </font>
    <font>
      <name val="游ゴシック"/>
      <b val="1"/>
      <color rgb="00FFFFFF"/>
      <sz val="9"/>
    </font>
    <font>
      <name val="游ゴシック"/>
      <b val="1"/>
      <sz val="8"/>
    </font>
    <font>
      <name val="游ゴシック"/>
      <sz val="8"/>
    </font>
    <font>
      <name val="游ゴシック"/>
      <b val="1"/>
      <color rgb="00FFFFFF"/>
      <sz val="13"/>
    </font>
    <font>
      <name val="游ゴシック"/>
      <b val="1"/>
      <color rgb="001F3864"/>
      <sz val="12"/>
    </font>
  </fonts>
  <fills count="15">
    <fill>
      <patternFill/>
    </fill>
    <fill>
      <patternFill patternType="gray125"/>
    </fill>
    <fill>
      <patternFill patternType="solid">
        <fgColor rgb="001F3864"/>
      </patternFill>
    </fill>
    <fill>
      <patternFill patternType="solid">
        <fgColor rgb="00DDEBF7"/>
      </patternFill>
    </fill>
    <fill>
      <patternFill patternType="solid">
        <fgColor rgb="002E75B6"/>
      </patternFill>
    </fill>
    <fill>
      <patternFill patternType="solid">
        <fgColor rgb="00E2EFDA"/>
      </patternFill>
    </fill>
    <fill>
      <patternFill patternType="solid">
        <fgColor rgb="00FFF2CC"/>
      </patternFill>
    </fill>
    <fill>
      <patternFill patternType="solid">
        <fgColor rgb="00F7FAFC"/>
      </patternFill>
    </fill>
    <fill>
      <patternFill patternType="solid">
        <fgColor rgb="00FF5050"/>
      </patternFill>
    </fill>
    <fill>
      <patternFill patternType="solid">
        <fgColor rgb="00FFF3F3"/>
      </patternFill>
    </fill>
    <fill>
      <patternFill patternType="solid">
        <fgColor rgb="00FFC000"/>
      </patternFill>
    </fill>
    <fill>
      <patternFill patternType="solid">
        <fgColor rgb="00FFE699"/>
      </patternFill>
    </fill>
    <fill>
      <patternFill patternType="solid">
        <fgColor rgb="00D9D9D9"/>
      </patternFill>
    </fill>
    <fill>
      <patternFill patternType="solid">
        <fgColor rgb="00E7E6E6"/>
      </patternFill>
    </fill>
    <fill>
      <patternFill patternType="solid">
        <fgColor rgb="00FCE4D6"/>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64">
    <xf numFmtId="0" fontId="0" fillId="0" borderId="0" pivotButton="0" quotePrefix="0" xfId="0"/>
    <xf numFmtId="0" fontId="1" fillId="2" borderId="0" applyAlignment="1" pivotButton="0" quotePrefix="0" xfId="0">
      <alignment horizontal="center" vertical="center"/>
    </xf>
    <xf numFmtId="0" fontId="2" fillId="3" borderId="0" applyAlignment="1" pivotButton="0" quotePrefix="0" xfId="0">
      <alignment horizontal="left" vertical="center" indent="1"/>
    </xf>
    <xf numFmtId="0" fontId="3" fillId="4" borderId="1" applyAlignment="1" pivotButton="0" quotePrefix="0" xfId="0">
      <alignment horizontal="center" vertical="center" wrapText="1"/>
    </xf>
    <xf numFmtId="0" fontId="2" fillId="5" borderId="1" applyAlignment="1" pivotButton="0" quotePrefix="0" xfId="0">
      <alignment horizontal="center" vertical="top"/>
    </xf>
    <xf numFmtId="0" fontId="4" fillId="5" borderId="1" applyAlignment="1" pivotButton="0" quotePrefix="0" xfId="0">
      <alignment horizontal="left" vertical="top"/>
    </xf>
    <xf numFmtId="0" fontId="2" fillId="5" borderId="1" applyAlignment="1" pivotButton="0" quotePrefix="0" xfId="0">
      <alignment horizontal="left" vertical="top"/>
    </xf>
    <xf numFmtId="0" fontId="2" fillId="5" borderId="1" applyAlignment="1" pivotButton="0" quotePrefix="0" xfId="0">
      <alignment horizontal="left" vertical="top" wrapText="1"/>
    </xf>
    <xf numFmtId="165" fontId="2" fillId="5" borderId="1" applyAlignment="1" pivotButton="0" quotePrefix="0" xfId="0">
      <alignment horizontal="left" vertical="top"/>
    </xf>
    <xf numFmtId="9" fontId="2" fillId="5" borderId="1" applyAlignment="1" pivotButton="0" quotePrefix="0" xfId="0">
      <alignment horizontal="center" vertical="top"/>
    </xf>
    <xf numFmtId="0" fontId="5" fillId="5" borderId="1" applyAlignment="1" pivotButton="0" quotePrefix="0" xfId="0">
      <alignment horizontal="center" vertical="top"/>
    </xf>
    <xf numFmtId="0" fontId="2" fillId="6" borderId="1" applyAlignment="1" pivotButton="0" quotePrefix="0" xfId="0">
      <alignment horizontal="center" vertical="top"/>
    </xf>
    <xf numFmtId="0" fontId="2" fillId="6" borderId="1" applyAlignment="1" pivotButton="0" quotePrefix="0" xfId="0">
      <alignment horizontal="left" vertical="top"/>
    </xf>
    <xf numFmtId="0" fontId="2" fillId="6" borderId="1" applyAlignment="1" pivotButton="0" quotePrefix="0" xfId="0">
      <alignment horizontal="left" vertical="top" wrapText="1"/>
    </xf>
    <xf numFmtId="165" fontId="2" fillId="6" borderId="1" applyAlignment="1" pivotButton="0" quotePrefix="0" xfId="0">
      <alignment horizontal="left" vertical="top"/>
    </xf>
    <xf numFmtId="9" fontId="2" fillId="6" borderId="1" applyAlignment="1" pivotButton="0" quotePrefix="0" xfId="0">
      <alignment horizontal="center" vertical="top"/>
    </xf>
    <xf numFmtId="0" fontId="5" fillId="6" borderId="1" applyAlignment="1" pivotButton="0" quotePrefix="0" xfId="0">
      <alignment horizontal="center" vertical="top"/>
    </xf>
    <xf numFmtId="0" fontId="4" fillId="6" borderId="1" applyAlignment="1" pivotButton="0" quotePrefix="0" xfId="0">
      <alignment horizontal="left" vertical="top"/>
    </xf>
    <xf numFmtId="0" fontId="2" fillId="7" borderId="1" applyAlignment="1" pivotButton="0" quotePrefix="0" xfId="0">
      <alignment horizontal="center" vertical="top"/>
    </xf>
    <xf numFmtId="0" fontId="2" fillId="7" borderId="1" applyAlignment="1" pivotButton="0" quotePrefix="0" xfId="0">
      <alignment horizontal="left" vertical="top"/>
    </xf>
    <xf numFmtId="0" fontId="2" fillId="7" borderId="1" applyAlignment="1" pivotButton="0" quotePrefix="0" xfId="0">
      <alignment horizontal="left" vertical="top" wrapText="1"/>
    </xf>
    <xf numFmtId="165" fontId="2" fillId="7" borderId="1" applyAlignment="1" pivotButton="0" quotePrefix="0" xfId="0">
      <alignment horizontal="left" vertical="top"/>
    </xf>
    <xf numFmtId="9" fontId="2" fillId="7" borderId="1" applyAlignment="1" pivotButton="0" quotePrefix="0" xfId="0">
      <alignment horizontal="center" vertical="top"/>
    </xf>
    <xf numFmtId="0" fontId="2" fillId="0" borderId="1" applyAlignment="1" pivotButton="0" quotePrefix="0" xfId="0">
      <alignment horizontal="center" vertical="top"/>
    </xf>
    <xf numFmtId="0" fontId="2" fillId="0" borderId="1" applyAlignment="1" pivotButton="0" quotePrefix="0" xfId="0">
      <alignment horizontal="left" vertical="top"/>
    </xf>
    <xf numFmtId="0" fontId="2" fillId="0" borderId="1" applyAlignment="1" pivotButton="0" quotePrefix="0" xfId="0">
      <alignment horizontal="left" vertical="top" wrapText="1"/>
    </xf>
    <xf numFmtId="165" fontId="2" fillId="0" borderId="1" applyAlignment="1" pivotButton="0" quotePrefix="0" xfId="0">
      <alignment horizontal="left" vertical="top"/>
    </xf>
    <xf numFmtId="9" fontId="2" fillId="0" borderId="1" applyAlignment="1" pivotButton="0" quotePrefix="0" xfId="0">
      <alignment horizontal="center" vertical="top"/>
    </xf>
    <xf numFmtId="0" fontId="5" fillId="7" borderId="1" applyAlignment="1" pivotButton="0" quotePrefix="0" xfId="0">
      <alignment horizontal="center" vertical="top"/>
    </xf>
    <xf numFmtId="0" fontId="5" fillId="0" borderId="1" applyAlignment="1" pivotButton="0" quotePrefix="0" xfId="0">
      <alignment horizontal="center" vertical="top"/>
    </xf>
    <xf numFmtId="0" fontId="4" fillId="0" borderId="1" applyAlignment="1" pivotButton="0" quotePrefix="0" xfId="0">
      <alignment horizontal="left" vertical="top"/>
    </xf>
    <xf numFmtId="0" fontId="6" fillId="8" borderId="1" applyAlignment="1" pivotButton="0" quotePrefix="0" xfId="0">
      <alignment horizontal="center" vertical="top"/>
    </xf>
    <xf numFmtId="0" fontId="2" fillId="9" borderId="1" applyAlignment="1" pivotButton="0" quotePrefix="0" xfId="0">
      <alignment horizontal="left" vertical="top"/>
    </xf>
    <xf numFmtId="0" fontId="2" fillId="9" borderId="1" applyAlignment="1" pivotButton="0" quotePrefix="0" xfId="0">
      <alignment horizontal="left" vertical="top" wrapText="1"/>
    </xf>
    <xf numFmtId="0" fontId="2" fillId="9" borderId="1" applyAlignment="1" pivotButton="0" quotePrefix="0" xfId="0">
      <alignment horizontal="center" vertical="top"/>
    </xf>
    <xf numFmtId="0" fontId="6" fillId="10" borderId="1" applyAlignment="1" pivotButton="0" quotePrefix="0" xfId="0">
      <alignment horizontal="center" vertical="top"/>
    </xf>
    <xf numFmtId="0" fontId="6" fillId="11" borderId="1" applyAlignment="1" pivotButton="0" quotePrefix="0" xfId="0">
      <alignment horizontal="center" vertical="top"/>
    </xf>
    <xf numFmtId="0" fontId="6" fillId="12" borderId="1" applyAlignment="1" pivotButton="0" quotePrefix="0" xfId="0">
      <alignment horizontal="center" vertical="top"/>
    </xf>
    <xf numFmtId="0" fontId="3" fillId="4" borderId="0" applyAlignment="1" pivotButton="0" quotePrefix="0" xfId="0">
      <alignment horizontal="left" vertical="center" indent="1"/>
    </xf>
    <xf numFmtId="0" fontId="2" fillId="13" borderId="1" applyAlignment="1" pivotButton="0" quotePrefix="0" xfId="0">
      <alignment horizontal="center" vertical="top"/>
    </xf>
    <xf numFmtId="0" fontId="2" fillId="13" borderId="1" applyAlignment="1" pivotButton="0" quotePrefix="0" xfId="0">
      <alignment horizontal="left" vertical="top"/>
    </xf>
    <xf numFmtId="0" fontId="2" fillId="13" borderId="1" applyAlignment="1" pivotButton="0" quotePrefix="0" xfId="0">
      <alignment horizontal="left" vertical="top" wrapText="1"/>
    </xf>
    <xf numFmtId="0" fontId="7" fillId="4" borderId="1" applyAlignment="1" pivotButton="0" quotePrefix="0" xfId="0">
      <alignment horizontal="center"/>
    </xf>
    <xf numFmtId="0" fontId="0" fillId="13" borderId="1" pivotButton="0" quotePrefix="0" xfId="0"/>
    <xf numFmtId="0" fontId="8" fillId="0" borderId="0" pivotButton="0" quotePrefix="0" xfId="0"/>
    <xf numFmtId="0" fontId="9" fillId="0" borderId="0" pivotButton="0" quotePrefix="0" xfId="0"/>
    <xf numFmtId="165" fontId="2" fillId="5" borderId="1" applyAlignment="1" pivotButton="0" quotePrefix="0" xfId="0">
      <alignment horizontal="center" vertical="top"/>
    </xf>
    <xf numFmtId="0" fontId="10" fillId="2" borderId="0" applyAlignment="1" pivotButton="0" quotePrefix="0" xfId="0">
      <alignment horizontal="center" vertical="center"/>
    </xf>
    <xf numFmtId="0" fontId="5" fillId="0" borderId="1" pivotButton="0" quotePrefix="0" xfId="0"/>
    <xf numFmtId="0" fontId="2" fillId="0" borderId="1" pivotButton="0" quotePrefix="0" xfId="0"/>
    <xf numFmtId="0" fontId="0" fillId="0" borderId="1" pivotButton="0" quotePrefix="0" xfId="0"/>
    <xf numFmtId="0" fontId="5" fillId="5" borderId="1" pivotButton="0" quotePrefix="0" xfId="0"/>
    <xf numFmtId="0" fontId="5" fillId="6" borderId="1" pivotButton="0" quotePrefix="0" xfId="0"/>
    <xf numFmtId="0" fontId="5" fillId="9" borderId="1" pivotButton="0" quotePrefix="0" xfId="0"/>
    <xf numFmtId="0" fontId="2" fillId="0" borderId="1" applyAlignment="1" pivotButton="0" quotePrefix="0" xfId="0">
      <alignment horizontal="center"/>
    </xf>
    <xf numFmtId="0" fontId="5" fillId="3" borderId="1" pivotButton="0" quotePrefix="0" xfId="0"/>
    <xf numFmtId="0" fontId="5" fillId="3" borderId="1" applyAlignment="1" pivotButton="0" quotePrefix="0" xfId="0">
      <alignment horizontal="center"/>
    </xf>
    <xf numFmtId="0" fontId="6" fillId="0" borderId="1" pivotButton="0" quotePrefix="0" xfId="0"/>
    <xf numFmtId="166" fontId="11" fillId="14" borderId="1" applyAlignment="1" pivotButton="0" quotePrefix="0" xfId="0">
      <alignment horizontal="center"/>
    </xf>
    <xf numFmtId="1" fontId="11" fillId="14" borderId="1" applyAlignment="1" pivotButton="0" quotePrefix="0" xfId="0">
      <alignment horizontal="center"/>
    </xf>
    <xf numFmtId="0" fontId="7" fillId="2" borderId="1" applyAlignment="1" pivotButton="0" quotePrefix="0" xfId="0">
      <alignment horizontal="center"/>
    </xf>
    <xf numFmtId="0" fontId="5" fillId="9" borderId="1" applyAlignment="1" pivotButton="0" quotePrefix="0" xfId="0">
      <alignment horizontal="center" vertical="top"/>
    </xf>
    <xf numFmtId="0" fontId="5" fillId="9" borderId="1" applyAlignment="1" pivotButton="0" quotePrefix="0" xfId="0">
      <alignment horizontal="left" vertical="top"/>
    </xf>
    <xf numFmtId="0" fontId="5" fillId="9" borderId="1" applyAlignment="1" pivotButton="0" quotePrefix="0" xfId="0">
      <alignment horizontal="lef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P118"/>
  <sheetViews>
    <sheetView zoomScale="90" workbookViewId="0">
      <pane xSplit="4" ySplit="4" topLeftCell="E5" activePane="bottomRight" state="frozen"/>
      <selection pane="topRight"/>
      <selection pane="bottomLeft"/>
      <selection pane="bottomRight" activeCell="A1" sqref="A1"/>
    </sheetView>
  </sheetViews>
  <sheetFormatPr baseColWidth="8" defaultRowHeight="15"/>
  <cols>
    <col width="9" customWidth="1" min="1" max="1"/>
    <col width="16" customWidth="1" min="2" max="2"/>
    <col width="17" customWidth="1" min="3" max="3"/>
    <col width="42" customWidth="1" min="4" max="4"/>
    <col width="11" customWidth="1" min="5" max="5"/>
    <col width="9" customWidth="1" min="6" max="6"/>
    <col width="26" customWidth="1" min="7" max="7"/>
    <col width="34" customWidth="1" min="8" max="8"/>
    <col width="11" customWidth="1" min="9" max="9"/>
    <col width="12" customWidth="1" min="10" max="10"/>
    <col width="12" customWidth="1" min="11" max="11"/>
    <col width="12" customWidth="1" min="12" max="12"/>
    <col width="12" customWidth="1" min="13" max="13"/>
    <col width="8" customWidth="1" min="14" max="14"/>
    <col width="10" customWidth="1" min="15" max="15"/>
    <col width="52" customWidth="1" min="16" max="16"/>
  </cols>
  <sheetData>
    <row r="1" ht="30" customHeight="1">
      <c r="A1" s="1" t="inlineStr">
        <is>
          <t>第10期北塩原村高齢者福祉計画・第10期北塩原村介護保険事業計画　策定業務　WBS／進捗管理表</t>
        </is>
      </c>
    </row>
    <row r="2" ht="20" customHeight="1">
      <c r="A2" s="2" t="inlineStr">
        <is>
          <t>委託第27号／業務期間：契約締結の日〜令和9年3月31日／計画期間：令和9〜11年度　｜　出典：仕様書（8北保福第483号 別紙）を作業レベルに分解（対応は「仕様書対照」シート）　｜　進捗基準日：令和8年9月28日</t>
        </is>
      </c>
    </row>
    <row r="4" ht="34" customHeight="1">
      <c r="A4" s="3" t="inlineStr">
        <is>
          <t>No.</t>
        </is>
      </c>
      <c r="B4" s="3" t="inlineStr">
        <is>
          <t>大分類</t>
        </is>
      </c>
      <c r="C4" s="3" t="inlineStr">
        <is>
          <t>中分類</t>
        </is>
      </c>
      <c r="D4" s="3" t="inlineStr">
        <is>
          <t>作業項目</t>
        </is>
      </c>
      <c r="E4" s="3" t="inlineStr">
        <is>
          <t>仕様書該当</t>
        </is>
      </c>
      <c r="F4" s="3" t="inlineStr">
        <is>
          <t>担当</t>
        </is>
      </c>
      <c r="G4" s="3" t="inlineStr">
        <is>
          <t>成果物・アウトプット</t>
        </is>
      </c>
      <c r="H4" s="3" t="inlineStr">
        <is>
          <t>前提・依存</t>
        </is>
      </c>
      <c r="I4" s="3" t="inlineStr">
        <is>
          <t>想定時期</t>
        </is>
      </c>
      <c r="J4" s="3" t="inlineStr">
        <is>
          <t>予定開始</t>
        </is>
      </c>
      <c r="K4" s="3" t="inlineStr">
        <is>
          <t>予定完了</t>
        </is>
      </c>
      <c r="L4" s="3" t="inlineStr">
        <is>
          <t>実績開始</t>
        </is>
      </c>
      <c r="M4" s="3" t="inlineStr">
        <is>
          <t>実績完了</t>
        </is>
      </c>
      <c r="N4" s="3" t="inlineStr">
        <is>
          <t>進捗率</t>
        </is>
      </c>
      <c r="O4" s="3" t="inlineStr">
        <is>
          <t>ステータス</t>
        </is>
      </c>
      <c r="P4" s="3" t="inlineStr">
        <is>
          <t>備考</t>
        </is>
      </c>
    </row>
    <row r="5" ht="30" customHeight="1">
      <c r="A5" s="4" t="inlineStr">
        <is>
          <t>０-01</t>
        </is>
      </c>
      <c r="B5" s="5" t="inlineStr">
        <is>
          <t>０ 契約・立上げ</t>
        </is>
      </c>
      <c r="C5" s="6" t="inlineStr">
        <is>
          <t>契約手続</t>
        </is>
      </c>
      <c r="D5" s="7" t="inlineStr">
        <is>
          <t>見積書の提出</t>
        </is>
      </c>
      <c r="E5" s="4" t="inlineStr">
        <is>
          <t>通知2</t>
        </is>
      </c>
      <c r="F5" s="4" t="inlineStr">
        <is>
          <t>受託者</t>
        </is>
      </c>
      <c r="G5" s="7" t="inlineStr">
        <is>
          <t>見積書</t>
        </is>
      </c>
      <c r="H5" s="7" t="inlineStr"/>
      <c r="I5" s="4" t="inlineStr">
        <is>
          <t>R8.8</t>
        </is>
      </c>
      <c r="J5" s="8" t="n"/>
      <c r="K5" s="8" t="n"/>
      <c r="L5" s="8" t="n">
        <v>46235</v>
      </c>
      <c r="M5" s="8" t="n">
        <v>46254</v>
      </c>
      <c r="N5" s="9" t="n">
        <v>1</v>
      </c>
      <c r="O5" s="10" t="inlineStr">
        <is>
          <t>完了</t>
        </is>
      </c>
      <c r="P5" s="7" t="inlineStr">
        <is>
          <t>受注決定の連絡を受領。</t>
        </is>
      </c>
    </row>
    <row r="6" ht="30" customHeight="1">
      <c r="A6" s="11" t="inlineStr">
        <is>
          <t>０-02</t>
        </is>
      </c>
      <c r="B6" s="12" t="inlineStr">
        <is>
          <t>０ 契約・立上げ</t>
        </is>
      </c>
      <c r="C6" s="12" t="inlineStr">
        <is>
          <t>契約手続</t>
        </is>
      </c>
      <c r="D6" s="13" t="inlineStr">
        <is>
          <t>契約締結</t>
        </is>
      </c>
      <c r="E6" s="11" t="inlineStr">
        <is>
          <t>仕様書3</t>
        </is>
      </c>
      <c r="F6" s="11" t="inlineStr">
        <is>
          <t>双方</t>
        </is>
      </c>
      <c r="G6" s="13" t="inlineStr">
        <is>
          <t>委託契約書</t>
        </is>
      </c>
      <c r="H6" s="13" t="inlineStr">
        <is>
          <t>北塩原村委託契約約款に準拠</t>
        </is>
      </c>
      <c r="I6" s="11" t="inlineStr">
        <is>
          <t>R8.9</t>
        </is>
      </c>
      <c r="J6" s="14" t="n"/>
      <c r="K6" s="14" t="n"/>
      <c r="L6" s="14" t="n"/>
      <c r="M6" s="14" t="n"/>
      <c r="N6" s="15" t="n">
        <v>0.5</v>
      </c>
      <c r="O6" s="16" t="inlineStr">
        <is>
          <t>確認中</t>
        </is>
      </c>
      <c r="P6" s="13" t="inlineStr">
        <is>
          <t>受注決定は連絡済。契約締結日・契約書の取り交わし状況を要確認。</t>
        </is>
      </c>
    </row>
    <row r="7" ht="30" customHeight="1">
      <c r="A7" s="4" t="inlineStr">
        <is>
          <t>０-03</t>
        </is>
      </c>
      <c r="B7" s="6" t="inlineStr">
        <is>
          <t>０ 契約・立上げ</t>
        </is>
      </c>
      <c r="C7" s="6" t="inlineStr">
        <is>
          <t>立上げ</t>
        </is>
      </c>
      <c r="D7" s="7" t="inlineStr">
        <is>
          <t>キックオフ会議の開催</t>
        </is>
      </c>
      <c r="E7" s="4" t="inlineStr">
        <is>
          <t>仕様書4Ⅲ</t>
        </is>
      </c>
      <c r="F7" s="4" t="inlineStr">
        <is>
          <t>双方</t>
        </is>
      </c>
      <c r="G7" s="7" t="inlineStr">
        <is>
          <t>キックオフ会議資料・議事録</t>
        </is>
      </c>
      <c r="H7" s="7" t="inlineStr"/>
      <c r="I7" s="4" t="inlineStr">
        <is>
          <t>R8.9上</t>
        </is>
      </c>
      <c r="J7" s="8" t="n"/>
      <c r="K7" s="8" t="n"/>
      <c r="L7" s="8" t="n">
        <v>46259</v>
      </c>
      <c r="M7" s="8" t="n">
        <v>46266</v>
      </c>
      <c r="N7" s="9" t="n">
        <v>1</v>
      </c>
      <c r="O7" s="10" t="inlineStr">
        <is>
          <t>完了</t>
        </is>
      </c>
      <c r="P7" s="7" t="inlineStr">
        <is>
          <t>令和8年9月1日（火）北塩原村役場にて開催。議事録を受領し確認・論点整理を完了（doc22）。優先度S 16件のうち9件が決着。基準日R8.9.1・在宅調査の抽出基準・管理番号の紐付け・発送9/18・ラベル封筒は村が用意・回収は100件ごとの小分け送付。</t>
        </is>
      </c>
    </row>
    <row r="8" ht="30" customHeight="1">
      <c r="A8" s="11" t="inlineStr">
        <is>
          <t>０-04</t>
        </is>
      </c>
      <c r="B8" s="12" t="inlineStr">
        <is>
          <t>０ 契約・立上げ</t>
        </is>
      </c>
      <c r="C8" s="12" t="inlineStr">
        <is>
          <t>立上げ</t>
        </is>
      </c>
      <c r="D8" s="13" t="inlineStr">
        <is>
          <t>連絡体制・資料授受方法の確定</t>
        </is>
      </c>
      <c r="E8" s="11" t="inlineStr">
        <is>
          <t>仕様書4Ⅲ</t>
        </is>
      </c>
      <c r="F8" s="11" t="inlineStr">
        <is>
          <t>双方</t>
        </is>
      </c>
      <c r="G8" s="13" t="inlineStr">
        <is>
          <t>連絡体制表</t>
        </is>
      </c>
      <c r="H8" s="13" t="inlineStr">
        <is>
          <t>所管課（保健福祉課福祉係）の確認</t>
        </is>
      </c>
      <c r="I8" s="11" t="inlineStr">
        <is>
          <t>R8.9上</t>
        </is>
      </c>
      <c r="J8" s="14" t="n"/>
      <c r="K8" s="14" t="n"/>
      <c r="L8" s="14" t="n">
        <v>46259</v>
      </c>
      <c r="M8" s="14" t="n"/>
      <c r="N8" s="15" t="n">
        <v>0.5</v>
      </c>
      <c r="O8" s="16" t="inlineStr">
        <is>
          <t>着手</t>
        </is>
      </c>
      <c r="P8" s="13" t="inlineStr">
        <is>
          <t>資料授受は継続中。所管課（住民課→保健福祉課）の確認が未了（doc01確認事項1）。</t>
        </is>
      </c>
    </row>
    <row r="9" ht="30" customHeight="1">
      <c r="A9" s="11" t="inlineStr">
        <is>
          <t>０-05</t>
        </is>
      </c>
      <c r="B9" s="12" t="inlineStr">
        <is>
          <t>０ 契約・立上げ</t>
        </is>
      </c>
      <c r="C9" s="12" t="inlineStr">
        <is>
          <t>立上げ</t>
        </is>
      </c>
      <c r="D9" s="13" t="inlineStr">
        <is>
          <t>現行計画・関連計画・実績資料の受領</t>
        </is>
      </c>
      <c r="E9" s="11" t="inlineStr">
        <is>
          <t>仕様書4Ⅱ(2)</t>
        </is>
      </c>
      <c r="F9" s="11" t="inlineStr">
        <is>
          <t>北塩原村</t>
        </is>
      </c>
      <c r="G9" s="13" t="inlineStr">
        <is>
          <t>第9期計画書／第5次総合振興計画／第3次健康21ほか</t>
        </is>
      </c>
      <c r="H9" s="13" t="inlineStr"/>
      <c r="I9" s="11" t="inlineStr">
        <is>
          <t>R8.9上</t>
        </is>
      </c>
      <c r="J9" s="14" t="n"/>
      <c r="K9" s="14" t="n"/>
      <c r="L9" s="14" t="n">
        <v>46259</v>
      </c>
      <c r="M9" s="14" t="n"/>
      <c r="N9" s="15" t="n">
        <v>0.7</v>
      </c>
      <c r="O9" s="16" t="inlineStr">
        <is>
          <t>着手</t>
        </is>
      </c>
      <c r="P9" s="13" t="inlineStr">
        <is>
          <t>第9期計画書・第9期概要版（表裏）に加え、第四次生涯学習推進計画（全112頁）を受領（doc21）。第五次総合振興計画・第3次健康21・障がい福祉計画が未受領。</t>
        </is>
      </c>
    </row>
    <row r="10" ht="30" customHeight="1">
      <c r="A10" s="11" t="inlineStr">
        <is>
          <t>０-06</t>
        </is>
      </c>
      <c r="B10" s="12" t="inlineStr">
        <is>
          <t>０ 契約・立上げ</t>
        </is>
      </c>
      <c r="C10" s="12" t="inlineStr">
        <is>
          <t>立上げ</t>
        </is>
      </c>
      <c r="D10" s="13" t="inlineStr">
        <is>
          <t>見える化システムのID・パスワードの受領</t>
        </is>
      </c>
      <c r="E10" s="11" t="inlineStr">
        <is>
          <t>確認</t>
        </is>
      </c>
      <c r="F10" s="11" t="inlineStr">
        <is>
          <t>北塩原村</t>
        </is>
      </c>
      <c r="G10" s="13" t="inlineStr">
        <is>
          <t>アカウント情報</t>
        </is>
      </c>
      <c r="H10" s="13" t="inlineStr"/>
      <c r="I10" s="11" t="inlineStr">
        <is>
          <t>R8.9上</t>
        </is>
      </c>
      <c r="J10" s="14" t="n"/>
      <c r="K10" s="14" t="n"/>
      <c r="L10" s="14" t="n">
        <v>46259</v>
      </c>
      <c r="M10" s="14" t="n"/>
      <c r="N10" s="15" t="n">
        <v>0.8</v>
      </c>
      <c r="O10" s="16" t="inlineStr">
        <is>
          <t>着手</t>
        </is>
      </c>
      <c r="P10" s="13" t="inlineStr">
        <is>
          <t>見える化出力データ19,591レコードを受領済（doc02）。ID自体の授受は要確認。</t>
        </is>
      </c>
    </row>
    <row r="11" ht="30" customHeight="1">
      <c r="A11" s="11" t="inlineStr">
        <is>
          <t>Ⅰ-07</t>
        </is>
      </c>
      <c r="B11" s="17" t="inlineStr">
        <is>
          <t>Ⅰ ニーズ調査</t>
        </is>
      </c>
      <c r="C11" s="12" t="inlineStr">
        <is>
          <t>Ⅰ-1 調査設計</t>
        </is>
      </c>
      <c r="D11" s="13" t="inlineStr">
        <is>
          <t>調査手法の決定（在宅：手法Ⅰ〜Ⅳ）</t>
        </is>
      </c>
      <c r="E11" s="11" t="inlineStr">
        <is>
          <t>手引き／確認</t>
        </is>
      </c>
      <c r="F11" s="11" t="inlineStr">
        <is>
          <t>双方</t>
        </is>
      </c>
      <c r="G11" s="13" t="inlineStr">
        <is>
          <t>調査手法決定メモ</t>
        </is>
      </c>
      <c r="H11" s="13" t="inlineStr">
        <is>
          <t>手法Ⅲは自動集計ソフトなし。仕様書Ⅰ(5)との整合を要確認</t>
        </is>
      </c>
      <c r="I11" s="11" t="inlineStr">
        <is>
          <t>R8.9上</t>
        </is>
      </c>
      <c r="J11" s="14" t="n"/>
      <c r="K11" s="14" t="n"/>
      <c r="L11" s="14" t="n">
        <v>46259</v>
      </c>
      <c r="M11" s="14" t="n"/>
      <c r="N11" s="15" t="n">
        <v>0.6</v>
      </c>
      <c r="O11" s="16" t="inlineStr">
        <is>
          <t>確認中</t>
        </is>
      </c>
      <c r="P11" s="13" t="inlineStr">
        <is>
          <t>★議事録に記載なし。手法Ⅲか手法Ⅳ（新版 在宅生活改善調査）を加えるかが未決着。9/3の第1稿提出時に併せて提起する（doc22 A-1）。</t>
        </is>
      </c>
    </row>
    <row r="12" ht="30" customHeight="1">
      <c r="A12" s="11" t="inlineStr">
        <is>
          <t>Ⅰ-08</t>
        </is>
      </c>
      <c r="B12" s="12" t="inlineStr">
        <is>
          <t>Ⅰ ニーズ調査</t>
        </is>
      </c>
      <c r="C12" s="12" t="inlineStr">
        <is>
          <t>Ⅰ-1 調査設計</t>
        </is>
      </c>
      <c r="D12" s="13" t="inlineStr">
        <is>
          <t>調査対象者の抽出条件の確定</t>
        </is>
      </c>
      <c r="E12" s="11" t="inlineStr">
        <is>
          <t>仕様書4Ⅰ(1)</t>
        </is>
      </c>
      <c r="F12" s="11" t="inlineStr">
        <is>
          <t>双方</t>
        </is>
      </c>
      <c r="G12" s="13" t="inlineStr">
        <is>
          <t>抽出条件メモ</t>
        </is>
      </c>
      <c r="H12" s="13" t="inlineStr">
        <is>
          <t>①要支援を含むか②更新・区分変更に限るか③サ高住等を含むか</t>
        </is>
      </c>
      <c r="I12" s="11" t="inlineStr">
        <is>
          <t>R8.9上</t>
        </is>
      </c>
      <c r="J12" s="14" t="n"/>
      <c r="K12" s="14" t="n"/>
      <c r="L12" s="14" t="n">
        <v>46259</v>
      </c>
      <c r="M12" s="14" t="n"/>
      <c r="N12" s="15" t="n">
        <v>0.6</v>
      </c>
      <c r="O12" s="16" t="inlineStr">
        <is>
          <t>確認中</t>
        </is>
      </c>
      <c r="P12" s="13" t="inlineStr">
        <is>
          <t>★在宅介護実態調査は「要支援1・2および要介護1〜5の在宅生活者等」150件で決着（議事録）。基準日は令和8年9月1日。ニーズ調査約850件の抽出基準（要支援を含むか）は未決着。</t>
        </is>
      </c>
    </row>
    <row r="13" ht="30" customHeight="1">
      <c r="A13" s="11" t="inlineStr">
        <is>
          <t>Ⅰ-09</t>
        </is>
      </c>
      <c r="B13" s="12" t="inlineStr">
        <is>
          <t>Ⅰ ニーズ調査</t>
        </is>
      </c>
      <c r="C13" s="12" t="inlineStr">
        <is>
          <t>Ⅰ-1 調査設計</t>
        </is>
      </c>
      <c r="D13" s="13" t="inlineStr">
        <is>
          <t>調査票の設計（ニーズ調査）</t>
        </is>
      </c>
      <c r="E13" s="11" t="inlineStr">
        <is>
          <t>仕様書4Ⅰ(2)</t>
        </is>
      </c>
      <c r="F13" s="11" t="inlineStr">
        <is>
          <t>受託者</t>
        </is>
      </c>
      <c r="G13" s="13" t="inlineStr">
        <is>
          <t>調査票案</t>
        </is>
      </c>
      <c r="H13" s="13" t="inlineStr">
        <is>
          <t>厚労省令和7年8月版様式を基礎</t>
        </is>
      </c>
      <c r="I13" s="11" t="inlineStr">
        <is>
          <t>R8.9上</t>
        </is>
      </c>
      <c r="J13" s="14" t="n"/>
      <c r="K13" s="14" t="n"/>
      <c r="L13" s="14" t="n">
        <v>46269</v>
      </c>
      <c r="M13" s="14" t="n"/>
      <c r="N13" s="15" t="n">
        <v>0.95</v>
      </c>
      <c r="O13" s="16" t="inlineStr">
        <is>
          <t>着手</t>
        </is>
      </c>
      <c r="P13" s="13" t="inlineStr">
        <is>
          <t>★第1稿（0828版）を受領し令和7年8月版との全面突合を完了（doc23）。要修正：選択肢の順序が標準と逆になっている7か所（うち2か所は文字列の誤植）、標準様式の残骸3か所、問7の番号繰り上がり。村独自14問の採否を判定し、削除提案は問3(10)の1問のみ。★9/4：第2稿（0904版）を確認。指摘13件のうち11件が反映。ルビを57→105か所に拡充、通いの場の名称を現行事業名に修正、自由記述欄を新設。未対応は問1(2)①の選択肢順序と問7(7)の採用可否の2件。新たに保険外サービスの選択肢の不統一と個人情報の説明文の後退を検出（doc27）。★9/14：0909校正版（doc34）を確認。問1(2)①の選択肢順序は解消。一方、問1(4)住まいの種類と問4(16)若い人に話しかけるが削除済み、問4(15)病人を見舞うに削除の指示。いずれも見える化の登録対象で、問4(15)(16)が落ちるとR09社会的役割の低下が算出できずR99が10領域→9領域に減る。印刷前の判断を要する。</t>
        </is>
      </c>
    </row>
    <row r="14" ht="30" customHeight="1">
      <c r="A14" s="11" t="inlineStr">
        <is>
          <t>Ⅰ-10</t>
        </is>
      </c>
      <c r="B14" s="12" t="inlineStr">
        <is>
          <t>Ⅰ ニーズ調査</t>
        </is>
      </c>
      <c r="C14" s="12" t="inlineStr">
        <is>
          <t>Ⅰ-1 調査設計</t>
        </is>
      </c>
      <c r="D14" s="13" t="inlineStr">
        <is>
          <t>調査票の設計（在宅介護実態調査）</t>
        </is>
      </c>
      <c r="E14" s="11" t="inlineStr">
        <is>
          <t>仕様書4Ⅰ(2)</t>
        </is>
      </c>
      <c r="F14" s="11" t="inlineStr">
        <is>
          <t>受託者</t>
        </is>
      </c>
      <c r="G14" s="13" t="inlineStr">
        <is>
          <t>調査票案</t>
        </is>
      </c>
      <c r="H14" s="13" t="inlineStr">
        <is>
          <t>調査手法の決定が前提</t>
        </is>
      </c>
      <c r="I14" s="11" t="inlineStr">
        <is>
          <t>R8.9上</t>
        </is>
      </c>
      <c r="J14" s="14" t="n"/>
      <c r="K14" s="14" t="n"/>
      <c r="L14" s="14" t="n">
        <v>46269</v>
      </c>
      <c r="M14" s="14" t="n"/>
      <c r="N14" s="15" t="n">
        <v>0.95</v>
      </c>
      <c r="O14" s="16" t="inlineStr">
        <is>
          <t>着手</t>
        </is>
      </c>
      <c r="P14" s="13" t="inlineStr">
        <is>
          <t>★第1稿を受領し手法Ⅲ標準様式との突合を完了（doc23）。要修正：標準の問13「訪問診療」が削除され問13が欠番、前回指摘2件（介護療養型医療施設の削除・傷病の選択肢13/14の入替）が未反映、基準月が空欄。村独自の問0・問6-1は番号体系を壊さない適切な設計。★9/4：第2稿で介護療養型医療施設の削除・傷病の選択肢13/14・基準月（問8）・訪問診療の復活がすべて反映。ただし訪問診療の番号が問12となり問12が重複・問13が欠番、問9の基準月が未修正、B票の案内文1行が削除された（doc27§3・§5-3）。★9/14：0909校正版（doc34）を確認。問12の重複・問13の欠番と問9の基準月は解消。傷病に「なし」「わからない」が追加され疾病数が算出可能に。サービスは12→9に整理（夜間対応型・定期巡回・看多機を削除。実績0で妥当）。残る印刷前の修正は問7-1の参照先「問6」→「問7」、問10の記号K→H・L→I、A票問15の分岐の食い違い。</t>
        </is>
      </c>
    </row>
    <row r="15" ht="30" customHeight="1">
      <c r="A15" s="4" t="inlineStr">
        <is>
          <t>Ⅰ-11</t>
        </is>
      </c>
      <c r="B15" s="6" t="inlineStr">
        <is>
          <t>Ⅰ ニーズ調査</t>
        </is>
      </c>
      <c r="C15" s="6" t="inlineStr">
        <is>
          <t>Ⅰ-1 調査設計</t>
        </is>
      </c>
      <c r="D15" s="7" t="inlineStr">
        <is>
          <t>令和7年8月版 標準様式との逐条突合</t>
        </is>
      </c>
      <c r="E15" s="4" t="inlineStr">
        <is>
          <t>手引き</t>
        </is>
      </c>
      <c r="F15" s="4" t="inlineStr">
        <is>
          <t>受託者</t>
        </is>
      </c>
      <c r="G15" s="7" t="inlineStr">
        <is>
          <t>突合ワークシート</t>
        </is>
      </c>
      <c r="H15" s="7" t="inlineStr">
        <is>
          <t>必須項目・オプション項目の充足確認</t>
        </is>
      </c>
      <c r="I15" s="4" t="inlineStr">
        <is>
          <t>R8.9上</t>
        </is>
      </c>
      <c r="J15" s="8" t="n"/>
      <c r="K15" s="8" t="n"/>
      <c r="L15" s="8" t="n">
        <v>46261</v>
      </c>
      <c r="M15" s="8" t="n">
        <v>46261</v>
      </c>
      <c r="N15" s="9" t="n">
        <v>1</v>
      </c>
      <c r="O15" s="10" t="inlineStr">
        <is>
          <t>完了</t>
        </is>
      </c>
      <c r="P15" s="7" t="inlineStr">
        <is>
          <t>122行・全行記入・要確認0件で完了（doc05／突合ワークシートCSV）。</t>
        </is>
      </c>
    </row>
    <row r="16" ht="30" customHeight="1">
      <c r="A16" s="11" t="inlineStr">
        <is>
          <t>Ⅰ-12</t>
        </is>
      </c>
      <c r="B16" s="12" t="inlineStr">
        <is>
          <t>Ⅰ ニーズ調査</t>
        </is>
      </c>
      <c r="C16" s="12" t="inlineStr">
        <is>
          <t>Ⅰ-1 調査設計</t>
        </is>
      </c>
      <c r="D16" s="13" t="inlineStr">
        <is>
          <t>オプション項目の採否決定</t>
        </is>
      </c>
      <c r="E16" s="11" t="inlineStr">
        <is>
          <t>仕様書4Ⅰ(2)</t>
        </is>
      </c>
      <c r="F16" s="11" t="inlineStr">
        <is>
          <t>双方</t>
        </is>
      </c>
      <c r="G16" s="13" t="inlineStr">
        <is>
          <t>採否一覧</t>
        </is>
      </c>
      <c r="H16" s="13" t="inlineStr">
        <is>
          <t>「問6 就労について」の採否を含む</t>
        </is>
      </c>
      <c r="I16" s="11" t="inlineStr">
        <is>
          <t>R8.9上</t>
        </is>
      </c>
      <c r="J16" s="14" t="n"/>
      <c r="K16" s="14" t="n"/>
      <c r="L16" s="14" t="n">
        <v>46261</v>
      </c>
      <c r="M16" s="14" t="n"/>
      <c r="N16" s="15" t="n">
        <v>0.7</v>
      </c>
      <c r="O16" s="16" t="inlineStr">
        <is>
          <t>確認中</t>
        </is>
      </c>
      <c r="P16" s="13" t="inlineStr">
        <is>
          <t>★第1稿はオプション項目をほぼ全採用。不採用は問7(7)「この1か月間に会った友人・知人の人数」の1問のみだが、番号を繰り上げているため見える化への入力時に対応が崩れる。ICF分析の参加軸に使えるため採用を推奨（doc23§1-2）。</t>
        </is>
      </c>
    </row>
    <row r="17" ht="30" customHeight="1">
      <c r="A17" s="11" t="inlineStr">
        <is>
          <t>Ⅰ-13</t>
        </is>
      </c>
      <c r="B17" s="12" t="inlineStr">
        <is>
          <t>Ⅰ ニーズ調査</t>
        </is>
      </c>
      <c r="C17" s="12" t="inlineStr">
        <is>
          <t>Ⅰ-1 調査設計</t>
        </is>
      </c>
      <c r="D17" s="13" t="inlineStr">
        <is>
          <t>村独自設問の設定</t>
        </is>
      </c>
      <c r="E17" s="11" t="inlineStr">
        <is>
          <t>仕様書4Ⅰ(2)</t>
        </is>
      </c>
      <c r="F17" s="11" t="inlineStr">
        <is>
          <t>双方</t>
        </is>
      </c>
      <c r="G17" s="13" t="inlineStr">
        <is>
          <t>設問一覧</t>
        </is>
      </c>
      <c r="H17" s="13" t="inlineStr">
        <is>
          <t>除雪・在宅医療・成年後見・歯科受診・服薬ほか</t>
        </is>
      </c>
      <c r="I17" s="11" t="inlineStr">
        <is>
          <t>R8.9上</t>
        </is>
      </c>
      <c r="J17" s="14" t="n"/>
      <c r="K17" s="14" t="n"/>
      <c r="L17" s="14" t="n">
        <v>46267</v>
      </c>
      <c r="M17" s="14" t="n"/>
      <c r="N17" s="15" t="n">
        <v>0.75</v>
      </c>
      <c r="O17" s="16" t="inlineStr">
        <is>
          <t>着手</t>
        </is>
      </c>
      <c r="P17" s="13" t="inlineStr">
        <is>
          <t>★第1稿に村独自14問（ニーズ調査）を確認し、1問ずつ採否を判定（doc23§4）。削除提案は問3(10)「1日に何回食事をとりますか」の1問のみで、他13問は施策・交付金の指標と結びつくため残置を推奨。問7(9)の自由記入3欄は入力コストのため簡素化を提案。在宅調査の問0・問6-1は適切。</t>
        </is>
      </c>
    </row>
    <row r="18" ht="30" customHeight="1">
      <c r="A18" s="18" t="inlineStr">
        <is>
          <t>Ⅰ-14</t>
        </is>
      </c>
      <c r="B18" s="19" t="inlineStr">
        <is>
          <t>Ⅰ ニーズ調査</t>
        </is>
      </c>
      <c r="C18" s="19" t="inlineStr">
        <is>
          <t>Ⅰ-1 調査設計</t>
        </is>
      </c>
      <c r="D18" s="20" t="inlineStr">
        <is>
          <t>依頼状（表紙）の作成</t>
        </is>
      </c>
      <c r="E18" s="18" t="inlineStr">
        <is>
          <t>仕様書4Ⅰ(2)</t>
        </is>
      </c>
      <c r="F18" s="18" t="inlineStr">
        <is>
          <t>受託者</t>
        </is>
      </c>
      <c r="G18" s="20" t="inlineStr">
        <is>
          <t>依頼状</t>
        </is>
      </c>
      <c r="H18" s="20" t="inlineStr">
        <is>
          <t>村長名・担当課・問合せ先・基準日・回答期限</t>
        </is>
      </c>
      <c r="I18" s="18" t="inlineStr">
        <is>
          <t>R8.9上</t>
        </is>
      </c>
      <c r="J18" s="21" t="n"/>
      <c r="K18" s="21" t="n"/>
      <c r="L18" s="21" t="n"/>
      <c r="M18" s="21" t="n"/>
      <c r="N18" s="22" t="n">
        <v>0</v>
      </c>
      <c r="O18" s="18" t="inlineStr">
        <is>
          <t>未着手</t>
        </is>
      </c>
      <c r="P18" s="20" t="inlineStr"/>
    </row>
    <row r="19" ht="30" customHeight="1">
      <c r="A19" s="11" t="inlineStr">
        <is>
          <t>Ⅰ-15</t>
        </is>
      </c>
      <c r="B19" s="12" t="inlineStr">
        <is>
          <t>Ⅰ ニーズ調査</t>
        </is>
      </c>
      <c r="C19" s="12" t="inlineStr">
        <is>
          <t>Ⅰ-1 調査設計</t>
        </is>
      </c>
      <c r="D19" s="13" t="inlineStr">
        <is>
          <t>調査票の村協議・確定</t>
        </is>
      </c>
      <c r="E19" s="11" t="inlineStr">
        <is>
          <t>仕様書4Ⅰ(2)</t>
        </is>
      </c>
      <c r="F19" s="11" t="inlineStr">
        <is>
          <t>双方</t>
        </is>
      </c>
      <c r="G19" s="13" t="inlineStr">
        <is>
          <t>確定版調査票</t>
        </is>
      </c>
      <c r="H19" s="13" t="inlineStr">
        <is>
          <t>以降の全工程の起点</t>
        </is>
      </c>
      <c r="I19" s="11" t="inlineStr">
        <is>
          <t>R8.9上</t>
        </is>
      </c>
      <c r="J19" s="14" t="n"/>
      <c r="K19" s="14" t="n"/>
      <c r="L19" s="14" t="n">
        <v>46269</v>
      </c>
      <c r="M19" s="14" t="n"/>
      <c r="N19" s="15" t="n">
        <v>0.8</v>
      </c>
      <c r="O19" s="16" t="inlineStr">
        <is>
          <t>着手</t>
        </is>
      </c>
      <c r="P19" s="13" t="inlineStr">
        <is>
          <t>★議事録により9/3に第1稿提出、9/9頃に最終校了と確定。未決事項（手法・オプション項目・独自設問・依頼状名義・部数）は選択肢併記で提出する。★9/4：第2稿を受領しレビュー完了（doc27）。校了までの修正リスト11件を優先度付きで整理。必須3件（在宅の問13の番号・問9の基準月・ニーズ問1(2)①の選択肢順序）。★9/14：校了版の校正紙と対象者リスト・返信用封筒の版下を受領（doc34）。印刷前に決着が必要な事項6件を整理し依頼書に追加。返信用封筒の差出有効期間が回収期限と同日（2026年10月16日）で、期限翌日以降の投函が届かないため延長を要請。回収期限は手書きで10月16日（金）に確定。対象者はニーズ882人・在宅118人（在宅は想定150人を32人下回る）。★9/16：発送予定日（9/18）まで2日。印刷前に決着が必要な6件はいずれも未回答であり、本業務で現時点の最大のリスクである。とくに問4(15)(16)の削除は、見える化システムのR09（社会的役割の低下）が算出できなくなり、R99が10領域→9領域となって第9期との比較が成立しなくなる。印刷後は取り返しがつかない。返信用封筒の差出有効期間（2026年10月16日）も回収期限と同日で、期限翌日以降の投函が届かない。村へ至急の判断を要請している（確認事項 優先度S）。</t>
        </is>
      </c>
    </row>
    <row r="20" ht="30" customHeight="1">
      <c r="A20" s="11" t="inlineStr">
        <is>
          <t>Ⅰ-16</t>
        </is>
      </c>
      <c r="B20" s="12" t="inlineStr">
        <is>
          <t>Ⅰ ニーズ調査</t>
        </is>
      </c>
      <c r="C20" s="12" t="inlineStr">
        <is>
          <t>Ⅰ-1 調査設計</t>
        </is>
      </c>
      <c r="D20" s="13" t="inlineStr">
        <is>
          <t>ウェブ回答フォームの作成</t>
        </is>
      </c>
      <c r="E20" s="11" t="inlineStr">
        <is>
          <t>仕様書4Ⅰ(2)</t>
        </is>
      </c>
      <c r="F20" s="11" t="inlineStr">
        <is>
          <t>受託者</t>
        </is>
      </c>
      <c r="G20" s="13" t="inlineStr">
        <is>
          <t>ウェブフォーム</t>
        </is>
      </c>
      <c r="H20" s="13" t="inlineStr">
        <is>
          <t>通信の暗号化・公開期間の設定</t>
        </is>
      </c>
      <c r="I20" s="11" t="inlineStr">
        <is>
          <t>R8.9上</t>
        </is>
      </c>
      <c r="J20" s="14" t="n"/>
      <c r="K20" s="14" t="n"/>
      <c r="L20" s="14" t="n">
        <v>46267</v>
      </c>
      <c r="M20" s="14" t="n"/>
      <c r="N20" s="15" t="n">
        <v>0.2</v>
      </c>
      <c r="O20" s="16" t="inlineStr">
        <is>
          <t>確認中</t>
        </is>
      </c>
      <c r="P20" s="13" t="inlineStr">
        <is>
          <t>★QRコード併用は議事録で決着。実装方法（Googleフォームの可否）が未決着で、不可の場合は代替の構築期間が必要となり9/9校了に影響する（doc22 A-2）。</t>
        </is>
      </c>
    </row>
    <row r="21" ht="30" customHeight="1">
      <c r="A21" s="23" t="inlineStr">
        <is>
          <t>Ⅰ-17</t>
        </is>
      </c>
      <c r="B21" s="24" t="inlineStr">
        <is>
          <t>Ⅰ ニーズ調査</t>
        </is>
      </c>
      <c r="C21" s="24" t="inlineStr">
        <is>
          <t>Ⅰ-1 調査設計</t>
        </is>
      </c>
      <c r="D21" s="25" t="inlineStr">
        <is>
          <t>二次元コードの作成・調査票／依頼状への印字</t>
        </is>
      </c>
      <c r="E21" s="23" t="inlineStr">
        <is>
          <t>仕様書4Ⅰ(2)</t>
        </is>
      </c>
      <c r="F21" s="23" t="inlineStr">
        <is>
          <t>受託者</t>
        </is>
      </c>
      <c r="G21" s="25" t="inlineStr">
        <is>
          <t>二次元コード</t>
        </is>
      </c>
      <c r="H21" s="25" t="inlineStr">
        <is>
          <t>URLの確定が前提</t>
        </is>
      </c>
      <c r="I21" s="23" t="inlineStr">
        <is>
          <t>R8.9上</t>
        </is>
      </c>
      <c r="J21" s="26" t="n"/>
      <c r="K21" s="26" t="n"/>
      <c r="L21" s="26" t="n"/>
      <c r="M21" s="26" t="n"/>
      <c r="N21" s="27" t="n">
        <v>0</v>
      </c>
      <c r="O21" s="23" t="inlineStr">
        <is>
          <t>未着手</t>
        </is>
      </c>
      <c r="P21" s="25" t="inlineStr"/>
    </row>
    <row r="22" ht="30" customHeight="1">
      <c r="A22" s="11" t="inlineStr">
        <is>
          <t>Ⅰ-18</t>
        </is>
      </c>
      <c r="B22" s="12" t="inlineStr">
        <is>
          <t>Ⅰ ニーズ調査</t>
        </is>
      </c>
      <c r="C22" s="12" t="inlineStr">
        <is>
          <t>Ⅰ-1 調査設計</t>
        </is>
      </c>
      <c r="D22" s="13" t="inlineStr">
        <is>
          <t>重複回答の管理方法の設計（管理番号）</t>
        </is>
      </c>
      <c r="E22" s="11" t="inlineStr">
        <is>
          <t>仕様書4Ⅰ(2)</t>
        </is>
      </c>
      <c r="F22" s="11" t="inlineStr">
        <is>
          <t>受託者</t>
        </is>
      </c>
      <c r="G22" s="13" t="inlineStr">
        <is>
          <t>管理番号設計書</t>
        </is>
      </c>
      <c r="H22" s="13" t="inlineStr">
        <is>
          <t>紙・ウェブの重複を排除</t>
        </is>
      </c>
      <c r="I22" s="11" t="inlineStr">
        <is>
          <t>R8.9上</t>
        </is>
      </c>
      <c r="J22" s="14" t="n"/>
      <c r="K22" s="14" t="n"/>
      <c r="L22" s="14" t="n">
        <v>46261</v>
      </c>
      <c r="M22" s="14" t="n"/>
      <c r="N22" s="15" t="n">
        <v>0.6</v>
      </c>
      <c r="O22" s="16" t="inlineStr">
        <is>
          <t>着手</t>
        </is>
      </c>
      <c r="P22" s="13" t="inlineStr">
        <is>
          <t>★議事録で方針決着。氏名は記載せず管理番号を付与し被保険者番号と紐付ける。具体的な番号形式は村のラベル作成仕様と一体で要調整。</t>
        </is>
      </c>
    </row>
    <row r="23" ht="30" customHeight="1">
      <c r="A23" s="23" t="inlineStr">
        <is>
          <t>Ⅰ-101</t>
        </is>
      </c>
      <c r="B23" s="24" t="inlineStr">
        <is>
          <t>Ⅰ ニーズ調査</t>
        </is>
      </c>
      <c r="C23" s="24" t="inlineStr">
        <is>
          <t>Ⅰ-1 調査設計</t>
        </is>
      </c>
      <c r="D23" s="25" t="inlineStr">
        <is>
          <t>ウェブ回答フォームの公開・稼働確認・受付停止</t>
        </is>
      </c>
      <c r="E23" s="23" t="inlineStr">
        <is>
          <t>仕様書4Ⅰ(2)</t>
        </is>
      </c>
      <c r="F23" s="23" t="inlineStr">
        <is>
          <t>受託者</t>
        </is>
      </c>
      <c r="G23" s="25" t="inlineStr">
        <is>
          <t>稼働確認記録</t>
        </is>
      </c>
      <c r="H23" s="25" t="inlineStr">
        <is>
          <t>二次元コードの印字前に実機で回答→保存まで通す。回収期限の到来で受付を停止し、以後の紙回答との重複を断つ</t>
        </is>
      </c>
      <c r="I23" s="23" t="inlineStr">
        <is>
          <t>R8.9中〜10下</t>
        </is>
      </c>
      <c r="J23" s="26" t="n"/>
      <c r="K23" s="26" t="n"/>
      <c r="L23" s="26" t="n"/>
      <c r="M23" s="26" t="n"/>
      <c r="N23" s="27" t="n">
        <v>0</v>
      </c>
      <c r="O23" s="23" t="inlineStr">
        <is>
          <t>未着手</t>
        </is>
      </c>
      <c r="P23" s="25" t="inlineStr">
        <is>
          <t>★仕様書Ⅰ(2)は「作成し」としか書いていないが、紙とウェブの併用を成り立たせるには公開・稼働確認・受付停止が要る。二次元コードの印字前に実機で回答→保存まで通す必要があり、印刷の校了（Ⅰ-102）と同時期の律速。Webフォームの実装方法が未決のため着手できていない。</t>
        </is>
      </c>
    </row>
    <row r="24" ht="30" customHeight="1">
      <c r="A24" s="11" t="inlineStr">
        <is>
          <t>Ⅰ-19</t>
        </is>
      </c>
      <c r="B24" s="12" t="inlineStr">
        <is>
          <t>Ⅰ ニーズ調査</t>
        </is>
      </c>
      <c r="C24" s="12" t="inlineStr">
        <is>
          <t>Ⅰ-1 調査設計</t>
        </is>
      </c>
      <c r="D24" s="13" t="inlineStr">
        <is>
          <t>被保険者番号と照合可能な管理番号の設計</t>
        </is>
      </c>
      <c r="E24" s="11" t="inlineStr">
        <is>
          <t>手引き</t>
        </is>
      </c>
      <c r="F24" s="11" t="inlineStr">
        <is>
          <t>双方</t>
        </is>
      </c>
      <c r="G24" s="13" t="inlineStr">
        <is>
          <t>管理番号設計書</t>
        </is>
      </c>
      <c r="H24" s="13" t="inlineStr">
        <is>
          <t>第10期の新規要件。村のラベル作成仕様と一体</t>
        </is>
      </c>
      <c r="I24" s="11" t="inlineStr">
        <is>
          <t>R8.9上</t>
        </is>
      </c>
      <c r="J24" s="14" t="n"/>
      <c r="K24" s="14" t="n"/>
      <c r="L24" s="14" t="n">
        <v>46261</v>
      </c>
      <c r="M24" s="14" t="n"/>
      <c r="N24" s="15" t="n">
        <v>0.6</v>
      </c>
      <c r="O24" s="16" t="inlineStr">
        <is>
          <t>着手</t>
        </is>
      </c>
      <c r="P24" s="13" t="inlineStr">
        <is>
          <t>★議事録で方針決着（同上）。見える化システムへの登録を見据えた設計とする。</t>
        </is>
      </c>
    </row>
    <row r="25" ht="30" customHeight="1">
      <c r="A25" s="11" t="inlineStr">
        <is>
          <t>Ⅰ-20</t>
        </is>
      </c>
      <c r="B25" s="12" t="inlineStr">
        <is>
          <t>Ⅰ ニーズ調査</t>
        </is>
      </c>
      <c r="C25" s="12" t="inlineStr">
        <is>
          <t>Ⅰ-2 印刷・発送準備</t>
        </is>
      </c>
      <c r="D25" s="13" t="inlineStr">
        <is>
          <t>入稿データの作成</t>
        </is>
      </c>
      <c r="E25" s="11" t="inlineStr">
        <is>
          <t>仕様書4Ⅰ(3)</t>
        </is>
      </c>
      <c r="F25" s="11" t="inlineStr">
        <is>
          <t>受託者</t>
        </is>
      </c>
      <c r="G25" s="13" t="inlineStr">
        <is>
          <t>入稿データ</t>
        </is>
      </c>
      <c r="H25" s="13" t="inlineStr">
        <is>
          <t>調査票の確定が前提</t>
        </is>
      </c>
      <c r="I25" s="11" t="inlineStr">
        <is>
          <t>R8.9中</t>
        </is>
      </c>
      <c r="J25" s="14" t="n"/>
      <c r="K25" s="14" t="n"/>
      <c r="L25" s="14" t="n">
        <v>46279</v>
      </c>
      <c r="M25" s="14" t="n"/>
      <c r="N25" s="15" t="n">
        <v>0.1</v>
      </c>
      <c r="O25" s="16" t="inlineStr">
        <is>
          <t>確認中</t>
        </is>
      </c>
      <c r="P25" s="13" t="inlineStr">
        <is>
          <t>★9/9頃の校了・印刷依頼が目標（議事録）。9/3の第1稿提出→修正・確認を経て確定する。</t>
        </is>
      </c>
    </row>
    <row r="26" ht="30" customHeight="1">
      <c r="A26" s="11" t="inlineStr">
        <is>
          <t>Ⅰ-102</t>
        </is>
      </c>
      <c r="B26" s="12" t="inlineStr">
        <is>
          <t>Ⅰ ニーズ調査</t>
        </is>
      </c>
      <c r="C26" s="12" t="inlineStr">
        <is>
          <t>Ⅰ-2 印刷・発送準備</t>
        </is>
      </c>
      <c r="D26" s="13" t="inlineStr">
        <is>
          <t>印刷の校正・校了</t>
        </is>
      </c>
      <c r="E26" s="11" t="inlineStr">
        <is>
          <t>仕様書4Ⅰ(3)</t>
        </is>
      </c>
      <c r="F26" s="11" t="inlineStr">
        <is>
          <t>双方</t>
        </is>
      </c>
      <c r="G26" s="13" t="inlineStr">
        <is>
          <t>校正紙・校了の記録</t>
        </is>
      </c>
      <c r="H26" s="13" t="inlineStr">
        <is>
          <t>仕様書(3)の「印刷」には校了の判断が含まれる。印刷後は取り返しがつかない</t>
        </is>
      </c>
      <c r="I26" s="11" t="inlineStr">
        <is>
          <t>R8.9中</t>
        </is>
      </c>
      <c r="J26" s="14" t="n"/>
      <c r="K26" s="14" t="n"/>
      <c r="L26" s="14" t="n">
        <v>46274</v>
      </c>
      <c r="M26" s="14" t="n"/>
      <c r="N26" s="15" t="n">
        <v>0.6</v>
      </c>
      <c r="O26" s="16" t="inlineStr">
        <is>
          <t>確認中</t>
        </is>
      </c>
      <c r="P26" s="13" t="inlineStr">
        <is>
          <t>★0909校正版の校正紙を受領し、印刷前に決着が必要な6件を整理した（doc34）。9/16時点で6件とも未回答で、本業務で現時点の最大のリスク。とくに問4(15)(16)の削除はR09（社会的役割の低下）が算出できなくなり、R99が10領域→9領域となって第9期との比較が成立しない。返信用封筒の差出有効期間が回収期限と同日である点も未決。</t>
        </is>
      </c>
    </row>
    <row r="27" ht="30" customHeight="1">
      <c r="A27" s="11" t="inlineStr">
        <is>
          <t>Ⅰ-103</t>
        </is>
      </c>
      <c r="B27" s="12" t="inlineStr">
        <is>
          <t>Ⅰ ニーズ調査</t>
        </is>
      </c>
      <c r="C27" s="12" t="inlineStr">
        <is>
          <t>Ⅰ-2 印刷・発送準備</t>
        </is>
      </c>
      <c r="D27" s="13" t="inlineStr">
        <is>
          <t>印刷部数の確定（予備を含む）</t>
        </is>
      </c>
      <c r="E27" s="11" t="inlineStr">
        <is>
          <t>仕様書4Ⅰ(3)</t>
        </is>
      </c>
      <c r="F27" s="11" t="inlineStr">
        <is>
          <t>双方</t>
        </is>
      </c>
      <c r="G27" s="13" t="inlineStr">
        <is>
          <t>部数内訳</t>
        </is>
      </c>
      <c r="H27" s="13" t="inlineStr">
        <is>
          <t>対象者はニーズ882人・在宅118人。仕様書の「約850人／約150人」との差を部数に反映</t>
        </is>
      </c>
      <c r="I27" s="11" t="inlineStr">
        <is>
          <t>R8.9中</t>
        </is>
      </c>
      <c r="J27" s="14" t="n"/>
      <c r="K27" s="14" t="n"/>
      <c r="L27" s="14" t="n">
        <v>46279</v>
      </c>
      <c r="M27" s="14" t="n"/>
      <c r="N27" s="15" t="n">
        <v>0.5</v>
      </c>
      <c r="O27" s="16" t="inlineStr">
        <is>
          <t>確認中</t>
        </is>
      </c>
      <c r="P27" s="13" t="inlineStr">
        <is>
          <t>★対象者リストによりニーズ882人・在宅118人と判明。★9/24：村の回答により在宅118人で決着（仕様書の「約150人」との差異は解消）。残るのは予備を含めた部数の確定と、回収70〜80件を前提とした集計設計（要介護度3区分を2区分に束ねるか）の判断。</t>
        </is>
      </c>
    </row>
    <row r="28" ht="30" customHeight="1">
      <c r="A28" s="18" t="inlineStr">
        <is>
          <t>Ⅰ-21</t>
        </is>
      </c>
      <c r="B28" s="19" t="inlineStr">
        <is>
          <t>Ⅰ ニーズ調査</t>
        </is>
      </c>
      <c r="C28" s="19" t="inlineStr">
        <is>
          <t>Ⅰ-2 印刷・発送準備</t>
        </is>
      </c>
      <c r="D28" s="20" t="inlineStr">
        <is>
          <t>調査票の印刷（ニーズ調査 A4約12頁・黒1色）</t>
        </is>
      </c>
      <c r="E28" s="18" t="inlineStr">
        <is>
          <t>仕様書4Ⅰ(3)</t>
        </is>
      </c>
      <c r="F28" s="18" t="inlineStr">
        <is>
          <t>受託者</t>
        </is>
      </c>
      <c r="G28" s="20" t="inlineStr">
        <is>
          <t>印刷物 約850部</t>
        </is>
      </c>
      <c r="H28" s="20" t="inlineStr">
        <is>
          <t>頁数は村と要協議</t>
        </is>
      </c>
      <c r="I28" s="18" t="inlineStr">
        <is>
          <t>R8.9中</t>
        </is>
      </c>
      <c r="J28" s="21" t="n"/>
      <c r="K28" s="21" t="n"/>
      <c r="L28" s="21" t="n"/>
      <c r="M28" s="21" t="n"/>
      <c r="N28" s="22" t="n">
        <v>0</v>
      </c>
      <c r="O28" s="18" t="inlineStr">
        <is>
          <t>未着手</t>
        </is>
      </c>
      <c r="P28" s="20" t="inlineStr"/>
    </row>
    <row r="29" ht="30" customHeight="1">
      <c r="A29" s="23" t="inlineStr">
        <is>
          <t>Ⅰ-22</t>
        </is>
      </c>
      <c r="B29" s="24" t="inlineStr">
        <is>
          <t>Ⅰ ニーズ調査</t>
        </is>
      </c>
      <c r="C29" s="24" t="inlineStr">
        <is>
          <t>Ⅰ-2 印刷・発送準備</t>
        </is>
      </c>
      <c r="D29" s="25" t="inlineStr">
        <is>
          <t>調査票の印刷（在宅調査 A4約8頁・黒1色）</t>
        </is>
      </c>
      <c r="E29" s="23" t="inlineStr">
        <is>
          <t>仕様書4Ⅰ(3)</t>
        </is>
      </c>
      <c r="F29" s="23" t="inlineStr">
        <is>
          <t>受託者</t>
        </is>
      </c>
      <c r="G29" s="25" t="inlineStr">
        <is>
          <t>印刷物 約150部</t>
        </is>
      </c>
      <c r="H29" s="25" t="inlineStr"/>
      <c r="I29" s="23" t="inlineStr">
        <is>
          <t>R8.9中</t>
        </is>
      </c>
      <c r="J29" s="26" t="n"/>
      <c r="K29" s="26" t="n"/>
      <c r="L29" s="26" t="n"/>
      <c r="M29" s="26" t="n"/>
      <c r="N29" s="27" t="n">
        <v>0</v>
      </c>
      <c r="O29" s="23" t="inlineStr">
        <is>
          <t>未着手</t>
        </is>
      </c>
      <c r="P29" s="25" t="inlineStr"/>
    </row>
    <row r="30" ht="30" customHeight="1">
      <c r="A30" s="11" t="inlineStr">
        <is>
          <t>Ⅰ-23</t>
        </is>
      </c>
      <c r="B30" s="12" t="inlineStr">
        <is>
          <t>Ⅰ ニーズ調査</t>
        </is>
      </c>
      <c r="C30" s="12" t="inlineStr">
        <is>
          <t>Ⅰ-2 印刷・発送準備</t>
        </is>
      </c>
      <c r="D30" s="13" t="inlineStr">
        <is>
          <t>返信用封筒の印刷</t>
        </is>
      </c>
      <c r="E30" s="11" t="inlineStr">
        <is>
          <t>仕様書4Ⅰ(3)</t>
        </is>
      </c>
      <c r="F30" s="11" t="inlineStr">
        <is>
          <t>受託者</t>
        </is>
      </c>
      <c r="G30" s="13" t="inlineStr">
        <is>
          <t>返信用封筒</t>
        </is>
      </c>
      <c r="H30" s="13" t="inlineStr"/>
      <c r="I30" s="11" t="inlineStr">
        <is>
          <t>R8.9中</t>
        </is>
      </c>
      <c r="J30" s="14" t="n"/>
      <c r="K30" s="14" t="n"/>
      <c r="L30" s="14" t="n">
        <v>46274</v>
      </c>
      <c r="M30" s="14" t="n"/>
      <c r="N30" s="15" t="n">
        <v>0.6</v>
      </c>
      <c r="O30" s="16" t="inlineStr">
        <is>
          <t>確認中</t>
        </is>
      </c>
      <c r="P30" s="13" t="inlineStr">
        <is>
          <t>★版下を受領済（doc34）。★9/24：配布用封筒は村が用意し費用は村側で請求処理することが決着したため、受託者が印刷するのは返信用（回収用）のみで確定（仕様書4Ⅰ(3)の「封筒（配布用・回収用）」との差異は解消）。差出有効期間が回収期限と同日（2026年10月16日）である点は未決で、期限翌日以降に投函された回答が届かない。</t>
        </is>
      </c>
    </row>
    <row r="31" ht="30" customHeight="1">
      <c r="A31" s="11" t="inlineStr">
        <is>
          <t>Ⅰ-24</t>
        </is>
      </c>
      <c r="B31" s="12" t="inlineStr">
        <is>
          <t>Ⅰ ニーズ調査</t>
        </is>
      </c>
      <c r="C31" s="12" t="inlineStr">
        <is>
          <t>Ⅰ-2 印刷・発送準備</t>
        </is>
      </c>
      <c r="D31" s="13" t="inlineStr">
        <is>
          <t>調査対象者の抽出</t>
        </is>
      </c>
      <c r="E31" s="11" t="inlineStr">
        <is>
          <t>仕様書4Ⅰ(1)</t>
        </is>
      </c>
      <c r="F31" s="11" t="inlineStr">
        <is>
          <t>北塩原村</t>
        </is>
      </c>
      <c r="G31" s="13" t="inlineStr">
        <is>
          <t>対象者リスト</t>
        </is>
      </c>
      <c r="H31" s="13" t="inlineStr">
        <is>
          <t>ニーズ約850人／在宅約150人</t>
        </is>
      </c>
      <c r="I31" s="11" t="inlineStr">
        <is>
          <t>R8.9中</t>
        </is>
      </c>
      <c r="J31" s="14" t="n"/>
      <c r="K31" s="14" t="n"/>
      <c r="L31" s="14" t="n"/>
      <c r="M31" s="14" t="n"/>
      <c r="N31" s="15" t="n">
        <v>0</v>
      </c>
      <c r="O31" s="11" t="inlineStr">
        <is>
          <t>未着手</t>
        </is>
      </c>
      <c r="P31" s="13" t="inlineStr"/>
    </row>
    <row r="32" ht="30" customHeight="1">
      <c r="A32" s="11" t="inlineStr">
        <is>
          <t>Ⅰ-25</t>
        </is>
      </c>
      <c r="B32" s="12" t="inlineStr">
        <is>
          <t>Ⅰ ニーズ調査</t>
        </is>
      </c>
      <c r="C32" s="12" t="inlineStr">
        <is>
          <t>Ⅰ-2 印刷・発送準備</t>
        </is>
      </c>
      <c r="D32" s="13" t="inlineStr">
        <is>
          <t>宛名ラベルシールの作成・提供</t>
        </is>
      </c>
      <c r="E32" s="11" t="inlineStr">
        <is>
          <t>仕様書4Ⅰ(1)</t>
        </is>
      </c>
      <c r="F32" s="11" t="inlineStr">
        <is>
          <t>北塩原村</t>
        </is>
      </c>
      <c r="G32" s="13" t="inlineStr">
        <is>
          <t>宛名ラベルシール</t>
        </is>
      </c>
      <c r="H32" s="13" t="inlineStr">
        <is>
          <t>被保険者番号との照合可能な形式</t>
        </is>
      </c>
      <c r="I32" s="11" t="inlineStr">
        <is>
          <t>R8.9中</t>
        </is>
      </c>
      <c r="J32" s="14" t="n"/>
      <c r="K32" s="14" t="n"/>
      <c r="L32" s="14" t="n"/>
      <c r="M32" s="14" t="n"/>
      <c r="N32" s="15" t="n">
        <v>0</v>
      </c>
      <c r="O32" s="11" t="inlineStr">
        <is>
          <t>未着手</t>
        </is>
      </c>
      <c r="P32" s="13" t="inlineStr"/>
    </row>
    <row r="33" ht="30" customHeight="1">
      <c r="A33" s="11" t="inlineStr">
        <is>
          <t>Ⅰ-26</t>
        </is>
      </c>
      <c r="B33" s="12" t="inlineStr">
        <is>
          <t>Ⅰ ニーズ調査</t>
        </is>
      </c>
      <c r="C33" s="12" t="inlineStr">
        <is>
          <t>Ⅰ-2 印刷・発送準備</t>
        </is>
      </c>
      <c r="D33" s="13" t="inlineStr">
        <is>
          <t>配布用封筒の提供</t>
        </is>
      </c>
      <c r="E33" s="11" t="inlineStr">
        <is>
          <t>仕様書4Ⅰ(4)</t>
        </is>
      </c>
      <c r="F33" s="11" t="inlineStr">
        <is>
          <t>北塩原村</t>
        </is>
      </c>
      <c r="G33" s="13" t="inlineStr">
        <is>
          <t>配布用封筒</t>
        </is>
      </c>
      <c r="H33" s="13" t="inlineStr"/>
      <c r="I33" s="11" t="inlineStr">
        <is>
          <t>R8.9中</t>
        </is>
      </c>
      <c r="J33" s="14" t="n"/>
      <c r="K33" s="14" t="n"/>
      <c r="L33" s="14" t="n">
        <v>46266</v>
      </c>
      <c r="M33" s="14" t="n"/>
      <c r="N33" s="15" t="n">
        <v>0.5</v>
      </c>
      <c r="O33" s="16" t="inlineStr">
        <is>
          <t>確認中</t>
        </is>
      </c>
      <c r="P33" s="13" t="inlineStr">
        <is>
          <t>★キックオフ会議で村が用意すると決着。★9/24：費用は村側で請求処理することを確認。提供期限は9/14（9/11への前倒しを要請中）。</t>
        </is>
      </c>
    </row>
    <row r="34" ht="30" customHeight="1">
      <c r="A34" s="18" t="inlineStr">
        <is>
          <t>Ⅰ-27</t>
        </is>
      </c>
      <c r="B34" s="19" t="inlineStr">
        <is>
          <t>Ⅰ ニーズ調査</t>
        </is>
      </c>
      <c r="C34" s="19" t="inlineStr">
        <is>
          <t>Ⅰ-2 印刷・発送準備</t>
        </is>
      </c>
      <c r="D34" s="20" t="inlineStr">
        <is>
          <t>宛名ラベルの貼付</t>
        </is>
      </c>
      <c r="E34" s="18" t="inlineStr">
        <is>
          <t>仕様書4Ⅰ(4)</t>
        </is>
      </c>
      <c r="F34" s="18" t="inlineStr">
        <is>
          <t>受託者</t>
        </is>
      </c>
      <c r="G34" s="20" t="inlineStr">
        <is>
          <t>―</t>
        </is>
      </c>
      <c r="H34" s="20" t="inlineStr">
        <is>
          <t>村からの提供が前提</t>
        </is>
      </c>
      <c r="I34" s="18" t="inlineStr">
        <is>
          <t>R8.9中</t>
        </is>
      </c>
      <c r="J34" s="21" t="n"/>
      <c r="K34" s="21" t="n"/>
      <c r="L34" s="21" t="n"/>
      <c r="M34" s="21" t="n"/>
      <c r="N34" s="22" t="n">
        <v>0</v>
      </c>
      <c r="O34" s="18" t="inlineStr">
        <is>
          <t>未着手</t>
        </is>
      </c>
      <c r="P34" s="20" t="inlineStr"/>
    </row>
    <row r="35" ht="30" customHeight="1">
      <c r="A35" s="23" t="inlineStr">
        <is>
          <t>Ⅰ-28</t>
        </is>
      </c>
      <c r="B35" s="24" t="inlineStr">
        <is>
          <t>Ⅰ ニーズ調査</t>
        </is>
      </c>
      <c r="C35" s="24" t="inlineStr">
        <is>
          <t>Ⅰ-2 印刷・発送準備</t>
        </is>
      </c>
      <c r="D35" s="25" t="inlineStr">
        <is>
          <t>封入・封緘</t>
        </is>
      </c>
      <c r="E35" s="23" t="inlineStr">
        <is>
          <t>仕様書4Ⅰ(4)</t>
        </is>
      </c>
      <c r="F35" s="23" t="inlineStr">
        <is>
          <t>受託者</t>
        </is>
      </c>
      <c r="G35" s="25" t="inlineStr">
        <is>
          <t>発送物</t>
        </is>
      </c>
      <c r="H35" s="25" t="inlineStr"/>
      <c r="I35" s="23" t="inlineStr">
        <is>
          <t>R8.9中</t>
        </is>
      </c>
      <c r="J35" s="26" t="n"/>
      <c r="K35" s="26" t="n"/>
      <c r="L35" s="26" t="n"/>
      <c r="M35" s="26" t="n"/>
      <c r="N35" s="27" t="n">
        <v>0</v>
      </c>
      <c r="O35" s="23" t="inlineStr">
        <is>
          <t>未着手</t>
        </is>
      </c>
      <c r="P35" s="25" t="inlineStr"/>
    </row>
    <row r="36" ht="30" customHeight="1">
      <c r="A36" s="18" t="inlineStr">
        <is>
          <t>Ⅰ-29</t>
        </is>
      </c>
      <c r="B36" s="19" t="inlineStr">
        <is>
          <t>Ⅰ ニーズ調査</t>
        </is>
      </c>
      <c r="C36" s="19" t="inlineStr">
        <is>
          <t>Ⅰ-3 発送・回収</t>
        </is>
      </c>
      <c r="D36" s="20" t="inlineStr">
        <is>
          <t>発送（郵送費は受託者負担）</t>
        </is>
      </c>
      <c r="E36" s="18" t="inlineStr">
        <is>
          <t>仕様書4Ⅰ(4)</t>
        </is>
      </c>
      <c r="F36" s="18" t="inlineStr">
        <is>
          <t>受託者</t>
        </is>
      </c>
      <c r="G36" s="20" t="inlineStr">
        <is>
          <t>発送完了報告</t>
        </is>
      </c>
      <c r="H36" s="20" t="inlineStr">
        <is>
          <t>5連休（9/19〜9/23）の影響を考慮</t>
        </is>
      </c>
      <c r="I36" s="18" t="inlineStr">
        <is>
          <t>R8.9下</t>
        </is>
      </c>
      <c r="J36" s="21" t="n"/>
      <c r="K36" s="21" t="n"/>
      <c r="L36" s="21" t="n"/>
      <c r="M36" s="21" t="n"/>
      <c r="N36" s="22" t="n">
        <v>0</v>
      </c>
      <c r="O36" s="18" t="inlineStr">
        <is>
          <t>未着手</t>
        </is>
      </c>
      <c r="P36" s="20" t="inlineStr"/>
    </row>
    <row r="37" ht="30" customHeight="1">
      <c r="A37" s="23" t="inlineStr">
        <is>
          <t>Ⅰ-30</t>
        </is>
      </c>
      <c r="B37" s="24" t="inlineStr">
        <is>
          <t>Ⅰ ニーズ調査</t>
        </is>
      </c>
      <c r="C37" s="24" t="inlineStr">
        <is>
          <t>Ⅰ-3 発送・回収</t>
        </is>
      </c>
      <c r="D37" s="25" t="inlineStr">
        <is>
          <t>回収状況の管理</t>
        </is>
      </c>
      <c r="E37" s="23" t="inlineStr">
        <is>
          <t>仕様書4Ⅰ(4)</t>
        </is>
      </c>
      <c r="F37" s="23" t="inlineStr">
        <is>
          <t>双方</t>
        </is>
      </c>
      <c r="G37" s="25" t="inlineStr">
        <is>
          <t>回収状況表</t>
        </is>
      </c>
      <c r="H37" s="25" t="inlineStr">
        <is>
          <t>★議事録により、村で100件程度集まるごとに随時受託者へ小分け送付する運用と確定</t>
        </is>
      </c>
      <c r="I37" s="23" t="inlineStr">
        <is>
          <t>R8.9下〜10</t>
        </is>
      </c>
      <c r="J37" s="26" t="n"/>
      <c r="K37" s="26" t="n"/>
      <c r="L37" s="26" t="n"/>
      <c r="M37" s="26" t="n"/>
      <c r="N37" s="27" t="n">
        <v>0</v>
      </c>
      <c r="O37" s="23" t="inlineStr">
        <is>
          <t>未着手</t>
        </is>
      </c>
      <c r="P37" s="25" t="inlineStr">
        <is>
          <t>★小分け送付の運用に合わせ、村側の送付単位と受託者側の入力進捗を突き合わせる管理表が必要。</t>
        </is>
      </c>
    </row>
    <row r="38" ht="30" customHeight="1">
      <c r="A38" s="18" t="inlineStr">
        <is>
          <t>Ⅰ-31</t>
        </is>
      </c>
      <c r="B38" s="19" t="inlineStr">
        <is>
          <t>Ⅰ ニーズ調査</t>
        </is>
      </c>
      <c r="C38" s="19" t="inlineStr">
        <is>
          <t>Ⅰ-3 発送・回収</t>
        </is>
      </c>
      <c r="D38" s="20" t="inlineStr">
        <is>
          <t>督促（リマインド）の実施</t>
        </is>
      </c>
      <c r="E38" s="18" t="inlineStr">
        <is>
          <t>確認</t>
        </is>
      </c>
      <c r="F38" s="18" t="inlineStr">
        <is>
          <t>受託者</t>
        </is>
      </c>
      <c r="G38" s="20" t="inlineStr">
        <is>
          <t>督促文書</t>
        </is>
      </c>
      <c r="H38" s="20" t="inlineStr">
        <is>
          <t>第9期の在宅調査回収率45.8%を踏まえ実施要否を判断</t>
        </is>
      </c>
      <c r="I38" s="18" t="inlineStr">
        <is>
          <t>R8.10上</t>
        </is>
      </c>
      <c r="J38" s="21" t="n"/>
      <c r="K38" s="21" t="n"/>
      <c r="L38" s="21" t="n"/>
      <c r="M38" s="21" t="n"/>
      <c r="N38" s="22" t="n">
        <v>0</v>
      </c>
      <c r="O38" s="18" t="inlineStr">
        <is>
          <t>未着手</t>
        </is>
      </c>
      <c r="P38" s="20" t="inlineStr"/>
    </row>
    <row r="39" ht="30" customHeight="1">
      <c r="A39" s="23" t="inlineStr">
        <is>
          <t>Ⅰ-32</t>
        </is>
      </c>
      <c r="B39" s="24" t="inlineStr">
        <is>
          <t>Ⅰ ニーズ調査</t>
        </is>
      </c>
      <c r="C39" s="24" t="inlineStr">
        <is>
          <t>Ⅰ-3 発送・回収</t>
        </is>
      </c>
      <c r="D39" s="25" t="inlineStr">
        <is>
          <t>回収期限の管理・締切</t>
        </is>
      </c>
      <c r="E39" s="23" t="inlineStr">
        <is>
          <t>仕様書4Ⅰ(4)</t>
        </is>
      </c>
      <c r="F39" s="23" t="inlineStr">
        <is>
          <t>受託者</t>
        </is>
      </c>
      <c r="G39" s="25" t="inlineStr">
        <is>
          <t>―</t>
        </is>
      </c>
      <c r="H39" s="25" t="inlineStr"/>
      <c r="I39" s="23" t="inlineStr">
        <is>
          <t>R8.10</t>
        </is>
      </c>
      <c r="J39" s="26" t="n"/>
      <c r="K39" s="26" t="n"/>
      <c r="L39" s="26" t="n"/>
      <c r="M39" s="26" t="n"/>
      <c r="N39" s="27" t="n">
        <v>0</v>
      </c>
      <c r="O39" s="23" t="inlineStr">
        <is>
          <t>未着手</t>
        </is>
      </c>
      <c r="P39" s="25" t="inlineStr"/>
    </row>
    <row r="40" ht="30" customHeight="1">
      <c r="A40" s="18" t="inlineStr">
        <is>
          <t>Ⅰ-33</t>
        </is>
      </c>
      <c r="B40" s="19" t="inlineStr">
        <is>
          <t>Ⅰ ニーズ調査</t>
        </is>
      </c>
      <c r="C40" s="19" t="inlineStr">
        <is>
          <t>Ⅰ-3 発送・回収</t>
        </is>
      </c>
      <c r="D40" s="20" t="inlineStr">
        <is>
          <t>開封確認</t>
        </is>
      </c>
      <c r="E40" s="18" t="inlineStr">
        <is>
          <t>仕様書4Ⅰ(4)</t>
        </is>
      </c>
      <c r="F40" s="18" t="inlineStr">
        <is>
          <t>受託者</t>
        </is>
      </c>
      <c r="G40" s="20" t="inlineStr">
        <is>
          <t>―</t>
        </is>
      </c>
      <c r="H40" s="20" t="inlineStr"/>
      <c r="I40" s="18" t="inlineStr">
        <is>
          <t>R8.10</t>
        </is>
      </c>
      <c r="J40" s="21" t="n"/>
      <c r="K40" s="21" t="n"/>
      <c r="L40" s="21" t="n"/>
      <c r="M40" s="21" t="n"/>
      <c r="N40" s="22" t="n">
        <v>0</v>
      </c>
      <c r="O40" s="18" t="inlineStr">
        <is>
          <t>未着手</t>
        </is>
      </c>
      <c r="P40" s="20" t="inlineStr"/>
    </row>
    <row r="41" ht="30" customHeight="1">
      <c r="A41" s="23" t="inlineStr">
        <is>
          <t>Ⅰ-94</t>
        </is>
      </c>
      <c r="B41" s="24" t="inlineStr">
        <is>
          <t>Ⅰ ニーズ調査</t>
        </is>
      </c>
      <c r="C41" s="24" t="inlineStr">
        <is>
          <t>Ⅰ-3 発送・回収</t>
        </is>
      </c>
      <c r="D41" s="25" t="inlineStr">
        <is>
          <t>調査票の受渡し記録の作成・運用</t>
        </is>
      </c>
      <c r="E41" s="23" t="inlineStr">
        <is>
          <t>確認</t>
        </is>
      </c>
      <c r="F41" s="23" t="inlineStr">
        <is>
          <t>双方</t>
        </is>
      </c>
      <c r="G41" s="25" t="inlineStr">
        <is>
          <t>受渡し記録</t>
        </is>
      </c>
      <c r="H41" s="25" t="inlineStr">
        <is>
          <t>★小分け送付の運用に対応。日付・数量・受渡者・受領者を記録。doc16に追記</t>
        </is>
      </c>
      <c r="I41" s="23" t="inlineStr">
        <is>
          <t>R8.9下〜11</t>
        </is>
      </c>
      <c r="J41" s="26" t="n"/>
      <c r="K41" s="26" t="n"/>
      <c r="L41" s="26" t="n"/>
      <c r="M41" s="26" t="n"/>
      <c r="N41" s="27" t="n">
        <v>0</v>
      </c>
      <c r="O41" s="23" t="inlineStr">
        <is>
          <t>未着手</t>
        </is>
      </c>
      <c r="P41" s="25" t="inlineStr">
        <is>
          <t>★議事録により村が100件程度ごとに随時送付する運用と確定。個人情報の授受が複数回に分かれるため受渡し記録の様式を用意し doc16 に追記する。</t>
        </is>
      </c>
    </row>
    <row r="42" ht="30" customHeight="1">
      <c r="A42" s="11" t="inlineStr">
        <is>
          <t>Ⅰ-34</t>
        </is>
      </c>
      <c r="B42" s="12" t="inlineStr">
        <is>
          <t>Ⅰ ニーズ調査</t>
        </is>
      </c>
      <c r="C42" s="12" t="inlineStr">
        <is>
          <t>Ⅰ-4 データ入力</t>
        </is>
      </c>
      <c r="D42" s="13" t="inlineStr">
        <is>
          <t>用紙回答のデータ入力</t>
        </is>
      </c>
      <c r="E42" s="11" t="inlineStr">
        <is>
          <t>仕様書4Ⅰ(5)</t>
        </is>
      </c>
      <c r="F42" s="11" t="inlineStr">
        <is>
          <t>受託者</t>
        </is>
      </c>
      <c r="G42" s="13" t="inlineStr">
        <is>
          <t>入力データ</t>
        </is>
      </c>
      <c r="H42" s="13" t="inlineStr">
        <is>
          <t>厚労省提示の集計ファイル様式</t>
        </is>
      </c>
      <c r="I42" s="11" t="inlineStr">
        <is>
          <t>R8.10</t>
        </is>
      </c>
      <c r="J42" s="14" t="n"/>
      <c r="K42" s="14" t="n"/>
      <c r="L42" s="14" t="n">
        <v>46268</v>
      </c>
      <c r="M42" s="14" t="n"/>
      <c r="N42" s="15" t="n">
        <v>0.2</v>
      </c>
      <c r="O42" s="16" t="inlineStr">
        <is>
          <t>着手</t>
        </is>
      </c>
      <c r="P42" s="13" t="inlineStr">
        <is>
          <t>★doc25§6-2で入力上の留意点6件を確定（複数回答は選択肢ごとに0-1の横持ち／自由記述は原文保持／小分け送付に対応した受付日・ロット番号の記録 ほか）。入力体制は村と要協議（K-93）。</t>
        </is>
      </c>
    </row>
    <row r="43" ht="30" customHeight="1">
      <c r="A43" s="11" t="inlineStr">
        <is>
          <t>Ⅰ-35</t>
        </is>
      </c>
      <c r="B43" s="12" t="inlineStr">
        <is>
          <t>Ⅰ ニーズ調査</t>
        </is>
      </c>
      <c r="C43" s="12" t="inlineStr">
        <is>
          <t>Ⅰ-4 データ入力</t>
        </is>
      </c>
      <c r="D43" s="13" t="inlineStr">
        <is>
          <t>ウェブ回答データの取込</t>
        </is>
      </c>
      <c r="E43" s="11" t="inlineStr">
        <is>
          <t>仕様書4Ⅰ(5)</t>
        </is>
      </c>
      <c r="F43" s="11" t="inlineStr">
        <is>
          <t>受託者</t>
        </is>
      </c>
      <c r="G43" s="13" t="inlineStr">
        <is>
          <t>入力データ</t>
        </is>
      </c>
      <c r="H43" s="13" t="inlineStr"/>
      <c r="I43" s="11" t="inlineStr">
        <is>
          <t>R8.10</t>
        </is>
      </c>
      <c r="J43" s="14" t="n"/>
      <c r="K43" s="14" t="n"/>
      <c r="L43" s="14" t="n">
        <v>46268</v>
      </c>
      <c r="M43" s="14" t="n"/>
      <c r="N43" s="15" t="n">
        <v>0.2</v>
      </c>
      <c r="O43" s="16" t="inlineStr">
        <is>
          <t>着手</t>
        </is>
      </c>
      <c r="P43" s="13" t="inlineStr">
        <is>
          <t>★doc25§6-1でデータレイアウトを確定（管理番号・回答方法・受付日・地区・性別・年齢・認定状況・認定日＋各設問＋派生変数）。紙とWebを同一レイアウトに揃える。Webは必須入力により無回答率が構造的に異なるため回答方法別の集計を必ず1回行う。</t>
        </is>
      </c>
    </row>
    <row r="44" ht="30" customHeight="1">
      <c r="A44" s="18" t="inlineStr">
        <is>
          <t>Ⅰ-36</t>
        </is>
      </c>
      <c r="B44" s="19" t="inlineStr">
        <is>
          <t>Ⅰ ニーズ調査</t>
        </is>
      </c>
      <c r="C44" s="19" t="inlineStr">
        <is>
          <t>Ⅰ-4 データ入力</t>
        </is>
      </c>
      <c r="D44" s="20" t="inlineStr">
        <is>
          <t>重複回答の排除</t>
        </is>
      </c>
      <c r="E44" s="18" t="inlineStr">
        <is>
          <t>仕様書4Ⅰ(2)</t>
        </is>
      </c>
      <c r="F44" s="18" t="inlineStr">
        <is>
          <t>受託者</t>
        </is>
      </c>
      <c r="G44" s="20" t="inlineStr">
        <is>
          <t>―</t>
        </is>
      </c>
      <c r="H44" s="20" t="inlineStr">
        <is>
          <t>管理番号で管理</t>
        </is>
      </c>
      <c r="I44" s="18" t="inlineStr">
        <is>
          <t>R8.10</t>
        </is>
      </c>
      <c r="J44" s="21" t="n"/>
      <c r="K44" s="21" t="n"/>
      <c r="L44" s="21" t="n"/>
      <c r="M44" s="21" t="n"/>
      <c r="N44" s="22" t="n">
        <v>0</v>
      </c>
      <c r="O44" s="18" t="inlineStr">
        <is>
          <t>未着手</t>
        </is>
      </c>
      <c r="P44" s="20" t="inlineStr"/>
    </row>
    <row r="45" ht="30" customHeight="1">
      <c r="A45" s="11" t="inlineStr">
        <is>
          <t>Ⅰ-37</t>
        </is>
      </c>
      <c r="B45" s="12" t="inlineStr">
        <is>
          <t>Ⅰ ニーズ調査</t>
        </is>
      </c>
      <c r="C45" s="12" t="inlineStr">
        <is>
          <t>Ⅰ-4 データ入力</t>
        </is>
      </c>
      <c r="D45" s="13" t="inlineStr">
        <is>
          <t>要介護認定データの受領</t>
        </is>
      </c>
      <c r="E45" s="11" t="inlineStr">
        <is>
          <t>仕様書4Ⅰ(5)</t>
        </is>
      </c>
      <c r="F45" s="11" t="inlineStr">
        <is>
          <t>北塩原村</t>
        </is>
      </c>
      <c r="G45" s="13" t="inlineStr">
        <is>
          <t>認定データ</t>
        </is>
      </c>
      <c r="H45" s="13" t="inlineStr">
        <is>
          <t>手法Ⅰ・Ⅱの場合。目的外利用の手続きに留意</t>
        </is>
      </c>
      <c r="I45" s="11" t="inlineStr">
        <is>
          <t>R8.10</t>
        </is>
      </c>
      <c r="J45" s="14" t="n"/>
      <c r="K45" s="14" t="n"/>
      <c r="L45" s="14" t="n"/>
      <c r="M45" s="14" t="n"/>
      <c r="N45" s="15" t="n">
        <v>0</v>
      </c>
      <c r="O45" s="11" t="inlineStr">
        <is>
          <t>未着手</t>
        </is>
      </c>
      <c r="P45" s="13" t="inlineStr"/>
    </row>
    <row r="46" ht="30" customHeight="1">
      <c r="A46" s="18" t="inlineStr">
        <is>
          <t>Ⅰ-38</t>
        </is>
      </c>
      <c r="B46" s="19" t="inlineStr">
        <is>
          <t>Ⅰ ニーズ調査</t>
        </is>
      </c>
      <c r="C46" s="19" t="inlineStr">
        <is>
          <t>Ⅰ-4 データ入力</t>
        </is>
      </c>
      <c r="D46" s="20" t="inlineStr">
        <is>
          <t>認定データとの関連付け（自動プログラム）</t>
        </is>
      </c>
      <c r="E46" s="18" t="inlineStr">
        <is>
          <t>仕様書4Ⅰ(5)</t>
        </is>
      </c>
      <c r="F46" s="18" t="inlineStr">
        <is>
          <t>受託者</t>
        </is>
      </c>
      <c r="G46" s="20" t="inlineStr">
        <is>
          <t>関連付け済データ</t>
        </is>
      </c>
      <c r="H46" s="20" t="inlineStr">
        <is>
          <t>手法Ⅲでは自動集計ソフトなし</t>
        </is>
      </c>
      <c r="I46" s="18" t="inlineStr">
        <is>
          <t>R8.10</t>
        </is>
      </c>
      <c r="J46" s="21" t="n"/>
      <c r="K46" s="21" t="n"/>
      <c r="L46" s="21" t="n"/>
      <c r="M46" s="21" t="n"/>
      <c r="N46" s="22" t="n">
        <v>0</v>
      </c>
      <c r="O46" s="18" t="inlineStr">
        <is>
          <t>未着手</t>
        </is>
      </c>
      <c r="P46" s="20" t="inlineStr"/>
    </row>
    <row r="47" ht="30" customHeight="1">
      <c r="A47" s="23" t="inlineStr">
        <is>
          <t>Ⅰ-104</t>
        </is>
      </c>
      <c r="B47" s="24" t="inlineStr">
        <is>
          <t>Ⅰ ニーズ調査</t>
        </is>
      </c>
      <c r="C47" s="24" t="inlineStr">
        <is>
          <t>Ⅰ-4 データ入力</t>
        </is>
      </c>
      <c r="D47" s="25" t="inlineStr">
        <is>
          <t>入力データの精度管理（論理チェック・ベリファイ）</t>
        </is>
      </c>
      <c r="E47" s="23" t="inlineStr">
        <is>
          <t>仕様書4Ⅰ(5)</t>
        </is>
      </c>
      <c r="F47" s="23" t="inlineStr">
        <is>
          <t>受託者</t>
        </is>
      </c>
      <c r="G47" s="25" t="inlineStr">
        <is>
          <t>チェック結果</t>
        </is>
      </c>
      <c r="H47" s="25" t="inlineStr">
        <is>
          <t>仕様書(5)の条項名は「入力管理」。単一回答の複数選択・排他条件・分岐の不整合・数値の範囲外を点検する</t>
        </is>
      </c>
      <c r="I47" s="23" t="inlineStr">
        <is>
          <t>R8.10〜11</t>
        </is>
      </c>
      <c r="J47" s="26" t="n"/>
      <c r="K47" s="26" t="n"/>
      <c r="L47" s="26" t="n"/>
      <c r="M47" s="26" t="n"/>
      <c r="N47" s="27" t="n">
        <v>0</v>
      </c>
      <c r="O47" s="23" t="inlineStr">
        <is>
          <t>未着手</t>
        </is>
      </c>
      <c r="P47" s="25" t="inlineStr">
        <is>
          <t>仕様書Ⅰ(5)の条項名は「入力管理」であり、入力そのものだけでなく入力後の精度の確認を含む。集計仕様書（doc25）で派生変数と排他条件を定義済みのため、その定義を論理チェックの規則に転用する。回収データの到着待ち。</t>
        </is>
      </c>
    </row>
    <row r="48" ht="30" customHeight="1">
      <c r="A48" s="11" t="inlineStr">
        <is>
          <t>Ⅰ-39</t>
        </is>
      </c>
      <c r="B48" s="12" t="inlineStr">
        <is>
          <t>Ⅰ ニーズ調査</t>
        </is>
      </c>
      <c r="C48" s="12" t="inlineStr">
        <is>
          <t>Ⅰ-5 集計・分析</t>
        </is>
      </c>
      <c r="D48" s="13" t="inlineStr">
        <is>
          <t>単純集計</t>
        </is>
      </c>
      <c r="E48" s="11" t="inlineStr">
        <is>
          <t>仕様書4Ⅰ(6)</t>
        </is>
      </c>
      <c r="F48" s="11" t="inlineStr">
        <is>
          <t>受託者</t>
        </is>
      </c>
      <c r="G48" s="13" t="inlineStr">
        <is>
          <t>集計表</t>
        </is>
      </c>
      <c r="H48" s="13" t="inlineStr"/>
      <c r="I48" s="11" t="inlineStr">
        <is>
          <t>R8.10〜11</t>
        </is>
      </c>
      <c r="J48" s="14" t="n"/>
      <c r="K48" s="14" t="n"/>
      <c r="L48" s="14" t="n">
        <v>46268</v>
      </c>
      <c r="M48" s="14" t="n"/>
      <c r="N48" s="15" t="n">
        <v>0.7</v>
      </c>
      <c r="O48" s="16" t="inlineStr">
        <is>
          <t>着手</t>
        </is>
      </c>
      <c r="P48" s="13" t="inlineStr">
        <is>
          <t>★doc24でアンケート調査報告書の骨子を確定（全7章＋資料編・約118頁）。第Ⅰ部 単純集計編の掲載方式（全体／地区別／年齢階級別／前回比較／コメントの5点セット）と対象設問を確定。集計仕様書の作成は調査票の校了（9/9）後すぐに着手する。★9/8：集計プログラムを作成し、ダミーデータ430件で単純集計まで通した（doc31／output/10）。回答データが届いたらCSVのパスを指定するだけで集計が出る。</t>
        </is>
      </c>
    </row>
    <row r="49" ht="30" customHeight="1">
      <c r="A49" s="11" t="inlineStr">
        <is>
          <t>Ⅰ-40</t>
        </is>
      </c>
      <c r="B49" s="12" t="inlineStr">
        <is>
          <t>Ⅰ ニーズ調査</t>
        </is>
      </c>
      <c r="C49" s="12" t="inlineStr">
        <is>
          <t>Ⅰ-5 集計・分析</t>
        </is>
      </c>
      <c r="D49" s="13" t="inlineStr">
        <is>
          <t>基本属性別クロス集計（地区・性別・年齢）</t>
        </is>
      </c>
      <c r="E49" s="11" t="inlineStr">
        <is>
          <t>仕様書4Ⅰ(6)</t>
        </is>
      </c>
      <c r="F49" s="11" t="inlineStr">
        <is>
          <t>受託者</t>
        </is>
      </c>
      <c r="G49" s="13" t="inlineStr">
        <is>
          <t>集計表</t>
        </is>
      </c>
      <c r="H49" s="13" t="inlineStr"/>
      <c r="I49" s="11" t="inlineStr">
        <is>
          <t>R8.10〜11</t>
        </is>
      </c>
      <c r="J49" s="14" t="n"/>
      <c r="K49" s="14" t="n"/>
      <c r="L49" s="14" t="n">
        <v>46268</v>
      </c>
      <c r="M49" s="14" t="n"/>
      <c r="N49" s="15" t="n">
        <v>0.7</v>
      </c>
      <c r="O49" s="16" t="inlineStr">
        <is>
          <t>着手</t>
        </is>
      </c>
      <c r="P49" s="13" t="inlineStr">
        <is>
          <t>★doc24で全設問を地区別（北山・大塩・桧原・裏磐梯）・年齢階級別（65〜74／75〜84／85歳以上）で集計する方針を確定。移動手段・外出を控える理由・除雪は地区差が大きいと想定され施策の地区別展開の根拠になる。★9/8：地区・年齢階級・性別・認定状況・生活機能4層の5軸で軸別集計を実装（doc31）。</t>
        </is>
      </c>
    </row>
    <row r="50" ht="30" customHeight="1">
      <c r="A50" s="11" t="inlineStr">
        <is>
          <t>Ⅰ-41</t>
        </is>
      </c>
      <c r="B50" s="12" t="inlineStr">
        <is>
          <t>Ⅰ ニーズ調査</t>
        </is>
      </c>
      <c r="C50" s="12" t="inlineStr">
        <is>
          <t>Ⅰ-5 集計・分析</t>
        </is>
      </c>
      <c r="D50" s="13" t="inlineStr">
        <is>
          <t>時系列比較（第8期・第9期との対比）</t>
        </is>
      </c>
      <c r="E50" s="11" t="inlineStr">
        <is>
          <t>仕様書4Ⅰ(6)</t>
        </is>
      </c>
      <c r="F50" s="11" t="inlineStr">
        <is>
          <t>受託者</t>
        </is>
      </c>
      <c r="G50" s="13" t="inlineStr">
        <is>
          <t>比較表</t>
        </is>
      </c>
      <c r="H50" s="13" t="inlineStr">
        <is>
          <t>村と協議のうえ範囲を決定</t>
        </is>
      </c>
      <c r="I50" s="11" t="inlineStr">
        <is>
          <t>R8.10〜11</t>
        </is>
      </c>
      <c r="J50" s="14" t="n"/>
      <c r="K50" s="14" t="n"/>
      <c r="L50" s="14" t="n">
        <v>46268</v>
      </c>
      <c r="M50" s="14" t="n"/>
      <c r="N50" s="15" t="n">
        <v>0.2</v>
      </c>
      <c r="O50" s="16" t="inlineStr">
        <is>
          <t>確認中</t>
        </is>
      </c>
      <c r="P50" s="13" t="inlineStr">
        <is>
          <t>★令和4年8月版と令和7年8月版で設問文・選択肢が変わった設問は単純比較できない。doc05の逐条突合に基づき比較可能な設問を抽出済。対象範囲は村と協議（doc24 K-86）。</t>
        </is>
      </c>
    </row>
    <row r="51" ht="30" customHeight="1">
      <c r="A51" s="11" t="inlineStr">
        <is>
          <t>Ⅰ-42</t>
        </is>
      </c>
      <c r="B51" s="12" t="inlineStr">
        <is>
          <t>Ⅰ ニーズ調査</t>
        </is>
      </c>
      <c r="C51" s="12" t="inlineStr">
        <is>
          <t>Ⅰ-5 集計・分析</t>
        </is>
      </c>
      <c r="D51" s="13" t="inlineStr">
        <is>
          <t>設問間クロス集計</t>
        </is>
      </c>
      <c r="E51" s="11" t="inlineStr">
        <is>
          <t>仕様書4Ⅰ(6)</t>
        </is>
      </c>
      <c r="F51" s="11" t="inlineStr">
        <is>
          <t>受託者</t>
        </is>
      </c>
      <c r="G51" s="13" t="inlineStr">
        <is>
          <t>集計表</t>
        </is>
      </c>
      <c r="H51" s="13" t="inlineStr">
        <is>
          <t>村と協議のうえ設計</t>
        </is>
      </c>
      <c r="I51" s="11" t="inlineStr">
        <is>
          <t>R8.10〜11</t>
        </is>
      </c>
      <c r="J51" s="14" t="n"/>
      <c r="K51" s="14" t="n"/>
      <c r="L51" s="14" t="n">
        <v>46268</v>
      </c>
      <c r="M51" s="14" t="n"/>
      <c r="N51" s="15" t="n">
        <v>0.65</v>
      </c>
      <c r="O51" s="16" t="inlineStr">
        <is>
          <t>着手</t>
        </is>
      </c>
      <c r="P51" s="13" t="inlineStr">
        <is>
          <t>★doc25／output/07_集計仕様書.xlsx でクロス表20件を定義（うち★10件が分析編の中核）。X-01疾病数×リスク該当領域数、X-02認定状況×リスク、X-03生活機能4層×参加意向、X-04支え合いの受領×提供、X-15施設入所検討×村内施設、X-16要介護度×就労継続。X-02とX-03は村からの認定データ（K-87）が前提。★9/8：20表のうち軸の定義が確定している9表を実装（X-01・X-02・X-04・X-05・X-06・X-12・X-15・X-16・X-17）。残りは自由記述の分類と複数回答どうしのクロスで、掲載の形を決めてから実装する。</t>
        </is>
      </c>
    </row>
    <row r="52" ht="30" customHeight="1">
      <c r="A52" s="11" t="inlineStr">
        <is>
          <t>Ⅰ-43</t>
        </is>
      </c>
      <c r="B52" s="12" t="inlineStr">
        <is>
          <t>Ⅰ ニーズ調査</t>
        </is>
      </c>
      <c r="C52" s="12" t="inlineStr">
        <is>
          <t>Ⅰ-5 集計・分析</t>
        </is>
      </c>
      <c r="D52" s="13" t="inlineStr">
        <is>
          <t>リスク判定11種の算出</t>
        </is>
      </c>
      <c r="E52" s="11" t="inlineStr">
        <is>
          <t>手引き</t>
        </is>
      </c>
      <c r="F52" s="11" t="inlineStr">
        <is>
          <t>受託者</t>
        </is>
      </c>
      <c r="G52" s="13" t="inlineStr">
        <is>
          <t>リスク判定結果</t>
        </is>
      </c>
      <c r="H52" s="13" t="inlineStr">
        <is>
          <t>運動器・転倒・閉じこもり・低栄養・口腔・認知・うつ・IADL等</t>
        </is>
      </c>
      <c r="I52" s="11" t="inlineStr">
        <is>
          <t>R8.10〜11</t>
        </is>
      </c>
      <c r="J52" s="14" t="n"/>
      <c r="K52" s="14" t="n"/>
      <c r="L52" s="14" t="n">
        <v>46268</v>
      </c>
      <c r="M52" s="14" t="n"/>
      <c r="N52" s="15" t="n">
        <v>0.7</v>
      </c>
      <c r="O52" s="16" t="inlineStr">
        <is>
          <t>着手</t>
        </is>
      </c>
      <c r="P52" s="13" t="inlineStr">
        <is>
          <t>★doc24§4-3で判定に用いる設問を確定（運動器・転倒・閉じこもり・低栄養・口腔・認知・IADL・うつ）。判定基準は見える化システムの算出方法に合わせる（独自基準を作ると全国・県との比較ができなくなるため）。★9/8：R01〜R10・R99・D01・P01・S01/S02/S99・L01・B01・U01の20変数を実装（scripts/shukei_derive.py）。判定基準は1か所にまとめてあり、村から算出方法の提供を受けたらそこだけ直せば全集計が連動する。手引きに明記があるのは低栄養のBMI 18.5以下のみで、他9件は暫定。</t>
        </is>
      </c>
    </row>
    <row r="53" ht="30" customHeight="1">
      <c r="A53" s="11" t="inlineStr">
        <is>
          <t>Ⅰ-44</t>
        </is>
      </c>
      <c r="B53" s="12" t="inlineStr">
        <is>
          <t>Ⅰ ニーズ調査</t>
        </is>
      </c>
      <c r="C53" s="12" t="inlineStr">
        <is>
          <t>Ⅰ-5 集計・分析</t>
        </is>
      </c>
      <c r="D53" s="13" t="inlineStr">
        <is>
          <t>自由記述の整理</t>
        </is>
      </c>
      <c r="E53" s="11" t="inlineStr">
        <is>
          <t>仕様書4Ⅰ(6)</t>
        </is>
      </c>
      <c r="F53" s="11" t="inlineStr">
        <is>
          <t>受託者</t>
        </is>
      </c>
      <c r="G53" s="13" t="inlineStr">
        <is>
          <t>自由意見一覧</t>
        </is>
      </c>
      <c r="H53" s="13" t="inlineStr"/>
      <c r="I53" s="11" t="inlineStr">
        <is>
          <t>R8.10〜11</t>
        </is>
      </c>
      <c r="J53" s="14" t="n"/>
      <c r="K53" s="14" t="n"/>
      <c r="L53" s="14" t="n">
        <v>46268</v>
      </c>
      <c r="M53" s="14" t="n"/>
      <c r="N53" s="15" t="n">
        <v>0.1</v>
      </c>
      <c r="O53" s="16" t="inlineStr">
        <is>
          <t>着手</t>
        </is>
      </c>
      <c r="P53" s="13" t="inlineStr">
        <is>
          <t>★doc24§9で対象設問を確定（問3(9)利用先・問7(9)利用先・問11その他・問4(17)(18)趣味生きがい ほか）。人口2,300人規模では記述から個人が推定され得るため匿名化の方針を村と協議（doc24 K-89）。</t>
        </is>
      </c>
    </row>
    <row r="54" ht="30" customHeight="1">
      <c r="A54" s="11" t="inlineStr">
        <is>
          <t>Ⅰ-45</t>
        </is>
      </c>
      <c r="B54" s="12" t="inlineStr">
        <is>
          <t>Ⅰ ニーズ調査</t>
        </is>
      </c>
      <c r="C54" s="12" t="inlineStr">
        <is>
          <t>Ⅰ-5 集計・分析</t>
        </is>
      </c>
      <c r="D54" s="13" t="inlineStr">
        <is>
          <t>在宅調査の要介護度別・介護者就労状況別分析</t>
        </is>
      </c>
      <c r="E54" s="11" t="inlineStr">
        <is>
          <t>仕様書4Ⅰ(6)</t>
        </is>
      </c>
      <c r="F54" s="11" t="inlineStr">
        <is>
          <t>受託者</t>
        </is>
      </c>
      <c r="G54" s="13" t="inlineStr">
        <is>
          <t>分析結果</t>
        </is>
      </c>
      <c r="H54" s="13" t="inlineStr"/>
      <c r="I54" s="11" t="inlineStr">
        <is>
          <t>R8.10〜11</t>
        </is>
      </c>
      <c r="J54" s="14" t="n"/>
      <c r="K54" s="14" t="n"/>
      <c r="L54" s="14" t="n">
        <v>46268</v>
      </c>
      <c r="M54" s="14" t="n"/>
      <c r="N54" s="15" t="n">
        <v>0.65</v>
      </c>
      <c r="O54" s="16" t="inlineStr">
        <is>
          <t>着手</t>
        </is>
      </c>
      <c r="P54" s="13" t="inlineStr">
        <is>
          <t>★doc24§5-2で仕様書4Ⅰ(6)が求めるクロスの設計を確定。軸1＝要介護度3区分、軸2＝主な介護者の勤務形態3区分。中核は「要介護度×就労継続の見通し」。村独自の問6-1（村内に施設があれば）と問6のクロスで施設の潜在需要を測る設計も確定。★9/8：X-15（施設入所の検討状況×村内施設があれば）とX-16（要介護度×就労継続の見通し）を実装し、ダミーデータで出力を確認（doc31）。</t>
        </is>
      </c>
    </row>
    <row r="55" ht="30" customHeight="1">
      <c r="A55" s="11" t="inlineStr">
        <is>
          <t>Ⅰ-46</t>
        </is>
      </c>
      <c r="B55" s="12" t="inlineStr">
        <is>
          <t>Ⅰ ニーズ調査</t>
        </is>
      </c>
      <c r="C55" s="12" t="inlineStr">
        <is>
          <t>Ⅰ-5 集計・分析</t>
        </is>
      </c>
      <c r="D55" s="13" t="inlineStr">
        <is>
          <t>見える化システム登録用データの作成</t>
        </is>
      </c>
      <c r="E55" s="11" t="inlineStr">
        <is>
          <t>手引き</t>
        </is>
      </c>
      <c r="F55" s="11" t="inlineStr">
        <is>
          <t>受託者</t>
        </is>
      </c>
      <c r="G55" s="13" t="inlineStr">
        <is>
          <t>登録用データ</t>
        </is>
      </c>
      <c r="H55" s="13" t="inlineStr">
        <is>
          <t>標準様式の項目順に並べ替えが必要</t>
        </is>
      </c>
      <c r="I55" s="11" t="inlineStr">
        <is>
          <t>R8.11</t>
        </is>
      </c>
      <c r="J55" s="14" t="n"/>
      <c r="K55" s="14" t="n"/>
      <c r="L55" s="14" t="n">
        <v>46268</v>
      </c>
      <c r="M55" s="14" t="n"/>
      <c r="N55" s="15" t="n">
        <v>0.3</v>
      </c>
      <c r="O55" s="16" t="inlineStr">
        <is>
          <t>着手</t>
        </is>
      </c>
      <c r="P55" s="13" t="inlineStr">
        <is>
          <t>★doc25§6-3で方針を確定。村独自設問14問を除外し標準様式の設問順に並べ替えた別ファイルとして作成する。並べ替え表は集計プログラムに組み込む。登録作業の分担は村と要協議（K-94）。</t>
        </is>
      </c>
    </row>
    <row r="56" ht="30" customHeight="1">
      <c r="A56" s="11" t="inlineStr">
        <is>
          <t>Ⅰ-95</t>
        </is>
      </c>
      <c r="B56" s="12" t="inlineStr">
        <is>
          <t>Ⅰ ニーズ調査</t>
        </is>
      </c>
      <c r="C56" s="12" t="inlineStr">
        <is>
          <t>Ⅰ-5 集計・分析</t>
        </is>
      </c>
      <c r="D56" s="13" t="inlineStr">
        <is>
          <t>ICFの構成要素に基づくクロス分析の設計</t>
        </is>
      </c>
      <c r="E56" s="11" t="inlineStr">
        <is>
          <t>確認</t>
        </is>
      </c>
      <c r="F56" s="11" t="inlineStr">
        <is>
          <t>受託者</t>
        </is>
      </c>
      <c r="G56" s="13" t="inlineStr">
        <is>
          <t>分析設計書</t>
        </is>
      </c>
      <c r="H56" s="13" t="inlineStr">
        <is>
          <t>★議事録で新規要件。単純なリスク分析ではなくICFの健康度指標で「元気な高齢者」×「地域のニーズ」を分析。調査票設計段階で軸の確保が必要</t>
        </is>
      </c>
      <c r="I56" s="11" t="inlineStr">
        <is>
          <t>R8.9上</t>
        </is>
      </c>
      <c r="J56" s="14" t="n"/>
      <c r="K56" s="14" t="n"/>
      <c r="L56" s="14" t="n">
        <v>46268</v>
      </c>
      <c r="M56" s="14" t="n"/>
      <c r="N56" s="15" t="n">
        <v>0.8</v>
      </c>
      <c r="O56" s="16" t="inlineStr">
        <is>
          <t>着手</t>
        </is>
      </c>
      <c r="P56" s="13" t="inlineStr">
        <is>
          <t>★doc23§3で設計完了。ICF5領域と標準設問の対応表を作成し、5領域すべてが標準の必須＋オプション項目で埋まること＝分析のための独自設問は不要であることを確定。分析案は3案（B:疾病×生活機能の2軸マトリクス〈主軸〉／A:生活機能ベースの4層区分〈施策設計用〉／C:5領域レーダー〈委員会資料〉）。推奨対応は標準オプション問7(7)の採用1件のみ。★9/3：手引き（令和7年8月版）に「ICFの構成要素間の相互作用の図」による公式の対応表（図表9）が掲載されていることを確認し、doc23の当方作成表を訂正。ICFによる整理は国が公式に推奨する枠組みであることが確定。実装は回収データの受領後。</t>
        </is>
      </c>
    </row>
    <row r="57" ht="30" customHeight="1">
      <c r="A57" s="23" t="inlineStr">
        <is>
          <t>Ⅰ-47</t>
        </is>
      </c>
      <c r="B57" s="24" t="inlineStr">
        <is>
          <t>Ⅰ ニーズ調査</t>
        </is>
      </c>
      <c r="C57" s="24" t="inlineStr">
        <is>
          <t>Ⅰ-6 報告書</t>
        </is>
      </c>
      <c r="D57" s="25" t="inlineStr">
        <is>
          <t>設問ごとのグラフ作成</t>
        </is>
      </c>
      <c r="E57" s="23" t="inlineStr">
        <is>
          <t>仕様書4Ⅰ(7)</t>
        </is>
      </c>
      <c r="F57" s="23" t="inlineStr">
        <is>
          <t>受託者</t>
        </is>
      </c>
      <c r="G57" s="25" t="inlineStr">
        <is>
          <t>グラフ</t>
        </is>
      </c>
      <c r="H57" s="25" t="inlineStr"/>
      <c r="I57" s="23" t="inlineStr">
        <is>
          <t>R8.11</t>
        </is>
      </c>
      <c r="J57" s="26" t="n"/>
      <c r="K57" s="26" t="n"/>
      <c r="L57" s="26" t="n"/>
      <c r="M57" s="26" t="n"/>
      <c r="N57" s="27" t="n">
        <v>0</v>
      </c>
      <c r="O57" s="23" t="inlineStr">
        <is>
          <t>未着手</t>
        </is>
      </c>
      <c r="P57" s="25" t="inlineStr">
        <is>
          <t>★9/25：案Bの採用により1頁2設問を維持できることとなった（案Aでは1頁3設問に詰める必要があった）。ただし第9期は1頁0.9設問＝実質1設問1頁であり約1.9倍の密度になる。計画書と同じく明度差・線種・ハッチングで識別し、凡例を図の近くに置く。集計結果の確定待ち。</t>
        </is>
      </c>
    </row>
    <row r="58" ht="30" customHeight="1">
      <c r="A58" s="11" t="inlineStr">
        <is>
          <t>Ⅰ-48</t>
        </is>
      </c>
      <c r="B58" s="12" t="inlineStr">
        <is>
          <t>Ⅰ ニーズ調査</t>
        </is>
      </c>
      <c r="C58" s="12" t="inlineStr">
        <is>
          <t>Ⅰ-6 報告書</t>
        </is>
      </c>
      <c r="D58" s="13" t="inlineStr">
        <is>
          <t>調査結果報告書の執筆・レイアウト</t>
        </is>
      </c>
      <c r="E58" s="11" t="inlineStr">
        <is>
          <t>仕様書4Ⅰ(7)</t>
        </is>
      </c>
      <c r="F58" s="11" t="inlineStr">
        <is>
          <t>受託者</t>
        </is>
      </c>
      <c r="G58" s="13" t="inlineStr">
        <is>
          <t>報告書案</t>
        </is>
      </c>
      <c r="H58" s="13" t="inlineStr">
        <is>
          <t>A4両面約100頁</t>
        </is>
      </c>
      <c r="I58" s="11" t="inlineStr">
        <is>
          <t>R8.11</t>
        </is>
      </c>
      <c r="J58" s="14" t="n"/>
      <c r="K58" s="14" t="n"/>
      <c r="L58" s="14" t="n">
        <v>46268</v>
      </c>
      <c r="M58" s="14" t="n"/>
      <c r="N58" s="15" t="n">
        <v>0.3</v>
      </c>
      <c r="O58" s="16" t="inlineStr">
        <is>
          <t>着手</t>
        </is>
      </c>
      <c r="P58" s="13" t="inlineStr">
        <is>
          <t>★doc24として骨子案を作成（2部構成・第Ⅰ部 単純集計編／第Ⅱ部 ICF分析編）。★9/24：村の指示により仕様書どおり約100頁に統一することが決着（当初案118頁）。★9/25：圧縮の当て方を案Bで確定。調査票2種・単純集計表・自由記述の全文を電子媒体に移し資料編を25→6頁とし、浮いた頁を集計編に戻して第3章42頁・第4章21頁（計63頁）とした。1頁1.7設問で当初案118頁と同じ密度を100頁の枠内に収めた。第Ⅱ部25頁は計画の施策の根拠のため維持。設問数は削らない（仕様書4Ⅰ(7)が設問ごとのグラフを求めるため）。第9期は1頁0.9設問＝実質1設問1頁であり、採用案でも密度は約1.9倍になるためモノクロ印刷での可読性に注意を要する。本文の執筆は調査の回収・集計待ち。</t>
        </is>
      </c>
    </row>
    <row r="59" ht="30" customHeight="1">
      <c r="A59" s="23" t="inlineStr">
        <is>
          <t>Ⅰ-49</t>
        </is>
      </c>
      <c r="B59" s="24" t="inlineStr">
        <is>
          <t>Ⅰ ニーズ調査</t>
        </is>
      </c>
      <c r="C59" s="24" t="inlineStr">
        <is>
          <t>Ⅰ-6 報告書</t>
        </is>
      </c>
      <c r="D59" s="25" t="inlineStr">
        <is>
          <t>報告書の村確認・修正</t>
        </is>
      </c>
      <c r="E59" s="23" t="inlineStr">
        <is>
          <t>仕様書4Ⅰ(7)</t>
        </is>
      </c>
      <c r="F59" s="23" t="inlineStr">
        <is>
          <t>双方</t>
        </is>
      </c>
      <c r="G59" s="25" t="inlineStr">
        <is>
          <t>報告書（確定）</t>
        </is>
      </c>
      <c r="H59" s="25" t="inlineStr"/>
      <c r="I59" s="23" t="inlineStr">
        <is>
          <t>R8.11〜12</t>
        </is>
      </c>
      <c r="J59" s="26" t="n"/>
      <c r="K59" s="26" t="n"/>
      <c r="L59" s="26" t="n"/>
      <c r="M59" s="26" t="n"/>
      <c r="N59" s="27" t="n">
        <v>0</v>
      </c>
      <c r="O59" s="23" t="inlineStr">
        <is>
          <t>未着手</t>
        </is>
      </c>
      <c r="P59" s="25" t="inlineStr"/>
    </row>
    <row r="60" ht="30" customHeight="1">
      <c r="A60" s="11" t="inlineStr">
        <is>
          <t>Ⅱ-50</t>
        </is>
      </c>
      <c r="B60" s="17" t="inlineStr">
        <is>
          <t>Ⅱ 計画策定</t>
        </is>
      </c>
      <c r="C60" s="12" t="inlineStr">
        <is>
          <t>Ⅱ-1 基礎調査</t>
        </is>
      </c>
      <c r="D60" s="13" t="inlineStr">
        <is>
          <t>制度改正動向の資料収集・整理</t>
        </is>
      </c>
      <c r="E60" s="11" t="inlineStr">
        <is>
          <t>仕様書4Ⅱ(1)</t>
        </is>
      </c>
      <c r="F60" s="11" t="inlineStr">
        <is>
          <t>受託者</t>
        </is>
      </c>
      <c r="G60" s="13" t="inlineStr">
        <is>
          <t>論点整理メモ</t>
        </is>
      </c>
      <c r="H60" s="13" t="inlineStr"/>
      <c r="I60" s="11" t="inlineStr">
        <is>
          <t>R8.9〜11</t>
        </is>
      </c>
      <c r="J60" s="14" t="n"/>
      <c r="K60" s="14" t="n"/>
      <c r="L60" s="14" t="n">
        <v>46259</v>
      </c>
      <c r="M60" s="14" t="n"/>
      <c r="N60" s="15" t="n">
        <v>0.95</v>
      </c>
      <c r="O60" s="16" t="inlineStr">
        <is>
          <t>着手</t>
        </is>
      </c>
      <c r="P60" s="13" t="inlineStr">
        <is>
          <t>交付金の令和8年度配点表を入手し評価指標の改定を確認（doc20）。★議事録により令和9年度の介護報酬改定への対応方針（現行単価で試算→単価確定後に補正）が決着。第10期の国の基本指針は告示待ち。★9/12：社会福祉法等の一部を改正する法律（令和8年法律第51号）の7件を素案1-8に新設して反映。あわせて中山間・人口減少地域（特定地域）の指定基準を整理し、本村は75歳以上人口526人・密度5人/km²未満により基準②に該当する見込みと判定。村内に事業所がないサービスへの対応手段になるため、指定を受ける意向を依頼書45-1として確認する。</t>
        </is>
      </c>
    </row>
    <row r="61" ht="30" customHeight="1">
      <c r="A61" s="23" t="inlineStr">
        <is>
          <t>Ⅱ-51</t>
        </is>
      </c>
      <c r="B61" s="24" t="inlineStr">
        <is>
          <t>Ⅱ 計画策定</t>
        </is>
      </c>
      <c r="C61" s="24" t="inlineStr">
        <is>
          <t>Ⅱ-1 基礎調査</t>
        </is>
      </c>
      <c r="D61" s="25" t="inlineStr">
        <is>
          <t>第10期国の基本指針の確認・反映</t>
        </is>
      </c>
      <c r="E61" s="23" t="inlineStr">
        <is>
          <t>仕様書4Ⅱ(1)</t>
        </is>
      </c>
      <c r="F61" s="23" t="inlineStr">
        <is>
          <t>受託者</t>
        </is>
      </c>
      <c r="G61" s="25" t="inlineStr">
        <is>
          <t>基本指針対応表</t>
        </is>
      </c>
      <c r="H61" s="25" t="inlineStr">
        <is>
          <t>令和8年内告示予定。遅延時は暫定版で作業</t>
        </is>
      </c>
      <c r="I61" s="23" t="inlineStr">
        <is>
          <t>R8.11〜</t>
        </is>
      </c>
      <c r="J61" s="26" t="n"/>
      <c r="K61" s="26" t="n"/>
      <c r="L61" s="26" t="n"/>
      <c r="M61" s="26" t="n"/>
      <c r="N61" s="27" t="n">
        <v>0</v>
      </c>
      <c r="O61" s="23" t="inlineStr">
        <is>
          <t>未着手</t>
        </is>
      </c>
      <c r="P61" s="25" t="inlineStr">
        <is>
          <t>国の基本指針が未告示のため着手不可。告示後ただちに反映。</t>
        </is>
      </c>
    </row>
    <row r="62" ht="30" customHeight="1">
      <c r="A62" s="4" t="inlineStr">
        <is>
          <t>Ⅱ-52</t>
        </is>
      </c>
      <c r="B62" s="6" t="inlineStr">
        <is>
          <t>Ⅱ 計画策定</t>
        </is>
      </c>
      <c r="C62" s="6" t="inlineStr">
        <is>
          <t>Ⅱ-1 基礎調査</t>
        </is>
      </c>
      <c r="D62" s="7" t="inlineStr">
        <is>
          <t>前提条件と基本的課題の明確化</t>
        </is>
      </c>
      <c r="E62" s="4" t="inlineStr">
        <is>
          <t>仕様書4Ⅱ(1)</t>
        </is>
      </c>
      <c r="F62" s="4" t="inlineStr">
        <is>
          <t>受託者</t>
        </is>
      </c>
      <c r="G62" s="7" t="inlineStr">
        <is>
          <t>課題整理メモ</t>
        </is>
      </c>
      <c r="H62" s="7" t="inlineStr"/>
      <c r="I62" s="4" t="inlineStr">
        <is>
          <t>R8.11</t>
        </is>
      </c>
      <c r="J62" s="8" t="n"/>
      <c r="K62" s="8" t="n"/>
      <c r="L62" s="8" t="n">
        <v>46265</v>
      </c>
      <c r="M62" s="8" t="n">
        <v>46265</v>
      </c>
      <c r="N62" s="9" t="n">
        <v>1</v>
      </c>
      <c r="O62" s="10" t="inlineStr">
        <is>
          <t>完了</t>
        </is>
      </c>
      <c r="P62" s="7" t="inlineStr">
        <is>
          <t>doc11として整理完了。前提条件4区分＋基本的課題5本。国の基本指針は未告示のため告示後に追記。</t>
        </is>
      </c>
    </row>
    <row r="63" ht="30" customHeight="1">
      <c r="A63" s="11" t="inlineStr">
        <is>
          <t>Ⅱ-53</t>
        </is>
      </c>
      <c r="B63" s="12" t="inlineStr">
        <is>
          <t>Ⅱ 計画策定</t>
        </is>
      </c>
      <c r="C63" s="12" t="inlineStr">
        <is>
          <t>Ⅱ-2 現行計画の評価</t>
        </is>
      </c>
      <c r="D63" s="13" t="inlineStr">
        <is>
          <t>高齢者福祉事業等の実績資料の受領</t>
        </is>
      </c>
      <c r="E63" s="11" t="inlineStr">
        <is>
          <t>仕様書4Ⅱ(2)①</t>
        </is>
      </c>
      <c r="F63" s="11" t="inlineStr">
        <is>
          <t>北塩原村</t>
        </is>
      </c>
      <c r="G63" s="13" t="inlineStr">
        <is>
          <t>実績資料</t>
        </is>
      </c>
      <c r="H63" s="13" t="inlineStr">
        <is>
          <t>R6年度実績、可能であればR7年度</t>
        </is>
      </c>
      <c r="I63" s="11" t="inlineStr">
        <is>
          <t>R8.10〜11</t>
        </is>
      </c>
      <c r="J63" s="14" t="n"/>
      <c r="K63" s="14" t="n"/>
      <c r="L63" s="14" t="n">
        <v>46272</v>
      </c>
      <c r="M63" s="14" t="n"/>
      <c r="N63" s="15" t="n">
        <v>0.55</v>
      </c>
      <c r="O63" s="16" t="inlineStr">
        <is>
          <t>着手</t>
        </is>
      </c>
      <c r="P63" s="13" t="inlineStr">
        <is>
          <t>見える化・決算は受領。★9/7：成年後見の実績（利用促進施策の取組状況調査 令和7・8年度、会津権利擁護・成年後見センターの相談件数 令和6・7年度）と合計所得金額分布調査を受領。村単独事業（除雪・緊急通報・生活支援ハウス等）の実績数値は引き続き未受領。</t>
        </is>
      </c>
    </row>
    <row r="64" ht="30" customHeight="1">
      <c r="A64" s="11" t="inlineStr">
        <is>
          <t>Ⅱ-54</t>
        </is>
      </c>
      <c r="B64" s="12" t="inlineStr">
        <is>
          <t>Ⅱ 計画策定</t>
        </is>
      </c>
      <c r="C64" s="12" t="inlineStr">
        <is>
          <t>Ⅱ-2 現行計画の評価</t>
        </is>
      </c>
      <c r="D64" s="13" t="inlineStr">
        <is>
          <t>高齢者福祉事業等の実施状況の把握と課題整理</t>
        </is>
      </c>
      <c r="E64" s="11" t="inlineStr">
        <is>
          <t>仕様書4Ⅱ(2)①</t>
        </is>
      </c>
      <c r="F64" s="11" t="inlineStr">
        <is>
          <t>受託者</t>
        </is>
      </c>
      <c r="G64" s="13" t="inlineStr">
        <is>
          <t>評価シート</t>
        </is>
      </c>
      <c r="H64" s="13" t="inlineStr"/>
      <c r="I64" s="11" t="inlineStr">
        <is>
          <t>R8.11</t>
        </is>
      </c>
      <c r="J64" s="14" t="n"/>
      <c r="K64" s="14" t="n"/>
      <c r="L64" s="14" t="n">
        <v>46267</v>
      </c>
      <c r="M64" s="14" t="n"/>
      <c r="N64" s="15" t="n">
        <v>0.85</v>
      </c>
      <c r="O64" s="16" t="inlineStr">
        <is>
          <t>着手</t>
        </is>
      </c>
      <c r="P64" s="13" t="inlineStr">
        <is>
          <t>doc14で第9期施策19本を評価。キックオフ資料により村単独事業名（除雪サービス・緊急通報・生活支援ハウス・はつらつ貯筋教室等）を把握。交付金の指標単位データにより給付適正化の実施状況が判明（doc20§8-2）。実績数値は未受領のため一部保留。進捗管理評価シート27頁の全文読み込みが未了。</t>
        </is>
      </c>
    </row>
    <row r="65" ht="30" customHeight="1">
      <c r="A65" s="11" t="inlineStr">
        <is>
          <t>Ⅱ-55</t>
        </is>
      </c>
      <c r="B65" s="12" t="inlineStr">
        <is>
          <t>Ⅱ 計画策定</t>
        </is>
      </c>
      <c r="C65" s="12" t="inlineStr">
        <is>
          <t>Ⅱ-2 現行計画の評価</t>
        </is>
      </c>
      <c r="D65" s="13" t="inlineStr">
        <is>
          <t>介護保険給付統計の取りまとめ</t>
        </is>
      </c>
      <c r="E65" s="11" t="inlineStr">
        <is>
          <t>仕様書4Ⅱ(2)②</t>
        </is>
      </c>
      <c r="F65" s="11" t="inlineStr">
        <is>
          <t>受託者</t>
        </is>
      </c>
      <c r="G65" s="13" t="inlineStr">
        <is>
          <t>統計表</t>
        </is>
      </c>
      <c r="H65" s="13" t="inlineStr"/>
      <c r="I65" s="11" t="inlineStr">
        <is>
          <t>R8.11</t>
        </is>
      </c>
      <c r="J65" s="14" t="n"/>
      <c r="K65" s="14" t="n"/>
      <c r="L65" s="14" t="n">
        <v>46265</v>
      </c>
      <c r="M65" s="14" t="n"/>
      <c r="N65" s="15" t="n">
        <v>0.85</v>
      </c>
      <c r="O65" s="16" t="inlineStr">
        <is>
          <t>着手</t>
        </is>
      </c>
      <c r="P65" s="13" t="inlineStr">
        <is>
          <t>D系給付費・K系施設数・D47/D48特別会計決算まで整理済（doc02）。令和6年度決算が未入手。★9/24：介護サービス自給率（δ2・δ2-a〜e）が取得済みでありながら未使用であったため素案2-5に投入した（doc38§A-1）。村外利用の割合を測る最も直接的な指標であり、短期入所系0%は村内に事業所がないことの裏づけになる。</t>
        </is>
      </c>
    </row>
    <row r="66" ht="30" customHeight="1">
      <c r="A66" s="11" t="inlineStr">
        <is>
          <t>Ⅱ-56</t>
        </is>
      </c>
      <c r="B66" s="12" t="inlineStr">
        <is>
          <t>Ⅱ 計画策定</t>
        </is>
      </c>
      <c r="C66" s="12" t="inlineStr">
        <is>
          <t>Ⅱ-2 現行計画の評価</t>
        </is>
      </c>
      <c r="D66" s="13" t="inlineStr">
        <is>
          <t>計画数値の評価（計画値と実績の乖離分析）</t>
        </is>
      </c>
      <c r="E66" s="11" t="inlineStr">
        <is>
          <t>仕様書4Ⅱ(2)②</t>
        </is>
      </c>
      <c r="F66" s="11" t="inlineStr">
        <is>
          <t>受託者</t>
        </is>
      </c>
      <c r="G66" s="13" t="inlineStr">
        <is>
          <t>乖離分析表</t>
        </is>
      </c>
      <c r="H66" s="13" t="inlineStr">
        <is>
          <t>第9期は第1号被保険者数を過小推計（-5.6〜-6.8%）</t>
        </is>
      </c>
      <c r="I66" s="11" t="inlineStr">
        <is>
          <t>R8.11</t>
        </is>
      </c>
      <c r="J66" s="14" t="n"/>
      <c r="K66" s="14" t="n"/>
      <c r="L66" s="14" t="n">
        <v>46265</v>
      </c>
      <c r="M66" s="14" t="n"/>
      <c r="N66" s="15" t="n">
        <v>0.9</v>
      </c>
      <c r="O66" s="16" t="inlineStr">
        <is>
          <t>着手</t>
        </is>
      </c>
      <c r="P66" s="13" t="inlineStr">
        <is>
          <t>doc12として計画書掲載様式（表2-16〜2-19）に整理完了。令和6年度決算と地域支援事業費の集計範囲の確認で確定。</t>
        </is>
      </c>
    </row>
    <row r="67" ht="30" customHeight="1">
      <c r="A67" s="4" t="inlineStr">
        <is>
          <t>Ⅱ-57</t>
        </is>
      </c>
      <c r="B67" s="6" t="inlineStr">
        <is>
          <t>Ⅱ 計画策定</t>
        </is>
      </c>
      <c r="C67" s="6" t="inlineStr">
        <is>
          <t>Ⅱ-2 現行計画の評価</t>
        </is>
      </c>
      <c r="D67" s="7" t="inlineStr">
        <is>
          <t>課題の整理</t>
        </is>
      </c>
      <c r="E67" s="4" t="inlineStr">
        <is>
          <t>仕様書4Ⅱ(2)</t>
        </is>
      </c>
      <c r="F67" s="4" t="inlineStr">
        <is>
          <t>受託者</t>
        </is>
      </c>
      <c r="G67" s="7" t="inlineStr">
        <is>
          <t>課題一覧</t>
        </is>
      </c>
      <c r="H67" s="7" t="inlineStr"/>
      <c r="I67" s="4" t="inlineStr">
        <is>
          <t>R8.11</t>
        </is>
      </c>
      <c r="J67" s="8" t="n"/>
      <c r="K67" s="8" t="n"/>
      <c r="L67" s="8" t="n">
        <v>46265</v>
      </c>
      <c r="M67" s="8" t="n">
        <v>46265</v>
      </c>
      <c r="N67" s="9" t="n">
        <v>1</v>
      </c>
      <c r="O67" s="10" t="inlineStr">
        <is>
          <t>完了</t>
        </is>
      </c>
      <c r="P67" s="7" t="inlineStr">
        <is>
          <t>doc11で基本的課題5本に集約完了。各課題を交付金評価指標と対応づけ。</t>
        </is>
      </c>
    </row>
    <row r="68" ht="30" customHeight="1">
      <c r="A68" s="4" t="inlineStr">
        <is>
          <t>Ⅱ-58</t>
        </is>
      </c>
      <c r="B68" s="6" t="inlineStr">
        <is>
          <t>Ⅱ 計画策定</t>
        </is>
      </c>
      <c r="C68" s="6" t="inlineStr">
        <is>
          <t>Ⅱ-3 見込量・保険料</t>
        </is>
      </c>
      <c r="D68" s="7" t="inlineStr">
        <is>
          <t>将来人口の整理（2040年度含む中長期）</t>
        </is>
      </c>
      <c r="E68" s="4" t="inlineStr">
        <is>
          <t>仕様書4Ⅱ(3)</t>
        </is>
      </c>
      <c r="F68" s="4" t="inlineStr">
        <is>
          <t>受託者</t>
        </is>
      </c>
      <c r="G68" s="7" t="inlineStr">
        <is>
          <t>人口推計表</t>
        </is>
      </c>
      <c r="H68" s="7" t="inlineStr">
        <is>
          <t>社人研の新推計（2050年まで）に差し替え</t>
        </is>
      </c>
      <c r="I68" s="4" t="inlineStr">
        <is>
          <t>R8.11〜12</t>
        </is>
      </c>
      <c r="J68" s="8" t="n"/>
      <c r="K68" s="8" t="n"/>
      <c r="L68" s="8" t="n">
        <v>46265</v>
      </c>
      <c r="M68" s="8" t="n">
        <v>46272</v>
      </c>
      <c r="N68" s="9" t="n">
        <v>1</v>
      </c>
      <c r="O68" s="10" t="inlineStr">
        <is>
          <t>完了</t>
        </is>
      </c>
      <c r="P68" s="7" t="inlineStr">
        <is>
          <t>★doc13で整理。9/7に厚労省配布の第10期将来推計用人口推計（住基ベース・令和22年まで）を受領し確定。福島県では社人研の市町村別推計が公表されておらず、国が住基ベース推計を配布していることが判明（doc28§1-1）。</t>
        </is>
      </c>
    </row>
    <row r="69" ht="30" customHeight="1">
      <c r="A69" s="11" t="inlineStr">
        <is>
          <t>Ⅱ-59</t>
        </is>
      </c>
      <c r="B69" s="12" t="inlineStr">
        <is>
          <t>Ⅱ 計画策定</t>
        </is>
      </c>
      <c r="C69" s="12" t="inlineStr">
        <is>
          <t>Ⅱ-3 見込量・保険料</t>
        </is>
      </c>
      <c r="D69" s="13" t="inlineStr">
        <is>
          <t>第1号被保険者数の推計</t>
        </is>
      </c>
      <c r="E69" s="11" t="inlineStr">
        <is>
          <t>仕様書4Ⅱ(3)①</t>
        </is>
      </c>
      <c r="F69" s="11" t="inlineStr">
        <is>
          <t>受託者</t>
        </is>
      </c>
      <c r="G69" s="13" t="inlineStr">
        <is>
          <t>推計表</t>
        </is>
      </c>
      <c r="H69" s="13" t="inlineStr">
        <is>
          <t>第9期の過小推計を直近実績で補正</t>
        </is>
      </c>
      <c r="I69" s="11" t="inlineStr">
        <is>
          <t>R8.11〜12</t>
        </is>
      </c>
      <c r="J69" s="14" t="n"/>
      <c r="K69" s="14" t="n"/>
      <c r="L69" s="14" t="n">
        <v>46265</v>
      </c>
      <c r="M69" s="14" t="n"/>
      <c r="N69" s="15" t="n">
        <v>0.92</v>
      </c>
      <c r="O69" s="16" t="inlineStr">
        <is>
          <t>着手</t>
        </is>
      </c>
      <c r="P69" s="13" t="inlineStr">
        <is>
          <t>doc13で前期・後期別の乖離率補正により令和9〜11年度末を算定（1,002／997／990人）。scripts/estimate_population.pyで再現可能。★9/15：素案5-2・5-3が社人研推計（国勢調査ベース）、5-4以降が厚生労働省配布の推計用人口（住民基本台帳ベース）を用いており2系列が併存していたことが判明。厚生労働省配布の系列（B案・令和7年12月末実績にリベース）に統一し、素案5-1・5-2を全面改訂した（1,004／995／987人）。2つの方法の差は最大3人（0.3%・保険料月額約7円）であり、検証として素案5-2に併記。残るのは補正手法の村合意と国ワークシートによる確定のみ。</t>
        </is>
      </c>
    </row>
    <row r="70" ht="30" customHeight="1">
      <c r="A70" s="11" t="inlineStr">
        <is>
          <t>Ⅱ-60</t>
        </is>
      </c>
      <c r="B70" s="12" t="inlineStr">
        <is>
          <t>Ⅱ 計画策定</t>
        </is>
      </c>
      <c r="C70" s="12" t="inlineStr">
        <is>
          <t>Ⅱ-3 見込量・保険料</t>
        </is>
      </c>
      <c r="D70" s="13" t="inlineStr">
        <is>
          <t>要介護者数の推計</t>
        </is>
      </c>
      <c r="E70" s="11" t="inlineStr">
        <is>
          <t>仕様書4Ⅱ(3)①</t>
        </is>
      </c>
      <c r="F70" s="11" t="inlineStr">
        <is>
          <t>受託者</t>
        </is>
      </c>
      <c r="G70" s="13" t="inlineStr">
        <is>
          <t>推計表</t>
        </is>
      </c>
      <c r="H70" s="13" t="inlineStr">
        <is>
          <t>要支援1の急増（39→51人）を反映</t>
        </is>
      </c>
      <c r="I70" s="11" t="inlineStr">
        <is>
          <t>R8.11〜12</t>
        </is>
      </c>
      <c r="J70" s="14" t="n"/>
      <c r="K70" s="14" t="n"/>
      <c r="L70" s="14" t="n">
        <v>46265</v>
      </c>
      <c r="M70" s="14" t="n"/>
      <c r="N70" s="15" t="n">
        <v>0.9</v>
      </c>
      <c r="O70" s="16" t="inlineStr">
        <is>
          <t>着手</t>
        </is>
      </c>
      <c r="P70" s="13" t="inlineStr">
        <is>
          <t>★9/7：doc29／scripts/estimate_certified.py として要介護度別の推計を確立。見える化のB4-a（全体）とB4-d（75歳以上）から前期・後期別の要介護度別認定率を分解（前期5.86%／後期34.70%）。B案×令和8年の認定率で基準年が実績と完全一致（211人・要支援1=51・要支援2=29・要介護1=50）。令和9年214人／令和10年217人／令和11年220人。認定率の基準2種×被保険者数2案の4通りを出力し、令和11年度で最大12人・5.8%の幅。★9/15：素案5-3に要介護度別（要支援1〜要介護5）の見込みを掲載し、認定率の置き方3とおりの幅を明示した（令和11年で①3か年平均220人〈採用〉・②直近年度固定224人・③年0.62pt上昇226人、保険料で月額約170円の幅）。国ワークシートの受領で確定する。</t>
        </is>
      </c>
    </row>
    <row r="71" ht="30" customHeight="1">
      <c r="A71" s="11" t="inlineStr">
        <is>
          <t>Ⅱ-61</t>
        </is>
      </c>
      <c r="B71" s="12" t="inlineStr">
        <is>
          <t>Ⅱ 計画策定</t>
        </is>
      </c>
      <c r="C71" s="12" t="inlineStr">
        <is>
          <t>Ⅱ-3 見込量・保険料</t>
        </is>
      </c>
      <c r="D71" s="13" t="inlineStr">
        <is>
          <t>各介護保険サービス見込量の推計</t>
        </is>
      </c>
      <c r="E71" s="11" t="inlineStr">
        <is>
          <t>仕様書4Ⅱ(3)②</t>
        </is>
      </c>
      <c r="F71" s="11" t="inlineStr">
        <is>
          <t>受託者</t>
        </is>
      </c>
      <c r="G71" s="13" t="inlineStr">
        <is>
          <t>見込量表</t>
        </is>
      </c>
      <c r="H71" s="13" t="inlineStr">
        <is>
          <t>居宅・施設・地域密着型・総合事業。村外利用を考慮</t>
        </is>
      </c>
      <c r="I71" s="11" t="inlineStr">
        <is>
          <t>R8.12</t>
        </is>
      </c>
      <c r="J71" s="14" t="n"/>
      <c r="K71" s="14" t="n"/>
      <c r="L71" s="14" t="n">
        <v>46272</v>
      </c>
      <c r="M71" s="14" t="n"/>
      <c r="N71" s="15" t="n">
        <v>0.95</v>
      </c>
      <c r="O71" s="16" t="inlineStr">
        <is>
          <t>着手</t>
        </is>
      </c>
      <c r="P71" s="13" t="inlineStr">
        <is>
          <t>★9/8：doc30として推計の枠組みを確定。「見える化」システムのデータ定義（受給者数＝年度延べ、D45系の分母＝要介護度別認定者数）を検算のうえ確定し、estimate_services.py により区分別・サービス種類別の見込量を算定。全28サービスのうち令和7年度に実績のある16サービスについて受給者数・利用量・給付費の暫定値を doc18 第5章5-4に投入。施設・居住系の種類別人数は見える化に系列がなく給付費比の按分値のため、村の月報（第2表・第3表）で置き換えが必要。介護給付と予防給付の分離も同じく月報待ち。★9/12：他案件（川崎町・金ケ崎町・大雪）の到達水準と対照し（doc33）、基準年度を令和7年度と確定。見える化の系列別の月数を実測で確認し（D1はR7が11か月、D2/D3/D4は12か月相当）doc30の÷12が正しいことを裏付けて素案5-4に明記。令和9年4月新設4区分の枠と、国の推計ツールのワーニング判定式（閾値＝Q1−2Q〜Q3+2Q）による自己点検の手順を追加。国の推計ツールの出力は未受領で、依頼書18-2として最優先で追加した。★9/15：他案件（大雪・川崎・金ケ崎）の算定の進め方を確認し、本村に適用して第1次概算を実施（doc35）。(1)見込量は需要で置く／地域密着型と総合事業のみ村の供給力が上限、という原則を素案5-4に明記。(2)令和9年4月新設4区分を「―」「要協議」から0に立て直した。(3)夜間対応型訪問介護の令和9年3月末廃止を反映。(4)単価の趨勢を連鎖ラスパイレス指数で実測（R元→R7の年率+1.30%）。3か年平均で固定していることは給付費の5.32%過小＝保険料月額314円に当たる。(5)サービス別の受給者数の年率が▲13.12〜+54.88%と68ポイント開いていることを実測し、伸びをどこまで反映すべきかをバックテストで検証（backtest_growth.py）。φ=0.5・c=5%が最小（WMAPE19.11%）だが一律19.68%に対し改善は2.9%にとどまるため一律を採用すると決定。(6)一律の方法で3年先を予測したときの誤差は絶対値平均11.9%＝保険料月額約700円で、基金取崩24,000千円の効き（702円）と同規模。素案5-4(9)として新設。(7)在宅介護実態調査の施設入所申込みの反映シナリオの枠を素案5-4(3)に新設（+1人／月＝月額75円）。残るのは国の推計ワークシートによる基準年度の置き直しの分解のみ。★9/15（第3次）：推計の系列を統一し、給付費を分離した（doc35§7-3）。(1)素案5-2・5-3が社人研推計（国勢調査ベース）、5-4以降が厚生労働省配布の推計用人口（住民基本台帳ベース）を用いており、令和11年の認定者数が230人と220人で食い違っていた。厚生労働省配布の系列（B案）に統一し5-1・5-2・5-3を全面改訂。5-1に①第1号被保険者数→②認定者数→③受給者数→④利用量→⑤給付費→⑥標準給付費→⑦保険料の連なりを表で明示した。(2)決算（D48-b）の介護サービス等諸費／介護予防サービス等諸費と要介護度別受給者数を突き合わせ、予防給付19,002円・介護給付175,230円の1人あたり給付月額を復元（令和3〜5年度で±1.6%以内の安定）。第10期3か年で介護給付費755,119千円・予防給付費34,344千円に分離し、5-6の空欄を埋めた。(3)見込量の自己点検を実施（check_warning.py）。年度間の変化率は3区分とも4%以内。令和7年度実績→令和9年度見込で±10%超は4件（居宅療養管理指導▲25.3%、短期入所生活介護▲20.8%、訪問入浴介護・地域密着型通所介護は新規計上）。いずれも3か年平均で置くことの副作用であり委員会にお諮りする。(4)地域支援事業費を新系列で置き直し3か年122,737千円（保険料月額+22円）。★9/16：認知症関連を反映（doc36§4）。5-4(7)の必要利用定員総数に認知症高齢者数との対比を追加（自立度Ⅱ以上1人あたりの定員は令和2年0.178人分→令和6年0.168人分。定員は平成28年度以降27人で固定、稼働率93%）。5-5(1)に認知症総合支援事業の6行（初期集中支援推進事業の対象者数・地域支援推進員・認知症カフェ・サポーター養成講座・養成者数・チームオレンジ）を新設。大半が実績未受領のため空欄。村内GHの待機者数と村外GH利用者数が未受領で、定員の増減を委員会に諮れない状態である（優先度A）。★9/24：他案件（大雪・川崎）のブランチを確認し、大雪の点検から5点を採った（doc37）。(1)利用率の分母を実データで検算（verify_bunbo.py）。見える化のサービス利用率の分母は要介護度別認定者数であり本村の算定と整合、直すところはなかった。ただし国の将来推計が在宅の分母を「認定者数−施設・居住系」とする場合要介護1で58.8%→86.1%、要介護2で107.7%（100%超）に変わるため、ワークシート受領時に確認を要する。要介護2の3区分合計が101.5%で、年度途中の在宅→施設の移行による重複1.5%が判明。(2)単価の趨勢と介護報酬改定率の二重計上を防ぐ断りを5-4(10)①に追加。趨勢は改定を含む実測値のため両者は択一。(3)供給の制約（村内定員の到達率）を算定（estimate_supply.py）。GH令和11年度90.7%・通所介護83.6%で超過なし。年報は施設の所在地を問わないため到達率は上限ではないことを明記。5-4(5)として新設。</t>
        </is>
      </c>
    </row>
    <row r="72" ht="30" customHeight="1">
      <c r="A72" s="11" t="inlineStr">
        <is>
          <t>Ⅱ-105</t>
        </is>
      </c>
      <c r="B72" s="12" t="inlineStr">
        <is>
          <t>Ⅱ 計画策定</t>
        </is>
      </c>
      <c r="C72" s="12" t="inlineStr">
        <is>
          <t>Ⅱ-3 見込量・保険料</t>
        </is>
      </c>
      <c r="D72" s="13" t="inlineStr">
        <is>
          <t>地域密着型サービスの必要利用定員総数の設定</t>
        </is>
      </c>
      <c r="E72" s="11" t="inlineStr">
        <is>
          <t>仕様書4Ⅱ(3)②</t>
        </is>
      </c>
      <c r="F72" s="11" t="inlineStr">
        <is>
          <t>受託者</t>
        </is>
      </c>
      <c r="G72" s="13" t="inlineStr">
        <is>
          <t>定員総数表</t>
        </is>
      </c>
      <c r="H72" s="13" t="inlineStr">
        <is>
          <t>介護保険法117条2項1号（義務）。本村に関係するのは認知症対応型共同生活介護のみ</t>
        </is>
      </c>
      <c r="I72" s="11" t="inlineStr">
        <is>
          <t>R8.12</t>
        </is>
      </c>
      <c r="J72" s="14" t="n"/>
      <c r="K72" s="14" t="n"/>
      <c r="L72" s="14" t="n">
        <v>46275</v>
      </c>
      <c r="M72" s="14" t="n"/>
      <c r="N72" s="15" t="n">
        <v>0.7</v>
      </c>
      <c r="O72" s="16" t="inlineStr">
        <is>
          <t>着手</t>
        </is>
      </c>
      <c r="P72" s="13" t="inlineStr">
        <is>
          <t>★介護保険法117条2項1号の義務的記載事項。doc32で欠落を検出し素案5-4(6)に新設した。本村に関係するのは認知症対応型共同生活介護のみで27人を仮置き。稼働率93%・第10期は居住系が増加見込みで村内に余地がないため、増床・村外対応・在宅対応のいずれを取るかは村の判断を要する（確認事項 優先度B）。</t>
        </is>
      </c>
    </row>
    <row r="73" ht="30" customHeight="1">
      <c r="A73" s="11" t="inlineStr">
        <is>
          <t>Ⅱ-106</t>
        </is>
      </c>
      <c r="B73" s="12" t="inlineStr">
        <is>
          <t>Ⅱ 計画策定</t>
        </is>
      </c>
      <c r="C73" s="12" t="inlineStr">
        <is>
          <t>Ⅱ-3 見込量・保険料</t>
        </is>
      </c>
      <c r="D73" s="13" t="inlineStr">
        <is>
          <t>地域支援事業の量の見込みと事業費の算定</t>
        </is>
      </c>
      <c r="E73" s="11" t="inlineStr">
        <is>
          <t>仕様書4Ⅱ(3)②</t>
        </is>
      </c>
      <c r="F73" s="11" t="inlineStr">
        <is>
          <t>受託者</t>
        </is>
      </c>
      <c r="G73" s="13" t="inlineStr">
        <is>
          <t>地域支援事業費表</t>
        </is>
      </c>
      <c r="H73" s="13" t="inlineStr">
        <is>
          <t>介護保険法117条2項2号（義務）。総合事業・包括的支援事業・任意事業。保険料の構成要素でもある</t>
        </is>
      </c>
      <c r="I73" s="11" t="inlineStr">
        <is>
          <t>R8.12</t>
        </is>
      </c>
      <c r="J73" s="14" t="n"/>
      <c r="K73" s="14" t="n"/>
      <c r="L73" s="14" t="n">
        <v>46280</v>
      </c>
      <c r="M73" s="14" t="n"/>
      <c r="N73" s="15" t="n">
        <v>0.8</v>
      </c>
      <c r="O73" s="16" t="inlineStr">
        <is>
          <t>着手</t>
        </is>
      </c>
      <c r="P73" s="13" t="inlineStr">
        <is>
          <t>★介護保険法117条2項2号の義務的記載事項。estimate_chiiki_shien.py により第10期3か年122,737千円を算定し素案5-5に投入（保険料月額+22円）。認定者数と第1号被保険者数の両方に連動させる方式。事業別の内訳（総合事業・包括的支援事業・任意事業）は村の実績が未受領のため空欄が残る。</t>
        </is>
      </c>
    </row>
    <row r="74" ht="30" customHeight="1">
      <c r="A74" s="11" t="inlineStr">
        <is>
          <t>Ⅱ-62</t>
        </is>
      </c>
      <c r="B74" s="12" t="inlineStr">
        <is>
          <t>Ⅱ 計画策定</t>
        </is>
      </c>
      <c r="C74" s="12" t="inlineStr">
        <is>
          <t>Ⅱ-3 見込量・保険料</t>
        </is>
      </c>
      <c r="D74" s="13" t="inlineStr">
        <is>
          <t>給付費の試算</t>
        </is>
      </c>
      <c r="E74" s="11" t="inlineStr">
        <is>
          <t>仕様書4Ⅱ(3)③</t>
        </is>
      </c>
      <c r="F74" s="11" t="inlineStr">
        <is>
          <t>受託者</t>
        </is>
      </c>
      <c r="G74" s="13" t="inlineStr">
        <is>
          <t>給付費試算表</t>
        </is>
      </c>
      <c r="H74" s="13" t="inlineStr">
        <is>
          <t>R9年度報酬改定は現行単価で仮試算→確定後に精緻化</t>
        </is>
      </c>
      <c r="I74" s="11" t="inlineStr">
        <is>
          <t>R8.12</t>
        </is>
      </c>
      <c r="J74" s="14" t="n"/>
      <c r="K74" s="14" t="n"/>
      <c r="L74" s="14" t="n">
        <v>46265</v>
      </c>
      <c r="M74" s="14" t="n"/>
      <c r="N74" s="15" t="n">
        <v>0.85</v>
      </c>
      <c r="O74" s="16" t="inlineStr">
        <is>
          <t>着手</t>
        </is>
      </c>
      <c r="P74" s="13" t="inlineStr">
        <is>
          <t>★9/8：サービス諸費（介護サービス等諸費＋介護予防サービス等諸費）の推計値を算定し doc18 第5章5-6に投入（令和9年度263,470千円／10年度263,505千円／11年度262,488千円）。見える化D48系に令和5年度までの決算が入っていることが判明し、令和3〜5年度の実績（244,097／247,333／258,848千円）と対比。決算の未入手は令和6・7年度の2か年に縮小。補足給付・高額介護サービス費・審査支払手数料は令和5年度決算まで把握済。★9/12：標準給付費見込額（3年計854,014千円）を算定。令和6・7年度決算が未受領のため割増率とその他給付費は令和5年度決算で代用している。★9/15：地域支援事業費を事業の対象別に3分して積み上げた（estimate_chiiki_shien.py）。介護予防・生活支援サービス事業は認定者数の伸び、一般介護予防事業と包括的支援事業・任意事業は第1号被保険者数の伸びによる。3か年計124,788千円で、令和5年度決算×3年の119,658千円を5,130千円上回り、保険料月額+36円に当たる。素案5-5(2)に投入。あわせて感応度表に3行（地域支援事業費+36円／単価の趨勢+314円／推計誤差±約700円）を追加し、据え置き項目31件を素案5-12として一覧化した。</t>
        </is>
      </c>
    </row>
    <row r="75" ht="30" customHeight="1">
      <c r="A75" s="11" t="inlineStr">
        <is>
          <t>Ⅱ-63</t>
        </is>
      </c>
      <c r="B75" s="12" t="inlineStr">
        <is>
          <t>Ⅱ 計画策定</t>
        </is>
      </c>
      <c r="C75" s="12" t="inlineStr">
        <is>
          <t>Ⅱ-3 見込量・保険料</t>
        </is>
      </c>
      <c r="D75" s="13" t="inlineStr">
        <is>
          <t>介護保険準備基金の残高・取崩方針の確認</t>
        </is>
      </c>
      <c r="E75" s="11" t="inlineStr">
        <is>
          <t>確認</t>
        </is>
      </c>
      <c r="F75" s="11" t="inlineStr">
        <is>
          <t>北塩原村</t>
        </is>
      </c>
      <c r="G75" s="13" t="inlineStr">
        <is>
          <t>基金残高資料</t>
        </is>
      </c>
      <c r="H75" s="13" t="inlineStr">
        <is>
          <t>第9期は設定額が必要額を上回る（R6+709円/R7+199円）</t>
        </is>
      </c>
      <c r="I75" s="11" t="inlineStr">
        <is>
          <t>R8.12</t>
        </is>
      </c>
      <c r="J75" s="14" t="n"/>
      <c r="K75" s="14" t="n"/>
      <c r="L75" s="14" t="n">
        <v>46267</v>
      </c>
      <c r="M75" s="14" t="n"/>
      <c r="N75" s="15" t="n">
        <v>0.3</v>
      </c>
      <c r="O75" s="16" t="inlineStr">
        <is>
          <t>確認中</t>
        </is>
      </c>
      <c r="P75" s="13" t="inlineStr">
        <is>
          <t>★議事録に「基金の取り崩し（第9期は800万円程度）」とあり、第9期計画から読み取った24,000,000円との齟齬がある。年額か期間合計かの確認が必要（doc22 K-74）。複数パターンのシミュレーションを受託者で行うことは決着。</t>
        </is>
      </c>
    </row>
    <row r="76" ht="30" customHeight="1">
      <c r="A76" s="11" t="inlineStr">
        <is>
          <t>Ⅱ-64</t>
        </is>
      </c>
      <c r="B76" s="12" t="inlineStr">
        <is>
          <t>Ⅱ 計画策定</t>
        </is>
      </c>
      <c r="C76" s="12" t="inlineStr">
        <is>
          <t>Ⅱ-3 見込量・保険料</t>
        </is>
      </c>
      <c r="D76" s="13" t="inlineStr">
        <is>
          <t>介護保険料の試算（複数案の比較）</t>
        </is>
      </c>
      <c r="E76" s="11" t="inlineStr">
        <is>
          <t>仕様書4Ⅱ(3)③</t>
        </is>
      </c>
      <c r="F76" s="11" t="inlineStr">
        <is>
          <t>受託者</t>
        </is>
      </c>
      <c r="G76" s="13" t="inlineStr">
        <is>
          <t>保険料試算表</t>
        </is>
      </c>
      <c r="H76" s="13" t="inlineStr">
        <is>
          <t>所得段階・基金活用・上限の設定を反映</t>
        </is>
      </c>
      <c r="I76" s="11" t="inlineStr">
        <is>
          <t>R8.12〜R9.1</t>
        </is>
      </c>
      <c r="J76" s="14" t="n"/>
      <c r="K76" s="14" t="n"/>
      <c r="L76" s="14" t="n">
        <v>46272</v>
      </c>
      <c r="M76" s="14" t="n"/>
      <c r="N76" s="15" t="n">
        <v>0.85</v>
      </c>
      <c r="O76" s="16" t="inlineStr">
        <is>
          <t>着手</t>
        </is>
      </c>
      <c r="P76" s="13" t="inlineStr">
        <is>
          <t>★議事録で方針決着：第9期で県内平均を上回ったため急激な負担増を抑えたい意向。基金取崩も視野。令和9年度の介護報酬改定を見据え現行単価で一旦試算し単価確定後に補正。doc18 第5章5-7に様式と所得段階13段階の枠を作成済。★9/8：サービス諸費の推計（doc30）が出たため、残る停止要因は基金残高と令和6・7年度決算の2件に絞られた。★9/12：保険料算定の5式（金ケ崎町で第9期公表値と一致を確認した構造）と調整交付金見込交付割合の式（α+0.05）−α×F×Gを導入し、本村の第9期を0.32%で再現。限界率23.79%・F×G=1.034を復元。感応度9項目（給付費1%＝月額59円、第1号負担割合1pt＝294円、基金24,000千円＝▲702円）と12パターン（5,936〜7,341円・幅1,406円）を算定し素案5-7に投入（scripts/estimate_premium.py）。保険料の幅のうち702円は基金取崩の判断で決まるため、給付費推計の精緻化より基金方針の決定が先。★9/15：中長期（令和17年度・令和22年度）の保険料をαの2案で算定し素案5-11の【要確認】を解消（据え置き23%なら令和22年度6,883円、3年ごと1pt上昇なら8,379円。scripts/estimate_longterm.py）。素案5-6の標準給付費の様式を埋め3か年854,014千円を確定。5-7の感応度に3行（地域支援事業費+22円／単価の趨勢+314円／推計誤差±約700円）を追加した。残るのはα政令・基金残高・令和6-7年度決算の受領。★9/24：年度別の保険料収納必要額を算定し素案5-7に新設（doc37§6）。令和9年度6,704円→令和11年度6,799円で95円上がる。給付費が横ばいで第1号被保険者数が1.7%減るため。3か年平均6,756円との差は令和9年度+596千円（余り）・令和10年度▲109千円・令和11年度▲486千円。第10期末の基金残高を見込むには期首残高が必要（未受領）。年度別の過不足は給付費が1%振れるだけで逆転する程度（年間約680千円）であり、基金の役割は年度間の均衡よりも推計の誤差（絶対値平均11.9%）の吸収にある。</t>
        </is>
      </c>
    </row>
    <row r="77" ht="30" customHeight="1">
      <c r="A77" s="11" t="inlineStr">
        <is>
          <t>Ⅱ-107</t>
        </is>
      </c>
      <c r="B77" s="12" t="inlineStr">
        <is>
          <t>Ⅱ 計画策定</t>
        </is>
      </c>
      <c r="C77" s="12" t="inlineStr">
        <is>
          <t>Ⅱ-3 見込量・保険料</t>
        </is>
      </c>
      <c r="D77" s="13" t="inlineStr">
        <is>
          <t>所得段階の設定（段階数・保険料率・低所得者軽減）</t>
        </is>
      </c>
      <c r="E77" s="11" t="inlineStr">
        <is>
          <t>仕様書4Ⅱ(3)③</t>
        </is>
      </c>
      <c r="F77" s="11" t="inlineStr">
        <is>
          <t>受託者</t>
        </is>
      </c>
      <c r="G77" s="13" t="inlineStr">
        <is>
          <t>段階別保険料表</t>
        </is>
      </c>
      <c r="H77" s="13" t="inlineStr">
        <is>
          <t>第9期は13段階。令和8年度合計所得金額分布調査（13段階・1,015人）を用いる</t>
        </is>
      </c>
      <c r="I77" s="11" t="inlineStr">
        <is>
          <t>R8.12〜R9.1</t>
        </is>
      </c>
      <c r="J77" s="14" t="n"/>
      <c r="K77" s="14" t="n"/>
      <c r="L77" s="14" t="n">
        <v>46272</v>
      </c>
      <c r="M77" s="14" t="n"/>
      <c r="N77" s="15" t="n">
        <v>0.6</v>
      </c>
      <c r="O77" s="16" t="inlineStr">
        <is>
          <t>着手</t>
        </is>
      </c>
      <c r="P77" s="13" t="inlineStr">
        <is>
          <t>★令和8年度合計所得金額分布調査（13段階・1,015人・10万円刻み）を受領済（doc28§2）。第9期の13段階を踏襲するか区切りを見直すかは未決で、見直す場合の影響試算に同データを用いる。素案5-7に13段階の枠を作成済。</t>
        </is>
      </c>
    </row>
    <row r="78" ht="30" customHeight="1">
      <c r="A78" s="4" t="inlineStr">
        <is>
          <t>Ⅱ-108</t>
        </is>
      </c>
      <c r="B78" s="6" t="inlineStr">
        <is>
          <t>Ⅱ 計画策定</t>
        </is>
      </c>
      <c r="C78" s="6" t="inlineStr">
        <is>
          <t>Ⅱ-3 見込量・保険料</t>
        </is>
      </c>
      <c r="D78" s="7" t="inlineStr">
        <is>
          <t>中長期（令和17・22年度）の保険料見通しの算定</t>
        </is>
      </c>
      <c r="E78" s="4" t="inlineStr">
        <is>
          <t>仕様書4Ⅱ(3)③</t>
        </is>
      </c>
      <c r="F78" s="4" t="inlineStr">
        <is>
          <t>受託者</t>
        </is>
      </c>
      <c r="G78" s="7" t="inlineStr">
        <is>
          <t>中長期見通し表</t>
        </is>
      </c>
      <c r="H78" s="7" t="inlineStr">
        <is>
          <t>国の基本指針が2040年度・2050年度を見据えた推計を求める</t>
        </is>
      </c>
      <c r="I78" s="4" t="inlineStr">
        <is>
          <t>R8.12〜R9.1</t>
        </is>
      </c>
      <c r="J78" s="8" t="n"/>
      <c r="K78" s="8" t="n"/>
      <c r="L78" s="8" t="n">
        <v>46280</v>
      </c>
      <c r="M78" s="8" t="n">
        <v>46280</v>
      </c>
      <c r="N78" s="9" t="n">
        <v>1</v>
      </c>
      <c r="O78" s="10" t="inlineStr">
        <is>
          <t>完了</t>
        </is>
      </c>
      <c r="P78" s="7" t="inlineStr">
        <is>
          <t>★estimate_longterm.py により算定し素案5-11の【要確認】を解消。第1号負担割合αを23%に据え置くと令和22年度6,883円、3年ごとに1ポイント上がると8,379円。補助給付等は令和11年度に令和5年度決算を置きサービス諸費に比例させた。</t>
        </is>
      </c>
    </row>
    <row r="79" ht="30" customHeight="1">
      <c r="A79" s="11" t="inlineStr">
        <is>
          <t>Ⅱ-65</t>
        </is>
      </c>
      <c r="B79" s="12" t="inlineStr">
        <is>
          <t>Ⅱ 計画策定</t>
        </is>
      </c>
      <c r="C79" s="12" t="inlineStr">
        <is>
          <t>Ⅱ-3 見込量・保険料</t>
        </is>
      </c>
      <c r="D79" s="13" t="inlineStr">
        <is>
          <t>成果目標及び活動指標の設定</t>
        </is>
      </c>
      <c r="E79" s="11" t="inlineStr">
        <is>
          <t>仕様書4Ⅱ(3)④</t>
        </is>
      </c>
      <c r="F79" s="11" t="inlineStr">
        <is>
          <t>受託者</t>
        </is>
      </c>
      <c r="G79" s="13" t="inlineStr">
        <is>
          <t>指標一覧</t>
        </is>
      </c>
      <c r="H79" s="13" t="inlineStr">
        <is>
          <t>第9期実績との接続。達成可能性の検証を併せて実施</t>
        </is>
      </c>
      <c r="I79" s="11" t="inlineStr">
        <is>
          <t>R8.12〜R9.1</t>
        </is>
      </c>
      <c r="J79" s="14" t="n"/>
      <c r="K79" s="14" t="n"/>
      <c r="L79" s="14" t="n">
        <v>46268</v>
      </c>
      <c r="M79" s="14" t="n"/>
      <c r="N79" s="15" t="n">
        <v>0.85</v>
      </c>
      <c r="O79" s="16" t="inlineStr">
        <is>
          <t>着手</t>
        </is>
      </c>
      <c r="P79" s="13" t="inlineStr">
        <is>
          <t>★交付金の配点表・全国集計3か年の受領により、満点・全国平均・県平均・全国順位が判明（doc20）。★9/3：資料7として成果目標6指標・活動指標13指標を設定し、うち11指標の現状値を確定（通いの場23か所281人・参加率12.2%、多様なサービス事業費割合0.0%、サポーター約237人、ステップアップ講座0人、縦覧点検4帳票、給付費通知300件/年、地域ケア会議年6回、SC参加割合50.0%、認定率21.1%、要支援1が51人 ほか）。目標値は調査結果の確定後に設定。交付金の得点は数値目標に置かず進捗管理の仕組みを書く方針。★9/15：令和8年度の交付金評価指標で検算し、素案6-3に本村の得点と全国平均を併記。全国平均を上回る6指標は「維持」、下回る5指標は「引上げ」に整理した。引上げを要するのは要介護3〜5の状態の変化（0点／40点・20点）、総合事業の多様なサービス（0点／13点）、認知症サポーターのステップアップ講座（0点／12点）。目標値は第2回策定委員会で設定する。</t>
        </is>
      </c>
    </row>
    <row r="80" ht="30" customHeight="1">
      <c r="A80" s="11" t="inlineStr">
        <is>
          <t>Ⅱ-109</t>
        </is>
      </c>
      <c r="B80" s="12" t="inlineStr">
        <is>
          <t>Ⅱ 計画策定</t>
        </is>
      </c>
      <c r="C80" s="12" t="inlineStr">
        <is>
          <t>Ⅱ-3 見込量・保険料</t>
        </is>
      </c>
      <c r="D80" s="13" t="inlineStr">
        <is>
          <t>給付適正化に係る取組内容と目標の設定</t>
        </is>
      </c>
      <c r="E80" s="11" t="inlineStr">
        <is>
          <t>仕様書4Ⅱ(3)④</t>
        </is>
      </c>
      <c r="F80" s="11" t="inlineStr">
        <is>
          <t>受託者</t>
        </is>
      </c>
      <c r="G80" s="13" t="inlineStr">
        <is>
          <t>給付適正化計画</t>
        </is>
      </c>
      <c r="H80" s="13" t="inlineStr">
        <is>
          <t>介護保険法117条2項3号・4号（義務）。主要3事業（要介護認定の適正化・ケアプラン点検・医療情報との突合）</t>
        </is>
      </c>
      <c r="I80" s="11" t="inlineStr">
        <is>
          <t>R8.12〜R9.1</t>
        </is>
      </c>
      <c r="J80" s="14" t="n"/>
      <c r="K80" s="14" t="n"/>
      <c r="L80" s="14" t="n">
        <v>46273</v>
      </c>
      <c r="M80" s="14" t="n"/>
      <c r="N80" s="15" t="n">
        <v>0.7</v>
      </c>
      <c r="O80" s="16" t="inlineStr">
        <is>
          <t>着手</t>
        </is>
      </c>
      <c r="P80" s="13" t="inlineStr">
        <is>
          <t>★介護保険法117条2項3号・4号の義務的記載事項（努力義務ではない）。素案を施策3-5（取組内容）と第5章5-8（計画としての目標）の二本立てに整理し、第9期は第5章にのみ置かれ施策体系の中に見えなかった課題（doc17 B-5）を解消した。根拠条項を117条3項5号・6号としていた誤りは訂正済。目標値は村の実績が未受領のため一部空欄。</t>
        </is>
      </c>
    </row>
    <row r="81" ht="30" customHeight="1">
      <c r="A81" s="4" t="inlineStr">
        <is>
          <t>Ⅱ-66</t>
        </is>
      </c>
      <c r="B81" s="6" t="inlineStr">
        <is>
          <t>Ⅱ 計画策定</t>
        </is>
      </c>
      <c r="C81" s="6" t="inlineStr">
        <is>
          <t>Ⅱ-4 高齢者福祉施策</t>
        </is>
      </c>
      <c r="D81" s="7" t="inlineStr">
        <is>
          <t>現行計画の成果と課題の整理</t>
        </is>
      </c>
      <c r="E81" s="4" t="inlineStr">
        <is>
          <t>仕様書4Ⅱ(4)</t>
        </is>
      </c>
      <c r="F81" s="4" t="inlineStr">
        <is>
          <t>受託者</t>
        </is>
      </c>
      <c r="G81" s="7" t="inlineStr">
        <is>
          <t>整理メモ</t>
        </is>
      </c>
      <c r="H81" s="7" t="inlineStr"/>
      <c r="I81" s="4" t="inlineStr">
        <is>
          <t>R8.11〜12</t>
        </is>
      </c>
      <c r="J81" s="8" t="n"/>
      <c r="K81" s="8" t="n"/>
      <c r="L81" s="8" t="n">
        <v>46265</v>
      </c>
      <c r="M81" s="8" t="n">
        <v>46265</v>
      </c>
      <c r="N81" s="9" t="n">
        <v>1</v>
      </c>
      <c r="O81" s="10" t="inlineStr">
        <is>
          <t>完了</t>
        </is>
      </c>
      <c r="P81" s="7" t="inlineStr">
        <is>
          <t>doc14として第9期の施策19本を4段階（◎○△✗）で評価完了。</t>
        </is>
      </c>
    </row>
    <row r="82" ht="30" customHeight="1">
      <c r="A82" s="11" t="inlineStr">
        <is>
          <t>Ⅱ-67</t>
        </is>
      </c>
      <c r="B82" s="12" t="inlineStr">
        <is>
          <t>Ⅱ 計画策定</t>
        </is>
      </c>
      <c r="C82" s="12" t="inlineStr">
        <is>
          <t>Ⅱ-4 高齢者福祉施策</t>
        </is>
      </c>
      <c r="D82" s="13" t="inlineStr">
        <is>
          <t>次期計画に盛り込む施策の検討</t>
        </is>
      </c>
      <c r="E82" s="11" t="inlineStr">
        <is>
          <t>仕様書4Ⅱ(4)</t>
        </is>
      </c>
      <c r="F82" s="11" t="inlineStr">
        <is>
          <t>受託者</t>
        </is>
      </c>
      <c r="G82" s="13" t="inlineStr">
        <is>
          <t>施策案</t>
        </is>
      </c>
      <c r="H82" s="13" t="inlineStr">
        <is>
          <t>環境整備・支援体制の構築等</t>
        </is>
      </c>
      <c r="I82" s="11" t="inlineStr">
        <is>
          <t>R8.11〜12</t>
        </is>
      </c>
      <c r="J82" s="14" t="n"/>
      <c r="K82" s="14" t="n"/>
      <c r="L82" s="14" t="n">
        <v>46265</v>
      </c>
      <c r="M82" s="14" t="n"/>
      <c r="N82" s="15" t="n">
        <v>0.85</v>
      </c>
      <c r="O82" s="16" t="inlineStr">
        <is>
          <t>着手</t>
        </is>
      </c>
      <c r="P82" s="13" t="inlineStr">
        <is>
          <t>doc14・doc18として施策案を整理。第4章は26施策。住民ニーズ第1位の除雪を独立施策（2-6）として新設。基本目標5「計画の推進と進捗管理」の新設を提案。国の基本指針で追加・修正の可能性。★9/16：認知症基本法の基本的施策10項目と本計画の施策を対応させたところ、第15条（認知症の人の生活におけるバリアフリー化の推進）を受ける施策がないことが判明。移動・住まい・除雪の各施策が実質的な受け皿になるが、認知症の人に着目した記述はない。外出・買い物・金融機関の利用など介護保険の枠組みの外にある領域であり、庁内の関係部署および事業者との連携の範囲を村と協議する。</t>
        </is>
      </c>
    </row>
    <row r="83" ht="30" customHeight="1">
      <c r="A83" s="11" t="inlineStr">
        <is>
          <t>Ⅱ-110</t>
        </is>
      </c>
      <c r="B83" s="12" t="inlineStr">
        <is>
          <t>Ⅱ 計画策定</t>
        </is>
      </c>
      <c r="C83" s="12" t="inlineStr">
        <is>
          <t>Ⅱ-4 高齢者福祉施策</t>
        </is>
      </c>
      <c r="D83" s="13" t="inlineStr">
        <is>
          <t>老人福祉事業の量の目標の設定</t>
        </is>
      </c>
      <c r="E83" s="11" t="inlineStr">
        <is>
          <t>仕様書4Ⅱ(4)</t>
        </is>
      </c>
      <c r="F83" s="11" t="inlineStr">
        <is>
          <t>受託者</t>
        </is>
      </c>
      <c r="G83" s="13" t="inlineStr">
        <is>
          <t>量の目標表</t>
        </is>
      </c>
      <c r="H83" s="13" t="inlineStr">
        <is>
          <t>老人福祉法20条の8第2項（義務）。村単独事業の目標量を年度別に置く</t>
        </is>
      </c>
      <c r="I83" s="11" t="inlineStr">
        <is>
          <t>R8.12</t>
        </is>
      </c>
      <c r="J83" s="14" t="n"/>
      <c r="K83" s="14" t="n"/>
      <c r="L83" s="14" t="n">
        <v>46275</v>
      </c>
      <c r="M83" s="14" t="n"/>
      <c r="N83" s="15" t="n">
        <v>0.5</v>
      </c>
      <c r="O83" s="16" t="inlineStr">
        <is>
          <t>着手</t>
        </is>
      </c>
      <c r="P83" s="13" t="inlineStr">
        <is>
          <t>★老人福祉法20条の8第2項の義務的記載事項。doc32で欠落を検出し第4章4-6として新設した。村単独事業（除雪サービス・緊急通報・生活支援ハウス・配食等）の年度別目標量を置く枠までを作成。実績数値が未受領のため一部空欄。</t>
        </is>
      </c>
    </row>
    <row r="84" ht="30" customHeight="1">
      <c r="A84" s="11" t="inlineStr">
        <is>
          <t>Ⅱ-68</t>
        </is>
      </c>
      <c r="B84" s="12" t="inlineStr">
        <is>
          <t>Ⅱ 計画策定</t>
        </is>
      </c>
      <c r="C84" s="12" t="inlineStr">
        <is>
          <t>Ⅱ-5 成年後見</t>
        </is>
      </c>
      <c r="D84" s="13" t="inlineStr">
        <is>
          <t>制度の利用実態・考え方の情報提供</t>
        </is>
      </c>
      <c r="E84" s="11" t="inlineStr">
        <is>
          <t>仕様書4Ⅱ(5)</t>
        </is>
      </c>
      <c r="F84" s="11" t="inlineStr">
        <is>
          <t>北塩原村</t>
        </is>
      </c>
      <c r="G84" s="13" t="inlineStr">
        <is>
          <t>情報提供資料</t>
        </is>
      </c>
      <c r="H84" s="13" t="inlineStr">
        <is>
          <t>村長申立の運用、中核機関の状況</t>
        </is>
      </c>
      <c r="I84" s="11" t="inlineStr">
        <is>
          <t>R8.11</t>
        </is>
      </c>
      <c r="J84" s="14" t="n"/>
      <c r="K84" s="14" t="n"/>
      <c r="L84" s="14" t="n">
        <v>46272</v>
      </c>
      <c r="M84" s="14" t="n"/>
      <c r="N84" s="15" t="n">
        <v>0.7</v>
      </c>
      <c r="O84" s="16" t="inlineStr">
        <is>
          <t>着手</t>
        </is>
      </c>
      <c r="P84" s="13" t="inlineStr">
        <is>
          <t>★成年後見制度利用促進施策に係る取組状況調査（令和7・8年度）と会津権利擁護・成年後見センターの相談件数（令和6・7年度）を受領し実態が判明（doc28§3）。利用者4人（後見1・保佐2・補助1・任意後見0）、市町村長申立て0件、市民後見人の養成0人（広域中核機関で1人）・登録0人・受任0件、法人後見は圏域内0法人、任意後見の周知は未実施。一方で中核機関・協議会・申立費用助成・報酬助成はいずれも整備済で地域連携ネットワークは26項目中21項目が整備済。市町村計画は第9期と一体で策定済。</t>
        </is>
      </c>
    </row>
    <row r="85" ht="30" customHeight="1">
      <c r="A85" s="11" t="inlineStr">
        <is>
          <t>Ⅱ-69</t>
        </is>
      </c>
      <c r="B85" s="12" t="inlineStr">
        <is>
          <t>Ⅱ 計画策定</t>
        </is>
      </c>
      <c r="C85" s="12" t="inlineStr">
        <is>
          <t>Ⅱ-5 成年後見</t>
        </is>
      </c>
      <c r="D85" s="13" t="inlineStr">
        <is>
          <t>利用促進の方向性・計画案の提示</t>
        </is>
      </c>
      <c r="E85" s="11" t="inlineStr">
        <is>
          <t>仕様書4Ⅱ(5)</t>
        </is>
      </c>
      <c r="F85" s="11" t="inlineStr">
        <is>
          <t>受託者</t>
        </is>
      </c>
      <c r="G85" s="13" t="inlineStr">
        <is>
          <t>計画案</t>
        </is>
      </c>
      <c r="H85" s="13" t="inlineStr">
        <is>
          <t>広域調整・関係機関協議は村が実施</t>
        </is>
      </c>
      <c r="I85" s="11" t="inlineStr">
        <is>
          <t>R8.12</t>
        </is>
      </c>
      <c r="J85" s="14" t="n"/>
      <c r="K85" s="14" t="n"/>
      <c r="L85" s="14" t="n">
        <v>46272</v>
      </c>
      <c r="M85" s="14" t="n"/>
      <c r="N85" s="15" t="n">
        <v>0.4</v>
      </c>
      <c r="O85" s="16" t="inlineStr">
        <is>
          <t>着手</t>
        </is>
      </c>
      <c r="P85" s="13" t="inlineStr">
        <is>
          <t>★実績判明により方向性を確定。「体制整備」から「利用促進と担い手確保」へ施策4-7の書きぶりを転換することを提案（doc28§3-4）。ニーズ調査 問11（認知度・家族との話し合い・利用意向）と組み合わせて「制度は整っているのに使われていない」原因を住民側の認知度から説明する。</t>
        </is>
      </c>
    </row>
    <row r="86" ht="30" customHeight="1">
      <c r="A86" s="4" t="inlineStr">
        <is>
          <t>Ⅱ-70</t>
        </is>
      </c>
      <c r="B86" s="6" t="inlineStr">
        <is>
          <t>Ⅱ 計画策定</t>
        </is>
      </c>
      <c r="C86" s="6" t="inlineStr">
        <is>
          <t>Ⅱ-6 計画案の検討</t>
        </is>
      </c>
      <c r="D86" s="7" t="inlineStr">
        <is>
          <t>第10期の課題の整理</t>
        </is>
      </c>
      <c r="E86" s="4" t="inlineStr">
        <is>
          <t>仕様書4Ⅱ(6)</t>
        </is>
      </c>
      <c r="F86" s="4" t="inlineStr">
        <is>
          <t>受託者</t>
        </is>
      </c>
      <c r="G86" s="7" t="inlineStr">
        <is>
          <t>課題整理</t>
        </is>
      </c>
      <c r="H86" s="7" t="inlineStr"/>
      <c r="I86" s="4" t="inlineStr">
        <is>
          <t>R8.12</t>
        </is>
      </c>
      <c r="J86" s="8" t="n"/>
      <c r="K86" s="8" t="n"/>
      <c r="L86" s="8" t="n">
        <v>46265</v>
      </c>
      <c r="M86" s="8" t="n">
        <v>46265</v>
      </c>
      <c r="N86" s="9" t="n">
        <v>1</v>
      </c>
      <c r="O86" s="10" t="inlineStr">
        <is>
          <t>完了</t>
        </is>
      </c>
      <c r="P86" s="7" t="inlineStr">
        <is>
          <t>doc11で基本的課題5本、doc17で第9期計画の課題20件（重大度A 13件）を洗い出し完了。</t>
        </is>
      </c>
    </row>
    <row r="87" ht="30" customHeight="1">
      <c r="A87" s="11" t="inlineStr">
        <is>
          <t>Ⅱ-71</t>
        </is>
      </c>
      <c r="B87" s="12" t="inlineStr">
        <is>
          <t>Ⅱ 計画策定</t>
        </is>
      </c>
      <c r="C87" s="12" t="inlineStr">
        <is>
          <t>Ⅱ-6 計画案の検討</t>
        </is>
      </c>
      <c r="D87" s="13" t="inlineStr">
        <is>
          <t>施策体系の整理</t>
        </is>
      </c>
      <c r="E87" s="11" t="inlineStr">
        <is>
          <t>仕様書4Ⅱ(6)</t>
        </is>
      </c>
      <c r="F87" s="11" t="inlineStr">
        <is>
          <t>受託者</t>
        </is>
      </c>
      <c r="G87" s="13" t="inlineStr">
        <is>
          <t>施策体系図</t>
        </is>
      </c>
      <c r="H87" s="13" t="inlineStr"/>
      <c r="I87" s="11" t="inlineStr">
        <is>
          <t>R8.12</t>
        </is>
      </c>
      <c r="J87" s="14" t="n"/>
      <c r="K87" s="14" t="n"/>
      <c r="L87" s="14" t="n">
        <v>46269</v>
      </c>
      <c r="M87" s="14" t="n"/>
      <c r="N87" s="15" t="n">
        <v>0.95</v>
      </c>
      <c r="O87" s="16" t="inlineStr">
        <is>
          <t>着手</t>
        </is>
      </c>
      <c r="P87" s="13" t="inlineStr">
        <is>
          <t>doc14・doc18で施策体系（基本目標5本・施策28本）を確定。施策3-5「介護給付の適正化」を交付金配点表に基づき全面改訂（主要3事業への再編・縦覧点検4帳票満点の事実を反映）。基本目標5の独立可否は村と要協議。★9/4：資料4として委員会に諮る形に整理（基本目標5本・施策28本、区分別内訳は継続10／継続強化1／強化6／改称1／新規10）。新設10施策の根拠を1件ずつ明示。★9/8：給付適正化を施策3-5（取組内容）と第5章5-8（計画としての目標）の二本立てに整理。第9期は第5章にのみ置かれ施策体系の中に見えなかった課題（doc17 B-5）を解消。</t>
        </is>
      </c>
    </row>
    <row r="88" ht="30" customHeight="1">
      <c r="A88" s="11" t="inlineStr">
        <is>
          <t>Ⅱ-72</t>
        </is>
      </c>
      <c r="B88" s="12" t="inlineStr">
        <is>
          <t>Ⅱ 計画策定</t>
        </is>
      </c>
      <c r="C88" s="12" t="inlineStr">
        <is>
          <t>Ⅱ-6 計画案の検討</t>
        </is>
      </c>
      <c r="D88" s="13" t="inlineStr">
        <is>
          <t>関連計画との整合確認</t>
        </is>
      </c>
      <c r="E88" s="11" t="inlineStr">
        <is>
          <t>仕様書4Ⅱ(6)</t>
        </is>
      </c>
      <c r="F88" s="11" t="inlineStr">
        <is>
          <t>受託者</t>
        </is>
      </c>
      <c r="G88" s="13" t="inlineStr">
        <is>
          <t>整合確認表</t>
        </is>
      </c>
      <c r="H88" s="13" t="inlineStr">
        <is>
          <t>第5次総合振興計画／第3次健康21・グッドヘルスプラン</t>
        </is>
      </c>
      <c r="I88" s="11" t="inlineStr">
        <is>
          <t>R8.12</t>
        </is>
      </c>
      <c r="J88" s="14" t="n"/>
      <c r="K88" s="14" t="n"/>
      <c r="L88" s="14" t="n">
        <v>46267</v>
      </c>
      <c r="M88" s="14" t="n"/>
      <c r="N88" s="15" t="n">
        <v>0.4</v>
      </c>
      <c r="O88" s="16" t="inlineStr">
        <is>
          <t>着手</t>
        </is>
      </c>
      <c r="P88" s="13" t="inlineStr">
        <is>
          <t>★議事録で整合対象が確定（障がい福祉計画・地域福祉計画・グッドヘルスプラン・生涯学習計画）。第四次生涯学習推進計画は受領・確認済（doc21）。他は未受領。</t>
        </is>
      </c>
    </row>
    <row r="89" ht="30" customHeight="1">
      <c r="A89" s="11" t="inlineStr">
        <is>
          <t>Ⅱ-111</t>
        </is>
      </c>
      <c r="B89" s="12" t="inlineStr">
        <is>
          <t>Ⅱ 計画策定</t>
        </is>
      </c>
      <c r="C89" s="12" t="inlineStr">
        <is>
          <t>Ⅱ-6 計画案の検討</t>
        </is>
      </c>
      <c r="D89" s="13" t="inlineStr">
        <is>
          <t>計画の名称・計画期間の表記の統一</t>
        </is>
      </c>
      <c r="E89" s="11" t="inlineStr">
        <is>
          <t>仕様書1</t>
        </is>
      </c>
      <c r="F89" s="11" t="inlineStr">
        <is>
          <t>双方</t>
        </is>
      </c>
      <c r="G89" s="13" t="inlineStr">
        <is>
          <t>表記ルール</t>
        </is>
      </c>
      <c r="H89" s="13" t="inlineStr">
        <is>
          <t>委託名は「第10期北塩原村高齢者福祉計画・第10期北塩原村介護保険事業計画」。表紙・奥付・本文・図表で統一する</t>
        </is>
      </c>
      <c r="I89" s="11" t="inlineStr">
        <is>
          <t>R8.12</t>
        </is>
      </c>
      <c r="J89" s="14" t="n"/>
      <c r="K89" s="14" t="n"/>
      <c r="L89" s="14" t="n">
        <v>46273</v>
      </c>
      <c r="M89" s="14" t="n"/>
      <c r="N89" s="15" t="n">
        <v>0.8</v>
      </c>
      <c r="O89" s="16" t="inlineStr">
        <is>
          <t>着手</t>
        </is>
      </c>
      <c r="P89" s="13" t="inlineStr">
        <is>
          <t>委託名は「第10期北塩原村高齢者福祉計画・第10期北塩原村介護保険事業計画」。素案の表紙・第1章・図表の表記をこれに揃えた。奥付とパブリックコメント・委員名簿は確定後に記入する。</t>
        </is>
      </c>
    </row>
    <row r="90" ht="30" customHeight="1">
      <c r="A90" s="11" t="inlineStr">
        <is>
          <t>Ⅱ-73</t>
        </is>
      </c>
      <c r="B90" s="12" t="inlineStr">
        <is>
          <t>Ⅱ 計画策定</t>
        </is>
      </c>
      <c r="C90" s="12" t="inlineStr">
        <is>
          <t>Ⅱ-6 計画案の検討</t>
        </is>
      </c>
      <c r="D90" s="13" t="inlineStr">
        <is>
          <t>一体的策定の範囲の確認</t>
        </is>
      </c>
      <c r="E90" s="11" t="inlineStr">
        <is>
          <t>確認</t>
        </is>
      </c>
      <c r="F90" s="11" t="inlineStr">
        <is>
          <t>双方</t>
        </is>
      </c>
      <c r="G90" s="13" t="inlineStr">
        <is>
          <t>確認メモ</t>
        </is>
      </c>
      <c r="H90" s="13" t="inlineStr">
        <is>
          <t>成年後見制度利用促進基本計画・認知症施策推進計画の継続可否</t>
        </is>
      </c>
      <c r="I90" s="11" t="inlineStr">
        <is>
          <t>R8.11</t>
        </is>
      </c>
      <c r="J90" s="14" t="n"/>
      <c r="K90" s="14" t="n"/>
      <c r="L90" s="14" t="n">
        <v>46267</v>
      </c>
      <c r="M90" s="14" t="n"/>
      <c r="N90" s="15" t="n">
        <v>0.6</v>
      </c>
      <c r="O90" s="16" t="inlineStr">
        <is>
          <t>着手</t>
        </is>
      </c>
      <c r="P90" s="13" t="inlineStr">
        <is>
          <t>★議事録により整合対象が確定：国の基本方針・総合計画・障がい福祉計画・地域福祉計画・グッドヘルスプラン（21計画）・生涯学習計画。生涯学習計画は受領済（doc21）。</t>
        </is>
      </c>
    </row>
    <row r="91" ht="30" customHeight="1">
      <c r="A91" s="4" t="inlineStr">
        <is>
          <t>Ⅱ-74</t>
        </is>
      </c>
      <c r="B91" s="6" t="inlineStr">
        <is>
          <t>Ⅱ 計画策定</t>
        </is>
      </c>
      <c r="C91" s="6" t="inlineStr">
        <is>
          <t>Ⅱ-7 計画書の作成</t>
        </is>
      </c>
      <c r="D91" s="7" t="inlineStr">
        <is>
          <t>骨子案の作成</t>
        </is>
      </c>
      <c r="E91" s="4" t="inlineStr">
        <is>
          <t>仕様書4Ⅱ(7)</t>
        </is>
      </c>
      <c r="F91" s="4" t="inlineStr">
        <is>
          <t>受託者</t>
        </is>
      </c>
      <c r="G91" s="7" t="inlineStr">
        <is>
          <t>骨子案</t>
        </is>
      </c>
      <c r="H91" s="7" t="inlineStr"/>
      <c r="I91" s="4" t="inlineStr">
        <is>
          <t>R8.11〜12</t>
        </is>
      </c>
      <c r="J91" s="8" t="n"/>
      <c r="K91" s="8" t="n"/>
      <c r="L91" s="8" t="n">
        <v>46265</v>
      </c>
      <c r="M91" s="8" t="n">
        <v>46265</v>
      </c>
      <c r="N91" s="9" t="n">
        <v>1</v>
      </c>
      <c r="O91" s="10" t="inlineStr">
        <is>
          <t>完了</t>
        </is>
      </c>
      <c r="P91" s="7" t="inlineStr">
        <is>
          <t>doc15として全6章の章構成・節構成・想定頁数を確定。素案の作成に移行。</t>
        </is>
      </c>
    </row>
    <row r="92" ht="30" customHeight="1">
      <c r="A92" s="11" t="inlineStr">
        <is>
          <t>Ⅱ-75</t>
        </is>
      </c>
      <c r="B92" s="12" t="inlineStr">
        <is>
          <t>Ⅱ 計画策定</t>
        </is>
      </c>
      <c r="C92" s="12" t="inlineStr">
        <is>
          <t>Ⅱ-7 計画書の作成</t>
        </is>
      </c>
      <c r="D92" s="13" t="inlineStr">
        <is>
          <t>素案の作成</t>
        </is>
      </c>
      <c r="E92" s="11" t="inlineStr">
        <is>
          <t>仕様書4Ⅱ(7)</t>
        </is>
      </c>
      <c r="F92" s="11" t="inlineStr">
        <is>
          <t>受託者</t>
        </is>
      </c>
      <c r="G92" s="13" t="inlineStr">
        <is>
          <t>素案</t>
        </is>
      </c>
      <c r="H92" s="13" t="inlineStr"/>
      <c r="I92" s="11" t="inlineStr">
        <is>
          <t>R8.12〜R9.1</t>
        </is>
      </c>
      <c r="J92" s="14" t="n"/>
      <c r="K92" s="14" t="n"/>
      <c r="L92" s="14" t="n">
        <v>46267</v>
      </c>
      <c r="M92" s="14" t="n"/>
      <c r="N92" s="15" t="n">
        <v>0.9</v>
      </c>
      <c r="O92" s="16" t="inlineStr">
        <is>
          <t>着手</t>
        </is>
      </c>
      <c r="P92" s="13" t="inlineStr">
        <is>
          <t>doc18／output/06_計画素案.docx として全6章・65節・73表・図20点を作成。第2章の図はモノクロ印刷を前提に明度差＋線種＋マーカー＋ハッチングで識別。施策2-6「冬期の生活支援（除雪）」を新設し施策26本。サービス区分別分析（訪問系−50.8%）を追加。★9/8：第5章5-4・5-5・5-6にサービス見込量と給付費の暫定推計値を投入（doc30）。あわせて資料編（策定経過・委員名簿・アンケート調査の概要・パブリックコメント・用語の解説69語）を新設。★9/8：第5章の章題を仕様書・第9期の構成に合わせ「介護保険料の設定」に変更し、5-8介護給付適正化計画・5-9保険者機能強化推進交付金等の活用の2節を新設（第9期の並びに沿わせた）。★9/10：法定記載事項をチェックし（doc32）、欠落5件を反映——地域密着型サービスの必要利用定員総数（介保法117条2項1号・義務）、老人福祉事業の量の目標（老福法20条の8第2項・義務、第4章4-6を新設）、地域支援事業の量の見込み（同117条2項2号・義務）、医療計画との整合（同117条5項）、高齢者虐待の防止・BCP・避難確保計画（基本指針）。あわせて給付適正化の根拠を「117条3項5号6号（努力義務）」から「117条2項3号4号（義務）」に訂正。全6章＋資料編・約115頁。残る空欄は地域支援事業費の事業別内訳、交付金の交付見込額、および確定後に記入する日付・名簿。★9/15：見込量算定の第1次概算を反映（doc35）。あわせて素案の記述を令和8年度の交付金評価指標で検算し、複数の訂正を行った。(1)中長期の保険料を算定し5-11の【要確認】を解消（αを23%据え置くと令和22年度6,883円、3年ごとに1ポイント上がると8,379円）。(2)標準給付費の様式を埋め5-6を確定（3か年854,014千円）。5-7と完全に一致。(3)交付金の評価指標を令和8年度で検算したところ、素案の記述の多くが令和6年度または令和4年度の評価に基づいており実態と食い違っていた。通いの場への参加率は0→8点満点（最上位の段階は全国で約10%）、参加促進のアウトリーチは9点満点、地域リハビリテーションの推進は0→7点満点、計画の進捗管理（目標Ⅰの3項目）は0→48点満点。一方、要介護3〜5の状態の変化は2指標とも0点（35点減）、認知症サポーター数は12点中0点、難聴は20点中0点。施策1-1を「通いの場の再構築と参加率の向上」から「通いの場の開催頻度の向上と地区差の是正」に改称し、課題3の見出しも改めた。(4)6-3の成果目標・活動指標に令和8年度の得点と全国平均を併記し、維持6指標・引上げ5指標に整理。(5)認知症基本法13条1項・成年後見促進法14条1項を確認し1-2の【要確認】を解消。素案は2,197行→2,341行。★9/15：3次にわたり修正。(1)見込量算定の第1次概算を反映（doc35）。(2)令和8年度の交付金評価指標で全記述を検算し、施策1-1の名称と課題3の見出しを改めた。(3)推計の系列を統一し、介護給付費と予防給付費を分離、見込量の自己点検を実施。5-12（据え置き項目31件）を新設。素案は約115頁→2,449行（段落約4,400・表約125・図20）。残る空欄は交付金の交付見込額、高齢者福祉サービスの量の目標の一部、委員名簿・パブコメなど確定後に記入するもの。★9/16：交付金の目標別に全国平均と対比したところ、素案2-8の「認知症総合支援が全国平均を下回る唯一の目標」が誤りと判明（上回るのは3目標、下回るのは5目標。認知症総合支援は差が最大の▲19.1点）。2-8に目標別の対比表を新設し関係箇所を訂正した。あわせて薄い節を埋めた（1-5日常生活圏域・4-2〜4-4基本目標の導入・5-10低所得者）。6-4に乖離の検証の見直しの目安（±5%以内／±5〜12%／±12%超）を、6-5に計画期間中に確定する5項目を新設。±12%は推計の誤差の絶対値の平均11.9%（保険料月額約700円）によるもので、この幅を超える乖離は基金の取崩しでは吸収できない。素案は2,449行→2,509行。★9/16：認知症施策推進計画としての検討（doc36）。本計画は認知症基本法第13条第1項の市町村計画を兼ねるが、認知症施策は施策4-4の1本のみで基本法の基本的施策との対応が示されていなかった。第4章に4-7「認知症施策推進計画としての位置づけ」を新設し、3つの基本的な考え方（新しい認知症観・本人および家族等の参画・共生社会）、基本法第14〜23条の10項目と本計画の施策との対応表、本村の状況、本人・家族の参画の方法、指標8件を掲載した。2-3に認知症高齢者の状況（自立度Ⅱ以上161人・2年間で22.0%増・認定者に占める割合63.6%）を新設。あわせて第4章の施策番号に「施策」を冠し、基本目標の節番号との衝突（4-4が基本目標4と施策4-4の両方を指す状態）を解消した。素案は2,509行→2,633行。★9/16（第2次）：認知症基本法の条文（令和5年法律第65号）と厚生労働省の概要資料を受領し、素案4-7を検算した。3件の誤りを訂正——(1)市町村が計画に位置づけるのは第14〜23条の10項目ではなく第14〜21条の8項目（第22条以降は主語が「国は」）、(2)意見聴取の根拠は第13条第3項ではなく「第13条第3項において準用する第12条第3項」、(3)第15条バリアフリー化の対応施策は住まい・除雪ではなく移動・見守り（条文の例示による）。あわせて条文から新たに4件を素案に追加——第13条第3項が準用する第12条第4〜7項（計画の公表・実施状況の評価と公表・5年ごとの検討・評価結果の取りまとめ時の意見聴取）、第9条（認知症の日9月21日・認知症月間9月）、第7条（公共交通・金融機関・小売業者等の合理的配慮）、第16条第2項（若年性認知症の雇用継続）。4-7を全面改訂し8つの見出しに再構成した。素案は2,633行→2,677行。★9/24：素案の自己点検16件を新設（verify_soan.py）。全件適合で終了コード0、不適合なら1。素案の数値は算定スクリプトの出力を手書きで書き写しているため、算定を改めたときの乖離を検出する。大雪は素案の生成が算定をrunpyで直接読む形に改めたが、本村は構造を変える工数が大きいため点検で代替する。点検項目は人口・認定者数・区分別受給者数・標準給付費の内部整合・給付費の分離・地域支援事業費・年度別保険料・中長期保険料・定員到達率・利用率の分母・二重計上の注記・乖離の目安・認知症基本法の条項・節番号の重複・据え置き一覧の16件。素案は2,715行→2,758行。★9/24（第2次）：未解決の確認事項46件を見える化での確認可否により4分類し（doc38）、取得済みでありながら素案で使っていなかった2件を投入した。(1)介護サービス自給率（δ2系）を2-5に新設。全体46.5%・訪問系41.1%・通所系79.3%・短期入所系0%・施設居住系41.3%（令和7年度）。訪問系は令和3年度62.7%から21.6pt低下しており村内の供給力の低下が疑われる。施設居住系は給付の58.7%が村外。(2)居宅介護支援・介護予防支援の受給者数を5-4(9)に投入。見える化の2系列から逆算し（D13-r×B1÷D17-l）、令和3〜7年度の値が在宅サービス受給者数と0.1人以内で一致することを確認した。従前は全て空欄であった。素案は2,758行→2,787行。</t>
        </is>
      </c>
    </row>
    <row r="93" ht="30" customHeight="1">
      <c r="A93" s="23" t="inlineStr">
        <is>
          <t>Ⅱ-112</t>
        </is>
      </c>
      <c r="B93" s="24" t="inlineStr">
        <is>
          <t>Ⅱ 計画策定</t>
        </is>
      </c>
      <c r="C93" s="24" t="inlineStr">
        <is>
          <t>Ⅱ-7 計画書の作成</t>
        </is>
      </c>
      <c r="D93" s="25" t="inlineStr">
        <is>
          <t>策定委員会の審議意見の反映</t>
        </is>
      </c>
      <c r="E93" s="23" t="inlineStr">
        <is>
          <t>仕様書4Ⅱ(7)</t>
        </is>
      </c>
      <c r="F93" s="23" t="inlineStr">
        <is>
          <t>受託者</t>
        </is>
      </c>
      <c r="G93" s="25" t="inlineStr">
        <is>
          <t>対応表</t>
        </is>
      </c>
      <c r="H93" s="25" t="inlineStr">
        <is>
          <t>仕様書(7)は策定委員会の審議とパブリックコメントの双方の意見の反映を求める。従来はパブコメ側のみ計上していた</t>
        </is>
      </c>
      <c r="I93" s="23" t="inlineStr">
        <is>
          <t>R8.11〜R9.2</t>
        </is>
      </c>
      <c r="J93" s="26" t="n"/>
      <c r="K93" s="26" t="n"/>
      <c r="L93" s="26" t="n"/>
      <c r="M93" s="26" t="n"/>
      <c r="N93" s="27" t="n">
        <v>0</v>
      </c>
      <c r="O93" s="23" t="inlineStr">
        <is>
          <t>未着手</t>
        </is>
      </c>
      <c r="P93" s="25" t="inlineStr">
        <is>
          <t>★仕様書Ⅱ(7)は策定委員会の審議とパブリックコメントの双方の意見の反映を求めるが、従来はパブコメ側のみを作業として計上していた。第2回（11月）の審議結果を素案に反映する工程が必要。第2回の資料は doc26 で構成を確定済。</t>
        </is>
      </c>
    </row>
    <row r="94" ht="30" customHeight="1">
      <c r="A94" s="11" t="inlineStr">
        <is>
          <t>Ⅱ-76</t>
        </is>
      </c>
      <c r="B94" s="12" t="inlineStr">
        <is>
          <t>Ⅱ 計画策定</t>
        </is>
      </c>
      <c r="C94" s="12" t="inlineStr">
        <is>
          <t>Ⅱ-7 計画書の作成</t>
        </is>
      </c>
      <c r="D94" s="13" t="inlineStr">
        <is>
          <t>パブリックコメントの実施</t>
        </is>
      </c>
      <c r="E94" s="11" t="inlineStr">
        <is>
          <t>仕様書4Ⅱ(7)</t>
        </is>
      </c>
      <c r="F94" s="11" t="inlineStr">
        <is>
          <t>北塩原村</t>
        </is>
      </c>
      <c r="G94" s="13" t="inlineStr">
        <is>
          <t>パブコメ資料・意見</t>
        </is>
      </c>
      <c r="H94" s="13" t="inlineStr">
        <is>
          <t>★議事録により第2回委員会（11月）の後に実施と確定。方向性や説明文を追記した上で実施</t>
        </is>
      </c>
      <c r="I94" s="11" t="inlineStr">
        <is>
          <t>R8.11〜12</t>
        </is>
      </c>
      <c r="J94" s="14" t="n"/>
      <c r="K94" s="14" t="n"/>
      <c r="L94" s="14" t="n"/>
      <c r="M94" s="14" t="n"/>
      <c r="N94" s="15" t="n">
        <v>0</v>
      </c>
      <c r="O94" s="11" t="inlineStr">
        <is>
          <t>未着手</t>
        </is>
      </c>
      <c r="P94" s="13" t="inlineStr"/>
    </row>
    <row r="95" ht="30" customHeight="1">
      <c r="A95" s="23" t="inlineStr">
        <is>
          <t>Ⅱ-77</t>
        </is>
      </c>
      <c r="B95" s="24" t="inlineStr">
        <is>
          <t>Ⅱ 計画策定</t>
        </is>
      </c>
      <c r="C95" s="24" t="inlineStr">
        <is>
          <t>Ⅱ-7 計画書の作成</t>
        </is>
      </c>
      <c r="D95" s="25" t="inlineStr">
        <is>
          <t>パブリックコメント意見の反映</t>
        </is>
      </c>
      <c r="E95" s="23" t="inlineStr">
        <is>
          <t>仕様書4Ⅱ(7)</t>
        </is>
      </c>
      <c r="F95" s="23" t="inlineStr">
        <is>
          <t>受託者</t>
        </is>
      </c>
      <c r="G95" s="25" t="inlineStr">
        <is>
          <t>対応表</t>
        </is>
      </c>
      <c r="H95" s="25" t="inlineStr">
        <is>
          <t>第3回委員会（1月下旬〜2月上旬）で報告</t>
        </is>
      </c>
      <c r="I95" s="23" t="inlineStr">
        <is>
          <t>R8.12〜R9.1</t>
        </is>
      </c>
      <c r="J95" s="26" t="n"/>
      <c r="K95" s="26" t="n"/>
      <c r="L95" s="26" t="n"/>
      <c r="M95" s="26" t="n"/>
      <c r="N95" s="27" t="n">
        <v>0</v>
      </c>
      <c r="O95" s="23" t="inlineStr">
        <is>
          <t>未着手</t>
        </is>
      </c>
      <c r="P95" s="25" t="inlineStr"/>
    </row>
    <row r="96" ht="30" customHeight="1">
      <c r="A96" s="18" t="inlineStr">
        <is>
          <t>Ⅱ-78</t>
        </is>
      </c>
      <c r="B96" s="19" t="inlineStr">
        <is>
          <t>Ⅱ 計画策定</t>
        </is>
      </c>
      <c r="C96" s="19" t="inlineStr">
        <is>
          <t>Ⅱ-7 計画書の作成</t>
        </is>
      </c>
      <c r="D96" s="20" t="inlineStr">
        <is>
          <t>原案の作成</t>
        </is>
      </c>
      <c r="E96" s="18" t="inlineStr">
        <is>
          <t>仕様書4Ⅱ(7)</t>
        </is>
      </c>
      <c r="F96" s="18" t="inlineStr">
        <is>
          <t>受託者</t>
        </is>
      </c>
      <c r="G96" s="20" t="inlineStr">
        <is>
          <t>原案</t>
        </is>
      </c>
      <c r="H96" s="20" t="inlineStr"/>
      <c r="I96" s="18" t="inlineStr">
        <is>
          <t>R9.1〜2</t>
        </is>
      </c>
      <c r="J96" s="21" t="n"/>
      <c r="K96" s="21" t="n"/>
      <c r="L96" s="21" t="n"/>
      <c r="M96" s="21" t="n"/>
      <c r="N96" s="22" t="n">
        <v>0</v>
      </c>
      <c r="O96" s="18" t="inlineStr">
        <is>
          <t>未着手</t>
        </is>
      </c>
      <c r="P96" s="20" t="inlineStr"/>
    </row>
    <row r="97" ht="30" customHeight="1">
      <c r="A97" s="23" t="inlineStr">
        <is>
          <t>Ⅱ-79</t>
        </is>
      </c>
      <c r="B97" s="24" t="inlineStr">
        <is>
          <t>Ⅱ 計画策定</t>
        </is>
      </c>
      <c r="C97" s="24" t="inlineStr">
        <is>
          <t>Ⅱ-7 計画書の作成</t>
        </is>
      </c>
      <c r="D97" s="25" t="inlineStr">
        <is>
          <t>計画書の最終取りまとめ</t>
        </is>
      </c>
      <c r="E97" s="23" t="inlineStr">
        <is>
          <t>仕様書4Ⅱ(7)</t>
        </is>
      </c>
      <c r="F97" s="23" t="inlineStr">
        <is>
          <t>受託者</t>
        </is>
      </c>
      <c r="G97" s="25" t="inlineStr">
        <is>
          <t>計画書（確定）</t>
        </is>
      </c>
      <c r="H97" s="25" t="inlineStr"/>
      <c r="I97" s="23" t="inlineStr">
        <is>
          <t>R9.2〜3</t>
        </is>
      </c>
      <c r="J97" s="26" t="n"/>
      <c r="K97" s="26" t="n"/>
      <c r="L97" s="26" t="n"/>
      <c r="M97" s="26" t="n"/>
      <c r="N97" s="27" t="n">
        <v>0</v>
      </c>
      <c r="O97" s="23" t="inlineStr">
        <is>
          <t>未着手</t>
        </is>
      </c>
      <c r="P97" s="25" t="inlineStr"/>
    </row>
    <row r="98" ht="30" customHeight="1">
      <c r="A98" s="18" t="inlineStr">
        <is>
          <t>Ⅱ-113</t>
        </is>
      </c>
      <c r="B98" s="19" t="inlineStr">
        <is>
          <t>Ⅱ 計画策定</t>
        </is>
      </c>
      <c r="C98" s="19" t="inlineStr">
        <is>
          <t>Ⅱ-7 計画書の作成</t>
        </is>
      </c>
      <c r="D98" s="20" t="inlineStr">
        <is>
          <t>計画書のレイアウト・校正</t>
        </is>
      </c>
      <c r="E98" s="18" t="inlineStr">
        <is>
          <t>仕様書4Ⅱ(7)</t>
        </is>
      </c>
      <c r="F98" s="18" t="inlineStr">
        <is>
          <t>受託者</t>
        </is>
      </c>
      <c r="G98" s="20" t="inlineStr">
        <is>
          <t>校正紙</t>
        </is>
      </c>
      <c r="H98" s="20" t="inlineStr">
        <is>
          <t>判型・表紙デザインの踏襲可否は村と要協議。印刷入稿の前提</t>
        </is>
      </c>
      <c r="I98" s="18" t="inlineStr">
        <is>
          <t>R9.2〜3</t>
        </is>
      </c>
      <c r="J98" s="21" t="n"/>
      <c r="K98" s="21" t="n"/>
      <c r="L98" s="21" t="n"/>
      <c r="M98" s="21" t="n"/>
      <c r="N98" s="22" t="n">
        <v>0</v>
      </c>
      <c r="O98" s="18" t="inlineStr">
        <is>
          <t>未着手</t>
        </is>
      </c>
      <c r="P98" s="20" t="inlineStr">
        <is>
          <t>判型・表紙デザインの踏襲可否は村と要協議（確認事項 優先度C）。当方の環境では docx から PDF への変換ができずレイアウトの目視確認ができないため、校正の工程では村側での確認を前提に組む。</t>
        </is>
      </c>
    </row>
    <row r="99" ht="30" customHeight="1">
      <c r="A99" s="11" t="inlineStr">
        <is>
          <t>Ⅱ-80</t>
        </is>
      </c>
      <c r="B99" s="12" t="inlineStr">
        <is>
          <t>Ⅱ 計画策定</t>
        </is>
      </c>
      <c r="C99" s="12" t="inlineStr">
        <is>
          <t>Ⅱ-8 策定委員会支援</t>
        </is>
      </c>
      <c r="D99" s="13" t="inlineStr">
        <is>
          <t>委員の改選・委嘱</t>
        </is>
      </c>
      <c r="E99" s="11" t="inlineStr">
        <is>
          <t>確認</t>
        </is>
      </c>
      <c r="F99" s="11" t="inlineStr">
        <is>
          <t>北塩原村</t>
        </is>
      </c>
      <c r="G99" s="13" t="inlineStr">
        <is>
          <t>委員名簿</t>
        </is>
      </c>
      <c r="H99" s="13" t="inlineStr">
        <is>
          <t>★現委員の任期は令和8年9月30日満了。議事録では触れられておらず改選の要否が未確認。第2回（11月）の前提</t>
        </is>
      </c>
      <c r="I99" s="11" t="inlineStr">
        <is>
          <t>R8.9〜10</t>
        </is>
      </c>
      <c r="J99" s="14" t="n"/>
      <c r="K99" s="14" t="n"/>
      <c r="L99" s="14" t="n"/>
      <c r="M99" s="14" t="n"/>
      <c r="N99" s="15" t="n">
        <v>0</v>
      </c>
      <c r="O99" s="11" t="inlineStr">
        <is>
          <t>未着手</t>
        </is>
      </c>
      <c r="P99" s="13" t="inlineStr">
        <is>
          <t>★現委員の任期が令和8年9月30日で満了（doc19 追-C）。第1回策定委員会を11月に開催するには10月中の改選・委嘱が必要。手続きの所要期間を村に確認し逆算する必要がある。</t>
        </is>
      </c>
    </row>
    <row r="100" ht="30" customHeight="1">
      <c r="A100" s="18" t="inlineStr">
        <is>
          <t>Ⅱ-81</t>
        </is>
      </c>
      <c r="B100" s="19" t="inlineStr">
        <is>
          <t>Ⅱ 計画策定</t>
        </is>
      </c>
      <c r="C100" s="19" t="inlineStr">
        <is>
          <t>Ⅱ-8 策定委員会支援</t>
        </is>
      </c>
      <c r="D100" s="20" t="inlineStr">
        <is>
          <t>第1回 会議資料の作成</t>
        </is>
      </c>
      <c r="E100" s="18" t="inlineStr">
        <is>
          <t>仕様書4Ⅱ(8)</t>
        </is>
      </c>
      <c r="F100" s="18" t="inlineStr">
        <is>
          <t>受託者</t>
        </is>
      </c>
      <c r="G100" s="20" t="inlineStr">
        <is>
          <t>会議資料</t>
        </is>
      </c>
      <c r="H100" s="20" t="inlineStr">
        <is>
          <t>★議事録により第1回は受託前に開催済みと確定。本業務の対象外</t>
        </is>
      </c>
      <c r="I100" s="18" t="inlineStr">
        <is>
          <t>開催済</t>
        </is>
      </c>
      <c r="J100" s="21" t="n"/>
      <c r="K100" s="21" t="n"/>
      <c r="L100" s="21" t="n"/>
      <c r="M100" s="21" t="n"/>
      <c r="N100" s="22" t="n">
        <v>1</v>
      </c>
      <c r="O100" s="28" t="inlineStr">
        <is>
          <t>対象外</t>
        </is>
      </c>
      <c r="P100" s="20" t="inlineStr">
        <is>
          <t>★議事録により第1回策定委員会は受託前に開催済みと確定。本業務の対象外。</t>
        </is>
      </c>
    </row>
    <row r="101" ht="30" customHeight="1">
      <c r="A101" s="23" t="inlineStr">
        <is>
          <t>Ⅱ-82</t>
        </is>
      </c>
      <c r="B101" s="24" t="inlineStr">
        <is>
          <t>Ⅱ 計画策定</t>
        </is>
      </c>
      <c r="C101" s="24" t="inlineStr">
        <is>
          <t>Ⅱ-8 策定委員会支援</t>
        </is>
      </c>
      <c r="D101" s="25" t="inlineStr">
        <is>
          <t>第1回 会議出席・会議記録（要旨）の作成</t>
        </is>
      </c>
      <c r="E101" s="23" t="inlineStr">
        <is>
          <t>仕様書4Ⅱ(8)</t>
        </is>
      </c>
      <c r="F101" s="23" t="inlineStr">
        <is>
          <t>受託者</t>
        </is>
      </c>
      <c r="G101" s="25" t="inlineStr">
        <is>
          <t>会議記録</t>
        </is>
      </c>
      <c r="H101" s="25" t="inlineStr">
        <is>
          <t>★同上。開催済のため対象外</t>
        </is>
      </c>
      <c r="I101" s="23" t="inlineStr">
        <is>
          <t>開催済</t>
        </is>
      </c>
      <c r="J101" s="26" t="n"/>
      <c r="K101" s="26" t="n"/>
      <c r="L101" s="26" t="n"/>
      <c r="M101" s="26" t="n"/>
      <c r="N101" s="27" t="n">
        <v>1</v>
      </c>
      <c r="O101" s="29" t="inlineStr">
        <is>
          <t>対象外</t>
        </is>
      </c>
      <c r="P101" s="25" t="inlineStr">
        <is>
          <t>★同上。対象外。</t>
        </is>
      </c>
    </row>
    <row r="102" ht="30" customHeight="1">
      <c r="A102" s="11" t="inlineStr">
        <is>
          <t>Ⅱ-83</t>
        </is>
      </c>
      <c r="B102" s="12" t="inlineStr">
        <is>
          <t>Ⅱ 計画策定</t>
        </is>
      </c>
      <c r="C102" s="12" t="inlineStr">
        <is>
          <t>Ⅱ-8 策定委員会支援</t>
        </is>
      </c>
      <c r="D102" s="13" t="inlineStr">
        <is>
          <t>第2回 会議資料の作成</t>
        </is>
      </c>
      <c r="E102" s="11" t="inlineStr">
        <is>
          <t>仕様書4Ⅱ(8)</t>
        </is>
      </c>
      <c r="F102" s="11" t="inlineStr">
        <is>
          <t>受託者</t>
        </is>
      </c>
      <c r="G102" s="13" t="inlineStr">
        <is>
          <t>会議資料</t>
        </is>
      </c>
      <c r="H102" s="13" t="inlineStr">
        <is>
          <t>★アンケート分析結果・第9期の効果検証（R7実績まで）・骨子・施策体系・見込量・保険料概算・素案（完成度7割）</t>
        </is>
      </c>
      <c r="I102" s="11" t="inlineStr">
        <is>
          <t>R8.11</t>
        </is>
      </c>
      <c r="J102" s="14" t="n"/>
      <c r="K102" s="14" t="n"/>
      <c r="L102" s="14" t="n">
        <v>46269</v>
      </c>
      <c r="M102" s="14" t="n"/>
      <c r="N102" s="15" t="n">
        <v>0.82</v>
      </c>
      <c r="O102" s="16" t="inlineStr">
        <is>
          <t>着手</t>
        </is>
      </c>
      <c r="P102" s="13" t="inlineStr">
        <is>
          <t>★doc26で資料構成を確定（資料1〜8・約53頁＋素案別冊）。合意を得たい事項5点を先頭に置く構成。★9/3：output/08_第2回策定委員会資料.docx として資料2（本体完成）・資料5（骨格）・資料6（骨格）・資料7（本体完成）を作成。★9/4：資料4（第10期の基本理念・基本目標・施策体系）を追加し本体完成（全体で39表・A4約40頁）。基本理念は2案併記、基本目標5本、施策28本（新規10）。残るは資料3（調査結果速報）のみで、調査結果の確定後に作成。資料4に差し込む住民ニーズの数値も資料3から供給する。LibreOfficeが動作しないためレイアウトの目視確認は未実施。★9/16：資料5を骨格から本体に引き上げ（8頁→14頁）。5-3にサービス種類別の見込量と給付費の分離を、5-4に推計の幅（単価の趨勢+314円・伸びの偏りのバックテスト・推計誤差±約700円・自己点検の4件）を、5-5に令和9年4月の新設区分を新設した。資料6も本体に引き上げ（6頁→10頁）。6-3に算定の5式と感応度9項目、6-3bに12パターン（5,936〜7,341円）、6-5に中長期の保険料（αの2案）を投入。資料7に7-3bとして令和8年度の得点と全国平均の対比（維持6指標・引上げ5指標）を追加。算定の進展により委員の判断を要する論点が4つ増えたため、合意事項を5点→8点に改訂し、当日の進行案（2時間）を doc26§12 に作成した。資料は26表→43表・約65頁。残る律速は委員の改選・基金残高・調査の回収集計の3つ。★9/25：交付金の分析を反映（doc41・doc42）。資料2-4の誤り（認知症総合支援を「下回る唯一の目標」とした記述）を訂正し、目標別の県平均・県内順位・全国順位と福島県（都道府県分）との切り分けの表を新設。資料4-4に施策体系図を追加。資料7-3cとして計画への記載で取得できる11項目・61点を新設。合意事項を8点→9点に改めた。資料の自己点検を新設（verify_shiryo.py・5件）。★9/28：資料3（アンケート調査結果 速報）の骨子を作成（10節・16表）。回収・集計前のため数値欄は【集計後】の枠。第9期の回収率を対比欄に置き、集計前でも読める形にした。骨子を組んだことで、ニーズ調査 問4(15)(16)の削除（優先度S・未回答）と要介護認定データの提供時期（優先度A）の2件が未決だと3-2〜3-4および核となる3-6が作成できないことが明確になった。自己点検を7件に拡充。資料は6資料・43節・73表・図1点。</t>
        </is>
      </c>
    </row>
    <row r="103" ht="30" customHeight="1">
      <c r="A103" s="23" t="inlineStr">
        <is>
          <t>Ⅱ-84</t>
        </is>
      </c>
      <c r="B103" s="24" t="inlineStr">
        <is>
          <t>Ⅱ 計画策定</t>
        </is>
      </c>
      <c r="C103" s="24" t="inlineStr">
        <is>
          <t>Ⅱ-8 策定委員会支援</t>
        </is>
      </c>
      <c r="D103" s="25" t="inlineStr">
        <is>
          <t>第2回 会議出席・会議記録（要旨）の作成</t>
        </is>
      </c>
      <c r="E103" s="23" t="inlineStr">
        <is>
          <t>仕様書4Ⅱ(8)</t>
        </is>
      </c>
      <c r="F103" s="23" t="inlineStr">
        <is>
          <t>受託者</t>
        </is>
      </c>
      <c r="G103" s="25" t="inlineStr">
        <is>
          <t>会議記録</t>
        </is>
      </c>
      <c r="H103" s="25" t="inlineStr"/>
      <c r="I103" s="23" t="inlineStr">
        <is>
          <t>R8.11</t>
        </is>
      </c>
      <c r="J103" s="26" t="n"/>
      <c r="K103" s="26" t="n"/>
      <c r="L103" s="26" t="n"/>
      <c r="M103" s="26" t="n"/>
      <c r="N103" s="27" t="n">
        <v>0</v>
      </c>
      <c r="O103" s="23" t="inlineStr">
        <is>
          <t>未着手</t>
        </is>
      </c>
      <c r="P103" s="25" t="inlineStr"/>
    </row>
    <row r="104" ht="30" customHeight="1">
      <c r="A104" s="18" t="inlineStr">
        <is>
          <t>Ⅱ-85</t>
        </is>
      </c>
      <c r="B104" s="19" t="inlineStr">
        <is>
          <t>Ⅱ 計画策定</t>
        </is>
      </c>
      <c r="C104" s="19" t="inlineStr">
        <is>
          <t>Ⅱ-8 策定委員会支援</t>
        </is>
      </c>
      <c r="D104" s="20" t="inlineStr">
        <is>
          <t>第3回 会議資料の作成</t>
        </is>
      </c>
      <c r="E104" s="18" t="inlineStr">
        <is>
          <t>仕様書4Ⅱ(8)</t>
        </is>
      </c>
      <c r="F104" s="18" t="inlineStr">
        <is>
          <t>受託者</t>
        </is>
      </c>
      <c r="G104" s="20" t="inlineStr">
        <is>
          <t>会議資料</t>
        </is>
      </c>
      <c r="H104" s="20" t="inlineStr">
        <is>
          <t>パブコメ結果と反映内容の報告。ほぼ完成版の素案として最終合意</t>
        </is>
      </c>
      <c r="I104" s="18" t="inlineStr">
        <is>
          <t>R9.1下〜2上</t>
        </is>
      </c>
      <c r="J104" s="21" t="n"/>
      <c r="K104" s="21" t="n"/>
      <c r="L104" s="21" t="n"/>
      <c r="M104" s="21" t="n"/>
      <c r="N104" s="22" t="n">
        <v>0</v>
      </c>
      <c r="O104" s="18" t="inlineStr">
        <is>
          <t>未着手</t>
        </is>
      </c>
      <c r="P104" s="20" t="inlineStr"/>
    </row>
    <row r="105" ht="30" customHeight="1">
      <c r="A105" s="23" t="inlineStr">
        <is>
          <t>Ⅱ-86</t>
        </is>
      </c>
      <c r="B105" s="24" t="inlineStr">
        <is>
          <t>Ⅱ 計画策定</t>
        </is>
      </c>
      <c r="C105" s="24" t="inlineStr">
        <is>
          <t>Ⅱ-8 策定委員会支援</t>
        </is>
      </c>
      <c r="D105" s="25" t="inlineStr">
        <is>
          <t>第3回 会議出席・会議記録（要旨）の作成</t>
        </is>
      </c>
      <c r="E105" s="23" t="inlineStr">
        <is>
          <t>仕様書4Ⅱ(8)</t>
        </is>
      </c>
      <c r="F105" s="23" t="inlineStr">
        <is>
          <t>受託者</t>
        </is>
      </c>
      <c r="G105" s="25" t="inlineStr">
        <is>
          <t>会議記録</t>
        </is>
      </c>
      <c r="H105" s="25" t="inlineStr"/>
      <c r="I105" s="23" t="inlineStr">
        <is>
          <t>R9.1下〜2上</t>
        </is>
      </c>
      <c r="J105" s="26" t="n"/>
      <c r="K105" s="26" t="n"/>
      <c r="L105" s="26" t="n"/>
      <c r="M105" s="26" t="n"/>
      <c r="N105" s="27" t="n">
        <v>0</v>
      </c>
      <c r="O105" s="23" t="inlineStr">
        <is>
          <t>未着手</t>
        </is>
      </c>
      <c r="P105" s="25" t="inlineStr"/>
    </row>
    <row r="106" ht="30" customHeight="1">
      <c r="A106" s="18" t="inlineStr">
        <is>
          <t>Ⅱ-93</t>
        </is>
      </c>
      <c r="B106" s="19" t="inlineStr">
        <is>
          <t>Ⅱ 計画策定</t>
        </is>
      </c>
      <c r="C106" s="19" t="inlineStr">
        <is>
          <t>Ⅱ-8 策定委員会支援</t>
        </is>
      </c>
      <c r="D106" s="20" t="inlineStr">
        <is>
          <t>議会全員協議会 説明資料の作成</t>
        </is>
      </c>
      <c r="E106" s="18" t="inlineStr">
        <is>
          <t>確認</t>
        </is>
      </c>
      <c r="F106" s="18" t="inlineStr">
        <is>
          <t>受託者</t>
        </is>
      </c>
      <c r="G106" s="20" t="inlineStr">
        <is>
          <t>説明資料</t>
        </is>
      </c>
      <c r="H106" s="20" t="inlineStr">
        <is>
          <t>★議事録で新設。概要版を用いて次期計画を説明。受託者の関与範囲（資料のみか出席を含むか）は要確認</t>
        </is>
      </c>
      <c r="I106" s="18" t="inlineStr">
        <is>
          <t>R9.2末</t>
        </is>
      </c>
      <c r="J106" s="21" t="n"/>
      <c r="K106" s="21" t="n"/>
      <c r="L106" s="21" t="n"/>
      <c r="M106" s="21" t="n"/>
      <c r="N106" s="22" t="n">
        <v>0</v>
      </c>
      <c r="O106" s="18" t="inlineStr">
        <is>
          <t>未着手</t>
        </is>
      </c>
      <c r="P106" s="20" t="inlineStr">
        <is>
          <t>★議事録で新設。令和9年2月末頃に概要版を用いて次期計画を説明。受託者の関与範囲（資料作成のみか出席・説明を含むか）が未確認（doc22 K-80）。</t>
        </is>
      </c>
    </row>
    <row r="107" ht="30" customHeight="1">
      <c r="A107" s="11" t="inlineStr">
        <is>
          <t>Ⅲ-87</t>
        </is>
      </c>
      <c r="B107" s="17" t="inlineStr">
        <is>
          <t>Ⅲ 打合せ等</t>
        </is>
      </c>
      <c r="C107" s="12" t="inlineStr">
        <is>
          <t>Ⅲ-1 打合せ</t>
        </is>
      </c>
      <c r="D107" s="13" t="inlineStr">
        <is>
          <t>定例打合せの実施（電話・オンライン・対面）</t>
        </is>
      </c>
      <c r="E107" s="11" t="inlineStr">
        <is>
          <t>仕様書4Ⅲ</t>
        </is>
      </c>
      <c r="F107" s="11" t="inlineStr">
        <is>
          <t>双方</t>
        </is>
      </c>
      <c r="G107" s="13" t="inlineStr">
        <is>
          <t>打合せ記録</t>
        </is>
      </c>
      <c r="H107" s="13" t="inlineStr">
        <is>
          <t>必要に応じて随時</t>
        </is>
      </c>
      <c r="I107" s="11" t="inlineStr">
        <is>
          <t>通期</t>
        </is>
      </c>
      <c r="J107" s="14" t="n"/>
      <c r="K107" s="14" t="n"/>
      <c r="L107" s="14" t="n">
        <v>46259</v>
      </c>
      <c r="M107" s="14" t="n"/>
      <c r="N107" s="15" t="n">
        <v>0.1</v>
      </c>
      <c r="O107" s="16" t="inlineStr">
        <is>
          <t>着手</t>
        </is>
      </c>
      <c r="P107" s="13" t="inlineStr">
        <is>
          <t>通期。開催頻度・形式は未確定。</t>
        </is>
      </c>
    </row>
    <row r="108" ht="30" customHeight="1">
      <c r="A108" s="11" t="inlineStr">
        <is>
          <t>Ⅲ-88</t>
        </is>
      </c>
      <c r="B108" s="12" t="inlineStr">
        <is>
          <t>Ⅲ 打合せ等</t>
        </is>
      </c>
      <c r="C108" s="12" t="inlineStr">
        <is>
          <t>Ⅲ-1 打合せ</t>
        </is>
      </c>
      <c r="D108" s="13" t="inlineStr">
        <is>
          <t>資料授受の管理</t>
        </is>
      </c>
      <c r="E108" s="11" t="inlineStr">
        <is>
          <t>仕様書4Ⅲ</t>
        </is>
      </c>
      <c r="F108" s="11" t="inlineStr">
        <is>
          <t>双方</t>
        </is>
      </c>
      <c r="G108" s="13" t="inlineStr">
        <is>
          <t>資料授受記録</t>
        </is>
      </c>
      <c r="H108" s="13" t="inlineStr"/>
      <c r="I108" s="11" t="inlineStr">
        <is>
          <t>通期</t>
        </is>
      </c>
      <c r="J108" s="14" t="n"/>
      <c r="K108" s="14" t="n"/>
      <c r="L108" s="14" t="n">
        <v>46259</v>
      </c>
      <c r="M108" s="14" t="n"/>
      <c r="N108" s="15" t="n">
        <v>0.35</v>
      </c>
      <c r="O108" s="16" t="inlineStr">
        <is>
          <t>着手</t>
        </is>
      </c>
      <c r="P108" s="13" t="inlineStr">
        <is>
          <t>受領資料は「受領資料・データ管理」シートで管理（28件）。7z分割書庫の全4分割が揃い展開完了。</t>
        </is>
      </c>
    </row>
    <row r="109" ht="30" customHeight="1">
      <c r="A109" s="23" t="inlineStr">
        <is>
          <t>Ⅳ-89</t>
        </is>
      </c>
      <c r="B109" s="30" t="inlineStr">
        <is>
          <t>Ⅳ 成果品・納品</t>
        </is>
      </c>
      <c r="C109" s="24" t="inlineStr">
        <is>
          <t>Ⅳ-1 成果品</t>
        </is>
      </c>
      <c r="D109" s="25" t="inlineStr">
        <is>
          <t>計画書の印刷・製本（A4両面約100頁・くるみ製本）</t>
        </is>
      </c>
      <c r="E109" s="23" t="inlineStr">
        <is>
          <t>仕様書5①</t>
        </is>
      </c>
      <c r="F109" s="23" t="inlineStr">
        <is>
          <t>受託者</t>
        </is>
      </c>
      <c r="G109" s="25" t="inlineStr">
        <is>
          <t>計画書 50部</t>
        </is>
      </c>
      <c r="H109" s="25" t="inlineStr">
        <is>
          <t>モノクロ印刷</t>
        </is>
      </c>
      <c r="I109" s="23" t="inlineStr">
        <is>
          <t>R9.3</t>
        </is>
      </c>
      <c r="J109" s="26" t="n"/>
      <c r="K109" s="26" t="n"/>
      <c r="L109" s="26" t="n"/>
      <c r="M109" s="26" t="n"/>
      <c r="N109" s="27" t="n">
        <v>0</v>
      </c>
      <c r="O109" s="23" t="inlineStr">
        <is>
          <t>未着手</t>
        </is>
      </c>
      <c r="P109" s="25" t="inlineStr"/>
    </row>
    <row r="110" ht="30" customHeight="1">
      <c r="A110" s="18" t="inlineStr">
        <is>
          <t>Ⅳ-90</t>
        </is>
      </c>
      <c r="B110" s="19" t="inlineStr">
        <is>
          <t>Ⅳ 成果品・納品</t>
        </is>
      </c>
      <c r="C110" s="19" t="inlineStr">
        <is>
          <t>Ⅳ-1 成果品</t>
        </is>
      </c>
      <c r="D110" s="20" t="inlineStr">
        <is>
          <t>アンケート調査報告書の印刷・製本（ホチキス製本）</t>
        </is>
      </c>
      <c r="E110" s="18" t="inlineStr">
        <is>
          <t>仕様書5②</t>
        </is>
      </c>
      <c r="F110" s="18" t="inlineStr">
        <is>
          <t>受託者</t>
        </is>
      </c>
      <c r="G110" s="20" t="inlineStr">
        <is>
          <t>報告書 10部</t>
        </is>
      </c>
      <c r="H110" s="20" t="inlineStr">
        <is>
          <t>A4両面約100頁・モノクロ</t>
        </is>
      </c>
      <c r="I110" s="18" t="inlineStr">
        <is>
          <t>R9.3</t>
        </is>
      </c>
      <c r="J110" s="21" t="n"/>
      <c r="K110" s="21" t="n"/>
      <c r="L110" s="21" t="n"/>
      <c r="M110" s="21" t="n"/>
      <c r="N110" s="22" t="n">
        <v>0</v>
      </c>
      <c r="O110" s="18" t="inlineStr">
        <is>
          <t>未着手</t>
        </is>
      </c>
      <c r="P110" s="20" t="inlineStr">
        <is>
          <t>★9/24：仕様書どおりA4判両面約100頁・モノクロ・ホチキス製本・10部で確定。両面100頁＝紙50枚でホチキス製本の上限に近く、当初案の118頁（59枚）は製本の面でも無理があった。</t>
        </is>
      </c>
    </row>
    <row r="111" ht="30" customHeight="1">
      <c r="A111" s="11" t="inlineStr">
        <is>
          <t>Ⅳ-91</t>
        </is>
      </c>
      <c r="B111" s="12" t="inlineStr">
        <is>
          <t>Ⅳ 成果品・納品</t>
        </is>
      </c>
      <c r="C111" s="12" t="inlineStr">
        <is>
          <t>Ⅳ-1 成果品</t>
        </is>
      </c>
      <c r="D111" s="13" t="inlineStr">
        <is>
          <t>電子媒体の作成（Word/Excel/PowerPoint/PDF）</t>
        </is>
      </c>
      <c r="E111" s="11" t="inlineStr">
        <is>
          <t>仕様書5③</t>
        </is>
      </c>
      <c r="F111" s="11" t="inlineStr">
        <is>
          <t>受託者</t>
        </is>
      </c>
      <c r="G111" s="13" t="inlineStr">
        <is>
          <t>CD-R等一式</t>
        </is>
      </c>
      <c r="H111" s="13" t="inlineStr">
        <is>
          <t>関連データを含む</t>
        </is>
      </c>
      <c r="I111" s="11" t="inlineStr">
        <is>
          <t>R9.3</t>
        </is>
      </c>
      <c r="J111" s="14" t="n"/>
      <c r="K111" s="14" t="n"/>
      <c r="L111" s="14" t="n">
        <v>46290</v>
      </c>
      <c r="M111" s="14" t="n"/>
      <c r="N111" s="15" t="n">
        <v>0.2</v>
      </c>
      <c r="O111" s="16" t="inlineStr">
        <is>
          <t>着手</t>
        </is>
      </c>
      <c r="P111" s="13" t="inlineStr">
        <is>
          <t>★案Bの採用により、報告書の紙から外した調査票2種（PDF）・単純集計表（Excel）・自由記述の全文（匿名化済み・Excel）・見える化システム登録用データ（Excel）を収録することが確定した（doc24§9-2）。仕様書5③の「関連データ」の主要部分がこれで埋まる。収録一覧は報告書の資料3として紙にも載せる。回答原票と管理番号対応表を含めるかは未決。</t>
        </is>
      </c>
    </row>
    <row r="112" ht="30" customHeight="1">
      <c r="A112" s="18" t="inlineStr">
        <is>
          <t>Ⅳ-114</t>
        </is>
      </c>
      <c r="B112" s="19" t="inlineStr">
        <is>
          <t>Ⅳ 成果品・納品</t>
        </is>
      </c>
      <c r="C112" s="19" t="inlineStr">
        <is>
          <t>Ⅳ-1 成果品</t>
        </is>
      </c>
      <c r="D112" s="20" t="inlineStr">
        <is>
          <t>納品物に収録する範囲の確定（個人情報の非収録）</t>
        </is>
      </c>
      <c r="E112" s="18" t="inlineStr">
        <is>
          <t>仕様書5③</t>
        </is>
      </c>
      <c r="F112" s="18" t="inlineStr">
        <is>
          <t>双方</t>
        </is>
      </c>
      <c r="G112" s="20" t="inlineStr">
        <is>
          <t>収録内容一覧</t>
        </is>
      </c>
      <c r="H112" s="20" t="inlineStr">
        <is>
          <t>「関連データ」に回答原票・管理番号対応表を含めるかは村の指示による。仕様書6(1)と一体</t>
        </is>
      </c>
      <c r="I112" s="18" t="inlineStr">
        <is>
          <t>R9.3</t>
        </is>
      </c>
      <c r="J112" s="21" t="n"/>
      <c r="K112" s="21" t="n"/>
      <c r="L112" s="21" t="n"/>
      <c r="M112" s="21" t="n"/>
      <c r="N112" s="22" t="n">
        <v>0</v>
      </c>
      <c r="O112" s="18" t="inlineStr">
        <is>
          <t>未着手</t>
        </is>
      </c>
      <c r="P112" s="20" t="inlineStr">
        <is>
          <t>★9/25：案Bの採用により収録対象が確定した部分がある。調査票2種（PDF・発送した現物の版）・単純集計表（全設問・Excel）・自由記述の全文（匿名化済みのみ）・見える化システム登録用データを収録する（doc24§9-2）。報告書の紙の資料編はリスク判定の判定方法2頁・自由記述の分類と主要意見3頁・電子媒体の収録一覧1頁の6頁とした。未決は回答原票と管理番号対応表を含めるかで、含めない場合は原票は仕様書6(1)に従い消去する。</t>
        </is>
      </c>
    </row>
    <row r="113" ht="30" customHeight="1">
      <c r="A113" s="23" t="inlineStr">
        <is>
          <t>Ⅳ-92</t>
        </is>
      </c>
      <c r="B113" s="24" t="inlineStr">
        <is>
          <t>Ⅳ 成果品・納品</t>
        </is>
      </c>
      <c r="C113" s="24" t="inlineStr">
        <is>
          <t>Ⅳ-1 成果品</t>
        </is>
      </c>
      <c r="D113" s="25" t="inlineStr">
        <is>
          <t>概要版の作成</t>
        </is>
      </c>
      <c r="E113" s="23" t="inlineStr">
        <is>
          <t>確認</t>
        </is>
      </c>
      <c r="F113" s="23" t="inlineStr">
        <is>
          <t>双方</t>
        </is>
      </c>
      <c r="G113" s="25" t="inlineStr">
        <is>
          <t>概要版 A3両面程度</t>
        </is>
      </c>
      <c r="H113" s="25" t="inlineStr">
        <is>
          <t>★議事録で作成が合意（理念・体系図・推移データを記載）。2月末の議会全員協議会で使用。仕様の範囲内か追加対応かは要確認</t>
        </is>
      </c>
      <c r="I113" s="23" t="inlineStr">
        <is>
          <t>R9.1〜2</t>
        </is>
      </c>
      <c r="J113" s="26" t="n"/>
      <c r="K113" s="26" t="n"/>
      <c r="L113" s="26" t="n"/>
      <c r="M113" s="26" t="n"/>
      <c r="N113" s="27" t="n">
        <v>0</v>
      </c>
      <c r="O113" s="23" t="inlineStr">
        <is>
          <t>未着手</t>
        </is>
      </c>
      <c r="P113" s="25" t="inlineStr">
        <is>
          <t>★議事録でA3両面程度（理念・体系図・推移データ）と決着。第9期はA4 2ページ。仕様の範囲内か追加対応かは要確認（doc22 K-79）。</t>
        </is>
      </c>
    </row>
    <row r="114" ht="30" customHeight="1">
      <c r="A114" s="18" t="inlineStr">
        <is>
          <t>Ⅳ-96</t>
        </is>
      </c>
      <c r="B114" s="19" t="inlineStr">
        <is>
          <t>Ⅳ 成果品・納品</t>
        </is>
      </c>
      <c r="C114" s="19" t="inlineStr">
        <is>
          <t>Ⅳ-2 納品</t>
        </is>
      </c>
      <c r="D114" s="20" t="inlineStr">
        <is>
          <t>納品・検収</t>
        </is>
      </c>
      <c r="E114" s="18" t="inlineStr">
        <is>
          <t>仕様書3</t>
        </is>
      </c>
      <c r="F114" s="18" t="inlineStr">
        <is>
          <t>双方</t>
        </is>
      </c>
      <c r="G114" s="20" t="inlineStr">
        <is>
          <t>検収書</t>
        </is>
      </c>
      <c r="H114" s="20" t="inlineStr">
        <is>
          <t>履行期限 令和9年3月31日</t>
        </is>
      </c>
      <c r="I114" s="18" t="inlineStr">
        <is>
          <t>R9.3</t>
        </is>
      </c>
      <c r="J114" s="21" t="n"/>
      <c r="K114" s="21" t="n"/>
      <c r="L114" s="21" t="n"/>
      <c r="M114" s="21" t="n"/>
      <c r="N114" s="22" t="n">
        <v>0</v>
      </c>
      <c r="O114" s="18" t="inlineStr">
        <is>
          <t>未着手</t>
        </is>
      </c>
      <c r="P114" s="20" t="inlineStr"/>
    </row>
    <row r="115" ht="30" customHeight="1">
      <c r="A115" s="11" t="inlineStr">
        <is>
          <t>Ⅴ-97</t>
        </is>
      </c>
      <c r="B115" s="17" t="inlineStr">
        <is>
          <t>Ⅴ 管理</t>
        </is>
      </c>
      <c r="C115" s="12" t="inlineStr">
        <is>
          <t>Ⅴ-1 情報管理</t>
        </is>
      </c>
      <c r="D115" s="13" t="inlineStr">
        <is>
          <t>個人情報の適正管理（アクセス制限・保管ルール）</t>
        </is>
      </c>
      <c r="E115" s="11" t="inlineStr">
        <is>
          <t>仕様書6(1)</t>
        </is>
      </c>
      <c r="F115" s="11" t="inlineStr">
        <is>
          <t>受託者</t>
        </is>
      </c>
      <c r="G115" s="13" t="inlineStr">
        <is>
          <t>管理記録</t>
        </is>
      </c>
      <c r="H115" s="13" t="inlineStr">
        <is>
          <t>契約終了後・解除後も同様</t>
        </is>
      </c>
      <c r="I115" s="11" t="inlineStr">
        <is>
          <t>通期</t>
        </is>
      </c>
      <c r="J115" s="14" t="n"/>
      <c r="K115" s="14" t="n"/>
      <c r="L115" s="14" t="n">
        <v>46259</v>
      </c>
      <c r="M115" s="14" t="n"/>
      <c r="N115" s="15" t="n">
        <v>0.6</v>
      </c>
      <c r="O115" s="16" t="inlineStr">
        <is>
          <t>着手</t>
        </is>
      </c>
      <c r="P115" s="13" t="inlineStr">
        <is>
          <t>doc16として管理ルールを文書化完了（10項目のチェックリスト付）。村との合意・従事者名簿・誓約書は未実施。</t>
        </is>
      </c>
    </row>
    <row r="116" ht="30" customHeight="1">
      <c r="A116" s="18" t="inlineStr">
        <is>
          <t>Ⅴ-98</t>
        </is>
      </c>
      <c r="B116" s="19" t="inlineStr">
        <is>
          <t>Ⅴ 管理</t>
        </is>
      </c>
      <c r="C116" s="19" t="inlineStr">
        <is>
          <t>Ⅴ-1 情報管理</t>
        </is>
      </c>
      <c r="D116" s="20" t="inlineStr">
        <is>
          <t>業務完了後の情報の返還・消去</t>
        </is>
      </c>
      <c r="E116" s="18" t="inlineStr">
        <is>
          <t>仕様書6(1)</t>
        </is>
      </c>
      <c r="F116" s="18" t="inlineStr">
        <is>
          <t>受託者</t>
        </is>
      </c>
      <c r="G116" s="20" t="inlineStr">
        <is>
          <t>消去証明</t>
        </is>
      </c>
      <c r="H116" s="20" t="inlineStr">
        <is>
          <t>村の指示に従う</t>
        </is>
      </c>
      <c r="I116" s="18" t="inlineStr">
        <is>
          <t>R9.3</t>
        </is>
      </c>
      <c r="J116" s="21" t="n"/>
      <c r="K116" s="21" t="n"/>
      <c r="L116" s="21" t="n"/>
      <c r="M116" s="21" t="n"/>
      <c r="N116" s="22" t="n">
        <v>0</v>
      </c>
      <c r="O116" s="18" t="inlineStr">
        <is>
          <t>未着手</t>
        </is>
      </c>
      <c r="P116" s="20" t="inlineStr"/>
    </row>
    <row r="117" ht="30" customHeight="1">
      <c r="A117" s="23" t="inlineStr">
        <is>
          <t>Ⅴ-99</t>
        </is>
      </c>
      <c r="B117" s="24" t="inlineStr">
        <is>
          <t>Ⅴ 管理</t>
        </is>
      </c>
      <c r="C117" s="24" t="inlineStr">
        <is>
          <t>Ⅴ-2 再委託</t>
        </is>
      </c>
      <c r="D117" s="25" t="inlineStr">
        <is>
          <t>再委託の書面承諾の取得</t>
        </is>
      </c>
      <c r="E117" s="23" t="inlineStr">
        <is>
          <t>仕様書6(2)</t>
        </is>
      </c>
      <c r="F117" s="23" t="inlineStr">
        <is>
          <t>双方</t>
        </is>
      </c>
      <c r="G117" s="25" t="inlineStr">
        <is>
          <t>承諾書</t>
        </is>
      </c>
      <c r="H117" s="25" t="inlineStr">
        <is>
          <t>印刷・データ入力・ウェブフォーム構築等を外注する場合</t>
        </is>
      </c>
      <c r="I117" s="23" t="inlineStr">
        <is>
          <t>随時</t>
        </is>
      </c>
      <c r="J117" s="26" t="n"/>
      <c r="K117" s="26" t="n"/>
      <c r="L117" s="26" t="n"/>
      <c r="M117" s="26" t="n"/>
      <c r="N117" s="27" t="n">
        <v>0</v>
      </c>
      <c r="O117" s="23" t="inlineStr">
        <is>
          <t>未着手</t>
        </is>
      </c>
      <c r="P117" s="25" t="inlineStr"/>
    </row>
    <row r="118" ht="30" customHeight="1">
      <c r="A118" s="11" t="inlineStr">
        <is>
          <t>Ⅴ-100</t>
        </is>
      </c>
      <c r="B118" s="12" t="inlineStr">
        <is>
          <t>Ⅴ 管理</t>
        </is>
      </c>
      <c r="C118" s="12" t="inlineStr">
        <is>
          <t>Ⅴ-3 進捗管理</t>
        </is>
      </c>
      <c r="D118" s="13" t="inlineStr">
        <is>
          <t>進捗管理・課題管理</t>
        </is>
      </c>
      <c r="E118" s="11" t="inlineStr">
        <is>
          <t>仕様書6(4)</t>
        </is>
      </c>
      <c r="F118" s="11" t="inlineStr">
        <is>
          <t>受託者</t>
        </is>
      </c>
      <c r="G118" s="13" t="inlineStr">
        <is>
          <t>本進捗管理表</t>
        </is>
      </c>
      <c r="H118" s="13" t="inlineStr"/>
      <c r="I118" s="11" t="inlineStr">
        <is>
          <t>通期</t>
        </is>
      </c>
      <c r="J118" s="14" t="n"/>
      <c r="K118" s="14" t="n"/>
      <c r="L118" s="14" t="n">
        <v>46265</v>
      </c>
      <c r="M118" s="14" t="n"/>
      <c r="N118" s="15" t="n">
        <v>0.35</v>
      </c>
      <c r="O118" s="16" t="inlineStr">
        <is>
          <t>着手</t>
        </is>
      </c>
      <c r="P118" s="13" t="inlineStr">
        <is>
          <t>本表で管理。基準日 令和8年9月2日。村への確認事項71件（解決済6件）。</t>
        </is>
      </c>
    </row>
  </sheetData>
  <autoFilter ref="A4:P118"/>
  <mergeCells count="2">
    <mergeCell ref="A1:P1"/>
    <mergeCell ref="A2:P2"/>
  </mergeCells>
  <dataValidations count="2">
    <dataValidation sqref="O5:O118" showDropDown="0" showInputMessage="0" showErrorMessage="0" allowBlank="1" type="list">
      <formula1>"未着手,着手,確認中,完了,保留,対象外"</formula1>
    </dataValidation>
    <dataValidation sqref="F5:F118" showDropDown="0" showInputMessage="0" showErrorMessage="0" allowBlank="1" type="list">
      <formula1>"受託者,北塩原村,双方"</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H198"/>
  <sheetViews>
    <sheetView zoomScale="90" workbookViewId="0">
      <pane xSplit="2" ySplit="4" topLeftCell="C5" activePane="bottomRight" state="frozen"/>
      <selection pane="topRight"/>
      <selection pane="bottomLeft"/>
      <selection pane="bottomRight" activeCell="A1" sqref="A1"/>
    </sheetView>
  </sheetViews>
  <sheetFormatPr baseColWidth="8" defaultRowHeight="15"/>
  <cols>
    <col width="8" customWidth="1" min="1" max="1"/>
    <col width="12" customWidth="1" min="2" max="2"/>
    <col width="46" customWidth="1" min="3" max="3"/>
    <col width="56" customWidth="1" min="4" max="4"/>
    <col width="14" customWidth="1" min="5" max="5"/>
    <col width="16" customWidth="1" min="6" max="6"/>
    <col width="10" customWidth="1" min="7" max="7"/>
    <col width="30" customWidth="1" min="8" max="8"/>
  </cols>
  <sheetData>
    <row r="1" ht="30" customHeight="1">
      <c r="A1" s="1" t="inlineStr">
        <is>
          <t>北塩原村への確認事項　一覧（基準日：令和8年9月28日）</t>
        </is>
      </c>
    </row>
    <row r="2" ht="20" customHeight="1">
      <c r="A2" s="2" t="inlineStr">
        <is>
          <t>優先度S＝9月3日の調査票第1稿提出・9月9日の校了・9月18日の発送を守るために決着が必要（キックオフ議事録で未決着のもの）／A＝令和8年9月中に確定が必要／B＝第1回策定委員会（11月）まで／C＝第2回以降　｜　出所の doc番号は docs/北塩原村_第10期/ 配下の分析資料に対応します</t>
        </is>
      </c>
    </row>
    <row r="4" ht="34" customHeight="1">
      <c r="A4" s="3" t="inlineStr">
        <is>
          <t>優先度</t>
        </is>
      </c>
      <c r="B4" s="3" t="inlineStr">
        <is>
          <t>区分</t>
        </is>
      </c>
      <c r="C4" s="3" t="inlineStr">
        <is>
          <t>確認事項</t>
        </is>
      </c>
      <c r="D4" s="3" t="inlineStr">
        <is>
          <t>なぜ必要か／影響</t>
        </is>
      </c>
      <c r="E4" s="3" t="inlineStr">
        <is>
          <t>関連WBS No.</t>
        </is>
      </c>
      <c r="F4" s="3" t="inlineStr">
        <is>
          <t>出所</t>
        </is>
      </c>
      <c r="G4" s="3" t="inlineStr">
        <is>
          <t>状況</t>
        </is>
      </c>
      <c r="H4" s="3" t="inlineStr">
        <is>
          <t>回答内容・回答日</t>
        </is>
      </c>
    </row>
    <row r="5" ht="34" customHeight="1">
      <c r="A5" s="31" t="inlineStr">
        <is>
          <t>S</t>
        </is>
      </c>
      <c r="B5" s="32" t="inlineStr">
        <is>
          <t>スケジュール</t>
        </is>
      </c>
      <c r="C5" s="33" t="inlineStr">
        <is>
          <t>対象者抽出・宛名ラベル・配布用封筒の提供時期</t>
        </is>
      </c>
      <c r="D5" s="33" t="inlineStr">
        <is>
          <t>村作業が遅れると発送が連鎖的に遅れる。9/19〜23が5連休。</t>
        </is>
      </c>
      <c r="E5" s="34" t="inlineStr">
        <is>
          <t>Ⅰ-24,Ⅰ-25,Ⅰ-26</t>
        </is>
      </c>
      <c r="F5" s="34" t="inlineStr">
        <is>
          <t>doc01-4</t>
        </is>
      </c>
      <c r="G5" s="34" t="inlineStr">
        <is>
          <t>未依頼</t>
        </is>
      </c>
      <c r="H5" s="33" t="inlineStr"/>
    </row>
    <row r="6" ht="34" customHeight="1">
      <c r="A6" s="31" t="inlineStr">
        <is>
          <t>S</t>
        </is>
      </c>
      <c r="B6" s="32" t="inlineStr">
        <is>
          <t>スケジュール</t>
        </is>
      </c>
      <c r="C6" s="33" t="inlineStr">
        <is>
          <t>宛名ラベル・配布用封筒の提供期限の前倒し可否（9/14→9/11）</t>
        </is>
      </c>
      <c r="D6" s="33" t="inlineStr">
        <is>
          <t>★提供が1日遅れると発送が5連休に食い込む。村作業の遅延に対する余裕がない。</t>
        </is>
      </c>
      <c r="E6" s="34" t="inlineStr">
        <is>
          <t>Ⅰ-25,Ⅰ-26</t>
        </is>
      </c>
      <c r="F6" s="34" t="inlineStr">
        <is>
          <t>doc19 指-2</t>
        </is>
      </c>
      <c r="G6" s="34" t="inlineStr">
        <is>
          <t>未依頼</t>
        </is>
      </c>
      <c r="H6" s="33" t="inlineStr"/>
    </row>
    <row r="7" ht="34" customHeight="1">
      <c r="A7" s="31" t="inlineStr">
        <is>
          <t>S</t>
        </is>
      </c>
      <c r="B7" s="32" t="inlineStr">
        <is>
          <t>スケジュール</t>
        </is>
      </c>
      <c r="C7" s="33" t="inlineStr">
        <is>
          <t>★策定委員会 現委員の任期満了（令和8年9月30日）と改選手続きの所要期間</t>
        </is>
      </c>
      <c r="D7" s="33" t="inlineStr">
        <is>
          <t>★議事録で触れられていない。第2回を11月に開催するには10月中の改選・委嘱が必要。</t>
        </is>
      </c>
      <c r="E7" s="34" t="inlineStr">
        <is>
          <t>Ⅱ-80</t>
        </is>
      </c>
      <c r="F7" s="34" t="inlineStr">
        <is>
          <t>doc22 K-76</t>
        </is>
      </c>
      <c r="G7" s="34" t="inlineStr">
        <is>
          <t>未依頼</t>
        </is>
      </c>
      <c r="H7" s="33" t="inlineStr"/>
    </row>
    <row r="8" ht="34" customHeight="1">
      <c r="A8" s="31" t="inlineStr">
        <is>
          <t>S</t>
        </is>
      </c>
      <c r="B8" s="32" t="inlineStr">
        <is>
          <t>データ</t>
        </is>
      </c>
      <c r="C8" s="33" t="inlineStr">
        <is>
          <t>★返信用封筒の差出有効期間の延長</t>
        </is>
      </c>
      <c r="D8" s="33" t="inlineStr">
        <is>
          <t>★★印刷前に要対応。版下は「差出有効期間 2026年10月16日まで」で回収期限（10月16日）と同日。期限翌日以降に投函された回答は料金受取人払が効かず届かない。通常は回収期限＋2週間程度。回収率に直結する。</t>
        </is>
      </c>
      <c r="E8" s="34" t="inlineStr">
        <is>
          <t>Ⅰ-23,Ⅰ-102</t>
        </is>
      </c>
      <c r="F8" s="34" t="inlineStr">
        <is>
          <t>doc34§1-2</t>
        </is>
      </c>
      <c r="G8" s="34" t="inlineStr">
        <is>
          <t>未依頼</t>
        </is>
      </c>
      <c r="H8" s="33" t="inlineStr"/>
    </row>
    <row r="9" ht="34" customHeight="1">
      <c r="A9" s="31" t="inlineStr">
        <is>
          <t>S</t>
        </is>
      </c>
      <c r="B9" s="32" t="inlineStr">
        <is>
          <t>データ</t>
        </is>
      </c>
      <c r="C9" s="33" t="inlineStr">
        <is>
          <t>★在宅調査票の管理番号の印字形式（N付きか数字のみか）</t>
        </is>
      </c>
      <c r="D9" s="33" t="inlineStr">
        <is>
          <t>★対象者リストはニーズが1〜882の数字、在宅がN1〜N118。調査票の印字見本はどちらも「1」。食い違うと回収後に名簿と回答を突き合わせられない。</t>
        </is>
      </c>
      <c r="E9" s="34" t="inlineStr">
        <is>
          <t>Ⅰ-18,Ⅰ-20</t>
        </is>
      </c>
      <c r="F9" s="34" t="inlineStr">
        <is>
          <t>doc34§5-3</t>
        </is>
      </c>
      <c r="G9" s="34" t="inlineStr">
        <is>
          <t>未依頼</t>
        </is>
      </c>
      <c r="H9" s="33" t="inlineStr"/>
    </row>
    <row r="10" ht="34" customHeight="1">
      <c r="A10" s="31" t="inlineStr">
        <is>
          <t>S</t>
        </is>
      </c>
      <c r="B10" s="32" t="inlineStr">
        <is>
          <t>分析</t>
        </is>
      </c>
      <c r="C10" s="33" t="inlineStr">
        <is>
          <t>★ICFを用いたクロス分析の具体的な期待像（軸・アウトプットのイメージ）</t>
        </is>
      </c>
      <c r="D10" s="33" t="inlineStr">
        <is>
          <t>★議事録の新規要件。「元気な高齢者」×「地域のニーズ」で共助・互助の必要性を示す分析。調査票の設計段階でクロス軸を確保しないと後から分析できない。9/3の第1稿に影響。</t>
        </is>
      </c>
      <c r="E10" s="34" t="inlineStr">
        <is>
          <t>Ⅰ-95</t>
        </is>
      </c>
      <c r="F10" s="34" t="inlineStr">
        <is>
          <t>doc22 K-77</t>
        </is>
      </c>
      <c r="G10" s="34" t="inlineStr">
        <is>
          <t>未依頼</t>
        </is>
      </c>
      <c r="H10" s="33" t="inlineStr"/>
    </row>
    <row r="11" ht="34" customHeight="1">
      <c r="A11" s="31" t="inlineStr">
        <is>
          <t>S</t>
        </is>
      </c>
      <c r="B11" s="32" t="inlineStr">
        <is>
          <t>方針</t>
        </is>
      </c>
      <c r="C11" s="33" t="inlineStr">
        <is>
          <t>★ニーズ調査 問4(15)(16)（社会的役割）を削除するかどうか</t>
        </is>
      </c>
      <c r="D11" s="33" t="inlineStr">
        <is>
          <t>★★印刷前に要決定。国の手引きは問4(13)〜(16)の4項目すべてが「いいえ」で「社会的役割の低下」と判定する。(16)は削除済み、(15)は0909校正で削除の指示。2項目が欠けるとR09が算出できず、見える化への登録も全国・県との比較も不可。R99が10領域→9領域に減るため第9期調査との比較も成立しない。左余白の「見える化関係」の書き込みは(10)〜(14)を指すとみられるが(15)(16)も登録対象である。</t>
        </is>
      </c>
      <c r="E11" s="34" t="inlineStr">
        <is>
          <t>Ⅰ-15,Ⅰ-102</t>
        </is>
      </c>
      <c r="F11" s="34" t="inlineStr">
        <is>
          <t>doc34§1-1</t>
        </is>
      </c>
      <c r="G11" s="34" t="inlineStr">
        <is>
          <t>未依頼</t>
        </is>
      </c>
      <c r="H11" s="33" t="inlineStr"/>
    </row>
    <row r="12" ht="34" customHeight="1">
      <c r="A12" s="31" t="inlineStr">
        <is>
          <t>S</t>
        </is>
      </c>
      <c r="B12" s="32" t="inlineStr">
        <is>
          <t>方針</t>
        </is>
      </c>
      <c r="C12" s="33" t="inlineStr">
        <is>
          <t>★基金取崩額の確認（第9期計画の24,000,000円と議事録の「800万円程度」の関係。年額か期間合計か）</t>
        </is>
      </c>
      <c r="D12" s="33" t="inlineStr">
        <is>
          <t>★保険料試算の前提が3倍変わる。議事録で基金取崩を視野に入れる方針が示されたため、正確な残高と取崩実績の確認が必須。</t>
        </is>
      </c>
      <c r="E12" s="34" t="inlineStr">
        <is>
          <t>Ⅱ-63,Ⅱ-64</t>
        </is>
      </c>
      <c r="F12" s="34" t="inlineStr">
        <is>
          <t>doc22 K-74</t>
        </is>
      </c>
      <c r="G12" s="34" t="inlineStr">
        <is>
          <t>未依頼</t>
        </is>
      </c>
      <c r="H12" s="33" t="inlineStr"/>
    </row>
    <row r="13" ht="34" customHeight="1">
      <c r="A13" s="31" t="inlineStr">
        <is>
          <t>S</t>
        </is>
      </c>
      <c r="B13" s="32" t="inlineStr">
        <is>
          <t>方針</t>
        </is>
      </c>
      <c r="C13" s="33" t="inlineStr">
        <is>
          <t>★第9期計画の第1号被保険者数の推計に用いたデータ（国配布の住基ベース推計か別の推計か）</t>
        </is>
      </c>
      <c r="D13" s="33" t="inlineStr">
        <is>
          <t>★国の事務連絡により、福島県では社人研の市町村別推計が公表されておらず第9期でも住基ベース推計が配布されていたことが判明。当方が示してきた「社人研推計をそのまま用いたため6.6%ずれた」という説明の前提が崩れた。第10期の説明の組み立てに影響する。</t>
        </is>
      </c>
      <c r="E13" s="34" t="inlineStr">
        <is>
          <t>Ⅱ-59</t>
        </is>
      </c>
      <c r="F13" s="34" t="inlineStr">
        <is>
          <t>doc28§1-1 K-105</t>
        </is>
      </c>
      <c r="G13" s="34" t="inlineStr">
        <is>
          <t>未依頼</t>
        </is>
      </c>
      <c r="H13" s="33" t="inlineStr"/>
    </row>
    <row r="14" ht="34" customHeight="1">
      <c r="A14" s="31" t="inlineStr">
        <is>
          <t>S</t>
        </is>
      </c>
      <c r="B14" s="32" t="inlineStr">
        <is>
          <t>方針</t>
        </is>
      </c>
      <c r="C14" s="33" t="inlineStr">
        <is>
          <t>★第10期の第1号被保険者数をA案（配布データ）とB案（令和8年実績にリベース）のどちらで置くか</t>
        </is>
      </c>
      <c r="D14" s="33" t="inlineStr">
        <is>
          <t>★配布データの推計値（令和8年954人）が実績（1,012人）を58人・5.7%下回っており、そのまま用いると第9期と同じ過少推計になる。第10期を通じて約57人・6%の差が生じ、保険料の基準額に直接影響する。県通知は「参考として適切に設定願います」としており配布データの使用を義務づけていない。</t>
        </is>
      </c>
      <c r="E14" s="34" t="inlineStr">
        <is>
          <t>Ⅱ-59,Ⅱ-64</t>
        </is>
      </c>
      <c r="F14" s="34" t="inlineStr">
        <is>
          <t>doc28§1-4 K-106</t>
        </is>
      </c>
      <c r="G14" s="34" t="inlineStr">
        <is>
          <t>未依頼</t>
        </is>
      </c>
      <c r="H14" s="33" t="inlineStr"/>
    </row>
    <row r="15" ht="34" customHeight="1">
      <c r="A15" s="31" t="inlineStr">
        <is>
          <t>S</t>
        </is>
      </c>
      <c r="B15" s="32" t="inlineStr">
        <is>
          <t>疑義</t>
        </is>
      </c>
      <c r="C15" s="33" t="inlineStr">
        <is>
          <t>★調査票の印刷前修正5件（p2投函期限の空欄・問7-1の「問6」・問10の記号K L・A票問15の分岐・URLとQRコード）</t>
        </is>
      </c>
      <c r="D15" s="33" t="inlineStr">
        <is>
          <t>★いずれも0909校正版で残っている。問7-1の参照先の誤りは分析編の中核クロス（X-15）に、A票問15の分岐はB票の回答対象者の確定に関わる。</t>
        </is>
      </c>
      <c r="E15" s="34" t="inlineStr">
        <is>
          <t>Ⅰ-15,Ⅰ-102</t>
        </is>
      </c>
      <c r="F15" s="34" t="inlineStr">
        <is>
          <t>doc34§1</t>
        </is>
      </c>
      <c r="G15" s="34" t="inlineStr">
        <is>
          <t>未依頼</t>
        </is>
      </c>
      <c r="H15" s="33" t="inlineStr"/>
    </row>
    <row r="16" ht="34" customHeight="1">
      <c r="A16" s="31" t="inlineStr">
        <is>
          <t>S</t>
        </is>
      </c>
      <c r="B16" s="32" t="inlineStr">
        <is>
          <t>調査設計</t>
        </is>
      </c>
      <c r="C16" s="33" t="inlineStr">
        <is>
          <t>在宅介護実態調査の手法（手法Ⅲか、手法Ⅳ〈新版 在宅生活改善調査〉を加えるか）</t>
        </is>
      </c>
      <c r="D16" s="33" t="inlineStr">
        <is>
          <t>調査票の設計・印刷頁数・集計方法がすべて決まる。第10期の新設手法。</t>
        </is>
      </c>
      <c r="E16" s="34" t="inlineStr">
        <is>
          <t>Ⅰ-07,Ⅰ-10</t>
        </is>
      </c>
      <c r="F16" s="34" t="inlineStr">
        <is>
          <t>doc03/doc05</t>
        </is>
      </c>
      <c r="G16" s="34" t="inlineStr">
        <is>
          <t>未依頼</t>
        </is>
      </c>
      <c r="H16" s="33" t="inlineStr"/>
    </row>
    <row r="17" ht="34" customHeight="1">
      <c r="A17" s="31" t="inlineStr">
        <is>
          <t>S</t>
        </is>
      </c>
      <c r="B17" s="32" t="inlineStr">
        <is>
          <t>調査設計</t>
        </is>
      </c>
      <c r="C17" s="33" t="inlineStr">
        <is>
          <t>ニーズ調査 約850人の抽出基準（要支援認定者を含むか／第9期との対比）</t>
        </is>
      </c>
      <c r="D17" s="33" t="inlineStr">
        <is>
          <t>議事録で在宅150件は「要支援1・2および要介護1〜5の在宅生活者等」と決着。ニーズ約850件の抽出基準（要支援を含むか）は未決着のため残置。</t>
        </is>
      </c>
      <c r="E17" s="34" t="inlineStr">
        <is>
          <t>Ⅰ-08,Ⅰ-24</t>
        </is>
      </c>
      <c r="F17" s="34" t="inlineStr">
        <is>
          <t>doc01-2,3／doc22</t>
        </is>
      </c>
      <c r="G17" s="34" t="inlineStr">
        <is>
          <t>一部回答</t>
        </is>
      </c>
      <c r="H17" s="33" t="inlineStr"/>
    </row>
    <row r="18" ht="34" customHeight="1">
      <c r="A18" s="31" t="inlineStr">
        <is>
          <t>S</t>
        </is>
      </c>
      <c r="B18" s="32" t="inlineStr">
        <is>
          <t>調査設計</t>
        </is>
      </c>
      <c r="C18" s="33" t="inlineStr">
        <is>
          <t>オプション項目の採否（「問6 就労について」ほか）</t>
        </is>
      </c>
      <c r="D18" s="33" t="inlineStr">
        <is>
          <t>令和7年8月版で就労はオプションと確定。採否で頁数が変わる。</t>
        </is>
      </c>
      <c r="E18" s="34" t="inlineStr">
        <is>
          <t>Ⅰ-12</t>
        </is>
      </c>
      <c r="F18" s="34" t="inlineStr">
        <is>
          <t>doc05</t>
        </is>
      </c>
      <c r="G18" s="34" t="inlineStr">
        <is>
          <t>未依頼</t>
        </is>
      </c>
      <c r="H18" s="33" t="inlineStr"/>
    </row>
    <row r="19" ht="34" customHeight="1">
      <c r="A19" s="31" t="inlineStr">
        <is>
          <t>S</t>
        </is>
      </c>
      <c r="B19" s="32" t="inlineStr">
        <is>
          <t>調査設計</t>
        </is>
      </c>
      <c r="C19" s="33" t="inlineStr">
        <is>
          <t>村独自設問の採否（除雪・在宅医療・成年後見・歯科受診・服薬ほか）</t>
        </is>
      </c>
      <c r="D19" s="33" t="inlineStr">
        <is>
          <t>第9期との時系列比較を優先するか、新規論点を入れるかの判断。</t>
        </is>
      </c>
      <c r="E19" s="34" t="inlineStr">
        <is>
          <t>Ⅰ-13</t>
        </is>
      </c>
      <c r="F19" s="34" t="inlineStr">
        <is>
          <t>doc03</t>
        </is>
      </c>
      <c r="G19" s="34" t="inlineStr">
        <is>
          <t>未依頼</t>
        </is>
      </c>
      <c r="H19" s="33" t="inlineStr"/>
    </row>
    <row r="20" ht="34" customHeight="1">
      <c r="A20" s="31" t="inlineStr">
        <is>
          <t>S</t>
        </is>
      </c>
      <c r="B20" s="32" t="inlineStr">
        <is>
          <t>調査設計</t>
        </is>
      </c>
      <c r="C20" s="33" t="inlineStr">
        <is>
          <t>ウェブ回答フォームの仕様（回答期限・村HP掲載の有無・二次元コード印字位置）</t>
        </is>
      </c>
      <c r="D20" s="33" t="inlineStr">
        <is>
          <t>入稿データ作成の前提。</t>
        </is>
      </c>
      <c r="E20" s="34" t="inlineStr">
        <is>
          <t>Ⅰ-16,Ⅰ-17</t>
        </is>
      </c>
      <c r="F20" s="34" t="inlineStr">
        <is>
          <t>doc01-8</t>
        </is>
      </c>
      <c r="G20" s="34" t="inlineStr">
        <is>
          <t>未依頼</t>
        </is>
      </c>
      <c r="H20" s="33" t="inlineStr"/>
    </row>
    <row r="21" ht="34" customHeight="1">
      <c r="A21" s="31" t="inlineStr">
        <is>
          <t>S</t>
        </is>
      </c>
      <c r="B21" s="32" t="inlineStr">
        <is>
          <t>調査設計</t>
        </is>
      </c>
      <c r="C21" s="33" t="inlineStr">
        <is>
          <t>★発送日の確定（9/17前倒し／9/18のまま／9/24後ろ倒し）と回収期限</t>
        </is>
      </c>
      <c r="D21" s="33" t="inlineStr">
        <is>
          <t>★議事録は「9月18日頃」とするのみで、5連休の論点に触れていない。9/17（木）への前倒し可否と回収期限を9/3の第1稿提出時に併せて提起する。</t>
        </is>
      </c>
      <c r="E21" s="34" t="inlineStr">
        <is>
          <t>Ⅰ-29,Ⅰ-32</t>
        </is>
      </c>
      <c r="F21" s="34" t="inlineStr">
        <is>
          <t>doc19 指-1／doc22 A-4</t>
        </is>
      </c>
      <c r="G21" s="34" t="inlineStr">
        <is>
          <t>再提起</t>
        </is>
      </c>
      <c r="H21" s="33" t="inlineStr"/>
    </row>
    <row r="22" ht="34" customHeight="1">
      <c r="A22" s="31" t="inlineStr">
        <is>
          <t>S</t>
        </is>
      </c>
      <c r="B22" s="32" t="inlineStr">
        <is>
          <t>調査設計</t>
        </is>
      </c>
      <c r="C22" s="33" t="inlineStr">
        <is>
          <t>★ウェブ回答フォームにGoogleフォームを用いることの可否</t>
        </is>
      </c>
      <c r="D22" s="33" t="inlineStr">
        <is>
          <t>★通信の暗号化とデータの保存先は別の論点。回答データが村外サーバに保存される。個人情報保護条例上の取扱いと、重複排除の実装・エクスポート後の元データ削除・公開期間管理の確認が必要。</t>
        </is>
      </c>
      <c r="E22" s="34" t="inlineStr">
        <is>
          <t>Ⅰ-16,Ⅰ-18</t>
        </is>
      </c>
      <c r="F22" s="34" t="inlineStr">
        <is>
          <t>doc19 追-3</t>
        </is>
      </c>
      <c r="G22" s="34" t="inlineStr">
        <is>
          <t>未依頼</t>
        </is>
      </c>
      <c r="H22" s="33" t="inlineStr"/>
    </row>
    <row r="23" ht="34" customHeight="1">
      <c r="A23" s="31" t="inlineStr">
        <is>
          <t>S</t>
        </is>
      </c>
      <c r="B23" s="32" t="inlineStr">
        <is>
          <t>調査設計</t>
        </is>
      </c>
      <c r="C23" s="33" t="inlineStr">
        <is>
          <t>調査票の印刷頁数の調整方針（仕様書はニーズ約12頁／在宅約8頁）</t>
        </is>
      </c>
      <c r="D23" s="33" t="inlineStr">
        <is>
          <t>現在の調査票案は設問数が多く、レイアウト調整か設問の絞り込みが必要になる可能性。オプション項目の採否と一体。</t>
        </is>
      </c>
      <c r="E23" s="34" t="inlineStr">
        <is>
          <t>Ⅰ-20,Ⅰ-21</t>
        </is>
      </c>
      <c r="F23" s="34" t="inlineStr">
        <is>
          <t>doc19 S-5</t>
        </is>
      </c>
      <c r="G23" s="34" t="inlineStr">
        <is>
          <t>未依頼</t>
        </is>
      </c>
      <c r="H23" s="33" t="inlineStr"/>
    </row>
    <row r="24" ht="34" customHeight="1">
      <c r="A24" s="31" t="inlineStr">
        <is>
          <t>S</t>
        </is>
      </c>
      <c r="B24" s="32" t="inlineStr">
        <is>
          <t>調査設計</t>
        </is>
      </c>
      <c r="C24" s="33" t="inlineStr">
        <is>
          <t>依頼状の差出人名義（村名義／村長名）</t>
        </is>
      </c>
      <c r="D24" s="33" t="inlineStr">
        <is>
          <t>★第1稿は「北塩原村長　遠藤　和夫」と村長名で作成済み。名義の可否と、あわせて現職の村長名が正しいかの確認が必要（当方が保有する平成30年の資料では別の方が村長）。</t>
        </is>
      </c>
      <c r="E24" s="34" t="inlineStr">
        <is>
          <t>Ⅰ-14</t>
        </is>
      </c>
      <c r="F24" s="34" t="inlineStr">
        <is>
          <t>doc19 追-4／doc23§5</t>
        </is>
      </c>
      <c r="G24" s="34" t="inlineStr">
        <is>
          <t>一部回答</t>
        </is>
      </c>
      <c r="H24" s="33" t="inlineStr"/>
    </row>
    <row r="25" ht="34" customHeight="1">
      <c r="A25" s="31" t="inlineStr">
        <is>
          <t>S</t>
        </is>
      </c>
      <c r="B25" s="32" t="inlineStr">
        <is>
          <t>調査設計</t>
        </is>
      </c>
      <c r="C25" s="33" t="inlineStr">
        <is>
          <t>調査票の印刷部数（予備を何部見込むか）</t>
        </is>
      </c>
      <c r="D25" s="33" t="inlineStr">
        <is>
          <t>約1,000部＋予備。発送後の追加印刷は工程上困難。</t>
        </is>
      </c>
      <c r="E25" s="34" t="inlineStr">
        <is>
          <t>Ⅰ-21,Ⅰ-22</t>
        </is>
      </c>
      <c r="F25" s="34" t="inlineStr">
        <is>
          <t>doc19 追-5</t>
        </is>
      </c>
      <c r="G25" s="34" t="inlineStr">
        <is>
          <t>未依頼</t>
        </is>
      </c>
      <c r="H25" s="33" t="inlineStr"/>
    </row>
    <row r="26" ht="34" customHeight="1">
      <c r="A26" s="31" t="inlineStr">
        <is>
          <t>S</t>
        </is>
      </c>
      <c r="B26" s="32" t="inlineStr">
        <is>
          <t>調査設計</t>
        </is>
      </c>
      <c r="C26" s="33" t="inlineStr">
        <is>
          <t>在宅介護実態調査 問8・問9の基準月</t>
        </is>
      </c>
      <c r="D26" s="33" t="inlineStr">
        <is>
          <t>発送月の前月が通常。発送日の確定とセット。</t>
        </is>
      </c>
      <c r="E26" s="34" t="inlineStr">
        <is>
          <t>Ⅰ-10</t>
        </is>
      </c>
      <c r="F26" s="34" t="inlineStr">
        <is>
          <t>doc19 追-2</t>
        </is>
      </c>
      <c r="G26" s="34" t="inlineStr">
        <is>
          <t>未依頼</t>
        </is>
      </c>
      <c r="H26" s="33" t="inlineStr"/>
    </row>
    <row r="27" ht="34" customHeight="1">
      <c r="A27" s="31" t="inlineStr">
        <is>
          <t>S</t>
        </is>
      </c>
      <c r="B27" s="32" t="inlineStr">
        <is>
          <t>調査設計</t>
        </is>
      </c>
      <c r="C27" s="33" t="inlineStr">
        <is>
          <t>★ニーズ調査 問7(7)「この1か月間に会った友人・知人の人数」の採用可否</t>
        </is>
      </c>
      <c r="D27" s="33" t="inlineStr">
        <is>
          <t>★第1稿では不採用のうえ以降の番号を繰り上げているため、見える化への入力時に設問の対応が崩れる。採用すれば番号ずれが解消し、かつICF分析の「参加」の量的指標としてそのまま使える。</t>
        </is>
      </c>
      <c r="E27" s="34" t="inlineStr">
        <is>
          <t>Ⅰ-09</t>
        </is>
      </c>
      <c r="F27" s="34" t="inlineStr">
        <is>
          <t>doc23§1-2</t>
        </is>
      </c>
      <c r="G27" s="34" t="inlineStr">
        <is>
          <t>未依頼</t>
        </is>
      </c>
      <c r="H27" s="33" t="inlineStr"/>
    </row>
    <row r="28" ht="34" customHeight="1">
      <c r="A28" s="31" t="inlineStr">
        <is>
          <t>S</t>
        </is>
      </c>
      <c r="B28" s="32" t="inlineStr">
        <is>
          <t>調査設計</t>
        </is>
      </c>
      <c r="C28" s="33" t="inlineStr">
        <is>
          <t>★ニーズ調査 村独自設問14問の採否と頁数（問3(10)の削除・問7(9)の簡素化）</t>
        </is>
      </c>
      <c r="D28" s="33" t="inlineStr">
        <is>
          <t>★標準約66問＋村独自14問＝約79問。仕様書の目安A4約12頁を超える見込み。削除を提案するのは問3(10)「1日に何回食事をとりますか」の1問のみ（低栄養は問3(1)(7)(8)で把握可能）。他13問は施策・交付金の指標と結びついており残すべき。</t>
        </is>
      </c>
      <c r="E28" s="34" t="inlineStr">
        <is>
          <t>Ⅰ-12,Ⅰ-13</t>
        </is>
      </c>
      <c r="F28" s="34" t="inlineStr">
        <is>
          <t>doc23§4</t>
        </is>
      </c>
      <c r="G28" s="34" t="inlineStr">
        <is>
          <t>未依頼</t>
        </is>
      </c>
      <c r="H28" s="33" t="inlineStr"/>
    </row>
    <row r="29" ht="34" customHeight="1">
      <c r="A29" s="31" t="inlineStr">
        <is>
          <t>S</t>
        </is>
      </c>
      <c r="B29" s="32" t="inlineStr">
        <is>
          <t>調査設計</t>
        </is>
      </c>
      <c r="C29" s="33" t="inlineStr">
        <is>
          <t>★現職の村長名・所管課・役場の住所の確認</t>
        </is>
      </c>
      <c r="D29" s="33" t="inlineStr">
        <is>
          <t>★第1稿の依頼状に「北塩原村長 遠藤 和夫」「保健福祉課 福祉係」「大字北山字姥ヶ作3151番地」と記載。当方では現職の村長名を確認できない。所管課は住民課との別が未確認のまま（doc01 確認事項1）。</t>
        </is>
      </c>
      <c r="E29" s="34" t="inlineStr">
        <is>
          <t>Ⅰ-14</t>
        </is>
      </c>
      <c r="F29" s="34" t="inlineStr">
        <is>
          <t>doc23§5</t>
        </is>
      </c>
      <c r="G29" s="34" t="inlineStr">
        <is>
          <t>未依頼</t>
        </is>
      </c>
      <c r="H29" s="33" t="inlineStr"/>
    </row>
    <row r="30" ht="34" customHeight="1">
      <c r="A30" s="31" t="inlineStr">
        <is>
          <t>S</t>
        </is>
      </c>
      <c r="B30" s="32" t="inlineStr">
        <is>
          <t>調査設計</t>
        </is>
      </c>
      <c r="C30" s="33" t="inlineStr">
        <is>
          <t>★【必須】在宅A票 訪問診療の設問を問13に直す（問12が重複し問13が欠番）</t>
        </is>
      </c>
      <c r="D30" s="33" t="inlineStr">
        <is>
          <t>★第2稿で訪問診療が復活したが番号が問12となり、今後必要と感じる支援（問12）と重複している。回答者が混乱し集計時に設問を特定できない。9/9の校了までに必ず修正。</t>
        </is>
      </c>
      <c r="E30" s="34" t="inlineStr">
        <is>
          <t>Ⅰ-10</t>
        </is>
      </c>
      <c r="F30" s="34" t="inlineStr">
        <is>
          <t>doc27§3-1</t>
        </is>
      </c>
      <c r="G30" s="34" t="inlineStr">
        <is>
          <t>未依頼</t>
        </is>
      </c>
      <c r="H30" s="33" t="inlineStr"/>
    </row>
    <row r="31" ht="34" customHeight="1">
      <c r="A31" s="31" t="inlineStr">
        <is>
          <t>S</t>
        </is>
      </c>
      <c r="B31" s="32" t="inlineStr">
        <is>
          <t>調査設計</t>
        </is>
      </c>
      <c r="C31" s="33" t="inlineStr">
        <is>
          <t>★【必須】在宅A票 問9の基準月を「令和8年8月」に修正</t>
        </is>
      </c>
      <c r="D31" s="33" t="inlineStr">
        <is>
          <t>★問8は修正されたが問9が「令和●年●月」のまま。</t>
        </is>
      </c>
      <c r="E31" s="34" t="inlineStr">
        <is>
          <t>Ⅰ-10</t>
        </is>
      </c>
      <c r="F31" s="34" t="inlineStr">
        <is>
          <t>doc27§3-2</t>
        </is>
      </c>
      <c r="G31" s="34" t="inlineStr">
        <is>
          <t>未依頼</t>
        </is>
      </c>
      <c r="H31" s="33" t="inlineStr"/>
    </row>
    <row r="32" ht="34" customHeight="1">
      <c r="A32" s="31" t="inlineStr">
        <is>
          <t>S</t>
        </is>
      </c>
      <c r="B32" s="32" t="inlineStr">
        <is>
          <t>調査設計</t>
        </is>
      </c>
      <c r="C32" s="33" t="inlineStr">
        <is>
          <t>★【必須】ニーズ 問1(2)① 選択肢14・15を「14．その他／15．不明」に修正</t>
        </is>
      </c>
      <c r="D32" s="33" t="inlineStr">
        <is>
          <t>★選択肢の順序の修正7か所のうち、この1か所のみ修正漏れ。標準は13．高齢による衰弱／14．その他（　）／15．不明。</t>
        </is>
      </c>
      <c r="E32" s="34" t="inlineStr">
        <is>
          <t>Ⅰ-09</t>
        </is>
      </c>
      <c r="F32" s="34" t="inlineStr">
        <is>
          <t>doc27§2-1</t>
        </is>
      </c>
      <c r="G32" s="34" t="inlineStr">
        <is>
          <t>未依頼</t>
        </is>
      </c>
      <c r="H32" s="33" t="inlineStr"/>
    </row>
    <row r="33" ht="34" customHeight="1">
      <c r="A33" s="35" t="inlineStr">
        <is>
          <t>A</t>
        </is>
      </c>
      <c r="B33" s="32" t="inlineStr">
        <is>
          <t>スケジュール</t>
        </is>
      </c>
      <c r="C33" s="33" t="inlineStr">
        <is>
          <t>★第2回策定委員会の開催日（11月のいつか）</t>
        </is>
      </c>
      <c r="D33" s="33" t="inlineStr">
        <is>
          <t>★資料の事前送付の期限が決まる。素案約90頁を当日配付では読めないため事前送付が前提。</t>
        </is>
      </c>
      <c r="E33" s="34" t="inlineStr">
        <is>
          <t>Ⅱ-83</t>
        </is>
      </c>
      <c r="F33" s="34" t="inlineStr">
        <is>
          <t>doc26§10 K-95</t>
        </is>
      </c>
      <c r="G33" s="34" t="inlineStr">
        <is>
          <t>未依頼</t>
        </is>
      </c>
      <c r="H33" s="33" t="inlineStr"/>
    </row>
    <row r="34" ht="34" customHeight="1">
      <c r="A34" s="35" t="inlineStr">
        <is>
          <t>A</t>
        </is>
      </c>
      <c r="B34" s="32" t="inlineStr">
        <is>
          <t>データ</t>
        </is>
      </c>
      <c r="C34" s="33" t="inlineStr">
        <is>
          <t>通いの場の参加者281人は実人数か延べ人数か（基準値の置き方）</t>
        </is>
      </c>
      <c r="D34" s="33" t="inlineStr">
        <is>
          <t>★9/15：参加率の分母を検算し、見える化F1・F4系の定義が「参加者実人数÷65歳以上人口」であることを確認した（H30は306÷961＝31.8%で公表値と一致）。令和6年度は281÷1,009＝27.8%（週1回以上は123÷1,009＝12.2%）となり、素案の12.2%・5.3%を訂正した。一方、第9期アンケートの自己申告による参加率11.2%とは16.6ポイント開く。281人が複数の通いの場への参加を重複計上しているのであれば実人数はこれより少ない。第10期の活動指標の基準値をどちらに置くかは把握方法の確認が前提。</t>
        </is>
      </c>
      <c r="E34" s="34" t="inlineStr">
        <is>
          <t>Ⅱ-65</t>
        </is>
      </c>
      <c r="F34" s="34" t="inlineStr">
        <is>
          <t>doc35§2</t>
        </is>
      </c>
      <c r="G34" s="34" t="inlineStr">
        <is>
          <t>未依頼</t>
        </is>
      </c>
      <c r="H34" s="33" t="inlineStr"/>
    </row>
    <row r="35" ht="34" customHeight="1">
      <c r="A35" s="35" t="inlineStr">
        <is>
          <t>A</t>
        </is>
      </c>
      <c r="B35" s="32" t="inlineStr">
        <is>
          <t>データ</t>
        </is>
      </c>
      <c r="C35" s="33" t="inlineStr">
        <is>
          <t>★介護給付適正化の主要3事業のうち「要介護認定の適正化」の実施状況（令和8年度に0点となった原因）</t>
        </is>
      </c>
      <c r="D35" s="33" t="inlineStr">
        <is>
          <t>★主要3事業の全実施を問う指標（6点・全国96.9%が取得・県内55位／59）が0点である。適正化方策の策定は4項目すべて満点、ケアプラン点検と医療情報との突合は活動指標も満点であることから、残る「要介護認定の適正化」が実施されていない可能性が高い。取組が後退したのか、国への該当状況調査票の記載によるものかをご教示いただきたい。</t>
        </is>
      </c>
      <c r="E35" s="34" t="inlineStr">
        <is>
          <t>Ⅱ-109</t>
        </is>
      </c>
      <c r="F35" s="34" t="inlineStr">
        <is>
          <t>doc42§3</t>
        </is>
      </c>
      <c r="G35" s="34" t="inlineStr">
        <is>
          <t>未依頼</t>
        </is>
      </c>
      <c r="H35" s="33" t="inlineStr"/>
    </row>
    <row r="36" ht="34" customHeight="1">
      <c r="A36" s="35" t="inlineStr">
        <is>
          <t>A</t>
        </is>
      </c>
      <c r="B36" s="32" t="inlineStr">
        <is>
          <t>データ</t>
        </is>
      </c>
      <c r="C36" s="33" t="inlineStr">
        <is>
          <t>国の介護保険事業計画作成支援ツール（将来推計総括表）の出力一式</t>
        </is>
      </c>
      <c r="D36" s="33" t="inlineStr">
        <is>
          <t>★★最優先。他案件（川崎町・金ケ崎町・大雪）はいずれも保険者が操作したツールの出力を受領し検証する立場にあるが、本村は見える化から独自算定しており国の様式との検算ができていない。他案件では令和8年度が実績でなく推計値、主要項目が未入力のまま保険料だけ数値が入る等の事例が実際に見つかっている。</t>
        </is>
      </c>
      <c r="E36" s="34" t="inlineStr">
        <is>
          <t>Ⅱ-55,Ⅱ-56,Ⅱ-64</t>
        </is>
      </c>
      <c r="F36" s="34" t="inlineStr">
        <is>
          <t>doc33§5-1</t>
        </is>
      </c>
      <c r="G36" s="34" t="inlineStr">
        <is>
          <t>未依頼</t>
        </is>
      </c>
      <c r="H36" s="33" t="inlineStr"/>
    </row>
    <row r="37" ht="34" customHeight="1">
      <c r="A37" s="35" t="inlineStr">
        <is>
          <t>A</t>
        </is>
      </c>
      <c r="B37" s="32" t="inlineStr">
        <is>
          <t>データ</t>
        </is>
      </c>
      <c r="C37" s="33" t="inlineStr">
        <is>
          <t>第9期計画の本文（サービス別見込量の表を含む全体）</t>
        </is>
      </c>
      <c r="D37" s="33" t="inlineStr">
        <is>
          <t>★★用途が2つある。①対計画比（サービス別の計画値と実績の対比）。他案件では総額が計画どおりでも内訳が11.5〜967.4％まで開くことが確認されており、本村は受給率を3か年平均で固定しているため偏りを持ち越す。②老人福祉事業の量の目標の記載位置の確認（doc32§4-1）。保有しているのは概要版のみでサービス別見込量がない。</t>
        </is>
      </c>
      <c r="E37" s="34" t="inlineStr">
        <is>
          <t>Ⅱ-53,Ⅱ-55</t>
        </is>
      </c>
      <c r="F37" s="34" t="inlineStr">
        <is>
          <t>doc33§5-2</t>
        </is>
      </c>
      <c r="G37" s="34" t="inlineStr">
        <is>
          <t>未依頼</t>
        </is>
      </c>
      <c r="H37" s="33" t="inlineStr"/>
    </row>
    <row r="38" ht="34" customHeight="1">
      <c r="A38" s="35" t="inlineStr">
        <is>
          <t>A</t>
        </is>
      </c>
      <c r="B38" s="32" t="inlineStr">
        <is>
          <t>データ</t>
        </is>
      </c>
      <c r="C38" s="33" t="inlineStr">
        <is>
          <t>★給付費適正化「主要3事業の全て実施」が令和7年度6点→令和8年度0点に低下した理由</t>
        </is>
      </c>
      <c r="D38" s="33" t="inlineStr">
        <is>
          <t>★全国該当率96.9%の指標。縦覧点検は4帳票満点のため、①要介護認定の適正化 か ②ケアプラン等の点検 のいずれかが実施されなくなった可能性。取組の後退か調査票の記載漏れかで対応が変わる。</t>
        </is>
      </c>
      <c r="E38" s="34" t="inlineStr">
        <is>
          <t>Ⅱ-65</t>
        </is>
      </c>
      <c r="F38" s="34" t="inlineStr">
        <is>
          <t>doc20§8-2 K-61</t>
        </is>
      </c>
      <c r="G38" s="34" t="inlineStr">
        <is>
          <t>未依頼</t>
        </is>
      </c>
      <c r="H38" s="33" t="inlineStr"/>
    </row>
    <row r="39" ht="34" customHeight="1">
      <c r="A39" s="35" t="inlineStr">
        <is>
          <t>A</t>
        </is>
      </c>
      <c r="B39" s="32" t="inlineStr">
        <is>
          <t>データ</t>
        </is>
      </c>
      <c r="C39" s="33" t="inlineStr">
        <is>
          <t>★福祉用具購入費・住宅改修費へのリハビリ専門職の関与（配点8点）が令和7年度8点→令和8年度0点に低下した理由</t>
        </is>
      </c>
      <c r="D39" s="33" t="inlineStr">
        <is>
          <t>★アと合わせ14点が1年で失われている。仕組みが失われたのか調査票の記載によるものかを確認。</t>
        </is>
      </c>
      <c r="E39" s="34" t="inlineStr">
        <is>
          <t>Ⅱ-65</t>
        </is>
      </c>
      <c r="F39" s="34" t="inlineStr">
        <is>
          <t>doc20§8-2 K-61b</t>
        </is>
      </c>
      <c r="G39" s="34" t="inlineStr">
        <is>
          <t>未依頼</t>
        </is>
      </c>
      <c r="H39" s="33" t="inlineStr"/>
    </row>
    <row r="40" ht="34" customHeight="1">
      <c r="A40" s="35" t="inlineStr">
        <is>
          <t>A</t>
        </is>
      </c>
      <c r="B40" s="32" t="inlineStr">
        <is>
          <t>データ</t>
        </is>
      </c>
      <c r="C40" s="33" t="inlineStr">
        <is>
          <t>認知症サポーター養成数・認知症地域支援推進員の配置と活動内容・チームオレンジの整備予定</t>
        </is>
      </c>
      <c r="D40" s="33" t="inlineStr">
        <is>
          <t>★支援交付金目標Ⅱ（認知症総合支援）は32/100点で全国平均51.1点を19点下回る唯一の目標。3か年で唯一低下局面があった。</t>
        </is>
      </c>
      <c r="E40" s="34" t="inlineStr">
        <is>
          <t>Ⅱ-68</t>
        </is>
      </c>
      <c r="F40" s="34" t="inlineStr">
        <is>
          <t>doc20§6-2 K-62</t>
        </is>
      </c>
      <c r="G40" s="34" t="inlineStr">
        <is>
          <t>未依頼</t>
        </is>
      </c>
      <c r="H40" s="33" t="inlineStr"/>
    </row>
    <row r="41" ht="34" customHeight="1">
      <c r="A41" s="35" t="inlineStr">
        <is>
          <t>A</t>
        </is>
      </c>
      <c r="B41" s="32" t="inlineStr">
        <is>
          <t>データ</t>
        </is>
      </c>
      <c r="C41" s="33" t="inlineStr">
        <is>
          <t>難聴高齢者の早期発見・早期介入の取組（健診での聴力チェック等）の有無</t>
        </is>
      </c>
      <c r="D41" s="33" t="inlineStr">
        <is>
          <t>令和8年度評価で配点10点が0点（全国該当率48.8〜68.9%）。保健事業との連携で取得可能。</t>
        </is>
      </c>
      <c r="E41" s="34" t="inlineStr">
        <is>
          <t>Ⅱ-68</t>
        </is>
      </c>
      <c r="F41" s="34" t="inlineStr">
        <is>
          <t>doc20§6-2 K-63</t>
        </is>
      </c>
      <c r="G41" s="34" t="inlineStr">
        <is>
          <t>未依頼</t>
        </is>
      </c>
      <c r="H41" s="33" t="inlineStr"/>
    </row>
    <row r="42" ht="34" customHeight="1">
      <c r="A42" s="35" t="inlineStr">
        <is>
          <t>A</t>
        </is>
      </c>
      <c r="B42" s="32" t="inlineStr">
        <is>
          <t>データ</t>
        </is>
      </c>
      <c r="C42" s="33" t="inlineStr">
        <is>
          <t>在宅医療・介護連携推進事業の実施体制（村単独か会津圏域か）と課題・対応策の検討の場</t>
        </is>
      </c>
      <c r="D42" s="33" t="inlineStr">
        <is>
          <t>支援交付金目標Ⅲの「課題・対応策の検討」ア・エが0点（配点計10点、全国該当率57〜72%）。</t>
        </is>
      </c>
      <c r="E42" s="34" t="inlineStr">
        <is>
          <t>Ⅱ-54</t>
        </is>
      </c>
      <c r="F42" s="34" t="inlineStr">
        <is>
          <t>doc20§6-2 K-64</t>
        </is>
      </c>
      <c r="G42" s="34" t="inlineStr">
        <is>
          <t>未依頼</t>
        </is>
      </c>
      <c r="H42" s="33" t="inlineStr"/>
    </row>
    <row r="43" ht="34" customHeight="1">
      <c r="A43" s="35" t="inlineStr">
        <is>
          <t>A</t>
        </is>
      </c>
      <c r="B43" s="32" t="inlineStr">
        <is>
          <t>データ</t>
        </is>
      </c>
      <c r="C43" s="33" t="inlineStr">
        <is>
          <t>★施設サービスが伸びない要因「重度化による病院への転院」の裏づけデータ</t>
        </is>
      </c>
      <c r="D43" s="33" t="inlineStr">
        <is>
          <t>★議事録で示された村の見解。当方は村内施設ゼロ・村外施設依存の文脈で解釈していたため、素案の記述を修正する必要がある。KDB・給付実績で確認したい。</t>
        </is>
      </c>
      <c r="E43" s="34" t="inlineStr">
        <is>
          <t>Ⅱ-55</t>
        </is>
      </c>
      <c r="F43" s="34" t="inlineStr">
        <is>
          <t>doc22 K-75</t>
        </is>
      </c>
      <c r="G43" s="34" t="inlineStr">
        <is>
          <t>未依頼</t>
        </is>
      </c>
      <c r="H43" s="33" t="inlineStr"/>
    </row>
    <row r="44" ht="34" customHeight="1">
      <c r="A44" s="35" t="inlineStr">
        <is>
          <t>A</t>
        </is>
      </c>
      <c r="B44" s="32" t="inlineStr">
        <is>
          <t>データ</t>
        </is>
      </c>
      <c r="C44" s="33" t="inlineStr">
        <is>
          <t>★要介護認定データの提供時期と項目（要介護度・認定日・サービス利用状況）</t>
        </is>
      </c>
      <c r="D44" s="33" t="inlineStr">
        <is>
          <t>★仕様書4Ⅰ(5)。ICF分析の「認定状況×生活機能リスク」表と在宅調査のクロスに必須。目的外利用の手続きの確認を含む。議事録の「元気な軽度者が総合事業を利用している」の検証はこの紐付けでしかできない。</t>
        </is>
      </c>
      <c r="E44" s="34" t="inlineStr">
        <is>
          <t>Ⅰ-37</t>
        </is>
      </c>
      <c r="F44" s="34" t="inlineStr">
        <is>
          <t>doc24§12 K-87</t>
        </is>
      </c>
      <c r="G44" s="34" t="inlineStr">
        <is>
          <t>未依頼</t>
        </is>
      </c>
      <c r="H44" s="33" t="inlineStr"/>
    </row>
    <row r="45" ht="34" customHeight="1">
      <c r="A45" s="35" t="inlineStr">
        <is>
          <t>A</t>
        </is>
      </c>
      <c r="B45" s="32" t="inlineStr">
        <is>
          <t>データ</t>
        </is>
      </c>
      <c r="C45" s="33" t="inlineStr">
        <is>
          <t>★会津権利擁護・成年後見センターへの相談が1年で件数−43%・時間−55%と減少した要因</t>
        </is>
      </c>
      <c r="D45" s="33" t="inlineStr">
        <is>
          <t>★令和6年度134件・1,625分→令和7年度76件・729分。圏域13市町村の総計は増加しているなかで本村のみ大きく減少。施策評価に必要。</t>
        </is>
      </c>
      <c r="E45" s="34" t="inlineStr">
        <is>
          <t>Ⅱ-68</t>
        </is>
      </c>
      <c r="F45" s="34" t="inlineStr">
        <is>
          <t>doc28§3-3 K-108</t>
        </is>
      </c>
      <c r="G45" s="34" t="inlineStr">
        <is>
          <t>未依頼</t>
        </is>
      </c>
      <c r="H45" s="33" t="inlineStr"/>
    </row>
    <row r="46" ht="34" customHeight="1">
      <c r="A46" s="35" t="inlineStr">
        <is>
          <t>A</t>
        </is>
      </c>
      <c r="B46" s="32" t="inlineStr">
        <is>
          <t>データ</t>
        </is>
      </c>
      <c r="C46" s="33" t="inlineStr">
        <is>
          <t>養護老人ホーム措置・軽費老人ホーム・老人クラブの実績は見える化に系列が一切ない</t>
        </is>
      </c>
      <c r="D46" s="33" t="inlineStr">
        <is>
          <t>★老人福祉法第20条の8第2項が計画への記載を義務づける「老人福祉事業の量の目標」（素案4-6）の基礎。見える化に該当する系列がないため、村資料の受領が必須。代替手段はない。</t>
        </is>
      </c>
      <c r="E46" s="34" t="inlineStr">
        <is>
          <t>Ⅱ-53,Ⅱ-54</t>
        </is>
      </c>
      <c r="F46" s="34" t="inlineStr">
        <is>
          <t>doc38§D</t>
        </is>
      </c>
      <c r="G46" s="34" t="inlineStr">
        <is>
          <t>未依頼</t>
        </is>
      </c>
      <c r="H46" s="33" t="inlineStr"/>
    </row>
    <row r="47" ht="34" customHeight="1">
      <c r="A47" s="35" t="inlineStr">
        <is>
          <t>A</t>
        </is>
      </c>
      <c r="B47" s="32" t="inlineStr">
        <is>
          <t>データ</t>
        </is>
      </c>
      <c r="C47" s="33" t="inlineStr">
        <is>
          <t>国の推計ワークシートが求める在宅サービス利用率の分母</t>
        </is>
      </c>
      <c r="D47" s="33" t="inlineStr">
        <is>
          <t>★★他案件（大雪）の点検で「見込量の利用率の分母は認定者数であって第1号被保険者数ではない」ことが指摘された。本村の見える化のサービス利用率の分母は要介護度別認定者数であることを実データで確認済み（51件中21件が±0.6pt以内で一致、第1号被保険者数では0件）。ただし国の将来推計が在宅の分母を「認定者数−施設・居住系利用者数」とする場合、本村の率は要介護1で58.8%→86.1%、要介護4で26.8%→70.1%に変わり、要介護2では107.7%と100%を超える。分母の取り違えは見込量を数割動かす。</t>
        </is>
      </c>
      <c r="E47" s="34" t="inlineStr">
        <is>
          <t>Ⅱ-56</t>
        </is>
      </c>
      <c r="F47" s="34" t="inlineStr">
        <is>
          <t>doc37§3,doc18 5-4</t>
        </is>
      </c>
      <c r="G47" s="34" t="inlineStr">
        <is>
          <t>未依頼</t>
        </is>
      </c>
      <c r="H47" s="33" t="inlineStr"/>
    </row>
    <row r="48" ht="34" customHeight="1">
      <c r="A48" s="35" t="inlineStr">
        <is>
          <t>A</t>
        </is>
      </c>
      <c r="B48" s="32" t="inlineStr">
        <is>
          <t>データ</t>
        </is>
      </c>
      <c r="C48" s="33" t="inlineStr">
        <is>
          <t>認知症対応型共同生活介護（村内27人分）の待機者数と、村外のグループホームを利用している方の人数</t>
        </is>
      </c>
      <c r="D48" s="33" t="inlineStr">
        <is>
          <t>★施策3-2・5-4(7)の必要利用定員総数の判断に必須。認知症高齢者（自立度Ⅱ以上）は2年間で132人→161人と22.0%増えた一方、定員は平成28年度以降27人のまま。稼働率93%。増床の要否は待機と村外利用の実態がなければ判断できない。</t>
        </is>
      </c>
      <c r="E48" s="34" t="inlineStr">
        <is>
          <t>Ⅱ-56,Ⅱ-67</t>
        </is>
      </c>
      <c r="F48" s="34" t="inlineStr">
        <is>
          <t>doc36§3,doc18 5-4(7)</t>
        </is>
      </c>
      <c r="G48" s="34" t="inlineStr">
        <is>
          <t>未依頼</t>
        </is>
      </c>
      <c r="H48" s="33" t="inlineStr"/>
    </row>
    <row r="49" ht="34" customHeight="1">
      <c r="A49" s="35" t="inlineStr">
        <is>
          <t>A</t>
        </is>
      </c>
      <c r="B49" s="32" t="inlineStr">
        <is>
          <t>データ</t>
        </is>
      </c>
      <c r="C49" s="33" t="inlineStr">
        <is>
          <t>認知症関連事業の実績（認知症カフェの箇所数、認知症初期集中支援推進事業の対象者数、認知症地域支援推進員の活動実績）</t>
        </is>
      </c>
      <c r="D49" s="33" t="inlineStr">
        <is>
          <t>★素案5-5(1)の地域支援事業の量に認知症総合支援事業の行を新設したが、いずれも実績が未受領。国の様式では認知症総合支援事業の量を定めることが求められる。</t>
        </is>
      </c>
      <c r="E49" s="34" t="inlineStr">
        <is>
          <t>Ⅱ-53,Ⅱ-68</t>
        </is>
      </c>
      <c r="F49" s="34" t="inlineStr">
        <is>
          <t>doc36§4,doc18 5-5(1)</t>
        </is>
      </c>
      <c r="G49" s="34" t="inlineStr">
        <is>
          <t>未依頼</t>
        </is>
      </c>
      <c r="H49" s="33" t="inlineStr"/>
    </row>
    <row r="50" ht="34" customHeight="1">
      <c r="A50" s="35" t="inlineStr">
        <is>
          <t>A</t>
        </is>
      </c>
      <c r="B50" s="32" t="inlineStr">
        <is>
          <t>データ</t>
        </is>
      </c>
      <c r="C50" s="33" t="inlineStr">
        <is>
          <t>認知症サポーター約237人が国の評価指標で0点となっている理由</t>
        </is>
      </c>
      <c r="D50" s="33" t="inlineStr">
        <is>
          <t>★人口比9.8%（237人／2,363人）が養成されているにもかかわらず、令和8年度の評価で「認知症サポーター数」は12点中0点（全国平均4.8点）。養成率の基準を満たしていないのか、該当状況調査票の記載によるものかで、施策4-4の組み立てが変わる。</t>
        </is>
      </c>
      <c r="E50" s="34" t="inlineStr">
        <is>
          <t>Ⅱ-65,Ⅱ-68</t>
        </is>
      </c>
      <c r="F50" s="34" t="inlineStr">
        <is>
          <t>doc35§7-2(6)</t>
        </is>
      </c>
      <c r="G50" s="34" t="inlineStr">
        <is>
          <t>未依頼</t>
        </is>
      </c>
      <c r="H50" s="33" t="inlineStr"/>
    </row>
    <row r="51" ht="34" customHeight="1">
      <c r="A51" s="35" t="inlineStr">
        <is>
          <t>A</t>
        </is>
      </c>
      <c r="B51" s="32" t="inlineStr">
        <is>
          <t>データ</t>
        </is>
      </c>
      <c r="C51" s="33" t="inlineStr">
        <is>
          <t>要介護3〜5の方の状態の変化が令和8年度に2指標とも0点となった実態</t>
        </is>
      </c>
      <c r="D51" s="33" t="inlineStr">
        <is>
          <t>★短期的な要介護度の変化（要介護3〜5）が40点中0点、長期的な変化が20点中0点で、合わせて35点の減。目標Ⅳの25点低下の主因。本村の要介護3以上の認定者は59人（令和8年3月末）であり、数人の状態の変化が指標を動かす。個別の状況の把握が要る。</t>
        </is>
      </c>
      <c r="E51" s="34" t="inlineStr">
        <is>
          <t>Ⅱ-65</t>
        </is>
      </c>
      <c r="F51" s="34" t="inlineStr">
        <is>
          <t>doc35§7-2(3)</t>
        </is>
      </c>
      <c r="G51" s="34" t="inlineStr">
        <is>
          <t>未依頼</t>
        </is>
      </c>
      <c r="H51" s="33" t="inlineStr"/>
    </row>
    <row r="52" ht="34" customHeight="1">
      <c r="A52" s="35" t="inlineStr">
        <is>
          <t>A</t>
        </is>
      </c>
      <c r="B52" s="32" t="inlineStr">
        <is>
          <t>体制</t>
        </is>
      </c>
      <c r="C52" s="33" t="inlineStr">
        <is>
          <t>契約締結日・契約書の取り交わし状況</t>
        </is>
      </c>
      <c r="D52" s="33" t="inlineStr">
        <is>
          <t>業務開始日の確定。</t>
        </is>
      </c>
      <c r="E52" s="34" t="inlineStr">
        <is>
          <t>０-02</t>
        </is>
      </c>
      <c r="F52" s="34" t="inlineStr">
        <is>
          <t>―</t>
        </is>
      </c>
      <c r="G52" s="34" t="inlineStr">
        <is>
          <t>未依頼</t>
        </is>
      </c>
      <c r="H52" s="33" t="inlineStr"/>
    </row>
    <row r="53" ht="34" customHeight="1">
      <c r="A53" s="35" t="inlineStr">
        <is>
          <t>A</t>
        </is>
      </c>
      <c r="B53" s="32" t="inlineStr">
        <is>
          <t>体制</t>
        </is>
      </c>
      <c r="C53" s="33" t="inlineStr">
        <is>
          <t>★見える化システムのアカウント（障がい福祉計画分の継続利用可否）と秘密保持契約の要否</t>
        </is>
      </c>
      <c r="D53" s="33" t="inlineStr">
        <is>
          <t>★すでに19,591レコードを受領して分析に着手している。遡って手続きが必要な場合はその整理も要する。</t>
        </is>
      </c>
      <c r="E53" s="34" t="inlineStr">
        <is>
          <t>０-06</t>
        </is>
      </c>
      <c r="F53" s="34" t="inlineStr">
        <is>
          <t>doc19 追-12</t>
        </is>
      </c>
      <c r="G53" s="34" t="inlineStr">
        <is>
          <t>未依頼</t>
        </is>
      </c>
      <c r="H53" s="33" t="inlineStr"/>
    </row>
    <row r="54" ht="34" customHeight="1">
      <c r="A54" s="35" t="inlineStr">
        <is>
          <t>A</t>
        </is>
      </c>
      <c r="B54" s="32" t="inlineStr">
        <is>
          <t>体制</t>
        </is>
      </c>
      <c r="C54" s="33" t="inlineStr">
        <is>
          <t>★調査票の受渡し記録の様式（村が100件程度ごとに随時送付する運用に対応）</t>
        </is>
      </c>
      <c r="D54" s="33" t="inlineStr">
        <is>
          <t>★個人情報を含む調査票の授受が複数回に分かれるため、日付・数量・受渡者・受領者の記録が必要。doc16に追記する。</t>
        </is>
      </c>
      <c r="E54" s="34" t="inlineStr">
        <is>
          <t>Ⅰ-94</t>
        </is>
      </c>
      <c r="F54" s="34" t="inlineStr">
        <is>
          <t>doc22 K-78</t>
        </is>
      </c>
      <c r="G54" s="34" t="inlineStr">
        <is>
          <t>未依頼</t>
        </is>
      </c>
      <c r="H54" s="33" t="inlineStr"/>
    </row>
    <row r="55" ht="34" customHeight="1">
      <c r="A55" s="35" t="inlineStr">
        <is>
          <t>A</t>
        </is>
      </c>
      <c r="B55" s="32" t="inlineStr">
        <is>
          <t>体制</t>
        </is>
      </c>
      <c r="C55" s="33" t="inlineStr">
        <is>
          <t>自由記述の匿名化の方針（削除・置換の範囲）</t>
        </is>
      </c>
      <c r="D55" s="33" t="inlineStr">
        <is>
          <t>★人口2,300人規模では記述内容から個人が推定され得る。固有名詞・事業所名・具体的な住所の扱いを決め、doc16の個人情報取扱管理ルールに追記する。★9/25：案Bの採用により自由記述の全文を電子媒体に収録することとなったため、匿名化の対象は紙の「分類と主要意見」（資料2）と電子媒体の全文の双方に及ぶ。電子媒体に回しても匿名化は免除されない。</t>
        </is>
      </c>
      <c r="E55" s="34" t="inlineStr">
        <is>
          <t>Ⅰ-44</t>
        </is>
      </c>
      <c r="F55" s="34" t="inlineStr">
        <is>
          <t>doc24§12 K-89</t>
        </is>
      </c>
      <c r="G55" s="34" t="inlineStr">
        <is>
          <t>未依頼</t>
        </is>
      </c>
      <c r="H55" s="33" t="inlineStr"/>
    </row>
    <row r="56" ht="34" customHeight="1">
      <c r="A56" s="35" t="inlineStr">
        <is>
          <t>A</t>
        </is>
      </c>
      <c r="B56" s="32" t="inlineStr">
        <is>
          <t>体制</t>
        </is>
      </c>
      <c r="C56" s="33" t="inlineStr">
        <is>
          <t>第2回策定委員会の資料の事前送付の可否と時期</t>
        </is>
      </c>
      <c r="D56" s="33" t="inlineStr">
        <is>
          <t>素案（完成度7割・約90頁）は別冊として事前送付する前提で資料を設計している。</t>
        </is>
      </c>
      <c r="E56" s="34" t="inlineStr">
        <is>
          <t>Ⅱ-83</t>
        </is>
      </c>
      <c r="F56" s="34" t="inlineStr">
        <is>
          <t>doc26§10 K-97</t>
        </is>
      </c>
      <c r="G56" s="34" t="inlineStr">
        <is>
          <t>未依頼</t>
        </is>
      </c>
      <c r="H56" s="33" t="inlineStr"/>
    </row>
    <row r="57" ht="34" customHeight="1">
      <c r="A57" s="35" t="inlineStr">
        <is>
          <t>A</t>
        </is>
      </c>
      <c r="B57" s="32" t="inlineStr">
        <is>
          <t>体制</t>
        </is>
      </c>
      <c r="C57" s="33" t="inlineStr">
        <is>
          <t>★見える化の「将来推計」メニューで在宅サービス利用率の分母を確認する</t>
        </is>
      </c>
      <c r="D57" s="33" t="inlineStr">
        <is>
          <t>★★見込量が数割変わる論点（要介護1で58.8%→86.1%、要介護2で107.7%と100%超）。村への依頼ではなく、当方が見える化にログインして推計方法の設定画面を開けば確かめられる見込み。他案件（大雪）は「画面の設定順からの推定［要確認］」としている。最優先で確認する。</t>
        </is>
      </c>
      <c r="E57" s="34" t="inlineStr">
        <is>
          <t>Ⅱ-56</t>
        </is>
      </c>
      <c r="F57" s="34" t="inlineStr">
        <is>
          <t>doc38§C-1</t>
        </is>
      </c>
      <c r="G57" s="34" t="inlineStr">
        <is>
          <t>社内対応</t>
        </is>
      </c>
      <c r="H57" s="33" t="inlineStr"/>
    </row>
    <row r="58" ht="34" customHeight="1">
      <c r="A58" s="35" t="inlineStr">
        <is>
          <t>A</t>
        </is>
      </c>
      <c r="B58" s="32" t="inlineStr">
        <is>
          <t>分析</t>
        </is>
      </c>
      <c r="C58" s="33" t="inlineStr">
        <is>
          <t>在宅介護実態調査の集計設計（要介護度3区分×介護者勤務形態3区分のセル数）</t>
        </is>
      </c>
      <c r="D58" s="33" t="inlineStr">
        <is>
          <t>★対象が118人（仕様書の想定150人）であることは村の了解を得て決着。残るのは集計設計の判断で、回収は70〜80件程度の見込み。要介護度3区分×介護者勤務形態3区分のクロス（X-16・X-17）は9セルで1セル平均8件前後になる。要介護度を2区分に束ねるか、比率を付さず実数で示すかを当方で決める。</t>
        </is>
      </c>
      <c r="E58" s="34" t="inlineStr">
        <is>
          <t>Ⅰ-45</t>
        </is>
      </c>
      <c r="F58" s="34" t="inlineStr">
        <is>
          <t>doc34§5-2</t>
        </is>
      </c>
      <c r="G58" s="34" t="inlineStr">
        <is>
          <t>未依頼</t>
        </is>
      </c>
      <c r="H58" s="33" t="inlineStr"/>
    </row>
    <row r="59" ht="34" customHeight="1">
      <c r="A59" s="35" t="inlineStr">
        <is>
          <t>A</t>
        </is>
      </c>
      <c r="B59" s="32" t="inlineStr">
        <is>
          <t>分析</t>
        </is>
      </c>
      <c r="C59" s="33" t="inlineStr">
        <is>
          <t>ICF分析は標準設問のみで完結することの確認</t>
        </is>
      </c>
      <c r="D59" s="33" t="inlineStr">
        <is>
          <t>★ICFの5領域（健康状態・心身機能・活動・参加・環境因子）はすべて標準の必須＋オプション項目で埋まる。分析のための独自設問の追加は不要。推奨対応は問7(7)の採用の1件のみ。</t>
        </is>
      </c>
      <c r="E59" s="34" t="inlineStr">
        <is>
          <t>Ⅰ-95</t>
        </is>
      </c>
      <c r="F59" s="34" t="inlineStr">
        <is>
          <t>doc23§3-4</t>
        </is>
      </c>
      <c r="G59" s="34" t="inlineStr">
        <is>
          <t>未依頼</t>
        </is>
      </c>
      <c r="H59" s="33" t="inlineStr"/>
    </row>
    <row r="60" ht="34" customHeight="1">
      <c r="A60" s="35" t="inlineStr">
        <is>
          <t>A</t>
        </is>
      </c>
      <c r="B60" s="32" t="inlineStr">
        <is>
          <t>分析</t>
        </is>
      </c>
      <c r="C60" s="33" t="inlineStr">
        <is>
          <t>★時系列比較（第8期・第9期との対比）の対象とする設問の範囲</t>
        </is>
      </c>
      <c r="D60" s="33" t="inlineStr">
        <is>
          <t>★令和4年8月版と令和7年8月版で設問文・選択肢が変わった設問は単純比較できない。doc05の逐条突合に基づき比較可能な設問のみを対象とするが、どこまで遡るかは村の判断。</t>
        </is>
      </c>
      <c r="E60" s="34" t="inlineStr">
        <is>
          <t>Ⅰ-42</t>
        </is>
      </c>
      <c r="F60" s="34" t="inlineStr">
        <is>
          <t>doc24§12 K-86</t>
        </is>
      </c>
      <c r="G60" s="34" t="inlineStr">
        <is>
          <t>未依頼</t>
        </is>
      </c>
      <c r="H60" s="33" t="inlineStr"/>
    </row>
    <row r="61" ht="34" customHeight="1">
      <c r="A61" s="35" t="inlineStr">
        <is>
          <t>A</t>
        </is>
      </c>
      <c r="B61" s="32" t="inlineStr">
        <is>
          <t>分析</t>
        </is>
      </c>
      <c r="C61" s="33" t="inlineStr">
        <is>
          <t>★リスク判定10種の該当基準（見える化システムの算出方法との突合）</t>
        </is>
      </c>
      <c r="D61" s="33" t="inlineStr">
        <is>
          <t>★手引きに該当基準の明記があるのはBMI 18.5以下のみ。他9種は基本チェックリストに準じた案を置いているが、独自基準では全国・県と比較できない。手引きは算出方法が将来更新され得るとも記載しており、第9期の基準の流用も不可。</t>
        </is>
      </c>
      <c r="E61" s="34" t="inlineStr">
        <is>
          <t>Ⅰ-46</t>
        </is>
      </c>
      <c r="F61" s="34" t="inlineStr">
        <is>
          <t>doc25§4-2 K-91</t>
        </is>
      </c>
      <c r="G61" s="34" t="inlineStr">
        <is>
          <t>未依頼</t>
        </is>
      </c>
      <c r="H61" s="33" t="inlineStr"/>
    </row>
    <row r="62" ht="34" customHeight="1">
      <c r="A62" s="35" t="inlineStr">
        <is>
          <t>A</t>
        </is>
      </c>
      <c r="B62" s="32" t="inlineStr">
        <is>
          <t>取組</t>
        </is>
      </c>
      <c r="C62" s="33" t="inlineStr">
        <is>
          <t>難聴高齢者の早期発見・早期介入の取組の実施可否（普及啓発・早期発見）</t>
        </is>
      </c>
      <c r="D62" s="33" t="inlineStr">
        <is>
          <t>★合わせて10点（全国68.9%・48.8%、県内48位・46位）。★9/25：素案の施策4-4に3つの取組（広報・健診案内・通いの場での周知／健診と通いの場での聞こえの確認／耳鼻咽喉科への受診勧奨と受診状況の把握）として反映し、指標表を普及啓発5点・早期発見5点・受診状況10点に分けた。実施の可否と現在の取組状況をご教示いただきたい。受診状況の把握と受診率50%以上は全国でも14.6%・4.8%と取得が少ないため第10期中の検討事項としている。</t>
        </is>
      </c>
      <c r="E62" s="34" t="inlineStr">
        <is>
          <t>Ⅱ-67,Ⅱ-65</t>
        </is>
      </c>
      <c r="F62" s="34" t="inlineStr">
        <is>
          <t>doc42§3</t>
        </is>
      </c>
      <c r="G62" s="34" t="inlineStr">
        <is>
          <t>未依頼</t>
        </is>
      </c>
      <c r="H62" s="33" t="inlineStr"/>
    </row>
    <row r="63" ht="34" customHeight="1">
      <c r="A63" s="35" t="inlineStr">
        <is>
          <t>A</t>
        </is>
      </c>
      <c r="B63" s="32" t="inlineStr">
        <is>
          <t>取組</t>
        </is>
      </c>
      <c r="C63" s="33" t="inlineStr">
        <is>
          <t>成年後見制度利用支援事業の要綱の対象範囲（市町村長申立・生活保護受給者への限定を外す改正の可否）</t>
        </is>
      </c>
      <c r="D63" s="33" t="inlineStr">
        <is>
          <t>★4点（全国78.1%・県内46位）。申立費用助成・報酬助成はいずれも整備済（doc28§3）であり、対象の限定を外す要綱改正のみで取得できる。新たな予算を要しない。★9/25：素案の施策4-7に取組として反映し、指標表に1行を追加した。現在の要綱が対象を市町村長申立てや生活保護受給者に限定しているかをご確認いただき、改正の可否をご判断いただきたい。</t>
        </is>
      </c>
      <c r="E63" s="34" t="inlineStr">
        <is>
          <t>Ⅱ-69,Ⅱ-67</t>
        </is>
      </c>
      <c r="F63" s="34" t="inlineStr">
        <is>
          <t>doc42§3-3</t>
        </is>
      </c>
      <c r="G63" s="34" t="inlineStr">
        <is>
          <t>未依頼</t>
        </is>
      </c>
      <c r="H63" s="33" t="inlineStr"/>
    </row>
    <row r="64" ht="34" customHeight="1">
      <c r="A64" s="35" t="inlineStr">
        <is>
          <t>A</t>
        </is>
      </c>
      <c r="B64" s="32" t="inlineStr">
        <is>
          <t>取組</t>
        </is>
      </c>
      <c r="C64" s="33" t="inlineStr">
        <is>
          <t>計画の進捗管理（目標Ⅰの3項目）が令和7年度0点から令和8年度48点満点になった根拠</t>
        </is>
      </c>
      <c r="D64" s="33" t="inlineStr">
        <is>
          <t>★事業計画の進捗状況・施策の実施状況の把握・改善・評価結果の活用がいずれも満点となり全項目で全国平均を上回った。一方、第9期計画の本体には評価の方法・時期・報告先がなく、計画値と実績値の乖離は本業務で初めて整理した。何をもって該当としたのかを確認し、第10期の第6章に引き継ぐ。</t>
        </is>
      </c>
      <c r="E64" s="34" t="inlineStr">
        <is>
          <t>Ⅱ-70,Ⅱ-71</t>
        </is>
      </c>
      <c r="F64" s="34" t="inlineStr">
        <is>
          <t>doc35§7-2(3)</t>
        </is>
      </c>
      <c r="G64" s="34" t="inlineStr">
        <is>
          <t>未依頼</t>
        </is>
      </c>
      <c r="H64" s="33" t="inlineStr"/>
    </row>
    <row r="65" ht="34" customHeight="1">
      <c r="A65" s="35" t="inlineStr">
        <is>
          <t>A</t>
        </is>
      </c>
      <c r="B65" s="32" t="inlineStr">
        <is>
          <t>委員会</t>
        </is>
      </c>
      <c r="C65" s="33" t="inlineStr">
        <is>
          <t>策定委員会の委員改選手続きの所要期間と第1回開催希望時期・開催形式</t>
        </is>
      </c>
      <c r="D65" s="33" t="inlineStr">
        <is>
          <t>★現委員の任期は令和8年9月30日満了。第1回を11月に開くには10月中の委嘱が必要。</t>
        </is>
      </c>
      <c r="E65" s="34" t="inlineStr">
        <is>
          <t>Ⅱ-80,Ⅱ-81</t>
        </is>
      </c>
      <c r="F65" s="34" t="inlineStr">
        <is>
          <t>doc01-6,doc19 追-15</t>
        </is>
      </c>
      <c r="G65" s="34" t="inlineStr">
        <is>
          <t>未依頼</t>
        </is>
      </c>
      <c r="H65" s="33" t="inlineStr"/>
    </row>
    <row r="66" ht="34" customHeight="1">
      <c r="A66" s="35" t="inlineStr">
        <is>
          <t>A</t>
        </is>
      </c>
      <c r="B66" s="32" t="inlineStr">
        <is>
          <t>成果品</t>
        </is>
      </c>
      <c r="C66" s="33" t="inlineStr">
        <is>
          <t>パブリックコメント（30日間）の実施時期・実施主体と庁内手続き日程</t>
        </is>
      </c>
      <c r="D66" s="33" t="inlineStr">
        <is>
          <t>★30日間必要。第2回策定委員会が1月にずれると第3回（2月）までに終わらず工程が破綻する。年末年始も挟む。</t>
        </is>
      </c>
      <c r="E66" s="34" t="inlineStr">
        <is>
          <t>Ⅱ-76,Ⅱ-77</t>
        </is>
      </c>
      <c r="F66" s="34" t="inlineStr">
        <is>
          <t>doc01-7,doc19 指-3</t>
        </is>
      </c>
      <c r="G66" s="34" t="inlineStr">
        <is>
          <t>未依頼</t>
        </is>
      </c>
      <c r="H66" s="33" t="inlineStr"/>
    </row>
    <row r="67" ht="34" customHeight="1">
      <c r="A67" s="35" t="inlineStr">
        <is>
          <t>A</t>
        </is>
      </c>
      <c r="B67" s="32" t="inlineStr">
        <is>
          <t>成果品</t>
        </is>
      </c>
      <c r="C67" s="33" t="inlineStr">
        <is>
          <t>★概要版（A3両面程度）が仕様の範囲内か追加対応か</t>
        </is>
      </c>
      <c r="D67" s="33" t="inlineStr">
        <is>
          <t>★議事録で作成が合意（理念・体系図・推移データ）。第9期はA4 2ページ。仕様書に記載がなく成果品一覧にもない。</t>
        </is>
      </c>
      <c r="E67" s="34" t="inlineStr">
        <is>
          <t>Ⅳ-92</t>
        </is>
      </c>
      <c r="F67" s="34" t="inlineStr">
        <is>
          <t>doc22 K-79</t>
        </is>
      </c>
      <c r="G67" s="34" t="inlineStr">
        <is>
          <t>未依頼</t>
        </is>
      </c>
      <c r="H67" s="33" t="inlineStr"/>
    </row>
    <row r="68" ht="34" customHeight="1">
      <c r="A68" s="35" t="inlineStr">
        <is>
          <t>A</t>
        </is>
      </c>
      <c r="B68" s="32" t="inlineStr">
        <is>
          <t>方針</t>
        </is>
      </c>
      <c r="C68" s="33" t="inlineStr">
        <is>
          <t>★交付金で61点が取れる未得点項目11件の取組可否（計画への記載・要綱改正・手順の明文化のみで取得できるもの）</t>
        </is>
      </c>
      <c r="D68" s="33" t="inlineStr">
        <is>
          <t>★令和8年度の市町村分 全国一覧表と評価指標42頁を突合し、新たな予算や施設を要さず取得できる項目を61点分特定した（doc42§3）。447点→508点で全国1,005位→525位、県内34位→18位になる。内訳は認知症施策推進計画の策定着手5点／成年後見の要綱改正4点／難聴の普及啓発・早期発見10点／在宅医療連携の4場面の設定と対応策10点／相談内容の取りまとめ2点／給付適正化の福祉用具・住宅改修16点／ケアプラン点検の村外施設分8点／主要3事業の全実施6点。素案への反映には村の意向確認を要する。</t>
        </is>
      </c>
      <c r="E68" s="34" t="inlineStr">
        <is>
          <t>Ⅱ-65,Ⅱ-67,Ⅱ-109</t>
        </is>
      </c>
      <c r="F68" s="34" t="inlineStr">
        <is>
          <t>doc42§3</t>
        </is>
      </c>
      <c r="G68" s="34" t="inlineStr">
        <is>
          <t>未依頼</t>
        </is>
      </c>
      <c r="H68" s="33" t="inlineStr"/>
    </row>
    <row r="69" ht="34" customHeight="1">
      <c r="A69" s="35" t="inlineStr">
        <is>
          <t>A</t>
        </is>
      </c>
      <c r="B69" s="32" t="inlineStr">
        <is>
          <t>方針</t>
        </is>
      </c>
      <c r="C69" s="33" t="inlineStr">
        <is>
          <t>ケアプラン点検に村外の有料老人ホーム・サービス付き高齢者向け住宅の入居者分を含める体制の構築可否</t>
        </is>
      </c>
      <c r="D69" s="33" t="inlineStr">
        <is>
          <t>★評価指標の留意点により、管内に該当施設がない市町村でも、被保険者が他市町村の施設に入居して介護サービスを適正に利用しているかの実態を把握し、必要に応じ県・他市町村と連携して対応できる体制があれば8点の対象となる。素案5-8で「村内に該当施設がないため対象外」としていたのは誤りで訂正した。本村は給付費の58.7%が村外であり、利用実態の把握は得点にとどまらず計画上の課題である。</t>
        </is>
      </c>
      <c r="E69" s="34" t="inlineStr">
        <is>
          <t>Ⅱ-109,Ⅱ-61</t>
        </is>
      </c>
      <c r="F69" s="34" t="inlineStr">
        <is>
          <t>doc42§3-1</t>
        </is>
      </c>
      <c r="G69" s="34" t="inlineStr">
        <is>
          <t>未依頼</t>
        </is>
      </c>
      <c r="H69" s="33" t="inlineStr"/>
    </row>
    <row r="70" ht="34" customHeight="1">
      <c r="A70" s="35" t="inlineStr">
        <is>
          <t>A</t>
        </is>
      </c>
      <c r="B70" s="32" t="inlineStr">
        <is>
          <t>方針</t>
        </is>
      </c>
      <c r="C70" s="33" t="inlineStr">
        <is>
          <t>福祉用具・住宅改修へのリハビリテーション専門職等の関与の仕組み（広域連携による整備の可否）</t>
        </is>
      </c>
      <c r="D70" s="33" t="inlineStr">
        <is>
          <t>★合わせて16点。評価指標の留意点により、関係団体や県・近隣市町村による広域団体と連携した仕組みでも対象となり、住宅改修費については建築専門職・福祉住環境コーディネーター検定試験2級以上も「リハビリテーション専門職等」に含まれる。購入費・改修費のいずれかで足りる。令和6・7年度は実施していたものが令和8年度に0点となっており、後退の原因もご教示いただきたい。</t>
        </is>
      </c>
      <c r="E70" s="34" t="inlineStr">
        <is>
          <t>Ⅱ-109</t>
        </is>
      </c>
      <c r="F70" s="34" t="inlineStr">
        <is>
          <t>doc42§3-1</t>
        </is>
      </c>
      <c r="G70" s="34" t="inlineStr">
        <is>
          <t>未依頼</t>
        </is>
      </c>
      <c r="H70" s="33" t="inlineStr"/>
    </row>
    <row r="71" ht="34" customHeight="1">
      <c r="A71" s="35" t="inlineStr">
        <is>
          <t>A</t>
        </is>
      </c>
      <c r="B71" s="32" t="inlineStr">
        <is>
          <t>方針</t>
        </is>
      </c>
      <c r="C71" s="33" t="inlineStr">
        <is>
          <t>中山間・人口減少地域（特定地域）の指定を受ける意向</t>
        </is>
      </c>
      <c r="D71" s="33" t="inlineStr">
        <is>
          <t>★令和8年法律第51号により令和9年4月1日創設。本村は75歳以上人口526人・密度5人/km²未満で指定基準②に該当する見込み（面積が105.2km²を超えれば該当し、本村はこれを大きく上回る）。特定地域サービスと特定地域居宅サービス等事業は、28サービスのうち12種類に実績がない本村への対応手段になる。指定は村の意向を踏まえ都道府県が定めるため計画への記載が起点。</t>
        </is>
      </c>
      <c r="E71" s="34" t="inlineStr">
        <is>
          <t>Ⅱ-56,Ⅱ-67</t>
        </is>
      </c>
      <c r="F71" s="34" t="inlineStr">
        <is>
          <t>doc33§3-5</t>
        </is>
      </c>
      <c r="G71" s="34" t="inlineStr">
        <is>
          <t>未依頼</t>
        </is>
      </c>
      <c r="H71" s="33" t="inlineStr"/>
    </row>
    <row r="72" ht="34" customHeight="1">
      <c r="A72" s="35" t="inlineStr">
        <is>
          <t>A</t>
        </is>
      </c>
      <c r="B72" s="32" t="inlineStr">
        <is>
          <t>方針</t>
        </is>
      </c>
      <c r="C72" s="33" t="inlineStr">
        <is>
          <t>目標Ⅳ（成果指標群）が令和8年度に25点低下した要因の心当たり</t>
        </is>
      </c>
      <c r="D72" s="33" t="inlineStr">
        <is>
          <t>★成果指標群は村の申告でなくKDB等の統計から自動算定。65→70→45点と低下し、両交付金で計50点の減。要介護度の維持・改善の実績悪化を示唆。</t>
        </is>
      </c>
      <c r="E72" s="34" t="inlineStr">
        <is>
          <t>Ⅱ-65</t>
        </is>
      </c>
      <c r="F72" s="34" t="inlineStr">
        <is>
          <t>doc20§6-2 K-66</t>
        </is>
      </c>
      <c r="G72" s="34" t="inlineStr">
        <is>
          <t>未依頼</t>
        </is>
      </c>
      <c r="H72" s="33" t="inlineStr"/>
    </row>
    <row r="73" ht="34" customHeight="1">
      <c r="A73" s="35" t="inlineStr">
        <is>
          <t>A</t>
        </is>
      </c>
      <c r="B73" s="32" t="inlineStr">
        <is>
          <t>方針</t>
        </is>
      </c>
      <c r="C73" s="33" t="inlineStr">
        <is>
          <t>★令和9年度介護報酬改定への対応（現行単価で試算し単価確定後に補正する方針の、補正時期と成果品への反映方法）</t>
        </is>
      </c>
      <c r="D73" s="33" t="inlineStr">
        <is>
          <t>★議事録で方針は決着。単価確定が履行期限（3/31）に近い場合の成果品の扱いを詰める必要がある。</t>
        </is>
      </c>
      <c r="E73" s="34" t="inlineStr">
        <is>
          <t>Ⅱ-62</t>
        </is>
      </c>
      <c r="F73" s="34" t="inlineStr">
        <is>
          <t>doc22 K-81</t>
        </is>
      </c>
      <c r="G73" s="34" t="inlineStr">
        <is>
          <t>未依頼</t>
        </is>
      </c>
      <c r="H73" s="33" t="inlineStr"/>
    </row>
    <row r="74" ht="34" customHeight="1">
      <c r="A74" s="35" t="inlineStr">
        <is>
          <t>A</t>
        </is>
      </c>
      <c r="B74" s="32" t="inlineStr">
        <is>
          <t>方針</t>
        </is>
      </c>
      <c r="C74" s="33" t="inlineStr">
        <is>
          <t>★基本理念を第9期から変更するかどうかの村の意向</t>
        </is>
      </c>
      <c r="D74" s="33" t="inlineStr">
        <is>
          <t>★議事録の「公助から共助・互助へ」を基本理念に書き込むかは委員の合意事項。「公的サービスは維持したうえで足りない部分を地域で支え合う」という書き方の2案併記を提案。資料4の作成方針が変わる。</t>
        </is>
      </c>
      <c r="E74" s="34" t="inlineStr">
        <is>
          <t>Ⅱ-70</t>
        </is>
      </c>
      <c r="F74" s="34" t="inlineStr">
        <is>
          <t>doc26§10 K-98</t>
        </is>
      </c>
      <c r="G74" s="34" t="inlineStr">
        <is>
          <t>未依頼</t>
        </is>
      </c>
      <c r="H74" s="33" t="inlineStr"/>
    </row>
    <row r="75" ht="34" customHeight="1">
      <c r="A75" s="35" t="inlineStr">
        <is>
          <t>A</t>
        </is>
      </c>
      <c r="B75" s="32" t="inlineStr">
        <is>
          <t>方針</t>
        </is>
      </c>
      <c r="C75" s="33" t="inlineStr">
        <is>
          <t>保険料シミュレーションの提示案数と基金残高の見通しの示し方</t>
        </is>
      </c>
      <c r="D75" s="33" t="inlineStr">
        <is>
          <t>3案（取崩なし／第9期同程度／据置優先）を提案。各案に第10期末の基金残高を併記し、取り崩しが第11期の保険料に跳ね返ることを示す方針でよいか。</t>
        </is>
      </c>
      <c r="E75" s="34" t="inlineStr">
        <is>
          <t>Ⅱ-64</t>
        </is>
      </c>
      <c r="F75" s="34" t="inlineStr">
        <is>
          <t>doc26§10 K-99</t>
        </is>
      </c>
      <c r="G75" s="34" t="inlineStr">
        <is>
          <t>未依頼</t>
        </is>
      </c>
      <c r="H75" s="33" t="inlineStr"/>
    </row>
    <row r="76" ht="34" customHeight="1">
      <c r="A76" s="35" t="inlineStr">
        <is>
          <t>A</t>
        </is>
      </c>
      <c r="B76" s="32" t="inlineStr">
        <is>
          <t>方針</t>
        </is>
      </c>
      <c r="C76" s="33" t="inlineStr">
        <is>
          <t>補正係数を①3区分と②前期・後期高齢者別のどちらで用いるか</t>
        </is>
      </c>
      <c r="D76" s="33" t="inlineStr">
        <is>
          <t>国は小規模保険者では①の係数が不安定になるため②の選択を勧めている。本村の85歳以上は200人で係数0.03（差6人）と1人の増減の影響が大きい。当方は②を提案。</t>
        </is>
      </c>
      <c r="E76" s="34" t="inlineStr">
        <is>
          <t>Ⅱ-59</t>
        </is>
      </c>
      <c r="F76" s="34" t="inlineStr">
        <is>
          <t>doc28§1-2 K-107</t>
        </is>
      </c>
      <c r="G76" s="34" t="inlineStr">
        <is>
          <t>未依頼</t>
        </is>
      </c>
      <c r="H76" s="33" t="inlineStr"/>
    </row>
    <row r="77" ht="34" customHeight="1">
      <c r="A77" s="35" t="inlineStr">
        <is>
          <t>A</t>
        </is>
      </c>
      <c r="B77" s="32" t="inlineStr">
        <is>
          <t>方針</t>
        </is>
      </c>
      <c r="C77" s="33" t="inlineStr">
        <is>
          <t>認知症施策の実施状況の評価と公表の運用</t>
        </is>
      </c>
      <c r="D77" s="33" t="inlineStr">
        <is>
          <t>★認知症基本法第13条第3項が準用する第12条第5項は、適時に施策の実施状況の評価を行い結果を公表すること、第7項は評価結果の取りまとめにあたって認知症の人および家族等の意見を聴くことを求める（いずれも努力義務）。第9期では行われていない。交付金の評価指標「進捗状況の評価にあたり認知症当事者の意見を聞いている」（本村0点）と同内容であり、法の求めに応えることが得点にもつながる。評価の時期・公表の方法・意見聴取の相手方を村と定める。</t>
        </is>
      </c>
      <c r="E77" s="34" t="inlineStr">
        <is>
          <t>Ⅱ-68,Ⅱ-71</t>
        </is>
      </c>
      <c r="F77" s="34" t="inlineStr">
        <is>
          <t>doc36§10-1,doc18 4-7(6)</t>
        </is>
      </c>
      <c r="G77" s="34" t="inlineStr">
        <is>
          <t>未依頼</t>
        </is>
      </c>
      <c r="H77" s="33" t="inlineStr"/>
    </row>
    <row r="78" ht="34" customHeight="1">
      <c r="A78" s="35" t="inlineStr">
        <is>
          <t>A</t>
        </is>
      </c>
      <c r="B78" s="32" t="inlineStr">
        <is>
          <t>方針</t>
        </is>
      </c>
      <c r="C78" s="33" t="inlineStr">
        <is>
          <t>認知症の人およびご家族から意見を聴く方法</t>
        </is>
      </c>
      <c r="D78" s="33" t="inlineStr">
        <is>
          <t>★認知症基本法第13条第3項は、市町村計画の策定にあたり認知症の人および家族等の意見を聴くよう努めることを求める。第9期では行われていない。策定委員会への参画、家族介護者の会での聴取、個別の聞き取りなどが考えられる。国の評価指標にも「進捗状況の評価にあたり認知症当事者の意見を聞いている」項目があり本村は0点。</t>
        </is>
      </c>
      <c r="E78" s="34" t="inlineStr">
        <is>
          <t>Ⅱ-68,Ⅱ-71</t>
        </is>
      </c>
      <c r="F78" s="34" t="inlineStr">
        <is>
          <t>doc36§5,doc18 4-7(4)</t>
        </is>
      </c>
      <c r="G78" s="34" t="inlineStr">
        <is>
          <t>未依頼</t>
        </is>
      </c>
      <c r="H78" s="33" t="inlineStr"/>
    </row>
    <row r="79" ht="34" customHeight="1">
      <c r="A79" s="35" t="inlineStr">
        <is>
          <t>A</t>
        </is>
      </c>
      <c r="B79" s="32" t="inlineStr">
        <is>
          <t>方針</t>
        </is>
      </c>
      <c r="C79" s="33" t="inlineStr">
        <is>
          <t>居宅療養管理指導・短期入所生活介護を3か年平均と令和7年度水準のどちらで置くか</t>
        </is>
      </c>
      <c r="D79" s="33" t="inlineStr">
        <is>
          <t>★令和7年度実績から令和9年度見込への変化率が▲25.3%・▲20.8%。いずれも急伸中のサービスで、3か年平均が令和7年度を大きく下回るため。居宅療養管理指導は令和2→7年度で年率+54.9%、短期入所生活介護は1人あたり利用日数が4.2日→7.3日／月に伸びている。3か年平均のままでは見込量が過小になる。国のツールのワーニング判定でも指摘される可能性が高い。</t>
        </is>
      </c>
      <c r="E79" s="34" t="inlineStr">
        <is>
          <t>Ⅱ-56</t>
        </is>
      </c>
      <c r="F79" s="34" t="inlineStr">
        <is>
          <t>doc35§7-3(3),doc18 5-4(5)</t>
        </is>
      </c>
      <c r="G79" s="34" t="inlineStr">
        <is>
          <t>未依頼</t>
        </is>
      </c>
      <c r="H79" s="33" t="inlineStr"/>
    </row>
    <row r="80" ht="34" customHeight="1">
      <c r="A80" s="35" t="inlineStr">
        <is>
          <t>A</t>
        </is>
      </c>
      <c r="B80" s="32" t="inlineStr">
        <is>
          <t>計画構成</t>
        </is>
      </c>
      <c r="C80" s="33" t="inlineStr">
        <is>
          <t>第五次生涯学習推進計画（2028年度〜）の策定予定時期</t>
        </is>
      </c>
      <c r="D80" s="33" t="inlineStr">
        <is>
          <t>★第四次は令和9年度で満了。第10期計画期間（令和9〜11年度）の途中で関連計画が切り替わるため記述の書き分けが必要。</t>
        </is>
      </c>
      <c r="E80" s="34" t="inlineStr">
        <is>
          <t>Ⅱ-72</t>
        </is>
      </c>
      <c r="F80" s="34" t="inlineStr">
        <is>
          <t>doc21§5 K-69</t>
        </is>
      </c>
      <c r="G80" s="34" t="inlineStr">
        <is>
          <t>未依頼</t>
        </is>
      </c>
      <c r="H80" s="33" t="inlineStr"/>
    </row>
    <row r="81" ht="34" customHeight="1">
      <c r="A81" s="35" t="inlineStr">
        <is>
          <t>A</t>
        </is>
      </c>
      <c r="B81" s="32" t="inlineStr">
        <is>
          <t>計画構成</t>
        </is>
      </c>
      <c r="C81" s="33" t="inlineStr">
        <is>
          <t>第六次総合振興計画（2027年度〜）の策定状況</t>
        </is>
      </c>
      <c r="D81" s="33" t="inlineStr">
        <is>
          <t>★第五次は令和8年度で満了。第10期計画の上位計画の記述に必要（doc08§8-4と共通）。</t>
        </is>
      </c>
      <c r="E81" s="34" t="inlineStr">
        <is>
          <t>Ⅱ-72</t>
        </is>
      </c>
      <c r="F81" s="34" t="inlineStr">
        <is>
          <t>doc21§5 K-70</t>
        </is>
      </c>
      <c r="G81" s="34" t="inlineStr">
        <is>
          <t>未依頼</t>
        </is>
      </c>
      <c r="H81" s="33" t="inlineStr"/>
    </row>
    <row r="82" ht="34" customHeight="1">
      <c r="A82" s="35" t="inlineStr">
        <is>
          <t>A</t>
        </is>
      </c>
      <c r="B82" s="32" t="inlineStr">
        <is>
          <t>計画構成</t>
        </is>
      </c>
      <c r="C82" s="33" t="inlineStr">
        <is>
          <t>成年後見制度の市町村計画を第10期でも一体で策定するか</t>
        </is>
      </c>
      <c r="D82" s="33" t="inlineStr">
        <is>
          <t>調査票で「策定済み・高齢者保健福祉計画・介護保険事業計画と一体的に策定・見直し予定なし」と回答。第10期の計画期間との整合が必要。</t>
        </is>
      </c>
      <c r="E82" s="34" t="inlineStr">
        <is>
          <t>Ⅱ-72</t>
        </is>
      </c>
      <c r="F82" s="34" t="inlineStr">
        <is>
          <t>doc28§3-4 K-111</t>
        </is>
      </c>
      <c r="G82" s="34" t="inlineStr">
        <is>
          <t>未依頼</t>
        </is>
      </c>
      <c r="H82" s="33" t="inlineStr"/>
    </row>
    <row r="83" ht="34" customHeight="1">
      <c r="A83" s="35" t="inlineStr">
        <is>
          <t>A</t>
        </is>
      </c>
      <c r="B83" s="32" t="inlineStr">
        <is>
          <t>調査設計</t>
        </is>
      </c>
      <c r="C83" s="33" t="inlineStr">
        <is>
          <t>被保険者番号と照合可能な管理番号の形式（村のラベル作成仕様と一体）</t>
        </is>
      </c>
      <c r="D83" s="33" t="inlineStr">
        <is>
          <t>★議事録で方針決着：氏名は記載せず管理番号を付与し被保険者番号と紐付ける。具体的な番号形式は村のラベル作成仕様と一体で要調整。</t>
        </is>
      </c>
      <c r="E83" s="34" t="inlineStr">
        <is>
          <t>Ⅰ-19,Ⅰ-25</t>
        </is>
      </c>
      <c r="F83" s="34" t="inlineStr">
        <is>
          <t>doc22 §1</t>
        </is>
      </c>
      <c r="G83" s="34" t="inlineStr">
        <is>
          <t>一部回答</t>
        </is>
      </c>
      <c r="H83" s="33" t="inlineStr"/>
    </row>
    <row r="84" ht="34" customHeight="1">
      <c r="A84" s="35" t="inlineStr">
        <is>
          <t>A</t>
        </is>
      </c>
      <c r="B84" s="32" t="inlineStr">
        <is>
          <t>調査設計</t>
        </is>
      </c>
      <c r="C84" s="33" t="inlineStr">
        <is>
          <t>★保険外サービスの選択肢の順序を4設問で統一（11．その他／12．該当なし）</t>
        </is>
      </c>
      <c r="D84" s="33" t="inlineStr">
        <is>
          <t>★ニーズ問7(9)のみ「11．利用していない／12．その他」で逆。他3設問（ニーズ問7(11)、在宅問11・問12）は「11．その他／12．該当なし」。2調査の結果を並べて比較する対の設問であり、番号がずれると集計時に手作業のマッピングが必要になる。</t>
        </is>
      </c>
      <c r="E84" s="34" t="inlineStr">
        <is>
          <t>Ⅰ-09,Ⅰ-10</t>
        </is>
      </c>
      <c r="F84" s="34" t="inlineStr">
        <is>
          <t>doc27§3-3</t>
        </is>
      </c>
      <c r="G84" s="34" t="inlineStr">
        <is>
          <t>未依頼</t>
        </is>
      </c>
      <c r="H84" s="33" t="inlineStr"/>
    </row>
    <row r="85" ht="34" customHeight="1">
      <c r="A85" s="35" t="inlineStr">
        <is>
          <t>A</t>
        </is>
      </c>
      <c r="B85" s="32" t="inlineStr">
        <is>
          <t>調査設計</t>
        </is>
      </c>
      <c r="C85" s="33" t="inlineStr">
        <is>
          <t>★個人情報の取扱い欄から削除された「市町村外の」を標準様式どおりに戻す</t>
        </is>
      </c>
      <c r="D85" s="33" t="inlineStr">
        <is>
          <t>★第2稿で「厚生労働省の管理する市町村外のデータベース」から「市町村外の」が削除され、データが村の外に出ることが読み取れなくなった。手引きが図表10として文例を示している箇所。</t>
        </is>
      </c>
      <c r="E85" s="34" t="inlineStr">
        <is>
          <t>Ⅰ-09,Ⅰ-10</t>
        </is>
      </c>
      <c r="F85" s="34" t="inlineStr">
        <is>
          <t>doc27§5-2</t>
        </is>
      </c>
      <c r="G85" s="34" t="inlineStr">
        <is>
          <t>未依頼</t>
        </is>
      </c>
      <c r="H85" s="33" t="inlineStr"/>
    </row>
    <row r="86" ht="34" customHeight="1">
      <c r="A86" s="35" t="inlineStr">
        <is>
          <t>A</t>
        </is>
      </c>
      <c r="B86" s="32" t="inlineStr">
        <is>
          <t>調査設計</t>
        </is>
      </c>
      <c r="C86" s="33" t="inlineStr">
        <is>
          <t>★在宅B票の案内文（主な介護者が記入できない場合の取扱い）の復活</t>
        </is>
      </c>
      <c r="D86" s="33" t="inlineStr">
        <is>
          <t>★第2稿で1文が削除された。介護者が書けないときの取扱いが示されず、B票が丸ごと無回答になる可能性がある。B票は仕事と介護の両立の分析（X-16・X-17）の全データ源。</t>
        </is>
      </c>
      <c r="E86" s="34" t="inlineStr">
        <is>
          <t>Ⅰ-10</t>
        </is>
      </c>
      <c r="F86" s="34" t="inlineStr">
        <is>
          <t>doc27§5-3</t>
        </is>
      </c>
      <c r="G86" s="34" t="inlineStr">
        <is>
          <t>未依頼</t>
        </is>
      </c>
      <c r="H86" s="33" t="inlineStr"/>
    </row>
    <row r="87" ht="34" customHeight="1">
      <c r="A87" s="35" t="inlineStr">
        <is>
          <t>A</t>
        </is>
      </c>
      <c r="B87" s="32" t="inlineStr">
        <is>
          <t>調査設計</t>
        </is>
      </c>
      <c r="C87" s="33" t="inlineStr">
        <is>
          <t>調査票のレイアウトの目視確認3点（幸福度の記入欄／宛名ラベル枠／頁数）</t>
        </is>
      </c>
      <c r="D87" s="33" t="inlineStr">
        <is>
          <t>★当方の環境ではdocxからPDFへの変換ができずレイアウトを確認できない。ニーズ問8(2)の記入枠、表紙から削除された宛名ラベル枠と「第10期」表記、ルビ追加による頁数の増加を村側でご確認いただきたい。</t>
        </is>
      </c>
      <c r="E87" s="34" t="inlineStr">
        <is>
          <t>Ⅰ-20</t>
        </is>
      </c>
      <c r="F87" s="34" t="inlineStr">
        <is>
          <t>doc27§6</t>
        </is>
      </c>
      <c r="G87" s="34" t="inlineStr">
        <is>
          <t>未依頼</t>
        </is>
      </c>
      <c r="H87" s="33" t="inlineStr"/>
    </row>
    <row r="88" ht="34" customHeight="1">
      <c r="A88" s="36" t="inlineStr">
        <is>
          <t>B</t>
        </is>
      </c>
      <c r="B88" s="24" t="inlineStr">
        <is>
          <t>データ</t>
        </is>
      </c>
      <c r="C88" s="25" t="inlineStr">
        <is>
          <t>介護給付費準備基金の現在高（令和6年度末実績・令和7年度末見込）</t>
        </is>
      </c>
      <c r="D88" s="25" t="inlineStr">
        <is>
          <t>保険料算定の前提。決算でR4年度1,700万円・R5年度810万円の積立を確認済。</t>
        </is>
      </c>
      <c r="E88" s="23" t="inlineStr">
        <is>
          <t>Ⅱ-63,Ⅱ-64</t>
        </is>
      </c>
      <c r="F88" s="23" t="inlineStr">
        <is>
          <t>doc02§22,doc08§8</t>
        </is>
      </c>
      <c r="G88" s="23" t="inlineStr">
        <is>
          <t>未依頼</t>
        </is>
      </c>
      <c r="H88" s="25" t="inlineStr"/>
    </row>
    <row r="89" ht="34" customHeight="1">
      <c r="A89" s="36" t="inlineStr">
        <is>
          <t>B</t>
        </is>
      </c>
      <c r="B89" s="24" t="inlineStr">
        <is>
          <t>データ</t>
        </is>
      </c>
      <c r="C89" s="25" t="inlineStr">
        <is>
          <t>令和6年度決算および令和7年度の給付費見込</t>
        </is>
      </c>
      <c r="D89" s="25" t="inlineStr">
        <is>
          <t>第9期の計画値と実績の乖離を確定させるために必要。★9/8：見える化D48系に令和5年度までの決算（保険給付費の款項内訳・地域支援事業費）が収録されていることが判明したため、必要なのは令和6・7年度の2か年に縮小した。</t>
        </is>
      </c>
      <c r="E89" s="23" t="inlineStr">
        <is>
          <t>Ⅱ-55,Ⅱ-56</t>
        </is>
      </c>
      <c r="F89" s="23" t="inlineStr">
        <is>
          <t>doc08§8-1,doc30§2-4</t>
        </is>
      </c>
      <c r="G89" s="23" t="inlineStr">
        <is>
          <t>未依頼</t>
        </is>
      </c>
      <c r="H89" s="25" t="inlineStr"/>
    </row>
    <row r="90" ht="34" customHeight="1">
      <c r="A90" s="36" t="inlineStr">
        <is>
          <t>B</t>
        </is>
      </c>
      <c r="B90" s="24" t="inlineStr">
        <is>
          <t>データ</t>
        </is>
      </c>
      <c r="C90" s="25" t="inlineStr">
        <is>
          <t>通いの場の実数（令和3〜7年度）</t>
        </is>
      </c>
      <c r="D90" s="25" t="inlineStr">
        <is>
          <t>見える化は令和2年度で更新停止。かつH25・H29・R2は未報告とみられる。活動指標の基準値に必須。★9/3：令和6年度分（23か所281人／週1回以上8か所123人）を受領。令和3〜5年度・令和7年度は未受領。</t>
        </is>
      </c>
      <c r="E90" s="23" t="inlineStr">
        <is>
          <t>Ⅱ-65</t>
        </is>
      </c>
      <c r="F90" s="23" t="inlineStr">
        <is>
          <t>doc02§16,§22</t>
        </is>
      </c>
      <c r="G90" s="23" t="inlineStr">
        <is>
          <t>一部回答</t>
        </is>
      </c>
      <c r="H90" s="25" t="inlineStr"/>
    </row>
    <row r="91" ht="34" customHeight="1">
      <c r="A91" s="36" t="inlineStr">
        <is>
          <t>B</t>
        </is>
      </c>
      <c r="B91" s="24" t="inlineStr">
        <is>
          <t>データ</t>
        </is>
      </c>
      <c r="C91" s="25" t="inlineStr">
        <is>
          <t>高齢者福祉事業（村単独事業）の実績資料</t>
        </is>
      </c>
      <c r="D91" s="25" t="inlineStr">
        <is>
          <t>現行計画の評価に必要。</t>
        </is>
      </c>
      <c r="E91" s="23" t="inlineStr">
        <is>
          <t>Ⅱ-53,Ⅱ-54</t>
        </is>
      </c>
      <c r="F91" s="23" t="inlineStr">
        <is>
          <t>doc01-11</t>
        </is>
      </c>
      <c r="G91" s="23" t="inlineStr">
        <is>
          <t>未依頼</t>
        </is>
      </c>
      <c r="H91" s="25" t="inlineStr"/>
    </row>
    <row r="92" ht="34" customHeight="1">
      <c r="A92" s="36" t="inlineStr">
        <is>
          <t>B</t>
        </is>
      </c>
      <c r="B92" s="24" t="inlineStr">
        <is>
          <t>データ</t>
        </is>
      </c>
      <c r="C92" s="25" t="inlineStr">
        <is>
          <t>訪問診療・訪問看護の提供実績（村内外の事業所別・令和6〜7年度）</t>
        </is>
      </c>
      <c r="D92" s="25" t="inlineStr">
        <is>
          <t>★素案の施策4-3に在宅医療・介護連携の4場面ごとの目指すべき姿を新設し、①日常の療養支援の現状を【要確認】としている。村内は南東北裏磐梯診療所・桧原診療所の2か所で訪問看護事業所は村内にない。訪問診療の実施状況と村外からの訪問看護の提供量が分からないと、日常の療養支援の余力を示せない。県への提供依頼で把握できる範囲もあわせてご相談したい。</t>
        </is>
      </c>
      <c r="E92" s="23" t="inlineStr">
        <is>
          <t>Ⅱ-67,Ⅱ-61</t>
        </is>
      </c>
      <c r="F92" s="23" t="inlineStr">
        <is>
          <t>doc42§4,doc18 施策4-3</t>
        </is>
      </c>
      <c r="G92" s="23" t="inlineStr">
        <is>
          <t>未依頼</t>
        </is>
      </c>
      <c r="H92" s="25" t="inlineStr"/>
    </row>
    <row r="93" ht="34" customHeight="1">
      <c r="A93" s="36" t="inlineStr">
        <is>
          <t>B</t>
        </is>
      </c>
      <c r="B93" s="24" t="inlineStr">
        <is>
          <t>データ</t>
        </is>
      </c>
      <c r="C93" s="25" t="inlineStr">
        <is>
          <t>急変時に本人の意思と医療情報を関係者間で共有する仕組みの有無（救急医療情報キット等）</t>
        </is>
      </c>
      <c r="D93" s="25" t="inlineStr">
        <is>
          <t>★素案の施策4-3の4場面のうち③急変時の対応の現状を【要確認】としている。救急搬送先は村外の病院であり、本人の意思・服薬・既往の情報が救急隊と搬送先へ伝わる仕組みがあるかで、第10期の対応策（仕組みの導入を検討するか運用の改善にとどめるか）が変わる。</t>
        </is>
      </c>
      <c r="E93" s="23" t="inlineStr">
        <is>
          <t>Ⅱ-67</t>
        </is>
      </c>
      <c r="F93" s="23" t="inlineStr">
        <is>
          <t>doc42§4,doc18 施策4-3</t>
        </is>
      </c>
      <c r="G93" s="23" t="inlineStr">
        <is>
          <t>未依頼</t>
        </is>
      </c>
      <c r="H93" s="25" t="inlineStr"/>
    </row>
    <row r="94" ht="34" customHeight="1">
      <c r="A94" s="36" t="inlineStr">
        <is>
          <t>B</t>
        </is>
      </c>
      <c r="B94" s="24" t="inlineStr">
        <is>
          <t>データ</t>
        </is>
      </c>
      <c r="C94" s="25" t="inlineStr">
        <is>
          <t>介護人材の確保に関する福島県の事業（介護人材確保対策・修学資金貸付）の内容と本村からの利用実績</t>
        </is>
      </c>
      <c r="D94" s="25" t="inlineStr">
        <is>
          <t>★令和8年度の交付金（都道府県分）により、介護人材の確保・サービス提供基盤の整備は福島県が全国平均を13.1点下回る県全体の課題であることが判明した（本村は▲4.8点）。本村単独では動かしにくいため、施策4-6は県の事業と定住自立圏（喜多方市・西会津町）の研修費用助成を活用する形に組み立てたい。県の事業の内容と本村からの利用実績をご教示いただきたい。</t>
        </is>
      </c>
      <c r="E94" s="23" t="inlineStr">
        <is>
          <t>Ⅱ-67,Ⅱ-54</t>
        </is>
      </c>
      <c r="F94" s="23" t="inlineStr">
        <is>
          <t>doc41§3</t>
        </is>
      </c>
      <c r="G94" s="23" t="inlineStr">
        <is>
          <t>未依頼</t>
        </is>
      </c>
      <c r="H94" s="25" t="inlineStr"/>
    </row>
    <row r="95" ht="34" customHeight="1">
      <c r="A95" s="36" t="inlineStr">
        <is>
          <t>B</t>
        </is>
      </c>
      <c r="B95" s="24" t="inlineStr">
        <is>
          <t>データ</t>
        </is>
      </c>
      <c r="C95" s="25" t="inlineStr">
        <is>
          <t>人口データの出所の統一（住基／国勢調査／福島県現住人口調査）</t>
        </is>
      </c>
      <c r="D95" s="25" t="inlineStr">
        <is>
          <t>計画書内で人口の数字が複数出ることを避ける。doc13は社人研＋住基の補正手法を採用。</t>
        </is>
      </c>
      <c r="E95" s="23" t="inlineStr">
        <is>
          <t>Ⅱ-58,Ⅱ-59</t>
        </is>
      </c>
      <c r="F95" s="23" t="inlineStr">
        <is>
          <t>doc19 追-9</t>
        </is>
      </c>
      <c r="G95" s="23" t="inlineStr">
        <is>
          <t>未依頼</t>
        </is>
      </c>
      <c r="H95" s="25" t="inlineStr"/>
    </row>
    <row r="96" ht="34" customHeight="1">
      <c r="A96" s="36" t="inlineStr">
        <is>
          <t>B</t>
        </is>
      </c>
      <c r="B96" s="24" t="inlineStr">
        <is>
          <t>データ</t>
        </is>
      </c>
      <c r="C96" s="25" t="inlineStr">
        <is>
          <t>介護保険事業状況報告 月報 第2表・第3表（サービス種類別の受給者数）</t>
        </is>
      </c>
      <c r="D96" s="25" t="inlineStr">
        <is>
          <t>★見込量推計の停止要因。施設サービス（特養・老健・介護医療院）と居住系サービス（GH・特定施設）は、見える化にサービス種類別の受給者数の系列がない。現在は給付費の構成比で按分した参考値を置いているが、種類ごとに単価が違うため実態とずれる。計画に載せる確定値にするには月報の実数が要る。</t>
        </is>
      </c>
      <c r="E96" s="23" t="inlineStr">
        <is>
          <t>Ⅱ-55,Ⅱ-56</t>
        </is>
      </c>
      <c r="F96" s="23" t="inlineStr">
        <is>
          <t>doc30§5-3</t>
        </is>
      </c>
      <c r="G96" s="23" t="inlineStr">
        <is>
          <t>未依頼</t>
        </is>
      </c>
      <c r="H96" s="25" t="inlineStr"/>
    </row>
    <row r="97" ht="34" customHeight="1">
      <c r="A97" s="36" t="inlineStr">
        <is>
          <t>B</t>
        </is>
      </c>
      <c r="B97" s="24" t="inlineStr">
        <is>
          <t>データ</t>
        </is>
      </c>
      <c r="C97" s="25" t="inlineStr">
        <is>
          <t>介護給付と予防給付を分けたサービス種類別の受給者数・給付費</t>
        </is>
      </c>
      <c r="D97" s="25" t="inlineStr">
        <is>
          <t>★計画の様式は介護給付と予防給付を分けて記載する。見える化は両者を合算した値のみ。要支援1・2の在宅受給者は48.3人／月で在宅全体の43%を占めるため、分離しないと予防給付の見込量が立てられない。</t>
        </is>
      </c>
      <c r="E97" s="23" t="inlineStr">
        <is>
          <t>Ⅱ-55,Ⅱ-56</t>
        </is>
      </c>
      <c r="F97" s="23" t="inlineStr">
        <is>
          <t>doc30§5-1</t>
        </is>
      </c>
      <c r="G97" s="23" t="inlineStr">
        <is>
          <t>未依頼</t>
        </is>
      </c>
      <c r="H97" s="25" t="inlineStr"/>
    </row>
    <row r="98" ht="34" customHeight="1">
      <c r="A98" s="36" t="inlineStr">
        <is>
          <t>B</t>
        </is>
      </c>
      <c r="B98" s="24" t="inlineStr">
        <is>
          <t>データ</t>
        </is>
      </c>
      <c r="C98" s="25" t="inlineStr">
        <is>
          <t>特定福祉用具販売・住宅改修の件数（令和5〜7年度）</t>
        </is>
      </c>
      <c r="D98" s="25" t="inlineStr">
        <is>
          <t>計画の様式は「件／年」で記載する。見える化は給付費のみで件数の系列がない。</t>
        </is>
      </c>
      <c r="E98" s="23" t="inlineStr">
        <is>
          <t>Ⅱ-55</t>
        </is>
      </c>
      <c r="F98" s="23" t="inlineStr">
        <is>
          <t>doc30§5-1</t>
        </is>
      </c>
      <c r="G98" s="23" t="inlineStr">
        <is>
          <t>未依頼</t>
        </is>
      </c>
      <c r="H98" s="25" t="inlineStr"/>
    </row>
    <row r="99" ht="34" customHeight="1">
      <c r="A99" s="36" t="inlineStr">
        <is>
          <t>B</t>
        </is>
      </c>
      <c r="B99" s="24" t="inlineStr">
        <is>
          <t>データ</t>
        </is>
      </c>
      <c r="C99" s="25" t="inlineStr">
        <is>
          <t>居宅介護支援・介護予防支援の受給者数（居宅と予防の内訳）</t>
        </is>
      </c>
      <c r="D99" s="25" t="inlineStr">
        <is>
          <t>★9/24：合計人数は見える化の2系列から逆算して解決した（D13-r×B1÷D17-l）。令和3〜7年度の逆算値86.7／91.3／98.0／112.0／111.1人は在宅サービス受給者数と0.1人以内で一致する。残るのは居宅介護支援と介護予防支援の内訳のみ。見える化では分けられない。</t>
        </is>
      </c>
      <c r="E99" s="23" t="inlineStr">
        <is>
          <t>Ⅱ-55</t>
        </is>
      </c>
      <c r="F99" s="23" t="inlineStr">
        <is>
          <t>doc38§A-2,doc18 5-4(9)</t>
        </is>
      </c>
      <c r="G99" s="23" t="inlineStr">
        <is>
          <t>一部回答</t>
        </is>
      </c>
      <c r="H99" s="25" t="inlineStr"/>
    </row>
    <row r="100" ht="34" customHeight="1">
      <c r="A100" s="36" t="inlineStr">
        <is>
          <t>B</t>
        </is>
      </c>
      <c r="B100" s="24" t="inlineStr">
        <is>
          <t>データ</t>
        </is>
      </c>
      <c r="C100" s="25" t="inlineStr">
        <is>
          <t>ニーズ調査 問1(4)（住まいの種類）を削除したままとする場合の代替資料</t>
        </is>
      </c>
      <c r="D100" s="25" t="inlineStr">
        <is>
          <t>基本指針が求める「高齢者の居住安定に係る施策との連携」と施策2-3の根拠になる唯一の設問だった。公営住宅・借家の高齢者を把握する手段がなくなるため、村の住宅施策の資料で補う。</t>
        </is>
      </c>
      <c r="E100" s="23" t="inlineStr">
        <is>
          <t>Ⅱ-53</t>
        </is>
      </c>
      <c r="F100" s="23" t="inlineStr">
        <is>
          <t>doc34§3-3</t>
        </is>
      </c>
      <c r="G100" s="23" t="inlineStr">
        <is>
          <t>未依頼</t>
        </is>
      </c>
      <c r="H100" s="25" t="inlineStr"/>
    </row>
    <row r="101" ht="34" customHeight="1">
      <c r="A101" s="36" t="inlineStr">
        <is>
          <t>B</t>
        </is>
      </c>
      <c r="B101" s="24" t="inlineStr">
        <is>
          <t>データ</t>
        </is>
      </c>
      <c r="C101" s="25" t="inlineStr">
        <is>
          <t>第10期（令和9〜11年度）の第1号被保険者負担割合を定める政令の公布状況</t>
        </is>
      </c>
      <c r="D101" s="25" t="inlineStr">
        <is>
          <t>★第9期は23％。3年ごとに政令で定められ第1期17％から1ポイントずつ上がってきた。本村では1ポイントで保険料月額約294円。期限付きの軽減措置ではない。</t>
        </is>
      </c>
      <c r="E101" s="23" t="inlineStr">
        <is>
          <t>Ⅱ-64</t>
        </is>
      </c>
      <c r="F101" s="23" t="inlineStr">
        <is>
          <t>doc33§2</t>
        </is>
      </c>
      <c r="G101" s="23" t="inlineStr">
        <is>
          <t>未依頼</t>
        </is>
      </c>
      <c r="H101" s="25" t="inlineStr"/>
    </row>
    <row r="102" ht="34" customHeight="1">
      <c r="A102" s="36" t="inlineStr">
        <is>
          <t>B</t>
        </is>
      </c>
      <c r="B102" s="24" t="inlineStr">
        <is>
          <t>データ</t>
        </is>
      </c>
      <c r="C102" s="25" t="inlineStr">
        <is>
          <t>高齢者虐待への対応実績（相談・通報件数、虐待と判断した件数、措置件数）</t>
        </is>
      </c>
      <c r="D102" s="25" t="inlineStr">
        <is>
          <t>★国の基本指針が権利擁護として記載を求める事項。素案には「虐待」の語が1度もなかった（doc32 §5-1）。地域包括支援センターの権利擁護業務の中核でもある。</t>
        </is>
      </c>
      <c r="E102" s="23" t="inlineStr">
        <is>
          <t>Ⅱ-53,Ⅱ-54</t>
        </is>
      </c>
      <c r="F102" s="23" t="inlineStr">
        <is>
          <t>doc32§5-1</t>
        </is>
      </c>
      <c r="G102" s="23" t="inlineStr">
        <is>
          <t>未依頼</t>
        </is>
      </c>
      <c r="H102" s="25" t="inlineStr"/>
    </row>
    <row r="103" ht="34" customHeight="1">
      <c r="A103" s="36" t="inlineStr">
        <is>
          <t>B</t>
        </is>
      </c>
      <c r="B103" s="24" t="inlineStr">
        <is>
          <t>データ</t>
        </is>
      </c>
      <c r="C103" s="25" t="inlineStr">
        <is>
          <t>老人福祉事業の量の実績（養護老人ホーム措置・軽費老人ホーム・老人クラブ）</t>
        </is>
      </c>
      <c r="D103" s="25" t="inlineStr">
        <is>
          <t>★老人福祉法第20条の8第2項が「定めるものとする」とする義務的記載事項。素案に量の目標の表がなかったため4-6を新設したが、実績値がないと目標が置けない。</t>
        </is>
      </c>
      <c r="E103" s="23" t="inlineStr">
        <is>
          <t>Ⅱ-53</t>
        </is>
      </c>
      <c r="F103" s="23" t="inlineStr">
        <is>
          <t>doc32§4-1</t>
        </is>
      </c>
      <c r="G103" s="23" t="inlineStr">
        <is>
          <t>未依頼</t>
        </is>
      </c>
      <c r="H103" s="25" t="inlineStr"/>
    </row>
    <row r="104" ht="34" customHeight="1">
      <c r="A104" s="36" t="inlineStr">
        <is>
          <t>B</t>
        </is>
      </c>
      <c r="B104" s="24" t="inlineStr">
        <is>
          <t>データ</t>
        </is>
      </c>
      <c r="C104" s="25" t="inlineStr">
        <is>
          <t>介護サービス事業所のBCP・要配慮者利用施設の避難確保計画の策定状況</t>
        </is>
      </c>
      <c r="D104" s="25" t="inlineStr">
        <is>
          <t>★基本指針が求める災害・感染症対策の体制整備。村内2事業所（GH・通所介護）が対象になり得る。</t>
        </is>
      </c>
      <c r="E104" s="23" t="inlineStr">
        <is>
          <t>Ⅱ-54</t>
        </is>
      </c>
      <c r="F104" s="23" t="inlineStr">
        <is>
          <t>doc32§5-2</t>
        </is>
      </c>
      <c r="G104" s="23" t="inlineStr">
        <is>
          <t>未依頼</t>
        </is>
      </c>
      <c r="H104" s="25" t="inlineStr"/>
    </row>
    <row r="105" ht="34" customHeight="1">
      <c r="A105" s="36" t="inlineStr">
        <is>
          <t>B</t>
        </is>
      </c>
      <c r="B105" s="24" t="inlineStr">
        <is>
          <t>データ</t>
        </is>
      </c>
      <c r="C105" s="25" t="inlineStr">
        <is>
          <t>第9期計画の本文（第5章81〜92ページ）</t>
        </is>
      </c>
      <c r="D105" s="25" t="inlineStr">
        <is>
          <t>★老人福祉事業の量の目標を第9期計画のどこに記載していたかを確認し、第10期の配置を揃えるために必要。現在は第4章末（4-6）に置いている。</t>
        </is>
      </c>
      <c r="E105" s="23" t="inlineStr">
        <is>
          <t>Ⅱ-53</t>
        </is>
      </c>
      <c r="F105" s="23" t="inlineStr">
        <is>
          <t>doc32§4-1</t>
        </is>
      </c>
      <c r="G105" s="23" t="inlineStr">
        <is>
          <t>未依頼</t>
        </is>
      </c>
      <c r="H105" s="25" t="inlineStr"/>
    </row>
    <row r="106" ht="34" customHeight="1">
      <c r="A106" s="36" t="inlineStr">
        <is>
          <t>B</t>
        </is>
      </c>
      <c r="B106" s="24" t="inlineStr">
        <is>
          <t>データ</t>
        </is>
      </c>
      <c r="C106" s="25" t="inlineStr">
        <is>
          <t>福島県保健医療計画（第八次）の会津・南会津区域に関する記載</t>
        </is>
      </c>
      <c r="D106" s="25" t="inlineStr">
        <is>
          <t>★介護保険法第117条第5項により本計画は医療計画と整合が図られたものでなければならない。素案1-4に整合の記述を追加したが内容が未確定。</t>
        </is>
      </c>
      <c r="E106" s="23" t="inlineStr">
        <is>
          <t>Ⅱ-53</t>
        </is>
      </c>
      <c r="F106" s="23" t="inlineStr">
        <is>
          <t>doc32§3-3</t>
        </is>
      </c>
      <c r="G106" s="23" t="inlineStr">
        <is>
          <t>未依頼</t>
        </is>
      </c>
      <c r="H106" s="25" t="inlineStr"/>
    </row>
    <row r="107" ht="34" customHeight="1">
      <c r="A107" s="36" t="inlineStr">
        <is>
          <t>B</t>
        </is>
      </c>
      <c r="B107" s="24" t="inlineStr">
        <is>
          <t>データ</t>
        </is>
      </c>
      <c r="C107" s="25" t="inlineStr">
        <is>
          <t>診療所（南東北裏磐梯・桧原）の診療日数および患者数</t>
        </is>
      </c>
      <c r="D107" s="25" t="inlineStr">
        <is>
          <t>★在宅医療・介護連携の分析に直結するがこれまで把握していなかった。</t>
        </is>
      </c>
      <c r="E107" s="23" t="inlineStr">
        <is>
          <t>Ⅱ-54</t>
        </is>
      </c>
      <c r="F107" s="23" t="inlineStr">
        <is>
          <t>doc19 追-11</t>
        </is>
      </c>
      <c r="G107" s="23" t="inlineStr">
        <is>
          <t>未依頼</t>
        </is>
      </c>
      <c r="H107" s="25" t="inlineStr"/>
    </row>
    <row r="108" ht="34" customHeight="1">
      <c r="A108" s="36" t="inlineStr">
        <is>
          <t>B</t>
        </is>
      </c>
      <c r="B108" s="24" t="inlineStr">
        <is>
          <t>データ</t>
        </is>
      </c>
      <c r="C108" s="25" t="inlineStr">
        <is>
          <t>家族介護者リフレッシュ事業・介護用品支給・サポーター養成講座・成年後見の各実績</t>
        </is>
      </c>
      <c r="D108" s="25" t="inlineStr">
        <is>
          <t>任意事業・認知症施策・成年後見の評価に必要。令和6年度実績、可能であれば令和7年度。</t>
        </is>
      </c>
      <c r="E108" s="23" t="inlineStr">
        <is>
          <t>Ⅱ-53,Ⅱ-54</t>
        </is>
      </c>
      <c r="F108" s="23" t="inlineStr">
        <is>
          <t>doc19 追-11</t>
        </is>
      </c>
      <c r="G108" s="23" t="inlineStr">
        <is>
          <t>未依頼</t>
        </is>
      </c>
      <c r="H108" s="25" t="inlineStr"/>
    </row>
    <row r="109" ht="34" customHeight="1">
      <c r="A109" s="36" t="inlineStr">
        <is>
          <t>B</t>
        </is>
      </c>
      <c r="B109" s="24" t="inlineStr">
        <is>
          <t>データ</t>
        </is>
      </c>
      <c r="C109" s="25" t="inlineStr">
        <is>
          <t>特定健診・後期高齢者健診の受診率、特定保健指導の実施率</t>
        </is>
      </c>
      <c r="D109" s="25" t="inlineStr">
        <is>
          <t>介護予防と保健事業の一体的実施（施策1-6）の評価に必要。</t>
        </is>
      </c>
      <c r="E109" s="23" t="inlineStr">
        <is>
          <t>Ⅱ-54</t>
        </is>
      </c>
      <c r="F109" s="23" t="inlineStr">
        <is>
          <t>doc19 追-11</t>
        </is>
      </c>
      <c r="G109" s="23" t="inlineStr">
        <is>
          <t>未依頼</t>
        </is>
      </c>
      <c r="H109" s="25" t="inlineStr"/>
    </row>
    <row r="110" ht="34" customHeight="1">
      <c r="A110" s="36" t="inlineStr">
        <is>
          <t>B</t>
        </is>
      </c>
      <c r="B110" s="24" t="inlineStr">
        <is>
          <t>データ</t>
        </is>
      </c>
      <c r="C110" s="25" t="inlineStr">
        <is>
          <t>ACP（人生会議）の普及啓発・看取りに関する住民向け取組の有無</t>
        </is>
      </c>
      <c r="D110" s="25" t="inlineStr">
        <is>
          <t>支援交付金目標Ⅲ「人生の最終段階における支援」4項目が0点（配点計8点）。</t>
        </is>
      </c>
      <c r="E110" s="23" t="inlineStr">
        <is>
          <t>Ⅱ-54</t>
        </is>
      </c>
      <c r="F110" s="23" t="inlineStr">
        <is>
          <t>doc20§6-2 K-65</t>
        </is>
      </c>
      <c r="G110" s="23" t="inlineStr">
        <is>
          <t>未依頼</t>
        </is>
      </c>
      <c r="H110" s="25" t="inlineStr"/>
    </row>
    <row r="111" ht="34" customHeight="1">
      <c r="A111" s="36" t="inlineStr">
        <is>
          <t>B</t>
        </is>
      </c>
      <c r="B111" s="24" t="inlineStr">
        <is>
          <t>データ</t>
        </is>
      </c>
      <c r="C111" s="25" t="inlineStr">
        <is>
          <t>第四次生涯学習推進計画の目標値の直近実績（中間評価の有無・結果）</t>
        </is>
      </c>
      <c r="D111" s="25" t="inlineStr">
        <is>
          <t>10年計画（2018〜2027年度）の中間年は2022年度。第10期計画に引用可能か。</t>
        </is>
      </c>
      <c r="E111" s="23" t="inlineStr">
        <is>
          <t>Ⅱ-72</t>
        </is>
      </c>
      <c r="F111" s="23" t="inlineStr">
        <is>
          <t>doc21§5 K-68</t>
        </is>
      </c>
      <c r="G111" s="23" t="inlineStr">
        <is>
          <t>未依頼</t>
        </is>
      </c>
      <c r="H111" s="25" t="inlineStr"/>
    </row>
    <row r="112" ht="34" customHeight="1">
      <c r="A112" s="36" t="inlineStr">
        <is>
          <t>B</t>
        </is>
      </c>
      <c r="B112" s="24" t="inlineStr">
        <is>
          <t>データ</t>
        </is>
      </c>
      <c r="C112" s="25" t="inlineStr">
        <is>
          <t>高齢者生きがい健康づくり事業・高齢者教室の実施状況（開催回数・参加人数）</t>
        </is>
      </c>
      <c r="D112" s="25" t="inlineStr">
        <is>
          <t>教育委員会所管。介護予防（通いの場）の実績にカウントできるものがあるかを確認。</t>
        </is>
      </c>
      <c r="E112" s="23" t="inlineStr">
        <is>
          <t>Ⅱ-53</t>
        </is>
      </c>
      <c r="F112" s="23" t="inlineStr">
        <is>
          <t>doc21§5 K-71</t>
        </is>
      </c>
      <c r="G112" s="23" t="inlineStr">
        <is>
          <t>未依頼</t>
        </is>
      </c>
      <c r="H112" s="25" t="inlineStr"/>
    </row>
    <row r="113" ht="34" customHeight="1">
      <c r="A113" s="36" t="inlineStr">
        <is>
          <t>B</t>
        </is>
      </c>
      <c r="B113" s="24" t="inlineStr">
        <is>
          <t>データ</t>
        </is>
      </c>
      <c r="C113" s="25" t="inlineStr">
        <is>
          <t>シルバー人材センターの会員数・受注実績</t>
        </is>
      </c>
      <c r="D113" s="25" t="inlineStr">
        <is>
          <t>高齢者の就労的活動の実績として記載可能か。生涯学習推進計画にも施策として位置づけあり。</t>
        </is>
      </c>
      <c r="E113" s="23" t="inlineStr">
        <is>
          <t>Ⅱ-53</t>
        </is>
      </c>
      <c r="F113" s="23" t="inlineStr">
        <is>
          <t>doc21§5 K-72</t>
        </is>
      </c>
      <c r="G113" s="23" t="inlineStr">
        <is>
          <t>未依頼</t>
        </is>
      </c>
      <c r="H113" s="25" t="inlineStr"/>
    </row>
    <row r="114" ht="34" customHeight="1">
      <c r="A114" s="36" t="inlineStr">
        <is>
          <t>B</t>
        </is>
      </c>
      <c r="B114" s="24" t="inlineStr">
        <is>
          <t>データ</t>
        </is>
      </c>
      <c r="C114" s="25" t="inlineStr">
        <is>
          <t>第9期調査の集計基準・集計表の提供</t>
        </is>
      </c>
      <c r="D114" s="25" t="inlineStr">
        <is>
          <t>前回比較（集計軸G）に必要。無回答の扱い・端数処理を揃えないと比較にならない。</t>
        </is>
      </c>
      <c r="E114" s="23" t="inlineStr">
        <is>
          <t>Ⅰ-42</t>
        </is>
      </c>
      <c r="F114" s="23" t="inlineStr">
        <is>
          <t>doc25§8 K-92</t>
        </is>
      </c>
      <c r="G114" s="23" t="inlineStr">
        <is>
          <t>未依頼</t>
        </is>
      </c>
      <c r="H114" s="25" t="inlineStr"/>
    </row>
    <row r="115" ht="34" customHeight="1">
      <c r="A115" s="36" t="inlineStr">
        <is>
          <t>B</t>
        </is>
      </c>
      <c r="B115" s="24" t="inlineStr">
        <is>
          <t>データ</t>
        </is>
      </c>
      <c r="C115" s="25" t="inlineStr">
        <is>
          <t>成年後見の中核機関の整備圏域（調査票は「市町村圏域」だが実態は会津圏域13市町村の共同運営か）</t>
        </is>
      </c>
      <c r="D115" s="25" t="inlineStr">
        <is>
          <t>相談件数表から会津権利擁護・成年後見センターへの委託と見られるが、調査票の回答は市町村圏域。計画の記述の正確性に関わる。</t>
        </is>
      </c>
      <c r="E115" s="23" t="inlineStr">
        <is>
          <t>Ⅱ-68</t>
        </is>
      </c>
      <c r="F115" s="23" t="inlineStr">
        <is>
          <t>doc28§3-4 K-109</t>
        </is>
      </c>
      <c r="G115" s="23" t="inlineStr">
        <is>
          <t>未依頼</t>
        </is>
      </c>
      <c r="H115" s="25" t="inlineStr"/>
    </row>
    <row r="116" ht="34" customHeight="1">
      <c r="A116" s="36" t="inlineStr">
        <is>
          <t>B</t>
        </is>
      </c>
      <c r="B116" s="24" t="inlineStr">
        <is>
          <t>データ</t>
        </is>
      </c>
      <c r="C116" s="25" t="inlineStr">
        <is>
          <t>合計所得金額分布調査の10万円刻みデータを保険料試算に使用してよいか</t>
        </is>
      </c>
      <c r="D116" s="25" t="inlineStr">
        <is>
          <t>所得段階の区切りを変えた場合の影響試算に使える。第10期で段階設定を見直す場合の基礎データ。</t>
        </is>
      </c>
      <c r="E116" s="23" t="inlineStr">
        <is>
          <t>Ⅱ-107</t>
        </is>
      </c>
      <c r="F116" s="23" t="inlineStr">
        <is>
          <t>doc28§2 K-110</t>
        </is>
      </c>
      <c r="G116" s="23" t="inlineStr">
        <is>
          <t>未依頼</t>
        </is>
      </c>
      <c r="H116" s="25" t="inlineStr"/>
    </row>
    <row r="117" ht="34" customHeight="1">
      <c r="A117" s="36" t="inlineStr">
        <is>
          <t>B</t>
        </is>
      </c>
      <c r="B117" s="24" t="inlineStr">
        <is>
          <t>データ</t>
        </is>
      </c>
      <c r="C117" s="25" t="inlineStr">
        <is>
          <t>特定健診・後期高齢者健診の受診率は見える化に系列がない</t>
        </is>
      </c>
      <c r="D117" s="25" t="inlineStr">
        <is>
          <t>★施策1-6（保健事業と介護予防の一体的実施）の指標に用いる。見える化に系列がないため、村または国保データベース（KDB）システムから取る。KDBは見える化とは別のシステムであり、アクセスの可否を村に確認する。</t>
        </is>
      </c>
      <c r="E117" s="23" t="inlineStr">
        <is>
          <t>Ⅱ-54</t>
        </is>
      </c>
      <c r="F117" s="23" t="inlineStr">
        <is>
          <t>doc38§D</t>
        </is>
      </c>
      <c r="G117" s="23" t="inlineStr">
        <is>
          <t>未依頼</t>
        </is>
      </c>
      <c r="H117" s="25" t="inlineStr"/>
    </row>
    <row r="118" ht="34" customHeight="1">
      <c r="A118" s="36" t="inlineStr">
        <is>
          <t>B</t>
        </is>
      </c>
      <c r="B118" s="24" t="inlineStr">
        <is>
          <t>データ</t>
        </is>
      </c>
      <c r="C118" s="25" t="inlineStr">
        <is>
          <t>若年性認知症（65歳未満で認知症となった方）の状況</t>
        </is>
      </c>
      <c r="D118" s="25" t="inlineStr">
        <is>
          <t>★認知症基本法第16条第2項は、若年性認知症の人その他の認知症の人の意欲および能力に応じた雇用の継続・円滑な就職に資する施策を求める。若年性認知症の方は介護保険では第2号被保険者となり、就労の継続が生活の基盤に直結する。本村の該当者の状況が未把握。</t>
        </is>
      </c>
      <c r="E118" s="23" t="inlineStr">
        <is>
          <t>Ⅱ-68</t>
        </is>
      </c>
      <c r="F118" s="23" t="inlineStr">
        <is>
          <t>doc36§10-4,doc18 4-7(3)</t>
        </is>
      </c>
      <c r="G118" s="23" t="inlineStr">
        <is>
          <t>未依頼</t>
        </is>
      </c>
      <c r="H118" s="25" t="inlineStr"/>
    </row>
    <row r="119" ht="34" customHeight="1">
      <c r="A119" s="36" t="inlineStr">
        <is>
          <t>B</t>
        </is>
      </c>
      <c r="B119" s="24" t="inlineStr">
        <is>
          <t>データ</t>
        </is>
      </c>
      <c r="C119" s="25" t="inlineStr">
        <is>
          <t>令和6年度・令和7年度の介護サービス等諸費／介護予防サービス等諸費の決算額</t>
        </is>
      </c>
      <c r="D119" s="25" t="inlineStr">
        <is>
          <t>★介護給付費と予防給付費の分離に用いる単価は、見える化D48-b系により令和3〜5年度までしか把握できない。5-4の受給率（令和5〜7年度の3か年平均）と期間が1年ずれている。令和6・7年度の決算で揃える。</t>
        </is>
      </c>
      <c r="E119" s="23" t="inlineStr">
        <is>
          <t>Ⅱ-55,Ⅱ-56</t>
        </is>
      </c>
      <c r="F119" s="23" t="inlineStr">
        <is>
          <t>doc35§7-3(2),doc18 5-6</t>
        </is>
      </c>
      <c r="G119" s="23" t="inlineStr">
        <is>
          <t>未依頼</t>
        </is>
      </c>
      <c r="H119" s="25" t="inlineStr"/>
    </row>
    <row r="120" ht="34" customHeight="1">
      <c r="A120" s="36" t="inlineStr">
        <is>
          <t>B</t>
        </is>
      </c>
      <c r="B120" s="24" t="inlineStr">
        <is>
          <t>体制</t>
        </is>
      </c>
      <c r="C120" s="25" t="inlineStr">
        <is>
          <t>令和9年度以降も交付金の該当状況調査票の写しを策定業務に提供いただけるか</t>
        </is>
      </c>
      <c r="D120" s="25" t="inlineStr">
        <is>
          <t>第10期の進捗管理で毎年度の得点推移を追うために必要。</t>
        </is>
      </c>
      <c r="E120" s="23" t="inlineStr">
        <is>
          <t>Ⅱ-65</t>
        </is>
      </c>
      <c r="F120" s="23" t="inlineStr">
        <is>
          <t>doc20§6-2 K-67</t>
        </is>
      </c>
      <c r="G120" s="23" t="inlineStr">
        <is>
          <t>未依頼</t>
        </is>
      </c>
      <c r="H120" s="25" t="inlineStr"/>
    </row>
    <row r="121" ht="34" customHeight="1">
      <c r="A121" s="36" t="inlineStr">
        <is>
          <t>B</t>
        </is>
      </c>
      <c r="B121" s="24" t="inlineStr">
        <is>
          <t>体制</t>
        </is>
      </c>
      <c r="C121" s="25" t="inlineStr">
        <is>
          <t>データ入力の体制（受託者側で入力するか、一部を村で行うか）</t>
        </is>
      </c>
      <c r="D121" s="25" t="inlineStr">
        <is>
          <t>小分け送付の運用と入力体制はセット。約1,000件の入力工数に影響する。</t>
        </is>
      </c>
      <c r="E121" s="23" t="inlineStr">
        <is>
          <t>Ⅰ-35</t>
        </is>
      </c>
      <c r="F121" s="23" t="inlineStr">
        <is>
          <t>doc25§8 K-93</t>
        </is>
      </c>
      <c r="G121" s="23" t="inlineStr">
        <is>
          <t>未依頼</t>
        </is>
      </c>
      <c r="H121" s="25" t="inlineStr"/>
    </row>
    <row r="122" ht="34" customHeight="1">
      <c r="A122" s="36" t="inlineStr">
        <is>
          <t>B</t>
        </is>
      </c>
      <c r="B122" s="24" t="inlineStr">
        <is>
          <t>体制</t>
        </is>
      </c>
      <c r="C122" s="25" t="inlineStr">
        <is>
          <t>見える化システムへの登録作業の分担（村が行うか受託者が代行するか）</t>
        </is>
      </c>
      <c r="D122" s="25" t="inlineStr">
        <is>
          <t>村独自設問14問を除外し標準様式の設問順に並べ替えた別ファイルの作成が必要。</t>
        </is>
      </c>
      <c r="E122" s="23" t="inlineStr">
        <is>
          <t>Ⅰ-48</t>
        </is>
      </c>
      <c r="F122" s="23" t="inlineStr">
        <is>
          <t>doc25§8 K-94</t>
        </is>
      </c>
      <c r="G122" s="23" t="inlineStr">
        <is>
          <t>未依頼</t>
        </is>
      </c>
      <c r="H122" s="25" t="inlineStr"/>
    </row>
    <row r="123" ht="34" customHeight="1">
      <c r="A123" s="36" t="inlineStr">
        <is>
          <t>B</t>
        </is>
      </c>
      <c r="B123" s="24" t="inlineStr">
        <is>
          <t>取組</t>
        </is>
      </c>
      <c r="C123" s="25" t="inlineStr">
        <is>
          <t>難聴高齢者の早期発見・早期介入（20点中0点・全国平均6.9点）の実施可能性</t>
        </is>
      </c>
      <c r="D123" s="25" t="inlineStr">
        <is>
          <t>認知症の危険因子として難聴が位置づけられたことによる評価項目。健診等の機会を通じた把握と、補聴器等による介入の仕組みの可否。目標Ⅱの未取得分としては最大の20点。</t>
        </is>
      </c>
      <c r="E123" s="23" t="inlineStr">
        <is>
          <t>Ⅱ-65,Ⅱ-68</t>
        </is>
      </c>
      <c r="F123" s="23" t="inlineStr">
        <is>
          <t>doc35§7-2(6)</t>
        </is>
      </c>
      <c r="G123" s="23" t="inlineStr">
        <is>
          <t>未依頼</t>
        </is>
      </c>
      <c r="H123" s="25" t="inlineStr"/>
    </row>
    <row r="124" ht="34" customHeight="1">
      <c r="A124" s="36" t="inlineStr">
        <is>
          <t>B</t>
        </is>
      </c>
      <c r="B124" s="24" t="inlineStr">
        <is>
          <t>成果品</t>
        </is>
      </c>
      <c r="C124" s="25" t="inlineStr">
        <is>
          <t>報告書に調査票を再掲しないことの村への事前説明（第9期の巻末の確認を含む）</t>
        </is>
      </c>
      <c r="D124" s="25" t="inlineStr">
        <is>
          <t>★案Bを採用し、調査票の全文・単純集計表・自由記述の全文は紙の資料編から外して電子媒体に収録する（doc24§9）。doc01§5-5に記録した第9期報告書の構成に調査票の再掲はないが、目次の見出しのみの記録のため巻末に載っていた可能性がある。載っていた場合は前回からの変更にあたるため、納品時の齟齬を避けるため事前に説明しておきたい。</t>
        </is>
      </c>
      <c r="E124" s="23" t="inlineStr">
        <is>
          <t>Ⅳ-90,Ⅳ-114</t>
        </is>
      </c>
      <c r="F124" s="23" t="inlineStr">
        <is>
          <t>doc24§1-3</t>
        </is>
      </c>
      <c r="G124" s="23" t="inlineStr">
        <is>
          <t>未依頼</t>
        </is>
      </c>
      <c r="H124" s="25" t="inlineStr"/>
    </row>
    <row r="125" ht="34" customHeight="1">
      <c r="A125" s="36" t="inlineStr">
        <is>
          <t>B</t>
        </is>
      </c>
      <c r="B125" s="24" t="inlineStr">
        <is>
          <t>成果品</t>
        </is>
      </c>
      <c r="C125" s="25" t="inlineStr">
        <is>
          <t>計画書・報告書の頁数の実測（当方では docx→PDF 変換ができず目視確認ができない）</t>
        </is>
      </c>
      <c r="D125" s="25" t="inlineStr">
        <is>
          <t>★当方の推定では計画書は本文88頁＋前付4頁＝92頁で、仕様書の約100頁に8頁の余裕がある（レイアウト値からの積算・doc40§0）。字詰め・禁則・表の折り返しの実挙動で前後するため、村側で実際に開いて頁数をご確認いただきたい。余裕が確認できれば第3章の施策体系図（第9期にあり第10期素案にない）とSDGsの対応表を追加したい。</t>
        </is>
      </c>
      <c r="E125" s="23" t="inlineStr">
        <is>
          <t>Ⅱ-113,Ⅳ-89</t>
        </is>
      </c>
      <c r="F125" s="23" t="inlineStr">
        <is>
          <t>doc40§1-4</t>
        </is>
      </c>
      <c r="G125" s="23" t="inlineStr">
        <is>
          <t>未依頼</t>
        </is>
      </c>
      <c r="H125" s="25" t="inlineStr"/>
    </row>
    <row r="126" ht="34" customHeight="1">
      <c r="A126" s="36" t="inlineStr">
        <is>
          <t>B</t>
        </is>
      </c>
      <c r="B126" s="24" t="inlineStr">
        <is>
          <t>成果品</t>
        </is>
      </c>
      <c r="C126" s="25" t="inlineStr">
        <is>
          <t>概要版の位置づけ（仕様の範囲内か追加対応か）</t>
        </is>
      </c>
      <c r="D126" s="25" t="inlineStr">
        <is>
          <t>仕様書に記載がなく成果品一覧にもないが、資料末尾に「必要に応じては概要版も作成致します」とある。第9期は2ページの概要版を作成。</t>
        </is>
      </c>
      <c r="E126" s="23" t="inlineStr">
        <is>
          <t>Ⅳ-92</t>
        </is>
      </c>
      <c r="F126" s="23" t="inlineStr">
        <is>
          <t>doc19 指-5</t>
        </is>
      </c>
      <c r="G126" s="23" t="inlineStr">
        <is>
          <t>未依頼</t>
        </is>
      </c>
      <c r="H126" s="25" t="inlineStr"/>
    </row>
    <row r="127" ht="34" customHeight="1">
      <c r="A127" s="36" t="inlineStr">
        <is>
          <t>B</t>
        </is>
      </c>
      <c r="B127" s="24" t="inlineStr">
        <is>
          <t>成果品</t>
        </is>
      </c>
      <c r="C127" s="25" t="inlineStr">
        <is>
          <t>★議会全員協議会（令和9年2月末頃）で受託者に求められる関与の範囲</t>
        </is>
      </c>
      <c r="D127" s="25" t="inlineStr">
        <is>
          <t>★議事録で新設されたマイルストーン。資料作成のみか、出席・説明を含むかで工数が変わる。</t>
        </is>
      </c>
      <c r="E127" s="23" t="inlineStr">
        <is>
          <t>Ⅱ-93</t>
        </is>
      </c>
      <c r="F127" s="23" t="inlineStr">
        <is>
          <t>doc22 K-80</t>
        </is>
      </c>
      <c r="G127" s="23" t="inlineStr">
        <is>
          <t>未依頼</t>
        </is>
      </c>
      <c r="H127" s="25" t="inlineStr"/>
    </row>
    <row r="128" ht="34" customHeight="1">
      <c r="A128" s="36" t="inlineStr">
        <is>
          <t>B</t>
        </is>
      </c>
      <c r="B128" s="24" t="inlineStr">
        <is>
          <t>方針</t>
        </is>
      </c>
      <c r="C128" s="25" t="inlineStr">
        <is>
          <t>第1号被保険者数の推計を社人研ベースから補正して用いる方針の可否</t>
        </is>
      </c>
      <c r="D128" s="25" t="inlineStr">
        <is>
          <t>社人研推計は住基ベース実績より6〜8%少なく、第9期はこれで63人ずれた。手法変更のため村の合意が要る。</t>
        </is>
      </c>
      <c r="E128" s="23" t="inlineStr">
        <is>
          <t>Ⅱ-59</t>
        </is>
      </c>
      <c r="F128" s="23" t="inlineStr">
        <is>
          <t>doc09§4,§10</t>
        </is>
      </c>
      <c r="G128" s="23" t="inlineStr">
        <is>
          <t>未依頼</t>
        </is>
      </c>
      <c r="H128" s="25" t="inlineStr"/>
    </row>
    <row r="129" ht="34" customHeight="1">
      <c r="A129" s="36" t="inlineStr">
        <is>
          <t>B</t>
        </is>
      </c>
      <c r="B129" s="24" t="inlineStr">
        <is>
          <t>方針</t>
        </is>
      </c>
      <c r="C129" s="25" t="inlineStr">
        <is>
          <t>保険料が県・全国を上回る一方で費用額は下位である点の認識と説明方針</t>
        </is>
      </c>
      <c r="D129" s="25" t="inlineStr">
        <is>
          <t>保険料6,700円は県+360円・全国+475円。費用額は県内44/59位。説明ロジックの構築に関わる。</t>
        </is>
      </c>
      <c r="E129" s="23" t="inlineStr">
        <is>
          <t>Ⅱ-64</t>
        </is>
      </c>
      <c r="F129" s="23" t="inlineStr">
        <is>
          <t>doc09§8,§10</t>
        </is>
      </c>
      <c r="G129" s="23" t="inlineStr">
        <is>
          <t>未依頼</t>
        </is>
      </c>
      <c r="H129" s="25" t="inlineStr"/>
    </row>
    <row r="130" ht="34" customHeight="1">
      <c r="A130" s="36" t="inlineStr">
        <is>
          <t>B</t>
        </is>
      </c>
      <c r="B130" s="24" t="inlineStr">
        <is>
          <t>方針</t>
        </is>
      </c>
      <c r="C130" s="25" t="inlineStr">
        <is>
          <t>総合事業のサービスA〜Dを第10期で立ち上げる意向の有無</t>
        </is>
      </c>
      <c r="D130" s="25" t="inlineStr">
        <is>
          <t>従前相当サービス以外の事業費割合0.0%。要支援1急増（39→51人）の受け皿に直結。素案の施策1-2の成否を決める。</t>
        </is>
      </c>
      <c r="E130" s="23" t="inlineStr">
        <is>
          <t>Ⅱ-67,Ⅱ-75</t>
        </is>
      </c>
      <c r="F130" s="23" t="inlineStr">
        <is>
          <t>doc02§17,doc07,doc18 4-1</t>
        </is>
      </c>
      <c r="G130" s="23" t="inlineStr">
        <is>
          <t>未依頼</t>
        </is>
      </c>
      <c r="H130" s="25" t="inlineStr"/>
    </row>
    <row r="131" ht="34" customHeight="1">
      <c r="A131" s="36" t="inlineStr">
        <is>
          <t>B</t>
        </is>
      </c>
      <c r="B131" s="24" t="inlineStr">
        <is>
          <t>方針</t>
        </is>
      </c>
      <c r="C131" s="25" t="inlineStr">
        <is>
          <t>認定率の分母をB1（第1号被保険者数）に統一することの可否</t>
        </is>
      </c>
      <c r="D131" s="25" t="inlineStr">
        <is>
          <t>第9期は同一計画書内に19.0%（193/1,016）と19.7%（197/1,002）が併記されていた。統一すると第9期の公表値と異なる数値を示すことになる。</t>
        </is>
      </c>
      <c r="E131" s="23" t="inlineStr">
        <is>
          <t>Ⅱ-56,Ⅱ-75</t>
        </is>
      </c>
      <c r="F131" s="23" t="inlineStr">
        <is>
          <t>doc17 C-1,doc02§20-2</t>
        </is>
      </c>
      <c r="G131" s="23" t="inlineStr">
        <is>
          <t>未依頼</t>
        </is>
      </c>
      <c r="H131" s="25" t="inlineStr"/>
    </row>
    <row r="132" ht="34" customHeight="1">
      <c r="A132" s="36" t="inlineStr">
        <is>
          <t>B</t>
        </is>
      </c>
      <c r="B132" s="24" t="inlineStr">
        <is>
          <t>方針</t>
        </is>
      </c>
      <c r="C132" s="25" t="inlineStr">
        <is>
          <t>成果目標・活動指標の目標値の設定方針（認定率を据置とするか／トレンド継続か／政策効果を織り込むか）</t>
        </is>
      </c>
      <c r="D132" s="25" t="inlineStr">
        <is>
          <t>doc13§6で3案を提示。政策効果を織り込む案を採る場合は、その根拠を指標に置く必要がある。</t>
        </is>
      </c>
      <c r="E132" s="23" t="inlineStr">
        <is>
          <t>Ⅱ-60,Ⅱ-65</t>
        </is>
      </c>
      <c r="F132" s="23" t="inlineStr">
        <is>
          <t>doc13§6</t>
        </is>
      </c>
      <c r="G132" s="23" t="inlineStr">
        <is>
          <t>未依頼</t>
        </is>
      </c>
      <c r="H132" s="25" t="inlineStr"/>
    </row>
    <row r="133" ht="34" customHeight="1">
      <c r="A133" s="36" t="inlineStr">
        <is>
          <t>B</t>
        </is>
      </c>
      <c r="B133" s="24" t="inlineStr">
        <is>
          <t>方針</t>
        </is>
      </c>
      <c r="C133" s="25" t="inlineStr">
        <is>
          <t>認知症対応型共同生活介護の定員（27人）を超える需要への対応方針</t>
        </is>
      </c>
      <c r="D133" s="25" t="inlineStr">
        <is>
          <t>★令和7年度の居住系受給者は26.9人／月で、村内GHの定員27人に対する稼働率は93%。第10期に居住系の利用が増える見込みだが村内に受け皿の余地がない。施設整備の意向、村外施設での対応、在宅での対応のいずれを取るかで見込量と施策の両方が変わる。</t>
        </is>
      </c>
      <c r="E133" s="23" t="inlineStr">
        <is>
          <t>Ⅱ-56,Ⅱ-67</t>
        </is>
      </c>
      <c r="F133" s="23" t="inlineStr">
        <is>
          <t>doc30§4-2,doc18 5-4</t>
        </is>
      </c>
      <c r="G133" s="23" t="inlineStr">
        <is>
          <t>未依頼</t>
        </is>
      </c>
      <c r="H133" s="25" t="inlineStr"/>
    </row>
    <row r="134" ht="34" customHeight="1">
      <c r="A134" s="36" t="inlineStr">
        <is>
          <t>B</t>
        </is>
      </c>
      <c r="B134" s="24" t="inlineStr">
        <is>
          <t>方針</t>
        </is>
      </c>
      <c r="C134" s="25" t="inlineStr">
        <is>
          <t>認知症の人および家族等の意見聴取の方法（認知症基本法第13条）</t>
        </is>
      </c>
      <c r="D134" s="25" t="inlineStr">
        <is>
          <t>★策定委員会の委員に認知症の本人・家族が含まれるかを確認する必要がある。含まれない場合は家族会・認知症カフェ等での意見聴取の機会が要る。記述の追加では埋まらず策定過程に関わるため、第2回策定委員会までに方針決定が必要。</t>
        </is>
      </c>
      <c r="E134" s="23" t="inlineStr">
        <is>
          <t>Ⅱ-53,Ⅱ-57</t>
        </is>
      </c>
      <c r="F134" s="23" t="inlineStr">
        <is>
          <t>doc32§7</t>
        </is>
      </c>
      <c r="G134" s="23" t="inlineStr">
        <is>
          <t>未依頼</t>
        </is>
      </c>
      <c r="H134" s="25" t="inlineStr"/>
    </row>
    <row r="135" ht="34" customHeight="1">
      <c r="A135" s="36" t="inlineStr">
        <is>
          <t>B</t>
        </is>
      </c>
      <c r="B135" s="24" t="inlineStr">
        <is>
          <t>方針</t>
        </is>
      </c>
      <c r="C135" s="25" t="inlineStr">
        <is>
          <t>地域密着型サービスの必要利用定員総数（グループホーム27人を維持するか）</t>
        </is>
      </c>
      <c r="D135" s="25" t="inlineStr">
        <is>
          <t>★介護保険法第117条第2項第1号の義務的記載事項。素案5-4(5)に27人維持で仮置きした。稼働率93%で第10期は増加見込みのため、増床・村外対応・在宅対応のいずれを取るかで数値が変わる。</t>
        </is>
      </c>
      <c r="E135" s="23" t="inlineStr">
        <is>
          <t>Ⅱ-105,Ⅱ-67</t>
        </is>
      </c>
      <c r="F135" s="23" t="inlineStr">
        <is>
          <t>doc32§3-1</t>
        </is>
      </c>
      <c r="G135" s="23" t="inlineStr">
        <is>
          <t>未依頼</t>
        </is>
      </c>
      <c r="H135" s="25" t="inlineStr"/>
    </row>
    <row r="136" ht="34" customHeight="1">
      <c r="A136" s="36" t="inlineStr">
        <is>
          <t>B</t>
        </is>
      </c>
      <c r="B136" s="24" t="inlineStr">
        <is>
          <t>方針</t>
        </is>
      </c>
      <c r="C136" s="25" t="inlineStr">
        <is>
          <t>サービス見込量の前提（受給率を3か年平均とするか令和7年度水準とするか）</t>
        </is>
      </c>
      <c r="D136" s="25" t="inlineStr">
        <is>
          <t>★3か年平均では令和9年度のサービス諸費が令和5年度決算比+1.8%にとどまるが、実績は令和4→5年度で+4.7%伸びている。前提の選び方で保険料が変わるため、委員会に感度分析を示して確認する。</t>
        </is>
      </c>
      <c r="E136" s="23" t="inlineStr">
        <is>
          <t>Ⅱ-56,Ⅱ-64</t>
        </is>
      </c>
      <c r="F136" s="23" t="inlineStr">
        <is>
          <t>doc30§5-4</t>
        </is>
      </c>
      <c r="G136" s="23" t="inlineStr">
        <is>
          <t>未依頼</t>
        </is>
      </c>
      <c r="H136" s="25" t="inlineStr"/>
    </row>
    <row r="137" ht="34" customHeight="1">
      <c r="A137" s="36" t="inlineStr">
        <is>
          <t>B</t>
        </is>
      </c>
      <c r="B137" s="24" t="inlineStr">
        <is>
          <t>方針</t>
        </is>
      </c>
      <c r="C137" s="25" t="inlineStr">
        <is>
          <t>上限保険料の設定の有無と基金活用の比較案のパターン</t>
        </is>
      </c>
      <c r="D137" s="25" t="inlineStr">
        <is>
          <t>第9期は基金24,000,000円の取崩を計画。全額取崩案／据置優先案／中間案など何案を示すかを確認。</t>
        </is>
      </c>
      <c r="E137" s="23" t="inlineStr">
        <is>
          <t>Ⅱ-63,Ⅱ-64</t>
        </is>
      </c>
      <c r="F137" s="23" t="inlineStr">
        <is>
          <t>doc19 追-14</t>
        </is>
      </c>
      <c r="G137" s="23" t="inlineStr">
        <is>
          <t>未依頼</t>
        </is>
      </c>
      <c r="H137" s="25" t="inlineStr"/>
    </row>
    <row r="138" ht="34" customHeight="1">
      <c r="A138" s="36" t="inlineStr">
        <is>
          <t>B</t>
        </is>
      </c>
      <c r="B138" s="24" t="inlineStr">
        <is>
          <t>方針</t>
        </is>
      </c>
      <c r="C138" s="25" t="inlineStr">
        <is>
          <t>施設整備の方向性（在宅調査48.5%の入所希望の扱い）</t>
        </is>
      </c>
      <c r="D138" s="25" t="inlineStr">
        <is>
          <t>★48.5%は回収33件中16人。標本が小さいため単独の根拠とせず、村内施設ゼロ・短期入所+165%・認定率18位/費用額44位と併せて示し、今回の在宅調査150人で再確認する位置づけを提案。</t>
        </is>
      </c>
      <c r="E138" s="23" t="inlineStr">
        <is>
          <t>Ⅱ-67,Ⅱ-75</t>
        </is>
      </c>
      <c r="F138" s="23" t="inlineStr">
        <is>
          <t>doc19 §3</t>
        </is>
      </c>
      <c r="G138" s="23" t="inlineStr">
        <is>
          <t>未依頼</t>
        </is>
      </c>
      <c r="H138" s="25" t="inlineStr"/>
    </row>
    <row r="139" ht="34" customHeight="1">
      <c r="A139" s="36" t="inlineStr">
        <is>
          <t>B</t>
        </is>
      </c>
      <c r="B139" s="24" t="inlineStr">
        <is>
          <t>方針</t>
        </is>
      </c>
      <c r="C139" s="25" t="inlineStr">
        <is>
          <t>「地域で見守り・育む高齢者の支援」（生涯学習推進計画の施策）と生活支援体制整備事業の役割分担</t>
        </is>
      </c>
      <c r="D139" s="25" t="inlineStr">
        <is>
          <t>★両計画で同一施策が重複。所管（教育委員会／住民課／社協）を明記して連携を書く必要がある。</t>
        </is>
      </c>
      <c r="E139" s="23" t="inlineStr">
        <is>
          <t>Ⅱ-53</t>
        </is>
      </c>
      <c r="F139" s="23" t="inlineStr">
        <is>
          <t>doc21§5 K-73</t>
        </is>
      </c>
      <c r="G139" s="23" t="inlineStr">
        <is>
          <t>未依頼</t>
        </is>
      </c>
      <c r="H139" s="25" t="inlineStr"/>
    </row>
    <row r="140" ht="34" customHeight="1">
      <c r="A140" s="36" t="inlineStr">
        <is>
          <t>B</t>
        </is>
      </c>
      <c r="B140" s="24" t="inlineStr">
        <is>
          <t>方針</t>
        </is>
      </c>
      <c r="C140" s="25" t="inlineStr">
        <is>
          <t>第2回策定委員会（11月）への調査報告書の提示範囲</t>
        </is>
      </c>
      <c r="D140" s="25" t="inlineStr">
        <is>
          <t>報告書全体か、第Ⅱ部（分析編）の要点か。委員の負担と議論の焦点に関わる。</t>
        </is>
      </c>
      <c r="E140" s="23" t="inlineStr">
        <is>
          <t>Ⅱ-83</t>
        </is>
      </c>
      <c r="F140" s="23" t="inlineStr">
        <is>
          <t>doc24§12 K-90</t>
        </is>
      </c>
      <c r="G140" s="23" t="inlineStr">
        <is>
          <t>未依頼</t>
        </is>
      </c>
      <c r="H140" s="25" t="inlineStr"/>
    </row>
    <row r="141" ht="34" customHeight="1">
      <c r="A141" s="36" t="inlineStr">
        <is>
          <t>B</t>
        </is>
      </c>
      <c r="B141" s="24" t="inlineStr">
        <is>
          <t>方針</t>
        </is>
      </c>
      <c r="C141" s="25" t="inlineStr">
        <is>
          <t>令和9年4月の介護報酬改定率が示された後の単価の扱い</t>
        </is>
      </c>
      <c r="D141" s="25" t="inlineStr">
        <is>
          <t>★他案件（大雪）の点検で「改定率を乗じることと単価の趨勢を延ばすことを重ねると二重になる」ことが指摘された。本村の単価の趨勢（年1.30%）は連鎖ラスパイレス指数による実測値で、平成27年▲2.27%から令和6年+1.59%までの改定をすでに含む。改定率が示された時点で趨勢による補正（月額314円）を取り下げ、改定率のみを用いる。素案5-4(10)①に断りを入れたが、運用の確認を要する。</t>
        </is>
      </c>
      <c r="E141" s="23" t="inlineStr">
        <is>
          <t>Ⅱ-56,Ⅱ-64</t>
        </is>
      </c>
      <c r="F141" s="23" t="inlineStr">
        <is>
          <t>doc37§4,doc18 5-4(10)</t>
        </is>
      </c>
      <c r="G141" s="23" t="inlineStr">
        <is>
          <t>未依頼</t>
        </is>
      </c>
      <c r="H141" s="25" t="inlineStr"/>
    </row>
    <row r="142" ht="34" customHeight="1">
      <c r="A142" s="36" t="inlineStr">
        <is>
          <t>B</t>
        </is>
      </c>
      <c r="B142" s="24" t="inlineStr">
        <is>
          <t>方針</t>
        </is>
      </c>
      <c r="C142" s="25" t="inlineStr">
        <is>
          <t>認知症の日（9月21日）・認知症月間（9月）の取組</t>
        </is>
      </c>
      <c r="D142" s="25" t="inlineStr">
        <is>
          <t>★認知症基本法第9条第3項は、地方公共団体に対し認知症の日にふさわしい事業の実施（努力義務）と、認知症月間にふさわしい行事が実施されるよう奨励すること（義務）を定める。本村に該当する取組がない。普及啓発の機会として計画に位置づけたが、実施の可否と内容を村と協議する。</t>
        </is>
      </c>
      <c r="E142" s="23" t="inlineStr">
        <is>
          <t>Ⅱ-68</t>
        </is>
      </c>
      <c r="F142" s="23" t="inlineStr">
        <is>
          <t>doc36§10-2,doc18 4-7(4)</t>
        </is>
      </c>
      <c r="G142" s="23" t="inlineStr">
        <is>
          <t>未依頼</t>
        </is>
      </c>
      <c r="H142" s="25" t="inlineStr"/>
    </row>
    <row r="143" ht="34" customHeight="1">
      <c r="A143" s="36" t="inlineStr">
        <is>
          <t>B</t>
        </is>
      </c>
      <c r="B143" s="24" t="inlineStr">
        <is>
          <t>方針</t>
        </is>
      </c>
      <c r="C143" s="25" t="inlineStr">
        <is>
          <t>公共交通事業者・金融機関・小売業者等との連携の範囲</t>
        </is>
      </c>
      <c r="D143" s="25" t="inlineStr">
        <is>
          <t>★認知症基本法第7条は、これらの事業者に認知症の人への必要かつ合理的な配慮を求める（努力義務）。第15条のバリアフリー化の民間側の受け皿。村内および近隣の事業者にどこまで働きかけるかを定める。</t>
        </is>
      </c>
      <c r="E143" s="23" t="inlineStr">
        <is>
          <t>Ⅱ-68,Ⅱ-72</t>
        </is>
      </c>
      <c r="F143" s="23" t="inlineStr">
        <is>
          <t>doc36§10-3,doc18 4-7(3)</t>
        </is>
      </c>
      <c r="G143" s="23" t="inlineStr">
        <is>
          <t>未依頼</t>
        </is>
      </c>
      <c r="H143" s="25" t="inlineStr"/>
    </row>
    <row r="144" ht="34" customHeight="1">
      <c r="A144" s="36" t="inlineStr">
        <is>
          <t>B</t>
        </is>
      </c>
      <c r="B144" s="24" t="inlineStr">
        <is>
          <t>方針</t>
        </is>
      </c>
      <c r="C144" s="25" t="inlineStr">
        <is>
          <t>認知症対応型通所介護を再開するかどうか</t>
        </is>
      </c>
      <c r="D144" s="25" t="inlineStr">
        <is>
          <t>平成30年度を最後に実績がない。地域密着型サービスは村の指定によりはじめて提供されるため村の判断による。認知症高齢者が増えるなかで在宅を支える類型として検討の余地がある。</t>
        </is>
      </c>
      <c r="E144" s="23" t="inlineStr">
        <is>
          <t>Ⅱ-56,Ⅱ-67</t>
        </is>
      </c>
      <c r="F144" s="23" t="inlineStr">
        <is>
          <t>doc36§3,doc18 施策3-2</t>
        </is>
      </c>
      <c r="G144" s="23" t="inlineStr">
        <is>
          <t>未依頼</t>
        </is>
      </c>
      <c r="H144" s="25" t="inlineStr"/>
    </row>
    <row r="145" ht="34" customHeight="1">
      <c r="A145" s="36" t="inlineStr">
        <is>
          <t>B</t>
        </is>
      </c>
      <c r="B145" s="24" t="inlineStr">
        <is>
          <t>方針</t>
        </is>
      </c>
      <c r="C145" s="25" t="inlineStr">
        <is>
          <t>認知症施策推進計画として、基本法第15条（バリアフリー化）にどこまで取り組むか</t>
        </is>
      </c>
      <c r="D145" s="25" t="inlineStr">
        <is>
          <t>★認知症の人が外出・買い物・金融機関の利用などで困ることへの対応は介護保険の枠組みの外にある。庁内の関係部署および事業者との連携の範囲を定める必要がある。素案4-7(2)で【要検討】としている。</t>
        </is>
      </c>
      <c r="E145" s="23" t="inlineStr">
        <is>
          <t>Ⅱ-68,Ⅱ-72</t>
        </is>
      </c>
      <c r="F145" s="23" t="inlineStr">
        <is>
          <t>doc36§3,doc18 4-7(2)</t>
        </is>
      </c>
      <c r="G145" s="23" t="inlineStr">
        <is>
          <t>未依頼</t>
        </is>
      </c>
      <c r="H145" s="25" t="inlineStr"/>
    </row>
    <row r="146" ht="34" customHeight="1">
      <c r="A146" s="36" t="inlineStr">
        <is>
          <t>B</t>
        </is>
      </c>
      <c r="B146" s="24" t="inlineStr">
        <is>
          <t>方針</t>
        </is>
      </c>
      <c r="C146" s="25" t="inlineStr">
        <is>
          <t>訪問入浴介護・地域密着型通所介護を0に戻すかどうか</t>
        </is>
      </c>
      <c r="D146" s="25" t="inlineStr">
        <is>
          <t>★令和7年度の利用は0だが、3か年平均により令和9年度以降も0.6人／月・0.3人／月が立っている。直近に利用のないサービスを3か年平均で復活させてよいかの判断。利用の見込みの有無を村に確認する。</t>
        </is>
      </c>
      <c r="E146" s="23" t="inlineStr">
        <is>
          <t>Ⅱ-56</t>
        </is>
      </c>
      <c r="F146" s="23" t="inlineStr">
        <is>
          <t>doc35§7-3(3),doc18 5-4(5)</t>
        </is>
      </c>
      <c r="G146" s="23" t="inlineStr">
        <is>
          <t>未依頼</t>
        </is>
      </c>
      <c r="H146" s="25" t="inlineStr"/>
    </row>
    <row r="147" ht="34" customHeight="1">
      <c r="A147" s="36" t="inlineStr">
        <is>
          <t>B</t>
        </is>
      </c>
      <c r="B147" s="24" t="inlineStr">
        <is>
          <t>方針</t>
        </is>
      </c>
      <c r="C147" s="25" t="inlineStr">
        <is>
          <t>中長期（令和17年度・令和22年度）の保険料をαの2案で示すことの可否</t>
        </is>
      </c>
      <c r="D147" s="25" t="inlineStr">
        <is>
          <t>★改正法により中長期の見通しが必須の記載事項となった。αを23%据え置きとした場合は令和22年度6,883円、3年ごとに1ポイント上がるとした場合は8,379円。第9期計画は8,700円を見込んでいた。どちらを本文に置くか、あるいは幅として示すかを委員会にお諮りする。</t>
        </is>
      </c>
      <c r="E147" s="23" t="inlineStr">
        <is>
          <t>Ⅱ-64</t>
        </is>
      </c>
      <c r="F147" s="23" t="inlineStr">
        <is>
          <t>doc35§7-2(1),doc18 5-11</t>
        </is>
      </c>
      <c r="G147" s="23" t="inlineStr">
        <is>
          <t>未依頼</t>
        </is>
      </c>
      <c r="H147" s="25" t="inlineStr"/>
    </row>
    <row r="148" ht="34" customHeight="1">
      <c r="A148" s="36" t="inlineStr">
        <is>
          <t>B</t>
        </is>
      </c>
      <c r="B148" s="24" t="inlineStr">
        <is>
          <t>方針</t>
        </is>
      </c>
      <c r="C148" s="25" t="inlineStr">
        <is>
          <t>特定地域サービス・特定地域居宅サービス等事業を活用するかどうか</t>
        </is>
      </c>
      <c r="D148" s="25" t="inlineStr">
        <is>
          <t>★令和8年法律第51号により令和9年4月に新設される。本村は中山間・人口減少地域（特定地域）に該当する見込み。村内に事業所がないサービスへの対応手段になり得るが、活用の意向が未定のため素案5-4(4)では0で立てている。活用する場合は見込量・給付費・保険料のいずれも変わる。</t>
        </is>
      </c>
      <c r="E148" s="23" t="inlineStr">
        <is>
          <t>Ⅱ-56</t>
        </is>
      </c>
      <c r="F148" s="23" t="inlineStr">
        <is>
          <t>doc35§8,doc18 5-4(4)</t>
        </is>
      </c>
      <c r="G148" s="23" t="inlineStr">
        <is>
          <t>未依頼</t>
        </is>
      </c>
      <c r="H148" s="25" t="inlineStr"/>
    </row>
    <row r="149" ht="34" customHeight="1">
      <c r="A149" s="36" t="inlineStr">
        <is>
          <t>B</t>
        </is>
      </c>
      <c r="B149" s="24" t="inlineStr">
        <is>
          <t>疑義</t>
        </is>
      </c>
      <c r="C149" s="25" t="inlineStr">
        <is>
          <t>W125「第9期計画作成に向けた各種調査の実施」が4項目とも0点である理由</t>
        </is>
      </c>
      <c r="D149" s="25" t="inlineStr">
        <is>
          <t>第9期報告書には調査結果が掲載されており、報告漏れの可能性が高い。第10期では確実に得点化したい。</t>
        </is>
      </c>
      <c r="E149" s="23" t="inlineStr">
        <is>
          <t>Ⅱ-54</t>
        </is>
      </c>
      <c r="F149" s="23" t="inlineStr">
        <is>
          <t>doc07§4</t>
        </is>
      </c>
      <c r="G149" s="23" t="inlineStr">
        <is>
          <t>未依頼</t>
        </is>
      </c>
      <c r="H149" s="25" t="inlineStr"/>
    </row>
    <row r="150" ht="34" customHeight="1">
      <c r="A150" s="36" t="inlineStr">
        <is>
          <t>B</t>
        </is>
      </c>
      <c r="B150" s="24" t="inlineStr">
        <is>
          <t>疑義</t>
        </is>
      </c>
      <c r="C150" s="25" t="inlineStr">
        <is>
          <t>交付金「文書負担軽減」が11点→7点に低下した理由（取組の後退か判定基準の変更か）</t>
        </is>
      </c>
      <c r="D150" s="25" t="inlineStr">
        <is>
          <t>評価指標の読み方に影響。</t>
        </is>
      </c>
      <c r="E150" s="23" t="inlineStr">
        <is>
          <t>Ⅱ-54</t>
        </is>
      </c>
      <c r="F150" s="23" t="inlineStr">
        <is>
          <t>doc07§8-4</t>
        </is>
      </c>
      <c r="G150" s="23" t="inlineStr">
        <is>
          <t>未依頼</t>
        </is>
      </c>
      <c r="H150" s="25" t="inlineStr"/>
    </row>
    <row r="151" ht="34" customHeight="1">
      <c r="A151" s="36" t="inlineStr">
        <is>
          <t>B</t>
        </is>
      </c>
      <c r="B151" s="24" t="inlineStr">
        <is>
          <t>疑義</t>
        </is>
      </c>
      <c r="C151" s="25" t="inlineStr">
        <is>
          <t>第9期概要版④「地域支援事業費」の集計範囲（任意事業の扱い）</t>
        </is>
      </c>
      <c r="D151" s="25" t="inlineStr">
        <is>
          <t>決算と6,300〜10,100千円ずれる。揃えないと第10期が第9期と比較不能になる。</t>
        </is>
      </c>
      <c r="E151" s="23" t="inlineStr">
        <is>
          <t>Ⅱ-55,Ⅱ-56</t>
        </is>
      </c>
      <c r="F151" s="23" t="inlineStr">
        <is>
          <t>doc08§4,§8-2</t>
        </is>
      </c>
      <c r="G151" s="23" t="inlineStr">
        <is>
          <t>未依頼</t>
        </is>
      </c>
      <c r="H151" s="25" t="inlineStr"/>
    </row>
    <row r="152" ht="34" customHeight="1">
      <c r="A152" s="36" t="inlineStr">
        <is>
          <t>B</t>
        </is>
      </c>
      <c r="B152" s="24" t="inlineStr">
        <is>
          <t>疑義</t>
        </is>
      </c>
      <c r="C152" s="25" t="inlineStr">
        <is>
          <t>特別会計の歳入内訳の区分変更の有無（令和3→4年度）</t>
        </is>
      </c>
      <c r="D152" s="25" t="inlineStr">
        <is>
          <t>総務費繰入金・低所得者保険料軽減繰入金が0になり一般会計繰入金が急増。時系列グラフが不連続になる。</t>
        </is>
      </c>
      <c r="E152" s="23" t="inlineStr">
        <is>
          <t>Ⅱ-55</t>
        </is>
      </c>
      <c r="F152" s="23" t="inlineStr">
        <is>
          <t>doc02§20-1</t>
        </is>
      </c>
      <c r="G152" s="23" t="inlineStr">
        <is>
          <t>未依頼</t>
        </is>
      </c>
      <c r="H152" s="25" t="inlineStr"/>
    </row>
    <row r="153" ht="34" customHeight="1">
      <c r="A153" s="36" t="inlineStr">
        <is>
          <t>B</t>
        </is>
      </c>
      <c r="B153" s="24" t="inlineStr">
        <is>
          <t>疑義</t>
        </is>
      </c>
      <c r="C153" s="25" t="inlineStr">
        <is>
          <t>介護保険法第117条第2項各号・第3項各号および基本指針の記載事項の条項番号の照合</t>
        </is>
      </c>
      <c r="D153" s="25" t="inlineStr">
        <is>
          <t>★この作業環境ではe-Gov法令検索・厚労省サイトが外部接続ポリシーで遮断されており、条文本文を直接確認できていない。法令集または村・県への照会で照合が必要。給付適正化の条項を第3項第5号・第6号としていた誤りは訂正済（正しくは第2項第3号・第4号）。</t>
        </is>
      </c>
      <c r="E153" s="23" t="inlineStr">
        <is>
          <t>Ⅱ-53</t>
        </is>
      </c>
      <c r="F153" s="23" t="inlineStr">
        <is>
          <t>doc32§1,§2</t>
        </is>
      </c>
      <c r="G153" s="23" t="inlineStr">
        <is>
          <t>未依頼</t>
        </is>
      </c>
      <c r="H153" s="25" t="inlineStr"/>
    </row>
    <row r="154" ht="34" customHeight="1">
      <c r="A154" s="36" t="inlineStr">
        <is>
          <t>B</t>
        </is>
      </c>
      <c r="B154" s="24" t="inlineStr">
        <is>
          <t>疑義</t>
        </is>
      </c>
      <c r="C154" s="25" t="inlineStr">
        <is>
          <t>総合事業の量（F29〜F40）は見える化そのものが令和3年3月で更新を止めている</t>
        </is>
      </c>
      <c r="D154" s="25" t="inlineStr">
        <is>
          <t>★素案5-5(1)の総合事業の量が空欄なのは村の未提供のためと整理していたが、見える化のF29〜F40（訪問型・通所型サービスA〜D・見守り・配食・介護予防ケアマネジメントの実施延べ件数）は令和2年3月・令和3年3月の2時点のみの収録で、本村の値は全て「-」。村の総合事業実施状況調査が唯一の出所である。素案5-12の記述を改める必要がある。</t>
        </is>
      </c>
      <c r="E154" s="23" t="inlineStr">
        <is>
          <t>Ⅱ-53</t>
        </is>
      </c>
      <c r="F154" s="23" t="inlineStr">
        <is>
          <t>doc38§B-2</t>
        </is>
      </c>
      <c r="G154" s="23" t="inlineStr">
        <is>
          <t>社内対応</t>
        </is>
      </c>
      <c r="H154" s="25" t="inlineStr"/>
    </row>
    <row r="155" ht="34" customHeight="1">
      <c r="A155" s="36" t="inlineStr">
        <is>
          <t>B</t>
        </is>
      </c>
      <c r="B155" s="24" t="inlineStr">
        <is>
          <t>疑義</t>
        </is>
      </c>
      <c r="C155" s="25" t="inlineStr">
        <is>
          <t>要介護2の3区分の利用率の合計が101.5%となること</t>
        </is>
      </c>
      <c r="D155" s="25" t="inlineStr">
        <is>
          <t>★在宅73.5%＋居住系15.7%＋施設12.3%＝101.5%。年度の途中で在宅から施設へ移った方が両方に数えられているためとみられる（受給者数は年度の延べ）。重複は1.5%。給付実績により実人数を確認する。他の要介護度で100%に届かない分はサービスを使っていない方の割合（要介護1で13.1%、要介護5で21.0%）。</t>
        </is>
      </c>
      <c r="E155" s="23" t="inlineStr">
        <is>
          <t>Ⅱ-56</t>
        </is>
      </c>
      <c r="F155" s="23" t="inlineStr">
        <is>
          <t>doc37§3-2,doc18 5-4</t>
        </is>
      </c>
      <c r="G155" s="23" t="inlineStr">
        <is>
          <t>未依頼</t>
        </is>
      </c>
      <c r="H155" s="25" t="inlineStr"/>
    </row>
    <row r="156" ht="34" customHeight="1">
      <c r="A156" s="36" t="inlineStr">
        <is>
          <t>B</t>
        </is>
      </c>
      <c r="B156" s="24" t="inlineStr">
        <is>
          <t>疑義</t>
        </is>
      </c>
      <c r="C156" s="25" t="inlineStr">
        <is>
          <t>認知症高齢者自立度（B7）の認定者数合計が認定者数（B4-a）と一致しない</t>
        </is>
      </c>
      <c r="D156" s="25" t="inlineStr">
        <is>
          <t>★B7の令和6年10月末の認定者数合計253人に対し、B4-aの令和7年3月末の認定者数は198人で55人の差。集計範囲が異なるとみられるが確認が取れていない。素案2-3では実数ではなく構成比（Ⅱ以上の割合63.6%）を中心に記載している。</t>
        </is>
      </c>
      <c r="E156" s="23" t="inlineStr">
        <is>
          <t>Ⅱ-53</t>
        </is>
      </c>
      <c r="F156" s="23" t="inlineStr">
        <is>
          <t>doc36§2,doc18 2-3</t>
        </is>
      </c>
      <c r="G156" s="23" t="inlineStr">
        <is>
          <t>未依頼</t>
        </is>
      </c>
      <c r="H156" s="25" t="inlineStr"/>
    </row>
    <row r="157" ht="34" customHeight="1">
      <c r="A157" s="36" t="inlineStr">
        <is>
          <t>B</t>
        </is>
      </c>
      <c r="B157" s="24" t="inlineStr">
        <is>
          <t>素案</t>
        </is>
      </c>
      <c r="C157" s="25" t="inlineStr">
        <is>
          <t>章構成を第9期（全6章＋資料編）から踏襲することの可否</t>
        </is>
      </c>
      <c r="D157" s="25" t="inlineStr">
        <is>
          <t>素案は踏襲を前提。第2章に「2-8 保険者機能の評価」「2-9 第9期計画の進捗と評価」の2節を新設している。</t>
        </is>
      </c>
      <c r="E157" s="23" t="inlineStr">
        <is>
          <t>Ⅱ-75</t>
        </is>
      </c>
      <c r="F157" s="23" t="inlineStr">
        <is>
          <t>doc15,doc18</t>
        </is>
      </c>
      <c r="G157" s="23" t="inlineStr">
        <is>
          <t>未依頼</t>
        </is>
      </c>
      <c r="H157" s="25" t="inlineStr"/>
    </row>
    <row r="158" ht="34" customHeight="1">
      <c r="A158" s="36" t="inlineStr">
        <is>
          <t>B</t>
        </is>
      </c>
      <c r="B158" s="24" t="inlineStr">
        <is>
          <t>素案</t>
        </is>
      </c>
      <c r="C158" s="25" t="inlineStr">
        <is>
          <t>基本理念・基本目標の枠組みを第9期から継承することの可否</t>
        </is>
      </c>
      <c r="D158" s="25" t="inlineStr">
        <is>
          <t>素案は継承を前提に構成。変更する場合は第3章・第4章の全面的な組み替えが必要になる。</t>
        </is>
      </c>
      <c r="E158" s="23" t="inlineStr">
        <is>
          <t>Ⅱ-71,Ⅱ-75</t>
        </is>
      </c>
      <c r="F158" s="23" t="inlineStr">
        <is>
          <t>doc14§5,doc18 3-1</t>
        </is>
      </c>
      <c r="G158" s="23" t="inlineStr">
        <is>
          <t>未依頼</t>
        </is>
      </c>
      <c r="H158" s="25" t="inlineStr"/>
    </row>
    <row r="159" ht="34" customHeight="1">
      <c r="A159" s="36" t="inlineStr">
        <is>
          <t>B</t>
        </is>
      </c>
      <c r="B159" s="24" t="inlineStr">
        <is>
          <t>素案</t>
        </is>
      </c>
      <c r="C159" s="25" t="inlineStr">
        <is>
          <t>基本目標5「計画の推進と進捗管理」を独立させるか、各基本目標に横断的に組み込むか</t>
        </is>
      </c>
      <c r="D159" s="25" t="inlineStr">
        <is>
          <t>第9期で3年連続0点だったPDCAへの対応。独立を推奨するが構成上の選択であり村の意向による。</t>
        </is>
      </c>
      <c r="E159" s="23" t="inlineStr">
        <is>
          <t>Ⅱ-71,Ⅱ-75</t>
        </is>
      </c>
      <c r="F159" s="23" t="inlineStr">
        <is>
          <t>doc14§5,doc15,doc18 4-5</t>
        </is>
      </c>
      <c r="G159" s="23" t="inlineStr">
        <is>
          <t>未依頼</t>
        </is>
      </c>
      <c r="H159" s="25" t="inlineStr"/>
    </row>
    <row r="160" ht="34" customHeight="1">
      <c r="A160" s="36" t="inlineStr">
        <is>
          <t>B</t>
        </is>
      </c>
      <c r="B160" s="24" t="inlineStr">
        <is>
          <t>素案</t>
        </is>
      </c>
      <c r="C160" s="25" t="inlineStr">
        <is>
          <t>施設サービスの記載を「村外施設サービスの利用支援」に改めることの可否</t>
        </is>
      </c>
      <c r="D160" s="25" t="inlineStr">
        <is>
          <t>村内に該当施設がゼロ。第9期は特養〜介護医療院の4類型を列挙する記載で実態と乖離していた。</t>
        </is>
      </c>
      <c r="E160" s="23" t="inlineStr">
        <is>
          <t>Ⅱ-75</t>
        </is>
      </c>
      <c r="F160" s="23" t="inlineStr">
        <is>
          <t>doc17 B-3,doc18 4-3</t>
        </is>
      </c>
      <c r="G160" s="23" t="inlineStr">
        <is>
          <t>未依頼</t>
        </is>
      </c>
      <c r="H160" s="25" t="inlineStr"/>
    </row>
    <row r="161" ht="34" customHeight="1">
      <c r="A161" s="36" t="inlineStr">
        <is>
          <t>B</t>
        </is>
      </c>
      <c r="B161" s="24" t="inlineStr">
        <is>
          <t>素案</t>
        </is>
      </c>
      <c r="C161" s="25" t="inlineStr">
        <is>
          <t>計画本文に第9期の推計乖離（第1号被保険者数6.6%）を記載することの可否</t>
        </is>
      </c>
      <c r="D161" s="25" t="inlineStr">
        <is>
          <t>素案の2-9・5-1に記載。次期計画で本計画の推計精度を検証できるようにする趣旨だが、自らの誤差を公表することになるため村の判断を要する。</t>
        </is>
      </c>
      <c r="E161" s="23" t="inlineStr">
        <is>
          <t>Ⅱ-75</t>
        </is>
      </c>
      <c r="F161" s="23" t="inlineStr">
        <is>
          <t>doc17 A-1,doc18 2-9</t>
        </is>
      </c>
      <c r="G161" s="23" t="inlineStr">
        <is>
          <t>未依頼</t>
        </is>
      </c>
      <c r="H161" s="25" t="inlineStr"/>
    </row>
    <row r="162" ht="34" customHeight="1">
      <c r="A162" s="36" t="inlineStr">
        <is>
          <t>B</t>
        </is>
      </c>
      <c r="B162" s="24" t="inlineStr">
        <is>
          <t>素案</t>
        </is>
      </c>
      <c r="C162" s="25" t="inlineStr">
        <is>
          <t>第9期保険料の再算定試算（6,761円→約6,346円）の取扱い</t>
        </is>
      </c>
      <c r="D162" s="25" t="inlineStr">
        <is>
          <t>第1号被保険者数のみを実績に置換した試算で、福島県平均6,340円とほぼ一致する。素案5-7に記載しているが、公表資料での扱いは村の判断による。</t>
        </is>
      </c>
      <c r="E162" s="23" t="inlineStr">
        <is>
          <t>Ⅱ-64,Ⅱ-75</t>
        </is>
      </c>
      <c r="F162" s="23" t="inlineStr">
        <is>
          <t>doc17 A-1,doc18 5-7</t>
        </is>
      </c>
      <c r="G162" s="23" t="inlineStr">
        <is>
          <t>未依頼</t>
        </is>
      </c>
      <c r="H162" s="25" t="inlineStr"/>
    </row>
    <row r="163" ht="34" customHeight="1">
      <c r="A163" s="36" t="inlineStr">
        <is>
          <t>B</t>
        </is>
      </c>
      <c r="B163" s="24" t="inlineStr">
        <is>
          <t>計画構成</t>
        </is>
      </c>
      <c r="C163" s="25" t="inlineStr">
        <is>
          <t>北塩原村第六次総合振興計画の策定状況</t>
        </is>
      </c>
      <c r="D163" s="25" t="inlineStr">
        <is>
          <t>第五次は2017〜2026。第10期（令和9〜11年度）の上位計画になる。</t>
        </is>
      </c>
      <c r="E163" s="23" t="inlineStr">
        <is>
          <t>Ⅱ-72</t>
        </is>
      </c>
      <c r="F163" s="23" t="inlineStr">
        <is>
          <t>doc08§8-4</t>
        </is>
      </c>
      <c r="G163" s="23" t="inlineStr">
        <is>
          <t>未依頼</t>
        </is>
      </c>
      <c r="H163" s="25" t="inlineStr"/>
    </row>
    <row r="164" ht="34" customHeight="1">
      <c r="A164" s="36" t="inlineStr">
        <is>
          <t>B</t>
        </is>
      </c>
      <c r="B164" s="24" t="inlineStr">
        <is>
          <t>計画構成</t>
        </is>
      </c>
      <c r="C164" s="25" t="inlineStr">
        <is>
          <t>認知症施策推進計画・成年後見制度利用促進基本計画の一体化を第10期も踏襲するか</t>
        </is>
      </c>
      <c r="D164" s="25" t="inlineStr">
        <is>
          <t>第9期は基本目標4に内包する構成。素案は踏襲を前提に1-2で法的根拠を記載している。</t>
        </is>
      </c>
      <c r="E164" s="23" t="inlineStr">
        <is>
          <t>Ⅱ-73,Ⅱ-75</t>
        </is>
      </c>
      <c r="F164" s="23" t="inlineStr">
        <is>
          <t>doc01-5,doc18 1-2</t>
        </is>
      </c>
      <c r="G164" s="23" t="inlineStr">
        <is>
          <t>未依頼</t>
        </is>
      </c>
      <c r="H164" s="25" t="inlineStr"/>
    </row>
    <row r="165" ht="34" customHeight="1">
      <c r="A165" s="36" t="inlineStr">
        <is>
          <t>B</t>
        </is>
      </c>
      <c r="B165" s="24" t="inlineStr">
        <is>
          <t>計画構成</t>
        </is>
      </c>
      <c r="C165" s="25" t="inlineStr">
        <is>
          <t>定住自立圏（喜多方市・西会津町）／会津権利擁護・成年後見センターとの広域連携の記載方針</t>
        </is>
      </c>
      <c r="D165" s="25" t="inlineStr">
        <is>
          <t>施策の書きぶりに影響。</t>
        </is>
      </c>
      <c r="E165" s="23" t="inlineStr">
        <is>
          <t>Ⅱ-71,Ⅱ-72</t>
        </is>
      </c>
      <c r="F165" s="23" t="inlineStr">
        <is>
          <t>doc01-12</t>
        </is>
      </c>
      <c r="G165" s="23" t="inlineStr">
        <is>
          <t>未依頼</t>
        </is>
      </c>
      <c r="H165" s="25" t="inlineStr"/>
    </row>
    <row r="166" ht="34" customHeight="1">
      <c r="A166" s="36" t="inlineStr">
        <is>
          <t>B</t>
        </is>
      </c>
      <c r="B166" s="24" t="inlineStr">
        <is>
          <t>計画構成</t>
        </is>
      </c>
      <c r="C166" s="25" t="inlineStr">
        <is>
          <t>整合を図る関連計画の網羅（障がい福祉計画・障がい者計画・地域福祉計画等）</t>
        </is>
      </c>
      <c r="D166" s="25" t="inlineStr">
        <is>
          <t>資料には基本指針・第5次総合振興計画・第3次健康21のみ記載。</t>
        </is>
      </c>
      <c r="E166" s="23" t="inlineStr">
        <is>
          <t>Ⅱ-72</t>
        </is>
      </c>
      <c r="F166" s="23" t="inlineStr">
        <is>
          <t>doc19 追-13</t>
        </is>
      </c>
      <c r="G166" s="23" t="inlineStr">
        <is>
          <t>未依頼</t>
        </is>
      </c>
      <c r="H166" s="25" t="inlineStr"/>
    </row>
    <row r="167" ht="34" customHeight="1">
      <c r="A167" s="36" t="inlineStr">
        <is>
          <t>B</t>
        </is>
      </c>
      <c r="B167" s="24" t="inlineStr">
        <is>
          <t>調査設計</t>
        </is>
      </c>
      <c r="C167" s="25" t="inlineStr">
        <is>
          <t>督促（リマインド）の実施可否と追加郵送費の扱い</t>
        </is>
      </c>
      <c r="D167" s="25" t="inlineStr">
        <is>
          <t>第9期の在宅調査は回収率45.8%（72人中33人）。150人でも同率なら約69件で、クロス集計に耐えない可能性。</t>
        </is>
      </c>
      <c r="E167" s="23" t="inlineStr">
        <is>
          <t>Ⅰ-31</t>
        </is>
      </c>
      <c r="F167" s="23" t="inlineStr">
        <is>
          <t>doc19 追-6</t>
        </is>
      </c>
      <c r="G167" s="23" t="inlineStr">
        <is>
          <t>未依頼</t>
        </is>
      </c>
      <c r="H167" s="25" t="inlineStr"/>
    </row>
    <row r="168" ht="34" customHeight="1">
      <c r="A168" s="36" t="inlineStr">
        <is>
          <t>B</t>
        </is>
      </c>
      <c r="B168" s="24" t="inlineStr">
        <is>
          <t>調査設計</t>
        </is>
      </c>
      <c r="C168" s="25" t="inlineStr">
        <is>
          <t>集計・分析で村が最も確認したい事項（クロス集計の設計）</t>
        </is>
      </c>
      <c r="D168" s="25" t="inlineStr">
        <is>
          <t>資料5の論点表から落とす。地区別（北山・大塩・桧原・裏磐梯）は第9期報告書が全設問で実施しており踏襲が前提だが、多重クロスは特定リスクがあるため細分の程度を確認。</t>
        </is>
      </c>
      <c r="E168" s="23" t="inlineStr">
        <is>
          <t>Ⅰ-40,Ⅰ-42</t>
        </is>
      </c>
      <c r="F168" s="23" t="inlineStr">
        <is>
          <t>doc19 追-7</t>
        </is>
      </c>
      <c r="G168" s="23" t="inlineStr">
        <is>
          <t>未依頼</t>
        </is>
      </c>
      <c r="H168" s="25" t="inlineStr"/>
    </row>
    <row r="169" ht="34" customHeight="1">
      <c r="A169" s="36" t="inlineStr">
        <is>
          <t>B</t>
        </is>
      </c>
      <c r="B169" s="24" t="inlineStr">
        <is>
          <t>調査設計</t>
        </is>
      </c>
      <c r="C169" s="25" t="inlineStr">
        <is>
          <t>ニーズ調査 問6(1)の選択肢への補足表記の可否（常勤（フルタイム）／非常勤（パート・アルバイト等））</t>
        </is>
      </c>
      <c r="D169" s="25" t="inlineStr">
        <is>
          <t>厳密には選択肢文言の改変にあたるが、手引きQ&amp;Aの「通称を付ける」例に近く実務上は許容される可能性が高い。回答率への影響を考えると補足を残すことを推奨。村の判断を仰ぐ。</t>
        </is>
      </c>
      <c r="E169" s="23" t="inlineStr">
        <is>
          <t>Ⅰ-09</t>
        </is>
      </c>
      <c r="F169" s="23" t="inlineStr">
        <is>
          <t>doc23§1-3</t>
        </is>
      </c>
      <c r="G169" s="23" t="inlineStr">
        <is>
          <t>未依頼</t>
        </is>
      </c>
      <c r="H169" s="25" t="inlineStr"/>
    </row>
    <row r="170" ht="34" customHeight="1">
      <c r="A170" s="36" t="inlineStr">
        <is>
          <t>B</t>
        </is>
      </c>
      <c r="B170" s="24" t="inlineStr">
        <is>
          <t>調査設計</t>
        </is>
      </c>
      <c r="C170" s="25" t="inlineStr">
        <is>
          <t>送付状の個人情報に関する説明の補強</t>
        </is>
      </c>
      <c r="D170" s="25" t="inlineStr">
        <is>
          <t>第2稿で「回答された方が特定されることはありません」を「管理番号等は統計分析上において利用するものです」に変更。管理番号で紐付ける以上この修正は正しい方向だが説明として短い。議事録のクレーム対策の趣旨に沿った文案を提示済。</t>
        </is>
      </c>
      <c r="E170" s="23" t="inlineStr">
        <is>
          <t>Ⅰ-14</t>
        </is>
      </c>
      <c r="F170" s="23" t="inlineStr">
        <is>
          <t>doc27§5-1</t>
        </is>
      </c>
      <c r="G170" s="23" t="inlineStr">
        <is>
          <t>未依頼</t>
        </is>
      </c>
      <c r="H170" s="25" t="inlineStr"/>
    </row>
    <row r="171" ht="34" customHeight="1">
      <c r="A171" s="36" t="inlineStr">
        <is>
          <t>B</t>
        </is>
      </c>
      <c r="B171" s="24" t="inlineStr">
        <is>
          <t>調査設計</t>
        </is>
      </c>
      <c r="C171" s="25" t="inlineStr">
        <is>
          <t>ニーズ調査の選択肢の表記変更5件の可否（障がい表記・ぜひ・役場・移動販売・フルタイム）</t>
        </is>
      </c>
      <c r="D171" s="25" t="inlineStr">
        <is>
          <t>村の表記ルール等による変更。手引きQ&amp;Aの「通称への置き換え」に近く多くは許容されると考えるが、「買い物（移動販売等※宅配は含まない）」のみ回答の範囲を広げる方向の変更で第9期・他保険者との比較に影響し得る。</t>
        </is>
      </c>
      <c r="E171" s="23" t="inlineStr">
        <is>
          <t>Ⅰ-09</t>
        </is>
      </c>
      <c r="F171" s="23" t="inlineStr">
        <is>
          <t>doc27§4</t>
        </is>
      </c>
      <c r="G171" s="23" t="inlineStr">
        <is>
          <t>未依頼</t>
        </is>
      </c>
      <c r="H171" s="25" t="inlineStr"/>
    </row>
    <row r="172" ht="34" customHeight="1">
      <c r="A172" s="37" t="inlineStr">
        <is>
          <t>C</t>
        </is>
      </c>
      <c r="B172" s="24" t="inlineStr">
        <is>
          <t>成果品</t>
        </is>
      </c>
      <c r="C172" s="25" t="inlineStr">
        <is>
          <t>計画書の判型・レイアウト・表紙デザインの踏襲可否</t>
        </is>
      </c>
      <c r="D172" s="25" t="inlineStr">
        <is>
          <t>第9期はA4・本文104頁・全6章＋資料編。</t>
        </is>
      </c>
      <c r="E172" s="23" t="inlineStr">
        <is>
          <t>Ⅱ-113,Ⅳ-89</t>
        </is>
      </c>
      <c r="F172" s="23" t="inlineStr">
        <is>
          <t>doc01-10</t>
        </is>
      </c>
      <c r="G172" s="23" t="inlineStr">
        <is>
          <t>未依頼</t>
        </is>
      </c>
      <c r="H172" s="25" t="inlineStr"/>
    </row>
    <row r="173" ht="34" customHeight="1">
      <c r="A173" s="37" t="inlineStr">
        <is>
          <t>C</t>
        </is>
      </c>
      <c r="B173" s="24" t="inlineStr">
        <is>
          <t>成果品</t>
        </is>
      </c>
      <c r="C173" s="25" t="inlineStr">
        <is>
          <t>概要版の要否（仕様書に記載なし。第9期は概要版を作成している）</t>
        </is>
      </c>
      <c r="D173" s="25" t="inlineStr">
        <is>
          <t>★第9期概要版（2ページ）の現物を受領し存在を確認。仕様書に記載がないため別途対応か要確認。</t>
        </is>
      </c>
      <c r="E173" s="23" t="inlineStr">
        <is>
          <t>Ⅳ-92</t>
        </is>
      </c>
      <c r="F173" s="23" t="inlineStr">
        <is>
          <t>doc01-10,doc08</t>
        </is>
      </c>
      <c r="G173" s="23" t="inlineStr">
        <is>
          <t>未依頼</t>
        </is>
      </c>
      <c r="H173" s="25" t="inlineStr"/>
    </row>
    <row r="175" ht="20" customHeight="1">
      <c r="A175" s="38" t="inlineStr">
        <is>
          <t>■ 解決済み（記録）</t>
        </is>
      </c>
    </row>
    <row r="176" ht="34" customHeight="1">
      <c r="A176" s="39" t="inlineStr">
        <is>
          <t>―</t>
        </is>
      </c>
      <c r="B176" s="40" t="inlineStr">
        <is>
          <t>疑義</t>
        </is>
      </c>
      <c r="C176" s="41" t="inlineStr">
        <is>
          <t>第1号被保険者数・認定者数の推計に2系列が併存していた（社内・解消済）</t>
        </is>
      </c>
      <c r="D176" s="41" t="inlineStr">
        <is>
          <t>★素案5-2・5-3が社人研推計（国勢調査ベース）、5-4以降が厚生労働省配布の推計用人口（住民基本台帳ベース）を用いており、令和11年の認定者数が230人と220人で食い違っていた。厚生労働省配布の系列（B案）に統一し、5-1・5-2・5-3を全面的に書き改めた。介護保険の第1号被保険者数が住民基本台帳を基礎とすること、国の推計ワークシートが同じ配布データを用いることによる。</t>
        </is>
      </c>
      <c r="E176" s="39" t="inlineStr">
        <is>
          <t>Ⅱ-56,Ⅱ-64</t>
        </is>
      </c>
      <c r="F176" s="39" t="inlineStr">
        <is>
          <t>doc35§7-3(1)</t>
        </is>
      </c>
      <c r="G176" s="39" t="inlineStr">
        <is>
          <t>解決済</t>
        </is>
      </c>
      <c r="H176" s="41" t="inlineStr"/>
    </row>
    <row r="177" ht="34" customHeight="1">
      <c r="A177" s="39" t="inlineStr">
        <is>
          <t>―</t>
        </is>
      </c>
      <c r="B177" s="40" t="inlineStr">
        <is>
          <t>データ</t>
        </is>
      </c>
      <c r="C177" s="41" t="inlineStr">
        <is>
          <t>成年後見制度（市民後見人養成含む）の利用実態・実績</t>
        </is>
      </c>
      <c r="D177" s="41" t="inlineStr">
        <is>
          <t>令和7・8年度の成年後見制度利用促進施策に係る取組状況調査（市町村票）と会津権利擁護・成年後見センターの相談件数の受領により解決。利用者4人、市町村長申立て0件、市民後見人の登録0人・受任0件、中核機関・協議会・申立費用助成・報酬助成はいずれも整備済。</t>
        </is>
      </c>
      <c r="E177" s="39" t="inlineStr">
        <is>
          <t>Ⅱ-68,Ⅱ-69</t>
        </is>
      </c>
      <c r="F177" s="39" t="inlineStr">
        <is>
          <t>doc28§3</t>
        </is>
      </c>
      <c r="G177" s="39" t="inlineStr">
        <is>
          <t>解決済</t>
        </is>
      </c>
      <c r="H177" s="41" t="inlineStr"/>
    </row>
    <row r="178" ht="34" customHeight="1">
      <c r="A178" s="39" t="inlineStr">
        <is>
          <t>―</t>
        </is>
      </c>
      <c r="B178" s="40" t="inlineStr">
        <is>
          <t>体制</t>
        </is>
      </c>
      <c r="C178" s="41" t="inlineStr">
        <is>
          <t>所管課・窓口の確認（住民課→保健福祉課の変更の有無、担当者体制）</t>
        </is>
      </c>
      <c r="D178" s="41" t="inlineStr">
        <is>
          <t>成年後見の調査票により解決。報告担当課・主管課とも保健福祉課、担当は小林 洋一様、電話0241-23-3113、メールfukushi01@vill.kitashiobara.fukushima.jp。調査票の問合せ先表記も裏づけられた。</t>
        </is>
      </c>
      <c r="E178" s="39" t="inlineStr">
        <is>
          <t>０-04</t>
        </is>
      </c>
      <c r="F178" s="39" t="inlineStr">
        <is>
          <t>doc28§4</t>
        </is>
      </c>
      <c r="G178" s="39" t="inlineStr">
        <is>
          <t>解決済</t>
        </is>
      </c>
      <c r="H178" s="41" t="inlineStr"/>
    </row>
    <row r="179" ht="34" customHeight="1">
      <c r="A179" s="39" t="inlineStr">
        <is>
          <t>―</t>
        </is>
      </c>
      <c r="B179" s="40" t="inlineStr">
        <is>
          <t>データ</t>
        </is>
      </c>
      <c r="C179" s="41" t="inlineStr">
        <is>
          <t>所得段階別の第1号被保険者数</t>
        </is>
      </c>
      <c r="D179" s="41" t="inlineStr">
        <is>
          <t>令和8年度合計所得金額分布調査の入力済み調査票により解決。13段階・合計1,015人。非課税層60.3%、第1〜3段階だけで346人・34.1%。10万円刻みの分布も入手。</t>
        </is>
      </c>
      <c r="E179" s="39" t="inlineStr">
        <is>
          <t>Ⅱ-64</t>
        </is>
      </c>
      <c r="F179" s="39" t="inlineStr">
        <is>
          <t>doc28§2</t>
        </is>
      </c>
      <c r="G179" s="39" t="inlineStr">
        <is>
          <t>解決済</t>
        </is>
      </c>
      <c r="H179" s="41" t="inlineStr"/>
    </row>
    <row r="180" ht="34" customHeight="1">
      <c r="A180" s="39" t="inlineStr">
        <is>
          <t>―</t>
        </is>
      </c>
      <c r="B180" s="40" t="inlineStr">
        <is>
          <t>データ</t>
        </is>
      </c>
      <c r="C180" s="41" t="inlineStr">
        <is>
          <t>第10期の将来推計人口・第1号被保険者数の推計データ</t>
        </is>
      </c>
      <c r="D180" s="41" t="inlineStr">
        <is>
          <t>厚労省配布の第10期将来推計用人口推計（住基ベース）と補正係数の受領により解決。補正後の第1号被保険者数は令和9年946人／令和10年939人／令和11年931人。ただし直近実績を約6%下回る論点あり（K-106）。</t>
        </is>
      </c>
      <c r="E180" s="39" t="inlineStr">
        <is>
          <t>Ⅱ-59</t>
        </is>
      </c>
      <c r="F180" s="39" t="inlineStr">
        <is>
          <t>doc28§1</t>
        </is>
      </c>
      <c r="G180" s="39" t="inlineStr">
        <is>
          <t>解決済</t>
        </is>
      </c>
      <c r="H180" s="41" t="inlineStr"/>
    </row>
    <row r="181" ht="34" customHeight="1">
      <c r="A181" s="39" t="inlineStr">
        <is>
          <t>―</t>
        </is>
      </c>
      <c r="B181" s="40" t="inlineStr">
        <is>
          <t>調査設計</t>
        </is>
      </c>
      <c r="C181" s="41" t="inlineStr">
        <is>
          <t>ニーズ調査 選択肢の順序が標準と逆になっている7か所の修正</t>
        </is>
      </c>
      <c r="D181" s="41" t="inlineStr">
        <is>
          <t>第2稿（0904版）で問7の6か所を修正済。誤植2件（「そのような人はいないその他」「いないその他」）も解消。★問1(2)①の1か所が未修正のため別項目として再掲。</t>
        </is>
      </c>
      <c r="E181" s="39" t="inlineStr">
        <is>
          <t>Ⅰ-09</t>
        </is>
      </c>
      <c r="F181" s="39" t="inlineStr">
        <is>
          <t>doc27§1-1</t>
        </is>
      </c>
      <c r="G181" s="39" t="inlineStr">
        <is>
          <t>解決済（一部再掲）</t>
        </is>
      </c>
      <c r="H181" s="41" t="inlineStr"/>
    </row>
    <row r="182" ht="34" customHeight="1">
      <c r="A182" s="39" t="inlineStr">
        <is>
          <t>―</t>
        </is>
      </c>
      <c r="B182" s="40" t="inlineStr">
        <is>
          <t>調査設計</t>
        </is>
      </c>
      <c r="C182" s="41" t="inlineStr">
        <is>
          <t>在宅介護実態調査 前回指摘2件の反映（介護療養型医療施設の削除／傷病の選択肢13・14の入替）</t>
        </is>
      </c>
      <c r="D182" s="41" t="inlineStr">
        <is>
          <t>第2稿（0904版）で両方とも修正済。</t>
        </is>
      </c>
      <c r="E182" s="39" t="inlineStr">
        <is>
          <t>Ⅰ-10</t>
        </is>
      </c>
      <c r="F182" s="39" t="inlineStr">
        <is>
          <t>doc27§1-2</t>
        </is>
      </c>
      <c r="G182" s="39" t="inlineStr">
        <is>
          <t>解決済</t>
        </is>
      </c>
      <c r="H182" s="41" t="inlineStr"/>
    </row>
    <row r="183" ht="34" customHeight="1">
      <c r="A183" s="39" t="inlineStr">
        <is>
          <t>―</t>
        </is>
      </c>
      <c r="B183" s="40" t="inlineStr">
        <is>
          <t>調査設計</t>
        </is>
      </c>
      <c r="C183" s="41" t="inlineStr">
        <is>
          <t>在宅介護実態調査 標準の問13「訪問診療」の復活</t>
        </is>
      </c>
      <c r="D183" s="41" t="inlineStr">
        <is>
          <t>第2稿（0904版）で復活。★ただし番号が問12として付されており問13が欠番。番号の修正を別項目として再掲。</t>
        </is>
      </c>
      <c r="E183" s="39" t="inlineStr">
        <is>
          <t>Ⅰ-10</t>
        </is>
      </c>
      <c r="F183" s="39" t="inlineStr">
        <is>
          <t>doc27§1-2</t>
        </is>
      </c>
      <c r="G183" s="39" t="inlineStr">
        <is>
          <t>解決済（番号は再掲）</t>
        </is>
      </c>
      <c r="H183" s="41" t="inlineStr"/>
    </row>
    <row r="184" ht="34" customHeight="1">
      <c r="A184" s="39" t="inlineStr">
        <is>
          <t>―</t>
        </is>
      </c>
      <c r="B184" s="40" t="inlineStr">
        <is>
          <t>調査設計</t>
        </is>
      </c>
      <c r="C184" s="41" t="inlineStr">
        <is>
          <t>調査の基準日（ニーズ調査・在宅介護実態調査）</t>
        </is>
      </c>
      <c r="D184" s="41" t="inlineStr">
        <is>
          <t>キックオフ会議（令和8年9月1日）で決着：令和8年9月1日を基準日とする。</t>
        </is>
      </c>
      <c r="E184" s="39" t="inlineStr">
        <is>
          <t>Ⅰ-08,Ⅰ-24</t>
        </is>
      </c>
      <c r="F184" s="39" t="inlineStr">
        <is>
          <t>doc22 §1</t>
        </is>
      </c>
      <c r="G184" s="39" t="inlineStr">
        <is>
          <t>解決済</t>
        </is>
      </c>
      <c r="H184" s="41" t="inlineStr"/>
    </row>
    <row r="185" ht="34" customHeight="1">
      <c r="A185" s="39" t="inlineStr">
        <is>
          <t>―</t>
        </is>
      </c>
      <c r="B185" s="40" t="inlineStr">
        <is>
          <t>調査設計</t>
        </is>
      </c>
      <c r="C185" s="41" t="inlineStr">
        <is>
          <t>在宅介護実態調査 約150人の抽出基準</t>
        </is>
      </c>
      <c r="D185" s="41" t="inlineStr">
        <is>
          <t>キックオフ会議で決着：要支援1・2および要介護1〜5の在宅生活者等、150件。</t>
        </is>
      </c>
      <c r="E185" s="39" t="inlineStr">
        <is>
          <t>Ⅰ-08,Ⅰ-24</t>
        </is>
      </c>
      <c r="F185" s="39" t="inlineStr">
        <is>
          <t>doc22 §1</t>
        </is>
      </c>
      <c r="G185" s="39" t="inlineStr">
        <is>
          <t>解決済</t>
        </is>
      </c>
      <c r="H185" s="41" t="inlineStr"/>
    </row>
    <row r="186" ht="34" customHeight="1">
      <c r="A186" s="39" t="inlineStr">
        <is>
          <t>―</t>
        </is>
      </c>
      <c r="B186" s="40" t="inlineStr">
        <is>
          <t>成果品</t>
        </is>
      </c>
      <c r="C186" s="41" t="inlineStr">
        <is>
          <t>施策体系図（基本理念→基本目標5→施策28の階層図）の計画書への掲載</t>
        </is>
      </c>
      <c r="D186" s="41" t="inlineStr">
        <is>
          <t>★2026/09/25 作成して素案3-4と委員会資料4-4に掲載した。第9期が第3章に掲げていた施策体系とSDGsの対応を、体系図（3-4）と対応表（3-5）の2本立てに再構成したもの。3-4にあった同じ内容の平坦な表は図に置き換えて重複を解いた。計画書の推定は97頁で仕様書の約100頁に3頁の余裕がある。</t>
        </is>
      </c>
      <c r="E186" s="39" t="inlineStr">
        <is>
          <t>Ⅱ-113,Ⅱ-71</t>
        </is>
      </c>
      <c r="F186" s="39" t="inlineStr">
        <is>
          <t>doc41§6</t>
        </is>
      </c>
      <c r="G186" s="39" t="inlineStr">
        <is>
          <t>解決済</t>
        </is>
      </c>
      <c r="H186" s="41" t="inlineStr"/>
    </row>
    <row r="187" ht="34" customHeight="1">
      <c r="A187" s="39" t="inlineStr">
        <is>
          <t>―</t>
        </is>
      </c>
      <c r="B187" s="40" t="inlineStr">
        <is>
          <t>調査設計</t>
        </is>
      </c>
      <c r="C187" s="41" t="inlineStr">
        <is>
          <t>配布・回収方法と宛名ラベル・封筒の用意</t>
        </is>
      </c>
      <c r="D187" s="41" t="inlineStr">
        <is>
          <t>キックオフ会議で決着：郵送（紙）とWeb回答（QRコード）の併用。宛名ラベル・封筒は北塩原村が用意。回収は村で100件程度集まるごとに随時受託者へ小分け送付。</t>
        </is>
      </c>
      <c r="E187" s="39" t="inlineStr">
        <is>
          <t>Ⅰ-25,Ⅰ-26</t>
        </is>
      </c>
      <c r="F187" s="39" t="inlineStr">
        <is>
          <t>doc22 §1</t>
        </is>
      </c>
      <c r="G187" s="39" t="inlineStr">
        <is>
          <t>解決済</t>
        </is>
      </c>
      <c r="H187" s="41" t="inlineStr"/>
    </row>
    <row r="188" ht="34" customHeight="1">
      <c r="A188" s="39" t="inlineStr">
        <is>
          <t>―</t>
        </is>
      </c>
      <c r="B188" s="40" t="inlineStr">
        <is>
          <t>疑義</t>
        </is>
      </c>
      <c r="C188" s="41" t="inlineStr">
        <is>
          <t>配布用封筒の用意の主体（仕様書4Ⅰ(3)は受託者の印刷対象としている）</t>
        </is>
      </c>
      <c r="D188" s="41" t="inlineStr">
        <is>
          <t>★2026/09/24 村の回答で決着：配布用封筒は村が用意し、費用は村側で請求処理する。受託者が印刷するのは返信用（回収用）のみ。仕様書4Ⅰ(3)の「封筒（配布用・回収用）」との差異は解消した。</t>
        </is>
      </c>
      <c r="E188" s="39" t="inlineStr">
        <is>
          <t>Ⅰ-23,Ⅰ-26,Ⅰ-103</t>
        </is>
      </c>
      <c r="F188" s="39" t="inlineStr">
        <is>
          <t>doc39§5</t>
        </is>
      </c>
      <c r="G188" s="39" t="inlineStr">
        <is>
          <t>解決済</t>
        </is>
      </c>
      <c r="H188" s="41" t="inlineStr"/>
    </row>
    <row r="189" ht="34" customHeight="1">
      <c r="A189" s="39" t="inlineStr">
        <is>
          <t>―</t>
        </is>
      </c>
      <c r="B189" s="40" t="inlineStr">
        <is>
          <t>疑義</t>
        </is>
      </c>
      <c r="C189" s="41" t="inlineStr">
        <is>
          <t>在宅介護実態調査の対象者数（仕様書の約150人に対し118人）</t>
        </is>
      </c>
      <c r="D189" s="41" t="inlineStr">
        <is>
          <t>★2026/09/24 村の回答で決着：118人で問題なし。仕様書4Ⅰ(1)の「約150人」との差異は解消した。集計設計上のセル数の扱いは当方の判断事項として継続。</t>
        </is>
      </c>
      <c r="E189" s="39" t="inlineStr">
        <is>
          <t>Ⅰ-08,Ⅰ-24,Ⅰ-103</t>
        </is>
      </c>
      <c r="F189" s="39" t="inlineStr">
        <is>
          <t>doc39§5</t>
        </is>
      </c>
      <c r="G189" s="39" t="inlineStr">
        <is>
          <t>解決済</t>
        </is>
      </c>
      <c r="H189" s="41" t="inlineStr"/>
    </row>
    <row r="190" ht="34" customHeight="1">
      <c r="A190" s="39" t="inlineStr">
        <is>
          <t>―</t>
        </is>
      </c>
      <c r="B190" s="40" t="inlineStr">
        <is>
          <t>成果品</t>
        </is>
      </c>
      <c r="C190" s="41" t="inlineStr">
        <is>
          <t>アンケート調査報告書の分量（仕様書の約100頁に対し想定118頁）</t>
        </is>
      </c>
      <c r="D190" s="41" t="inlineStr">
        <is>
          <t>★2026/09/24 村の回答で決着：仕様書どおり約100頁に統一する。第Ⅱ部（分析編25頁）は計画の根拠のため維持し、第Ⅰ部（単純集計編）と資料編で18頁を圧縮する（doc24§1改訂）。部数は仕様書のとおり10部。</t>
        </is>
      </c>
      <c r="E190" s="39" t="inlineStr">
        <is>
          <t>Ⅳ-90</t>
        </is>
      </c>
      <c r="F190" s="39" t="inlineStr">
        <is>
          <t>doc39§5</t>
        </is>
      </c>
      <c r="G190" s="39" t="inlineStr">
        <is>
          <t>解決済</t>
        </is>
      </c>
      <c r="H190" s="41" t="inlineStr"/>
    </row>
    <row r="191" ht="34" customHeight="1">
      <c r="A191" s="39" t="inlineStr">
        <is>
          <t>―</t>
        </is>
      </c>
      <c r="B191" s="40" t="inlineStr">
        <is>
          <t>成果品</t>
        </is>
      </c>
      <c r="C191" s="41" t="inlineStr">
        <is>
          <t>100頁への圧縮の当て方（集計編を圧縮するか、調査票を電子媒体に移すか）</t>
        </is>
      </c>
      <c r="D191" s="41" t="inlineStr">
        <is>
          <t>★2026/09/25 案Bを採用：調査票2種・単純集計表・自由記述の全文を電子媒体に収録し、資料編を25頁→6頁とする。浮いた頁を集計編に戻し第3章42頁・第4章21頁（計63頁・1頁1.7設問）とした。当初案118頁と同じ密度を100頁の枠内で保てる。案A（集計編を47頁に圧縮）は1頁2.3設問で第9期の2.5倍の密度となり、選択肢の多い設問が物理的に入らないため採らなかった。</t>
        </is>
      </c>
      <c r="E191" s="39" t="inlineStr">
        <is>
          <t>Ⅳ-90,Ⅰ-48,Ⅳ-91,Ⅳ-114</t>
        </is>
      </c>
      <c r="F191" s="39" t="inlineStr">
        <is>
          <t>doc24§1-1,doc40§2</t>
        </is>
      </c>
      <c r="G191" s="39" t="inlineStr">
        <is>
          <t>解決済</t>
        </is>
      </c>
      <c r="H191" s="41" t="inlineStr"/>
    </row>
    <row r="192" ht="34" customHeight="1">
      <c r="A192" s="39" t="inlineStr">
        <is>
          <t>―</t>
        </is>
      </c>
      <c r="B192" s="40" t="inlineStr">
        <is>
          <t>計画構成</t>
        </is>
      </c>
      <c r="C192" s="41" t="inlineStr">
        <is>
          <t>整合を図る関連計画の範囲</t>
        </is>
      </c>
      <c r="D192" s="41" t="inlineStr">
        <is>
          <t>キックオフ会議で決着：国の基本方針・総合計画・障がい福祉計画・地域福祉計画・グッドヘルスプラン（21計画）・生涯学習計画。</t>
        </is>
      </c>
      <c r="E192" s="39" t="inlineStr">
        <is>
          <t>Ⅱ-72</t>
        </is>
      </c>
      <c r="F192" s="39" t="inlineStr">
        <is>
          <t>doc22 §1</t>
        </is>
      </c>
      <c r="G192" s="39" t="inlineStr">
        <is>
          <t>解決済</t>
        </is>
      </c>
      <c r="H192" s="41" t="inlineStr"/>
    </row>
    <row r="193" ht="34" customHeight="1">
      <c r="A193" s="39" t="inlineStr">
        <is>
          <t>―</t>
        </is>
      </c>
      <c r="B193" s="40" t="inlineStr">
        <is>
          <t>データ</t>
        </is>
      </c>
      <c r="C193" s="41" t="inlineStr">
        <is>
          <t>保険者機能強化推進交付金（W系）の福島県平均・全国平均</t>
        </is>
      </c>
      <c r="D193" s="41" t="inlineStr">
        <is>
          <t>厚労省の全国集計表（令和6・7・8年度）の受領により解決。全国平均・中央値・標準偏差・該当率・全国順位を取得し、県内59市町村の生データから県平均・県内順位も算出。</t>
        </is>
      </c>
      <c r="E193" s="39" t="inlineStr">
        <is>
          <t>Ⅱ-65</t>
        </is>
      </c>
      <c r="F193" s="39" t="inlineStr">
        <is>
          <t>doc20§3,§4</t>
        </is>
      </c>
      <c r="G193" s="39" t="inlineStr">
        <is>
          <t>解決済</t>
        </is>
      </c>
      <c r="H193" s="41" t="inlineStr"/>
    </row>
    <row r="194" ht="34" customHeight="1">
      <c r="A194" s="39" t="inlineStr">
        <is>
          <t>―</t>
        </is>
      </c>
      <c r="B194" s="40" t="inlineStr">
        <is>
          <t>データ</t>
        </is>
      </c>
      <c r="C194" s="41" t="inlineStr">
        <is>
          <t>交付要綱の配点表（満点）</t>
        </is>
      </c>
      <c r="D194" s="41" t="inlineStr">
        <is>
          <t>令和8年度評価指標（市町村分）の配点表を受領し解決。推進交付金400点・支援交付金400点、目標Ⅰ〜Ⅳ各100点と判明。</t>
        </is>
      </c>
      <c r="E194" s="39" t="inlineStr">
        <is>
          <t>Ⅱ-65</t>
        </is>
      </c>
      <c r="F194" s="39" t="inlineStr">
        <is>
          <t>doc20§2</t>
        </is>
      </c>
      <c r="G194" s="39" t="inlineStr">
        <is>
          <t>解決済</t>
        </is>
      </c>
      <c r="H194" s="41" t="inlineStr"/>
    </row>
    <row r="195" ht="34" customHeight="1">
      <c r="A195" s="39" t="inlineStr">
        <is>
          <t>―</t>
        </is>
      </c>
      <c r="B195" s="40" t="inlineStr">
        <is>
          <t>データ</t>
        </is>
      </c>
      <c r="C195" s="41" t="inlineStr">
        <is>
          <t>令和6年度・令和7年度の交付金評価結果</t>
        </is>
      </c>
      <c r="D195" s="41" t="inlineStr">
        <is>
          <t>令和6・7・8年度の3か年を指標単位で取得し解決。合計295→339→447点。第10期の基準値は令和8年度447点/800点に置く。</t>
        </is>
      </c>
      <c r="E195" s="39" t="inlineStr">
        <is>
          <t>Ⅱ-65</t>
        </is>
      </c>
      <c r="F195" s="39" t="inlineStr">
        <is>
          <t>doc20§3-1</t>
        </is>
      </c>
      <c r="G195" s="39" t="inlineStr">
        <is>
          <t>解決済</t>
        </is>
      </c>
      <c r="H195" s="41" t="inlineStr"/>
    </row>
    <row r="196" ht="34" customHeight="1">
      <c r="A196" s="39" t="inlineStr">
        <is>
          <t>―</t>
        </is>
      </c>
      <c r="B196" s="40" t="inlineStr">
        <is>
          <t>データ</t>
        </is>
      </c>
      <c r="C196" s="41" t="inlineStr">
        <is>
          <t>高齢化率・認定率・費用額・保険料の福島県平均／全国平均</t>
        </is>
      </c>
      <c r="D196" s="41" t="inlineStr">
        <is>
          <t>地域分析P1〜P4の受領により解決。県内順位・全国順位も入手。</t>
        </is>
      </c>
      <c r="E196" s="39" t="inlineStr">
        <is>
          <t>Ⅱ-56,Ⅱ-58</t>
        </is>
      </c>
      <c r="F196" s="39" t="inlineStr">
        <is>
          <t>doc09</t>
        </is>
      </c>
      <c r="G196" s="39" t="inlineStr">
        <is>
          <t>解決済</t>
        </is>
      </c>
      <c r="H196" s="41" t="inlineStr"/>
    </row>
    <row r="197" ht="34" customHeight="1">
      <c r="A197" s="39" t="inlineStr">
        <is>
          <t>―</t>
        </is>
      </c>
      <c r="B197" s="40" t="inlineStr">
        <is>
          <t>データ</t>
        </is>
      </c>
      <c r="C197" s="41" t="inlineStr">
        <is>
          <t>1人あたり指標に用いる高齢者人口の分母の統一</t>
        </is>
      </c>
      <c r="D197" s="41" t="inlineStr">
        <is>
          <t>C1系の分母がB1第1号被保険者数であることを確認し解決。計画書はB1に統一。</t>
        </is>
      </c>
      <c r="E197" s="39" t="inlineStr">
        <is>
          <t>Ⅱ-59</t>
        </is>
      </c>
      <c r="F197" s="39" t="inlineStr">
        <is>
          <t>doc02§20-2</t>
        </is>
      </c>
      <c r="G197" s="39" t="inlineStr">
        <is>
          <t>解決済</t>
        </is>
      </c>
      <c r="H197" s="41" t="inlineStr"/>
    </row>
    <row r="198" ht="34" customHeight="1">
      <c r="A198" s="39" t="inlineStr">
        <is>
          <t>―</t>
        </is>
      </c>
      <c r="B198" s="40" t="inlineStr">
        <is>
          <t>データ</t>
        </is>
      </c>
      <c r="C198" s="41" t="inlineStr">
        <is>
          <t>国の指針・様式の更新有無</t>
        </is>
      </c>
      <c r="D198" s="41" t="inlineStr">
        <is>
          <t>令和7年8月版の標準様式を入手し逐条突合を完了（要確認0件）。</t>
        </is>
      </c>
      <c r="E198" s="39" t="inlineStr">
        <is>
          <t>Ⅰ-11</t>
        </is>
      </c>
      <c r="F198" s="39" t="inlineStr">
        <is>
          <t>doc04,doc05</t>
        </is>
      </c>
      <c r="G198" s="39" t="inlineStr">
        <is>
          <t>解決済</t>
        </is>
      </c>
      <c r="H198" s="41" t="inlineStr"/>
    </row>
  </sheetData>
  <autoFilter ref="A4:H173"/>
  <mergeCells count="3">
    <mergeCell ref="A175:H175"/>
    <mergeCell ref="A2:H2"/>
    <mergeCell ref="A1:H1"/>
  </mergeCells>
  <dataValidations count="2">
    <dataValidation sqref="A5:A173" showDropDown="0" showInputMessage="0" showErrorMessage="0" allowBlank="1" type="list">
      <formula1>"S,A,B,C"</formula1>
    </dataValidation>
    <dataValidation sqref="G5:G173" showDropDown="0" showInputMessage="0" showErrorMessage="0" allowBlank="1" type="list">
      <formula1>"未依頼,依頼済,回答待ち,回答済,解決済"</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124"/>
  <sheetViews>
    <sheetView zoomScale="90" workbookViewId="0">
      <pane xSplit="2" ySplit="4" topLeftCell="C5" activePane="bottomRight" state="frozen"/>
      <selection pane="topRight"/>
      <selection pane="bottomLeft"/>
      <selection pane="bottomRight" activeCell="A1" sqref="A1"/>
    </sheetView>
  </sheetViews>
  <sheetFormatPr baseColWidth="8" defaultRowHeight="15"/>
  <cols>
    <col width="13" customWidth="1" min="1" max="1"/>
    <col width="15" customWidth="1" min="2" max="2"/>
    <col width="50" customWidth="1" min="3" max="3"/>
    <col width="7" customWidth="1" min="4" max="4"/>
    <col width="14" customWidth="1" min="5" max="5"/>
    <col width="44" customWidth="1" min="6" max="6"/>
    <col width="8" customWidth="1" min="7" max="7"/>
    <col width="44" customWidth="1" min="8" max="8"/>
  </cols>
  <sheetData>
    <row r="1" ht="30" customHeight="1">
      <c r="A1" s="1" t="inlineStr">
        <is>
          <t>仕様書（委託第27号／8北保福第483号 別紙）とWBSの対照</t>
        </is>
      </c>
    </row>
    <row r="2" ht="20" customHeight="1">
      <c r="A2" s="2" t="inlineStr">
        <is>
          <t>仕様書の側から「求められていること」を列挙し、WBSのどの作業がそれを担うかを示したもの。状況の「○」は対応する作業がWBSにあること、「村」は村が実施し受託者の作業を伴わないことを表す　｜　突合は scripts/verify_wbs.py で機械的に行い、漏れがあれば終了コード1を返す</t>
        </is>
      </c>
    </row>
    <row r="4" ht="34" customHeight="1">
      <c r="A4" s="3" t="inlineStr">
        <is>
          <t>区分</t>
        </is>
      </c>
      <c r="B4" s="3" t="inlineStr">
        <is>
          <t>条項</t>
        </is>
      </c>
      <c r="C4" s="3" t="inlineStr">
        <is>
          <t>仕様書が求めていること</t>
        </is>
      </c>
      <c r="D4" s="3" t="inlineStr">
        <is>
          <t>担当</t>
        </is>
      </c>
      <c r="E4" s="3" t="inlineStr">
        <is>
          <t>対応WBS No.</t>
        </is>
      </c>
      <c r="F4" s="3" t="inlineStr">
        <is>
          <t>対応する作業項目</t>
        </is>
      </c>
      <c r="G4" s="3" t="inlineStr">
        <is>
          <t>状況</t>
        </is>
      </c>
      <c r="H4" s="3" t="inlineStr">
        <is>
          <t>備考</t>
        </is>
      </c>
    </row>
    <row r="5" ht="30" customHeight="1">
      <c r="A5" s="30" t="inlineStr">
        <is>
          <t>見積徴取通知</t>
        </is>
      </c>
      <c r="B5" s="23" t="inlineStr">
        <is>
          <t>通知2-a</t>
        </is>
      </c>
      <c r="C5" s="25" t="inlineStr">
        <is>
          <t>見積書を令和8年8月21日までに保健福祉課へ提出する</t>
        </is>
      </c>
      <c r="D5" s="23" t="inlineStr">
        <is>
          <t>受託者</t>
        </is>
      </c>
      <c r="E5" s="25" t="inlineStr">
        <is>
          <t>０-01</t>
        </is>
      </c>
      <c r="F5" s="25" t="inlineStr">
        <is>
          <t>見積書の提出</t>
        </is>
      </c>
      <c r="G5" s="23" t="inlineStr">
        <is>
          <t>○</t>
        </is>
      </c>
      <c r="H5" s="25" t="inlineStr"/>
    </row>
    <row r="6" ht="30" customHeight="1">
      <c r="A6" s="24" t="inlineStr">
        <is>
          <t>見積徴取通知</t>
        </is>
      </c>
      <c r="B6" s="23" t="inlineStr">
        <is>
          <t>通知2-b</t>
        </is>
      </c>
      <c r="C6" s="25" t="inlineStr">
        <is>
          <t>契約保証金は免除</t>
        </is>
      </c>
      <c r="D6" s="23" t="inlineStr">
        <is>
          <t>―</t>
        </is>
      </c>
      <c r="E6" s="25" t="inlineStr">
        <is>
          <t>０-02</t>
        </is>
      </c>
      <c r="F6" s="25" t="inlineStr">
        <is>
          <t>契約締結</t>
        </is>
      </c>
      <c r="G6" s="23" t="inlineStr">
        <is>
          <t>○</t>
        </is>
      </c>
      <c r="H6" s="25" t="inlineStr">
        <is>
          <t>契約手続の条件。作業を伴わない</t>
        </is>
      </c>
    </row>
    <row r="7" ht="30" customHeight="1">
      <c r="A7" s="30" t="inlineStr">
        <is>
          <t>1 委託業務名</t>
        </is>
      </c>
      <c r="B7" s="23" t="inlineStr">
        <is>
          <t>仕様書1-a</t>
        </is>
      </c>
      <c r="C7" s="25" t="inlineStr">
        <is>
          <t>業務名「第10期北塩原村高齢者福祉計画・第10期北塩原村介護保険事業計画策定業務委託」</t>
        </is>
      </c>
      <c r="D7" s="23" t="inlineStr">
        <is>
          <t>双方</t>
        </is>
      </c>
      <c r="E7" s="25" t="inlineStr">
        <is>
          <t>Ⅱ-111</t>
        </is>
      </c>
      <c r="F7" s="25" t="inlineStr">
        <is>
          <t>計画の名称・計画期間の表記の統一</t>
        </is>
      </c>
      <c r="G7" s="23" t="inlineStr">
        <is>
          <t>○</t>
        </is>
      </c>
      <c r="H7" s="25" t="inlineStr">
        <is>
          <t>計画書の表紙・奥付・本文の名称はこれに合わせる</t>
        </is>
      </c>
    </row>
    <row r="8" ht="30" customHeight="1">
      <c r="A8" s="30" t="inlineStr">
        <is>
          <t>2 業務の目的</t>
        </is>
      </c>
      <c r="B8" s="23" t="inlineStr">
        <is>
          <t>仕様書2-a</t>
        </is>
      </c>
      <c r="C8" s="25" t="inlineStr">
        <is>
          <t>介護保険制度の改正など社会環境の変化を把握する</t>
        </is>
      </c>
      <c r="D8" s="23" t="inlineStr">
        <is>
          <t>受託者</t>
        </is>
      </c>
      <c r="E8" s="25" t="inlineStr">
        <is>
          <t>Ⅱ-50
Ⅱ-51</t>
        </is>
      </c>
      <c r="F8" s="25" t="inlineStr">
        <is>
          <t>制度改正動向の資料収集・整理
第10期国の基本指針の確認・反映</t>
        </is>
      </c>
      <c r="G8" s="23" t="inlineStr">
        <is>
          <t>○</t>
        </is>
      </c>
      <c r="H8" s="25" t="inlineStr"/>
    </row>
    <row r="9" ht="30" customHeight="1">
      <c r="A9" s="24" t="inlineStr">
        <is>
          <t>2 業務の目的</t>
        </is>
      </c>
      <c r="B9" s="23" t="inlineStr">
        <is>
          <t>仕様書2-b</t>
        </is>
      </c>
      <c r="C9" s="25" t="inlineStr">
        <is>
          <t>第9期計画期間（R6〜R8年度）における介護給付実績を評価する</t>
        </is>
      </c>
      <c r="D9" s="23" t="inlineStr">
        <is>
          <t>受託者</t>
        </is>
      </c>
      <c r="E9" s="25" t="inlineStr">
        <is>
          <t>Ⅱ-55
Ⅱ-56</t>
        </is>
      </c>
      <c r="F9" s="25" t="inlineStr">
        <is>
          <t>介護保険給付統計の取りまとめ
計画数値の評価（計画値と実績の乖離分析）</t>
        </is>
      </c>
      <c r="G9" s="23" t="inlineStr">
        <is>
          <t>○</t>
        </is>
      </c>
      <c r="H9" s="25" t="inlineStr"/>
    </row>
    <row r="10" ht="30" customHeight="1">
      <c r="A10" s="24" t="inlineStr">
        <is>
          <t>2 業務の目的</t>
        </is>
      </c>
      <c r="B10" s="23" t="inlineStr">
        <is>
          <t>仕様書2-c</t>
        </is>
      </c>
      <c r="C10" s="25" t="inlineStr">
        <is>
          <t>高齢者福祉施策の実施状況を評価する</t>
        </is>
      </c>
      <c r="D10" s="23" t="inlineStr">
        <is>
          <t>受託者</t>
        </is>
      </c>
      <c r="E10" s="25" t="inlineStr">
        <is>
          <t>Ⅱ-53
Ⅱ-54</t>
        </is>
      </c>
      <c r="F10" s="25" t="inlineStr">
        <is>
          <t>高齢者福祉事業等の実績資料の受領
高齢者福祉事業等の実施状況の把握と課題整理</t>
        </is>
      </c>
      <c r="G10" s="23" t="inlineStr">
        <is>
          <t>○</t>
        </is>
      </c>
      <c r="H10" s="25" t="inlineStr"/>
    </row>
    <row r="11" ht="30" customHeight="1">
      <c r="A11" s="24" t="inlineStr">
        <is>
          <t>2 業務の目的</t>
        </is>
      </c>
      <c r="B11" s="23" t="inlineStr">
        <is>
          <t>仕様書2-d</t>
        </is>
      </c>
      <c r="C11" s="25" t="inlineStr">
        <is>
          <t>ニーズ調査・在宅介護実態調査の結果を踏まえる</t>
        </is>
      </c>
      <c r="D11" s="23" t="inlineStr">
        <is>
          <t>受託者</t>
        </is>
      </c>
      <c r="E11" s="25" t="inlineStr">
        <is>
          <t>Ⅰ-48
Ⅱ-52</t>
        </is>
      </c>
      <c r="F11" s="25" t="inlineStr">
        <is>
          <t>調査結果報告書の執筆・レイアウト
前提条件と基本的課題の明確化</t>
        </is>
      </c>
      <c r="G11" s="23" t="inlineStr">
        <is>
          <t>○</t>
        </is>
      </c>
      <c r="H11" s="25" t="inlineStr"/>
    </row>
    <row r="12" ht="30" customHeight="1">
      <c r="A12" s="24" t="inlineStr">
        <is>
          <t>2 業務の目的</t>
        </is>
      </c>
      <c r="B12" s="23" t="inlineStr">
        <is>
          <t>仕様書2-e</t>
        </is>
      </c>
      <c r="C12" s="25" t="inlineStr">
        <is>
          <t>第10期計画期間の課題を明らかにした上で計画案を策定する</t>
        </is>
      </c>
      <c r="D12" s="23" t="inlineStr">
        <is>
          <t>受託者</t>
        </is>
      </c>
      <c r="E12" s="25" t="inlineStr">
        <is>
          <t>Ⅱ-70
Ⅱ-75</t>
        </is>
      </c>
      <c r="F12" s="25" t="inlineStr">
        <is>
          <t>第10期の課題の整理
素案の作成</t>
        </is>
      </c>
      <c r="G12" s="23" t="inlineStr">
        <is>
          <t>○</t>
        </is>
      </c>
      <c r="H12" s="25" t="inlineStr"/>
    </row>
    <row r="13" ht="30" customHeight="1">
      <c r="A13" s="30" t="inlineStr">
        <is>
          <t>3 業務期間</t>
        </is>
      </c>
      <c r="B13" s="23" t="inlineStr">
        <is>
          <t>仕様書3-a</t>
        </is>
      </c>
      <c r="C13" s="25" t="inlineStr">
        <is>
          <t>業務期間は契約締結の日から令和9年3月31日まで</t>
        </is>
      </c>
      <c r="D13" s="23" t="inlineStr">
        <is>
          <t>双方</t>
        </is>
      </c>
      <c r="E13" s="25" t="inlineStr">
        <is>
          <t>０-02
Ⅳ-96</t>
        </is>
      </c>
      <c r="F13" s="25" t="inlineStr">
        <is>
          <t>契約締結
納品・検収</t>
        </is>
      </c>
      <c r="G13" s="23" t="inlineStr">
        <is>
          <t>○</t>
        </is>
      </c>
      <c r="H13" s="25" t="inlineStr">
        <is>
          <t>履行期限。全工程の外枠</t>
        </is>
      </c>
    </row>
    <row r="14" ht="30" customHeight="1">
      <c r="A14" s="24" t="inlineStr">
        <is>
          <t>3 業務期間</t>
        </is>
      </c>
      <c r="B14" s="23" t="inlineStr">
        <is>
          <t>仕様書3-b</t>
        </is>
      </c>
      <c r="C14" s="25" t="inlineStr">
        <is>
          <t>計画期間は令和9年度から令和11年度までの3か年</t>
        </is>
      </c>
      <c r="D14" s="23" t="inlineStr">
        <is>
          <t>受託者</t>
        </is>
      </c>
      <c r="E14" s="25" t="inlineStr">
        <is>
          <t>Ⅱ-111</t>
        </is>
      </c>
      <c r="F14" s="25" t="inlineStr">
        <is>
          <t>計画の名称・計画期間の表記の統一</t>
        </is>
      </c>
      <c r="G14" s="23" t="inlineStr">
        <is>
          <t>○</t>
        </is>
      </c>
      <c r="H14" s="25" t="inlineStr"/>
    </row>
    <row r="15" ht="30" customHeight="1">
      <c r="A15" s="30" t="inlineStr">
        <is>
          <t>4Ⅰ ニーズ調査</t>
        </is>
      </c>
      <c r="B15" s="23" t="inlineStr">
        <is>
          <t>仕様書4Ⅰ(1)-a</t>
        </is>
      </c>
      <c r="C15" s="25" t="inlineStr">
        <is>
          <t>調査対象区域は全村域</t>
        </is>
      </c>
      <c r="D15" s="23" t="inlineStr">
        <is>
          <t>双方</t>
        </is>
      </c>
      <c r="E15" s="25" t="inlineStr">
        <is>
          <t>Ⅰ-08</t>
        </is>
      </c>
      <c r="F15" s="25" t="inlineStr">
        <is>
          <t>調査対象者の抽出条件の確定</t>
        </is>
      </c>
      <c r="G15" s="23" t="inlineStr">
        <is>
          <t>○</t>
        </is>
      </c>
      <c r="H15" s="25" t="inlineStr"/>
    </row>
    <row r="16" ht="30" customHeight="1">
      <c r="A16" s="24" t="inlineStr">
        <is>
          <t>4Ⅰ ニーズ調査</t>
        </is>
      </c>
      <c r="B16" s="23" t="inlineStr">
        <is>
          <t>仕様書4Ⅰ(1)-b</t>
        </is>
      </c>
      <c r="C16" s="25" t="inlineStr">
        <is>
          <t>介護予防・日常生活圏域ニーズ調査は約850人（一般高齢者・総合事業対象者・要支援認定者）</t>
        </is>
      </c>
      <c r="D16" s="23" t="inlineStr">
        <is>
          <t>双方</t>
        </is>
      </c>
      <c r="E16" s="25" t="inlineStr">
        <is>
          <t>Ⅰ-08
Ⅰ-24</t>
        </is>
      </c>
      <c r="F16" s="25" t="inlineStr">
        <is>
          <t>調査対象者の抽出条件の確定
調査対象者の抽出</t>
        </is>
      </c>
      <c r="G16" s="23" t="inlineStr">
        <is>
          <t>○</t>
        </is>
      </c>
      <c r="H16" s="25" t="inlineStr">
        <is>
          <t>実際の抽出は882人</t>
        </is>
      </c>
    </row>
    <row r="17" ht="30" customHeight="1">
      <c r="A17" s="24" t="inlineStr">
        <is>
          <t>4Ⅰ ニーズ調査</t>
        </is>
      </c>
      <c r="B17" s="23" t="inlineStr">
        <is>
          <t>仕様書4Ⅰ(1)-c</t>
        </is>
      </c>
      <c r="C17" s="25" t="inlineStr">
        <is>
          <t>在宅介護実態調査は約150人（在宅の要介護認定者）</t>
        </is>
      </c>
      <c r="D17" s="23" t="inlineStr">
        <is>
          <t>双方</t>
        </is>
      </c>
      <c r="E17" s="25" t="inlineStr">
        <is>
          <t>Ⅰ-08
Ⅰ-24</t>
        </is>
      </c>
      <c r="F17" s="25" t="inlineStr">
        <is>
          <t>調査対象者の抽出条件の確定
調査対象者の抽出</t>
        </is>
      </c>
      <c r="G17" s="23" t="inlineStr">
        <is>
          <t>○</t>
        </is>
      </c>
      <c r="H17" s="25" t="inlineStr">
        <is>
          <t>実際の抽出は118人。2026/09/24 村の了解により決着（集計設計上の扱いは当方の判断事項）</t>
        </is>
      </c>
    </row>
    <row r="18" ht="30" customHeight="1">
      <c r="A18" s="24" t="inlineStr">
        <is>
          <t>4Ⅰ ニーズ調査</t>
        </is>
      </c>
      <c r="B18" s="23" t="inlineStr">
        <is>
          <t>仕様書4Ⅰ(1)-d</t>
        </is>
      </c>
      <c r="C18" s="25" t="inlineStr">
        <is>
          <t>対象者の抽出は村が実施し、受託者へ宛名ラベルシールとして提供する</t>
        </is>
      </c>
      <c r="D18" s="23" t="inlineStr">
        <is>
          <t>北塩原村</t>
        </is>
      </c>
      <c r="E18" s="25" t="inlineStr">
        <is>
          <t>Ⅰ-24
Ⅰ-25</t>
        </is>
      </c>
      <c r="F18" s="25" t="inlineStr">
        <is>
          <t>調査対象者の抽出
宛名ラベルシールの作成・提供</t>
        </is>
      </c>
      <c r="G18" s="23" t="inlineStr">
        <is>
          <t>○</t>
        </is>
      </c>
      <c r="H18" s="25" t="inlineStr"/>
    </row>
    <row r="19" ht="30" customHeight="1">
      <c r="A19" s="24" t="inlineStr">
        <is>
          <t>4Ⅰ ニーズ調査</t>
        </is>
      </c>
      <c r="B19" s="23" t="inlineStr">
        <is>
          <t>仕様書4Ⅰ(2)-a</t>
        </is>
      </c>
      <c r="C19" s="25" t="inlineStr">
        <is>
          <t>厚生労働省が示す調査項目を踏まえて調査票を設計する</t>
        </is>
      </c>
      <c r="D19" s="23" t="inlineStr">
        <is>
          <t>受託者</t>
        </is>
      </c>
      <c r="E19" s="25" t="inlineStr">
        <is>
          <t>Ⅰ-09
Ⅰ-10
Ⅰ-11</t>
        </is>
      </c>
      <c r="F19" s="25" t="inlineStr">
        <is>
          <t>調査票の設計（ニーズ調査）
調査票の設計（在宅介護実態調査）
令和7年8月版 標準様式との逐条突合</t>
        </is>
      </c>
      <c r="G19" s="23" t="inlineStr">
        <is>
          <t>○</t>
        </is>
      </c>
      <c r="H19" s="25" t="inlineStr">
        <is>
          <t>令和7年8月版の標準様式</t>
        </is>
      </c>
    </row>
    <row r="20" ht="30" customHeight="1">
      <c r="A20" s="24" t="inlineStr">
        <is>
          <t>4Ⅰ ニーズ調査</t>
        </is>
      </c>
      <c r="B20" s="23" t="inlineStr">
        <is>
          <t>仕様書4Ⅰ(2)-b</t>
        </is>
      </c>
      <c r="C20" s="25" t="inlineStr">
        <is>
          <t>村の過去の調査を踏まえて設計する（時系列比較の確保）</t>
        </is>
      </c>
      <c r="D20" s="23" t="inlineStr">
        <is>
          <t>双方</t>
        </is>
      </c>
      <c r="E20" s="25" t="inlineStr">
        <is>
          <t>Ⅰ-13
Ⅰ-41</t>
        </is>
      </c>
      <c r="F20" s="25" t="inlineStr">
        <is>
          <t>村独自設問の設定
時系列比較（第8期・第9期との対比）</t>
        </is>
      </c>
      <c r="G20" s="23" t="inlineStr">
        <is>
          <t>○</t>
        </is>
      </c>
      <c r="H20" s="25" t="inlineStr"/>
    </row>
    <row r="21" ht="30" customHeight="1">
      <c r="A21" s="24" t="inlineStr">
        <is>
          <t>4Ⅰ ニーズ調査</t>
        </is>
      </c>
      <c r="B21" s="23" t="inlineStr">
        <is>
          <t>仕様書4Ⅰ(2)-c</t>
        </is>
      </c>
      <c r="C21" s="25" t="inlineStr">
        <is>
          <t>村と協議の上で調査票を決定する</t>
        </is>
      </c>
      <c r="D21" s="23" t="inlineStr">
        <is>
          <t>双方</t>
        </is>
      </c>
      <c r="E21" s="25" t="inlineStr">
        <is>
          <t>Ⅰ-12
Ⅰ-15</t>
        </is>
      </c>
      <c r="F21" s="25" t="inlineStr">
        <is>
          <t>オプション項目の採否決定
調査票の村協議・確定</t>
        </is>
      </c>
      <c r="G21" s="23" t="inlineStr">
        <is>
          <t>○</t>
        </is>
      </c>
      <c r="H21" s="25" t="inlineStr"/>
    </row>
    <row r="22" ht="30" customHeight="1">
      <c r="A22" s="24" t="inlineStr">
        <is>
          <t>4Ⅰ ニーズ調査</t>
        </is>
      </c>
      <c r="B22" s="23" t="inlineStr">
        <is>
          <t>仕様書4Ⅰ(2)-d</t>
        </is>
      </c>
      <c r="C22" s="25" t="inlineStr">
        <is>
          <t>紙とウェブ回答を併用する</t>
        </is>
      </c>
      <c r="D22" s="23" t="inlineStr">
        <is>
          <t>受託者</t>
        </is>
      </c>
      <c r="E22" s="25" t="inlineStr">
        <is>
          <t>Ⅰ-16
Ⅰ-34
Ⅰ-35</t>
        </is>
      </c>
      <c r="F22" s="25" t="inlineStr">
        <is>
          <t>ウェブ回答フォームの作成
用紙回答のデータ入力
ウェブ回答データの取込</t>
        </is>
      </c>
      <c r="G22" s="23" t="inlineStr">
        <is>
          <t>○</t>
        </is>
      </c>
      <c r="H22" s="25" t="inlineStr"/>
    </row>
    <row r="23" ht="30" customHeight="1">
      <c r="A23" s="24" t="inlineStr">
        <is>
          <t>4Ⅰ ニーズ調査</t>
        </is>
      </c>
      <c r="B23" s="23" t="inlineStr">
        <is>
          <t>仕様書4Ⅰ(2)-e</t>
        </is>
      </c>
      <c r="C23" s="25" t="inlineStr">
        <is>
          <t>専用のウェブ回答フォームを作成する</t>
        </is>
      </c>
      <c r="D23" s="23" t="inlineStr">
        <is>
          <t>受託者</t>
        </is>
      </c>
      <c r="E23" s="25" t="inlineStr">
        <is>
          <t>Ⅰ-16
Ⅰ-101</t>
        </is>
      </c>
      <c r="F23" s="25" t="inlineStr">
        <is>
          <t>ウェブ回答フォームの作成
ウェブ回答フォームの公開・稼働確認・受付停止</t>
        </is>
      </c>
      <c r="G23" s="23" t="inlineStr">
        <is>
          <t>○</t>
        </is>
      </c>
      <c r="H23" s="25" t="inlineStr">
        <is>
          <t>作成のみならず公開・稼働確認・受付停止までが必要</t>
        </is>
      </c>
    </row>
    <row r="24" ht="30" customHeight="1">
      <c r="A24" s="24" t="inlineStr">
        <is>
          <t>4Ⅰ ニーズ調査</t>
        </is>
      </c>
      <c r="B24" s="23" t="inlineStr">
        <is>
          <t>仕様書4Ⅰ(2)-f</t>
        </is>
      </c>
      <c r="C24" s="25" t="inlineStr">
        <is>
          <t>二次元コードを調査票または依頼状に印字する</t>
        </is>
      </c>
      <c r="D24" s="23" t="inlineStr">
        <is>
          <t>受託者</t>
        </is>
      </c>
      <c r="E24" s="25" t="inlineStr">
        <is>
          <t>Ⅰ-14
Ⅰ-17</t>
        </is>
      </c>
      <c r="F24" s="25" t="inlineStr">
        <is>
          <t>依頼状（表紙）の作成
二次元コードの作成・調査票／依頼状への印字</t>
        </is>
      </c>
      <c r="G24" s="23" t="inlineStr">
        <is>
          <t>○</t>
        </is>
      </c>
      <c r="H24" s="25" t="inlineStr"/>
    </row>
    <row r="25" ht="30" customHeight="1">
      <c r="A25" s="24" t="inlineStr">
        <is>
          <t>4Ⅰ ニーズ調査</t>
        </is>
      </c>
      <c r="B25" s="23" t="inlineStr">
        <is>
          <t>仕様書4Ⅰ(2)-g</t>
        </is>
      </c>
      <c r="C25" s="25" t="inlineStr">
        <is>
          <t>紙・ウェブ双方で回答された場合に重複集計されないよう管理番号等で管理する</t>
        </is>
      </c>
      <c r="D25" s="23" t="inlineStr">
        <is>
          <t>受託者</t>
        </is>
      </c>
      <c r="E25" s="25" t="inlineStr">
        <is>
          <t>Ⅰ-18
Ⅰ-36</t>
        </is>
      </c>
      <c r="F25" s="25" t="inlineStr">
        <is>
          <t>重複回答の管理方法の設計（管理番号）
重複回答の排除</t>
        </is>
      </c>
      <c r="G25" s="23" t="inlineStr">
        <is>
          <t>○</t>
        </is>
      </c>
      <c r="H25" s="25" t="inlineStr"/>
    </row>
    <row r="26" ht="30" customHeight="1">
      <c r="A26" s="24" t="inlineStr">
        <is>
          <t>4Ⅰ ニーズ調査</t>
        </is>
      </c>
      <c r="B26" s="23" t="inlineStr">
        <is>
          <t>仕様書4Ⅰ(3)-a</t>
        </is>
      </c>
      <c r="C26" s="25" t="inlineStr">
        <is>
          <t>ニーズ調査票を A4判・約12ページ・黒1色で印刷する</t>
        </is>
      </c>
      <c r="D26" s="23" t="inlineStr">
        <is>
          <t>受託者</t>
        </is>
      </c>
      <c r="E26" s="25" t="inlineStr">
        <is>
          <t>Ⅰ-20
Ⅰ-21</t>
        </is>
      </c>
      <c r="F26" s="25" t="inlineStr">
        <is>
          <t>入稿データの作成
調査票の印刷（ニーズ調査 A4約12頁・黒1色）</t>
        </is>
      </c>
      <c r="G26" s="23" t="inlineStr">
        <is>
          <t>○</t>
        </is>
      </c>
      <c r="H26" s="25" t="inlineStr"/>
    </row>
    <row r="27" ht="30" customHeight="1">
      <c r="A27" s="24" t="inlineStr">
        <is>
          <t>4Ⅰ ニーズ調査</t>
        </is>
      </c>
      <c r="B27" s="23" t="inlineStr">
        <is>
          <t>仕様書4Ⅰ(3)-b</t>
        </is>
      </c>
      <c r="C27" s="25" t="inlineStr">
        <is>
          <t>在宅介護実態調査票を A4判・約8ページ・黒1色で印刷する</t>
        </is>
      </c>
      <c r="D27" s="23" t="inlineStr">
        <is>
          <t>受託者</t>
        </is>
      </c>
      <c r="E27" s="25" t="inlineStr">
        <is>
          <t>Ⅰ-20
Ⅰ-22</t>
        </is>
      </c>
      <c r="F27" s="25" t="inlineStr">
        <is>
          <t>入稿データの作成
調査票の印刷（在宅調査 A4約8頁・黒1色）</t>
        </is>
      </c>
      <c r="G27" s="23" t="inlineStr">
        <is>
          <t>○</t>
        </is>
      </c>
      <c r="H27" s="25" t="inlineStr"/>
    </row>
    <row r="28" ht="30" customHeight="1">
      <c r="A28" s="24" t="inlineStr">
        <is>
          <t>4Ⅰ ニーズ調査</t>
        </is>
      </c>
      <c r="B28" s="23" t="inlineStr">
        <is>
          <t>仕様書4Ⅰ(3)-c</t>
        </is>
      </c>
      <c r="C28" s="25" t="inlineStr">
        <is>
          <t>封筒（配布用・回収用）を各必要部数用意する</t>
        </is>
      </c>
      <c r="D28" s="23" t="inlineStr">
        <is>
          <t>双方</t>
        </is>
      </c>
      <c r="E28" s="25" t="inlineStr">
        <is>
          <t>Ⅰ-23
Ⅰ-26
Ⅰ-103</t>
        </is>
      </c>
      <c r="F28" s="25" t="inlineStr">
        <is>
          <t>返信用封筒の印刷
配布用封筒の提供
印刷部数の確定（予備を含む）</t>
        </is>
      </c>
      <c r="G28" s="23" t="inlineStr">
        <is>
          <t>○</t>
        </is>
      </c>
      <c r="H28" s="25" t="inlineStr">
        <is>
          <t>2026/09/24 決着：配布用封筒は村が用意し費用は村側で請求処理。受託者の印刷は返信用（回収用）のみ</t>
        </is>
      </c>
    </row>
    <row r="29" ht="30" customHeight="1">
      <c r="A29" s="24" t="inlineStr">
        <is>
          <t>4Ⅰ ニーズ調査</t>
        </is>
      </c>
      <c r="B29" s="23" t="inlineStr">
        <is>
          <t>仕様書4Ⅰ(3)-d</t>
        </is>
      </c>
      <c r="C29" s="25" t="inlineStr">
        <is>
          <t>印刷にあたり個人情報の取扱いに十分配慮する</t>
        </is>
      </c>
      <c r="D29" s="23" t="inlineStr">
        <is>
          <t>受託者</t>
        </is>
      </c>
      <c r="E29" s="25" t="inlineStr">
        <is>
          <t>Ⅴ-97</t>
        </is>
      </c>
      <c r="F29" s="25" t="inlineStr">
        <is>
          <t>個人情報の適正管理（アクセス制限・保管ルール）</t>
        </is>
      </c>
      <c r="G29" s="23" t="inlineStr">
        <is>
          <t>○</t>
        </is>
      </c>
      <c r="H29" s="25" t="inlineStr"/>
    </row>
    <row r="30" ht="30" customHeight="1">
      <c r="A30" s="24" t="inlineStr">
        <is>
          <t>4Ⅰ ニーズ調査</t>
        </is>
      </c>
      <c r="B30" s="23" t="inlineStr">
        <is>
          <t>仕様書4Ⅰ(3)-e</t>
        </is>
      </c>
      <c r="C30" s="25" t="inlineStr">
        <is>
          <t>印刷物の校了を判断する（条項名「印刷」に含まれる）</t>
        </is>
      </c>
      <c r="D30" s="23" t="inlineStr">
        <is>
          <t>双方</t>
        </is>
      </c>
      <c r="E30" s="25" t="inlineStr">
        <is>
          <t>Ⅰ-102</t>
        </is>
      </c>
      <c r="F30" s="25" t="inlineStr">
        <is>
          <t>印刷の校正・校了</t>
        </is>
      </c>
      <c r="G30" s="23" t="inlineStr">
        <is>
          <t>○</t>
        </is>
      </c>
      <c r="H30" s="25" t="inlineStr">
        <is>
          <t>印刷後は修正できないため、本業務で最もリスクが高い判断</t>
        </is>
      </c>
    </row>
    <row r="31" ht="30" customHeight="1">
      <c r="A31" s="24" t="inlineStr">
        <is>
          <t>4Ⅰ ニーズ調査</t>
        </is>
      </c>
      <c r="B31" s="23" t="inlineStr">
        <is>
          <t>仕様書4Ⅰ(4)-a</t>
        </is>
      </c>
      <c r="C31" s="25" t="inlineStr">
        <is>
          <t>村提供の宛名ラベルシールを配布用封筒に貼付する</t>
        </is>
      </c>
      <c r="D31" s="23" t="inlineStr">
        <is>
          <t>受託者</t>
        </is>
      </c>
      <c r="E31" s="25" t="inlineStr">
        <is>
          <t>Ⅰ-26
Ⅰ-27</t>
        </is>
      </c>
      <c r="F31" s="25" t="inlineStr">
        <is>
          <t>配布用封筒の提供
宛名ラベルの貼付</t>
        </is>
      </c>
      <c r="G31" s="23" t="inlineStr">
        <is>
          <t>○</t>
        </is>
      </c>
      <c r="H31" s="25" t="inlineStr"/>
    </row>
    <row r="32" ht="30" customHeight="1">
      <c r="A32" s="24" t="inlineStr">
        <is>
          <t>4Ⅰ ニーズ調査</t>
        </is>
      </c>
      <c r="B32" s="23" t="inlineStr">
        <is>
          <t>仕様書4Ⅰ(4)-b</t>
        </is>
      </c>
      <c r="C32" s="25" t="inlineStr">
        <is>
          <t>調査票と返信用封筒を封入・封緘する</t>
        </is>
      </c>
      <c r="D32" s="23" t="inlineStr">
        <is>
          <t>受託者</t>
        </is>
      </c>
      <c r="E32" s="25" t="inlineStr">
        <is>
          <t>Ⅰ-28</t>
        </is>
      </c>
      <c r="F32" s="25" t="inlineStr">
        <is>
          <t>封入・封緘</t>
        </is>
      </c>
      <c r="G32" s="23" t="inlineStr">
        <is>
          <t>○</t>
        </is>
      </c>
      <c r="H32" s="25" t="inlineStr"/>
    </row>
    <row r="33" ht="30" customHeight="1">
      <c r="A33" s="24" t="inlineStr">
        <is>
          <t>4Ⅰ ニーズ調査</t>
        </is>
      </c>
      <c r="B33" s="23" t="inlineStr">
        <is>
          <t>仕様書4Ⅰ(4)-c</t>
        </is>
      </c>
      <c r="C33" s="25" t="inlineStr">
        <is>
          <t>発送する</t>
        </is>
      </c>
      <c r="D33" s="23" t="inlineStr">
        <is>
          <t>受託者</t>
        </is>
      </c>
      <c r="E33" s="25" t="inlineStr">
        <is>
          <t>Ⅰ-29</t>
        </is>
      </c>
      <c r="F33" s="25" t="inlineStr">
        <is>
          <t>発送（郵送費は受託者負担）</t>
        </is>
      </c>
      <c r="G33" s="23" t="inlineStr">
        <is>
          <t>○</t>
        </is>
      </c>
      <c r="H33" s="25" t="inlineStr"/>
    </row>
    <row r="34" ht="30" customHeight="1">
      <c r="A34" s="24" t="inlineStr">
        <is>
          <t>4Ⅰ ニーズ調査</t>
        </is>
      </c>
      <c r="B34" s="23" t="inlineStr">
        <is>
          <t>仕様書4Ⅰ(4)-d</t>
        </is>
      </c>
      <c r="C34" s="25" t="inlineStr">
        <is>
          <t>回収票は受託者が開封確認のうえデータ入力する</t>
        </is>
      </c>
      <c r="D34" s="23" t="inlineStr">
        <is>
          <t>受託者</t>
        </is>
      </c>
      <c r="E34" s="25" t="inlineStr">
        <is>
          <t>Ⅰ-30
Ⅰ-32
Ⅰ-33
Ⅰ-34</t>
        </is>
      </c>
      <c r="F34" s="25" t="inlineStr">
        <is>
          <t>回収状況の管理
回収期限の管理・締切
開封確認
用紙回答のデータ入力</t>
        </is>
      </c>
      <c r="G34" s="23" t="inlineStr">
        <is>
          <t>○</t>
        </is>
      </c>
      <c r="H34" s="25" t="inlineStr"/>
    </row>
    <row r="35" ht="30" customHeight="1">
      <c r="A35" s="24" t="inlineStr">
        <is>
          <t>4Ⅰ ニーズ調査</t>
        </is>
      </c>
      <c r="B35" s="23" t="inlineStr">
        <is>
          <t>仕様書4Ⅰ(4)-e</t>
        </is>
      </c>
      <c r="C35" s="25" t="inlineStr">
        <is>
          <t>発送費用は受託者の負担とする</t>
        </is>
      </c>
      <c r="D35" s="23" t="inlineStr">
        <is>
          <t>受託者</t>
        </is>
      </c>
      <c r="E35" s="25" t="inlineStr">
        <is>
          <t>Ⅰ-29</t>
        </is>
      </c>
      <c r="F35" s="25" t="inlineStr">
        <is>
          <t>発送（郵送費は受託者負担）</t>
        </is>
      </c>
      <c r="G35" s="23" t="inlineStr">
        <is>
          <t>○</t>
        </is>
      </c>
      <c r="H35" s="25" t="inlineStr">
        <is>
          <t>往復約1,000通分</t>
        </is>
      </c>
    </row>
    <row r="36" ht="30" customHeight="1">
      <c r="A36" s="24" t="inlineStr">
        <is>
          <t>4Ⅰ ニーズ調査</t>
        </is>
      </c>
      <c r="B36" s="23" t="inlineStr">
        <is>
          <t>仕様書4Ⅰ(5)-a</t>
        </is>
      </c>
      <c r="C36" s="25" t="inlineStr">
        <is>
          <t>厚生労働省が提示する集計ファイル様式を基本として入力する</t>
        </is>
      </c>
      <c r="D36" s="23" t="inlineStr">
        <is>
          <t>受託者</t>
        </is>
      </c>
      <c r="E36" s="25" t="inlineStr">
        <is>
          <t>Ⅰ-34
Ⅰ-35
Ⅰ-46</t>
        </is>
      </c>
      <c r="F36" s="25" t="inlineStr">
        <is>
          <t>用紙回答のデータ入力
ウェブ回答データの取込
見える化システム登録用データの作成</t>
        </is>
      </c>
      <c r="G36" s="23" t="inlineStr">
        <is>
          <t>○</t>
        </is>
      </c>
      <c r="H36" s="25" t="inlineStr"/>
    </row>
    <row r="37" ht="30" customHeight="1">
      <c r="A37" s="24" t="inlineStr">
        <is>
          <t>4Ⅰ ニーズ調査</t>
        </is>
      </c>
      <c r="B37" s="23" t="inlineStr">
        <is>
          <t>仕様書4Ⅰ(5)-b</t>
        </is>
      </c>
      <c r="C37" s="25" t="inlineStr">
        <is>
          <t>在宅介護実態調査は厚生労働省提供の認定データ自動関連付けプログラムを活用できる入力とする</t>
        </is>
      </c>
      <c r="D37" s="23" t="inlineStr">
        <is>
          <t>双方</t>
        </is>
      </c>
      <c r="E37" s="25" t="inlineStr">
        <is>
          <t>Ⅰ-07
Ⅰ-37
Ⅰ-38</t>
        </is>
      </c>
      <c r="F37" s="25" t="inlineStr">
        <is>
          <t>調査手法の決定（在宅：手法Ⅰ〜Ⅳ）
要介護認定データの受領
認定データとの関連付け（自動プログラム）</t>
        </is>
      </c>
      <c r="G37" s="23" t="inlineStr">
        <is>
          <t>○</t>
        </is>
      </c>
      <c r="H37" s="25" t="inlineStr"/>
    </row>
    <row r="38" ht="30" customHeight="1">
      <c r="A38" s="24" t="inlineStr">
        <is>
          <t>4Ⅰ ニーズ調査</t>
        </is>
      </c>
      <c r="B38" s="23" t="inlineStr">
        <is>
          <t>仕様書4Ⅰ(5)-c</t>
        </is>
      </c>
      <c r="C38" s="25" t="inlineStr">
        <is>
          <t>入力を管理する（条項名「入力管理」＝入力後の精度の確認）</t>
        </is>
      </c>
      <c r="D38" s="23" t="inlineStr">
        <is>
          <t>受託者</t>
        </is>
      </c>
      <c r="E38" s="25" t="inlineStr">
        <is>
          <t>Ⅰ-104</t>
        </is>
      </c>
      <c r="F38" s="25" t="inlineStr">
        <is>
          <t>入力データの精度管理（論理チェック・ベリファイ）</t>
        </is>
      </c>
      <c r="G38" s="23" t="inlineStr">
        <is>
          <t>○</t>
        </is>
      </c>
      <c r="H38" s="25" t="inlineStr"/>
    </row>
    <row r="39" ht="30" customHeight="1">
      <c r="A39" s="24" t="inlineStr">
        <is>
          <t>4Ⅰ ニーズ調査</t>
        </is>
      </c>
      <c r="B39" s="23" t="inlineStr">
        <is>
          <t>仕様書4Ⅰ(6)-a</t>
        </is>
      </c>
      <c r="C39" s="25" t="inlineStr">
        <is>
          <t>単純集計を行う</t>
        </is>
      </c>
      <c r="D39" s="23" t="inlineStr">
        <is>
          <t>受託者</t>
        </is>
      </c>
      <c r="E39" s="25" t="inlineStr">
        <is>
          <t>Ⅰ-39</t>
        </is>
      </c>
      <c r="F39" s="25" t="inlineStr">
        <is>
          <t>単純集計</t>
        </is>
      </c>
      <c r="G39" s="23" t="inlineStr">
        <is>
          <t>○</t>
        </is>
      </c>
      <c r="H39" s="25" t="inlineStr"/>
    </row>
    <row r="40" ht="30" customHeight="1">
      <c r="A40" s="24" t="inlineStr">
        <is>
          <t>4Ⅰ ニーズ調査</t>
        </is>
      </c>
      <c r="B40" s="23" t="inlineStr">
        <is>
          <t>仕様書4Ⅰ(6)-b</t>
        </is>
      </c>
      <c r="C40" s="25" t="inlineStr">
        <is>
          <t>基本属性別のクロス集計を行う</t>
        </is>
      </c>
      <c r="D40" s="23" t="inlineStr">
        <is>
          <t>受託者</t>
        </is>
      </c>
      <c r="E40" s="25" t="inlineStr">
        <is>
          <t>Ⅰ-40</t>
        </is>
      </c>
      <c r="F40" s="25" t="inlineStr">
        <is>
          <t>基本属性別クロス集計（地区・性別・年齢）</t>
        </is>
      </c>
      <c r="G40" s="23" t="inlineStr">
        <is>
          <t>○</t>
        </is>
      </c>
      <c r="H40" s="25" t="inlineStr"/>
    </row>
    <row r="41" ht="30" customHeight="1">
      <c r="A41" s="24" t="inlineStr">
        <is>
          <t>4Ⅰ ニーズ調査</t>
        </is>
      </c>
      <c r="B41" s="23" t="inlineStr">
        <is>
          <t>仕様書4Ⅰ(6)-c</t>
        </is>
      </c>
      <c r="C41" s="25" t="inlineStr">
        <is>
          <t>時系列比較・設問間クロス等の詳細は村と協議の上で決定する</t>
        </is>
      </c>
      <c r="D41" s="23" t="inlineStr">
        <is>
          <t>双方</t>
        </is>
      </c>
      <c r="E41" s="25" t="inlineStr">
        <is>
          <t>Ⅰ-41
Ⅰ-42</t>
        </is>
      </c>
      <c r="F41" s="25" t="inlineStr">
        <is>
          <t>時系列比較（第8期・第9期との対比）
設問間クロス集計</t>
        </is>
      </c>
      <c r="G41" s="23" t="inlineStr">
        <is>
          <t>○</t>
        </is>
      </c>
      <c r="H41" s="25" t="inlineStr"/>
    </row>
    <row r="42" ht="30" customHeight="1">
      <c r="A42" s="24" t="inlineStr">
        <is>
          <t>4Ⅰ ニーズ調査</t>
        </is>
      </c>
      <c r="B42" s="23" t="inlineStr">
        <is>
          <t>仕様書4Ⅰ(6)-d</t>
        </is>
      </c>
      <c r="C42" s="25" t="inlineStr">
        <is>
          <t>分析を行う（自由記述・在宅調査の分析を含む）</t>
        </is>
      </c>
      <c r="D42" s="23" t="inlineStr">
        <is>
          <t>受託者</t>
        </is>
      </c>
      <c r="E42" s="25" t="inlineStr">
        <is>
          <t>Ⅰ-44
Ⅰ-45</t>
        </is>
      </c>
      <c r="F42" s="25" t="inlineStr">
        <is>
          <t>自由記述の整理
在宅調査の要介護度別・介護者就労状況別分析</t>
        </is>
      </c>
      <c r="G42" s="23" t="inlineStr">
        <is>
          <t>○</t>
        </is>
      </c>
      <c r="H42" s="25" t="inlineStr"/>
    </row>
    <row r="43" ht="30" customHeight="1">
      <c r="A43" s="24" t="inlineStr">
        <is>
          <t>4Ⅰ ニーズ調査</t>
        </is>
      </c>
      <c r="B43" s="23" t="inlineStr">
        <is>
          <t>仕様書4Ⅰ(7)-a</t>
        </is>
      </c>
      <c r="C43" s="25" t="inlineStr">
        <is>
          <t>設問ごとにグラフを作成する</t>
        </is>
      </c>
      <c r="D43" s="23" t="inlineStr">
        <is>
          <t>受託者</t>
        </is>
      </c>
      <c r="E43" s="25" t="inlineStr">
        <is>
          <t>Ⅰ-47</t>
        </is>
      </c>
      <c r="F43" s="25" t="inlineStr">
        <is>
          <t>設問ごとのグラフ作成</t>
        </is>
      </c>
      <c r="G43" s="23" t="inlineStr">
        <is>
          <t>○</t>
        </is>
      </c>
      <c r="H43" s="25" t="inlineStr"/>
    </row>
    <row r="44" ht="30" customHeight="1">
      <c r="A44" s="24" t="inlineStr">
        <is>
          <t>4Ⅰ ニーズ調査</t>
        </is>
      </c>
      <c r="B44" s="23" t="inlineStr">
        <is>
          <t>仕様書4Ⅰ(7)-b</t>
        </is>
      </c>
      <c r="C44" s="25" t="inlineStr">
        <is>
          <t>分析結果を報告書に取りまとめる</t>
        </is>
      </c>
      <c r="D44" s="23" t="inlineStr">
        <is>
          <t>受託者</t>
        </is>
      </c>
      <c r="E44" s="25" t="inlineStr">
        <is>
          <t>Ⅰ-48
Ⅰ-49</t>
        </is>
      </c>
      <c r="F44" s="25" t="inlineStr">
        <is>
          <t>調査結果報告書の執筆・レイアウト
報告書の村確認・修正</t>
        </is>
      </c>
      <c r="G44" s="23" t="inlineStr">
        <is>
          <t>○</t>
        </is>
      </c>
      <c r="H44" s="25" t="inlineStr"/>
    </row>
    <row r="45" ht="30" customHeight="1">
      <c r="A45" s="30" t="inlineStr">
        <is>
          <t>4Ⅱ 計画策定</t>
        </is>
      </c>
      <c r="B45" s="23" t="inlineStr">
        <is>
          <t>仕様書4Ⅱ(1)-a</t>
        </is>
      </c>
      <c r="C45" s="25" t="inlineStr">
        <is>
          <t>介護保険制度・高齢者の保健／医療／福祉をめぐる制度改正動向の関連資料を収集・整理する</t>
        </is>
      </c>
      <c r="D45" s="23" t="inlineStr">
        <is>
          <t>受託者</t>
        </is>
      </c>
      <c r="E45" s="25" t="inlineStr">
        <is>
          <t>Ⅱ-50
Ⅱ-51</t>
        </is>
      </c>
      <c r="F45" s="25" t="inlineStr">
        <is>
          <t>制度改正動向の資料収集・整理
第10期国の基本指針の確認・反映</t>
        </is>
      </c>
      <c r="G45" s="23" t="inlineStr">
        <is>
          <t>○</t>
        </is>
      </c>
      <c r="H45" s="25" t="inlineStr"/>
    </row>
    <row r="46" ht="30" customHeight="1">
      <c r="A46" s="24" t="inlineStr">
        <is>
          <t>4Ⅱ 計画策定</t>
        </is>
      </c>
      <c r="B46" s="23" t="inlineStr">
        <is>
          <t>仕様書4Ⅱ(1)-b</t>
        </is>
      </c>
      <c r="C46" s="25" t="inlineStr">
        <is>
          <t>次期計画の前提条件を明確化する</t>
        </is>
      </c>
      <c r="D46" s="23" t="inlineStr">
        <is>
          <t>受託者</t>
        </is>
      </c>
      <c r="E46" s="25" t="inlineStr">
        <is>
          <t>Ⅱ-52</t>
        </is>
      </c>
      <c r="F46" s="25" t="inlineStr">
        <is>
          <t>前提条件と基本的課題の明確化</t>
        </is>
      </c>
      <c r="G46" s="23" t="inlineStr">
        <is>
          <t>○</t>
        </is>
      </c>
      <c r="H46" s="25" t="inlineStr"/>
    </row>
    <row r="47" ht="30" customHeight="1">
      <c r="A47" s="24" t="inlineStr">
        <is>
          <t>4Ⅱ 計画策定</t>
        </is>
      </c>
      <c r="B47" s="23" t="inlineStr">
        <is>
          <t>仕様書4Ⅱ(1)-c</t>
        </is>
      </c>
      <c r="C47" s="25" t="inlineStr">
        <is>
          <t>次期計画の基本的課題を明確化する</t>
        </is>
      </c>
      <c r="D47" s="23" t="inlineStr">
        <is>
          <t>受託者</t>
        </is>
      </c>
      <c r="E47" s="25" t="inlineStr">
        <is>
          <t>Ⅱ-52</t>
        </is>
      </c>
      <c r="F47" s="25" t="inlineStr">
        <is>
          <t>前提条件と基本的課題の明確化</t>
        </is>
      </c>
      <c r="G47" s="23" t="inlineStr">
        <is>
          <t>○</t>
        </is>
      </c>
      <c r="H47" s="25" t="inlineStr"/>
    </row>
    <row r="48" ht="30" customHeight="1">
      <c r="A48" s="24" t="inlineStr">
        <is>
          <t>4Ⅱ 計画策定</t>
        </is>
      </c>
      <c r="B48" s="23" t="inlineStr">
        <is>
          <t>仕様書4Ⅱ(2)-a</t>
        </is>
      </c>
      <c r="C48" s="25" t="inlineStr">
        <is>
          <t>現行計画（R6〜R8年度）の取組状況を検証する</t>
        </is>
      </c>
      <c r="D48" s="23" t="inlineStr">
        <is>
          <t>双方</t>
        </is>
      </c>
      <c r="E48" s="25" t="inlineStr">
        <is>
          <t>０-05
Ⅱ-66</t>
        </is>
      </c>
      <c r="F48" s="25" t="inlineStr">
        <is>
          <t>現行計画・関連計画・実績資料の受領
現行計画の成果と課題の整理</t>
        </is>
      </c>
      <c r="G48" s="23" t="inlineStr">
        <is>
          <t>○</t>
        </is>
      </c>
      <c r="H48" s="25" t="inlineStr"/>
    </row>
    <row r="49" ht="30" customHeight="1">
      <c r="A49" s="24" t="inlineStr">
        <is>
          <t>4Ⅱ 計画策定</t>
        </is>
      </c>
      <c r="B49" s="23" t="inlineStr">
        <is>
          <t>仕様書4Ⅱ(2)①-a</t>
        </is>
      </c>
      <c r="C49" s="25" t="inlineStr">
        <is>
          <t>高齢者福祉事業等の実施状況を把握する</t>
        </is>
      </c>
      <c r="D49" s="23" t="inlineStr">
        <is>
          <t>双方</t>
        </is>
      </c>
      <c r="E49" s="25" t="inlineStr">
        <is>
          <t>Ⅱ-53
Ⅱ-54</t>
        </is>
      </c>
      <c r="F49" s="25" t="inlineStr">
        <is>
          <t>高齢者福祉事業等の実績資料の受領
高齢者福祉事業等の実施状況の把握と課題整理</t>
        </is>
      </c>
      <c r="G49" s="23" t="inlineStr">
        <is>
          <t>○</t>
        </is>
      </c>
      <c r="H49" s="25" t="inlineStr"/>
    </row>
    <row r="50" ht="30" customHeight="1">
      <c r="A50" s="24" t="inlineStr">
        <is>
          <t>4Ⅱ 計画策定</t>
        </is>
      </c>
      <c r="B50" s="23" t="inlineStr">
        <is>
          <t>仕様書4Ⅱ(2)①-b</t>
        </is>
      </c>
      <c r="C50" s="25" t="inlineStr">
        <is>
          <t>高齢者福祉事業等の課題を整理する</t>
        </is>
      </c>
      <c r="D50" s="23" t="inlineStr">
        <is>
          <t>受託者</t>
        </is>
      </c>
      <c r="E50" s="25" t="inlineStr">
        <is>
          <t>Ⅱ-54
Ⅱ-57</t>
        </is>
      </c>
      <c r="F50" s="25" t="inlineStr">
        <is>
          <t>高齢者福祉事業等の実施状況の把握と課題整理
課題の整理</t>
        </is>
      </c>
      <c r="G50" s="23" t="inlineStr">
        <is>
          <t>○</t>
        </is>
      </c>
      <c r="H50" s="25" t="inlineStr"/>
    </row>
    <row r="51" ht="30" customHeight="1">
      <c r="A51" s="24" t="inlineStr">
        <is>
          <t>4Ⅱ 計画策定</t>
        </is>
      </c>
      <c r="B51" s="23" t="inlineStr">
        <is>
          <t>仕様書4Ⅱ(2)②-a</t>
        </is>
      </c>
      <c r="C51" s="25" t="inlineStr">
        <is>
          <t>介護保険給付統計を取りまとめる</t>
        </is>
      </c>
      <c r="D51" s="23" t="inlineStr">
        <is>
          <t>受託者</t>
        </is>
      </c>
      <c r="E51" s="25" t="inlineStr">
        <is>
          <t>Ⅱ-55</t>
        </is>
      </c>
      <c r="F51" s="25" t="inlineStr">
        <is>
          <t>介護保険給付統計の取りまとめ</t>
        </is>
      </c>
      <c r="G51" s="23" t="inlineStr">
        <is>
          <t>○</t>
        </is>
      </c>
      <c r="H51" s="25" t="inlineStr"/>
    </row>
    <row r="52" ht="30" customHeight="1">
      <c r="A52" s="24" t="inlineStr">
        <is>
          <t>4Ⅱ 計画策定</t>
        </is>
      </c>
      <c r="B52" s="23" t="inlineStr">
        <is>
          <t>仕様書4Ⅱ(2)②-b</t>
        </is>
      </c>
      <c r="C52" s="25" t="inlineStr">
        <is>
          <t>計画数値を評価する</t>
        </is>
      </c>
      <c r="D52" s="23" t="inlineStr">
        <is>
          <t>受託者</t>
        </is>
      </c>
      <c r="E52" s="25" t="inlineStr">
        <is>
          <t>Ⅱ-56</t>
        </is>
      </c>
      <c r="F52" s="25" t="inlineStr">
        <is>
          <t>計画数値の評価（計画値と実績の乖離分析）</t>
        </is>
      </c>
      <c r="G52" s="23" t="inlineStr">
        <is>
          <t>○</t>
        </is>
      </c>
      <c r="H52" s="25" t="inlineStr"/>
    </row>
    <row r="53" ht="30" customHeight="1">
      <c r="A53" s="24" t="inlineStr">
        <is>
          <t>4Ⅱ 計画策定</t>
        </is>
      </c>
      <c r="B53" s="23" t="inlineStr">
        <is>
          <t>仕様書4Ⅱ(2)②-c</t>
        </is>
      </c>
      <c r="C53" s="25" t="inlineStr">
        <is>
          <t>介護保険給付に係る課題を整理する</t>
        </is>
      </c>
      <c r="D53" s="23" t="inlineStr">
        <is>
          <t>受託者</t>
        </is>
      </c>
      <c r="E53" s="25" t="inlineStr">
        <is>
          <t>Ⅱ-57</t>
        </is>
      </c>
      <c r="F53" s="25" t="inlineStr">
        <is>
          <t>課題の整理</t>
        </is>
      </c>
      <c r="G53" s="23" t="inlineStr">
        <is>
          <t>○</t>
        </is>
      </c>
      <c r="H53" s="25" t="inlineStr"/>
    </row>
    <row r="54" ht="30" customHeight="1">
      <c r="A54" s="24" t="inlineStr">
        <is>
          <t>4Ⅱ 計画策定</t>
        </is>
      </c>
      <c r="B54" s="23" t="inlineStr">
        <is>
          <t>仕様書4Ⅱ(3)-a</t>
        </is>
      </c>
      <c r="C54" s="25" t="inlineStr">
        <is>
          <t>国の基本指針との整合を図る</t>
        </is>
      </c>
      <c r="D54" s="23" t="inlineStr">
        <is>
          <t>受託者</t>
        </is>
      </c>
      <c r="E54" s="25" t="inlineStr">
        <is>
          <t>Ⅱ-51</t>
        </is>
      </c>
      <c r="F54" s="25" t="inlineStr">
        <is>
          <t>第10期国の基本指針の確認・反映</t>
        </is>
      </c>
      <c r="G54" s="23" t="inlineStr">
        <is>
          <t>○</t>
        </is>
      </c>
      <c r="H54" s="25" t="inlineStr"/>
    </row>
    <row r="55" ht="30" customHeight="1">
      <c r="A55" s="24" t="inlineStr">
        <is>
          <t>4Ⅱ 計画策定</t>
        </is>
      </c>
      <c r="B55" s="23" t="inlineStr">
        <is>
          <t>仕様書4Ⅱ(3)-b</t>
        </is>
      </c>
      <c r="C55" s="25" t="inlineStr">
        <is>
          <t>村の実情を踏まえて推計・検討する</t>
        </is>
      </c>
      <c r="D55" s="23" t="inlineStr">
        <is>
          <t>受託者</t>
        </is>
      </c>
      <c r="E55" s="25" t="inlineStr">
        <is>
          <t>Ⅱ-58</t>
        </is>
      </c>
      <c r="F55" s="25" t="inlineStr">
        <is>
          <t>将来人口の整理（2040年度含む中長期）</t>
        </is>
      </c>
      <c r="G55" s="23" t="inlineStr">
        <is>
          <t>○</t>
        </is>
      </c>
      <c r="H55" s="25" t="inlineStr"/>
    </row>
    <row r="56" ht="30" customHeight="1">
      <c r="A56" s="24" t="inlineStr">
        <is>
          <t>4Ⅱ 計画策定</t>
        </is>
      </c>
      <c r="B56" s="23" t="inlineStr">
        <is>
          <t>仕様書4Ⅱ(3)①-a</t>
        </is>
      </c>
      <c r="C56" s="25" t="inlineStr">
        <is>
          <t>要介護者数を推計する</t>
        </is>
      </c>
      <c r="D56" s="23" t="inlineStr">
        <is>
          <t>受託者</t>
        </is>
      </c>
      <c r="E56" s="25" t="inlineStr">
        <is>
          <t>Ⅱ-59
Ⅱ-60</t>
        </is>
      </c>
      <c r="F56" s="25" t="inlineStr">
        <is>
          <t>第1号被保険者数の推計
要介護者数の推計</t>
        </is>
      </c>
      <c r="G56" s="23" t="inlineStr">
        <is>
          <t>○</t>
        </is>
      </c>
      <c r="H56" s="25" t="inlineStr"/>
    </row>
    <row r="57" ht="30" customHeight="1">
      <c r="A57" s="24" t="inlineStr">
        <is>
          <t>4Ⅱ 計画策定</t>
        </is>
      </c>
      <c r="B57" s="23" t="inlineStr">
        <is>
          <t>仕様書4Ⅱ(3)②-a</t>
        </is>
      </c>
      <c r="C57" s="25" t="inlineStr">
        <is>
          <t>各介護保険サービスの見込量を推計する</t>
        </is>
      </c>
      <c r="D57" s="23" t="inlineStr">
        <is>
          <t>受託者</t>
        </is>
      </c>
      <c r="E57" s="25" t="inlineStr">
        <is>
          <t>Ⅱ-61</t>
        </is>
      </c>
      <c r="F57" s="25" t="inlineStr">
        <is>
          <t>各介護保険サービス見込量の推計</t>
        </is>
      </c>
      <c r="G57" s="23" t="inlineStr">
        <is>
          <t>○</t>
        </is>
      </c>
      <c r="H57" s="25" t="inlineStr"/>
    </row>
    <row r="58" ht="30" customHeight="1">
      <c r="A58" s="24" t="inlineStr">
        <is>
          <t>4Ⅱ 計画策定</t>
        </is>
      </c>
      <c r="B58" s="23" t="inlineStr">
        <is>
          <t>仕様書4Ⅱ(3)②-b</t>
        </is>
      </c>
      <c r="C58" s="25" t="inlineStr">
        <is>
          <t>地域密着型サービスの必要利用定員総数を定める</t>
        </is>
      </c>
      <c r="D58" s="23" t="inlineStr">
        <is>
          <t>受託者</t>
        </is>
      </c>
      <c r="E58" s="25" t="inlineStr">
        <is>
          <t>Ⅱ-105</t>
        </is>
      </c>
      <c r="F58" s="25" t="inlineStr">
        <is>
          <t>地域密着型サービスの必要利用定員総数の設定</t>
        </is>
      </c>
      <c r="G58" s="23" t="inlineStr">
        <is>
          <t>○</t>
        </is>
      </c>
      <c r="H58" s="25" t="inlineStr">
        <is>
          <t>介護保険法117条2項1号（義務）。仕様書の「各介護保険サービス見込量」に含まれる</t>
        </is>
      </c>
    </row>
    <row r="59" ht="30" customHeight="1">
      <c r="A59" s="24" t="inlineStr">
        <is>
          <t>4Ⅱ 計画策定</t>
        </is>
      </c>
      <c r="B59" s="23" t="inlineStr">
        <is>
          <t>仕様書4Ⅱ(3)②-c</t>
        </is>
      </c>
      <c r="C59" s="25" t="inlineStr">
        <is>
          <t>地域支援事業の量を見込む</t>
        </is>
      </c>
      <c r="D59" s="23" t="inlineStr">
        <is>
          <t>受託者</t>
        </is>
      </c>
      <c r="E59" s="25" t="inlineStr">
        <is>
          <t>Ⅱ-106</t>
        </is>
      </c>
      <c r="F59" s="25" t="inlineStr">
        <is>
          <t>地域支援事業の量の見込みと事業費の算定</t>
        </is>
      </c>
      <c r="G59" s="23" t="inlineStr">
        <is>
          <t>○</t>
        </is>
      </c>
      <c r="H59" s="25" t="inlineStr">
        <is>
          <t>介護保険法117条2項2号（義務）。保険料の構成要素でもある</t>
        </is>
      </c>
    </row>
    <row r="60" ht="30" customHeight="1">
      <c r="A60" s="24" t="inlineStr">
        <is>
          <t>4Ⅱ 計画策定</t>
        </is>
      </c>
      <c r="B60" s="23" t="inlineStr">
        <is>
          <t>仕様書4Ⅱ(3)③-a</t>
        </is>
      </c>
      <c r="C60" s="25" t="inlineStr">
        <is>
          <t>介護保険料を算定する</t>
        </is>
      </c>
      <c r="D60" s="23" t="inlineStr">
        <is>
          <t>受託者</t>
        </is>
      </c>
      <c r="E60" s="25" t="inlineStr">
        <is>
          <t>Ⅱ-62
Ⅱ-64</t>
        </is>
      </c>
      <c r="F60" s="25" t="inlineStr">
        <is>
          <t>給付費の試算
介護保険料の試算（複数案の比較）</t>
        </is>
      </c>
      <c r="G60" s="23" t="inlineStr">
        <is>
          <t>○</t>
        </is>
      </c>
      <c r="H60" s="25" t="inlineStr"/>
    </row>
    <row r="61" ht="30" customHeight="1">
      <c r="A61" s="24" t="inlineStr">
        <is>
          <t>4Ⅱ 計画策定</t>
        </is>
      </c>
      <c r="B61" s="23" t="inlineStr">
        <is>
          <t>仕様書4Ⅱ(3)③-b</t>
        </is>
      </c>
      <c r="C61" s="25" t="inlineStr">
        <is>
          <t>介護給付費準備基金の取崩しを織り込む</t>
        </is>
      </c>
      <c r="D61" s="23" t="inlineStr">
        <is>
          <t>双方</t>
        </is>
      </c>
      <c r="E61" s="25" t="inlineStr">
        <is>
          <t>Ⅱ-63</t>
        </is>
      </c>
      <c r="F61" s="25" t="inlineStr">
        <is>
          <t>介護保険準備基金の残高・取崩方針の確認</t>
        </is>
      </c>
      <c r="G61" s="23" t="inlineStr">
        <is>
          <t>○</t>
        </is>
      </c>
      <c r="H61" s="25" t="inlineStr"/>
    </row>
    <row r="62" ht="30" customHeight="1">
      <c r="A62" s="24" t="inlineStr">
        <is>
          <t>4Ⅱ 計画策定</t>
        </is>
      </c>
      <c r="B62" s="23" t="inlineStr">
        <is>
          <t>仕様書4Ⅱ(3)③-c</t>
        </is>
      </c>
      <c r="C62" s="25" t="inlineStr">
        <is>
          <t>所得段階別の保険料を設定する</t>
        </is>
      </c>
      <c r="D62" s="23" t="inlineStr">
        <is>
          <t>受託者</t>
        </is>
      </c>
      <c r="E62" s="25" t="inlineStr">
        <is>
          <t>Ⅱ-107</t>
        </is>
      </c>
      <c r="F62" s="25" t="inlineStr">
        <is>
          <t>所得段階の設定（段階数・保険料率・低所得者軽減）</t>
        </is>
      </c>
      <c r="G62" s="23" t="inlineStr">
        <is>
          <t>○</t>
        </is>
      </c>
      <c r="H62" s="25" t="inlineStr">
        <is>
          <t>第9期は13段階</t>
        </is>
      </c>
    </row>
    <row r="63" ht="30" customHeight="1">
      <c r="A63" s="24" t="inlineStr">
        <is>
          <t>4Ⅱ 計画策定</t>
        </is>
      </c>
      <c r="B63" s="23" t="inlineStr">
        <is>
          <t>仕様書4Ⅱ(3)③-d</t>
        </is>
      </c>
      <c r="C63" s="25" t="inlineStr">
        <is>
          <t>中長期（2040年度・2050年度）の保険料水準を見通す</t>
        </is>
      </c>
      <c r="D63" s="23" t="inlineStr">
        <is>
          <t>受託者</t>
        </is>
      </c>
      <c r="E63" s="25" t="inlineStr">
        <is>
          <t>Ⅱ-108</t>
        </is>
      </c>
      <c r="F63" s="25" t="inlineStr">
        <is>
          <t>中長期（令和17・22年度）の保険料見通しの算定</t>
        </is>
      </c>
      <c r="G63" s="23" t="inlineStr">
        <is>
          <t>○</t>
        </is>
      </c>
      <c r="H63" s="25" t="inlineStr">
        <is>
          <t>国の基本指針の要請。仕様書の「介護保険料」に含まれる</t>
        </is>
      </c>
    </row>
    <row r="64" ht="30" customHeight="1">
      <c r="A64" s="24" t="inlineStr">
        <is>
          <t>4Ⅱ 計画策定</t>
        </is>
      </c>
      <c r="B64" s="23" t="inlineStr">
        <is>
          <t>仕様書4Ⅱ(3)④-a</t>
        </is>
      </c>
      <c r="C64" s="25" t="inlineStr">
        <is>
          <t>成果目標を設定する</t>
        </is>
      </c>
      <c r="D64" s="23" t="inlineStr">
        <is>
          <t>受託者</t>
        </is>
      </c>
      <c r="E64" s="25" t="inlineStr">
        <is>
          <t>Ⅱ-65</t>
        </is>
      </c>
      <c r="F64" s="25" t="inlineStr">
        <is>
          <t>成果目標及び活動指標の設定</t>
        </is>
      </c>
      <c r="G64" s="23" t="inlineStr">
        <is>
          <t>○</t>
        </is>
      </c>
      <c r="H64" s="25" t="inlineStr"/>
    </row>
    <row r="65" ht="30" customHeight="1">
      <c r="A65" s="24" t="inlineStr">
        <is>
          <t>4Ⅱ 計画策定</t>
        </is>
      </c>
      <c r="B65" s="23" t="inlineStr">
        <is>
          <t>仕様書4Ⅱ(3)④-b</t>
        </is>
      </c>
      <c r="C65" s="25" t="inlineStr">
        <is>
          <t>活動指標を設定する</t>
        </is>
      </c>
      <c r="D65" s="23" t="inlineStr">
        <is>
          <t>受託者</t>
        </is>
      </c>
      <c r="E65" s="25" t="inlineStr">
        <is>
          <t>Ⅱ-65</t>
        </is>
      </c>
      <c r="F65" s="25" t="inlineStr">
        <is>
          <t>成果目標及び活動指標の設定</t>
        </is>
      </c>
      <c r="G65" s="23" t="inlineStr">
        <is>
          <t>○</t>
        </is>
      </c>
      <c r="H65" s="25" t="inlineStr"/>
    </row>
    <row r="66" ht="30" customHeight="1">
      <c r="A66" s="24" t="inlineStr">
        <is>
          <t>4Ⅱ 計画策定</t>
        </is>
      </c>
      <c r="B66" s="23" t="inlineStr">
        <is>
          <t>仕様書4Ⅱ(3)④-c</t>
        </is>
      </c>
      <c r="C66" s="25" t="inlineStr">
        <is>
          <t>給付適正化に関し取り組むべき施策とその目標を定める</t>
        </is>
      </c>
      <c r="D66" s="23" t="inlineStr">
        <is>
          <t>受託者</t>
        </is>
      </c>
      <c r="E66" s="25" t="inlineStr">
        <is>
          <t>Ⅱ-109</t>
        </is>
      </c>
      <c r="F66" s="25" t="inlineStr">
        <is>
          <t>給付適正化に係る取組内容と目標の設定</t>
        </is>
      </c>
      <c r="G66" s="23" t="inlineStr">
        <is>
          <t>○</t>
        </is>
      </c>
      <c r="H66" s="25" t="inlineStr">
        <is>
          <t>介護保険法117条2項3号・4号（義務）。仕様書の「成果目標及び活動指標」に含まれる</t>
        </is>
      </c>
    </row>
    <row r="67" ht="30" customHeight="1">
      <c r="A67" s="24" t="inlineStr">
        <is>
          <t>4Ⅱ 計画策定</t>
        </is>
      </c>
      <c r="B67" s="23" t="inlineStr">
        <is>
          <t>仕様書4Ⅱ(4)-a</t>
        </is>
      </c>
      <c r="C67" s="25" t="inlineStr">
        <is>
          <t>現行計画の成果と課題を踏まえる</t>
        </is>
      </c>
      <c r="D67" s="23" t="inlineStr">
        <is>
          <t>受託者</t>
        </is>
      </c>
      <c r="E67" s="25" t="inlineStr">
        <is>
          <t>Ⅱ-66</t>
        </is>
      </c>
      <c r="F67" s="25" t="inlineStr">
        <is>
          <t>現行計画の成果と課題の整理</t>
        </is>
      </c>
      <c r="G67" s="23" t="inlineStr">
        <is>
          <t>○</t>
        </is>
      </c>
      <c r="H67" s="25" t="inlineStr"/>
    </row>
    <row r="68" ht="30" customHeight="1">
      <c r="A68" s="24" t="inlineStr">
        <is>
          <t>4Ⅱ 計画策定</t>
        </is>
      </c>
      <c r="B68" s="23" t="inlineStr">
        <is>
          <t>仕様書4Ⅱ(4)-b</t>
        </is>
      </c>
      <c r="C68" s="25" t="inlineStr">
        <is>
          <t>環境整備を検討する</t>
        </is>
      </c>
      <c r="D68" s="23" t="inlineStr">
        <is>
          <t>受託者</t>
        </is>
      </c>
      <c r="E68" s="25" t="inlineStr">
        <is>
          <t>Ⅱ-67</t>
        </is>
      </c>
      <c r="F68" s="25" t="inlineStr">
        <is>
          <t>次期計画に盛り込む施策の検討</t>
        </is>
      </c>
      <c r="G68" s="23" t="inlineStr">
        <is>
          <t>○</t>
        </is>
      </c>
      <c r="H68" s="25" t="inlineStr"/>
    </row>
    <row r="69" ht="30" customHeight="1">
      <c r="A69" s="24" t="inlineStr">
        <is>
          <t>4Ⅱ 計画策定</t>
        </is>
      </c>
      <c r="B69" s="23" t="inlineStr">
        <is>
          <t>仕様書4Ⅱ(4)-c</t>
        </is>
      </c>
      <c r="C69" s="25" t="inlineStr">
        <is>
          <t>支援体制の構築等を検討する</t>
        </is>
      </c>
      <c r="D69" s="23" t="inlineStr">
        <is>
          <t>受託者</t>
        </is>
      </c>
      <c r="E69" s="25" t="inlineStr">
        <is>
          <t>Ⅱ-67</t>
        </is>
      </c>
      <c r="F69" s="25" t="inlineStr">
        <is>
          <t>次期計画に盛り込む施策の検討</t>
        </is>
      </c>
      <c r="G69" s="23" t="inlineStr">
        <is>
          <t>○</t>
        </is>
      </c>
      <c r="H69" s="25" t="inlineStr"/>
    </row>
    <row r="70" ht="30" customHeight="1">
      <c r="A70" s="24" t="inlineStr">
        <is>
          <t>4Ⅱ 計画策定</t>
        </is>
      </c>
      <c r="B70" s="23" t="inlineStr">
        <is>
          <t>仕様書4Ⅱ(4)-d</t>
        </is>
      </c>
      <c r="C70" s="25" t="inlineStr">
        <is>
          <t>老人福祉事業の量の目標を定める</t>
        </is>
      </c>
      <c r="D70" s="23" t="inlineStr">
        <is>
          <t>受託者</t>
        </is>
      </c>
      <c r="E70" s="25" t="inlineStr">
        <is>
          <t>Ⅱ-110</t>
        </is>
      </c>
      <c r="F70" s="25" t="inlineStr">
        <is>
          <t>老人福祉事業の量の目標の設定</t>
        </is>
      </c>
      <c r="G70" s="23" t="inlineStr">
        <is>
          <t>○</t>
        </is>
      </c>
      <c r="H70" s="25" t="inlineStr">
        <is>
          <t>老人福祉法20条の8第2項（義務）。仕様書の「高齢者福祉施策の検討」に含まれる</t>
        </is>
      </c>
    </row>
    <row r="71" ht="30" customHeight="1">
      <c r="A71" s="24" t="inlineStr">
        <is>
          <t>4Ⅱ 計画策定</t>
        </is>
      </c>
      <c r="B71" s="23" t="inlineStr">
        <is>
          <t>仕様書4Ⅱ(5)-a</t>
        </is>
      </c>
      <c r="C71" s="25" t="inlineStr">
        <is>
          <t>村から利用実態・考え方等の情報提供を受ける</t>
        </is>
      </c>
      <c r="D71" s="23" t="inlineStr">
        <is>
          <t>北塩原村</t>
        </is>
      </c>
      <c r="E71" s="25" t="inlineStr">
        <is>
          <t>Ⅱ-68</t>
        </is>
      </c>
      <c r="F71" s="25" t="inlineStr">
        <is>
          <t>制度の利用実態・考え方の情報提供</t>
        </is>
      </c>
      <c r="G71" s="23" t="inlineStr">
        <is>
          <t>○</t>
        </is>
      </c>
      <c r="H71" s="25" t="inlineStr"/>
    </row>
    <row r="72" ht="30" customHeight="1">
      <c r="A72" s="24" t="inlineStr">
        <is>
          <t>4Ⅱ 計画策定</t>
        </is>
      </c>
      <c r="B72" s="23" t="inlineStr">
        <is>
          <t>仕様書4Ⅱ(5)-b</t>
        </is>
      </c>
      <c r="C72" s="25" t="inlineStr">
        <is>
          <t>成年後見制度の利用促進の方向性・計画案を提示する</t>
        </is>
      </c>
      <c r="D72" s="23" t="inlineStr">
        <is>
          <t>受託者</t>
        </is>
      </c>
      <c r="E72" s="25" t="inlineStr">
        <is>
          <t>Ⅱ-69</t>
        </is>
      </c>
      <c r="F72" s="25" t="inlineStr">
        <is>
          <t>利用促進の方向性・計画案の提示</t>
        </is>
      </c>
      <c r="G72" s="23" t="inlineStr">
        <is>
          <t>○</t>
        </is>
      </c>
      <c r="H72" s="25" t="inlineStr"/>
    </row>
    <row r="73" ht="30" customHeight="1">
      <c r="A73" s="12" t="inlineStr">
        <is>
          <t>4Ⅱ 計画策定</t>
        </is>
      </c>
      <c r="B73" s="11" t="inlineStr">
        <is>
          <t>仕様書4Ⅱ(5)-c</t>
        </is>
      </c>
      <c r="C73" s="13" t="inlineStr">
        <is>
          <t>広域調整など関係機関との調整・協議は村が実施する</t>
        </is>
      </c>
      <c r="D73" s="11" t="inlineStr">
        <is>
          <t>北塩原村</t>
        </is>
      </c>
      <c r="E73" s="13" t="inlineStr">
        <is>
          <t>―</t>
        </is>
      </c>
      <c r="F73" s="13" t="inlineStr">
        <is>
          <t>―</t>
        </is>
      </c>
      <c r="G73" s="11" t="inlineStr">
        <is>
          <t>村</t>
        </is>
      </c>
      <c r="H73" s="13" t="inlineStr">
        <is>
          <t>受託者の作業ではない。受託者は計画案の提示にとどまる</t>
        </is>
      </c>
    </row>
    <row r="74" ht="30" customHeight="1">
      <c r="A74" s="24" t="inlineStr">
        <is>
          <t>4Ⅱ 計画策定</t>
        </is>
      </c>
      <c r="B74" s="23" t="inlineStr">
        <is>
          <t>仕様書4Ⅱ(6)-a</t>
        </is>
      </c>
      <c r="C74" s="25" t="inlineStr">
        <is>
          <t>課題を整理し、これに対応した計画案を検討・作成する</t>
        </is>
      </c>
      <c r="D74" s="23" t="inlineStr">
        <is>
          <t>受託者</t>
        </is>
      </c>
      <c r="E74" s="25" t="inlineStr">
        <is>
          <t>Ⅱ-70
Ⅱ-71</t>
        </is>
      </c>
      <c r="F74" s="25" t="inlineStr">
        <is>
          <t>第10期の課題の整理
施策体系の整理</t>
        </is>
      </c>
      <c r="G74" s="23" t="inlineStr">
        <is>
          <t>○</t>
        </is>
      </c>
      <c r="H74" s="25" t="inlineStr"/>
    </row>
    <row r="75" ht="30" customHeight="1">
      <c r="A75" s="24" t="inlineStr">
        <is>
          <t>4Ⅱ 計画策定</t>
        </is>
      </c>
      <c r="B75" s="23" t="inlineStr">
        <is>
          <t>仕様書4Ⅱ(6)-b</t>
        </is>
      </c>
      <c r="C75" s="25" t="inlineStr">
        <is>
          <t>国の基本指針との整合を図る</t>
        </is>
      </c>
      <c r="D75" s="23" t="inlineStr">
        <is>
          <t>受託者</t>
        </is>
      </c>
      <c r="E75" s="25" t="inlineStr">
        <is>
          <t>Ⅱ-51
Ⅱ-72</t>
        </is>
      </c>
      <c r="F75" s="25" t="inlineStr">
        <is>
          <t>第10期国の基本指針の確認・反映
関連計画との整合確認</t>
        </is>
      </c>
      <c r="G75" s="23" t="inlineStr">
        <is>
          <t>○</t>
        </is>
      </c>
      <c r="H75" s="25" t="inlineStr"/>
    </row>
    <row r="76" ht="30" customHeight="1">
      <c r="A76" s="32" t="inlineStr">
        <is>
          <t>4Ⅱ 計画策定</t>
        </is>
      </c>
      <c r="B76" s="34" t="inlineStr">
        <is>
          <t>仕様書4Ⅱ(6)-c</t>
        </is>
      </c>
      <c r="C76" s="33" t="inlineStr">
        <is>
          <t>北塩原村第五次総合振興計画との整合を図る</t>
        </is>
      </c>
      <c r="D76" s="34" t="inlineStr">
        <is>
          <t>受託者</t>
        </is>
      </c>
      <c r="E76" s="33" t="inlineStr">
        <is>
          <t>Ⅱ-72</t>
        </is>
      </c>
      <c r="F76" s="33" t="inlineStr">
        <is>
          <t>関連計画との整合確認</t>
        </is>
      </c>
      <c r="G76" s="34" t="inlineStr">
        <is>
          <t>○</t>
        </is>
      </c>
      <c r="H76" s="33" t="inlineStr">
        <is>
          <t>★上位計画が未受領</t>
        </is>
      </c>
    </row>
    <row r="77" ht="30" customHeight="1">
      <c r="A77" s="32" t="inlineStr">
        <is>
          <t>4Ⅱ 計画策定</t>
        </is>
      </c>
      <c r="B77" s="34" t="inlineStr">
        <is>
          <t>仕様書4Ⅱ(6)-d</t>
        </is>
      </c>
      <c r="C77" s="33" t="inlineStr">
        <is>
          <t>第3次健康21・北塩原村グッドヘルスプランとの整合を図る</t>
        </is>
      </c>
      <c r="D77" s="34" t="inlineStr">
        <is>
          <t>受託者</t>
        </is>
      </c>
      <c r="E77" s="33" t="inlineStr">
        <is>
          <t>Ⅱ-72</t>
        </is>
      </c>
      <c r="F77" s="33" t="inlineStr">
        <is>
          <t>関連計画との整合確認</t>
        </is>
      </c>
      <c r="G77" s="34" t="inlineStr">
        <is>
          <t>○</t>
        </is>
      </c>
      <c r="H77" s="33" t="inlineStr">
        <is>
          <t>★未受領</t>
        </is>
      </c>
    </row>
    <row r="78" ht="30" customHeight="1">
      <c r="A78" s="24" t="inlineStr">
        <is>
          <t>4Ⅱ 計画策定</t>
        </is>
      </c>
      <c r="B78" s="23" t="inlineStr">
        <is>
          <t>仕様書4Ⅱ(6)-e</t>
        </is>
      </c>
      <c r="C78" s="25" t="inlineStr">
        <is>
          <t>整合対象の「等」に含まれる計画の範囲を確認する</t>
        </is>
      </c>
      <c r="D78" s="23" t="inlineStr">
        <is>
          <t>双方</t>
        </is>
      </c>
      <c r="E78" s="25" t="inlineStr">
        <is>
          <t>Ⅱ-73</t>
        </is>
      </c>
      <c r="F78" s="25" t="inlineStr">
        <is>
          <t>一体的策定の範囲の確認</t>
        </is>
      </c>
      <c r="G78" s="23" t="inlineStr">
        <is>
          <t>○</t>
        </is>
      </c>
      <c r="H78" s="25" t="inlineStr">
        <is>
          <t>認知症施策推進計画・成年後見制度利用促進基本計画の一体化の継続可否</t>
        </is>
      </c>
    </row>
    <row r="79" ht="30" customHeight="1">
      <c r="A79" s="24" t="inlineStr">
        <is>
          <t>4Ⅱ 計画策定</t>
        </is>
      </c>
      <c r="B79" s="23" t="inlineStr">
        <is>
          <t>仕様書4Ⅱ(7)-a</t>
        </is>
      </c>
      <c r="C79" s="25" t="inlineStr">
        <is>
          <t>策定委員会での審議の意見を反映する</t>
        </is>
      </c>
      <c r="D79" s="23" t="inlineStr">
        <is>
          <t>受託者</t>
        </is>
      </c>
      <c r="E79" s="25" t="inlineStr">
        <is>
          <t>Ⅱ-112</t>
        </is>
      </c>
      <c r="F79" s="25" t="inlineStr">
        <is>
          <t>策定委員会の審議意見の反映</t>
        </is>
      </c>
      <c r="G79" s="23" t="inlineStr">
        <is>
          <t>○</t>
        </is>
      </c>
      <c r="H79" s="25" t="inlineStr"/>
    </row>
    <row r="80" ht="30" customHeight="1">
      <c r="A80" s="24" t="inlineStr">
        <is>
          <t>4Ⅱ 計画策定</t>
        </is>
      </c>
      <c r="B80" s="23" t="inlineStr">
        <is>
          <t>仕様書4Ⅱ(7)-b</t>
        </is>
      </c>
      <c r="C80" s="25" t="inlineStr">
        <is>
          <t>パブリックコメントを実施する（村が実施）</t>
        </is>
      </c>
      <c r="D80" s="23" t="inlineStr">
        <is>
          <t>北塩原村</t>
        </is>
      </c>
      <c r="E80" s="25" t="inlineStr">
        <is>
          <t>Ⅱ-76</t>
        </is>
      </c>
      <c r="F80" s="25" t="inlineStr">
        <is>
          <t>パブリックコメントの実施</t>
        </is>
      </c>
      <c r="G80" s="23" t="inlineStr">
        <is>
          <t>○</t>
        </is>
      </c>
      <c r="H80" s="25" t="inlineStr"/>
    </row>
    <row r="81" ht="30" customHeight="1">
      <c r="A81" s="24" t="inlineStr">
        <is>
          <t>4Ⅱ 計画策定</t>
        </is>
      </c>
      <c r="B81" s="23" t="inlineStr">
        <is>
          <t>仕様書4Ⅱ(7)-c</t>
        </is>
      </c>
      <c r="C81" s="25" t="inlineStr">
        <is>
          <t>パブリックコメントの意見を反映する</t>
        </is>
      </c>
      <c r="D81" s="23" t="inlineStr">
        <is>
          <t>受託者</t>
        </is>
      </c>
      <c r="E81" s="25" t="inlineStr">
        <is>
          <t>Ⅱ-77</t>
        </is>
      </c>
      <c r="F81" s="25" t="inlineStr">
        <is>
          <t>パブリックコメント意見の反映</t>
        </is>
      </c>
      <c r="G81" s="23" t="inlineStr">
        <is>
          <t>○</t>
        </is>
      </c>
      <c r="H81" s="25" t="inlineStr"/>
    </row>
    <row r="82" ht="30" customHeight="1">
      <c r="A82" s="24" t="inlineStr">
        <is>
          <t>4Ⅱ 計画策定</t>
        </is>
      </c>
      <c r="B82" s="23" t="inlineStr">
        <is>
          <t>仕様書4Ⅱ(7)-d</t>
        </is>
      </c>
      <c r="C82" s="25" t="inlineStr">
        <is>
          <t>計画書を最終取りまとめする</t>
        </is>
      </c>
      <c r="D82" s="23" t="inlineStr">
        <is>
          <t>受託者</t>
        </is>
      </c>
      <c r="E82" s="25" t="inlineStr">
        <is>
          <t>Ⅱ-74
Ⅱ-75
Ⅱ-78
Ⅱ-79</t>
        </is>
      </c>
      <c r="F82" s="25" t="inlineStr">
        <is>
          <t>骨子案の作成
素案の作成
原案の作成
計画書の最終取りまとめ</t>
        </is>
      </c>
      <c r="G82" s="23" t="inlineStr">
        <is>
          <t>○</t>
        </is>
      </c>
      <c r="H82" s="25" t="inlineStr"/>
    </row>
    <row r="83" ht="30" customHeight="1">
      <c r="A83" s="24" t="inlineStr">
        <is>
          <t>4Ⅱ 計画策定</t>
        </is>
      </c>
      <c r="B83" s="23" t="inlineStr">
        <is>
          <t>仕様書4Ⅱ(7)-e</t>
        </is>
      </c>
      <c r="C83" s="25" t="inlineStr">
        <is>
          <t>印刷入稿に足るレイアウト・校正を行う</t>
        </is>
      </c>
      <c r="D83" s="23" t="inlineStr">
        <is>
          <t>受託者</t>
        </is>
      </c>
      <c r="E83" s="25" t="inlineStr">
        <is>
          <t>Ⅱ-113</t>
        </is>
      </c>
      <c r="F83" s="25" t="inlineStr">
        <is>
          <t>計画書のレイアウト・校正</t>
        </is>
      </c>
      <c r="G83" s="23" t="inlineStr">
        <is>
          <t>○</t>
        </is>
      </c>
      <c r="H83" s="25" t="inlineStr"/>
    </row>
    <row r="84" ht="30" customHeight="1">
      <c r="A84" s="24" t="inlineStr">
        <is>
          <t>4Ⅱ 計画策定</t>
        </is>
      </c>
      <c r="B84" s="23" t="inlineStr">
        <is>
          <t>仕様書4Ⅱ(8)-a</t>
        </is>
      </c>
      <c r="C84" s="25" t="inlineStr">
        <is>
          <t>策定委員会の会議資料を作成する</t>
        </is>
      </c>
      <c r="D84" s="23" t="inlineStr">
        <is>
          <t>受託者</t>
        </is>
      </c>
      <c r="E84" s="25" t="inlineStr">
        <is>
          <t>Ⅱ-81
Ⅱ-83
Ⅱ-85</t>
        </is>
      </c>
      <c r="F84" s="25" t="inlineStr">
        <is>
          <t>第1回 会議資料の作成
第2回 会議資料の作成
第3回 会議資料の作成</t>
        </is>
      </c>
      <c r="G84" s="23" t="inlineStr">
        <is>
          <t>○</t>
        </is>
      </c>
      <c r="H84" s="25" t="inlineStr"/>
    </row>
    <row r="85" ht="30" customHeight="1">
      <c r="A85" s="24" t="inlineStr">
        <is>
          <t>4Ⅱ 計画策定</t>
        </is>
      </c>
      <c r="B85" s="23" t="inlineStr">
        <is>
          <t>仕様書4Ⅱ(8)-b</t>
        </is>
      </c>
      <c r="C85" s="25" t="inlineStr">
        <is>
          <t>策定委員会に出席する</t>
        </is>
      </c>
      <c r="D85" s="23" t="inlineStr">
        <is>
          <t>受託者</t>
        </is>
      </c>
      <c r="E85" s="25" t="inlineStr">
        <is>
          <t>Ⅱ-82
Ⅱ-84
Ⅱ-86</t>
        </is>
      </c>
      <c r="F85" s="25" t="inlineStr">
        <is>
          <t>第1回 会議出席・会議記録（要旨）の作成
第2回 会議出席・会議記録（要旨）の作成
第3回 会議出席・会議記録（要旨）の作成</t>
        </is>
      </c>
      <c r="G85" s="23" t="inlineStr">
        <is>
          <t>○</t>
        </is>
      </c>
      <c r="H85" s="25" t="inlineStr"/>
    </row>
    <row r="86" ht="30" customHeight="1">
      <c r="A86" s="24" t="inlineStr">
        <is>
          <t>4Ⅱ 計画策定</t>
        </is>
      </c>
      <c r="B86" s="23" t="inlineStr">
        <is>
          <t>仕様書4Ⅱ(8)-c</t>
        </is>
      </c>
      <c r="C86" s="25" t="inlineStr">
        <is>
          <t>会議記録（要旨）を作成する</t>
        </is>
      </c>
      <c r="D86" s="23" t="inlineStr">
        <is>
          <t>受託者</t>
        </is>
      </c>
      <c r="E86" s="25" t="inlineStr">
        <is>
          <t>Ⅱ-82
Ⅱ-84
Ⅱ-86</t>
        </is>
      </c>
      <c r="F86" s="25" t="inlineStr">
        <is>
          <t>第1回 会議出席・会議記録（要旨）の作成
第2回 会議出席・会議記録（要旨）の作成
第3回 会議出席・会議記録（要旨）の作成</t>
        </is>
      </c>
      <c r="G86" s="23" t="inlineStr">
        <is>
          <t>○</t>
        </is>
      </c>
      <c r="H86" s="25" t="inlineStr"/>
    </row>
    <row r="87" ht="30" customHeight="1">
      <c r="A87" s="24" t="inlineStr">
        <is>
          <t>4Ⅱ 計画策定</t>
        </is>
      </c>
      <c r="B87" s="23" t="inlineStr">
        <is>
          <t>仕様書4Ⅱ(8)-d</t>
        </is>
      </c>
      <c r="C87" s="25" t="inlineStr">
        <is>
          <t>開催回数は3回程度</t>
        </is>
      </c>
      <c r="D87" s="23" t="inlineStr">
        <is>
          <t>受託者</t>
        </is>
      </c>
      <c r="E87" s="25" t="inlineStr">
        <is>
          <t>Ⅱ-80</t>
        </is>
      </c>
      <c r="F87" s="25" t="inlineStr">
        <is>
          <t>委員の改選・委嘱</t>
        </is>
      </c>
      <c r="G87" s="23" t="inlineStr">
        <is>
          <t>○</t>
        </is>
      </c>
      <c r="H87" s="25" t="inlineStr">
        <is>
          <t>第1回は受託前に開催済み。現委員の任期は令和8年9月30日満了で改選が前提</t>
        </is>
      </c>
    </row>
    <row r="88" ht="30" customHeight="1">
      <c r="A88" s="30" t="inlineStr">
        <is>
          <t>4Ⅲ 打合せ等</t>
        </is>
      </c>
      <c r="B88" s="23" t="inlineStr">
        <is>
          <t>仕様書4Ⅲ-a</t>
        </is>
      </c>
      <c r="C88" s="25" t="inlineStr">
        <is>
          <t>計画策定業務の実施中、必要に応じて打合せを実施する</t>
        </is>
      </c>
      <c r="D88" s="23" t="inlineStr">
        <is>
          <t>双方</t>
        </is>
      </c>
      <c r="E88" s="25" t="inlineStr">
        <is>
          <t>０-03
Ⅲ-87</t>
        </is>
      </c>
      <c r="F88" s="25" t="inlineStr">
        <is>
          <t>キックオフ会議の開催
定例打合せの実施（電話・オンライン・対面）</t>
        </is>
      </c>
      <c r="G88" s="23" t="inlineStr">
        <is>
          <t>○</t>
        </is>
      </c>
      <c r="H88" s="25" t="inlineStr"/>
    </row>
    <row r="89" ht="30" customHeight="1">
      <c r="A89" s="24" t="inlineStr">
        <is>
          <t>4Ⅲ 打合せ等</t>
        </is>
      </c>
      <c r="B89" s="23" t="inlineStr">
        <is>
          <t>仕様書4Ⅲ-b</t>
        </is>
      </c>
      <c r="C89" s="25" t="inlineStr">
        <is>
          <t>打合せは電話・面談（オンライン・対面）による</t>
        </is>
      </c>
      <c r="D89" s="23" t="inlineStr">
        <is>
          <t>双方</t>
        </is>
      </c>
      <c r="E89" s="25" t="inlineStr">
        <is>
          <t>Ⅲ-87</t>
        </is>
      </c>
      <c r="F89" s="25" t="inlineStr">
        <is>
          <t>定例打合せの実施（電話・オンライン・対面）</t>
        </is>
      </c>
      <c r="G89" s="23" t="inlineStr">
        <is>
          <t>○</t>
        </is>
      </c>
      <c r="H89" s="25" t="inlineStr"/>
    </row>
    <row r="90" ht="30" customHeight="1">
      <c r="A90" s="24" t="inlineStr">
        <is>
          <t>4Ⅲ 打合せ等</t>
        </is>
      </c>
      <c r="B90" s="23" t="inlineStr">
        <is>
          <t>仕様書4Ⅲ-c</t>
        </is>
      </c>
      <c r="C90" s="25" t="inlineStr">
        <is>
          <t>資料の授受を行う</t>
        </is>
      </c>
      <c r="D90" s="23" t="inlineStr">
        <is>
          <t>双方</t>
        </is>
      </c>
      <c r="E90" s="25" t="inlineStr">
        <is>
          <t>０-04
Ⅲ-88</t>
        </is>
      </c>
      <c r="F90" s="25" t="inlineStr">
        <is>
          <t>連絡体制・資料授受方法の確定
資料授受の管理</t>
        </is>
      </c>
      <c r="G90" s="23" t="inlineStr">
        <is>
          <t>○</t>
        </is>
      </c>
      <c r="H90" s="25" t="inlineStr"/>
    </row>
    <row r="91" ht="30" customHeight="1">
      <c r="A91" s="30" t="inlineStr">
        <is>
          <t>5 業務成果品</t>
        </is>
      </c>
      <c r="B91" s="23" t="inlineStr">
        <is>
          <t>仕様書5①-a</t>
        </is>
      </c>
      <c r="C91" s="25" t="inlineStr">
        <is>
          <t>計画書を A4判・両面約100頁・モノクロで作成する</t>
        </is>
      </c>
      <c r="D91" s="23" t="inlineStr">
        <is>
          <t>受託者</t>
        </is>
      </c>
      <c r="E91" s="25" t="inlineStr">
        <is>
          <t>Ⅳ-89</t>
        </is>
      </c>
      <c r="F91" s="25" t="inlineStr">
        <is>
          <t>計画書の印刷・製本（A4両面約100頁・くるみ製本）</t>
        </is>
      </c>
      <c r="G91" s="23" t="inlineStr">
        <is>
          <t>○</t>
        </is>
      </c>
      <c r="H91" s="25" t="inlineStr"/>
    </row>
    <row r="92" ht="30" customHeight="1">
      <c r="A92" s="24" t="inlineStr">
        <is>
          <t>5 業務成果品</t>
        </is>
      </c>
      <c r="B92" s="23" t="inlineStr">
        <is>
          <t>仕様書5①-b</t>
        </is>
      </c>
      <c r="C92" s="25" t="inlineStr">
        <is>
          <t>計画書はコピー／くるみ製本とする</t>
        </is>
      </c>
      <c r="D92" s="23" t="inlineStr">
        <is>
          <t>受託者</t>
        </is>
      </c>
      <c r="E92" s="25" t="inlineStr">
        <is>
          <t>Ⅳ-89</t>
        </is>
      </c>
      <c r="F92" s="25" t="inlineStr">
        <is>
          <t>計画書の印刷・製本（A4両面約100頁・くるみ製本）</t>
        </is>
      </c>
      <c r="G92" s="23" t="inlineStr">
        <is>
          <t>○</t>
        </is>
      </c>
      <c r="H92" s="25" t="inlineStr"/>
    </row>
    <row r="93" ht="30" customHeight="1">
      <c r="A93" s="24" t="inlineStr">
        <is>
          <t>5 業務成果品</t>
        </is>
      </c>
      <c r="B93" s="23" t="inlineStr">
        <is>
          <t>仕様書5①-c</t>
        </is>
      </c>
      <c r="C93" s="25" t="inlineStr">
        <is>
          <t>計画書を50部納品する</t>
        </is>
      </c>
      <c r="D93" s="23" t="inlineStr">
        <is>
          <t>受託者</t>
        </is>
      </c>
      <c r="E93" s="25" t="inlineStr">
        <is>
          <t>Ⅳ-89
Ⅳ-96</t>
        </is>
      </c>
      <c r="F93" s="25" t="inlineStr">
        <is>
          <t>計画書の印刷・製本（A4両面約100頁・くるみ製本）
納品・検収</t>
        </is>
      </c>
      <c r="G93" s="23" t="inlineStr">
        <is>
          <t>○</t>
        </is>
      </c>
      <c r="H93" s="25" t="inlineStr"/>
    </row>
    <row r="94" ht="30" customHeight="1">
      <c r="A94" s="24" t="inlineStr">
        <is>
          <t>5 業務成果品</t>
        </is>
      </c>
      <c r="B94" s="23" t="inlineStr">
        <is>
          <t>仕様書5②-a</t>
        </is>
      </c>
      <c r="C94" s="25" t="inlineStr">
        <is>
          <t>アンケート調査報告書を A4判・両面約100頁・モノクロ・ホチキス製本で作成する</t>
        </is>
      </c>
      <c r="D94" s="23" t="inlineStr">
        <is>
          <t>受託者</t>
        </is>
      </c>
      <c r="E94" s="25" t="inlineStr">
        <is>
          <t>Ⅳ-90</t>
        </is>
      </c>
      <c r="F94" s="25" t="inlineStr">
        <is>
          <t>アンケート調査報告書の印刷・製本（ホチキス製本）</t>
        </is>
      </c>
      <c r="G94" s="23" t="inlineStr">
        <is>
          <t>○</t>
        </is>
      </c>
      <c r="H94" s="25" t="inlineStr">
        <is>
          <t>2026/09/24 決着：仕様書どおり約100頁に統一。第Ⅱ部（分析編25頁）は維持し第Ⅰ部・資料編で18頁を圧縮（doc24§1-1）</t>
        </is>
      </c>
    </row>
    <row r="95" ht="30" customHeight="1">
      <c r="A95" s="24" t="inlineStr">
        <is>
          <t>5 業務成果品</t>
        </is>
      </c>
      <c r="B95" s="23" t="inlineStr">
        <is>
          <t>仕様書5②-b</t>
        </is>
      </c>
      <c r="C95" s="25" t="inlineStr">
        <is>
          <t>アンケート調査報告書を10部納品する</t>
        </is>
      </c>
      <c r="D95" s="23" t="inlineStr">
        <is>
          <t>受託者</t>
        </is>
      </c>
      <c r="E95" s="25" t="inlineStr">
        <is>
          <t>Ⅳ-90
Ⅳ-96</t>
        </is>
      </c>
      <c r="F95" s="25" t="inlineStr">
        <is>
          <t>アンケート調査報告書の印刷・製本（ホチキス製本）
納品・検収</t>
        </is>
      </c>
      <c r="G95" s="23" t="inlineStr">
        <is>
          <t>○</t>
        </is>
      </c>
      <c r="H95" s="25" t="inlineStr"/>
    </row>
    <row r="96" ht="30" customHeight="1">
      <c r="A96" s="24" t="inlineStr">
        <is>
          <t>5 業務成果品</t>
        </is>
      </c>
      <c r="B96" s="23" t="inlineStr">
        <is>
          <t>仕様書5③-a</t>
        </is>
      </c>
      <c r="C96" s="25" t="inlineStr">
        <is>
          <t>成果品及び関連データを収録した電子媒体（Word・Excel・PowerPoint・PDF形式等／CD-R等）を納品する</t>
        </is>
      </c>
      <c r="D96" s="23" t="inlineStr">
        <is>
          <t>受託者</t>
        </is>
      </c>
      <c r="E96" s="25" t="inlineStr">
        <is>
          <t>Ⅳ-91
Ⅳ-96</t>
        </is>
      </c>
      <c r="F96" s="25" t="inlineStr">
        <is>
          <t>電子媒体の作成（Word/Excel/PowerPoint/PDF）
納品・検収</t>
        </is>
      </c>
      <c r="G96" s="23" t="inlineStr">
        <is>
          <t>○</t>
        </is>
      </c>
      <c r="H96" s="25" t="inlineStr"/>
    </row>
    <row r="97" ht="30" customHeight="1">
      <c r="A97" s="24" t="inlineStr">
        <is>
          <t>5 業務成果品</t>
        </is>
      </c>
      <c r="B97" s="23" t="inlineStr">
        <is>
          <t>仕様書5③-b</t>
        </is>
      </c>
      <c r="C97" s="25" t="inlineStr">
        <is>
          <t>電子媒体に収録する「関連データ」の範囲を定める</t>
        </is>
      </c>
      <c r="D97" s="23" t="inlineStr">
        <is>
          <t>双方</t>
        </is>
      </c>
      <c r="E97" s="25" t="inlineStr">
        <is>
          <t>Ⅳ-114</t>
        </is>
      </c>
      <c r="F97" s="25" t="inlineStr">
        <is>
          <t>納品物に収録する範囲の確定（個人情報の非収録）</t>
        </is>
      </c>
      <c r="G97" s="23" t="inlineStr">
        <is>
          <t>○</t>
        </is>
      </c>
      <c r="H97" s="25" t="inlineStr">
        <is>
          <t>回答原票・管理番号対応表を含めるかは仕様書6(1)と一体で判断する</t>
        </is>
      </c>
    </row>
    <row r="98" ht="30" customHeight="1">
      <c r="A98" s="30" t="inlineStr">
        <is>
          <t>6 その他</t>
        </is>
      </c>
      <c r="B98" s="23" t="inlineStr">
        <is>
          <t>仕様書6(1)-a</t>
        </is>
      </c>
      <c r="C98" s="25" t="inlineStr">
        <is>
          <t>業務上知り得た個人情報を第三者に開示・漏洩しない</t>
        </is>
      </c>
      <c r="D98" s="23" t="inlineStr">
        <is>
          <t>受託者</t>
        </is>
      </c>
      <c r="E98" s="25" t="inlineStr">
        <is>
          <t>Ⅴ-97</t>
        </is>
      </c>
      <c r="F98" s="25" t="inlineStr">
        <is>
          <t>個人情報の適正管理（アクセス制限・保管ルール）</t>
        </is>
      </c>
      <c r="G98" s="23" t="inlineStr">
        <is>
          <t>○</t>
        </is>
      </c>
      <c r="H98" s="25" t="inlineStr"/>
    </row>
    <row r="99" ht="30" customHeight="1">
      <c r="A99" s="24" t="inlineStr">
        <is>
          <t>6 その他</t>
        </is>
      </c>
      <c r="B99" s="23" t="inlineStr">
        <is>
          <t>仕様書6(1)-b</t>
        </is>
      </c>
      <c r="C99" s="25" t="inlineStr">
        <is>
          <t>契約期間終了後・契約解除後も同様とする</t>
        </is>
      </c>
      <c r="D99" s="23" t="inlineStr">
        <is>
          <t>受託者</t>
        </is>
      </c>
      <c r="E99" s="25" t="inlineStr">
        <is>
          <t>Ⅴ-98</t>
        </is>
      </c>
      <c r="F99" s="25" t="inlineStr">
        <is>
          <t>業務完了後の情報の返還・消去</t>
        </is>
      </c>
      <c r="G99" s="23" t="inlineStr">
        <is>
          <t>○</t>
        </is>
      </c>
      <c r="H99" s="25" t="inlineStr"/>
    </row>
    <row r="100" ht="30" customHeight="1">
      <c r="A100" s="24" t="inlineStr">
        <is>
          <t>6 その他</t>
        </is>
      </c>
      <c r="B100" s="23" t="inlineStr">
        <is>
          <t>仕様書6(2)-a</t>
        </is>
      </c>
      <c r="C100" s="25" t="inlineStr">
        <is>
          <t>業務の全部を一括して再委託してはならない</t>
        </is>
      </c>
      <c r="D100" s="23" t="inlineStr">
        <is>
          <t>受託者</t>
        </is>
      </c>
      <c r="E100" s="25" t="inlineStr">
        <is>
          <t>Ⅴ-99</t>
        </is>
      </c>
      <c r="F100" s="25" t="inlineStr">
        <is>
          <t>再委託の書面承諾の取得</t>
        </is>
      </c>
      <c r="G100" s="23" t="inlineStr">
        <is>
          <t>○</t>
        </is>
      </c>
      <c r="H100" s="25" t="inlineStr"/>
    </row>
    <row r="101" ht="30" customHeight="1">
      <c r="A101" s="24" t="inlineStr">
        <is>
          <t>6 その他</t>
        </is>
      </c>
      <c r="B101" s="23" t="inlineStr">
        <is>
          <t>仕様書6(2)-b</t>
        </is>
      </c>
      <c r="C101" s="25" t="inlineStr">
        <is>
          <t>一部を再委託する場合は事前に書面で村の承諾を得る</t>
        </is>
      </c>
      <c r="D101" s="23" t="inlineStr">
        <is>
          <t>双方</t>
        </is>
      </c>
      <c r="E101" s="25" t="inlineStr">
        <is>
          <t>Ⅴ-99</t>
        </is>
      </c>
      <c r="F101" s="25" t="inlineStr">
        <is>
          <t>再委託の書面承諾の取得</t>
        </is>
      </c>
      <c r="G101" s="23" t="inlineStr">
        <is>
          <t>○</t>
        </is>
      </c>
      <c r="H101" s="25" t="inlineStr">
        <is>
          <t>印刷・データ入力・ウェブフォーム構築を外注する場合に該当</t>
        </is>
      </c>
    </row>
    <row r="102" ht="30" customHeight="1">
      <c r="A102" s="24" t="inlineStr">
        <is>
          <t>6 その他</t>
        </is>
      </c>
      <c r="B102" s="23" t="inlineStr">
        <is>
          <t>仕様書6(3)-a</t>
        </is>
      </c>
      <c r="C102" s="25" t="inlineStr">
        <is>
          <t>北塩原村委託契約約款に準拠する</t>
        </is>
      </c>
      <c r="D102" s="23" t="inlineStr">
        <is>
          <t>双方</t>
        </is>
      </c>
      <c r="E102" s="25" t="inlineStr">
        <is>
          <t>０-02</t>
        </is>
      </c>
      <c r="F102" s="25" t="inlineStr">
        <is>
          <t>契約締結</t>
        </is>
      </c>
      <c r="G102" s="23" t="inlineStr">
        <is>
          <t>○</t>
        </is>
      </c>
      <c r="H102" s="25" t="inlineStr"/>
    </row>
    <row r="103" ht="30" customHeight="1">
      <c r="A103" s="24" t="inlineStr">
        <is>
          <t>6 その他</t>
        </is>
      </c>
      <c r="B103" s="23" t="inlineStr">
        <is>
          <t>仕様書6(4)-a</t>
        </is>
      </c>
      <c r="C103" s="25" t="inlineStr">
        <is>
          <t>疑義が生じたときは村と受託者で協議する</t>
        </is>
      </c>
      <c r="D103" s="23" t="inlineStr">
        <is>
          <t>双方</t>
        </is>
      </c>
      <c r="E103" s="25" t="inlineStr">
        <is>
          <t>Ⅴ-100</t>
        </is>
      </c>
      <c r="F103" s="25" t="inlineStr">
        <is>
          <t>進捗管理・課題管理</t>
        </is>
      </c>
      <c r="G103" s="23" t="inlineStr">
        <is>
          <t>○</t>
        </is>
      </c>
      <c r="H103" s="25" t="inlineStr">
        <is>
          <t>確認事項一覧（本管理表 第2シート）がこの協議の記録を担う</t>
        </is>
      </c>
    </row>
    <row r="105" ht="20" customHeight="1">
      <c r="A105" s="38" t="inlineStr">
        <is>
          <t>■ 仕様書に直接の根拠を持たない作業（何に基づき、どの条項の履行を支えるか）</t>
        </is>
      </c>
    </row>
    <row r="106">
      <c r="A106" s="42" t="inlineStr">
        <is>
          <t>根拠の種別</t>
        </is>
      </c>
      <c r="B106" s="42" t="inlineStr">
        <is>
          <t>WBS No.</t>
        </is>
      </c>
      <c r="C106" s="42" t="inlineStr">
        <is>
          <t>作業項目</t>
        </is>
      </c>
      <c r="D106" s="42" t="inlineStr">
        <is>
          <t>担当</t>
        </is>
      </c>
      <c r="E106" s="42" t="inlineStr">
        <is>
          <t>支える条項</t>
        </is>
      </c>
      <c r="F106" s="42" t="inlineStr">
        <is>
          <t>位置づけ</t>
        </is>
      </c>
    </row>
    <row r="107" ht="30" customHeight="1">
      <c r="A107" s="39" t="inlineStr">
        <is>
          <t>確認</t>
        </is>
      </c>
      <c r="B107" s="39" t="inlineStr">
        <is>
          <t>０-06</t>
        </is>
      </c>
      <c r="C107" s="41" t="inlineStr">
        <is>
          <t>見える化システムのID・パスワードの受領</t>
        </is>
      </c>
      <c r="D107" s="39" t="inlineStr">
        <is>
          <t>北塩原村</t>
        </is>
      </c>
      <c r="E107" s="39" t="inlineStr">
        <is>
          <t>仕様書4Ⅱ(3)</t>
        </is>
      </c>
      <c r="F107" s="41" t="inlineStr">
        <is>
          <t>見える化システムが人口・認定者・給付費の推計の基礎データである</t>
        </is>
      </c>
      <c r="G107" s="43" t="n"/>
      <c r="H107" s="43" t="n"/>
    </row>
    <row r="108" ht="30" customHeight="1">
      <c r="A108" s="39" t="inlineStr">
        <is>
          <t>手引き／確認</t>
        </is>
      </c>
      <c r="B108" s="39" t="inlineStr">
        <is>
          <t>Ⅰ-07</t>
        </is>
      </c>
      <c r="C108" s="41" t="inlineStr">
        <is>
          <t>調査手法の決定（在宅：手法Ⅰ〜Ⅳ）</t>
        </is>
      </c>
      <c r="D108" s="39" t="inlineStr">
        <is>
          <t>双方</t>
        </is>
      </c>
      <c r="E108" s="39" t="inlineStr">
        <is>
          <t>仕様書4Ⅰ(5)</t>
        </is>
      </c>
      <c r="F108" s="41" t="inlineStr">
        <is>
          <t>手引きの手法Ⅰ〜Ⅳのいずれを採るかで認定データ関連付けの可否が決まる</t>
        </is>
      </c>
      <c r="G108" s="43" t="n"/>
      <c r="H108" s="43" t="n"/>
    </row>
    <row r="109" ht="30" customHeight="1">
      <c r="A109" s="39" t="inlineStr">
        <is>
          <t>手引き</t>
        </is>
      </c>
      <c r="B109" s="39" t="inlineStr">
        <is>
          <t>Ⅰ-11</t>
        </is>
      </c>
      <c r="C109" s="41" t="inlineStr">
        <is>
          <t>令和7年8月版 標準様式との逐条突合</t>
        </is>
      </c>
      <c r="D109" s="39" t="inlineStr">
        <is>
          <t>受託者</t>
        </is>
      </c>
      <c r="E109" s="39" t="inlineStr">
        <is>
          <t>仕様書4Ⅰ(2)</t>
        </is>
      </c>
      <c r="F109" s="41" t="inlineStr">
        <is>
          <t>「厚生労働省が示す調査項目」の充足を確認する手段</t>
        </is>
      </c>
      <c r="G109" s="43" t="n"/>
      <c r="H109" s="43" t="n"/>
    </row>
    <row r="110" ht="30" customHeight="1">
      <c r="A110" s="39" t="inlineStr">
        <is>
          <t>手引き</t>
        </is>
      </c>
      <c r="B110" s="39" t="inlineStr">
        <is>
          <t>Ⅰ-19</t>
        </is>
      </c>
      <c r="C110" s="41" t="inlineStr">
        <is>
          <t>被保険者番号と照合可能な管理番号の設計</t>
        </is>
      </c>
      <c r="D110" s="39" t="inlineStr">
        <is>
          <t>双方</t>
        </is>
      </c>
      <c r="E110" s="39" t="inlineStr">
        <is>
          <t>仕様書4Ⅰ(2)</t>
        </is>
      </c>
      <c r="F110" s="41" t="inlineStr">
        <is>
          <t>重複管理と認定データ関連付けの双方の前提となる管理番号の設計</t>
        </is>
      </c>
      <c r="G110" s="43" t="n"/>
      <c r="H110" s="43" t="n"/>
    </row>
    <row r="111" ht="30" customHeight="1">
      <c r="A111" s="39" t="inlineStr">
        <is>
          <t>確認</t>
        </is>
      </c>
      <c r="B111" s="39" t="inlineStr">
        <is>
          <t>Ⅰ-31</t>
        </is>
      </c>
      <c r="C111" s="41" t="inlineStr">
        <is>
          <t>督促（リマインド）の実施</t>
        </is>
      </c>
      <c r="D111" s="39" t="inlineStr">
        <is>
          <t>受託者</t>
        </is>
      </c>
      <c r="E111" s="39" t="inlineStr">
        <is>
          <t>仕様書4Ⅰ(4)</t>
        </is>
      </c>
      <c r="F111" s="41" t="inlineStr">
        <is>
          <t>回収管理の一環。第9期の在宅調査は回収率45.8%</t>
        </is>
      </c>
      <c r="G111" s="43" t="n"/>
      <c r="H111" s="43" t="n"/>
    </row>
    <row r="112" ht="30" customHeight="1">
      <c r="A112" s="39" t="inlineStr">
        <is>
          <t>確認</t>
        </is>
      </c>
      <c r="B112" s="39" t="inlineStr">
        <is>
          <t>Ⅰ-94</t>
        </is>
      </c>
      <c r="C112" s="41" t="inlineStr">
        <is>
          <t>調査票の受渡し記録の作成・運用</t>
        </is>
      </c>
      <c r="D112" s="39" t="inlineStr">
        <is>
          <t>双方</t>
        </is>
      </c>
      <c r="E112" s="39" t="inlineStr">
        <is>
          <t>仕様書6(1)</t>
        </is>
      </c>
      <c r="F112" s="41" t="inlineStr">
        <is>
          <t>村が100件程度ごとに小分け送付する運用に伴う個人情報の受渡し記録</t>
        </is>
      </c>
      <c r="G112" s="43" t="n"/>
      <c r="H112" s="43" t="n"/>
    </row>
    <row r="113" ht="30" customHeight="1">
      <c r="A113" s="39" t="inlineStr">
        <is>
          <t>手引き</t>
        </is>
      </c>
      <c r="B113" s="39" t="inlineStr">
        <is>
          <t>Ⅰ-43</t>
        </is>
      </c>
      <c r="C113" s="41" t="inlineStr">
        <is>
          <t>リスク判定11種の算出</t>
        </is>
      </c>
      <c r="D113" s="39" t="inlineStr">
        <is>
          <t>受託者</t>
        </is>
      </c>
      <c r="E113" s="39" t="inlineStr">
        <is>
          <t>仕様書4Ⅰ(6)</t>
        </is>
      </c>
      <c r="F113" s="41" t="inlineStr">
        <is>
          <t>手引きが定める11領域のリスク判定。見える化への登録と全国比較の前提</t>
        </is>
      </c>
      <c r="G113" s="43" t="n"/>
      <c r="H113" s="43" t="n"/>
    </row>
    <row r="114" ht="30" customHeight="1">
      <c r="A114" s="39" t="inlineStr">
        <is>
          <t>手引き</t>
        </is>
      </c>
      <c r="B114" s="39" t="inlineStr">
        <is>
          <t>Ⅰ-46</t>
        </is>
      </c>
      <c r="C114" s="41" t="inlineStr">
        <is>
          <t>見える化システム登録用データの作成</t>
        </is>
      </c>
      <c r="D114" s="39" t="inlineStr">
        <is>
          <t>受託者</t>
        </is>
      </c>
      <c r="E114" s="39" t="inlineStr">
        <is>
          <t>仕様書4Ⅰ(6)</t>
        </is>
      </c>
      <c r="F114" s="41" t="inlineStr">
        <is>
          <t>見える化システムへの登録により県・全国との比較が可能になる</t>
        </is>
      </c>
      <c r="G114" s="43" t="n"/>
      <c r="H114" s="43" t="n"/>
    </row>
    <row r="115" ht="30" customHeight="1">
      <c r="A115" s="39" t="inlineStr">
        <is>
          <t>確認</t>
        </is>
      </c>
      <c r="B115" s="39" t="inlineStr">
        <is>
          <t>Ⅰ-95</t>
        </is>
      </c>
      <c r="C115" s="41" t="inlineStr">
        <is>
          <t>ICFの構成要素に基づくクロス分析の設計</t>
        </is>
      </c>
      <c r="D115" s="39" t="inlineStr">
        <is>
          <t>受託者</t>
        </is>
      </c>
      <c r="E115" s="39" t="inlineStr">
        <is>
          <t>仕様書4Ⅰ(6)</t>
        </is>
      </c>
      <c r="F115" s="41" t="inlineStr">
        <is>
          <t>キックオフで村が求めたICFに基づくクロス分析。「村と協議の上決定」の範囲</t>
        </is>
      </c>
      <c r="G115" s="43" t="n"/>
      <c r="H115" s="43" t="n"/>
    </row>
    <row r="116" ht="30" customHeight="1">
      <c r="A116" s="39" t="inlineStr">
        <is>
          <t>確認</t>
        </is>
      </c>
      <c r="B116" s="39" t="inlineStr">
        <is>
          <t>Ⅱ-63</t>
        </is>
      </c>
      <c r="C116" s="41" t="inlineStr">
        <is>
          <t>介護保険準備基金の残高・取崩方針の確認</t>
        </is>
      </c>
      <c r="D116" s="39" t="inlineStr">
        <is>
          <t>北塩原村</t>
        </is>
      </c>
      <c r="E116" s="39" t="inlineStr">
        <is>
          <t>仕様書4Ⅱ(3)③</t>
        </is>
      </c>
      <c r="F116" s="41" t="inlineStr">
        <is>
          <t>基金の取崩額は保険料算定の5式の④に直接入る</t>
        </is>
      </c>
      <c r="G116" s="43" t="n"/>
      <c r="H116" s="43" t="n"/>
    </row>
    <row r="117" ht="30" customHeight="1">
      <c r="A117" s="39" t="inlineStr">
        <is>
          <t>確認</t>
        </is>
      </c>
      <c r="B117" s="39" t="inlineStr">
        <is>
          <t>Ⅱ-73</t>
        </is>
      </c>
      <c r="C117" s="41" t="inlineStr">
        <is>
          <t>一体的策定の範囲の確認</t>
        </is>
      </c>
      <c r="D117" s="39" t="inlineStr">
        <is>
          <t>双方</t>
        </is>
      </c>
      <c r="E117" s="39" t="inlineStr">
        <is>
          <t>仕様書4Ⅱ(6)</t>
        </is>
      </c>
      <c r="F117" s="41" t="inlineStr">
        <is>
          <t>整合対象の「等」の範囲の確認</t>
        </is>
      </c>
      <c r="G117" s="43" t="n"/>
      <c r="H117" s="43" t="n"/>
    </row>
    <row r="118" ht="30" customHeight="1">
      <c r="A118" s="39" t="inlineStr">
        <is>
          <t>確認</t>
        </is>
      </c>
      <c r="B118" s="39" t="inlineStr">
        <is>
          <t>Ⅱ-80</t>
        </is>
      </c>
      <c r="C118" s="41" t="inlineStr">
        <is>
          <t>委員の改選・委嘱</t>
        </is>
      </c>
      <c r="D118" s="39" t="inlineStr">
        <is>
          <t>北塩原村</t>
        </is>
      </c>
      <c r="E118" s="39" t="inlineStr">
        <is>
          <t>仕様書4Ⅱ(8)</t>
        </is>
      </c>
      <c r="F118" s="41" t="inlineStr">
        <is>
          <t>委員が委嘱されていなければ会議が開催できない</t>
        </is>
      </c>
      <c r="G118" s="43" t="n"/>
      <c r="H118" s="43" t="n"/>
    </row>
    <row r="119" ht="30" customHeight="1">
      <c r="A119" s="39" t="inlineStr">
        <is>
          <t>確認</t>
        </is>
      </c>
      <c r="B119" s="39" t="inlineStr">
        <is>
          <t>Ⅱ-93</t>
        </is>
      </c>
      <c r="C119" s="41" t="inlineStr">
        <is>
          <t>議会全員協議会 説明資料の作成</t>
        </is>
      </c>
      <c r="D119" s="39" t="inlineStr">
        <is>
          <t>受託者</t>
        </is>
      </c>
      <c r="E119" s="39" t="inlineStr">
        <is>
          <t>仕様書4Ⅱ(8)</t>
        </is>
      </c>
      <c r="F119" s="41" t="inlineStr">
        <is>
          <t>★議事録で新設。受託者の関与範囲（資料のみか出席を含むか）が未確認</t>
        </is>
      </c>
      <c r="G119" s="43" t="n"/>
      <c r="H119" s="43" t="n"/>
    </row>
    <row r="120" ht="30" customHeight="1">
      <c r="A120" s="39" t="inlineStr">
        <is>
          <t>確認</t>
        </is>
      </c>
      <c r="B120" s="39" t="inlineStr">
        <is>
          <t>Ⅳ-92</t>
        </is>
      </c>
      <c r="C120" s="41" t="inlineStr">
        <is>
          <t>概要版の作成</t>
        </is>
      </c>
      <c r="D120" s="39" t="inlineStr">
        <is>
          <t>双方</t>
        </is>
      </c>
      <c r="E120" s="39" t="inlineStr">
        <is>
          <t>仕様書5①</t>
        </is>
      </c>
      <c r="F120" s="41" t="inlineStr">
        <is>
          <t>★議事録で作成が合意。仕様書の成果品に明記がなく追加対応か要確認</t>
        </is>
      </c>
      <c r="G120" s="43" t="n"/>
      <c r="H120" s="43" t="n"/>
    </row>
    <row r="122">
      <c r="A122" s="44" t="inlineStr">
        <is>
          <t>※ 手引き</t>
        </is>
      </c>
      <c r="B122" s="45" t="inlineStr">
        <is>
          <t>厚生労働省「介護予防・日常生活圏域ニーズ調査及び在宅介護実態調査の実施の手引き」（令和7年8月版）</t>
        </is>
      </c>
    </row>
    <row r="123">
      <c r="A123" s="44" t="inlineStr">
        <is>
          <t>※ 確認</t>
        </is>
      </c>
      <c r="B123" s="45" t="inlineStr">
        <is>
          <t>本業務の遂行上必要と判断し、村との確認事項として管理しているもの</t>
        </is>
      </c>
    </row>
    <row r="124">
      <c r="A124" s="44" t="inlineStr">
        <is>
          <t>※ 手引き／確認</t>
        </is>
      </c>
      <c r="B124" s="45" t="inlineStr">
        <is>
          <t>手引きに選択肢が示され、いずれを採るかを村と確認するもの</t>
        </is>
      </c>
    </row>
  </sheetData>
  <autoFilter ref="A4:H103"/>
  <mergeCells count="21">
    <mergeCell ref="F113:H113"/>
    <mergeCell ref="F114:H114"/>
    <mergeCell ref="F110:H110"/>
    <mergeCell ref="A1:H1"/>
    <mergeCell ref="F106:H106"/>
    <mergeCell ref="B124:H124"/>
    <mergeCell ref="F109:H109"/>
    <mergeCell ref="B123:H123"/>
    <mergeCell ref="F115:H115"/>
    <mergeCell ref="F111:H111"/>
    <mergeCell ref="B122:H122"/>
    <mergeCell ref="F117:H117"/>
    <mergeCell ref="F107:H107"/>
    <mergeCell ref="A105:H105"/>
    <mergeCell ref="F120:H120"/>
    <mergeCell ref="A2:H2"/>
    <mergeCell ref="F119:H119"/>
    <mergeCell ref="F116:H116"/>
    <mergeCell ref="F112:H112"/>
    <mergeCell ref="F108:H108"/>
    <mergeCell ref="F118:H118"/>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F45"/>
  <sheetViews>
    <sheetView zoomScale="90" workbookViewId="0">
      <pane xSplit="2" ySplit="4" topLeftCell="C5" activePane="bottomRight" state="frozen"/>
      <selection pane="topRight"/>
      <selection pane="bottomLeft"/>
      <selection pane="bottomRight" activeCell="A1" sqref="A1"/>
    </sheetView>
  </sheetViews>
  <sheetFormatPr baseColWidth="8" defaultRowHeight="15"/>
  <cols>
    <col width="16" customWidth="1" min="1" max="1"/>
    <col width="44" customWidth="1" min="2" max="2"/>
    <col width="46" customWidth="1" min="3" max="3"/>
    <col width="12" customWidth="1" min="4" max="4"/>
    <col width="40" customWidth="1" min="5" max="5"/>
    <col width="10" customWidth="1" min="6" max="6"/>
  </cols>
  <sheetData>
    <row r="1" ht="30" customHeight="1">
      <c r="A1" s="1" t="inlineStr">
        <is>
          <t>受領資料・データ管理（基準日：令和8年9月28日）</t>
        </is>
      </c>
    </row>
    <row r="2" ht="20" customHeight="1">
      <c r="A2" s="2" t="inlineStr">
        <is>
          <t>仕様書4Ⅲ「資料授受の管理」に対応。★＝未受領で業務進行に影響するもの</t>
        </is>
      </c>
    </row>
    <row r="4" ht="24" customHeight="1">
      <c r="A4" s="3" t="inlineStr">
        <is>
          <t>区分</t>
        </is>
      </c>
      <c r="B4" s="3" t="inlineStr">
        <is>
          <t>資料・データ名</t>
        </is>
      </c>
      <c r="C4" s="3" t="inlineStr">
        <is>
          <t>内容・数量</t>
        </is>
      </c>
      <c r="D4" s="3" t="inlineStr">
        <is>
          <t>受領日</t>
        </is>
      </c>
      <c r="E4" s="3" t="inlineStr">
        <is>
          <t>整理先</t>
        </is>
      </c>
      <c r="F4" s="3" t="inlineStr">
        <is>
          <t>状況</t>
        </is>
      </c>
    </row>
    <row r="5" ht="28" customHeight="1">
      <c r="A5" s="4" t="inlineStr">
        <is>
          <t>仕様書</t>
        </is>
      </c>
      <c r="B5" s="7" t="inlineStr">
        <is>
          <t>委託第27号 仕様書（8北保福第483号 別紙）</t>
        </is>
      </c>
      <c r="C5" s="7" t="inlineStr">
        <is>
          <t>業務内容・成果品・その他条件</t>
        </is>
      </c>
      <c r="D5" s="46" t="n">
        <v>46259</v>
      </c>
      <c r="E5" s="7" t="inlineStr">
        <is>
          <t>docs/…/01_業務内容整理.md</t>
        </is>
      </c>
      <c r="F5" s="4" t="inlineStr">
        <is>
          <t>受領済</t>
        </is>
      </c>
    </row>
    <row r="6" ht="28" customHeight="1">
      <c r="A6" s="4" t="inlineStr">
        <is>
          <t>現行計画</t>
        </is>
      </c>
      <c r="B6" s="7" t="inlineStr">
        <is>
          <t>第9期北塩原村高齢者福祉計画・介護保険事業計画</t>
        </is>
      </c>
      <c r="C6" s="7" t="inlineStr">
        <is>
          <t>本文104頁・全6章＋資料編</t>
        </is>
      </c>
      <c r="D6" s="46" t="n">
        <v>46259</v>
      </c>
      <c r="E6" s="7" t="inlineStr">
        <is>
          <t>docs/…/01_業務内容整理.md</t>
        </is>
      </c>
      <c r="F6" s="4" t="inlineStr">
        <is>
          <t>受領済</t>
        </is>
      </c>
    </row>
    <row r="7" ht="28" customHeight="1">
      <c r="A7" s="4" t="inlineStr">
        <is>
          <t>現行計画</t>
        </is>
      </c>
      <c r="B7" s="7" t="inlineStr">
        <is>
          <t>第9期計画 概要版（表・裏の2ページ）</t>
        </is>
      </c>
      <c r="C7" s="7" t="inlineStr">
        <is>
          <t>基本理念・基本目標・数値①〜⑦・施策体系図</t>
        </is>
      </c>
      <c r="D7" s="46" t="n">
        <v>46265</v>
      </c>
      <c r="E7" s="7" t="inlineStr">
        <is>
          <t>docs/…/08_第9期計画概要_計画実績突合.md</t>
        </is>
      </c>
      <c r="F7" s="4" t="inlineStr">
        <is>
          <t>受領済</t>
        </is>
      </c>
    </row>
    <row r="8" ht="28" customHeight="1">
      <c r="A8" s="34" t="inlineStr">
        <is>
          <t>現行計画</t>
        </is>
      </c>
      <c r="B8" s="33" t="inlineStr">
        <is>
          <t>★北塩原村第五次総合振興計画（2017〜2026）</t>
        </is>
      </c>
      <c r="C8" s="33" t="inlineStr">
        <is>
          <t>上位計画。第六次の策定状況も要確認</t>
        </is>
      </c>
      <c r="D8" s="34" t="inlineStr">
        <is>
          <t>―</t>
        </is>
      </c>
      <c r="E8" s="33" t="inlineStr">
        <is>
          <t>―</t>
        </is>
      </c>
      <c r="F8" s="34" t="inlineStr">
        <is>
          <t>未受領</t>
        </is>
      </c>
    </row>
    <row r="9" ht="28" customHeight="1">
      <c r="A9" s="34" t="inlineStr">
        <is>
          <t>現行計画</t>
        </is>
      </c>
      <c r="B9" s="33" t="inlineStr">
        <is>
          <t>★第3次健康きたしおばら21</t>
        </is>
      </c>
      <c r="C9" s="33" t="inlineStr">
        <is>
          <t>関連計画</t>
        </is>
      </c>
      <c r="D9" s="34" t="inlineStr">
        <is>
          <t>―</t>
        </is>
      </c>
      <c r="E9" s="33" t="inlineStr">
        <is>
          <t>―</t>
        </is>
      </c>
      <c r="F9" s="34" t="inlineStr">
        <is>
          <t>未受領</t>
        </is>
      </c>
    </row>
    <row r="10" ht="28" customHeight="1">
      <c r="A10" s="4" t="inlineStr">
        <is>
          <t>調査票</t>
        </is>
      </c>
      <c r="B10" s="7" t="inlineStr">
        <is>
          <t>キックオフ資料（0828版・082802版）</t>
        </is>
      </c>
      <c r="C10" s="7" t="inlineStr">
        <is>
          <t>2版をレビュー済</t>
        </is>
      </c>
      <c r="D10" s="46" t="n">
        <v>46259</v>
      </c>
      <c r="E10" s="7" t="inlineStr">
        <is>
          <t>docs/…/03,06</t>
        </is>
      </c>
      <c r="F10" s="4" t="inlineStr">
        <is>
          <t>受領済</t>
        </is>
      </c>
    </row>
    <row r="11" ht="28" customHeight="1">
      <c r="A11" s="4" t="inlineStr">
        <is>
          <t>調査票</t>
        </is>
      </c>
      <c r="B11" s="7" t="inlineStr">
        <is>
          <t>ニーズ調査・在宅介護実態調査 調査票案（資料B・C・C'）</t>
        </is>
      </c>
      <c r="C11" s="7" t="inlineStr">
        <is>
          <t>修正案まで受領</t>
        </is>
      </c>
      <c r="D11" s="46" t="n">
        <v>46259</v>
      </c>
      <c r="E11" s="7" t="inlineStr">
        <is>
          <t>docs/…/03,04</t>
        </is>
      </c>
      <c r="F11" s="4" t="inlineStr">
        <is>
          <t>受領済</t>
        </is>
      </c>
    </row>
    <row r="12" ht="28" customHeight="1">
      <c r="A12" s="4" t="inlineStr">
        <is>
          <t>国様式</t>
        </is>
      </c>
      <c r="B12" s="7" t="inlineStr">
        <is>
          <t>令和7年8月版 標準調査票（ニーズ調査・在宅介護実態調査）</t>
        </is>
      </c>
      <c r="C12" s="7" t="inlineStr">
        <is>
          <t>逐条突合の基礎。要確認0件で完了</t>
        </is>
      </c>
      <c r="D12" s="46" t="n">
        <v>46261</v>
      </c>
      <c r="E12" s="7" t="inlineStr">
        <is>
          <t>docs/…/05_令和7年8月版との逐条突合.md</t>
        </is>
      </c>
      <c r="F12" s="4" t="inlineStr">
        <is>
          <t>受領済</t>
        </is>
      </c>
    </row>
    <row r="13" ht="28" customHeight="1">
      <c r="A13" s="4" t="inlineStr">
        <is>
          <t>見える化</t>
        </is>
      </c>
      <c r="B13" s="7" t="inlineStr">
        <is>
          <t>A系 人口・世帯／B系 認定者</t>
        </is>
      </c>
      <c r="C13" s="7" t="inlineStr">
        <is>
          <t>第1号被保険者数・認定者数・認定率ほか</t>
        </is>
      </c>
      <c r="D13" s="46" t="n">
        <v>46259</v>
      </c>
      <c r="E13" s="7" t="inlineStr">
        <is>
          <t>data/mieruka_tidy.csv</t>
        </is>
      </c>
      <c r="F13" s="4" t="inlineStr">
        <is>
          <t>受領済</t>
        </is>
      </c>
    </row>
    <row r="14" ht="28" customHeight="1">
      <c r="A14" s="4" t="inlineStr">
        <is>
          <t>見える化</t>
        </is>
      </c>
      <c r="B14" s="7" t="inlineStr">
        <is>
          <t>C1 保険料／D系 給付費・受給者・利用回数</t>
        </is>
      </c>
      <c r="C14" s="7" t="inlineStr">
        <is>
          <t>第1号被保険者1人あたり給付月額ほか</t>
        </is>
      </c>
      <c r="D14" s="46" t="n">
        <v>46265</v>
      </c>
      <c r="E14" s="7" t="inlineStr">
        <is>
          <t>data/mieruka_tidy.csv</t>
        </is>
      </c>
      <c r="F14" s="4" t="inlineStr">
        <is>
          <t>受領済</t>
        </is>
      </c>
    </row>
    <row r="15" ht="28" customHeight="1">
      <c r="A15" s="4" t="inlineStr">
        <is>
          <t>見える化</t>
        </is>
      </c>
      <c r="B15" s="7" t="inlineStr">
        <is>
          <t>K系 施設数／D13系 給付費</t>
        </is>
      </c>
      <c r="C15" s="7" t="inlineStr">
        <is>
          <t>村内施設ゼロを確認</t>
        </is>
      </c>
      <c r="D15" s="46" t="n">
        <v>46265</v>
      </c>
      <c r="E15" s="7" t="inlineStr">
        <is>
          <t>data/mieruka_tidy.csv</t>
        </is>
      </c>
      <c r="F15" s="4" t="inlineStr">
        <is>
          <t>受領済</t>
        </is>
      </c>
    </row>
    <row r="16" ht="28" customHeight="1">
      <c r="A16" s="4" t="inlineStr">
        <is>
          <t>見える化</t>
        </is>
      </c>
      <c r="B16" s="7" t="inlineStr">
        <is>
          <t>D25〜D30 定員／F15〜F25 地域包括支援センター</t>
        </is>
      </c>
      <c r="C16" s="7" t="inlineStr">
        <is>
          <t>定員は平成30年度以降据置</t>
        </is>
      </c>
      <c r="D16" s="46" t="n">
        <v>46265</v>
      </c>
      <c r="E16" s="7" t="inlineStr">
        <is>
          <t>docs/…/02 追記3</t>
        </is>
      </c>
      <c r="F16" s="4" t="inlineStr">
        <is>
          <t>受領済</t>
        </is>
      </c>
    </row>
    <row r="17" ht="28" customHeight="1">
      <c r="A17" s="4" t="inlineStr">
        <is>
          <t>見える化</t>
        </is>
      </c>
      <c r="B17" s="7" t="inlineStr">
        <is>
          <t>F1〜F14・F28〜F40 日常生活支援総合事業</t>
        </is>
      </c>
      <c r="C17" s="7" t="inlineStr">
        <is>
          <t>17系列が実データなし（＝未実施）</t>
        </is>
      </c>
      <c r="D17" s="46" t="n">
        <v>46265</v>
      </c>
      <c r="E17" s="7" t="inlineStr">
        <is>
          <t>docs/…/02 追記3</t>
        </is>
      </c>
      <c r="F17" s="4" t="inlineStr">
        <is>
          <t>受領済</t>
        </is>
      </c>
    </row>
    <row r="18" ht="28" customHeight="1">
      <c r="A18" s="4" t="inlineStr">
        <is>
          <t>見える化</t>
        </is>
      </c>
      <c r="B18" s="7" t="inlineStr">
        <is>
          <t>D47・D48 介護保険特別会計 歳入・歳出</t>
        </is>
      </c>
      <c r="C18" s="7" t="inlineStr">
        <is>
          <t>平成26〜令和5年度決算</t>
        </is>
      </c>
      <c r="D18" s="46" t="n">
        <v>46265</v>
      </c>
      <c r="E18" s="7" t="inlineStr">
        <is>
          <t>docs/…/02 追記3</t>
        </is>
      </c>
      <c r="F18" s="4" t="inlineStr">
        <is>
          <t>受領済</t>
        </is>
      </c>
    </row>
    <row r="19" ht="28" customHeight="1">
      <c r="A19" s="4" t="inlineStr">
        <is>
          <t>見える化</t>
        </is>
      </c>
      <c r="B19" s="7" t="inlineStr">
        <is>
          <t>W系 保険者機能強化推進交付金 評価指標（77ファイル）</t>
        </is>
      </c>
      <c r="C19" s="7" t="inlineStr">
        <is>
          <t>令和3〜5年度。0点項目21件を抽出</t>
        </is>
      </c>
      <c r="D19" s="46" t="n">
        <v>46265</v>
      </c>
      <c r="E19" s="7" t="inlineStr">
        <is>
          <t>docs/…/07</t>
        </is>
      </c>
      <c r="F19" s="4" t="inlineStr">
        <is>
          <t>受領済</t>
        </is>
      </c>
    </row>
    <row r="20" ht="28" customHeight="1">
      <c r="A20" s="4" t="inlineStr">
        <is>
          <t>見える化</t>
        </is>
      </c>
      <c r="B20" s="7" t="inlineStr">
        <is>
          <t>W138〜W155 アウトプット・アウトカム指標（18ファイル）</t>
        </is>
      </c>
      <c r="C20" s="7" t="inlineStr">
        <is>
          <t>令和5年度</t>
        </is>
      </c>
      <c r="D20" s="46" t="n">
        <v>46265</v>
      </c>
      <c r="E20" s="7" t="inlineStr">
        <is>
          <t>docs/…/07</t>
        </is>
      </c>
      <c r="F20" s="4" t="inlineStr">
        <is>
          <t>受領済</t>
        </is>
      </c>
    </row>
    <row r="21" ht="28" customHeight="1">
      <c r="A21" s="4" t="inlineStr">
        <is>
          <t>見える化</t>
        </is>
      </c>
      <c r="B21" s="7" t="inlineStr">
        <is>
          <t>地域分析 P1〜P4</t>
        </is>
      </c>
      <c r="C21" s="7" t="inlineStr">
        <is>
          <t>県平均・全国平均・県内順位・全国順位</t>
        </is>
      </c>
      <c r="D21" s="46" t="n">
        <v>46265</v>
      </c>
      <c r="E21" s="7" t="inlineStr">
        <is>
          <t>docs/…/09</t>
        </is>
      </c>
      <c r="F21" s="4" t="inlineStr">
        <is>
          <t>受領済</t>
        </is>
      </c>
    </row>
    <row r="22" ht="28" customHeight="1">
      <c r="A22" s="34" t="inlineStr">
        <is>
          <t>村データ</t>
        </is>
      </c>
      <c r="B22" s="33" t="inlineStr">
        <is>
          <t>★介護給付費準備基金の現在高</t>
        </is>
      </c>
      <c r="C22" s="33" t="inlineStr">
        <is>
          <t>令和6年度末実績・令和7年度末見込</t>
        </is>
      </c>
      <c r="D22" s="34" t="inlineStr">
        <is>
          <t>―</t>
        </is>
      </c>
      <c r="E22" s="33" t="inlineStr">
        <is>
          <t>―</t>
        </is>
      </c>
      <c r="F22" s="34" t="inlineStr">
        <is>
          <t>未受領</t>
        </is>
      </c>
    </row>
    <row r="23" ht="28" customHeight="1">
      <c r="A23" s="34" t="inlineStr">
        <is>
          <t>村データ</t>
        </is>
      </c>
      <c r="B23" s="33" t="inlineStr">
        <is>
          <t>★令和6年度決算・令和7年度給付費見込</t>
        </is>
      </c>
      <c r="C23" s="33" t="inlineStr">
        <is>
          <t>第9期の乖離確定に必要</t>
        </is>
      </c>
      <c r="D23" s="34" t="inlineStr">
        <is>
          <t>―</t>
        </is>
      </c>
      <c r="E23" s="33" t="inlineStr">
        <is>
          <t>―</t>
        </is>
      </c>
      <c r="F23" s="34" t="inlineStr">
        <is>
          <t>未受領</t>
        </is>
      </c>
    </row>
    <row r="24" ht="28" customHeight="1">
      <c r="A24" s="4" t="inlineStr">
        <is>
          <t>村データ</t>
        </is>
      </c>
      <c r="B24" s="7" t="inlineStr">
        <is>
          <t>★通いの場の実数（令和3〜7年度）</t>
        </is>
      </c>
      <c r="C24" s="7" t="inlineStr">
        <is>
          <t>見える化は令和2年度で更新停止。令和6年度分のみ受領</t>
        </is>
      </c>
      <c r="D24" s="4" t="inlineStr">
        <is>
          <t>―</t>
        </is>
      </c>
      <c r="E24" s="7" t="inlineStr">
        <is>
          <t>―</t>
        </is>
      </c>
      <c r="F24" s="4" t="inlineStr">
        <is>
          <t>一部受領</t>
        </is>
      </c>
    </row>
    <row r="25" ht="28" customHeight="1">
      <c r="A25" s="34" t="inlineStr">
        <is>
          <t>村データ</t>
        </is>
      </c>
      <c r="B25" s="33" t="inlineStr">
        <is>
          <t>★高齢者福祉事業（村単独事業）の実績</t>
        </is>
      </c>
      <c r="C25" s="33" t="inlineStr">
        <is>
          <t>現行計画の評価に必要</t>
        </is>
      </c>
      <c r="D25" s="34" t="inlineStr">
        <is>
          <t>―</t>
        </is>
      </c>
      <c r="E25" s="33" t="inlineStr">
        <is>
          <t>―</t>
        </is>
      </c>
      <c r="F25" s="34" t="inlineStr">
        <is>
          <t>未受領</t>
        </is>
      </c>
    </row>
    <row r="26" ht="28" customHeight="1">
      <c r="A26" s="4" t="inlineStr">
        <is>
          <t>成果物</t>
        </is>
      </c>
      <c r="B26" s="7" t="inlineStr">
        <is>
          <t>第10期 要介護度別認定者数の推計（doc29／data/…推計.csv）</t>
        </is>
      </c>
      <c r="C26" s="7" t="inlineStr">
        <is>
          <t>前期・後期別の認定率に分解。基準年が実績と完全一致</t>
        </is>
      </c>
      <c r="D26" s="46" t="n">
        <v>46272</v>
      </c>
      <c r="E26" s="7" t="inlineStr">
        <is>
          <t>docs/…/29_要介護認定者数の推計.md</t>
        </is>
      </c>
      <c r="F26" s="4" t="inlineStr">
        <is>
          <t>作成済</t>
        </is>
      </c>
    </row>
    <row r="27" ht="28" customHeight="1">
      <c r="A27" s="4" t="inlineStr">
        <is>
          <t>国資料</t>
        </is>
      </c>
      <c r="B27" s="7" t="inlineStr">
        <is>
          <t>第10期将来推計用人口推計（北塩原村のみ）＋推計の考え方（別紙1・2）</t>
        </is>
      </c>
      <c r="C27" s="7" t="inlineStr">
        <is>
          <t>住基ベース推計と補正係数。令和22年まで。厚労省R8.8.24事務連絡／県R8.8.25通知</t>
        </is>
      </c>
      <c r="D27" s="46" t="n">
        <v>46272</v>
      </c>
      <c r="E27" s="7" t="inlineStr">
        <is>
          <t>docs/…/28_受領資料分析…md §1</t>
        </is>
      </c>
      <c r="F27" s="4" t="inlineStr">
        <is>
          <t>受領済</t>
        </is>
      </c>
    </row>
    <row r="28" ht="28" customHeight="1">
      <c r="A28" s="4" t="inlineStr">
        <is>
          <t>村データ</t>
        </is>
      </c>
      <c r="B28" s="7" t="inlineStr">
        <is>
          <t>令和8年度 合計所得金額分布調査 調査票（入力済）</t>
        </is>
      </c>
      <c r="C28" s="7" t="inlineStr">
        <is>
          <t>所得段階別の第1号被保険者数13段階・合計1,015人。10万円刻みの分布を含む</t>
        </is>
      </c>
      <c r="D28" s="46" t="n">
        <v>46272</v>
      </c>
      <c r="E28" s="7" t="inlineStr">
        <is>
          <t>docs/…/28_受領資料分析…md §2</t>
        </is>
      </c>
      <c r="F28" s="4" t="inlineStr">
        <is>
          <t>受領済</t>
        </is>
      </c>
    </row>
    <row r="29" ht="28" customHeight="1">
      <c r="A29" s="4" t="inlineStr">
        <is>
          <t>村データ</t>
        </is>
      </c>
      <c r="B29" s="7" t="inlineStr">
        <is>
          <t>成年後見制度利用促進施策に係る取組状況調査（令和7・8年度 市町村票）</t>
        </is>
      </c>
      <c r="C29" s="7" t="inlineStr">
        <is>
          <t>利用者4人、中核機関整備済、市民後見人0人ほか</t>
        </is>
      </c>
      <c r="D29" s="46" t="n">
        <v>46272</v>
      </c>
      <c r="E29" s="7" t="inlineStr">
        <is>
          <t>docs/…/28_受領資料分析…md §3</t>
        </is>
      </c>
      <c r="F29" s="4" t="inlineStr">
        <is>
          <t>受領済</t>
        </is>
      </c>
    </row>
    <row r="30" ht="28" customHeight="1">
      <c r="A30" s="4" t="inlineStr">
        <is>
          <t>村データ</t>
        </is>
      </c>
      <c r="B30" s="7" t="inlineStr">
        <is>
          <t>会津権利擁護・成年後見センター 相談件数（令和6・7年度）</t>
        </is>
      </c>
      <c r="C30" s="7" t="inlineStr">
        <is>
          <t>本村 令和6年度134件／令和7年度76件。圏域13市町村の比較表</t>
        </is>
      </c>
      <c r="D30" s="46" t="n">
        <v>46272</v>
      </c>
      <c r="E30" s="7" t="inlineStr">
        <is>
          <t>docs/…/28_受領資料分析…md §3-3</t>
        </is>
      </c>
      <c r="F30" s="4" t="inlineStr">
        <is>
          <t>受領済</t>
        </is>
      </c>
    </row>
    <row r="31" ht="28" customHeight="1">
      <c r="A31" s="4" t="inlineStr">
        <is>
          <t>調査票</t>
        </is>
      </c>
      <c r="B31" s="7" t="inlineStr">
        <is>
          <t>調査票 第2稿（0904版）</t>
        </is>
      </c>
      <c r="C31" s="7" t="inlineStr">
        <is>
          <t>指摘13件のうち11件が反映。必須修正3件を新たに検出</t>
        </is>
      </c>
      <c r="D31" s="46" t="n">
        <v>46269</v>
      </c>
      <c r="E31" s="7" t="inlineStr">
        <is>
          <t>docs/…/27_調査票第2稿レビュー.md</t>
        </is>
      </c>
      <c r="F31" s="4" t="inlineStr">
        <is>
          <t>受領済</t>
        </is>
      </c>
    </row>
    <row r="32" ht="28" customHeight="1">
      <c r="A32" s="4" t="inlineStr">
        <is>
          <t>成果物</t>
        </is>
      </c>
      <c r="B32" s="7" t="inlineStr">
        <is>
          <t>第2回策定委員会 資料2・5・6・7（output/08_第2回策定委員会資料.docx）</t>
        </is>
      </c>
      <c r="C32" s="7" t="inlineStr">
        <is>
          <t>26表・A4約30頁。資料2と7は本体完成、資料5と6は骨格</t>
        </is>
      </c>
      <c r="D32" s="46" t="n">
        <v>46268</v>
      </c>
      <c r="E32" s="7" t="inlineStr">
        <is>
          <t>docs/…/26_第2回策定委員会_資料構成.md §11</t>
        </is>
      </c>
      <c r="F32" s="4" t="inlineStr">
        <is>
          <t>作成済</t>
        </is>
      </c>
    </row>
    <row r="33" ht="28" customHeight="1">
      <c r="A33" s="4" t="inlineStr">
        <is>
          <t>成果物</t>
        </is>
      </c>
      <c r="B33" s="7" t="inlineStr">
        <is>
          <t>集計仕様書（output/07_集計仕様書.xlsx）</t>
        </is>
      </c>
      <c r="C33" s="7" t="inlineStr">
        <is>
          <t>6シート。ニーズ80設問・在宅26設問・派生変数20・クロス表20</t>
        </is>
      </c>
      <c r="D33" s="46" t="n">
        <v>46268</v>
      </c>
      <c r="E33" s="7" t="inlineStr">
        <is>
          <t>docs/…/25_集計仕様書.md</t>
        </is>
      </c>
      <c r="F33" s="4" t="inlineStr">
        <is>
          <t>作成済</t>
        </is>
      </c>
    </row>
    <row r="34" ht="28" customHeight="1">
      <c r="A34" s="4" t="inlineStr">
        <is>
          <t>成果物</t>
        </is>
      </c>
      <c r="B34" s="7" t="inlineStr">
        <is>
          <t>第2回策定委員会 資料構成（doc26）</t>
        </is>
      </c>
      <c r="C34" s="7" t="inlineStr">
        <is>
          <t>資料1〜8・約53頁＋素案別冊。合意事項5点</t>
        </is>
      </c>
      <c r="D34" s="46" t="n">
        <v>46268</v>
      </c>
      <c r="E34" s="7" t="inlineStr">
        <is>
          <t>docs/…/26_第2回策定委員会_資料構成.md</t>
        </is>
      </c>
      <c r="F34" s="4" t="inlineStr">
        <is>
          <t>作成済</t>
        </is>
      </c>
    </row>
    <row r="35" ht="28" customHeight="1">
      <c r="A35" s="4" t="inlineStr">
        <is>
          <t>調査票</t>
        </is>
      </c>
      <c r="B35" s="7" t="inlineStr">
        <is>
          <t>調査票 第1稿（ニーズ調査・在宅介護実態調査）</t>
        </is>
      </c>
      <c r="C35" s="7" t="inlineStr">
        <is>
          <t>0828版。令和7年8月版・手法Ⅲ標準様式と全面突合</t>
        </is>
      </c>
      <c r="D35" s="46" t="n">
        <v>46267</v>
      </c>
      <c r="E35" s="7" t="inlineStr">
        <is>
          <t>docs/…/23_調査票第1稿レビュー_ICF分析設計.md</t>
        </is>
      </c>
      <c r="F35" s="4" t="inlineStr">
        <is>
          <t>受領済</t>
        </is>
      </c>
    </row>
    <row r="36" ht="28" customHeight="1">
      <c r="A36" s="4" t="inlineStr">
        <is>
          <t>国資料</t>
        </is>
      </c>
      <c r="B36" s="7" t="inlineStr">
        <is>
          <t>令和8年度 交付金評価指標（市町村分）配点表</t>
        </is>
      </c>
      <c r="C36" s="7" t="inlineStr">
        <is>
          <t>全17頁。推進400点・支援400点、目標Ⅰ〜Ⅳ各100点</t>
        </is>
      </c>
      <c r="D36" s="46" t="n">
        <v>46267</v>
      </c>
      <c r="E36" s="7" t="inlineStr">
        <is>
          <t>docs/…/20_交付金評価結果分析.md</t>
        </is>
      </c>
      <c r="F36" s="4" t="inlineStr">
        <is>
          <t>受領済</t>
        </is>
      </c>
    </row>
    <row r="37" ht="28" customHeight="1">
      <c r="A37" s="4" t="inlineStr">
        <is>
          <t>国資料</t>
        </is>
      </c>
      <c r="B37" s="7" t="inlineStr">
        <is>
          <t>令和6年度 該当状況調査票集計表（全国一覧表）</t>
        </is>
      </c>
      <c r="C37" s="7" t="inlineStr">
        <is>
          <t>全国1,741市町村。村は第398行。合計295点</t>
        </is>
      </c>
      <c r="D37" s="46" t="n">
        <v>46267</v>
      </c>
      <c r="E37" s="7" t="inlineStr">
        <is>
          <t>docs/…/20_交付金評価結果分析.md</t>
        </is>
      </c>
      <c r="F37" s="4" t="inlineStr">
        <is>
          <t>受領済</t>
        </is>
      </c>
    </row>
    <row r="38" ht="28" customHeight="1">
      <c r="A38" s="4" t="inlineStr">
        <is>
          <t>国資料</t>
        </is>
      </c>
      <c r="B38" s="7" t="inlineStr">
        <is>
          <t>令和7年度 該当状況調査票集計表（全国集計・市町村）</t>
        </is>
      </c>
      <c r="C38" s="7" t="inlineStr">
        <is>
          <t>合計339点。全国平均435.0点</t>
        </is>
      </c>
      <c r="D38" s="46" t="n">
        <v>46267</v>
      </c>
      <c r="E38" s="7" t="inlineStr">
        <is>
          <t>docs/…/20_交付金評価結果分析.md</t>
        </is>
      </c>
      <c r="F38" s="4" t="inlineStr">
        <is>
          <t>受領済</t>
        </is>
      </c>
    </row>
    <row r="39" ht="28" customHeight="1">
      <c r="A39" s="4" t="inlineStr">
        <is>
          <t>国資料</t>
        </is>
      </c>
      <c r="B39" s="7" t="inlineStr">
        <is>
          <t>令和8年度 該当状況調査票集計表（全国集計・市町村）</t>
        </is>
      </c>
      <c r="C39" s="7" t="inlineStr">
        <is>
          <t>合計447点。全国平均455.1点／全国1,005位／県内34位</t>
        </is>
      </c>
      <c r="D39" s="46" t="n">
        <v>46267</v>
      </c>
      <c r="E39" s="7" t="inlineStr">
        <is>
          <t>docs/…/20_交付金評価結果分析.md</t>
        </is>
      </c>
      <c r="F39" s="4" t="inlineStr">
        <is>
          <t>受領済</t>
        </is>
      </c>
    </row>
    <row r="40" ht="28" customHeight="1">
      <c r="A40" s="4" t="inlineStr">
        <is>
          <t>関連計画</t>
        </is>
      </c>
      <c r="B40" s="7" t="inlineStr">
        <is>
          <t>第四次北塩原村生涯学習推進計画</t>
        </is>
      </c>
      <c r="C40" s="7" t="inlineStr">
        <is>
          <t>全112頁。2018〜2027年度。7z分割書庫4分割で受領</t>
        </is>
      </c>
      <c r="D40" s="46" t="n">
        <v>46267</v>
      </c>
      <c r="E40" s="7" t="inlineStr">
        <is>
          <t>docs/…/21_関連計画_第四次生涯学習推進計画.md</t>
        </is>
      </c>
      <c r="F40" s="4" t="inlineStr">
        <is>
          <t>受領済</t>
        </is>
      </c>
    </row>
    <row r="41" ht="28" customHeight="1">
      <c r="A41" s="4" t="inlineStr">
        <is>
          <t>国資料</t>
        </is>
      </c>
      <c r="B41" s="7" t="inlineStr">
        <is>
          <t>令和8年度 評価指標に係る該当状況調査票集計表（都道府県分）</t>
        </is>
      </c>
      <c r="C41" s="7" t="inlineStr">
        <is>
          <t>47都道府県・752列。福島県530点・全国26位（前年度468点・42位）</t>
        </is>
      </c>
      <c r="D41" s="46" t="n">
        <v>46290</v>
      </c>
      <c r="E41" s="7" t="inlineStr">
        <is>
          <t>docs/…/41_交付金_都道府県分の確認.md</t>
        </is>
      </c>
      <c r="F41" s="4" t="inlineStr">
        <is>
          <t>受領済</t>
        </is>
      </c>
    </row>
    <row r="42" ht="28" customHeight="1">
      <c r="A42" s="4" t="inlineStr">
        <is>
          <t>国資料</t>
        </is>
      </c>
      <c r="B42" s="7" t="inlineStr">
        <is>
          <t>令和8年度 評価指標（都道府県分）全38頁</t>
        </is>
      </c>
      <c r="C42" s="7" t="inlineStr">
        <is>
          <t>管内市町村平均得点・著しく得点の低い市町村の判定基準を確認</t>
        </is>
      </c>
      <c r="D42" s="46" t="n">
        <v>46290</v>
      </c>
      <c r="E42" s="7" t="inlineStr">
        <is>
          <t>docs/…/41_交付金_都道府県分の確認.md</t>
        </is>
      </c>
      <c r="F42" s="4" t="inlineStr">
        <is>
          <t>受領済</t>
        </is>
      </c>
    </row>
    <row r="43" ht="28" customHeight="1">
      <c r="A43" s="4" t="inlineStr">
        <is>
          <t>国資料</t>
        </is>
      </c>
      <c r="B43" s="7" t="inlineStr">
        <is>
          <t>令和8年度 該当状況調査票集計表（市町村分・全国一覧表）</t>
        </is>
      </c>
      <c r="C43" s="7" t="inlineStr">
        <is>
          <t>1,779行×1,563列。本村は通し番号380。既収録の9項目すべてと一致</t>
        </is>
      </c>
      <c r="D43" s="46" t="n">
        <v>46290</v>
      </c>
      <c r="E43" s="7" t="inlineStr">
        <is>
          <t>docs/…/42_交付金_市町村分の確認.md</t>
        </is>
      </c>
      <c r="F43" s="4" t="inlineStr">
        <is>
          <t>受領済</t>
        </is>
      </c>
    </row>
    <row r="44" ht="28" customHeight="1">
      <c r="A44" s="4" t="inlineStr">
        <is>
          <t>国資料</t>
        </is>
      </c>
      <c r="B44" s="7" t="inlineStr">
        <is>
          <t>令和8年度 評価指標（市町村分）全42頁</t>
        </is>
      </c>
      <c r="C44" s="7" t="inlineStr">
        <is>
          <t>留意点を突合し、未得点のうち61点が計画への記載等で取得できることを特定</t>
        </is>
      </c>
      <c r="D44" s="46" t="n">
        <v>46290</v>
      </c>
      <c r="E44" s="7" t="inlineStr">
        <is>
          <t>docs/…/42_交付金_市町村分の確認.md</t>
        </is>
      </c>
      <c r="F44" s="4" t="inlineStr">
        <is>
          <t>受領済</t>
        </is>
      </c>
    </row>
    <row r="45" ht="28" customHeight="1">
      <c r="A45" s="34" t="inlineStr">
        <is>
          <t>村データ</t>
        </is>
      </c>
      <c r="B45" s="33" t="inlineStr">
        <is>
          <t>★要介護認定データ（調査票との関連付け用）</t>
        </is>
      </c>
      <c r="C45" s="33" t="inlineStr">
        <is>
          <t>仕様書4Ⅰ(5)。調査回収後に必要</t>
        </is>
      </c>
      <c r="D45" s="34" t="inlineStr">
        <is>
          <t>―</t>
        </is>
      </c>
      <c r="E45" s="33" t="inlineStr">
        <is>
          <t>―</t>
        </is>
      </c>
      <c r="F45" s="34" t="inlineStr">
        <is>
          <t>未受領</t>
        </is>
      </c>
    </row>
  </sheetData>
  <autoFilter ref="A4:F45"/>
  <mergeCells count="2">
    <mergeCell ref="A2:F2"/>
    <mergeCell ref="A1:F1"/>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B2:I61"/>
  <sheetViews>
    <sheetView workbookViewId="0">
      <selection activeCell="A1" sqref="A1"/>
    </sheetView>
  </sheetViews>
  <sheetFormatPr baseColWidth="8" defaultRowHeight="15"/>
  <cols>
    <col width="3" customWidth="1" min="1" max="1"/>
    <col width="24" customWidth="1" min="2" max="2"/>
    <col width="13" customWidth="1" min="3" max="3"/>
    <col width="11" customWidth="1" min="4" max="4"/>
    <col width="11" customWidth="1" min="5" max="5"/>
    <col width="11" customWidth="1" min="6" max="6"/>
    <col width="11" customWidth="1" min="7" max="7"/>
    <col width="40" customWidth="1" min="8" max="8"/>
  </cols>
  <sheetData>
    <row r="2" ht="26" customHeight="1">
      <c r="B2" s="47" t="inlineStr">
        <is>
          <t>凡例・入力ルール／進捗集計</t>
        </is>
      </c>
    </row>
    <row r="4">
      <c r="B4" s="38" t="inlineStr">
        <is>
          <t>■ 入力する列（ここだけ編集してください）</t>
        </is>
      </c>
    </row>
    <row r="5">
      <c r="B5" s="48" t="inlineStr">
        <is>
          <t>予定開始・予定完了</t>
        </is>
      </c>
      <c r="C5" s="49" t="inlineStr">
        <is>
          <t>日付</t>
        </is>
      </c>
      <c r="D5" s="49" t="inlineStr">
        <is>
          <t>yyyy/mm/dd 形式で入力します。村との協議で工程が固まり次第、入力してください。</t>
        </is>
      </c>
      <c r="E5" s="50" t="n"/>
      <c r="F5" s="50" t="n"/>
      <c r="G5" s="50" t="n"/>
      <c r="H5" s="50" t="n"/>
    </row>
    <row r="6">
      <c r="B6" s="48" t="inlineStr">
        <is>
          <t>実績開始・実績完了</t>
        </is>
      </c>
      <c r="C6" s="49" t="inlineStr">
        <is>
          <t>日付</t>
        </is>
      </c>
      <c r="D6" s="49" t="inlineStr">
        <is>
          <t>着手日・完了日を実績として入力します。</t>
        </is>
      </c>
      <c r="E6" s="50" t="n"/>
      <c r="F6" s="50" t="n"/>
      <c r="G6" s="50" t="n"/>
      <c r="H6" s="50" t="n"/>
    </row>
    <row r="7">
      <c r="B7" s="48" t="inlineStr">
        <is>
          <t>進捗率</t>
        </is>
      </c>
      <c r="C7" s="49" t="inlineStr">
        <is>
          <t>％</t>
        </is>
      </c>
      <c r="D7" s="49" t="inlineStr">
        <is>
          <t>0〜100% を入力します。完了時は 100%。</t>
        </is>
      </c>
      <c r="E7" s="50" t="n"/>
      <c r="F7" s="50" t="n"/>
      <c r="G7" s="50" t="n"/>
      <c r="H7" s="50" t="n"/>
    </row>
    <row r="8">
      <c r="B8" s="48" t="inlineStr">
        <is>
          <t>ステータス</t>
        </is>
      </c>
      <c r="C8" s="49" t="inlineStr">
        <is>
          <t>選択</t>
        </is>
      </c>
      <c r="D8" s="49" t="inlineStr">
        <is>
          <t>未着手／着手／確認中／完了／保留／対象外 から選択します。</t>
        </is>
      </c>
      <c r="E8" s="50" t="n"/>
      <c r="F8" s="50" t="n"/>
      <c r="G8" s="50" t="n"/>
      <c r="H8" s="50" t="n"/>
    </row>
    <row r="9">
      <c r="B9" s="48" t="inlineStr">
        <is>
          <t>備考</t>
        </is>
      </c>
      <c r="C9" s="49" t="inlineStr">
        <is>
          <t>自由</t>
        </is>
      </c>
      <c r="D9" s="49" t="inlineStr">
        <is>
          <t>課題・懸案・村への確認事項などを記入します。</t>
        </is>
      </c>
      <c r="E9" s="50" t="n"/>
      <c r="F9" s="50" t="n"/>
      <c r="G9" s="50" t="n"/>
      <c r="H9" s="50" t="n"/>
    </row>
    <row r="11">
      <c r="B11" s="38" t="inlineStr">
        <is>
          <t>■ 行の塗り分け</t>
        </is>
      </c>
    </row>
    <row r="12">
      <c r="B12" s="51" t="inlineStr">
        <is>
          <t>薄い緑</t>
        </is>
      </c>
      <c r="C12" s="49" t="inlineStr">
        <is>
          <t>完了した作業です。</t>
        </is>
      </c>
      <c r="D12" s="50" t="n"/>
      <c r="E12" s="50" t="n"/>
      <c r="F12" s="50" t="n"/>
      <c r="G12" s="50" t="n"/>
      <c r="H12" s="50" t="n"/>
    </row>
    <row r="13">
      <c r="B13" s="52" t="inlineStr">
        <is>
          <t>薄い黄</t>
        </is>
      </c>
      <c r="C13" s="49" t="inlineStr">
        <is>
          <t>着手中・確認中の作業、または北塩原村が担当する作業です。</t>
        </is>
      </c>
      <c r="D13" s="50" t="n"/>
      <c r="E13" s="50" t="n"/>
      <c r="F13" s="50" t="n"/>
      <c r="G13" s="50" t="n"/>
      <c r="H13" s="50" t="n"/>
    </row>
    <row r="14">
      <c r="B14" s="53" t="inlineStr">
        <is>
          <t>薄い赤</t>
        </is>
      </c>
      <c r="C14" s="49" t="inlineStr">
        <is>
          <t>「村への確認事項」シートの優先度S・A、および未受領の資料です。</t>
        </is>
      </c>
      <c r="D14" s="50" t="n"/>
      <c r="E14" s="50" t="n"/>
      <c r="F14" s="50" t="n"/>
      <c r="G14" s="50" t="n"/>
      <c r="H14" s="50" t="n"/>
    </row>
    <row r="16">
      <c r="B16" s="38" t="inlineStr">
        <is>
          <t>■ 進捗集計（WBSシートから自動集計されます）</t>
        </is>
      </c>
    </row>
    <row r="17">
      <c r="B17" s="42" t="inlineStr">
        <is>
          <t>大分類</t>
        </is>
      </c>
      <c r="C17" s="42" t="inlineStr">
        <is>
          <t>件数</t>
        </is>
      </c>
      <c r="D17" s="42" t="inlineStr">
        <is>
          <t>未着手</t>
        </is>
      </c>
      <c r="E17" s="42" t="inlineStr">
        <is>
          <t>着手</t>
        </is>
      </c>
      <c r="F17" s="42" t="inlineStr">
        <is>
          <t>確認中</t>
        </is>
      </c>
      <c r="G17" s="42" t="inlineStr">
        <is>
          <t>完了</t>
        </is>
      </c>
      <c r="H17" s="42" t="inlineStr">
        <is>
          <t>保留</t>
        </is>
      </c>
      <c r="I17" s="42" t="inlineStr">
        <is>
          <t>対象外</t>
        </is>
      </c>
    </row>
    <row r="18">
      <c r="B18" s="49" t="inlineStr">
        <is>
          <t>０ 契約・立上げ</t>
        </is>
      </c>
      <c r="C18" s="54">
        <f>COUNTIF('WBS・進捗管理'!$B$5:$B$118,$B18)</f>
        <v/>
      </c>
      <c r="D18" s="54">
        <f>COUNTIFS('WBS・進捗管理'!$B$5:$B$118,$B18,'WBS・進捗管理'!$O$5:$O$118,D$17)</f>
        <v/>
      </c>
      <c r="E18" s="54">
        <f>COUNTIFS('WBS・進捗管理'!$B$5:$B$118,$B18,'WBS・進捗管理'!$O$5:$O$118,E$17)</f>
        <v/>
      </c>
      <c r="F18" s="54">
        <f>COUNTIFS('WBS・進捗管理'!$B$5:$B$118,$B18,'WBS・進捗管理'!$O$5:$O$118,F$17)</f>
        <v/>
      </c>
      <c r="G18" s="54">
        <f>COUNTIFS('WBS・進捗管理'!$B$5:$B$118,$B18,'WBS・進捗管理'!$O$5:$O$118,G$17)</f>
        <v/>
      </c>
      <c r="H18" s="54">
        <f>COUNTIFS('WBS・進捗管理'!$B$5:$B$118,$B18,'WBS・進捗管理'!$O$5:$O$118,H$17)</f>
        <v/>
      </c>
      <c r="I18" s="54">
        <f>COUNTIFS('WBS・進捗管理'!$B$5:$B$118,$B18,'WBS・進捗管理'!$O$5:$O$118,I$17)</f>
        <v/>
      </c>
    </row>
    <row r="19">
      <c r="B19" s="49" t="inlineStr">
        <is>
          <t>Ⅰ ニーズ調査</t>
        </is>
      </c>
      <c r="C19" s="54">
        <f>COUNTIF('WBS・進捗管理'!$B$5:$B$118,$B19)</f>
        <v/>
      </c>
      <c r="D19" s="54">
        <f>COUNTIFS('WBS・進捗管理'!$B$5:$B$118,$B19,'WBS・進捗管理'!$O$5:$O$118,D$17)</f>
        <v/>
      </c>
      <c r="E19" s="54">
        <f>COUNTIFS('WBS・進捗管理'!$B$5:$B$118,$B19,'WBS・進捗管理'!$O$5:$O$118,E$17)</f>
        <v/>
      </c>
      <c r="F19" s="54">
        <f>COUNTIFS('WBS・進捗管理'!$B$5:$B$118,$B19,'WBS・進捗管理'!$O$5:$O$118,F$17)</f>
        <v/>
      </c>
      <c r="G19" s="54">
        <f>COUNTIFS('WBS・進捗管理'!$B$5:$B$118,$B19,'WBS・進捗管理'!$O$5:$O$118,G$17)</f>
        <v/>
      </c>
      <c r="H19" s="54">
        <f>COUNTIFS('WBS・進捗管理'!$B$5:$B$118,$B19,'WBS・進捗管理'!$O$5:$O$118,H$17)</f>
        <v/>
      </c>
      <c r="I19" s="54">
        <f>COUNTIFS('WBS・進捗管理'!$B$5:$B$118,$B19,'WBS・進捗管理'!$O$5:$O$118,I$17)</f>
        <v/>
      </c>
    </row>
    <row r="20">
      <c r="B20" s="49" t="inlineStr">
        <is>
          <t>Ⅱ 計画策定</t>
        </is>
      </c>
      <c r="C20" s="54">
        <f>COUNTIF('WBS・進捗管理'!$B$5:$B$118,$B20)</f>
        <v/>
      </c>
      <c r="D20" s="54">
        <f>COUNTIFS('WBS・進捗管理'!$B$5:$B$118,$B20,'WBS・進捗管理'!$O$5:$O$118,D$17)</f>
        <v/>
      </c>
      <c r="E20" s="54">
        <f>COUNTIFS('WBS・進捗管理'!$B$5:$B$118,$B20,'WBS・進捗管理'!$O$5:$O$118,E$17)</f>
        <v/>
      </c>
      <c r="F20" s="54">
        <f>COUNTIFS('WBS・進捗管理'!$B$5:$B$118,$B20,'WBS・進捗管理'!$O$5:$O$118,F$17)</f>
        <v/>
      </c>
      <c r="G20" s="54">
        <f>COUNTIFS('WBS・進捗管理'!$B$5:$B$118,$B20,'WBS・進捗管理'!$O$5:$O$118,G$17)</f>
        <v/>
      </c>
      <c r="H20" s="54">
        <f>COUNTIFS('WBS・進捗管理'!$B$5:$B$118,$B20,'WBS・進捗管理'!$O$5:$O$118,H$17)</f>
        <v/>
      </c>
      <c r="I20" s="54">
        <f>COUNTIFS('WBS・進捗管理'!$B$5:$B$118,$B20,'WBS・進捗管理'!$O$5:$O$118,I$17)</f>
        <v/>
      </c>
    </row>
    <row r="21">
      <c r="B21" s="49" t="inlineStr">
        <is>
          <t>Ⅲ 打合せ等</t>
        </is>
      </c>
      <c r="C21" s="54">
        <f>COUNTIF('WBS・進捗管理'!$B$5:$B$118,$B21)</f>
        <v/>
      </c>
      <c r="D21" s="54">
        <f>COUNTIFS('WBS・進捗管理'!$B$5:$B$118,$B21,'WBS・進捗管理'!$O$5:$O$118,D$17)</f>
        <v/>
      </c>
      <c r="E21" s="54">
        <f>COUNTIFS('WBS・進捗管理'!$B$5:$B$118,$B21,'WBS・進捗管理'!$O$5:$O$118,E$17)</f>
        <v/>
      </c>
      <c r="F21" s="54">
        <f>COUNTIFS('WBS・進捗管理'!$B$5:$B$118,$B21,'WBS・進捗管理'!$O$5:$O$118,F$17)</f>
        <v/>
      </c>
      <c r="G21" s="54">
        <f>COUNTIFS('WBS・進捗管理'!$B$5:$B$118,$B21,'WBS・進捗管理'!$O$5:$O$118,G$17)</f>
        <v/>
      </c>
      <c r="H21" s="54">
        <f>COUNTIFS('WBS・進捗管理'!$B$5:$B$118,$B21,'WBS・進捗管理'!$O$5:$O$118,H$17)</f>
        <v/>
      </c>
      <c r="I21" s="54">
        <f>COUNTIFS('WBS・進捗管理'!$B$5:$B$118,$B21,'WBS・進捗管理'!$O$5:$O$118,I$17)</f>
        <v/>
      </c>
    </row>
    <row r="22">
      <c r="B22" s="49" t="inlineStr">
        <is>
          <t>Ⅳ 成果品・納品</t>
        </is>
      </c>
      <c r="C22" s="54">
        <f>COUNTIF('WBS・進捗管理'!$B$5:$B$118,$B22)</f>
        <v/>
      </c>
      <c r="D22" s="54">
        <f>COUNTIFS('WBS・進捗管理'!$B$5:$B$118,$B22,'WBS・進捗管理'!$O$5:$O$118,D$17)</f>
        <v/>
      </c>
      <c r="E22" s="54">
        <f>COUNTIFS('WBS・進捗管理'!$B$5:$B$118,$B22,'WBS・進捗管理'!$O$5:$O$118,E$17)</f>
        <v/>
      </c>
      <c r="F22" s="54">
        <f>COUNTIFS('WBS・進捗管理'!$B$5:$B$118,$B22,'WBS・進捗管理'!$O$5:$O$118,F$17)</f>
        <v/>
      </c>
      <c r="G22" s="54">
        <f>COUNTIFS('WBS・進捗管理'!$B$5:$B$118,$B22,'WBS・進捗管理'!$O$5:$O$118,G$17)</f>
        <v/>
      </c>
      <c r="H22" s="54">
        <f>COUNTIFS('WBS・進捗管理'!$B$5:$B$118,$B22,'WBS・進捗管理'!$O$5:$O$118,H$17)</f>
        <v/>
      </c>
      <c r="I22" s="54">
        <f>COUNTIFS('WBS・進捗管理'!$B$5:$B$118,$B22,'WBS・進捗管理'!$O$5:$O$118,I$17)</f>
        <v/>
      </c>
    </row>
    <row r="23">
      <c r="B23" s="49" t="inlineStr">
        <is>
          <t>Ⅴ 管理</t>
        </is>
      </c>
      <c r="C23" s="54">
        <f>COUNTIF('WBS・進捗管理'!$B$5:$B$118,$B23)</f>
        <v/>
      </c>
      <c r="D23" s="54">
        <f>COUNTIFS('WBS・進捗管理'!$B$5:$B$118,$B23,'WBS・進捗管理'!$O$5:$O$118,D$17)</f>
        <v/>
      </c>
      <c r="E23" s="54">
        <f>COUNTIFS('WBS・進捗管理'!$B$5:$B$118,$B23,'WBS・進捗管理'!$O$5:$O$118,E$17)</f>
        <v/>
      </c>
      <c r="F23" s="54">
        <f>COUNTIFS('WBS・進捗管理'!$B$5:$B$118,$B23,'WBS・進捗管理'!$O$5:$O$118,F$17)</f>
        <v/>
      </c>
      <c r="G23" s="54">
        <f>COUNTIFS('WBS・進捗管理'!$B$5:$B$118,$B23,'WBS・進捗管理'!$O$5:$O$118,G$17)</f>
        <v/>
      </c>
      <c r="H23" s="54">
        <f>COUNTIFS('WBS・進捗管理'!$B$5:$B$118,$B23,'WBS・進捗管理'!$O$5:$O$118,H$17)</f>
        <v/>
      </c>
      <c r="I23" s="54">
        <f>COUNTIFS('WBS・進捗管理'!$B$5:$B$118,$B23,'WBS・進捗管理'!$O$5:$O$118,I$17)</f>
        <v/>
      </c>
    </row>
    <row r="24">
      <c r="B24" s="55" t="inlineStr">
        <is>
          <t>合計</t>
        </is>
      </c>
      <c r="C24" s="56">
        <f>SUM(C18:C23)</f>
        <v/>
      </c>
      <c r="D24" s="56">
        <f>SUM(D18:D23)</f>
        <v/>
      </c>
      <c r="E24" s="56">
        <f>SUM(E18:E23)</f>
        <v/>
      </c>
      <c r="F24" s="56">
        <f>SUM(F18:F23)</f>
        <v/>
      </c>
      <c r="G24" s="56">
        <f>SUM(G18:G23)</f>
        <v/>
      </c>
      <c r="H24" s="56">
        <f>SUM(H18:H23)</f>
        <v/>
      </c>
      <c r="I24" s="56">
        <f>SUM(I18:I23)</f>
        <v/>
      </c>
    </row>
    <row r="26">
      <c r="B26" s="38" t="inlineStr">
        <is>
          <t>■ 主要指標</t>
        </is>
      </c>
    </row>
    <row r="27">
      <c r="B27" s="57" t="inlineStr">
        <is>
          <t>全体進捗率（対象外を除く）</t>
        </is>
      </c>
      <c r="C27" s="58">
        <f>AVERAGEIF('WBS・進捗管理'!$O$5:$O$118,"&lt;&gt;対象外",'WBS・進捗管理'!$N$5:$N$118)</f>
        <v/>
      </c>
    </row>
    <row r="28">
      <c r="B28" s="57" t="inlineStr">
        <is>
          <t>作業総数</t>
        </is>
      </c>
      <c r="C28" s="59">
        <f>COUNTA('WBS・進捗管理'!$A$5:$A$118)</f>
        <v/>
      </c>
    </row>
    <row r="29">
      <c r="B29" s="57" t="inlineStr">
        <is>
          <t>完了した作業</t>
        </is>
      </c>
      <c r="C29" s="59">
        <f>COUNTIF('WBS・進捗管理'!$O$5:$O$118,"完了")</f>
        <v/>
      </c>
    </row>
    <row r="30">
      <c r="B30" s="57" t="inlineStr">
        <is>
          <t>着手・確認中の作業</t>
        </is>
      </c>
      <c r="C30" s="59">
        <f>COUNTIF('WBS・進捗管理'!$O$5:$O$118,"着手")+COUNTIF('WBS・進捗管理'!$O$5:$O$118,"確認中")</f>
        <v/>
      </c>
    </row>
    <row r="31">
      <c r="B31" s="57" t="inlineStr">
        <is>
          <t>未着手の作業</t>
        </is>
      </c>
      <c r="C31" s="59">
        <f>COUNTIF('WBS・進捗管理'!$O$5:$O$118,"未着手")</f>
        <v/>
      </c>
    </row>
    <row r="32">
      <c r="B32" s="57" t="inlineStr">
        <is>
          <t>対象外の作業</t>
        </is>
      </c>
      <c r="C32" s="59">
        <f>COUNTIF('WBS・進捗管理'!$O$5:$O$118,"対象外")</f>
        <v/>
      </c>
    </row>
    <row r="33">
      <c r="B33" s="57" t="inlineStr">
        <is>
          <t>村への確認事項（優先度S）</t>
        </is>
      </c>
      <c r="C33" s="59">
        <f>COUNTIF('村への確認事項'!$A:$A,"S")</f>
        <v/>
      </c>
    </row>
    <row r="34">
      <c r="B34" s="57" t="inlineStr">
        <is>
          <t>村への確認事項（優先度A）</t>
        </is>
      </c>
      <c r="C34" s="59">
        <f>COUNTIF('村への確認事項'!$A:$A,"A")</f>
        <v/>
      </c>
    </row>
    <row r="35">
      <c r="B35" s="57" t="inlineStr">
        <is>
          <t>村への確認事項（未依頼）</t>
        </is>
      </c>
      <c r="C35" s="59">
        <f>COUNTIF('村への確認事項'!$G:$G,"未依頼")</f>
        <v/>
      </c>
    </row>
    <row r="36">
      <c r="B36" s="57" t="inlineStr">
        <is>
          <t>未受領の資料・データ</t>
        </is>
      </c>
      <c r="C36" s="59">
        <f>COUNTIF('受領資料・データ管理'!$F:$F,"未受領")</f>
        <v/>
      </c>
    </row>
    <row r="38">
      <c r="B38" s="38" t="inlineStr">
        <is>
          <t>■ マイルストーン（令和8年9月1日 キックオフ議事録により確定）</t>
        </is>
      </c>
    </row>
    <row r="39">
      <c r="B39" s="60" t="inlineStr"/>
      <c r="C39" s="60" t="inlineStr">
        <is>
          <t>期日</t>
        </is>
      </c>
      <c r="D39" s="60" t="inlineStr">
        <is>
          <t>内容</t>
        </is>
      </c>
      <c r="E39" s="60" t="inlineStr">
        <is>
          <t>留意点</t>
        </is>
      </c>
    </row>
    <row r="40">
      <c r="B40" s="23" t="inlineStr"/>
      <c r="C40" s="24" t="inlineStr">
        <is>
          <t>令和8年9月1日（火）</t>
        </is>
      </c>
      <c r="D40" s="24" t="inlineStr">
        <is>
          <t>キックオフ会議</t>
        </is>
      </c>
      <c r="E40" s="25" t="inlineStr">
        <is>
          <t>完了。議事録を受領（doc22）。S項目16件のうち9件が決着</t>
        </is>
      </c>
    </row>
    <row r="41">
      <c r="B41" s="61" t="inlineStr">
        <is>
          <t>★</t>
        </is>
      </c>
      <c r="C41" s="62" t="inlineStr">
        <is>
          <t>令和8年9月3日（木）</t>
        </is>
      </c>
      <c r="D41" s="62" t="inlineStr">
        <is>
          <t>調査票 第1稿の提出</t>
        </is>
      </c>
      <c r="E41" s="63" t="inlineStr">
        <is>
          <t>★議事録で確定。未決事項は選択肢併記で提出</t>
        </is>
      </c>
    </row>
    <row r="42">
      <c r="B42" s="61" t="inlineStr">
        <is>
          <t>★</t>
        </is>
      </c>
      <c r="C42" s="62" t="inlineStr">
        <is>
          <t>令和8年9月9日（水）頃</t>
        </is>
      </c>
      <c r="D42" s="62" t="inlineStr">
        <is>
          <t>調査票の最終校了・印刷依頼</t>
        </is>
      </c>
      <c r="E42" s="63" t="inlineStr">
        <is>
          <t>★Webフォームの実装方法が未決だと間に合わない恐れ</t>
        </is>
      </c>
    </row>
    <row r="43">
      <c r="B43" s="23" t="inlineStr"/>
      <c r="C43" s="24" t="inlineStr">
        <is>
          <t>令和8年9月14日（月）</t>
        </is>
      </c>
      <c r="D43" s="24" t="inlineStr">
        <is>
          <t>宛名ラベル・配布用封筒の提供</t>
        </is>
      </c>
      <c r="E43" s="25" t="inlineStr">
        <is>
          <t>村。9/11への前倒しを要請</t>
        </is>
      </c>
    </row>
    <row r="44">
      <c r="B44" s="23" t="inlineStr"/>
      <c r="C44" s="24" t="inlineStr">
        <is>
          <t>令和8年9月16〜17日</t>
        </is>
      </c>
      <c r="D44" s="24" t="inlineStr">
        <is>
          <t>宛名貼付・封入・封緘</t>
        </is>
      </c>
      <c r="E44" s="25" t="inlineStr">
        <is>
          <t>受託者</t>
        </is>
      </c>
    </row>
    <row r="45">
      <c r="B45" s="61" t="inlineStr">
        <is>
          <t>★</t>
        </is>
      </c>
      <c r="C45" s="62" t="inlineStr">
        <is>
          <t>令和8年9月18日（金）頃</t>
        </is>
      </c>
      <c r="D45" s="62" t="inlineStr">
        <is>
          <t>アンケート発送</t>
        </is>
      </c>
      <c r="E45" s="63" t="inlineStr">
        <is>
          <t>★5連休（9/19〜9/23）の直前。9/17前倒しを協議</t>
        </is>
      </c>
    </row>
    <row r="46">
      <c r="B46" s="61" t="inlineStr">
        <is>
          <t>★</t>
        </is>
      </c>
      <c r="C46" s="62" t="inlineStr">
        <is>
          <t>令和8年9月30日（水）</t>
        </is>
      </c>
      <c r="D46" s="62" t="inlineStr">
        <is>
          <t>策定委員会 現委員の任期満了</t>
        </is>
      </c>
      <c r="E46" s="63" t="inlineStr">
        <is>
          <t>★議事録で触れられず。第2回（11月）には改選が前提</t>
        </is>
      </c>
    </row>
    <row r="47">
      <c r="B47" s="23" t="inlineStr"/>
      <c r="C47" s="24" t="inlineStr">
        <is>
          <t>令和8年10月</t>
        </is>
      </c>
      <c r="D47" s="24" t="inlineStr">
        <is>
          <t>回収・データ入力</t>
        </is>
      </c>
      <c r="E47" s="25" t="inlineStr">
        <is>
          <t>村が100件程度集まるごとに随時送付</t>
        </is>
      </c>
    </row>
    <row r="48">
      <c r="B48" s="61" t="inlineStr">
        <is>
          <t>★</t>
        </is>
      </c>
      <c r="C48" s="62" t="inlineStr">
        <is>
          <t>令和8年11月</t>
        </is>
      </c>
      <c r="D48" s="62" t="inlineStr">
        <is>
          <t>第2回策定委員会</t>
        </is>
      </c>
      <c r="E48" s="63" t="inlineStr">
        <is>
          <t>★分析結果・効果検証・骨子・体系・見込量・保険料概算・素案（完成度7割）</t>
        </is>
      </c>
    </row>
    <row r="49">
      <c r="B49" s="23" t="inlineStr"/>
      <c r="C49" s="24" t="inlineStr">
        <is>
          <t>令和8年11月〜12月</t>
        </is>
      </c>
      <c r="D49" s="24" t="inlineStr">
        <is>
          <t>パブリックコメント</t>
        </is>
      </c>
      <c r="E49" s="25" t="inlineStr">
        <is>
          <t>第2回委員会の後に実施</t>
        </is>
      </c>
    </row>
    <row r="50">
      <c r="B50" s="23" t="inlineStr"/>
      <c r="C50" s="24" t="inlineStr">
        <is>
          <t>令和9年1月下旬〜2月上旬</t>
        </is>
      </c>
      <c r="D50" s="24" t="inlineStr">
        <is>
          <t>第3回策定委員会</t>
        </is>
      </c>
      <c r="E50" s="25" t="inlineStr">
        <is>
          <t>パブコメ結果と反映内容を報告。ほぼ完成版の素案で最終合意</t>
        </is>
      </c>
    </row>
    <row r="51">
      <c r="B51" s="23" t="inlineStr"/>
      <c r="C51" s="24" t="inlineStr">
        <is>
          <t>令和9年2月末頃</t>
        </is>
      </c>
      <c r="D51" s="24" t="inlineStr">
        <is>
          <t>議会全員協議会</t>
        </is>
      </c>
      <c r="E51" s="25" t="inlineStr">
        <is>
          <t>概要版（A3両面程度）を用いて説明</t>
        </is>
      </c>
    </row>
    <row r="52">
      <c r="B52" s="23" t="inlineStr"/>
      <c r="C52" s="24" t="inlineStr">
        <is>
          <t>令和9年3月31日</t>
        </is>
      </c>
      <c r="D52" s="24" t="inlineStr">
        <is>
          <t>履行期限（納品・検収）</t>
        </is>
      </c>
      <c r="E52" s="25" t="inlineStr"/>
    </row>
    <row r="54">
      <c r="B54" s="45" t="inlineStr">
        <is>
          <t>※「仕様書該当」欄の凡例：仕様書＝8北保福第483号 別紙／手引き＝厚生労働省の実施の手引き（令和7年8月版）／確認＝本業務での確認事項</t>
        </is>
      </c>
    </row>
    <row r="55">
      <c r="B55" s="45" t="inlineStr">
        <is>
          <t>※ No. は行の位置によらない固定値です。作業を追加しても既存の No. は変わりません（追加分は101以降）。確認事項シートの「関連WBS No.」はこの No. を参照します。</t>
        </is>
      </c>
    </row>
    <row r="56">
      <c r="B56" s="45" t="inlineStr">
        <is>
          <t>※ 仕様書の要求事項と本WBSの対応は「仕様書対照」シートにあります。漏れと過剰の点検は scripts/verify_wbs.py で機械的に行っています。</t>
        </is>
      </c>
    </row>
    <row r="57">
      <c r="B57" s="45" t="inlineStr">
        <is>
          <t>※ 想定時期は仕様書の履行期限（令和9年3月31日）から逆算した目安です。村との協議結果により確定します。</t>
        </is>
      </c>
    </row>
    <row r="58">
      <c r="B58" s="45" t="inlineStr">
        <is>
          <t>※ 令和8年9月19日（土）〜23日（水）は5連休（敬老の日9/21・国民の休日9/22・秋分の日9/23）です。発送・回収工程に影響します。</t>
        </is>
      </c>
    </row>
    <row r="59">
      <c r="B59" s="45" t="inlineStr">
        <is>
          <t>※ 進捗基準日は令和8年9月28日です。備考欄の doc番号は docs/北塩原村_第10期/ 配下の分析資料に対応します。</t>
        </is>
      </c>
    </row>
    <row r="60">
      <c r="B60" s="45" t="inlineStr">
        <is>
          <t>※ マイルストーンの★印は、遅れると後続工程が連鎖的に破綻する項目です。</t>
        </is>
      </c>
    </row>
    <row r="61">
      <c r="B61" s="45" t="inlineStr">
        <is>
          <t>※ 第1回策定委員会は受託前に開催済みのため、関連する2作業はステータス「対象外」としています。全体進捗率は対象外を除いて算出しています。</t>
        </is>
      </c>
    </row>
  </sheetData>
  <mergeCells count="14">
    <mergeCell ref="D7:H7"/>
    <mergeCell ref="D8:H8"/>
    <mergeCell ref="D6:H6"/>
    <mergeCell ref="B26:H26"/>
    <mergeCell ref="C14:H14"/>
    <mergeCell ref="B4:H4"/>
    <mergeCell ref="C13:H13"/>
    <mergeCell ref="D5:H5"/>
    <mergeCell ref="B2:H2"/>
    <mergeCell ref="B16:H16"/>
    <mergeCell ref="B38:H38"/>
    <mergeCell ref="B11:H11"/>
    <mergeCell ref="C12:H12"/>
    <mergeCell ref="D9:H9"/>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2026-09-28T05:37:14Z</dcterms:created>
  <dcterms:modified xsi:type="dcterms:W3CDTF">2026-09-28T05:37:15Z</dcterms:modified>
</cp:coreProperties>
</file>