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'WBS・進捗管理'!$A$4:$P$101</definedName>
    <definedName name="_xlnm._FilterDatabase" localSheetId="1" hidden="1">'村への確認事項'!$A$4:$H$75</definedName>
    <definedName name="_xlnm._FilterDatabase" localSheetId="2" hidden="1">'受領資料・データ管理'!$A$4:$F$32</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11" t="inlineStr">
        <is>
          <t>０-03</t>
        </is>
      </c>
      <c r="B7" s="12" t="inlineStr">
        <is>
          <t>０ 契約・立上げ</t>
        </is>
      </c>
      <c r="C7" s="12" t="inlineStr">
        <is>
          <t>立上げ</t>
        </is>
      </c>
      <c r="D7" s="13" t="inlineStr">
        <is>
          <t>キックオフ会議の開催</t>
        </is>
      </c>
      <c r="E7" s="11" t="inlineStr">
        <is>
          <t>仕様書4Ⅲ</t>
        </is>
      </c>
      <c r="F7" s="11" t="inlineStr">
        <is>
          <t>双方</t>
        </is>
      </c>
      <c r="G7" s="13" t="inlineStr">
        <is>
          <t>キックオフ会議資料・議事録</t>
        </is>
      </c>
      <c r="H7" s="13" t="inlineStr"/>
      <c r="I7" s="11" t="inlineStr">
        <is>
          <t>R8.9上</t>
        </is>
      </c>
      <c r="J7" s="14" t="n"/>
      <c r="K7" s="14" t="n"/>
      <c r="L7" s="14" t="n">
        <v>46259</v>
      </c>
      <c r="M7" s="14" t="n"/>
      <c r="N7" s="15" t="n">
        <v>0.85</v>
      </c>
      <c r="O7" s="16" t="inlineStr">
        <is>
          <t>確認中</t>
        </is>
      </c>
      <c r="P7" s="13" t="inlineStr">
        <is>
          <t>★資料上の開催予定日 令和8年9月1日（火）を経過。開催の有無・決着事項・宿題が未確認。優先度Sの16件が決着したかどうかで以降の工程が変わるため、最優先で結果を確認する必要がある（doc19）。</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手法Ⅲを想定。第10期新設の手法Ⅳ（新版 在宅生活改善調査）の採否が未決。</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0.3</v>
      </c>
      <c r="O12" s="16" t="inlineStr">
        <is>
          <t>確認中</t>
        </is>
      </c>
      <c r="P12" s="13" t="inlineStr">
        <is>
          <t>3論点（要支援を含むか／更新・区分変更に限るか／サ高住等を含むか）を提示済。村回答待ち。</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0.75</v>
      </c>
      <c r="O13" s="16" t="inlineStr">
        <is>
          <t>着手</t>
        </is>
      </c>
      <c r="P13" s="13" t="inlineStr">
        <is>
          <t>資料B・C・C'をレビューし指摘一覧（村提出用1枚もの）を作成済（doc03・doc04・artifact06）。</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0.75</v>
      </c>
      <c r="O14" s="16" t="inlineStr">
        <is>
          <t>着手</t>
        </is>
      </c>
      <c r="P14" s="13" t="inlineStr">
        <is>
          <t>同上。手法Ⅲ標準様式との差分を確定済。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0.5</v>
      </c>
      <c r="O16" s="16" t="inlineStr">
        <is>
          <t>確認中</t>
        </is>
      </c>
      <c r="P16" s="13" t="inlineStr">
        <is>
          <t>「問6 就労について」は令和7年8月版でオプションと確定。採否は村協議待ち。</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46259</v>
      </c>
      <c r="M17" s="14" t="n"/>
      <c r="N17" s="15" t="n">
        <v>0.4</v>
      </c>
      <c r="O17" s="16" t="inlineStr">
        <is>
          <t>着手</t>
        </is>
      </c>
      <c r="P17" s="13" t="inlineStr">
        <is>
          <t>除雪・在宅医療・成年後見・歯科受診・服薬ほかの論点を整理済。確定は村協議後。</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23" t="inlineStr">
        <is>
          <t>Ⅰ-15</t>
        </is>
      </c>
      <c r="B19" s="24" t="inlineStr">
        <is>
          <t>Ⅰ ニーズ調査</t>
        </is>
      </c>
      <c r="C19" s="24" t="inlineStr">
        <is>
          <t>Ⅰ-1 調査設計</t>
        </is>
      </c>
      <c r="D19" s="25" t="inlineStr">
        <is>
          <t>調査票の村協議・確定</t>
        </is>
      </c>
      <c r="E19" s="23" t="inlineStr">
        <is>
          <t>仕様書4Ⅰ(2)</t>
        </is>
      </c>
      <c r="F19" s="23" t="inlineStr">
        <is>
          <t>双方</t>
        </is>
      </c>
      <c r="G19" s="25" t="inlineStr">
        <is>
          <t>確定版調査票</t>
        </is>
      </c>
      <c r="H19" s="25" t="inlineStr">
        <is>
          <t>以降の全工程の起点</t>
        </is>
      </c>
      <c r="I19" s="23" t="inlineStr">
        <is>
          <t>R8.9上</t>
        </is>
      </c>
      <c r="J19" s="26" t="n"/>
      <c r="K19" s="26" t="n"/>
      <c r="L19" s="26" t="n"/>
      <c r="M19" s="26" t="n"/>
      <c r="N19" s="27" t="n">
        <v>0</v>
      </c>
      <c r="O19" s="23" t="inlineStr">
        <is>
          <t>未着手</t>
        </is>
      </c>
      <c r="P19" s="25" t="inlineStr"/>
    </row>
    <row r="20" ht="30" customHeight="1">
      <c r="A20" s="18" t="inlineStr">
        <is>
          <t>Ⅰ-16</t>
        </is>
      </c>
      <c r="B20" s="19" t="inlineStr">
        <is>
          <t>Ⅰ ニーズ調査</t>
        </is>
      </c>
      <c r="C20" s="19" t="inlineStr">
        <is>
          <t>Ⅰ-1 調査設計</t>
        </is>
      </c>
      <c r="D20" s="20" t="inlineStr">
        <is>
          <t>ウェブ回答フォームの作成</t>
        </is>
      </c>
      <c r="E20" s="18" t="inlineStr">
        <is>
          <t>仕様書4Ⅰ(2)</t>
        </is>
      </c>
      <c r="F20" s="18" t="inlineStr">
        <is>
          <t>受託者</t>
        </is>
      </c>
      <c r="G20" s="20" t="inlineStr">
        <is>
          <t>ウェブフォーム</t>
        </is>
      </c>
      <c r="H20" s="20" t="inlineStr">
        <is>
          <t>通信の暗号化・公開期間の設定</t>
        </is>
      </c>
      <c r="I20" s="18" t="inlineStr">
        <is>
          <t>R8.9上</t>
        </is>
      </c>
      <c r="J20" s="21" t="n"/>
      <c r="K20" s="21" t="n"/>
      <c r="L20" s="21" t="n"/>
      <c r="M20" s="21" t="n"/>
      <c r="N20" s="22" t="n">
        <v>0</v>
      </c>
      <c r="O20" s="18" t="inlineStr">
        <is>
          <t>未着手</t>
        </is>
      </c>
      <c r="P20" s="20" t="inlineStr"/>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8" t="inlineStr">
        <is>
          <t>Ⅰ-18</t>
        </is>
      </c>
      <c r="B22" s="19" t="inlineStr">
        <is>
          <t>Ⅰ ニーズ調査</t>
        </is>
      </c>
      <c r="C22" s="19" t="inlineStr">
        <is>
          <t>Ⅰ-1 調査設計</t>
        </is>
      </c>
      <c r="D22" s="20" t="inlineStr">
        <is>
          <t>重複回答の管理方法の設計（管理番号）</t>
        </is>
      </c>
      <c r="E22" s="18" t="inlineStr">
        <is>
          <t>仕様書4Ⅰ(2)</t>
        </is>
      </c>
      <c r="F22" s="18" t="inlineStr">
        <is>
          <t>受託者</t>
        </is>
      </c>
      <c r="G22" s="20" t="inlineStr">
        <is>
          <t>管理番号設計書</t>
        </is>
      </c>
      <c r="H22" s="20" t="inlineStr">
        <is>
          <t>紙・ウェブの重複を排除</t>
        </is>
      </c>
      <c r="I22" s="18" t="inlineStr">
        <is>
          <t>R8.9上</t>
        </is>
      </c>
      <c r="J22" s="21" t="n"/>
      <c r="K22" s="21" t="n"/>
      <c r="L22" s="21" t="n"/>
      <c r="M22" s="21" t="n"/>
      <c r="N22" s="22" t="n">
        <v>0</v>
      </c>
      <c r="O22" s="18" t="inlineStr">
        <is>
          <t>未着手</t>
        </is>
      </c>
      <c r="P22" s="20" t="inlineStr"/>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0.2</v>
      </c>
      <c r="O23" s="16" t="inlineStr">
        <is>
          <t>着手</t>
        </is>
      </c>
      <c r="P23" s="13" t="inlineStr">
        <is>
          <t>第10期の新規要件として論点提示済。村のラベル作成仕様と一体で確定が必要。</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受託者</t>
        </is>
      </c>
      <c r="G34" s="20" t="inlineStr">
        <is>
          <t>回収状況表</t>
        </is>
      </c>
      <c r="H34" s="20" t="inlineStr"/>
      <c r="I34" s="18" t="inlineStr">
        <is>
          <t>R8.9下〜10</t>
        </is>
      </c>
      <c r="J34" s="21" t="n"/>
      <c r="K34" s="21" t="n"/>
      <c r="L34" s="21" t="n"/>
      <c r="M34" s="21" t="n"/>
      <c r="N34" s="22" t="n">
        <v>0</v>
      </c>
      <c r="O34" s="18" t="inlineStr">
        <is>
          <t>未着手</t>
        </is>
      </c>
      <c r="P34" s="20" t="inlineStr"/>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23" t="inlineStr">
        <is>
          <t>Ⅰ-39</t>
        </is>
      </c>
      <c r="B43" s="24" t="inlineStr">
        <is>
          <t>Ⅰ ニーズ調査</t>
        </is>
      </c>
      <c r="C43" s="24" t="inlineStr">
        <is>
          <t>Ⅰ-5 集計・分析</t>
        </is>
      </c>
      <c r="D43" s="25" t="inlineStr">
        <is>
          <t>単純集計</t>
        </is>
      </c>
      <c r="E43" s="23" t="inlineStr">
        <is>
          <t>仕様書4Ⅰ(6)</t>
        </is>
      </c>
      <c r="F43" s="23" t="inlineStr">
        <is>
          <t>受託者</t>
        </is>
      </c>
      <c r="G43" s="25" t="inlineStr">
        <is>
          <t>集計表</t>
        </is>
      </c>
      <c r="H43" s="25" t="inlineStr"/>
      <c r="I43" s="23" t="inlineStr">
        <is>
          <t>R8.10〜11</t>
        </is>
      </c>
      <c r="J43" s="26" t="n"/>
      <c r="K43" s="26" t="n"/>
      <c r="L43" s="26" t="n"/>
      <c r="M43" s="26" t="n"/>
      <c r="N43" s="27" t="n">
        <v>0</v>
      </c>
      <c r="O43" s="23" t="inlineStr">
        <is>
          <t>未着手</t>
        </is>
      </c>
      <c r="P43" s="25" t="inlineStr"/>
    </row>
    <row r="44" ht="30" customHeight="1">
      <c r="A44" s="18" t="inlineStr">
        <is>
          <t>Ⅰ-40</t>
        </is>
      </c>
      <c r="B44" s="19" t="inlineStr">
        <is>
          <t>Ⅰ ニーズ調査</t>
        </is>
      </c>
      <c r="C44" s="19" t="inlineStr">
        <is>
          <t>Ⅰ-5 集計・分析</t>
        </is>
      </c>
      <c r="D44" s="20" t="inlineStr">
        <is>
          <t>基本属性別クロス集計（地区・性別・年齢）</t>
        </is>
      </c>
      <c r="E44" s="18" t="inlineStr">
        <is>
          <t>仕様書4Ⅰ(6)</t>
        </is>
      </c>
      <c r="F44" s="18" t="inlineStr">
        <is>
          <t>受託者</t>
        </is>
      </c>
      <c r="G44" s="20" t="inlineStr">
        <is>
          <t>集計表</t>
        </is>
      </c>
      <c r="H44" s="20" t="inlineStr"/>
      <c r="I44" s="18" t="inlineStr">
        <is>
          <t>R8.10〜11</t>
        </is>
      </c>
      <c r="J44" s="21" t="n"/>
      <c r="K44" s="21" t="n"/>
      <c r="L44" s="21" t="n"/>
      <c r="M44" s="21" t="n"/>
      <c r="N44" s="22" t="n">
        <v>0</v>
      </c>
      <c r="O44" s="18" t="inlineStr">
        <is>
          <t>未着手</t>
        </is>
      </c>
      <c r="P44" s="20" t="inlineStr"/>
    </row>
    <row r="45" ht="30" customHeight="1">
      <c r="A45" s="23" t="inlineStr">
        <is>
          <t>Ⅰ-41</t>
        </is>
      </c>
      <c r="B45" s="24" t="inlineStr">
        <is>
          <t>Ⅰ ニーズ調査</t>
        </is>
      </c>
      <c r="C45" s="24" t="inlineStr">
        <is>
          <t>Ⅰ-5 集計・分析</t>
        </is>
      </c>
      <c r="D45" s="25" t="inlineStr">
        <is>
          <t>時系列比較（第8期・第9期との対比）</t>
        </is>
      </c>
      <c r="E45" s="23" t="inlineStr">
        <is>
          <t>仕様書4Ⅰ(6)</t>
        </is>
      </c>
      <c r="F45" s="23" t="inlineStr">
        <is>
          <t>受託者</t>
        </is>
      </c>
      <c r="G45" s="25" t="inlineStr">
        <is>
          <t>比較表</t>
        </is>
      </c>
      <c r="H45" s="25" t="inlineStr">
        <is>
          <t>村と協議のうえ範囲を決定</t>
        </is>
      </c>
      <c r="I45" s="23" t="inlineStr">
        <is>
          <t>R8.10〜11</t>
        </is>
      </c>
      <c r="J45" s="26" t="n"/>
      <c r="K45" s="26" t="n"/>
      <c r="L45" s="26" t="n"/>
      <c r="M45" s="26" t="n"/>
      <c r="N45" s="27" t="n">
        <v>0</v>
      </c>
      <c r="O45" s="23" t="inlineStr">
        <is>
          <t>未着手</t>
        </is>
      </c>
      <c r="P45" s="25" t="inlineStr"/>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23" t="inlineStr">
        <is>
          <t>Ⅰ-43</t>
        </is>
      </c>
      <c r="B47" s="24" t="inlineStr">
        <is>
          <t>Ⅰ ニーズ調査</t>
        </is>
      </c>
      <c r="C47" s="24" t="inlineStr">
        <is>
          <t>Ⅰ-5 集計・分析</t>
        </is>
      </c>
      <c r="D47" s="25" t="inlineStr">
        <is>
          <t>リスク判定11種の算出</t>
        </is>
      </c>
      <c r="E47" s="23" t="inlineStr">
        <is>
          <t>手引き</t>
        </is>
      </c>
      <c r="F47" s="23" t="inlineStr">
        <is>
          <t>受託者</t>
        </is>
      </c>
      <c r="G47" s="25" t="inlineStr">
        <is>
          <t>リスク判定結果</t>
        </is>
      </c>
      <c r="H47" s="25" t="inlineStr">
        <is>
          <t>運動器・転倒・閉じこもり・低栄養・口腔・認知・うつ・IADL等</t>
        </is>
      </c>
      <c r="I47" s="23" t="inlineStr">
        <is>
          <t>R8.10〜11</t>
        </is>
      </c>
      <c r="J47" s="26" t="n"/>
      <c r="K47" s="26" t="n"/>
      <c r="L47" s="26" t="n"/>
      <c r="M47" s="26" t="n"/>
      <c r="N47" s="27" t="n">
        <v>0</v>
      </c>
      <c r="O47" s="23" t="inlineStr">
        <is>
          <t>未着手</t>
        </is>
      </c>
      <c r="P47" s="25" t="inlineStr"/>
    </row>
    <row r="48" ht="30" customHeight="1">
      <c r="A48" s="18" t="inlineStr">
        <is>
          <t>Ⅰ-44</t>
        </is>
      </c>
      <c r="B48" s="19" t="inlineStr">
        <is>
          <t>Ⅰ ニーズ調査</t>
        </is>
      </c>
      <c r="C48" s="19" t="inlineStr">
        <is>
          <t>Ⅰ-5 集計・分析</t>
        </is>
      </c>
      <c r="D48" s="20" t="inlineStr">
        <is>
          <t>自由記述の整理</t>
        </is>
      </c>
      <c r="E48" s="18" t="inlineStr">
        <is>
          <t>仕様書4Ⅰ(6)</t>
        </is>
      </c>
      <c r="F48" s="18" t="inlineStr">
        <is>
          <t>受託者</t>
        </is>
      </c>
      <c r="G48" s="20" t="inlineStr">
        <is>
          <t>自由意見一覧</t>
        </is>
      </c>
      <c r="H48" s="20" t="inlineStr"/>
      <c r="I48" s="18" t="inlineStr">
        <is>
          <t>R8.10〜11</t>
        </is>
      </c>
      <c r="J48" s="21" t="n"/>
      <c r="K48" s="21" t="n"/>
      <c r="L48" s="21" t="n"/>
      <c r="M48" s="21" t="n"/>
      <c r="N48" s="22" t="n">
        <v>0</v>
      </c>
      <c r="O48" s="18" t="inlineStr">
        <is>
          <t>未着手</t>
        </is>
      </c>
      <c r="P48" s="20" t="inlineStr"/>
    </row>
    <row r="49" ht="30" customHeight="1">
      <c r="A49" s="23" t="inlineStr">
        <is>
          <t>Ⅰ-45</t>
        </is>
      </c>
      <c r="B49" s="24" t="inlineStr">
        <is>
          <t>Ⅰ ニーズ調査</t>
        </is>
      </c>
      <c r="C49" s="24" t="inlineStr">
        <is>
          <t>Ⅰ-5 集計・分析</t>
        </is>
      </c>
      <c r="D49" s="25" t="inlineStr">
        <is>
          <t>在宅調査の要介護度別・介護者就労状況別分析</t>
        </is>
      </c>
      <c r="E49" s="23" t="inlineStr">
        <is>
          <t>仕様書4Ⅰ(6)</t>
        </is>
      </c>
      <c r="F49" s="23" t="inlineStr">
        <is>
          <t>受託者</t>
        </is>
      </c>
      <c r="G49" s="25" t="inlineStr">
        <is>
          <t>分析結果</t>
        </is>
      </c>
      <c r="H49" s="25" t="inlineStr"/>
      <c r="I49" s="23" t="inlineStr">
        <is>
          <t>R8.10〜11</t>
        </is>
      </c>
      <c r="J49" s="26" t="n"/>
      <c r="K49" s="26" t="n"/>
      <c r="L49" s="26" t="n"/>
      <c r="M49" s="26" t="n"/>
      <c r="N49" s="27" t="n">
        <v>0</v>
      </c>
      <c r="O49" s="23" t="inlineStr">
        <is>
          <t>未着手</t>
        </is>
      </c>
      <c r="P49" s="25" t="inlineStr"/>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46261</v>
      </c>
      <c r="M54" s="14" t="n"/>
      <c r="N54" s="15" t="n">
        <v>0.75</v>
      </c>
      <c r="O54" s="16" t="inlineStr">
        <is>
          <t>着手</t>
        </is>
      </c>
      <c r="P54" s="13" t="inlineStr">
        <is>
          <t>国の指針・様式の更新確認を実施済（doc04）。令和7年8月版の反映まで完了。</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46265</v>
      </c>
      <c r="M67" s="14" t="n"/>
      <c r="N67" s="15" t="n">
        <v>0.2</v>
      </c>
      <c r="O67" s="16" t="inlineStr">
        <is>
          <t>確認中</t>
        </is>
      </c>
      <c r="P67" s="13" t="inlineStr">
        <is>
          <t>★村へ依頼中。令和6年度末実績・令和7年度末見込。保険料算定の前提。</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46265</v>
      </c>
      <c r="M68" s="14" t="n"/>
      <c r="N68" s="15" t="n">
        <v>0.2</v>
      </c>
      <c r="O68" s="16" t="inlineStr">
        <is>
          <t>着手</t>
        </is>
      </c>
      <c r="P68" s="13" t="inlineStr">
        <is>
          <t>doc18 第5章5-7に保険料算定の様式と所得段階13段階の枠を作成。第9期の算定結果を参考掲載。基金残高と国ワークシート待ち。</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46267</v>
      </c>
      <c r="M69" s="14" t="n"/>
      <c r="N69" s="15" t="n">
        <v>0.55</v>
      </c>
      <c r="O69" s="16" t="inlineStr">
        <is>
          <t>着手</t>
        </is>
      </c>
      <c r="P69" s="13" t="inlineStr">
        <is>
          <t>★交付金の配点表・全国集計3か年の受領により、満点・全国平均・県平均・全国順位が判明（doc20）。目標値設定の前提が整った。取りこぼし32項目・配点122点を特定。国ワークシートに依存しない指標から先に確定できる。指標案8件は doc07§7。</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0.3</v>
      </c>
      <c r="O76" s="16" t="inlineStr">
        <is>
          <t>着手</t>
        </is>
      </c>
      <c r="P76" s="13" t="inlineStr">
        <is>
          <t>★第四次生涯学習推進計画（2018〜2027年度）を受領・確認（doc21）。第10期計画期間中に上位計画（第五次総合振興計画・R8年度満了）と生涯学習推進計画（R9年度満了）がともに切り替わることを特定。高齢者関連6施策を抽出し「地域で見守り・育む高齢者の支援」が生活支援体制整備事業と重複することを確認。第3次健康21・障がい福祉計画・地域福祉計画が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46265</v>
      </c>
      <c r="M77" s="14" t="n"/>
      <c r="N77" s="15" t="n">
        <v>0.3</v>
      </c>
      <c r="O77" s="16" t="inlineStr">
        <is>
          <t>確認中</t>
        </is>
      </c>
      <c r="P77" s="13" t="inlineStr">
        <is>
          <t>第9期は認知症・成年後見を基本目標4に内包する構成（概要版裏面で確認）。第10期の踏襲可否を要確認。</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通常30日間</t>
        </is>
      </c>
      <c r="I80" s="11" t="inlineStr">
        <is>
          <t>R8.12〜R9.1</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c r="I81" s="23" t="inlineStr">
        <is>
          <t>R9.1〜2</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調査結果報告・第9期評価・策定方針</t>
        </is>
      </c>
      <c r="I85" s="23" t="inlineStr">
        <is>
          <t>R8.11</t>
        </is>
      </c>
      <c r="J85" s="26" t="n"/>
      <c r="K85" s="26" t="n"/>
      <c r="L85" s="26" t="n"/>
      <c r="M85" s="26" t="n"/>
      <c r="N85" s="27" t="n">
        <v>0</v>
      </c>
      <c r="O85" s="23" t="inlineStr">
        <is>
          <t>未着手</t>
        </is>
      </c>
      <c r="P85" s="25" t="inlineStr"/>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c r="I86" s="18" t="inlineStr">
        <is>
          <t>R8.11</t>
        </is>
      </c>
      <c r="J86" s="21" t="n"/>
      <c r="K86" s="21" t="n"/>
      <c r="L86" s="21" t="n"/>
      <c r="M86" s="21" t="n"/>
      <c r="N86" s="22" t="n">
        <v>0</v>
      </c>
      <c r="O86" s="18" t="inlineStr">
        <is>
          <t>未着手</t>
        </is>
      </c>
      <c r="P86" s="20" t="inlineStr"/>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計画素案・見込量・保険料の考え方</t>
        </is>
      </c>
      <c r="I87" s="23" t="inlineStr">
        <is>
          <t>R8.12〜R9.1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R8.12〜R9.1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パブコメ結果の反映・計画原案・保険料の確定</t>
        </is>
      </c>
      <c r="I89" s="23" t="inlineStr">
        <is>
          <t>R9.2</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R9.2</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28"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t>
        </is>
      </c>
      <c r="H96" s="20" t="inlineStr">
        <is>
          <t>仕様書に記載なし。要否・費用・部数・体裁を要協議</t>
        </is>
      </c>
      <c r="I96" s="18" t="inlineStr">
        <is>
          <t>R9.2〜3</t>
        </is>
      </c>
      <c r="J96" s="21" t="n"/>
      <c r="K96" s="21" t="n"/>
      <c r="L96" s="21" t="n"/>
      <c r="M96" s="21" t="n"/>
      <c r="N96" s="22" t="n">
        <v>0</v>
      </c>
      <c r="O96" s="18" t="inlineStr">
        <is>
          <t>未着手</t>
        </is>
      </c>
      <c r="P96" s="20" t="inlineStr"/>
    </row>
    <row r="97" ht="30" customHeight="1">
      <c r="A97" s="23" t="inlineStr">
        <is>
          <t>Ⅳ-93</t>
        </is>
      </c>
      <c r="B97" s="24" t="inlineStr">
        <is>
          <t>Ⅳ 成果品・納品</t>
        </is>
      </c>
      <c r="C97" s="24" t="inlineStr">
        <is>
          <t>Ⅳ-2 納品</t>
        </is>
      </c>
      <c r="D97" s="25" t="inlineStr">
        <is>
          <t>納品・検収</t>
        </is>
      </c>
      <c r="E97" s="23" t="inlineStr">
        <is>
          <t>仕様書3</t>
        </is>
      </c>
      <c r="F97" s="23" t="inlineStr">
        <is>
          <t>双方</t>
        </is>
      </c>
      <c r="G97" s="25" t="inlineStr">
        <is>
          <t>検収書</t>
        </is>
      </c>
      <c r="H97" s="25" t="inlineStr">
        <is>
          <t>履行期限 令和9年3月31日</t>
        </is>
      </c>
      <c r="I97" s="23" t="inlineStr">
        <is>
          <t>R9.3</t>
        </is>
      </c>
      <c r="J97" s="26" t="n"/>
      <c r="K97" s="26" t="n"/>
      <c r="L97" s="26" t="n"/>
      <c r="M97" s="26" t="n"/>
      <c r="N97" s="27" t="n">
        <v>0</v>
      </c>
      <c r="O97" s="23" t="inlineStr">
        <is>
          <t>未着手</t>
        </is>
      </c>
      <c r="P97" s="25" t="inlineStr"/>
    </row>
    <row r="98" ht="30" customHeight="1">
      <c r="A98" s="11" t="inlineStr">
        <is>
          <t>Ⅴ-94</t>
        </is>
      </c>
      <c r="B98" s="17" t="inlineStr">
        <is>
          <t>Ⅴ 管理</t>
        </is>
      </c>
      <c r="C98" s="12" t="inlineStr">
        <is>
          <t>Ⅴ-1 情報管理</t>
        </is>
      </c>
      <c r="D98" s="13" t="inlineStr">
        <is>
          <t>個人情報の適正管理（アクセス制限・保管ルール）</t>
        </is>
      </c>
      <c r="E98" s="11" t="inlineStr">
        <is>
          <t>仕様書6(1)</t>
        </is>
      </c>
      <c r="F98" s="11" t="inlineStr">
        <is>
          <t>受託者</t>
        </is>
      </c>
      <c r="G98" s="13" t="inlineStr">
        <is>
          <t>管理記録</t>
        </is>
      </c>
      <c r="H98" s="13" t="inlineStr">
        <is>
          <t>契約終了後・解除後も同様</t>
        </is>
      </c>
      <c r="I98" s="11" t="inlineStr">
        <is>
          <t>通期</t>
        </is>
      </c>
      <c r="J98" s="14" t="n"/>
      <c r="K98" s="14" t="n"/>
      <c r="L98" s="14" t="n">
        <v>46259</v>
      </c>
      <c r="M98" s="14" t="n"/>
      <c r="N98" s="15" t="n">
        <v>0.6</v>
      </c>
      <c r="O98" s="16" t="inlineStr">
        <is>
          <t>着手</t>
        </is>
      </c>
      <c r="P98" s="13" t="inlineStr">
        <is>
          <t>doc16として管理ルールを文書化完了（10項目のチェックリスト付）。村との合意・従事者名簿・誓約書は未実施。</t>
        </is>
      </c>
    </row>
    <row r="99" ht="30" customHeight="1">
      <c r="A99" s="23" t="inlineStr">
        <is>
          <t>Ⅴ-95</t>
        </is>
      </c>
      <c r="B99" s="24" t="inlineStr">
        <is>
          <t>Ⅴ 管理</t>
        </is>
      </c>
      <c r="C99" s="24" t="inlineStr">
        <is>
          <t>Ⅴ-1 情報管理</t>
        </is>
      </c>
      <c r="D99" s="25" t="inlineStr">
        <is>
          <t>業務完了後の情報の返還・消去</t>
        </is>
      </c>
      <c r="E99" s="23" t="inlineStr">
        <is>
          <t>仕様書6(1)</t>
        </is>
      </c>
      <c r="F99" s="23" t="inlineStr">
        <is>
          <t>受託者</t>
        </is>
      </c>
      <c r="G99" s="25" t="inlineStr">
        <is>
          <t>消去証明</t>
        </is>
      </c>
      <c r="H99" s="25" t="inlineStr">
        <is>
          <t>村の指示に従う</t>
        </is>
      </c>
      <c r="I99" s="23" t="inlineStr">
        <is>
          <t>R9.3</t>
        </is>
      </c>
      <c r="J99" s="26" t="n"/>
      <c r="K99" s="26" t="n"/>
      <c r="L99" s="26" t="n"/>
      <c r="M99" s="26" t="n"/>
      <c r="N99" s="27" t="n">
        <v>0</v>
      </c>
      <c r="O99" s="23" t="inlineStr">
        <is>
          <t>未着手</t>
        </is>
      </c>
      <c r="P99" s="25" t="inlineStr"/>
    </row>
    <row r="100" ht="30" customHeight="1">
      <c r="A100" s="18" t="inlineStr">
        <is>
          <t>Ⅴ-96</t>
        </is>
      </c>
      <c r="B100" s="19" t="inlineStr">
        <is>
          <t>Ⅴ 管理</t>
        </is>
      </c>
      <c r="C100" s="19" t="inlineStr">
        <is>
          <t>Ⅴ-2 再委託</t>
        </is>
      </c>
      <c r="D100" s="20" t="inlineStr">
        <is>
          <t>再委託の書面承諾の取得</t>
        </is>
      </c>
      <c r="E100" s="18" t="inlineStr">
        <is>
          <t>仕様書6(2)</t>
        </is>
      </c>
      <c r="F100" s="18" t="inlineStr">
        <is>
          <t>双方</t>
        </is>
      </c>
      <c r="G100" s="20" t="inlineStr">
        <is>
          <t>承諾書</t>
        </is>
      </c>
      <c r="H100" s="20" t="inlineStr">
        <is>
          <t>印刷・データ入力・ウェブフォーム構築等を外注する場合</t>
        </is>
      </c>
      <c r="I100" s="18" t="inlineStr">
        <is>
          <t>随時</t>
        </is>
      </c>
      <c r="J100" s="21" t="n"/>
      <c r="K100" s="21" t="n"/>
      <c r="L100" s="21" t="n"/>
      <c r="M100" s="21" t="n"/>
      <c r="N100" s="22" t="n">
        <v>0</v>
      </c>
      <c r="O100" s="18" t="inlineStr">
        <is>
          <t>未着手</t>
        </is>
      </c>
      <c r="P100" s="20" t="inlineStr"/>
    </row>
    <row r="101" ht="30" customHeight="1">
      <c r="A101" s="11" t="inlineStr">
        <is>
          <t>Ⅴ-97</t>
        </is>
      </c>
      <c r="B101" s="12" t="inlineStr">
        <is>
          <t>Ⅴ 管理</t>
        </is>
      </c>
      <c r="C101" s="12" t="inlineStr">
        <is>
          <t>Ⅴ-3 進捗管理</t>
        </is>
      </c>
      <c r="D101" s="13" t="inlineStr">
        <is>
          <t>進捗管理・課題管理</t>
        </is>
      </c>
      <c r="E101" s="11" t="inlineStr">
        <is>
          <t>―</t>
        </is>
      </c>
      <c r="F101" s="11" t="inlineStr">
        <is>
          <t>受託者</t>
        </is>
      </c>
      <c r="G101" s="13" t="inlineStr">
        <is>
          <t>本進捗管理表</t>
        </is>
      </c>
      <c r="H101" s="13" t="inlineStr"/>
      <c r="I101" s="11" t="inlineStr">
        <is>
          <t>通期</t>
        </is>
      </c>
      <c r="J101" s="14" t="n"/>
      <c r="K101" s="14" t="n"/>
      <c r="L101" s="14" t="n">
        <v>46265</v>
      </c>
      <c r="M101" s="14" t="n"/>
      <c r="N101" s="15" t="n">
        <v>0.35</v>
      </c>
      <c r="O101" s="16" t="inlineStr">
        <is>
          <t>着手</t>
        </is>
      </c>
      <c r="P101" s="13" t="inlineStr">
        <is>
          <t>本表で管理。基準日 令和8年9月2日。村への確認事項71件（解決済6件）。</t>
        </is>
      </c>
    </row>
  </sheetData>
  <autoFilter ref="A4:P101"/>
  <mergeCells count="2">
    <mergeCell ref="A1:P1"/>
    <mergeCell ref="A2:P2"/>
  </mergeCells>
  <dataValidations count="2">
    <dataValidation sqref="O5:O101" showDropDown="0" showInputMessage="0" showErrorMessage="0" allowBlank="1" type="list">
      <formula1>"未着手,着手,確認中,完了,保留,対象外"</formula1>
    </dataValidation>
    <dataValidation sqref="F5:F10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優先度S＝キックオフ会議（令和8年9月1日）で決着が必要（9月9日の入稿・9月中旬の発送を守るため）／A＝令和8年9月中に確定が必要／B＝第1回策定委員会（11月）まで／C＝第2回以降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29" t="inlineStr">
        <is>
          <t>S</t>
        </is>
      </c>
      <c r="B5" s="30" t="inlineStr">
        <is>
          <t>スケジュール</t>
        </is>
      </c>
      <c r="C5" s="31" t="inlineStr">
        <is>
          <t>対象者抽出・宛名ラベル・配布用封筒の提供時期</t>
        </is>
      </c>
      <c r="D5" s="31" t="inlineStr">
        <is>
          <t>村作業が遅れると発送が連鎖的に遅れる。9/19〜23が5連休。</t>
        </is>
      </c>
      <c r="E5" s="32" t="inlineStr">
        <is>
          <t>Ⅰ-24,Ⅰ-25,Ⅰ-26</t>
        </is>
      </c>
      <c r="F5" s="32" t="inlineStr">
        <is>
          <t>doc01-4</t>
        </is>
      </c>
      <c r="G5" s="32" t="inlineStr">
        <is>
          <t>未依頼</t>
        </is>
      </c>
      <c r="H5" s="31" t="inlineStr"/>
    </row>
    <row r="6" ht="34" customHeight="1">
      <c r="A6" s="29" t="inlineStr">
        <is>
          <t>S</t>
        </is>
      </c>
      <c r="B6" s="30" t="inlineStr">
        <is>
          <t>スケジュール</t>
        </is>
      </c>
      <c r="C6" s="31" t="inlineStr">
        <is>
          <t>宛名ラベル・配布用封筒の提供期限の前倒し可否（9/14→9/11）</t>
        </is>
      </c>
      <c r="D6" s="31" t="inlineStr">
        <is>
          <t>★提供が1日遅れると発送が5連休に食い込む。村作業の遅延に対する余裕がない。</t>
        </is>
      </c>
      <c r="E6" s="32" t="inlineStr">
        <is>
          <t>Ⅰ-25,Ⅰ-26</t>
        </is>
      </c>
      <c r="F6" s="32" t="inlineStr">
        <is>
          <t>doc19 指-2</t>
        </is>
      </c>
      <c r="G6" s="32" t="inlineStr">
        <is>
          <t>未依頼</t>
        </is>
      </c>
      <c r="H6" s="31" t="inlineStr"/>
    </row>
    <row r="7" ht="34" customHeight="1">
      <c r="A7" s="29" t="inlineStr">
        <is>
          <t>S</t>
        </is>
      </c>
      <c r="B7" s="30" t="inlineStr">
        <is>
          <t>調査設計</t>
        </is>
      </c>
      <c r="C7" s="31" t="inlineStr">
        <is>
          <t>在宅介護実態調査の手法（手法Ⅲか、手法Ⅳ〈新版 在宅生活改善調査〉を加えるか）</t>
        </is>
      </c>
      <c r="D7" s="31" t="inlineStr">
        <is>
          <t>調査票の設計・印刷頁数・集計方法がすべて決まる。第10期の新設手法。</t>
        </is>
      </c>
      <c r="E7" s="32" t="inlineStr">
        <is>
          <t>Ⅰ-07,Ⅰ-10</t>
        </is>
      </c>
      <c r="F7" s="32" t="inlineStr">
        <is>
          <t>doc03/doc05</t>
        </is>
      </c>
      <c r="G7" s="32" t="inlineStr">
        <is>
          <t>未依頼</t>
        </is>
      </c>
      <c r="H7" s="31" t="inlineStr"/>
    </row>
    <row r="8" ht="34" customHeight="1">
      <c r="A8" s="29" t="inlineStr">
        <is>
          <t>S</t>
        </is>
      </c>
      <c r="B8" s="30" t="inlineStr">
        <is>
          <t>調査設計</t>
        </is>
      </c>
      <c r="C8" s="31" t="inlineStr">
        <is>
          <t>ニーズ調査 約850人の抽出基準（要支援認定者を含むか／第9期との対比）</t>
        </is>
      </c>
      <c r="D8" s="31" t="inlineStr">
        <is>
          <t>対象者数が確定しないと印刷部数・郵送費が固まらない。</t>
        </is>
      </c>
      <c r="E8" s="32" t="inlineStr">
        <is>
          <t>Ⅰ-08,Ⅰ-24</t>
        </is>
      </c>
      <c r="F8" s="32" t="inlineStr">
        <is>
          <t>doc01-2,3</t>
        </is>
      </c>
      <c r="G8" s="32" t="inlineStr">
        <is>
          <t>未依頼</t>
        </is>
      </c>
      <c r="H8" s="31" t="inlineStr"/>
    </row>
    <row r="9" ht="34" customHeight="1">
      <c r="A9" s="29" t="inlineStr">
        <is>
          <t>S</t>
        </is>
      </c>
      <c r="B9" s="30" t="inlineStr">
        <is>
          <t>調査設計</t>
        </is>
      </c>
      <c r="C9" s="31" t="inlineStr">
        <is>
          <t>在宅介護実態調査 約150人の抽出基準（要支援を含むか／施設入所者の除外方法）</t>
        </is>
      </c>
      <c r="D9" s="31" t="inlineStr">
        <is>
          <t>同上。手法Ⅲの対象定義に直結。</t>
        </is>
      </c>
      <c r="E9" s="32" t="inlineStr">
        <is>
          <t>Ⅰ-08,Ⅰ-24</t>
        </is>
      </c>
      <c r="F9" s="32" t="inlineStr">
        <is>
          <t>doc01-2</t>
        </is>
      </c>
      <c r="G9" s="32" t="inlineStr">
        <is>
          <t>未依頼</t>
        </is>
      </c>
      <c r="H9" s="31" t="inlineStr"/>
    </row>
    <row r="10" ht="34" customHeight="1">
      <c r="A10" s="29" t="inlineStr">
        <is>
          <t>S</t>
        </is>
      </c>
      <c r="B10" s="30" t="inlineStr">
        <is>
          <t>調査設計</t>
        </is>
      </c>
      <c r="C10" s="31" t="inlineStr">
        <is>
          <t>オプション項目の採否（「問6 就労について」ほか）</t>
        </is>
      </c>
      <c r="D10" s="31" t="inlineStr">
        <is>
          <t>令和7年8月版で就労はオプションと確定。採否で頁数が変わる。</t>
        </is>
      </c>
      <c r="E10" s="32" t="inlineStr">
        <is>
          <t>Ⅰ-12</t>
        </is>
      </c>
      <c r="F10" s="32" t="inlineStr">
        <is>
          <t>doc05</t>
        </is>
      </c>
      <c r="G10" s="32" t="inlineStr">
        <is>
          <t>未依頼</t>
        </is>
      </c>
      <c r="H10" s="31" t="inlineStr"/>
    </row>
    <row r="11" ht="34" customHeight="1">
      <c r="A11" s="29" t="inlineStr">
        <is>
          <t>S</t>
        </is>
      </c>
      <c r="B11" s="30" t="inlineStr">
        <is>
          <t>調査設計</t>
        </is>
      </c>
      <c r="C11" s="31" t="inlineStr">
        <is>
          <t>村独自設問の採否（除雪・在宅医療・成年後見・歯科受診・服薬ほか）</t>
        </is>
      </c>
      <c r="D11" s="31" t="inlineStr">
        <is>
          <t>第9期との時系列比較を優先するか、新規論点を入れるかの判断。</t>
        </is>
      </c>
      <c r="E11" s="32" t="inlineStr">
        <is>
          <t>Ⅰ-13</t>
        </is>
      </c>
      <c r="F11" s="32" t="inlineStr">
        <is>
          <t>doc03</t>
        </is>
      </c>
      <c r="G11" s="32" t="inlineStr">
        <is>
          <t>未依頼</t>
        </is>
      </c>
      <c r="H11" s="31" t="inlineStr"/>
    </row>
    <row r="12" ht="34" customHeight="1">
      <c r="A12" s="29" t="inlineStr">
        <is>
          <t>S</t>
        </is>
      </c>
      <c r="B12" s="30" t="inlineStr">
        <is>
          <t>調査設計</t>
        </is>
      </c>
      <c r="C12" s="31" t="inlineStr">
        <is>
          <t>被保険者番号と照合可能な管理番号の形式（村のラベル作成仕様と一体）</t>
        </is>
      </c>
      <c r="D12" s="31" t="inlineStr">
        <is>
          <t>第10期の新規要件。ラベル発注前に確定が必要。</t>
        </is>
      </c>
      <c r="E12" s="32" t="inlineStr">
        <is>
          <t>Ⅰ-19,Ⅰ-25</t>
        </is>
      </c>
      <c r="F12" s="32" t="inlineStr">
        <is>
          <t>doc01</t>
        </is>
      </c>
      <c r="G12" s="32" t="inlineStr">
        <is>
          <t>未依頼</t>
        </is>
      </c>
      <c r="H12" s="31" t="inlineStr"/>
    </row>
    <row r="13" ht="34" customHeight="1">
      <c r="A13" s="29" t="inlineStr">
        <is>
          <t>S</t>
        </is>
      </c>
      <c r="B13" s="30" t="inlineStr">
        <is>
          <t>調査設計</t>
        </is>
      </c>
      <c r="C13" s="31" t="inlineStr">
        <is>
          <t>ウェブ回答フォームの仕様（回答期限・村HP掲載の有無・二次元コード印字位置）</t>
        </is>
      </c>
      <c r="D13" s="31" t="inlineStr">
        <is>
          <t>入稿データ作成の前提。</t>
        </is>
      </c>
      <c r="E13" s="32" t="inlineStr">
        <is>
          <t>Ⅰ-16,Ⅰ-17</t>
        </is>
      </c>
      <c r="F13" s="32" t="inlineStr">
        <is>
          <t>doc01-8</t>
        </is>
      </c>
      <c r="G13" s="32" t="inlineStr">
        <is>
          <t>未依頼</t>
        </is>
      </c>
      <c r="H13" s="31" t="inlineStr"/>
    </row>
    <row r="14" ht="34" customHeight="1">
      <c r="A14" s="29" t="inlineStr">
        <is>
          <t>S</t>
        </is>
      </c>
      <c r="B14" s="30" t="inlineStr">
        <is>
          <t>調査設計</t>
        </is>
      </c>
      <c r="C14" s="31" t="inlineStr">
        <is>
          <t>★調査の基準日（ニーズ調査・在宅介護実態調査）</t>
        </is>
      </c>
      <c r="D14" s="31" t="inlineStr">
        <is>
          <t>資料が空欄。基準日が決まらないと村が対象者を抽出できない。第9期は令和5年8月1日基準。</t>
        </is>
      </c>
      <c r="E14" s="32" t="inlineStr">
        <is>
          <t>Ⅰ-08,Ⅰ-24</t>
        </is>
      </c>
      <c r="F14" s="32" t="inlineStr">
        <is>
          <t>doc19 追-1</t>
        </is>
      </c>
      <c r="G14" s="32" t="inlineStr">
        <is>
          <t>未依頼</t>
        </is>
      </c>
      <c r="H14" s="31" t="inlineStr"/>
    </row>
    <row r="15" ht="34" customHeight="1">
      <c r="A15" s="29" t="inlineStr">
        <is>
          <t>S</t>
        </is>
      </c>
      <c r="B15" s="30" t="inlineStr">
        <is>
          <t>調査設計</t>
        </is>
      </c>
      <c r="C15" s="31" t="inlineStr">
        <is>
          <t>★発送日の確定（9/17前倒し／9/18のまま／9/24後ろ倒し）と回収期限</t>
        </is>
      </c>
      <c r="D15" s="31" t="inlineStr">
        <is>
          <t>★9/18は金曜で翌日から9/19〜23の5連休。配達が連休明けにずれる可能性。以降の全工程を左右する。</t>
        </is>
      </c>
      <c r="E15" s="32" t="inlineStr">
        <is>
          <t>Ⅰ-29,Ⅰ-32</t>
        </is>
      </c>
      <c r="F15" s="32" t="inlineStr">
        <is>
          <t>doc19 指-1</t>
        </is>
      </c>
      <c r="G15" s="32" t="inlineStr">
        <is>
          <t>未依頼</t>
        </is>
      </c>
      <c r="H15" s="31" t="inlineStr"/>
    </row>
    <row r="16" ht="34" customHeight="1">
      <c r="A16" s="29" t="inlineStr">
        <is>
          <t>S</t>
        </is>
      </c>
      <c r="B16" s="30" t="inlineStr">
        <is>
          <t>調査設計</t>
        </is>
      </c>
      <c r="C16" s="31" t="inlineStr">
        <is>
          <t>★ウェブ回答フォームにGoogleフォームを用いることの可否</t>
        </is>
      </c>
      <c r="D16" s="31"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2" t="inlineStr">
        <is>
          <t>Ⅰ-16,Ⅰ-18</t>
        </is>
      </c>
      <c r="F16" s="32" t="inlineStr">
        <is>
          <t>doc19 追-3</t>
        </is>
      </c>
      <c r="G16" s="32" t="inlineStr">
        <is>
          <t>未依頼</t>
        </is>
      </c>
      <c r="H16" s="31" t="inlineStr"/>
    </row>
    <row r="17" ht="34" customHeight="1">
      <c r="A17" s="29" t="inlineStr">
        <is>
          <t>S</t>
        </is>
      </c>
      <c r="B17" s="30" t="inlineStr">
        <is>
          <t>調査設計</t>
        </is>
      </c>
      <c r="C17" s="31" t="inlineStr">
        <is>
          <t>調査票の印刷頁数の調整方針（仕様書はニーズ約12頁／在宅約8頁）</t>
        </is>
      </c>
      <c r="D17" s="31" t="inlineStr">
        <is>
          <t>現在の調査票案は設問数が多く、レイアウト調整か設問の絞り込みが必要になる可能性。オプション項目の採否と一体。</t>
        </is>
      </c>
      <c r="E17" s="32" t="inlineStr">
        <is>
          <t>Ⅰ-20,Ⅰ-21</t>
        </is>
      </c>
      <c r="F17" s="32" t="inlineStr">
        <is>
          <t>doc19 S-5</t>
        </is>
      </c>
      <c r="G17" s="32" t="inlineStr">
        <is>
          <t>未依頼</t>
        </is>
      </c>
      <c r="H17" s="31" t="inlineStr"/>
    </row>
    <row r="18" ht="34" customHeight="1">
      <c r="A18" s="29" t="inlineStr">
        <is>
          <t>S</t>
        </is>
      </c>
      <c r="B18" s="30" t="inlineStr">
        <is>
          <t>調査設計</t>
        </is>
      </c>
      <c r="C18" s="31" t="inlineStr">
        <is>
          <t>依頼状の差出人名義（村名義／村長名）</t>
        </is>
      </c>
      <c r="D18" s="31" t="inlineStr">
        <is>
          <t>障がい福祉計画は村名義。回収率に影響し得るため村長名を推奨するが村の慣行による。</t>
        </is>
      </c>
      <c r="E18" s="32" t="inlineStr">
        <is>
          <t>Ⅰ-14</t>
        </is>
      </c>
      <c r="F18" s="32" t="inlineStr">
        <is>
          <t>doc19 追-4</t>
        </is>
      </c>
      <c r="G18" s="32" t="inlineStr">
        <is>
          <t>未依頼</t>
        </is>
      </c>
      <c r="H18" s="31" t="inlineStr"/>
    </row>
    <row r="19" ht="34" customHeight="1">
      <c r="A19" s="29" t="inlineStr">
        <is>
          <t>S</t>
        </is>
      </c>
      <c r="B19" s="30" t="inlineStr">
        <is>
          <t>調査設計</t>
        </is>
      </c>
      <c r="C19" s="31" t="inlineStr">
        <is>
          <t>調査票の印刷部数（予備を何部見込むか）</t>
        </is>
      </c>
      <c r="D19" s="31" t="inlineStr">
        <is>
          <t>約1,000部＋予備。発送後の追加印刷は工程上困難。</t>
        </is>
      </c>
      <c r="E19" s="32" t="inlineStr">
        <is>
          <t>Ⅰ-21,Ⅰ-22</t>
        </is>
      </c>
      <c r="F19" s="32" t="inlineStr">
        <is>
          <t>doc19 追-5</t>
        </is>
      </c>
      <c r="G19" s="32" t="inlineStr">
        <is>
          <t>未依頼</t>
        </is>
      </c>
      <c r="H19" s="31" t="inlineStr"/>
    </row>
    <row r="20" ht="34" customHeight="1">
      <c r="A20" s="29" t="inlineStr">
        <is>
          <t>S</t>
        </is>
      </c>
      <c r="B20" s="30" t="inlineStr">
        <is>
          <t>調査設計</t>
        </is>
      </c>
      <c r="C20" s="31" t="inlineStr">
        <is>
          <t>在宅介護実態調査 問8・問9の基準月</t>
        </is>
      </c>
      <c r="D20" s="31" t="inlineStr">
        <is>
          <t>発送月の前月が通常。発送日の確定とセット。</t>
        </is>
      </c>
      <c r="E20" s="32" t="inlineStr">
        <is>
          <t>Ⅰ-10</t>
        </is>
      </c>
      <c r="F20" s="32" t="inlineStr">
        <is>
          <t>doc19 追-2</t>
        </is>
      </c>
      <c r="G20" s="32" t="inlineStr">
        <is>
          <t>未依頼</t>
        </is>
      </c>
      <c r="H20" s="31" t="inlineStr"/>
    </row>
    <row r="21" ht="34" customHeight="1">
      <c r="A21" s="33" t="inlineStr">
        <is>
          <t>A</t>
        </is>
      </c>
      <c r="B21" s="30" t="inlineStr">
        <is>
          <t>データ</t>
        </is>
      </c>
      <c r="C21" s="31" t="inlineStr">
        <is>
          <t>★給付費適正化「主要3事業の全て実施」が令和7年度6点→令和8年度0点に低下した理由</t>
        </is>
      </c>
      <c r="D21" s="31" t="inlineStr">
        <is>
          <t>★全国該当率96.9%の指標。縦覧点検は4帳票満点のため、①要介護認定の適正化 か ②ケアプラン等の点検 のいずれかが実施されなくなった可能性。取組の後退か調査票の記載漏れかで対応が変わる。</t>
        </is>
      </c>
      <c r="E21" s="32" t="inlineStr">
        <is>
          <t>Ⅱ-65</t>
        </is>
      </c>
      <c r="F21" s="32" t="inlineStr">
        <is>
          <t>doc20§8-2 K-61</t>
        </is>
      </c>
      <c r="G21" s="32" t="inlineStr">
        <is>
          <t>未依頼</t>
        </is>
      </c>
      <c r="H21" s="31" t="inlineStr"/>
    </row>
    <row r="22" ht="34" customHeight="1">
      <c r="A22" s="33" t="inlineStr">
        <is>
          <t>A</t>
        </is>
      </c>
      <c r="B22" s="30" t="inlineStr">
        <is>
          <t>データ</t>
        </is>
      </c>
      <c r="C22" s="31" t="inlineStr">
        <is>
          <t>★福祉用具購入費・住宅改修費へのリハビリ専門職の関与（配点8点）が令和7年度8点→令和8年度0点に低下した理由</t>
        </is>
      </c>
      <c r="D22" s="31" t="inlineStr">
        <is>
          <t>★アと合わせ14点が1年で失われている。仕組みが失われたのか調査票の記載によるものかを確認。</t>
        </is>
      </c>
      <c r="E22" s="32" t="inlineStr">
        <is>
          <t>Ⅱ-65</t>
        </is>
      </c>
      <c r="F22" s="32" t="inlineStr">
        <is>
          <t>doc20§8-2 K-61b</t>
        </is>
      </c>
      <c r="G22" s="32" t="inlineStr">
        <is>
          <t>未依頼</t>
        </is>
      </c>
      <c r="H22" s="31" t="inlineStr"/>
    </row>
    <row r="23" ht="34" customHeight="1">
      <c r="A23" s="33" t="inlineStr">
        <is>
          <t>A</t>
        </is>
      </c>
      <c r="B23" s="30" t="inlineStr">
        <is>
          <t>データ</t>
        </is>
      </c>
      <c r="C23" s="31" t="inlineStr">
        <is>
          <t>認知症サポーター養成数・認知症地域支援推進員の配置と活動内容・チームオレンジの整備予定</t>
        </is>
      </c>
      <c r="D23" s="31" t="inlineStr">
        <is>
          <t>★支援交付金目標Ⅱ（認知症総合支援）は32/100点で全国平均51.1点を19点下回る唯一の目標。3か年で唯一低下局面があった。</t>
        </is>
      </c>
      <c r="E23" s="32" t="inlineStr">
        <is>
          <t>Ⅱ-68</t>
        </is>
      </c>
      <c r="F23" s="32" t="inlineStr">
        <is>
          <t>doc20§6-2 K-62</t>
        </is>
      </c>
      <c r="G23" s="32" t="inlineStr">
        <is>
          <t>未依頼</t>
        </is>
      </c>
      <c r="H23" s="31" t="inlineStr"/>
    </row>
    <row r="24" ht="34" customHeight="1">
      <c r="A24" s="33" t="inlineStr">
        <is>
          <t>A</t>
        </is>
      </c>
      <c r="B24" s="30" t="inlineStr">
        <is>
          <t>データ</t>
        </is>
      </c>
      <c r="C24" s="31" t="inlineStr">
        <is>
          <t>難聴高齢者の早期発見・早期介入の取組（健診での聴力チェック等）の有無</t>
        </is>
      </c>
      <c r="D24" s="31" t="inlineStr">
        <is>
          <t>令和8年度評価で配点10点が0点（全国該当率48.8〜68.9%）。保健事業との連携で取得可能。</t>
        </is>
      </c>
      <c r="E24" s="32" t="inlineStr">
        <is>
          <t>Ⅱ-68</t>
        </is>
      </c>
      <c r="F24" s="32" t="inlineStr">
        <is>
          <t>doc20§6-2 K-63</t>
        </is>
      </c>
      <c r="G24" s="32" t="inlineStr">
        <is>
          <t>未依頼</t>
        </is>
      </c>
      <c r="H24" s="31" t="inlineStr"/>
    </row>
    <row r="25" ht="34" customHeight="1">
      <c r="A25" s="33" t="inlineStr">
        <is>
          <t>A</t>
        </is>
      </c>
      <c r="B25" s="30" t="inlineStr">
        <is>
          <t>データ</t>
        </is>
      </c>
      <c r="C25" s="31" t="inlineStr">
        <is>
          <t>在宅医療・介護連携推進事業の実施体制（村単独か会津圏域か）と課題・対応策の検討の場</t>
        </is>
      </c>
      <c r="D25" s="31" t="inlineStr">
        <is>
          <t>支援交付金目標Ⅲの「課題・対応策の検討」ア・エが0点（配点計10点、全国該当率57〜72%）。</t>
        </is>
      </c>
      <c r="E25" s="32" t="inlineStr">
        <is>
          <t>Ⅱ-54</t>
        </is>
      </c>
      <c r="F25" s="32" t="inlineStr">
        <is>
          <t>doc20§6-2 K-64</t>
        </is>
      </c>
      <c r="G25" s="32" t="inlineStr">
        <is>
          <t>未依頼</t>
        </is>
      </c>
      <c r="H25" s="31" t="inlineStr"/>
    </row>
    <row r="26" ht="34" customHeight="1">
      <c r="A26" s="33" t="inlineStr">
        <is>
          <t>A</t>
        </is>
      </c>
      <c r="B26" s="30" t="inlineStr">
        <is>
          <t>体制</t>
        </is>
      </c>
      <c r="C26" s="31" t="inlineStr">
        <is>
          <t>所管課・窓口の確認（住民課→保健福祉課の変更の有無、担当者体制）</t>
        </is>
      </c>
      <c r="D26" s="31" t="inlineStr">
        <is>
          <t>連絡体制表の確定。第9期概要版の発行は住民課。</t>
        </is>
      </c>
      <c r="E26" s="32" t="inlineStr">
        <is>
          <t>０-04</t>
        </is>
      </c>
      <c r="F26" s="32" t="inlineStr">
        <is>
          <t>doc01-1</t>
        </is>
      </c>
      <c r="G26" s="32" t="inlineStr">
        <is>
          <t>未依頼</t>
        </is>
      </c>
      <c r="H26" s="31" t="inlineStr"/>
    </row>
    <row r="27" ht="34" customHeight="1">
      <c r="A27" s="33" t="inlineStr">
        <is>
          <t>A</t>
        </is>
      </c>
      <c r="B27" s="30" t="inlineStr">
        <is>
          <t>体制</t>
        </is>
      </c>
      <c r="C27" s="31" t="inlineStr">
        <is>
          <t>契約締結日・契約書の取り交わし状況</t>
        </is>
      </c>
      <c r="D27" s="31" t="inlineStr">
        <is>
          <t>業務開始日の確定。</t>
        </is>
      </c>
      <c r="E27" s="32" t="inlineStr">
        <is>
          <t>０-02</t>
        </is>
      </c>
      <c r="F27" s="32" t="inlineStr">
        <is>
          <t>―</t>
        </is>
      </c>
      <c r="G27" s="32" t="inlineStr">
        <is>
          <t>未依頼</t>
        </is>
      </c>
      <c r="H27" s="31" t="inlineStr"/>
    </row>
    <row r="28" ht="34" customHeight="1">
      <c r="A28" s="33" t="inlineStr">
        <is>
          <t>A</t>
        </is>
      </c>
      <c r="B28" s="30" t="inlineStr">
        <is>
          <t>体制</t>
        </is>
      </c>
      <c r="C28" s="31" t="inlineStr">
        <is>
          <t>★見える化システムのアカウント（障がい福祉計画分の継続利用可否）と秘密保持契約の要否</t>
        </is>
      </c>
      <c r="D28" s="31" t="inlineStr">
        <is>
          <t>★すでに19,591レコードを受領して分析に着手している。遡って手続きが必要な場合はその整理も要する。</t>
        </is>
      </c>
      <c r="E28" s="32" t="inlineStr">
        <is>
          <t>０-06</t>
        </is>
      </c>
      <c r="F28" s="32" t="inlineStr">
        <is>
          <t>doc19 追-12</t>
        </is>
      </c>
      <c r="G28" s="32" t="inlineStr">
        <is>
          <t>未依頼</t>
        </is>
      </c>
      <c r="H28" s="31" t="inlineStr"/>
    </row>
    <row r="29" ht="34" customHeight="1">
      <c r="A29" s="33" t="inlineStr">
        <is>
          <t>A</t>
        </is>
      </c>
      <c r="B29" s="30" t="inlineStr">
        <is>
          <t>委員会</t>
        </is>
      </c>
      <c r="C29" s="31" t="inlineStr">
        <is>
          <t>策定委員会の委員改選手続きの所要期間と第1回開催希望時期・開催形式</t>
        </is>
      </c>
      <c r="D29" s="31" t="inlineStr">
        <is>
          <t>★現委員の任期は令和8年9月30日満了。第1回を11月に開くには10月中の委嘱が必要。</t>
        </is>
      </c>
      <c r="E29" s="32" t="inlineStr">
        <is>
          <t>Ⅱ-80,Ⅱ-81</t>
        </is>
      </c>
      <c r="F29" s="32" t="inlineStr">
        <is>
          <t>doc01-6,doc19 追-15</t>
        </is>
      </c>
      <c r="G29" s="32" t="inlineStr">
        <is>
          <t>未依頼</t>
        </is>
      </c>
      <c r="H29" s="31" t="inlineStr"/>
    </row>
    <row r="30" ht="34" customHeight="1">
      <c r="A30" s="33" t="inlineStr">
        <is>
          <t>A</t>
        </is>
      </c>
      <c r="B30" s="30" t="inlineStr">
        <is>
          <t>成果品</t>
        </is>
      </c>
      <c r="C30" s="31" t="inlineStr">
        <is>
          <t>パブリックコメント（30日間）の実施時期・実施主体と庁内手続き日程</t>
        </is>
      </c>
      <c r="D30" s="31" t="inlineStr">
        <is>
          <t>★30日間必要。第2回策定委員会が1月にずれると第3回（2月）までに終わらず工程が破綻する。年末年始も挟む。</t>
        </is>
      </c>
      <c r="E30" s="32" t="inlineStr">
        <is>
          <t>Ⅱ-76,Ⅱ-77</t>
        </is>
      </c>
      <c r="F30" s="32" t="inlineStr">
        <is>
          <t>doc01-7,doc19 指-3</t>
        </is>
      </c>
      <c r="G30" s="32" t="inlineStr">
        <is>
          <t>未依頼</t>
        </is>
      </c>
      <c r="H30" s="31" t="inlineStr"/>
    </row>
    <row r="31" ht="34" customHeight="1">
      <c r="A31" s="33" t="inlineStr">
        <is>
          <t>A</t>
        </is>
      </c>
      <c r="B31" s="30" t="inlineStr">
        <is>
          <t>方針</t>
        </is>
      </c>
      <c r="C31" s="31" t="inlineStr">
        <is>
          <t>目標Ⅳ（成果指標群）が令和8年度に25点低下した要因の心当たり</t>
        </is>
      </c>
      <c r="D31" s="31" t="inlineStr">
        <is>
          <t>★成果指標群は村の申告でなくKDB等の統計から自動算定。65→70→45点と低下し、両交付金で計50点の減。要介護度の維持・改善の実績悪化を示唆。</t>
        </is>
      </c>
      <c r="E31" s="32" t="inlineStr">
        <is>
          <t>Ⅱ-65</t>
        </is>
      </c>
      <c r="F31" s="32" t="inlineStr">
        <is>
          <t>doc20§6-2 K-66</t>
        </is>
      </c>
      <c r="G31" s="32" t="inlineStr">
        <is>
          <t>未依頼</t>
        </is>
      </c>
      <c r="H31" s="31" t="inlineStr"/>
    </row>
    <row r="32" ht="34" customHeight="1">
      <c r="A32" s="33" t="inlineStr">
        <is>
          <t>A</t>
        </is>
      </c>
      <c r="B32" s="30" t="inlineStr">
        <is>
          <t>計画構成</t>
        </is>
      </c>
      <c r="C32" s="31" t="inlineStr">
        <is>
          <t>第五次生涯学習推進計画（2028年度〜）の策定予定時期</t>
        </is>
      </c>
      <c r="D32" s="31" t="inlineStr">
        <is>
          <t>★第四次は令和9年度で満了。第10期計画期間（令和9〜11年度）の途中で関連計画が切り替わるため記述の書き分けが必要。</t>
        </is>
      </c>
      <c r="E32" s="32" t="inlineStr">
        <is>
          <t>Ⅱ-72</t>
        </is>
      </c>
      <c r="F32" s="32" t="inlineStr">
        <is>
          <t>doc21§5 K-69</t>
        </is>
      </c>
      <c r="G32" s="32" t="inlineStr">
        <is>
          <t>未依頼</t>
        </is>
      </c>
      <c r="H32" s="31" t="inlineStr"/>
    </row>
    <row r="33" ht="34" customHeight="1">
      <c r="A33" s="33" t="inlineStr">
        <is>
          <t>A</t>
        </is>
      </c>
      <c r="B33" s="30" t="inlineStr">
        <is>
          <t>計画構成</t>
        </is>
      </c>
      <c r="C33" s="31" t="inlineStr">
        <is>
          <t>第六次総合振興計画（2027年度〜）の策定状況</t>
        </is>
      </c>
      <c r="D33" s="31" t="inlineStr">
        <is>
          <t>★第五次は令和8年度で満了。第10期計画の上位計画の記述に必要（doc08§8-4と共通）。</t>
        </is>
      </c>
      <c r="E33" s="32" t="inlineStr">
        <is>
          <t>Ⅱ-72</t>
        </is>
      </c>
      <c r="F33" s="32" t="inlineStr">
        <is>
          <t>doc21§5 K-70</t>
        </is>
      </c>
      <c r="G33" s="32" t="inlineStr">
        <is>
          <t>未依頼</t>
        </is>
      </c>
      <c r="H33" s="31" t="inlineStr"/>
    </row>
    <row r="34" ht="34" customHeight="1">
      <c r="A34" s="34" t="inlineStr">
        <is>
          <t>B</t>
        </is>
      </c>
      <c r="B34" s="24" t="inlineStr">
        <is>
          <t>データ</t>
        </is>
      </c>
      <c r="C34" s="25" t="inlineStr">
        <is>
          <t>介護給付費準備基金の現在高（令和6年度末実績・令和7年度末見込）</t>
        </is>
      </c>
      <c r="D34" s="25" t="inlineStr">
        <is>
          <t>保険料算定の前提。決算でR4年度1,700万円・R5年度810万円の積立を確認済。</t>
        </is>
      </c>
      <c r="E34" s="23" t="inlineStr">
        <is>
          <t>Ⅱ-63,Ⅱ-64</t>
        </is>
      </c>
      <c r="F34" s="23" t="inlineStr">
        <is>
          <t>doc02§22,doc08§8</t>
        </is>
      </c>
      <c r="G34" s="23" t="inlineStr">
        <is>
          <t>未依頼</t>
        </is>
      </c>
      <c r="H34" s="25" t="inlineStr"/>
    </row>
    <row r="35" ht="34" customHeight="1">
      <c r="A35" s="34" t="inlineStr">
        <is>
          <t>B</t>
        </is>
      </c>
      <c r="B35" s="24" t="inlineStr">
        <is>
          <t>データ</t>
        </is>
      </c>
      <c r="C35" s="25" t="inlineStr">
        <is>
          <t>令和6年度決算および令和7年度の給付費見込</t>
        </is>
      </c>
      <c r="D35" s="25" t="inlineStr">
        <is>
          <t>第9期の計画値と実績の乖離を確定させるために必要。</t>
        </is>
      </c>
      <c r="E35" s="23" t="inlineStr">
        <is>
          <t>Ⅱ-55,Ⅱ-56</t>
        </is>
      </c>
      <c r="F35" s="23" t="inlineStr">
        <is>
          <t>doc08§8-1</t>
        </is>
      </c>
      <c r="G35" s="23" t="inlineStr">
        <is>
          <t>未依頼</t>
        </is>
      </c>
      <c r="H35" s="25" t="inlineStr"/>
    </row>
    <row r="36" ht="34" customHeight="1">
      <c r="A36" s="34" t="inlineStr">
        <is>
          <t>B</t>
        </is>
      </c>
      <c r="B36" s="24" t="inlineStr">
        <is>
          <t>データ</t>
        </is>
      </c>
      <c r="C36" s="25" t="inlineStr">
        <is>
          <t>通いの場の実数（令和3〜7年度）</t>
        </is>
      </c>
      <c r="D36" s="25" t="inlineStr">
        <is>
          <t>見える化は令和2年度で更新停止。かつH25・H29・R2は未報告とみられる。活動指標の基準値に必須。</t>
        </is>
      </c>
      <c r="E36" s="23" t="inlineStr">
        <is>
          <t>Ⅱ-65</t>
        </is>
      </c>
      <c r="F36" s="23" t="inlineStr">
        <is>
          <t>doc02§16,§22</t>
        </is>
      </c>
      <c r="G36" s="23" t="inlineStr">
        <is>
          <t>未依頼</t>
        </is>
      </c>
      <c r="H36" s="25" t="inlineStr"/>
    </row>
    <row r="37" ht="34" customHeight="1">
      <c r="A37" s="34" t="inlineStr">
        <is>
          <t>B</t>
        </is>
      </c>
      <c r="B37" s="24" t="inlineStr">
        <is>
          <t>データ</t>
        </is>
      </c>
      <c r="C37" s="25" t="inlineStr">
        <is>
          <t>成年後見制度（市民後見人養成含む）の利用実態・実績</t>
        </is>
      </c>
      <c r="D37" s="25" t="inlineStr">
        <is>
          <t>見える化に該当データがない。第9期は基本目標4-4に位置づけ。</t>
        </is>
      </c>
      <c r="E37" s="23" t="inlineStr">
        <is>
          <t>Ⅱ-68,Ⅱ-69</t>
        </is>
      </c>
      <c r="F37" s="23" t="inlineStr">
        <is>
          <t>doc08§8-5</t>
        </is>
      </c>
      <c r="G37" s="23" t="inlineStr">
        <is>
          <t>未依頼</t>
        </is>
      </c>
      <c r="H37" s="25" t="inlineStr"/>
    </row>
    <row r="38" ht="34" customHeight="1">
      <c r="A38" s="34" t="inlineStr">
        <is>
          <t>B</t>
        </is>
      </c>
      <c r="B38" s="24" t="inlineStr">
        <is>
          <t>データ</t>
        </is>
      </c>
      <c r="C38" s="25" t="inlineStr">
        <is>
          <t>高齢者福祉事業（村単独事業）の実績資料</t>
        </is>
      </c>
      <c r="D38" s="25" t="inlineStr">
        <is>
          <t>現行計画の評価に必要。</t>
        </is>
      </c>
      <c r="E38" s="23" t="inlineStr">
        <is>
          <t>Ⅱ-53,Ⅱ-54</t>
        </is>
      </c>
      <c r="F38" s="23" t="inlineStr">
        <is>
          <t>doc01-11</t>
        </is>
      </c>
      <c r="G38" s="23" t="inlineStr">
        <is>
          <t>未依頼</t>
        </is>
      </c>
      <c r="H38" s="25" t="inlineStr"/>
    </row>
    <row r="39" ht="34" customHeight="1">
      <c r="A39" s="34" t="inlineStr">
        <is>
          <t>B</t>
        </is>
      </c>
      <c r="B39" s="24" t="inlineStr">
        <is>
          <t>データ</t>
        </is>
      </c>
      <c r="C39" s="25" t="inlineStr">
        <is>
          <t>人口データの出所の統一（住基／国勢調査／福島県現住人口調査）</t>
        </is>
      </c>
      <c r="D39" s="25" t="inlineStr">
        <is>
          <t>計画書内で人口の数字が複数出ることを避ける。doc13は社人研＋住基の補正手法を採用。</t>
        </is>
      </c>
      <c r="E39" s="23" t="inlineStr">
        <is>
          <t>Ⅱ-58,Ⅱ-59</t>
        </is>
      </c>
      <c r="F39" s="23" t="inlineStr">
        <is>
          <t>doc19 追-9</t>
        </is>
      </c>
      <c r="G39" s="23" t="inlineStr">
        <is>
          <t>未依頼</t>
        </is>
      </c>
      <c r="H39" s="25" t="inlineStr"/>
    </row>
    <row r="40" ht="34" customHeight="1">
      <c r="A40" s="34" t="inlineStr">
        <is>
          <t>B</t>
        </is>
      </c>
      <c r="B40" s="24" t="inlineStr">
        <is>
          <t>データ</t>
        </is>
      </c>
      <c r="C40" s="25" t="inlineStr">
        <is>
          <t>介護保険事業状況報告（月報・年報）の原データの提供可否</t>
        </is>
      </c>
      <c r="D40" s="25" t="inlineStr">
        <is>
          <t>見える化に収録されていない項目（サービス種類別利用者数の月次推移等）が扱えるようになる。</t>
        </is>
      </c>
      <c r="E40" s="23" t="inlineStr">
        <is>
          <t>Ⅱ-55</t>
        </is>
      </c>
      <c r="F40" s="23" t="inlineStr">
        <is>
          <t>doc19 追-10</t>
        </is>
      </c>
      <c r="G40" s="23" t="inlineStr">
        <is>
          <t>未依頼</t>
        </is>
      </c>
      <c r="H40" s="25" t="inlineStr"/>
    </row>
    <row r="41" ht="34" customHeight="1">
      <c r="A41" s="34" t="inlineStr">
        <is>
          <t>B</t>
        </is>
      </c>
      <c r="B41" s="24" t="inlineStr">
        <is>
          <t>データ</t>
        </is>
      </c>
      <c r="C41" s="25" t="inlineStr">
        <is>
          <t>診療所（南東北裏磐梯・桧原）の診療日数および患者数</t>
        </is>
      </c>
      <c r="D41" s="25" t="inlineStr">
        <is>
          <t>★在宅医療・介護連携の分析に直結するがこれまで把握していなかった。</t>
        </is>
      </c>
      <c r="E41" s="23" t="inlineStr">
        <is>
          <t>Ⅱ-54</t>
        </is>
      </c>
      <c r="F41" s="23" t="inlineStr">
        <is>
          <t>doc19 追-11</t>
        </is>
      </c>
      <c r="G41" s="23" t="inlineStr">
        <is>
          <t>未依頼</t>
        </is>
      </c>
      <c r="H41" s="25" t="inlineStr"/>
    </row>
    <row r="42" ht="34" customHeight="1">
      <c r="A42" s="34" t="inlineStr">
        <is>
          <t>B</t>
        </is>
      </c>
      <c r="B42" s="24" t="inlineStr">
        <is>
          <t>データ</t>
        </is>
      </c>
      <c r="C42" s="25" t="inlineStr">
        <is>
          <t>家族介護者リフレッシュ事業・介護用品支給・サポーター養成講座・成年後見の各実績</t>
        </is>
      </c>
      <c r="D42" s="25" t="inlineStr">
        <is>
          <t>任意事業・認知症施策・成年後見の評価に必要。令和6年度実績、可能であれば令和7年度。</t>
        </is>
      </c>
      <c r="E42" s="23" t="inlineStr">
        <is>
          <t>Ⅱ-53,Ⅱ-54</t>
        </is>
      </c>
      <c r="F42" s="23" t="inlineStr">
        <is>
          <t>doc19 追-11</t>
        </is>
      </c>
      <c r="G42" s="23" t="inlineStr">
        <is>
          <t>未依頼</t>
        </is>
      </c>
      <c r="H42" s="25" t="inlineStr"/>
    </row>
    <row r="43" ht="34" customHeight="1">
      <c r="A43" s="34" t="inlineStr">
        <is>
          <t>B</t>
        </is>
      </c>
      <c r="B43" s="24" t="inlineStr">
        <is>
          <t>データ</t>
        </is>
      </c>
      <c r="C43" s="25" t="inlineStr">
        <is>
          <t>特定健診・後期高齢者健診の受診率、特定保健指導の実施率</t>
        </is>
      </c>
      <c r="D43" s="25" t="inlineStr">
        <is>
          <t>介護予防と保健事業の一体的実施（施策1-6）の評価に必要。</t>
        </is>
      </c>
      <c r="E43" s="23" t="inlineStr">
        <is>
          <t>Ⅱ-54</t>
        </is>
      </c>
      <c r="F43" s="23" t="inlineStr">
        <is>
          <t>doc19 追-11</t>
        </is>
      </c>
      <c r="G43" s="23" t="inlineStr">
        <is>
          <t>未依頼</t>
        </is>
      </c>
      <c r="H43" s="25" t="inlineStr"/>
    </row>
    <row r="44" ht="34" customHeight="1">
      <c r="A44" s="34" t="inlineStr">
        <is>
          <t>B</t>
        </is>
      </c>
      <c r="B44" s="24" t="inlineStr">
        <is>
          <t>データ</t>
        </is>
      </c>
      <c r="C44" s="25" t="inlineStr">
        <is>
          <t>ACP（人生会議）の普及啓発・看取りに関する住民向け取組の有無</t>
        </is>
      </c>
      <c r="D44" s="25" t="inlineStr">
        <is>
          <t>支援交付金目標Ⅲ「人生の最終段階における支援」4項目が0点（配点計8点）。</t>
        </is>
      </c>
      <c r="E44" s="23" t="inlineStr">
        <is>
          <t>Ⅱ-54</t>
        </is>
      </c>
      <c r="F44" s="23" t="inlineStr">
        <is>
          <t>doc20§6-2 K-65</t>
        </is>
      </c>
      <c r="G44" s="23" t="inlineStr">
        <is>
          <t>未依頼</t>
        </is>
      </c>
      <c r="H44" s="25" t="inlineStr"/>
    </row>
    <row r="45" ht="34" customHeight="1">
      <c r="A45" s="34" t="inlineStr">
        <is>
          <t>B</t>
        </is>
      </c>
      <c r="B45" s="24" t="inlineStr">
        <is>
          <t>データ</t>
        </is>
      </c>
      <c r="C45" s="25" t="inlineStr">
        <is>
          <t>第四次生涯学習推進計画の目標値の直近実績（中間評価の有無・結果）</t>
        </is>
      </c>
      <c r="D45" s="25" t="inlineStr">
        <is>
          <t>10年計画（2018〜2027年度）の中間年は2022年度。第10期計画に引用可能か。</t>
        </is>
      </c>
      <c r="E45" s="23" t="inlineStr">
        <is>
          <t>Ⅱ-72</t>
        </is>
      </c>
      <c r="F45" s="23" t="inlineStr">
        <is>
          <t>doc21§5 K-68</t>
        </is>
      </c>
      <c r="G45" s="23" t="inlineStr">
        <is>
          <t>未依頼</t>
        </is>
      </c>
      <c r="H45" s="25" t="inlineStr"/>
    </row>
    <row r="46" ht="34" customHeight="1">
      <c r="A46" s="34" t="inlineStr">
        <is>
          <t>B</t>
        </is>
      </c>
      <c r="B46" s="24" t="inlineStr">
        <is>
          <t>データ</t>
        </is>
      </c>
      <c r="C46" s="25" t="inlineStr">
        <is>
          <t>高齢者生きがい健康づくり事業・高齢者教室の実施状況（開催回数・参加人数）</t>
        </is>
      </c>
      <c r="D46" s="25" t="inlineStr">
        <is>
          <t>教育委員会所管。介護予防（通いの場）の実績にカウントできるものがあるかを確認。</t>
        </is>
      </c>
      <c r="E46" s="23" t="inlineStr">
        <is>
          <t>Ⅱ-53</t>
        </is>
      </c>
      <c r="F46" s="23" t="inlineStr">
        <is>
          <t>doc21§5 K-71</t>
        </is>
      </c>
      <c r="G46" s="23" t="inlineStr">
        <is>
          <t>未依頼</t>
        </is>
      </c>
      <c r="H46" s="25" t="inlineStr"/>
    </row>
    <row r="47" ht="34" customHeight="1">
      <c r="A47" s="34" t="inlineStr">
        <is>
          <t>B</t>
        </is>
      </c>
      <c r="B47" s="24" t="inlineStr">
        <is>
          <t>データ</t>
        </is>
      </c>
      <c r="C47" s="25" t="inlineStr">
        <is>
          <t>シルバー人材センターの会員数・受注実績</t>
        </is>
      </c>
      <c r="D47" s="25" t="inlineStr">
        <is>
          <t>高齢者の就労的活動の実績として記載可能か。生涯学習推進計画にも施策として位置づけあり。</t>
        </is>
      </c>
      <c r="E47" s="23" t="inlineStr">
        <is>
          <t>Ⅱ-53</t>
        </is>
      </c>
      <c r="F47" s="23" t="inlineStr">
        <is>
          <t>doc21§5 K-72</t>
        </is>
      </c>
      <c r="G47" s="23" t="inlineStr">
        <is>
          <t>未依頼</t>
        </is>
      </c>
      <c r="H47" s="25" t="inlineStr"/>
    </row>
    <row r="48" ht="34" customHeight="1">
      <c r="A48" s="34" t="inlineStr">
        <is>
          <t>B</t>
        </is>
      </c>
      <c r="B48" s="24" t="inlineStr">
        <is>
          <t>体制</t>
        </is>
      </c>
      <c r="C48" s="25" t="inlineStr">
        <is>
          <t>令和9年度以降も交付金の該当状況調査票の写しを策定業務に提供いただけるか</t>
        </is>
      </c>
      <c r="D48" s="25" t="inlineStr">
        <is>
          <t>第10期の進捗管理で毎年度の得点推移を追うために必要。</t>
        </is>
      </c>
      <c r="E48" s="23" t="inlineStr">
        <is>
          <t>Ⅴ-95</t>
        </is>
      </c>
      <c r="F48" s="23" t="inlineStr">
        <is>
          <t>doc20§6-2 K-67</t>
        </is>
      </c>
      <c r="G48" s="23" t="inlineStr">
        <is>
          <t>未依頼</t>
        </is>
      </c>
      <c r="H48" s="25" t="inlineStr"/>
    </row>
    <row r="49" ht="34" customHeight="1">
      <c r="A49" s="34" t="inlineStr">
        <is>
          <t>B</t>
        </is>
      </c>
      <c r="B49" s="24" t="inlineStr">
        <is>
          <t>成果品</t>
        </is>
      </c>
      <c r="C49" s="25" t="inlineStr">
        <is>
          <t>概要版の位置づけ（仕様の範囲内か追加対応か）</t>
        </is>
      </c>
      <c r="D49" s="25" t="inlineStr">
        <is>
          <t>仕様書に記載がなく成果品一覧にもないが、資料末尾に「必要に応じては概要版も作成致します」とある。第9期は2ページの概要版を作成。</t>
        </is>
      </c>
      <c r="E49" s="23" t="inlineStr">
        <is>
          <t>Ⅳ-92</t>
        </is>
      </c>
      <c r="F49" s="23" t="inlineStr">
        <is>
          <t>doc19 指-5</t>
        </is>
      </c>
      <c r="G49" s="23" t="inlineStr">
        <is>
          <t>未依頼</t>
        </is>
      </c>
      <c r="H49" s="25" t="inlineStr"/>
    </row>
    <row r="50" ht="34" customHeight="1">
      <c r="A50" s="34" t="inlineStr">
        <is>
          <t>B</t>
        </is>
      </c>
      <c r="B50" s="24" t="inlineStr">
        <is>
          <t>方針</t>
        </is>
      </c>
      <c r="C50" s="25" t="inlineStr">
        <is>
          <t>第1号被保険者数の推計を社人研ベースから補正して用いる方針の可否</t>
        </is>
      </c>
      <c r="D50" s="25" t="inlineStr">
        <is>
          <t>社人研推計は住基ベース実績より6〜8%少なく、第9期はこれで63人ずれた。手法変更のため村の合意が要る。</t>
        </is>
      </c>
      <c r="E50" s="23" t="inlineStr">
        <is>
          <t>Ⅱ-59</t>
        </is>
      </c>
      <c r="F50" s="23" t="inlineStr">
        <is>
          <t>doc09§4,§10</t>
        </is>
      </c>
      <c r="G50" s="23" t="inlineStr">
        <is>
          <t>未依頼</t>
        </is>
      </c>
      <c r="H50" s="25" t="inlineStr"/>
    </row>
    <row r="51" ht="34" customHeight="1">
      <c r="A51" s="34" t="inlineStr">
        <is>
          <t>B</t>
        </is>
      </c>
      <c r="B51" s="24" t="inlineStr">
        <is>
          <t>方針</t>
        </is>
      </c>
      <c r="C51" s="25" t="inlineStr">
        <is>
          <t>保険料が県・全国を上回る一方で費用額は下位である点の認識と説明方針</t>
        </is>
      </c>
      <c r="D51" s="25" t="inlineStr">
        <is>
          <t>保険料6,700円は県+360円・全国+475円。費用額は県内44/59位。説明ロジックの構築に関わる。</t>
        </is>
      </c>
      <c r="E51" s="23" t="inlineStr">
        <is>
          <t>Ⅱ-64</t>
        </is>
      </c>
      <c r="F51" s="23" t="inlineStr">
        <is>
          <t>doc09§8,§10</t>
        </is>
      </c>
      <c r="G51" s="23" t="inlineStr">
        <is>
          <t>未依頼</t>
        </is>
      </c>
      <c r="H51" s="25" t="inlineStr"/>
    </row>
    <row r="52" ht="34" customHeight="1">
      <c r="A52" s="34" t="inlineStr">
        <is>
          <t>B</t>
        </is>
      </c>
      <c r="B52" s="24" t="inlineStr">
        <is>
          <t>方針</t>
        </is>
      </c>
      <c r="C52" s="25" t="inlineStr">
        <is>
          <t>総合事業のサービスA〜Dを第10期で立ち上げる意向の有無</t>
        </is>
      </c>
      <c r="D52" s="25" t="inlineStr">
        <is>
          <t>従前相当サービス以外の事業費割合0.0%。要支援1急増（39→51人）の受け皿に直結。素案の施策1-2の成否を決める。</t>
        </is>
      </c>
      <c r="E52" s="23" t="inlineStr">
        <is>
          <t>Ⅱ-67,Ⅱ-75</t>
        </is>
      </c>
      <c r="F52" s="23" t="inlineStr">
        <is>
          <t>doc02§17,doc07,doc18 4-1</t>
        </is>
      </c>
      <c r="G52" s="23" t="inlineStr">
        <is>
          <t>未依頼</t>
        </is>
      </c>
      <c r="H52" s="25" t="inlineStr"/>
    </row>
    <row r="53" ht="34" customHeight="1">
      <c r="A53" s="34" t="inlineStr">
        <is>
          <t>B</t>
        </is>
      </c>
      <c r="B53" s="24" t="inlineStr">
        <is>
          <t>方針</t>
        </is>
      </c>
      <c r="C53" s="25" t="inlineStr">
        <is>
          <t>認定率の分母をB1（第1号被保険者数）に統一することの可否</t>
        </is>
      </c>
      <c r="D53" s="25" t="inlineStr">
        <is>
          <t>第9期は同一計画書内に19.0%（193/1,016）と19.7%（197/1,002）が併記されていた。統一すると第9期の公表値と異なる数値を示すことになる。</t>
        </is>
      </c>
      <c r="E53" s="23" t="inlineStr">
        <is>
          <t>Ⅱ-56,Ⅱ-75</t>
        </is>
      </c>
      <c r="F53" s="23" t="inlineStr">
        <is>
          <t>doc17 C-1,doc02§20-2</t>
        </is>
      </c>
      <c r="G53" s="23" t="inlineStr">
        <is>
          <t>未依頼</t>
        </is>
      </c>
      <c r="H53" s="25" t="inlineStr"/>
    </row>
    <row r="54" ht="34" customHeight="1">
      <c r="A54" s="34" t="inlineStr">
        <is>
          <t>B</t>
        </is>
      </c>
      <c r="B54" s="24" t="inlineStr">
        <is>
          <t>方針</t>
        </is>
      </c>
      <c r="C54" s="25" t="inlineStr">
        <is>
          <t>成果目標・活動指標の目標値の設定方針（認定率を据置とするか／トレンド継続か／政策効果を織り込むか）</t>
        </is>
      </c>
      <c r="D54" s="25" t="inlineStr">
        <is>
          <t>doc13§6で3案を提示。政策効果を織り込む案を採る場合は、その根拠を指標に置く必要がある。</t>
        </is>
      </c>
      <c r="E54" s="23" t="inlineStr">
        <is>
          <t>Ⅱ-60,Ⅱ-65</t>
        </is>
      </c>
      <c r="F54" s="23" t="inlineStr">
        <is>
          <t>doc13§6</t>
        </is>
      </c>
      <c r="G54" s="23" t="inlineStr">
        <is>
          <t>未依頼</t>
        </is>
      </c>
      <c r="H54" s="25" t="inlineStr"/>
    </row>
    <row r="55" ht="34" customHeight="1">
      <c r="A55" s="34" t="inlineStr">
        <is>
          <t>B</t>
        </is>
      </c>
      <c r="B55" s="24" t="inlineStr">
        <is>
          <t>方針</t>
        </is>
      </c>
      <c r="C55" s="25" t="inlineStr">
        <is>
          <t>上限保険料の設定の有無と基金活用の比較案のパターン</t>
        </is>
      </c>
      <c r="D55" s="25" t="inlineStr">
        <is>
          <t>第9期は基金24,000,000円の取崩を計画。全額取崩案／据置優先案／中間案など何案を示すかを確認。</t>
        </is>
      </c>
      <c r="E55" s="23" t="inlineStr">
        <is>
          <t>Ⅱ-63,Ⅱ-64</t>
        </is>
      </c>
      <c r="F55" s="23" t="inlineStr">
        <is>
          <t>doc19 追-14</t>
        </is>
      </c>
      <c r="G55" s="23" t="inlineStr">
        <is>
          <t>未依頼</t>
        </is>
      </c>
      <c r="H55" s="25" t="inlineStr"/>
    </row>
    <row r="56" ht="34" customHeight="1">
      <c r="A56" s="34" t="inlineStr">
        <is>
          <t>B</t>
        </is>
      </c>
      <c r="B56" s="24" t="inlineStr">
        <is>
          <t>方針</t>
        </is>
      </c>
      <c r="C56" s="25" t="inlineStr">
        <is>
          <t>施設整備の方向性（在宅調査48.5%の入所希望の扱い）</t>
        </is>
      </c>
      <c r="D56" s="25" t="inlineStr">
        <is>
          <t>★48.5%は回収33件中16人。標本が小さいため単独の根拠とせず、村内施設ゼロ・短期入所+165%・認定率18位/費用額44位と併せて示し、今回の在宅調査150人で再確認する位置づけを提案。</t>
        </is>
      </c>
      <c r="E56" s="23" t="inlineStr">
        <is>
          <t>Ⅱ-67,Ⅱ-75</t>
        </is>
      </c>
      <c r="F56" s="23" t="inlineStr">
        <is>
          <t>doc19 §3</t>
        </is>
      </c>
      <c r="G56" s="23" t="inlineStr">
        <is>
          <t>未依頼</t>
        </is>
      </c>
      <c r="H56" s="25" t="inlineStr"/>
    </row>
    <row r="57" ht="34" customHeight="1">
      <c r="A57" s="34" t="inlineStr">
        <is>
          <t>B</t>
        </is>
      </c>
      <c r="B57" s="24" t="inlineStr">
        <is>
          <t>方針</t>
        </is>
      </c>
      <c r="C57" s="25" t="inlineStr">
        <is>
          <t>「地域で見守り・育む高齢者の支援」（生涯学習推進計画の施策）と生活支援体制整備事業の役割分担</t>
        </is>
      </c>
      <c r="D57" s="25" t="inlineStr">
        <is>
          <t>★両計画で同一施策が重複。所管（教育委員会／住民課／社協）を明記して連携を書く必要がある。</t>
        </is>
      </c>
      <c r="E57" s="23" t="inlineStr">
        <is>
          <t>Ⅱ-53</t>
        </is>
      </c>
      <c r="F57" s="23" t="inlineStr">
        <is>
          <t>doc21§5 K-73</t>
        </is>
      </c>
      <c r="G57" s="23" t="inlineStr">
        <is>
          <t>未依頼</t>
        </is>
      </c>
      <c r="H57" s="25" t="inlineStr"/>
    </row>
    <row r="58" ht="34" customHeight="1">
      <c r="A58" s="34" t="inlineStr">
        <is>
          <t>B</t>
        </is>
      </c>
      <c r="B58" s="24" t="inlineStr">
        <is>
          <t>疑義</t>
        </is>
      </c>
      <c r="C58" s="25" t="inlineStr">
        <is>
          <t>W125「第9期計画作成に向けた各種調査の実施」が4項目とも0点である理由</t>
        </is>
      </c>
      <c r="D58" s="25" t="inlineStr">
        <is>
          <t>第9期報告書には調査結果が掲載されており、報告漏れの可能性が高い。第10期では確実に得点化したい。</t>
        </is>
      </c>
      <c r="E58" s="23" t="inlineStr">
        <is>
          <t>Ⅱ-54</t>
        </is>
      </c>
      <c r="F58" s="23" t="inlineStr">
        <is>
          <t>doc07§4</t>
        </is>
      </c>
      <c r="G58" s="23" t="inlineStr">
        <is>
          <t>未依頼</t>
        </is>
      </c>
      <c r="H58" s="25" t="inlineStr"/>
    </row>
    <row r="59" ht="34" customHeight="1">
      <c r="A59" s="34" t="inlineStr">
        <is>
          <t>B</t>
        </is>
      </c>
      <c r="B59" s="24" t="inlineStr">
        <is>
          <t>疑義</t>
        </is>
      </c>
      <c r="C59" s="25" t="inlineStr">
        <is>
          <t>交付金「文書負担軽減」が11点→7点に低下した理由（取組の後退か判定基準の変更か）</t>
        </is>
      </c>
      <c r="D59" s="25" t="inlineStr">
        <is>
          <t>評価指標の読み方に影響。</t>
        </is>
      </c>
      <c r="E59" s="23" t="inlineStr">
        <is>
          <t>Ⅱ-54</t>
        </is>
      </c>
      <c r="F59" s="23" t="inlineStr">
        <is>
          <t>doc07§8-4</t>
        </is>
      </c>
      <c r="G59" s="23" t="inlineStr">
        <is>
          <t>未依頼</t>
        </is>
      </c>
      <c r="H59" s="25" t="inlineStr"/>
    </row>
    <row r="60" ht="34" customHeight="1">
      <c r="A60" s="34" t="inlineStr">
        <is>
          <t>B</t>
        </is>
      </c>
      <c r="B60" s="24" t="inlineStr">
        <is>
          <t>疑義</t>
        </is>
      </c>
      <c r="C60" s="25" t="inlineStr">
        <is>
          <t>第9期概要版④「地域支援事業費」の集計範囲（任意事業の扱い）</t>
        </is>
      </c>
      <c r="D60" s="25" t="inlineStr">
        <is>
          <t>決算と6,300〜10,100千円ずれる。揃えないと第10期が第9期と比較不能になる。</t>
        </is>
      </c>
      <c r="E60" s="23" t="inlineStr">
        <is>
          <t>Ⅱ-55,Ⅱ-56</t>
        </is>
      </c>
      <c r="F60" s="23" t="inlineStr">
        <is>
          <t>doc08§4,§8-2</t>
        </is>
      </c>
      <c r="G60" s="23" t="inlineStr">
        <is>
          <t>未依頼</t>
        </is>
      </c>
      <c r="H60" s="25" t="inlineStr"/>
    </row>
    <row r="61" ht="34" customHeight="1">
      <c r="A61" s="34" t="inlineStr">
        <is>
          <t>B</t>
        </is>
      </c>
      <c r="B61" s="24" t="inlineStr">
        <is>
          <t>疑義</t>
        </is>
      </c>
      <c r="C61" s="25" t="inlineStr">
        <is>
          <t>特別会計の歳入内訳の区分変更の有無（令和3→4年度）</t>
        </is>
      </c>
      <c r="D61" s="25" t="inlineStr">
        <is>
          <t>総務費繰入金・低所得者保険料軽減繰入金が0になり一般会計繰入金が急増。時系列グラフが不連続になる。</t>
        </is>
      </c>
      <c r="E61" s="23" t="inlineStr">
        <is>
          <t>Ⅱ-55</t>
        </is>
      </c>
      <c r="F61" s="23" t="inlineStr">
        <is>
          <t>doc02§20-1</t>
        </is>
      </c>
      <c r="G61" s="23" t="inlineStr">
        <is>
          <t>未依頼</t>
        </is>
      </c>
      <c r="H61" s="25" t="inlineStr"/>
    </row>
    <row r="62" ht="34" customHeight="1">
      <c r="A62" s="34" t="inlineStr">
        <is>
          <t>B</t>
        </is>
      </c>
      <c r="B62" s="24" t="inlineStr">
        <is>
          <t>素案</t>
        </is>
      </c>
      <c r="C62" s="25" t="inlineStr">
        <is>
          <t>章構成を第9期（全6章＋資料編）から踏襲することの可否</t>
        </is>
      </c>
      <c r="D62" s="25" t="inlineStr">
        <is>
          <t>素案は踏襲を前提。第2章に「2-8 保険者機能の評価」「2-9 第9期計画の進捗と評価」の2節を新設している。</t>
        </is>
      </c>
      <c r="E62" s="23" t="inlineStr">
        <is>
          <t>Ⅱ-75</t>
        </is>
      </c>
      <c r="F62" s="23" t="inlineStr">
        <is>
          <t>doc15,doc18</t>
        </is>
      </c>
      <c r="G62" s="23" t="inlineStr">
        <is>
          <t>未依頼</t>
        </is>
      </c>
      <c r="H62" s="25" t="inlineStr"/>
    </row>
    <row r="63" ht="34" customHeight="1">
      <c r="A63" s="34" t="inlineStr">
        <is>
          <t>B</t>
        </is>
      </c>
      <c r="B63" s="24" t="inlineStr">
        <is>
          <t>素案</t>
        </is>
      </c>
      <c r="C63" s="25" t="inlineStr">
        <is>
          <t>基本理念・基本目標の枠組みを第9期から継承することの可否</t>
        </is>
      </c>
      <c r="D63" s="25" t="inlineStr">
        <is>
          <t>素案は継承を前提に構成。変更する場合は第3章・第4章の全面的な組み替えが必要になる。</t>
        </is>
      </c>
      <c r="E63" s="23" t="inlineStr">
        <is>
          <t>Ⅱ-71,Ⅱ-75</t>
        </is>
      </c>
      <c r="F63" s="23" t="inlineStr">
        <is>
          <t>doc14§5,doc18 3-1</t>
        </is>
      </c>
      <c r="G63" s="23" t="inlineStr">
        <is>
          <t>未依頼</t>
        </is>
      </c>
      <c r="H63" s="25" t="inlineStr"/>
    </row>
    <row r="64" ht="34" customHeight="1">
      <c r="A64" s="34" t="inlineStr">
        <is>
          <t>B</t>
        </is>
      </c>
      <c r="B64" s="24" t="inlineStr">
        <is>
          <t>素案</t>
        </is>
      </c>
      <c r="C64" s="25" t="inlineStr">
        <is>
          <t>基本目標5「計画の推進と進捗管理」を独立させるか、各基本目標に横断的に組み込むか</t>
        </is>
      </c>
      <c r="D64" s="25" t="inlineStr">
        <is>
          <t>第9期で3年連続0点だったPDCAへの対応。独立を推奨するが構成上の選択であり村の意向による。</t>
        </is>
      </c>
      <c r="E64" s="23" t="inlineStr">
        <is>
          <t>Ⅱ-71,Ⅱ-75</t>
        </is>
      </c>
      <c r="F64" s="23" t="inlineStr">
        <is>
          <t>doc14§5,doc15,doc18 4-5</t>
        </is>
      </c>
      <c r="G64" s="23" t="inlineStr">
        <is>
          <t>未依頼</t>
        </is>
      </c>
      <c r="H64" s="25" t="inlineStr"/>
    </row>
    <row r="65" ht="34" customHeight="1">
      <c r="A65" s="34" t="inlineStr">
        <is>
          <t>B</t>
        </is>
      </c>
      <c r="B65" s="24" t="inlineStr">
        <is>
          <t>素案</t>
        </is>
      </c>
      <c r="C65" s="25" t="inlineStr">
        <is>
          <t>施設サービスの記載を「村外施設サービスの利用支援」に改めることの可否</t>
        </is>
      </c>
      <c r="D65" s="25" t="inlineStr">
        <is>
          <t>村内に該当施設がゼロ。第9期は特養〜介護医療院の4類型を列挙する記載で実態と乖離していた。</t>
        </is>
      </c>
      <c r="E65" s="23" t="inlineStr">
        <is>
          <t>Ⅱ-75</t>
        </is>
      </c>
      <c r="F65" s="23" t="inlineStr">
        <is>
          <t>doc17 B-3,doc18 4-3</t>
        </is>
      </c>
      <c r="G65" s="23" t="inlineStr">
        <is>
          <t>未依頼</t>
        </is>
      </c>
      <c r="H65" s="25" t="inlineStr"/>
    </row>
    <row r="66" ht="34" customHeight="1">
      <c r="A66" s="34" t="inlineStr">
        <is>
          <t>B</t>
        </is>
      </c>
      <c r="B66" s="24" t="inlineStr">
        <is>
          <t>素案</t>
        </is>
      </c>
      <c r="C66" s="25" t="inlineStr">
        <is>
          <t>計画本文に第9期の推計乖離（第1号被保険者数6.6%）を記載することの可否</t>
        </is>
      </c>
      <c r="D66" s="25" t="inlineStr">
        <is>
          <t>素案の2-9・5-1に記載。次期計画で本計画の推計精度を検証できるようにする趣旨だが、自らの誤差を公表することになるため村の判断を要する。</t>
        </is>
      </c>
      <c r="E66" s="23" t="inlineStr">
        <is>
          <t>Ⅱ-75</t>
        </is>
      </c>
      <c r="F66" s="23" t="inlineStr">
        <is>
          <t>doc17 A-1,doc18 2-9</t>
        </is>
      </c>
      <c r="G66" s="23" t="inlineStr">
        <is>
          <t>未依頼</t>
        </is>
      </c>
      <c r="H66" s="25" t="inlineStr"/>
    </row>
    <row r="67" ht="34" customHeight="1">
      <c r="A67" s="34" t="inlineStr">
        <is>
          <t>B</t>
        </is>
      </c>
      <c r="B67" s="24" t="inlineStr">
        <is>
          <t>素案</t>
        </is>
      </c>
      <c r="C67" s="25" t="inlineStr">
        <is>
          <t>第9期保険料の再算定試算（6,761円→約6,346円）の取扱い</t>
        </is>
      </c>
      <c r="D67" s="25" t="inlineStr">
        <is>
          <t>第1号被保険者数のみを実績に置換した試算で、福島県平均6,340円とほぼ一致する。素案5-7に記載しているが、公表資料での扱いは村の判断による。</t>
        </is>
      </c>
      <c r="E67" s="23" t="inlineStr">
        <is>
          <t>Ⅱ-64,Ⅱ-75</t>
        </is>
      </c>
      <c r="F67" s="23" t="inlineStr">
        <is>
          <t>doc17 A-1,doc18 5-7</t>
        </is>
      </c>
      <c r="G67" s="23" t="inlineStr">
        <is>
          <t>未依頼</t>
        </is>
      </c>
      <c r="H67" s="25" t="inlineStr"/>
    </row>
    <row r="68" ht="34" customHeight="1">
      <c r="A68" s="34" t="inlineStr">
        <is>
          <t>B</t>
        </is>
      </c>
      <c r="B68" s="24" t="inlineStr">
        <is>
          <t>計画構成</t>
        </is>
      </c>
      <c r="C68" s="25" t="inlineStr">
        <is>
          <t>北塩原村第六次総合振興計画の策定状況</t>
        </is>
      </c>
      <c r="D68" s="25" t="inlineStr">
        <is>
          <t>第五次は2017〜2026。第10期（令和9〜11年度）の上位計画になる。</t>
        </is>
      </c>
      <c r="E68" s="23" t="inlineStr">
        <is>
          <t>Ⅱ-72</t>
        </is>
      </c>
      <c r="F68" s="23" t="inlineStr">
        <is>
          <t>doc08§8-4</t>
        </is>
      </c>
      <c r="G68" s="23" t="inlineStr">
        <is>
          <t>未依頼</t>
        </is>
      </c>
      <c r="H68" s="25" t="inlineStr"/>
    </row>
    <row r="69" ht="34" customHeight="1">
      <c r="A69" s="34" t="inlineStr">
        <is>
          <t>B</t>
        </is>
      </c>
      <c r="B69" s="24" t="inlineStr">
        <is>
          <t>計画構成</t>
        </is>
      </c>
      <c r="C69" s="25" t="inlineStr">
        <is>
          <t>認知症施策推進計画・成年後見制度利用促進基本計画の一体化を第10期も踏襲するか</t>
        </is>
      </c>
      <c r="D69" s="25" t="inlineStr">
        <is>
          <t>第9期は基本目標4に内包する構成。素案は踏襲を前提に1-2で法的根拠を記載している。</t>
        </is>
      </c>
      <c r="E69" s="23" t="inlineStr">
        <is>
          <t>Ⅱ-73,Ⅱ-75</t>
        </is>
      </c>
      <c r="F69" s="23" t="inlineStr">
        <is>
          <t>doc01-5,doc18 1-2</t>
        </is>
      </c>
      <c r="G69" s="23" t="inlineStr">
        <is>
          <t>未依頼</t>
        </is>
      </c>
      <c r="H69" s="25" t="inlineStr"/>
    </row>
    <row r="70" ht="34" customHeight="1">
      <c r="A70" s="34" t="inlineStr">
        <is>
          <t>B</t>
        </is>
      </c>
      <c r="B70" s="24" t="inlineStr">
        <is>
          <t>計画構成</t>
        </is>
      </c>
      <c r="C70" s="25" t="inlineStr">
        <is>
          <t>定住自立圏（喜多方市・西会津町）／会津権利擁護・成年後見センターとの広域連携の記載方針</t>
        </is>
      </c>
      <c r="D70" s="25" t="inlineStr">
        <is>
          <t>施策の書きぶりに影響。</t>
        </is>
      </c>
      <c r="E70" s="23" t="inlineStr">
        <is>
          <t>Ⅱ-71,Ⅱ-72</t>
        </is>
      </c>
      <c r="F70" s="23" t="inlineStr">
        <is>
          <t>doc01-12</t>
        </is>
      </c>
      <c r="G70" s="23" t="inlineStr">
        <is>
          <t>未依頼</t>
        </is>
      </c>
      <c r="H70" s="25" t="inlineStr"/>
    </row>
    <row r="71" ht="34" customHeight="1">
      <c r="A71" s="34" t="inlineStr">
        <is>
          <t>B</t>
        </is>
      </c>
      <c r="B71" s="24" t="inlineStr">
        <is>
          <t>計画構成</t>
        </is>
      </c>
      <c r="C71" s="25" t="inlineStr">
        <is>
          <t>整合を図る関連計画の網羅（障がい福祉計画・障がい者計画・地域福祉計画等）</t>
        </is>
      </c>
      <c r="D71" s="25" t="inlineStr">
        <is>
          <t>資料には基本指針・第5次総合振興計画・第3次健康21のみ記載。</t>
        </is>
      </c>
      <c r="E71" s="23" t="inlineStr">
        <is>
          <t>Ⅱ-72</t>
        </is>
      </c>
      <c r="F71" s="23" t="inlineStr">
        <is>
          <t>doc19 追-13</t>
        </is>
      </c>
      <c r="G71" s="23" t="inlineStr">
        <is>
          <t>未依頼</t>
        </is>
      </c>
      <c r="H71" s="25" t="inlineStr"/>
    </row>
    <row r="72" ht="34" customHeight="1">
      <c r="A72" s="34" t="inlineStr">
        <is>
          <t>B</t>
        </is>
      </c>
      <c r="B72" s="24" t="inlineStr">
        <is>
          <t>調査設計</t>
        </is>
      </c>
      <c r="C72" s="25" t="inlineStr">
        <is>
          <t>督促（リマインド）の実施可否と追加郵送費の扱い</t>
        </is>
      </c>
      <c r="D72" s="25" t="inlineStr">
        <is>
          <t>第9期の在宅調査は回収率45.8%（72人中33人）。150人でも同率なら約69件で、クロス集計に耐えない可能性。</t>
        </is>
      </c>
      <c r="E72" s="23" t="inlineStr">
        <is>
          <t>Ⅰ-31</t>
        </is>
      </c>
      <c r="F72" s="23" t="inlineStr">
        <is>
          <t>doc19 追-6</t>
        </is>
      </c>
      <c r="G72" s="23" t="inlineStr">
        <is>
          <t>未依頼</t>
        </is>
      </c>
      <c r="H72" s="25" t="inlineStr"/>
    </row>
    <row r="73" ht="34" customHeight="1">
      <c r="A73" s="34" t="inlineStr">
        <is>
          <t>B</t>
        </is>
      </c>
      <c r="B73" s="24" t="inlineStr">
        <is>
          <t>調査設計</t>
        </is>
      </c>
      <c r="C73" s="25" t="inlineStr">
        <is>
          <t>集計・分析で村が最も確認したい事項（クロス集計の設計）</t>
        </is>
      </c>
      <c r="D73" s="25" t="inlineStr">
        <is>
          <t>資料5の論点表から落とす。地区別（北山・大塩・桧原・裏磐梯）は第9期報告書が全設問で実施しており踏襲が前提だが、多重クロスは特定リスクがあるため細分の程度を確認。</t>
        </is>
      </c>
      <c r="E73" s="23" t="inlineStr">
        <is>
          <t>Ⅰ-40,Ⅰ-42</t>
        </is>
      </c>
      <c r="F73" s="23" t="inlineStr">
        <is>
          <t>doc19 追-7</t>
        </is>
      </c>
      <c r="G73" s="23" t="inlineStr">
        <is>
          <t>未依頼</t>
        </is>
      </c>
      <c r="H73" s="25" t="inlineStr"/>
    </row>
    <row r="74" ht="34" customHeight="1">
      <c r="A74" s="35" t="inlineStr">
        <is>
          <t>C</t>
        </is>
      </c>
      <c r="B74" s="24" t="inlineStr">
        <is>
          <t>成果品</t>
        </is>
      </c>
      <c r="C74" s="25" t="inlineStr">
        <is>
          <t>計画書の判型・レイアウト・表紙デザインの踏襲可否</t>
        </is>
      </c>
      <c r="D74" s="25" t="inlineStr">
        <is>
          <t>第9期はA4・本文104頁・全6章＋資料編。</t>
        </is>
      </c>
      <c r="E74" s="23" t="inlineStr">
        <is>
          <t>Ⅳ-89</t>
        </is>
      </c>
      <c r="F74" s="23" t="inlineStr">
        <is>
          <t>doc01-10</t>
        </is>
      </c>
      <c r="G74" s="23" t="inlineStr">
        <is>
          <t>未依頼</t>
        </is>
      </c>
      <c r="H74" s="25" t="inlineStr"/>
    </row>
    <row r="75" ht="34" customHeight="1">
      <c r="A75" s="35" t="inlineStr">
        <is>
          <t>C</t>
        </is>
      </c>
      <c r="B75" s="24" t="inlineStr">
        <is>
          <t>成果品</t>
        </is>
      </c>
      <c r="C75" s="25" t="inlineStr">
        <is>
          <t>概要版の要否（仕様書に記載なし。第9期は概要版を作成している）</t>
        </is>
      </c>
      <c r="D75" s="25" t="inlineStr">
        <is>
          <t>★第9期概要版（2ページ）の現物を受領し存在を確認。仕様書に記載がないため別途対応か要確認。</t>
        </is>
      </c>
      <c r="E75" s="23" t="inlineStr">
        <is>
          <t>Ⅳ-92</t>
        </is>
      </c>
      <c r="F75" s="23" t="inlineStr">
        <is>
          <t>doc01-10,doc08</t>
        </is>
      </c>
      <c r="G75" s="23" t="inlineStr">
        <is>
          <t>未依頼</t>
        </is>
      </c>
      <c r="H75" s="25" t="inlineStr"/>
    </row>
    <row r="77" ht="20" customHeight="1">
      <c r="A77" s="36" t="inlineStr">
        <is>
          <t>■ 解決済み（記録）</t>
        </is>
      </c>
    </row>
    <row r="78" ht="34" customHeight="1">
      <c r="A78" s="37" t="inlineStr">
        <is>
          <t>―</t>
        </is>
      </c>
      <c r="B78" s="38" t="inlineStr">
        <is>
          <t>データ</t>
        </is>
      </c>
      <c r="C78" s="39" t="inlineStr">
        <is>
          <t>保険者機能強化推進交付金（W系）の福島県平均・全国平均</t>
        </is>
      </c>
      <c r="D78" s="39" t="inlineStr">
        <is>
          <t>厚労省の全国集計表（令和6・7・8年度）の受領により解決。全国平均・中央値・標準偏差・該当率・全国順位を取得し、県内59市町村の生データから県平均・県内順位も算出。</t>
        </is>
      </c>
      <c r="E78" s="37" t="inlineStr">
        <is>
          <t>Ⅱ-65</t>
        </is>
      </c>
      <c r="F78" s="37" t="inlineStr">
        <is>
          <t>doc20§3,§4</t>
        </is>
      </c>
      <c r="G78" s="37" t="inlineStr">
        <is>
          <t>解決済</t>
        </is>
      </c>
      <c r="H78" s="39" t="inlineStr"/>
    </row>
    <row r="79" ht="34" customHeight="1">
      <c r="A79" s="37" t="inlineStr">
        <is>
          <t>―</t>
        </is>
      </c>
      <c r="B79" s="38" t="inlineStr">
        <is>
          <t>データ</t>
        </is>
      </c>
      <c r="C79" s="39" t="inlineStr">
        <is>
          <t>交付要綱の配点表（満点）</t>
        </is>
      </c>
      <c r="D79" s="39" t="inlineStr">
        <is>
          <t>令和8年度評価指標（市町村分）の配点表を受領し解決。推進交付金400点・支援交付金400点、目標Ⅰ〜Ⅳ各100点と判明。</t>
        </is>
      </c>
      <c r="E79" s="37" t="inlineStr">
        <is>
          <t>Ⅱ-65</t>
        </is>
      </c>
      <c r="F79" s="37" t="inlineStr">
        <is>
          <t>doc20§2</t>
        </is>
      </c>
      <c r="G79" s="37" t="inlineStr">
        <is>
          <t>解決済</t>
        </is>
      </c>
      <c r="H79" s="39" t="inlineStr"/>
    </row>
    <row r="80" ht="34" customHeight="1">
      <c r="A80" s="37" t="inlineStr">
        <is>
          <t>―</t>
        </is>
      </c>
      <c r="B80" s="38" t="inlineStr">
        <is>
          <t>データ</t>
        </is>
      </c>
      <c r="C80" s="39" t="inlineStr">
        <is>
          <t>令和6年度・令和7年度の交付金評価結果</t>
        </is>
      </c>
      <c r="D80" s="39" t="inlineStr">
        <is>
          <t>令和6・7・8年度の3か年を指標単位で取得し解決。合計295→339→447点。第10期の基準値は令和8年度447点/800点に置く。</t>
        </is>
      </c>
      <c r="E80" s="37" t="inlineStr">
        <is>
          <t>Ⅱ-65</t>
        </is>
      </c>
      <c r="F80" s="37" t="inlineStr">
        <is>
          <t>doc20§3-1</t>
        </is>
      </c>
      <c r="G80" s="37" t="inlineStr">
        <is>
          <t>解決済</t>
        </is>
      </c>
      <c r="H80" s="39" t="inlineStr"/>
    </row>
    <row r="81" ht="34" customHeight="1">
      <c r="A81" s="37" t="inlineStr">
        <is>
          <t>―</t>
        </is>
      </c>
      <c r="B81" s="38" t="inlineStr">
        <is>
          <t>データ</t>
        </is>
      </c>
      <c r="C81" s="39" t="inlineStr">
        <is>
          <t>高齢化率・認定率・費用額・保険料の福島県平均／全国平均</t>
        </is>
      </c>
      <c r="D81" s="39" t="inlineStr">
        <is>
          <t>地域分析P1〜P4の受領により解決。県内順位・全国順位も入手。</t>
        </is>
      </c>
      <c r="E81" s="37" t="inlineStr">
        <is>
          <t>Ⅱ-56,Ⅱ-58</t>
        </is>
      </c>
      <c r="F81" s="37" t="inlineStr">
        <is>
          <t>doc09</t>
        </is>
      </c>
      <c r="G81" s="37" t="inlineStr">
        <is>
          <t>解決済</t>
        </is>
      </c>
      <c r="H81" s="39" t="inlineStr"/>
    </row>
    <row r="82" ht="34" customHeight="1">
      <c r="A82" s="37" t="inlineStr">
        <is>
          <t>―</t>
        </is>
      </c>
      <c r="B82" s="38" t="inlineStr">
        <is>
          <t>データ</t>
        </is>
      </c>
      <c r="C82" s="39" t="inlineStr">
        <is>
          <t>1人あたり指標に用いる高齢者人口の分母の統一</t>
        </is>
      </c>
      <c r="D82" s="39" t="inlineStr">
        <is>
          <t>C1系の分母がB1第1号被保険者数であることを確認し解決。計画書はB1に統一。</t>
        </is>
      </c>
      <c r="E82" s="37" t="inlineStr">
        <is>
          <t>Ⅱ-59</t>
        </is>
      </c>
      <c r="F82" s="37" t="inlineStr">
        <is>
          <t>doc02§20-2</t>
        </is>
      </c>
      <c r="G82" s="37" t="inlineStr">
        <is>
          <t>解決済</t>
        </is>
      </c>
      <c r="H82" s="39" t="inlineStr"/>
    </row>
    <row r="83" ht="34" customHeight="1">
      <c r="A83" s="37" t="inlineStr">
        <is>
          <t>―</t>
        </is>
      </c>
      <c r="B83" s="38" t="inlineStr">
        <is>
          <t>データ</t>
        </is>
      </c>
      <c r="C83" s="39" t="inlineStr">
        <is>
          <t>国の指針・様式の更新有無</t>
        </is>
      </c>
      <c r="D83" s="39" t="inlineStr">
        <is>
          <t>令和7年8月版の標準様式を入手し逐条突合を完了（要確認0件）。</t>
        </is>
      </c>
      <c r="E83" s="37" t="inlineStr">
        <is>
          <t>Ⅰ-11</t>
        </is>
      </c>
      <c r="F83" s="37" t="inlineStr">
        <is>
          <t>doc04,doc05</t>
        </is>
      </c>
      <c r="G83" s="37" t="inlineStr">
        <is>
          <t>解決済</t>
        </is>
      </c>
      <c r="H83" s="39" t="inlineStr"/>
    </row>
  </sheetData>
  <autoFilter ref="A4:H75"/>
  <mergeCells count="3">
    <mergeCell ref="A2:H2"/>
    <mergeCell ref="A77:H77"/>
    <mergeCell ref="A1:H1"/>
  </mergeCells>
  <dataValidations count="2">
    <dataValidation sqref="A5:A75" showDropDown="0" showInputMessage="0" showErrorMessage="0" allowBlank="1" type="list">
      <formula1>"S,A,B,C"</formula1>
    </dataValidation>
    <dataValidation sqref="G5:G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0"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0"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0" t="n">
        <v>46265</v>
      </c>
      <c r="E7" s="7" t="inlineStr">
        <is>
          <t>docs/…/08_第9期計画概要_計画実績突合.md</t>
        </is>
      </c>
      <c r="F7" s="4" t="inlineStr">
        <is>
          <t>受領済</t>
        </is>
      </c>
    </row>
    <row r="8" ht="28" customHeight="1">
      <c r="A8" s="32" t="inlineStr">
        <is>
          <t>現行計画</t>
        </is>
      </c>
      <c r="B8" s="31" t="inlineStr">
        <is>
          <t>★北塩原村第五次総合振興計画（2017〜2026）</t>
        </is>
      </c>
      <c r="C8" s="31" t="inlineStr">
        <is>
          <t>上位計画。第六次の策定状況も要確認</t>
        </is>
      </c>
      <c r="D8" s="32" t="inlineStr">
        <is>
          <t>―</t>
        </is>
      </c>
      <c r="E8" s="31" t="inlineStr">
        <is>
          <t>―</t>
        </is>
      </c>
      <c r="F8" s="32" t="inlineStr">
        <is>
          <t>未受領</t>
        </is>
      </c>
    </row>
    <row r="9" ht="28" customHeight="1">
      <c r="A9" s="32" t="inlineStr">
        <is>
          <t>現行計画</t>
        </is>
      </c>
      <c r="B9" s="31" t="inlineStr">
        <is>
          <t>★第3次健康きたしおばら21</t>
        </is>
      </c>
      <c r="C9" s="31" t="inlineStr">
        <is>
          <t>関連計画</t>
        </is>
      </c>
      <c r="D9" s="32" t="inlineStr">
        <is>
          <t>―</t>
        </is>
      </c>
      <c r="E9" s="31" t="inlineStr">
        <is>
          <t>―</t>
        </is>
      </c>
      <c r="F9" s="32" t="inlineStr">
        <is>
          <t>未受領</t>
        </is>
      </c>
    </row>
    <row r="10" ht="28" customHeight="1">
      <c r="A10" s="4" t="inlineStr">
        <is>
          <t>調査票</t>
        </is>
      </c>
      <c r="B10" s="7" t="inlineStr">
        <is>
          <t>キックオフ資料（0828版・082802版）</t>
        </is>
      </c>
      <c r="C10" s="7" t="inlineStr">
        <is>
          <t>2版をレビュー済</t>
        </is>
      </c>
      <c r="D10" s="40"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0"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0"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0"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0"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0"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0"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0"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0"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0"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0"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0" t="n">
        <v>46265</v>
      </c>
      <c r="E21" s="7" t="inlineStr">
        <is>
          <t>docs/…/09</t>
        </is>
      </c>
      <c r="F21" s="4" t="inlineStr">
        <is>
          <t>受領済</t>
        </is>
      </c>
    </row>
    <row r="22" ht="28" customHeight="1">
      <c r="A22" s="32" t="inlineStr">
        <is>
          <t>村データ</t>
        </is>
      </c>
      <c r="B22" s="31" t="inlineStr">
        <is>
          <t>★介護給付費準備基金の現在高</t>
        </is>
      </c>
      <c r="C22" s="31" t="inlineStr">
        <is>
          <t>令和6年度末実績・令和7年度末見込</t>
        </is>
      </c>
      <c r="D22" s="32" t="inlineStr">
        <is>
          <t>―</t>
        </is>
      </c>
      <c r="E22" s="31" t="inlineStr">
        <is>
          <t>―</t>
        </is>
      </c>
      <c r="F22" s="32" t="inlineStr">
        <is>
          <t>未受領</t>
        </is>
      </c>
    </row>
    <row r="23" ht="28" customHeight="1">
      <c r="A23" s="32" t="inlineStr">
        <is>
          <t>村データ</t>
        </is>
      </c>
      <c r="B23" s="31" t="inlineStr">
        <is>
          <t>★令和6年度決算・令和7年度給付費見込</t>
        </is>
      </c>
      <c r="C23" s="31" t="inlineStr">
        <is>
          <t>第9期の乖離確定に必要</t>
        </is>
      </c>
      <c r="D23" s="32" t="inlineStr">
        <is>
          <t>―</t>
        </is>
      </c>
      <c r="E23" s="31" t="inlineStr">
        <is>
          <t>―</t>
        </is>
      </c>
      <c r="F23" s="32" t="inlineStr">
        <is>
          <t>未受領</t>
        </is>
      </c>
    </row>
    <row r="24" ht="28" customHeight="1">
      <c r="A24" s="32" t="inlineStr">
        <is>
          <t>村データ</t>
        </is>
      </c>
      <c r="B24" s="31" t="inlineStr">
        <is>
          <t>★通いの場の実数（令和3〜7年度）</t>
        </is>
      </c>
      <c r="C24" s="31" t="inlineStr">
        <is>
          <t>見える化は令和2年度で更新停止</t>
        </is>
      </c>
      <c r="D24" s="32" t="inlineStr">
        <is>
          <t>―</t>
        </is>
      </c>
      <c r="E24" s="31" t="inlineStr">
        <is>
          <t>―</t>
        </is>
      </c>
      <c r="F24" s="32" t="inlineStr">
        <is>
          <t>未受領</t>
        </is>
      </c>
    </row>
    <row r="25" ht="28" customHeight="1">
      <c r="A25" s="32" t="inlineStr">
        <is>
          <t>村データ</t>
        </is>
      </c>
      <c r="B25" s="31" t="inlineStr">
        <is>
          <t>★高齢者福祉事業（村単独事業）の実績</t>
        </is>
      </c>
      <c r="C25" s="31" t="inlineStr">
        <is>
          <t>現行計画の評価に必要</t>
        </is>
      </c>
      <c r="D25" s="32" t="inlineStr">
        <is>
          <t>―</t>
        </is>
      </c>
      <c r="E25" s="31" t="inlineStr">
        <is>
          <t>―</t>
        </is>
      </c>
      <c r="F25" s="32" t="inlineStr">
        <is>
          <t>未受領</t>
        </is>
      </c>
    </row>
    <row r="26" ht="28" customHeight="1">
      <c r="A26" s="32" t="inlineStr">
        <is>
          <t>村データ</t>
        </is>
      </c>
      <c r="B26" s="31" t="inlineStr">
        <is>
          <t>★成年後見制度の利用実態・市民後見人養成実績</t>
        </is>
      </c>
      <c r="C26" s="31" t="inlineStr">
        <is>
          <t>見える化に該当データなし</t>
        </is>
      </c>
      <c r="D26" s="32" t="inlineStr">
        <is>
          <t>―</t>
        </is>
      </c>
      <c r="E26" s="31" t="inlineStr">
        <is>
          <t>―</t>
        </is>
      </c>
      <c r="F26" s="32" t="inlineStr">
        <is>
          <t>未受領</t>
        </is>
      </c>
    </row>
    <row r="27" ht="28" customHeight="1">
      <c r="A27" s="4" t="inlineStr">
        <is>
          <t>国資料</t>
        </is>
      </c>
      <c r="B27" s="7" t="inlineStr">
        <is>
          <t>令和8年度 交付金評価指標（市町村分）配点表</t>
        </is>
      </c>
      <c r="C27" s="7" t="inlineStr">
        <is>
          <t>全17頁。推進400点・支援400点、目標Ⅰ〜Ⅳ各100点</t>
        </is>
      </c>
      <c r="D27" s="40" t="n">
        <v>46267</v>
      </c>
      <c r="E27" s="7" t="inlineStr">
        <is>
          <t>docs/…/20_交付金評価結果分析.md</t>
        </is>
      </c>
      <c r="F27" s="4" t="inlineStr">
        <is>
          <t>受領済</t>
        </is>
      </c>
    </row>
    <row r="28" ht="28" customHeight="1">
      <c r="A28" s="4" t="inlineStr">
        <is>
          <t>国資料</t>
        </is>
      </c>
      <c r="B28" s="7" t="inlineStr">
        <is>
          <t>令和6年度 該当状況調査票集計表（全国一覧表）</t>
        </is>
      </c>
      <c r="C28" s="7" t="inlineStr">
        <is>
          <t>全国1,741市町村。村は第398行。合計295点</t>
        </is>
      </c>
      <c r="D28" s="40" t="n">
        <v>46267</v>
      </c>
      <c r="E28" s="7" t="inlineStr">
        <is>
          <t>docs/…/20_交付金評価結果分析.md</t>
        </is>
      </c>
      <c r="F28" s="4" t="inlineStr">
        <is>
          <t>受領済</t>
        </is>
      </c>
    </row>
    <row r="29" ht="28" customHeight="1">
      <c r="A29" s="4" t="inlineStr">
        <is>
          <t>国資料</t>
        </is>
      </c>
      <c r="B29" s="7" t="inlineStr">
        <is>
          <t>令和7年度 該当状況調査票集計表（全国集計・市町村）</t>
        </is>
      </c>
      <c r="C29" s="7" t="inlineStr">
        <is>
          <t>合計339点。全国平均435.0点</t>
        </is>
      </c>
      <c r="D29" s="40" t="n">
        <v>46267</v>
      </c>
      <c r="E29" s="7" t="inlineStr">
        <is>
          <t>docs/…/20_交付金評価結果分析.md</t>
        </is>
      </c>
      <c r="F29" s="4" t="inlineStr">
        <is>
          <t>受領済</t>
        </is>
      </c>
    </row>
    <row r="30" ht="28" customHeight="1">
      <c r="A30" s="4" t="inlineStr">
        <is>
          <t>国資料</t>
        </is>
      </c>
      <c r="B30" s="7" t="inlineStr">
        <is>
          <t>令和8年度 該当状況調査票集計表（全国集計・市町村）</t>
        </is>
      </c>
      <c r="C30" s="7" t="inlineStr">
        <is>
          <t>合計447点。全国平均455.1点／全国1,005位／県内34位</t>
        </is>
      </c>
      <c r="D30" s="40" t="n">
        <v>46267</v>
      </c>
      <c r="E30" s="7" t="inlineStr">
        <is>
          <t>docs/…/20_交付金評価結果分析.md</t>
        </is>
      </c>
      <c r="F30" s="4" t="inlineStr">
        <is>
          <t>受領済</t>
        </is>
      </c>
    </row>
    <row r="31" ht="28" customHeight="1">
      <c r="A31" s="4" t="inlineStr">
        <is>
          <t>関連計画</t>
        </is>
      </c>
      <c r="B31" s="7" t="inlineStr">
        <is>
          <t>第四次北塩原村生涯学習推進計画</t>
        </is>
      </c>
      <c r="C31" s="7" t="inlineStr">
        <is>
          <t>全112頁。2018〜2027年度。7z分割書庫4分割で受領</t>
        </is>
      </c>
      <c r="D31" s="40" t="n">
        <v>46267</v>
      </c>
      <c r="E31" s="7" t="inlineStr">
        <is>
          <t>docs/…/21_関連計画_第四次生涯学習推進計画.md</t>
        </is>
      </c>
      <c r="F31" s="4" t="inlineStr">
        <is>
          <t>受領済</t>
        </is>
      </c>
    </row>
    <row r="32" ht="28" customHeight="1">
      <c r="A32" s="32" t="inlineStr">
        <is>
          <t>村データ</t>
        </is>
      </c>
      <c r="B32" s="31" t="inlineStr">
        <is>
          <t>★要介護認定データ（調査票との関連付け用）</t>
        </is>
      </c>
      <c r="C32" s="31" t="inlineStr">
        <is>
          <t>仕様書4Ⅰ(5)。調査回収後に必要</t>
        </is>
      </c>
      <c r="D32" s="32" t="inlineStr">
        <is>
          <t>―</t>
        </is>
      </c>
      <c r="E32" s="31" t="inlineStr">
        <is>
          <t>―</t>
        </is>
      </c>
      <c r="F32" s="32" t="inlineStr">
        <is>
          <t>未受領</t>
        </is>
      </c>
    </row>
  </sheetData>
  <autoFilter ref="A4:F32"/>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5"/>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1" t="inlineStr">
        <is>
          <t>凡例・入力ルール／進捗集計</t>
        </is>
      </c>
    </row>
    <row r="4">
      <c r="B4" s="36" t="inlineStr">
        <is>
          <t>■ 入力する列（ここだけ編集してください）</t>
        </is>
      </c>
    </row>
    <row r="5">
      <c r="B5" s="42" t="inlineStr">
        <is>
          <t>予定開始・予定完了</t>
        </is>
      </c>
      <c r="C5" s="43" t="inlineStr">
        <is>
          <t>日付</t>
        </is>
      </c>
      <c r="D5" s="43" t="inlineStr">
        <is>
          <t>yyyy/mm/dd 形式で入力します。村との協議で工程が固まり次第、入力してください。</t>
        </is>
      </c>
      <c r="E5" s="44" t="n"/>
      <c r="F5" s="44" t="n"/>
      <c r="G5" s="44" t="n"/>
      <c r="H5" s="44" t="n"/>
    </row>
    <row r="6">
      <c r="B6" s="42" t="inlineStr">
        <is>
          <t>実績開始・実績完了</t>
        </is>
      </c>
      <c r="C6" s="43" t="inlineStr">
        <is>
          <t>日付</t>
        </is>
      </c>
      <c r="D6" s="43" t="inlineStr">
        <is>
          <t>着手日・完了日を実績として入力します。</t>
        </is>
      </c>
      <c r="E6" s="44" t="n"/>
      <c r="F6" s="44" t="n"/>
      <c r="G6" s="44" t="n"/>
      <c r="H6" s="44" t="n"/>
    </row>
    <row r="7">
      <c r="B7" s="42" t="inlineStr">
        <is>
          <t>進捗率</t>
        </is>
      </c>
      <c r="C7" s="43" t="inlineStr">
        <is>
          <t>％</t>
        </is>
      </c>
      <c r="D7" s="43" t="inlineStr">
        <is>
          <t>0〜100% を入力します。完了時は 100%。</t>
        </is>
      </c>
      <c r="E7" s="44" t="n"/>
      <c r="F7" s="44" t="n"/>
      <c r="G7" s="44" t="n"/>
      <c r="H7" s="44" t="n"/>
    </row>
    <row r="8">
      <c r="B8" s="42" t="inlineStr">
        <is>
          <t>ステータス</t>
        </is>
      </c>
      <c r="C8" s="43" t="inlineStr">
        <is>
          <t>選択</t>
        </is>
      </c>
      <c r="D8" s="43" t="inlineStr">
        <is>
          <t>未着手／着手／確認中／完了／保留／対象外 から選択します。</t>
        </is>
      </c>
      <c r="E8" s="44" t="n"/>
      <c r="F8" s="44" t="n"/>
      <c r="G8" s="44" t="n"/>
      <c r="H8" s="44" t="n"/>
    </row>
    <row r="9">
      <c r="B9" s="42" t="inlineStr">
        <is>
          <t>備考</t>
        </is>
      </c>
      <c r="C9" s="43" t="inlineStr">
        <is>
          <t>自由</t>
        </is>
      </c>
      <c r="D9" s="43" t="inlineStr">
        <is>
          <t>課題・懸案・村への確認事項などを記入します。</t>
        </is>
      </c>
      <c r="E9" s="44" t="n"/>
      <c r="F9" s="44" t="n"/>
      <c r="G9" s="44" t="n"/>
      <c r="H9" s="44" t="n"/>
    </row>
    <row r="11">
      <c r="B11" s="36" t="inlineStr">
        <is>
          <t>■ 行の塗り分け</t>
        </is>
      </c>
    </row>
    <row r="12">
      <c r="B12" s="45" t="inlineStr">
        <is>
          <t>薄い緑</t>
        </is>
      </c>
      <c r="C12" s="43" t="inlineStr">
        <is>
          <t>完了した作業です。</t>
        </is>
      </c>
      <c r="D12" s="44" t="n"/>
      <c r="E12" s="44" t="n"/>
      <c r="F12" s="44" t="n"/>
      <c r="G12" s="44" t="n"/>
      <c r="H12" s="44" t="n"/>
    </row>
    <row r="13">
      <c r="B13" s="46" t="inlineStr">
        <is>
          <t>薄い黄</t>
        </is>
      </c>
      <c r="C13" s="43" t="inlineStr">
        <is>
          <t>着手中・確認中の作業、または北塩原村が担当する作業です。</t>
        </is>
      </c>
      <c r="D13" s="44" t="n"/>
      <c r="E13" s="44" t="n"/>
      <c r="F13" s="44" t="n"/>
      <c r="G13" s="44" t="n"/>
      <c r="H13" s="44" t="n"/>
    </row>
    <row r="14">
      <c r="B14" s="47" t="inlineStr">
        <is>
          <t>薄い赤</t>
        </is>
      </c>
      <c r="C14" s="43" t="inlineStr">
        <is>
          <t>「村への確認事項」シートの優先度S・A、および未受領の資料です。</t>
        </is>
      </c>
      <c r="D14" s="44" t="n"/>
      <c r="E14" s="44" t="n"/>
      <c r="F14" s="44" t="n"/>
      <c r="G14" s="44" t="n"/>
      <c r="H14" s="44" t="n"/>
    </row>
    <row r="16">
      <c r="B16" s="36" t="inlineStr">
        <is>
          <t>■ 進捗集計（WBSシートから自動集計されます）</t>
        </is>
      </c>
    </row>
    <row r="17">
      <c r="B17" s="48" t="inlineStr">
        <is>
          <t>大分類</t>
        </is>
      </c>
      <c r="C17" s="48" t="inlineStr">
        <is>
          <t>件数</t>
        </is>
      </c>
      <c r="D17" s="48" t="inlineStr">
        <is>
          <t>未着手</t>
        </is>
      </c>
      <c r="E17" s="48" t="inlineStr">
        <is>
          <t>着手</t>
        </is>
      </c>
      <c r="F17" s="48" t="inlineStr">
        <is>
          <t>確認中</t>
        </is>
      </c>
      <c r="G17" s="48" t="inlineStr">
        <is>
          <t>完了</t>
        </is>
      </c>
      <c r="H17" s="48" t="inlineStr">
        <is>
          <t>保留</t>
        </is>
      </c>
      <c r="I17" s="48" t="inlineStr">
        <is>
          <t>対象外</t>
        </is>
      </c>
    </row>
    <row r="18">
      <c r="B18" s="43" t="inlineStr">
        <is>
          <t>０ 契約・立上げ</t>
        </is>
      </c>
      <c r="C18" s="49">
        <f>COUNTIF('WBS・進捗管理'!$B$5:$B$101,$B18)</f>
        <v/>
      </c>
      <c r="D18" s="49">
        <f>COUNTIFS('WBS・進捗管理'!$B$5:$B$101,$B18,'WBS・進捗管理'!$O$5:$O$101,D$17)</f>
        <v/>
      </c>
      <c r="E18" s="49">
        <f>COUNTIFS('WBS・進捗管理'!$B$5:$B$101,$B18,'WBS・進捗管理'!$O$5:$O$101,E$17)</f>
        <v/>
      </c>
      <c r="F18" s="49">
        <f>COUNTIFS('WBS・進捗管理'!$B$5:$B$101,$B18,'WBS・進捗管理'!$O$5:$O$101,F$17)</f>
        <v/>
      </c>
      <c r="G18" s="49">
        <f>COUNTIFS('WBS・進捗管理'!$B$5:$B$101,$B18,'WBS・進捗管理'!$O$5:$O$101,G$17)</f>
        <v/>
      </c>
      <c r="H18" s="49">
        <f>COUNTIFS('WBS・進捗管理'!$B$5:$B$101,$B18,'WBS・進捗管理'!$O$5:$O$101,H$17)</f>
        <v/>
      </c>
      <c r="I18" s="49">
        <f>COUNTIFS('WBS・進捗管理'!$B$5:$B$101,$B18,'WBS・進捗管理'!$O$5:$O$101,I$17)</f>
        <v/>
      </c>
    </row>
    <row r="19">
      <c r="B19" s="43" t="inlineStr">
        <is>
          <t>Ⅰ ニーズ調査</t>
        </is>
      </c>
      <c r="C19" s="49">
        <f>COUNTIF('WBS・進捗管理'!$B$5:$B$101,$B19)</f>
        <v/>
      </c>
      <c r="D19" s="49">
        <f>COUNTIFS('WBS・進捗管理'!$B$5:$B$101,$B19,'WBS・進捗管理'!$O$5:$O$101,D$17)</f>
        <v/>
      </c>
      <c r="E19" s="49">
        <f>COUNTIFS('WBS・進捗管理'!$B$5:$B$101,$B19,'WBS・進捗管理'!$O$5:$O$101,E$17)</f>
        <v/>
      </c>
      <c r="F19" s="49">
        <f>COUNTIFS('WBS・進捗管理'!$B$5:$B$101,$B19,'WBS・進捗管理'!$O$5:$O$101,F$17)</f>
        <v/>
      </c>
      <c r="G19" s="49">
        <f>COUNTIFS('WBS・進捗管理'!$B$5:$B$101,$B19,'WBS・進捗管理'!$O$5:$O$101,G$17)</f>
        <v/>
      </c>
      <c r="H19" s="49">
        <f>COUNTIFS('WBS・進捗管理'!$B$5:$B$101,$B19,'WBS・進捗管理'!$O$5:$O$101,H$17)</f>
        <v/>
      </c>
      <c r="I19" s="49">
        <f>COUNTIFS('WBS・進捗管理'!$B$5:$B$101,$B19,'WBS・進捗管理'!$O$5:$O$101,I$17)</f>
        <v/>
      </c>
    </row>
    <row r="20">
      <c r="B20" s="43" t="inlineStr">
        <is>
          <t>Ⅱ 計画策定</t>
        </is>
      </c>
      <c r="C20" s="49">
        <f>COUNTIF('WBS・進捗管理'!$B$5:$B$101,$B20)</f>
        <v/>
      </c>
      <c r="D20" s="49">
        <f>COUNTIFS('WBS・進捗管理'!$B$5:$B$101,$B20,'WBS・進捗管理'!$O$5:$O$101,D$17)</f>
        <v/>
      </c>
      <c r="E20" s="49">
        <f>COUNTIFS('WBS・進捗管理'!$B$5:$B$101,$B20,'WBS・進捗管理'!$O$5:$O$101,E$17)</f>
        <v/>
      </c>
      <c r="F20" s="49">
        <f>COUNTIFS('WBS・進捗管理'!$B$5:$B$101,$B20,'WBS・進捗管理'!$O$5:$O$101,F$17)</f>
        <v/>
      </c>
      <c r="G20" s="49">
        <f>COUNTIFS('WBS・進捗管理'!$B$5:$B$101,$B20,'WBS・進捗管理'!$O$5:$O$101,G$17)</f>
        <v/>
      </c>
      <c r="H20" s="49">
        <f>COUNTIFS('WBS・進捗管理'!$B$5:$B$101,$B20,'WBS・進捗管理'!$O$5:$O$101,H$17)</f>
        <v/>
      </c>
      <c r="I20" s="49">
        <f>COUNTIFS('WBS・進捗管理'!$B$5:$B$101,$B20,'WBS・進捗管理'!$O$5:$O$101,I$17)</f>
        <v/>
      </c>
    </row>
    <row r="21">
      <c r="B21" s="43" t="inlineStr">
        <is>
          <t>Ⅲ 打合せ等</t>
        </is>
      </c>
      <c r="C21" s="49">
        <f>COUNTIF('WBS・進捗管理'!$B$5:$B$101,$B21)</f>
        <v/>
      </c>
      <c r="D21" s="49">
        <f>COUNTIFS('WBS・進捗管理'!$B$5:$B$101,$B21,'WBS・進捗管理'!$O$5:$O$101,D$17)</f>
        <v/>
      </c>
      <c r="E21" s="49">
        <f>COUNTIFS('WBS・進捗管理'!$B$5:$B$101,$B21,'WBS・進捗管理'!$O$5:$O$101,E$17)</f>
        <v/>
      </c>
      <c r="F21" s="49">
        <f>COUNTIFS('WBS・進捗管理'!$B$5:$B$101,$B21,'WBS・進捗管理'!$O$5:$O$101,F$17)</f>
        <v/>
      </c>
      <c r="G21" s="49">
        <f>COUNTIFS('WBS・進捗管理'!$B$5:$B$101,$B21,'WBS・進捗管理'!$O$5:$O$101,G$17)</f>
        <v/>
      </c>
      <c r="H21" s="49">
        <f>COUNTIFS('WBS・進捗管理'!$B$5:$B$101,$B21,'WBS・進捗管理'!$O$5:$O$101,H$17)</f>
        <v/>
      </c>
      <c r="I21" s="49">
        <f>COUNTIFS('WBS・進捗管理'!$B$5:$B$101,$B21,'WBS・進捗管理'!$O$5:$O$101,I$17)</f>
        <v/>
      </c>
    </row>
    <row r="22">
      <c r="B22" s="43" t="inlineStr">
        <is>
          <t>Ⅳ 成果品・納品</t>
        </is>
      </c>
      <c r="C22" s="49">
        <f>COUNTIF('WBS・進捗管理'!$B$5:$B$101,$B22)</f>
        <v/>
      </c>
      <c r="D22" s="49">
        <f>COUNTIFS('WBS・進捗管理'!$B$5:$B$101,$B22,'WBS・進捗管理'!$O$5:$O$101,D$17)</f>
        <v/>
      </c>
      <c r="E22" s="49">
        <f>COUNTIFS('WBS・進捗管理'!$B$5:$B$101,$B22,'WBS・進捗管理'!$O$5:$O$101,E$17)</f>
        <v/>
      </c>
      <c r="F22" s="49">
        <f>COUNTIFS('WBS・進捗管理'!$B$5:$B$101,$B22,'WBS・進捗管理'!$O$5:$O$101,F$17)</f>
        <v/>
      </c>
      <c r="G22" s="49">
        <f>COUNTIFS('WBS・進捗管理'!$B$5:$B$101,$B22,'WBS・進捗管理'!$O$5:$O$101,G$17)</f>
        <v/>
      </c>
      <c r="H22" s="49">
        <f>COUNTIFS('WBS・進捗管理'!$B$5:$B$101,$B22,'WBS・進捗管理'!$O$5:$O$101,H$17)</f>
        <v/>
      </c>
      <c r="I22" s="49">
        <f>COUNTIFS('WBS・進捗管理'!$B$5:$B$101,$B22,'WBS・進捗管理'!$O$5:$O$101,I$17)</f>
        <v/>
      </c>
    </row>
    <row r="23">
      <c r="B23" s="43" t="inlineStr">
        <is>
          <t>Ⅴ 管理</t>
        </is>
      </c>
      <c r="C23" s="49">
        <f>COUNTIF('WBS・進捗管理'!$B$5:$B$101,$B23)</f>
        <v/>
      </c>
      <c r="D23" s="49">
        <f>COUNTIFS('WBS・進捗管理'!$B$5:$B$101,$B23,'WBS・進捗管理'!$O$5:$O$101,D$17)</f>
        <v/>
      </c>
      <c r="E23" s="49">
        <f>COUNTIFS('WBS・進捗管理'!$B$5:$B$101,$B23,'WBS・進捗管理'!$O$5:$O$101,E$17)</f>
        <v/>
      </c>
      <c r="F23" s="49">
        <f>COUNTIFS('WBS・進捗管理'!$B$5:$B$101,$B23,'WBS・進捗管理'!$O$5:$O$101,F$17)</f>
        <v/>
      </c>
      <c r="G23" s="49">
        <f>COUNTIFS('WBS・進捗管理'!$B$5:$B$101,$B23,'WBS・進捗管理'!$O$5:$O$101,G$17)</f>
        <v/>
      </c>
      <c r="H23" s="49">
        <f>COUNTIFS('WBS・進捗管理'!$B$5:$B$101,$B23,'WBS・進捗管理'!$O$5:$O$101,H$17)</f>
        <v/>
      </c>
      <c r="I23" s="49">
        <f>COUNTIFS('WBS・進捗管理'!$B$5:$B$101,$B23,'WBS・進捗管理'!$O$5:$O$101,I$17)</f>
        <v/>
      </c>
    </row>
    <row r="24">
      <c r="B24" s="50" t="inlineStr">
        <is>
          <t>合計</t>
        </is>
      </c>
      <c r="C24" s="51">
        <f>SUM(C18:C23)</f>
        <v/>
      </c>
      <c r="D24" s="51">
        <f>SUM(D18:D23)</f>
        <v/>
      </c>
      <c r="E24" s="51">
        <f>SUM(E18:E23)</f>
        <v/>
      </c>
      <c r="F24" s="51">
        <f>SUM(F18:F23)</f>
        <v/>
      </c>
      <c r="G24" s="51">
        <f>SUM(G18:G23)</f>
        <v/>
      </c>
      <c r="H24" s="51">
        <f>SUM(H18:H23)</f>
        <v/>
      </c>
      <c r="I24" s="51">
        <f>SUM(I18:I23)</f>
        <v/>
      </c>
    </row>
    <row r="26">
      <c r="B26" s="36" t="inlineStr">
        <is>
          <t>■ 主要指標</t>
        </is>
      </c>
    </row>
    <row r="27">
      <c r="B27" s="52" t="inlineStr">
        <is>
          <t>全体進捗率（平均）</t>
        </is>
      </c>
      <c r="C27" s="53">
        <f>AVERAGE('WBS・進捗管理'!$N$5:$N$101)</f>
        <v/>
      </c>
    </row>
    <row r="28">
      <c r="B28" s="52" t="inlineStr">
        <is>
          <t>作業総数</t>
        </is>
      </c>
      <c r="C28" s="54">
        <f>COUNTA('WBS・進捗管理'!$A$5:$A$101)</f>
        <v/>
      </c>
    </row>
    <row r="29">
      <c r="B29" s="52" t="inlineStr">
        <is>
          <t>完了した作業</t>
        </is>
      </c>
      <c r="C29" s="54">
        <f>COUNTIF('WBS・進捗管理'!$O$5:$O$101,"完了")</f>
        <v/>
      </c>
    </row>
    <row r="30">
      <c r="B30" s="52" t="inlineStr">
        <is>
          <t>着手・確認中の作業</t>
        </is>
      </c>
      <c r="C30" s="54">
        <f>COUNTIF('WBS・進捗管理'!$O$5:$O$101,"着手")+COUNTIF('WBS・進捗管理'!$O$5:$O$101,"確認中")</f>
        <v/>
      </c>
    </row>
    <row r="31">
      <c r="B31" s="52" t="inlineStr">
        <is>
          <t>未着手の作業</t>
        </is>
      </c>
      <c r="C31" s="54">
        <f>COUNTIF('WBS・進捗管理'!$O$5:$O$101,"未着手")</f>
        <v/>
      </c>
    </row>
    <row r="32">
      <c r="B32" s="52" t="inlineStr">
        <is>
          <t>村への確認事項（優先度S）</t>
        </is>
      </c>
      <c r="C32" s="54">
        <f>COUNTIF('村への確認事項'!$A:$A,"S")</f>
        <v/>
      </c>
    </row>
    <row r="33">
      <c r="B33" s="52" t="inlineStr">
        <is>
          <t>村への確認事項（優先度A）</t>
        </is>
      </c>
      <c r="C33" s="54">
        <f>COUNTIF('村への確認事項'!$A:$A,"A")</f>
        <v/>
      </c>
    </row>
    <row r="34">
      <c r="B34" s="52" t="inlineStr">
        <is>
          <t>村への確認事項（未依頼）</t>
        </is>
      </c>
      <c r="C34" s="54">
        <f>COUNTIF('村への確認事項'!$G:$G,"未依頼")</f>
        <v/>
      </c>
    </row>
    <row r="35">
      <c r="B35" s="52" t="inlineStr">
        <is>
          <t>未受領の資料・データ</t>
        </is>
      </c>
      <c r="C35" s="54">
        <f>COUNTIF('受領資料・データ管理'!$F:$F,"未受領")</f>
        <v/>
      </c>
    </row>
    <row r="37">
      <c r="B37" s="36" t="inlineStr">
        <is>
          <t>■ 直近のマイルストーン（基準日 令和8年9月2日）</t>
        </is>
      </c>
    </row>
    <row r="38">
      <c r="B38" s="55" t="inlineStr"/>
      <c r="C38" s="55" t="inlineStr">
        <is>
          <t>期日</t>
        </is>
      </c>
      <c r="D38" s="55" t="inlineStr">
        <is>
          <t>内容</t>
        </is>
      </c>
      <c r="E38" s="55" t="inlineStr">
        <is>
          <t>留意点</t>
        </is>
      </c>
    </row>
    <row r="39">
      <c r="B39" s="56" t="inlineStr">
        <is>
          <t>★</t>
        </is>
      </c>
      <c r="C39" s="57" t="inlineStr">
        <is>
          <t>令和8年9月1日（火）</t>
        </is>
      </c>
      <c r="D39" s="57" t="inlineStr">
        <is>
          <t>キックオフ会議（資料上の予定日）</t>
        </is>
      </c>
      <c r="E39" s="58" t="inlineStr">
        <is>
          <t>経過・結果未確認</t>
        </is>
      </c>
    </row>
    <row r="40">
      <c r="B40" s="56" t="inlineStr">
        <is>
          <t>★</t>
        </is>
      </c>
      <c r="C40" s="57" t="inlineStr">
        <is>
          <t>令和8年9月9日（水）</t>
        </is>
      </c>
      <c r="D40" s="57" t="inlineStr">
        <is>
          <t>調査票の入稿</t>
        </is>
      </c>
      <c r="E40" s="58" t="inlineStr">
        <is>
          <t>残り7日。優先度Sの決着が前提</t>
        </is>
      </c>
    </row>
    <row r="41">
      <c r="B41" s="23" t="inlineStr"/>
      <c r="C41" s="24" t="inlineStr">
        <is>
          <t>令和8年9月11日（金）</t>
        </is>
      </c>
      <c r="D41" s="24" t="inlineStr">
        <is>
          <t>宛名ラベル・配布用封筒の提供（前倒し案）</t>
        </is>
      </c>
      <c r="E41" s="25" t="inlineStr">
        <is>
          <t>村。原案は9/14</t>
        </is>
      </c>
    </row>
    <row r="42">
      <c r="B42" s="23" t="inlineStr"/>
      <c r="C42" s="24" t="inlineStr">
        <is>
          <t>令和8年9月16〜17日</t>
        </is>
      </c>
      <c r="D42" s="24" t="inlineStr">
        <is>
          <t>宛名貼付・封入・封緘</t>
        </is>
      </c>
      <c r="E42" s="25" t="inlineStr">
        <is>
          <t>受託者</t>
        </is>
      </c>
    </row>
    <row r="43">
      <c r="B43" s="56" t="inlineStr">
        <is>
          <t>★</t>
        </is>
      </c>
      <c r="C43" s="57" t="inlineStr">
        <is>
          <t>令和8年9月18日（金）</t>
        </is>
      </c>
      <c r="D43" s="57" t="inlineStr">
        <is>
          <t>発送（案）</t>
        </is>
      </c>
      <c r="E43" s="58" t="inlineStr">
        <is>
          <t>★5連休（9/19〜9/23）の直前。9/17前倒しを協議</t>
        </is>
      </c>
    </row>
    <row r="44">
      <c r="B44" s="56" t="inlineStr">
        <is>
          <t>★</t>
        </is>
      </c>
      <c r="C44" s="57" t="inlineStr">
        <is>
          <t>令和8年9月30日（水）</t>
        </is>
      </c>
      <c r="D44" s="57" t="inlineStr">
        <is>
          <t>策定委員会 現委員の任期満了</t>
        </is>
      </c>
      <c r="E44" s="58" t="inlineStr">
        <is>
          <t>★10月中の改選・委嘱が必要</t>
        </is>
      </c>
    </row>
    <row r="45">
      <c r="B45" s="23" t="inlineStr"/>
      <c r="C45" s="24" t="inlineStr">
        <is>
          <t>令和8年10月上旬</t>
        </is>
      </c>
      <c r="D45" s="24" t="inlineStr">
        <is>
          <t>督促（リマインド）の要否判断</t>
        </is>
      </c>
      <c r="E45" s="25" t="inlineStr">
        <is>
          <t>第9期の在宅調査回収率45.8%を踏まえ</t>
        </is>
      </c>
    </row>
    <row r="46">
      <c r="B46" s="23" t="inlineStr"/>
      <c r="C46" s="24" t="inlineStr">
        <is>
          <t>令和8年11月</t>
        </is>
      </c>
      <c r="D46" s="24" t="inlineStr">
        <is>
          <t>第1回策定委員会</t>
        </is>
      </c>
      <c r="E46" s="25" t="inlineStr">
        <is>
          <t>委員改選の完了が前提</t>
        </is>
      </c>
    </row>
    <row r="47">
      <c r="B47" s="56" t="inlineStr">
        <is>
          <t>★</t>
        </is>
      </c>
      <c r="C47" s="57" t="inlineStr">
        <is>
          <t>令和8年12月中旬</t>
        </is>
      </c>
      <c r="D47" s="57" t="inlineStr">
        <is>
          <t>第2回策定委員会</t>
        </is>
      </c>
      <c r="E47" s="58" t="inlineStr">
        <is>
          <t>★12月を外すと第3回が3月となり履行期限に間に合わない</t>
        </is>
      </c>
    </row>
    <row r="48">
      <c r="B48" s="23" t="inlineStr"/>
      <c r="C48" s="24" t="inlineStr">
        <is>
          <t>令和9年2月</t>
        </is>
      </c>
      <c r="D48" s="24" t="inlineStr">
        <is>
          <t>第3回策定委員会</t>
        </is>
      </c>
      <c r="E48" s="25" t="inlineStr"/>
    </row>
    <row r="49">
      <c r="B49" s="23" t="inlineStr"/>
      <c r="C49" s="24" t="inlineStr">
        <is>
          <t>令和9年3月31日</t>
        </is>
      </c>
      <c r="D49" s="24" t="inlineStr">
        <is>
          <t>履行期限（納品・検収）</t>
        </is>
      </c>
      <c r="E49" s="25" t="inlineStr"/>
    </row>
    <row r="51">
      <c r="B51" s="59" t="inlineStr">
        <is>
          <t>※「仕様書該当」欄の凡例：仕様書＝8北保福第483号 別紙／手引き＝厚生労働省の実施の手引き（令和7年8月版）／確認＝本業務での確認事項</t>
        </is>
      </c>
    </row>
    <row r="52">
      <c r="B52" s="59" t="inlineStr">
        <is>
          <t>※ 想定時期は仕様書の履行期限（令和9年3月31日）から逆算した目安です。村との協議結果により確定します。</t>
        </is>
      </c>
    </row>
    <row r="53">
      <c r="B53" s="59" t="inlineStr">
        <is>
          <t>※ 令和8年9月19日（土）〜23日（水）は5連休（敬老の日9/21・国民の休日9/22・秋分の日9/23）です。発送・回収工程に影響します。</t>
        </is>
      </c>
    </row>
    <row r="54">
      <c r="B54" s="59" t="inlineStr">
        <is>
          <t>※ 進捗基準日は令和8年9月2日です。備考欄の doc番号は docs/北塩原村_第10期/ 配下の分析資料に対応します。</t>
        </is>
      </c>
    </row>
    <row r="55">
      <c r="B55" s="59" t="inlineStr">
        <is>
          <t>※ マイルストーンの★印は、遅れると後続工程が連鎖的に破綻する項目です。</t>
        </is>
      </c>
    </row>
  </sheetData>
  <mergeCells count="14">
    <mergeCell ref="D7:H7"/>
    <mergeCell ref="D8:H8"/>
    <mergeCell ref="D6:H6"/>
    <mergeCell ref="B26:H26"/>
    <mergeCell ref="C14:H14"/>
    <mergeCell ref="B4:H4"/>
    <mergeCell ref="C13:H13"/>
    <mergeCell ref="D5:H5"/>
    <mergeCell ref="B2:H2"/>
    <mergeCell ref="B16:H16"/>
    <mergeCell ref="B11:H11"/>
    <mergeCell ref="C12:H12"/>
    <mergeCell ref="B37:H37"/>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2026-09-02T09:23:22Z</dcterms:created>
  <dcterms:modified xmlns:dcterms="http://purl.org/dc/terms/" xmlns:xsi="http://www.w3.org/2001/XMLSchema-instance" xsi:type="dcterms:W3CDTF">2026-09-02T09:23:22Z</dcterms:modified>
</cp:coreProperties>
</file>