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・進捗管理" sheetId="1" state="visible" r:id="rId1"/>
    <sheet name="村への確認事項" sheetId="2" state="visible" r:id="rId2"/>
    <sheet name="受領資料・データ管理" sheetId="3" state="visible" r:id="rId3"/>
    <sheet name="凡例・集計" sheetId="4" state="visible" r:id="rId4"/>
  </sheets>
  <definedNames>
    <definedName name="_xlnm._FilterDatabase" localSheetId="0" hidden="1">'WBS・進捗管理'!$A$4:$P$101</definedName>
    <definedName name="_xlnm._FilterDatabase" localSheetId="1" hidden="1">'村への確認事項'!$A$4:$H$64</definedName>
    <definedName name="_xlnm._FilterDatabase" localSheetId="2" hidden="1">'受領資料・データ管理'!$A$4:$F$29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"/>
    <numFmt numFmtId="166" formatCode="0.0%"/>
  </numFmts>
  <fonts count="11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sz val="9"/>
    </font>
    <font>
      <name val="游ゴシック"/>
      <b val="1"/>
      <color rgb="00FFFFFF"/>
      <sz val="10"/>
    </font>
    <font>
      <name val="游ゴシック"/>
      <b val="1"/>
      <color rgb="001F3864"/>
      <sz val="9"/>
    </font>
    <font>
      <name val="游ゴシック"/>
      <b val="1"/>
      <sz val="9"/>
    </font>
    <font>
      <name val="游ゴシック"/>
      <b val="1"/>
      <sz val="10"/>
    </font>
    <font>
      <name val="游ゴシック"/>
      <b val="1"/>
      <color rgb="00FFFFFF"/>
      <sz val="13"/>
    </font>
    <font>
      <name val="游ゴシック"/>
      <b val="1"/>
      <color rgb="00FFFFFF"/>
      <sz val="9"/>
    </font>
    <font>
      <name val="游ゴシック"/>
      <b val="1"/>
      <color rgb="001F3864"/>
      <sz val="12"/>
    </font>
    <font>
      <name val="游ゴシック"/>
      <sz val="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7FAFC"/>
      </patternFill>
    </fill>
    <fill>
      <patternFill patternType="solid">
        <fgColor rgb="00FF5050"/>
      </patternFill>
    </fill>
    <fill>
      <patternFill patternType="solid">
        <fgColor rgb="00FFF3F3"/>
      </patternFill>
    </fill>
    <fill>
      <patternFill patternType="solid">
        <fgColor rgb="00FFC000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left" vertical="top"/>
    </xf>
    <xf numFmtId="9" fontId="2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left" vertical="top" wrapText="1"/>
    </xf>
    <xf numFmtId="165" fontId="2" fillId="6" borderId="1" applyAlignment="1" pivotButton="0" quotePrefix="0" xfId="0">
      <alignment horizontal="left" vertical="top"/>
    </xf>
    <xf numFmtId="9" fontId="2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165" fontId="2" fillId="7" borderId="1" applyAlignment="1" pivotButton="0" quotePrefix="0" xfId="0">
      <alignment horizontal="left" vertical="top"/>
    </xf>
    <xf numFmtId="9" fontId="2" fillId="7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65" fontId="2" fillId="0" borderId="1" applyAlignment="1" pivotButton="0" quotePrefix="0" xfId="0">
      <alignment horizontal="left" vertical="top"/>
    </xf>
    <xf numFmtId="9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6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center" vertical="top"/>
    </xf>
    <xf numFmtId="0" fontId="6" fillId="11" borderId="1" applyAlignment="1" pivotButton="0" quotePrefix="0" xfId="0">
      <alignment horizontal="center" vertical="top"/>
    </xf>
    <xf numFmtId="0" fontId="6" fillId="12" borderId="1" applyAlignment="1" pivotButton="0" quotePrefix="0" xfId="0">
      <alignment horizontal="center" vertical="top"/>
    </xf>
    <xf numFmtId="0" fontId="3" fillId="4" borderId="0" applyAlignment="1" pivotButton="0" quotePrefix="0" xfId="0">
      <alignment horizontal="left" vertical="center" indent="1"/>
    </xf>
    <xf numFmtId="0" fontId="2" fillId="13" borderId="1" applyAlignment="1" pivotButton="0" quotePrefix="0" xfId="0">
      <alignment horizontal="center" vertical="top"/>
    </xf>
    <xf numFmtId="0" fontId="2" fillId="13" borderId="1" applyAlignment="1" pivotButton="0" quotePrefix="0" xfId="0">
      <alignment horizontal="left" vertical="top"/>
    </xf>
    <xf numFmtId="0" fontId="2" fillId="13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5" fillId="9" borderId="1" pivotButton="0" quotePrefix="0" xfId="0"/>
    <xf numFmtId="0" fontId="8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6" fillId="0" borderId="1" pivotButton="0" quotePrefix="0" xfId="0"/>
    <xf numFmtId="166" fontId="9" fillId="14" borderId="1" applyAlignment="1" pivotButton="0" quotePrefix="0" xfId="0">
      <alignment horizontal="center"/>
    </xf>
    <xf numFmtId="1" fontId="9" fillId="14" borderId="1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42" customWidth="1" min="4" max="4"/>
    <col width="11" customWidth="1" min="5" max="5"/>
    <col width="9" customWidth="1" min="6" max="6"/>
    <col width="26" customWidth="1" min="7" max="7"/>
    <col width="34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8" customWidth="1" min="14" max="14"/>
    <col width="10" customWidth="1" min="15" max="15"/>
    <col width="52" customWidth="1" min="16" max="16"/>
  </cols>
  <sheetData>
    <row r="1" ht="30" customHeight="1">
      <c r="A1" s="1" t="inlineStr">
        <is>
          <t>第10期北塩原村高齢者福祉計画・第10期北塩原村介護保険事業計画　策定業務　WBS／進捗管理表</t>
        </is>
      </c>
    </row>
    <row r="2" ht="20" customHeight="1">
      <c r="A2" s="2" t="inlineStr">
        <is>
          <t>委託第27号／業務期間：契約締結の日〜令和9年3月31日／計画期間：令和9〜11年度　｜　出典：仕様書（8北保福第483号 別紙）4「業務の内容」を作業レベルに分解　｜　進捗基準日：令和8年8月31日</t>
        </is>
      </c>
    </row>
    <row r="4" ht="34" customHeight="1">
      <c r="A4" s="3" t="inlineStr">
        <is>
          <t>No.</t>
        </is>
      </c>
      <c r="B4" s="3" t="inlineStr">
        <is>
          <t>大分類</t>
        </is>
      </c>
      <c r="C4" s="3" t="inlineStr">
        <is>
          <t>中分類</t>
        </is>
      </c>
      <c r="D4" s="3" t="inlineStr">
        <is>
          <t>作業項目</t>
        </is>
      </c>
      <c r="E4" s="3" t="inlineStr">
        <is>
          <t>仕様書該当</t>
        </is>
      </c>
      <c r="F4" s="3" t="inlineStr">
        <is>
          <t>担当</t>
        </is>
      </c>
      <c r="G4" s="3" t="inlineStr">
        <is>
          <t>成果物・アウトプット</t>
        </is>
      </c>
      <c r="H4" s="3" t="inlineStr">
        <is>
          <t>前提・依存</t>
        </is>
      </c>
      <c r="I4" s="3" t="inlineStr">
        <is>
          <t>想定時期</t>
        </is>
      </c>
      <c r="J4" s="3" t="inlineStr">
        <is>
          <t>予定開始</t>
        </is>
      </c>
      <c r="K4" s="3" t="inlineStr">
        <is>
          <t>予定完了</t>
        </is>
      </c>
      <c r="L4" s="3" t="inlineStr">
        <is>
          <t>実績開始</t>
        </is>
      </c>
      <c r="M4" s="3" t="inlineStr">
        <is>
          <t>実績完了</t>
        </is>
      </c>
      <c r="N4" s="3" t="inlineStr">
        <is>
          <t>進捗率</t>
        </is>
      </c>
      <c r="O4" s="3" t="inlineStr">
        <is>
          <t>ステータス</t>
        </is>
      </c>
      <c r="P4" s="3" t="inlineStr">
        <is>
          <t>備考</t>
        </is>
      </c>
    </row>
    <row r="5" ht="30" customHeight="1">
      <c r="A5" s="4" t="inlineStr">
        <is>
          <t>０-01</t>
        </is>
      </c>
      <c r="B5" s="5" t="inlineStr">
        <is>
          <t>０ 契約・立上げ</t>
        </is>
      </c>
      <c r="C5" s="6" t="inlineStr">
        <is>
          <t>契約手続</t>
        </is>
      </c>
      <c r="D5" s="7" t="inlineStr">
        <is>
          <t>見積書の提出</t>
        </is>
      </c>
      <c r="E5" s="4" t="inlineStr">
        <is>
          <t>通知2</t>
        </is>
      </c>
      <c r="F5" s="4" t="inlineStr">
        <is>
          <t>受託者</t>
        </is>
      </c>
      <c r="G5" s="7" t="inlineStr">
        <is>
          <t>見積書</t>
        </is>
      </c>
      <c r="H5" s="7" t="inlineStr"/>
      <c r="I5" s="4" t="inlineStr">
        <is>
          <t>R8.8</t>
        </is>
      </c>
      <c r="J5" s="8" t="n"/>
      <c r="K5" s="8" t="n"/>
      <c r="L5" s="8" t="n">
        <v>46235</v>
      </c>
      <c r="M5" s="8" t="n">
        <v>46254</v>
      </c>
      <c r="N5" s="9" t="n">
        <v>1</v>
      </c>
      <c r="O5" s="10" t="inlineStr">
        <is>
          <t>完了</t>
        </is>
      </c>
      <c r="P5" s="7" t="inlineStr">
        <is>
          <t>受注決定の連絡を受領。</t>
        </is>
      </c>
    </row>
    <row r="6" ht="30" customHeight="1">
      <c r="A6" s="11" t="inlineStr">
        <is>
          <t>０-02</t>
        </is>
      </c>
      <c r="B6" s="12" t="inlineStr">
        <is>
          <t>０ 契約・立上げ</t>
        </is>
      </c>
      <c r="C6" s="12" t="inlineStr">
        <is>
          <t>契約手続</t>
        </is>
      </c>
      <c r="D6" s="13" t="inlineStr">
        <is>
          <t>契約締結</t>
        </is>
      </c>
      <c r="E6" s="11" t="inlineStr">
        <is>
          <t>仕様書3</t>
        </is>
      </c>
      <c r="F6" s="11" t="inlineStr">
        <is>
          <t>双方</t>
        </is>
      </c>
      <c r="G6" s="13" t="inlineStr">
        <is>
          <t>委託契約書</t>
        </is>
      </c>
      <c r="H6" s="13" t="inlineStr">
        <is>
          <t>北塩原村委託契約約款に準拠</t>
        </is>
      </c>
      <c r="I6" s="11" t="inlineStr">
        <is>
          <t>R8.9</t>
        </is>
      </c>
      <c r="J6" s="14" t="n"/>
      <c r="K6" s="14" t="n"/>
      <c r="L6" s="14" t="n"/>
      <c r="M6" s="14" t="n"/>
      <c r="N6" s="15" t="n">
        <v>0.5</v>
      </c>
      <c r="O6" s="16" t="inlineStr">
        <is>
          <t>確認中</t>
        </is>
      </c>
      <c r="P6" s="13" t="inlineStr">
        <is>
          <t>受注決定は連絡済。契約締結日・契約書の取り交わし状況を要確認。</t>
        </is>
      </c>
    </row>
    <row r="7" ht="30" customHeight="1">
      <c r="A7" s="11" t="inlineStr">
        <is>
          <t>０-03</t>
        </is>
      </c>
      <c r="B7" s="12" t="inlineStr">
        <is>
          <t>０ 契約・立上げ</t>
        </is>
      </c>
      <c r="C7" s="12" t="inlineStr">
        <is>
          <t>立上げ</t>
        </is>
      </c>
      <c r="D7" s="13" t="inlineStr">
        <is>
          <t>キックオフ会議の開催</t>
        </is>
      </c>
      <c r="E7" s="11" t="inlineStr">
        <is>
          <t>仕様書4Ⅲ</t>
        </is>
      </c>
      <c r="F7" s="11" t="inlineStr">
        <is>
          <t>双方</t>
        </is>
      </c>
      <c r="G7" s="13" t="inlineStr">
        <is>
          <t>キックオフ会議資料・議事録</t>
        </is>
      </c>
      <c r="H7" s="13" t="inlineStr"/>
      <c r="I7" s="11" t="inlineStr">
        <is>
          <t>R8.9上</t>
        </is>
      </c>
      <c r="J7" s="14" t="n"/>
      <c r="K7" s="14" t="n"/>
      <c r="L7" s="14" t="n">
        <v>46259</v>
      </c>
      <c r="M7" s="14" t="n"/>
      <c r="N7" s="15" t="n">
        <v>0.7</v>
      </c>
      <c r="O7" s="16" t="inlineStr">
        <is>
          <t>着手</t>
        </is>
      </c>
      <c r="P7" s="13" t="inlineStr">
        <is>
          <t>キックオフ資料を2版レビュー済（0828版・082802版／doc03・doc06）。開催日程が未確定。</t>
        </is>
      </c>
    </row>
    <row r="8" ht="30" customHeight="1">
      <c r="A8" s="11" t="inlineStr">
        <is>
          <t>０-04</t>
        </is>
      </c>
      <c r="B8" s="12" t="inlineStr">
        <is>
          <t>０ 契約・立上げ</t>
        </is>
      </c>
      <c r="C8" s="12" t="inlineStr">
        <is>
          <t>立上げ</t>
        </is>
      </c>
      <c r="D8" s="13" t="inlineStr">
        <is>
          <t>連絡体制・資料授受方法の確定</t>
        </is>
      </c>
      <c r="E8" s="11" t="inlineStr">
        <is>
          <t>仕様書4Ⅲ</t>
        </is>
      </c>
      <c r="F8" s="11" t="inlineStr">
        <is>
          <t>双方</t>
        </is>
      </c>
      <c r="G8" s="13" t="inlineStr">
        <is>
          <t>連絡体制表</t>
        </is>
      </c>
      <c r="H8" s="13" t="inlineStr">
        <is>
          <t>所管課（保健福祉課福祉係）の確認</t>
        </is>
      </c>
      <c r="I8" s="11" t="inlineStr">
        <is>
          <t>R8.9上</t>
        </is>
      </c>
      <c r="J8" s="14" t="n"/>
      <c r="K8" s="14" t="n"/>
      <c r="L8" s="14" t="n">
        <v>46259</v>
      </c>
      <c r="M8" s="14" t="n"/>
      <c r="N8" s="15" t="n">
        <v>0.5</v>
      </c>
      <c r="O8" s="16" t="inlineStr">
        <is>
          <t>着手</t>
        </is>
      </c>
      <c r="P8" s="13" t="inlineStr">
        <is>
          <t>資料授受は継続中。所管課（住民課→保健福祉課）の確認が未了（doc01確認事項1）。</t>
        </is>
      </c>
    </row>
    <row r="9" ht="30" customHeight="1">
      <c r="A9" s="11" t="inlineStr">
        <is>
          <t>０-05</t>
        </is>
      </c>
      <c r="B9" s="12" t="inlineStr">
        <is>
          <t>０ 契約・立上げ</t>
        </is>
      </c>
      <c r="C9" s="12" t="inlineStr">
        <is>
          <t>立上げ</t>
        </is>
      </c>
      <c r="D9" s="13" t="inlineStr">
        <is>
          <t>現行計画・関連計画・実績資料の受領</t>
        </is>
      </c>
      <c r="E9" s="11" t="inlineStr">
        <is>
          <t>仕様書4Ⅱ(2)</t>
        </is>
      </c>
      <c r="F9" s="11" t="inlineStr">
        <is>
          <t>北塩原村</t>
        </is>
      </c>
      <c r="G9" s="13" t="inlineStr">
        <is>
          <t>第9期計画書／第5次総合振興計画／第3次健康21ほか</t>
        </is>
      </c>
      <c r="H9" s="13" t="inlineStr"/>
      <c r="I9" s="11" t="inlineStr">
        <is>
          <t>R8.9上</t>
        </is>
      </c>
      <c r="J9" s="14" t="n"/>
      <c r="K9" s="14" t="n"/>
      <c r="L9" s="14" t="n">
        <v>46259</v>
      </c>
      <c r="M9" s="14" t="n"/>
      <c r="N9" s="15" t="n">
        <v>0.6</v>
      </c>
      <c r="O9" s="16" t="inlineStr">
        <is>
          <t>着手</t>
        </is>
      </c>
      <c r="P9" s="13" t="inlineStr">
        <is>
          <t>第9期計画書・第9期概要版（表裏）を受領。第五次総合振興計画・第3次健康21が未受領。</t>
        </is>
      </c>
    </row>
    <row r="10" ht="30" customHeight="1">
      <c r="A10" s="11" t="inlineStr">
        <is>
          <t>０-06</t>
        </is>
      </c>
      <c r="B10" s="12" t="inlineStr">
        <is>
          <t>０ 契約・立上げ</t>
        </is>
      </c>
      <c r="C10" s="12" t="inlineStr">
        <is>
          <t>立上げ</t>
        </is>
      </c>
      <c r="D10" s="13" t="inlineStr">
        <is>
          <t>見える化システムのID・パスワードの受領</t>
        </is>
      </c>
      <c r="E10" s="11" t="inlineStr">
        <is>
          <t>確認</t>
        </is>
      </c>
      <c r="F10" s="11" t="inlineStr">
        <is>
          <t>北塩原村</t>
        </is>
      </c>
      <c r="G10" s="13" t="inlineStr">
        <is>
          <t>アカウント情報</t>
        </is>
      </c>
      <c r="H10" s="13" t="inlineStr"/>
      <c r="I10" s="11" t="inlineStr">
        <is>
          <t>R8.9上</t>
        </is>
      </c>
      <c r="J10" s="14" t="n"/>
      <c r="K10" s="14" t="n"/>
      <c r="L10" s="14" t="n">
        <v>46259</v>
      </c>
      <c r="M10" s="14" t="n"/>
      <c r="N10" s="15" t="n">
        <v>0.8</v>
      </c>
      <c r="O10" s="16" t="inlineStr">
        <is>
          <t>着手</t>
        </is>
      </c>
      <c r="P10" s="13" t="inlineStr">
        <is>
          <t>見える化出力データ19,591レコードを受領済（doc02）。ID自体の授受は要確認。</t>
        </is>
      </c>
    </row>
    <row r="11" ht="30" customHeight="1">
      <c r="A11" s="11" t="inlineStr">
        <is>
          <t>Ⅰ-07</t>
        </is>
      </c>
      <c r="B11" s="17" t="inlineStr">
        <is>
          <t>Ⅰ ニーズ調査</t>
        </is>
      </c>
      <c r="C11" s="12" t="inlineStr">
        <is>
          <t>Ⅰ-1 調査設計</t>
        </is>
      </c>
      <c r="D11" s="13" t="inlineStr">
        <is>
          <t>調査手法の決定（在宅：手法Ⅰ〜Ⅳ）</t>
        </is>
      </c>
      <c r="E11" s="11" t="inlineStr">
        <is>
          <t>手引き／確認</t>
        </is>
      </c>
      <c r="F11" s="11" t="inlineStr">
        <is>
          <t>双方</t>
        </is>
      </c>
      <c r="G11" s="13" t="inlineStr">
        <is>
          <t>調査手法決定メモ</t>
        </is>
      </c>
      <c r="H11" s="13" t="inlineStr">
        <is>
          <t>手法Ⅲは自動集計ソフトなし。仕様書Ⅰ(5)との整合を要確認</t>
        </is>
      </c>
      <c r="I11" s="11" t="inlineStr">
        <is>
          <t>R8.9上</t>
        </is>
      </c>
      <c r="J11" s="14" t="n"/>
      <c r="K11" s="14" t="n"/>
      <c r="L11" s="14" t="n">
        <v>46259</v>
      </c>
      <c r="M11" s="14" t="n"/>
      <c r="N11" s="15" t="n">
        <v>0.6</v>
      </c>
      <c r="O11" s="16" t="inlineStr">
        <is>
          <t>確認中</t>
        </is>
      </c>
      <c r="P11" s="13" t="inlineStr">
        <is>
          <t>手法Ⅲを想定。第10期新設の手法Ⅳ（新版 在宅生活改善調査）の採否が未決。</t>
        </is>
      </c>
    </row>
    <row r="12" ht="30" customHeight="1">
      <c r="A12" s="11" t="inlineStr">
        <is>
          <t>Ⅰ-08</t>
        </is>
      </c>
      <c r="B12" s="12" t="inlineStr">
        <is>
          <t>Ⅰ ニーズ調査</t>
        </is>
      </c>
      <c r="C12" s="12" t="inlineStr">
        <is>
          <t>Ⅰ-1 調査設計</t>
        </is>
      </c>
      <c r="D12" s="13" t="inlineStr">
        <is>
          <t>調査対象者の抽出条件の確定</t>
        </is>
      </c>
      <c r="E12" s="11" t="inlineStr">
        <is>
          <t>仕様書4Ⅰ(1)</t>
        </is>
      </c>
      <c r="F12" s="11" t="inlineStr">
        <is>
          <t>双方</t>
        </is>
      </c>
      <c r="G12" s="13" t="inlineStr">
        <is>
          <t>抽出条件メモ</t>
        </is>
      </c>
      <c r="H12" s="13" t="inlineStr">
        <is>
          <t>①要支援を含むか②更新・区分変更に限るか③サ高住等を含むか</t>
        </is>
      </c>
      <c r="I12" s="11" t="inlineStr">
        <is>
          <t>R8.9上</t>
        </is>
      </c>
      <c r="J12" s="14" t="n"/>
      <c r="K12" s="14" t="n"/>
      <c r="L12" s="14" t="n">
        <v>46259</v>
      </c>
      <c r="M12" s="14" t="n"/>
      <c r="N12" s="15" t="n">
        <v>0.3</v>
      </c>
      <c r="O12" s="16" t="inlineStr">
        <is>
          <t>確認中</t>
        </is>
      </c>
      <c r="P12" s="13" t="inlineStr">
        <is>
          <t>3論点（要支援を含むか／更新・区分変更に限るか／サ高住等を含むか）を提示済。村回答待ち。</t>
        </is>
      </c>
    </row>
    <row r="13" ht="30" customHeight="1">
      <c r="A13" s="11" t="inlineStr">
        <is>
          <t>Ⅰ-09</t>
        </is>
      </c>
      <c r="B13" s="12" t="inlineStr">
        <is>
          <t>Ⅰ ニーズ調査</t>
        </is>
      </c>
      <c r="C13" s="12" t="inlineStr">
        <is>
          <t>Ⅰ-1 調査設計</t>
        </is>
      </c>
      <c r="D13" s="13" t="inlineStr">
        <is>
          <t>調査票の設計（ニーズ調査）</t>
        </is>
      </c>
      <c r="E13" s="11" t="inlineStr">
        <is>
          <t>仕様書4Ⅰ(2)</t>
        </is>
      </c>
      <c r="F13" s="11" t="inlineStr">
        <is>
          <t>受託者</t>
        </is>
      </c>
      <c r="G13" s="13" t="inlineStr">
        <is>
          <t>調査票案</t>
        </is>
      </c>
      <c r="H13" s="13" t="inlineStr">
        <is>
          <t>厚労省令和7年8月版様式を基礎</t>
        </is>
      </c>
      <c r="I13" s="11" t="inlineStr">
        <is>
          <t>R8.9上</t>
        </is>
      </c>
      <c r="J13" s="14" t="n"/>
      <c r="K13" s="14" t="n"/>
      <c r="L13" s="14" t="n">
        <v>46259</v>
      </c>
      <c r="M13" s="14" t="n"/>
      <c r="N13" s="15" t="n">
        <v>0.75</v>
      </c>
      <c r="O13" s="16" t="inlineStr">
        <is>
          <t>着手</t>
        </is>
      </c>
      <c r="P13" s="13" t="inlineStr">
        <is>
          <t>資料B・C・C'をレビューし指摘一覧（村提出用1枚もの）を作成済（doc03・doc04・artifact06）。</t>
        </is>
      </c>
    </row>
    <row r="14" ht="30" customHeight="1">
      <c r="A14" s="11" t="inlineStr">
        <is>
          <t>Ⅰ-10</t>
        </is>
      </c>
      <c r="B14" s="12" t="inlineStr">
        <is>
          <t>Ⅰ ニーズ調査</t>
        </is>
      </c>
      <c r="C14" s="12" t="inlineStr">
        <is>
          <t>Ⅰ-1 調査設計</t>
        </is>
      </c>
      <c r="D14" s="13" t="inlineStr">
        <is>
          <t>調査票の設計（在宅介護実態調査）</t>
        </is>
      </c>
      <c r="E14" s="11" t="inlineStr">
        <is>
          <t>仕様書4Ⅰ(2)</t>
        </is>
      </c>
      <c r="F14" s="11" t="inlineStr">
        <is>
          <t>受託者</t>
        </is>
      </c>
      <c r="G14" s="13" t="inlineStr">
        <is>
          <t>調査票案</t>
        </is>
      </c>
      <c r="H14" s="13" t="inlineStr">
        <is>
          <t>調査手法の決定が前提</t>
        </is>
      </c>
      <c r="I14" s="11" t="inlineStr">
        <is>
          <t>R8.9上</t>
        </is>
      </c>
      <c r="J14" s="14" t="n"/>
      <c r="K14" s="14" t="n"/>
      <c r="L14" s="14" t="n">
        <v>46259</v>
      </c>
      <c r="M14" s="14" t="n"/>
      <c r="N14" s="15" t="n">
        <v>0.75</v>
      </c>
      <c r="O14" s="16" t="inlineStr">
        <is>
          <t>着手</t>
        </is>
      </c>
      <c r="P14" s="13" t="inlineStr">
        <is>
          <t>同上。手法Ⅲ標準様式との差分を確定済。</t>
        </is>
      </c>
    </row>
    <row r="15" ht="30" customHeight="1">
      <c r="A15" s="4" t="inlineStr">
        <is>
          <t>Ⅰ-11</t>
        </is>
      </c>
      <c r="B15" s="6" t="inlineStr">
        <is>
          <t>Ⅰ ニーズ調査</t>
        </is>
      </c>
      <c r="C15" s="6" t="inlineStr">
        <is>
          <t>Ⅰ-1 調査設計</t>
        </is>
      </c>
      <c r="D15" s="7" t="inlineStr">
        <is>
          <t>令和7年8月版 標準様式との逐条突合</t>
        </is>
      </c>
      <c r="E15" s="4" t="inlineStr">
        <is>
          <t>手引き</t>
        </is>
      </c>
      <c r="F15" s="4" t="inlineStr">
        <is>
          <t>受託者</t>
        </is>
      </c>
      <c r="G15" s="7" t="inlineStr">
        <is>
          <t>突合ワークシート</t>
        </is>
      </c>
      <c r="H15" s="7" t="inlineStr">
        <is>
          <t>必須項目・オプション項目の充足確認</t>
        </is>
      </c>
      <c r="I15" s="4" t="inlineStr">
        <is>
          <t>R8.9上</t>
        </is>
      </c>
      <c r="J15" s="8" t="n"/>
      <c r="K15" s="8" t="n"/>
      <c r="L15" s="8" t="n">
        <v>46261</v>
      </c>
      <c r="M15" s="8" t="n">
        <v>46261</v>
      </c>
      <c r="N15" s="9" t="n">
        <v>1</v>
      </c>
      <c r="O15" s="10" t="inlineStr">
        <is>
          <t>完了</t>
        </is>
      </c>
      <c r="P15" s="7" t="inlineStr">
        <is>
          <t>122行・全行記入・要確認0件で完了（doc05／突合ワークシートCSV）。</t>
        </is>
      </c>
    </row>
    <row r="16" ht="30" customHeight="1">
      <c r="A16" s="11" t="inlineStr">
        <is>
          <t>Ⅰ-12</t>
        </is>
      </c>
      <c r="B16" s="12" t="inlineStr">
        <is>
          <t>Ⅰ ニーズ調査</t>
        </is>
      </c>
      <c r="C16" s="12" t="inlineStr">
        <is>
          <t>Ⅰ-1 調査設計</t>
        </is>
      </c>
      <c r="D16" s="13" t="inlineStr">
        <is>
          <t>オプション項目の採否決定</t>
        </is>
      </c>
      <c r="E16" s="11" t="inlineStr">
        <is>
          <t>仕様書4Ⅰ(2)</t>
        </is>
      </c>
      <c r="F16" s="11" t="inlineStr">
        <is>
          <t>双方</t>
        </is>
      </c>
      <c r="G16" s="13" t="inlineStr">
        <is>
          <t>採否一覧</t>
        </is>
      </c>
      <c r="H16" s="13" t="inlineStr">
        <is>
          <t>「問6 就労について」の採否を含む</t>
        </is>
      </c>
      <c r="I16" s="11" t="inlineStr">
        <is>
          <t>R8.9上</t>
        </is>
      </c>
      <c r="J16" s="14" t="n"/>
      <c r="K16" s="14" t="n"/>
      <c r="L16" s="14" t="n">
        <v>46261</v>
      </c>
      <c r="M16" s="14" t="n"/>
      <c r="N16" s="15" t="n">
        <v>0.5</v>
      </c>
      <c r="O16" s="16" t="inlineStr">
        <is>
          <t>確認中</t>
        </is>
      </c>
      <c r="P16" s="13" t="inlineStr">
        <is>
          <t>「問6 就労について」は令和7年8月版でオプションと確定。採否は村協議待ち。</t>
        </is>
      </c>
    </row>
    <row r="17" ht="30" customHeight="1">
      <c r="A17" s="11" t="inlineStr">
        <is>
          <t>Ⅰ-13</t>
        </is>
      </c>
      <c r="B17" s="12" t="inlineStr">
        <is>
          <t>Ⅰ ニーズ調査</t>
        </is>
      </c>
      <c r="C17" s="12" t="inlineStr">
        <is>
          <t>Ⅰ-1 調査設計</t>
        </is>
      </c>
      <c r="D17" s="13" t="inlineStr">
        <is>
          <t>村独自設問の設定</t>
        </is>
      </c>
      <c r="E17" s="11" t="inlineStr">
        <is>
          <t>仕様書4Ⅰ(2)</t>
        </is>
      </c>
      <c r="F17" s="11" t="inlineStr">
        <is>
          <t>双方</t>
        </is>
      </c>
      <c r="G17" s="13" t="inlineStr">
        <is>
          <t>設問一覧</t>
        </is>
      </c>
      <c r="H17" s="13" t="inlineStr">
        <is>
          <t>除雪・在宅医療・成年後見・歯科受診・服薬ほか</t>
        </is>
      </c>
      <c r="I17" s="11" t="inlineStr">
        <is>
          <t>R8.9上</t>
        </is>
      </c>
      <c r="J17" s="14" t="n"/>
      <c r="K17" s="14" t="n"/>
      <c r="L17" s="14" t="n">
        <v>46259</v>
      </c>
      <c r="M17" s="14" t="n"/>
      <c r="N17" s="15" t="n">
        <v>0.4</v>
      </c>
      <c r="O17" s="16" t="inlineStr">
        <is>
          <t>着手</t>
        </is>
      </c>
      <c r="P17" s="13" t="inlineStr">
        <is>
          <t>除雪・在宅医療・成年後見・歯科受診・服薬ほかの論点を整理済。確定は村協議後。</t>
        </is>
      </c>
    </row>
    <row r="18" ht="30" customHeight="1">
      <c r="A18" s="18" t="inlineStr">
        <is>
          <t>Ⅰ-14</t>
        </is>
      </c>
      <c r="B18" s="19" t="inlineStr">
        <is>
          <t>Ⅰ ニーズ調査</t>
        </is>
      </c>
      <c r="C18" s="19" t="inlineStr">
        <is>
          <t>Ⅰ-1 調査設計</t>
        </is>
      </c>
      <c r="D18" s="20" t="inlineStr">
        <is>
          <t>依頼状（表紙）の作成</t>
        </is>
      </c>
      <c r="E18" s="18" t="inlineStr">
        <is>
          <t>仕様書4Ⅰ(2)</t>
        </is>
      </c>
      <c r="F18" s="18" t="inlineStr">
        <is>
          <t>受託者</t>
        </is>
      </c>
      <c r="G18" s="20" t="inlineStr">
        <is>
          <t>依頼状</t>
        </is>
      </c>
      <c r="H18" s="20" t="inlineStr">
        <is>
          <t>村長名・担当課・問合せ先・基準日・回答期限</t>
        </is>
      </c>
      <c r="I18" s="18" t="inlineStr">
        <is>
          <t>R8.9上</t>
        </is>
      </c>
      <c r="J18" s="21" t="n"/>
      <c r="K18" s="21" t="n"/>
      <c r="L18" s="21" t="n"/>
      <c r="M18" s="21" t="n"/>
      <c r="N18" s="22" t="n">
        <v>0</v>
      </c>
      <c r="O18" s="18" t="inlineStr">
        <is>
          <t>未着手</t>
        </is>
      </c>
      <c r="P18" s="20" t="inlineStr"/>
    </row>
    <row r="19" ht="30" customHeight="1">
      <c r="A19" s="23" t="inlineStr">
        <is>
          <t>Ⅰ-15</t>
        </is>
      </c>
      <c r="B19" s="24" t="inlineStr">
        <is>
          <t>Ⅰ ニーズ調査</t>
        </is>
      </c>
      <c r="C19" s="24" t="inlineStr">
        <is>
          <t>Ⅰ-1 調査設計</t>
        </is>
      </c>
      <c r="D19" s="25" t="inlineStr">
        <is>
          <t>調査票の村協議・確定</t>
        </is>
      </c>
      <c r="E19" s="23" t="inlineStr">
        <is>
          <t>仕様書4Ⅰ(2)</t>
        </is>
      </c>
      <c r="F19" s="23" t="inlineStr">
        <is>
          <t>双方</t>
        </is>
      </c>
      <c r="G19" s="25" t="inlineStr">
        <is>
          <t>確定版調査票</t>
        </is>
      </c>
      <c r="H19" s="25" t="inlineStr">
        <is>
          <t>以降の全工程の起点</t>
        </is>
      </c>
      <c r="I19" s="23" t="inlineStr">
        <is>
          <t>R8.9上</t>
        </is>
      </c>
      <c r="J19" s="26" t="n"/>
      <c r="K19" s="26" t="n"/>
      <c r="L19" s="26" t="n"/>
      <c r="M19" s="26" t="n"/>
      <c r="N19" s="27" t="n">
        <v>0</v>
      </c>
      <c r="O19" s="23" t="inlineStr">
        <is>
          <t>未着手</t>
        </is>
      </c>
      <c r="P19" s="25" t="inlineStr"/>
    </row>
    <row r="20" ht="30" customHeight="1">
      <c r="A20" s="18" t="inlineStr">
        <is>
          <t>Ⅰ-16</t>
        </is>
      </c>
      <c r="B20" s="19" t="inlineStr">
        <is>
          <t>Ⅰ ニーズ調査</t>
        </is>
      </c>
      <c r="C20" s="19" t="inlineStr">
        <is>
          <t>Ⅰ-1 調査設計</t>
        </is>
      </c>
      <c r="D20" s="20" t="inlineStr">
        <is>
          <t>ウェブ回答フォームの作成</t>
        </is>
      </c>
      <c r="E20" s="18" t="inlineStr">
        <is>
          <t>仕様書4Ⅰ(2)</t>
        </is>
      </c>
      <c r="F20" s="18" t="inlineStr">
        <is>
          <t>受託者</t>
        </is>
      </c>
      <c r="G20" s="20" t="inlineStr">
        <is>
          <t>ウェブフォーム</t>
        </is>
      </c>
      <c r="H20" s="20" t="inlineStr">
        <is>
          <t>通信の暗号化・公開期間の設定</t>
        </is>
      </c>
      <c r="I20" s="18" t="inlineStr">
        <is>
          <t>R8.9上</t>
        </is>
      </c>
      <c r="J20" s="21" t="n"/>
      <c r="K20" s="21" t="n"/>
      <c r="L20" s="21" t="n"/>
      <c r="M20" s="21" t="n"/>
      <c r="N20" s="22" t="n">
        <v>0</v>
      </c>
      <c r="O20" s="18" t="inlineStr">
        <is>
          <t>未着手</t>
        </is>
      </c>
      <c r="P20" s="20" t="inlineStr"/>
    </row>
    <row r="21" ht="30" customHeight="1">
      <c r="A21" s="23" t="inlineStr">
        <is>
          <t>Ⅰ-17</t>
        </is>
      </c>
      <c r="B21" s="24" t="inlineStr">
        <is>
          <t>Ⅰ ニーズ調査</t>
        </is>
      </c>
      <c r="C21" s="24" t="inlineStr">
        <is>
          <t>Ⅰ-1 調査設計</t>
        </is>
      </c>
      <c r="D21" s="25" t="inlineStr">
        <is>
          <t>二次元コードの作成・調査票／依頼状への印字</t>
        </is>
      </c>
      <c r="E21" s="23" t="inlineStr">
        <is>
          <t>仕様書4Ⅰ(2)</t>
        </is>
      </c>
      <c r="F21" s="23" t="inlineStr">
        <is>
          <t>受託者</t>
        </is>
      </c>
      <c r="G21" s="25" t="inlineStr">
        <is>
          <t>二次元コード</t>
        </is>
      </c>
      <c r="H21" s="25" t="inlineStr">
        <is>
          <t>URLの確定が前提</t>
        </is>
      </c>
      <c r="I21" s="23" t="inlineStr">
        <is>
          <t>R8.9上</t>
        </is>
      </c>
      <c r="J21" s="26" t="n"/>
      <c r="K21" s="26" t="n"/>
      <c r="L21" s="26" t="n"/>
      <c r="M21" s="26" t="n"/>
      <c r="N21" s="27" t="n">
        <v>0</v>
      </c>
      <c r="O21" s="23" t="inlineStr">
        <is>
          <t>未着手</t>
        </is>
      </c>
      <c r="P21" s="25" t="inlineStr"/>
    </row>
    <row r="22" ht="30" customHeight="1">
      <c r="A22" s="18" t="inlineStr">
        <is>
          <t>Ⅰ-18</t>
        </is>
      </c>
      <c r="B22" s="19" t="inlineStr">
        <is>
          <t>Ⅰ ニーズ調査</t>
        </is>
      </c>
      <c r="C22" s="19" t="inlineStr">
        <is>
          <t>Ⅰ-1 調査設計</t>
        </is>
      </c>
      <c r="D22" s="20" t="inlineStr">
        <is>
          <t>重複回答の管理方法の設計（管理番号）</t>
        </is>
      </c>
      <c r="E22" s="18" t="inlineStr">
        <is>
          <t>仕様書4Ⅰ(2)</t>
        </is>
      </c>
      <c r="F22" s="18" t="inlineStr">
        <is>
          <t>受託者</t>
        </is>
      </c>
      <c r="G22" s="20" t="inlineStr">
        <is>
          <t>管理番号設計書</t>
        </is>
      </c>
      <c r="H22" s="20" t="inlineStr">
        <is>
          <t>紙・ウェブの重複を排除</t>
        </is>
      </c>
      <c r="I22" s="18" t="inlineStr">
        <is>
          <t>R8.9上</t>
        </is>
      </c>
      <c r="J22" s="21" t="n"/>
      <c r="K22" s="21" t="n"/>
      <c r="L22" s="21" t="n"/>
      <c r="M22" s="21" t="n"/>
      <c r="N22" s="22" t="n">
        <v>0</v>
      </c>
      <c r="O22" s="18" t="inlineStr">
        <is>
          <t>未着手</t>
        </is>
      </c>
      <c r="P22" s="20" t="inlineStr"/>
    </row>
    <row r="23" ht="30" customHeight="1">
      <c r="A23" s="11" t="inlineStr">
        <is>
          <t>Ⅰ-19</t>
        </is>
      </c>
      <c r="B23" s="12" t="inlineStr">
        <is>
          <t>Ⅰ ニーズ調査</t>
        </is>
      </c>
      <c r="C23" s="12" t="inlineStr">
        <is>
          <t>Ⅰ-1 調査設計</t>
        </is>
      </c>
      <c r="D23" s="13" t="inlineStr">
        <is>
          <t>被保険者番号と照合可能な管理番号の設計</t>
        </is>
      </c>
      <c r="E23" s="11" t="inlineStr">
        <is>
          <t>手引き</t>
        </is>
      </c>
      <c r="F23" s="11" t="inlineStr">
        <is>
          <t>双方</t>
        </is>
      </c>
      <c r="G23" s="13" t="inlineStr">
        <is>
          <t>管理番号設計書</t>
        </is>
      </c>
      <c r="H23" s="13" t="inlineStr">
        <is>
          <t>第10期の新規要件。村のラベル作成仕様と一体</t>
        </is>
      </c>
      <c r="I23" s="11" t="inlineStr">
        <is>
          <t>R8.9上</t>
        </is>
      </c>
      <c r="J23" s="14" t="n"/>
      <c r="K23" s="14" t="n"/>
      <c r="L23" s="14" t="n">
        <v>46261</v>
      </c>
      <c r="M23" s="14" t="n"/>
      <c r="N23" s="15" t="n">
        <v>0.2</v>
      </c>
      <c r="O23" s="16" t="inlineStr">
        <is>
          <t>着手</t>
        </is>
      </c>
      <c r="P23" s="13" t="inlineStr">
        <is>
          <t>第10期の新規要件として論点提示済。村のラベル作成仕様と一体で確定が必要。</t>
        </is>
      </c>
    </row>
    <row r="24" ht="30" customHeight="1">
      <c r="A24" s="18" t="inlineStr">
        <is>
          <t>Ⅰ-20</t>
        </is>
      </c>
      <c r="B24" s="19" t="inlineStr">
        <is>
          <t>Ⅰ ニーズ調査</t>
        </is>
      </c>
      <c r="C24" s="19" t="inlineStr">
        <is>
          <t>Ⅰ-2 印刷・発送準備</t>
        </is>
      </c>
      <c r="D24" s="20" t="inlineStr">
        <is>
          <t>入稿データの作成</t>
        </is>
      </c>
      <c r="E24" s="18" t="inlineStr">
        <is>
          <t>仕様書4Ⅰ(3)</t>
        </is>
      </c>
      <c r="F24" s="18" t="inlineStr">
        <is>
          <t>受託者</t>
        </is>
      </c>
      <c r="G24" s="20" t="inlineStr">
        <is>
          <t>入稿データ</t>
        </is>
      </c>
      <c r="H24" s="20" t="inlineStr">
        <is>
          <t>調査票の確定が前提</t>
        </is>
      </c>
      <c r="I24" s="18" t="inlineStr">
        <is>
          <t>R8.9中</t>
        </is>
      </c>
      <c r="J24" s="21" t="n"/>
      <c r="K24" s="21" t="n"/>
      <c r="L24" s="21" t="n"/>
      <c r="M24" s="21" t="n"/>
      <c r="N24" s="22" t="n">
        <v>0</v>
      </c>
      <c r="O24" s="18" t="inlineStr">
        <is>
          <t>未着手</t>
        </is>
      </c>
      <c r="P24" s="20" t="inlineStr"/>
    </row>
    <row r="25" ht="30" customHeight="1">
      <c r="A25" s="23" t="inlineStr">
        <is>
          <t>Ⅰ-21</t>
        </is>
      </c>
      <c r="B25" s="24" t="inlineStr">
        <is>
          <t>Ⅰ ニーズ調査</t>
        </is>
      </c>
      <c r="C25" s="24" t="inlineStr">
        <is>
          <t>Ⅰ-2 印刷・発送準備</t>
        </is>
      </c>
      <c r="D25" s="25" t="inlineStr">
        <is>
          <t>調査票の印刷（ニーズ調査 A4約12頁・黒1色）</t>
        </is>
      </c>
      <c r="E25" s="23" t="inlineStr">
        <is>
          <t>仕様書4Ⅰ(3)</t>
        </is>
      </c>
      <c r="F25" s="23" t="inlineStr">
        <is>
          <t>受託者</t>
        </is>
      </c>
      <c r="G25" s="25" t="inlineStr">
        <is>
          <t>印刷物 約850部</t>
        </is>
      </c>
      <c r="H25" s="25" t="inlineStr">
        <is>
          <t>頁数は村と要協議</t>
        </is>
      </c>
      <c r="I25" s="23" t="inlineStr">
        <is>
          <t>R8.9中</t>
        </is>
      </c>
      <c r="J25" s="26" t="n"/>
      <c r="K25" s="26" t="n"/>
      <c r="L25" s="26" t="n"/>
      <c r="M25" s="26" t="n"/>
      <c r="N25" s="27" t="n">
        <v>0</v>
      </c>
      <c r="O25" s="23" t="inlineStr">
        <is>
          <t>未着手</t>
        </is>
      </c>
      <c r="P25" s="25" t="inlineStr"/>
    </row>
    <row r="26" ht="30" customHeight="1">
      <c r="A26" s="18" t="inlineStr">
        <is>
          <t>Ⅰ-22</t>
        </is>
      </c>
      <c r="B26" s="19" t="inlineStr">
        <is>
          <t>Ⅰ ニーズ調査</t>
        </is>
      </c>
      <c r="C26" s="19" t="inlineStr">
        <is>
          <t>Ⅰ-2 印刷・発送準備</t>
        </is>
      </c>
      <c r="D26" s="20" t="inlineStr">
        <is>
          <t>調査票の印刷（在宅調査 A4約8頁・黒1色）</t>
        </is>
      </c>
      <c r="E26" s="18" t="inlineStr">
        <is>
          <t>仕様書4Ⅰ(3)</t>
        </is>
      </c>
      <c r="F26" s="18" t="inlineStr">
        <is>
          <t>受託者</t>
        </is>
      </c>
      <c r="G26" s="20" t="inlineStr">
        <is>
          <t>印刷物 約150部</t>
        </is>
      </c>
      <c r="H26" s="20" t="inlineStr"/>
      <c r="I26" s="18" t="inlineStr">
        <is>
          <t>R8.9中</t>
        </is>
      </c>
      <c r="J26" s="21" t="n"/>
      <c r="K26" s="21" t="n"/>
      <c r="L26" s="21" t="n"/>
      <c r="M26" s="21" t="n"/>
      <c r="N26" s="22" t="n">
        <v>0</v>
      </c>
      <c r="O26" s="18" t="inlineStr">
        <is>
          <t>未着手</t>
        </is>
      </c>
      <c r="P26" s="20" t="inlineStr"/>
    </row>
    <row r="27" ht="30" customHeight="1">
      <c r="A27" s="23" t="inlineStr">
        <is>
          <t>Ⅰ-23</t>
        </is>
      </c>
      <c r="B27" s="24" t="inlineStr">
        <is>
          <t>Ⅰ ニーズ調査</t>
        </is>
      </c>
      <c r="C27" s="24" t="inlineStr">
        <is>
          <t>Ⅰ-2 印刷・発送準備</t>
        </is>
      </c>
      <c r="D27" s="25" t="inlineStr">
        <is>
          <t>返信用封筒の印刷</t>
        </is>
      </c>
      <c r="E27" s="23" t="inlineStr">
        <is>
          <t>仕様書4Ⅰ(3)</t>
        </is>
      </c>
      <c r="F27" s="23" t="inlineStr">
        <is>
          <t>受託者</t>
        </is>
      </c>
      <c r="G27" s="25" t="inlineStr">
        <is>
          <t>返信用封筒</t>
        </is>
      </c>
      <c r="H27" s="25" t="inlineStr"/>
      <c r="I27" s="23" t="inlineStr">
        <is>
          <t>R8.9中</t>
        </is>
      </c>
      <c r="J27" s="26" t="n"/>
      <c r="K27" s="26" t="n"/>
      <c r="L27" s="26" t="n"/>
      <c r="M27" s="26" t="n"/>
      <c r="N27" s="27" t="n">
        <v>0</v>
      </c>
      <c r="O27" s="23" t="inlineStr">
        <is>
          <t>未着手</t>
        </is>
      </c>
      <c r="P27" s="25" t="inlineStr"/>
    </row>
    <row r="28" ht="30" customHeight="1">
      <c r="A28" s="11" t="inlineStr">
        <is>
          <t>Ⅰ-24</t>
        </is>
      </c>
      <c r="B28" s="12" t="inlineStr">
        <is>
          <t>Ⅰ ニーズ調査</t>
        </is>
      </c>
      <c r="C28" s="12" t="inlineStr">
        <is>
          <t>Ⅰ-2 印刷・発送準備</t>
        </is>
      </c>
      <c r="D28" s="13" t="inlineStr">
        <is>
          <t>調査対象者の抽出</t>
        </is>
      </c>
      <c r="E28" s="11" t="inlineStr">
        <is>
          <t>仕様書4Ⅰ(1)</t>
        </is>
      </c>
      <c r="F28" s="11" t="inlineStr">
        <is>
          <t>北塩原村</t>
        </is>
      </c>
      <c r="G28" s="13" t="inlineStr">
        <is>
          <t>対象者リスト</t>
        </is>
      </c>
      <c r="H28" s="13" t="inlineStr">
        <is>
          <t>ニーズ約850人／在宅約150人</t>
        </is>
      </c>
      <c r="I28" s="11" t="inlineStr">
        <is>
          <t>R8.9中</t>
        </is>
      </c>
      <c r="J28" s="14" t="n"/>
      <c r="K28" s="14" t="n"/>
      <c r="L28" s="14" t="n"/>
      <c r="M28" s="14" t="n"/>
      <c r="N28" s="15" t="n">
        <v>0</v>
      </c>
      <c r="O28" s="11" t="inlineStr">
        <is>
          <t>未着手</t>
        </is>
      </c>
      <c r="P28" s="13" t="inlineStr"/>
    </row>
    <row r="29" ht="30" customHeight="1">
      <c r="A29" s="11" t="inlineStr">
        <is>
          <t>Ⅰ-25</t>
        </is>
      </c>
      <c r="B29" s="12" t="inlineStr">
        <is>
          <t>Ⅰ ニーズ調査</t>
        </is>
      </c>
      <c r="C29" s="12" t="inlineStr">
        <is>
          <t>Ⅰ-2 印刷・発送準備</t>
        </is>
      </c>
      <c r="D29" s="13" t="inlineStr">
        <is>
          <t>宛名ラベルシールの作成・提供</t>
        </is>
      </c>
      <c r="E29" s="11" t="inlineStr">
        <is>
          <t>仕様書4Ⅰ(1)</t>
        </is>
      </c>
      <c r="F29" s="11" t="inlineStr">
        <is>
          <t>北塩原村</t>
        </is>
      </c>
      <c r="G29" s="13" t="inlineStr">
        <is>
          <t>宛名ラベルシール</t>
        </is>
      </c>
      <c r="H29" s="13" t="inlineStr">
        <is>
          <t>被保険者番号との照合可能な形式</t>
        </is>
      </c>
      <c r="I29" s="11" t="inlineStr">
        <is>
          <t>R8.9中</t>
        </is>
      </c>
      <c r="J29" s="14" t="n"/>
      <c r="K29" s="14" t="n"/>
      <c r="L29" s="14" t="n"/>
      <c r="M29" s="14" t="n"/>
      <c r="N29" s="15" t="n">
        <v>0</v>
      </c>
      <c r="O29" s="11" t="inlineStr">
        <is>
          <t>未着手</t>
        </is>
      </c>
      <c r="P29" s="13" t="inlineStr"/>
    </row>
    <row r="30" ht="30" customHeight="1">
      <c r="A30" s="11" t="inlineStr">
        <is>
          <t>Ⅰ-26</t>
        </is>
      </c>
      <c r="B30" s="12" t="inlineStr">
        <is>
          <t>Ⅰ ニーズ調査</t>
        </is>
      </c>
      <c r="C30" s="12" t="inlineStr">
        <is>
          <t>Ⅰ-2 印刷・発送準備</t>
        </is>
      </c>
      <c r="D30" s="13" t="inlineStr">
        <is>
          <t>配布用封筒の提供</t>
        </is>
      </c>
      <c r="E30" s="11" t="inlineStr">
        <is>
          <t>仕様書4Ⅰ(4)</t>
        </is>
      </c>
      <c r="F30" s="11" t="inlineStr">
        <is>
          <t>北塩原村</t>
        </is>
      </c>
      <c r="G30" s="13" t="inlineStr">
        <is>
          <t>配布用封筒</t>
        </is>
      </c>
      <c r="H30" s="13" t="inlineStr"/>
      <c r="I30" s="11" t="inlineStr">
        <is>
          <t>R8.9中</t>
        </is>
      </c>
      <c r="J30" s="14" t="n"/>
      <c r="K30" s="14" t="n"/>
      <c r="L30" s="14" t="n"/>
      <c r="M30" s="14" t="n"/>
      <c r="N30" s="15" t="n">
        <v>0</v>
      </c>
      <c r="O30" s="11" t="inlineStr">
        <is>
          <t>未着手</t>
        </is>
      </c>
      <c r="P30" s="13" t="inlineStr"/>
    </row>
    <row r="31" ht="30" customHeight="1">
      <c r="A31" s="23" t="inlineStr">
        <is>
          <t>Ⅰ-27</t>
        </is>
      </c>
      <c r="B31" s="24" t="inlineStr">
        <is>
          <t>Ⅰ ニーズ調査</t>
        </is>
      </c>
      <c r="C31" s="24" t="inlineStr">
        <is>
          <t>Ⅰ-2 印刷・発送準備</t>
        </is>
      </c>
      <c r="D31" s="25" t="inlineStr">
        <is>
          <t>宛名ラベルの貼付</t>
        </is>
      </c>
      <c r="E31" s="23" t="inlineStr">
        <is>
          <t>仕様書4Ⅰ(4)</t>
        </is>
      </c>
      <c r="F31" s="23" t="inlineStr">
        <is>
          <t>受託者</t>
        </is>
      </c>
      <c r="G31" s="25" t="inlineStr">
        <is>
          <t>―</t>
        </is>
      </c>
      <c r="H31" s="25" t="inlineStr">
        <is>
          <t>村からの提供が前提</t>
        </is>
      </c>
      <c r="I31" s="23" t="inlineStr">
        <is>
          <t>R8.9中</t>
        </is>
      </c>
      <c r="J31" s="26" t="n"/>
      <c r="K31" s="26" t="n"/>
      <c r="L31" s="26" t="n"/>
      <c r="M31" s="26" t="n"/>
      <c r="N31" s="27" t="n">
        <v>0</v>
      </c>
      <c r="O31" s="23" t="inlineStr">
        <is>
          <t>未着手</t>
        </is>
      </c>
      <c r="P31" s="25" t="inlineStr"/>
    </row>
    <row r="32" ht="30" customHeight="1">
      <c r="A32" s="18" t="inlineStr">
        <is>
          <t>Ⅰ-28</t>
        </is>
      </c>
      <c r="B32" s="19" t="inlineStr">
        <is>
          <t>Ⅰ ニーズ調査</t>
        </is>
      </c>
      <c r="C32" s="19" t="inlineStr">
        <is>
          <t>Ⅰ-2 印刷・発送準備</t>
        </is>
      </c>
      <c r="D32" s="20" t="inlineStr">
        <is>
          <t>封入・封緘</t>
        </is>
      </c>
      <c r="E32" s="18" t="inlineStr">
        <is>
          <t>仕様書4Ⅰ(4)</t>
        </is>
      </c>
      <c r="F32" s="18" t="inlineStr">
        <is>
          <t>受託者</t>
        </is>
      </c>
      <c r="G32" s="20" t="inlineStr">
        <is>
          <t>発送物</t>
        </is>
      </c>
      <c r="H32" s="20" t="inlineStr"/>
      <c r="I32" s="18" t="inlineStr">
        <is>
          <t>R8.9中</t>
        </is>
      </c>
      <c r="J32" s="21" t="n"/>
      <c r="K32" s="21" t="n"/>
      <c r="L32" s="21" t="n"/>
      <c r="M32" s="21" t="n"/>
      <c r="N32" s="22" t="n">
        <v>0</v>
      </c>
      <c r="O32" s="18" t="inlineStr">
        <is>
          <t>未着手</t>
        </is>
      </c>
      <c r="P32" s="20" t="inlineStr"/>
    </row>
    <row r="33" ht="30" customHeight="1">
      <c r="A33" s="23" t="inlineStr">
        <is>
          <t>Ⅰ-29</t>
        </is>
      </c>
      <c r="B33" s="24" t="inlineStr">
        <is>
          <t>Ⅰ ニーズ調査</t>
        </is>
      </c>
      <c r="C33" s="24" t="inlineStr">
        <is>
          <t>Ⅰ-3 発送・回収</t>
        </is>
      </c>
      <c r="D33" s="25" t="inlineStr">
        <is>
          <t>発送（郵送費は受託者負担）</t>
        </is>
      </c>
      <c r="E33" s="23" t="inlineStr">
        <is>
          <t>仕様書4Ⅰ(4)</t>
        </is>
      </c>
      <c r="F33" s="23" t="inlineStr">
        <is>
          <t>受託者</t>
        </is>
      </c>
      <c r="G33" s="25" t="inlineStr">
        <is>
          <t>発送完了報告</t>
        </is>
      </c>
      <c r="H33" s="25" t="inlineStr">
        <is>
          <t>5連休（9/19〜9/23）の影響を考慮</t>
        </is>
      </c>
      <c r="I33" s="23" t="inlineStr">
        <is>
          <t>R8.9下</t>
        </is>
      </c>
      <c r="J33" s="26" t="n"/>
      <c r="K33" s="26" t="n"/>
      <c r="L33" s="26" t="n"/>
      <c r="M33" s="26" t="n"/>
      <c r="N33" s="27" t="n">
        <v>0</v>
      </c>
      <c r="O33" s="23" t="inlineStr">
        <is>
          <t>未着手</t>
        </is>
      </c>
      <c r="P33" s="25" t="inlineStr"/>
    </row>
    <row r="34" ht="30" customHeight="1">
      <c r="A34" s="18" t="inlineStr">
        <is>
          <t>Ⅰ-30</t>
        </is>
      </c>
      <c r="B34" s="19" t="inlineStr">
        <is>
          <t>Ⅰ ニーズ調査</t>
        </is>
      </c>
      <c r="C34" s="19" t="inlineStr">
        <is>
          <t>Ⅰ-3 発送・回収</t>
        </is>
      </c>
      <c r="D34" s="20" t="inlineStr">
        <is>
          <t>回収状況の管理</t>
        </is>
      </c>
      <c r="E34" s="18" t="inlineStr">
        <is>
          <t>仕様書4Ⅰ(4)</t>
        </is>
      </c>
      <c r="F34" s="18" t="inlineStr">
        <is>
          <t>受託者</t>
        </is>
      </c>
      <c r="G34" s="20" t="inlineStr">
        <is>
          <t>回収状況表</t>
        </is>
      </c>
      <c r="H34" s="20" t="inlineStr"/>
      <c r="I34" s="18" t="inlineStr">
        <is>
          <t>R8.9下〜10</t>
        </is>
      </c>
      <c r="J34" s="21" t="n"/>
      <c r="K34" s="21" t="n"/>
      <c r="L34" s="21" t="n"/>
      <c r="M34" s="21" t="n"/>
      <c r="N34" s="22" t="n">
        <v>0</v>
      </c>
      <c r="O34" s="18" t="inlineStr">
        <is>
          <t>未着手</t>
        </is>
      </c>
      <c r="P34" s="20" t="inlineStr"/>
    </row>
    <row r="35" ht="30" customHeight="1">
      <c r="A35" s="23" t="inlineStr">
        <is>
          <t>Ⅰ-31</t>
        </is>
      </c>
      <c r="B35" s="24" t="inlineStr">
        <is>
          <t>Ⅰ ニーズ調査</t>
        </is>
      </c>
      <c r="C35" s="24" t="inlineStr">
        <is>
          <t>Ⅰ-3 発送・回収</t>
        </is>
      </c>
      <c r="D35" s="25" t="inlineStr">
        <is>
          <t>督促（リマインド）の実施</t>
        </is>
      </c>
      <c r="E35" s="23" t="inlineStr">
        <is>
          <t>確認</t>
        </is>
      </c>
      <c r="F35" s="23" t="inlineStr">
        <is>
          <t>受託者</t>
        </is>
      </c>
      <c r="G35" s="25" t="inlineStr">
        <is>
          <t>督促文書</t>
        </is>
      </c>
      <c r="H35" s="25" t="inlineStr">
        <is>
          <t>第9期の在宅調査回収率45.8%を踏まえ実施要否を判断</t>
        </is>
      </c>
      <c r="I35" s="23" t="inlineStr">
        <is>
          <t>R8.10上</t>
        </is>
      </c>
      <c r="J35" s="26" t="n"/>
      <c r="K35" s="26" t="n"/>
      <c r="L35" s="26" t="n"/>
      <c r="M35" s="26" t="n"/>
      <c r="N35" s="27" t="n">
        <v>0</v>
      </c>
      <c r="O35" s="23" t="inlineStr">
        <is>
          <t>未着手</t>
        </is>
      </c>
      <c r="P35" s="25" t="inlineStr"/>
    </row>
    <row r="36" ht="30" customHeight="1">
      <c r="A36" s="18" t="inlineStr">
        <is>
          <t>Ⅰ-32</t>
        </is>
      </c>
      <c r="B36" s="19" t="inlineStr">
        <is>
          <t>Ⅰ ニーズ調査</t>
        </is>
      </c>
      <c r="C36" s="19" t="inlineStr">
        <is>
          <t>Ⅰ-3 発送・回収</t>
        </is>
      </c>
      <c r="D36" s="20" t="inlineStr">
        <is>
          <t>回収期限の管理・締切</t>
        </is>
      </c>
      <c r="E36" s="18" t="inlineStr">
        <is>
          <t>仕様書4Ⅰ(4)</t>
        </is>
      </c>
      <c r="F36" s="18" t="inlineStr">
        <is>
          <t>受託者</t>
        </is>
      </c>
      <c r="G36" s="20" t="inlineStr">
        <is>
          <t>―</t>
        </is>
      </c>
      <c r="H36" s="20" t="inlineStr"/>
      <c r="I36" s="18" t="inlineStr">
        <is>
          <t>R8.10</t>
        </is>
      </c>
      <c r="J36" s="21" t="n"/>
      <c r="K36" s="21" t="n"/>
      <c r="L36" s="21" t="n"/>
      <c r="M36" s="21" t="n"/>
      <c r="N36" s="22" t="n">
        <v>0</v>
      </c>
      <c r="O36" s="18" t="inlineStr">
        <is>
          <t>未着手</t>
        </is>
      </c>
      <c r="P36" s="20" t="inlineStr"/>
    </row>
    <row r="37" ht="30" customHeight="1">
      <c r="A37" s="23" t="inlineStr">
        <is>
          <t>Ⅰ-33</t>
        </is>
      </c>
      <c r="B37" s="24" t="inlineStr">
        <is>
          <t>Ⅰ ニーズ調査</t>
        </is>
      </c>
      <c r="C37" s="24" t="inlineStr">
        <is>
          <t>Ⅰ-3 発送・回収</t>
        </is>
      </c>
      <c r="D37" s="25" t="inlineStr">
        <is>
          <t>開封確認</t>
        </is>
      </c>
      <c r="E37" s="23" t="inlineStr">
        <is>
          <t>仕様書4Ⅰ(4)</t>
        </is>
      </c>
      <c r="F37" s="23" t="inlineStr">
        <is>
          <t>受託者</t>
        </is>
      </c>
      <c r="G37" s="25" t="inlineStr">
        <is>
          <t>―</t>
        </is>
      </c>
      <c r="H37" s="25" t="inlineStr"/>
      <c r="I37" s="23" t="inlineStr">
        <is>
          <t>R8.10</t>
        </is>
      </c>
      <c r="J37" s="26" t="n"/>
      <c r="K37" s="26" t="n"/>
      <c r="L37" s="26" t="n"/>
      <c r="M37" s="26" t="n"/>
      <c r="N37" s="27" t="n">
        <v>0</v>
      </c>
      <c r="O37" s="23" t="inlineStr">
        <is>
          <t>未着手</t>
        </is>
      </c>
      <c r="P37" s="25" t="inlineStr"/>
    </row>
    <row r="38" ht="30" customHeight="1">
      <c r="A38" s="18" t="inlineStr">
        <is>
          <t>Ⅰ-34</t>
        </is>
      </c>
      <c r="B38" s="19" t="inlineStr">
        <is>
          <t>Ⅰ ニーズ調査</t>
        </is>
      </c>
      <c r="C38" s="19" t="inlineStr">
        <is>
          <t>Ⅰ-4 データ入力</t>
        </is>
      </c>
      <c r="D38" s="20" t="inlineStr">
        <is>
          <t>用紙回答のデータ入力</t>
        </is>
      </c>
      <c r="E38" s="18" t="inlineStr">
        <is>
          <t>仕様書4Ⅰ(5)</t>
        </is>
      </c>
      <c r="F38" s="18" t="inlineStr">
        <is>
          <t>受託者</t>
        </is>
      </c>
      <c r="G38" s="20" t="inlineStr">
        <is>
          <t>入力データ</t>
        </is>
      </c>
      <c r="H38" s="20" t="inlineStr">
        <is>
          <t>厚労省提示の集計ファイル様式</t>
        </is>
      </c>
      <c r="I38" s="18" t="inlineStr">
        <is>
          <t>R8.10</t>
        </is>
      </c>
      <c r="J38" s="21" t="n"/>
      <c r="K38" s="21" t="n"/>
      <c r="L38" s="21" t="n"/>
      <c r="M38" s="21" t="n"/>
      <c r="N38" s="22" t="n">
        <v>0</v>
      </c>
      <c r="O38" s="18" t="inlineStr">
        <is>
          <t>未着手</t>
        </is>
      </c>
      <c r="P38" s="20" t="inlineStr"/>
    </row>
    <row r="39" ht="30" customHeight="1">
      <c r="A39" s="23" t="inlineStr">
        <is>
          <t>Ⅰ-35</t>
        </is>
      </c>
      <c r="B39" s="24" t="inlineStr">
        <is>
          <t>Ⅰ ニーズ調査</t>
        </is>
      </c>
      <c r="C39" s="24" t="inlineStr">
        <is>
          <t>Ⅰ-4 データ入力</t>
        </is>
      </c>
      <c r="D39" s="25" t="inlineStr">
        <is>
          <t>ウェブ回答データの取込</t>
        </is>
      </c>
      <c r="E39" s="23" t="inlineStr">
        <is>
          <t>仕様書4Ⅰ(5)</t>
        </is>
      </c>
      <c r="F39" s="23" t="inlineStr">
        <is>
          <t>受託者</t>
        </is>
      </c>
      <c r="G39" s="25" t="inlineStr">
        <is>
          <t>入力データ</t>
        </is>
      </c>
      <c r="H39" s="25" t="inlineStr"/>
      <c r="I39" s="23" t="inlineStr">
        <is>
          <t>R8.10</t>
        </is>
      </c>
      <c r="J39" s="26" t="n"/>
      <c r="K39" s="26" t="n"/>
      <c r="L39" s="26" t="n"/>
      <c r="M39" s="26" t="n"/>
      <c r="N39" s="27" t="n">
        <v>0</v>
      </c>
      <c r="O39" s="23" t="inlineStr">
        <is>
          <t>未着手</t>
        </is>
      </c>
      <c r="P39" s="25" t="inlineStr"/>
    </row>
    <row r="40" ht="30" customHeight="1">
      <c r="A40" s="18" t="inlineStr">
        <is>
          <t>Ⅰ-36</t>
        </is>
      </c>
      <c r="B40" s="19" t="inlineStr">
        <is>
          <t>Ⅰ ニーズ調査</t>
        </is>
      </c>
      <c r="C40" s="19" t="inlineStr">
        <is>
          <t>Ⅰ-4 データ入力</t>
        </is>
      </c>
      <c r="D40" s="20" t="inlineStr">
        <is>
          <t>重複回答の排除</t>
        </is>
      </c>
      <c r="E40" s="18" t="inlineStr">
        <is>
          <t>仕様書4Ⅰ(2)</t>
        </is>
      </c>
      <c r="F40" s="18" t="inlineStr">
        <is>
          <t>受託者</t>
        </is>
      </c>
      <c r="G40" s="20" t="inlineStr">
        <is>
          <t>―</t>
        </is>
      </c>
      <c r="H40" s="20" t="inlineStr">
        <is>
          <t>管理番号で管理</t>
        </is>
      </c>
      <c r="I40" s="18" t="inlineStr">
        <is>
          <t>R8.10</t>
        </is>
      </c>
      <c r="J40" s="21" t="n"/>
      <c r="K40" s="21" t="n"/>
      <c r="L40" s="21" t="n"/>
      <c r="M40" s="21" t="n"/>
      <c r="N40" s="22" t="n">
        <v>0</v>
      </c>
      <c r="O40" s="18" t="inlineStr">
        <is>
          <t>未着手</t>
        </is>
      </c>
      <c r="P40" s="20" t="inlineStr"/>
    </row>
    <row r="41" ht="30" customHeight="1">
      <c r="A41" s="11" t="inlineStr">
        <is>
          <t>Ⅰ-37</t>
        </is>
      </c>
      <c r="B41" s="12" t="inlineStr">
        <is>
          <t>Ⅰ ニーズ調査</t>
        </is>
      </c>
      <c r="C41" s="12" t="inlineStr">
        <is>
          <t>Ⅰ-4 データ入力</t>
        </is>
      </c>
      <c r="D41" s="13" t="inlineStr">
        <is>
          <t>要介護認定データの受領</t>
        </is>
      </c>
      <c r="E41" s="11" t="inlineStr">
        <is>
          <t>仕様書4Ⅰ(5)</t>
        </is>
      </c>
      <c r="F41" s="11" t="inlineStr">
        <is>
          <t>北塩原村</t>
        </is>
      </c>
      <c r="G41" s="13" t="inlineStr">
        <is>
          <t>認定データ</t>
        </is>
      </c>
      <c r="H41" s="13" t="inlineStr">
        <is>
          <t>手法Ⅰ・Ⅱの場合。目的外利用の手続きに留意</t>
        </is>
      </c>
      <c r="I41" s="11" t="inlineStr">
        <is>
          <t>R8.10</t>
        </is>
      </c>
      <c r="J41" s="14" t="n"/>
      <c r="K41" s="14" t="n"/>
      <c r="L41" s="14" t="n"/>
      <c r="M41" s="14" t="n"/>
      <c r="N41" s="15" t="n">
        <v>0</v>
      </c>
      <c r="O41" s="11" t="inlineStr">
        <is>
          <t>未着手</t>
        </is>
      </c>
      <c r="P41" s="13" t="inlineStr"/>
    </row>
    <row r="42" ht="30" customHeight="1">
      <c r="A42" s="18" t="inlineStr">
        <is>
          <t>Ⅰ-38</t>
        </is>
      </c>
      <c r="B42" s="19" t="inlineStr">
        <is>
          <t>Ⅰ ニーズ調査</t>
        </is>
      </c>
      <c r="C42" s="19" t="inlineStr">
        <is>
          <t>Ⅰ-4 データ入力</t>
        </is>
      </c>
      <c r="D42" s="20" t="inlineStr">
        <is>
          <t>認定データとの関連付け（自動プログラム）</t>
        </is>
      </c>
      <c r="E42" s="18" t="inlineStr">
        <is>
          <t>仕様書4Ⅰ(5)</t>
        </is>
      </c>
      <c r="F42" s="18" t="inlineStr">
        <is>
          <t>受託者</t>
        </is>
      </c>
      <c r="G42" s="20" t="inlineStr">
        <is>
          <t>関連付け済データ</t>
        </is>
      </c>
      <c r="H42" s="20" t="inlineStr">
        <is>
          <t>手法Ⅲでは自動集計ソフトなし</t>
        </is>
      </c>
      <c r="I42" s="18" t="inlineStr">
        <is>
          <t>R8.10</t>
        </is>
      </c>
      <c r="J42" s="21" t="n"/>
      <c r="K42" s="21" t="n"/>
      <c r="L42" s="21" t="n"/>
      <c r="M42" s="21" t="n"/>
      <c r="N42" s="22" t="n">
        <v>0</v>
      </c>
      <c r="O42" s="18" t="inlineStr">
        <is>
          <t>未着手</t>
        </is>
      </c>
      <c r="P42" s="20" t="inlineStr"/>
    </row>
    <row r="43" ht="30" customHeight="1">
      <c r="A43" s="23" t="inlineStr">
        <is>
          <t>Ⅰ-39</t>
        </is>
      </c>
      <c r="B43" s="24" t="inlineStr">
        <is>
          <t>Ⅰ ニーズ調査</t>
        </is>
      </c>
      <c r="C43" s="24" t="inlineStr">
        <is>
          <t>Ⅰ-5 集計・分析</t>
        </is>
      </c>
      <c r="D43" s="25" t="inlineStr">
        <is>
          <t>単純集計</t>
        </is>
      </c>
      <c r="E43" s="23" t="inlineStr">
        <is>
          <t>仕様書4Ⅰ(6)</t>
        </is>
      </c>
      <c r="F43" s="23" t="inlineStr">
        <is>
          <t>受託者</t>
        </is>
      </c>
      <c r="G43" s="25" t="inlineStr">
        <is>
          <t>集計表</t>
        </is>
      </c>
      <c r="H43" s="25" t="inlineStr"/>
      <c r="I43" s="23" t="inlineStr">
        <is>
          <t>R8.10〜11</t>
        </is>
      </c>
      <c r="J43" s="26" t="n"/>
      <c r="K43" s="26" t="n"/>
      <c r="L43" s="26" t="n"/>
      <c r="M43" s="26" t="n"/>
      <c r="N43" s="27" t="n">
        <v>0</v>
      </c>
      <c r="O43" s="23" t="inlineStr">
        <is>
          <t>未着手</t>
        </is>
      </c>
      <c r="P43" s="25" t="inlineStr"/>
    </row>
    <row r="44" ht="30" customHeight="1">
      <c r="A44" s="18" t="inlineStr">
        <is>
          <t>Ⅰ-40</t>
        </is>
      </c>
      <c r="B44" s="19" t="inlineStr">
        <is>
          <t>Ⅰ ニーズ調査</t>
        </is>
      </c>
      <c r="C44" s="19" t="inlineStr">
        <is>
          <t>Ⅰ-5 集計・分析</t>
        </is>
      </c>
      <c r="D44" s="20" t="inlineStr">
        <is>
          <t>基本属性別クロス集計（地区・性別・年齢）</t>
        </is>
      </c>
      <c r="E44" s="18" t="inlineStr">
        <is>
          <t>仕様書4Ⅰ(6)</t>
        </is>
      </c>
      <c r="F44" s="18" t="inlineStr">
        <is>
          <t>受託者</t>
        </is>
      </c>
      <c r="G44" s="20" t="inlineStr">
        <is>
          <t>集計表</t>
        </is>
      </c>
      <c r="H44" s="20" t="inlineStr"/>
      <c r="I44" s="18" t="inlineStr">
        <is>
          <t>R8.10〜11</t>
        </is>
      </c>
      <c r="J44" s="21" t="n"/>
      <c r="K44" s="21" t="n"/>
      <c r="L44" s="21" t="n"/>
      <c r="M44" s="21" t="n"/>
      <c r="N44" s="22" t="n">
        <v>0</v>
      </c>
      <c r="O44" s="18" t="inlineStr">
        <is>
          <t>未着手</t>
        </is>
      </c>
      <c r="P44" s="20" t="inlineStr"/>
    </row>
    <row r="45" ht="30" customHeight="1">
      <c r="A45" s="23" t="inlineStr">
        <is>
          <t>Ⅰ-41</t>
        </is>
      </c>
      <c r="B45" s="24" t="inlineStr">
        <is>
          <t>Ⅰ ニーズ調査</t>
        </is>
      </c>
      <c r="C45" s="24" t="inlineStr">
        <is>
          <t>Ⅰ-5 集計・分析</t>
        </is>
      </c>
      <c r="D45" s="25" t="inlineStr">
        <is>
          <t>時系列比較（第8期・第9期との対比）</t>
        </is>
      </c>
      <c r="E45" s="23" t="inlineStr">
        <is>
          <t>仕様書4Ⅰ(6)</t>
        </is>
      </c>
      <c r="F45" s="23" t="inlineStr">
        <is>
          <t>受託者</t>
        </is>
      </c>
      <c r="G45" s="25" t="inlineStr">
        <is>
          <t>比較表</t>
        </is>
      </c>
      <c r="H45" s="25" t="inlineStr">
        <is>
          <t>村と協議のうえ範囲を決定</t>
        </is>
      </c>
      <c r="I45" s="23" t="inlineStr">
        <is>
          <t>R8.10〜11</t>
        </is>
      </c>
      <c r="J45" s="26" t="n"/>
      <c r="K45" s="26" t="n"/>
      <c r="L45" s="26" t="n"/>
      <c r="M45" s="26" t="n"/>
      <c r="N45" s="27" t="n">
        <v>0</v>
      </c>
      <c r="O45" s="23" t="inlineStr">
        <is>
          <t>未着手</t>
        </is>
      </c>
      <c r="P45" s="25" t="inlineStr"/>
    </row>
    <row r="46" ht="30" customHeight="1">
      <c r="A46" s="18" t="inlineStr">
        <is>
          <t>Ⅰ-42</t>
        </is>
      </c>
      <c r="B46" s="19" t="inlineStr">
        <is>
          <t>Ⅰ ニーズ調査</t>
        </is>
      </c>
      <c r="C46" s="19" t="inlineStr">
        <is>
          <t>Ⅰ-5 集計・分析</t>
        </is>
      </c>
      <c r="D46" s="20" t="inlineStr">
        <is>
          <t>設問間クロス集計</t>
        </is>
      </c>
      <c r="E46" s="18" t="inlineStr">
        <is>
          <t>仕様書4Ⅰ(6)</t>
        </is>
      </c>
      <c r="F46" s="18" t="inlineStr">
        <is>
          <t>受託者</t>
        </is>
      </c>
      <c r="G46" s="20" t="inlineStr">
        <is>
          <t>集計表</t>
        </is>
      </c>
      <c r="H46" s="20" t="inlineStr">
        <is>
          <t>村と協議のうえ設計</t>
        </is>
      </c>
      <c r="I46" s="18" t="inlineStr">
        <is>
          <t>R8.10〜11</t>
        </is>
      </c>
      <c r="J46" s="21" t="n"/>
      <c r="K46" s="21" t="n"/>
      <c r="L46" s="21" t="n"/>
      <c r="M46" s="21" t="n"/>
      <c r="N46" s="22" t="n">
        <v>0</v>
      </c>
      <c r="O46" s="18" t="inlineStr">
        <is>
          <t>未着手</t>
        </is>
      </c>
      <c r="P46" s="20" t="inlineStr"/>
    </row>
    <row r="47" ht="30" customHeight="1">
      <c r="A47" s="23" t="inlineStr">
        <is>
          <t>Ⅰ-43</t>
        </is>
      </c>
      <c r="B47" s="24" t="inlineStr">
        <is>
          <t>Ⅰ ニーズ調査</t>
        </is>
      </c>
      <c r="C47" s="24" t="inlineStr">
        <is>
          <t>Ⅰ-5 集計・分析</t>
        </is>
      </c>
      <c r="D47" s="25" t="inlineStr">
        <is>
          <t>リスク判定11種の算出</t>
        </is>
      </c>
      <c r="E47" s="23" t="inlineStr">
        <is>
          <t>手引き</t>
        </is>
      </c>
      <c r="F47" s="23" t="inlineStr">
        <is>
          <t>受託者</t>
        </is>
      </c>
      <c r="G47" s="25" t="inlineStr">
        <is>
          <t>リスク判定結果</t>
        </is>
      </c>
      <c r="H47" s="25" t="inlineStr">
        <is>
          <t>運動器・転倒・閉じこもり・低栄養・口腔・認知・うつ・IADL等</t>
        </is>
      </c>
      <c r="I47" s="23" t="inlineStr">
        <is>
          <t>R8.10〜11</t>
        </is>
      </c>
      <c r="J47" s="26" t="n"/>
      <c r="K47" s="26" t="n"/>
      <c r="L47" s="26" t="n"/>
      <c r="M47" s="26" t="n"/>
      <c r="N47" s="27" t="n">
        <v>0</v>
      </c>
      <c r="O47" s="23" t="inlineStr">
        <is>
          <t>未着手</t>
        </is>
      </c>
      <c r="P47" s="25" t="inlineStr"/>
    </row>
    <row r="48" ht="30" customHeight="1">
      <c r="A48" s="18" t="inlineStr">
        <is>
          <t>Ⅰ-44</t>
        </is>
      </c>
      <c r="B48" s="19" t="inlineStr">
        <is>
          <t>Ⅰ ニーズ調査</t>
        </is>
      </c>
      <c r="C48" s="19" t="inlineStr">
        <is>
          <t>Ⅰ-5 集計・分析</t>
        </is>
      </c>
      <c r="D48" s="20" t="inlineStr">
        <is>
          <t>自由記述の整理</t>
        </is>
      </c>
      <c r="E48" s="18" t="inlineStr">
        <is>
          <t>仕様書4Ⅰ(6)</t>
        </is>
      </c>
      <c r="F48" s="18" t="inlineStr">
        <is>
          <t>受託者</t>
        </is>
      </c>
      <c r="G48" s="20" t="inlineStr">
        <is>
          <t>自由意見一覧</t>
        </is>
      </c>
      <c r="H48" s="20" t="inlineStr"/>
      <c r="I48" s="18" t="inlineStr">
        <is>
          <t>R8.10〜11</t>
        </is>
      </c>
      <c r="J48" s="21" t="n"/>
      <c r="K48" s="21" t="n"/>
      <c r="L48" s="21" t="n"/>
      <c r="M48" s="21" t="n"/>
      <c r="N48" s="22" t="n">
        <v>0</v>
      </c>
      <c r="O48" s="18" t="inlineStr">
        <is>
          <t>未着手</t>
        </is>
      </c>
      <c r="P48" s="20" t="inlineStr"/>
    </row>
    <row r="49" ht="30" customHeight="1">
      <c r="A49" s="23" t="inlineStr">
        <is>
          <t>Ⅰ-45</t>
        </is>
      </c>
      <c r="B49" s="24" t="inlineStr">
        <is>
          <t>Ⅰ ニーズ調査</t>
        </is>
      </c>
      <c r="C49" s="24" t="inlineStr">
        <is>
          <t>Ⅰ-5 集計・分析</t>
        </is>
      </c>
      <c r="D49" s="25" t="inlineStr">
        <is>
          <t>在宅調査の要介護度別・介護者就労状況別分析</t>
        </is>
      </c>
      <c r="E49" s="23" t="inlineStr">
        <is>
          <t>仕様書4Ⅰ(6)</t>
        </is>
      </c>
      <c r="F49" s="23" t="inlineStr">
        <is>
          <t>受託者</t>
        </is>
      </c>
      <c r="G49" s="25" t="inlineStr">
        <is>
          <t>分析結果</t>
        </is>
      </c>
      <c r="H49" s="25" t="inlineStr"/>
      <c r="I49" s="23" t="inlineStr">
        <is>
          <t>R8.10〜11</t>
        </is>
      </c>
      <c r="J49" s="26" t="n"/>
      <c r="K49" s="26" t="n"/>
      <c r="L49" s="26" t="n"/>
      <c r="M49" s="26" t="n"/>
      <c r="N49" s="27" t="n">
        <v>0</v>
      </c>
      <c r="O49" s="23" t="inlineStr">
        <is>
          <t>未着手</t>
        </is>
      </c>
      <c r="P49" s="25" t="inlineStr"/>
    </row>
    <row r="50" ht="30" customHeight="1">
      <c r="A50" s="18" t="inlineStr">
        <is>
          <t>Ⅰ-46</t>
        </is>
      </c>
      <c r="B50" s="19" t="inlineStr">
        <is>
          <t>Ⅰ ニーズ調査</t>
        </is>
      </c>
      <c r="C50" s="19" t="inlineStr">
        <is>
          <t>Ⅰ-5 集計・分析</t>
        </is>
      </c>
      <c r="D50" s="20" t="inlineStr">
        <is>
          <t>見える化システム登録用データの作成</t>
        </is>
      </c>
      <c r="E50" s="18" t="inlineStr">
        <is>
          <t>手引き</t>
        </is>
      </c>
      <c r="F50" s="18" t="inlineStr">
        <is>
          <t>受託者</t>
        </is>
      </c>
      <c r="G50" s="20" t="inlineStr">
        <is>
          <t>登録用データ</t>
        </is>
      </c>
      <c r="H50" s="20" t="inlineStr">
        <is>
          <t>標準様式の項目順に並べ替えが必要</t>
        </is>
      </c>
      <c r="I50" s="18" t="inlineStr">
        <is>
          <t>R8.11</t>
        </is>
      </c>
      <c r="J50" s="21" t="n"/>
      <c r="K50" s="21" t="n"/>
      <c r="L50" s="21" t="n"/>
      <c r="M50" s="21" t="n"/>
      <c r="N50" s="22" t="n">
        <v>0</v>
      </c>
      <c r="O50" s="18" t="inlineStr">
        <is>
          <t>未着手</t>
        </is>
      </c>
      <c r="P50" s="20" t="inlineStr"/>
    </row>
    <row r="51" ht="30" customHeight="1">
      <c r="A51" s="23" t="inlineStr">
        <is>
          <t>Ⅰ-47</t>
        </is>
      </c>
      <c r="B51" s="24" t="inlineStr">
        <is>
          <t>Ⅰ ニーズ調査</t>
        </is>
      </c>
      <c r="C51" s="24" t="inlineStr">
        <is>
          <t>Ⅰ-6 報告書</t>
        </is>
      </c>
      <c r="D51" s="25" t="inlineStr">
        <is>
          <t>設問ごとのグラフ作成</t>
        </is>
      </c>
      <c r="E51" s="23" t="inlineStr">
        <is>
          <t>仕様書4Ⅰ(7)</t>
        </is>
      </c>
      <c r="F51" s="23" t="inlineStr">
        <is>
          <t>受託者</t>
        </is>
      </c>
      <c r="G51" s="25" t="inlineStr">
        <is>
          <t>グラフ</t>
        </is>
      </c>
      <c r="H51" s="25" t="inlineStr"/>
      <c r="I51" s="23" t="inlineStr">
        <is>
          <t>R8.11</t>
        </is>
      </c>
      <c r="J51" s="26" t="n"/>
      <c r="K51" s="26" t="n"/>
      <c r="L51" s="26" t="n"/>
      <c r="M51" s="26" t="n"/>
      <c r="N51" s="27" t="n">
        <v>0</v>
      </c>
      <c r="O51" s="23" t="inlineStr">
        <is>
          <t>未着手</t>
        </is>
      </c>
      <c r="P51" s="25" t="inlineStr"/>
    </row>
    <row r="52" ht="30" customHeight="1">
      <c r="A52" s="18" t="inlineStr">
        <is>
          <t>Ⅰ-48</t>
        </is>
      </c>
      <c r="B52" s="19" t="inlineStr">
        <is>
          <t>Ⅰ ニーズ調査</t>
        </is>
      </c>
      <c r="C52" s="19" t="inlineStr">
        <is>
          <t>Ⅰ-6 報告書</t>
        </is>
      </c>
      <c r="D52" s="20" t="inlineStr">
        <is>
          <t>調査結果報告書の執筆・レイアウト</t>
        </is>
      </c>
      <c r="E52" s="18" t="inlineStr">
        <is>
          <t>仕様書4Ⅰ(7)</t>
        </is>
      </c>
      <c r="F52" s="18" t="inlineStr">
        <is>
          <t>受託者</t>
        </is>
      </c>
      <c r="G52" s="20" t="inlineStr">
        <is>
          <t>報告書案</t>
        </is>
      </c>
      <c r="H52" s="20" t="inlineStr">
        <is>
          <t>A4両面約100頁</t>
        </is>
      </c>
      <c r="I52" s="18" t="inlineStr">
        <is>
          <t>R8.11</t>
        </is>
      </c>
      <c r="J52" s="21" t="n"/>
      <c r="K52" s="21" t="n"/>
      <c r="L52" s="21" t="n"/>
      <c r="M52" s="21" t="n"/>
      <c r="N52" s="22" t="n">
        <v>0</v>
      </c>
      <c r="O52" s="18" t="inlineStr">
        <is>
          <t>未着手</t>
        </is>
      </c>
      <c r="P52" s="20" t="inlineStr"/>
    </row>
    <row r="53" ht="30" customHeight="1">
      <c r="A53" s="23" t="inlineStr">
        <is>
          <t>Ⅰ-49</t>
        </is>
      </c>
      <c r="B53" s="24" t="inlineStr">
        <is>
          <t>Ⅰ ニーズ調査</t>
        </is>
      </c>
      <c r="C53" s="24" t="inlineStr">
        <is>
          <t>Ⅰ-6 報告書</t>
        </is>
      </c>
      <c r="D53" s="25" t="inlineStr">
        <is>
          <t>報告書の村確認・修正</t>
        </is>
      </c>
      <c r="E53" s="23" t="inlineStr">
        <is>
          <t>仕様書4Ⅰ(7)</t>
        </is>
      </c>
      <c r="F53" s="23" t="inlineStr">
        <is>
          <t>双方</t>
        </is>
      </c>
      <c r="G53" s="25" t="inlineStr">
        <is>
          <t>報告書（確定）</t>
        </is>
      </c>
      <c r="H53" s="25" t="inlineStr"/>
      <c r="I53" s="23" t="inlineStr">
        <is>
          <t>R8.11〜12</t>
        </is>
      </c>
      <c r="J53" s="26" t="n"/>
      <c r="K53" s="26" t="n"/>
      <c r="L53" s="26" t="n"/>
      <c r="M53" s="26" t="n"/>
      <c r="N53" s="27" t="n">
        <v>0</v>
      </c>
      <c r="O53" s="23" t="inlineStr">
        <is>
          <t>未着手</t>
        </is>
      </c>
      <c r="P53" s="25" t="inlineStr"/>
    </row>
    <row r="54" ht="30" customHeight="1">
      <c r="A54" s="11" t="inlineStr">
        <is>
          <t>Ⅱ-50</t>
        </is>
      </c>
      <c r="B54" s="17" t="inlineStr">
        <is>
          <t>Ⅱ 計画策定</t>
        </is>
      </c>
      <c r="C54" s="12" t="inlineStr">
        <is>
          <t>Ⅱ-1 基礎調査</t>
        </is>
      </c>
      <c r="D54" s="13" t="inlineStr">
        <is>
          <t>制度改正動向の資料収集・整理</t>
        </is>
      </c>
      <c r="E54" s="11" t="inlineStr">
        <is>
          <t>仕様書4Ⅱ(1)</t>
        </is>
      </c>
      <c r="F54" s="11" t="inlineStr">
        <is>
          <t>受託者</t>
        </is>
      </c>
      <c r="G54" s="13" t="inlineStr">
        <is>
          <t>論点整理メモ</t>
        </is>
      </c>
      <c r="H54" s="13" t="inlineStr"/>
      <c r="I54" s="11" t="inlineStr">
        <is>
          <t>R8.9〜11</t>
        </is>
      </c>
      <c r="J54" s="14" t="n"/>
      <c r="K54" s="14" t="n"/>
      <c r="L54" s="14" t="n">
        <v>46261</v>
      </c>
      <c r="M54" s="14" t="n"/>
      <c r="N54" s="15" t="n">
        <v>0.6</v>
      </c>
      <c r="O54" s="16" t="inlineStr">
        <is>
          <t>着手</t>
        </is>
      </c>
      <c r="P54" s="13" t="inlineStr">
        <is>
          <t>国の指針・様式の更新確認を実施済（doc04）。令和7年8月版の反映まで完了。</t>
        </is>
      </c>
    </row>
    <row r="55" ht="30" customHeight="1">
      <c r="A55" s="23" t="inlineStr">
        <is>
          <t>Ⅱ-51</t>
        </is>
      </c>
      <c r="B55" s="24" t="inlineStr">
        <is>
          <t>Ⅱ 計画策定</t>
        </is>
      </c>
      <c r="C55" s="24" t="inlineStr">
        <is>
          <t>Ⅱ-1 基礎調査</t>
        </is>
      </c>
      <c r="D55" s="25" t="inlineStr">
        <is>
          <t>第10期国の基本指針の確認・反映</t>
        </is>
      </c>
      <c r="E55" s="23" t="inlineStr">
        <is>
          <t>仕様書4Ⅱ(1)</t>
        </is>
      </c>
      <c r="F55" s="23" t="inlineStr">
        <is>
          <t>受託者</t>
        </is>
      </c>
      <c r="G55" s="25" t="inlineStr">
        <is>
          <t>基本指針対応表</t>
        </is>
      </c>
      <c r="H55" s="25" t="inlineStr">
        <is>
          <t>令和8年内告示予定。遅延時は暫定版で作業</t>
        </is>
      </c>
      <c r="I55" s="23" t="inlineStr">
        <is>
          <t>R8.11〜</t>
        </is>
      </c>
      <c r="J55" s="26" t="n"/>
      <c r="K55" s="26" t="n"/>
      <c r="L55" s="26" t="n"/>
      <c r="M55" s="26" t="n"/>
      <c r="N55" s="27" t="n">
        <v>0</v>
      </c>
      <c r="O55" s="23" t="inlineStr">
        <is>
          <t>未着手</t>
        </is>
      </c>
      <c r="P55" s="25" t="inlineStr">
        <is>
          <t>国の基本指針が未告示のため着手不可。告示後ただちに反映。</t>
        </is>
      </c>
    </row>
    <row r="56" ht="30" customHeight="1">
      <c r="A56" s="4" t="inlineStr">
        <is>
          <t>Ⅱ-52</t>
        </is>
      </c>
      <c r="B56" s="6" t="inlineStr">
        <is>
          <t>Ⅱ 計画策定</t>
        </is>
      </c>
      <c r="C56" s="6" t="inlineStr">
        <is>
          <t>Ⅱ-1 基礎調査</t>
        </is>
      </c>
      <c r="D56" s="7" t="inlineStr">
        <is>
          <t>前提条件と基本的課題の明確化</t>
        </is>
      </c>
      <c r="E56" s="4" t="inlineStr">
        <is>
          <t>仕様書4Ⅱ(1)</t>
        </is>
      </c>
      <c r="F56" s="4" t="inlineStr">
        <is>
          <t>受託者</t>
        </is>
      </c>
      <c r="G56" s="7" t="inlineStr">
        <is>
          <t>課題整理メモ</t>
        </is>
      </c>
      <c r="H56" s="7" t="inlineStr"/>
      <c r="I56" s="4" t="inlineStr">
        <is>
          <t>R8.11</t>
        </is>
      </c>
      <c r="J56" s="8" t="n"/>
      <c r="K56" s="8" t="n"/>
      <c r="L56" s="8" t="n">
        <v>46265</v>
      </c>
      <c r="M56" s="8" t="n">
        <v>46265</v>
      </c>
      <c r="N56" s="9" t="n">
        <v>1</v>
      </c>
      <c r="O56" s="10" t="inlineStr">
        <is>
          <t>完了</t>
        </is>
      </c>
      <c r="P56" s="7" t="inlineStr">
        <is>
          <t>doc11として整理完了。前提条件4区分＋基本的課題5本。国の基本指針は未告示のため告示後に追記。</t>
        </is>
      </c>
    </row>
    <row r="57" ht="30" customHeight="1">
      <c r="A57" s="11" t="inlineStr">
        <is>
          <t>Ⅱ-53</t>
        </is>
      </c>
      <c r="B57" s="12" t="inlineStr">
        <is>
          <t>Ⅱ 計画策定</t>
        </is>
      </c>
      <c r="C57" s="12" t="inlineStr">
        <is>
          <t>Ⅱ-2 現行計画の評価</t>
        </is>
      </c>
      <c r="D57" s="13" t="inlineStr">
        <is>
          <t>高齢者福祉事業等の実績資料の受領</t>
        </is>
      </c>
      <c r="E57" s="11" t="inlineStr">
        <is>
          <t>仕様書4Ⅱ(2)①</t>
        </is>
      </c>
      <c r="F57" s="11" t="inlineStr">
        <is>
          <t>北塩原村</t>
        </is>
      </c>
      <c r="G57" s="13" t="inlineStr">
        <is>
          <t>実績資料</t>
        </is>
      </c>
      <c r="H57" s="13" t="inlineStr">
        <is>
          <t>R6年度実績、可能であればR7年度</t>
        </is>
      </c>
      <c r="I57" s="11" t="inlineStr">
        <is>
          <t>R8.10〜11</t>
        </is>
      </c>
      <c r="J57" s="14" t="n"/>
      <c r="K57" s="14" t="n"/>
      <c r="L57" s="14" t="n">
        <v>46259</v>
      </c>
      <c r="M57" s="14" t="n"/>
      <c r="N57" s="15" t="n">
        <v>0.3</v>
      </c>
      <c r="O57" s="16" t="inlineStr">
        <is>
          <t>着手</t>
        </is>
      </c>
      <c r="P57" s="13" t="inlineStr">
        <is>
          <t>見える化・決算は受領。村の事業実績（通いの場実数・成年後見等）が未受領。</t>
        </is>
      </c>
    </row>
    <row r="58" ht="30" customHeight="1">
      <c r="A58" s="11" t="inlineStr">
        <is>
          <t>Ⅱ-54</t>
        </is>
      </c>
      <c r="B58" s="12" t="inlineStr">
        <is>
          <t>Ⅱ 計画策定</t>
        </is>
      </c>
      <c r="C58" s="12" t="inlineStr">
        <is>
          <t>Ⅱ-2 現行計画の評価</t>
        </is>
      </c>
      <c r="D58" s="13" t="inlineStr">
        <is>
          <t>高齢者福祉事業等の実施状況の把握と課題整理</t>
        </is>
      </c>
      <c r="E58" s="11" t="inlineStr">
        <is>
          <t>仕様書4Ⅱ(2)①</t>
        </is>
      </c>
      <c r="F58" s="11" t="inlineStr">
        <is>
          <t>受託者</t>
        </is>
      </c>
      <c r="G58" s="13" t="inlineStr">
        <is>
          <t>評価シート</t>
        </is>
      </c>
      <c r="H58" s="13" t="inlineStr"/>
      <c r="I58" s="11" t="inlineStr">
        <is>
          <t>R8.11</t>
        </is>
      </c>
      <c r="J58" s="14" t="n"/>
      <c r="K58" s="14" t="n"/>
      <c r="L58" s="14" t="n">
        <v>46265</v>
      </c>
      <c r="M58" s="14" t="n"/>
      <c r="N58" s="15" t="n">
        <v>0.7</v>
      </c>
      <c r="O58" s="16" t="inlineStr">
        <is>
          <t>着手</t>
        </is>
      </c>
      <c r="P58" s="13" t="inlineStr">
        <is>
          <t>doc14で第9期施策19本を評価。村単独事業の実績資料が未受領のため一部保留。</t>
        </is>
      </c>
    </row>
    <row r="59" ht="30" customHeight="1">
      <c r="A59" s="11" t="inlineStr">
        <is>
          <t>Ⅱ-55</t>
        </is>
      </c>
      <c r="B59" s="12" t="inlineStr">
        <is>
          <t>Ⅱ 計画策定</t>
        </is>
      </c>
      <c r="C59" s="12" t="inlineStr">
        <is>
          <t>Ⅱ-2 現行計画の評価</t>
        </is>
      </c>
      <c r="D59" s="13" t="inlineStr">
        <is>
          <t>介護保険給付統計の取りまとめ</t>
        </is>
      </c>
      <c r="E59" s="11" t="inlineStr">
        <is>
          <t>仕様書4Ⅱ(2)②</t>
        </is>
      </c>
      <c r="F59" s="11" t="inlineStr">
        <is>
          <t>受託者</t>
        </is>
      </c>
      <c r="G59" s="13" t="inlineStr">
        <is>
          <t>統計表</t>
        </is>
      </c>
      <c r="H59" s="13" t="inlineStr"/>
      <c r="I59" s="11" t="inlineStr">
        <is>
          <t>R8.11</t>
        </is>
      </c>
      <c r="J59" s="14" t="n"/>
      <c r="K59" s="14" t="n"/>
      <c r="L59" s="14" t="n">
        <v>46265</v>
      </c>
      <c r="M59" s="14" t="n"/>
      <c r="N59" s="15" t="n">
        <v>0.85</v>
      </c>
      <c r="O59" s="16" t="inlineStr">
        <is>
          <t>着手</t>
        </is>
      </c>
      <c r="P59" s="13" t="inlineStr">
        <is>
          <t>D系給付費・K系施設数・D47/D48特別会計決算まで整理済（doc02）。令和6年度決算が未入手。</t>
        </is>
      </c>
    </row>
    <row r="60" ht="30" customHeight="1">
      <c r="A60" s="11" t="inlineStr">
        <is>
          <t>Ⅱ-56</t>
        </is>
      </c>
      <c r="B60" s="12" t="inlineStr">
        <is>
          <t>Ⅱ 計画策定</t>
        </is>
      </c>
      <c r="C60" s="12" t="inlineStr">
        <is>
          <t>Ⅱ-2 現行計画の評価</t>
        </is>
      </c>
      <c r="D60" s="13" t="inlineStr">
        <is>
          <t>計画数値の評価（計画値と実績の乖離分析）</t>
        </is>
      </c>
      <c r="E60" s="11" t="inlineStr">
        <is>
          <t>仕様書4Ⅱ(2)②</t>
        </is>
      </c>
      <c r="F60" s="11" t="inlineStr">
        <is>
          <t>受託者</t>
        </is>
      </c>
      <c r="G60" s="13" t="inlineStr">
        <is>
          <t>乖離分析表</t>
        </is>
      </c>
      <c r="H60" s="13" t="inlineStr">
        <is>
          <t>第9期は第1号被保険者数を過小推計（-5.6〜-6.8%）</t>
        </is>
      </c>
      <c r="I60" s="11" t="inlineStr">
        <is>
          <t>R8.11</t>
        </is>
      </c>
      <c r="J60" s="14" t="n"/>
      <c r="K60" s="14" t="n"/>
      <c r="L60" s="14" t="n">
        <v>46265</v>
      </c>
      <c r="M60" s="14" t="n"/>
      <c r="N60" s="15" t="n">
        <v>0.9</v>
      </c>
      <c r="O60" s="16" t="inlineStr">
        <is>
          <t>着手</t>
        </is>
      </c>
      <c r="P60" s="13" t="inlineStr">
        <is>
          <t>doc12として計画書掲載様式（表2-16〜2-19）に整理完了。令和6年度決算と地域支援事業費の集計範囲の確認で確定。</t>
        </is>
      </c>
    </row>
    <row r="61" ht="30" customHeight="1">
      <c r="A61" s="4" t="inlineStr">
        <is>
          <t>Ⅱ-57</t>
        </is>
      </c>
      <c r="B61" s="6" t="inlineStr">
        <is>
          <t>Ⅱ 計画策定</t>
        </is>
      </c>
      <c r="C61" s="6" t="inlineStr">
        <is>
          <t>Ⅱ-2 現行計画の評価</t>
        </is>
      </c>
      <c r="D61" s="7" t="inlineStr">
        <is>
          <t>課題の整理</t>
        </is>
      </c>
      <c r="E61" s="4" t="inlineStr">
        <is>
          <t>仕様書4Ⅱ(2)</t>
        </is>
      </c>
      <c r="F61" s="4" t="inlineStr">
        <is>
          <t>受託者</t>
        </is>
      </c>
      <c r="G61" s="7" t="inlineStr">
        <is>
          <t>課題一覧</t>
        </is>
      </c>
      <c r="H61" s="7" t="inlineStr"/>
      <c r="I61" s="4" t="inlineStr">
        <is>
          <t>R8.11</t>
        </is>
      </c>
      <c r="J61" s="8" t="n"/>
      <c r="K61" s="8" t="n"/>
      <c r="L61" s="8" t="n">
        <v>46265</v>
      </c>
      <c r="M61" s="8" t="n">
        <v>46265</v>
      </c>
      <c r="N61" s="9" t="n">
        <v>1</v>
      </c>
      <c r="O61" s="10" t="inlineStr">
        <is>
          <t>完了</t>
        </is>
      </c>
      <c r="P61" s="7" t="inlineStr">
        <is>
          <t>doc11で基本的課題5本に集約完了。各課題を交付金評価指標と対応づけ。</t>
        </is>
      </c>
    </row>
    <row r="62" ht="30" customHeight="1">
      <c r="A62" s="4" t="inlineStr">
        <is>
          <t>Ⅱ-58</t>
        </is>
      </c>
      <c r="B62" s="6" t="inlineStr">
        <is>
          <t>Ⅱ 計画策定</t>
        </is>
      </c>
      <c r="C62" s="6" t="inlineStr">
        <is>
          <t>Ⅱ-3 見込量・保険料</t>
        </is>
      </c>
      <c r="D62" s="7" t="inlineStr">
        <is>
          <t>将来人口の整理（2040年度含む中長期）</t>
        </is>
      </c>
      <c r="E62" s="4" t="inlineStr">
        <is>
          <t>仕様書4Ⅱ(3)</t>
        </is>
      </c>
      <c r="F62" s="4" t="inlineStr">
        <is>
          <t>受託者</t>
        </is>
      </c>
      <c r="G62" s="7" t="inlineStr">
        <is>
          <t>人口推計表</t>
        </is>
      </c>
      <c r="H62" s="7" t="inlineStr">
        <is>
          <t>社人研の新推計（2050年まで）に差し替え</t>
        </is>
      </c>
      <c r="I62" s="4" t="inlineStr">
        <is>
          <t>R8.11〜12</t>
        </is>
      </c>
      <c r="J62" s="8" t="n"/>
      <c r="K62" s="8" t="n"/>
      <c r="L62" s="8" t="n">
        <v>46265</v>
      </c>
      <c r="M62" s="8" t="n">
        <v>46265</v>
      </c>
      <c r="N62" s="9" t="n">
        <v>1</v>
      </c>
      <c r="O62" s="10" t="inlineStr">
        <is>
          <t>完了</t>
        </is>
      </c>
      <c r="P62" s="7" t="inlineStr">
        <is>
          <t>doc13として2050年まで整理完了。高齢者数は2020年ピーク、75歳以上は2030年ピーク。</t>
        </is>
      </c>
    </row>
    <row r="63" ht="30" customHeight="1">
      <c r="A63" s="11" t="inlineStr">
        <is>
          <t>Ⅱ-59</t>
        </is>
      </c>
      <c r="B63" s="12" t="inlineStr">
        <is>
          <t>Ⅱ 計画策定</t>
        </is>
      </c>
      <c r="C63" s="12" t="inlineStr">
        <is>
          <t>Ⅱ-3 見込量・保険料</t>
        </is>
      </c>
      <c r="D63" s="13" t="inlineStr">
        <is>
          <t>第1号被保険者数の推計</t>
        </is>
      </c>
      <c r="E63" s="11" t="inlineStr">
        <is>
          <t>仕様書4Ⅱ(3)①</t>
        </is>
      </c>
      <c r="F63" s="11" t="inlineStr">
        <is>
          <t>受託者</t>
        </is>
      </c>
      <c r="G63" s="13" t="inlineStr">
        <is>
          <t>推計表</t>
        </is>
      </c>
      <c r="H63" s="13" t="inlineStr">
        <is>
          <t>第9期の過小推計を直近実績で補正</t>
        </is>
      </c>
      <c r="I63" s="11" t="inlineStr">
        <is>
          <t>R8.11〜12</t>
        </is>
      </c>
      <c r="J63" s="14" t="n"/>
      <c r="K63" s="14" t="n"/>
      <c r="L63" s="14" t="n">
        <v>46265</v>
      </c>
      <c r="M63" s="14" t="n"/>
      <c r="N63" s="15" t="n">
        <v>0.7</v>
      </c>
      <c r="O63" s="16" t="inlineStr">
        <is>
          <t>着手</t>
        </is>
      </c>
      <c r="P63" s="13" t="inlineStr">
        <is>
          <t>doc13で前期・後期別の乖離率補正により令和9〜11年度末を算定（1,002／997／990人）。scripts/estimate_population.pyで再現可能。補正手法の村合意と国ワークシートで確定。</t>
        </is>
      </c>
    </row>
    <row r="64" ht="30" customHeight="1">
      <c r="A64" s="11" t="inlineStr">
        <is>
          <t>Ⅱ-60</t>
        </is>
      </c>
      <c r="B64" s="12" t="inlineStr">
        <is>
          <t>Ⅱ 計画策定</t>
        </is>
      </c>
      <c r="C64" s="12" t="inlineStr">
        <is>
          <t>Ⅱ-3 見込量・保険料</t>
        </is>
      </c>
      <c r="D64" s="13" t="inlineStr">
        <is>
          <t>要介護者数の推計</t>
        </is>
      </c>
      <c r="E64" s="11" t="inlineStr">
        <is>
          <t>仕様書4Ⅱ(3)①</t>
        </is>
      </c>
      <c r="F64" s="11" t="inlineStr">
        <is>
          <t>受託者</t>
        </is>
      </c>
      <c r="G64" s="13" t="inlineStr">
        <is>
          <t>推計表</t>
        </is>
      </c>
      <c r="H64" s="13" t="inlineStr">
        <is>
          <t>要支援1の急増（39→51人）を反映</t>
        </is>
      </c>
      <c r="I64" s="11" t="inlineStr">
        <is>
          <t>R8.11〜12</t>
        </is>
      </c>
      <c r="J64" s="14" t="n"/>
      <c r="K64" s="14" t="n"/>
      <c r="L64" s="14" t="n">
        <v>46265</v>
      </c>
      <c r="M64" s="14" t="n"/>
      <c r="N64" s="15" t="n">
        <v>0.4</v>
      </c>
      <c r="O64" s="16" t="inlineStr">
        <is>
          <t>着手</t>
        </is>
      </c>
      <c r="P64" s="13" t="inlineStr">
        <is>
          <t>doc13で年齢階級別認定率（前期6.49%／後期34.87%）による参考試算を実施（214→230人）。要介護度別推計は国ワークシート待ち。</t>
        </is>
      </c>
    </row>
    <row r="65" ht="30" customHeight="1">
      <c r="A65" s="23" t="inlineStr">
        <is>
          <t>Ⅱ-61</t>
        </is>
      </c>
      <c r="B65" s="24" t="inlineStr">
        <is>
          <t>Ⅱ 計画策定</t>
        </is>
      </c>
      <c r="C65" s="24" t="inlineStr">
        <is>
          <t>Ⅱ-3 見込量・保険料</t>
        </is>
      </c>
      <c r="D65" s="25" t="inlineStr">
        <is>
          <t>各介護保険サービス見込量の推計</t>
        </is>
      </c>
      <c r="E65" s="23" t="inlineStr">
        <is>
          <t>仕様書4Ⅱ(3)②</t>
        </is>
      </c>
      <c r="F65" s="23" t="inlineStr">
        <is>
          <t>受託者</t>
        </is>
      </c>
      <c r="G65" s="25" t="inlineStr">
        <is>
          <t>見込量表</t>
        </is>
      </c>
      <c r="H65" s="25" t="inlineStr">
        <is>
          <t>居宅・施設・地域密着型・総合事業。村外利用を考慮</t>
        </is>
      </c>
      <c r="I65" s="23" t="inlineStr">
        <is>
          <t>R8.12</t>
        </is>
      </c>
      <c r="J65" s="26" t="n"/>
      <c r="K65" s="26" t="n"/>
      <c r="L65" s="26" t="n"/>
      <c r="M65" s="26" t="n"/>
      <c r="N65" s="27" t="n">
        <v>0</v>
      </c>
      <c r="O65" s="23" t="inlineStr">
        <is>
          <t>未着手</t>
        </is>
      </c>
      <c r="P65" s="25" t="inlineStr"/>
    </row>
    <row r="66" ht="30" customHeight="1">
      <c r="A66" s="18" t="inlineStr">
        <is>
          <t>Ⅱ-62</t>
        </is>
      </c>
      <c r="B66" s="19" t="inlineStr">
        <is>
          <t>Ⅱ 計画策定</t>
        </is>
      </c>
      <c r="C66" s="19" t="inlineStr">
        <is>
          <t>Ⅱ-3 見込量・保険料</t>
        </is>
      </c>
      <c r="D66" s="20" t="inlineStr">
        <is>
          <t>給付費の試算</t>
        </is>
      </c>
      <c r="E66" s="18" t="inlineStr">
        <is>
          <t>仕様書4Ⅱ(3)③</t>
        </is>
      </c>
      <c r="F66" s="18" t="inlineStr">
        <is>
          <t>受託者</t>
        </is>
      </c>
      <c r="G66" s="20" t="inlineStr">
        <is>
          <t>給付費試算表</t>
        </is>
      </c>
      <c r="H66" s="20" t="inlineStr">
        <is>
          <t>R9年度報酬改定は現行単価で仮試算→確定後に精緻化</t>
        </is>
      </c>
      <c r="I66" s="18" t="inlineStr">
        <is>
          <t>R8.12</t>
        </is>
      </c>
      <c r="J66" s="21" t="n"/>
      <c r="K66" s="21" t="n"/>
      <c r="L66" s="21" t="n"/>
      <c r="M66" s="21" t="n"/>
      <c r="N66" s="22" t="n">
        <v>0</v>
      </c>
      <c r="O66" s="18" t="inlineStr">
        <is>
          <t>未着手</t>
        </is>
      </c>
      <c r="P66" s="20" t="inlineStr"/>
    </row>
    <row r="67" ht="30" customHeight="1">
      <c r="A67" s="11" t="inlineStr">
        <is>
          <t>Ⅱ-63</t>
        </is>
      </c>
      <c r="B67" s="12" t="inlineStr">
        <is>
          <t>Ⅱ 計画策定</t>
        </is>
      </c>
      <c r="C67" s="12" t="inlineStr">
        <is>
          <t>Ⅱ-3 見込量・保険料</t>
        </is>
      </c>
      <c r="D67" s="13" t="inlineStr">
        <is>
          <t>介護保険準備基金の残高・取崩方針の確認</t>
        </is>
      </c>
      <c r="E67" s="11" t="inlineStr">
        <is>
          <t>確認</t>
        </is>
      </c>
      <c r="F67" s="11" t="inlineStr">
        <is>
          <t>北塩原村</t>
        </is>
      </c>
      <c r="G67" s="13" t="inlineStr">
        <is>
          <t>基金残高資料</t>
        </is>
      </c>
      <c r="H67" s="13" t="inlineStr">
        <is>
          <t>第9期は設定額が必要額を上回る（R6+709円/R7+199円）</t>
        </is>
      </c>
      <c r="I67" s="11" t="inlineStr">
        <is>
          <t>R8.12</t>
        </is>
      </c>
      <c r="J67" s="14" t="n"/>
      <c r="K67" s="14" t="n"/>
      <c r="L67" s="14" t="n">
        <v>46265</v>
      </c>
      <c r="M67" s="14" t="n"/>
      <c r="N67" s="15" t="n">
        <v>0.2</v>
      </c>
      <c r="O67" s="16" t="inlineStr">
        <is>
          <t>確認中</t>
        </is>
      </c>
      <c r="P67" s="13" t="inlineStr">
        <is>
          <t>★村へ依頼中。令和6年度末実績・令和7年度末見込。保険料算定の前提。</t>
        </is>
      </c>
    </row>
    <row r="68" ht="30" customHeight="1">
      <c r="A68" s="18" t="inlineStr">
        <is>
          <t>Ⅱ-64</t>
        </is>
      </c>
      <c r="B68" s="19" t="inlineStr">
        <is>
          <t>Ⅱ 計画策定</t>
        </is>
      </c>
      <c r="C68" s="19" t="inlineStr">
        <is>
          <t>Ⅱ-3 見込量・保険料</t>
        </is>
      </c>
      <c r="D68" s="20" t="inlineStr">
        <is>
          <t>介護保険料の試算（複数案の比較）</t>
        </is>
      </c>
      <c r="E68" s="18" t="inlineStr">
        <is>
          <t>仕様書4Ⅱ(3)③</t>
        </is>
      </c>
      <c r="F68" s="18" t="inlineStr">
        <is>
          <t>受託者</t>
        </is>
      </c>
      <c r="G68" s="20" t="inlineStr">
        <is>
          <t>保険料試算表</t>
        </is>
      </c>
      <c r="H68" s="20" t="inlineStr">
        <is>
          <t>所得段階・基金活用・上限の設定を反映</t>
        </is>
      </c>
      <c r="I68" s="18" t="inlineStr">
        <is>
          <t>R8.12〜R9.1</t>
        </is>
      </c>
      <c r="J68" s="21" t="n"/>
      <c r="K68" s="21" t="n"/>
      <c r="L68" s="21" t="n"/>
      <c r="M68" s="21" t="n"/>
      <c r="N68" s="22" t="n">
        <v>0</v>
      </c>
      <c r="O68" s="18" t="inlineStr">
        <is>
          <t>未着手</t>
        </is>
      </c>
      <c r="P68" s="20" t="inlineStr"/>
    </row>
    <row r="69" ht="30" customHeight="1">
      <c r="A69" s="11" t="inlineStr">
        <is>
          <t>Ⅱ-65</t>
        </is>
      </c>
      <c r="B69" s="12" t="inlineStr">
        <is>
          <t>Ⅱ 計画策定</t>
        </is>
      </c>
      <c r="C69" s="12" t="inlineStr">
        <is>
          <t>Ⅱ-3 見込量・保険料</t>
        </is>
      </c>
      <c r="D69" s="13" t="inlineStr">
        <is>
          <t>成果目標及び活動指標の設定</t>
        </is>
      </c>
      <c r="E69" s="11" t="inlineStr">
        <is>
          <t>仕様書4Ⅱ(3)④</t>
        </is>
      </c>
      <c r="F69" s="11" t="inlineStr">
        <is>
          <t>受託者</t>
        </is>
      </c>
      <c r="G69" s="13" t="inlineStr">
        <is>
          <t>指標一覧</t>
        </is>
      </c>
      <c r="H69" s="13" t="inlineStr">
        <is>
          <t>第9期実績との接続。達成可能性の検証を併せて実施</t>
        </is>
      </c>
      <c r="I69" s="11" t="inlineStr">
        <is>
          <t>R8.12〜R9.1</t>
        </is>
      </c>
      <c r="J69" s="14" t="n"/>
      <c r="K69" s="14" t="n"/>
      <c r="L69" s="14" t="n">
        <v>46265</v>
      </c>
      <c r="M69" s="14" t="n"/>
      <c r="N69" s="15" t="n">
        <v>0.4</v>
      </c>
      <c r="O69" s="16" t="inlineStr">
        <is>
          <t>着手</t>
        </is>
      </c>
      <c r="P69" s="13" t="inlineStr">
        <is>
          <t>指標案8件を現状値付きで提示済（doc07§7）。目標値はW系の県・全国平均入手後。</t>
        </is>
      </c>
    </row>
    <row r="70" ht="30" customHeight="1">
      <c r="A70" s="4" t="inlineStr">
        <is>
          <t>Ⅱ-66</t>
        </is>
      </c>
      <c r="B70" s="6" t="inlineStr">
        <is>
          <t>Ⅱ 計画策定</t>
        </is>
      </c>
      <c r="C70" s="6" t="inlineStr">
        <is>
          <t>Ⅱ-4 高齢者福祉施策</t>
        </is>
      </c>
      <c r="D70" s="7" t="inlineStr">
        <is>
          <t>現行計画の成果と課題の整理</t>
        </is>
      </c>
      <c r="E70" s="4" t="inlineStr">
        <is>
          <t>仕様書4Ⅱ(4)</t>
        </is>
      </c>
      <c r="F70" s="4" t="inlineStr">
        <is>
          <t>受託者</t>
        </is>
      </c>
      <c r="G70" s="7" t="inlineStr">
        <is>
          <t>整理メモ</t>
        </is>
      </c>
      <c r="H70" s="7" t="inlineStr"/>
      <c r="I70" s="4" t="inlineStr">
        <is>
          <t>R8.11〜12</t>
        </is>
      </c>
      <c r="J70" s="8" t="n"/>
      <c r="K70" s="8" t="n"/>
      <c r="L70" s="8" t="n">
        <v>46265</v>
      </c>
      <c r="M70" s="8" t="n">
        <v>46265</v>
      </c>
      <c r="N70" s="9" t="n">
        <v>1</v>
      </c>
      <c r="O70" s="10" t="inlineStr">
        <is>
          <t>完了</t>
        </is>
      </c>
      <c r="P70" s="7" t="inlineStr">
        <is>
          <t>doc14として第9期の施策19本を4段階（◎○△✗）で評価完了。</t>
        </is>
      </c>
    </row>
    <row r="71" ht="30" customHeight="1">
      <c r="A71" s="11" t="inlineStr">
        <is>
          <t>Ⅱ-67</t>
        </is>
      </c>
      <c r="B71" s="12" t="inlineStr">
        <is>
          <t>Ⅱ 計画策定</t>
        </is>
      </c>
      <c r="C71" s="12" t="inlineStr">
        <is>
          <t>Ⅱ-4 高齢者福祉施策</t>
        </is>
      </c>
      <c r="D71" s="13" t="inlineStr">
        <is>
          <t>次期計画に盛り込む施策の検討</t>
        </is>
      </c>
      <c r="E71" s="11" t="inlineStr">
        <is>
          <t>仕様書4Ⅱ(4)</t>
        </is>
      </c>
      <c r="F71" s="11" t="inlineStr">
        <is>
          <t>受託者</t>
        </is>
      </c>
      <c r="G71" s="13" t="inlineStr">
        <is>
          <t>施策案</t>
        </is>
      </c>
      <c r="H71" s="13" t="inlineStr">
        <is>
          <t>環境整備・支援体制の構築等</t>
        </is>
      </c>
      <c r="I71" s="11" t="inlineStr">
        <is>
          <t>R8.11〜12</t>
        </is>
      </c>
      <c r="J71" s="14" t="n"/>
      <c r="K71" s="14" t="n"/>
      <c r="L71" s="14" t="n">
        <v>46265</v>
      </c>
      <c r="M71" s="14" t="n"/>
      <c r="N71" s="15" t="n">
        <v>0.8</v>
      </c>
      <c r="O71" s="16" t="inlineStr">
        <is>
          <t>着手</t>
        </is>
      </c>
      <c r="P71" s="13" t="inlineStr">
        <is>
          <t>doc14として施策案28本（継続11／強化7／新規9／改称1）を整理。基本目標5「計画の推進と進捗管理」の新設を提案。国の基本指針で追加・修正の可能性。</t>
        </is>
      </c>
    </row>
    <row r="72" ht="30" customHeight="1">
      <c r="A72" s="11" t="inlineStr">
        <is>
          <t>Ⅱ-68</t>
        </is>
      </c>
      <c r="B72" s="12" t="inlineStr">
        <is>
          <t>Ⅱ 計画策定</t>
        </is>
      </c>
      <c r="C72" s="12" t="inlineStr">
        <is>
          <t>Ⅱ-5 成年後見</t>
        </is>
      </c>
      <c r="D72" s="13" t="inlineStr">
        <is>
          <t>制度の利用実態・考え方の情報提供</t>
        </is>
      </c>
      <c r="E72" s="11" t="inlineStr">
        <is>
          <t>仕様書4Ⅱ(5)</t>
        </is>
      </c>
      <c r="F72" s="11" t="inlineStr">
        <is>
          <t>北塩原村</t>
        </is>
      </c>
      <c r="G72" s="13" t="inlineStr">
        <is>
          <t>情報提供資料</t>
        </is>
      </c>
      <c r="H72" s="13" t="inlineStr">
        <is>
          <t>村長申立の運用、中核機関の状況</t>
        </is>
      </c>
      <c r="I72" s="11" t="inlineStr">
        <is>
          <t>R8.11</t>
        </is>
      </c>
      <c r="J72" s="14" t="n"/>
      <c r="K72" s="14" t="n"/>
      <c r="L72" s="14" t="n"/>
      <c r="M72" s="14" t="n"/>
      <c r="N72" s="15" t="n">
        <v>0</v>
      </c>
      <c r="O72" s="11" t="inlineStr">
        <is>
          <t>未着手</t>
        </is>
      </c>
      <c r="P72" s="13" t="inlineStr"/>
    </row>
    <row r="73" ht="30" customHeight="1">
      <c r="A73" s="23" t="inlineStr">
        <is>
          <t>Ⅱ-69</t>
        </is>
      </c>
      <c r="B73" s="24" t="inlineStr">
        <is>
          <t>Ⅱ 計画策定</t>
        </is>
      </c>
      <c r="C73" s="24" t="inlineStr">
        <is>
          <t>Ⅱ-5 成年後見</t>
        </is>
      </c>
      <c r="D73" s="25" t="inlineStr">
        <is>
          <t>利用促進の方向性・計画案の提示</t>
        </is>
      </c>
      <c r="E73" s="23" t="inlineStr">
        <is>
          <t>仕様書4Ⅱ(5)</t>
        </is>
      </c>
      <c r="F73" s="23" t="inlineStr">
        <is>
          <t>受託者</t>
        </is>
      </c>
      <c r="G73" s="25" t="inlineStr">
        <is>
          <t>計画案</t>
        </is>
      </c>
      <c r="H73" s="25" t="inlineStr">
        <is>
          <t>広域調整・関係機関協議は村が実施</t>
        </is>
      </c>
      <c r="I73" s="23" t="inlineStr">
        <is>
          <t>R8.12</t>
        </is>
      </c>
      <c r="J73" s="26" t="n"/>
      <c r="K73" s="26" t="n"/>
      <c r="L73" s="26" t="n"/>
      <c r="M73" s="26" t="n"/>
      <c r="N73" s="27" t="n">
        <v>0</v>
      </c>
      <c r="O73" s="23" t="inlineStr">
        <is>
          <t>未着手</t>
        </is>
      </c>
      <c r="P73" s="25" t="inlineStr"/>
    </row>
    <row r="74" ht="30" customHeight="1">
      <c r="A74" s="4" t="inlineStr">
        <is>
          <t>Ⅱ-70</t>
        </is>
      </c>
      <c r="B74" s="6" t="inlineStr">
        <is>
          <t>Ⅱ 計画策定</t>
        </is>
      </c>
      <c r="C74" s="6" t="inlineStr">
        <is>
          <t>Ⅱ-6 計画案の検討</t>
        </is>
      </c>
      <c r="D74" s="7" t="inlineStr">
        <is>
          <t>第10期の課題の整理</t>
        </is>
      </c>
      <c r="E74" s="4" t="inlineStr">
        <is>
          <t>仕様書4Ⅱ(6)</t>
        </is>
      </c>
      <c r="F74" s="4" t="inlineStr">
        <is>
          <t>受託者</t>
        </is>
      </c>
      <c r="G74" s="7" t="inlineStr">
        <is>
          <t>課題整理</t>
        </is>
      </c>
      <c r="H74" s="7" t="inlineStr"/>
      <c r="I74" s="4" t="inlineStr">
        <is>
          <t>R8.12</t>
        </is>
      </c>
      <c r="J74" s="8" t="n"/>
      <c r="K74" s="8" t="n"/>
      <c r="L74" s="8" t="n">
        <v>46265</v>
      </c>
      <c r="M74" s="8" t="n">
        <v>46265</v>
      </c>
      <c r="N74" s="9" t="n">
        <v>1</v>
      </c>
      <c r="O74" s="10" t="inlineStr">
        <is>
          <t>完了</t>
        </is>
      </c>
      <c r="P74" s="7" t="inlineStr">
        <is>
          <t>doc11で基本的課題5本、doc17で第9期計画の課題20件（重大度A 13件）を洗い出し完了。</t>
        </is>
      </c>
    </row>
    <row r="75" ht="30" customHeight="1">
      <c r="A75" s="11" t="inlineStr">
        <is>
          <t>Ⅱ-71</t>
        </is>
      </c>
      <c r="B75" s="12" t="inlineStr">
        <is>
          <t>Ⅱ 計画策定</t>
        </is>
      </c>
      <c r="C75" s="12" t="inlineStr">
        <is>
          <t>Ⅱ-6 計画案の検討</t>
        </is>
      </c>
      <c r="D75" s="13" t="inlineStr">
        <is>
          <t>施策体系の整理</t>
        </is>
      </c>
      <c r="E75" s="11" t="inlineStr">
        <is>
          <t>仕様書4Ⅱ(6)</t>
        </is>
      </c>
      <c r="F75" s="11" t="inlineStr">
        <is>
          <t>受託者</t>
        </is>
      </c>
      <c r="G75" s="13" t="inlineStr">
        <is>
          <t>施策体系図</t>
        </is>
      </c>
      <c r="H75" s="13" t="inlineStr"/>
      <c r="I75" s="11" t="inlineStr">
        <is>
          <t>R8.12</t>
        </is>
      </c>
      <c r="J75" s="14" t="n"/>
      <c r="K75" s="14" t="n"/>
      <c r="L75" s="14" t="n">
        <v>46265</v>
      </c>
      <c r="M75" s="14" t="n"/>
      <c r="N75" s="15" t="n">
        <v>0.85</v>
      </c>
      <c r="O75" s="16" t="inlineStr">
        <is>
          <t>着手</t>
        </is>
      </c>
      <c r="P75" s="13" t="inlineStr">
        <is>
          <t>doc14・doc18で施策体系（基本目標5本・施策28本）を確定。基本目標5の独立可否は村と要協議。</t>
        </is>
      </c>
    </row>
    <row r="76" ht="30" customHeight="1">
      <c r="A76" s="18" t="inlineStr">
        <is>
          <t>Ⅱ-72</t>
        </is>
      </c>
      <c r="B76" s="19" t="inlineStr">
        <is>
          <t>Ⅱ 計画策定</t>
        </is>
      </c>
      <c r="C76" s="19" t="inlineStr">
        <is>
          <t>Ⅱ-6 計画案の検討</t>
        </is>
      </c>
      <c r="D76" s="20" t="inlineStr">
        <is>
          <t>関連計画との整合確認</t>
        </is>
      </c>
      <c r="E76" s="18" t="inlineStr">
        <is>
          <t>仕様書4Ⅱ(6)</t>
        </is>
      </c>
      <c r="F76" s="18" t="inlineStr">
        <is>
          <t>受託者</t>
        </is>
      </c>
      <c r="G76" s="20" t="inlineStr">
        <is>
          <t>整合確認表</t>
        </is>
      </c>
      <c r="H76" s="20" t="inlineStr">
        <is>
          <t>第5次総合振興計画／第3次健康21・グッドヘルスプラン</t>
        </is>
      </c>
      <c r="I76" s="18" t="inlineStr">
        <is>
          <t>R8.12</t>
        </is>
      </c>
      <c r="J76" s="21" t="n"/>
      <c r="K76" s="21" t="n"/>
      <c r="L76" s="21" t="n"/>
      <c r="M76" s="21" t="n"/>
      <c r="N76" s="22" t="n">
        <v>0</v>
      </c>
      <c r="O76" s="18" t="inlineStr">
        <is>
          <t>未着手</t>
        </is>
      </c>
      <c r="P76" s="20" t="inlineStr"/>
    </row>
    <row r="77" ht="30" customHeight="1">
      <c r="A77" s="11" t="inlineStr">
        <is>
          <t>Ⅱ-73</t>
        </is>
      </c>
      <c r="B77" s="12" t="inlineStr">
        <is>
          <t>Ⅱ 計画策定</t>
        </is>
      </c>
      <c r="C77" s="12" t="inlineStr">
        <is>
          <t>Ⅱ-6 計画案の検討</t>
        </is>
      </c>
      <c r="D77" s="13" t="inlineStr">
        <is>
          <t>一体的策定の範囲の確認</t>
        </is>
      </c>
      <c r="E77" s="11" t="inlineStr">
        <is>
          <t>確認</t>
        </is>
      </c>
      <c r="F77" s="11" t="inlineStr">
        <is>
          <t>双方</t>
        </is>
      </c>
      <c r="G77" s="13" t="inlineStr">
        <is>
          <t>確認メモ</t>
        </is>
      </c>
      <c r="H77" s="13" t="inlineStr">
        <is>
          <t>成年後見制度利用促進基本計画・認知症施策推進計画の継続可否</t>
        </is>
      </c>
      <c r="I77" s="11" t="inlineStr">
        <is>
          <t>R8.11</t>
        </is>
      </c>
      <c r="J77" s="14" t="n"/>
      <c r="K77" s="14" t="n"/>
      <c r="L77" s="14" t="n">
        <v>46265</v>
      </c>
      <c r="M77" s="14" t="n"/>
      <c r="N77" s="15" t="n">
        <v>0.3</v>
      </c>
      <c r="O77" s="16" t="inlineStr">
        <is>
          <t>確認中</t>
        </is>
      </c>
      <c r="P77" s="13" t="inlineStr">
        <is>
          <t>第9期は認知症・成年後見を基本目標4に内包する構成（概要版裏面で確認）。第10期の踏襲可否を要確認。</t>
        </is>
      </c>
    </row>
    <row r="78" ht="30" customHeight="1">
      <c r="A78" s="4" t="inlineStr">
        <is>
          <t>Ⅱ-74</t>
        </is>
      </c>
      <c r="B78" s="6" t="inlineStr">
        <is>
          <t>Ⅱ 計画策定</t>
        </is>
      </c>
      <c r="C78" s="6" t="inlineStr">
        <is>
          <t>Ⅱ-7 計画書の作成</t>
        </is>
      </c>
      <c r="D78" s="7" t="inlineStr">
        <is>
          <t>骨子案の作成</t>
        </is>
      </c>
      <c r="E78" s="4" t="inlineStr">
        <is>
          <t>仕様書4Ⅱ(7)</t>
        </is>
      </c>
      <c r="F78" s="4" t="inlineStr">
        <is>
          <t>受託者</t>
        </is>
      </c>
      <c r="G78" s="7" t="inlineStr">
        <is>
          <t>骨子案</t>
        </is>
      </c>
      <c r="H78" s="7" t="inlineStr"/>
      <c r="I78" s="4" t="inlineStr">
        <is>
          <t>R8.11〜12</t>
        </is>
      </c>
      <c r="J78" s="8" t="n"/>
      <c r="K78" s="8" t="n"/>
      <c r="L78" s="8" t="n">
        <v>46265</v>
      </c>
      <c r="M78" s="8" t="n">
        <v>46265</v>
      </c>
      <c r="N78" s="9" t="n">
        <v>1</v>
      </c>
      <c r="O78" s="10" t="inlineStr">
        <is>
          <t>完了</t>
        </is>
      </c>
      <c r="P78" s="7" t="inlineStr">
        <is>
          <t>doc15として全6章の章構成・節構成・想定頁数を確定。素案の作成に移行。</t>
        </is>
      </c>
    </row>
    <row r="79" ht="30" customHeight="1">
      <c r="A79" s="11" t="inlineStr">
        <is>
          <t>Ⅱ-75</t>
        </is>
      </c>
      <c r="B79" s="12" t="inlineStr">
        <is>
          <t>Ⅱ 計画策定</t>
        </is>
      </c>
      <c r="C79" s="12" t="inlineStr">
        <is>
          <t>Ⅱ-7 計画書の作成</t>
        </is>
      </c>
      <c r="D79" s="13" t="inlineStr">
        <is>
          <t>素案の作成</t>
        </is>
      </c>
      <c r="E79" s="11" t="inlineStr">
        <is>
          <t>仕様書4Ⅱ(7)</t>
        </is>
      </c>
      <c r="F79" s="11" t="inlineStr">
        <is>
          <t>受託者</t>
        </is>
      </c>
      <c r="G79" s="13" t="inlineStr">
        <is>
          <t>素案</t>
        </is>
      </c>
      <c r="H79" s="13" t="inlineStr"/>
      <c r="I79" s="11" t="inlineStr">
        <is>
          <t>R8.12〜R9.1</t>
        </is>
      </c>
      <c r="J79" s="14" t="n"/>
      <c r="K79" s="14" t="n"/>
      <c r="L79" s="14" t="n">
        <v>46265</v>
      </c>
      <c r="M79" s="14" t="n"/>
      <c r="N79" s="15" t="n">
        <v>0.6</v>
      </c>
      <c r="O79" s="16" t="inlineStr">
        <is>
          <t>着手</t>
        </is>
      </c>
      <c r="P79" s="13" t="inlineStr">
        <is>
          <t>doc18／output/06_計画素案.docx として全6章・63節・56表を作成。第1〜4章・第6章は本文執筆済。第5章は国ワークシート待ちのため枠組みのみ。【要確認】【要設定】を明示。</t>
        </is>
      </c>
    </row>
    <row r="80" ht="30" customHeight="1">
      <c r="A80" s="11" t="inlineStr">
        <is>
          <t>Ⅱ-76</t>
        </is>
      </c>
      <c r="B80" s="12" t="inlineStr">
        <is>
          <t>Ⅱ 計画策定</t>
        </is>
      </c>
      <c r="C80" s="12" t="inlineStr">
        <is>
          <t>Ⅱ-7 計画書の作成</t>
        </is>
      </c>
      <c r="D80" s="13" t="inlineStr">
        <is>
          <t>パブリックコメントの実施</t>
        </is>
      </c>
      <c r="E80" s="11" t="inlineStr">
        <is>
          <t>仕様書4Ⅱ(7)</t>
        </is>
      </c>
      <c r="F80" s="11" t="inlineStr">
        <is>
          <t>北塩原村</t>
        </is>
      </c>
      <c r="G80" s="13" t="inlineStr">
        <is>
          <t>パブコメ資料・意見</t>
        </is>
      </c>
      <c r="H80" s="13" t="inlineStr">
        <is>
          <t>通常30日間</t>
        </is>
      </c>
      <c r="I80" s="11" t="inlineStr">
        <is>
          <t>R8.12〜R9.1</t>
        </is>
      </c>
      <c r="J80" s="14" t="n"/>
      <c r="K80" s="14" t="n"/>
      <c r="L80" s="14" t="n"/>
      <c r="M80" s="14" t="n"/>
      <c r="N80" s="15" t="n">
        <v>0</v>
      </c>
      <c r="O80" s="11" t="inlineStr">
        <is>
          <t>未着手</t>
        </is>
      </c>
      <c r="P80" s="13" t="inlineStr"/>
    </row>
    <row r="81" ht="30" customHeight="1">
      <c r="A81" s="23" t="inlineStr">
        <is>
          <t>Ⅱ-77</t>
        </is>
      </c>
      <c r="B81" s="24" t="inlineStr">
        <is>
          <t>Ⅱ 計画策定</t>
        </is>
      </c>
      <c r="C81" s="24" t="inlineStr">
        <is>
          <t>Ⅱ-7 計画書の作成</t>
        </is>
      </c>
      <c r="D81" s="25" t="inlineStr">
        <is>
          <t>パブリックコメント意見の反映</t>
        </is>
      </c>
      <c r="E81" s="23" t="inlineStr">
        <is>
          <t>仕様書4Ⅱ(7)</t>
        </is>
      </c>
      <c r="F81" s="23" t="inlineStr">
        <is>
          <t>受託者</t>
        </is>
      </c>
      <c r="G81" s="25" t="inlineStr">
        <is>
          <t>対応表</t>
        </is>
      </c>
      <c r="H81" s="25" t="inlineStr"/>
      <c r="I81" s="23" t="inlineStr">
        <is>
          <t>R9.1〜2</t>
        </is>
      </c>
      <c r="J81" s="26" t="n"/>
      <c r="K81" s="26" t="n"/>
      <c r="L81" s="26" t="n"/>
      <c r="M81" s="26" t="n"/>
      <c r="N81" s="27" t="n">
        <v>0</v>
      </c>
      <c r="O81" s="23" t="inlineStr">
        <is>
          <t>未着手</t>
        </is>
      </c>
      <c r="P81" s="25" t="inlineStr"/>
    </row>
    <row r="82" ht="30" customHeight="1">
      <c r="A82" s="18" t="inlineStr">
        <is>
          <t>Ⅱ-78</t>
        </is>
      </c>
      <c r="B82" s="19" t="inlineStr">
        <is>
          <t>Ⅱ 計画策定</t>
        </is>
      </c>
      <c r="C82" s="19" t="inlineStr">
        <is>
          <t>Ⅱ-7 計画書の作成</t>
        </is>
      </c>
      <c r="D82" s="20" t="inlineStr">
        <is>
          <t>原案の作成</t>
        </is>
      </c>
      <c r="E82" s="18" t="inlineStr">
        <is>
          <t>仕様書4Ⅱ(7)</t>
        </is>
      </c>
      <c r="F82" s="18" t="inlineStr">
        <is>
          <t>受託者</t>
        </is>
      </c>
      <c r="G82" s="20" t="inlineStr">
        <is>
          <t>原案</t>
        </is>
      </c>
      <c r="H82" s="20" t="inlineStr"/>
      <c r="I82" s="18" t="inlineStr">
        <is>
          <t>R9.1〜2</t>
        </is>
      </c>
      <c r="J82" s="21" t="n"/>
      <c r="K82" s="21" t="n"/>
      <c r="L82" s="21" t="n"/>
      <c r="M82" s="21" t="n"/>
      <c r="N82" s="22" t="n">
        <v>0</v>
      </c>
      <c r="O82" s="18" t="inlineStr">
        <is>
          <t>未着手</t>
        </is>
      </c>
      <c r="P82" s="20" t="inlineStr"/>
    </row>
    <row r="83" ht="30" customHeight="1">
      <c r="A83" s="23" t="inlineStr">
        <is>
          <t>Ⅱ-79</t>
        </is>
      </c>
      <c r="B83" s="24" t="inlineStr">
        <is>
          <t>Ⅱ 計画策定</t>
        </is>
      </c>
      <c r="C83" s="24" t="inlineStr">
        <is>
          <t>Ⅱ-7 計画書の作成</t>
        </is>
      </c>
      <c r="D83" s="25" t="inlineStr">
        <is>
          <t>計画書の最終取りまとめ</t>
        </is>
      </c>
      <c r="E83" s="23" t="inlineStr">
        <is>
          <t>仕様書4Ⅱ(7)</t>
        </is>
      </c>
      <c r="F83" s="23" t="inlineStr">
        <is>
          <t>受託者</t>
        </is>
      </c>
      <c r="G83" s="25" t="inlineStr">
        <is>
          <t>計画書（確定）</t>
        </is>
      </c>
      <c r="H83" s="25" t="inlineStr"/>
      <c r="I83" s="23" t="inlineStr">
        <is>
          <t>R9.2〜3</t>
        </is>
      </c>
      <c r="J83" s="26" t="n"/>
      <c r="K83" s="26" t="n"/>
      <c r="L83" s="26" t="n"/>
      <c r="M83" s="26" t="n"/>
      <c r="N83" s="27" t="n">
        <v>0</v>
      </c>
      <c r="O83" s="23" t="inlineStr">
        <is>
          <t>未着手</t>
        </is>
      </c>
      <c r="P83" s="25" t="inlineStr"/>
    </row>
    <row r="84" ht="30" customHeight="1">
      <c r="A84" s="11" t="inlineStr">
        <is>
          <t>Ⅱ-80</t>
        </is>
      </c>
      <c r="B84" s="12" t="inlineStr">
        <is>
          <t>Ⅱ 計画策定</t>
        </is>
      </c>
      <c r="C84" s="12" t="inlineStr">
        <is>
          <t>Ⅱ-8 策定委員会支援</t>
        </is>
      </c>
      <c r="D84" s="13" t="inlineStr">
        <is>
          <t>委員の改選・委嘱</t>
        </is>
      </c>
      <c r="E84" s="11" t="inlineStr">
        <is>
          <t>確認</t>
        </is>
      </c>
      <c r="F84" s="11" t="inlineStr">
        <is>
          <t>北塩原村</t>
        </is>
      </c>
      <c r="G84" s="13" t="inlineStr">
        <is>
          <t>委員名簿</t>
        </is>
      </c>
      <c r="H84" s="13" t="inlineStr">
        <is>
          <t>現委員の任期は令和8年9月30日満了</t>
        </is>
      </c>
      <c r="I84" s="11" t="inlineStr">
        <is>
          <t>R8.9〜10</t>
        </is>
      </c>
      <c r="J84" s="14" t="n"/>
      <c r="K84" s="14" t="n"/>
      <c r="L84" s="14" t="n"/>
      <c r="M84" s="14" t="n"/>
      <c r="N84" s="15" t="n">
        <v>0</v>
      </c>
      <c r="O84" s="11" t="inlineStr">
        <is>
          <t>未着手</t>
        </is>
      </c>
      <c r="P84" s="13" t="inlineStr"/>
    </row>
    <row r="85" ht="30" customHeight="1">
      <c r="A85" s="23" t="inlineStr">
        <is>
          <t>Ⅱ-81</t>
        </is>
      </c>
      <c r="B85" s="24" t="inlineStr">
        <is>
          <t>Ⅱ 計画策定</t>
        </is>
      </c>
      <c r="C85" s="24" t="inlineStr">
        <is>
          <t>Ⅱ-8 策定委員会支援</t>
        </is>
      </c>
      <c r="D85" s="25" t="inlineStr">
        <is>
          <t>第1回 会議資料の作成</t>
        </is>
      </c>
      <c r="E85" s="23" t="inlineStr">
        <is>
          <t>仕様書4Ⅱ(8)</t>
        </is>
      </c>
      <c r="F85" s="23" t="inlineStr">
        <is>
          <t>受託者</t>
        </is>
      </c>
      <c r="G85" s="25" t="inlineStr">
        <is>
          <t>会議資料</t>
        </is>
      </c>
      <c r="H85" s="25" t="inlineStr">
        <is>
          <t>調査結果報告・第9期評価・策定方針</t>
        </is>
      </c>
      <c r="I85" s="23" t="inlineStr">
        <is>
          <t>R8.11</t>
        </is>
      </c>
      <c r="J85" s="26" t="n"/>
      <c r="K85" s="26" t="n"/>
      <c r="L85" s="26" t="n"/>
      <c r="M85" s="26" t="n"/>
      <c r="N85" s="27" t="n">
        <v>0</v>
      </c>
      <c r="O85" s="23" t="inlineStr">
        <is>
          <t>未着手</t>
        </is>
      </c>
      <c r="P85" s="25" t="inlineStr"/>
    </row>
    <row r="86" ht="30" customHeight="1">
      <c r="A86" s="18" t="inlineStr">
        <is>
          <t>Ⅱ-82</t>
        </is>
      </c>
      <c r="B86" s="19" t="inlineStr">
        <is>
          <t>Ⅱ 計画策定</t>
        </is>
      </c>
      <c r="C86" s="19" t="inlineStr">
        <is>
          <t>Ⅱ-8 策定委員会支援</t>
        </is>
      </c>
      <c r="D86" s="20" t="inlineStr">
        <is>
          <t>第1回 会議出席・会議記録（要旨）の作成</t>
        </is>
      </c>
      <c r="E86" s="18" t="inlineStr">
        <is>
          <t>仕様書4Ⅱ(8)</t>
        </is>
      </c>
      <c r="F86" s="18" t="inlineStr">
        <is>
          <t>受託者</t>
        </is>
      </c>
      <c r="G86" s="20" t="inlineStr">
        <is>
          <t>会議記録</t>
        </is>
      </c>
      <c r="H86" s="20" t="inlineStr"/>
      <c r="I86" s="18" t="inlineStr">
        <is>
          <t>R8.11</t>
        </is>
      </c>
      <c r="J86" s="21" t="n"/>
      <c r="K86" s="21" t="n"/>
      <c r="L86" s="21" t="n"/>
      <c r="M86" s="21" t="n"/>
      <c r="N86" s="22" t="n">
        <v>0</v>
      </c>
      <c r="O86" s="18" t="inlineStr">
        <is>
          <t>未着手</t>
        </is>
      </c>
      <c r="P86" s="20" t="inlineStr"/>
    </row>
    <row r="87" ht="30" customHeight="1">
      <c r="A87" s="23" t="inlineStr">
        <is>
          <t>Ⅱ-83</t>
        </is>
      </c>
      <c r="B87" s="24" t="inlineStr">
        <is>
          <t>Ⅱ 計画策定</t>
        </is>
      </c>
      <c r="C87" s="24" t="inlineStr">
        <is>
          <t>Ⅱ-8 策定委員会支援</t>
        </is>
      </c>
      <c r="D87" s="25" t="inlineStr">
        <is>
          <t>第2回 会議資料の作成</t>
        </is>
      </c>
      <c r="E87" s="23" t="inlineStr">
        <is>
          <t>仕様書4Ⅱ(8)</t>
        </is>
      </c>
      <c r="F87" s="23" t="inlineStr">
        <is>
          <t>受託者</t>
        </is>
      </c>
      <c r="G87" s="25" t="inlineStr">
        <is>
          <t>会議資料</t>
        </is>
      </c>
      <c r="H87" s="25" t="inlineStr">
        <is>
          <t>計画素案・見込量・保険料の考え方</t>
        </is>
      </c>
      <c r="I87" s="23" t="inlineStr">
        <is>
          <t>R8.12〜R9.1</t>
        </is>
      </c>
      <c r="J87" s="26" t="n"/>
      <c r="K87" s="26" t="n"/>
      <c r="L87" s="26" t="n"/>
      <c r="M87" s="26" t="n"/>
      <c r="N87" s="27" t="n">
        <v>0</v>
      </c>
      <c r="O87" s="23" t="inlineStr">
        <is>
          <t>未着手</t>
        </is>
      </c>
      <c r="P87" s="25" t="inlineStr"/>
    </row>
    <row r="88" ht="30" customHeight="1">
      <c r="A88" s="18" t="inlineStr">
        <is>
          <t>Ⅱ-84</t>
        </is>
      </c>
      <c r="B88" s="19" t="inlineStr">
        <is>
          <t>Ⅱ 計画策定</t>
        </is>
      </c>
      <c r="C88" s="19" t="inlineStr">
        <is>
          <t>Ⅱ-8 策定委員会支援</t>
        </is>
      </c>
      <c r="D88" s="20" t="inlineStr">
        <is>
          <t>第2回 会議出席・会議記録（要旨）の作成</t>
        </is>
      </c>
      <c r="E88" s="18" t="inlineStr">
        <is>
          <t>仕様書4Ⅱ(8)</t>
        </is>
      </c>
      <c r="F88" s="18" t="inlineStr">
        <is>
          <t>受託者</t>
        </is>
      </c>
      <c r="G88" s="20" t="inlineStr">
        <is>
          <t>会議記録</t>
        </is>
      </c>
      <c r="H88" s="20" t="inlineStr"/>
      <c r="I88" s="18" t="inlineStr">
        <is>
          <t>R8.12〜R9.1</t>
        </is>
      </c>
      <c r="J88" s="21" t="n"/>
      <c r="K88" s="21" t="n"/>
      <c r="L88" s="21" t="n"/>
      <c r="M88" s="21" t="n"/>
      <c r="N88" s="22" t="n">
        <v>0</v>
      </c>
      <c r="O88" s="18" t="inlineStr">
        <is>
          <t>未着手</t>
        </is>
      </c>
      <c r="P88" s="20" t="inlineStr"/>
    </row>
    <row r="89" ht="30" customHeight="1">
      <c r="A89" s="23" t="inlineStr">
        <is>
          <t>Ⅱ-85</t>
        </is>
      </c>
      <c r="B89" s="24" t="inlineStr">
        <is>
          <t>Ⅱ 計画策定</t>
        </is>
      </c>
      <c r="C89" s="24" t="inlineStr">
        <is>
          <t>Ⅱ-8 策定委員会支援</t>
        </is>
      </c>
      <c r="D89" s="25" t="inlineStr">
        <is>
          <t>第3回 会議資料の作成</t>
        </is>
      </c>
      <c r="E89" s="23" t="inlineStr">
        <is>
          <t>仕様書4Ⅱ(8)</t>
        </is>
      </c>
      <c r="F89" s="23" t="inlineStr">
        <is>
          <t>受託者</t>
        </is>
      </c>
      <c r="G89" s="25" t="inlineStr">
        <is>
          <t>会議資料</t>
        </is>
      </c>
      <c r="H89" s="25" t="inlineStr">
        <is>
          <t>パブコメ結果の反映・計画原案・保険料の確定</t>
        </is>
      </c>
      <c r="I89" s="23" t="inlineStr">
        <is>
          <t>R9.2</t>
        </is>
      </c>
      <c r="J89" s="26" t="n"/>
      <c r="K89" s="26" t="n"/>
      <c r="L89" s="26" t="n"/>
      <c r="M89" s="26" t="n"/>
      <c r="N89" s="27" t="n">
        <v>0</v>
      </c>
      <c r="O89" s="23" t="inlineStr">
        <is>
          <t>未着手</t>
        </is>
      </c>
      <c r="P89" s="25" t="inlineStr"/>
    </row>
    <row r="90" ht="30" customHeight="1">
      <c r="A90" s="18" t="inlineStr">
        <is>
          <t>Ⅱ-86</t>
        </is>
      </c>
      <c r="B90" s="19" t="inlineStr">
        <is>
          <t>Ⅱ 計画策定</t>
        </is>
      </c>
      <c r="C90" s="19" t="inlineStr">
        <is>
          <t>Ⅱ-8 策定委員会支援</t>
        </is>
      </c>
      <c r="D90" s="20" t="inlineStr">
        <is>
          <t>第3回 会議出席・会議記録（要旨）の作成</t>
        </is>
      </c>
      <c r="E90" s="18" t="inlineStr">
        <is>
          <t>仕様書4Ⅱ(8)</t>
        </is>
      </c>
      <c r="F90" s="18" t="inlineStr">
        <is>
          <t>受託者</t>
        </is>
      </c>
      <c r="G90" s="20" t="inlineStr">
        <is>
          <t>会議記録</t>
        </is>
      </c>
      <c r="H90" s="20" t="inlineStr"/>
      <c r="I90" s="18" t="inlineStr">
        <is>
          <t>R9.2</t>
        </is>
      </c>
      <c r="J90" s="21" t="n"/>
      <c r="K90" s="21" t="n"/>
      <c r="L90" s="21" t="n"/>
      <c r="M90" s="21" t="n"/>
      <c r="N90" s="22" t="n">
        <v>0</v>
      </c>
      <c r="O90" s="18" t="inlineStr">
        <is>
          <t>未着手</t>
        </is>
      </c>
      <c r="P90" s="20" t="inlineStr"/>
    </row>
    <row r="91" ht="30" customHeight="1">
      <c r="A91" s="11" t="inlineStr">
        <is>
          <t>Ⅲ-87</t>
        </is>
      </c>
      <c r="B91" s="17" t="inlineStr">
        <is>
          <t>Ⅲ 打合せ等</t>
        </is>
      </c>
      <c r="C91" s="12" t="inlineStr">
        <is>
          <t>Ⅲ-1 打合せ</t>
        </is>
      </c>
      <c r="D91" s="13" t="inlineStr">
        <is>
          <t>定例打合せの実施（電話・オンライン・対面）</t>
        </is>
      </c>
      <c r="E91" s="11" t="inlineStr">
        <is>
          <t>仕様書4Ⅲ</t>
        </is>
      </c>
      <c r="F91" s="11" t="inlineStr">
        <is>
          <t>双方</t>
        </is>
      </c>
      <c r="G91" s="13" t="inlineStr">
        <is>
          <t>打合せ記録</t>
        </is>
      </c>
      <c r="H91" s="13" t="inlineStr">
        <is>
          <t>必要に応じて随時</t>
        </is>
      </c>
      <c r="I91" s="11" t="inlineStr">
        <is>
          <t>通期</t>
        </is>
      </c>
      <c r="J91" s="14" t="n"/>
      <c r="K91" s="14" t="n"/>
      <c r="L91" s="14" t="n">
        <v>46259</v>
      </c>
      <c r="M91" s="14" t="n"/>
      <c r="N91" s="15" t="n">
        <v>0.1</v>
      </c>
      <c r="O91" s="16" t="inlineStr">
        <is>
          <t>着手</t>
        </is>
      </c>
      <c r="P91" s="13" t="inlineStr">
        <is>
          <t>通期。開催頻度・形式は未確定。</t>
        </is>
      </c>
    </row>
    <row r="92" ht="30" customHeight="1">
      <c r="A92" s="11" t="inlineStr">
        <is>
          <t>Ⅲ-88</t>
        </is>
      </c>
      <c r="B92" s="12" t="inlineStr">
        <is>
          <t>Ⅲ 打合せ等</t>
        </is>
      </c>
      <c r="C92" s="12" t="inlineStr">
        <is>
          <t>Ⅲ-1 打合せ</t>
        </is>
      </c>
      <c r="D92" s="13" t="inlineStr">
        <is>
          <t>資料授受の管理</t>
        </is>
      </c>
      <c r="E92" s="11" t="inlineStr">
        <is>
          <t>仕様書4Ⅲ</t>
        </is>
      </c>
      <c r="F92" s="11" t="inlineStr">
        <is>
          <t>双方</t>
        </is>
      </c>
      <c r="G92" s="13" t="inlineStr">
        <is>
          <t>資料授受記録</t>
        </is>
      </c>
      <c r="H92" s="13" t="inlineStr"/>
      <c r="I92" s="11" t="inlineStr">
        <is>
          <t>通期</t>
        </is>
      </c>
      <c r="J92" s="14" t="n"/>
      <c r="K92" s="14" t="n"/>
      <c r="L92" s="14" t="n">
        <v>46259</v>
      </c>
      <c r="M92" s="14" t="n"/>
      <c r="N92" s="15" t="n">
        <v>0.3</v>
      </c>
      <c r="O92" s="16" t="inlineStr">
        <is>
          <t>着手</t>
        </is>
      </c>
      <c r="P92" s="13" t="inlineStr">
        <is>
          <t>受領資料は「受領資料・データ管理」シートで管理。</t>
        </is>
      </c>
    </row>
    <row r="93" ht="30" customHeight="1">
      <c r="A93" s="23" t="inlineStr">
        <is>
          <t>Ⅳ-89</t>
        </is>
      </c>
      <c r="B93" s="28" t="inlineStr">
        <is>
          <t>Ⅳ 成果品・納品</t>
        </is>
      </c>
      <c r="C93" s="24" t="inlineStr">
        <is>
          <t>Ⅳ-1 成果品</t>
        </is>
      </c>
      <c r="D93" s="25" t="inlineStr">
        <is>
          <t>計画書の印刷・製本（A4両面約100頁・くるみ製本）</t>
        </is>
      </c>
      <c r="E93" s="23" t="inlineStr">
        <is>
          <t>仕様書5①</t>
        </is>
      </c>
      <c r="F93" s="23" t="inlineStr">
        <is>
          <t>受託者</t>
        </is>
      </c>
      <c r="G93" s="25" t="inlineStr">
        <is>
          <t>計画書 50部</t>
        </is>
      </c>
      <c r="H93" s="25" t="inlineStr">
        <is>
          <t>モノクロ印刷</t>
        </is>
      </c>
      <c r="I93" s="23" t="inlineStr">
        <is>
          <t>R9.3</t>
        </is>
      </c>
      <c r="J93" s="26" t="n"/>
      <c r="K93" s="26" t="n"/>
      <c r="L93" s="26" t="n"/>
      <c r="M93" s="26" t="n"/>
      <c r="N93" s="27" t="n">
        <v>0</v>
      </c>
      <c r="O93" s="23" t="inlineStr">
        <is>
          <t>未着手</t>
        </is>
      </c>
      <c r="P93" s="25" t="inlineStr"/>
    </row>
    <row r="94" ht="30" customHeight="1">
      <c r="A94" s="18" t="inlineStr">
        <is>
          <t>Ⅳ-90</t>
        </is>
      </c>
      <c r="B94" s="19" t="inlineStr">
        <is>
          <t>Ⅳ 成果品・納品</t>
        </is>
      </c>
      <c r="C94" s="19" t="inlineStr">
        <is>
          <t>Ⅳ-1 成果品</t>
        </is>
      </c>
      <c r="D94" s="20" t="inlineStr">
        <is>
          <t>アンケート調査報告書の印刷・製本（ホチキス製本）</t>
        </is>
      </c>
      <c r="E94" s="18" t="inlineStr">
        <is>
          <t>仕様書5②</t>
        </is>
      </c>
      <c r="F94" s="18" t="inlineStr">
        <is>
          <t>受託者</t>
        </is>
      </c>
      <c r="G94" s="20" t="inlineStr">
        <is>
          <t>報告書 10部</t>
        </is>
      </c>
      <c r="H94" s="20" t="inlineStr">
        <is>
          <t>A4両面約100頁・モノクロ</t>
        </is>
      </c>
      <c r="I94" s="18" t="inlineStr">
        <is>
          <t>R9.3</t>
        </is>
      </c>
      <c r="J94" s="21" t="n"/>
      <c r="K94" s="21" t="n"/>
      <c r="L94" s="21" t="n"/>
      <c r="M94" s="21" t="n"/>
      <c r="N94" s="22" t="n">
        <v>0</v>
      </c>
      <c r="O94" s="18" t="inlineStr">
        <is>
          <t>未着手</t>
        </is>
      </c>
      <c r="P94" s="20" t="inlineStr"/>
    </row>
    <row r="95" ht="30" customHeight="1">
      <c r="A95" s="23" t="inlineStr">
        <is>
          <t>Ⅳ-91</t>
        </is>
      </c>
      <c r="B95" s="24" t="inlineStr">
        <is>
          <t>Ⅳ 成果品・納品</t>
        </is>
      </c>
      <c r="C95" s="24" t="inlineStr">
        <is>
          <t>Ⅳ-1 成果品</t>
        </is>
      </c>
      <c r="D95" s="25" t="inlineStr">
        <is>
          <t>電子媒体の作成（Word/Excel/PowerPoint/PDF）</t>
        </is>
      </c>
      <c r="E95" s="23" t="inlineStr">
        <is>
          <t>仕様書5③</t>
        </is>
      </c>
      <c r="F95" s="23" t="inlineStr">
        <is>
          <t>受託者</t>
        </is>
      </c>
      <c r="G95" s="25" t="inlineStr">
        <is>
          <t>CD-R等一式</t>
        </is>
      </c>
      <c r="H95" s="25" t="inlineStr">
        <is>
          <t>関連データを含む</t>
        </is>
      </c>
      <c r="I95" s="23" t="inlineStr">
        <is>
          <t>R9.3</t>
        </is>
      </c>
      <c r="J95" s="26" t="n"/>
      <c r="K95" s="26" t="n"/>
      <c r="L95" s="26" t="n"/>
      <c r="M95" s="26" t="n"/>
      <c r="N95" s="27" t="n">
        <v>0</v>
      </c>
      <c r="O95" s="23" t="inlineStr">
        <is>
          <t>未着手</t>
        </is>
      </c>
      <c r="P95" s="25" t="inlineStr"/>
    </row>
    <row r="96" ht="30" customHeight="1">
      <c r="A96" s="18" t="inlineStr">
        <is>
          <t>Ⅳ-92</t>
        </is>
      </c>
      <c r="B96" s="19" t="inlineStr">
        <is>
          <t>Ⅳ 成果品・納品</t>
        </is>
      </c>
      <c r="C96" s="19" t="inlineStr">
        <is>
          <t>Ⅳ-1 成果品</t>
        </is>
      </c>
      <c r="D96" s="20" t="inlineStr">
        <is>
          <t>概要版の作成</t>
        </is>
      </c>
      <c r="E96" s="18" t="inlineStr">
        <is>
          <t>確認</t>
        </is>
      </c>
      <c r="F96" s="18" t="inlineStr">
        <is>
          <t>双方</t>
        </is>
      </c>
      <c r="G96" s="20" t="inlineStr">
        <is>
          <t>概要版</t>
        </is>
      </c>
      <c r="H96" s="20" t="inlineStr">
        <is>
          <t>仕様書に記載なし。要否・費用・部数・体裁を要協議</t>
        </is>
      </c>
      <c r="I96" s="18" t="inlineStr">
        <is>
          <t>R9.2〜3</t>
        </is>
      </c>
      <c r="J96" s="21" t="n"/>
      <c r="K96" s="21" t="n"/>
      <c r="L96" s="21" t="n"/>
      <c r="M96" s="21" t="n"/>
      <c r="N96" s="22" t="n">
        <v>0</v>
      </c>
      <c r="O96" s="18" t="inlineStr">
        <is>
          <t>未着手</t>
        </is>
      </c>
      <c r="P96" s="20" t="inlineStr"/>
    </row>
    <row r="97" ht="30" customHeight="1">
      <c r="A97" s="23" t="inlineStr">
        <is>
          <t>Ⅳ-93</t>
        </is>
      </c>
      <c r="B97" s="24" t="inlineStr">
        <is>
          <t>Ⅳ 成果品・納品</t>
        </is>
      </c>
      <c r="C97" s="24" t="inlineStr">
        <is>
          <t>Ⅳ-2 納品</t>
        </is>
      </c>
      <c r="D97" s="25" t="inlineStr">
        <is>
          <t>納品・検収</t>
        </is>
      </c>
      <c r="E97" s="23" t="inlineStr">
        <is>
          <t>仕様書3</t>
        </is>
      </c>
      <c r="F97" s="23" t="inlineStr">
        <is>
          <t>双方</t>
        </is>
      </c>
      <c r="G97" s="25" t="inlineStr">
        <is>
          <t>検収書</t>
        </is>
      </c>
      <c r="H97" s="25" t="inlineStr">
        <is>
          <t>履行期限 令和9年3月31日</t>
        </is>
      </c>
      <c r="I97" s="23" t="inlineStr">
        <is>
          <t>R9.3</t>
        </is>
      </c>
      <c r="J97" s="26" t="n"/>
      <c r="K97" s="26" t="n"/>
      <c r="L97" s="26" t="n"/>
      <c r="M97" s="26" t="n"/>
      <c r="N97" s="27" t="n">
        <v>0</v>
      </c>
      <c r="O97" s="23" t="inlineStr">
        <is>
          <t>未着手</t>
        </is>
      </c>
      <c r="P97" s="25" t="inlineStr"/>
    </row>
    <row r="98" ht="30" customHeight="1">
      <c r="A98" s="11" t="inlineStr">
        <is>
          <t>Ⅴ-94</t>
        </is>
      </c>
      <c r="B98" s="17" t="inlineStr">
        <is>
          <t>Ⅴ 管理</t>
        </is>
      </c>
      <c r="C98" s="12" t="inlineStr">
        <is>
          <t>Ⅴ-1 情報管理</t>
        </is>
      </c>
      <c r="D98" s="13" t="inlineStr">
        <is>
          <t>個人情報の適正管理（アクセス制限・保管ルール）</t>
        </is>
      </c>
      <c r="E98" s="11" t="inlineStr">
        <is>
          <t>仕様書6(1)</t>
        </is>
      </c>
      <c r="F98" s="11" t="inlineStr">
        <is>
          <t>受託者</t>
        </is>
      </c>
      <c r="G98" s="13" t="inlineStr">
        <is>
          <t>管理記録</t>
        </is>
      </c>
      <c r="H98" s="13" t="inlineStr">
        <is>
          <t>契約終了後・解除後も同様</t>
        </is>
      </c>
      <c r="I98" s="11" t="inlineStr">
        <is>
          <t>通期</t>
        </is>
      </c>
      <c r="J98" s="14" t="n"/>
      <c r="K98" s="14" t="n"/>
      <c r="L98" s="14" t="n">
        <v>46259</v>
      </c>
      <c r="M98" s="14" t="n"/>
      <c r="N98" s="15" t="n">
        <v>0.6</v>
      </c>
      <c r="O98" s="16" t="inlineStr">
        <is>
          <t>着手</t>
        </is>
      </c>
      <c r="P98" s="13" t="inlineStr">
        <is>
          <t>doc16として管理ルールを文書化完了（10項目のチェックリスト付）。村との合意・従事者名簿・誓約書は未実施。</t>
        </is>
      </c>
    </row>
    <row r="99" ht="30" customHeight="1">
      <c r="A99" s="23" t="inlineStr">
        <is>
          <t>Ⅴ-95</t>
        </is>
      </c>
      <c r="B99" s="24" t="inlineStr">
        <is>
          <t>Ⅴ 管理</t>
        </is>
      </c>
      <c r="C99" s="24" t="inlineStr">
        <is>
          <t>Ⅴ-1 情報管理</t>
        </is>
      </c>
      <c r="D99" s="25" t="inlineStr">
        <is>
          <t>業務完了後の情報の返還・消去</t>
        </is>
      </c>
      <c r="E99" s="23" t="inlineStr">
        <is>
          <t>仕様書6(1)</t>
        </is>
      </c>
      <c r="F99" s="23" t="inlineStr">
        <is>
          <t>受託者</t>
        </is>
      </c>
      <c r="G99" s="25" t="inlineStr">
        <is>
          <t>消去証明</t>
        </is>
      </c>
      <c r="H99" s="25" t="inlineStr">
        <is>
          <t>村の指示に従う</t>
        </is>
      </c>
      <c r="I99" s="23" t="inlineStr">
        <is>
          <t>R9.3</t>
        </is>
      </c>
      <c r="J99" s="26" t="n"/>
      <c r="K99" s="26" t="n"/>
      <c r="L99" s="26" t="n"/>
      <c r="M99" s="26" t="n"/>
      <c r="N99" s="27" t="n">
        <v>0</v>
      </c>
      <c r="O99" s="23" t="inlineStr">
        <is>
          <t>未着手</t>
        </is>
      </c>
      <c r="P99" s="25" t="inlineStr"/>
    </row>
    <row r="100" ht="30" customHeight="1">
      <c r="A100" s="18" t="inlineStr">
        <is>
          <t>Ⅴ-96</t>
        </is>
      </c>
      <c r="B100" s="19" t="inlineStr">
        <is>
          <t>Ⅴ 管理</t>
        </is>
      </c>
      <c r="C100" s="19" t="inlineStr">
        <is>
          <t>Ⅴ-2 再委託</t>
        </is>
      </c>
      <c r="D100" s="20" t="inlineStr">
        <is>
          <t>再委託の書面承諾の取得</t>
        </is>
      </c>
      <c r="E100" s="18" t="inlineStr">
        <is>
          <t>仕様書6(2)</t>
        </is>
      </c>
      <c r="F100" s="18" t="inlineStr">
        <is>
          <t>双方</t>
        </is>
      </c>
      <c r="G100" s="20" t="inlineStr">
        <is>
          <t>承諾書</t>
        </is>
      </c>
      <c r="H100" s="20" t="inlineStr">
        <is>
          <t>印刷・データ入力・ウェブフォーム構築等を外注する場合</t>
        </is>
      </c>
      <c r="I100" s="18" t="inlineStr">
        <is>
          <t>随時</t>
        </is>
      </c>
      <c r="J100" s="21" t="n"/>
      <c r="K100" s="21" t="n"/>
      <c r="L100" s="21" t="n"/>
      <c r="M100" s="21" t="n"/>
      <c r="N100" s="22" t="n">
        <v>0</v>
      </c>
      <c r="O100" s="18" t="inlineStr">
        <is>
          <t>未着手</t>
        </is>
      </c>
      <c r="P100" s="20" t="inlineStr"/>
    </row>
    <row r="101" ht="30" customHeight="1">
      <c r="A101" s="11" t="inlineStr">
        <is>
          <t>Ⅴ-97</t>
        </is>
      </c>
      <c r="B101" s="12" t="inlineStr">
        <is>
          <t>Ⅴ 管理</t>
        </is>
      </c>
      <c r="C101" s="12" t="inlineStr">
        <is>
          <t>Ⅴ-3 進捗管理</t>
        </is>
      </c>
      <c r="D101" s="13" t="inlineStr">
        <is>
          <t>進捗管理・課題管理</t>
        </is>
      </c>
      <c r="E101" s="11" t="inlineStr">
        <is>
          <t>―</t>
        </is>
      </c>
      <c r="F101" s="11" t="inlineStr">
        <is>
          <t>受託者</t>
        </is>
      </c>
      <c r="G101" s="13" t="inlineStr">
        <is>
          <t>本進捗管理表</t>
        </is>
      </c>
      <c r="H101" s="13" t="inlineStr"/>
      <c r="I101" s="11" t="inlineStr">
        <is>
          <t>通期</t>
        </is>
      </c>
      <c r="J101" s="14" t="n"/>
      <c r="K101" s="14" t="n"/>
      <c r="L101" s="14" t="n">
        <v>46265</v>
      </c>
      <c r="M101" s="14" t="n"/>
      <c r="N101" s="15" t="n">
        <v>0.3</v>
      </c>
      <c r="O101" s="16" t="inlineStr">
        <is>
          <t>着手</t>
        </is>
      </c>
      <c r="P101" s="13" t="inlineStr">
        <is>
          <t>本表で管理。基準日 令和8年8月31日。</t>
        </is>
      </c>
    </row>
  </sheetData>
  <autoFilter ref="A4:P101"/>
  <mergeCells count="2">
    <mergeCell ref="A1:P1"/>
    <mergeCell ref="A2:P2"/>
  </mergeCells>
  <dataValidations count="2">
    <dataValidation sqref="O5:O101" showDropDown="0" showInputMessage="0" showErrorMessage="0" allowBlank="1" type="list">
      <formula1>"未着手,着手,確認中,完了,保留,対象外"</formula1>
    </dataValidation>
    <dataValidation sqref="F5:F101" showDropDown="0" showInputMessage="0" showErrorMessage="0" allowBlank="1" type="list">
      <formula1>"受託者,北塩原村,双方"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56" customWidth="1" min="4" max="4"/>
    <col width="14" customWidth="1" min="5" max="5"/>
    <col width="16" customWidth="1" min="6" max="6"/>
    <col width="10" customWidth="1" min="7" max="7"/>
    <col width="30" customWidth="1" min="8" max="8"/>
  </cols>
  <sheetData>
    <row r="1" ht="30" customHeight="1">
      <c r="A1" s="1" t="inlineStr">
        <is>
          <t>北塩原村への確認事項　一覧（基準日：令和8年8月31日）</t>
        </is>
      </c>
    </row>
    <row r="2" ht="20" customHeight="1">
      <c r="A2" s="2" t="inlineStr">
        <is>
          <t>優先度S＝キックオフ会議（令和8年9月1日）で決着が必要（9月9日の入稿・9月中旬の発送を守るため）／A＝令和8年9月中に確定が必要／B＝第1回策定委員会（11月）まで／C＝第2回以降　｜　出所の doc番号は docs/北塩原村_第10期/ 配下の分析資料に対応します</t>
        </is>
      </c>
    </row>
    <row r="4" ht="34" customHeight="1">
      <c r="A4" s="3" t="inlineStr">
        <is>
          <t>優先度</t>
        </is>
      </c>
      <c r="B4" s="3" t="inlineStr">
        <is>
          <t>区分</t>
        </is>
      </c>
      <c r="C4" s="3" t="inlineStr">
        <is>
          <t>確認事項</t>
        </is>
      </c>
      <c r="D4" s="3" t="inlineStr">
        <is>
          <t>なぜ必要か／影響</t>
        </is>
      </c>
      <c r="E4" s="3" t="inlineStr">
        <is>
          <t>関連WBS No.</t>
        </is>
      </c>
      <c r="F4" s="3" t="inlineStr">
        <is>
          <t>出所</t>
        </is>
      </c>
      <c r="G4" s="3" t="inlineStr">
        <is>
          <t>状況</t>
        </is>
      </c>
      <c r="H4" s="3" t="inlineStr">
        <is>
          <t>回答内容・回答日</t>
        </is>
      </c>
    </row>
    <row r="5" ht="34" customHeight="1">
      <c r="A5" s="29" t="inlineStr">
        <is>
          <t>S</t>
        </is>
      </c>
      <c r="B5" s="30" t="inlineStr">
        <is>
          <t>スケジュール</t>
        </is>
      </c>
      <c r="C5" s="31" t="inlineStr">
        <is>
          <t>対象者抽出・宛名ラベル・配布用封筒の提供時期</t>
        </is>
      </c>
      <c r="D5" s="31" t="inlineStr">
        <is>
          <t>村作業が遅れると発送が連鎖的に遅れる。9/19〜23が5連休。</t>
        </is>
      </c>
      <c r="E5" s="32" t="inlineStr">
        <is>
          <t>Ⅰ-24,Ⅰ-25,Ⅰ-26</t>
        </is>
      </c>
      <c r="F5" s="32" t="inlineStr">
        <is>
          <t>doc01-4</t>
        </is>
      </c>
      <c r="G5" s="32" t="inlineStr">
        <is>
          <t>未依頼</t>
        </is>
      </c>
      <c r="H5" s="31" t="inlineStr"/>
    </row>
    <row r="6" ht="34" customHeight="1">
      <c r="A6" s="29" t="inlineStr">
        <is>
          <t>S</t>
        </is>
      </c>
      <c r="B6" s="30" t="inlineStr">
        <is>
          <t>スケジュール</t>
        </is>
      </c>
      <c r="C6" s="31" t="inlineStr">
        <is>
          <t>宛名ラベル・配布用封筒の提供期限の前倒し可否（9/14→9/11）</t>
        </is>
      </c>
      <c r="D6" s="31" t="inlineStr">
        <is>
          <t>★提供が1日遅れると発送が5連休に食い込む。村作業の遅延に対する余裕がない。</t>
        </is>
      </c>
      <c r="E6" s="32" t="inlineStr">
        <is>
          <t>Ⅰ-25,Ⅰ-26</t>
        </is>
      </c>
      <c r="F6" s="32" t="inlineStr">
        <is>
          <t>doc19 指-2</t>
        </is>
      </c>
      <c r="G6" s="32" t="inlineStr">
        <is>
          <t>未依頼</t>
        </is>
      </c>
      <c r="H6" s="31" t="inlineStr"/>
    </row>
    <row r="7" ht="34" customHeight="1">
      <c r="A7" s="29" t="inlineStr">
        <is>
          <t>S</t>
        </is>
      </c>
      <c r="B7" s="30" t="inlineStr">
        <is>
          <t>調査設計</t>
        </is>
      </c>
      <c r="C7" s="31" t="inlineStr">
        <is>
          <t>在宅介護実態調査の手法（手法Ⅲか、手法Ⅳ〈新版 在宅生活改善調査〉を加えるか）</t>
        </is>
      </c>
      <c r="D7" s="31" t="inlineStr">
        <is>
          <t>調査票の設計・印刷頁数・集計方法がすべて決まる。第10期の新設手法。</t>
        </is>
      </c>
      <c r="E7" s="32" t="inlineStr">
        <is>
          <t>Ⅰ-07,Ⅰ-10</t>
        </is>
      </c>
      <c r="F7" s="32" t="inlineStr">
        <is>
          <t>doc03/doc05</t>
        </is>
      </c>
      <c r="G7" s="32" t="inlineStr">
        <is>
          <t>未依頼</t>
        </is>
      </c>
      <c r="H7" s="31" t="inlineStr"/>
    </row>
    <row r="8" ht="34" customHeight="1">
      <c r="A8" s="29" t="inlineStr">
        <is>
          <t>S</t>
        </is>
      </c>
      <c r="B8" s="30" t="inlineStr">
        <is>
          <t>調査設計</t>
        </is>
      </c>
      <c r="C8" s="31" t="inlineStr">
        <is>
          <t>ニーズ調査 約850人の抽出基準（要支援認定者を含むか／第9期との対比）</t>
        </is>
      </c>
      <c r="D8" s="31" t="inlineStr">
        <is>
          <t>対象者数が確定しないと印刷部数・郵送費が固まらない。</t>
        </is>
      </c>
      <c r="E8" s="32" t="inlineStr">
        <is>
          <t>Ⅰ-08,Ⅰ-24</t>
        </is>
      </c>
      <c r="F8" s="32" t="inlineStr">
        <is>
          <t>doc01-2,3</t>
        </is>
      </c>
      <c r="G8" s="32" t="inlineStr">
        <is>
          <t>未依頼</t>
        </is>
      </c>
      <c r="H8" s="31" t="inlineStr"/>
    </row>
    <row r="9" ht="34" customHeight="1">
      <c r="A9" s="29" t="inlineStr">
        <is>
          <t>S</t>
        </is>
      </c>
      <c r="B9" s="30" t="inlineStr">
        <is>
          <t>調査設計</t>
        </is>
      </c>
      <c r="C9" s="31" t="inlineStr">
        <is>
          <t>在宅介護実態調査 約150人の抽出基準（要支援を含むか／施設入所者の除外方法）</t>
        </is>
      </c>
      <c r="D9" s="31" t="inlineStr">
        <is>
          <t>同上。手法Ⅲの対象定義に直結。</t>
        </is>
      </c>
      <c r="E9" s="32" t="inlineStr">
        <is>
          <t>Ⅰ-08,Ⅰ-24</t>
        </is>
      </c>
      <c r="F9" s="32" t="inlineStr">
        <is>
          <t>doc01-2</t>
        </is>
      </c>
      <c r="G9" s="32" t="inlineStr">
        <is>
          <t>未依頼</t>
        </is>
      </c>
      <c r="H9" s="31" t="inlineStr"/>
    </row>
    <row r="10" ht="34" customHeight="1">
      <c r="A10" s="29" t="inlineStr">
        <is>
          <t>S</t>
        </is>
      </c>
      <c r="B10" s="30" t="inlineStr">
        <is>
          <t>調査設計</t>
        </is>
      </c>
      <c r="C10" s="31" t="inlineStr">
        <is>
          <t>オプション項目の採否（「問6 就労について」ほか）</t>
        </is>
      </c>
      <c r="D10" s="31" t="inlineStr">
        <is>
          <t>令和7年8月版で就労はオプションと確定。採否で頁数が変わる。</t>
        </is>
      </c>
      <c r="E10" s="32" t="inlineStr">
        <is>
          <t>Ⅰ-12</t>
        </is>
      </c>
      <c r="F10" s="32" t="inlineStr">
        <is>
          <t>doc05</t>
        </is>
      </c>
      <c r="G10" s="32" t="inlineStr">
        <is>
          <t>未依頼</t>
        </is>
      </c>
      <c r="H10" s="31" t="inlineStr"/>
    </row>
    <row r="11" ht="34" customHeight="1">
      <c r="A11" s="29" t="inlineStr">
        <is>
          <t>S</t>
        </is>
      </c>
      <c r="B11" s="30" t="inlineStr">
        <is>
          <t>調査設計</t>
        </is>
      </c>
      <c r="C11" s="31" t="inlineStr">
        <is>
          <t>村独自設問の採否（除雪・在宅医療・成年後見・歯科受診・服薬ほか）</t>
        </is>
      </c>
      <c r="D11" s="31" t="inlineStr">
        <is>
          <t>第9期との時系列比較を優先するか、新規論点を入れるかの判断。</t>
        </is>
      </c>
      <c r="E11" s="32" t="inlineStr">
        <is>
          <t>Ⅰ-13</t>
        </is>
      </c>
      <c r="F11" s="32" t="inlineStr">
        <is>
          <t>doc03</t>
        </is>
      </c>
      <c r="G11" s="32" t="inlineStr">
        <is>
          <t>未依頼</t>
        </is>
      </c>
      <c r="H11" s="31" t="inlineStr"/>
    </row>
    <row r="12" ht="34" customHeight="1">
      <c r="A12" s="29" t="inlineStr">
        <is>
          <t>S</t>
        </is>
      </c>
      <c r="B12" s="30" t="inlineStr">
        <is>
          <t>調査設計</t>
        </is>
      </c>
      <c r="C12" s="31" t="inlineStr">
        <is>
          <t>被保険者番号と照合可能な管理番号の形式（村のラベル作成仕様と一体）</t>
        </is>
      </c>
      <c r="D12" s="31" t="inlineStr">
        <is>
          <t>第10期の新規要件。ラベル発注前に確定が必要。</t>
        </is>
      </c>
      <c r="E12" s="32" t="inlineStr">
        <is>
          <t>Ⅰ-19,Ⅰ-25</t>
        </is>
      </c>
      <c r="F12" s="32" t="inlineStr">
        <is>
          <t>doc01</t>
        </is>
      </c>
      <c r="G12" s="32" t="inlineStr">
        <is>
          <t>未依頼</t>
        </is>
      </c>
      <c r="H12" s="31" t="inlineStr"/>
    </row>
    <row r="13" ht="34" customHeight="1">
      <c r="A13" s="29" t="inlineStr">
        <is>
          <t>S</t>
        </is>
      </c>
      <c r="B13" s="30" t="inlineStr">
        <is>
          <t>調査設計</t>
        </is>
      </c>
      <c r="C13" s="31" t="inlineStr">
        <is>
          <t>ウェブ回答フォームの仕様（回答期限・村HP掲載の有無・二次元コード印字位置）</t>
        </is>
      </c>
      <c r="D13" s="31" t="inlineStr">
        <is>
          <t>入稿データ作成の前提。</t>
        </is>
      </c>
      <c r="E13" s="32" t="inlineStr">
        <is>
          <t>Ⅰ-16,Ⅰ-17</t>
        </is>
      </c>
      <c r="F13" s="32" t="inlineStr">
        <is>
          <t>doc01-8</t>
        </is>
      </c>
      <c r="G13" s="32" t="inlineStr">
        <is>
          <t>未依頼</t>
        </is>
      </c>
      <c r="H13" s="31" t="inlineStr"/>
    </row>
    <row r="14" ht="34" customHeight="1">
      <c r="A14" s="29" t="inlineStr">
        <is>
          <t>S</t>
        </is>
      </c>
      <c r="B14" s="30" t="inlineStr">
        <is>
          <t>調査設計</t>
        </is>
      </c>
      <c r="C14" s="31" t="inlineStr">
        <is>
          <t>★調査の基準日（ニーズ調査・在宅介護実態調査）</t>
        </is>
      </c>
      <c r="D14" s="31" t="inlineStr">
        <is>
          <t>資料が空欄。基準日が決まらないと村が対象者を抽出できない。第9期は令和5年8月1日基準。</t>
        </is>
      </c>
      <c r="E14" s="32" t="inlineStr">
        <is>
          <t>Ⅰ-08,Ⅰ-24</t>
        </is>
      </c>
      <c r="F14" s="32" t="inlineStr">
        <is>
          <t>doc19 追-1</t>
        </is>
      </c>
      <c r="G14" s="32" t="inlineStr">
        <is>
          <t>未依頼</t>
        </is>
      </c>
      <c r="H14" s="31" t="inlineStr"/>
    </row>
    <row r="15" ht="34" customHeight="1">
      <c r="A15" s="29" t="inlineStr">
        <is>
          <t>S</t>
        </is>
      </c>
      <c r="B15" s="30" t="inlineStr">
        <is>
          <t>調査設計</t>
        </is>
      </c>
      <c r="C15" s="31" t="inlineStr">
        <is>
          <t>★発送日の確定（9/17前倒し／9/18のまま／9/24後ろ倒し）と回収期限</t>
        </is>
      </c>
      <c r="D15" s="31" t="inlineStr">
        <is>
          <t>★9/18は金曜で翌日から9/19〜23の5連休。配達が連休明けにずれる可能性。以降の全工程を左右する。</t>
        </is>
      </c>
      <c r="E15" s="32" t="inlineStr">
        <is>
          <t>Ⅰ-29,Ⅰ-32</t>
        </is>
      </c>
      <c r="F15" s="32" t="inlineStr">
        <is>
          <t>doc19 指-1</t>
        </is>
      </c>
      <c r="G15" s="32" t="inlineStr">
        <is>
          <t>未依頼</t>
        </is>
      </c>
      <c r="H15" s="31" t="inlineStr"/>
    </row>
    <row r="16" ht="34" customHeight="1">
      <c r="A16" s="29" t="inlineStr">
        <is>
          <t>S</t>
        </is>
      </c>
      <c r="B16" s="30" t="inlineStr">
        <is>
          <t>調査設計</t>
        </is>
      </c>
      <c r="C16" s="31" t="inlineStr">
        <is>
          <t>★ウェブ回答フォームにGoogleフォームを用いることの可否</t>
        </is>
      </c>
      <c r="D16" s="31" t="inlineStr">
        <is>
          <t>★通信の暗号化とデータの保存先は別の論点。回答データが村外サーバに保存される。個人情報保護条例上の取扱いと、重複排除の実装・エクスポート後の元データ削除・公開期間管理の確認が必要。</t>
        </is>
      </c>
      <c r="E16" s="32" t="inlineStr">
        <is>
          <t>Ⅰ-16,Ⅰ-18</t>
        </is>
      </c>
      <c r="F16" s="32" t="inlineStr">
        <is>
          <t>doc19 追-3</t>
        </is>
      </c>
      <c r="G16" s="32" t="inlineStr">
        <is>
          <t>未依頼</t>
        </is>
      </c>
      <c r="H16" s="31" t="inlineStr"/>
    </row>
    <row r="17" ht="34" customHeight="1">
      <c r="A17" s="29" t="inlineStr">
        <is>
          <t>S</t>
        </is>
      </c>
      <c r="B17" s="30" t="inlineStr">
        <is>
          <t>調査設計</t>
        </is>
      </c>
      <c r="C17" s="31" t="inlineStr">
        <is>
          <t>調査票の印刷頁数の調整方針（仕様書はニーズ約12頁／在宅約8頁）</t>
        </is>
      </c>
      <c r="D17" s="31" t="inlineStr">
        <is>
          <t>現在の調査票案は設問数が多く、レイアウト調整か設問の絞り込みが必要になる可能性。オプション項目の採否と一体。</t>
        </is>
      </c>
      <c r="E17" s="32" t="inlineStr">
        <is>
          <t>Ⅰ-20,Ⅰ-21</t>
        </is>
      </c>
      <c r="F17" s="32" t="inlineStr">
        <is>
          <t>doc19 S-5</t>
        </is>
      </c>
      <c r="G17" s="32" t="inlineStr">
        <is>
          <t>未依頼</t>
        </is>
      </c>
      <c r="H17" s="31" t="inlineStr"/>
    </row>
    <row r="18" ht="34" customHeight="1">
      <c r="A18" s="29" t="inlineStr">
        <is>
          <t>S</t>
        </is>
      </c>
      <c r="B18" s="30" t="inlineStr">
        <is>
          <t>調査設計</t>
        </is>
      </c>
      <c r="C18" s="31" t="inlineStr">
        <is>
          <t>依頼状の差出人名義（村名義／村長名）</t>
        </is>
      </c>
      <c r="D18" s="31" t="inlineStr">
        <is>
          <t>障がい福祉計画は村名義。回収率に影響し得るため村長名を推奨するが村の慣行による。</t>
        </is>
      </c>
      <c r="E18" s="32" t="inlineStr">
        <is>
          <t>Ⅰ-14</t>
        </is>
      </c>
      <c r="F18" s="32" t="inlineStr">
        <is>
          <t>doc19 追-4</t>
        </is>
      </c>
      <c r="G18" s="32" t="inlineStr">
        <is>
          <t>未依頼</t>
        </is>
      </c>
      <c r="H18" s="31" t="inlineStr"/>
    </row>
    <row r="19" ht="34" customHeight="1">
      <c r="A19" s="29" t="inlineStr">
        <is>
          <t>S</t>
        </is>
      </c>
      <c r="B19" s="30" t="inlineStr">
        <is>
          <t>調査設計</t>
        </is>
      </c>
      <c r="C19" s="31" t="inlineStr">
        <is>
          <t>調査票の印刷部数（予備を何部見込むか）</t>
        </is>
      </c>
      <c r="D19" s="31" t="inlineStr">
        <is>
          <t>約1,000部＋予備。発送後の追加印刷は工程上困難。</t>
        </is>
      </c>
      <c r="E19" s="32" t="inlineStr">
        <is>
          <t>Ⅰ-21,Ⅰ-22</t>
        </is>
      </c>
      <c r="F19" s="32" t="inlineStr">
        <is>
          <t>doc19 追-5</t>
        </is>
      </c>
      <c r="G19" s="32" t="inlineStr">
        <is>
          <t>未依頼</t>
        </is>
      </c>
      <c r="H19" s="31" t="inlineStr"/>
    </row>
    <row r="20" ht="34" customHeight="1">
      <c r="A20" s="29" t="inlineStr">
        <is>
          <t>S</t>
        </is>
      </c>
      <c r="B20" s="30" t="inlineStr">
        <is>
          <t>調査設計</t>
        </is>
      </c>
      <c r="C20" s="31" t="inlineStr">
        <is>
          <t>在宅介護実態調査 問8・問9の基準月</t>
        </is>
      </c>
      <c r="D20" s="31" t="inlineStr">
        <is>
          <t>発送月の前月が通常。発送日の確定とセット。</t>
        </is>
      </c>
      <c r="E20" s="32" t="inlineStr">
        <is>
          <t>Ⅰ-10</t>
        </is>
      </c>
      <c r="F20" s="32" t="inlineStr">
        <is>
          <t>doc19 追-2</t>
        </is>
      </c>
      <c r="G20" s="32" t="inlineStr">
        <is>
          <t>未依頼</t>
        </is>
      </c>
      <c r="H20" s="31" t="inlineStr"/>
    </row>
    <row r="21" ht="34" customHeight="1">
      <c r="A21" s="33" t="inlineStr">
        <is>
          <t>A</t>
        </is>
      </c>
      <c r="B21" s="30" t="inlineStr">
        <is>
          <t>体制</t>
        </is>
      </c>
      <c r="C21" s="31" t="inlineStr">
        <is>
          <t>所管課・窓口の確認（住民課→保健福祉課の変更の有無、担当者体制）</t>
        </is>
      </c>
      <c r="D21" s="31" t="inlineStr">
        <is>
          <t>連絡体制表の確定。第9期概要版の発行は住民課。</t>
        </is>
      </c>
      <c r="E21" s="32" t="inlineStr">
        <is>
          <t>０-04</t>
        </is>
      </c>
      <c r="F21" s="32" t="inlineStr">
        <is>
          <t>doc01-1</t>
        </is>
      </c>
      <c r="G21" s="32" t="inlineStr">
        <is>
          <t>未依頼</t>
        </is>
      </c>
      <c r="H21" s="31" t="inlineStr"/>
    </row>
    <row r="22" ht="34" customHeight="1">
      <c r="A22" s="33" t="inlineStr">
        <is>
          <t>A</t>
        </is>
      </c>
      <c r="B22" s="30" t="inlineStr">
        <is>
          <t>体制</t>
        </is>
      </c>
      <c r="C22" s="31" t="inlineStr">
        <is>
          <t>契約締結日・契約書の取り交わし状況</t>
        </is>
      </c>
      <c r="D22" s="31" t="inlineStr">
        <is>
          <t>業務開始日の確定。</t>
        </is>
      </c>
      <c r="E22" s="32" t="inlineStr">
        <is>
          <t>０-02</t>
        </is>
      </c>
      <c r="F22" s="32" t="inlineStr">
        <is>
          <t>―</t>
        </is>
      </c>
      <c r="G22" s="32" t="inlineStr">
        <is>
          <t>未依頼</t>
        </is>
      </c>
      <c r="H22" s="31" t="inlineStr"/>
    </row>
    <row r="23" ht="34" customHeight="1">
      <c r="A23" s="33" t="inlineStr">
        <is>
          <t>A</t>
        </is>
      </c>
      <c r="B23" s="30" t="inlineStr">
        <is>
          <t>体制</t>
        </is>
      </c>
      <c r="C23" s="31" t="inlineStr">
        <is>
          <t>★見える化システムのアカウント（障がい福祉計画分の継続利用可否）と秘密保持契約の要否</t>
        </is>
      </c>
      <c r="D23" s="31" t="inlineStr">
        <is>
          <t>★すでに19,591レコードを受領して分析に着手している。遡って手続きが必要な場合はその整理も要する。</t>
        </is>
      </c>
      <c r="E23" s="32" t="inlineStr">
        <is>
          <t>０-06</t>
        </is>
      </c>
      <c r="F23" s="32" t="inlineStr">
        <is>
          <t>doc19 追-12</t>
        </is>
      </c>
      <c r="G23" s="32" t="inlineStr">
        <is>
          <t>未依頼</t>
        </is>
      </c>
      <c r="H23" s="31" t="inlineStr"/>
    </row>
    <row r="24" ht="34" customHeight="1">
      <c r="A24" s="33" t="inlineStr">
        <is>
          <t>A</t>
        </is>
      </c>
      <c r="B24" s="30" t="inlineStr">
        <is>
          <t>委員会</t>
        </is>
      </c>
      <c r="C24" s="31" t="inlineStr">
        <is>
          <t>策定委員会の委員改選手続きの所要期間と第1回開催希望時期・開催形式</t>
        </is>
      </c>
      <c r="D24" s="31" t="inlineStr">
        <is>
          <t>★現委員の任期は令和8年9月30日満了。第1回を11月に開くには10月中の委嘱が必要。</t>
        </is>
      </c>
      <c r="E24" s="32" t="inlineStr">
        <is>
          <t>Ⅱ-80,Ⅱ-81</t>
        </is>
      </c>
      <c r="F24" s="32" t="inlineStr">
        <is>
          <t>doc01-6,doc19 追-15</t>
        </is>
      </c>
      <c r="G24" s="32" t="inlineStr">
        <is>
          <t>未依頼</t>
        </is>
      </c>
      <c r="H24" s="31" t="inlineStr"/>
    </row>
    <row r="25" ht="34" customHeight="1">
      <c r="A25" s="33" t="inlineStr">
        <is>
          <t>A</t>
        </is>
      </c>
      <c r="B25" s="30" t="inlineStr">
        <is>
          <t>成果品</t>
        </is>
      </c>
      <c r="C25" s="31" t="inlineStr">
        <is>
          <t>パブリックコメント（30日間）の実施時期・実施主体と庁内手続き日程</t>
        </is>
      </c>
      <c r="D25" s="31" t="inlineStr">
        <is>
          <t>★30日間必要。第2回策定委員会が1月にずれると第3回（2月）までに終わらず工程が破綻する。年末年始も挟む。</t>
        </is>
      </c>
      <c r="E25" s="32" t="inlineStr">
        <is>
          <t>Ⅱ-76,Ⅱ-77</t>
        </is>
      </c>
      <c r="F25" s="32" t="inlineStr">
        <is>
          <t>doc01-7,doc19 指-3</t>
        </is>
      </c>
      <c r="G25" s="32" t="inlineStr">
        <is>
          <t>未依頼</t>
        </is>
      </c>
      <c r="H25" s="31" t="inlineStr"/>
    </row>
    <row r="26" ht="34" customHeight="1">
      <c r="A26" s="34" t="inlineStr">
        <is>
          <t>B</t>
        </is>
      </c>
      <c r="B26" s="24" t="inlineStr">
        <is>
          <t>データ</t>
        </is>
      </c>
      <c r="C26" s="25" t="inlineStr">
        <is>
          <t>介護給付費準備基金の現在高（令和6年度末実績・令和7年度末見込）</t>
        </is>
      </c>
      <c r="D26" s="25" t="inlineStr">
        <is>
          <t>保険料算定の前提。決算でR4年度1,700万円・R5年度810万円の積立を確認済。</t>
        </is>
      </c>
      <c r="E26" s="23" t="inlineStr">
        <is>
          <t>Ⅱ-63,Ⅱ-64</t>
        </is>
      </c>
      <c r="F26" s="23" t="inlineStr">
        <is>
          <t>doc02§22,doc08§8</t>
        </is>
      </c>
      <c r="G26" s="23" t="inlineStr">
        <is>
          <t>未依頼</t>
        </is>
      </c>
      <c r="H26" s="25" t="inlineStr"/>
    </row>
    <row r="27" ht="34" customHeight="1">
      <c r="A27" s="34" t="inlineStr">
        <is>
          <t>B</t>
        </is>
      </c>
      <c r="B27" s="24" t="inlineStr">
        <is>
          <t>データ</t>
        </is>
      </c>
      <c r="C27" s="25" t="inlineStr">
        <is>
          <t>令和6年度決算および令和7年度の給付費見込</t>
        </is>
      </c>
      <c r="D27" s="25" t="inlineStr">
        <is>
          <t>第9期の計画値と実績の乖離を確定させるために必要。</t>
        </is>
      </c>
      <c r="E27" s="23" t="inlineStr">
        <is>
          <t>Ⅱ-55,Ⅱ-56</t>
        </is>
      </c>
      <c r="F27" s="23" t="inlineStr">
        <is>
          <t>doc08§8-1</t>
        </is>
      </c>
      <c r="G27" s="23" t="inlineStr">
        <is>
          <t>未依頼</t>
        </is>
      </c>
      <c r="H27" s="25" t="inlineStr"/>
    </row>
    <row r="28" ht="34" customHeight="1">
      <c r="A28" s="34" t="inlineStr">
        <is>
          <t>B</t>
        </is>
      </c>
      <c r="B28" s="24" t="inlineStr">
        <is>
          <t>データ</t>
        </is>
      </c>
      <c r="C28" s="25" t="inlineStr">
        <is>
          <t>通いの場の実数（令和3〜7年度）</t>
        </is>
      </c>
      <c r="D28" s="25" t="inlineStr">
        <is>
          <t>見える化は令和2年度で更新停止。かつH25・H29・R2は未報告とみられる。活動指標の基準値に必須。</t>
        </is>
      </c>
      <c r="E28" s="23" t="inlineStr">
        <is>
          <t>Ⅱ-65</t>
        </is>
      </c>
      <c r="F28" s="23" t="inlineStr">
        <is>
          <t>doc02§16,§22</t>
        </is>
      </c>
      <c r="G28" s="23" t="inlineStr">
        <is>
          <t>未依頼</t>
        </is>
      </c>
      <c r="H28" s="25" t="inlineStr"/>
    </row>
    <row r="29" ht="34" customHeight="1">
      <c r="A29" s="34" t="inlineStr">
        <is>
          <t>B</t>
        </is>
      </c>
      <c r="B29" s="24" t="inlineStr">
        <is>
          <t>データ</t>
        </is>
      </c>
      <c r="C29" s="25" t="inlineStr">
        <is>
          <t>保険者機能強化推進交付金（W系）の福島県平均・全国平均</t>
        </is>
      </c>
      <c r="D29" s="25" t="inlineStr">
        <is>
          <t>成果目標・活動指標の目標値設定に必要。P1〜P4で主要4指標は解決済だがW系は未入手。</t>
        </is>
      </c>
      <c r="E29" s="23" t="inlineStr">
        <is>
          <t>Ⅱ-65</t>
        </is>
      </c>
      <c r="F29" s="23" t="inlineStr">
        <is>
          <t>doc07§8-2,doc09§10</t>
        </is>
      </c>
      <c r="G29" s="23" t="inlineStr">
        <is>
          <t>未依頼</t>
        </is>
      </c>
      <c r="H29" s="25" t="inlineStr"/>
    </row>
    <row r="30" ht="34" customHeight="1">
      <c r="A30" s="34" t="inlineStr">
        <is>
          <t>B</t>
        </is>
      </c>
      <c r="B30" s="24" t="inlineStr">
        <is>
          <t>データ</t>
        </is>
      </c>
      <c r="C30" s="25" t="inlineStr">
        <is>
          <t>交付要綱の配点表（満点）</t>
        </is>
      </c>
      <c r="D30" s="25" t="inlineStr">
        <is>
          <t>得点しか出力されず達成率が算出できない。</t>
        </is>
      </c>
      <c r="E30" s="23" t="inlineStr">
        <is>
          <t>Ⅱ-65</t>
        </is>
      </c>
      <c r="F30" s="23" t="inlineStr">
        <is>
          <t>doc07§8-1</t>
        </is>
      </c>
      <c r="G30" s="23" t="inlineStr">
        <is>
          <t>未依頼</t>
        </is>
      </c>
      <c r="H30" s="25" t="inlineStr"/>
    </row>
    <row r="31" ht="34" customHeight="1">
      <c r="A31" s="34" t="inlineStr">
        <is>
          <t>B</t>
        </is>
      </c>
      <c r="B31" s="24" t="inlineStr">
        <is>
          <t>データ</t>
        </is>
      </c>
      <c r="C31" s="25" t="inlineStr">
        <is>
          <t>令和6年度・令和7年度の交付金評価結果</t>
        </is>
      </c>
      <c r="D31" s="25" t="inlineStr">
        <is>
          <t>受領データは令和5年度まで。第10期の基準値は最新年度に置くべき。</t>
        </is>
      </c>
      <c r="E31" s="23" t="inlineStr">
        <is>
          <t>Ⅱ-65</t>
        </is>
      </c>
      <c r="F31" s="23" t="inlineStr">
        <is>
          <t>doc07§8-5</t>
        </is>
      </c>
      <c r="G31" s="23" t="inlineStr">
        <is>
          <t>未依頼</t>
        </is>
      </c>
      <c r="H31" s="25" t="inlineStr"/>
    </row>
    <row r="32" ht="34" customHeight="1">
      <c r="A32" s="34" t="inlineStr">
        <is>
          <t>B</t>
        </is>
      </c>
      <c r="B32" s="24" t="inlineStr">
        <is>
          <t>データ</t>
        </is>
      </c>
      <c r="C32" s="25" t="inlineStr">
        <is>
          <t>成年後見制度（市民後見人養成含む）の利用実態・実績</t>
        </is>
      </c>
      <c r="D32" s="25" t="inlineStr">
        <is>
          <t>見える化に該当データがない。第9期は基本目標4-4に位置づけ。</t>
        </is>
      </c>
      <c r="E32" s="23" t="inlineStr">
        <is>
          <t>Ⅱ-68,Ⅱ-69</t>
        </is>
      </c>
      <c r="F32" s="23" t="inlineStr">
        <is>
          <t>doc08§8-5</t>
        </is>
      </c>
      <c r="G32" s="23" t="inlineStr">
        <is>
          <t>未依頼</t>
        </is>
      </c>
      <c r="H32" s="25" t="inlineStr"/>
    </row>
    <row r="33" ht="34" customHeight="1">
      <c r="A33" s="34" t="inlineStr">
        <is>
          <t>B</t>
        </is>
      </c>
      <c r="B33" s="24" t="inlineStr">
        <is>
          <t>データ</t>
        </is>
      </c>
      <c r="C33" s="25" t="inlineStr">
        <is>
          <t>高齢者福祉事業（村単独事業）の実績資料</t>
        </is>
      </c>
      <c r="D33" s="25" t="inlineStr">
        <is>
          <t>現行計画の評価に必要。</t>
        </is>
      </c>
      <c r="E33" s="23" t="inlineStr">
        <is>
          <t>Ⅱ-53,Ⅱ-54</t>
        </is>
      </c>
      <c r="F33" s="23" t="inlineStr">
        <is>
          <t>doc01-11</t>
        </is>
      </c>
      <c r="G33" s="23" t="inlineStr">
        <is>
          <t>未依頼</t>
        </is>
      </c>
      <c r="H33" s="25" t="inlineStr"/>
    </row>
    <row r="34" ht="34" customHeight="1">
      <c r="A34" s="34" t="inlineStr">
        <is>
          <t>B</t>
        </is>
      </c>
      <c r="B34" s="24" t="inlineStr">
        <is>
          <t>データ</t>
        </is>
      </c>
      <c r="C34" s="25" t="inlineStr">
        <is>
          <t>人口データの出所の統一（住基／国勢調査／福島県現住人口調査）</t>
        </is>
      </c>
      <c r="D34" s="25" t="inlineStr">
        <is>
          <t>計画書内で人口の数字が複数出ることを避ける。doc13は社人研＋住基の補正手法を採用。</t>
        </is>
      </c>
      <c r="E34" s="23" t="inlineStr">
        <is>
          <t>Ⅱ-58,Ⅱ-59</t>
        </is>
      </c>
      <c r="F34" s="23" t="inlineStr">
        <is>
          <t>doc19 追-9</t>
        </is>
      </c>
      <c r="G34" s="23" t="inlineStr">
        <is>
          <t>未依頼</t>
        </is>
      </c>
      <c r="H34" s="25" t="inlineStr"/>
    </row>
    <row r="35" ht="34" customHeight="1">
      <c r="A35" s="34" t="inlineStr">
        <is>
          <t>B</t>
        </is>
      </c>
      <c r="B35" s="24" t="inlineStr">
        <is>
          <t>データ</t>
        </is>
      </c>
      <c r="C35" s="25" t="inlineStr">
        <is>
          <t>介護保険事業状況報告（月報・年報）の原データの提供可否</t>
        </is>
      </c>
      <c r="D35" s="25" t="inlineStr">
        <is>
          <t>見える化に収録されていない項目（サービス種類別利用者数の月次推移等）が扱えるようになる。</t>
        </is>
      </c>
      <c r="E35" s="23" t="inlineStr">
        <is>
          <t>Ⅱ-55</t>
        </is>
      </c>
      <c r="F35" s="23" t="inlineStr">
        <is>
          <t>doc19 追-10</t>
        </is>
      </c>
      <c r="G35" s="23" t="inlineStr">
        <is>
          <t>未依頼</t>
        </is>
      </c>
      <c r="H35" s="25" t="inlineStr"/>
    </row>
    <row r="36" ht="34" customHeight="1">
      <c r="A36" s="34" t="inlineStr">
        <is>
          <t>B</t>
        </is>
      </c>
      <c r="B36" s="24" t="inlineStr">
        <is>
          <t>データ</t>
        </is>
      </c>
      <c r="C36" s="25" t="inlineStr">
        <is>
          <t>診療所（南東北裏磐梯・桧原）の診療日数および患者数</t>
        </is>
      </c>
      <c r="D36" s="25" t="inlineStr">
        <is>
          <t>★在宅医療・介護連携の分析に直結するがこれまで把握していなかった。</t>
        </is>
      </c>
      <c r="E36" s="23" t="inlineStr">
        <is>
          <t>Ⅱ-54</t>
        </is>
      </c>
      <c r="F36" s="23" t="inlineStr">
        <is>
          <t>doc19 追-11</t>
        </is>
      </c>
      <c r="G36" s="23" t="inlineStr">
        <is>
          <t>未依頼</t>
        </is>
      </c>
      <c r="H36" s="25" t="inlineStr"/>
    </row>
    <row r="37" ht="34" customHeight="1">
      <c r="A37" s="34" t="inlineStr">
        <is>
          <t>B</t>
        </is>
      </c>
      <c r="B37" s="24" t="inlineStr">
        <is>
          <t>データ</t>
        </is>
      </c>
      <c r="C37" s="25" t="inlineStr">
        <is>
          <t>家族介護者リフレッシュ事業・介護用品支給・サポーター養成講座・成年後見の各実績</t>
        </is>
      </c>
      <c r="D37" s="25" t="inlineStr">
        <is>
          <t>任意事業・認知症施策・成年後見の評価に必要。令和6年度実績、可能であれば令和7年度。</t>
        </is>
      </c>
      <c r="E37" s="23" t="inlineStr">
        <is>
          <t>Ⅱ-53,Ⅱ-54</t>
        </is>
      </c>
      <c r="F37" s="23" t="inlineStr">
        <is>
          <t>doc19 追-11</t>
        </is>
      </c>
      <c r="G37" s="23" t="inlineStr">
        <is>
          <t>未依頼</t>
        </is>
      </c>
      <c r="H37" s="25" t="inlineStr"/>
    </row>
    <row r="38" ht="34" customHeight="1">
      <c r="A38" s="34" t="inlineStr">
        <is>
          <t>B</t>
        </is>
      </c>
      <c r="B38" s="24" t="inlineStr">
        <is>
          <t>データ</t>
        </is>
      </c>
      <c r="C38" s="25" t="inlineStr">
        <is>
          <t>特定健診・後期高齢者健診の受診率、特定保健指導の実施率</t>
        </is>
      </c>
      <c r="D38" s="25" t="inlineStr">
        <is>
          <t>介護予防と保健事業の一体的実施（施策1-6）の評価に必要。</t>
        </is>
      </c>
      <c r="E38" s="23" t="inlineStr">
        <is>
          <t>Ⅱ-54</t>
        </is>
      </c>
      <c r="F38" s="23" t="inlineStr">
        <is>
          <t>doc19 追-11</t>
        </is>
      </c>
      <c r="G38" s="23" t="inlineStr">
        <is>
          <t>未依頼</t>
        </is>
      </c>
      <c r="H38" s="25" t="inlineStr"/>
    </row>
    <row r="39" ht="34" customHeight="1">
      <c r="A39" s="34" t="inlineStr">
        <is>
          <t>B</t>
        </is>
      </c>
      <c r="B39" s="24" t="inlineStr">
        <is>
          <t>成果品</t>
        </is>
      </c>
      <c r="C39" s="25" t="inlineStr">
        <is>
          <t>概要版の位置づけ（仕様の範囲内か追加対応か）</t>
        </is>
      </c>
      <c r="D39" s="25" t="inlineStr">
        <is>
          <t>仕様書に記載がなく成果品一覧にもないが、資料末尾に「必要に応じては概要版も作成致します」とある。第9期は2ページの概要版を作成。</t>
        </is>
      </c>
      <c r="E39" s="23" t="inlineStr">
        <is>
          <t>Ⅳ-92</t>
        </is>
      </c>
      <c r="F39" s="23" t="inlineStr">
        <is>
          <t>doc19 指-5</t>
        </is>
      </c>
      <c r="G39" s="23" t="inlineStr">
        <is>
          <t>未依頼</t>
        </is>
      </c>
      <c r="H39" s="25" t="inlineStr"/>
    </row>
    <row r="40" ht="34" customHeight="1">
      <c r="A40" s="34" t="inlineStr">
        <is>
          <t>B</t>
        </is>
      </c>
      <c r="B40" s="24" t="inlineStr">
        <is>
          <t>方針</t>
        </is>
      </c>
      <c r="C40" s="25" t="inlineStr">
        <is>
          <t>第1号被保険者数の推計を社人研ベースから補正して用いる方針の可否</t>
        </is>
      </c>
      <c r="D40" s="25" t="inlineStr">
        <is>
          <t>社人研推計は住基ベース実績より6〜8%少なく、第9期はこれで63人ずれた。手法変更のため村の合意が要る。</t>
        </is>
      </c>
      <c r="E40" s="23" t="inlineStr">
        <is>
          <t>Ⅱ-59</t>
        </is>
      </c>
      <c r="F40" s="23" t="inlineStr">
        <is>
          <t>doc09§4,§10</t>
        </is>
      </c>
      <c r="G40" s="23" t="inlineStr">
        <is>
          <t>未依頼</t>
        </is>
      </c>
      <c r="H40" s="25" t="inlineStr"/>
    </row>
    <row r="41" ht="34" customHeight="1">
      <c r="A41" s="34" t="inlineStr">
        <is>
          <t>B</t>
        </is>
      </c>
      <c r="B41" s="24" t="inlineStr">
        <is>
          <t>方針</t>
        </is>
      </c>
      <c r="C41" s="25" t="inlineStr">
        <is>
          <t>保険料が県・全国を上回る一方で費用額は下位である点の認識と説明方針</t>
        </is>
      </c>
      <c r="D41" s="25" t="inlineStr">
        <is>
          <t>保険料6,700円は県+360円・全国+475円。費用額は県内44/59位。説明ロジックの構築に関わる。</t>
        </is>
      </c>
      <c r="E41" s="23" t="inlineStr">
        <is>
          <t>Ⅱ-64</t>
        </is>
      </c>
      <c r="F41" s="23" t="inlineStr">
        <is>
          <t>doc09§8,§10</t>
        </is>
      </c>
      <c r="G41" s="23" t="inlineStr">
        <is>
          <t>未依頼</t>
        </is>
      </c>
      <c r="H41" s="25" t="inlineStr"/>
    </row>
    <row r="42" ht="34" customHeight="1">
      <c r="A42" s="34" t="inlineStr">
        <is>
          <t>B</t>
        </is>
      </c>
      <c r="B42" s="24" t="inlineStr">
        <is>
          <t>方針</t>
        </is>
      </c>
      <c r="C42" s="25" t="inlineStr">
        <is>
          <t>総合事業のサービスA〜Dを第10期で立ち上げる意向の有無</t>
        </is>
      </c>
      <c r="D42" s="25" t="inlineStr">
        <is>
          <t>従前相当サービス以外の事業費割合0.0%。要支援1急増（39→51人）の受け皿に直結。素案の施策1-2の成否を決める。</t>
        </is>
      </c>
      <c r="E42" s="23" t="inlineStr">
        <is>
          <t>Ⅱ-67,Ⅱ-75</t>
        </is>
      </c>
      <c r="F42" s="23" t="inlineStr">
        <is>
          <t>doc02§17,doc07,doc18 4-1</t>
        </is>
      </c>
      <c r="G42" s="23" t="inlineStr">
        <is>
          <t>未依頼</t>
        </is>
      </c>
      <c r="H42" s="25" t="inlineStr"/>
    </row>
    <row r="43" ht="34" customHeight="1">
      <c r="A43" s="34" t="inlineStr">
        <is>
          <t>B</t>
        </is>
      </c>
      <c r="B43" s="24" t="inlineStr">
        <is>
          <t>方針</t>
        </is>
      </c>
      <c r="C43" s="25" t="inlineStr">
        <is>
          <t>認定率の分母をB1（第1号被保険者数）に統一することの可否</t>
        </is>
      </c>
      <c r="D43" s="25" t="inlineStr">
        <is>
          <t>第9期は同一計画書内に19.0%（193/1,016）と19.7%（197/1,002）が併記されていた。統一すると第9期の公表値と異なる数値を示すことになる。</t>
        </is>
      </c>
      <c r="E43" s="23" t="inlineStr">
        <is>
          <t>Ⅱ-56,Ⅱ-75</t>
        </is>
      </c>
      <c r="F43" s="23" t="inlineStr">
        <is>
          <t>doc17 C-1,doc02§20-2</t>
        </is>
      </c>
      <c r="G43" s="23" t="inlineStr">
        <is>
          <t>未依頼</t>
        </is>
      </c>
      <c r="H43" s="25" t="inlineStr"/>
    </row>
    <row r="44" ht="34" customHeight="1">
      <c r="A44" s="34" t="inlineStr">
        <is>
          <t>B</t>
        </is>
      </c>
      <c r="B44" s="24" t="inlineStr">
        <is>
          <t>方針</t>
        </is>
      </c>
      <c r="C44" s="25" t="inlineStr">
        <is>
          <t>成果目標・活動指標の目標値の設定方針（認定率を据置とするか／トレンド継続か／政策効果を織り込むか）</t>
        </is>
      </c>
      <c r="D44" s="25" t="inlineStr">
        <is>
          <t>doc13§6で3案を提示。政策効果を織り込む案を採る場合は、その根拠を指標に置く必要がある。</t>
        </is>
      </c>
      <c r="E44" s="23" t="inlineStr">
        <is>
          <t>Ⅱ-60,Ⅱ-65</t>
        </is>
      </c>
      <c r="F44" s="23" t="inlineStr">
        <is>
          <t>doc13§6</t>
        </is>
      </c>
      <c r="G44" s="23" t="inlineStr">
        <is>
          <t>未依頼</t>
        </is>
      </c>
      <c r="H44" s="25" t="inlineStr"/>
    </row>
    <row r="45" ht="34" customHeight="1">
      <c r="A45" s="34" t="inlineStr">
        <is>
          <t>B</t>
        </is>
      </c>
      <c r="B45" s="24" t="inlineStr">
        <is>
          <t>方針</t>
        </is>
      </c>
      <c r="C45" s="25" t="inlineStr">
        <is>
          <t>上限保険料の設定の有無と基金活用の比較案のパターン</t>
        </is>
      </c>
      <c r="D45" s="25" t="inlineStr">
        <is>
          <t>第9期は基金24,000,000円の取崩を計画。全額取崩案／据置優先案／中間案など何案を示すかを確認。</t>
        </is>
      </c>
      <c r="E45" s="23" t="inlineStr">
        <is>
          <t>Ⅱ-63,Ⅱ-64</t>
        </is>
      </c>
      <c r="F45" s="23" t="inlineStr">
        <is>
          <t>doc19 追-14</t>
        </is>
      </c>
      <c r="G45" s="23" t="inlineStr">
        <is>
          <t>未依頼</t>
        </is>
      </c>
      <c r="H45" s="25" t="inlineStr"/>
    </row>
    <row r="46" ht="34" customHeight="1">
      <c r="A46" s="34" t="inlineStr">
        <is>
          <t>B</t>
        </is>
      </c>
      <c r="B46" s="24" t="inlineStr">
        <is>
          <t>方針</t>
        </is>
      </c>
      <c r="C46" s="25" t="inlineStr">
        <is>
          <t>施設整備の方向性（在宅調査48.5%の入所希望の扱い）</t>
        </is>
      </c>
      <c r="D46" s="25" t="inlineStr">
        <is>
          <t>★48.5%は回収33件中16人。標本が小さいため単独の根拠とせず、村内施設ゼロ・短期入所+165%・認定率18位/費用額44位と併せて示し、今回の在宅調査150人で再確認する位置づけを提案。</t>
        </is>
      </c>
      <c r="E46" s="23" t="inlineStr">
        <is>
          <t>Ⅱ-67,Ⅱ-75</t>
        </is>
      </c>
      <c r="F46" s="23" t="inlineStr">
        <is>
          <t>doc19 §3</t>
        </is>
      </c>
      <c r="G46" s="23" t="inlineStr">
        <is>
          <t>未依頼</t>
        </is>
      </c>
      <c r="H46" s="25" t="inlineStr"/>
    </row>
    <row r="47" ht="34" customHeight="1">
      <c r="A47" s="34" t="inlineStr">
        <is>
          <t>B</t>
        </is>
      </c>
      <c r="B47" s="24" t="inlineStr">
        <is>
          <t>疑義</t>
        </is>
      </c>
      <c r="C47" s="25" t="inlineStr">
        <is>
          <t>W125「第9期計画作成に向けた各種調査の実施」が4項目とも0点である理由</t>
        </is>
      </c>
      <c r="D47" s="25" t="inlineStr">
        <is>
          <t>第9期報告書には調査結果が掲載されており、報告漏れの可能性が高い。第10期では確実に得点化したい。</t>
        </is>
      </c>
      <c r="E47" s="23" t="inlineStr">
        <is>
          <t>Ⅱ-54</t>
        </is>
      </c>
      <c r="F47" s="23" t="inlineStr">
        <is>
          <t>doc07§4</t>
        </is>
      </c>
      <c r="G47" s="23" t="inlineStr">
        <is>
          <t>未依頼</t>
        </is>
      </c>
      <c r="H47" s="25" t="inlineStr"/>
    </row>
    <row r="48" ht="34" customHeight="1">
      <c r="A48" s="34" t="inlineStr">
        <is>
          <t>B</t>
        </is>
      </c>
      <c r="B48" s="24" t="inlineStr">
        <is>
          <t>疑義</t>
        </is>
      </c>
      <c r="C48" s="25" t="inlineStr">
        <is>
          <t>交付金「文書負担軽減」が11点→7点に低下した理由（取組の後退か判定基準の変更か）</t>
        </is>
      </c>
      <c r="D48" s="25" t="inlineStr">
        <is>
          <t>評価指標の読み方に影響。</t>
        </is>
      </c>
      <c r="E48" s="23" t="inlineStr">
        <is>
          <t>Ⅱ-54</t>
        </is>
      </c>
      <c r="F48" s="23" t="inlineStr">
        <is>
          <t>doc07§8-4</t>
        </is>
      </c>
      <c r="G48" s="23" t="inlineStr">
        <is>
          <t>未依頼</t>
        </is>
      </c>
      <c r="H48" s="25" t="inlineStr"/>
    </row>
    <row r="49" ht="34" customHeight="1">
      <c r="A49" s="34" t="inlineStr">
        <is>
          <t>B</t>
        </is>
      </c>
      <c r="B49" s="24" t="inlineStr">
        <is>
          <t>疑義</t>
        </is>
      </c>
      <c r="C49" s="25" t="inlineStr">
        <is>
          <t>第9期概要版④「地域支援事業費」の集計範囲（任意事業の扱い）</t>
        </is>
      </c>
      <c r="D49" s="25" t="inlineStr">
        <is>
          <t>決算と6,300〜10,100千円ずれる。揃えないと第10期が第9期と比較不能になる。</t>
        </is>
      </c>
      <c r="E49" s="23" t="inlineStr">
        <is>
          <t>Ⅱ-55,Ⅱ-56</t>
        </is>
      </c>
      <c r="F49" s="23" t="inlineStr">
        <is>
          <t>doc08§4,§8-2</t>
        </is>
      </c>
      <c r="G49" s="23" t="inlineStr">
        <is>
          <t>未依頼</t>
        </is>
      </c>
      <c r="H49" s="25" t="inlineStr"/>
    </row>
    <row r="50" ht="34" customHeight="1">
      <c r="A50" s="34" t="inlineStr">
        <is>
          <t>B</t>
        </is>
      </c>
      <c r="B50" s="24" t="inlineStr">
        <is>
          <t>疑義</t>
        </is>
      </c>
      <c r="C50" s="25" t="inlineStr">
        <is>
          <t>特別会計の歳入内訳の区分変更の有無（令和3→4年度）</t>
        </is>
      </c>
      <c r="D50" s="25" t="inlineStr">
        <is>
          <t>総務費繰入金・低所得者保険料軽減繰入金が0になり一般会計繰入金が急増。時系列グラフが不連続になる。</t>
        </is>
      </c>
      <c r="E50" s="23" t="inlineStr">
        <is>
          <t>Ⅱ-55</t>
        </is>
      </c>
      <c r="F50" s="23" t="inlineStr">
        <is>
          <t>doc02§20-1</t>
        </is>
      </c>
      <c r="G50" s="23" t="inlineStr">
        <is>
          <t>未依頼</t>
        </is>
      </c>
      <c r="H50" s="25" t="inlineStr"/>
    </row>
    <row r="51" ht="34" customHeight="1">
      <c r="A51" s="34" t="inlineStr">
        <is>
          <t>B</t>
        </is>
      </c>
      <c r="B51" s="24" t="inlineStr">
        <is>
          <t>素案</t>
        </is>
      </c>
      <c r="C51" s="25" t="inlineStr">
        <is>
          <t>章構成を第9期（全6章＋資料編）から踏襲することの可否</t>
        </is>
      </c>
      <c r="D51" s="25" t="inlineStr">
        <is>
          <t>素案は踏襲を前提。第2章に「2-8 保険者機能の評価」「2-9 第9期計画の進捗と評価」の2節を新設している。</t>
        </is>
      </c>
      <c r="E51" s="23" t="inlineStr">
        <is>
          <t>Ⅱ-75</t>
        </is>
      </c>
      <c r="F51" s="23" t="inlineStr">
        <is>
          <t>doc15,doc18</t>
        </is>
      </c>
      <c r="G51" s="23" t="inlineStr">
        <is>
          <t>未依頼</t>
        </is>
      </c>
      <c r="H51" s="25" t="inlineStr"/>
    </row>
    <row r="52" ht="34" customHeight="1">
      <c r="A52" s="34" t="inlineStr">
        <is>
          <t>B</t>
        </is>
      </c>
      <c r="B52" s="24" t="inlineStr">
        <is>
          <t>素案</t>
        </is>
      </c>
      <c r="C52" s="25" t="inlineStr">
        <is>
          <t>基本理念・基本目標の枠組みを第9期から継承することの可否</t>
        </is>
      </c>
      <c r="D52" s="25" t="inlineStr">
        <is>
          <t>素案は継承を前提に構成。変更する場合は第3章・第4章の全面的な組み替えが必要になる。</t>
        </is>
      </c>
      <c r="E52" s="23" t="inlineStr">
        <is>
          <t>Ⅱ-71,Ⅱ-75</t>
        </is>
      </c>
      <c r="F52" s="23" t="inlineStr">
        <is>
          <t>doc14§5,doc18 3-1</t>
        </is>
      </c>
      <c r="G52" s="23" t="inlineStr">
        <is>
          <t>未依頼</t>
        </is>
      </c>
      <c r="H52" s="25" t="inlineStr"/>
    </row>
    <row r="53" ht="34" customHeight="1">
      <c r="A53" s="34" t="inlineStr">
        <is>
          <t>B</t>
        </is>
      </c>
      <c r="B53" s="24" t="inlineStr">
        <is>
          <t>素案</t>
        </is>
      </c>
      <c r="C53" s="25" t="inlineStr">
        <is>
          <t>基本目標5「計画の推進と進捗管理」を独立させるか、各基本目標に横断的に組み込むか</t>
        </is>
      </c>
      <c r="D53" s="25" t="inlineStr">
        <is>
          <t>第9期で3年連続0点だったPDCAへの対応。独立を推奨するが構成上の選択であり村の意向による。</t>
        </is>
      </c>
      <c r="E53" s="23" t="inlineStr">
        <is>
          <t>Ⅱ-71,Ⅱ-75</t>
        </is>
      </c>
      <c r="F53" s="23" t="inlineStr">
        <is>
          <t>doc14§5,doc15,doc18 4-5</t>
        </is>
      </c>
      <c r="G53" s="23" t="inlineStr">
        <is>
          <t>未依頼</t>
        </is>
      </c>
      <c r="H53" s="25" t="inlineStr"/>
    </row>
    <row r="54" ht="34" customHeight="1">
      <c r="A54" s="34" t="inlineStr">
        <is>
          <t>B</t>
        </is>
      </c>
      <c r="B54" s="24" t="inlineStr">
        <is>
          <t>素案</t>
        </is>
      </c>
      <c r="C54" s="25" t="inlineStr">
        <is>
          <t>施設サービスの記載を「村外施設サービスの利用支援」に改めることの可否</t>
        </is>
      </c>
      <c r="D54" s="25" t="inlineStr">
        <is>
          <t>村内に該当施設がゼロ。第9期は特養〜介護医療院の4類型を列挙する記載で実態と乖離していた。</t>
        </is>
      </c>
      <c r="E54" s="23" t="inlineStr">
        <is>
          <t>Ⅱ-75</t>
        </is>
      </c>
      <c r="F54" s="23" t="inlineStr">
        <is>
          <t>doc17 B-3,doc18 4-3</t>
        </is>
      </c>
      <c r="G54" s="23" t="inlineStr">
        <is>
          <t>未依頼</t>
        </is>
      </c>
      <c r="H54" s="25" t="inlineStr"/>
    </row>
    <row r="55" ht="34" customHeight="1">
      <c r="A55" s="34" t="inlineStr">
        <is>
          <t>B</t>
        </is>
      </c>
      <c r="B55" s="24" t="inlineStr">
        <is>
          <t>素案</t>
        </is>
      </c>
      <c r="C55" s="25" t="inlineStr">
        <is>
          <t>計画本文に第9期の推計乖離（第1号被保険者数6.6%）を記載することの可否</t>
        </is>
      </c>
      <c r="D55" s="25" t="inlineStr">
        <is>
          <t>素案の2-9・5-1に記載。次期計画で本計画の推計精度を検証できるようにする趣旨だが、自らの誤差を公表することになるため村の判断を要する。</t>
        </is>
      </c>
      <c r="E55" s="23" t="inlineStr">
        <is>
          <t>Ⅱ-75</t>
        </is>
      </c>
      <c r="F55" s="23" t="inlineStr">
        <is>
          <t>doc17 A-1,doc18 2-9</t>
        </is>
      </c>
      <c r="G55" s="23" t="inlineStr">
        <is>
          <t>未依頼</t>
        </is>
      </c>
      <c r="H55" s="25" t="inlineStr"/>
    </row>
    <row r="56" ht="34" customHeight="1">
      <c r="A56" s="34" t="inlineStr">
        <is>
          <t>B</t>
        </is>
      </c>
      <c r="B56" s="24" t="inlineStr">
        <is>
          <t>素案</t>
        </is>
      </c>
      <c r="C56" s="25" t="inlineStr">
        <is>
          <t>第9期保険料の再算定試算（6,761円→約6,346円）の取扱い</t>
        </is>
      </c>
      <c r="D56" s="25" t="inlineStr">
        <is>
          <t>第1号被保険者数のみを実績に置換した試算で、福島県平均6,340円とほぼ一致する。素案5-7に記載しているが、公表資料での扱いは村の判断による。</t>
        </is>
      </c>
      <c r="E56" s="23" t="inlineStr">
        <is>
          <t>Ⅱ-64,Ⅱ-75</t>
        </is>
      </c>
      <c r="F56" s="23" t="inlineStr">
        <is>
          <t>doc17 A-1,doc18 5-7</t>
        </is>
      </c>
      <c r="G56" s="23" t="inlineStr">
        <is>
          <t>未依頼</t>
        </is>
      </c>
      <c r="H56" s="25" t="inlineStr"/>
    </row>
    <row r="57" ht="34" customHeight="1">
      <c r="A57" s="34" t="inlineStr">
        <is>
          <t>B</t>
        </is>
      </c>
      <c r="B57" s="24" t="inlineStr">
        <is>
          <t>計画構成</t>
        </is>
      </c>
      <c r="C57" s="25" t="inlineStr">
        <is>
          <t>北塩原村第六次総合振興計画の策定状況</t>
        </is>
      </c>
      <c r="D57" s="25" t="inlineStr">
        <is>
          <t>第五次は2017〜2026。第10期（令和9〜11年度）の上位計画になる。</t>
        </is>
      </c>
      <c r="E57" s="23" t="inlineStr">
        <is>
          <t>Ⅱ-72</t>
        </is>
      </c>
      <c r="F57" s="23" t="inlineStr">
        <is>
          <t>doc08§8-4</t>
        </is>
      </c>
      <c r="G57" s="23" t="inlineStr">
        <is>
          <t>未依頼</t>
        </is>
      </c>
      <c r="H57" s="25" t="inlineStr"/>
    </row>
    <row r="58" ht="34" customHeight="1">
      <c r="A58" s="34" t="inlineStr">
        <is>
          <t>B</t>
        </is>
      </c>
      <c r="B58" s="24" t="inlineStr">
        <is>
          <t>計画構成</t>
        </is>
      </c>
      <c r="C58" s="25" t="inlineStr">
        <is>
          <t>認知症施策推進計画・成年後見制度利用促進基本計画の一体化を第10期も踏襲するか</t>
        </is>
      </c>
      <c r="D58" s="25" t="inlineStr">
        <is>
          <t>第9期は基本目標4に内包する構成。素案は踏襲を前提に1-2で法的根拠を記載している。</t>
        </is>
      </c>
      <c r="E58" s="23" t="inlineStr">
        <is>
          <t>Ⅱ-73,Ⅱ-75</t>
        </is>
      </c>
      <c r="F58" s="23" t="inlineStr">
        <is>
          <t>doc01-5,doc18 1-2</t>
        </is>
      </c>
      <c r="G58" s="23" t="inlineStr">
        <is>
          <t>未依頼</t>
        </is>
      </c>
      <c r="H58" s="25" t="inlineStr"/>
    </row>
    <row r="59" ht="34" customHeight="1">
      <c r="A59" s="34" t="inlineStr">
        <is>
          <t>B</t>
        </is>
      </c>
      <c r="B59" s="24" t="inlineStr">
        <is>
          <t>計画構成</t>
        </is>
      </c>
      <c r="C59" s="25" t="inlineStr">
        <is>
          <t>定住自立圏（喜多方市・西会津町）／会津権利擁護・成年後見センターとの広域連携の記載方針</t>
        </is>
      </c>
      <c r="D59" s="25" t="inlineStr">
        <is>
          <t>施策の書きぶりに影響。</t>
        </is>
      </c>
      <c r="E59" s="23" t="inlineStr">
        <is>
          <t>Ⅱ-71,Ⅱ-72</t>
        </is>
      </c>
      <c r="F59" s="23" t="inlineStr">
        <is>
          <t>doc01-12</t>
        </is>
      </c>
      <c r="G59" s="23" t="inlineStr">
        <is>
          <t>未依頼</t>
        </is>
      </c>
      <c r="H59" s="25" t="inlineStr"/>
    </row>
    <row r="60" ht="34" customHeight="1">
      <c r="A60" s="34" t="inlineStr">
        <is>
          <t>B</t>
        </is>
      </c>
      <c r="B60" s="24" t="inlineStr">
        <is>
          <t>計画構成</t>
        </is>
      </c>
      <c r="C60" s="25" t="inlineStr">
        <is>
          <t>整合を図る関連計画の網羅（障がい福祉計画・障がい者計画・地域福祉計画等）</t>
        </is>
      </c>
      <c r="D60" s="25" t="inlineStr">
        <is>
          <t>資料には基本指針・第5次総合振興計画・第3次健康21のみ記載。</t>
        </is>
      </c>
      <c r="E60" s="23" t="inlineStr">
        <is>
          <t>Ⅱ-72</t>
        </is>
      </c>
      <c r="F60" s="23" t="inlineStr">
        <is>
          <t>doc19 追-13</t>
        </is>
      </c>
      <c r="G60" s="23" t="inlineStr">
        <is>
          <t>未依頼</t>
        </is>
      </c>
      <c r="H60" s="25" t="inlineStr"/>
    </row>
    <row r="61" ht="34" customHeight="1">
      <c r="A61" s="34" t="inlineStr">
        <is>
          <t>B</t>
        </is>
      </c>
      <c r="B61" s="24" t="inlineStr">
        <is>
          <t>調査設計</t>
        </is>
      </c>
      <c r="C61" s="25" t="inlineStr">
        <is>
          <t>督促（リマインド）の実施可否と追加郵送費の扱い</t>
        </is>
      </c>
      <c r="D61" s="25" t="inlineStr">
        <is>
          <t>第9期の在宅調査は回収率45.8%（72人中33人）。150人でも同率なら約69件で、クロス集計に耐えない可能性。</t>
        </is>
      </c>
      <c r="E61" s="23" t="inlineStr">
        <is>
          <t>Ⅰ-31</t>
        </is>
      </c>
      <c r="F61" s="23" t="inlineStr">
        <is>
          <t>doc19 追-6</t>
        </is>
      </c>
      <c r="G61" s="23" t="inlineStr">
        <is>
          <t>未依頼</t>
        </is>
      </c>
      <c r="H61" s="25" t="inlineStr"/>
    </row>
    <row r="62" ht="34" customHeight="1">
      <c r="A62" s="34" t="inlineStr">
        <is>
          <t>B</t>
        </is>
      </c>
      <c r="B62" s="24" t="inlineStr">
        <is>
          <t>調査設計</t>
        </is>
      </c>
      <c r="C62" s="25" t="inlineStr">
        <is>
          <t>集計・分析で村が最も確認したい事項（クロス集計の設計）</t>
        </is>
      </c>
      <c r="D62" s="25" t="inlineStr">
        <is>
          <t>資料5の論点表から落とす。地区別（北山・大塩・桧原・裏磐梯）は第9期報告書が全設問で実施しており踏襲が前提だが、多重クロスは特定リスクがあるため細分の程度を確認。</t>
        </is>
      </c>
      <c r="E62" s="23" t="inlineStr">
        <is>
          <t>Ⅰ-40,Ⅰ-42</t>
        </is>
      </c>
      <c r="F62" s="23" t="inlineStr">
        <is>
          <t>doc19 追-7</t>
        </is>
      </c>
      <c r="G62" s="23" t="inlineStr">
        <is>
          <t>未依頼</t>
        </is>
      </c>
      <c r="H62" s="25" t="inlineStr"/>
    </row>
    <row r="63" ht="34" customHeight="1">
      <c r="A63" s="35" t="inlineStr">
        <is>
          <t>C</t>
        </is>
      </c>
      <c r="B63" s="24" t="inlineStr">
        <is>
          <t>成果品</t>
        </is>
      </c>
      <c r="C63" s="25" t="inlineStr">
        <is>
          <t>計画書の判型・レイアウト・表紙デザインの踏襲可否</t>
        </is>
      </c>
      <c r="D63" s="25" t="inlineStr">
        <is>
          <t>第9期はA4・本文104頁・全6章＋資料編。</t>
        </is>
      </c>
      <c r="E63" s="23" t="inlineStr">
        <is>
          <t>Ⅳ-89</t>
        </is>
      </c>
      <c r="F63" s="23" t="inlineStr">
        <is>
          <t>doc01-10</t>
        </is>
      </c>
      <c r="G63" s="23" t="inlineStr">
        <is>
          <t>未依頼</t>
        </is>
      </c>
      <c r="H63" s="25" t="inlineStr"/>
    </row>
    <row r="64" ht="34" customHeight="1">
      <c r="A64" s="35" t="inlineStr">
        <is>
          <t>C</t>
        </is>
      </c>
      <c r="B64" s="24" t="inlineStr">
        <is>
          <t>成果品</t>
        </is>
      </c>
      <c r="C64" s="25" t="inlineStr">
        <is>
          <t>概要版の要否（仕様書に記載なし。第9期は概要版を作成している）</t>
        </is>
      </c>
      <c r="D64" s="25" t="inlineStr">
        <is>
          <t>★第9期概要版（2ページ）の現物を受領し存在を確認。仕様書に記載がないため別途対応か要確認。</t>
        </is>
      </c>
      <c r="E64" s="23" t="inlineStr">
        <is>
          <t>Ⅳ-92</t>
        </is>
      </c>
      <c r="F64" s="23" t="inlineStr">
        <is>
          <t>doc01-10,doc08</t>
        </is>
      </c>
      <c r="G64" s="23" t="inlineStr">
        <is>
          <t>未依頼</t>
        </is>
      </c>
      <c r="H64" s="25" t="inlineStr"/>
    </row>
    <row r="66" ht="20" customHeight="1">
      <c r="A66" s="36" t="inlineStr">
        <is>
          <t>■ 解決済み（記録）</t>
        </is>
      </c>
    </row>
    <row r="67" ht="34" customHeight="1">
      <c r="A67" s="37" t="inlineStr">
        <is>
          <t>―</t>
        </is>
      </c>
      <c r="B67" s="38" t="inlineStr">
        <is>
          <t>データ</t>
        </is>
      </c>
      <c r="C67" s="39" t="inlineStr">
        <is>
          <t>高齢化率・認定率・費用額・保険料の福島県平均／全国平均</t>
        </is>
      </c>
      <c r="D67" s="39" t="inlineStr">
        <is>
          <t>地域分析P1〜P4の受領により解決。県内順位・全国順位も入手。</t>
        </is>
      </c>
      <c r="E67" s="37" t="inlineStr">
        <is>
          <t>Ⅱ-56,Ⅱ-58</t>
        </is>
      </c>
      <c r="F67" s="37" t="inlineStr">
        <is>
          <t>doc09</t>
        </is>
      </c>
      <c r="G67" s="37" t="inlineStr">
        <is>
          <t>解決済</t>
        </is>
      </c>
      <c r="H67" s="39" t="inlineStr"/>
    </row>
    <row r="68" ht="34" customHeight="1">
      <c r="A68" s="37" t="inlineStr">
        <is>
          <t>―</t>
        </is>
      </c>
      <c r="B68" s="38" t="inlineStr">
        <is>
          <t>データ</t>
        </is>
      </c>
      <c r="C68" s="39" t="inlineStr">
        <is>
          <t>1人あたり指標に用いる高齢者人口の分母の統一</t>
        </is>
      </c>
      <c r="D68" s="39" t="inlineStr">
        <is>
          <t>C1系の分母がB1第1号被保険者数であることを確認し解決。計画書はB1に統一。</t>
        </is>
      </c>
      <c r="E68" s="37" t="inlineStr">
        <is>
          <t>Ⅱ-59</t>
        </is>
      </c>
      <c r="F68" s="37" t="inlineStr">
        <is>
          <t>doc02§20-2</t>
        </is>
      </c>
      <c r="G68" s="37" t="inlineStr">
        <is>
          <t>解決済</t>
        </is>
      </c>
      <c r="H68" s="39" t="inlineStr"/>
    </row>
    <row r="69" ht="34" customHeight="1">
      <c r="A69" s="37" t="inlineStr">
        <is>
          <t>―</t>
        </is>
      </c>
      <c r="B69" s="38" t="inlineStr">
        <is>
          <t>データ</t>
        </is>
      </c>
      <c r="C69" s="39" t="inlineStr">
        <is>
          <t>国の指針・様式の更新有無</t>
        </is>
      </c>
      <c r="D69" s="39" t="inlineStr">
        <is>
          <t>令和7年8月版の標準様式を入手し逐条突合を完了（要確認0件）。</t>
        </is>
      </c>
      <c r="E69" s="37" t="inlineStr">
        <is>
          <t>Ⅰ-11</t>
        </is>
      </c>
      <c r="F69" s="37" t="inlineStr">
        <is>
          <t>doc04,doc05</t>
        </is>
      </c>
      <c r="G69" s="37" t="inlineStr">
        <is>
          <t>解決済</t>
        </is>
      </c>
      <c r="H69" s="39" t="inlineStr"/>
    </row>
  </sheetData>
  <autoFilter ref="A4:H64"/>
  <mergeCells count="3">
    <mergeCell ref="A2:H2"/>
    <mergeCell ref="A66:H66"/>
    <mergeCell ref="A1:H1"/>
  </mergeCells>
  <dataValidations count="2">
    <dataValidation sqref="A5:A64" showDropDown="0" showInputMessage="0" showErrorMessage="0" allowBlank="1" type="list">
      <formula1>"S,A,B,C"</formula1>
    </dataValidation>
    <dataValidation sqref="G5:G64" showDropDown="0" showInputMessage="0" showErrorMessage="0" allowBlank="1" type="list">
      <formula1>"未依頼,依頼済,回答待ち,回答済,解決済"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46" customWidth="1" min="3" max="3"/>
    <col width="12" customWidth="1" min="4" max="4"/>
    <col width="40" customWidth="1" min="5" max="5"/>
    <col width="10" customWidth="1" min="6" max="6"/>
  </cols>
  <sheetData>
    <row r="1" ht="30" customHeight="1">
      <c r="A1" s="1" t="inlineStr">
        <is>
          <t>受領資料・データ管理（基準日：令和8年8月31日）</t>
        </is>
      </c>
    </row>
    <row r="2" ht="20" customHeight="1">
      <c r="A2" s="2" t="inlineStr">
        <is>
          <t>仕様書4Ⅲ「資料授受の管理」に対応。★＝未受領で業務進行に影響するもの</t>
        </is>
      </c>
    </row>
    <row r="4" ht="24" customHeight="1">
      <c r="A4" s="3" t="inlineStr">
        <is>
          <t>区分</t>
        </is>
      </c>
      <c r="B4" s="3" t="inlineStr">
        <is>
          <t>資料・データ名</t>
        </is>
      </c>
      <c r="C4" s="3" t="inlineStr">
        <is>
          <t>内容・数量</t>
        </is>
      </c>
      <c r="D4" s="3" t="inlineStr">
        <is>
          <t>受領日</t>
        </is>
      </c>
      <c r="E4" s="3" t="inlineStr">
        <is>
          <t>整理先</t>
        </is>
      </c>
      <c r="F4" s="3" t="inlineStr">
        <is>
          <t>状況</t>
        </is>
      </c>
    </row>
    <row r="5" ht="28" customHeight="1">
      <c r="A5" s="4" t="inlineStr">
        <is>
          <t>仕様書</t>
        </is>
      </c>
      <c r="B5" s="7" t="inlineStr">
        <is>
          <t>委託第27号 仕様書（8北保福第483号 別紙）</t>
        </is>
      </c>
      <c r="C5" s="7" t="inlineStr">
        <is>
          <t>業務内容・成果品・その他条件</t>
        </is>
      </c>
      <c r="D5" s="40" t="n">
        <v>46259</v>
      </c>
      <c r="E5" s="7" t="inlineStr">
        <is>
          <t>docs/…/01_業務内容整理.md</t>
        </is>
      </c>
      <c r="F5" s="4" t="inlineStr">
        <is>
          <t>受領済</t>
        </is>
      </c>
    </row>
    <row r="6" ht="28" customHeight="1">
      <c r="A6" s="4" t="inlineStr">
        <is>
          <t>現行計画</t>
        </is>
      </c>
      <c r="B6" s="7" t="inlineStr">
        <is>
          <t>第9期北塩原村高齢者福祉計画・介護保険事業計画</t>
        </is>
      </c>
      <c r="C6" s="7" t="inlineStr">
        <is>
          <t>本文104頁・全6章＋資料編</t>
        </is>
      </c>
      <c r="D6" s="40" t="n">
        <v>46259</v>
      </c>
      <c r="E6" s="7" t="inlineStr">
        <is>
          <t>docs/…/01_業務内容整理.md</t>
        </is>
      </c>
      <c r="F6" s="4" t="inlineStr">
        <is>
          <t>受領済</t>
        </is>
      </c>
    </row>
    <row r="7" ht="28" customHeight="1">
      <c r="A7" s="4" t="inlineStr">
        <is>
          <t>現行計画</t>
        </is>
      </c>
      <c r="B7" s="7" t="inlineStr">
        <is>
          <t>第9期計画 概要版（表・裏の2ページ）</t>
        </is>
      </c>
      <c r="C7" s="7" t="inlineStr">
        <is>
          <t>基本理念・基本目標・数値①〜⑦・施策体系図</t>
        </is>
      </c>
      <c r="D7" s="40" t="n">
        <v>46265</v>
      </c>
      <c r="E7" s="7" t="inlineStr">
        <is>
          <t>docs/…/08_第9期計画概要_計画実績突合.md</t>
        </is>
      </c>
      <c r="F7" s="4" t="inlineStr">
        <is>
          <t>受領済</t>
        </is>
      </c>
    </row>
    <row r="8" ht="28" customHeight="1">
      <c r="A8" s="32" t="inlineStr">
        <is>
          <t>現行計画</t>
        </is>
      </c>
      <c r="B8" s="31" t="inlineStr">
        <is>
          <t>★北塩原村第五次総合振興計画（2017〜2026）</t>
        </is>
      </c>
      <c r="C8" s="31" t="inlineStr">
        <is>
          <t>上位計画。第六次の策定状況も要確認</t>
        </is>
      </c>
      <c r="D8" s="32" t="inlineStr">
        <is>
          <t>―</t>
        </is>
      </c>
      <c r="E8" s="31" t="inlineStr">
        <is>
          <t>―</t>
        </is>
      </c>
      <c r="F8" s="32" t="inlineStr">
        <is>
          <t>未受領</t>
        </is>
      </c>
    </row>
    <row r="9" ht="28" customHeight="1">
      <c r="A9" s="32" t="inlineStr">
        <is>
          <t>現行計画</t>
        </is>
      </c>
      <c r="B9" s="31" t="inlineStr">
        <is>
          <t>★第3次健康きたしおばら21</t>
        </is>
      </c>
      <c r="C9" s="31" t="inlineStr">
        <is>
          <t>関連計画</t>
        </is>
      </c>
      <c r="D9" s="32" t="inlineStr">
        <is>
          <t>―</t>
        </is>
      </c>
      <c r="E9" s="31" t="inlineStr">
        <is>
          <t>―</t>
        </is>
      </c>
      <c r="F9" s="32" t="inlineStr">
        <is>
          <t>未受領</t>
        </is>
      </c>
    </row>
    <row r="10" ht="28" customHeight="1">
      <c r="A10" s="4" t="inlineStr">
        <is>
          <t>調査票</t>
        </is>
      </c>
      <c r="B10" s="7" t="inlineStr">
        <is>
          <t>キックオフ資料（0828版・082802版）</t>
        </is>
      </c>
      <c r="C10" s="7" t="inlineStr">
        <is>
          <t>2版をレビュー済</t>
        </is>
      </c>
      <c r="D10" s="40" t="n">
        <v>46259</v>
      </c>
      <c r="E10" s="7" t="inlineStr">
        <is>
          <t>docs/…/03,06</t>
        </is>
      </c>
      <c r="F10" s="4" t="inlineStr">
        <is>
          <t>受領済</t>
        </is>
      </c>
    </row>
    <row r="11" ht="28" customHeight="1">
      <c r="A11" s="4" t="inlineStr">
        <is>
          <t>調査票</t>
        </is>
      </c>
      <c r="B11" s="7" t="inlineStr">
        <is>
          <t>ニーズ調査・在宅介護実態調査 調査票案（資料B・C・C'）</t>
        </is>
      </c>
      <c r="C11" s="7" t="inlineStr">
        <is>
          <t>修正案まで受領</t>
        </is>
      </c>
      <c r="D11" s="40" t="n">
        <v>46259</v>
      </c>
      <c r="E11" s="7" t="inlineStr">
        <is>
          <t>docs/…/03,04</t>
        </is>
      </c>
      <c r="F11" s="4" t="inlineStr">
        <is>
          <t>受領済</t>
        </is>
      </c>
    </row>
    <row r="12" ht="28" customHeight="1">
      <c r="A12" s="4" t="inlineStr">
        <is>
          <t>国様式</t>
        </is>
      </c>
      <c r="B12" s="7" t="inlineStr">
        <is>
          <t>令和7年8月版 標準調査票（ニーズ調査・在宅介護実態調査）</t>
        </is>
      </c>
      <c r="C12" s="7" t="inlineStr">
        <is>
          <t>逐条突合の基礎。要確認0件で完了</t>
        </is>
      </c>
      <c r="D12" s="40" t="n">
        <v>46261</v>
      </c>
      <c r="E12" s="7" t="inlineStr">
        <is>
          <t>docs/…/05_令和7年8月版との逐条突合.md</t>
        </is>
      </c>
      <c r="F12" s="4" t="inlineStr">
        <is>
          <t>受領済</t>
        </is>
      </c>
    </row>
    <row r="13" ht="28" customHeight="1">
      <c r="A13" s="4" t="inlineStr">
        <is>
          <t>見える化</t>
        </is>
      </c>
      <c r="B13" s="7" t="inlineStr">
        <is>
          <t>A系 人口・世帯／B系 認定者</t>
        </is>
      </c>
      <c r="C13" s="7" t="inlineStr">
        <is>
          <t>第1号被保険者数・認定者数・認定率ほか</t>
        </is>
      </c>
      <c r="D13" s="40" t="n">
        <v>46259</v>
      </c>
      <c r="E13" s="7" t="inlineStr">
        <is>
          <t>data/mieruka_tidy.csv</t>
        </is>
      </c>
      <c r="F13" s="4" t="inlineStr">
        <is>
          <t>受領済</t>
        </is>
      </c>
    </row>
    <row r="14" ht="28" customHeight="1">
      <c r="A14" s="4" t="inlineStr">
        <is>
          <t>見える化</t>
        </is>
      </c>
      <c r="B14" s="7" t="inlineStr">
        <is>
          <t>C1 保険料／D系 給付費・受給者・利用回数</t>
        </is>
      </c>
      <c r="C14" s="7" t="inlineStr">
        <is>
          <t>第1号被保険者1人あたり給付月額ほか</t>
        </is>
      </c>
      <c r="D14" s="40" t="n">
        <v>46265</v>
      </c>
      <c r="E14" s="7" t="inlineStr">
        <is>
          <t>data/mieruka_tidy.csv</t>
        </is>
      </c>
      <c r="F14" s="4" t="inlineStr">
        <is>
          <t>受領済</t>
        </is>
      </c>
    </row>
    <row r="15" ht="28" customHeight="1">
      <c r="A15" s="4" t="inlineStr">
        <is>
          <t>見える化</t>
        </is>
      </c>
      <c r="B15" s="7" t="inlineStr">
        <is>
          <t>K系 施設数／D13系 給付費</t>
        </is>
      </c>
      <c r="C15" s="7" t="inlineStr">
        <is>
          <t>村内施設ゼロを確認</t>
        </is>
      </c>
      <c r="D15" s="40" t="n">
        <v>46265</v>
      </c>
      <c r="E15" s="7" t="inlineStr">
        <is>
          <t>data/mieruka_tidy.csv</t>
        </is>
      </c>
      <c r="F15" s="4" t="inlineStr">
        <is>
          <t>受領済</t>
        </is>
      </c>
    </row>
    <row r="16" ht="28" customHeight="1">
      <c r="A16" s="4" t="inlineStr">
        <is>
          <t>見える化</t>
        </is>
      </c>
      <c r="B16" s="7" t="inlineStr">
        <is>
          <t>D25〜D30 定員／F15〜F25 地域包括支援センター</t>
        </is>
      </c>
      <c r="C16" s="7" t="inlineStr">
        <is>
          <t>定員は平成30年度以降据置</t>
        </is>
      </c>
      <c r="D16" s="40" t="n">
        <v>46265</v>
      </c>
      <c r="E16" s="7" t="inlineStr">
        <is>
          <t>docs/…/02 追記3</t>
        </is>
      </c>
      <c r="F16" s="4" t="inlineStr">
        <is>
          <t>受領済</t>
        </is>
      </c>
    </row>
    <row r="17" ht="28" customHeight="1">
      <c r="A17" s="4" t="inlineStr">
        <is>
          <t>見える化</t>
        </is>
      </c>
      <c r="B17" s="7" t="inlineStr">
        <is>
          <t>F1〜F14・F28〜F40 日常生活支援総合事業</t>
        </is>
      </c>
      <c r="C17" s="7" t="inlineStr">
        <is>
          <t>17系列が実データなし（＝未実施）</t>
        </is>
      </c>
      <c r="D17" s="40" t="n">
        <v>46265</v>
      </c>
      <c r="E17" s="7" t="inlineStr">
        <is>
          <t>docs/…/02 追記3</t>
        </is>
      </c>
      <c r="F17" s="4" t="inlineStr">
        <is>
          <t>受領済</t>
        </is>
      </c>
    </row>
    <row r="18" ht="28" customHeight="1">
      <c r="A18" s="4" t="inlineStr">
        <is>
          <t>見える化</t>
        </is>
      </c>
      <c r="B18" s="7" t="inlineStr">
        <is>
          <t>D47・D48 介護保険特別会計 歳入・歳出</t>
        </is>
      </c>
      <c r="C18" s="7" t="inlineStr">
        <is>
          <t>平成26〜令和5年度決算</t>
        </is>
      </c>
      <c r="D18" s="40" t="n">
        <v>46265</v>
      </c>
      <c r="E18" s="7" t="inlineStr">
        <is>
          <t>docs/…/02 追記3</t>
        </is>
      </c>
      <c r="F18" s="4" t="inlineStr">
        <is>
          <t>受領済</t>
        </is>
      </c>
    </row>
    <row r="19" ht="28" customHeight="1">
      <c r="A19" s="4" t="inlineStr">
        <is>
          <t>見える化</t>
        </is>
      </c>
      <c r="B19" s="7" t="inlineStr">
        <is>
          <t>W系 保険者機能強化推進交付金 評価指標（77ファイル）</t>
        </is>
      </c>
      <c r="C19" s="7" t="inlineStr">
        <is>
          <t>令和3〜5年度。0点項目21件を抽出</t>
        </is>
      </c>
      <c r="D19" s="40" t="n">
        <v>46265</v>
      </c>
      <c r="E19" s="7" t="inlineStr">
        <is>
          <t>docs/…/07</t>
        </is>
      </c>
      <c r="F19" s="4" t="inlineStr">
        <is>
          <t>受領済</t>
        </is>
      </c>
    </row>
    <row r="20" ht="28" customHeight="1">
      <c r="A20" s="4" t="inlineStr">
        <is>
          <t>見える化</t>
        </is>
      </c>
      <c r="B20" s="7" t="inlineStr">
        <is>
          <t>W138〜W155 アウトプット・アウトカム指標（18ファイル）</t>
        </is>
      </c>
      <c r="C20" s="7" t="inlineStr">
        <is>
          <t>令和5年度</t>
        </is>
      </c>
      <c r="D20" s="40" t="n">
        <v>46265</v>
      </c>
      <c r="E20" s="7" t="inlineStr">
        <is>
          <t>docs/…/07</t>
        </is>
      </c>
      <c r="F20" s="4" t="inlineStr">
        <is>
          <t>受領済</t>
        </is>
      </c>
    </row>
    <row r="21" ht="28" customHeight="1">
      <c r="A21" s="4" t="inlineStr">
        <is>
          <t>見える化</t>
        </is>
      </c>
      <c r="B21" s="7" t="inlineStr">
        <is>
          <t>地域分析 P1〜P4</t>
        </is>
      </c>
      <c r="C21" s="7" t="inlineStr">
        <is>
          <t>県平均・全国平均・県内順位・全国順位</t>
        </is>
      </c>
      <c r="D21" s="40" t="n">
        <v>46265</v>
      </c>
      <c r="E21" s="7" t="inlineStr">
        <is>
          <t>docs/…/09</t>
        </is>
      </c>
      <c r="F21" s="4" t="inlineStr">
        <is>
          <t>受領済</t>
        </is>
      </c>
    </row>
    <row r="22" ht="28" customHeight="1">
      <c r="A22" s="32" t="inlineStr">
        <is>
          <t>村データ</t>
        </is>
      </c>
      <c r="B22" s="31" t="inlineStr">
        <is>
          <t>★介護給付費準備基金の現在高</t>
        </is>
      </c>
      <c r="C22" s="31" t="inlineStr">
        <is>
          <t>令和6年度末実績・令和7年度末見込</t>
        </is>
      </c>
      <c r="D22" s="32" t="inlineStr">
        <is>
          <t>―</t>
        </is>
      </c>
      <c r="E22" s="31" t="inlineStr">
        <is>
          <t>―</t>
        </is>
      </c>
      <c r="F22" s="32" t="inlineStr">
        <is>
          <t>未受領</t>
        </is>
      </c>
    </row>
    <row r="23" ht="28" customHeight="1">
      <c r="A23" s="32" t="inlineStr">
        <is>
          <t>村データ</t>
        </is>
      </c>
      <c r="B23" s="31" t="inlineStr">
        <is>
          <t>★令和6年度決算・令和7年度給付費見込</t>
        </is>
      </c>
      <c r="C23" s="31" t="inlineStr">
        <is>
          <t>第9期の乖離確定に必要</t>
        </is>
      </c>
      <c r="D23" s="32" t="inlineStr">
        <is>
          <t>―</t>
        </is>
      </c>
      <c r="E23" s="31" t="inlineStr">
        <is>
          <t>―</t>
        </is>
      </c>
      <c r="F23" s="32" t="inlineStr">
        <is>
          <t>未受領</t>
        </is>
      </c>
    </row>
    <row r="24" ht="28" customHeight="1">
      <c r="A24" s="32" t="inlineStr">
        <is>
          <t>村データ</t>
        </is>
      </c>
      <c r="B24" s="31" t="inlineStr">
        <is>
          <t>★通いの場の実数（令和3〜7年度）</t>
        </is>
      </c>
      <c r="C24" s="31" t="inlineStr">
        <is>
          <t>見える化は令和2年度で更新停止</t>
        </is>
      </c>
      <c r="D24" s="32" t="inlineStr">
        <is>
          <t>―</t>
        </is>
      </c>
      <c r="E24" s="31" t="inlineStr">
        <is>
          <t>―</t>
        </is>
      </c>
      <c r="F24" s="32" t="inlineStr">
        <is>
          <t>未受領</t>
        </is>
      </c>
    </row>
    <row r="25" ht="28" customHeight="1">
      <c r="A25" s="32" t="inlineStr">
        <is>
          <t>村データ</t>
        </is>
      </c>
      <c r="B25" s="31" t="inlineStr">
        <is>
          <t>★高齢者福祉事業（村単独事業）の実績</t>
        </is>
      </c>
      <c r="C25" s="31" t="inlineStr">
        <is>
          <t>現行計画の評価に必要</t>
        </is>
      </c>
      <c r="D25" s="32" t="inlineStr">
        <is>
          <t>―</t>
        </is>
      </c>
      <c r="E25" s="31" t="inlineStr">
        <is>
          <t>―</t>
        </is>
      </c>
      <c r="F25" s="32" t="inlineStr">
        <is>
          <t>未受領</t>
        </is>
      </c>
    </row>
    <row r="26" ht="28" customHeight="1">
      <c r="A26" s="32" t="inlineStr">
        <is>
          <t>村データ</t>
        </is>
      </c>
      <c r="B26" s="31" t="inlineStr">
        <is>
          <t>★成年後見制度の利用実態・市民後見人養成実績</t>
        </is>
      </c>
      <c r="C26" s="31" t="inlineStr">
        <is>
          <t>見える化に該当データなし</t>
        </is>
      </c>
      <c r="D26" s="32" t="inlineStr">
        <is>
          <t>―</t>
        </is>
      </c>
      <c r="E26" s="31" t="inlineStr">
        <is>
          <t>―</t>
        </is>
      </c>
      <c r="F26" s="32" t="inlineStr">
        <is>
          <t>未受領</t>
        </is>
      </c>
    </row>
    <row r="27" ht="28" customHeight="1">
      <c r="A27" s="32" t="inlineStr">
        <is>
          <t>村データ</t>
        </is>
      </c>
      <c r="B27" s="31" t="inlineStr">
        <is>
          <t>★W系の福島県平均・全国平均／交付要綱の配点表</t>
        </is>
      </c>
      <c r="C27" s="31" t="inlineStr">
        <is>
          <t>目標値設定に必要</t>
        </is>
      </c>
      <c r="D27" s="32" t="inlineStr">
        <is>
          <t>―</t>
        </is>
      </c>
      <c r="E27" s="31" t="inlineStr">
        <is>
          <t>―</t>
        </is>
      </c>
      <c r="F27" s="32" t="inlineStr">
        <is>
          <t>未受領</t>
        </is>
      </c>
    </row>
    <row r="28" ht="28" customHeight="1">
      <c r="A28" s="32" t="inlineStr">
        <is>
          <t>村データ</t>
        </is>
      </c>
      <c r="B28" s="31" t="inlineStr">
        <is>
          <t>★令和6・7年度の交付金評価結果</t>
        </is>
      </c>
      <c r="C28" s="31" t="inlineStr">
        <is>
          <t>第10期の基準値を最新年度に置くため</t>
        </is>
      </c>
      <c r="D28" s="32" t="inlineStr">
        <is>
          <t>―</t>
        </is>
      </c>
      <c r="E28" s="31" t="inlineStr">
        <is>
          <t>―</t>
        </is>
      </c>
      <c r="F28" s="32" t="inlineStr">
        <is>
          <t>未受領</t>
        </is>
      </c>
    </row>
    <row r="29" ht="28" customHeight="1">
      <c r="A29" s="32" t="inlineStr">
        <is>
          <t>村データ</t>
        </is>
      </c>
      <c r="B29" s="31" t="inlineStr">
        <is>
          <t>★要介護認定データ（調査票との関連付け用）</t>
        </is>
      </c>
      <c r="C29" s="31" t="inlineStr">
        <is>
          <t>仕様書4Ⅰ(5)。調査回収後に必要</t>
        </is>
      </c>
      <c r="D29" s="32" t="inlineStr">
        <is>
          <t>―</t>
        </is>
      </c>
      <c r="E29" s="31" t="inlineStr">
        <is>
          <t>―</t>
        </is>
      </c>
      <c r="F29" s="32" t="inlineStr">
        <is>
          <t>未受領</t>
        </is>
      </c>
    </row>
  </sheetData>
  <autoFilter ref="A4:F2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40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2" ht="26" customHeight="1">
      <c r="B2" s="41" t="inlineStr">
        <is>
          <t>凡例・入力ルール／進捗集計</t>
        </is>
      </c>
    </row>
    <row r="4">
      <c r="B4" s="36" t="inlineStr">
        <is>
          <t>■ 入力する列（ここだけ編集してください）</t>
        </is>
      </c>
    </row>
    <row r="5">
      <c r="B5" s="42" t="inlineStr">
        <is>
          <t>予定開始・予定完了</t>
        </is>
      </c>
      <c r="C5" s="43" t="inlineStr">
        <is>
          <t>日付</t>
        </is>
      </c>
      <c r="D5" s="43" t="inlineStr">
        <is>
          <t>yyyy/mm/dd 形式で入力します。村との協議で工程が固まり次第、入力してください。</t>
        </is>
      </c>
      <c r="E5" s="44" t="n"/>
      <c r="F5" s="44" t="n"/>
      <c r="G5" s="44" t="n"/>
      <c r="H5" s="44" t="n"/>
    </row>
    <row r="6">
      <c r="B6" s="42" t="inlineStr">
        <is>
          <t>実績開始・実績完了</t>
        </is>
      </c>
      <c r="C6" s="43" t="inlineStr">
        <is>
          <t>日付</t>
        </is>
      </c>
      <c r="D6" s="43" t="inlineStr">
        <is>
          <t>着手日・完了日を実績として入力します。</t>
        </is>
      </c>
      <c r="E6" s="44" t="n"/>
      <c r="F6" s="44" t="n"/>
      <c r="G6" s="44" t="n"/>
      <c r="H6" s="44" t="n"/>
    </row>
    <row r="7">
      <c r="B7" s="42" t="inlineStr">
        <is>
          <t>進捗率</t>
        </is>
      </c>
      <c r="C7" s="43" t="inlineStr">
        <is>
          <t>％</t>
        </is>
      </c>
      <c r="D7" s="43" t="inlineStr">
        <is>
          <t>0〜100% を入力します。完了時は 100%。</t>
        </is>
      </c>
      <c r="E7" s="44" t="n"/>
      <c r="F7" s="44" t="n"/>
      <c r="G7" s="44" t="n"/>
      <c r="H7" s="44" t="n"/>
    </row>
    <row r="8">
      <c r="B8" s="42" t="inlineStr">
        <is>
          <t>ステータス</t>
        </is>
      </c>
      <c r="C8" s="43" t="inlineStr">
        <is>
          <t>選択</t>
        </is>
      </c>
      <c r="D8" s="43" t="inlineStr">
        <is>
          <t>未着手／着手／確認中／完了／保留／対象外 から選択します。</t>
        </is>
      </c>
      <c r="E8" s="44" t="n"/>
      <c r="F8" s="44" t="n"/>
      <c r="G8" s="44" t="n"/>
      <c r="H8" s="44" t="n"/>
    </row>
    <row r="9">
      <c r="B9" s="42" t="inlineStr">
        <is>
          <t>備考</t>
        </is>
      </c>
      <c r="C9" s="43" t="inlineStr">
        <is>
          <t>自由</t>
        </is>
      </c>
      <c r="D9" s="43" t="inlineStr">
        <is>
          <t>課題・懸案・村への確認事項などを記入します。</t>
        </is>
      </c>
      <c r="E9" s="44" t="n"/>
      <c r="F9" s="44" t="n"/>
      <c r="G9" s="44" t="n"/>
      <c r="H9" s="44" t="n"/>
    </row>
    <row r="11">
      <c r="B11" s="36" t="inlineStr">
        <is>
          <t>■ 行の塗り分け</t>
        </is>
      </c>
    </row>
    <row r="12">
      <c r="B12" s="45" t="inlineStr">
        <is>
          <t>薄い緑</t>
        </is>
      </c>
      <c r="C12" s="43" t="inlineStr">
        <is>
          <t>完了した作業です。</t>
        </is>
      </c>
      <c r="D12" s="44" t="n"/>
      <c r="E12" s="44" t="n"/>
      <c r="F12" s="44" t="n"/>
      <c r="G12" s="44" t="n"/>
      <c r="H12" s="44" t="n"/>
    </row>
    <row r="13">
      <c r="B13" s="46" t="inlineStr">
        <is>
          <t>薄い黄</t>
        </is>
      </c>
      <c r="C13" s="43" t="inlineStr">
        <is>
          <t>着手中・確認中の作業、または北塩原村が担当する作業です。</t>
        </is>
      </c>
      <c r="D13" s="44" t="n"/>
      <c r="E13" s="44" t="n"/>
      <c r="F13" s="44" t="n"/>
      <c r="G13" s="44" t="n"/>
      <c r="H13" s="44" t="n"/>
    </row>
    <row r="14">
      <c r="B14" s="47" t="inlineStr">
        <is>
          <t>薄い赤</t>
        </is>
      </c>
      <c r="C14" s="43" t="inlineStr">
        <is>
          <t>「村への確認事項」シートの優先度S・A、および未受領の資料です。</t>
        </is>
      </c>
      <c r="D14" s="44" t="n"/>
      <c r="E14" s="44" t="n"/>
      <c r="F14" s="44" t="n"/>
      <c r="G14" s="44" t="n"/>
      <c r="H14" s="44" t="n"/>
    </row>
    <row r="16">
      <c r="B16" s="36" t="inlineStr">
        <is>
          <t>■ 進捗集計（WBSシートから自動集計されます）</t>
        </is>
      </c>
    </row>
    <row r="17">
      <c r="B17" s="48" t="inlineStr">
        <is>
          <t>大分類</t>
        </is>
      </c>
      <c r="C17" s="48" t="inlineStr">
        <is>
          <t>件数</t>
        </is>
      </c>
      <c r="D17" s="48" t="inlineStr">
        <is>
          <t>未着手</t>
        </is>
      </c>
      <c r="E17" s="48" t="inlineStr">
        <is>
          <t>着手</t>
        </is>
      </c>
      <c r="F17" s="48" t="inlineStr">
        <is>
          <t>確認中</t>
        </is>
      </c>
      <c r="G17" s="48" t="inlineStr">
        <is>
          <t>完了</t>
        </is>
      </c>
      <c r="H17" s="48" t="inlineStr">
        <is>
          <t>保留</t>
        </is>
      </c>
      <c r="I17" s="48" t="inlineStr">
        <is>
          <t>対象外</t>
        </is>
      </c>
    </row>
    <row r="18">
      <c r="B18" s="43" t="inlineStr">
        <is>
          <t>０ 契約・立上げ</t>
        </is>
      </c>
      <c r="C18" s="49">
        <f>COUNTIF('WBS・進捗管理'!$B$5:$B$101,$B18)</f>
        <v/>
      </c>
      <c r="D18" s="49">
        <f>COUNTIFS('WBS・進捗管理'!$B$5:$B$101,$B18,'WBS・進捗管理'!$O$5:$O$101,D$17)</f>
        <v/>
      </c>
      <c r="E18" s="49">
        <f>COUNTIFS('WBS・進捗管理'!$B$5:$B$101,$B18,'WBS・進捗管理'!$O$5:$O$101,E$17)</f>
        <v/>
      </c>
      <c r="F18" s="49">
        <f>COUNTIFS('WBS・進捗管理'!$B$5:$B$101,$B18,'WBS・進捗管理'!$O$5:$O$101,F$17)</f>
        <v/>
      </c>
      <c r="G18" s="49">
        <f>COUNTIFS('WBS・進捗管理'!$B$5:$B$101,$B18,'WBS・進捗管理'!$O$5:$O$101,G$17)</f>
        <v/>
      </c>
      <c r="H18" s="49">
        <f>COUNTIFS('WBS・進捗管理'!$B$5:$B$101,$B18,'WBS・進捗管理'!$O$5:$O$101,H$17)</f>
        <v/>
      </c>
      <c r="I18" s="49">
        <f>COUNTIFS('WBS・進捗管理'!$B$5:$B$101,$B18,'WBS・進捗管理'!$O$5:$O$101,I$17)</f>
        <v/>
      </c>
    </row>
    <row r="19">
      <c r="B19" s="43" t="inlineStr">
        <is>
          <t>Ⅰ ニーズ調査</t>
        </is>
      </c>
      <c r="C19" s="49">
        <f>COUNTIF('WBS・進捗管理'!$B$5:$B$101,$B19)</f>
        <v/>
      </c>
      <c r="D19" s="49">
        <f>COUNTIFS('WBS・進捗管理'!$B$5:$B$101,$B19,'WBS・進捗管理'!$O$5:$O$101,D$17)</f>
        <v/>
      </c>
      <c r="E19" s="49">
        <f>COUNTIFS('WBS・進捗管理'!$B$5:$B$101,$B19,'WBS・進捗管理'!$O$5:$O$101,E$17)</f>
        <v/>
      </c>
      <c r="F19" s="49">
        <f>COUNTIFS('WBS・進捗管理'!$B$5:$B$101,$B19,'WBS・進捗管理'!$O$5:$O$101,F$17)</f>
        <v/>
      </c>
      <c r="G19" s="49">
        <f>COUNTIFS('WBS・進捗管理'!$B$5:$B$101,$B19,'WBS・進捗管理'!$O$5:$O$101,G$17)</f>
        <v/>
      </c>
      <c r="H19" s="49">
        <f>COUNTIFS('WBS・進捗管理'!$B$5:$B$101,$B19,'WBS・進捗管理'!$O$5:$O$101,H$17)</f>
        <v/>
      </c>
      <c r="I19" s="49">
        <f>COUNTIFS('WBS・進捗管理'!$B$5:$B$101,$B19,'WBS・進捗管理'!$O$5:$O$101,I$17)</f>
        <v/>
      </c>
    </row>
    <row r="20">
      <c r="B20" s="43" t="inlineStr">
        <is>
          <t>Ⅱ 計画策定</t>
        </is>
      </c>
      <c r="C20" s="49">
        <f>COUNTIF('WBS・進捗管理'!$B$5:$B$101,$B20)</f>
        <v/>
      </c>
      <c r="D20" s="49">
        <f>COUNTIFS('WBS・進捗管理'!$B$5:$B$101,$B20,'WBS・進捗管理'!$O$5:$O$101,D$17)</f>
        <v/>
      </c>
      <c r="E20" s="49">
        <f>COUNTIFS('WBS・進捗管理'!$B$5:$B$101,$B20,'WBS・進捗管理'!$O$5:$O$101,E$17)</f>
        <v/>
      </c>
      <c r="F20" s="49">
        <f>COUNTIFS('WBS・進捗管理'!$B$5:$B$101,$B20,'WBS・進捗管理'!$O$5:$O$101,F$17)</f>
        <v/>
      </c>
      <c r="G20" s="49">
        <f>COUNTIFS('WBS・進捗管理'!$B$5:$B$101,$B20,'WBS・進捗管理'!$O$5:$O$101,G$17)</f>
        <v/>
      </c>
      <c r="H20" s="49">
        <f>COUNTIFS('WBS・進捗管理'!$B$5:$B$101,$B20,'WBS・進捗管理'!$O$5:$O$101,H$17)</f>
        <v/>
      </c>
      <c r="I20" s="49">
        <f>COUNTIFS('WBS・進捗管理'!$B$5:$B$101,$B20,'WBS・進捗管理'!$O$5:$O$101,I$17)</f>
        <v/>
      </c>
    </row>
    <row r="21">
      <c r="B21" s="43" t="inlineStr">
        <is>
          <t>Ⅲ 打合せ等</t>
        </is>
      </c>
      <c r="C21" s="49">
        <f>COUNTIF('WBS・進捗管理'!$B$5:$B$101,$B21)</f>
        <v/>
      </c>
      <c r="D21" s="49">
        <f>COUNTIFS('WBS・進捗管理'!$B$5:$B$101,$B21,'WBS・進捗管理'!$O$5:$O$101,D$17)</f>
        <v/>
      </c>
      <c r="E21" s="49">
        <f>COUNTIFS('WBS・進捗管理'!$B$5:$B$101,$B21,'WBS・進捗管理'!$O$5:$O$101,E$17)</f>
        <v/>
      </c>
      <c r="F21" s="49">
        <f>COUNTIFS('WBS・進捗管理'!$B$5:$B$101,$B21,'WBS・進捗管理'!$O$5:$O$101,F$17)</f>
        <v/>
      </c>
      <c r="G21" s="49">
        <f>COUNTIFS('WBS・進捗管理'!$B$5:$B$101,$B21,'WBS・進捗管理'!$O$5:$O$101,G$17)</f>
        <v/>
      </c>
      <c r="H21" s="49">
        <f>COUNTIFS('WBS・進捗管理'!$B$5:$B$101,$B21,'WBS・進捗管理'!$O$5:$O$101,H$17)</f>
        <v/>
      </c>
      <c r="I21" s="49">
        <f>COUNTIFS('WBS・進捗管理'!$B$5:$B$101,$B21,'WBS・進捗管理'!$O$5:$O$101,I$17)</f>
        <v/>
      </c>
    </row>
    <row r="22">
      <c r="B22" s="43" t="inlineStr">
        <is>
          <t>Ⅳ 成果品・納品</t>
        </is>
      </c>
      <c r="C22" s="49">
        <f>COUNTIF('WBS・進捗管理'!$B$5:$B$101,$B22)</f>
        <v/>
      </c>
      <c r="D22" s="49">
        <f>COUNTIFS('WBS・進捗管理'!$B$5:$B$101,$B22,'WBS・進捗管理'!$O$5:$O$101,D$17)</f>
        <v/>
      </c>
      <c r="E22" s="49">
        <f>COUNTIFS('WBS・進捗管理'!$B$5:$B$101,$B22,'WBS・進捗管理'!$O$5:$O$101,E$17)</f>
        <v/>
      </c>
      <c r="F22" s="49">
        <f>COUNTIFS('WBS・進捗管理'!$B$5:$B$101,$B22,'WBS・進捗管理'!$O$5:$O$101,F$17)</f>
        <v/>
      </c>
      <c r="G22" s="49">
        <f>COUNTIFS('WBS・進捗管理'!$B$5:$B$101,$B22,'WBS・進捗管理'!$O$5:$O$101,G$17)</f>
        <v/>
      </c>
      <c r="H22" s="49">
        <f>COUNTIFS('WBS・進捗管理'!$B$5:$B$101,$B22,'WBS・進捗管理'!$O$5:$O$101,H$17)</f>
        <v/>
      </c>
      <c r="I22" s="49">
        <f>COUNTIFS('WBS・進捗管理'!$B$5:$B$101,$B22,'WBS・進捗管理'!$O$5:$O$101,I$17)</f>
        <v/>
      </c>
    </row>
    <row r="23">
      <c r="B23" s="43" t="inlineStr">
        <is>
          <t>Ⅴ 管理</t>
        </is>
      </c>
      <c r="C23" s="49">
        <f>COUNTIF('WBS・進捗管理'!$B$5:$B$101,$B23)</f>
        <v/>
      </c>
      <c r="D23" s="49">
        <f>COUNTIFS('WBS・進捗管理'!$B$5:$B$101,$B23,'WBS・進捗管理'!$O$5:$O$101,D$17)</f>
        <v/>
      </c>
      <c r="E23" s="49">
        <f>COUNTIFS('WBS・進捗管理'!$B$5:$B$101,$B23,'WBS・進捗管理'!$O$5:$O$101,E$17)</f>
        <v/>
      </c>
      <c r="F23" s="49">
        <f>COUNTIFS('WBS・進捗管理'!$B$5:$B$101,$B23,'WBS・進捗管理'!$O$5:$O$101,F$17)</f>
        <v/>
      </c>
      <c r="G23" s="49">
        <f>COUNTIFS('WBS・進捗管理'!$B$5:$B$101,$B23,'WBS・進捗管理'!$O$5:$O$101,G$17)</f>
        <v/>
      </c>
      <c r="H23" s="49">
        <f>COUNTIFS('WBS・進捗管理'!$B$5:$B$101,$B23,'WBS・進捗管理'!$O$5:$O$101,H$17)</f>
        <v/>
      </c>
      <c r="I23" s="49">
        <f>COUNTIFS('WBS・進捗管理'!$B$5:$B$101,$B23,'WBS・進捗管理'!$O$5:$O$101,I$17)</f>
        <v/>
      </c>
    </row>
    <row r="24">
      <c r="B24" s="50" t="inlineStr">
        <is>
          <t>合計</t>
        </is>
      </c>
      <c r="C24" s="51">
        <f>SUM(C18:C23)</f>
        <v/>
      </c>
      <c r="D24" s="51">
        <f>SUM(D18:D23)</f>
        <v/>
      </c>
      <c r="E24" s="51">
        <f>SUM(E18:E23)</f>
        <v/>
      </c>
      <c r="F24" s="51">
        <f>SUM(F18:F23)</f>
        <v/>
      </c>
      <c r="G24" s="51">
        <f>SUM(G18:G23)</f>
        <v/>
      </c>
      <c r="H24" s="51">
        <f>SUM(H18:H23)</f>
        <v/>
      </c>
      <c r="I24" s="51">
        <f>SUM(I18:I23)</f>
        <v/>
      </c>
    </row>
    <row r="26">
      <c r="B26" s="36" t="inlineStr">
        <is>
          <t>■ 主要指標</t>
        </is>
      </c>
    </row>
    <row r="27">
      <c r="B27" s="52" t="inlineStr">
        <is>
          <t>全体進捗率（平均）</t>
        </is>
      </c>
      <c r="C27" s="53">
        <f>AVERAGE('WBS・進捗管理'!$N$5:$N$101)</f>
        <v/>
      </c>
    </row>
    <row r="28">
      <c r="B28" s="52" t="inlineStr">
        <is>
          <t>作業総数</t>
        </is>
      </c>
      <c r="C28" s="54">
        <f>COUNTA('WBS・進捗管理'!$A$5:$A$101)</f>
        <v/>
      </c>
    </row>
    <row r="29">
      <c r="B29" s="52" t="inlineStr">
        <is>
          <t>完了した作業</t>
        </is>
      </c>
      <c r="C29" s="54">
        <f>COUNTIF('WBS・進捗管理'!$O$5:$O$101,"完了")</f>
        <v/>
      </c>
    </row>
    <row r="30">
      <c r="B30" s="52" t="inlineStr">
        <is>
          <t>着手・確認中の作業</t>
        </is>
      </c>
      <c r="C30" s="54">
        <f>COUNTIF('WBS・進捗管理'!$O$5:$O$101,"着手")+COUNTIF('WBS・進捗管理'!$O$5:$O$101,"確認中")</f>
        <v/>
      </c>
    </row>
    <row r="31">
      <c r="B31" s="52" t="inlineStr">
        <is>
          <t>未着手の作業</t>
        </is>
      </c>
      <c r="C31" s="54">
        <f>COUNTIF('WBS・進捗管理'!$O$5:$O$101,"未着手")</f>
        <v/>
      </c>
    </row>
    <row r="32">
      <c r="B32" s="52" t="inlineStr">
        <is>
          <t>村への確認事項（優先度S）</t>
        </is>
      </c>
      <c r="C32" s="54">
        <f>COUNTIF('村への確認事項'!$A:$A,"S")</f>
        <v/>
      </c>
    </row>
    <row r="33">
      <c r="B33" s="52" t="inlineStr">
        <is>
          <t>村への確認事項（優先度A）</t>
        </is>
      </c>
      <c r="C33" s="54">
        <f>COUNTIF('村への確認事項'!$A:$A,"A")</f>
        <v/>
      </c>
    </row>
    <row r="34">
      <c r="B34" s="52" t="inlineStr">
        <is>
          <t>村への確認事項（未依頼）</t>
        </is>
      </c>
      <c r="C34" s="54">
        <f>COUNTIF('村への確認事項'!$G:$G,"未依頼")</f>
        <v/>
      </c>
    </row>
    <row r="35">
      <c r="B35" s="52" t="inlineStr">
        <is>
          <t>未受領の資料・データ</t>
        </is>
      </c>
      <c r="C35" s="54">
        <f>COUNTIF('受領資料・データ管理'!$F:$F,"未受領")</f>
        <v/>
      </c>
    </row>
    <row r="37">
      <c r="B37" s="55" t="inlineStr">
        <is>
          <t>※「仕様書該当」欄の凡例：仕様書＝8北保福第483号 別紙／手引き＝厚生労働省の実施の手引き（令和7年8月版）／確認＝本業務での確認事項</t>
        </is>
      </c>
    </row>
    <row r="38">
      <c r="B38" s="55" t="inlineStr">
        <is>
          <t>※ 想定時期は仕様書の履行期限（令和9年3月31日）から逆算した目安です。村との協議結果により確定します。</t>
        </is>
      </c>
    </row>
    <row r="39">
      <c r="B39" s="55" t="inlineStr">
        <is>
          <t>※ 令和8年9月19日（土）〜23日（水）は5連休（敬老の日9/21・国民の休日9/22・秋分の日9/23）です。発送・回収工程に影響します。</t>
        </is>
      </c>
    </row>
    <row r="40">
      <c r="B40" s="55" t="inlineStr">
        <is>
          <t>※ 進捗基準日は令和8年8月31日です。備考欄の doc番号は docs/北塩原村_第10期/ 配下の分析資料に対応します。</t>
        </is>
      </c>
    </row>
  </sheetData>
  <mergeCells count="13">
    <mergeCell ref="D7:H7"/>
    <mergeCell ref="D8:H8"/>
    <mergeCell ref="D6:H6"/>
    <mergeCell ref="B26:H26"/>
    <mergeCell ref="C14:H14"/>
    <mergeCell ref="B4:H4"/>
    <mergeCell ref="C13:H13"/>
    <mergeCell ref="D5:H5"/>
    <mergeCell ref="B2:H2"/>
    <mergeCell ref="B16:H16"/>
    <mergeCell ref="B11:H11"/>
    <mergeCell ref="C12:H12"/>
    <mergeCell ref="D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2026-08-31T09:15:26Z</dcterms:created>
  <dcterms:modified xsi:type="dcterms:W3CDTF">2026-08-31T09:15:26Z</dcterms:modified>
</cp:coreProperties>
</file>