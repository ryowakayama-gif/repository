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BS・進捗管理" sheetId="1" state="visible" r:id="rId1"/>
    <sheet name="村への確認事項" sheetId="2" state="visible" r:id="rId2"/>
    <sheet name="仕様書対照" sheetId="3" state="visible" r:id="rId3"/>
    <sheet name="受領資料・データ管理" sheetId="4" state="visible" r:id="rId4"/>
    <sheet name="凡例・集計" sheetId="5" state="visible" r:id="rId5"/>
    <sheet name="ペンディング・作業順位" sheetId="6" state="visible" r:id="rId6"/>
    <sheet name="納品物の構成" sheetId="7" state="visible" r:id="rId7"/>
  </sheets>
  <definedNames>
    <definedName name="_xlnm._FilterDatabase" localSheetId="0" hidden="1">'WBS・進捗管理'!$A$4:$P$121</definedName>
    <definedName name="_xlnm._FilterDatabase" localSheetId="1" hidden="1">'村への確認事項'!$A$4:$H$211</definedName>
    <definedName name="_xlnm._FilterDatabase" localSheetId="2" hidden="1">'仕様書対照'!$A$4:$H$103</definedName>
    <definedName name="_xlnm._FilterDatabase" localSheetId="3" hidden="1">'受領資料・データ管理'!$A$4:$F$54</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0.0%"/>
  </numFmts>
  <fonts count="12">
    <font>
      <name val="Calibri"/>
      <family val="2"/>
      <color theme="1"/>
      <sz val="11"/>
      <scheme val="minor"/>
    </font>
    <font>
      <name val="游ゴシック"/>
      <b val="1"/>
      <color rgb="00FFFFFF"/>
      <sz val="14"/>
    </font>
    <font>
      <name val="游ゴシック"/>
      <sz val="9"/>
    </font>
    <font>
      <name val="游ゴシック"/>
      <b val="1"/>
      <color rgb="00FFFFFF"/>
      <sz val="10"/>
    </font>
    <font>
      <name val="游ゴシック"/>
      <b val="1"/>
      <color rgb="001F3864"/>
      <sz val="9"/>
    </font>
    <font>
      <name val="游ゴシック"/>
      <b val="1"/>
      <sz val="9"/>
    </font>
    <font>
      <name val="游ゴシック"/>
      <b val="1"/>
      <sz val="10"/>
    </font>
    <font>
      <name val="游ゴシック"/>
      <b val="1"/>
      <color rgb="00FFFFFF"/>
      <sz val="9"/>
    </font>
    <font>
      <name val="游ゴシック"/>
      <b val="1"/>
      <sz val="8"/>
    </font>
    <font>
      <name val="游ゴシック"/>
      <sz val="8"/>
    </font>
    <font>
      <name val="游ゴシック"/>
      <b val="1"/>
      <color rgb="00FFFFFF"/>
      <sz val="13"/>
    </font>
    <font>
      <name val="游ゴシック"/>
      <b val="1"/>
      <color rgb="001F3864"/>
      <sz val="12"/>
    </font>
  </fonts>
  <fills count="15">
    <fill>
      <patternFill/>
    </fill>
    <fill>
      <patternFill patternType="gray125"/>
    </fill>
    <fill>
      <patternFill patternType="solid">
        <fgColor rgb="001F3864"/>
      </patternFill>
    </fill>
    <fill>
      <patternFill patternType="solid">
        <fgColor rgb="00DDEBF7"/>
      </patternFill>
    </fill>
    <fill>
      <patternFill patternType="solid">
        <fgColor rgb="002E75B6"/>
      </patternFill>
    </fill>
    <fill>
      <patternFill patternType="solid">
        <fgColor rgb="00E2EFDA"/>
      </patternFill>
    </fill>
    <fill>
      <patternFill patternType="solid">
        <fgColor rgb="00FFF2CC"/>
      </patternFill>
    </fill>
    <fill>
      <patternFill patternType="solid">
        <fgColor rgb="00F7FAFC"/>
      </patternFill>
    </fill>
    <fill>
      <patternFill patternType="solid">
        <fgColor rgb="00FF5050"/>
      </patternFill>
    </fill>
    <fill>
      <patternFill patternType="solid">
        <fgColor rgb="00FFF3F3"/>
      </patternFill>
    </fill>
    <fill>
      <patternFill patternType="solid">
        <fgColor rgb="00FFC000"/>
      </patternFill>
    </fill>
    <fill>
      <patternFill patternType="solid">
        <fgColor rgb="00FFE699"/>
      </patternFill>
    </fill>
    <fill>
      <patternFill patternType="solid">
        <fgColor rgb="00D9D9D9"/>
      </patternFill>
    </fill>
    <fill>
      <patternFill patternType="solid">
        <fgColor rgb="00E7E6E6"/>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9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2" fillId="5" borderId="1" applyAlignment="1" pivotButton="0" quotePrefix="0" xfId="0">
      <alignment horizontal="center" vertical="top"/>
    </xf>
    <xf numFmtId="0" fontId="4" fillId="5" borderId="1" applyAlignment="1" pivotButton="0" quotePrefix="0" xfId="0">
      <alignment horizontal="left" vertical="top"/>
    </xf>
    <xf numFmtId="0" fontId="2" fillId="5" borderId="1" applyAlignment="1" pivotButton="0" quotePrefix="0" xfId="0">
      <alignment horizontal="left" vertical="top"/>
    </xf>
    <xf numFmtId="0" fontId="2" fillId="5" borderId="1" applyAlignment="1" pivotButton="0" quotePrefix="0" xfId="0">
      <alignment horizontal="left" vertical="top" wrapText="1"/>
    </xf>
    <xf numFmtId="165" fontId="2" fillId="5" borderId="1" applyAlignment="1" pivotButton="0" quotePrefix="0" xfId="0">
      <alignment horizontal="left" vertical="top"/>
    </xf>
    <xf numFmtId="9" fontId="2" fillId="5" borderId="1" applyAlignment="1" pivotButton="0" quotePrefix="0" xfId="0">
      <alignment horizontal="center" vertical="top"/>
    </xf>
    <xf numFmtId="0" fontId="5" fillId="5" borderId="1" applyAlignment="1" pivotButton="0" quotePrefix="0" xfId="0">
      <alignment horizontal="center" vertical="top"/>
    </xf>
    <xf numFmtId="0" fontId="2" fillId="6" borderId="1" applyAlignment="1" pivotButton="0" quotePrefix="0" xfId="0">
      <alignment horizontal="center" vertical="top"/>
    </xf>
    <xf numFmtId="0" fontId="2" fillId="6" borderId="1" applyAlignment="1" pivotButton="0" quotePrefix="0" xfId="0">
      <alignment horizontal="left" vertical="top"/>
    </xf>
    <xf numFmtId="0" fontId="2" fillId="6" borderId="1" applyAlignment="1" pivotButton="0" quotePrefix="0" xfId="0">
      <alignment horizontal="left" vertical="top" wrapText="1"/>
    </xf>
    <xf numFmtId="165" fontId="2" fillId="6" borderId="1" applyAlignment="1" pivotButton="0" quotePrefix="0" xfId="0">
      <alignment horizontal="left" vertical="top"/>
    </xf>
    <xf numFmtId="9" fontId="2" fillId="6" borderId="1" applyAlignment="1" pivotButton="0" quotePrefix="0" xfId="0">
      <alignment horizontal="center" vertical="top"/>
    </xf>
    <xf numFmtId="0" fontId="5" fillId="6" borderId="1" applyAlignment="1" pivotButton="0" quotePrefix="0" xfId="0">
      <alignment horizontal="center" vertical="top"/>
    </xf>
    <xf numFmtId="0" fontId="2" fillId="7" borderId="1" applyAlignment="1" pivotButton="0" quotePrefix="0" xfId="0">
      <alignment horizontal="center" vertical="top"/>
    </xf>
    <xf numFmtId="0" fontId="2" fillId="7" borderId="1" applyAlignment="1" pivotButton="0" quotePrefix="0" xfId="0">
      <alignment horizontal="left" vertical="top"/>
    </xf>
    <xf numFmtId="0" fontId="2" fillId="7" borderId="1" applyAlignment="1" pivotButton="0" quotePrefix="0" xfId="0">
      <alignment horizontal="left" vertical="top" wrapText="1"/>
    </xf>
    <xf numFmtId="165" fontId="2" fillId="7" borderId="1" applyAlignment="1" pivotButton="0" quotePrefix="0" xfId="0">
      <alignment horizontal="left" vertical="top"/>
    </xf>
    <xf numFmtId="9" fontId="2" fillId="7" borderId="1" applyAlignment="1" pivotButton="0" quotePrefix="0" xfId="0">
      <alignment horizontal="center" vertical="top"/>
    </xf>
    <xf numFmtId="0" fontId="2" fillId="0" borderId="1" applyAlignment="1" pivotButton="0" quotePrefix="0" xfId="0">
      <alignment horizontal="center"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xf numFmtId="165" fontId="2" fillId="0" borderId="1" applyAlignment="1" pivotButton="0" quotePrefix="0" xfId="0">
      <alignment horizontal="left" vertical="top"/>
    </xf>
    <xf numFmtId="9" fontId="2" fillId="0" borderId="1" applyAlignment="1" pivotButton="0" quotePrefix="0" xfId="0">
      <alignment horizontal="center" vertical="top"/>
    </xf>
    <xf numFmtId="0" fontId="4" fillId="6" borderId="1" applyAlignment="1" pivotButton="0" quotePrefix="0" xfId="0">
      <alignment horizontal="left" vertical="top"/>
    </xf>
    <xf numFmtId="0" fontId="5" fillId="0" borderId="1" applyAlignment="1" pivotButton="0" quotePrefix="0" xfId="0">
      <alignment horizontal="center" vertical="top"/>
    </xf>
    <xf numFmtId="0" fontId="5" fillId="7" borderId="1" applyAlignment="1" pivotButton="0" quotePrefix="0" xfId="0">
      <alignment horizontal="center" vertical="top"/>
    </xf>
    <xf numFmtId="0" fontId="4" fillId="7" borderId="1" applyAlignment="1" pivotButton="0" quotePrefix="0" xfId="0">
      <alignment horizontal="left" vertical="top"/>
    </xf>
    <xf numFmtId="0" fontId="6" fillId="8" borderId="1" applyAlignment="1" pivotButton="0" quotePrefix="0" xfId="0">
      <alignment horizontal="center" vertical="top"/>
    </xf>
    <xf numFmtId="0" fontId="2" fillId="9" borderId="1" applyAlignment="1" pivotButton="0" quotePrefix="0" xfId="0">
      <alignment horizontal="left" vertical="top"/>
    </xf>
    <xf numFmtId="0" fontId="2" fillId="9" borderId="1" applyAlignment="1" pivotButton="0" quotePrefix="0" xfId="0">
      <alignment horizontal="left" vertical="top" wrapText="1"/>
    </xf>
    <xf numFmtId="0" fontId="2" fillId="9" borderId="1" applyAlignment="1" pivotButton="0" quotePrefix="0" xfId="0">
      <alignment horizontal="center" vertical="top"/>
    </xf>
    <xf numFmtId="0" fontId="6" fillId="10" borderId="1" applyAlignment="1" pivotButton="0" quotePrefix="0" xfId="0">
      <alignment horizontal="center" vertical="top"/>
    </xf>
    <xf numFmtId="0" fontId="6" fillId="11" borderId="1" applyAlignment="1" pivotButton="0" quotePrefix="0" xfId="0">
      <alignment horizontal="center" vertical="top"/>
    </xf>
    <xf numFmtId="0" fontId="6" fillId="12" borderId="1" applyAlignment="1" pivotButton="0" quotePrefix="0" xfId="0">
      <alignment horizontal="center" vertical="top"/>
    </xf>
    <xf numFmtId="0" fontId="3" fillId="4" borderId="0" applyAlignment="1" pivotButton="0" quotePrefix="0" xfId="0">
      <alignment horizontal="left" vertical="center" indent="1"/>
    </xf>
    <xf numFmtId="0" fontId="2" fillId="13" borderId="1" applyAlignment="1" pivotButton="0" quotePrefix="0" xfId="0">
      <alignment horizontal="center" vertical="top"/>
    </xf>
    <xf numFmtId="0" fontId="2" fillId="13" borderId="1" applyAlignment="1" pivotButton="0" quotePrefix="0" xfId="0">
      <alignment horizontal="left" vertical="top"/>
    </xf>
    <xf numFmtId="0" fontId="2" fillId="13" borderId="1" applyAlignment="1" pivotButton="0" quotePrefix="0" xfId="0">
      <alignment horizontal="left" vertical="top" wrapText="1"/>
    </xf>
    <xf numFmtId="0" fontId="4" fillId="0" borderId="1" applyAlignment="1" pivotButton="0" quotePrefix="0" xfId="0">
      <alignment horizontal="left" vertical="top"/>
    </xf>
    <xf numFmtId="0" fontId="7" fillId="4" borderId="1" applyAlignment="1" pivotButton="0" quotePrefix="0" xfId="0">
      <alignment horizontal="center"/>
    </xf>
    <xf numFmtId="0" fontId="0" fillId="13" borderId="1" pivotButton="0" quotePrefix="0" xfId="0"/>
    <xf numFmtId="0" fontId="8" fillId="0" borderId="0" pivotButton="0" quotePrefix="0" xfId="0"/>
    <xf numFmtId="0" fontId="9" fillId="0" borderId="0" pivotButton="0" quotePrefix="0" xfId="0"/>
    <xf numFmtId="165" fontId="2" fillId="5" borderId="1" applyAlignment="1" pivotButton="0" quotePrefix="0" xfId="0">
      <alignment horizontal="center" vertical="top"/>
    </xf>
    <xf numFmtId="0" fontId="10" fillId="2" borderId="0" applyAlignment="1" pivotButton="0" quotePrefix="0" xfId="0">
      <alignment horizontal="center" vertical="center"/>
    </xf>
    <xf numFmtId="0" fontId="5" fillId="0" borderId="1" pivotButton="0" quotePrefix="0" xfId="0"/>
    <xf numFmtId="0" fontId="2" fillId="0" borderId="1" pivotButton="0" quotePrefix="0" xfId="0"/>
    <xf numFmtId="0" fontId="0" fillId="0" borderId="1" pivotButton="0" quotePrefix="0" xfId="0"/>
    <xf numFmtId="0" fontId="5" fillId="5" borderId="1" pivotButton="0" quotePrefix="0" xfId="0"/>
    <xf numFmtId="0" fontId="5" fillId="6" borderId="1" pivotButton="0" quotePrefix="0" xfId="0"/>
    <xf numFmtId="0" fontId="5" fillId="9" borderId="1" pivotButton="0" quotePrefix="0" xfId="0"/>
    <xf numFmtId="0" fontId="2" fillId="0" borderId="1" applyAlignment="1" pivotButton="0" quotePrefix="0" xfId="0">
      <alignment horizontal="center"/>
    </xf>
    <xf numFmtId="0" fontId="5" fillId="3" borderId="1" pivotButton="0" quotePrefix="0" xfId="0"/>
    <xf numFmtId="0" fontId="5" fillId="3" borderId="1" applyAlignment="1" pivotButton="0" quotePrefix="0" xfId="0">
      <alignment horizontal="center"/>
    </xf>
    <xf numFmtId="0" fontId="6" fillId="0" borderId="1" pivotButton="0" quotePrefix="0" xfId="0"/>
    <xf numFmtId="166" fontId="11" fillId="14" borderId="1" applyAlignment="1" pivotButton="0" quotePrefix="0" xfId="0">
      <alignment horizontal="center"/>
    </xf>
    <xf numFmtId="1" fontId="11" fillId="14" borderId="1" applyAlignment="1" pivotButton="0" quotePrefix="0" xfId="0">
      <alignment horizontal="center"/>
    </xf>
    <xf numFmtId="0" fontId="7" fillId="2" borderId="1" applyAlignment="1" pivotButton="0" quotePrefix="0" xfId="0">
      <alignment horizontal="center"/>
    </xf>
    <xf numFmtId="0" fontId="5" fillId="9" borderId="1" applyAlignment="1" pivotButton="0" quotePrefix="0" xfId="0">
      <alignment horizontal="center" vertical="top"/>
    </xf>
    <xf numFmtId="0" fontId="5" fillId="9" borderId="1" applyAlignment="1" pivotButton="0" quotePrefix="0" xfId="0">
      <alignment horizontal="left" vertical="top"/>
    </xf>
    <xf numFmtId="0" fontId="5" fillId="9" borderId="1" applyAlignment="1" pivotButton="0" quotePrefix="0" xfId="0">
      <alignment horizontal="left" vertical="top" wrapText="1"/>
    </xf>
    <xf numFmtId="0" fontId="0" fillId="0" borderId="4" pivotButton="0" quotePrefix="0" xfId="0"/>
    <xf numFmtId="0" fontId="0" fillId="0" borderId="5" pivotButton="0" quotePrefix="0" xfId="0"/>
    <xf numFmtId="0" fontId="2" fillId="0" borderId="1" applyAlignment="1" pivotButton="0" quotePrefix="0" xfId="0">
      <alignment horizontal="center" vertical="top" wrapText="1"/>
    </xf>
    <xf numFmtId="0" fontId="2" fillId="0" borderId="1" applyAlignment="1" pivotButton="0" quotePrefix="0" xfId="0">
      <alignment horizontal="left" vertical="top" wrapText="1" indent="1"/>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5" fillId="0" borderId="1" applyAlignment="1" pivotButton="0" quotePrefix="0" xfId="0">
      <alignment horizontal="center" vertical="center"/>
    </xf>
    <xf numFmtId="0" fontId="2" fillId="0" borderId="1" applyAlignment="1" pivotButton="0" quotePrefix="0" xfId="0">
      <alignment horizontal="left" vertical="center" wrapText="1" indent="1"/>
    </xf>
    <xf numFmtId="0" fontId="2" fillId="8" borderId="1" applyAlignment="1" pivotButton="0" quotePrefix="0" xfId="0">
      <alignment horizontal="center" vertical="center"/>
    </xf>
    <xf numFmtId="0" fontId="2" fillId="8" borderId="1" applyAlignment="1" pivotButton="0" quotePrefix="0" xfId="0">
      <alignment horizontal="left" vertical="center"/>
    </xf>
    <xf numFmtId="0" fontId="5" fillId="8" borderId="1" applyAlignment="1" pivotButton="0" quotePrefix="0" xfId="0">
      <alignment horizontal="center" vertical="center"/>
    </xf>
    <xf numFmtId="0" fontId="2" fillId="8" borderId="1" applyAlignment="1" pivotButton="0" quotePrefix="0" xfId="0">
      <alignment horizontal="left" vertical="center" wrapText="1" indent="1"/>
    </xf>
    <xf numFmtId="0" fontId="2" fillId="10" borderId="1" applyAlignment="1" pivotButton="0" quotePrefix="0" xfId="0">
      <alignment horizontal="center" vertical="center"/>
    </xf>
    <xf numFmtId="0" fontId="2" fillId="10" borderId="1" applyAlignment="1" pivotButton="0" quotePrefix="0" xfId="0">
      <alignment horizontal="left" vertical="center"/>
    </xf>
    <xf numFmtId="0" fontId="5" fillId="10" borderId="1" applyAlignment="1" pivotButton="0" quotePrefix="0" xfId="0">
      <alignment horizontal="center" vertical="center"/>
    </xf>
    <xf numFmtId="0" fontId="2" fillId="10" borderId="1" applyAlignment="1" pivotButton="0" quotePrefix="0" xfId="0">
      <alignment horizontal="left" vertical="center" wrapText="1" indent="1"/>
    </xf>
    <xf numFmtId="0" fontId="2" fillId="13" borderId="1" applyAlignment="1" pivotButton="0" quotePrefix="0" xfId="0">
      <alignment horizontal="center" vertical="center"/>
    </xf>
    <xf numFmtId="0" fontId="2" fillId="13" borderId="1" applyAlignment="1" pivotButton="0" quotePrefix="0" xfId="0">
      <alignment horizontal="left" vertical="center"/>
    </xf>
    <xf numFmtId="0" fontId="5" fillId="13" borderId="1" applyAlignment="1" pivotButton="0" quotePrefix="0" xfId="0">
      <alignment horizontal="center" vertical="center"/>
    </xf>
    <xf numFmtId="0" fontId="2" fillId="13" borderId="1" applyAlignment="1" pivotButton="0" quotePrefix="0" xfId="0">
      <alignment horizontal="left" vertical="center" wrapText="1" indent="1"/>
    </xf>
    <xf numFmtId="0" fontId="5" fillId="3" borderId="1" applyAlignment="1" pivotButton="0" quotePrefix="0" xfId="0">
      <alignment horizontal="center" vertical="center"/>
    </xf>
    <xf numFmtId="0" fontId="2" fillId="8" borderId="1" applyAlignment="1" pivotButton="0" quotePrefix="0" xfId="0">
      <alignment horizontal="center" vertical="top" wrapText="1"/>
    </xf>
    <xf numFmtId="0" fontId="2" fillId="0" borderId="1" applyAlignment="1" pivotButton="0" quotePrefix="0" xfId="0">
      <alignment horizontal="center" vertical="top" wrapText="1" indent="1"/>
    </xf>
    <xf numFmtId="0" fontId="2" fillId="10" borderId="1" applyAlignment="1" pivotButton="0" quotePrefix="0" xfId="0">
      <alignment horizontal="center" vertical="top" wrapText="1"/>
    </xf>
    <xf numFmtId="0" fontId="2" fillId="3" borderId="1" applyAlignment="1" pivotButton="0" quotePrefix="0" xfId="0">
      <alignment horizontal="center" vertical="top" wrapText="1"/>
    </xf>
    <xf numFmtId="0" fontId="5" fillId="0"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13" borderId="1" applyAlignment="1" pivotButton="0" quotePrefix="0" xfId="0">
      <alignment horizontal="center" vertical="top" wrapText="1"/>
    </xf>
    <xf numFmtId="0" fontId="2" fillId="1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1"/>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17" customWidth="1" min="3" max="3"/>
    <col width="42" customWidth="1" min="4" max="4"/>
    <col width="11" customWidth="1" min="5" max="5"/>
    <col width="9" customWidth="1" min="6" max="6"/>
    <col width="26" customWidth="1" min="7" max="7"/>
    <col width="34" customWidth="1" min="8" max="8"/>
    <col width="11" customWidth="1" min="9" max="9"/>
    <col width="12" customWidth="1" min="10" max="10"/>
    <col width="12" customWidth="1" min="11" max="11"/>
    <col width="12" customWidth="1" min="12" max="12"/>
    <col width="12" customWidth="1" min="13" max="13"/>
    <col width="8" customWidth="1" min="14" max="14"/>
    <col width="10" customWidth="1" min="15" max="15"/>
    <col width="52" customWidth="1" min="16" max="16"/>
  </cols>
  <sheetData>
    <row r="1" ht="30" customHeight="1">
      <c r="A1" s="1" t="inlineStr">
        <is>
          <t>第10期北塩原村高齢者福祉計画・第10期北塩原村介護保険事業計画　策定業務　WBS／進捗管理表</t>
        </is>
      </c>
    </row>
    <row r="2" ht="20" customHeight="1">
      <c r="A2" s="2" t="inlineStr">
        <is>
          <t>委託第27号／業務期間：契約締結の日〜令和9年3月31日／計画期間：令和9〜11年度　｜　出典：仕様書（8北保福第483号 別紙）を作業レベルに分解（対応は「仕様書対照」シート）　｜　進捗基準日：令和8年10月13日</t>
        </is>
      </c>
    </row>
    <row r="4" ht="34" customHeight="1">
      <c r="A4" s="3" t="inlineStr">
        <is>
          <t>No.</t>
        </is>
      </c>
      <c r="B4" s="3" t="inlineStr">
        <is>
          <t>大分類</t>
        </is>
      </c>
      <c r="C4" s="3" t="inlineStr">
        <is>
          <t>中分類</t>
        </is>
      </c>
      <c r="D4" s="3" t="inlineStr">
        <is>
          <t>作業項目</t>
        </is>
      </c>
      <c r="E4" s="3" t="inlineStr">
        <is>
          <t>仕様書該当</t>
        </is>
      </c>
      <c r="F4" s="3" t="inlineStr">
        <is>
          <t>担当</t>
        </is>
      </c>
      <c r="G4" s="3" t="inlineStr">
        <is>
          <t>成果物・アウトプット</t>
        </is>
      </c>
      <c r="H4" s="3" t="inlineStr">
        <is>
          <t>前提・依存</t>
        </is>
      </c>
      <c r="I4" s="3" t="inlineStr">
        <is>
          <t>想定時期</t>
        </is>
      </c>
      <c r="J4" s="3" t="inlineStr">
        <is>
          <t>予定開始</t>
        </is>
      </c>
      <c r="K4" s="3" t="inlineStr">
        <is>
          <t>予定完了</t>
        </is>
      </c>
      <c r="L4" s="3" t="inlineStr">
        <is>
          <t>実績開始</t>
        </is>
      </c>
      <c r="M4" s="3" t="inlineStr">
        <is>
          <t>実績完了</t>
        </is>
      </c>
      <c r="N4" s="3" t="inlineStr">
        <is>
          <t>進捗率</t>
        </is>
      </c>
      <c r="O4" s="3" t="inlineStr">
        <is>
          <t>ステータス</t>
        </is>
      </c>
      <c r="P4" s="3" t="inlineStr">
        <is>
          <t>備考</t>
        </is>
      </c>
    </row>
    <row r="5" ht="30" customHeight="1">
      <c r="A5" s="4" t="inlineStr">
        <is>
          <t>０-01</t>
        </is>
      </c>
      <c r="B5" s="5" t="inlineStr">
        <is>
          <t>０ 契約・立上げ</t>
        </is>
      </c>
      <c r="C5" s="6" t="inlineStr">
        <is>
          <t>契約手続</t>
        </is>
      </c>
      <c r="D5" s="7" t="inlineStr">
        <is>
          <t>見積書の提出</t>
        </is>
      </c>
      <c r="E5" s="4" t="inlineStr">
        <is>
          <t>通知2</t>
        </is>
      </c>
      <c r="F5" s="4" t="inlineStr">
        <is>
          <t>受託者</t>
        </is>
      </c>
      <c r="G5" s="7" t="inlineStr">
        <is>
          <t>見積書</t>
        </is>
      </c>
      <c r="H5" s="7" t="inlineStr"/>
      <c r="I5" s="4" t="inlineStr">
        <is>
          <t>R8.8</t>
        </is>
      </c>
      <c r="J5" s="8" t="n"/>
      <c r="K5" s="8" t="n"/>
      <c r="L5" s="8" t="n">
        <v>46235</v>
      </c>
      <c r="M5" s="8" t="n">
        <v>46254</v>
      </c>
      <c r="N5" s="9" t="n">
        <v>1</v>
      </c>
      <c r="O5" s="10" t="inlineStr">
        <is>
          <t>完了</t>
        </is>
      </c>
      <c r="P5" s="7" t="inlineStr">
        <is>
          <t>受注決定の連絡を受領。</t>
        </is>
      </c>
    </row>
    <row r="6" ht="30" customHeight="1">
      <c r="A6" s="11" t="inlineStr">
        <is>
          <t>０-02</t>
        </is>
      </c>
      <c r="B6" s="12" t="inlineStr">
        <is>
          <t>０ 契約・立上げ</t>
        </is>
      </c>
      <c r="C6" s="12" t="inlineStr">
        <is>
          <t>契約手続</t>
        </is>
      </c>
      <c r="D6" s="13" t="inlineStr">
        <is>
          <t>契約締結</t>
        </is>
      </c>
      <c r="E6" s="11" t="inlineStr">
        <is>
          <t>仕様書3</t>
        </is>
      </c>
      <c r="F6" s="11" t="inlineStr">
        <is>
          <t>双方</t>
        </is>
      </c>
      <c r="G6" s="13" t="inlineStr">
        <is>
          <t>委託契約書</t>
        </is>
      </c>
      <c r="H6" s="13" t="inlineStr">
        <is>
          <t>北塩原村委託契約約款に準拠</t>
        </is>
      </c>
      <c r="I6" s="11" t="inlineStr">
        <is>
          <t>R8.9</t>
        </is>
      </c>
      <c r="J6" s="14" t="n"/>
      <c r="K6" s="14" t="n"/>
      <c r="L6" s="14" t="n"/>
      <c r="M6" s="14" t="n"/>
      <c r="N6" s="15" t="n">
        <v>0.5</v>
      </c>
      <c r="O6" s="16" t="inlineStr">
        <is>
          <t>確認中</t>
        </is>
      </c>
      <c r="P6" s="13" t="inlineStr">
        <is>
          <t>受注決定は連絡済。契約締結日・契約書の取り交わし状況を要確認。</t>
        </is>
      </c>
    </row>
    <row r="7" ht="30" customHeight="1">
      <c r="A7" s="4" t="inlineStr">
        <is>
          <t>０-03</t>
        </is>
      </c>
      <c r="B7" s="6" t="inlineStr">
        <is>
          <t>０ 契約・立上げ</t>
        </is>
      </c>
      <c r="C7" s="6" t="inlineStr">
        <is>
          <t>立上げ</t>
        </is>
      </c>
      <c r="D7" s="7" t="inlineStr">
        <is>
          <t>キックオフ会議の開催</t>
        </is>
      </c>
      <c r="E7" s="4" t="inlineStr">
        <is>
          <t>仕様書4Ⅲ</t>
        </is>
      </c>
      <c r="F7" s="4" t="inlineStr">
        <is>
          <t>双方</t>
        </is>
      </c>
      <c r="G7" s="7" t="inlineStr">
        <is>
          <t>キックオフ会議資料・議事録</t>
        </is>
      </c>
      <c r="H7" s="7" t="inlineStr"/>
      <c r="I7" s="4" t="inlineStr">
        <is>
          <t>R8.9上</t>
        </is>
      </c>
      <c r="J7" s="8" t="n"/>
      <c r="K7" s="8" t="n"/>
      <c r="L7" s="8" t="n">
        <v>46259</v>
      </c>
      <c r="M7" s="8" t="n">
        <v>46266</v>
      </c>
      <c r="N7" s="9" t="n">
        <v>1</v>
      </c>
      <c r="O7" s="10" t="inlineStr">
        <is>
          <t>完了</t>
        </is>
      </c>
      <c r="P7" s="7" t="inlineStr">
        <is>
          <t>令和8年9月1日（火）北塩原村役場にて開催。議事録を受領し確認・論点整理を完了（doc22）。優先度S 16件のうち9件が決着。基準日R8.9.1・在宅調査の抽出基準・管理番号の紐付け・発送9/18・ラベル封筒は村が用意・回収は100件ごとの小分け送付。</t>
        </is>
      </c>
    </row>
    <row r="8" ht="30" customHeight="1">
      <c r="A8" s="11" t="inlineStr">
        <is>
          <t>０-04</t>
        </is>
      </c>
      <c r="B8" s="12" t="inlineStr">
        <is>
          <t>０ 契約・立上げ</t>
        </is>
      </c>
      <c r="C8" s="12" t="inlineStr">
        <is>
          <t>立上げ</t>
        </is>
      </c>
      <c r="D8" s="13" t="inlineStr">
        <is>
          <t>連絡体制・資料授受方法の確定</t>
        </is>
      </c>
      <c r="E8" s="11" t="inlineStr">
        <is>
          <t>仕様書4Ⅲ</t>
        </is>
      </c>
      <c r="F8" s="11" t="inlineStr">
        <is>
          <t>双方</t>
        </is>
      </c>
      <c r="G8" s="13" t="inlineStr">
        <is>
          <t>連絡体制表</t>
        </is>
      </c>
      <c r="H8" s="13" t="inlineStr">
        <is>
          <t>所管課（保健福祉課福祉係）の確認</t>
        </is>
      </c>
      <c r="I8" s="11" t="inlineStr">
        <is>
          <t>R8.9上</t>
        </is>
      </c>
      <c r="J8" s="14" t="n"/>
      <c r="K8" s="14" t="n"/>
      <c r="L8" s="14" t="n">
        <v>46259</v>
      </c>
      <c r="M8" s="14" t="n"/>
      <c r="N8" s="15" t="n">
        <v>0.5</v>
      </c>
      <c r="O8" s="16" t="inlineStr">
        <is>
          <t>着手</t>
        </is>
      </c>
      <c r="P8" s="13" t="inlineStr">
        <is>
          <t>資料授受は継続中。所管課（住民課→保健福祉課）の確認が未了（doc01確認事項1）。★10/5：村への照会を6通の照会票にまとめた。従来の資料提供確認依頼書（9月8日・調査票の工程）とは別に、計画策定の工程の照会を束ごとに1通とする形にした。</t>
        </is>
      </c>
    </row>
    <row r="9" ht="30" customHeight="1">
      <c r="A9" s="11" t="inlineStr">
        <is>
          <t>０-05</t>
        </is>
      </c>
      <c r="B9" s="12" t="inlineStr">
        <is>
          <t>０ 契約・立上げ</t>
        </is>
      </c>
      <c r="C9" s="12" t="inlineStr">
        <is>
          <t>立上げ</t>
        </is>
      </c>
      <c r="D9" s="13" t="inlineStr">
        <is>
          <t>現行計画・関連計画・実績資料の受領</t>
        </is>
      </c>
      <c r="E9" s="11" t="inlineStr">
        <is>
          <t>仕様書4Ⅱ(2)</t>
        </is>
      </c>
      <c r="F9" s="11" t="inlineStr">
        <is>
          <t>北塩原村</t>
        </is>
      </c>
      <c r="G9" s="13" t="inlineStr">
        <is>
          <t>第9期計画書／第5次総合振興計画／第3次健康21ほか</t>
        </is>
      </c>
      <c r="H9" s="13" t="inlineStr"/>
      <c r="I9" s="11" t="inlineStr">
        <is>
          <t>R8.9上</t>
        </is>
      </c>
      <c r="J9" s="14" t="n"/>
      <c r="K9" s="14" t="n"/>
      <c r="L9" s="14" t="n">
        <v>46259</v>
      </c>
      <c r="M9" s="14" t="n"/>
      <c r="N9" s="15" t="n">
        <v>0.7</v>
      </c>
      <c r="O9" s="16" t="inlineStr">
        <is>
          <t>着手</t>
        </is>
      </c>
      <c r="P9" s="13" t="inlineStr">
        <is>
          <t>第9期計画書・第9期概要版（表裏）に加え、第四次生涯学習推進計画（全112頁）を受領（doc21）。第五次総合振興計画・第3次健康21・障がい福祉計画が未受領。</t>
        </is>
      </c>
    </row>
    <row r="10" ht="30" customHeight="1">
      <c r="A10" s="11" t="inlineStr">
        <is>
          <t>０-06</t>
        </is>
      </c>
      <c r="B10" s="12" t="inlineStr">
        <is>
          <t>０ 契約・立上げ</t>
        </is>
      </c>
      <c r="C10" s="12" t="inlineStr">
        <is>
          <t>立上げ</t>
        </is>
      </c>
      <c r="D10" s="13" t="inlineStr">
        <is>
          <t>見える化システムのID・パスワードの受領</t>
        </is>
      </c>
      <c r="E10" s="11" t="inlineStr">
        <is>
          <t>確認</t>
        </is>
      </c>
      <c r="F10" s="11" t="inlineStr">
        <is>
          <t>北塩原村</t>
        </is>
      </c>
      <c r="G10" s="13" t="inlineStr">
        <is>
          <t>アカウント情報</t>
        </is>
      </c>
      <c r="H10" s="13" t="inlineStr"/>
      <c r="I10" s="11" t="inlineStr">
        <is>
          <t>R8.9上</t>
        </is>
      </c>
      <c r="J10" s="14" t="n"/>
      <c r="K10" s="14" t="n"/>
      <c r="L10" s="14" t="n">
        <v>46259</v>
      </c>
      <c r="M10" s="14" t="n"/>
      <c r="N10" s="15" t="n">
        <v>0.9</v>
      </c>
      <c r="O10" s="16" t="inlineStr">
        <is>
          <t>着手</t>
        </is>
      </c>
      <c r="P10" s="13" t="inlineStr">
        <is>
          <t>見える化の出力を分割して受領（ZIP20本・738冊）。本村の値26,480行を取り出し data/mieruka_batch.csv に収めた（doc52）。ID自体の授受は要確認。</t>
        </is>
      </c>
    </row>
    <row r="11" ht="30" customHeight="1">
      <c r="A11" s="4" t="inlineStr">
        <is>
          <t>Ⅰ-07</t>
        </is>
      </c>
      <c r="B11" s="5" t="inlineStr">
        <is>
          <t>Ⅰ ニーズ調査</t>
        </is>
      </c>
      <c r="C11" s="6" t="inlineStr">
        <is>
          <t>Ⅰ-1 調査設計</t>
        </is>
      </c>
      <c r="D11" s="7" t="inlineStr">
        <is>
          <t>調査手法の決定（在宅：手法Ⅰ〜Ⅳ）</t>
        </is>
      </c>
      <c r="E11" s="4" t="inlineStr">
        <is>
          <t>手引き／確認</t>
        </is>
      </c>
      <c r="F11" s="4" t="inlineStr">
        <is>
          <t>双方</t>
        </is>
      </c>
      <c r="G11" s="7" t="inlineStr">
        <is>
          <t>調査手法決定メモ</t>
        </is>
      </c>
      <c r="H11" s="7" t="inlineStr">
        <is>
          <t>手法Ⅲは自動集計ソフトなし。仕様書Ⅰ(5)との整合を要確認</t>
        </is>
      </c>
      <c r="I11" s="4" t="inlineStr">
        <is>
          <t>R8.9上</t>
        </is>
      </c>
      <c r="J11" s="8" t="n"/>
      <c r="K11" s="8" t="n"/>
      <c r="L11" s="8" t="n">
        <v>46259</v>
      </c>
      <c r="M11" s="8" t="n">
        <v>46274</v>
      </c>
      <c r="N11" s="9" t="n">
        <v>1</v>
      </c>
      <c r="O11" s="10" t="inlineStr">
        <is>
          <t>完了</t>
        </is>
      </c>
      <c r="P11" s="7" t="inlineStr">
        <is>
          <t>★議事録に記載なし。手法Ⅲか手法Ⅳ（新版 在宅生活改善調査）を加えるかが未決着。9/3の第1稿提出時に併せて提起する（doc22 A-1）。★10/10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t>
        </is>
      </c>
    </row>
    <row r="12" ht="30" customHeight="1">
      <c r="A12" s="4" t="inlineStr">
        <is>
          <t>Ⅰ-08</t>
        </is>
      </c>
      <c r="B12" s="6" t="inlineStr">
        <is>
          <t>Ⅰ ニーズ調査</t>
        </is>
      </c>
      <c r="C12" s="6" t="inlineStr">
        <is>
          <t>Ⅰ-1 調査設計</t>
        </is>
      </c>
      <c r="D12" s="7" t="inlineStr">
        <is>
          <t>調査対象者の抽出条件の確定</t>
        </is>
      </c>
      <c r="E12" s="4" t="inlineStr">
        <is>
          <t>仕様書4Ⅰ(1)</t>
        </is>
      </c>
      <c r="F12" s="4" t="inlineStr">
        <is>
          <t>双方</t>
        </is>
      </c>
      <c r="G12" s="7" t="inlineStr">
        <is>
          <t>抽出条件メモ</t>
        </is>
      </c>
      <c r="H12" s="7" t="inlineStr">
        <is>
          <t>①要支援を含むか②更新・区分変更に限るか③サ高住等を含むか</t>
        </is>
      </c>
      <c r="I12" s="4" t="inlineStr">
        <is>
          <t>R8.9上</t>
        </is>
      </c>
      <c r="J12" s="8" t="n"/>
      <c r="K12" s="8" t="n"/>
      <c r="L12" s="8" t="n">
        <v>46259</v>
      </c>
      <c r="M12" s="8" t="n">
        <v>46274</v>
      </c>
      <c r="N12" s="9" t="n">
        <v>1</v>
      </c>
      <c r="O12" s="10" t="inlineStr">
        <is>
          <t>完了</t>
        </is>
      </c>
      <c r="P12" s="7" t="inlineStr">
        <is>
          <t>★在宅介護実態調査は「要支援1・2および要介護1〜5の在宅生活者等」150件で決着（議事録）。基準日は令和8年9月1日。ニーズ調査約850件の抽出基準（要支援を含むか）は未決着。★10/10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t>
        </is>
      </c>
    </row>
    <row r="13" ht="30" customHeight="1">
      <c r="A13" s="4" t="inlineStr">
        <is>
          <t>Ⅰ-09</t>
        </is>
      </c>
      <c r="B13" s="6" t="inlineStr">
        <is>
          <t>Ⅰ ニーズ調査</t>
        </is>
      </c>
      <c r="C13" s="6" t="inlineStr">
        <is>
          <t>Ⅰ-1 調査設計</t>
        </is>
      </c>
      <c r="D13" s="7" t="inlineStr">
        <is>
          <t>調査票の設計（ニーズ調査）</t>
        </is>
      </c>
      <c r="E13" s="4" t="inlineStr">
        <is>
          <t>仕様書4Ⅰ(2)</t>
        </is>
      </c>
      <c r="F13" s="4" t="inlineStr">
        <is>
          <t>受託者</t>
        </is>
      </c>
      <c r="G13" s="7" t="inlineStr">
        <is>
          <t>調査票案</t>
        </is>
      </c>
      <c r="H13" s="7" t="inlineStr">
        <is>
          <t>厚労省令和7年8月版様式を基礎</t>
        </is>
      </c>
      <c r="I13" s="4" t="inlineStr">
        <is>
          <t>R8.9上</t>
        </is>
      </c>
      <c r="J13" s="8" t="n"/>
      <c r="K13" s="8" t="n"/>
      <c r="L13" s="8" t="n">
        <v>46269</v>
      </c>
      <c r="M13" s="8" t="n">
        <v>46274</v>
      </c>
      <c r="N13" s="9" t="n">
        <v>1</v>
      </c>
      <c r="O13" s="10" t="inlineStr">
        <is>
          <t>完了</t>
        </is>
      </c>
      <c r="P13" s="7" t="inlineStr">
        <is>
          <t>★第1稿（0828版）を受領し令和7年8月版との全面突合を完了（doc23）。要修正：選択肢の順序が標準と逆になっている7か所（うち2か所は文字列の誤植）、標準様式の残骸3か所、問7の番号繰り上がり。村独自14問の採否を判定し、削除提案は問3(10)の1問のみ。★9/4：第2稿（0904版）を確認。指摘13件のうち11件が反映。ルビを57→105か所に拡充、通いの場の名称を現行事業名に修正、自由記述欄を新設。未対応は問1(2)①の選択肢順序と問7(7)の採用可否の2件。新たに保険外サービスの選択肢の不統一と個人情報の説明文の後退を検出（doc27）。★9/14：0909校正版（doc34）を確認。問1(2)①の選択肢順序は解消。一方、問1(4)住まいの種類と問4(16)若い人に話しかけるが削除済み、問4(15)病人を見舞うに削除の指示。いずれも見える化の登録対象で、問4(15)(16)が落ちるとR09社会的役割の低下が算出できずR99が10領域→9領域に減る。印刷前の判断を要する。★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t>
        </is>
      </c>
    </row>
    <row r="14" ht="30" customHeight="1">
      <c r="A14" s="4" t="inlineStr">
        <is>
          <t>Ⅰ-10</t>
        </is>
      </c>
      <c r="B14" s="6" t="inlineStr">
        <is>
          <t>Ⅰ ニーズ調査</t>
        </is>
      </c>
      <c r="C14" s="6" t="inlineStr">
        <is>
          <t>Ⅰ-1 調査設計</t>
        </is>
      </c>
      <c r="D14" s="7" t="inlineStr">
        <is>
          <t>調査票の設計（在宅介護実態調査）</t>
        </is>
      </c>
      <c r="E14" s="4" t="inlineStr">
        <is>
          <t>仕様書4Ⅰ(2)</t>
        </is>
      </c>
      <c r="F14" s="4" t="inlineStr">
        <is>
          <t>受託者</t>
        </is>
      </c>
      <c r="G14" s="7" t="inlineStr">
        <is>
          <t>調査票案</t>
        </is>
      </c>
      <c r="H14" s="7" t="inlineStr">
        <is>
          <t>調査手法の決定が前提</t>
        </is>
      </c>
      <c r="I14" s="4" t="inlineStr">
        <is>
          <t>R8.9上</t>
        </is>
      </c>
      <c r="J14" s="8" t="n"/>
      <c r="K14" s="8" t="n"/>
      <c r="L14" s="8" t="n">
        <v>46269</v>
      </c>
      <c r="M14" s="8" t="n">
        <v>46274</v>
      </c>
      <c r="N14" s="9" t="n">
        <v>1</v>
      </c>
      <c r="O14" s="10" t="inlineStr">
        <is>
          <t>完了</t>
        </is>
      </c>
      <c r="P14" s="7" t="inlineStr">
        <is>
          <t>★第1稿を受領し手法Ⅲ標準様式との突合を完了（doc23）。要修正：標準の問13「訪問診療」が削除され問13が欠番、前回指摘2件（介護療養型医療施設の削除・傷病の選択肢13/14の入替）が未反映、基準月が空欄。村独自の問0・問6-1は番号体系を壊さない適切な設計。★9/4：第2稿で介護療養型医療施設の削除・傷病の選択肢13/14・基準月（問8）・訪問診療の復活がすべて反映。ただし訪問診療の番号が問12となり問12が重複・問13が欠番、問9の基準月が未修正、B票の案内文1行が削除された（doc27§3・§5-3）。★9/14：0909校正版（doc34）を確認。問12の重複・問13の欠番と問9の基準月は解消。傷病に「なし」「わからない」が追加され疾病数が算出可能に。サービスは12→9に整理（夜間対応型・定期巡回・看多機を削除。実績0で妥当）。残る印刷前の修正は問7-1の参照先「問6」→「問7」、問10の記号K→H・L→I、A票問15の分岐の食い違い。★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t>
        </is>
      </c>
    </row>
    <row r="15" ht="30" customHeight="1">
      <c r="A15" s="4" t="inlineStr">
        <is>
          <t>Ⅰ-11</t>
        </is>
      </c>
      <c r="B15" s="6" t="inlineStr">
        <is>
          <t>Ⅰ ニーズ調査</t>
        </is>
      </c>
      <c r="C15" s="6" t="inlineStr">
        <is>
          <t>Ⅰ-1 調査設計</t>
        </is>
      </c>
      <c r="D15" s="7" t="inlineStr">
        <is>
          <t>令和7年8月版 標準様式との逐条突合</t>
        </is>
      </c>
      <c r="E15" s="4" t="inlineStr">
        <is>
          <t>手引き</t>
        </is>
      </c>
      <c r="F15" s="4" t="inlineStr">
        <is>
          <t>受託者</t>
        </is>
      </c>
      <c r="G15" s="7" t="inlineStr">
        <is>
          <t>突合ワークシート</t>
        </is>
      </c>
      <c r="H15" s="7" t="inlineStr">
        <is>
          <t>必須項目・オプション項目の充足確認</t>
        </is>
      </c>
      <c r="I15" s="4" t="inlineStr">
        <is>
          <t>R8.9上</t>
        </is>
      </c>
      <c r="J15" s="8" t="n"/>
      <c r="K15" s="8" t="n"/>
      <c r="L15" s="8" t="n">
        <v>46261</v>
      </c>
      <c r="M15" s="8" t="n">
        <v>46261</v>
      </c>
      <c r="N15" s="9" t="n">
        <v>1</v>
      </c>
      <c r="O15" s="10" t="inlineStr">
        <is>
          <t>完了</t>
        </is>
      </c>
      <c r="P15" s="7" t="inlineStr">
        <is>
          <t>122行・全行記入・要確認0件で完了（doc05／突合ワークシートCSV）。</t>
        </is>
      </c>
    </row>
    <row r="16" ht="30" customHeight="1">
      <c r="A16" s="4" t="inlineStr">
        <is>
          <t>Ⅰ-12</t>
        </is>
      </c>
      <c r="B16" s="6" t="inlineStr">
        <is>
          <t>Ⅰ ニーズ調査</t>
        </is>
      </c>
      <c r="C16" s="6" t="inlineStr">
        <is>
          <t>Ⅰ-1 調査設計</t>
        </is>
      </c>
      <c r="D16" s="7" t="inlineStr">
        <is>
          <t>オプション項目の採否決定</t>
        </is>
      </c>
      <c r="E16" s="4" t="inlineStr">
        <is>
          <t>仕様書4Ⅰ(2)</t>
        </is>
      </c>
      <c r="F16" s="4" t="inlineStr">
        <is>
          <t>双方</t>
        </is>
      </c>
      <c r="G16" s="7" t="inlineStr">
        <is>
          <t>採否一覧</t>
        </is>
      </c>
      <c r="H16" s="7" t="inlineStr">
        <is>
          <t>「問6 就労について」の採否を含む</t>
        </is>
      </c>
      <c r="I16" s="4" t="inlineStr">
        <is>
          <t>R8.9上</t>
        </is>
      </c>
      <c r="J16" s="8" t="n"/>
      <c r="K16" s="8" t="n"/>
      <c r="L16" s="8" t="n">
        <v>46261</v>
      </c>
      <c r="M16" s="8" t="n">
        <v>46274</v>
      </c>
      <c r="N16" s="9" t="n">
        <v>1</v>
      </c>
      <c r="O16" s="10" t="inlineStr">
        <is>
          <t>完了</t>
        </is>
      </c>
      <c r="P16" s="7" t="inlineStr">
        <is>
          <t>★第1稿はオプション項目をほぼ全採用。不採用は問7(7)「この1か月間に会った友人・知人の人数」の1問のみだが、番号を繰り上げているため見える化への入力時に対応が崩れる。ICF分析の参加軸に使えるため採用を推奨（doc23§1-2）。★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t>
        </is>
      </c>
    </row>
    <row r="17" ht="30" customHeight="1">
      <c r="A17" s="4" t="inlineStr">
        <is>
          <t>Ⅰ-13</t>
        </is>
      </c>
      <c r="B17" s="6" t="inlineStr">
        <is>
          <t>Ⅰ ニーズ調査</t>
        </is>
      </c>
      <c r="C17" s="6" t="inlineStr">
        <is>
          <t>Ⅰ-1 調査設計</t>
        </is>
      </c>
      <c r="D17" s="7" t="inlineStr">
        <is>
          <t>村独自設問の設定</t>
        </is>
      </c>
      <c r="E17" s="4" t="inlineStr">
        <is>
          <t>仕様書4Ⅰ(2)</t>
        </is>
      </c>
      <c r="F17" s="4" t="inlineStr">
        <is>
          <t>双方</t>
        </is>
      </c>
      <c r="G17" s="7" t="inlineStr">
        <is>
          <t>設問一覧</t>
        </is>
      </c>
      <c r="H17" s="7" t="inlineStr">
        <is>
          <t>除雪・在宅医療・成年後見・歯科受診・服薬ほか</t>
        </is>
      </c>
      <c r="I17" s="4" t="inlineStr">
        <is>
          <t>R8.9上</t>
        </is>
      </c>
      <c r="J17" s="8" t="n"/>
      <c r="K17" s="8" t="n"/>
      <c r="L17" s="8" t="n">
        <v>46267</v>
      </c>
      <c r="M17" s="8" t="n">
        <v>46274</v>
      </c>
      <c r="N17" s="9" t="n">
        <v>1</v>
      </c>
      <c r="O17" s="10" t="inlineStr">
        <is>
          <t>完了</t>
        </is>
      </c>
      <c r="P17" s="7" t="inlineStr">
        <is>
          <t>★第1稿に村独自14問（ニーズ調査）を確認し、1問ずつ採否を判定（doc23§4）。削除提案は問3(10)「1日に何回食事をとりますか」の1問のみで、他13問は施策・交付金の指標と結びつくため残置を推奨。問7(9)の自由記入3欄は入力コストのため簡素化を提案。在宅調査の問0・問6-1は適切。★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t>
        </is>
      </c>
    </row>
    <row r="18" ht="30" customHeight="1">
      <c r="A18" s="4" t="inlineStr">
        <is>
          <t>Ⅰ-14</t>
        </is>
      </c>
      <c r="B18" s="6" t="inlineStr">
        <is>
          <t>Ⅰ ニーズ調査</t>
        </is>
      </c>
      <c r="C18" s="6" t="inlineStr">
        <is>
          <t>Ⅰ-1 調査設計</t>
        </is>
      </c>
      <c r="D18" s="7" t="inlineStr">
        <is>
          <t>依頼状（表紙）の作成</t>
        </is>
      </c>
      <c r="E18" s="4" t="inlineStr">
        <is>
          <t>仕様書4Ⅰ(2)</t>
        </is>
      </c>
      <c r="F18" s="4" t="inlineStr">
        <is>
          <t>受託者</t>
        </is>
      </c>
      <c r="G18" s="7" t="inlineStr">
        <is>
          <t>依頼状</t>
        </is>
      </c>
      <c r="H18" s="7" t="inlineStr">
        <is>
          <t>村長名・担当課・問合せ先・基準日・回答期限</t>
        </is>
      </c>
      <c r="I18" s="4" t="inlineStr">
        <is>
          <t>R8.9上</t>
        </is>
      </c>
      <c r="J18" s="8" t="n"/>
      <c r="K18" s="8" t="n"/>
      <c r="L18" s="8" t="n">
        <v>46274</v>
      </c>
      <c r="M18" s="8" t="n">
        <v>46274</v>
      </c>
      <c r="N18" s="9" t="n">
        <v>1</v>
      </c>
      <c r="O18" s="10" t="inlineStr">
        <is>
          <t>完了</t>
        </is>
      </c>
      <c r="P18" s="7" t="inlineStr">
        <is>
          <t>★10/10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実績開始日の記録がないため完了日と同じ日を置いた。実際の開始日は置き直す。</t>
        </is>
      </c>
    </row>
    <row r="19" ht="30" customHeight="1">
      <c r="A19" s="4" t="inlineStr">
        <is>
          <t>Ⅰ-15</t>
        </is>
      </c>
      <c r="B19" s="6" t="inlineStr">
        <is>
          <t>Ⅰ ニーズ調査</t>
        </is>
      </c>
      <c r="C19" s="6" t="inlineStr">
        <is>
          <t>Ⅰ-1 調査設計</t>
        </is>
      </c>
      <c r="D19" s="7" t="inlineStr">
        <is>
          <t>調査票の村協議・確定</t>
        </is>
      </c>
      <c r="E19" s="4" t="inlineStr">
        <is>
          <t>仕様書4Ⅰ(2)</t>
        </is>
      </c>
      <c r="F19" s="4" t="inlineStr">
        <is>
          <t>双方</t>
        </is>
      </c>
      <c r="G19" s="7" t="inlineStr">
        <is>
          <t>確定版調査票</t>
        </is>
      </c>
      <c r="H19" s="7" t="inlineStr">
        <is>
          <t>以降の全工程の起点</t>
        </is>
      </c>
      <c r="I19" s="4" t="inlineStr">
        <is>
          <t>R8.9上</t>
        </is>
      </c>
      <c r="J19" s="8" t="n"/>
      <c r="K19" s="8" t="n"/>
      <c r="L19" s="8" t="n">
        <v>46269</v>
      </c>
      <c r="M19" s="8" t="n">
        <v>46274</v>
      </c>
      <c r="N19" s="9" t="n">
        <v>1</v>
      </c>
      <c r="O19" s="10" t="inlineStr">
        <is>
          <t>完了</t>
        </is>
      </c>
      <c r="P19" s="7" t="inlineStr">
        <is>
          <t>★議事録により9/3に第1稿提出、9/9頃に最終校了と確定。未決事項（手法・オプション項目・独自設問・依頼状名義・部数）は選択肢併記で提出する。★9/4：第2稿を受領しレビュー完了（doc27）。校了までの修正リスト11件を優先度付きで整理。必須3件（在宅の問13の番号・問9の基準月・ニーズ問1(2)①の選択肢順序）。★9/14：校了版の校正紙と対象者リスト・返信用封筒の版下を受領（doc34）。印刷前に決着が必要な事項6件を整理し依頼書に追加。返信用封筒の差出有効期間が回収期限と同日（2026年10月16日）で、期限翌日以降の投函が届かないため延長を要請。回収期限は手書きで10月16日（金）に確定。対象者はニーズ882人・在宅118人（在宅は想定150人を32人下回る）。★9/16：発送予定日（9/18）まで2日。印刷前に決着が必要な6件はいずれも未回答であり、本業務で現時点の最大のリスクである。とくに問4(15)(16)の削除は、見える化システムのR09（社会的役割の低下）が算出できなくなり、R99が10領域→9領域となって第9期との比較が成立しなくなる。印刷後は取り返しがつかない。返信用封筒の差出有効期間（2026年10月16日）も回収期限と同日で、期限翌日以降の投函が届かない。村へ至急の判断を要請している（確認事項 優先度S）。★10/10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t>
        </is>
      </c>
    </row>
    <row r="20" ht="30" customHeight="1">
      <c r="A20" s="4" t="inlineStr">
        <is>
          <t>Ⅰ-16</t>
        </is>
      </c>
      <c r="B20" s="6" t="inlineStr">
        <is>
          <t>Ⅰ ニーズ調査</t>
        </is>
      </c>
      <c r="C20" s="6" t="inlineStr">
        <is>
          <t>Ⅰ-1 調査設計</t>
        </is>
      </c>
      <c r="D20" s="7" t="inlineStr">
        <is>
          <t>ウェブ回答フォームの作成</t>
        </is>
      </c>
      <c r="E20" s="4" t="inlineStr">
        <is>
          <t>仕様書4Ⅰ(2)</t>
        </is>
      </c>
      <c r="F20" s="4" t="inlineStr">
        <is>
          <t>受託者</t>
        </is>
      </c>
      <c r="G20" s="7" t="inlineStr">
        <is>
          <t>ウェブフォーム</t>
        </is>
      </c>
      <c r="H20" s="7" t="inlineStr">
        <is>
          <t>通信の暗号化・公開期間の設定</t>
        </is>
      </c>
      <c r="I20" s="4" t="inlineStr">
        <is>
          <t>R8.9上</t>
        </is>
      </c>
      <c r="J20" s="8" t="n"/>
      <c r="K20" s="8" t="n"/>
      <c r="L20" s="8" t="n">
        <v>46267</v>
      </c>
      <c r="M20" s="8" t="n">
        <v>46283</v>
      </c>
      <c r="N20" s="9" t="n">
        <v>1</v>
      </c>
      <c r="O20" s="10" t="inlineStr">
        <is>
          <t>完了</t>
        </is>
      </c>
      <c r="P20" s="7" t="inlineStr">
        <is>
          <t>★QRコード併用は議事録で決着。実装方法（Googleフォームの可否）が未決着で、不可の場合は代替の構築期間が必要となり9/9校了に影響する（doc22 A-2）。★10/10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ウェブ回答フォームは、二次元コードを印字した調査票が発送された以上、公開されていなければ回答できないため完了とした。稼働確認の記録の有無を確かめる。</t>
        </is>
      </c>
    </row>
    <row r="21" ht="30" customHeight="1">
      <c r="A21" s="4" t="inlineStr">
        <is>
          <t>Ⅰ-17</t>
        </is>
      </c>
      <c r="B21" s="6" t="inlineStr">
        <is>
          <t>Ⅰ ニーズ調査</t>
        </is>
      </c>
      <c r="C21" s="6" t="inlineStr">
        <is>
          <t>Ⅰ-1 調査設計</t>
        </is>
      </c>
      <c r="D21" s="7" t="inlineStr">
        <is>
          <t>二次元コードの作成・調査票／依頼状への印字</t>
        </is>
      </c>
      <c r="E21" s="4" t="inlineStr">
        <is>
          <t>仕様書4Ⅰ(2)</t>
        </is>
      </c>
      <c r="F21" s="4" t="inlineStr">
        <is>
          <t>受託者</t>
        </is>
      </c>
      <c r="G21" s="7" t="inlineStr">
        <is>
          <t>二次元コード</t>
        </is>
      </c>
      <c r="H21" s="7" t="inlineStr">
        <is>
          <t>URLの確定が前提</t>
        </is>
      </c>
      <c r="I21" s="4" t="inlineStr">
        <is>
          <t>R8.9上</t>
        </is>
      </c>
      <c r="J21" s="8" t="n"/>
      <c r="K21" s="8" t="n"/>
      <c r="L21" s="8" t="n">
        <v>46274</v>
      </c>
      <c r="M21" s="8" t="n">
        <v>46274</v>
      </c>
      <c r="N21" s="9" t="n">
        <v>1</v>
      </c>
      <c r="O21" s="10" t="inlineStr">
        <is>
          <t>完了</t>
        </is>
      </c>
      <c r="P21" s="7" t="inlineStr">
        <is>
          <t>★10/10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実績開始日の記録がないため完了日と同じ日を置いた。実際の開始日は置き直す。</t>
        </is>
      </c>
    </row>
    <row r="22" ht="30" customHeight="1">
      <c r="A22" s="4" t="inlineStr">
        <is>
          <t>Ⅰ-18</t>
        </is>
      </c>
      <c r="B22" s="6" t="inlineStr">
        <is>
          <t>Ⅰ ニーズ調査</t>
        </is>
      </c>
      <c r="C22" s="6" t="inlineStr">
        <is>
          <t>Ⅰ-1 調査設計</t>
        </is>
      </c>
      <c r="D22" s="7" t="inlineStr">
        <is>
          <t>重複回答の管理方法の設計（管理番号）</t>
        </is>
      </c>
      <c r="E22" s="4" t="inlineStr">
        <is>
          <t>仕様書4Ⅰ(2)</t>
        </is>
      </c>
      <c r="F22" s="4" t="inlineStr">
        <is>
          <t>受託者</t>
        </is>
      </c>
      <c r="G22" s="7" t="inlineStr">
        <is>
          <t>管理番号設計書</t>
        </is>
      </c>
      <c r="H22" s="7" t="inlineStr">
        <is>
          <t>紙・ウェブの重複を排除</t>
        </is>
      </c>
      <c r="I22" s="4" t="inlineStr">
        <is>
          <t>R8.9上</t>
        </is>
      </c>
      <c r="J22" s="8" t="n"/>
      <c r="K22" s="8" t="n"/>
      <c r="L22" s="8" t="n">
        <v>46261</v>
      </c>
      <c r="M22" s="8" t="n">
        <v>46274</v>
      </c>
      <c r="N22" s="9" t="n">
        <v>1</v>
      </c>
      <c r="O22" s="10" t="inlineStr">
        <is>
          <t>完了</t>
        </is>
      </c>
      <c r="P22" s="7" t="inlineStr">
        <is>
          <t>★議事録で方針決着。氏名は記載せず管理番号を付与し被保険者番号と紐付ける。具体的な番号形式は村のラベル作成仕様と一体で要調整。★10/10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t>
        </is>
      </c>
    </row>
    <row r="23" ht="30" customHeight="1">
      <c r="A23" s="11" t="inlineStr">
        <is>
          <t>Ⅰ-101</t>
        </is>
      </c>
      <c r="B23" s="12" t="inlineStr">
        <is>
          <t>Ⅰ ニーズ調査</t>
        </is>
      </c>
      <c r="C23" s="12" t="inlineStr">
        <is>
          <t>Ⅰ-1 調査設計</t>
        </is>
      </c>
      <c r="D23" s="13" t="inlineStr">
        <is>
          <t>ウェブ回答フォームの公開・稼働確認・受付停止</t>
        </is>
      </c>
      <c r="E23" s="11" t="inlineStr">
        <is>
          <t>仕様書4Ⅰ(2)</t>
        </is>
      </c>
      <c r="F23" s="11" t="inlineStr">
        <is>
          <t>受託者</t>
        </is>
      </c>
      <c r="G23" s="13" t="inlineStr">
        <is>
          <t>稼働確認記録</t>
        </is>
      </c>
      <c r="H23" s="13" t="inlineStr">
        <is>
          <t>二次元コードの印字前に実機で回答→保存まで通す。回収期限の到来で受付を停止し、以後の紙回答との重複を断つ</t>
        </is>
      </c>
      <c r="I23" s="11" t="inlineStr">
        <is>
          <t>R8.9中〜10下</t>
        </is>
      </c>
      <c r="J23" s="14" t="n"/>
      <c r="K23" s="14" t="n"/>
      <c r="L23" s="14" t="n">
        <v>46283</v>
      </c>
      <c r="M23" s="14" t="n"/>
      <c r="N23" s="15" t="n">
        <v>0.7</v>
      </c>
      <c r="O23" s="16" t="inlineStr">
        <is>
          <t>着手</t>
        </is>
      </c>
      <c r="P23" s="13" t="inlineStr">
        <is>
          <t>★仕様書Ⅰ(2)は「作成し」としか書いていないが、紙とウェブの併用を成り立たせるには公開・稼働確認・受付停止が要る。二次元コードの印字前に実機で回答→保存まで通す必要があり、印刷の校了（Ⅰ-102）と同時期の律速。Webフォームの実装方法が未決のため着手できていない。★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公開と稼働は発送により確認できる。受付停止は回収期限（令和8年10月16日）の後に行う。</t>
        </is>
      </c>
    </row>
    <row r="24" ht="30" customHeight="1">
      <c r="A24" s="4" t="inlineStr">
        <is>
          <t>Ⅰ-19</t>
        </is>
      </c>
      <c r="B24" s="6" t="inlineStr">
        <is>
          <t>Ⅰ ニーズ調査</t>
        </is>
      </c>
      <c r="C24" s="6" t="inlineStr">
        <is>
          <t>Ⅰ-1 調査設計</t>
        </is>
      </c>
      <c r="D24" s="7" t="inlineStr">
        <is>
          <t>被保険者番号と照合可能な管理番号の設計</t>
        </is>
      </c>
      <c r="E24" s="4" t="inlineStr">
        <is>
          <t>手引き</t>
        </is>
      </c>
      <c r="F24" s="4" t="inlineStr">
        <is>
          <t>双方</t>
        </is>
      </c>
      <c r="G24" s="7" t="inlineStr">
        <is>
          <t>管理番号設計書</t>
        </is>
      </c>
      <c r="H24" s="7" t="inlineStr">
        <is>
          <t>第10期の新規要件。村のラベル作成仕様と一体</t>
        </is>
      </c>
      <c r="I24" s="4" t="inlineStr">
        <is>
          <t>R8.9上</t>
        </is>
      </c>
      <c r="J24" s="8" t="n"/>
      <c r="K24" s="8" t="n"/>
      <c r="L24" s="8" t="n">
        <v>46261</v>
      </c>
      <c r="M24" s="8" t="n">
        <v>46274</v>
      </c>
      <c r="N24" s="9" t="n">
        <v>1</v>
      </c>
      <c r="O24" s="10" t="inlineStr">
        <is>
          <t>完了</t>
        </is>
      </c>
      <c r="P24" s="7" t="inlineStr">
        <is>
          <t>★議事録で方針決着（同上）。見える化システムへの登録を見据えた設計とする。★10/10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t>
        </is>
      </c>
    </row>
    <row r="25" ht="30" customHeight="1">
      <c r="A25" s="4" t="inlineStr">
        <is>
          <t>Ⅰ-20</t>
        </is>
      </c>
      <c r="B25" s="6" t="inlineStr">
        <is>
          <t>Ⅰ ニーズ調査</t>
        </is>
      </c>
      <c r="C25" s="6" t="inlineStr">
        <is>
          <t>Ⅰ-2 印刷・発送準備</t>
        </is>
      </c>
      <c r="D25" s="7" t="inlineStr">
        <is>
          <t>入稿データの作成</t>
        </is>
      </c>
      <c r="E25" s="4" t="inlineStr">
        <is>
          <t>仕様書4Ⅰ(3)</t>
        </is>
      </c>
      <c r="F25" s="4" t="inlineStr">
        <is>
          <t>受託者</t>
        </is>
      </c>
      <c r="G25" s="7" t="inlineStr">
        <is>
          <t>入稿データ</t>
        </is>
      </c>
      <c r="H25" s="7" t="inlineStr">
        <is>
          <t>調査票の確定が前提</t>
        </is>
      </c>
      <c r="I25" s="4" t="inlineStr">
        <is>
          <t>R8.9中</t>
        </is>
      </c>
      <c r="J25" s="8" t="n"/>
      <c r="K25" s="8" t="n"/>
      <c r="L25" s="8" t="n">
        <v>46279</v>
      </c>
      <c r="M25" s="8" t="n">
        <v>46283</v>
      </c>
      <c r="N25" s="9" t="n">
        <v>1</v>
      </c>
      <c r="O25" s="10" t="inlineStr">
        <is>
          <t>完了</t>
        </is>
      </c>
      <c r="P25" s="7" t="inlineStr">
        <is>
          <t>★9/9頃の校了・印刷依頼が目標（議事録）。9/3の第1稿提出→修正・確認を経て確定する。★10/10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t>
        </is>
      </c>
    </row>
    <row r="26" ht="30" customHeight="1">
      <c r="A26" s="4" t="inlineStr">
        <is>
          <t>Ⅰ-102</t>
        </is>
      </c>
      <c r="B26" s="6" t="inlineStr">
        <is>
          <t>Ⅰ ニーズ調査</t>
        </is>
      </c>
      <c r="C26" s="6" t="inlineStr">
        <is>
          <t>Ⅰ-2 印刷・発送準備</t>
        </is>
      </c>
      <c r="D26" s="7" t="inlineStr">
        <is>
          <t>印刷の校正・校了</t>
        </is>
      </c>
      <c r="E26" s="4" t="inlineStr">
        <is>
          <t>仕様書4Ⅰ(3)</t>
        </is>
      </c>
      <c r="F26" s="4" t="inlineStr">
        <is>
          <t>双方</t>
        </is>
      </c>
      <c r="G26" s="7" t="inlineStr">
        <is>
          <t>校正紙・校了の記録</t>
        </is>
      </c>
      <c r="H26" s="7" t="inlineStr">
        <is>
          <t>仕様書(3)の「印刷」には校了の判断が含まれる。印刷後は取り返しがつかない</t>
        </is>
      </c>
      <c r="I26" s="4" t="inlineStr">
        <is>
          <t>R8.9中</t>
        </is>
      </c>
      <c r="J26" s="8" t="n"/>
      <c r="K26" s="8" t="n"/>
      <c r="L26" s="8" t="n">
        <v>46274</v>
      </c>
      <c r="M26" s="8" t="n">
        <v>46274</v>
      </c>
      <c r="N26" s="9" t="n">
        <v>1</v>
      </c>
      <c r="O26" s="10" t="inlineStr">
        <is>
          <t>完了</t>
        </is>
      </c>
      <c r="P26" s="7" t="inlineStr">
        <is>
          <t>★0909校正版の校正紙を受領し、印刷前に決着が必要な6件を整理した（doc34）。9/16時点で6件とも未回答で、本業務で現時点の最大のリスク。とくに問4(15)(16)の削除はR09（社会的役割の低下）が算出できなくなり、R99が10領域→9領域となって第9期との比較が成立しない。返信用封筒の差出有効期間が回収期限と同日である点も未決。★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t>
        </is>
      </c>
    </row>
    <row r="27" ht="30" customHeight="1">
      <c r="A27" s="4" t="inlineStr">
        <is>
          <t>Ⅰ-103</t>
        </is>
      </c>
      <c r="B27" s="6" t="inlineStr">
        <is>
          <t>Ⅰ ニーズ調査</t>
        </is>
      </c>
      <c r="C27" s="6" t="inlineStr">
        <is>
          <t>Ⅰ-2 印刷・発送準備</t>
        </is>
      </c>
      <c r="D27" s="7" t="inlineStr">
        <is>
          <t>印刷部数の確定（予備を含む）</t>
        </is>
      </c>
      <c r="E27" s="4" t="inlineStr">
        <is>
          <t>仕様書4Ⅰ(3)</t>
        </is>
      </c>
      <c r="F27" s="4" t="inlineStr">
        <is>
          <t>双方</t>
        </is>
      </c>
      <c r="G27" s="7" t="inlineStr">
        <is>
          <t>部数内訳</t>
        </is>
      </c>
      <c r="H27" s="7" t="inlineStr">
        <is>
          <t>対象者はニーズ882人・在宅118人。仕様書の「約850人／約150人」との差を部数に反映</t>
        </is>
      </c>
      <c r="I27" s="4" t="inlineStr">
        <is>
          <t>R8.9中</t>
        </is>
      </c>
      <c r="J27" s="8" t="n"/>
      <c r="K27" s="8" t="n"/>
      <c r="L27" s="8" t="n">
        <v>46279</v>
      </c>
      <c r="M27" s="8" t="n">
        <v>46283</v>
      </c>
      <c r="N27" s="9" t="n">
        <v>1</v>
      </c>
      <c r="O27" s="10" t="inlineStr">
        <is>
          <t>完了</t>
        </is>
      </c>
      <c r="P27" s="7" t="inlineStr">
        <is>
          <t>★対象者リストによりニーズ882人・在宅118人と判明。★9/24：村の回答により在宅118人で決着（仕様書の「約150人」との差異は解消）。残るのは予備を含めた部数の確定と、回収70〜80件を前提とした集計設計（要介護度3区分を2区分に束ねるか）の判断。★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t>
        </is>
      </c>
    </row>
    <row r="28" ht="30" customHeight="1">
      <c r="A28" s="4" t="inlineStr">
        <is>
          <t>Ⅰ-21</t>
        </is>
      </c>
      <c r="B28" s="6" t="inlineStr">
        <is>
          <t>Ⅰ ニーズ調査</t>
        </is>
      </c>
      <c r="C28" s="6" t="inlineStr">
        <is>
          <t>Ⅰ-2 印刷・発送準備</t>
        </is>
      </c>
      <c r="D28" s="7" t="inlineStr">
        <is>
          <t>調査票の印刷（ニーズ調査 A4約12頁・黒1色）</t>
        </is>
      </c>
      <c r="E28" s="4" t="inlineStr">
        <is>
          <t>仕様書4Ⅰ(3)</t>
        </is>
      </c>
      <c r="F28" s="4" t="inlineStr">
        <is>
          <t>受託者</t>
        </is>
      </c>
      <c r="G28" s="7" t="inlineStr">
        <is>
          <t>印刷物 約850部</t>
        </is>
      </c>
      <c r="H28" s="7" t="inlineStr">
        <is>
          <t>頁数は村と要協議</t>
        </is>
      </c>
      <c r="I28" s="4" t="inlineStr">
        <is>
          <t>R8.9中</t>
        </is>
      </c>
      <c r="J28" s="8" t="n"/>
      <c r="K28" s="8" t="n"/>
      <c r="L28" s="8" t="n">
        <v>46283</v>
      </c>
      <c r="M28" s="8" t="n">
        <v>46283</v>
      </c>
      <c r="N28" s="9" t="n">
        <v>1</v>
      </c>
      <c r="O28" s="10" t="inlineStr">
        <is>
          <t>完了</t>
        </is>
      </c>
      <c r="P28" s="7" t="inlineStr">
        <is>
          <t>★10/10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実績開始日の記録がないため完了日と同じ日を置いた。実際の開始日は置き直す。</t>
        </is>
      </c>
    </row>
    <row r="29" ht="30" customHeight="1">
      <c r="A29" s="4" t="inlineStr">
        <is>
          <t>Ⅰ-22</t>
        </is>
      </c>
      <c r="B29" s="6" t="inlineStr">
        <is>
          <t>Ⅰ ニーズ調査</t>
        </is>
      </c>
      <c r="C29" s="6" t="inlineStr">
        <is>
          <t>Ⅰ-2 印刷・発送準備</t>
        </is>
      </c>
      <c r="D29" s="7" t="inlineStr">
        <is>
          <t>調査票の印刷（在宅調査 A4約8頁・黒1色）</t>
        </is>
      </c>
      <c r="E29" s="4" t="inlineStr">
        <is>
          <t>仕様書4Ⅰ(3)</t>
        </is>
      </c>
      <c r="F29" s="4" t="inlineStr">
        <is>
          <t>受託者</t>
        </is>
      </c>
      <c r="G29" s="7" t="inlineStr">
        <is>
          <t>印刷物 約150部</t>
        </is>
      </c>
      <c r="H29" s="7" t="inlineStr"/>
      <c r="I29" s="4" t="inlineStr">
        <is>
          <t>R8.9中</t>
        </is>
      </c>
      <c r="J29" s="8" t="n"/>
      <c r="K29" s="8" t="n"/>
      <c r="L29" s="8" t="n">
        <v>46283</v>
      </c>
      <c r="M29" s="8" t="n">
        <v>46283</v>
      </c>
      <c r="N29" s="9" t="n">
        <v>1</v>
      </c>
      <c r="O29" s="10" t="inlineStr">
        <is>
          <t>完了</t>
        </is>
      </c>
      <c r="P29" s="7" t="inlineStr">
        <is>
          <t>★10/10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実績開始日の記録がないため完了日と同じ日を置いた。実際の開始日は置き直す。</t>
        </is>
      </c>
    </row>
    <row r="30" ht="30" customHeight="1">
      <c r="A30" s="4" t="inlineStr">
        <is>
          <t>Ⅰ-23</t>
        </is>
      </c>
      <c r="B30" s="6" t="inlineStr">
        <is>
          <t>Ⅰ ニーズ調査</t>
        </is>
      </c>
      <c r="C30" s="6" t="inlineStr">
        <is>
          <t>Ⅰ-2 印刷・発送準備</t>
        </is>
      </c>
      <c r="D30" s="7" t="inlineStr">
        <is>
          <t>返信用封筒の印刷</t>
        </is>
      </c>
      <c r="E30" s="4" t="inlineStr">
        <is>
          <t>仕様書4Ⅰ(3)</t>
        </is>
      </c>
      <c r="F30" s="4" t="inlineStr">
        <is>
          <t>受託者</t>
        </is>
      </c>
      <c r="G30" s="7" t="inlineStr">
        <is>
          <t>返信用封筒</t>
        </is>
      </c>
      <c r="H30" s="7" t="inlineStr"/>
      <c r="I30" s="4" t="inlineStr">
        <is>
          <t>R8.9中</t>
        </is>
      </c>
      <c r="J30" s="8" t="n"/>
      <c r="K30" s="8" t="n"/>
      <c r="L30" s="8" t="n">
        <v>46274</v>
      </c>
      <c r="M30" s="8" t="n">
        <v>46283</v>
      </c>
      <c r="N30" s="9" t="n">
        <v>1</v>
      </c>
      <c r="O30" s="10" t="inlineStr">
        <is>
          <t>完了</t>
        </is>
      </c>
      <c r="P30" s="7" t="inlineStr">
        <is>
          <t>★版下を受領済（doc34）。★9/24：配布用封筒は村が用意し費用は村側で請求処理することが決着したため、受託者が印刷するのは返信用（回収用）のみで確定（仕様書4Ⅰ(3)の「封筒（配布用・回収用）」との差異は解消）。差出有効期間が回収期限と同日（2026年10月16日）である点は未決で、期限翌日以降に投函された回答が届かない。★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t>
        </is>
      </c>
    </row>
    <row r="31" ht="30" customHeight="1">
      <c r="A31" s="4" t="inlineStr">
        <is>
          <t>Ⅰ-24</t>
        </is>
      </c>
      <c r="B31" s="6" t="inlineStr">
        <is>
          <t>Ⅰ ニーズ調査</t>
        </is>
      </c>
      <c r="C31" s="6" t="inlineStr">
        <is>
          <t>Ⅰ-2 印刷・発送準備</t>
        </is>
      </c>
      <c r="D31" s="7" t="inlineStr">
        <is>
          <t>調査対象者の抽出</t>
        </is>
      </c>
      <c r="E31" s="4" t="inlineStr">
        <is>
          <t>仕様書4Ⅰ(1)</t>
        </is>
      </c>
      <c r="F31" s="4" t="inlineStr">
        <is>
          <t>北塩原村</t>
        </is>
      </c>
      <c r="G31" s="7" t="inlineStr">
        <is>
          <t>対象者リスト</t>
        </is>
      </c>
      <c r="H31" s="7" t="inlineStr">
        <is>
          <t>ニーズ約850人／在宅約150人</t>
        </is>
      </c>
      <c r="I31" s="4" t="inlineStr">
        <is>
          <t>R8.9中</t>
        </is>
      </c>
      <c r="J31" s="8" t="n"/>
      <c r="K31" s="8" t="n"/>
      <c r="L31" s="8" t="n">
        <v>46266</v>
      </c>
      <c r="M31" s="8" t="n">
        <v>46293</v>
      </c>
      <c r="N31" s="9" t="n">
        <v>1</v>
      </c>
      <c r="O31" s="10" t="inlineStr">
        <is>
          <t>完了</t>
        </is>
      </c>
      <c r="P31" s="7" t="inlineStr">
        <is>
          <t>★村が抽出。2026/09/28に対象者名簿2件を受領した。ニーズ調査882人（リスト805＋引き抜き77）、在宅介護実態調査118人（リスト66＋引き抜き52）。個人情報を含むため原本はリポジトリに複製せず、属性の集計値のみを保存（doc16§5-2・§6に従い、年齢・性別・行政区・要介護度のみを読み、該当数10未満は伏せた）。</t>
        </is>
      </c>
    </row>
    <row r="32" ht="30" customHeight="1">
      <c r="A32" s="4" t="inlineStr">
        <is>
          <t>Ⅰ-25</t>
        </is>
      </c>
      <c r="B32" s="6" t="inlineStr">
        <is>
          <t>Ⅰ ニーズ調査</t>
        </is>
      </c>
      <c r="C32" s="6" t="inlineStr">
        <is>
          <t>Ⅰ-2 印刷・発送準備</t>
        </is>
      </c>
      <c r="D32" s="7" t="inlineStr">
        <is>
          <t>宛名ラベルシールの作成・提供</t>
        </is>
      </c>
      <c r="E32" s="4" t="inlineStr">
        <is>
          <t>仕様書4Ⅰ(1)</t>
        </is>
      </c>
      <c r="F32" s="4" t="inlineStr">
        <is>
          <t>北塩原村</t>
        </is>
      </c>
      <c r="G32" s="7" t="inlineStr">
        <is>
          <t>宛名ラベルシール</t>
        </is>
      </c>
      <c r="H32" s="7" t="inlineStr">
        <is>
          <t>被保険者番号との照合可能な形式</t>
        </is>
      </c>
      <c r="I32" s="4" t="inlineStr">
        <is>
          <t>R8.9中</t>
        </is>
      </c>
      <c r="J32" s="8" t="n"/>
      <c r="K32" s="8" t="n"/>
      <c r="L32" s="8" t="n">
        <v>46279</v>
      </c>
      <c r="M32" s="8" t="n">
        <v>46283</v>
      </c>
      <c r="N32" s="9" t="n">
        <v>1</v>
      </c>
      <c r="O32" s="10" t="inlineStr">
        <is>
          <t>完了</t>
        </is>
      </c>
      <c r="P32" s="7" t="inlineStr">
        <is>
          <t>★名簿の管理番号はニーズ調査が数字のみ、在宅介護実態調査が英字＋数字であることを確認した。調査票の印字見本がどちらも「1」であったことから形式の食い違いを疑い優先度Sで起票したが、印字見本は見本であり実物には名簿の形式のまま管理番号が入ることを村にご確認いただき解決した（doc43§2-4）。管理番号が欠損した場合は氏名でも突合できる。集計プログラムでは管理番号を数値ではなく文字列として扱う（在宅の英字＋数字が壊れるため）。★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t>
        </is>
      </c>
    </row>
    <row r="33" ht="30" customHeight="1">
      <c r="A33" s="4" t="inlineStr">
        <is>
          <t>Ⅰ-26</t>
        </is>
      </c>
      <c r="B33" s="6" t="inlineStr">
        <is>
          <t>Ⅰ ニーズ調査</t>
        </is>
      </c>
      <c r="C33" s="6" t="inlineStr">
        <is>
          <t>Ⅰ-2 印刷・発送準備</t>
        </is>
      </c>
      <c r="D33" s="7" t="inlineStr">
        <is>
          <t>配布用封筒の提供</t>
        </is>
      </c>
      <c r="E33" s="4" t="inlineStr">
        <is>
          <t>仕様書4Ⅰ(4)</t>
        </is>
      </c>
      <c r="F33" s="4" t="inlineStr">
        <is>
          <t>北塩原村</t>
        </is>
      </c>
      <c r="G33" s="7" t="inlineStr">
        <is>
          <t>配布用封筒</t>
        </is>
      </c>
      <c r="H33" s="7" t="inlineStr"/>
      <c r="I33" s="4" t="inlineStr">
        <is>
          <t>R8.9中</t>
        </is>
      </c>
      <c r="J33" s="8" t="n"/>
      <c r="K33" s="8" t="n"/>
      <c r="L33" s="8" t="n">
        <v>46266</v>
      </c>
      <c r="M33" s="8" t="n">
        <v>46283</v>
      </c>
      <c r="N33" s="9" t="n">
        <v>1</v>
      </c>
      <c r="O33" s="10" t="inlineStr">
        <is>
          <t>完了</t>
        </is>
      </c>
      <c r="P33" s="7" t="inlineStr">
        <is>
          <t>★キックオフ会議で村が用意すると決着。★9/24：費用は村側で請求処理することを確認。提供期限は9/14（9/11への前倒しを要請中）。★10/10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t>
        </is>
      </c>
    </row>
    <row r="34" ht="30" customHeight="1">
      <c r="A34" s="4" t="inlineStr">
        <is>
          <t>Ⅰ-27</t>
        </is>
      </c>
      <c r="B34" s="6" t="inlineStr">
        <is>
          <t>Ⅰ ニーズ調査</t>
        </is>
      </c>
      <c r="C34" s="6" t="inlineStr">
        <is>
          <t>Ⅰ-2 印刷・発送準備</t>
        </is>
      </c>
      <c r="D34" s="7" t="inlineStr">
        <is>
          <t>宛名ラベルの貼付</t>
        </is>
      </c>
      <c r="E34" s="4" t="inlineStr">
        <is>
          <t>仕様書4Ⅰ(4)</t>
        </is>
      </c>
      <c r="F34" s="4" t="inlineStr">
        <is>
          <t>受託者</t>
        </is>
      </c>
      <c r="G34" s="7" t="inlineStr">
        <is>
          <t>―</t>
        </is>
      </c>
      <c r="H34" s="7" t="inlineStr">
        <is>
          <t>村からの提供が前提</t>
        </is>
      </c>
      <c r="I34" s="4" t="inlineStr">
        <is>
          <t>R8.9中</t>
        </is>
      </c>
      <c r="J34" s="8" t="n"/>
      <c r="K34" s="8" t="n"/>
      <c r="L34" s="8" t="n">
        <v>46283</v>
      </c>
      <c r="M34" s="8" t="n">
        <v>46283</v>
      </c>
      <c r="N34" s="9" t="n">
        <v>1</v>
      </c>
      <c r="O34" s="10" t="inlineStr">
        <is>
          <t>完了</t>
        </is>
      </c>
      <c r="P34" s="7" t="inlineStr">
        <is>
          <t>★10/10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実績開始日の記録がないため完了日と同じ日を置いた。実際の開始日は置き直す。</t>
        </is>
      </c>
    </row>
    <row r="35" ht="30" customHeight="1">
      <c r="A35" s="4" t="inlineStr">
        <is>
          <t>Ⅰ-28</t>
        </is>
      </c>
      <c r="B35" s="6" t="inlineStr">
        <is>
          <t>Ⅰ ニーズ調査</t>
        </is>
      </c>
      <c r="C35" s="6" t="inlineStr">
        <is>
          <t>Ⅰ-2 印刷・発送準備</t>
        </is>
      </c>
      <c r="D35" s="7" t="inlineStr">
        <is>
          <t>封入・封緘</t>
        </is>
      </c>
      <c r="E35" s="4" t="inlineStr">
        <is>
          <t>仕様書4Ⅰ(4)</t>
        </is>
      </c>
      <c r="F35" s="4" t="inlineStr">
        <is>
          <t>受託者</t>
        </is>
      </c>
      <c r="G35" s="7" t="inlineStr">
        <is>
          <t>発送物</t>
        </is>
      </c>
      <c r="H35" s="7" t="inlineStr"/>
      <c r="I35" s="4" t="inlineStr">
        <is>
          <t>R8.9中</t>
        </is>
      </c>
      <c r="J35" s="8" t="n"/>
      <c r="K35" s="8" t="n"/>
      <c r="L35" s="8" t="n">
        <v>46283</v>
      </c>
      <c r="M35" s="8" t="n">
        <v>46283</v>
      </c>
      <c r="N35" s="9" t="n">
        <v>1</v>
      </c>
      <c r="O35" s="10" t="inlineStr">
        <is>
          <t>完了</t>
        </is>
      </c>
      <c r="P35" s="7" t="inlineStr">
        <is>
          <t>★10/10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実績開始日の記録がないため完了日と同じ日を置いた。実際の開始日は置き直す。</t>
        </is>
      </c>
    </row>
    <row r="36" ht="30" customHeight="1">
      <c r="A36" s="4" t="inlineStr">
        <is>
          <t>Ⅰ-29</t>
        </is>
      </c>
      <c r="B36" s="6" t="inlineStr">
        <is>
          <t>Ⅰ ニーズ調査</t>
        </is>
      </c>
      <c r="C36" s="6" t="inlineStr">
        <is>
          <t>Ⅰ-3 発送・回収</t>
        </is>
      </c>
      <c r="D36" s="7" t="inlineStr">
        <is>
          <t>発送（郵送費は受託者負担）</t>
        </is>
      </c>
      <c r="E36" s="4" t="inlineStr">
        <is>
          <t>仕様書4Ⅰ(4)</t>
        </is>
      </c>
      <c r="F36" s="4" t="inlineStr">
        <is>
          <t>受託者</t>
        </is>
      </c>
      <c r="G36" s="7" t="inlineStr">
        <is>
          <t>発送完了報告</t>
        </is>
      </c>
      <c r="H36" s="7" t="inlineStr">
        <is>
          <t>5連休（9/19〜9/23）の影響を考慮</t>
        </is>
      </c>
      <c r="I36" s="4" t="inlineStr">
        <is>
          <t>R8.9下</t>
        </is>
      </c>
      <c r="J36" s="8" t="n"/>
      <c r="K36" s="8" t="n"/>
      <c r="L36" s="8" t="n">
        <v>46283</v>
      </c>
      <c r="M36" s="8" t="n">
        <v>46283</v>
      </c>
      <c r="N36" s="9" t="n">
        <v>1</v>
      </c>
      <c r="O36" s="10" t="inlineStr">
        <is>
          <t>完了</t>
        </is>
      </c>
      <c r="P36" s="7" t="inlineStr">
        <is>
          <t>★10/10 村より「高齢者のアンケート発送は全て完了」とのご連絡をいただいた。発送が完了したということは、調査票・依頼状・封筒・宛名ラベル・管理番号がすべて確定して物として出ていったということであり、その前提の工程はいずれも完了している。実績完了日は校了日（令和8年9月9日・doc34）または議事録の発送日（令和8年9月18日）としており、実際の発送日は村にご教示いただいて置き直す。対象はニーズ調査882人・在宅介護実態調査118人である。9月18日は金曜で翌日から5連休（敬老の日・国民の休日・秋分の日）であったため、配達が連休明けにずれ込んだ可能性がある（doc22）。実績開始日の記録がないため完了日と同じ日を置いた。実際の開始日は置き直す。</t>
        </is>
      </c>
    </row>
    <row r="37" ht="30" customHeight="1">
      <c r="A37" s="11" t="inlineStr">
        <is>
          <t>Ⅰ-30</t>
        </is>
      </c>
      <c r="B37" s="12" t="inlineStr">
        <is>
          <t>Ⅰ ニーズ調査</t>
        </is>
      </c>
      <c r="C37" s="12" t="inlineStr">
        <is>
          <t>Ⅰ-3 発送・回収</t>
        </is>
      </c>
      <c r="D37" s="13" t="inlineStr">
        <is>
          <t>回収状況の管理</t>
        </is>
      </c>
      <c r="E37" s="11" t="inlineStr">
        <is>
          <t>仕様書4Ⅰ(4)</t>
        </is>
      </c>
      <c r="F37" s="11" t="inlineStr">
        <is>
          <t>双方</t>
        </is>
      </c>
      <c r="G37" s="13" t="inlineStr">
        <is>
          <t>回収状況表</t>
        </is>
      </c>
      <c r="H37" s="13" t="inlineStr">
        <is>
          <t>★議事録により、村で100件程度集まるごとに随時受託者へ小分け送付する運用と確定</t>
        </is>
      </c>
      <c r="I37" s="11" t="inlineStr">
        <is>
          <t>R8.9下〜10</t>
        </is>
      </c>
      <c r="J37" s="14" t="n"/>
      <c r="K37" s="14" t="n"/>
      <c r="L37" s="14" t="n">
        <v>46283</v>
      </c>
      <c r="M37" s="14" t="n"/>
      <c r="N37" s="15" t="n">
        <v>0.4</v>
      </c>
      <c r="O37" s="16" t="inlineStr">
        <is>
          <t>着手</t>
        </is>
      </c>
      <c r="P37" s="13" t="inlineStr">
        <is>
          <t>★小分け送付の運用に合わせ、村側の送付単位と受託者側の入力進捗を突き合わせる管理表が必要。★10/10 村より「今集計分析を行なっています」とのご連絡をいただき着手を確認した。実績開始日はご連絡をいただいた日としており、実際の着手日は置き直す。回収件数と回収率は村からのご連絡を待って記録する。</t>
        </is>
      </c>
    </row>
    <row r="38" ht="30" customHeight="1">
      <c r="A38" s="17" t="inlineStr">
        <is>
          <t>Ⅰ-31</t>
        </is>
      </c>
      <c r="B38" s="18" t="inlineStr">
        <is>
          <t>Ⅰ ニーズ調査</t>
        </is>
      </c>
      <c r="C38" s="18" t="inlineStr">
        <is>
          <t>Ⅰ-3 発送・回収</t>
        </is>
      </c>
      <c r="D38" s="19" t="inlineStr">
        <is>
          <t>督促（リマインド）の実施</t>
        </is>
      </c>
      <c r="E38" s="17" t="inlineStr">
        <is>
          <t>確認</t>
        </is>
      </c>
      <c r="F38" s="17" t="inlineStr">
        <is>
          <t>受託者</t>
        </is>
      </c>
      <c r="G38" s="19" t="inlineStr">
        <is>
          <t>督促文書</t>
        </is>
      </c>
      <c r="H38" s="19" t="inlineStr">
        <is>
          <t>第9期の在宅調査回収率45.8%を踏まえ実施要否を判断</t>
        </is>
      </c>
      <c r="I38" s="17" t="inlineStr">
        <is>
          <t>R8.10上</t>
        </is>
      </c>
      <c r="J38" s="20" t="n"/>
      <c r="K38" s="20" t="n"/>
      <c r="L38" s="20" t="n"/>
      <c r="M38" s="20" t="n"/>
      <c r="N38" s="21" t="n">
        <v>0</v>
      </c>
      <c r="O38" s="17" t="inlineStr">
        <is>
          <t>未着手</t>
        </is>
      </c>
      <c r="P38" s="19" t="inlineStr"/>
    </row>
    <row r="39" ht="30" customHeight="1">
      <c r="A39" s="11" t="inlineStr">
        <is>
          <t>Ⅰ-32</t>
        </is>
      </c>
      <c r="B39" s="12" t="inlineStr">
        <is>
          <t>Ⅰ ニーズ調査</t>
        </is>
      </c>
      <c r="C39" s="12" t="inlineStr">
        <is>
          <t>Ⅰ-3 発送・回収</t>
        </is>
      </c>
      <c r="D39" s="13" t="inlineStr">
        <is>
          <t>回収期限の管理・締切</t>
        </is>
      </c>
      <c r="E39" s="11" t="inlineStr">
        <is>
          <t>仕様書4Ⅰ(4)</t>
        </is>
      </c>
      <c r="F39" s="11" t="inlineStr">
        <is>
          <t>受託者</t>
        </is>
      </c>
      <c r="G39" s="13" t="inlineStr">
        <is>
          <t>―</t>
        </is>
      </c>
      <c r="H39" s="13" t="inlineStr"/>
      <c r="I39" s="11" t="inlineStr">
        <is>
          <t>R8.10</t>
        </is>
      </c>
      <c r="J39" s="14" t="n"/>
      <c r="K39" s="14" t="n"/>
      <c r="L39" s="14" t="n">
        <v>46283</v>
      </c>
      <c r="M39" s="14" t="n"/>
      <c r="N39" s="15" t="n">
        <v>0.5</v>
      </c>
      <c r="O39" s="16" t="inlineStr">
        <is>
          <t>着手</t>
        </is>
      </c>
      <c r="P39" s="13" t="inlineStr">
        <is>
          <t>★10/10 村より「今集計分析を行なっています」とのご連絡をいただき着手を確認した。実績開始日はご連絡をいただいた日としており、実際の着手日は置き直す。回収期限は令和8年10月16日（金）である。</t>
        </is>
      </c>
    </row>
    <row r="40" ht="30" customHeight="1">
      <c r="A40" s="11" t="inlineStr">
        <is>
          <t>Ⅰ-33</t>
        </is>
      </c>
      <c r="B40" s="12" t="inlineStr">
        <is>
          <t>Ⅰ ニーズ調査</t>
        </is>
      </c>
      <c r="C40" s="12" t="inlineStr">
        <is>
          <t>Ⅰ-3 発送・回収</t>
        </is>
      </c>
      <c r="D40" s="13" t="inlineStr">
        <is>
          <t>開封確認</t>
        </is>
      </c>
      <c r="E40" s="11" t="inlineStr">
        <is>
          <t>仕様書4Ⅰ(4)</t>
        </is>
      </c>
      <c r="F40" s="11" t="inlineStr">
        <is>
          <t>受託者</t>
        </is>
      </c>
      <c r="G40" s="13" t="inlineStr">
        <is>
          <t>―</t>
        </is>
      </c>
      <c r="H40" s="13" t="inlineStr"/>
      <c r="I40" s="11" t="inlineStr">
        <is>
          <t>R8.10</t>
        </is>
      </c>
      <c r="J40" s="14" t="n"/>
      <c r="K40" s="14" t="n"/>
      <c r="L40" s="14" t="n">
        <v>46305</v>
      </c>
      <c r="M40" s="14" t="n"/>
      <c r="N40" s="15" t="n">
        <v>0.4</v>
      </c>
      <c r="O40" s="16" t="inlineStr">
        <is>
          <t>着手</t>
        </is>
      </c>
      <c r="P40" s="13" t="inlineStr">
        <is>
          <t>★10/10 村より「今集計分析を行なっています」とのご連絡をいただき着手を確認した。実績開始日はご連絡をいただいた日としており、実際の着手日は置き直す。</t>
        </is>
      </c>
    </row>
    <row r="41" ht="30" customHeight="1">
      <c r="A41" s="11" t="inlineStr">
        <is>
          <t>Ⅰ-94</t>
        </is>
      </c>
      <c r="B41" s="12" t="inlineStr">
        <is>
          <t>Ⅰ ニーズ調査</t>
        </is>
      </c>
      <c r="C41" s="12" t="inlineStr">
        <is>
          <t>Ⅰ-3 発送・回収</t>
        </is>
      </c>
      <c r="D41" s="13" t="inlineStr">
        <is>
          <t>調査票の受渡し記録の作成・運用</t>
        </is>
      </c>
      <c r="E41" s="11" t="inlineStr">
        <is>
          <t>確認</t>
        </is>
      </c>
      <c r="F41" s="11" t="inlineStr">
        <is>
          <t>双方</t>
        </is>
      </c>
      <c r="G41" s="13" t="inlineStr">
        <is>
          <t>受渡し記録</t>
        </is>
      </c>
      <c r="H41" s="13" t="inlineStr">
        <is>
          <t>★小分け送付の運用に対応。日付・数量・受渡者・受領者を記録。doc16に追記</t>
        </is>
      </c>
      <c r="I41" s="11" t="inlineStr">
        <is>
          <t>R8.9下〜11</t>
        </is>
      </c>
      <c r="J41" s="14" t="n"/>
      <c r="K41" s="14" t="n"/>
      <c r="L41" s="14" t="n">
        <v>46305</v>
      </c>
      <c r="M41" s="14" t="n"/>
      <c r="N41" s="15" t="n">
        <v>0.3</v>
      </c>
      <c r="O41" s="16" t="inlineStr">
        <is>
          <t>着手</t>
        </is>
      </c>
      <c r="P41" s="13" t="inlineStr">
        <is>
          <t>★議事録により村が100件程度ごとに随時送付する運用と確定。個人情報の授受が複数回に分かれるため受渡し記録の様式を用意し doc16 に追記する。★10/10 村より「今集計分析を行なっています」とのご連絡をいただき着手を確認した。実績開始日はご連絡をいただいた日としており、実際の着手日は置き直す。★村で100件程度集まるごとに随時受託者へ小分け送付する運用であり（doc22）、受渡しはすでに起きている。doc74で作ったのは従事者名簿・誓約書・持出簿・廃棄記録簿の4様式で、受渡し記録簿は作っていない。受領日・件数・媒体・引渡者・受領者を記録する様式を作る必要がある。</t>
        </is>
      </c>
    </row>
    <row r="42" ht="30" customHeight="1">
      <c r="A42" s="11" t="inlineStr">
        <is>
          <t>Ⅰ-34</t>
        </is>
      </c>
      <c r="B42" s="12" t="inlineStr">
        <is>
          <t>Ⅰ ニーズ調査</t>
        </is>
      </c>
      <c r="C42" s="12" t="inlineStr">
        <is>
          <t>Ⅰ-4 データ入力</t>
        </is>
      </c>
      <c r="D42" s="13" t="inlineStr">
        <is>
          <t>用紙回答のデータ入力</t>
        </is>
      </c>
      <c r="E42" s="11" t="inlineStr">
        <is>
          <t>仕様書4Ⅰ(5)</t>
        </is>
      </c>
      <c r="F42" s="11" t="inlineStr">
        <is>
          <t>受託者</t>
        </is>
      </c>
      <c r="G42" s="13" t="inlineStr">
        <is>
          <t>入力データ</t>
        </is>
      </c>
      <c r="H42" s="13" t="inlineStr">
        <is>
          <t>厚労省提示の集計ファイル様式</t>
        </is>
      </c>
      <c r="I42" s="11" t="inlineStr">
        <is>
          <t>R8.10</t>
        </is>
      </c>
      <c r="J42" s="14" t="n"/>
      <c r="K42" s="14" t="n"/>
      <c r="L42" s="14" t="n">
        <v>46268</v>
      </c>
      <c r="M42" s="14" t="n"/>
      <c r="N42" s="15" t="n">
        <v>0.4</v>
      </c>
      <c r="O42" s="16" t="inlineStr">
        <is>
          <t>着手</t>
        </is>
      </c>
      <c r="P42" s="13" t="inlineStr">
        <is>
          <t>★doc25§6-2で入力上の留意点6件を確定（複数回答は選択肢ごとに0-1の横持ち／自由記述は原文保持／小分け送付に対応した受付日・ロット番号の記録 ほか）。入力体制は村と要協議（K-93）。★10/10 村より「今集計分析を行なっています」とのご連絡をいただき着手を確認した。実績開始日はご連絡をいただいた日としており、実際の着手日は置き直す。</t>
        </is>
      </c>
    </row>
    <row r="43" ht="30" customHeight="1">
      <c r="A43" s="11" t="inlineStr">
        <is>
          <t>Ⅰ-35</t>
        </is>
      </c>
      <c r="B43" s="12" t="inlineStr">
        <is>
          <t>Ⅰ ニーズ調査</t>
        </is>
      </c>
      <c r="C43" s="12" t="inlineStr">
        <is>
          <t>Ⅰ-4 データ入力</t>
        </is>
      </c>
      <c r="D43" s="13" t="inlineStr">
        <is>
          <t>ウェブ回答データの取込</t>
        </is>
      </c>
      <c r="E43" s="11" t="inlineStr">
        <is>
          <t>仕様書4Ⅰ(5)</t>
        </is>
      </c>
      <c r="F43" s="11" t="inlineStr">
        <is>
          <t>受託者</t>
        </is>
      </c>
      <c r="G43" s="13" t="inlineStr">
        <is>
          <t>入力データ</t>
        </is>
      </c>
      <c r="H43" s="13" t="inlineStr"/>
      <c r="I43" s="11" t="inlineStr">
        <is>
          <t>R8.10</t>
        </is>
      </c>
      <c r="J43" s="14" t="n"/>
      <c r="K43" s="14" t="n"/>
      <c r="L43" s="14" t="n">
        <v>46268</v>
      </c>
      <c r="M43" s="14" t="n"/>
      <c r="N43" s="15" t="n">
        <v>0.4</v>
      </c>
      <c r="O43" s="16" t="inlineStr">
        <is>
          <t>着手</t>
        </is>
      </c>
      <c r="P43" s="13" t="inlineStr">
        <is>
          <t>★doc25§6-1でデータレイアウトを確定（管理番号・回答方法・受付日・地区・性別・年齢・認定状況・認定日＋各設問＋派生変数）。紙とWebを同一レイアウトに揃える。Webは必須入力により無回答率が構造的に異なるため回答方法別の集計を必ず1回行う。★9/28：管理番号を文字列として扱うことを明記（ニーズは数字のみ、在宅は英字＋数字のため）。★9/28（第2次）：大雪・金ケ崎の外部レビューで指摘された欠陥の型を踏まえ、基本方針を8→11項目に拡張した（doc44§6）。方針9 分母を設問ごとの有効回答に統一し回収票の総数で割らない、方針10 同じ指標を複数の設問から作らず主・補を明示する、方針11 表ごとに分母とn数を書き時点の異なる値を足さない。クロス表20件すべてに分母の欄を設け、主指標・補足指標の整理5件を新設した（最も注意を要するのは社会参加・通いの場への参加で、村の実績とアンケートで母集団が違う）。集計仕様書の自己点検8件を新設（verify_shukei.py）。★10/10 村より「今集計分析を行なっています」とのご連絡をいただき着手を確認した。実績開始日はご連絡をいただいた日としており、実際の着手日は置き直す。</t>
        </is>
      </c>
    </row>
    <row r="44" ht="30" customHeight="1">
      <c r="A44" s="11" t="inlineStr">
        <is>
          <t>Ⅰ-36</t>
        </is>
      </c>
      <c r="B44" s="12" t="inlineStr">
        <is>
          <t>Ⅰ ニーズ調査</t>
        </is>
      </c>
      <c r="C44" s="12" t="inlineStr">
        <is>
          <t>Ⅰ-4 データ入力</t>
        </is>
      </c>
      <c r="D44" s="13" t="inlineStr">
        <is>
          <t>重複回答の排除</t>
        </is>
      </c>
      <c r="E44" s="11" t="inlineStr">
        <is>
          <t>仕様書4Ⅰ(2)</t>
        </is>
      </c>
      <c r="F44" s="11" t="inlineStr">
        <is>
          <t>受託者</t>
        </is>
      </c>
      <c r="G44" s="13" t="inlineStr">
        <is>
          <t>―</t>
        </is>
      </c>
      <c r="H44" s="13" t="inlineStr">
        <is>
          <t>管理番号で管理</t>
        </is>
      </c>
      <c r="I44" s="11" t="inlineStr">
        <is>
          <t>R8.10</t>
        </is>
      </c>
      <c r="J44" s="14" t="n"/>
      <c r="K44" s="14" t="n"/>
      <c r="L44" s="14" t="n">
        <v>46305</v>
      </c>
      <c r="M44" s="14" t="n"/>
      <c r="N44" s="15" t="n">
        <v>0.9</v>
      </c>
      <c r="O44" s="16" t="inlineStr">
        <is>
          <t>着手</t>
        </is>
      </c>
      <c r="P44" s="13" t="inlineStr">
        <is>
          <t>★10/10 村より「今集計分析を行なっています」とのご連絡をいただき着手を確認した。実績開始日はご連絡をいただいた日としており、実際の着手日は置き直す。管理番号による突合で排除する（Ⅰ-18・Ⅰ-19で設計済み）。★10/10：手順を定め、scripts/shukei_dedupe.py として組んだ。集計仕様書に §8 重複回答の排除 を設け、xlsx の「精度管理」シートにも載せた。要点は「一意に定まること」である。同じ管理番号で2件あったとき、どちらを採るかが実行のたびに変われば回収数も構成比も変わるため、採否の順序を5段で定め、最後の段を回答の中身で決めた。読み込んだ順序を入れ替えても結果が変わらないことを自己試験で確かめている（28件すべて通過）。重複と不備の型を7件（D1 紙が2件／D2 紙とウェブ／D3 ウェブが2件／D4 管理番号が空／D5 形式違い／D6 名簿にない／D7 名簿の番号が正規化で重なる）に整理した。ウェブの管理番号は回答者が手で入れるため、全角・小文字・ハイフン・先頭の0を正規化してから突き合わせる。この正規化は論理チェックのL09と同じ規則にそろえた（規則が分かれると、点検は「重複なし」と言い、排除は1件落とす）。管理番号が空・形式違い・名簿にない回答は捨てず、単純集計には入れ、属性のクロスには入れない件数を記録する形とした。集計本体（shukei_run.py）が必ず排除を通るようにし、点検34でそれを固定した。ダミーデータにわざと重複・不備9件を入れ、管理番号の形式を名簿のとおり（ニーズ＝数字のみ／在宅＝英字＋数字）に直し、回答方法と受付日の列を加えた。★残るのは、2つの名簿に重複する2人の扱い（優先度S・村のご確認）と、実データでの通しである。</t>
        </is>
      </c>
    </row>
    <row r="45" ht="30" customHeight="1">
      <c r="A45" s="11" t="inlineStr">
        <is>
          <t>Ⅰ-37</t>
        </is>
      </c>
      <c r="B45" s="12" t="inlineStr">
        <is>
          <t>Ⅰ ニーズ調査</t>
        </is>
      </c>
      <c r="C45" s="12" t="inlineStr">
        <is>
          <t>Ⅰ-4 データ入力</t>
        </is>
      </c>
      <c r="D45" s="13" t="inlineStr">
        <is>
          <t>要介護認定データの受領</t>
        </is>
      </c>
      <c r="E45" s="11" t="inlineStr">
        <is>
          <t>仕様書4Ⅰ(5)</t>
        </is>
      </c>
      <c r="F45" s="11" t="inlineStr">
        <is>
          <t>北塩原村</t>
        </is>
      </c>
      <c r="G45" s="13" t="inlineStr">
        <is>
          <t>認定データ</t>
        </is>
      </c>
      <c r="H45" s="13" t="inlineStr">
        <is>
          <t>手法Ⅰ・Ⅱの場合。目的外利用の手続きに留意</t>
        </is>
      </c>
      <c r="I45" s="11" t="inlineStr">
        <is>
          <t>R8.10</t>
        </is>
      </c>
      <c r="J45" s="14" t="n"/>
      <c r="K45" s="14" t="n"/>
      <c r="L45" s="14" t="n">
        <v>46293</v>
      </c>
      <c r="M45" s="14" t="n"/>
      <c r="N45" s="15" t="n">
        <v>0.3</v>
      </c>
      <c r="O45" s="16" t="inlineStr">
        <is>
          <t>確認中</t>
        </is>
      </c>
      <c r="P45" s="13" t="inlineStr">
        <is>
          <t>★在宅介護実態調査の対象者118人分については、名簿に要介護度・受給申請日・初回認定日が含まれていた。要介護1が49人・要介護2が30人・要介護3が18人・要介護4が14人・要介護5が7人で、要支援の方は含まれていない。一方ニーズ調査の対象者882人分には要介護度の列がなく、資料3の3-3・3-4・3-6（認定状況と生活機能を重ねる分析）は作成できない。引き続き提供を要請する。</t>
        </is>
      </c>
    </row>
    <row r="46" ht="30" customHeight="1">
      <c r="A46" s="17" t="inlineStr">
        <is>
          <t>Ⅰ-38</t>
        </is>
      </c>
      <c r="B46" s="18" t="inlineStr">
        <is>
          <t>Ⅰ ニーズ調査</t>
        </is>
      </c>
      <c r="C46" s="18" t="inlineStr">
        <is>
          <t>Ⅰ-4 データ入力</t>
        </is>
      </c>
      <c r="D46" s="19" t="inlineStr">
        <is>
          <t>認定データとの関連付け（自動プログラム）</t>
        </is>
      </c>
      <c r="E46" s="17" t="inlineStr">
        <is>
          <t>仕様書4Ⅰ(5)</t>
        </is>
      </c>
      <c r="F46" s="17" t="inlineStr">
        <is>
          <t>受託者</t>
        </is>
      </c>
      <c r="G46" s="19" t="inlineStr">
        <is>
          <t>関連付け済データ</t>
        </is>
      </c>
      <c r="H46" s="19" t="inlineStr">
        <is>
          <t>手法Ⅲでは自動集計ソフトなし</t>
        </is>
      </c>
      <c r="I46" s="17" t="inlineStr">
        <is>
          <t>R8.10</t>
        </is>
      </c>
      <c r="J46" s="20" t="n"/>
      <c r="K46" s="20" t="n"/>
      <c r="L46" s="20" t="n"/>
      <c r="M46" s="20" t="n"/>
      <c r="N46" s="21" t="n">
        <v>0</v>
      </c>
      <c r="O46" s="17" t="inlineStr">
        <is>
          <t>未着手</t>
        </is>
      </c>
      <c r="P46" s="19" t="inlineStr"/>
    </row>
    <row r="47" ht="30" customHeight="1">
      <c r="A47" s="11" t="inlineStr">
        <is>
          <t>Ⅰ-104</t>
        </is>
      </c>
      <c r="B47" s="12" t="inlineStr">
        <is>
          <t>Ⅰ ニーズ調査</t>
        </is>
      </c>
      <c r="C47" s="12" t="inlineStr">
        <is>
          <t>Ⅰ-4 データ入力</t>
        </is>
      </c>
      <c r="D47" s="13" t="inlineStr">
        <is>
          <t>入力データの精度管理（論理チェック・ベリファイ）</t>
        </is>
      </c>
      <c r="E47" s="11" t="inlineStr">
        <is>
          <t>仕様書4Ⅰ(5)</t>
        </is>
      </c>
      <c r="F47" s="11" t="inlineStr">
        <is>
          <t>受託者</t>
        </is>
      </c>
      <c r="G47" s="13" t="inlineStr">
        <is>
          <t>チェック結果</t>
        </is>
      </c>
      <c r="H47" s="13" t="inlineStr">
        <is>
          <t>仕様書(5)の条項名は「入力管理」。単一回答の複数選択・排他条件・分岐の不整合・数値の範囲外を点検する</t>
        </is>
      </c>
      <c r="I47" s="11" t="inlineStr">
        <is>
          <t>R8.10〜11</t>
        </is>
      </c>
      <c r="J47" s="14" t="n"/>
      <c r="K47" s="14" t="n"/>
      <c r="L47" s="14" t="n">
        <v>46305</v>
      </c>
      <c r="M47" s="14" t="n"/>
      <c r="N47" s="15" t="n">
        <v>0.8</v>
      </c>
      <c r="O47" s="16" t="inlineStr">
        <is>
          <t>着手</t>
        </is>
      </c>
      <c r="P47" s="13" t="inlineStr">
        <is>
          <t>仕様書Ⅰ(5)の条項名は「入力管理」であり、入力そのものだけでなく入力後の精度の確認を含む。集計仕様書（doc25）で派生変数と排他条件を定義済みのため、その定義を論理チェックの規則に転用する。★10/10 村より「今集計分析を行なっています」とのご連絡をいただき着手を確認した。実績開始日はご連絡をいただいた日としており、実際の着手日は置き直す。★10/10：論理チェック12項目（L01〜L12）とコードブックの点検5項目（C01〜C05）を定め、scripts/shukei_check.py として組んだ。集計仕様書に §7 入力データの精度管理 を設け、xlsx にも「精度管理」シートを加えた。表は shukei_check.py から生成しているため、村にお示しした内容と現に走る点検が食い違わない。ベリファイは全件を二重入力するもの（区分が必須の設問・派生変数に使う設問）と10パーセントを抽出するもの（オプション・村独自）とウェブ回答（対象外）に分けた。層の判定（資料3の3-3・3-4・3-6）に効くものを全件とする考え方である。ダミーデータ（ニーズ430件・在宅96件）で動かし、結果が出ることを確かめた。点検そのものの自己試験（--自己試験）を組み、欠陥を入れると19件すべてが鳴ること・正しく答えた1件では何も鳴らないことを確かめた。verify_shukei に点検17〜25を加えた（25件すべて適合）。★残るのは次の2点である。①校了版（令和8年9月9日）の調査票Wordを受領してコードブックを作り直すこと。現在のコードブックは9月4日版から作られており、版が違うと鳴るべきものが鳴らない。shukei_check.py は版を確かめて止まる仕組みとした（--暫定 で続行可）。9月4日版の読み取りの不備も7件残っている（C01 1件・C02 5件・C03 1件）。社内の照会として起票した。②実データでの通し。入力データの受領を待つ。</t>
        </is>
      </c>
    </row>
    <row r="48" ht="30" customHeight="1">
      <c r="A48" s="11" t="inlineStr">
        <is>
          <t>Ⅰ-39</t>
        </is>
      </c>
      <c r="B48" s="12" t="inlineStr">
        <is>
          <t>Ⅰ ニーズ調査</t>
        </is>
      </c>
      <c r="C48" s="12" t="inlineStr">
        <is>
          <t>Ⅰ-5 集計・分析</t>
        </is>
      </c>
      <c r="D48" s="13" t="inlineStr">
        <is>
          <t>単純集計</t>
        </is>
      </c>
      <c r="E48" s="11" t="inlineStr">
        <is>
          <t>仕様書4Ⅰ(6)</t>
        </is>
      </c>
      <c r="F48" s="11" t="inlineStr">
        <is>
          <t>受託者</t>
        </is>
      </c>
      <c r="G48" s="13" t="inlineStr">
        <is>
          <t>集計表</t>
        </is>
      </c>
      <c r="H48" s="13" t="inlineStr"/>
      <c r="I48" s="11" t="inlineStr">
        <is>
          <t>R8.10〜11</t>
        </is>
      </c>
      <c r="J48" s="14" t="n"/>
      <c r="K48" s="14" t="n"/>
      <c r="L48" s="14" t="n">
        <v>46268</v>
      </c>
      <c r="M48" s="14" t="n"/>
      <c r="N48" s="15" t="n">
        <v>0.7</v>
      </c>
      <c r="O48" s="16" t="inlineStr">
        <is>
          <t>着手</t>
        </is>
      </c>
      <c r="P48" s="13" t="inlineStr">
        <is>
          <t>★doc24でアンケート調査報告書の骨子を確定（全7章＋資料編・約118頁）。第Ⅰ部 単純集計編の掲載方式（全体／地区別／年齢階級別／前回比較／コメントの5点セット）と対象設問を確定。集計仕様書の作成は調査票の校了（9/9）後すぐに着手する。★9/8：集計プログラムを作成し、ダミーデータ430件で単純集計まで通した（doc31／output/10）。回答データが届いたらCSVのパスを指定するだけで集計が出る。</t>
        </is>
      </c>
    </row>
    <row r="49" ht="30" customHeight="1">
      <c r="A49" s="11" t="inlineStr">
        <is>
          <t>Ⅰ-40</t>
        </is>
      </c>
      <c r="B49" s="12" t="inlineStr">
        <is>
          <t>Ⅰ ニーズ調査</t>
        </is>
      </c>
      <c r="C49" s="12" t="inlineStr">
        <is>
          <t>Ⅰ-5 集計・分析</t>
        </is>
      </c>
      <c r="D49" s="13" t="inlineStr">
        <is>
          <t>基本属性別クロス集計（地区・性別・年齢）</t>
        </is>
      </c>
      <c r="E49" s="11" t="inlineStr">
        <is>
          <t>仕様書4Ⅰ(6)</t>
        </is>
      </c>
      <c r="F49" s="11" t="inlineStr">
        <is>
          <t>受託者</t>
        </is>
      </c>
      <c r="G49" s="13" t="inlineStr">
        <is>
          <t>集計表</t>
        </is>
      </c>
      <c r="H49" s="13" t="inlineStr"/>
      <c r="I49" s="11" t="inlineStr">
        <is>
          <t>R8.10〜11</t>
        </is>
      </c>
      <c r="J49" s="14" t="n"/>
      <c r="K49" s="14" t="n"/>
      <c r="L49" s="14" t="n">
        <v>46268</v>
      </c>
      <c r="M49" s="14" t="n"/>
      <c r="N49" s="15" t="n">
        <v>0.7</v>
      </c>
      <c r="O49" s="16" t="inlineStr">
        <is>
          <t>着手</t>
        </is>
      </c>
      <c r="P49" s="13" t="inlineStr">
        <is>
          <t>★doc24で全設問を地区別（北山・大塩・桧原・裏磐梯）・年齢階級別（65〜74／75〜84／85歳以上）で集計する方針を確定。移動手段・外出を控える理由・除雪は地区差が大きいと想定され施策の地区別展開の根拠になる。★9/8：地区・年齢階級・性別・認定状況・生活機能4層の5軸で軸別集計を実装（doc31）。</t>
        </is>
      </c>
    </row>
    <row r="50" ht="30" customHeight="1">
      <c r="A50" s="11" t="inlineStr">
        <is>
          <t>Ⅰ-41</t>
        </is>
      </c>
      <c r="B50" s="12" t="inlineStr">
        <is>
          <t>Ⅰ ニーズ調査</t>
        </is>
      </c>
      <c r="C50" s="12" t="inlineStr">
        <is>
          <t>Ⅰ-5 集計・分析</t>
        </is>
      </c>
      <c r="D50" s="13" t="inlineStr">
        <is>
          <t>時系列比較（第8期・第9期との対比）</t>
        </is>
      </c>
      <c r="E50" s="11" t="inlineStr">
        <is>
          <t>仕様書4Ⅰ(6)</t>
        </is>
      </c>
      <c r="F50" s="11" t="inlineStr">
        <is>
          <t>受託者</t>
        </is>
      </c>
      <c r="G50" s="13" t="inlineStr">
        <is>
          <t>比較表</t>
        </is>
      </c>
      <c r="H50" s="13" t="inlineStr">
        <is>
          <t>村と協議のうえ範囲を決定</t>
        </is>
      </c>
      <c r="I50" s="11" t="inlineStr">
        <is>
          <t>R8.10〜11</t>
        </is>
      </c>
      <c r="J50" s="14" t="n"/>
      <c r="K50" s="14" t="n"/>
      <c r="L50" s="14" t="n">
        <v>46268</v>
      </c>
      <c r="M50" s="14" t="n"/>
      <c r="N50" s="15" t="n">
        <v>0.2</v>
      </c>
      <c r="O50" s="16" t="inlineStr">
        <is>
          <t>確認中</t>
        </is>
      </c>
      <c r="P50" s="13" t="inlineStr">
        <is>
          <t>★令和4年8月版と令和7年8月版で設問文・選択肢が変わった設問は単純比較できない。doc05の逐条突合に基づき比較可能な設問を抽出済。対象範囲は村と協議（doc24 K-86）。</t>
        </is>
      </c>
    </row>
    <row r="51" ht="30" customHeight="1">
      <c r="A51" s="11" t="inlineStr">
        <is>
          <t>Ⅰ-42</t>
        </is>
      </c>
      <c r="B51" s="12" t="inlineStr">
        <is>
          <t>Ⅰ ニーズ調査</t>
        </is>
      </c>
      <c r="C51" s="12" t="inlineStr">
        <is>
          <t>Ⅰ-5 集計・分析</t>
        </is>
      </c>
      <c r="D51" s="13" t="inlineStr">
        <is>
          <t>設問間クロス集計</t>
        </is>
      </c>
      <c r="E51" s="11" t="inlineStr">
        <is>
          <t>仕様書4Ⅰ(6)</t>
        </is>
      </c>
      <c r="F51" s="11" t="inlineStr">
        <is>
          <t>受託者</t>
        </is>
      </c>
      <c r="G51" s="13" t="inlineStr">
        <is>
          <t>集計表</t>
        </is>
      </c>
      <c r="H51" s="13" t="inlineStr">
        <is>
          <t>村と協議のうえ設計</t>
        </is>
      </c>
      <c r="I51" s="11" t="inlineStr">
        <is>
          <t>R8.10〜11</t>
        </is>
      </c>
      <c r="J51" s="14" t="n"/>
      <c r="K51" s="14" t="n"/>
      <c r="L51" s="14" t="n">
        <v>46268</v>
      </c>
      <c r="M51" s="14" t="n"/>
      <c r="N51" s="15" t="n">
        <v>0.65</v>
      </c>
      <c r="O51" s="16" t="inlineStr">
        <is>
          <t>着手</t>
        </is>
      </c>
      <c r="P51" s="13" t="inlineStr">
        <is>
          <t>★doc25／output/07_集計仕様書.xlsx でクロス表20件を定義（うち★10件が分析編の中核）。X-01疾病数×リスク該当領域数、X-02認定状況×リスク、X-03生活機能4層×参加意向、X-04支え合いの受領×提供、X-15施設入所検討×村内施設、X-16要介護度×就労継続。X-02とX-03は村からの認定データ（K-87）が前提。★9/8：20表のうち軸の定義が確定している9表を実装（X-01・X-02・X-04・X-05・X-06・X-12・X-15・X-16・X-17）。残りは自由記述の分類と複数回答どうしのクロスで、掲載の形を決めてから実装する。★10/7：クロス表を20表から22表に。派生変数Z01（入所の必要性の3区分）・Z02（村内施設の需要の2区分）を定義し、必要利用定員総数の設定（素案5-4(13)）に用いるX-21・X-22を加えた。点検のクロス表の件数のじか書き（20表）を数え上げに改め、表を足しても通るようにした。doc24・doc25の件数も合わせて改めた。</t>
        </is>
      </c>
    </row>
    <row r="52" ht="30" customHeight="1">
      <c r="A52" s="11" t="inlineStr">
        <is>
          <t>Ⅰ-43</t>
        </is>
      </c>
      <c r="B52" s="12" t="inlineStr">
        <is>
          <t>Ⅰ ニーズ調査</t>
        </is>
      </c>
      <c r="C52" s="12" t="inlineStr">
        <is>
          <t>Ⅰ-5 集計・分析</t>
        </is>
      </c>
      <c r="D52" s="13" t="inlineStr">
        <is>
          <t>リスク判定11種の算出</t>
        </is>
      </c>
      <c r="E52" s="11" t="inlineStr">
        <is>
          <t>手引き</t>
        </is>
      </c>
      <c r="F52" s="11" t="inlineStr">
        <is>
          <t>受託者</t>
        </is>
      </c>
      <c r="G52" s="13" t="inlineStr">
        <is>
          <t>リスク判定結果</t>
        </is>
      </c>
      <c r="H52" s="13" t="inlineStr">
        <is>
          <t>運動器・転倒・閉じこもり・低栄養・口腔・認知・うつ・IADL等</t>
        </is>
      </c>
      <c r="I52" s="11" t="inlineStr">
        <is>
          <t>R8.10〜11</t>
        </is>
      </c>
      <c r="J52" s="14" t="n"/>
      <c r="K52" s="14" t="n"/>
      <c r="L52" s="14" t="n">
        <v>46268</v>
      </c>
      <c r="M52" s="14" t="n"/>
      <c r="N52" s="15" t="n">
        <v>0.7</v>
      </c>
      <c r="O52" s="16" t="inlineStr">
        <is>
          <t>着手</t>
        </is>
      </c>
      <c r="P52" s="13" t="inlineStr">
        <is>
          <t>★doc24§4-3で判定に用いる設問を確定（運動器・転倒・閉じこもり・低栄養・口腔・認知・IADL・うつ）。判定基準は見える化システムの算出方法に合わせる（独自基準を作ると全国・県との比較ができなくなるため）。★9/8：R01〜R10・R99・D01・P01・S01/S02/S99・L01・B01・U01の20変数を実装（scripts/shukei_derive.py）。判定基準は1か所にまとめてあり、村から算出方法の提供を受けたらそこだけ直せば全集計が連動する。手引きに明記があるのは低栄養のBMI 18.5以下のみで、他9件は暫定。</t>
        </is>
      </c>
    </row>
    <row r="53" ht="30" customHeight="1">
      <c r="A53" s="11" t="inlineStr">
        <is>
          <t>Ⅰ-44</t>
        </is>
      </c>
      <c r="B53" s="12" t="inlineStr">
        <is>
          <t>Ⅰ ニーズ調査</t>
        </is>
      </c>
      <c r="C53" s="12" t="inlineStr">
        <is>
          <t>Ⅰ-5 集計・分析</t>
        </is>
      </c>
      <c r="D53" s="13" t="inlineStr">
        <is>
          <t>自由記述の整理</t>
        </is>
      </c>
      <c r="E53" s="11" t="inlineStr">
        <is>
          <t>仕様書4Ⅰ(6)</t>
        </is>
      </c>
      <c r="F53" s="11" t="inlineStr">
        <is>
          <t>受託者</t>
        </is>
      </c>
      <c r="G53" s="13" t="inlineStr">
        <is>
          <t>自由意見一覧</t>
        </is>
      </c>
      <c r="H53" s="13" t="inlineStr"/>
      <c r="I53" s="11" t="inlineStr">
        <is>
          <t>R8.10〜11</t>
        </is>
      </c>
      <c r="J53" s="14" t="n"/>
      <c r="K53" s="14" t="n"/>
      <c r="L53" s="14" t="n">
        <v>46268</v>
      </c>
      <c r="M53" s="14" t="n"/>
      <c r="N53" s="15" t="n">
        <v>0.1</v>
      </c>
      <c r="O53" s="16" t="inlineStr">
        <is>
          <t>着手</t>
        </is>
      </c>
      <c r="P53" s="13" t="inlineStr">
        <is>
          <t>★doc24§9で対象設問を確定（問3(9)利用先・問7(9)利用先・問11その他・問4(17)(18)趣味生きがい ほか）。人口2,300人規模では記述から個人が推定され得るため匿名化の方針を村と協議（doc24 K-89）。</t>
        </is>
      </c>
    </row>
    <row r="54" ht="30" customHeight="1">
      <c r="A54" s="11" t="inlineStr">
        <is>
          <t>Ⅰ-45</t>
        </is>
      </c>
      <c r="B54" s="12" t="inlineStr">
        <is>
          <t>Ⅰ ニーズ調査</t>
        </is>
      </c>
      <c r="C54" s="12" t="inlineStr">
        <is>
          <t>Ⅰ-5 集計・分析</t>
        </is>
      </c>
      <c r="D54" s="13" t="inlineStr">
        <is>
          <t>在宅調査の要介護度別・介護者就労状況別分析</t>
        </is>
      </c>
      <c r="E54" s="11" t="inlineStr">
        <is>
          <t>仕様書4Ⅰ(6)</t>
        </is>
      </c>
      <c r="F54" s="11" t="inlineStr">
        <is>
          <t>受託者</t>
        </is>
      </c>
      <c r="G54" s="13" t="inlineStr">
        <is>
          <t>分析結果</t>
        </is>
      </c>
      <c r="H54" s="13" t="inlineStr"/>
      <c r="I54" s="11" t="inlineStr">
        <is>
          <t>R8.10〜11</t>
        </is>
      </c>
      <c r="J54" s="14" t="n"/>
      <c r="K54" s="14" t="n"/>
      <c r="L54" s="14" t="n">
        <v>46268</v>
      </c>
      <c r="M54" s="14" t="n"/>
      <c r="N54" s="15" t="n">
        <v>0.65</v>
      </c>
      <c r="O54" s="16" t="inlineStr">
        <is>
          <t>着手</t>
        </is>
      </c>
      <c r="P54" s="13" t="inlineStr">
        <is>
          <t>★doc24§5-2で仕様書4Ⅰ(6)が求めるクロスの設計を確定。軸1＝要介護度3区分、軸2＝主な介護者の勤務形態3区分。中核は「要介護度×就労継続の見通し」。村独自の問6-1（村内に施設があれば）と問6のクロスで施設の潜在需要を測る設計も確定。★9/8：X-15（施設入所の検討状況×村内施設があれば）とX-16（要介護度×就労継続の見通し）を実装し、ダミーデータで出力を確認（doc31）。</t>
        </is>
      </c>
    </row>
    <row r="55" ht="30" customHeight="1">
      <c r="A55" s="11" t="inlineStr">
        <is>
          <t>Ⅰ-46</t>
        </is>
      </c>
      <c r="B55" s="12" t="inlineStr">
        <is>
          <t>Ⅰ ニーズ調査</t>
        </is>
      </c>
      <c r="C55" s="12" t="inlineStr">
        <is>
          <t>Ⅰ-5 集計・分析</t>
        </is>
      </c>
      <c r="D55" s="13" t="inlineStr">
        <is>
          <t>見える化システム登録用データの作成</t>
        </is>
      </c>
      <c r="E55" s="11" t="inlineStr">
        <is>
          <t>手引き</t>
        </is>
      </c>
      <c r="F55" s="11" t="inlineStr">
        <is>
          <t>受託者</t>
        </is>
      </c>
      <c r="G55" s="13" t="inlineStr">
        <is>
          <t>登録用データ</t>
        </is>
      </c>
      <c r="H55" s="13" t="inlineStr">
        <is>
          <t>標準様式の項目順に並べ替えが必要</t>
        </is>
      </c>
      <c r="I55" s="11" t="inlineStr">
        <is>
          <t>R8.11</t>
        </is>
      </c>
      <c r="J55" s="14" t="n"/>
      <c r="K55" s="14" t="n"/>
      <c r="L55" s="14" t="n">
        <v>46268</v>
      </c>
      <c r="M55" s="14" t="n"/>
      <c r="N55" s="15" t="n">
        <v>0.3</v>
      </c>
      <c r="O55" s="16" t="inlineStr">
        <is>
          <t>着手</t>
        </is>
      </c>
      <c r="P55" s="13" t="inlineStr">
        <is>
          <t>★doc25§6-3で方針を確定。村独自設問14問を除外し標準様式の設問順に並べ替えた別ファイルとして作成する。並べ替え表は集計プログラムに組み込む。登録作業の分担は村と要協議（K-94）。</t>
        </is>
      </c>
    </row>
    <row r="56" ht="30" customHeight="1">
      <c r="A56" s="11" t="inlineStr">
        <is>
          <t>Ⅰ-95</t>
        </is>
      </c>
      <c r="B56" s="12" t="inlineStr">
        <is>
          <t>Ⅰ ニーズ調査</t>
        </is>
      </c>
      <c r="C56" s="12" t="inlineStr">
        <is>
          <t>Ⅰ-5 集計・分析</t>
        </is>
      </c>
      <c r="D56" s="13" t="inlineStr">
        <is>
          <t>ICFの構成要素に基づくクロス分析の設計</t>
        </is>
      </c>
      <c r="E56" s="11" t="inlineStr">
        <is>
          <t>確認</t>
        </is>
      </c>
      <c r="F56" s="11" t="inlineStr">
        <is>
          <t>受託者</t>
        </is>
      </c>
      <c r="G56" s="13" t="inlineStr">
        <is>
          <t>分析設計書</t>
        </is>
      </c>
      <c r="H56" s="13" t="inlineStr">
        <is>
          <t>★議事録で新規要件。単純なリスク分析ではなくICFの健康度指標で「元気な高齢者」×「地域のニーズ」を分析。調査票設計段階で軸の確保が必要</t>
        </is>
      </c>
      <c r="I56" s="11" t="inlineStr">
        <is>
          <t>R8.9上</t>
        </is>
      </c>
      <c r="J56" s="14" t="n"/>
      <c r="K56" s="14" t="n"/>
      <c r="L56" s="14" t="n">
        <v>46268</v>
      </c>
      <c r="M56" s="14" t="n"/>
      <c r="N56" s="15" t="n">
        <v>0.8</v>
      </c>
      <c r="O56" s="16" t="inlineStr">
        <is>
          <t>着手</t>
        </is>
      </c>
      <c r="P56" s="13" t="inlineStr">
        <is>
          <t>★doc23§3で設計完了。ICF5領域と標準設問の対応表を作成し、5領域すべてが標準の必須＋オプション項目で埋まること＝分析のための独自設問は不要であることを確定。分析案は3案（B:疾病×生活機能の2軸マトリクス〈主軸〉／A:生活機能ベースの4層区分〈施策設計用〉／C:5領域レーダー〈委員会資料〉）。推奨対応は標準オプション問7(7)の採用1件のみ。★9/3：手引き（令和7年8月版）に「ICFの構成要素間の相互作用の図」による公式の対応表（図表9）が掲載されていることを確認し、doc23の当方作成表を訂正。ICFによる整理は国が公式に推奨する枠組みであることが確定。実装は回収データの受領後。</t>
        </is>
      </c>
    </row>
    <row r="57" ht="30" customHeight="1">
      <c r="A57" s="22" t="inlineStr">
        <is>
          <t>Ⅰ-47</t>
        </is>
      </c>
      <c r="B57" s="23" t="inlineStr">
        <is>
          <t>Ⅰ ニーズ調査</t>
        </is>
      </c>
      <c r="C57" s="23" t="inlineStr">
        <is>
          <t>Ⅰ-6 報告書</t>
        </is>
      </c>
      <c r="D57" s="24" t="inlineStr">
        <is>
          <t>設問ごとのグラフ作成</t>
        </is>
      </c>
      <c r="E57" s="22" t="inlineStr">
        <is>
          <t>仕様書4Ⅰ(7)</t>
        </is>
      </c>
      <c r="F57" s="22" t="inlineStr">
        <is>
          <t>受託者</t>
        </is>
      </c>
      <c r="G57" s="24" t="inlineStr">
        <is>
          <t>グラフ</t>
        </is>
      </c>
      <c r="H57" s="24" t="inlineStr"/>
      <c r="I57" s="22" t="inlineStr">
        <is>
          <t>R8.11</t>
        </is>
      </c>
      <c r="J57" s="25" t="n"/>
      <c r="K57" s="25" t="n"/>
      <c r="L57" s="25" t="n"/>
      <c r="M57" s="25" t="n"/>
      <c r="N57" s="26" t="n">
        <v>0</v>
      </c>
      <c r="O57" s="22" t="inlineStr">
        <is>
          <t>未着手</t>
        </is>
      </c>
      <c r="P57" s="24" t="inlineStr">
        <is>
          <t>★9/25：案Bの採用により1頁2設問を維持できることとなった（案Aでは1頁3設問に詰める必要があった）。ただし第9期は1頁0.9設問＝実質1設問1頁であり約1.9倍の密度になる。計画書と同じく明度差・線種・ハッチングで識別し、凡例を図の近くに置く。集計結果の確定待ち。</t>
        </is>
      </c>
    </row>
    <row r="58" ht="30" customHeight="1">
      <c r="A58" s="11" t="inlineStr">
        <is>
          <t>Ⅰ-48</t>
        </is>
      </c>
      <c r="B58" s="12" t="inlineStr">
        <is>
          <t>Ⅰ ニーズ調査</t>
        </is>
      </c>
      <c r="C58" s="12" t="inlineStr">
        <is>
          <t>Ⅰ-6 報告書</t>
        </is>
      </c>
      <c r="D58" s="13" t="inlineStr">
        <is>
          <t>調査結果報告書の執筆・レイアウト</t>
        </is>
      </c>
      <c r="E58" s="11" t="inlineStr">
        <is>
          <t>仕様書4Ⅰ(7)</t>
        </is>
      </c>
      <c r="F58" s="11" t="inlineStr">
        <is>
          <t>受託者</t>
        </is>
      </c>
      <c r="G58" s="13" t="inlineStr">
        <is>
          <t>報告書案</t>
        </is>
      </c>
      <c r="H58" s="13" t="inlineStr">
        <is>
          <t>A4両面約100頁</t>
        </is>
      </c>
      <c r="I58" s="11" t="inlineStr">
        <is>
          <t>R8.11</t>
        </is>
      </c>
      <c r="J58" s="14" t="n"/>
      <c r="K58" s="14" t="n"/>
      <c r="L58" s="14" t="n">
        <v>46268</v>
      </c>
      <c r="M58" s="14" t="n"/>
      <c r="N58" s="15" t="n">
        <v>0.3</v>
      </c>
      <c r="O58" s="16" t="inlineStr">
        <is>
          <t>着手</t>
        </is>
      </c>
      <c r="P58" s="13" t="inlineStr">
        <is>
          <t>★doc24として骨子案を作成（2部構成・第Ⅰ部 単純集計編／第Ⅱ部 ICF分析編）。★9/24：村の指示により仕様書どおり約100頁に統一することが決着（当初案118頁）。★9/25：圧縮の当て方を案Bで確定。調査票2種・単純集計表・自由記述の全文を電子媒体に移し資料編を25→6頁とし、浮いた頁を集計編に戻して第3章42頁・第4章21頁（計63頁）とした。1頁1.7設問で当初案118頁と同じ密度を100頁の枠内に収めた。第Ⅱ部25頁は計画の施策の根拠のため維持。設問数は削らない（仕様書4Ⅰ(7)が設問ごとのグラフを求めるため）。第9期は1頁0.9設問＝実質1設問1頁であり、採用案でも密度は約1.9倍になるためモノクロ印刷での可読性に注意を要する。本文の執筆は調査の回収・集計待ち。</t>
        </is>
      </c>
    </row>
    <row r="59" ht="30" customHeight="1">
      <c r="A59" s="22" t="inlineStr">
        <is>
          <t>Ⅰ-49</t>
        </is>
      </c>
      <c r="B59" s="23" t="inlineStr">
        <is>
          <t>Ⅰ ニーズ調査</t>
        </is>
      </c>
      <c r="C59" s="23" t="inlineStr">
        <is>
          <t>Ⅰ-6 報告書</t>
        </is>
      </c>
      <c r="D59" s="24" t="inlineStr">
        <is>
          <t>報告書の村確認・修正</t>
        </is>
      </c>
      <c r="E59" s="22" t="inlineStr">
        <is>
          <t>仕様書4Ⅰ(7)</t>
        </is>
      </c>
      <c r="F59" s="22" t="inlineStr">
        <is>
          <t>双方</t>
        </is>
      </c>
      <c r="G59" s="24" t="inlineStr">
        <is>
          <t>報告書（確定）</t>
        </is>
      </c>
      <c r="H59" s="24" t="inlineStr"/>
      <c r="I59" s="22" t="inlineStr">
        <is>
          <t>R8.11〜12</t>
        </is>
      </c>
      <c r="J59" s="25" t="n"/>
      <c r="K59" s="25" t="n"/>
      <c r="L59" s="25" t="n"/>
      <c r="M59" s="25" t="n"/>
      <c r="N59" s="26" t="n">
        <v>0</v>
      </c>
      <c r="O59" s="22" t="inlineStr">
        <is>
          <t>未着手</t>
        </is>
      </c>
      <c r="P59" s="24" t="inlineStr"/>
    </row>
    <row r="60" ht="30" customHeight="1">
      <c r="A60" s="11" t="inlineStr">
        <is>
          <t>Ⅱ-50</t>
        </is>
      </c>
      <c r="B60" s="27" t="inlineStr">
        <is>
          <t>Ⅱ 計画策定</t>
        </is>
      </c>
      <c r="C60" s="12" t="inlineStr">
        <is>
          <t>Ⅱ-1 基礎調査</t>
        </is>
      </c>
      <c r="D60" s="13" t="inlineStr">
        <is>
          <t>制度改正動向の資料収集・整理</t>
        </is>
      </c>
      <c r="E60" s="11" t="inlineStr">
        <is>
          <t>仕様書4Ⅱ(1)</t>
        </is>
      </c>
      <c r="F60" s="11" t="inlineStr">
        <is>
          <t>受託者</t>
        </is>
      </c>
      <c r="G60" s="13" t="inlineStr">
        <is>
          <t>論点整理メモ</t>
        </is>
      </c>
      <c r="H60" s="13" t="inlineStr"/>
      <c r="I60" s="11" t="inlineStr">
        <is>
          <t>R8.9〜11</t>
        </is>
      </c>
      <c r="J60" s="14" t="n"/>
      <c r="K60" s="14" t="n"/>
      <c r="L60" s="14" t="n">
        <v>46259</v>
      </c>
      <c r="M60" s="14" t="n"/>
      <c r="N60" s="15" t="n">
        <v>0.98</v>
      </c>
      <c r="O60" s="16" t="inlineStr">
        <is>
          <t>着手</t>
        </is>
      </c>
      <c r="P60" s="13" t="inlineStr">
        <is>
          <t>素案1-8を法律（令和8年法律第51号）と政令・告示等の2本立てに整理。82.65万円・調整交付金の7区分化・令和8年度報酬改定・協力医療機関ほか15事項を掲載。点検41で機械的に確認している。★10/8：第136回社会保障審議会介護保険部会（令和8年9月18日）の資料1〜6および参考資料の提供を受け、原典により確定させた（doc71）。保留していた3件のうち2件が確定した。①補足給付の区分の細分化は令和9年度の当初からの施行である（資料2）。②調整交付金の一定の取組による減額は、年齢区分の精緻化により交付額が増加する保険者について、主要3事業のいずれかの未実施、または1人あたり給付費の外れ値（平均値＋2×標準偏差）に該当した保険者の帳票点検の実施率等が前年度の下半期を下回った場合に、増加額の5%を減額するものである（資料5）。③特定地域サービス・特定地域居宅サービス等事業は本部会の資料に含まれておらず、5-12に残置した。あわせて1-8に「5　引き続き検討することとされた事項」を新設し、原典（資料2）の9事項を影響が及び得る本計画の箇所と対にして掲げた。「一定以上所得」の判断基準は令和8年度中に結論を得るとされており、前のセッションで取り下げた「令和9年度中」が誤りであったことも原典で確かめた。</t>
        </is>
      </c>
    </row>
    <row r="61" ht="30" customHeight="1">
      <c r="A61" s="11" t="inlineStr">
        <is>
          <t>Ⅱ-51</t>
        </is>
      </c>
      <c r="B61" s="12" t="inlineStr">
        <is>
          <t>Ⅱ 計画策定</t>
        </is>
      </c>
      <c r="C61" s="12" t="inlineStr">
        <is>
          <t>Ⅱ-1 基礎調査</t>
        </is>
      </c>
      <c r="D61" s="13" t="inlineStr">
        <is>
          <t>第10期国の基本指針の確認・反映</t>
        </is>
      </c>
      <c r="E61" s="11" t="inlineStr">
        <is>
          <t>仕様書4Ⅱ(1)</t>
        </is>
      </c>
      <c r="F61" s="11" t="inlineStr">
        <is>
          <t>受託者</t>
        </is>
      </c>
      <c r="G61" s="13" t="inlineStr">
        <is>
          <t>基本指針対応表</t>
        </is>
      </c>
      <c r="H61" s="13" t="inlineStr">
        <is>
          <t>令和8年内告示予定。遅延時は暫定版で作業</t>
        </is>
      </c>
      <c r="I61" s="11" t="inlineStr">
        <is>
          <t>R8.11〜</t>
        </is>
      </c>
      <c r="J61" s="14" t="n"/>
      <c r="K61" s="14" t="n"/>
      <c r="L61" s="14" t="n">
        <v>46293</v>
      </c>
      <c r="M61" s="14" t="n"/>
      <c r="N61" s="15" t="n">
        <v>0.85</v>
      </c>
      <c r="O61" s="16" t="inlineStr">
        <is>
          <t>着手</t>
        </is>
      </c>
      <c r="P61" s="13" t="inlineStr">
        <is>
          <t>別表「確認すべき指標・状況」11事項への対応表を素案 資6として作成（doc49）。一部対応5事項は理由と代替を明記。基本指針そのものは告示前のため案による。★10/2：別表の事項十（医療介護連携に関する加算の算定状況）を、受領済みの見える化 δ1-c に算定率と偏差値が収録されていたため対応に改めた。一部対応は5事項から4事項。事項三（死亡場所別の死亡数）も在宅死亡者数の偏差値を掲げたが、単位の確認が前提。★10/4：事項七・八について見える化に使える系列がないかを当たった。入所率・稼働率・従事者数の系列はない（人員体制は地域包括支援センターのものに限られる）。一方、要介護者等である入居者の状況は特定施設入居者生活介護の給付実績により把握できることが分かり、事項八の対応できていない指標を「施設数・戸数・定員」に絞った。★10/6：資6の一部対応4事項（三・六・七・八）を、受領済みのデータで対応に改められるか確かめた。対応に改められたものはないが、空白を4つとも絞り込めた。事項七は「入所率、入退所の状況、従事者数」から「入退所の状況、従事者数」に。施設・事業所数は見える化のサービス提供事業所数（28サービス・平成24〜令和6年度）で把握でき、入所率・稼働率は定員と受給者数から算定できている（認知症対応型共同生活介護92.6%・通所介護77.8%）。事項八は「施設数・戸数・定員」から「指定を受けない有料老人ホーム・サービス付き高齢者向け住宅の有無」に。指定を受けた特定施設入居者生活介護は平成24年度から令和6年度まで村内0であることを確かめた。残るのは県の所管（老人福祉法29条の届出・高齢者住まい法の登録）であり、県への照会に切り替えた。事項三は出典の表記に住民基本台帳人口が含まれることから人口あたりの率と判明し、確認先が村ではなく国のオープンデータの定義であることを特定した。事項六は第10期調査のB票 問6・問10で把握し、集計の定義は集計仕様書のX-16・X-17に済んでいる。事項七・八について確認事項を2件起票した。★10/12：資6で「一部」とした事項三・七・八について、村・県への照会の文面を整えた（doc85）。照会票は文の単位で170字までしか出ないため、6件とも1文目をお願いに差し替えた。点検69（「一部」の事項に追いかける先があること）を新設した。</t>
        </is>
      </c>
    </row>
    <row r="62" ht="30" customHeight="1">
      <c r="A62" s="4" t="inlineStr">
        <is>
          <t>Ⅱ-52</t>
        </is>
      </c>
      <c r="B62" s="6" t="inlineStr">
        <is>
          <t>Ⅱ 計画策定</t>
        </is>
      </c>
      <c r="C62" s="6" t="inlineStr">
        <is>
          <t>Ⅱ-1 基礎調査</t>
        </is>
      </c>
      <c r="D62" s="7" t="inlineStr">
        <is>
          <t>前提条件と基本的課題の明確化</t>
        </is>
      </c>
      <c r="E62" s="4" t="inlineStr">
        <is>
          <t>仕様書4Ⅱ(1)</t>
        </is>
      </c>
      <c r="F62" s="4" t="inlineStr">
        <is>
          <t>受託者</t>
        </is>
      </c>
      <c r="G62" s="7" t="inlineStr">
        <is>
          <t>課題整理メモ</t>
        </is>
      </c>
      <c r="H62" s="7" t="inlineStr"/>
      <c r="I62" s="4" t="inlineStr">
        <is>
          <t>R8.11</t>
        </is>
      </c>
      <c r="J62" s="8" t="n"/>
      <c r="K62" s="8" t="n"/>
      <c r="L62" s="8" t="n">
        <v>46265</v>
      </c>
      <c r="M62" s="8" t="n">
        <v>46265</v>
      </c>
      <c r="N62" s="9" t="n">
        <v>1</v>
      </c>
      <c r="O62" s="10" t="inlineStr">
        <is>
          <t>完了</t>
        </is>
      </c>
      <c r="P62" s="7" t="inlineStr">
        <is>
          <t>doc11として整理完了。前提条件4区分＋基本的課題5本。国の基本指針は未告示のため告示後に追記。</t>
        </is>
      </c>
    </row>
    <row r="63" ht="30" customHeight="1">
      <c r="A63" s="11" t="inlineStr">
        <is>
          <t>Ⅱ-53</t>
        </is>
      </c>
      <c r="B63" s="12" t="inlineStr">
        <is>
          <t>Ⅱ 計画策定</t>
        </is>
      </c>
      <c r="C63" s="12" t="inlineStr">
        <is>
          <t>Ⅱ-2 現行計画の評価</t>
        </is>
      </c>
      <c r="D63" s="13" t="inlineStr">
        <is>
          <t>高齢者福祉事業等の実績資料の受領</t>
        </is>
      </c>
      <c r="E63" s="11" t="inlineStr">
        <is>
          <t>仕様書4Ⅱ(2)①</t>
        </is>
      </c>
      <c r="F63" s="11" t="inlineStr">
        <is>
          <t>北塩原村</t>
        </is>
      </c>
      <c r="G63" s="13" t="inlineStr">
        <is>
          <t>実績資料</t>
        </is>
      </c>
      <c r="H63" s="13" t="inlineStr">
        <is>
          <t>R6年度実績、可能であればR7年度</t>
        </is>
      </c>
      <c r="I63" s="11" t="inlineStr">
        <is>
          <t>R8.10〜11</t>
        </is>
      </c>
      <c r="J63" s="14" t="n"/>
      <c r="K63" s="14" t="n"/>
      <c r="L63" s="14" t="n">
        <v>46272</v>
      </c>
      <c r="M63" s="14" t="n"/>
      <c r="N63" s="15" t="n">
        <v>0.55</v>
      </c>
      <c r="O63" s="16" t="inlineStr">
        <is>
          <t>着手</t>
        </is>
      </c>
      <c r="P63" s="13" t="inlineStr">
        <is>
          <t>見える化・決算は受領。★9/7：成年後見の実績（利用促進施策の取組状況調査 令和7・8年度、会津権利擁護・成年後見センターの相談件数 令和6・7年度）と合計所得金額分布調査を受領。村単独事業（除雪・緊急通報・生活支援ハウス等）の実績数値は引き続き未受領。</t>
        </is>
      </c>
    </row>
    <row r="64" ht="30" customHeight="1">
      <c r="A64" s="11" t="inlineStr">
        <is>
          <t>Ⅱ-54</t>
        </is>
      </c>
      <c r="B64" s="12" t="inlineStr">
        <is>
          <t>Ⅱ 計画策定</t>
        </is>
      </c>
      <c r="C64" s="12" t="inlineStr">
        <is>
          <t>Ⅱ-2 現行計画の評価</t>
        </is>
      </c>
      <c r="D64" s="13" t="inlineStr">
        <is>
          <t>高齢者福祉事業等の実施状況の把握と課題整理</t>
        </is>
      </c>
      <c r="E64" s="11" t="inlineStr">
        <is>
          <t>仕様書4Ⅱ(2)①</t>
        </is>
      </c>
      <c r="F64" s="11" t="inlineStr">
        <is>
          <t>受託者</t>
        </is>
      </c>
      <c r="G64" s="13" t="inlineStr">
        <is>
          <t>評価シート</t>
        </is>
      </c>
      <c r="H64" s="13" t="inlineStr"/>
      <c r="I64" s="11" t="inlineStr">
        <is>
          <t>R8.11</t>
        </is>
      </c>
      <c r="J64" s="14" t="n"/>
      <c r="K64" s="14" t="n"/>
      <c r="L64" s="14" t="n">
        <v>46267</v>
      </c>
      <c r="M64" s="14" t="n"/>
      <c r="N64" s="15" t="n">
        <v>0.88</v>
      </c>
      <c r="O64" s="16" t="inlineStr">
        <is>
          <t>着手</t>
        </is>
      </c>
      <c r="P64" s="13" t="inlineStr">
        <is>
          <t>doc14で第9期施策19本を評価。キックオフ資料により村単独事業名（除雪サービス・緊急通報・生活支援ハウス・はつらつ貯筋教室等）を把握。交付金の指標単位データにより給付適正化の実施状況が判明（doc20§8-2）。実績数値は未受領のため一部保留。進捗管理評価シート27頁の全文読み込みが未了。★10/2：医療と介護の連携の状況を加算の算定率により把握し素案2-5に掲げた。連携が成立しているのは村内の認知症対応型共同生活介護と医療機関の間に限られる。</t>
        </is>
      </c>
    </row>
    <row r="65" ht="30" customHeight="1">
      <c r="A65" s="11" t="inlineStr">
        <is>
          <t>Ⅱ-55</t>
        </is>
      </c>
      <c r="B65" s="12" t="inlineStr">
        <is>
          <t>Ⅱ 計画策定</t>
        </is>
      </c>
      <c r="C65" s="12" t="inlineStr">
        <is>
          <t>Ⅱ-2 現行計画の評価</t>
        </is>
      </c>
      <c r="D65" s="13" t="inlineStr">
        <is>
          <t>介護保険給付統計の取りまとめ</t>
        </is>
      </c>
      <c r="E65" s="11" t="inlineStr">
        <is>
          <t>仕様書4Ⅱ(2)②</t>
        </is>
      </c>
      <c r="F65" s="11" t="inlineStr">
        <is>
          <t>受託者</t>
        </is>
      </c>
      <c r="G65" s="13" t="inlineStr">
        <is>
          <t>統計表</t>
        </is>
      </c>
      <c r="H65" s="13" t="inlineStr"/>
      <c r="I65" s="11" t="inlineStr">
        <is>
          <t>R8.11</t>
        </is>
      </c>
      <c r="J65" s="14" t="n"/>
      <c r="K65" s="14" t="n"/>
      <c r="L65" s="14" t="n">
        <v>46265</v>
      </c>
      <c r="M65" s="14" t="n"/>
      <c r="N65" s="15" t="n">
        <v>0.85</v>
      </c>
      <c r="O65" s="16" t="inlineStr">
        <is>
          <t>着手</t>
        </is>
      </c>
      <c r="P65" s="13" t="inlineStr">
        <is>
          <t>D系給付費・K系施設数・D47/D48特別会計決算まで整理済（doc02）。令和6年度決算が未入手。★9/24：介護サービス自給率（δ2・δ2-a〜e）が取得済みでありながら未使用であったため素案2-5に投入した（doc38§A-1）。村外利用の割合を測る最も直接的な指標であり、短期入所系0%は村内に事業所がないことの裏づけになる。</t>
        </is>
      </c>
    </row>
    <row r="66" ht="30" customHeight="1">
      <c r="A66" s="11" t="inlineStr">
        <is>
          <t>Ⅱ-56</t>
        </is>
      </c>
      <c r="B66" s="12" t="inlineStr">
        <is>
          <t>Ⅱ 計画策定</t>
        </is>
      </c>
      <c r="C66" s="12" t="inlineStr">
        <is>
          <t>Ⅱ-2 現行計画の評価</t>
        </is>
      </c>
      <c r="D66" s="13" t="inlineStr">
        <is>
          <t>計画数値の評価（計画値と実績の乖離分析）</t>
        </is>
      </c>
      <c r="E66" s="11" t="inlineStr">
        <is>
          <t>仕様書4Ⅱ(2)②</t>
        </is>
      </c>
      <c r="F66" s="11" t="inlineStr">
        <is>
          <t>受託者</t>
        </is>
      </c>
      <c r="G66" s="13" t="inlineStr">
        <is>
          <t>乖離分析表</t>
        </is>
      </c>
      <c r="H66" s="13" t="inlineStr">
        <is>
          <t>第9期は第1号被保険者数を過小推計（-5.6〜-6.8%）</t>
        </is>
      </c>
      <c r="I66" s="11" t="inlineStr">
        <is>
          <t>R8.11</t>
        </is>
      </c>
      <c r="J66" s="14" t="n"/>
      <c r="K66" s="14" t="n"/>
      <c r="L66" s="14" t="n">
        <v>46265</v>
      </c>
      <c r="M66" s="14" t="n"/>
      <c r="N66" s="15" t="n">
        <v>0.95</v>
      </c>
      <c r="O66" s="16" t="inlineStr">
        <is>
          <t>着手</t>
        </is>
      </c>
      <c r="P66" s="13" t="inlineStr">
        <is>
          <t>見える化の地域分析P1〜P4および一括受領738冊と素案の数値を突合し、本村の値の食い違いがないことを確認（doc51・doc52）。費用額の順位の誤り4か所を訂正。</t>
        </is>
      </c>
    </row>
    <row r="67" ht="30" customHeight="1">
      <c r="A67" s="4" t="inlineStr">
        <is>
          <t>Ⅱ-57</t>
        </is>
      </c>
      <c r="B67" s="6" t="inlineStr">
        <is>
          <t>Ⅱ 計画策定</t>
        </is>
      </c>
      <c r="C67" s="6" t="inlineStr">
        <is>
          <t>Ⅱ-2 現行計画の評価</t>
        </is>
      </c>
      <c r="D67" s="7" t="inlineStr">
        <is>
          <t>課題の整理</t>
        </is>
      </c>
      <c r="E67" s="4" t="inlineStr">
        <is>
          <t>仕様書4Ⅱ(2)</t>
        </is>
      </c>
      <c r="F67" s="4" t="inlineStr">
        <is>
          <t>受託者</t>
        </is>
      </c>
      <c r="G67" s="7" t="inlineStr">
        <is>
          <t>課題一覧</t>
        </is>
      </c>
      <c r="H67" s="7" t="inlineStr"/>
      <c r="I67" s="4" t="inlineStr">
        <is>
          <t>R8.11</t>
        </is>
      </c>
      <c r="J67" s="8" t="n"/>
      <c r="K67" s="8" t="n"/>
      <c r="L67" s="8" t="n">
        <v>46265</v>
      </c>
      <c r="M67" s="8" t="n">
        <v>46265</v>
      </c>
      <c r="N67" s="9" t="n">
        <v>1</v>
      </c>
      <c r="O67" s="10" t="inlineStr">
        <is>
          <t>完了</t>
        </is>
      </c>
      <c r="P67" s="7" t="inlineStr">
        <is>
          <t>doc11で基本的課題5本に集約完了。各課題を交付金評価指標と対応づけ。</t>
        </is>
      </c>
    </row>
    <row r="68" ht="30" customHeight="1">
      <c r="A68" s="11" t="inlineStr">
        <is>
          <t>Ⅱ-115</t>
        </is>
      </c>
      <c r="B68" s="12" t="inlineStr">
        <is>
          <t>Ⅱ 計画策定</t>
        </is>
      </c>
      <c r="C68" s="12" t="inlineStr">
        <is>
          <t>Ⅱ-2 現行計画の評価</t>
        </is>
      </c>
      <c r="D68" s="13" t="inlineStr">
        <is>
          <t>見える化システムの収録データの受領と成果品との突合</t>
        </is>
      </c>
      <c r="E68" s="11" t="inlineStr">
        <is>
          <t>仕様書4Ⅱ(2)②</t>
        </is>
      </c>
      <c r="F68" s="11" t="inlineStr">
        <is>
          <t>双方</t>
        </is>
      </c>
      <c r="G68" s="13" t="inlineStr">
        <is>
          <t>突合の点検（verify_mieruka.py）・mieruka_batch.csv</t>
        </is>
      </c>
      <c r="H68" s="13" t="inlineStr">
        <is>
          <t>村から見える化の出力を受領。本村の値のみを対象とし他自治体は参照値</t>
        </is>
      </c>
      <c r="I68" s="11" t="inlineStr">
        <is>
          <t>R8.9〜10</t>
        </is>
      </c>
      <c r="J68" s="14" t="n"/>
      <c r="K68" s="14" t="n"/>
      <c r="L68" s="14" t="n">
        <v>46294</v>
      </c>
      <c r="M68" s="14" t="n"/>
      <c r="N68" s="15" t="n">
        <v>0.98</v>
      </c>
      <c r="O68" s="16" t="inlineStr">
        <is>
          <t>着手</t>
        </is>
      </c>
      <c r="P68" s="13" t="inlineStr">
        <is>
          <t>ZIP20本・738冊を受領し全冊を読み取り。本村の値のみを対象とし他自治体は参照値として扱った。点検52件すべて適合。受領した長形式CSVは期の欄が別の自治体の行の値になっていたため、実物から取り出し直した。交付金W系列210冊のうち本村の値があるのは103冊で、107冊は福島県の列のみ。★10/2：突合を52→63件に広げた。正本21図それぞれに突合の状態を定め、突合済み14図・見える化に相手がない7図を点検32で網羅。新規認定の要支援1の割合（B9）、1人あたり定員（D29・D30）、調整済み認定率（B5-a・B6-a・B6-b）を加えた。★10/4：突合を63→69件に。見える化に相手がないとしていた7図のうち3図（図2-12・図2-16・図2-18）がD6・D47・D48と1点のずれもなく一致した。決算の系列は締めの日で期を呼ぶため1年ずらす必要があった。突合済みは17図、相手がない図は4図。★10/5：居宅・地域密着型・施設の区分別の図2点を、サービス別の系列（D13の27サービス）から組み直した。27サービスの和が7区分の計と一致することを点検40で確かめている。突合は71件。</t>
        </is>
      </c>
    </row>
    <row r="69" ht="30" customHeight="1">
      <c r="A69" s="4" t="inlineStr">
        <is>
          <t>Ⅱ-58</t>
        </is>
      </c>
      <c r="B69" s="6" t="inlineStr">
        <is>
          <t>Ⅱ 計画策定</t>
        </is>
      </c>
      <c r="C69" s="6" t="inlineStr">
        <is>
          <t>Ⅱ-3 見込量・保険料</t>
        </is>
      </c>
      <c r="D69" s="7" t="inlineStr">
        <is>
          <t>将来人口の整理（2040年度含む中長期）</t>
        </is>
      </c>
      <c r="E69" s="4" t="inlineStr">
        <is>
          <t>仕様書4Ⅱ(3)</t>
        </is>
      </c>
      <c r="F69" s="4" t="inlineStr">
        <is>
          <t>受託者</t>
        </is>
      </c>
      <c r="G69" s="7" t="inlineStr">
        <is>
          <t>人口推計表</t>
        </is>
      </c>
      <c r="H69" s="7" t="inlineStr">
        <is>
          <t>社人研の新推計（2050年まで）に差し替え</t>
        </is>
      </c>
      <c r="I69" s="4" t="inlineStr">
        <is>
          <t>R8.11〜12</t>
        </is>
      </c>
      <c r="J69" s="8" t="n"/>
      <c r="K69" s="8" t="n"/>
      <c r="L69" s="8" t="n">
        <v>46265</v>
      </c>
      <c r="M69" s="8" t="n">
        <v>46272</v>
      </c>
      <c r="N69" s="9" t="n">
        <v>1</v>
      </c>
      <c r="O69" s="10" t="inlineStr">
        <is>
          <t>完了</t>
        </is>
      </c>
      <c r="P69" s="7" t="inlineStr">
        <is>
          <t>見える化P1との突合により9点すべて一致を確認（doc51）。</t>
        </is>
      </c>
    </row>
    <row r="70" ht="30" customHeight="1">
      <c r="A70" s="11" t="inlineStr">
        <is>
          <t>Ⅱ-59</t>
        </is>
      </c>
      <c r="B70" s="12" t="inlineStr">
        <is>
          <t>Ⅱ 計画策定</t>
        </is>
      </c>
      <c r="C70" s="12" t="inlineStr">
        <is>
          <t>Ⅱ-3 見込量・保険料</t>
        </is>
      </c>
      <c r="D70" s="13" t="inlineStr">
        <is>
          <t>第1号被保険者数の推計</t>
        </is>
      </c>
      <c r="E70" s="11" t="inlineStr">
        <is>
          <t>仕様書4Ⅱ(3)①</t>
        </is>
      </c>
      <c r="F70" s="11" t="inlineStr">
        <is>
          <t>受託者</t>
        </is>
      </c>
      <c r="G70" s="13" t="inlineStr">
        <is>
          <t>推計表</t>
        </is>
      </c>
      <c r="H70" s="13" t="inlineStr">
        <is>
          <t>第9期の過小推計を直近実績で補正</t>
        </is>
      </c>
      <c r="I70" s="11" t="inlineStr">
        <is>
          <t>R8.11〜12</t>
        </is>
      </c>
      <c r="J70" s="14" t="n"/>
      <c r="K70" s="14" t="n"/>
      <c r="L70" s="14" t="n">
        <v>46265</v>
      </c>
      <c r="M70" s="14" t="n"/>
      <c r="N70" s="15" t="n">
        <v>0.95</v>
      </c>
      <c r="O70" s="16" t="inlineStr">
        <is>
          <t>着手</t>
        </is>
      </c>
      <c r="P70" s="13" t="inlineStr">
        <is>
          <t>doc13で前期・後期別の乖離率補正により令和9〜11年度末を算定（1,002／997／990人）。scripts/estimate_population.pyで再現可能。★9/15：素案5-2・5-3が社人研推計（国勢調査ベース）、5-4以降が厚生労働省配布の推計用人口（住民基本台帳ベース）を用いており2系列が併存していたことが判明。厚生労働省配布の系列（B案・令和7年12月末実績にリベース）に統一し、素案5-1・5-2を全面改訂した（1,004／995／987人）。2つの方法の差は最大3人（0.3%・保険料月額約7円）であり、検証として素案5-2に併記。残るのは補正手法の村合意と国ワークシートによる確定のみ。★10/7：国の推計ワークシート（将来推計総括表・令和8年10月5日出力）を受領した。国の値は令和9年度1,004人・令和10年度1,000人・令和11年度994人で、配布データをそのまま用いるA案（946／939／931）ではなく実績にリベースした系列であり、当方のB案（1,004／995／987）と1〜7人（0.1〜0.7%）の差にとどまる。B案の採用が裏づけられた。一方、前期・後期の内訳は食い違う（国は3区分で前期444／425／405・後期560／575／589、当方は2区分で前期465／444／424・後期538／551／563）。後期高齢者の割合は2.1〜2.2ポイント開く。国の様式は3区分で持つため、当方が提案していた②前期・後期高齢者別は選べない。素案5-2を国の3区分に揃える作業が残る。</t>
        </is>
      </c>
    </row>
    <row r="71" ht="30" customHeight="1">
      <c r="A71" s="11" t="inlineStr">
        <is>
          <t>Ⅱ-60</t>
        </is>
      </c>
      <c r="B71" s="12" t="inlineStr">
        <is>
          <t>Ⅱ 計画策定</t>
        </is>
      </c>
      <c r="C71" s="12" t="inlineStr">
        <is>
          <t>Ⅱ-3 見込量・保険料</t>
        </is>
      </c>
      <c r="D71" s="13" t="inlineStr">
        <is>
          <t>要介護者数の推計</t>
        </is>
      </c>
      <c r="E71" s="11" t="inlineStr">
        <is>
          <t>仕様書4Ⅱ(3)①</t>
        </is>
      </c>
      <c r="F71" s="11" t="inlineStr">
        <is>
          <t>受託者</t>
        </is>
      </c>
      <c r="G71" s="13" t="inlineStr">
        <is>
          <t>推計表</t>
        </is>
      </c>
      <c r="H71" s="13" t="inlineStr">
        <is>
          <t>要支援1の急増（39→51人）を反映</t>
        </is>
      </c>
      <c r="I71" s="11" t="inlineStr">
        <is>
          <t>R8.11〜12</t>
        </is>
      </c>
      <c r="J71" s="14" t="n"/>
      <c r="K71" s="14" t="n"/>
      <c r="L71" s="14" t="n">
        <v>46265</v>
      </c>
      <c r="M71" s="14" t="n"/>
      <c r="N71" s="15" t="n">
        <v>0.95</v>
      </c>
      <c r="O71" s="16" t="inlineStr">
        <is>
          <t>着手</t>
        </is>
      </c>
      <c r="P71" s="13" t="inlineStr">
        <is>
          <t>★9/7：doc29／scripts/estimate_certified.py として要介護度別の推計を確立。見える化のB4-a（全体）とB4-d（75歳以上）から前期・後期別の要介護度別認定率を分解（前期5.86%／後期34.70%）。B案×令和8年の認定率で基準年が実績と完全一致（211人・要支援1=51・要支援2=29・要介護1=50）。令和9年214人／令和10年217人／令和11年220人。認定率の基準2種×被保険者数2案の4通りを出力し、令和11年度で最大12人・5.8%の幅。★9/15：素案5-3に要介護度別（要支援1〜要介護5）の見込みを掲載し、認定率の置き方3とおりの幅を明示した（令和11年で①3か年平均220人〈採用〉・②直近年度固定224人・③年0.62pt上昇226人、保険料で月額約170円の幅）。国ワークシートの受領で確定する。★10/7：素案5-3を国の推計ワークシートの値に組み替えた（doc67）。令和9年度208人・令和10年度211人・令和11年度210人（第1号被保険者の分）である。当方の算定（214／217／220）は検算として併記し、3か年計で22人（3.5%）高いこと、原因が認定率の置き方であること（当方の認定率を国の内訳に乗じると220／224／228人とさらに高くなる）を本文に書いた。保険料への効きは月額約200円である。要支援1が6人増え要介護2が6人減る動きを本文に起こし、施策1-2・施策3-1へつないだ。doc66の突合で第2号被保険者を含む総数635人と当方の第1号651人を取り違えていた誤りを直した（正しくは629人・▲3.4%）。点検26を組み替え、取り違えが戻れば不適合になるようにした。</t>
        </is>
      </c>
    </row>
    <row r="72" ht="30" customHeight="1">
      <c r="A72" s="11" t="inlineStr">
        <is>
          <t>Ⅱ-61</t>
        </is>
      </c>
      <c r="B72" s="12" t="inlineStr">
        <is>
          <t>Ⅱ 計画策定</t>
        </is>
      </c>
      <c r="C72" s="12" t="inlineStr">
        <is>
          <t>Ⅱ-3 見込量・保険料</t>
        </is>
      </c>
      <c r="D72" s="13" t="inlineStr">
        <is>
          <t>各介護保険サービス見込量の推計</t>
        </is>
      </c>
      <c r="E72" s="11" t="inlineStr">
        <is>
          <t>仕様書4Ⅱ(3)②</t>
        </is>
      </c>
      <c r="F72" s="11" t="inlineStr">
        <is>
          <t>受託者</t>
        </is>
      </c>
      <c r="G72" s="13" t="inlineStr">
        <is>
          <t>見込量表</t>
        </is>
      </c>
      <c r="H72" s="13" t="inlineStr">
        <is>
          <t>居宅・施設・地域密着型・総合事業。村外利用を考慮</t>
        </is>
      </c>
      <c r="I72" s="11" t="inlineStr">
        <is>
          <t>R8.12</t>
        </is>
      </c>
      <c r="J72" s="14" t="n"/>
      <c r="K72" s="14" t="n"/>
      <c r="L72" s="14" t="n">
        <v>46272</v>
      </c>
      <c r="M72" s="14" t="n"/>
      <c r="N72" s="15" t="n">
        <v>0.95</v>
      </c>
      <c r="O72" s="16" t="inlineStr">
        <is>
          <t>着手</t>
        </is>
      </c>
      <c r="P72" s="13" t="inlineStr">
        <is>
          <t>★9/8：doc30として推計の枠組みを確定。「見える化」システムのデータ定義（受給者数＝年度延べ、D45系の分母＝要介護度別認定者数）を検算のうえ確定し、estimate_services.py により区分別・サービス種類別の見込量を算定。全28サービスのうち令和7年度に実績のある16サービスについて受給者数・利用量・給付費の暫定値を doc18 第5章5-4に投入。施設・居住系の種類別人数は見える化に系列がなく給付費比の按分値のため、村の月報（第2表・第3表）で置き換えが必要。介護給付と予防給付の分離も同じく月報待ち。★9/12：他案件（川崎町・金ケ崎町・大雪）の到達水準と対照し（doc33）、基準年度を令和7年度と確定。見える化の系列別の月数を実測で確認し（D1はR7が11か月、D2/D3/D4は12か月相当）doc30の÷12が正しいことを裏付けて素案5-4に明記。令和9年4月新設4区分の枠と、国の推計ツールのワーニング判定式（閾値＝Q1−2Q〜Q3+2Q）による自己点検の手順を追加。国の推計ツールの出力は未受領で、依頼書18-2として最優先で追加した。★9/15：他案件（大雪・川崎・金ケ崎）の算定の進め方を確認し、本村に適用して第1次概算を実施（doc35）。(1)見込量は需要で置く／地域密着型と総合事業のみ村の供給力が上限、という原則を素案5-4に明記。(2)令和9年4月新設4区分を「―」「要協議」から0に立て直した。(3)夜間対応型訪問介護の令和9年3月末廃止を反映。(4)単価の趨勢を連鎖ラスパイレス指数で実測（R元→R7の年率+1.30%）。3か年平均で固定していることは給付費の5.32%過小＝保険料月額314円に当たる。(5)サービス別の受給者数の年率が▲13.12〜+54.88%と68ポイント開いていることを実測し、伸びをどこまで反映すべきかをバックテストで検証（backtest_growth.py）。φ=0.5・c=5%が最小（WMAPE19.11%）だが一律19.68%に対し改善は2.9%にとどまるため一律を採用すると決定。(6)一律の方法で3年先を予測したときの誤差は絶対値平均11.9%＝保険料月額約700円で、基金取崩24,000千円の効き（702円）と同規模。素案5-4(9)として新設。(7)在宅介護実態調査の施設入所申込みの反映シナリオの枠を素案5-4(3)に新設（+1人／月＝月額75円）。残るのは国の推計ワークシートによる基準年度の置き直しの分解のみ。★9/15（第3次）：推計の系列を統一し、給付費を分離した（doc35§7-3）。(1)素案5-2・5-3が社人研推計（国勢調査ベース）、5-4以降が厚生労働省配布の推計用人口（住民基本台帳ベース）を用いており、令和11年の認定者数が230人と220人で食い違っていた。厚生労働省配布の系列（B案）に統一し5-1・5-2・5-3を全面改訂。5-1に①第1号被保険者数→②認定者数→③受給者数→④利用量→⑤給付費→⑥標準給付費→⑦保険料の連なりを表で明示した。(2)決算（D48-b）の介護サービス等諸費／介護予防サービス等諸費と要介護度別受給者数を突き合わせ、予防給付19,002円・介護給付175,230円の1人あたり給付月額を復元（令和3〜5年度で±1.6%以内の安定）。第10期3か年で介護給付費755,119千円・予防給付費34,344千円に分離し、5-6の空欄を埋めた。(3)見込量の自己点検を実施（check_warning.py）。年度間の変化率は3区分とも4%以内。令和7年度実績→令和9年度見込で±10%超は4件（居宅療養管理指導▲25.3%、短期入所生活介護▲20.8%、訪問入浴介護・地域密着型通所介護は新規計上）。いずれも3か年平均で置くことの副作用であり委員会にお諮りする。(4)地域支援事業費を新系列で置き直し3か年122,737千円（保険料月額+22円）。★9/16：認知症関連を反映（doc36§4）。5-4(7)の必要利用定員総数に認知症高齢者数との対比を追加（自立度Ⅱ以上1人あたりの定員は令和2年0.178人分→令和6年0.168人分。定員は平成28年度以降27人で固定、稼働率93%）。5-5(1)に認知症総合支援事業の6行（初期集中支援推進事業の対象者数・地域支援推進員・認知症カフェ・サポーター養成講座・養成者数・チームオレンジ）を新設。大半が実績未受領のため空欄。村内GHの待機者数と村外GH利用者数が未受領で、定員の増減を委員会に諮れない状態である（優先度A）。★9/24：他案件（大雪・川崎）のブランチを確認し、大雪の点検から5点を採った（doc37）。(1)利用率の分母を実データで検算（verify_bunbo.py）。見える化のサービス利用率の分母は要介護度別認定者数であり本村の算定と整合、直すところはなかった。ただし国の将来推計が在宅の分母を「認定者数−施設・居住系」とする場合要介護1で58.8%→86.1%、要介護2で107.7%（100%超）に変わるため、ワークシート受領時に確認を要する。要介護2の3区分合計が101.5%で、年度途中の在宅→施設の移行による重複1.5%が判明。(2)単価の趨勢と介護報酬改定率の二重計上を防ぐ断りを5-4(10)①に追加。趨勢は改定を含む実測値のため両者は択一。(3)供給の制約（村内定員の到達率）を算定（estimate_supply.py）。GH令和11年度90.7%・通所介護83.6%で超過なし。年報は施設の所在地を問わないため到達率は上限ではないことを明記。5-4(5)として新設。★10/8：居住系サービスの受給者数を、按分の参考値から算出に切り替えた。受給者数＝第1号被保険者1人あたり給付月額（D13）×第1号被保険者数÷受給者1人あたり給付月額（D17）。通所介護で検算すると素案の値（令和5年度37.2・令和6年度42.2・令和7年度38.9人／月）と一致し、居住系2種の和は見える化の居住系受給者数（D1）と令和5・6年度で完全に一致した（令和7年度は0.3人の差。給付費が0のサービスには残差を割り振れないため）。D17系列があるのは15サービスで、施設サービス3種（特養・老健・介護医療院）にはないため按分の参考値のままである。認知症対応型共同生活介護は令和7年度25.0→23.8人／月、到達率92.6→88.1%に改まった。特定施設入居者生活介護は2.4→3.3人／月。見込量は給付費で算定しているため保険料には影響しない。点検72で算出が維持されていることを確かめる。</t>
        </is>
      </c>
    </row>
    <row r="73" ht="30" customHeight="1">
      <c r="A73" s="11" t="inlineStr">
        <is>
          <t>Ⅱ-105</t>
        </is>
      </c>
      <c r="B73" s="12" t="inlineStr">
        <is>
          <t>Ⅱ 計画策定</t>
        </is>
      </c>
      <c r="C73" s="12" t="inlineStr">
        <is>
          <t>Ⅱ-3 見込量・保険料</t>
        </is>
      </c>
      <c r="D73" s="13" t="inlineStr">
        <is>
          <t>地域密着型サービスの必要利用定員総数の設定</t>
        </is>
      </c>
      <c r="E73" s="11" t="inlineStr">
        <is>
          <t>仕様書4Ⅱ(3)②</t>
        </is>
      </c>
      <c r="F73" s="11" t="inlineStr">
        <is>
          <t>受託者</t>
        </is>
      </c>
      <c r="G73" s="13" t="inlineStr">
        <is>
          <t>定員総数表</t>
        </is>
      </c>
      <c r="H73" s="13" t="inlineStr">
        <is>
          <t>介護保険法117条2項1号（義務）。本村に関係するのは認知症対応型共同生活介護のみ</t>
        </is>
      </c>
      <c r="I73" s="11" t="inlineStr">
        <is>
          <t>R8.12</t>
        </is>
      </c>
      <c r="J73" s="14" t="n"/>
      <c r="K73" s="14" t="n"/>
      <c r="L73" s="14" t="n">
        <v>46275</v>
      </c>
      <c r="M73" s="14" t="n"/>
      <c r="N73" s="15" t="n">
        <v>0.95</v>
      </c>
      <c r="O73" s="16" t="inlineStr">
        <is>
          <t>着手</t>
        </is>
      </c>
      <c r="P73" s="13" t="inlineStr">
        <is>
          <t>★介護保険法117条2項1号の義務的記載事項。doc32で欠落を検出し素案5-4(8)に新設した。本村に関係するのは認知症対応型共同生活介護のみで27人を仮置き。稼働率93%・第10期は居住系が増加見込みで村内に余地がないため、増床・村外対応・在宅対応のいずれを取るかは村の判断を要する（確認事項 優先度B）。★10/7：「真に入所が必要と判断される被保険者」を在宅介護実態調査から数える手順を集計仕様書に落とした。派生変数Z01（入所の必要性の3区分）とZ02（村内施設の需要の2区分）を定義し、クロス表X-21（3区分×要介護度）・X-22（3区分×村内施設があれば）を加えた。Z01はA票 問6（入所・入居の検討状況）を基礎に、問12・問14・B票 問10を重ねて①在宅で続けられる方／②支援を強めれば続けられる方／③入所が必要な方に分ける。判定の境目（B票 問10の選択肢の水準と問14の頻度）は調査の結果を見て確定する。回収が50〜60件程度と見込まれるため、該当数が10未満の区分は統合して示す（doc16 §6）。クロス表は20表から22表になり、doc24・doc25の件数も改めた。★10/7：県の施設・居住系サービスの整備量見込みシート（令和8年10月6日提出）を受領した。認知症高齢者グループホームの定員は令和8年度末27人・令和9〜11年度いずれも27人（整備数0）で県に提出済みであり、素案5-4(8)の27人維持の仮置きは村の提出内容と一致する。利用者数は令和8年度26人から令和9〜11年度27人で到達率100%（満床）の見込みである。待機者がいる場合は村外または在宅での対応になるため、待機の状況（人数・待機期間）の照会を起票した。必要利用定員総数の設定そのものは確定した。★10/8：素案5-4の施設・居住系5サービスの見込量を県の整備量見込みシートの値に置き換えた（doc69）。県シートの記入要領は「令和6〜8年度は月平均の実績人数（四捨五入）」としており、本村の被保険者の受給者数である。当方の算出（認知症GH 令和6年度21.0人・令和7年度23.8人、特養14.1人・12.8人、老健15.9人・16.6人、介護医療院1.2人・1.0人、特定施設2.6人・1.9人）は県シートの値と四捨五入の範囲で一致し、按分と算出の両方の方法が裏づけられた。食い違うのは見込みで、認知症GHは当方21.6人に対し県27人（定員27人・到達率100%・満床）である。当方の3か年平均は上がり続けている系列に対して構造的に低く出るため、村が県に提出した値を正とした。到達率は令和6年度77.8%・令和7年度88.9%・令和8年度96.3%・計画期間100%となり、2-5・2-11・施策3-2・資6の88.1%を96.3%・満床に改めた。estimate_supply.py を県シートを正本とする形に替え、年度の名をじか書きしていた欠陥（基準年度の並びを替えたとき、令和8年度の値に令和7年度の名が付いた）も直した。</t>
        </is>
      </c>
    </row>
    <row r="74" ht="30" customHeight="1">
      <c r="A74" s="11" t="inlineStr">
        <is>
          <t>Ⅱ-106</t>
        </is>
      </c>
      <c r="B74" s="12" t="inlineStr">
        <is>
          <t>Ⅱ 計画策定</t>
        </is>
      </c>
      <c r="C74" s="12" t="inlineStr">
        <is>
          <t>Ⅱ-3 見込量・保険料</t>
        </is>
      </c>
      <c r="D74" s="13" t="inlineStr">
        <is>
          <t>地域支援事業の量の見込みと事業費の算定</t>
        </is>
      </c>
      <c r="E74" s="11" t="inlineStr">
        <is>
          <t>仕様書4Ⅱ(3)②</t>
        </is>
      </c>
      <c r="F74" s="11" t="inlineStr">
        <is>
          <t>受託者</t>
        </is>
      </c>
      <c r="G74" s="13" t="inlineStr">
        <is>
          <t>地域支援事業費表</t>
        </is>
      </c>
      <c r="H74" s="13" t="inlineStr">
        <is>
          <t>介護保険法117条2項2号（義務）。総合事業・包括的支援事業・任意事業。保険料の構成要素でもある</t>
        </is>
      </c>
      <c r="I74" s="11" t="inlineStr">
        <is>
          <t>R8.12</t>
        </is>
      </c>
      <c r="J74" s="14" t="n"/>
      <c r="K74" s="14" t="n"/>
      <c r="L74" s="14" t="n">
        <v>46280</v>
      </c>
      <c r="M74" s="14" t="n"/>
      <c r="N74" s="15" t="n">
        <v>0.8</v>
      </c>
      <c r="O74" s="16" t="inlineStr">
        <is>
          <t>着手</t>
        </is>
      </c>
      <c r="P74" s="13" t="inlineStr">
        <is>
          <t>★介護保険法117条2項2号の義務的記載事項。estimate_chiiki_shien.py により第10期3か年122,737千円を算定し素案5-5に投入（保険料月額+22円）。認定者数と第1号被保険者数の両方に連動させる方式。事業別の内訳（総合事業・包括的支援事業・任意事業）は村の実績が未受領のため空欄が残る。</t>
        </is>
      </c>
    </row>
    <row r="75" ht="30" customHeight="1">
      <c r="A75" s="11" t="inlineStr">
        <is>
          <t>Ⅱ-62</t>
        </is>
      </c>
      <c r="B75" s="12" t="inlineStr">
        <is>
          <t>Ⅱ 計画策定</t>
        </is>
      </c>
      <c r="C75" s="12" t="inlineStr">
        <is>
          <t>Ⅱ-3 見込量・保険料</t>
        </is>
      </c>
      <c r="D75" s="13" t="inlineStr">
        <is>
          <t>給付費の試算</t>
        </is>
      </c>
      <c r="E75" s="11" t="inlineStr">
        <is>
          <t>仕様書4Ⅱ(3)③</t>
        </is>
      </c>
      <c r="F75" s="11" t="inlineStr">
        <is>
          <t>受託者</t>
        </is>
      </c>
      <c r="G75" s="13" t="inlineStr">
        <is>
          <t>給付費試算表</t>
        </is>
      </c>
      <c r="H75" s="13" t="inlineStr">
        <is>
          <t>R9年度報酬改定は現行単価で仮試算→確定後に精緻化</t>
        </is>
      </c>
      <c r="I75" s="11" t="inlineStr">
        <is>
          <t>R8.12</t>
        </is>
      </c>
      <c r="J75" s="14" t="n"/>
      <c r="K75" s="14" t="n"/>
      <c r="L75" s="14" t="n">
        <v>46265</v>
      </c>
      <c r="M75" s="14" t="n"/>
      <c r="N75" s="15" t="n">
        <v>0.9</v>
      </c>
      <c r="O75" s="16" t="inlineStr">
        <is>
          <t>着手</t>
        </is>
      </c>
      <c r="P75" s="13" t="inlineStr">
        <is>
          <t>★9/8：サービス諸費（介護サービス等諸費＋介護予防サービス等諸費）の推計値を算定し doc18 第5章5-6に投入（令和9年度263,470千円／10年度263,505千円／11年度262,488千円）。見える化D48系に令和5年度までの決算が入っていることが判明し、令和3〜5年度の実績（244,097／247,333／258,848千円）と対比。決算の未入手は令和6・7年度の2か年に縮小。補足給付・高額介護サービス費・審査支払手数料は令和5年度決算まで把握済。★9/12：標準給付費見込額（3年計854,014千円）を算定。令和6・7年度決算が未受領のため割増率とその他給付費は令和5年度決算で代用している。★9/15：地域支援事業費を事業の対象別に3分して積み上げた（estimate_chiiki_shien.py）。介護予防・生活支援サービス事業は認定者数の伸び、一般介護予防事業と包括的支援事業・任意事業は第1号被保険者数の伸びによる。3か年計124,788千円で、令和5年度決算×3年の119,658千円を5,130千円上回り、保険料月額+36円に当たる。素案5-5(2)に投入。あわせて感応度表に3行（地域支援事業費+36円／単価の趨勢+314円／推計誤差±約700円）を追加し、据え置き項目31件を素案5-12として一覧化した。★10/7：国の推計ワークシート（将来推計総括表・令和8年10月5日出力）を受領した。突合の結果、3か年計でサービス諸費は当方789,463千円・国858,882千円（＋8.8%）、標準給付費見込額は当方854,014千円・国919,537千円（＋7.7%）であった。内訳の差は特定入所者介護サービス費等▲27.5%、地域支援事業費＋23.4%、高額医療合算介護サービス費等が当方0・国8,519千円、算定対象審査支払手数料＋13.9%である。地域支援事業費は当方が令和5年度決算39,886千円を据え置いていたのに対し、国は47,686／49,218／50,751千円（年3.2%の伸び）で入っていた。国の値を正として5-6を組み替える。★10/8：施設・居住系の見込量が上がったため（doc69）、5-6の給付費も上がる。国の推計ワークシートのサービス諸費（3か年858,882千円）が当方の789,463千円より8.8%高く、その7割は認知症GHの5.4人の差で説明できる。5-6の組み替えは、令和9年度以降も0で入っている6サービスの扱いが決まった時点で行う（影響度1）。</t>
        </is>
      </c>
    </row>
    <row r="76" ht="30" customHeight="1">
      <c r="A76" s="11" t="inlineStr">
        <is>
          <t>Ⅱ-63</t>
        </is>
      </c>
      <c r="B76" s="12" t="inlineStr">
        <is>
          <t>Ⅱ 計画策定</t>
        </is>
      </c>
      <c r="C76" s="12" t="inlineStr">
        <is>
          <t>Ⅱ-3 見込量・保険料</t>
        </is>
      </c>
      <c r="D76" s="13" t="inlineStr">
        <is>
          <t>介護保険準備基金の残高・取崩方針の確認</t>
        </is>
      </c>
      <c r="E76" s="11" t="inlineStr">
        <is>
          <t>確認</t>
        </is>
      </c>
      <c r="F76" s="11" t="inlineStr">
        <is>
          <t>北塩原村</t>
        </is>
      </c>
      <c r="G76" s="13" t="inlineStr">
        <is>
          <t>基金残高資料</t>
        </is>
      </c>
      <c r="H76" s="13" t="inlineStr">
        <is>
          <t>第9期は設定額が必要額を上回る（R6+709円/R7+199円）</t>
        </is>
      </c>
      <c r="I76" s="11" t="inlineStr">
        <is>
          <t>R8.12</t>
        </is>
      </c>
      <c r="J76" s="14" t="n"/>
      <c r="K76" s="14" t="n"/>
      <c r="L76" s="14" t="n">
        <v>46267</v>
      </c>
      <c r="M76" s="14" t="n"/>
      <c r="N76" s="15" t="n">
        <v>0.75</v>
      </c>
      <c r="O76" s="16" t="inlineStr">
        <is>
          <t>着手</t>
        </is>
      </c>
      <c r="P76" s="13" t="inlineStr">
        <is>
          <t>★議事録に「基金の取り崩し（第9期は800万円程度）」とあり、第9期計画から読み取った24,000,000円との齟齬がある。年額か期間合計かの確認が必要（doc22 K-74）。複数パターンのシミュレーションを受託者で行うことは決着。★10/7：国の推計ワークシート（将来推計総括表・令和8年10月5日出力）を受領した。準備基金の残高（令和8年度末見込）42,128,183円、取崩額40,000,000円（残高の94.9%）、保険料への影響額は月額マイナス1,096.83円と判明した。第9期計画の24,000,000円は期間合計である。残高・取崩額の確認は解消し、残るのは取崩額の水準の判断である。取崩で第11期に余地が残らず第11期の保険料は7,301.29円（＋32.4%）に跳ね上がる見込みであるため、世代間の負担の公平に関わる村の判断事項として起票した。</t>
        </is>
      </c>
    </row>
    <row r="77" ht="30" customHeight="1">
      <c r="A77" s="11" t="inlineStr">
        <is>
          <t>Ⅱ-64</t>
        </is>
      </c>
      <c r="B77" s="12" t="inlineStr">
        <is>
          <t>Ⅱ 計画策定</t>
        </is>
      </c>
      <c r="C77" s="12" t="inlineStr">
        <is>
          <t>Ⅱ-3 見込量・保険料</t>
        </is>
      </c>
      <c r="D77" s="13" t="inlineStr">
        <is>
          <t>介護保険料の試算（複数案の比較）</t>
        </is>
      </c>
      <c r="E77" s="11" t="inlineStr">
        <is>
          <t>仕様書4Ⅱ(3)③</t>
        </is>
      </c>
      <c r="F77" s="11" t="inlineStr">
        <is>
          <t>受託者</t>
        </is>
      </c>
      <c r="G77" s="13" t="inlineStr">
        <is>
          <t>保険料試算表</t>
        </is>
      </c>
      <c r="H77" s="13" t="inlineStr">
        <is>
          <t>所得段階・基金活用・上限の設定を反映</t>
        </is>
      </c>
      <c r="I77" s="11" t="inlineStr">
        <is>
          <t>R8.12〜R9.1</t>
        </is>
      </c>
      <c r="J77" s="14" t="n"/>
      <c r="K77" s="14" t="n"/>
      <c r="L77" s="14" t="n">
        <v>46272</v>
      </c>
      <c r="M77" s="14" t="n"/>
      <c r="N77" s="15" t="n">
        <v>0.96</v>
      </c>
      <c r="O77" s="16" t="inlineStr">
        <is>
          <t>着手</t>
        </is>
      </c>
      <c r="P77" s="13" t="inlineStr">
        <is>
          <t>★議事録で方針決着：第9期で県内平均を上回ったため急激な負担増を抑えたい意向。基金取崩も視野。令和9年度の介護報酬改定を見据え現行単価で一旦試算し単価確定後に補正。doc18 第5章5-7に様式と所得段階13段階の枠を作成済。★9/8：サービス諸費の推計（doc30）が出たため、残る停止要因は基金残高と令和6・7年度決算の2件に絞られた。★9/12：保険料算定の5式（金ケ崎町で第9期公表値と一致を確認した構造）と調整交付金見込交付割合の式（α+0.05）−α×F×Gを導入し、本村の第9期を0.32%で再現。限界率23.79%・F×G=1.034を復元。感応度9項目（給付費1%＝月額59円、第1号負担割合1pt＝294円、基金24,000千円＝▲702円）と12パターン（5,936〜7,341円・幅1,406円）を算定し素案5-7に投入（scripts/estimate_premium.py）。保険料の幅のうち702円は基金取崩の判断で決まるため、給付費推計の精緻化より基金方針の決定が先。★9/15：中長期（令和17年度・令和22年度）の保険料をαの2案で算定し素案5-11の【要確認】を解消（据え置き23%なら令和22年度6,883円、3年ごと1pt上昇なら8,379円。scripts/estimate_longterm.py）。素案5-6の標準給付費の様式を埋め3か年854,014千円を確定。5-7の感応度に3行（地域支援事業費+22円／単価の趨勢+314円／推計誤差±約700円）を追加した。残るのはα政令・基金残高・令和6-7年度決算の受領。★9/24：年度別の保険料収納必要額を算定し素案5-7に新設（doc37§6）。令和9年度6,704円→令和11年度6,799円で95円上がる。給付費が横ばいで第1号被保険者数が1.7%減るため。3か年平均6,756円との差は令和9年度+596千円（余り）・令和10年度▲109千円・令和11年度▲486千円。第10期末の基金残高を見込むには期首残高が必要（未受領）。年度別の過不足は給付費が1%振れるだけで逆転する程度（年間約680千円）であり、基金の役割は年度間の均衡よりも推計の誤差（絶対値平均11.9%）の吸収にある。★10/7：国の推計ワークシート（将来推計総括表・令和8年10月5日出力）を受領した。第10期の保険料基準額は5,513.72円（第9期6,760.76円比マイナス18.45%）、うち保険料収納必要額6,610.55円・基金取崩の影響マイナス1,096.83円である。当方の算定（取崩なし6,756円）と国（6,611円）の差はマイナス145円・マイナス2.2%であり、5式による復元の筋が合っていたことが確かめられた。下がる理由は総給付費で、第9期計画が実績より過大に見込んでいたことによる（第10期の見込みは令和8年度の実績とほぼ同水準）。確定した係数は第1号被保険者負担割合23%、調整交付金見込交付割合5.36／5.03／4.67%、後期高齢者加入割合補正係数0.9652／0.9790／0.9951、所得段階別加入割合補正係数1.0197／1.0199／1.0193、予定保険料収納率99.50%である。当方が復元していた見込交付割合4.10〜4.32%は1.0ポイント以上低く、出所の確認を起票した。★10/8：素案5-7を国の推計ワークシートの値に組み替えた（doc68）。基準額5,513.72円を節の冒頭に置き、保険料基準額（月額）の内訳（総給付費5,411.96円のうち在宅1,391.37円・居住系1,925.81円・施設2,094.77円、その他給付費382.54円、地域支援事業費931.22円、市町村特別給付費等マイナス115.17円、収納必要額6,610.55円、基金取崩マイナス1,096.83円）を表にした。給付費の61%が施設・居住系であることが国の出力で示せるようになった。確定した係数（α23%、見込交付割合5.36／5.03／4.67%、F 0.9652／0.9790／0.9951、G 1.0197／1.0199／1.0193、収納率99.50%）の表を加えた。当方の5式による算定・感応度・12のパターンは検算として残し、国の値との関係を明記した。基金の節は、残高が分かったため空の注記から第11期への跳ね返りの説明に替えた。★10/9：基金の取崩しの3案を国の推計ワークシートの算定の上に組み直した（doc73）。資料6の3案は当方がワークシートの提供を受ける前に算定したもので、取崩なしの算定上の月額は当方6,756円・国6,610.55円であった。差は145円だが、条例上の基準額は6,800円（＋100円）と6,600円（▲100円）となり、第9期の条例基準額6,700円との向きが逆になる。取崩しをしなくても第9期を下回るため、C案「据置きを優先し基金を最大限取り崩す」は前提が崩れていた。A案 取崩なし 条例6,600円／第11期6,100円、B案 24,000千円 6,000円／6,800円、C案 40,000千円 5,500円／7,200円で組み直し、第10期と第11期が逆の向きに動くことを示した。残高が吸収できる推計の誤差（緩衝力）を3つ目の軸として加えた。C案では月額58円分で、推計の誤差（絶対値の平均11.9%・月額約700円）を吸収できない。第11期は国の中長期シートが令和12年度の単年で立っているため、令和12年度の第1号被保険者数988人×補正係数1.0190×12か月×収納率99.50%で分母を組み、3か年に均した36,063人・月で残高を割った。保険料は期を通じて同一に定めるため、シートの取崩額の欄に残高をそのまま入れた場合（単年の分母で割られ3倍大きく出る）は期の保険料の姿ではない。前回「どちらかを当方が決めない」と報告したのは誤りである。分母の組み方は同じ組み方で第10期の分母を復元して確かめた（ワークシート36,469人・月に対し復元36,499人・月。差＋0.08%）。正本は scripts/estimate_kikin.py に置き、素案5-7と資料6 6-3bが同じ算定を引く。ワークシートの読み取りは1回3〜4秒かかりキャッシュされていないため、結果を覚えておく形にした（組立てが数分かかるようになっていた）。</t>
        </is>
      </c>
    </row>
    <row r="78" ht="30" customHeight="1">
      <c r="A78" s="11" t="inlineStr">
        <is>
          <t>Ⅱ-107</t>
        </is>
      </c>
      <c r="B78" s="12" t="inlineStr">
        <is>
          <t>Ⅱ 計画策定</t>
        </is>
      </c>
      <c r="C78" s="12" t="inlineStr">
        <is>
          <t>Ⅱ-3 見込量・保険料</t>
        </is>
      </c>
      <c r="D78" s="13" t="inlineStr">
        <is>
          <t>所得段階の設定（段階数・保険料率・低所得者軽減）</t>
        </is>
      </c>
      <c r="E78" s="11" t="inlineStr">
        <is>
          <t>仕様書4Ⅱ(3)③</t>
        </is>
      </c>
      <c r="F78" s="11" t="inlineStr">
        <is>
          <t>受託者</t>
        </is>
      </c>
      <c r="G78" s="13" t="inlineStr">
        <is>
          <t>段階別保険料表</t>
        </is>
      </c>
      <c r="H78" s="13" t="inlineStr">
        <is>
          <t>第9期は13段階。令和8年度合計所得金額分布調査（13段階・1,015人）を用いる</t>
        </is>
      </c>
      <c r="I78" s="11" t="inlineStr">
        <is>
          <t>R8.12〜R9.1</t>
        </is>
      </c>
      <c r="J78" s="14" t="n"/>
      <c r="K78" s="14" t="n"/>
      <c r="L78" s="14" t="n">
        <v>46272</v>
      </c>
      <c r="M78" s="14" t="n"/>
      <c r="N78" s="15" t="n">
        <v>0.7</v>
      </c>
      <c r="O78" s="16" t="inlineStr">
        <is>
          <t>着手</t>
        </is>
      </c>
      <c r="P78" s="13" t="inlineStr">
        <is>
          <t>★令和8年度合計所得金額分布調査（13段階・1,015人・10万円刻み）を受領済（doc28§2）。第9期の13段階を踏襲するか区切りを見直すかは未決で、見直す場合の影響試算に同データを用いる。素案5-7に13段階の枠を作成済。★10/7：国の推計ワークシート（将来推計総括表・令和8年10月5日出力）を受領した。「弾力化をした場合の所得段階別加入割合」および「弾力化をした場合の所得段階別被保険者数」の行がすべて0であり、村は標準の段階区分で提出していることが確認された。所得段階別加入割合補正後被保険者数は3か年3,054.34人で入っている。</t>
        </is>
      </c>
    </row>
    <row r="79" ht="30" customHeight="1">
      <c r="A79" s="4" t="inlineStr">
        <is>
          <t>Ⅱ-108</t>
        </is>
      </c>
      <c r="B79" s="6" t="inlineStr">
        <is>
          <t>Ⅱ 計画策定</t>
        </is>
      </c>
      <c r="C79" s="6" t="inlineStr">
        <is>
          <t>Ⅱ-3 見込量・保険料</t>
        </is>
      </c>
      <c r="D79" s="7" t="inlineStr">
        <is>
          <t>中長期（令和17・22年度）の保険料見通しの算定</t>
        </is>
      </c>
      <c r="E79" s="4" t="inlineStr">
        <is>
          <t>仕様書4Ⅱ(3)③</t>
        </is>
      </c>
      <c r="F79" s="4" t="inlineStr">
        <is>
          <t>受託者</t>
        </is>
      </c>
      <c r="G79" s="7" t="inlineStr">
        <is>
          <t>中長期見通し表</t>
        </is>
      </c>
      <c r="H79" s="7" t="inlineStr">
        <is>
          <t>国の基本指針が2040年度・2050年度を見据えた推計を求める</t>
        </is>
      </c>
      <c r="I79" s="4" t="inlineStr">
        <is>
          <t>R8.12〜R9.1</t>
        </is>
      </c>
      <c r="J79" s="8" t="n"/>
      <c r="K79" s="8" t="n"/>
      <c r="L79" s="8" t="n">
        <v>46280</v>
      </c>
      <c r="M79" s="8" t="n">
        <v>46280</v>
      </c>
      <c r="N79" s="9" t="n">
        <v>1</v>
      </c>
      <c r="O79" s="10" t="inlineStr">
        <is>
          <t>完了</t>
        </is>
      </c>
      <c r="P79" s="7" t="inlineStr">
        <is>
          <t>★estimate_longterm.py により算定し素案5-11の【要確認】を解消。第1号負担割合αを23%に据え置くと令和22年度6,883円、3年ごとに1ポイント上がると8,379円。補助給付等は令和11年度に令和5年度決算を置きサービス諸費に比例させた。★10/8：素案5-11に国の推計ワークシートの第17期（令和32年度）までの出力を加えた（doc68）。第10期5,513.72円・第11期7,301.29円（＋32.4%）・第12期8,281.46円（＋50.2%）・第14期7,735.73円（＋40.3%）・第16期8,131.97円・第17期9,118.27円（＋65.4%）である。第12期から第14期にかけていったん下がるのは、調整交付金の見込交付割合が5.18%から10.37%へほぼ倍になるためである（Fが0.9753から0.7790へ下がる）。高齢化が進むほど調整交付金が増え、保険料の上がり方が抑えられる方向に働く。当方のαの2案による算定は検算として残した。なおFの復元を試みたところ令和17年度0.8604・令和22年度0.7459となり国の値と一致せず、算出方法の照会を起票した（Fは0.1で月額約250円動く）。</t>
        </is>
      </c>
    </row>
    <row r="80" ht="30" customHeight="1">
      <c r="A80" s="11" t="inlineStr">
        <is>
          <t>Ⅱ-65</t>
        </is>
      </c>
      <c r="B80" s="12" t="inlineStr">
        <is>
          <t>Ⅱ 計画策定</t>
        </is>
      </c>
      <c r="C80" s="12" t="inlineStr">
        <is>
          <t>Ⅱ-3 見込量・保険料</t>
        </is>
      </c>
      <c r="D80" s="13" t="inlineStr">
        <is>
          <t>成果目標及び活動指標の設定</t>
        </is>
      </c>
      <c r="E80" s="11" t="inlineStr">
        <is>
          <t>仕様書4Ⅱ(3)④</t>
        </is>
      </c>
      <c r="F80" s="11" t="inlineStr">
        <is>
          <t>受託者</t>
        </is>
      </c>
      <c r="G80" s="13" t="inlineStr">
        <is>
          <t>指標一覧</t>
        </is>
      </c>
      <c r="H80" s="13" t="inlineStr">
        <is>
          <t>第9期実績との接続。達成可能性の検証を併せて実施</t>
        </is>
      </c>
      <c r="I80" s="11" t="inlineStr">
        <is>
          <t>R8.12〜R9.1</t>
        </is>
      </c>
      <c r="J80" s="14" t="n"/>
      <c r="K80" s="14" t="n"/>
      <c r="L80" s="14" t="n">
        <v>46268</v>
      </c>
      <c r="M80" s="14" t="n"/>
      <c r="N80" s="15" t="n">
        <v>0.92</v>
      </c>
      <c r="O80" s="16" t="inlineStr">
        <is>
          <t>着手</t>
        </is>
      </c>
      <c r="P80" s="13" t="inlineStr">
        <is>
          <t>交付金の目標別の得点の推移（令和6〜8年度）を素案2-8と委員会資料2-4に追加（doc53）。活動指標群が38点にとどまることを本文で指摘。★10/2：性・年齢調整済み認定率の図を起こし、交付金の評価が求める分析の空白を3件から2件に減らした。調整済み認定率は19.5→23.0%と上がるが上昇は軽度に集中し、重度（要介護3以上）は6.7→6.6%で横ばい、要介護2以上は10.4→9.0%と低下している。★10/6：交付金の評価が求める分析のうち裏づける図がなかった2件に図を起こし、空白を0件にした。(1) 在宅医療・介護連携の状況＝見える化の地域分析（医療介護連携）の4加算の算定率と偏差値（2-5）。村の給付実績の集計を待たずに描けた。(2) ケアマネジメントの質の分析＝給付適正化の取組別得点の推移（5-8）。ケアプラン点検の実績そのものは村にないが、国の評価における取組別の得点を3か年で示した。ケアプラン点検は令和8年度に4段階のうち2段階（8点）を取得している。あわせて、交付金の後退した項目を数え直した。配点が年度間で変わった項目を除いて数えると3項目15点ではなく5項目22点であった。見落としていたのは「給付適正化の主要な事業の実施と記録」（推進Ⅱ・6点・全国該当率96.9%）で、令和6年度には3つの小項目各2点に分かれていたため集計の単位が違って見落としていた。全国のほぼすべてが取得している項目であり、最も重い。素案2-8・第2回資料・確認事項の3か所を直した。</t>
        </is>
      </c>
    </row>
    <row r="81" ht="30" customHeight="1">
      <c r="A81" s="11" t="inlineStr">
        <is>
          <t>Ⅱ-109</t>
        </is>
      </c>
      <c r="B81" s="12" t="inlineStr">
        <is>
          <t>Ⅱ 計画策定</t>
        </is>
      </c>
      <c r="C81" s="12" t="inlineStr">
        <is>
          <t>Ⅱ-3 見込量・保険料</t>
        </is>
      </c>
      <c r="D81" s="13" t="inlineStr">
        <is>
          <t>給付適正化に係る取組内容と目標の設定</t>
        </is>
      </c>
      <c r="E81" s="11" t="inlineStr">
        <is>
          <t>仕様書4Ⅱ(3)④</t>
        </is>
      </c>
      <c r="F81" s="11" t="inlineStr">
        <is>
          <t>受託者</t>
        </is>
      </c>
      <c r="G81" s="13" t="inlineStr">
        <is>
          <t>給付適正化計画</t>
        </is>
      </c>
      <c r="H81" s="13" t="inlineStr">
        <is>
          <t>介護保険法117条2項3号・4号（義務）。主要3事業（要介護認定の適正化・ケアプラン点検・医療情報との突合）</t>
        </is>
      </c>
      <c r="I81" s="11" t="inlineStr">
        <is>
          <t>R8.12〜R9.1</t>
        </is>
      </c>
      <c r="J81" s="14" t="n"/>
      <c r="K81" s="14" t="n"/>
      <c r="L81" s="14" t="n">
        <v>46273</v>
      </c>
      <c r="M81" s="14" t="n"/>
      <c r="N81" s="15" t="n">
        <v>0.7</v>
      </c>
      <c r="O81" s="16" t="inlineStr">
        <is>
          <t>着手</t>
        </is>
      </c>
      <c r="P81" s="13" t="inlineStr">
        <is>
          <t>★介護保険法117条2項3号・4号の義務的記載事項（努力義務ではない）。素案を施策3-5（取組内容）と第5章5-8（計画としての目標）の二本立てに整理し、第9期は第5章にのみ置かれ施策体系の中に見えなかった課題（doc17 B-5）を解消した。根拠条項を117条3項5号・6号としていた誤りは訂正済。目標値は村の実績が未受領のため一部空欄。★10/7：交付金の明細から、主要3事業の現状値を村の実績を待たずに置いた。②ケアプラン等の点検は令和8年度に8点／16点（4段階のうち2段階）、令和6・7年度は0点。③医療情報との突合は令和7年度から16点満点（4段階すべて）、縦覧点検は4帳票全件で3年連続満点。①要介護認定の適正化は国の評価指標に単独の項目がなく、村の実績も未受領。②の目標は、件数を置けないため当面は国の評価指標の段階（令和11年度までに4段階すべて）とし、実績の受領後に件数の目標を加える形にした。5-12にその旨を登録した。あわせて、0点の理由の推論を絞った。従来は「①または②のいずれかが未実施」としていたが、②は令和8年度に取得があり③も満点であるため、「①の未実施」か「3事業の実施の記録が国への報告の要件を満たしていない」かのいずれかに絞られる。施策3-5の指標にも、ケアプラン点検と医療情報との突合の評価の段階を加えた。★10/8：介護給付適正化計画の期数が1期ずれていた誤りを原典で直した（doc71）。第6期＝令和6〜8年度／第7期＝令和9〜11年度であり、本計画は第7期に当たる。施策3-5・5-8の3か所を改めた。主要3事業の名称も原典の順（医療情報との突合・縦覧点検）に揃え、点検32の照合先を改めた。5-8に「(5) 帳票を活用した点検の充実と新たな点検手法」を新設した。第7期指針の改訂内容のうち、要介護認定情報の「現在の状況」コードが有料老人ホーム・サービス付き高齢者向け住宅である受給者の給付実績を抽出した帳票が新たに作られることは、5-8(2)に未実施として挙げていた「ケアプラン点検への有料老人ホーム等入居者分の追加」（8点）の方法そのものである。ただし仕組みを構築するとされた段階であり、提供の時期は示されていないためこの帳票を前提とした目標は置かず5-12に登録した。点検対象の事業所の選定に国保連の帳票を積極的に活用する旨を施策3-5に加えた。あわせて6-4に検証項目⑦（1人あたり給付費の外れ値と帳票点検の実施率）を新設し、原典が挙げる3つの管理指標（ケアプラン等の点検件数・医療情報との突合の実施率・縦覧点検の実施率）を上半期・下半期ごとに記録する形にした。</t>
        </is>
      </c>
    </row>
    <row r="82" ht="30" customHeight="1">
      <c r="A82" s="4" t="inlineStr">
        <is>
          <t>Ⅱ-66</t>
        </is>
      </c>
      <c r="B82" s="6" t="inlineStr">
        <is>
          <t>Ⅱ 計画策定</t>
        </is>
      </c>
      <c r="C82" s="6" t="inlineStr">
        <is>
          <t>Ⅱ-4 高齢者福祉施策</t>
        </is>
      </c>
      <c r="D82" s="7" t="inlineStr">
        <is>
          <t>現行計画の成果と課題の整理</t>
        </is>
      </c>
      <c r="E82" s="4" t="inlineStr">
        <is>
          <t>仕様書4Ⅱ(4)</t>
        </is>
      </c>
      <c r="F82" s="4" t="inlineStr">
        <is>
          <t>受託者</t>
        </is>
      </c>
      <c r="G82" s="7" t="inlineStr">
        <is>
          <t>整理メモ</t>
        </is>
      </c>
      <c r="H82" s="7" t="inlineStr"/>
      <c r="I82" s="4" t="inlineStr">
        <is>
          <t>R8.11〜12</t>
        </is>
      </c>
      <c r="J82" s="8" t="n"/>
      <c r="K82" s="8" t="n"/>
      <c r="L82" s="8" t="n">
        <v>46265</v>
      </c>
      <c r="M82" s="8" t="n">
        <v>46265</v>
      </c>
      <c r="N82" s="9" t="n">
        <v>1</v>
      </c>
      <c r="O82" s="10" t="inlineStr">
        <is>
          <t>完了</t>
        </is>
      </c>
      <c r="P82" s="7" t="inlineStr">
        <is>
          <t>doc14として第9期の施策19本を4段階（◎○△✗）で評価完了。</t>
        </is>
      </c>
    </row>
    <row r="83" ht="30" customHeight="1">
      <c r="A83" s="11" t="inlineStr">
        <is>
          <t>Ⅱ-67</t>
        </is>
      </c>
      <c r="B83" s="12" t="inlineStr">
        <is>
          <t>Ⅱ 計画策定</t>
        </is>
      </c>
      <c r="C83" s="12" t="inlineStr">
        <is>
          <t>Ⅱ-4 高齢者福祉施策</t>
        </is>
      </c>
      <c r="D83" s="13" t="inlineStr">
        <is>
          <t>次期計画に盛り込む施策の検討</t>
        </is>
      </c>
      <c r="E83" s="11" t="inlineStr">
        <is>
          <t>仕様書4Ⅱ(4)</t>
        </is>
      </c>
      <c r="F83" s="11" t="inlineStr">
        <is>
          <t>受託者</t>
        </is>
      </c>
      <c r="G83" s="13" t="inlineStr">
        <is>
          <t>施策案</t>
        </is>
      </c>
      <c r="H83" s="13" t="inlineStr">
        <is>
          <t>環境整備・支援体制の構築等</t>
        </is>
      </c>
      <c r="I83" s="11" t="inlineStr">
        <is>
          <t>R8.11〜12</t>
        </is>
      </c>
      <c r="J83" s="14" t="n"/>
      <c r="K83" s="14" t="n"/>
      <c r="L83" s="14" t="n">
        <v>46265</v>
      </c>
      <c r="M83" s="14" t="n"/>
      <c r="N83" s="15" t="n">
        <v>0.85</v>
      </c>
      <c r="O83" s="16" t="inlineStr">
        <is>
          <t>着手</t>
        </is>
      </c>
      <c r="P83" s="13" t="inlineStr">
        <is>
          <t>doc14・doc18として施策案を整理。第4章は26施策。住民ニーズ第1位の除雪を独立施策（2-6）として新設。基本目標5「計画の推進と進捗管理」の新設を提案。国の基本指針で追加・修正の可能性。★9/16：認知症基本法の基本的施策10項目と本計画の施策を対応させたところ、第15条（認知症の人の生活におけるバリアフリー化の推進）を受ける施策がないことが判明。移動・住まい・除雪の各施策が実質的な受け皿になるが、認知症の人に着目した記述はない。外出・買い物・金融機関の利用など介護保険の枠組みの外にある領域であり、庁内の関係部署および事業者との連携の範囲を村と協議する。</t>
        </is>
      </c>
    </row>
    <row r="84" ht="30" customHeight="1">
      <c r="A84" s="11" t="inlineStr">
        <is>
          <t>Ⅱ-110</t>
        </is>
      </c>
      <c r="B84" s="12" t="inlineStr">
        <is>
          <t>Ⅱ 計画策定</t>
        </is>
      </c>
      <c r="C84" s="12" t="inlineStr">
        <is>
          <t>Ⅱ-4 高齢者福祉施策</t>
        </is>
      </c>
      <c r="D84" s="13" t="inlineStr">
        <is>
          <t>老人福祉事業の量の目標の設定</t>
        </is>
      </c>
      <c r="E84" s="11" t="inlineStr">
        <is>
          <t>仕様書4Ⅱ(4)</t>
        </is>
      </c>
      <c r="F84" s="11" t="inlineStr">
        <is>
          <t>受託者</t>
        </is>
      </c>
      <c r="G84" s="13" t="inlineStr">
        <is>
          <t>量の目標表</t>
        </is>
      </c>
      <c r="H84" s="13" t="inlineStr">
        <is>
          <t>老人福祉法20条の8第2項（義務）。村単独事業の目標量を年度別に置く</t>
        </is>
      </c>
      <c r="I84" s="11" t="inlineStr">
        <is>
          <t>R8.12</t>
        </is>
      </c>
      <c r="J84" s="14" t="n"/>
      <c r="K84" s="14" t="n"/>
      <c r="L84" s="14" t="n">
        <v>46275</v>
      </c>
      <c r="M84" s="14" t="n"/>
      <c r="N84" s="15" t="n">
        <v>0.7</v>
      </c>
      <c r="O84" s="16" t="inlineStr">
        <is>
          <t>着手</t>
        </is>
      </c>
      <c r="P84" s="13" t="inlineStr">
        <is>
          <t>★老人福祉法20条の8第2項の義務的記載事項。doc32で欠落を検出し第4章4-6として新設した。村単独事業（除雪サービス・緊急通報・生活支援ハウス・配食等）の年度別目標量を置く枠までを作成。実績数値が未受領のため一部空欄。★10/4：4-6は法的根拠・確保の方策・12事業の枠が揃っており、待っているのは実績値のみであることを確かめた。5-12(1)に掲げていなかったため追加した。あわせて点検51を新設し、空欄の並ぶ表が5-12に掲げられていることを機械で確かめるようにした。5-9の交付金の見込額も掲げ漏れていた。★10/5：4-6(2)の9事業に「確保の方策（該当施策）」の欄を設けた。老人福祉法20条の8第3項第1号が求める量の確保のための方策に当たる。点検53を新設し、12事業すべてに方策があること、方策が指す施策が第4章に実在することを機械で確かめるようにした。</t>
        </is>
      </c>
    </row>
    <row r="85" ht="30" customHeight="1">
      <c r="A85" s="11" t="inlineStr">
        <is>
          <t>Ⅱ-68</t>
        </is>
      </c>
      <c r="B85" s="12" t="inlineStr">
        <is>
          <t>Ⅱ 計画策定</t>
        </is>
      </c>
      <c r="C85" s="12" t="inlineStr">
        <is>
          <t>Ⅱ-5 成年後見</t>
        </is>
      </c>
      <c r="D85" s="13" t="inlineStr">
        <is>
          <t>制度の利用実態・考え方の情報提供</t>
        </is>
      </c>
      <c r="E85" s="11" t="inlineStr">
        <is>
          <t>仕様書4Ⅱ(5)</t>
        </is>
      </c>
      <c r="F85" s="11" t="inlineStr">
        <is>
          <t>北塩原村</t>
        </is>
      </c>
      <c r="G85" s="13" t="inlineStr">
        <is>
          <t>情報提供資料</t>
        </is>
      </c>
      <c r="H85" s="13" t="inlineStr">
        <is>
          <t>村長申立の運用、中核機関の状況</t>
        </is>
      </c>
      <c r="I85" s="11" t="inlineStr">
        <is>
          <t>R8.11</t>
        </is>
      </c>
      <c r="J85" s="14" t="n"/>
      <c r="K85" s="14" t="n"/>
      <c r="L85" s="14" t="n">
        <v>46272</v>
      </c>
      <c r="M85" s="14" t="n"/>
      <c r="N85" s="15" t="n">
        <v>0.7</v>
      </c>
      <c r="O85" s="16" t="inlineStr">
        <is>
          <t>着手</t>
        </is>
      </c>
      <c r="P85" s="13" t="inlineStr">
        <is>
          <t>★成年後見制度利用促進施策に係る取組状況調査（令和7・8年度）と会津権利擁護・成年後見センターの相談件数（令和6・7年度）を受領し実態が判明（doc28§3）。利用者4人（後見1・保佐2・補助1・任意後見0）、市町村長申立て0件、市民後見人の養成0人（広域中核機関で1人）・登録0人・受任0件、法人後見は圏域内0法人、任意後見の周知は未実施。一方で中核機関・協議会・申立費用助成・報酬助成はいずれも整備済で地域連携ネットワークは26項目中21項目が整備済。市町村計画は第9期と一体で策定済。</t>
        </is>
      </c>
    </row>
    <row r="86" ht="30" customHeight="1">
      <c r="A86" s="11" t="inlineStr">
        <is>
          <t>Ⅱ-69</t>
        </is>
      </c>
      <c r="B86" s="12" t="inlineStr">
        <is>
          <t>Ⅱ 計画策定</t>
        </is>
      </c>
      <c r="C86" s="12" t="inlineStr">
        <is>
          <t>Ⅱ-5 成年後見</t>
        </is>
      </c>
      <c r="D86" s="13" t="inlineStr">
        <is>
          <t>利用促進の方向性・計画案の提示</t>
        </is>
      </c>
      <c r="E86" s="11" t="inlineStr">
        <is>
          <t>仕様書4Ⅱ(5)</t>
        </is>
      </c>
      <c r="F86" s="11" t="inlineStr">
        <is>
          <t>受託者</t>
        </is>
      </c>
      <c r="G86" s="13" t="inlineStr">
        <is>
          <t>計画案</t>
        </is>
      </c>
      <c r="H86" s="13" t="inlineStr">
        <is>
          <t>広域調整・関係機関協議は村が実施</t>
        </is>
      </c>
      <c r="I86" s="11" t="inlineStr">
        <is>
          <t>R8.12</t>
        </is>
      </c>
      <c r="J86" s="14" t="n"/>
      <c r="K86" s="14" t="n"/>
      <c r="L86" s="14" t="n">
        <v>46272</v>
      </c>
      <c r="M86" s="14" t="n"/>
      <c r="N86" s="15" t="n">
        <v>0.4</v>
      </c>
      <c r="O86" s="16" t="inlineStr">
        <is>
          <t>着手</t>
        </is>
      </c>
      <c r="P86" s="13" t="inlineStr">
        <is>
          <t>★実績判明により方向性を確定。「体制整備」から「利用促進と担い手確保」へ施策4-7の書きぶりを転換することを提案（doc28§3-4）。ニーズ調査 問11（認知度・家族との話し合い・利用意向）と組み合わせて「制度は整っているのに使われていない」原因を住民側の認知度から説明する。</t>
        </is>
      </c>
    </row>
    <row r="87" ht="30" customHeight="1">
      <c r="A87" s="4" t="inlineStr">
        <is>
          <t>Ⅱ-70</t>
        </is>
      </c>
      <c r="B87" s="6" t="inlineStr">
        <is>
          <t>Ⅱ 計画策定</t>
        </is>
      </c>
      <c r="C87" s="6" t="inlineStr">
        <is>
          <t>Ⅱ-6 計画案の検討</t>
        </is>
      </c>
      <c r="D87" s="7" t="inlineStr">
        <is>
          <t>第10期の課題の整理</t>
        </is>
      </c>
      <c r="E87" s="4" t="inlineStr">
        <is>
          <t>仕様書4Ⅱ(6)</t>
        </is>
      </c>
      <c r="F87" s="4" t="inlineStr">
        <is>
          <t>受託者</t>
        </is>
      </c>
      <c r="G87" s="7" t="inlineStr">
        <is>
          <t>課題整理</t>
        </is>
      </c>
      <c r="H87" s="7" t="inlineStr"/>
      <c r="I87" s="4" t="inlineStr">
        <is>
          <t>R8.12</t>
        </is>
      </c>
      <c r="J87" s="8" t="n"/>
      <c r="K87" s="8" t="n"/>
      <c r="L87" s="8" t="n">
        <v>46265</v>
      </c>
      <c r="M87" s="8" t="n">
        <v>46265</v>
      </c>
      <c r="N87" s="9" t="n">
        <v>1</v>
      </c>
      <c r="O87" s="10" t="inlineStr">
        <is>
          <t>完了</t>
        </is>
      </c>
      <c r="P87" s="7" t="inlineStr">
        <is>
          <t>doc11で基本的課題5本、doc17で第9期計画の課題20件（重大度A 13件）を洗い出し完了。</t>
        </is>
      </c>
    </row>
    <row r="88" ht="30" customHeight="1">
      <c r="A88" s="11" t="inlineStr">
        <is>
          <t>Ⅱ-71</t>
        </is>
      </c>
      <c r="B88" s="12" t="inlineStr">
        <is>
          <t>Ⅱ 計画策定</t>
        </is>
      </c>
      <c r="C88" s="12" t="inlineStr">
        <is>
          <t>Ⅱ-6 計画案の検討</t>
        </is>
      </c>
      <c r="D88" s="13" t="inlineStr">
        <is>
          <t>施策体系の整理</t>
        </is>
      </c>
      <c r="E88" s="11" t="inlineStr">
        <is>
          <t>仕様書4Ⅱ(6)</t>
        </is>
      </c>
      <c r="F88" s="11" t="inlineStr">
        <is>
          <t>受託者</t>
        </is>
      </c>
      <c r="G88" s="13" t="inlineStr">
        <is>
          <t>施策体系図</t>
        </is>
      </c>
      <c r="H88" s="13" t="inlineStr"/>
      <c r="I88" s="11" t="inlineStr">
        <is>
          <t>R8.12</t>
        </is>
      </c>
      <c r="J88" s="14" t="n"/>
      <c r="K88" s="14" t="n"/>
      <c r="L88" s="14" t="n">
        <v>46269</v>
      </c>
      <c r="M88" s="14" t="n"/>
      <c r="N88" s="15" t="n">
        <v>0.95</v>
      </c>
      <c r="O88" s="16" t="inlineStr">
        <is>
          <t>着手</t>
        </is>
      </c>
      <c r="P88" s="13" t="inlineStr">
        <is>
          <t>doc14・doc18で施策体系（基本目標5本・施策28本）を確定。施策3-5「介護給付の適正化」を交付金配点表に基づき全面改訂（主要3事業への再編・縦覧点検4帳票満点の事実を反映）。基本目標5の独立可否は村と要協議。★9/4：資料4として委員会に諮る形に整理（基本目標5本・施策28本、区分別内訳は継続10／継続強化1／強化6／改称1／新規10）。新設10施策の根拠を1件ずつ明示。★9/8：給付適正化を施策3-5（取組内容）と第5章5-8（計画としての目標）の二本立てに整理。第9期は第5章にのみ置かれ施策体系の中に見えなかった課題（doc17 B-5）を解消。★10/5：区分別の内訳を数え直した。継続9／継続・強化2／強化7／改称1／新規5／新設4＝28施策。9月4日の整理（継続10／継続強化1／強化6／改称1／新規10）から動いており、素案3-4の「新規・新設は10施策」がそのまま残っていた。点検57を新設し、本文が述べる基本目標・施策・新規新設の数を構造から数え直して一致を確かめるようにした。あわせて施策2-5と施策4-5の二重取扱いを解いた（生活支援体制整備事業は施策4-5を正本とする）。</t>
        </is>
      </c>
    </row>
    <row r="89" ht="30" customHeight="1">
      <c r="A89" s="11" t="inlineStr">
        <is>
          <t>Ⅱ-72</t>
        </is>
      </c>
      <c r="B89" s="12" t="inlineStr">
        <is>
          <t>Ⅱ 計画策定</t>
        </is>
      </c>
      <c r="C89" s="12" t="inlineStr">
        <is>
          <t>Ⅱ-6 計画案の検討</t>
        </is>
      </c>
      <c r="D89" s="13" t="inlineStr">
        <is>
          <t>関連計画との整合確認</t>
        </is>
      </c>
      <c r="E89" s="11" t="inlineStr">
        <is>
          <t>仕様書4Ⅱ(6)</t>
        </is>
      </c>
      <c r="F89" s="11" t="inlineStr">
        <is>
          <t>受託者</t>
        </is>
      </c>
      <c r="G89" s="13" t="inlineStr">
        <is>
          <t>整合確認表</t>
        </is>
      </c>
      <c r="H89" s="13" t="inlineStr">
        <is>
          <t>第5次総合振興計画／第3次健康21・グッドヘルスプラン</t>
        </is>
      </c>
      <c r="I89" s="11" t="inlineStr">
        <is>
          <t>R8.12</t>
        </is>
      </c>
      <c r="J89" s="14" t="n"/>
      <c r="K89" s="14" t="n"/>
      <c r="L89" s="14" t="n">
        <v>46267</v>
      </c>
      <c r="M89" s="14" t="n"/>
      <c r="N89" s="15" t="n">
        <v>0.88</v>
      </c>
      <c r="O89" s="16" t="inlineStr">
        <is>
          <t>着手</t>
        </is>
      </c>
      <c r="P89" s="13" t="inlineStr">
        <is>
          <t>★議事録で整合対象が確定（障がい福祉計画・地域福祉計画・グッドヘルスプラン・生涯学習計画）。第四次生涯学習推進計画は受領・確認済（doc21）。他は未受領。★10/10：資9（関連計画との対照）を新設し、8計画との重なりと整合のとり方を一覧にした（doc81）。未受領の計画は枠を置き、計画期間を「確認中」として受領後に埋める形とした。★障がい福祉計画については、当方の別業務として同時に策定中であるため素案を確認した。本計画の素案には障がい福祉計画への参照がなかった（「障がい福祉計画」「障害福祉」「共生型」のいずれの語も現れていなかった）。★10/13 訂正：当初「同計画の第7章は3計画を扱っており連携の節は置かれていなかった」と書いたが、これは令和8年10月4日の版を見て書いたもので当たらない。同計画は令和8年10月10日に第7章3として連携の節を新設済みであった（申し送り§2・doc89）。無かったのは本計画の側の独立した節である。本計画の側に1-4（障がい福祉計画との関係）・施策4-1（制度間の移行・世帯単位の支援・用具の移行）・施策3-1（共生型サービスの協議）・資9を加え、障がい福祉計画の側の対応は提案として起票した。あわせて、数で揃える3つの対象（第2号被保険者・65歳到達者・適用除外施設入所者）を照会として起票した。適用除外の該当者がいる場合は第1号被保険者数が減り保険料の分母が動く。★残るのは未受領4計画（総合振興計画・保健医療計画・健康21・地域福祉計画・こども計画）の受領と、村のご確認である。★10/12：障がい福祉計画との突合が互いに古い版で行われていたことが分かった（doc87）。版をコミットのハッシュで記録する仕組みを作り（seigo_han.py・点検70）、相手から受け取った照会Ｋ-1〜Ｋ-8の8件すべてに応答と反映先を付けた。★10/13：障がい福祉計画の側から申し送り（令和8年10月12日付）を受け取った（doc89）。相手はまた1つ古い版（e591fe8）を見ていた。内容のハッシュ（sha256 先頭16桁）で版を照合する仕組みを加え（seigo_han.py --shoumei）、決めた16語で両計画の素案を数えて片側のみの記載を洗い出す仕組みを作った（seigo_go.py・点検74）。受け取った照会はＫ-9まで9件、相手へ渡す事項は7件になった。成年後見制度利用支援事業の条文の誤り（第2項第2号→第3項第3号）を正し、別の事業である旨の注記を施策4-7と資9に置いた（点検73）。</t>
        </is>
      </c>
    </row>
    <row r="90" ht="30" customHeight="1">
      <c r="A90" s="11" t="inlineStr">
        <is>
          <t>Ⅱ-111</t>
        </is>
      </c>
      <c r="B90" s="12" t="inlineStr">
        <is>
          <t>Ⅱ 計画策定</t>
        </is>
      </c>
      <c r="C90" s="12" t="inlineStr">
        <is>
          <t>Ⅱ-6 計画案の検討</t>
        </is>
      </c>
      <c r="D90" s="13" t="inlineStr">
        <is>
          <t>計画の名称・計画期間の表記の統一</t>
        </is>
      </c>
      <c r="E90" s="11" t="inlineStr">
        <is>
          <t>仕様書1</t>
        </is>
      </c>
      <c r="F90" s="11" t="inlineStr">
        <is>
          <t>双方</t>
        </is>
      </c>
      <c r="G90" s="13" t="inlineStr">
        <is>
          <t>表記ルール</t>
        </is>
      </c>
      <c r="H90" s="13" t="inlineStr">
        <is>
          <t>委託名は「第10期北塩原村高齢者福祉計画・第10期北塩原村介護保険事業計画」。表紙・奥付・本文・図表で統一する</t>
        </is>
      </c>
      <c r="I90" s="11" t="inlineStr">
        <is>
          <t>R8.12</t>
        </is>
      </c>
      <c r="J90" s="14" t="n"/>
      <c r="K90" s="14" t="n"/>
      <c r="L90" s="14" t="n">
        <v>46273</v>
      </c>
      <c r="M90" s="14" t="n"/>
      <c r="N90" s="15" t="n">
        <v>0.9</v>
      </c>
      <c r="O90" s="16" t="inlineStr">
        <is>
          <t>着手</t>
        </is>
      </c>
      <c r="P90" s="13" t="inlineStr">
        <is>
          <t>委託名は「第10期北塩原村高齢者福祉計画・第10期北塩原村介護保険事業計画」。素案の表紙・第1章・図表の表記をこれに揃えた。奥付とパブリックコメント・委員名簿は確定後に記入する。★10/4：本則を「第10期北塩原村高齢者福祉計画」「令和9年度から令和11年度まで」「3か年」と定め、点検50で素案・第2回資料・第3回骨子を走査するようにした。「3年間」8件と「令和9年度〜令和11年度」1件を直した。</t>
        </is>
      </c>
    </row>
    <row r="91" ht="30" customHeight="1">
      <c r="A91" s="11" t="inlineStr">
        <is>
          <t>Ⅱ-73</t>
        </is>
      </c>
      <c r="B91" s="12" t="inlineStr">
        <is>
          <t>Ⅱ 計画策定</t>
        </is>
      </c>
      <c r="C91" s="12" t="inlineStr">
        <is>
          <t>Ⅱ-6 計画案の検討</t>
        </is>
      </c>
      <c r="D91" s="13" t="inlineStr">
        <is>
          <t>一体的策定の範囲の確認</t>
        </is>
      </c>
      <c r="E91" s="11" t="inlineStr">
        <is>
          <t>確認</t>
        </is>
      </c>
      <c r="F91" s="11" t="inlineStr">
        <is>
          <t>双方</t>
        </is>
      </c>
      <c r="G91" s="13" t="inlineStr">
        <is>
          <t>確認メモ</t>
        </is>
      </c>
      <c r="H91" s="13" t="inlineStr">
        <is>
          <t>成年後見制度利用促進基本計画・認知症施策推進計画の継続可否</t>
        </is>
      </c>
      <c r="I91" s="11" t="inlineStr">
        <is>
          <t>R8.11</t>
        </is>
      </c>
      <c r="J91" s="14" t="n"/>
      <c r="K91" s="14" t="n"/>
      <c r="L91" s="14" t="n">
        <v>46267</v>
      </c>
      <c r="M91" s="14" t="n"/>
      <c r="N91" s="15" t="n">
        <v>0.6</v>
      </c>
      <c r="O91" s="16" t="inlineStr">
        <is>
          <t>着手</t>
        </is>
      </c>
      <c r="P91" s="13" t="inlineStr">
        <is>
          <t>★議事録により整合対象が確定：国の基本方針・総合計画・障がい福祉計画・地域福祉計画・グッドヘルスプラン（21計画）・生涯学習計画。生涯学習計画は受領済（doc21）。</t>
        </is>
      </c>
    </row>
    <row r="92" ht="30" customHeight="1">
      <c r="A92" s="4" t="inlineStr">
        <is>
          <t>Ⅱ-74</t>
        </is>
      </c>
      <c r="B92" s="6" t="inlineStr">
        <is>
          <t>Ⅱ 計画策定</t>
        </is>
      </c>
      <c r="C92" s="6" t="inlineStr">
        <is>
          <t>Ⅱ-7 計画書の作成</t>
        </is>
      </c>
      <c r="D92" s="7" t="inlineStr">
        <is>
          <t>骨子案の作成</t>
        </is>
      </c>
      <c r="E92" s="4" t="inlineStr">
        <is>
          <t>仕様書4Ⅱ(7)</t>
        </is>
      </c>
      <c r="F92" s="4" t="inlineStr">
        <is>
          <t>受託者</t>
        </is>
      </c>
      <c r="G92" s="7" t="inlineStr">
        <is>
          <t>骨子案</t>
        </is>
      </c>
      <c r="H92" s="7" t="inlineStr"/>
      <c r="I92" s="4" t="inlineStr">
        <is>
          <t>R8.11〜12</t>
        </is>
      </c>
      <c r="J92" s="8" t="n"/>
      <c r="K92" s="8" t="n"/>
      <c r="L92" s="8" t="n">
        <v>46265</v>
      </c>
      <c r="M92" s="8" t="n">
        <v>46265</v>
      </c>
      <c r="N92" s="9" t="n">
        <v>1</v>
      </c>
      <c r="O92" s="10" t="inlineStr">
        <is>
          <t>完了</t>
        </is>
      </c>
      <c r="P92" s="7" t="inlineStr">
        <is>
          <t>doc15として全6章の章構成・節構成・想定頁数を確定。素案の作成に移行。</t>
        </is>
      </c>
    </row>
    <row r="93" ht="30" customHeight="1">
      <c r="A93" s="11" t="inlineStr">
        <is>
          <t>Ⅱ-75</t>
        </is>
      </c>
      <c r="B93" s="12" t="inlineStr">
        <is>
          <t>Ⅱ 計画策定</t>
        </is>
      </c>
      <c r="C93" s="12" t="inlineStr">
        <is>
          <t>Ⅱ-7 計画書の作成</t>
        </is>
      </c>
      <c r="D93" s="13" t="inlineStr">
        <is>
          <t>素案の作成</t>
        </is>
      </c>
      <c r="E93" s="11" t="inlineStr">
        <is>
          <t>仕様書4Ⅱ(7)</t>
        </is>
      </c>
      <c r="F93" s="11" t="inlineStr">
        <is>
          <t>受託者</t>
        </is>
      </c>
      <c r="G93" s="13" t="inlineStr">
        <is>
          <t>素案</t>
        </is>
      </c>
      <c r="H93" s="13" t="inlineStr"/>
      <c r="I93" s="11" t="inlineStr">
        <is>
          <t>R8.12〜R9.1</t>
        </is>
      </c>
      <c r="J93" s="14" t="n"/>
      <c r="K93" s="14" t="n"/>
      <c r="L93" s="14" t="n">
        <v>46267</v>
      </c>
      <c r="M93" s="14" t="n"/>
      <c r="N93" s="15" t="n">
        <v>0.98</v>
      </c>
      <c r="O93" s="16" t="inlineStr">
        <is>
          <t>着手</t>
        </is>
      </c>
      <c r="P93" s="13" t="inlineStr">
        <is>
          <t>記載事項10件を追記し資料編に資6（基本指針の別表11事項への対応）・資7（主な参照資料）・資8（図表番号一覧）を新設（doc49）。図を4点追加し25点とした。図表番号を本文に現れる順に振り直し、画像に焼き込まれた番号との食い違い9図を解消。見える化との突合により費用額の順位の誤り4か所を訂正（doc52）。交付金の目標別の推移を追加（doc53）。反映版との統合を完了し認定の時点を令和8年3月末に確定（doc54）。積算113頁・確定版103頁。【紙面（改頁・表の分割・図の配置）の目視確認は未実施】（変換ができない環境のため）。★10/2：2-3に性・年齢調整済み認定率、2-5に医療と介護の連携の状況を加えた。一元化により2-4の県との差の誤り（▲4,384→▲4,385）を見つけて直した。★10/5：素案を通読し、数値を伏せて一致する文を機械で洗い出した。1,040文のうち7組が重複しており、見込量の原則（4-3と5-4）・入所希望48.5%（2-10と施策3-3）・除雪の第1位（2-11と施策2-6）・通いの場の箇所数（2-6と施策1-1）・包括の職員体制（2-6と施策4-1）・認知症の32点（4-4と施策4-4と4-7）の6か所を、正本を1つに定めて参照に替えた。あわせて2-11の冒頭が「次の5点」のまま課題が6本になっていたのを直した。点検55（同じ文を2か所で述べていないこと）・点検56（「次のN点」の宣言と実際の数が合うこと）を新設して固定した。なお第2章（現状）と第4章（施策）で同じ事実に触れること自体は読み手に必要な繰り返しであり、数値や根拠を残したうえで文の重複だけを解いた。【紙面の目視確認は引き続き未実施】（変換ができない環境のため）。★10/5（第2報）：レビューで見つけた欠陥が他の箇所にも及んでいないかを確かめ、3件を直した。(1) 3-4の「新規・新設は10施策あり」が構造と合っていなかった（実際は新規5＋新設4＝9施策）。(2) 施策2-5（地域支え合い活動の促進）と施策4-5（生活支援体制の整備）が生活支援体制整備事業を二重に扱い、同じ指標「生活支援コーディネーターの地域ケア会議参加割合」に異なる目標値（100%と維持）を置いていた。体制は施策4-5を正本とし、施策2-5は住民の活動（見守り・老人クラブ・ボランティア）に絞って指標を入れ替えた。4-6の老人クラブの確保の方策も合わせて直した。(3) 5-11の1ポイントあたりの額を5-7への参照に替えた。重複の点検のしきい値を実測し直し、30文字では9組のうち5組しか出ないことが分かったため12文字に下げた。★10/10：libreoffice-writer と poppler-utils を入れ、docx を PDF に変換して紙面を実測した（doc83）。【これまで未実施としていた紙面の確認ができるようになった。】実測により推定の前提の誤りが3件見つかった。(1) 表の幅に本文幅（9638）を使っていたが実際は TBLW（9360）で、折り返しを少なく数えていた。(2) 表の1行の下駄は罫線を含めて127 twip（宣言は120）であった。(3) estimate_layout の「頁超」の分岐に死にコードが残っていた。あわせて docx 側の欠陥を2件直した。行送りに lineRule を書いていなかったため Word ではw:line が倍率として読まれ、頁数がフォント次第になっていた（4つの build の15か所に exact を指定）。委員会資料・照会票に既定の書体の宣言がなく、12文字が欧文の明朝で出ていた。前提を直した後の推定は素案135頁・計画書118頁で、実測はそれぞれ137頁・120頁である（差は送りの空白）。計画書は本文120頁＋前付4頁＝124頁となり、削減案A〜Lをすべて行っても111頁で、村が許容する110頁に1頁足りない（点検52が不適合）。足りない1頁の当て方はⅡ-113で詰める。なお游ゴシックは本環境に無く IPAゴシックに置き換えた紙面であるため、Word の紙面そのものではない。★10/6：資6の見直しの過程で、事実の誤りを見つけて直した。「村内で提供されている介護サービスは2種類」と7か所で述べていたが、見える化のサービス提供事業所数では訪問介護が1か所あり、正しくは3種類である（訪問介護・通所介護・認知症対応型共同生活介護）。定員が定められているのが通所介護と認知症対応型共同生活介護の2つであることに引かれ、定員のない訪問介護を数え落としていた。訪問系の自給率が41.1%（0%でない）こととも合わない。2-5の事業所数の表には訪問介護1か所が現に載っており、同じ節の中で食い違っていた。点検57を広げ、本文が述べる村内のサービスの種類数が2-5の表と合うことを確かめるようにした。図を2点加えたため、計画書の見込みは110頁から112頁になった（目安100頁に対し+12頁）。★10/12：紙面を通して確かめた（素案139頁。doc86）。表の孤立行5件と見出しの取り残し1件を直し、枠からのはみ出し・図と題の離れ・小さすぎる字はいずれも0件であることを確かめた。あわせて障がい福祉計画との突合を版ごと組み直し、落ちていた照会4点（介護保険優先原則・受給者証・新高額障害福祉サービス等給付費・計画相談支援）を1-4と資9に書き足した（doc87）。</t>
        </is>
      </c>
    </row>
    <row r="94" ht="30" customHeight="1">
      <c r="A94" s="17" t="inlineStr">
        <is>
          <t>Ⅱ-112</t>
        </is>
      </c>
      <c r="B94" s="18" t="inlineStr">
        <is>
          <t>Ⅱ 計画策定</t>
        </is>
      </c>
      <c r="C94" s="18" t="inlineStr">
        <is>
          <t>Ⅱ-7 計画書の作成</t>
        </is>
      </c>
      <c r="D94" s="19" t="inlineStr">
        <is>
          <t>策定委員会の審議意見の反映</t>
        </is>
      </c>
      <c r="E94" s="17" t="inlineStr">
        <is>
          <t>仕様書4Ⅱ(7)</t>
        </is>
      </c>
      <c r="F94" s="17" t="inlineStr">
        <is>
          <t>受託者</t>
        </is>
      </c>
      <c r="G94" s="19" t="inlineStr">
        <is>
          <t>対応表</t>
        </is>
      </c>
      <c r="H94" s="19" t="inlineStr">
        <is>
          <t>仕様書(7)は策定委員会の審議とパブリックコメントの双方の意見の反映を求める。従来はパブコメ側のみ計上していた</t>
        </is>
      </c>
      <c r="I94" s="17" t="inlineStr">
        <is>
          <t>R8.11〜R9.2</t>
        </is>
      </c>
      <c r="J94" s="20" t="n"/>
      <c r="K94" s="20" t="n"/>
      <c r="L94" s="20" t="n"/>
      <c r="M94" s="20" t="n"/>
      <c r="N94" s="21" t="n">
        <v>0</v>
      </c>
      <c r="O94" s="17" t="inlineStr">
        <is>
          <t>未着手</t>
        </is>
      </c>
      <c r="P94" s="19" t="inlineStr">
        <is>
          <t>★仕様書Ⅱ(7)は策定委員会の審議とパブリックコメントの双方の意見の反映を求めるが、従来はパブコメ側のみを作業として計上していた。第2回（11月）の審議結果を素案に反映する工程が必要。第2回の資料は doc26 で構成を確定済。</t>
        </is>
      </c>
    </row>
    <row r="95" ht="30" customHeight="1">
      <c r="A95" s="11" t="inlineStr">
        <is>
          <t>Ⅱ-76</t>
        </is>
      </c>
      <c r="B95" s="12" t="inlineStr">
        <is>
          <t>Ⅱ 計画策定</t>
        </is>
      </c>
      <c r="C95" s="12" t="inlineStr">
        <is>
          <t>Ⅱ-7 計画書の作成</t>
        </is>
      </c>
      <c r="D95" s="13" t="inlineStr">
        <is>
          <t>パブリックコメントの実施</t>
        </is>
      </c>
      <c r="E95" s="11" t="inlineStr">
        <is>
          <t>仕様書4Ⅱ(7)</t>
        </is>
      </c>
      <c r="F95" s="11" t="inlineStr">
        <is>
          <t>北塩原村</t>
        </is>
      </c>
      <c r="G95" s="13" t="inlineStr">
        <is>
          <t>パブコメ資料・意見</t>
        </is>
      </c>
      <c r="H95" s="13" t="inlineStr">
        <is>
          <t>★議事録により第2回委員会（11月）の後に実施と確定。方向性や説明文を追記した上で実施</t>
        </is>
      </c>
      <c r="I95" s="11" t="inlineStr">
        <is>
          <t>R8.11〜12</t>
        </is>
      </c>
      <c r="J95" s="14" t="n"/>
      <c r="K95" s="14" t="n"/>
      <c r="L95" s="14" t="n"/>
      <c r="M95" s="14" t="n"/>
      <c r="N95" s="15" t="n">
        <v>0</v>
      </c>
      <c r="O95" s="11" t="inlineStr">
        <is>
          <t>未着手</t>
        </is>
      </c>
      <c r="P95" s="13" t="inlineStr"/>
    </row>
    <row r="96" ht="30" customHeight="1">
      <c r="A96" s="17" t="inlineStr">
        <is>
          <t>Ⅱ-77</t>
        </is>
      </c>
      <c r="B96" s="18" t="inlineStr">
        <is>
          <t>Ⅱ 計画策定</t>
        </is>
      </c>
      <c r="C96" s="18" t="inlineStr">
        <is>
          <t>Ⅱ-7 計画書の作成</t>
        </is>
      </c>
      <c r="D96" s="19" t="inlineStr">
        <is>
          <t>パブリックコメント意見の反映</t>
        </is>
      </c>
      <c r="E96" s="17" t="inlineStr">
        <is>
          <t>仕様書4Ⅱ(7)</t>
        </is>
      </c>
      <c r="F96" s="17" t="inlineStr">
        <is>
          <t>受託者</t>
        </is>
      </c>
      <c r="G96" s="19" t="inlineStr">
        <is>
          <t>対応表</t>
        </is>
      </c>
      <c r="H96" s="19" t="inlineStr">
        <is>
          <t>第3回委員会（1月下旬〜2月上旬）で報告</t>
        </is>
      </c>
      <c r="I96" s="17" t="inlineStr">
        <is>
          <t>R8.12〜R9.1</t>
        </is>
      </c>
      <c r="J96" s="20" t="n"/>
      <c r="K96" s="20" t="n"/>
      <c r="L96" s="20" t="n"/>
      <c r="M96" s="20" t="n"/>
      <c r="N96" s="21" t="n">
        <v>0</v>
      </c>
      <c r="O96" s="17" t="inlineStr">
        <is>
          <t>未着手</t>
        </is>
      </c>
      <c r="P96" s="19" t="inlineStr"/>
    </row>
    <row r="97" ht="30" customHeight="1">
      <c r="A97" s="22" t="inlineStr">
        <is>
          <t>Ⅱ-78</t>
        </is>
      </c>
      <c r="B97" s="23" t="inlineStr">
        <is>
          <t>Ⅱ 計画策定</t>
        </is>
      </c>
      <c r="C97" s="23" t="inlineStr">
        <is>
          <t>Ⅱ-7 計画書の作成</t>
        </is>
      </c>
      <c r="D97" s="24" t="inlineStr">
        <is>
          <t>原案の作成</t>
        </is>
      </c>
      <c r="E97" s="22" t="inlineStr">
        <is>
          <t>仕様書4Ⅱ(7)</t>
        </is>
      </c>
      <c r="F97" s="22" t="inlineStr">
        <is>
          <t>受託者</t>
        </is>
      </c>
      <c r="G97" s="24" t="inlineStr">
        <is>
          <t>原案</t>
        </is>
      </c>
      <c r="H97" s="24" t="inlineStr"/>
      <c r="I97" s="22" t="inlineStr">
        <is>
          <t>R9.1〜2</t>
        </is>
      </c>
      <c r="J97" s="25" t="n"/>
      <c r="K97" s="25" t="n"/>
      <c r="L97" s="25" t="n"/>
      <c r="M97" s="25" t="n"/>
      <c r="N97" s="26" t="n">
        <v>0</v>
      </c>
      <c r="O97" s="22" t="inlineStr">
        <is>
          <t>未着手</t>
        </is>
      </c>
      <c r="P97" s="24" t="inlineStr"/>
    </row>
    <row r="98" ht="30" customHeight="1">
      <c r="A98" s="17" t="inlineStr">
        <is>
          <t>Ⅱ-79</t>
        </is>
      </c>
      <c r="B98" s="18" t="inlineStr">
        <is>
          <t>Ⅱ 計画策定</t>
        </is>
      </c>
      <c r="C98" s="18" t="inlineStr">
        <is>
          <t>Ⅱ-7 計画書の作成</t>
        </is>
      </c>
      <c r="D98" s="19" t="inlineStr">
        <is>
          <t>計画書の最終取りまとめ</t>
        </is>
      </c>
      <c r="E98" s="17" t="inlineStr">
        <is>
          <t>仕様書4Ⅱ(7)</t>
        </is>
      </c>
      <c r="F98" s="17" t="inlineStr">
        <is>
          <t>受託者</t>
        </is>
      </c>
      <c r="G98" s="19" t="inlineStr">
        <is>
          <t>計画書（確定）</t>
        </is>
      </c>
      <c r="H98" s="19" t="inlineStr"/>
      <c r="I98" s="17" t="inlineStr">
        <is>
          <t>R9.2〜3</t>
        </is>
      </c>
      <c r="J98" s="20" t="n"/>
      <c r="K98" s="20" t="n"/>
      <c r="L98" s="20" t="n"/>
      <c r="M98" s="20" t="n"/>
      <c r="N98" s="21" t="n">
        <v>0</v>
      </c>
      <c r="O98" s="17" t="inlineStr">
        <is>
          <t>未着手</t>
        </is>
      </c>
      <c r="P98" s="19" t="inlineStr"/>
    </row>
    <row r="99" ht="30" customHeight="1">
      <c r="A99" s="11" t="inlineStr">
        <is>
          <t>Ⅱ-113</t>
        </is>
      </c>
      <c r="B99" s="12" t="inlineStr">
        <is>
          <t>Ⅱ 計画策定</t>
        </is>
      </c>
      <c r="C99" s="12" t="inlineStr">
        <is>
          <t>Ⅱ-7 計画書の作成</t>
        </is>
      </c>
      <c r="D99" s="13" t="inlineStr">
        <is>
          <t>計画書のレイアウト・校正</t>
        </is>
      </c>
      <c r="E99" s="11" t="inlineStr">
        <is>
          <t>仕様書4Ⅱ(7)</t>
        </is>
      </c>
      <c r="F99" s="11" t="inlineStr">
        <is>
          <t>受託者</t>
        </is>
      </c>
      <c r="G99" s="13" t="inlineStr">
        <is>
          <t>校正紙</t>
        </is>
      </c>
      <c r="H99" s="13" t="inlineStr">
        <is>
          <t>判型・表紙デザインの踏襲可否は村と要協議。印刷入稿の前提</t>
        </is>
      </c>
      <c r="I99" s="11" t="inlineStr">
        <is>
          <t>R9.2〜3</t>
        </is>
      </c>
      <c r="J99" s="14" t="n"/>
      <c r="K99" s="14" t="n"/>
      <c r="L99" s="14" t="n">
        <v>46297</v>
      </c>
      <c r="M99" s="14" t="n"/>
      <c r="N99" s="15" t="n">
        <v>0.7</v>
      </c>
      <c r="O99" s="16" t="inlineStr">
        <is>
          <t>着手</t>
        </is>
      </c>
      <c r="P99" s="13" t="inlineStr">
        <is>
          <t>判型・表紙デザインの踏襲可否は村と要協議（確認事項 優先度C）。当方の環境では docx から PDF への変換ができずレイアウトの目視確認ができないため、校正の工程では村側での確認を前提に組む。★10/2：紙面の点検を機械で代替した（estimate_layout.py）。図3-1が1頁に収まらないことを見つけ、図の高さに上限を設けて直した。表の行に cantSplit、見出しと図に keepNext を入れ、頁の境目で割れないようにした。目視確認は変換ができない環境のため未了。★10/4：表の列幅を宣言どおりに固定し（TableLayoutType.FIXED）、文字の幅を文字の種類で見るようにした。keepNextが表の全体を引き連れるという誤りも直した。計画書としての頁数を出せるようにし、編集注記と5-12を除いて105頁＋前付4頁＝109頁（目安100頁に対し+9頁）。1頁の図版（図3-1）は改頁して頁の頭から置く。点検49で2つの推定が矛盾しないことを確かめる。★10/5：計画書が目安100頁に対し+10頁であることから、分量の削減案を試算した（estimate_sakugen.py）。算定の方法の説明・推計の不確かさ・見込量の自己点検・施策の反映・保険料の算定の過程・交付金の明細の6案で10頁減り、本文96頁＋前付4頁＝100頁に収まる。削るのは当方の検証の記述であり、法定の記載事項には触れない。どこまで削るかは村の判断を仰ぐ（確認事項K-190）。点検52で案が実在する小見出しを指すことを確かめている。目視確認は変換ができない環境のため未了。★10/6：交付金の評価が求める分析の空白を埋める図2点を加えたため、見込みが本文106頁＋前付4頁＝110頁から本文108頁＋前付4頁＝112頁になった。削減案6案をすべて行っても本文100頁＋前付4頁＝104頁で、目安を4頁上回る。目安ちょうどに収めるには用語の解説の絞り込み（案G）もあわせて行う必要がある。この2図は交付金の評価に直接効くため残すことを勧めるが、分量を優先する場合は資料編に移すこともできる旨をK-190に書いた。★10/9：削減案を総当たりで試算した。案G（用語の解説の絞り込み）は0頁で、頁のためには行う意味がない。69語のうち本文に一度も現れないのは8語だが、落としても頁は減らない。一方、10月6日に加えた図2点を資料編に移すと2頁減る（案H）。到達できる最小はA〜F＋Hの101頁で、目安100頁に対し+1頁（★10/8に5-7を組み替えて本文が1頁増えたため102頁・+2頁に改めた）。これ以上は介護保険法117条2項が求める事項か前付（4頁）に手を入れることになるため勧めない。仕様書5①は「約100頁」であり102頁はその範囲と解されるが、どの案を行うかは村の判断としてK-190に書いた。試算に組み合わせの総当たりを組み込み、点検52でG・Hの効果も報告するようにした。★10/12：削減案12案（A〜H・J〜M）の対応表を実測で作った（doc84）。組み合わせごとに計画書を組んでPDFに変換し、何も行わない125頁からA〜Mの109頁までを数えた。村の許容110頁に収まるのはA〜L（110頁）とA〜M（109頁）である。紙面も通して確かめ、表の孤立行5件と見出しの取り残し1件を直した（doc86）。残るのはどの案を行うかの村のご判断である。</t>
        </is>
      </c>
    </row>
    <row r="100" ht="30" customHeight="1">
      <c r="A100" s="4" t="inlineStr">
        <is>
          <t>Ⅱ-116</t>
        </is>
      </c>
      <c r="B100" s="6" t="inlineStr">
        <is>
          <t>Ⅱ 計画策定</t>
        </is>
      </c>
      <c r="C100" s="6" t="inlineStr">
        <is>
          <t>Ⅱ-7 計画書の作成</t>
        </is>
      </c>
      <c r="D100" s="7" t="inlineStr">
        <is>
          <t>図表データ管理台帳の作成と図の数値の一元化</t>
        </is>
      </c>
      <c r="E100" s="4" t="inlineStr">
        <is>
          <t>確認</t>
        </is>
      </c>
      <c r="F100" s="4" t="inlineStr">
        <is>
          <t>受託者</t>
        </is>
      </c>
      <c r="G100" s="7" t="inlineStr">
        <is>
          <t>11_図表データ管理台帳.xlsx・data_zuhyo.py</t>
        </is>
      </c>
      <c r="H100" s="7" t="inlineStr">
        <is>
          <t>村が数値を直すと本文の図に反映される仕組み。Ⅱ-75と一体</t>
        </is>
      </c>
      <c r="I100" s="4" t="inlineStr">
        <is>
          <t>R8.9〜10</t>
        </is>
      </c>
      <c r="J100" s="8" t="n"/>
      <c r="K100" s="8" t="n"/>
      <c r="L100" s="8" t="n">
        <v>46292</v>
      </c>
      <c r="M100" s="8" t="n">
        <v>46297</v>
      </c>
      <c r="N100" s="9" t="n">
        <v>1</v>
      </c>
      <c r="O100" s="10" t="inlineStr">
        <is>
          <t>完了</t>
        </is>
      </c>
      <c r="P100" s="7" t="inlineStr">
        <is>
          <t>図20点・53系列の数値の正本を data_zuhyo.py に集約し、作図も台帳もそこから読む形にした。台帳は26シート・自己点検17件。村が数値を直すと作図に反映され、取り込まずに台帳を作り直そうとすると止まる。図と素案の表が同じ数値を持つ24系列を02シートに掲げた。★10/2：図と素案の表が同じ数値を持つ32系列を正本に一元化した。台帳の突合が和暦と西暦を寄せておらず9系列を見落としていたのを直して23→32系列。素案の表10本が data_zuhyo から区分の名で引く形になり、じか書きは0系列。自己点検19件。★10/6：図を26点から28点に。交付金との紐付けの表（03シート）で「ない」としていた2件を「ある」に改め、裏づける図のない分析を0件にした。新しい2図は受領データから直接算定する形（算定による図）とし、じか書きしていない。</t>
        </is>
      </c>
    </row>
    <row r="101" ht="30" customHeight="1">
      <c r="A101" s="11" t="inlineStr">
        <is>
          <t>Ⅱ-117</t>
        </is>
      </c>
      <c r="B101" s="12" t="inlineStr">
        <is>
          <t>Ⅱ 計画策定</t>
        </is>
      </c>
      <c r="C101" s="12" t="inlineStr">
        <is>
          <t>Ⅱ-7 計画書の作成</t>
        </is>
      </c>
      <c r="D101" s="13" t="inlineStr">
        <is>
          <t>成果品の自己点検（記載事項の網羅性・制約の走査）</t>
        </is>
      </c>
      <c r="E101" s="11" t="inlineStr">
        <is>
          <t>確認</t>
        </is>
      </c>
      <c r="F101" s="11" t="inlineStr">
        <is>
          <t>受託者</t>
        </is>
      </c>
      <c r="G101" s="13" t="inlineStr">
        <is>
          <t>各verifyスクリプト・レッドチーム走査</t>
        </is>
      </c>
      <c r="H101" s="13" t="inlineStr">
        <is>
          <t>素案・委員会資料・集計仕様書・WBSの数値と記載を機械で点検</t>
        </is>
      </c>
      <c r="I101" s="11" t="inlineStr">
        <is>
          <t>通期</t>
        </is>
      </c>
      <c r="J101" s="14" t="n"/>
      <c r="K101" s="14" t="n"/>
      <c r="L101" s="14" t="n">
        <v>46291</v>
      </c>
      <c r="M101" s="14" t="n"/>
      <c r="N101" s="15" t="n">
        <v>0.95</v>
      </c>
      <c r="O101" s="16" t="inlineStr">
        <is>
          <t>着手</t>
        </is>
      </c>
      <c r="P101" s="13" t="inlineStr">
        <is>
          <t>素案45件・委員会資料20件・集計仕様書16件・WBS・見える化52件・台帳17件。レッドチーム走査6本（日本語でない文字／受託者を主語とする語／禁止表現／個人情報／ヘッダー等／半角全角）は走査自体の自己試験つき。点検スキルを .claude/skills/keikaku-check に整備した。★10/2：点検46（図と図の恒等式35本）・47（摂動試験34系列）・48（紙面が成り立つこと）を新設し48件。verify_wbs は点検15（実績日の整合）・16（納品物の網羅）を加えて16件、verify_mieruka は63件。紙面の目視確認のみ環境制約により未了。★10/5：点検53（確保の方策）・54（正負の記号）・55（同じ文の重複）・56（宣言した数との一致）を新設し素案56件。verify_wbs は点検17（媒体が組み立てられること）・18（成果品を組み直せること）を加えて18件、verify_mieruka は71件。点検54で素案の正号が全角74件・半角31件に混在していたこと、委員会資料の負号が▲とダッシュ類に分かれていたことを検出して揃えた。影響度の一覧が確認事項の並びの位置を鍵にしていたため、1件を解決済みに移すと55件すべてがずれる欠陥があり、鍵を見出しの文字列に改めた。★10/5（第2報）：レビューの結果を受けて点検の範囲を見直した。点検55は素案だけを見ていたのを委員会資料にも広げ、しきい値を実測で30→12文字に下げた（30文字では実在の9組のうち5組しか出なかった）。点検56は確認事項（丸数字で並べているもの）にも広げた。点検19はxlsxとtxtだけだったのをdocxにも広げた（26,991件を走査）。点検57（自分の構造を数えて述べている箇所が構造と合うこと）を新設。点検53の施策の集合に基本目標5の4施策（4-5の表の行）が入っていなかったのを直した。新設・改訂した点検はいずれも、欠陥を戻すと不適合になることを自己試験で確かめた。素案57件。★10/5（第3報）：照会票を組んだところ、確認事項2件に古い数が残っていた。計画書の分量を「本文105頁＋前付4頁＝109頁」、頁数の実測を「本文88頁＋前付4頁＝92頁で約100頁に8頁の余裕がある」と述べており、現在の推定（本文106頁＋前付4頁＝110頁）と合っていなかった。確認事項は照会票として村に渡るため、古い数は村に誤った数を示すことになる。点検57を頁数にも広げ、確認事項に書いた頁数が紙面の推定と一致することを確かめるようにした。WBS19件→20件。★10/7：点検58（素案が指す調査票の設問が集計仕様書と合うこと）を新設。素案58件。資6で「介護者の勤務形態（B票 問6）」と書いていたが、B票 問6は不安に感じる介護で勤務形態はB票 問7であった。設問の番号は調査票の改訂で動くため、番号のすぐ前にある語と設問文を突き合わせる形にした。あわせて点検36の判定の基準を改めた。もとは「95〜105頁」という絶対の幅で判定していたが、目安100頁をどれだけ超えるかはK-190として村の判断を仰いでいる事項であり、点検49と点検57がその数を押さえている。同じ問いを3つの点検が別々の基準で見ると、分量が増えたときに点検36だけが落ち続ける。現にそうなったため、点検36は2つの積算の関係（要素を足すだけの積算が送りを追った推定を上回らないこと）だけを見る形に改めた。集計仕様書の点検も、クロス表の件数のじか書きを数え上げに改めた。★10/8：点検59（確認事項が指す素案の節・図が実在すること）を新設し素案59件。見える化の突合は点検72（居住系の受給者数の算出が見える化と合うこと）を加えて72件。確認事項の「ない」と述べている30件を1件ずつ当たり、2件が現に古くなっていた。(1)「施設・居住系はサービス種類別の受給者数の系列がない」→ 居住系2種は算出できる。(2)「医療介護連携の加算の算定状況が未把握」→ 算定率は見える化で把握済み。優先度をBからCへ。参照の走査では、委員会資料の節番号を素案の節と読み違える書き方が1か所あったため「資料3の3-6」と書き改めた。★10/8：点検61（指し先の実在）を枝番（5-4(8)・1-8の3）に加えて丸数字（6-4⑦）も見る形に拡張した。6-4の検証項目を1つ増やしたとき、施策3-5・5-12から「6-4⑦」と指しても誰も確かめられなかったためである。在庫の数え方を一度しくじった。「節のどこかに文字として現れること」では、⑦の行を落としても「⑦は〜に備えるためのものです」という本文が残るため通ってしまう。表の行頭・箇条書きの頭・小見出しの頭に「見出しとして立っている」ところだけを在庫に数える形に改め、欠陥を戻すと3か所で鳴ることを確かめた。点検56（次のN点）・点検57（自分の数）・WBSの点検9・16・21、委員会資料の点検10も、今回の加筆により不適合となったものを直した。★10/9：点検65（第11期の分母の組み方が第10期で復元できること）を新設し素案65件とした。素案の注記は復元の差を印字するだけなので、差が大きくなっても文面は成り立ってしまう。組み方が通らなくなったことを機械で知るための点検である。復元の差が0.5%以内であること、5-7の基金の節に5つの断りがあること、3案の表が estimate_kikin の算定と一致することを見る。自己試験で3つの欠陥（復元の差を3%にする／注記から「3か年に均した」を落とす／表のA案の第10期を6,700円に書き換える）をそれぞれ戻し、いずれも検出することを確かめた。あわせて点検57（自分の数）の拡張を10月9日に行っている。★10/9：点検60（資5の用語と本文の言い方が合っていること）を新設し素案60件。用語集の見出し語が「総合相談支援業務」で本文の「総合相談支援」と違っており、読み手が引けない状態だったのを直した。本文に現れない用語が削減案Gの候補8語と一致することを確かめる形にしたため、用語を足したのに本文で使っていない場合も捕らえる。</t>
        </is>
      </c>
    </row>
    <row r="102" ht="30" customHeight="1">
      <c r="A102" s="11" t="inlineStr">
        <is>
          <t>Ⅱ-80</t>
        </is>
      </c>
      <c r="B102" s="12" t="inlineStr">
        <is>
          <t>Ⅱ 計画策定</t>
        </is>
      </c>
      <c r="C102" s="12" t="inlineStr">
        <is>
          <t>Ⅱ-8 策定委員会支援</t>
        </is>
      </c>
      <c r="D102" s="13" t="inlineStr">
        <is>
          <t>委員の改選・委嘱</t>
        </is>
      </c>
      <c r="E102" s="11" t="inlineStr">
        <is>
          <t>確認</t>
        </is>
      </c>
      <c r="F102" s="11" t="inlineStr">
        <is>
          <t>北塩原村</t>
        </is>
      </c>
      <c r="G102" s="13" t="inlineStr">
        <is>
          <t>委員名簿</t>
        </is>
      </c>
      <c r="H102" s="13" t="inlineStr">
        <is>
          <t>★現委員の任期は令和8年9月30日満了。議事録では触れられておらず改選の要否が未確認。第2回（11月）の前提</t>
        </is>
      </c>
      <c r="I102" s="11" t="inlineStr">
        <is>
          <t>R8.9〜10</t>
        </is>
      </c>
      <c r="J102" s="14" t="n"/>
      <c r="K102" s="14" t="n"/>
      <c r="L102" s="14" t="n"/>
      <c r="M102" s="14" t="n"/>
      <c r="N102" s="15" t="n">
        <v>0</v>
      </c>
      <c r="O102" s="11" t="inlineStr">
        <is>
          <t>未着手</t>
        </is>
      </c>
      <c r="P102" s="13" t="inlineStr">
        <is>
          <t>★現委員の任期が令和8年9月30日で満了（doc19 追-C）。第1回策定委員会を11月に開催するには10月中の改選・委嘱が必要。手続きの所要期間を村に確認し逆算する必要がある。</t>
        </is>
      </c>
    </row>
    <row r="103" ht="30" customHeight="1">
      <c r="A103" s="22" t="inlineStr">
        <is>
          <t>Ⅱ-81</t>
        </is>
      </c>
      <c r="B103" s="23" t="inlineStr">
        <is>
          <t>Ⅱ 計画策定</t>
        </is>
      </c>
      <c r="C103" s="23" t="inlineStr">
        <is>
          <t>Ⅱ-8 策定委員会支援</t>
        </is>
      </c>
      <c r="D103" s="24" t="inlineStr">
        <is>
          <t>第1回 会議資料の作成</t>
        </is>
      </c>
      <c r="E103" s="22" t="inlineStr">
        <is>
          <t>仕様書4Ⅱ(8)</t>
        </is>
      </c>
      <c r="F103" s="22" t="inlineStr">
        <is>
          <t>受託者</t>
        </is>
      </c>
      <c r="G103" s="24" t="inlineStr">
        <is>
          <t>会議資料</t>
        </is>
      </c>
      <c r="H103" s="24" t="inlineStr">
        <is>
          <t>★議事録により第1回は受託前に開催済みと確定。本業務の対象外</t>
        </is>
      </c>
      <c r="I103" s="22" t="inlineStr">
        <is>
          <t>開催済</t>
        </is>
      </c>
      <c r="J103" s="25" t="n"/>
      <c r="K103" s="25" t="n"/>
      <c r="L103" s="25" t="n"/>
      <c r="M103" s="25" t="n"/>
      <c r="N103" s="26" t="n">
        <v>1</v>
      </c>
      <c r="O103" s="28" t="inlineStr">
        <is>
          <t>対象外</t>
        </is>
      </c>
      <c r="P103" s="24" t="inlineStr">
        <is>
          <t>★議事録により第1回策定委員会は受託前に開催済みと確定。本業務の対象外。</t>
        </is>
      </c>
    </row>
    <row r="104" ht="30" customHeight="1">
      <c r="A104" s="17" t="inlineStr">
        <is>
          <t>Ⅱ-82</t>
        </is>
      </c>
      <c r="B104" s="18" t="inlineStr">
        <is>
          <t>Ⅱ 計画策定</t>
        </is>
      </c>
      <c r="C104" s="18" t="inlineStr">
        <is>
          <t>Ⅱ-8 策定委員会支援</t>
        </is>
      </c>
      <c r="D104" s="19" t="inlineStr">
        <is>
          <t>第1回 会議出席・会議記録（要旨）の作成</t>
        </is>
      </c>
      <c r="E104" s="17" t="inlineStr">
        <is>
          <t>仕様書4Ⅱ(8)</t>
        </is>
      </c>
      <c r="F104" s="17" t="inlineStr">
        <is>
          <t>受託者</t>
        </is>
      </c>
      <c r="G104" s="19" t="inlineStr">
        <is>
          <t>会議記録</t>
        </is>
      </c>
      <c r="H104" s="19" t="inlineStr">
        <is>
          <t>★同上。開催済のため対象外</t>
        </is>
      </c>
      <c r="I104" s="17" t="inlineStr">
        <is>
          <t>開催済</t>
        </is>
      </c>
      <c r="J104" s="20" t="n"/>
      <c r="K104" s="20" t="n"/>
      <c r="L104" s="20" t="n"/>
      <c r="M104" s="20" t="n"/>
      <c r="N104" s="21" t="n">
        <v>1</v>
      </c>
      <c r="O104" s="29" t="inlineStr">
        <is>
          <t>対象外</t>
        </is>
      </c>
      <c r="P104" s="19" t="inlineStr">
        <is>
          <t>★同上。対象外。</t>
        </is>
      </c>
    </row>
    <row r="105" ht="30" customHeight="1">
      <c r="A105" s="11" t="inlineStr">
        <is>
          <t>Ⅱ-83</t>
        </is>
      </c>
      <c r="B105" s="12" t="inlineStr">
        <is>
          <t>Ⅱ 計画策定</t>
        </is>
      </c>
      <c r="C105" s="12" t="inlineStr">
        <is>
          <t>Ⅱ-8 策定委員会支援</t>
        </is>
      </c>
      <c r="D105" s="13" t="inlineStr">
        <is>
          <t>第2回 会議資料の作成</t>
        </is>
      </c>
      <c r="E105" s="11" t="inlineStr">
        <is>
          <t>仕様書4Ⅱ(8)</t>
        </is>
      </c>
      <c r="F105" s="11" t="inlineStr">
        <is>
          <t>受託者</t>
        </is>
      </c>
      <c r="G105" s="13" t="inlineStr">
        <is>
          <t>会議資料</t>
        </is>
      </c>
      <c r="H105" s="13" t="inlineStr">
        <is>
          <t>★アンケート分析結果・第9期の効果検証（R7実績まで）・骨子・施策体系・見込量・保険料概算・素案（完成度7割）</t>
        </is>
      </c>
      <c r="I105" s="11" t="inlineStr">
        <is>
          <t>R8.11</t>
        </is>
      </c>
      <c r="J105" s="14" t="n"/>
      <c r="K105" s="14" t="n"/>
      <c r="L105" s="14" t="n">
        <v>46269</v>
      </c>
      <c r="M105" s="14" t="n"/>
      <c r="N105" s="15" t="n">
        <v>0.88</v>
      </c>
      <c r="O105" s="16" t="inlineStr">
        <is>
          <t>着手</t>
        </is>
      </c>
      <c r="P105" s="13" t="inlineStr">
        <is>
          <t>交付金の目標別の推移を追加（資料2-4）。書式を素案と揃えた。52節91表＋図1。★10/7：資料5-2（将来人口と認定者数の見通し）を国の推計ワークシートの値に組み替えた（doc67）。A案・B案の選択を諮る形から、国の値を正として検算の扱いを諮る形に変えた。点検14・17・20を組み替え、資料5-2と素案5-2・5-3が令和6〜11年度の6か年で一致することを機械で確かめるようにした。資料6（保険料）の組み替えは5-7と同時に行う。★10/9：資料6の6-3bを組み直した（doc73）。節名を「保険料の複数案（案）」から「介護給付費準備基金の取崩しの水準（ご審議事項①）」に改め、国の算定ベースの3案を先頭に置いた。【要算定】の表（取崩しなしの第11期が空）は3案の表に吸収して解消した。12のパターンは「参考　当方がワークシートの提供を受ける前に算定した12のパターン」として後ろに置いた。点検20（素案と資料の表の一致）に基金の3案を加えて12表とし、資料6の値を100円ずらすと3行すべてで鳴ることを確かめた。doc26 §18-5 の資料6の表数を10表から9表に、合計を93表から92表に改めた（点検16が検出）。</t>
        </is>
      </c>
    </row>
    <row r="106" ht="30" customHeight="1">
      <c r="A106" s="17" t="inlineStr">
        <is>
          <t>Ⅱ-84</t>
        </is>
      </c>
      <c r="B106" s="18" t="inlineStr">
        <is>
          <t>Ⅱ 計画策定</t>
        </is>
      </c>
      <c r="C106" s="18" t="inlineStr">
        <is>
          <t>Ⅱ-8 策定委員会支援</t>
        </is>
      </c>
      <c r="D106" s="19" t="inlineStr">
        <is>
          <t>第2回 会議出席・会議記録（要旨）の作成</t>
        </is>
      </c>
      <c r="E106" s="17" t="inlineStr">
        <is>
          <t>仕様書4Ⅱ(8)</t>
        </is>
      </c>
      <c r="F106" s="17" t="inlineStr">
        <is>
          <t>受託者</t>
        </is>
      </c>
      <c r="G106" s="19" t="inlineStr">
        <is>
          <t>会議記録</t>
        </is>
      </c>
      <c r="H106" s="19" t="inlineStr"/>
      <c r="I106" s="17" t="inlineStr">
        <is>
          <t>R8.11</t>
        </is>
      </c>
      <c r="J106" s="20" t="n"/>
      <c r="K106" s="20" t="n"/>
      <c r="L106" s="20" t="n"/>
      <c r="M106" s="20" t="n"/>
      <c r="N106" s="21" t="n">
        <v>0</v>
      </c>
      <c r="O106" s="17" t="inlineStr">
        <is>
          <t>未着手</t>
        </is>
      </c>
      <c r="P106" s="19" t="inlineStr"/>
    </row>
    <row r="107" ht="30" customHeight="1">
      <c r="A107" s="11" t="inlineStr">
        <is>
          <t>Ⅱ-85</t>
        </is>
      </c>
      <c r="B107" s="12" t="inlineStr">
        <is>
          <t>Ⅱ 計画策定</t>
        </is>
      </c>
      <c r="C107" s="12" t="inlineStr">
        <is>
          <t>Ⅱ-8 策定委員会支援</t>
        </is>
      </c>
      <c r="D107" s="13" t="inlineStr">
        <is>
          <t>第3回 会議資料の作成</t>
        </is>
      </c>
      <c r="E107" s="11" t="inlineStr">
        <is>
          <t>仕様書4Ⅱ(8)</t>
        </is>
      </c>
      <c r="F107" s="11" t="inlineStr">
        <is>
          <t>受託者</t>
        </is>
      </c>
      <c r="G107" s="13" t="inlineStr">
        <is>
          <t>会議資料</t>
        </is>
      </c>
      <c r="H107" s="13" t="inlineStr">
        <is>
          <t>パブコメ結果と反映内容の報告。ほぼ完成版の素案として最終合意</t>
        </is>
      </c>
      <c r="I107" s="11" t="inlineStr">
        <is>
          <t>R9.1下〜2上</t>
        </is>
      </c>
      <c r="J107" s="14" t="n"/>
      <c r="K107" s="14" t="n"/>
      <c r="L107" s="14" t="n">
        <v>46297</v>
      </c>
      <c r="M107" s="14" t="n"/>
      <c r="N107" s="15" t="n">
        <v>0.45</v>
      </c>
      <c r="O107" s="16" t="inlineStr">
        <is>
          <t>着手</t>
        </is>
      </c>
      <c r="P107" s="13" t="inlineStr">
        <is>
          <t>★10/2：骨子を整理した（doc56§5）。★10/4：shiryo3_content.py として形にした。資料1〜8・19節・表13点。数値を入れていない箇所は【要確定】の枠（22件）として示し、何が決まれば埋まるかと出どころを一つずつ書いている。点検21で、出どころが確認事項（18件）か外の決まりごと（4件）に実在することを確かめている。第2回の審議結果と、保険料・必要利用定員総数・成果指標の目標値の確定が前提のため、数値の作成には入っていない。★10/10：国の推計ワークシート（10/7受領）と県の整備量見込みシート（10/8反映）により確定した11件を「確定した事項」の表として資料に書き加えた（資料5-1に3件・資料5-2に2件・資料6-1に4件・資料6-2に2件）。【要確定】の枠は22件から20件になった（確定により消えた枠3件＝ワークシートによる算定・保険料の基準額・第1号被保険者負担割合、問いが狭まった枠2件＝必要利用定員総数は満床への対応へ・基金の取崩額は3案のいずれを採るかへ、新たに生じた枠1件＝令和9年度以降も0で入っている6サービスの扱い）。資料6-1に基金の取崩しの3案の表（取崩額・算定上の月額・条例上の基準額・第9期差・残高・第11期）を算定（estimate_kikin）から組んで入れた。資料19節・表19点になった。資料2-2（第2回以降に確定した事項）の一覧は各資料の「確定した事項」の表から組んでおり、資料を直せば一覧も連動する。点検22（確定した事項の値が素案にあること）・点検23（3案が算定と一致すること）・点検24（2-2の一覧が各資料と合うこと）を新設し、点検18（内部の仕組みの語）を第3回にも広げた。★点検22が、当方が書いた所得段階別加入割合補正後被保険者数の表記（3,054.34人）が素案（3,054人）と違うことを検出したので素案にそろえた。★点検18を広げたところ、当方が出どころの欄に内部の文書番号（doc66・doc69・doc73・doc28）を書いていたことが分かったので、村提供の資料名に書き換えた。委員会にお渡しする資料である。★残るのは、第2回の審議結果と、確定していない20件である。</t>
        </is>
      </c>
    </row>
    <row r="108" ht="30" customHeight="1">
      <c r="A108" s="17" t="inlineStr">
        <is>
          <t>Ⅱ-86</t>
        </is>
      </c>
      <c r="B108" s="18" t="inlineStr">
        <is>
          <t>Ⅱ 計画策定</t>
        </is>
      </c>
      <c r="C108" s="18" t="inlineStr">
        <is>
          <t>Ⅱ-8 策定委員会支援</t>
        </is>
      </c>
      <c r="D108" s="19" t="inlineStr">
        <is>
          <t>第3回 会議出席・会議記録（要旨）の作成</t>
        </is>
      </c>
      <c r="E108" s="17" t="inlineStr">
        <is>
          <t>仕様書4Ⅱ(8)</t>
        </is>
      </c>
      <c r="F108" s="17" t="inlineStr">
        <is>
          <t>受託者</t>
        </is>
      </c>
      <c r="G108" s="19" t="inlineStr">
        <is>
          <t>会議記録</t>
        </is>
      </c>
      <c r="H108" s="19" t="inlineStr"/>
      <c r="I108" s="17" t="inlineStr">
        <is>
          <t>R9.1下〜2上</t>
        </is>
      </c>
      <c r="J108" s="20" t="n"/>
      <c r="K108" s="20" t="n"/>
      <c r="L108" s="20" t="n"/>
      <c r="M108" s="20" t="n"/>
      <c r="N108" s="21" t="n">
        <v>0</v>
      </c>
      <c r="O108" s="17" t="inlineStr">
        <is>
          <t>未着手</t>
        </is>
      </c>
      <c r="P108" s="19" t="inlineStr"/>
    </row>
    <row r="109" ht="30" customHeight="1">
      <c r="A109" s="22" t="inlineStr">
        <is>
          <t>Ⅱ-93</t>
        </is>
      </c>
      <c r="B109" s="23" t="inlineStr">
        <is>
          <t>Ⅱ 計画策定</t>
        </is>
      </c>
      <c r="C109" s="23" t="inlineStr">
        <is>
          <t>Ⅱ-8 策定委員会支援</t>
        </is>
      </c>
      <c r="D109" s="24" t="inlineStr">
        <is>
          <t>議会全員協議会 説明資料の作成</t>
        </is>
      </c>
      <c r="E109" s="22" t="inlineStr">
        <is>
          <t>確認</t>
        </is>
      </c>
      <c r="F109" s="22" t="inlineStr">
        <is>
          <t>受託者</t>
        </is>
      </c>
      <c r="G109" s="24" t="inlineStr">
        <is>
          <t>説明資料</t>
        </is>
      </c>
      <c r="H109" s="24" t="inlineStr">
        <is>
          <t>★議事録で新設。概要版を用いて次期計画を説明。受託者の関与範囲（資料のみか出席を含むか）は要確認</t>
        </is>
      </c>
      <c r="I109" s="22" t="inlineStr">
        <is>
          <t>R9.2末</t>
        </is>
      </c>
      <c r="J109" s="25" t="n"/>
      <c r="K109" s="25" t="n"/>
      <c r="L109" s="25" t="n"/>
      <c r="M109" s="25" t="n"/>
      <c r="N109" s="26" t="n">
        <v>0</v>
      </c>
      <c r="O109" s="22" t="inlineStr">
        <is>
          <t>未着手</t>
        </is>
      </c>
      <c r="P109" s="24" t="inlineStr">
        <is>
          <t>★議事録で新設。令和9年2月末頃に概要版を用いて次期計画を説明。受託者の関与範囲（資料作成のみか出席・説明を含むか）が未確認（doc22 K-80）。</t>
        </is>
      </c>
    </row>
    <row r="110" ht="30" customHeight="1">
      <c r="A110" s="11" t="inlineStr">
        <is>
          <t>Ⅲ-87</t>
        </is>
      </c>
      <c r="B110" s="27" t="inlineStr">
        <is>
          <t>Ⅲ 打合せ等</t>
        </is>
      </c>
      <c r="C110" s="12" t="inlineStr">
        <is>
          <t>Ⅲ-1 打合せ</t>
        </is>
      </c>
      <c r="D110" s="13" t="inlineStr">
        <is>
          <t>定例打合せの実施（電話・オンライン・対面）</t>
        </is>
      </c>
      <c r="E110" s="11" t="inlineStr">
        <is>
          <t>仕様書4Ⅲ</t>
        </is>
      </c>
      <c r="F110" s="11" t="inlineStr">
        <is>
          <t>双方</t>
        </is>
      </c>
      <c r="G110" s="13" t="inlineStr">
        <is>
          <t>打合せ記録</t>
        </is>
      </c>
      <c r="H110" s="13" t="inlineStr">
        <is>
          <t>必要に応じて随時</t>
        </is>
      </c>
      <c r="I110" s="11" t="inlineStr">
        <is>
          <t>通期</t>
        </is>
      </c>
      <c r="J110" s="14" t="n"/>
      <c r="K110" s="14" t="n"/>
      <c r="L110" s="14" t="n">
        <v>46259</v>
      </c>
      <c r="M110" s="14" t="n"/>
      <c r="N110" s="15" t="n">
        <v>0.1</v>
      </c>
      <c r="O110" s="16" t="inlineStr">
        <is>
          <t>着手</t>
        </is>
      </c>
      <c r="P110" s="13" t="inlineStr">
        <is>
          <t>通期。開催頻度・形式は未確定。</t>
        </is>
      </c>
    </row>
    <row r="111" ht="30" customHeight="1">
      <c r="A111" s="11" t="inlineStr">
        <is>
          <t>Ⅲ-88</t>
        </is>
      </c>
      <c r="B111" s="12" t="inlineStr">
        <is>
          <t>Ⅲ 打合せ等</t>
        </is>
      </c>
      <c r="C111" s="12" t="inlineStr">
        <is>
          <t>Ⅲ-1 打合せ</t>
        </is>
      </c>
      <c r="D111" s="13" t="inlineStr">
        <is>
          <t>資料授受の管理</t>
        </is>
      </c>
      <c r="E111" s="11" t="inlineStr">
        <is>
          <t>仕様書4Ⅲ</t>
        </is>
      </c>
      <c r="F111" s="11" t="inlineStr">
        <is>
          <t>双方</t>
        </is>
      </c>
      <c r="G111" s="13" t="inlineStr">
        <is>
          <t>資料授受記録</t>
        </is>
      </c>
      <c r="H111" s="13" t="inlineStr"/>
      <c r="I111" s="11" t="inlineStr">
        <is>
          <t>通期</t>
        </is>
      </c>
      <c r="J111" s="14" t="n"/>
      <c r="K111" s="14" t="n"/>
      <c r="L111" s="14" t="n">
        <v>46259</v>
      </c>
      <c r="M111" s="14" t="n"/>
      <c r="N111" s="15" t="n">
        <v>0.35</v>
      </c>
      <c r="O111" s="16" t="inlineStr">
        <is>
          <t>着手</t>
        </is>
      </c>
      <c r="P111" s="13" t="inlineStr">
        <is>
          <t>受領資料は「受領資料・データ管理」シートで管理（28件）。7z分割書庫の全4分割が揃い展開完了。</t>
        </is>
      </c>
    </row>
    <row r="112" ht="30" customHeight="1">
      <c r="A112" s="17" t="inlineStr">
        <is>
          <t>Ⅳ-89</t>
        </is>
      </c>
      <c r="B112" s="30" t="inlineStr">
        <is>
          <t>Ⅳ 成果品・納品</t>
        </is>
      </c>
      <c r="C112" s="18" t="inlineStr">
        <is>
          <t>Ⅳ-1 成果品</t>
        </is>
      </c>
      <c r="D112" s="19" t="inlineStr">
        <is>
          <t>計画書の印刷・製本（A4両面約100頁・くるみ製本）</t>
        </is>
      </c>
      <c r="E112" s="17" t="inlineStr">
        <is>
          <t>仕様書5①</t>
        </is>
      </c>
      <c r="F112" s="17" t="inlineStr">
        <is>
          <t>受託者</t>
        </is>
      </c>
      <c r="G112" s="19" t="inlineStr">
        <is>
          <t>計画書 50部</t>
        </is>
      </c>
      <c r="H112" s="19" t="inlineStr">
        <is>
          <t>モノクロ印刷</t>
        </is>
      </c>
      <c r="I112" s="17" t="inlineStr">
        <is>
          <t>R9.3</t>
        </is>
      </c>
      <c r="J112" s="20" t="n"/>
      <c r="K112" s="20" t="n"/>
      <c r="L112" s="20" t="n"/>
      <c r="M112" s="20" t="n"/>
      <c r="N112" s="21" t="n">
        <v>0</v>
      </c>
      <c r="O112" s="17" t="inlineStr">
        <is>
          <t>未着手</t>
        </is>
      </c>
      <c r="P112" s="19" t="inlineStr"/>
    </row>
    <row r="113" ht="30" customHeight="1">
      <c r="A113" s="22" t="inlineStr">
        <is>
          <t>Ⅳ-90</t>
        </is>
      </c>
      <c r="B113" s="23" t="inlineStr">
        <is>
          <t>Ⅳ 成果品・納品</t>
        </is>
      </c>
      <c r="C113" s="23" t="inlineStr">
        <is>
          <t>Ⅳ-1 成果品</t>
        </is>
      </c>
      <c r="D113" s="24" t="inlineStr">
        <is>
          <t>アンケート調査報告書の印刷・製本（ホチキス製本）</t>
        </is>
      </c>
      <c r="E113" s="22" t="inlineStr">
        <is>
          <t>仕様書5②</t>
        </is>
      </c>
      <c r="F113" s="22" t="inlineStr">
        <is>
          <t>受託者</t>
        </is>
      </c>
      <c r="G113" s="24" t="inlineStr">
        <is>
          <t>報告書 10部</t>
        </is>
      </c>
      <c r="H113" s="24" t="inlineStr">
        <is>
          <t>A4両面約100頁・モノクロ</t>
        </is>
      </c>
      <c r="I113" s="22" t="inlineStr">
        <is>
          <t>R9.3</t>
        </is>
      </c>
      <c r="J113" s="25" t="n"/>
      <c r="K113" s="25" t="n"/>
      <c r="L113" s="25" t="n"/>
      <c r="M113" s="25" t="n"/>
      <c r="N113" s="26" t="n">
        <v>0</v>
      </c>
      <c r="O113" s="22" t="inlineStr">
        <is>
          <t>未着手</t>
        </is>
      </c>
      <c r="P113" s="24" t="inlineStr">
        <is>
          <t>★9/24：仕様書どおりA4判両面約100頁・モノクロ・ホチキス製本・10部で確定。両面100頁＝紙50枚でホチキス製本の上限に近く、当初案の118頁（59枚）は製本の面でも無理があった。</t>
        </is>
      </c>
    </row>
    <row r="114" ht="30" customHeight="1">
      <c r="A114" s="11" t="inlineStr">
        <is>
          <t>Ⅳ-91</t>
        </is>
      </c>
      <c r="B114" s="12" t="inlineStr">
        <is>
          <t>Ⅳ 成果品・納品</t>
        </is>
      </c>
      <c r="C114" s="12" t="inlineStr">
        <is>
          <t>Ⅳ-1 成果品</t>
        </is>
      </c>
      <c r="D114" s="13" t="inlineStr">
        <is>
          <t>電子媒体の作成（Word/Excel/PowerPoint/PDF）</t>
        </is>
      </c>
      <c r="E114" s="11" t="inlineStr">
        <is>
          <t>仕様書5③</t>
        </is>
      </c>
      <c r="F114" s="11" t="inlineStr">
        <is>
          <t>受託者</t>
        </is>
      </c>
      <c r="G114" s="13" t="inlineStr">
        <is>
          <t>CD-R等一式</t>
        </is>
      </c>
      <c r="H114" s="13" t="inlineStr">
        <is>
          <t>関連データを含む</t>
        </is>
      </c>
      <c r="I114" s="11" t="inlineStr">
        <is>
          <t>R9.3</t>
        </is>
      </c>
      <c r="J114" s="14" t="n"/>
      <c r="K114" s="14" t="n"/>
      <c r="L114" s="14" t="n">
        <v>46290</v>
      </c>
      <c r="M114" s="14" t="n"/>
      <c r="N114" s="15" t="n">
        <v>0.55</v>
      </c>
      <c r="O114" s="16" t="inlineStr">
        <is>
          <t>着手</t>
        </is>
      </c>
      <c r="P114" s="13" t="inlineStr">
        <is>
          <t>素案docx・委員会資料docx・WBS xlsx・集計仕様書xlsx・図表データ管理台帳xlsxを出力。★10/4：納品媒体を組み立てる手順を作った（build_nohin.py）。nohin_data に収録すると定めたもの31件を6つのフォルダに並べ、00_媒体の構成.txt に入っているもの・入れていないもの・申し送る6事項を書く。収録しないと定めたものが紛れたら組み立てを取り消す。点検17で確かめている。★10/5：00_媒体の構成.txt に6つのフォルダそれぞれの説明を加えた（FOLDER_SETSUMEI）。マークダウンの強調記号がそのまま出ていたのと、集計結果の説明が実態と合っていなかったのを直した。点検17でフォルダの説明が6つ揃っていることも確かめる。★10/12：libreoffice-writer と poppler-utils を入れ、docx を PDF に変換できるようになった（doc83）。仕様書5③-aは電子媒体にPDF形式等を収めることを求めており、これまで「変換ができない環境のため未作成」としていたものが作れる。納品物にPDFを加える作業に着手できる。</t>
        </is>
      </c>
    </row>
    <row r="115" ht="30" customHeight="1">
      <c r="A115" s="11" t="inlineStr">
        <is>
          <t>Ⅳ-114</t>
        </is>
      </c>
      <c r="B115" s="12" t="inlineStr">
        <is>
          <t>Ⅳ 成果品・納品</t>
        </is>
      </c>
      <c r="C115" s="12" t="inlineStr">
        <is>
          <t>Ⅳ-1 成果品</t>
        </is>
      </c>
      <c r="D115" s="13" t="inlineStr">
        <is>
          <t>納品物に収録する範囲の確定（個人情報の非収録）</t>
        </is>
      </c>
      <c r="E115" s="11" t="inlineStr">
        <is>
          <t>仕様書5③</t>
        </is>
      </c>
      <c r="F115" s="11" t="inlineStr">
        <is>
          <t>双方</t>
        </is>
      </c>
      <c r="G115" s="13" t="inlineStr">
        <is>
          <t>収録内容一覧</t>
        </is>
      </c>
      <c r="H115" s="13" t="inlineStr">
        <is>
          <t>「関連データ」に回答原票・管理番号対応表を含めるかは村の指示による。仕様書6(1)と一体</t>
        </is>
      </c>
      <c r="I115" s="11" t="inlineStr">
        <is>
          <t>R9.3</t>
        </is>
      </c>
      <c r="J115" s="14" t="n"/>
      <c r="K115" s="14" t="n"/>
      <c r="L115" s="14" t="n">
        <v>46297</v>
      </c>
      <c r="M115" s="14" t="n"/>
      <c r="N115" s="15" t="n">
        <v>0.8</v>
      </c>
      <c r="O115" s="16" t="inlineStr">
        <is>
          <t>着手</t>
        </is>
      </c>
      <c r="P115" s="13" t="inlineStr">
        <is>
          <t>★9/25：案Bの採用により収録対象が確定した部分がある。調査票2種（PDF・発送した現物の版）・単純集計表（全設問・Excel）・自由記述の全文（匿名化済みのみ）・見える化システム登録用データを収録する（doc24§9-2）。報告書の紙の資料編はリスク判定の判定方法2頁・自由記述の分類と主要意見3頁・電子媒体の収録一覧1頁の6頁とした。未決は回答原票と管理番号対応表を含めるかで、含めない場合は原票は仕様書6(1)に従い消去する。★10/2：仕様書5③-bの「関連データ」の範囲を定めた（nohin_data.py）。実在57件を成果品4・関連27・収録しない26に分け、村へ申し送る6事項を整理した。doc16§5-1・§5-2・§6により個人情報は収録しない。点検16で網羅を確かめている。村の確認待ち。</t>
        </is>
      </c>
    </row>
    <row r="116" ht="30" customHeight="1">
      <c r="A116" s="11" t="inlineStr">
        <is>
          <t>Ⅳ-92</t>
        </is>
      </c>
      <c r="B116" s="12" t="inlineStr">
        <is>
          <t>Ⅳ 成果品・納品</t>
        </is>
      </c>
      <c r="C116" s="12" t="inlineStr">
        <is>
          <t>Ⅳ-1 成果品</t>
        </is>
      </c>
      <c r="D116" s="13" t="inlineStr">
        <is>
          <t>概要版の作成</t>
        </is>
      </c>
      <c r="E116" s="11" t="inlineStr">
        <is>
          <t>確認</t>
        </is>
      </c>
      <c r="F116" s="11" t="inlineStr">
        <is>
          <t>双方</t>
        </is>
      </c>
      <c r="G116" s="13" t="inlineStr">
        <is>
          <t>概要版 A3両面程度</t>
        </is>
      </c>
      <c r="H116" s="13" t="inlineStr">
        <is>
          <t>★議事録で作成が合意（理念・体系図・推移データを記載）。2月末の議会全員協議会で使用。仕様の範囲内か追加対応かは要確認</t>
        </is>
      </c>
      <c r="I116" s="11" t="inlineStr">
        <is>
          <t>R9.1〜2</t>
        </is>
      </c>
      <c r="J116" s="14" t="n"/>
      <c r="K116" s="14" t="n"/>
      <c r="L116" s="14" t="n">
        <v>46308</v>
      </c>
      <c r="M116" s="14" t="n"/>
      <c r="N116" s="15" t="n">
        <v>0.35</v>
      </c>
      <c r="O116" s="16" t="inlineStr">
        <is>
          <t>着手</t>
        </is>
      </c>
      <c r="P116" s="13" t="inlineStr">
        <is>
          <t>★議事録でA3両面程度（理念・体系図・推移データ）と決着。第9期はA4 2ページ。仕様の範囲内か追加対応かは要確認（doc22 K-79）。★10/10：骨子を作った（doc82）。第9期概要版の構成（表面＝基本的な考え方・基本理念・基本目標・数値①〜⑦、裏面＝施策体系図）を踏襲した。村民と議会が見慣れた形であり、第9期との比較ができるためである。A3両面に25の要素を割り付け、要素ごとに素案のどの節・どの図から引くかを決めた（scripts/gaiyou_data.py）。収まりは面積で積んだ（scripts/estimate_gaiyou.py）。A3縦・余白15mm・本文9pt・行送り1.5倍で、表面73パーセント・裏面76パーセント。表と枠はます目の余白と罫線のため字数から出した面積の1.6倍で見込んだ。点検67を新設し、要素の出どころが素案に実在すること、図のファイルが実在すること、A3両面に収まることを機械で確かめる形にした。★施策体系図（図3-1）はA4に合わせた縦長であり、A3の幅を活かせない。縦長のまま幅を180mmに広げると高さ290mmとなり裏面の高さの74パーセントを占めて他が入らないため、骨子では幅125mmに縮めている。概要版のために横長に作り直すかを村のご判断の対象とした。★骨子の段階で決まっていないものを6件挙げた（保険料の基準額・成果目標の目標値・基本理念の継承・所管課・配布の範囲と部数・仕様の範囲内かどうか）。★概要版には保険料の基準額を載せるため、基金の取崩しの3案のご決定を受けてからでないと作れない。第3回策定委員会（令和9年1月下旬〜2月上旬）の後、議会全員協議会（2月末頃）までに作成する工程となる。★あわせて、同じ問いを3件に分けて起票していた確認事項（概要版の要否・位置づけ・仕様の範囲内か）を優先度Aの1件に集約した。</t>
        </is>
      </c>
    </row>
    <row r="117" ht="30" customHeight="1">
      <c r="A117" s="22" t="inlineStr">
        <is>
          <t>Ⅳ-96</t>
        </is>
      </c>
      <c r="B117" s="23" t="inlineStr">
        <is>
          <t>Ⅳ 成果品・納品</t>
        </is>
      </c>
      <c r="C117" s="23" t="inlineStr">
        <is>
          <t>Ⅳ-2 納品</t>
        </is>
      </c>
      <c r="D117" s="24" t="inlineStr">
        <is>
          <t>納品・検収</t>
        </is>
      </c>
      <c r="E117" s="22" t="inlineStr">
        <is>
          <t>仕様書3</t>
        </is>
      </c>
      <c r="F117" s="22" t="inlineStr">
        <is>
          <t>双方</t>
        </is>
      </c>
      <c r="G117" s="24" t="inlineStr">
        <is>
          <t>検収書</t>
        </is>
      </c>
      <c r="H117" s="24" t="inlineStr">
        <is>
          <t>履行期限 令和9年3月31日</t>
        </is>
      </c>
      <c r="I117" s="22" t="inlineStr">
        <is>
          <t>R9.3</t>
        </is>
      </c>
      <c r="J117" s="25" t="n"/>
      <c r="K117" s="25" t="n"/>
      <c r="L117" s="25" t="n"/>
      <c r="M117" s="25" t="n"/>
      <c r="N117" s="26" t="n">
        <v>0</v>
      </c>
      <c r="O117" s="22" t="inlineStr">
        <is>
          <t>未着手</t>
        </is>
      </c>
      <c r="P117" s="24" t="inlineStr"/>
    </row>
    <row r="118" ht="30" customHeight="1">
      <c r="A118" s="11" t="inlineStr">
        <is>
          <t>Ⅴ-97</t>
        </is>
      </c>
      <c r="B118" s="27" t="inlineStr">
        <is>
          <t>Ⅴ 管理</t>
        </is>
      </c>
      <c r="C118" s="12" t="inlineStr">
        <is>
          <t>Ⅴ-1 情報管理</t>
        </is>
      </c>
      <c r="D118" s="13" t="inlineStr">
        <is>
          <t>個人情報の適正管理（アクセス制限・保管ルール）</t>
        </is>
      </c>
      <c r="E118" s="11" t="inlineStr">
        <is>
          <t>仕様書6(1)</t>
        </is>
      </c>
      <c r="F118" s="11" t="inlineStr">
        <is>
          <t>受託者</t>
        </is>
      </c>
      <c r="G118" s="13" t="inlineStr">
        <is>
          <t>管理記録</t>
        </is>
      </c>
      <c r="H118" s="13" t="inlineStr">
        <is>
          <t>契約終了後・解除後も同様</t>
        </is>
      </c>
      <c r="I118" s="11" t="inlineStr">
        <is>
          <t>通期</t>
        </is>
      </c>
      <c r="J118" s="14" t="n"/>
      <c r="K118" s="14" t="n"/>
      <c r="L118" s="14" t="n">
        <v>46259</v>
      </c>
      <c r="M118" s="14" t="n"/>
      <c r="N118" s="15" t="n">
        <v>0.75</v>
      </c>
      <c r="O118" s="16" t="inlineStr">
        <is>
          <t>着手</t>
        </is>
      </c>
      <c r="P118" s="13" t="inlineStr">
        <is>
          <t>doc16として管理ルールを文書化完了（10項目のチェックリスト付）。村との合意は未実施。★10/9：業務完了後の返還・消去の手順を文書にした（doc64）。doc16 §8は5つの手順を定めていたが、何を・いつ・誰が・どう確かめるかまでは定めていなかった。対象を10件数え上げ（宛名ラベル・対応表・調査票の原本・ウェブ回答・認定データ・個票・策定委員の連絡先・複写・バックアップ・受領資料）、返還と消去の別、時期、確かめ方、復元不能な方法の定義、完了報告書の様式を定めた。消去は納品物の検収が済んでから行う（検収前に消去すると差替えの指示に応じられない）。doc16 §8から差し込み、納品物の申し送り事項にも加えた。対象10件それぞれの返還・消去の別は村にご確認いただいて確定する。★10/9：doc16 §3・§4が求めていた4つの様式を作成した（doc74。従事者名簿・誓約書・持出簿・廃棄記録簿）。doc16 §9のチェックリストは#2従事者名簿・#3誓約書・#9持出簿と廃棄記録簿をいずれも未実施としており、#9は宛名ラベル受領前という期限を過ぎていた。様式1 従事者名簿は、氏名・所属・役割に加えて、取り扱う個人情報の範囲（宛名ラベル・調査票原本・管理番号対応表・回答データ・要介護認定データ）を従事者ごとに○で示す欄を設けた。役割がないのに名簿に載せるとアクセス権限を絞る意味がなくなるためである。様式2 誓約書は守秘・目的外利用の禁止・持出しの禁止・個人所有の端末への保存の禁止・事故の報告・返還と消去・法令等の遵守・違反した場合の8項目とし、業務完了後5年間保管する。様式3 持出簿は「村の事前承諾（日・方法）」の欄を必須とし、空のまま持ち出してはならないことと、返却日時は返却を確認した者が書くことを約束ごとに明記した。様式4 廃棄記録簿は方法を「溶解処理」「細断（クロスカット）」のいずれかで書かせ、「廃棄」「処分」とだけ書かないこととした。何をしたかが残らないためである。電子データの消去はdoc64 §3-2の消去の実施記録に記録し、簿を分けた（媒体が違うと確かめ方が違う）。記入後の様式は従事者の氏名が入るため、doc16 §5-3により版管理に置かない。本書に載せたのは空の様式だけである。村にお願いするのは、村指定の様式の有無、誓約書に書く条例の名称と条番号、研修で扱うべき村条例の内容の3点で、確認事項として起票した。条例の名称は令和5年4月の個人情報保護法の改正により地方公共団体の条例が整理されているため確かめる必要があり、確認前は「個人情報の保護に関する法律及び村の定める規程」として取得して後で差し替える。記入と取得は契約締結の確認後で、調査票の回収期限（令和8年10月16日）の前に行う。</t>
        </is>
      </c>
    </row>
    <row r="119" ht="30" customHeight="1">
      <c r="A119" s="11" t="inlineStr">
        <is>
          <t>Ⅴ-98</t>
        </is>
      </c>
      <c r="B119" s="12" t="inlineStr">
        <is>
          <t>Ⅴ 管理</t>
        </is>
      </c>
      <c r="C119" s="12" t="inlineStr">
        <is>
          <t>Ⅴ-1 情報管理</t>
        </is>
      </c>
      <c r="D119" s="13" t="inlineStr">
        <is>
          <t>業務完了後の情報の返還・消去</t>
        </is>
      </c>
      <c r="E119" s="11" t="inlineStr">
        <is>
          <t>仕様書6(1)</t>
        </is>
      </c>
      <c r="F119" s="11" t="inlineStr">
        <is>
          <t>受託者</t>
        </is>
      </c>
      <c r="G119" s="13" t="inlineStr">
        <is>
          <t>消去証明</t>
        </is>
      </c>
      <c r="H119" s="13" t="inlineStr">
        <is>
          <t>村の指示に従う</t>
        </is>
      </c>
      <c r="I119" s="11" t="inlineStr">
        <is>
          <t>R9.3</t>
        </is>
      </c>
      <c r="J119" s="14" t="n"/>
      <c r="K119" s="14" t="n"/>
      <c r="L119" s="14" t="n">
        <v>46304</v>
      </c>
      <c r="M119" s="14" t="n"/>
      <c r="N119" s="15" t="n">
        <v>0.4</v>
      </c>
      <c r="O119" s="16" t="inlineStr">
        <is>
          <t>着手</t>
        </is>
      </c>
      <c r="P119" s="13" t="inlineStr">
        <is>
          <t>★10/9：手順を文書にした（doc64）。対象の一覧・返還と消去の別・時期・確かめ方・復元不能な方法の定義・検収との順序・完了報告書の様式を定めた。村との協議のための案であり、対象10件の返還・消去の別は村のご確認を待つ。溶解処理の委託先と費用の扱い、従事者名簿と誓約書は未了。</t>
        </is>
      </c>
    </row>
    <row r="120" ht="30" customHeight="1">
      <c r="A120" s="17" t="inlineStr">
        <is>
          <t>Ⅴ-99</t>
        </is>
      </c>
      <c r="B120" s="18" t="inlineStr">
        <is>
          <t>Ⅴ 管理</t>
        </is>
      </c>
      <c r="C120" s="18" t="inlineStr">
        <is>
          <t>Ⅴ-2 再委託</t>
        </is>
      </c>
      <c r="D120" s="19" t="inlineStr">
        <is>
          <t>再委託の書面承諾の取得</t>
        </is>
      </c>
      <c r="E120" s="17" t="inlineStr">
        <is>
          <t>仕様書6(2)</t>
        </is>
      </c>
      <c r="F120" s="17" t="inlineStr">
        <is>
          <t>双方</t>
        </is>
      </c>
      <c r="G120" s="19" t="inlineStr">
        <is>
          <t>承諾書</t>
        </is>
      </c>
      <c r="H120" s="19" t="inlineStr">
        <is>
          <t>印刷・データ入力・ウェブフォーム構築等を外注する場合</t>
        </is>
      </c>
      <c r="I120" s="17" t="inlineStr">
        <is>
          <t>随時</t>
        </is>
      </c>
      <c r="J120" s="20" t="n"/>
      <c r="K120" s="20" t="n"/>
      <c r="L120" s="20" t="n"/>
      <c r="M120" s="20" t="n"/>
      <c r="N120" s="21" t="n">
        <v>0</v>
      </c>
      <c r="O120" s="17" t="inlineStr">
        <is>
          <t>未着手</t>
        </is>
      </c>
      <c r="P120" s="19" t="inlineStr"/>
    </row>
    <row r="121" ht="30" customHeight="1">
      <c r="A121" s="11" t="inlineStr">
        <is>
          <t>Ⅴ-100</t>
        </is>
      </c>
      <c r="B121" s="12" t="inlineStr">
        <is>
          <t>Ⅴ 管理</t>
        </is>
      </c>
      <c r="C121" s="12" t="inlineStr">
        <is>
          <t>Ⅴ-3 進捗管理</t>
        </is>
      </c>
      <c r="D121" s="13" t="inlineStr">
        <is>
          <t>進捗管理・課題管理</t>
        </is>
      </c>
      <c r="E121" s="11" t="inlineStr">
        <is>
          <t>仕様書6(4)</t>
        </is>
      </c>
      <c r="F121" s="11" t="inlineStr">
        <is>
          <t>受託者</t>
        </is>
      </c>
      <c r="G121" s="13" t="inlineStr">
        <is>
          <t>本進捗管理表</t>
        </is>
      </c>
      <c r="H121" s="13" t="inlineStr"/>
      <c r="I121" s="11" t="inlineStr">
        <is>
          <t>通期</t>
        </is>
      </c>
      <c r="J121" s="14" t="n"/>
      <c r="K121" s="14" t="n"/>
      <c r="L121" s="14" t="n">
        <v>46265</v>
      </c>
      <c r="M121" s="14" t="n"/>
      <c r="N121" s="15" t="n">
        <v>0.75</v>
      </c>
      <c r="O121" s="16" t="inlineStr">
        <is>
          <t>着手</t>
        </is>
      </c>
      <c r="P121" s="13" t="inlineStr">
        <is>
          <t>本表で管理。基準日 令和8年10月1日。村への確認事項187件（解決済24件）。★10/1：ペンディングの整理を加えた（doc55）。未解決の優先度S・A 91件のうち、計画策定側54件に影響度（0 社内／1 停止／2 仮置き／3 記載待ち／4 工程外）を与え、調査工程側37件は機械で影響度5（他メンバー担当のため当方では作業しない）とした。影響度1は4件（国の推計ワークシート・第1号被保険者数のA案B案・基金取崩額・将来推計総括表）。村への照会を1通にまとめる単位を7束に定め、WBS 117件すべてをいずれかの束に割り当てた。ペンディングのない作業8件を翌営業日の順位として整理した。点検9〜14を新設。★10/2：確認事項189件（社内対応4件を含む）。作業順位1〜6・8を実施し、7は骨子にとどめた。★10/4：作業順位1〜8をすべて実施。点検は verify_wbs 17・verify_soan 51・verify_shiryo 21・verify_mieruka 69。★10/4：金ケ崎町の案件で本文が版管理の外にあり環境の作り直しで消えた事象を受け、本村の状態を点検した（doc58）。本文・データ・成果品はいずれも版管理にあり同じ事象は起きないが、置き場所のじか書き35か所（19本）と、docxの版が宣言されていないことにより「復元しても組み直せない」弱点があった。paths.py・docxlib.js・package.jsonを置いて直し、別の場所に複製して組み直し、素案mdとdocx3点が原本と一致することを確かめた。点検18で、作り直しに要るものが版管理にあり置き場所をじか書きしていないことを毎回確かめる。★10/5：基準日を令和8年10月5日に改めた。確認事項189件（解決済25件）。翌営業日の作業8件を入れ替え、本日まで進めた7件（Ⅱ-75・Ⅱ-83・Ⅱ-110・Ⅱ-113・Ⅱ-115・Ⅱ-117・Ⅳ-91）は待っているものを扱いの欄に書いた。あわせてWBSの備考にマークダウンの強調記号がそのまま出ていたのを【】に改め、点検19（成果品に書き方の記号が残っていないこと）を新設して、xlsx と txt の文字列17,504件を走査するようにした。★10/5（第2報）：未依頼の確認事項を村が記入して返せる照会票に組んだ（irai_bundle）。束1〜6の6通・142件。中身は確認事項から導くため、1件足せば票にも現れる。1件が2つの票に出ないよう、関連WBSの重なりが最も多い束に1つだけ割り当てる。影響度ごとに第1部（至急・停止）から第5部（資料のご提供）までに分け、右端に村がご記入いただく「ご回答」の欄を空けた。点検20（照会票が組み立てられること）を新設し、尋ね忘れ・二度尋ね・尋ねたいことが空になることを機械で確かめる。確認事項の覚え書きをそのまま載せると内部のものが村の目に触れるため、内部の記録を指す形（点検の番号・記録の番号・仕組みの名・他団体の案件の名）に触れている文を落としてからお見せする形にした。落とす語の表が粗く「ケアプラン点検」「docx」「受託者」まで落ちて照会の見出し5件が空になる状態になっていたのを、形で見る正規表現に改めて直した。照会票もレッドチーム走査の対象に加えた（走査g）。★10/7：国の推計ワークシートの受領により、影響度1（停止）としていた4件がすべて解消した。解決済へ移したのは8件（将来推計総括表の出力一式・推計ワークシートの配布状況・第1号被保険者数のA案B案・基金取崩額・準備基金の現在高・第1号被保険者負担割合・地域密着型の必要利用定員総数・補正係数の3区分か2区分か）。受領により新たに生じたものを8件起票し、うち1件は【期限 令和8年10月13日（火）18時】である（令和9年度以降も0で入っている6サービスを0のままとしてよいか。国の集計の提出期限）。優先度を上げたものが3件（高額医療合算の自動償還C→A、地域支援事業費の決算の推移B→A、財政調整交付金の主要3事業の勘案S→A）。確認事項は191件（解決済33件）、影響度の判定は59件で、影響度1が1件・2が22件・3が27件・4が8件・0が1件。点検21（影響度の見出しに書いた件数が実際と合うこと）を新設した。見出しの件数は手で書いていたため、影響度3が26件と書かれたまま実際は27件になっていた欠陥が見つかった。基準日を実際の作業日（令和8年10月7日）に改めた。doc65 の見出しの10月9日は誤りである。★10/12：基準日を令和8年10月12日に改めた。確認事項205件（解決済35件）。影響度1（停止）が3件から5件に増えた（法が定めることを求めている2つの量が空欄・老人福祉事業の量の実績）。翌営業日の作業を2件に組み直した。</t>
        </is>
      </c>
    </row>
  </sheetData>
  <autoFilter ref="A4:P121"/>
  <mergeCells count="2">
    <mergeCell ref="A1:P1"/>
    <mergeCell ref="A2:P2"/>
  </mergeCells>
  <dataValidations count="2">
    <dataValidation sqref="O5:O121" showDropDown="0" showInputMessage="0" showErrorMessage="0" allowBlank="1" type="list">
      <formula1>"未着手,着手,確認中,完了,保留,対象外"</formula1>
    </dataValidation>
    <dataValidation sqref="F5:F121" showDropDown="0" showInputMessage="0" showErrorMessage="0" allowBlank="1" type="list">
      <formula1>"受託者,北塩原村,双方"</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7"/>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46" customWidth="1" min="3" max="3"/>
    <col width="56" customWidth="1" min="4" max="4"/>
    <col width="14" customWidth="1" min="5" max="5"/>
    <col width="16" customWidth="1" min="6" max="6"/>
    <col width="10" customWidth="1" min="7" max="7"/>
    <col width="30" customWidth="1" min="8" max="8"/>
  </cols>
  <sheetData>
    <row r="1" ht="30" customHeight="1">
      <c r="A1" s="1" t="inlineStr">
        <is>
          <t>北塩原村への確認事項　一覧（基準日：令和8年10月13日）</t>
        </is>
      </c>
    </row>
    <row r="2" ht="20" customHeight="1">
      <c r="A2" s="2" t="inlineStr">
        <is>
          <t>優先度S＝9月3日の調査票第1稿提出・9月9日の校了・9月18日の発送を守るために決着が必要（キックオフ議事録で未決着のもの）／A＝令和8年9月中に確定が必要／B＝第1回策定委員会（11月）まで／C＝第2回以降　｜　出所の doc番号は docs/北塩原村_第10期/ 配下の分析資料に対応します</t>
        </is>
      </c>
    </row>
    <row r="4" ht="34" customHeight="1">
      <c r="A4" s="3" t="inlineStr">
        <is>
          <t>優先度</t>
        </is>
      </c>
      <c r="B4" s="3" t="inlineStr">
        <is>
          <t>区分</t>
        </is>
      </c>
      <c r="C4" s="3" t="inlineStr">
        <is>
          <t>確認事項</t>
        </is>
      </c>
      <c r="D4" s="3" t="inlineStr">
        <is>
          <t>なぜ必要か／影響</t>
        </is>
      </c>
      <c r="E4" s="3" t="inlineStr">
        <is>
          <t>関連WBS No.</t>
        </is>
      </c>
      <c r="F4" s="3" t="inlineStr">
        <is>
          <t>出所</t>
        </is>
      </c>
      <c r="G4" s="3" t="inlineStr">
        <is>
          <t>状況</t>
        </is>
      </c>
      <c r="H4" s="3" t="inlineStr">
        <is>
          <t>回答内容・回答日</t>
        </is>
      </c>
    </row>
    <row r="5" ht="34" customHeight="1">
      <c r="A5" s="31" t="inlineStr">
        <is>
          <t>S</t>
        </is>
      </c>
      <c r="B5" s="32" t="inlineStr">
        <is>
          <t>スケジュール</t>
        </is>
      </c>
      <c r="C5" s="33" t="inlineStr">
        <is>
          <t>対象者抽出・宛名ラベル・配布用封筒の提供時期</t>
        </is>
      </c>
      <c r="D5" s="33" t="inlineStr">
        <is>
          <t>村作業が遅れると発送が連鎖的に遅れる。9/19〜23が5連休。</t>
        </is>
      </c>
      <c r="E5" s="34" t="inlineStr">
        <is>
          <t>Ⅰ-24,Ⅰ-25,Ⅰ-26</t>
        </is>
      </c>
      <c r="F5" s="34" t="inlineStr">
        <is>
          <t>doc01-4</t>
        </is>
      </c>
      <c r="G5" s="34" t="inlineStr">
        <is>
          <t>未依頼</t>
        </is>
      </c>
      <c r="H5" s="33" t="inlineStr"/>
    </row>
    <row r="6" ht="34" customHeight="1">
      <c r="A6" s="31" t="inlineStr">
        <is>
          <t>S</t>
        </is>
      </c>
      <c r="B6" s="32" t="inlineStr">
        <is>
          <t>スケジュール</t>
        </is>
      </c>
      <c r="C6" s="33" t="inlineStr">
        <is>
          <t>宛名ラベル・配布用封筒の提供期限の前倒し可否（9/14→9/11）</t>
        </is>
      </c>
      <c r="D6" s="33" t="inlineStr">
        <is>
          <t>★提供が1日遅れると発送が5連休に食い込む。村作業の遅延に対する余裕がない。</t>
        </is>
      </c>
      <c r="E6" s="34" t="inlineStr">
        <is>
          <t>Ⅰ-25,Ⅰ-26</t>
        </is>
      </c>
      <c r="F6" s="34" t="inlineStr">
        <is>
          <t>doc19 指-2</t>
        </is>
      </c>
      <c r="G6" s="34" t="inlineStr">
        <is>
          <t>未依頼</t>
        </is>
      </c>
      <c r="H6" s="33" t="inlineStr"/>
    </row>
    <row r="7" ht="34" customHeight="1">
      <c r="A7" s="31" t="inlineStr">
        <is>
          <t>S</t>
        </is>
      </c>
      <c r="B7" s="32" t="inlineStr">
        <is>
          <t>スケジュール</t>
        </is>
      </c>
      <c r="C7" s="33" t="inlineStr">
        <is>
          <t>★策定委員会 現委員の任期満了（令和8年9月30日）と改選手続きの所要期間</t>
        </is>
      </c>
      <c r="D7" s="33" t="inlineStr">
        <is>
          <t>★議事録で触れられていない。第2回を11月に開催するには10月中の改選・委嘱が必要。</t>
        </is>
      </c>
      <c r="E7" s="34" t="inlineStr">
        <is>
          <t>Ⅱ-80</t>
        </is>
      </c>
      <c r="F7" s="34" t="inlineStr">
        <is>
          <t>doc22 K-76</t>
        </is>
      </c>
      <c r="G7" s="34" t="inlineStr">
        <is>
          <t>未依頼</t>
        </is>
      </c>
      <c r="H7" s="33" t="inlineStr"/>
    </row>
    <row r="8" ht="34" customHeight="1">
      <c r="A8" s="31" t="inlineStr">
        <is>
          <t>S</t>
        </is>
      </c>
      <c r="B8" s="32" t="inlineStr">
        <is>
          <t>スケジュール</t>
        </is>
      </c>
      <c r="C8" s="33" t="inlineStr">
        <is>
          <t>★実際の発送日と回収状況（件数・回収率）、ウェブ回答フォームの稼働確認</t>
        </is>
      </c>
      <c r="D8" s="33" t="inlineStr">
        <is>
          <t>★10/10 起票：村より「高齢者のアンケート発送は全て完了。今集計分析を行なっています」とのご連絡をいただいた。WBSの実績日は、議事録の発送日（令和8年9月18日）と校了日（令和8年9月9日）で置いている。次の4点をご教示いただきたい。①実際の発送日（9月18日は金曜で翌日から5連休であったため、配達が連休明けにずれ込んだ可能性がある）。②本日時点の回収件数（ニーズ調査・在宅介護実態調査それぞれ。対象は882人・118人）。回収率は督促（Ⅰ-31）の判断に用いる。③ウェブ回答フォームの稼働確認の記録の有無と、ウェブ回答の件数。二次元コードを印字して発送した以上フォームは公開されているはずだが、稼働確認の記録が当方にない（Ⅰ-101）。④これまでの受渡しの回数・日・件数。回収は村で100件程度集まるごとに随時小分け送付する運用であり（doc22）、受渡し記録簿（doc74 §4-2）にさかのぼって記録する必要がある。★回収期限は令和8年10月16日（金）である。</t>
        </is>
      </c>
      <c r="E8" s="34" t="inlineStr">
        <is>
          <t>Ⅰ-29,Ⅰ-30,Ⅰ-101,Ⅰ-94</t>
        </is>
      </c>
      <c r="F8" s="34" t="inlineStr">
        <is>
          <t>doc75</t>
        </is>
      </c>
      <c r="G8" s="34" t="inlineStr">
        <is>
          <t>未依頼</t>
        </is>
      </c>
      <c r="H8" s="33" t="inlineStr"/>
    </row>
    <row r="9" ht="34" customHeight="1">
      <c r="A9" s="31" t="inlineStr">
        <is>
          <t>S</t>
        </is>
      </c>
      <c r="B9" s="32" t="inlineStr">
        <is>
          <t>データ</t>
        </is>
      </c>
      <c r="C9" s="33" t="inlineStr">
        <is>
          <t>★返信用封筒の差出有効期間の延長</t>
        </is>
      </c>
      <c r="D9" s="33" t="inlineStr">
        <is>
          <t>★★印刷前に要対応。版下は「差出有効期間 2026年10月16日まで」で回収期限（10月16日）と同日。期限翌日以降に投函された回答は料金受取人払が効かず届かない。通常は回収期限＋2週間程度。回収率に直結する。</t>
        </is>
      </c>
      <c r="E9" s="34" t="inlineStr">
        <is>
          <t>Ⅰ-23,Ⅰ-102</t>
        </is>
      </c>
      <c r="F9" s="34" t="inlineStr">
        <is>
          <t>doc34§1-2</t>
        </is>
      </c>
      <c r="G9" s="34" t="inlineStr">
        <is>
          <t>未依頼</t>
        </is>
      </c>
      <c r="H9" s="33" t="inlineStr"/>
    </row>
    <row r="10" ht="34" customHeight="1">
      <c r="A10" s="31" t="inlineStr">
        <is>
          <t>S</t>
        </is>
      </c>
      <c r="B10" s="32" t="inlineStr">
        <is>
          <t>データ</t>
        </is>
      </c>
      <c r="C10" s="33" t="inlineStr">
        <is>
          <t>★ニーズ調査の対象者882人に対応する要介護認定データ（認定の有無・要介護度）</t>
        </is>
      </c>
      <c r="D10" s="33" t="inlineStr">
        <is>
          <t>★2026/09/28に受領した名簿のうち、要介護度の列があるのは在宅介護実態調査の対象者118人分のみで、ニーズ調査の対象者882人分にはない。資料3の3-3（元気な軽度者）・3-4（生活機能からみた4つの層）・3-6（担い手の可能性）は、ニーズ調査の回答者一人ひとりの認定状況を必要とするため、このままでは作成できない。資料3の3-6は第10期に共助・互助の仕組みをどの規模で構想できるかを示す表であり、合意1・2の根拠でもある。★10/10 優先度をAからSに上げた：村より「高齢者のアンケート発送は全て完了。今集計分析を行なっています」とのご連絡をいただいた。集計が動き出した以上、これが入らないと資料3の3-3・3-4・3-6が作れないまま第2回策定委員会（11月）の資料作成に入ることになる。回答データに後から認定状況を付けることはできるため、集計そのものは止まらないが、クロス集計をやり直す手戻りが生じる。できるだけ早くご提供いただきたい。</t>
        </is>
      </c>
      <c r="E10" s="34" t="inlineStr">
        <is>
          <t>Ⅰ-37,Ⅰ-38</t>
        </is>
      </c>
      <c r="F10" s="34" t="inlineStr">
        <is>
          <t>doc43§1</t>
        </is>
      </c>
      <c r="G10" s="34" t="inlineStr">
        <is>
          <t>未依頼</t>
        </is>
      </c>
      <c r="H10" s="33" t="inlineStr"/>
    </row>
    <row r="11" ht="34" customHeight="1">
      <c r="A11" s="31" t="inlineStr">
        <is>
          <t>S</t>
        </is>
      </c>
      <c r="B11" s="32" t="inlineStr">
        <is>
          <t>データ</t>
        </is>
      </c>
      <c r="C11" s="33" t="inlineStr">
        <is>
          <t>★要介護認定データの提供時期と項目（要介護度・認定日・サービス利用状況）および総合事業対象者（基本チェックリスト該当者）の情報</t>
        </is>
      </c>
      <c r="D11" s="33" t="inlineStr">
        <is>
          <t>★仕様書4Ⅰ(5)。ICF分析の「認定状況×生活機能リスク」表と在宅調査のクロスに必須。目的外利用の手続きの確認を含む。議事録の「元気な軽度者が総合事業を利用している」の検証はこの紐付けでしかできない。★9/28：集計軸の認定状況を「認定なし／事業対象者／要支援1・2／要介護1以上」の4区分に統一したため、要介護認定データだけでは事業対象者を判別できない。総合事業の対象者（基本チェックリスト該当者）の情報もあわせてご提供いただきたい。議事録の「元気な軽度者」は事業対象者と要支援認定者の両方を指すため、これがないと検証の対象が半分になる。★10/10 優先度をAからSに上げた（上記と同じ理由。集計が動き出した）。</t>
        </is>
      </c>
      <c r="E11" s="34" t="inlineStr">
        <is>
          <t>Ⅰ-37</t>
        </is>
      </c>
      <c r="F11" s="34" t="inlineStr">
        <is>
          <t>doc24§12 K-87</t>
        </is>
      </c>
      <c r="G11" s="34" t="inlineStr">
        <is>
          <t>未依頼</t>
        </is>
      </c>
      <c r="H11" s="33" t="inlineStr"/>
    </row>
    <row r="12" ht="34" customHeight="1">
      <c r="A12" s="31" t="inlineStr">
        <is>
          <t>S</t>
        </is>
      </c>
      <c r="B12" s="32" t="inlineStr">
        <is>
          <t>分析</t>
        </is>
      </c>
      <c r="C12" s="33" t="inlineStr">
        <is>
          <t>★ICFを用いたクロス分析の具体的な期待像（軸・アウトプットのイメージ）</t>
        </is>
      </c>
      <c r="D12" s="33" t="inlineStr">
        <is>
          <t>★議事録の新規要件。「元気な高齢者」×「地域のニーズ」で共助・互助の必要性を示す分析。調査票の設計段階でクロス軸を確保しないと後から分析できない。9/3の第1稿に影響。</t>
        </is>
      </c>
      <c r="E12" s="34" t="inlineStr">
        <is>
          <t>Ⅰ-95</t>
        </is>
      </c>
      <c r="F12" s="34" t="inlineStr">
        <is>
          <t>doc22 K-77</t>
        </is>
      </c>
      <c r="G12" s="34" t="inlineStr">
        <is>
          <t>未依頼</t>
        </is>
      </c>
      <c r="H12" s="33" t="inlineStr"/>
    </row>
    <row r="13" ht="34" customHeight="1">
      <c r="A13" s="31" t="inlineStr">
        <is>
          <t>S</t>
        </is>
      </c>
      <c r="B13" s="32" t="inlineStr">
        <is>
          <t>方針</t>
        </is>
      </c>
      <c r="C13" s="33" t="inlineStr">
        <is>
          <t>★準備基金の取崩額を40,000,000円（残高の94.9%）とすることの可否（第11期が＋32.4%になる関係）</t>
        </is>
      </c>
      <c r="D13" s="33" t="inlineStr">
        <is>
          <t>★国の推計ワークシートは準備基金の残高42,128,183円のうち40,000,000円を取り崩す前提で、第10期の保険料基準額を5,513.72円（第9期6,760.76円比▲18.45%）としている。一方、第11期は取崩の余地が残らないため7,301.29円（＋1,787.57円・＋32.4%）に跳ね上がる見込みである。第10期を下げるほど第11期の上がり幅が大きくなる関係であり、取崩額の水準は世代間の負担の公平に関わる村の判断事項である。厚生労働省の事務連絡3(3)も、保険料が第9期と比べて大きく増減している場合には推計データ全体の確認を求めている。第2回策定委員会の資料6に、取崩額を変えた場合の第10期・第11期の保険料の対比を示す案で進めてよいかをご確認いただきたい。★10/9 あわせてお願いしたいこと：取崩額を0円・24,000,000円とした場合の第10期・第11期の基準額を、推計ワークシートをご操作のうえ出力いただきたい。当方でも試算できるが、第10期の値が確かめられるのに対し、第11期は中長期シートが令和12年度の単年で立っているため、残高を単年に充てるか3か年に均すかで効きが3倍違う（残高42,128,183円の場合、単年基準では月額3,504円、3か年に均すと1,168円）。ワークシートで再計算いただければこの不確かさがなくなる。なお当方の算定（取崩なし6,756円）と国の算定（同6,610.55円）の差は145円であるが、第9期の条例基準額6,700円との向きが逆になる。当方の算定では取崩なしで条例6,800円（＋100円）、国の算定では条例6,600円（▲100円）であり、取崩しをしなくても第9期を下回る。このため資料6の3案のうちC案「保険料の据置きを優先し、基金を最大限取り崩す」は前提が崩れており、3案を国の算定の上に組み直す。</t>
        </is>
      </c>
      <c r="E13" s="34" t="inlineStr">
        <is>
          <t>Ⅱ-63,Ⅱ-64,Ⅱ-107</t>
        </is>
      </c>
      <c r="F13" s="34" t="inlineStr">
        <is>
          <t>doc66§2-3,doc72</t>
        </is>
      </c>
      <c r="G13" s="34" t="inlineStr">
        <is>
          <t>未依頼</t>
        </is>
      </c>
      <c r="H13" s="33" t="inlineStr"/>
    </row>
    <row r="14" ht="34" customHeight="1">
      <c r="A14" s="31" t="inlineStr">
        <is>
          <t>S</t>
        </is>
      </c>
      <c r="B14" s="32" t="inlineStr">
        <is>
          <t>方針</t>
        </is>
      </c>
      <c r="C14" s="33" t="inlineStr">
        <is>
          <t>★ニーズ調査 問4(15)(16)（社会的役割）を削除するかどうか</t>
        </is>
      </c>
      <c r="D14" s="33" t="inlineStr">
        <is>
          <t>★★印刷前に要決定。国の手引きは問4(13)〜(16)の4項目すべてが「いいえ」で「社会的役割の低下」と判定する。(16)は削除済み、(15)は0909校正で削除の指示。2項目が欠けるとR09が算出できず、見える化への登録も全国・県との比較も不可。R99が10領域→9領域に減るため第9期調査との比較も成立しない。左余白の「見える化関係」の書き込みは(10)〜(14)を指すとみられるが(15)(16)も登録対象である。</t>
        </is>
      </c>
      <c r="E14" s="34" t="inlineStr">
        <is>
          <t>Ⅰ-15,Ⅰ-102</t>
        </is>
      </c>
      <c r="F14" s="34" t="inlineStr">
        <is>
          <t>doc34§1-1</t>
        </is>
      </c>
      <c r="G14" s="34" t="inlineStr">
        <is>
          <t>未依頼</t>
        </is>
      </c>
      <c r="H14" s="33" t="inlineStr"/>
    </row>
    <row r="15" ht="34" customHeight="1">
      <c r="A15" s="31" t="inlineStr">
        <is>
          <t>S</t>
        </is>
      </c>
      <c r="B15" s="32" t="inlineStr">
        <is>
          <t>方針</t>
        </is>
      </c>
      <c r="C15" s="33" t="inlineStr">
        <is>
          <t>★第9期計画の第1号被保険者数の推計に用いたデータ（国配布の住基ベース推計か別の推計か）</t>
        </is>
      </c>
      <c r="D15" s="33" t="inlineStr">
        <is>
          <t>★国の事務連絡により、福島県では社人研の市町村別推計が公表されておらず第9期でも住基ベース推計が配布されていたことが判明。当方が示してきた「社人研推計をそのまま用いたため6.6%ずれた」という説明の前提が崩れた。第10期の説明の組み立てに影響する。</t>
        </is>
      </c>
      <c r="E15" s="34" t="inlineStr">
        <is>
          <t>Ⅱ-59</t>
        </is>
      </c>
      <c r="F15" s="34" t="inlineStr">
        <is>
          <t>doc28§1-1 K-105</t>
        </is>
      </c>
      <c r="G15" s="34" t="inlineStr">
        <is>
          <t>未依頼</t>
        </is>
      </c>
      <c r="H15" s="33" t="inlineStr"/>
    </row>
    <row r="16" ht="34" customHeight="1">
      <c r="A16" s="31" t="inlineStr">
        <is>
          <t>S</t>
        </is>
      </c>
      <c r="B16" s="32" t="inlineStr">
        <is>
          <t>疑義</t>
        </is>
      </c>
      <c r="C16" s="33" t="inlineStr">
        <is>
          <t>★【期限 令和8年10月13日18時】令和9年度以降も0で入っている6サービスを0のままとしてよいか</t>
        </is>
      </c>
      <c r="D16" s="33" t="inlineStr">
        <is>
          <t>★★国の推計ワークシートで、令和6・7年度に実績があるのに令和8年度が0になっているサービスが10件あり、うち6件は令和9年度以降も0のままである（介護予防短期入所生活介護／訪問入浴介護／短期入所療養介護（老健）／特定福祉用具購入費／住宅改修費／地域密着型通所介護）。村の申し送りは「福祉用具購入費や住宅改修費は金額が反映されずゼロ」としており、入力漏れの可能性がある。住宅改修費は令和6年度213.1千円・令和7年度314.5千円、特定福祉用具購入費は令和6年度381.2千円・令和7年度128.3千円の実績がある。厚生労働省の事務連絡は国の集計の提出期間を令和8年9月30日9時から10月13日（火）18時（厳守）としており、都道府県が異常値の確認を保険者に依頼して推計を支援する仕組みがあるため、10月13日18時までは修正の余地がある。0のままとするか修正するかを村にご確認いただき、修正する場合は県にご相談いただきたい。</t>
        </is>
      </c>
      <c r="E16" s="34" t="inlineStr">
        <is>
          <t>Ⅱ-56,Ⅱ-62,Ⅱ-107</t>
        </is>
      </c>
      <c r="F16" s="34" t="inlineStr">
        <is>
          <t>doc66§3-1,§5</t>
        </is>
      </c>
      <c r="G16" s="34" t="inlineStr">
        <is>
          <t>未依頼</t>
        </is>
      </c>
      <c r="H16" s="33" t="inlineStr"/>
    </row>
    <row r="17" ht="34" customHeight="1">
      <c r="A17" s="31" t="inlineStr">
        <is>
          <t>S</t>
        </is>
      </c>
      <c r="B17" s="32" t="inlineStr">
        <is>
          <t>疑義</t>
        </is>
      </c>
      <c r="C17" s="33" t="inlineStr">
        <is>
          <t>★調査票の印刷前修正5件（p2投函期限の空欄・問7-1の「問6」・問10の記号K L・A票問15の分岐・URLとQRコード）</t>
        </is>
      </c>
      <c r="D17" s="33" t="inlineStr">
        <is>
          <t>★いずれも0909校正版で残っている。問7-1の参照先の誤りは分析編の中核クロス（X-15）に、A票問15の分岐はB票の回答対象者の確定に関わる。</t>
        </is>
      </c>
      <c r="E17" s="34" t="inlineStr">
        <is>
          <t>Ⅰ-15,Ⅰ-102</t>
        </is>
      </c>
      <c r="F17" s="34" t="inlineStr">
        <is>
          <t>doc34§1</t>
        </is>
      </c>
      <c r="G17" s="34" t="inlineStr">
        <is>
          <t>未依頼</t>
        </is>
      </c>
      <c r="H17" s="33" t="inlineStr"/>
    </row>
    <row r="18" ht="34" customHeight="1">
      <c r="A18" s="31" t="inlineStr">
        <is>
          <t>S</t>
        </is>
      </c>
      <c r="B18" s="32" t="inlineStr">
        <is>
          <t>疑義</t>
        </is>
      </c>
      <c r="C18" s="33" t="inlineStr">
        <is>
          <t>★2つの名簿に重複して含まれる2人の扱い</t>
        </is>
      </c>
      <c r="D18" s="33" t="inlineStr">
        <is>
          <t>★ニーズ調査の対象者のうち2人が在宅介護実態調査の名簿にも含まれている（被保険者番号で突合。番号の値は当方で保持していない）。この2人には2種類の調査票が届く。ニーズ調査の対象には要支援認定者が、在宅調査の対象には在宅の要介護認定者が含まれるため本来は重ならない。抽出条件によるものか認定区分が変更になった方かは不明。発送済みの場合、回収時に同じ方の回答が2件計上されないようにする必要がある。★10/10 優先度をAからSに上げた：発送が完了し集計が動き出したため、この2人の回答がすでに届いている可能性がある。重複回答の排除（Ⅰ-36）の手前で扱いを決める必要がある。当方の案は、2種類の調査票が届いた2人について、ニーズ調査の回答はニーズ調査の集計に、在宅介護実態調査の回答は在宅調査の集計に、それぞれ1件として数えることである（調査の目的と集計の母数が違うため、同じ方が両方に答えても二重計上にはならない）。ただし「認定状況×生活機能」のクロスで同じ方が2回出ないよう、突合の際は管理番号で名寄せする。この扱いでよいかをご確認いただきたい。</t>
        </is>
      </c>
      <c r="E18" s="34" t="inlineStr">
        <is>
          <t>Ⅰ-24,Ⅰ-30,Ⅰ-36</t>
        </is>
      </c>
      <c r="F18" s="34" t="inlineStr">
        <is>
          <t>doc43§2-3</t>
        </is>
      </c>
      <c r="G18" s="34" t="inlineStr">
        <is>
          <t>未依頼</t>
        </is>
      </c>
      <c r="H18" s="33" t="inlineStr"/>
    </row>
    <row r="19" ht="34" customHeight="1">
      <c r="A19" s="31" t="inlineStr">
        <is>
          <t>S</t>
        </is>
      </c>
      <c r="B19" s="32" t="inlineStr">
        <is>
          <t>計画構成</t>
        </is>
      </c>
      <c r="C19" s="33" t="inlineStr">
        <is>
          <t>★令和8年法律第51号により介護保険法第117条に加わった記載事項の第10期計画への適用</t>
        </is>
      </c>
      <c r="D19" s="33" t="inlineStr">
        <is>
          <t>令和8年法律第51号（社会福祉法等の一部を改正する法律。令和8年6月25日公布）は、介護保険法第117条に計画の記載事項を加えている。原則の施行は令和9年4月1日であり、第10期計画そのものに掛かる。法律案要綱の第2の14によれば、加わるのは次の7つである。①サービスの種類ごとの量および地域支援事業の量に関する中長期的な推計（義務）②提供体制の確保および地域支援事業の実施に関し中長期的な観点から市町村が取り組むべき施策（義務）③生産性の向上・従事者の確保・経営基盤の確立に資する都道府県と連携した取組（努力義務）④地域支援事業に従事する者の確保・資質の向上に資する都道府県と連携した取組（努力義務）⑤地域支援事業の実施における生産性の向上に資する都道府県と連携した取組（努力義務）⑥有料老人ホーム等の入居定員総数と、医療と介護の関係者の連携の状況の勘案⑦中長期的な推計を定めるときの都道府県への意見聴取（手続）次の3点をご教示いただきたい。・改正後の条文における号の並び（新旧対照条文。既存の号が繰り下がるか）。国の計画作成支援ツールや様式に反映されるかもあわせて。・都道府県への意見聴取（上記の7つ目）の時期と様式。県からの指示の有無。・医療と介護の関係者の連携の状況について、会津区域の値をどこから取るか。★10/15 起票：条文単位の対照を作ったところ、上記のうち7つが本計画に書かれていないことが分かった（scripts/hotei_kisai.py・点検78）。うち中長期的な推計と中長期的な観点からの施策の2つは義務であり、書かなければ計画が法の求めを満たさない。原典は法律案要綱（厚生労働省）を受領して確かめた。新旧対照条文は第221回国会提出法律案のページから入手する。★当方の扱い：ご回答を待たず、要綱により書ける範囲で素案に加える。ただし号の番号は新旧対照条文を得るまで本文に書かない。加えると紙面が許容110頁を超えるため、削減案を1つ増やすか許容頁数のご判断をいただく必要がある。</t>
        </is>
      </c>
      <c r="E19" s="34" t="inlineStr">
        <is>
          <t>Ⅱ-72,Ⅱ-110,Ⅱ-113</t>
        </is>
      </c>
      <c r="F19" s="34" t="inlineStr">
        <is>
          <t>素案5-11,5-5,施策4-3,施策4-6,1-6／法律案要綱 第2の14</t>
        </is>
      </c>
      <c r="G19" s="34" t="inlineStr">
        <is>
          <t>未依頼</t>
        </is>
      </c>
      <c r="H19" s="33" t="inlineStr"/>
    </row>
    <row r="20" ht="34" customHeight="1">
      <c r="A20" s="31" t="inlineStr">
        <is>
          <t>S</t>
        </is>
      </c>
      <c r="B20" s="32" t="inlineStr">
        <is>
          <t>調査設計</t>
        </is>
      </c>
      <c r="C20" s="33" t="inlineStr">
        <is>
          <t>在宅介護実態調査の手法（手法Ⅲか、手法Ⅳ〈新版 在宅生活改善調査〉を加えるか）</t>
        </is>
      </c>
      <c r="D20" s="33" t="inlineStr">
        <is>
          <t>調査票の設計・印刷頁数・集計方法がすべて決まる。第10期の新設手法。</t>
        </is>
      </c>
      <c r="E20" s="34" t="inlineStr">
        <is>
          <t>Ⅰ-07,Ⅰ-10</t>
        </is>
      </c>
      <c r="F20" s="34" t="inlineStr">
        <is>
          <t>doc03/doc05</t>
        </is>
      </c>
      <c r="G20" s="34" t="inlineStr">
        <is>
          <t>未依頼</t>
        </is>
      </c>
      <c r="H20" s="33" t="inlineStr"/>
    </row>
    <row r="21" ht="34" customHeight="1">
      <c r="A21" s="31" t="inlineStr">
        <is>
          <t>S</t>
        </is>
      </c>
      <c r="B21" s="32" t="inlineStr">
        <is>
          <t>調査設計</t>
        </is>
      </c>
      <c r="C21" s="33" t="inlineStr">
        <is>
          <t>ニーズ調査 約850人の抽出基準（要支援認定者を含むか／第9期との対比）</t>
        </is>
      </c>
      <c r="D21" s="33" t="inlineStr">
        <is>
          <t>議事録で在宅150件は「要支援1・2および要介護1〜5の在宅生活者等」と決着。ニーズ約850件の抽出基準（要支援を含むか）は未決着のため残置。</t>
        </is>
      </c>
      <c r="E21" s="34" t="inlineStr">
        <is>
          <t>Ⅰ-08,Ⅰ-24</t>
        </is>
      </c>
      <c r="F21" s="34" t="inlineStr">
        <is>
          <t>doc01-2,3／doc22</t>
        </is>
      </c>
      <c r="G21" s="34" t="inlineStr">
        <is>
          <t>一部回答</t>
        </is>
      </c>
      <c r="H21" s="33" t="inlineStr"/>
    </row>
    <row r="22" ht="34" customHeight="1">
      <c r="A22" s="31" t="inlineStr">
        <is>
          <t>S</t>
        </is>
      </c>
      <c r="B22" s="32" t="inlineStr">
        <is>
          <t>調査設計</t>
        </is>
      </c>
      <c r="C22" s="33" t="inlineStr">
        <is>
          <t>オプション項目の採否（「問6 就労について」ほか）</t>
        </is>
      </c>
      <c r="D22" s="33" t="inlineStr">
        <is>
          <t>令和7年8月版で就労はオプションと確定。採否で頁数が変わる。</t>
        </is>
      </c>
      <c r="E22" s="34" t="inlineStr">
        <is>
          <t>Ⅰ-12</t>
        </is>
      </c>
      <c r="F22" s="34" t="inlineStr">
        <is>
          <t>doc05</t>
        </is>
      </c>
      <c r="G22" s="34" t="inlineStr">
        <is>
          <t>未依頼</t>
        </is>
      </c>
      <c r="H22" s="33" t="inlineStr"/>
    </row>
    <row r="23" ht="34" customHeight="1">
      <c r="A23" s="31" t="inlineStr">
        <is>
          <t>S</t>
        </is>
      </c>
      <c r="B23" s="32" t="inlineStr">
        <is>
          <t>調査設計</t>
        </is>
      </c>
      <c r="C23" s="33" t="inlineStr">
        <is>
          <t>村独自設問の採否（除雪・在宅医療・成年後見・歯科受診・服薬ほか）</t>
        </is>
      </c>
      <c r="D23" s="33" t="inlineStr">
        <is>
          <t>第9期との時系列比較を優先するか、新規論点を入れるかの判断。</t>
        </is>
      </c>
      <c r="E23" s="34" t="inlineStr">
        <is>
          <t>Ⅰ-13</t>
        </is>
      </c>
      <c r="F23" s="34" t="inlineStr">
        <is>
          <t>doc03</t>
        </is>
      </c>
      <c r="G23" s="34" t="inlineStr">
        <is>
          <t>未依頼</t>
        </is>
      </c>
      <c r="H23" s="33" t="inlineStr"/>
    </row>
    <row r="24" ht="34" customHeight="1">
      <c r="A24" s="31" t="inlineStr">
        <is>
          <t>S</t>
        </is>
      </c>
      <c r="B24" s="32" t="inlineStr">
        <is>
          <t>調査設計</t>
        </is>
      </c>
      <c r="C24" s="33" t="inlineStr">
        <is>
          <t>ウェブ回答フォームの仕様（回答期限・村HP掲載の有無・二次元コード印字位置）</t>
        </is>
      </c>
      <c r="D24" s="33" t="inlineStr">
        <is>
          <t>入稿データ作成の前提。</t>
        </is>
      </c>
      <c r="E24" s="34" t="inlineStr">
        <is>
          <t>Ⅰ-16,Ⅰ-17</t>
        </is>
      </c>
      <c r="F24" s="34" t="inlineStr">
        <is>
          <t>doc01-8</t>
        </is>
      </c>
      <c r="G24" s="34" t="inlineStr">
        <is>
          <t>未依頼</t>
        </is>
      </c>
      <c r="H24" s="33" t="inlineStr"/>
    </row>
    <row r="25" ht="34" customHeight="1">
      <c r="A25" s="31" t="inlineStr">
        <is>
          <t>S</t>
        </is>
      </c>
      <c r="B25" s="32" t="inlineStr">
        <is>
          <t>調査設計</t>
        </is>
      </c>
      <c r="C25" s="33" t="inlineStr">
        <is>
          <t>★発送日の確定（9/17前倒し／9/18のまま／9/24後ろ倒し）と回収期限</t>
        </is>
      </c>
      <c r="D25" s="33" t="inlineStr">
        <is>
          <t>★議事録は「9月18日頃」とするのみで、5連休の論点に触れていない。9/17（木）への前倒し可否と回収期限を9/3の第1稿提出時に併せて提起する。</t>
        </is>
      </c>
      <c r="E25" s="34" t="inlineStr">
        <is>
          <t>Ⅰ-29,Ⅰ-32</t>
        </is>
      </c>
      <c r="F25" s="34" t="inlineStr">
        <is>
          <t>doc19 指-1／doc22 A-4</t>
        </is>
      </c>
      <c r="G25" s="34" t="inlineStr">
        <is>
          <t>再提起</t>
        </is>
      </c>
      <c r="H25" s="33" t="inlineStr"/>
    </row>
    <row r="26" ht="34" customHeight="1">
      <c r="A26" s="31" t="inlineStr">
        <is>
          <t>S</t>
        </is>
      </c>
      <c r="B26" s="32" t="inlineStr">
        <is>
          <t>調査設計</t>
        </is>
      </c>
      <c r="C26" s="33" t="inlineStr">
        <is>
          <t>★ウェブ回答フォームにGoogleフォームを用いることの可否</t>
        </is>
      </c>
      <c r="D26" s="33" t="inlineStr">
        <is>
          <t>★通信の暗号化とデータの保存先は別の論点。回答データが村外サーバに保存される。個人情報保護条例上の取扱いと、重複排除の実装・エクスポート後の元データ削除・公開期間管理の確認が必要。</t>
        </is>
      </c>
      <c r="E26" s="34" t="inlineStr">
        <is>
          <t>Ⅰ-16,Ⅰ-18</t>
        </is>
      </c>
      <c r="F26" s="34" t="inlineStr">
        <is>
          <t>doc19 追-3</t>
        </is>
      </c>
      <c r="G26" s="34" t="inlineStr">
        <is>
          <t>未依頼</t>
        </is>
      </c>
      <c r="H26" s="33" t="inlineStr"/>
    </row>
    <row r="27" ht="34" customHeight="1">
      <c r="A27" s="31" t="inlineStr">
        <is>
          <t>S</t>
        </is>
      </c>
      <c r="B27" s="32" t="inlineStr">
        <is>
          <t>調査設計</t>
        </is>
      </c>
      <c r="C27" s="33" t="inlineStr">
        <is>
          <t>調査票の印刷頁数の調整方針（仕様書はニーズ約12頁／在宅約8頁）</t>
        </is>
      </c>
      <c r="D27" s="33" t="inlineStr">
        <is>
          <t>現在の調査票案は設問数が多く、レイアウト調整か設問の絞り込みが必要になる可能性。オプション項目の採否と一体。</t>
        </is>
      </c>
      <c r="E27" s="34" t="inlineStr">
        <is>
          <t>Ⅰ-20,Ⅰ-21</t>
        </is>
      </c>
      <c r="F27" s="34" t="inlineStr">
        <is>
          <t>doc19 S-5</t>
        </is>
      </c>
      <c r="G27" s="34" t="inlineStr">
        <is>
          <t>未依頼</t>
        </is>
      </c>
      <c r="H27" s="33" t="inlineStr"/>
    </row>
    <row r="28" ht="34" customHeight="1">
      <c r="A28" s="31" t="inlineStr">
        <is>
          <t>S</t>
        </is>
      </c>
      <c r="B28" s="32" t="inlineStr">
        <is>
          <t>調査設計</t>
        </is>
      </c>
      <c r="C28" s="33" t="inlineStr">
        <is>
          <t>依頼状の差出人名義（村名義／村長名）</t>
        </is>
      </c>
      <c r="D28" s="33" t="inlineStr">
        <is>
          <t>★第1稿は「北塩原村長　遠藤　和夫」と村長名で作成済み。名義の可否と、あわせて現職の村長名が正しいかの確認が必要（当方が保有する平成30年の資料では別の方が村長）。</t>
        </is>
      </c>
      <c r="E28" s="34" t="inlineStr">
        <is>
          <t>Ⅰ-14</t>
        </is>
      </c>
      <c r="F28" s="34" t="inlineStr">
        <is>
          <t>doc19 追-4／doc23§5</t>
        </is>
      </c>
      <c r="G28" s="34" t="inlineStr">
        <is>
          <t>一部回答</t>
        </is>
      </c>
      <c r="H28" s="33" t="inlineStr"/>
    </row>
    <row r="29" ht="34" customHeight="1">
      <c r="A29" s="31" t="inlineStr">
        <is>
          <t>S</t>
        </is>
      </c>
      <c r="B29" s="32" t="inlineStr">
        <is>
          <t>調査設計</t>
        </is>
      </c>
      <c r="C29" s="33" t="inlineStr">
        <is>
          <t>調査票の印刷部数（予備を何部見込むか）</t>
        </is>
      </c>
      <c r="D29" s="33" t="inlineStr">
        <is>
          <t>約1,000部＋予備。発送後の追加印刷は工程上困難。</t>
        </is>
      </c>
      <c r="E29" s="34" t="inlineStr">
        <is>
          <t>Ⅰ-21,Ⅰ-22</t>
        </is>
      </c>
      <c r="F29" s="34" t="inlineStr">
        <is>
          <t>doc19 追-5</t>
        </is>
      </c>
      <c r="G29" s="34" t="inlineStr">
        <is>
          <t>未依頼</t>
        </is>
      </c>
      <c r="H29" s="33" t="inlineStr"/>
    </row>
    <row r="30" ht="34" customHeight="1">
      <c r="A30" s="31" t="inlineStr">
        <is>
          <t>S</t>
        </is>
      </c>
      <c r="B30" s="32" t="inlineStr">
        <is>
          <t>調査設計</t>
        </is>
      </c>
      <c r="C30" s="33" t="inlineStr">
        <is>
          <t>在宅介護実態調査 問8・問9の基準月</t>
        </is>
      </c>
      <c r="D30" s="33" t="inlineStr">
        <is>
          <t>発送月の前月が通常。発送日の確定とセット。</t>
        </is>
      </c>
      <c r="E30" s="34" t="inlineStr">
        <is>
          <t>Ⅰ-10</t>
        </is>
      </c>
      <c r="F30" s="34" t="inlineStr">
        <is>
          <t>doc19 追-2</t>
        </is>
      </c>
      <c r="G30" s="34" t="inlineStr">
        <is>
          <t>未依頼</t>
        </is>
      </c>
      <c r="H30" s="33" t="inlineStr"/>
    </row>
    <row r="31" ht="34" customHeight="1">
      <c r="A31" s="31" t="inlineStr">
        <is>
          <t>S</t>
        </is>
      </c>
      <c r="B31" s="32" t="inlineStr">
        <is>
          <t>調査設計</t>
        </is>
      </c>
      <c r="C31" s="33" t="inlineStr">
        <is>
          <t>★ニーズ調査 問7(7)「この1か月間に会った友人・知人の人数」の採用可否</t>
        </is>
      </c>
      <c r="D31" s="33" t="inlineStr">
        <is>
          <t>★第1稿では不採用のうえ以降の番号を繰り上げているため、見える化への入力時に設問の対応が崩れる。採用すれば番号ずれが解消し、かつICF分析の「参加」の量的指標としてそのまま使える。</t>
        </is>
      </c>
      <c r="E31" s="34" t="inlineStr">
        <is>
          <t>Ⅰ-09</t>
        </is>
      </c>
      <c r="F31" s="34" t="inlineStr">
        <is>
          <t>doc23§1-2</t>
        </is>
      </c>
      <c r="G31" s="34" t="inlineStr">
        <is>
          <t>未依頼</t>
        </is>
      </c>
      <c r="H31" s="33" t="inlineStr"/>
    </row>
    <row r="32" ht="34" customHeight="1">
      <c r="A32" s="31" t="inlineStr">
        <is>
          <t>S</t>
        </is>
      </c>
      <c r="B32" s="32" t="inlineStr">
        <is>
          <t>調査設計</t>
        </is>
      </c>
      <c r="C32" s="33" t="inlineStr">
        <is>
          <t>★ニーズ調査 村独自設問14問の採否と頁数（問3(10)の削除・問7(9)の簡素化）</t>
        </is>
      </c>
      <c r="D32" s="33" t="inlineStr">
        <is>
          <t>★標準約66問＋村独自14問＝約79問。仕様書の目安A4約12頁を超える見込み。削除を提案するのは問3(10)「1日に何回食事をとりますか」の1問のみ（低栄養は問3(1)(7)(8)で把握可能）。他13問は施策・交付金の指標と結びついており残すべき。</t>
        </is>
      </c>
      <c r="E32" s="34" t="inlineStr">
        <is>
          <t>Ⅰ-12,Ⅰ-13</t>
        </is>
      </c>
      <c r="F32" s="34" t="inlineStr">
        <is>
          <t>doc23§4</t>
        </is>
      </c>
      <c r="G32" s="34" t="inlineStr">
        <is>
          <t>未依頼</t>
        </is>
      </c>
      <c r="H32" s="33" t="inlineStr"/>
    </row>
    <row r="33" ht="34" customHeight="1">
      <c r="A33" s="31" t="inlineStr">
        <is>
          <t>S</t>
        </is>
      </c>
      <c r="B33" s="32" t="inlineStr">
        <is>
          <t>調査設計</t>
        </is>
      </c>
      <c r="C33" s="33" t="inlineStr">
        <is>
          <t>★現職の村長名・所管課・役場の住所の確認</t>
        </is>
      </c>
      <c r="D33" s="33" t="inlineStr">
        <is>
          <t>★第1稿の依頼状に村長名・所管課（保健福祉課 福祉係）・役場の所在地を記載している。現職の村長名は当方では確認できないため、記載のまま送付してよいかをご確認いただきたい。氏名は個人情報のため本表には記載しない。所管課は住民課との別が未確認のまま（doc01 確認事項1）。</t>
        </is>
      </c>
      <c r="E33" s="34" t="inlineStr">
        <is>
          <t>Ⅰ-14</t>
        </is>
      </c>
      <c r="F33" s="34" t="inlineStr">
        <is>
          <t>doc23§5</t>
        </is>
      </c>
      <c r="G33" s="34" t="inlineStr">
        <is>
          <t>未依頼</t>
        </is>
      </c>
      <c r="H33" s="33" t="inlineStr"/>
    </row>
    <row r="34" ht="34" customHeight="1">
      <c r="A34" s="31" t="inlineStr">
        <is>
          <t>S</t>
        </is>
      </c>
      <c r="B34" s="32" t="inlineStr">
        <is>
          <t>調査設計</t>
        </is>
      </c>
      <c r="C34" s="33" t="inlineStr">
        <is>
          <t>★【必須】在宅A票 訪問診療の設問を問13に直す（問12が重複し問13が欠番）</t>
        </is>
      </c>
      <c r="D34" s="33" t="inlineStr">
        <is>
          <t>★第2稿で訪問診療が復活したが番号が問12となり、今後必要と感じる支援（問12）と重複している。回答者が混乱し集計時に設問を特定できない。9/9の校了までに必ず修正。</t>
        </is>
      </c>
      <c r="E34" s="34" t="inlineStr">
        <is>
          <t>Ⅰ-10</t>
        </is>
      </c>
      <c r="F34" s="34" t="inlineStr">
        <is>
          <t>doc27§3-1</t>
        </is>
      </c>
      <c r="G34" s="34" t="inlineStr">
        <is>
          <t>未依頼</t>
        </is>
      </c>
      <c r="H34" s="33" t="inlineStr"/>
    </row>
    <row r="35" ht="34" customHeight="1">
      <c r="A35" s="31" t="inlineStr">
        <is>
          <t>S</t>
        </is>
      </c>
      <c r="B35" s="32" t="inlineStr">
        <is>
          <t>調査設計</t>
        </is>
      </c>
      <c r="C35" s="33" t="inlineStr">
        <is>
          <t>★【必須】在宅A票 問9の基準月を「令和8年8月」に修正</t>
        </is>
      </c>
      <c r="D35" s="33" t="inlineStr">
        <is>
          <t>★問8は修正されたが問9が「令和●年●月」のまま。</t>
        </is>
      </c>
      <c r="E35" s="34" t="inlineStr">
        <is>
          <t>Ⅰ-10</t>
        </is>
      </c>
      <c r="F35" s="34" t="inlineStr">
        <is>
          <t>doc27§3-2</t>
        </is>
      </c>
      <c r="G35" s="34" t="inlineStr">
        <is>
          <t>未依頼</t>
        </is>
      </c>
      <c r="H35" s="33" t="inlineStr"/>
    </row>
    <row r="36" ht="34" customHeight="1">
      <c r="A36" s="31" t="inlineStr">
        <is>
          <t>S</t>
        </is>
      </c>
      <c r="B36" s="32" t="inlineStr">
        <is>
          <t>調査設計</t>
        </is>
      </c>
      <c r="C36" s="33" t="inlineStr">
        <is>
          <t>★【必須】ニーズ 問1(2)① 選択肢14・15を「14．その他／15．不明」に修正</t>
        </is>
      </c>
      <c r="D36" s="33" t="inlineStr">
        <is>
          <t>★選択肢の順序の修正7か所のうち、この1か所のみ修正漏れ。標準は13．高齢による衰弱／14．その他（　）／15．不明。</t>
        </is>
      </c>
      <c r="E36" s="34" t="inlineStr">
        <is>
          <t>Ⅰ-09</t>
        </is>
      </c>
      <c r="F36" s="34" t="inlineStr">
        <is>
          <t>doc27§2-1</t>
        </is>
      </c>
      <c r="G36" s="34" t="inlineStr">
        <is>
          <t>未依頼</t>
        </is>
      </c>
      <c r="H36" s="33" t="inlineStr"/>
    </row>
    <row r="37" ht="34" customHeight="1">
      <c r="A37" s="35" t="inlineStr">
        <is>
          <t>A</t>
        </is>
      </c>
      <c r="B37" s="32" t="inlineStr">
        <is>
          <t>スケジュール</t>
        </is>
      </c>
      <c r="C37" s="33" t="inlineStr">
        <is>
          <t>★第2回策定委員会の開催日（11月のいつか）</t>
        </is>
      </c>
      <c r="D37" s="33" t="inlineStr">
        <is>
          <t>★資料の事前送付の期限が決まる。素案約90頁を当日配付では読めないため事前送付が前提。</t>
        </is>
      </c>
      <c r="E37" s="34" t="inlineStr">
        <is>
          <t>Ⅱ-83</t>
        </is>
      </c>
      <c r="F37" s="34" t="inlineStr">
        <is>
          <t>doc26§10 K-95</t>
        </is>
      </c>
      <c r="G37" s="34" t="inlineStr">
        <is>
          <t>未依頼</t>
        </is>
      </c>
      <c r="H37" s="33" t="inlineStr"/>
    </row>
    <row r="38" ht="34" customHeight="1">
      <c r="A38" s="35" t="inlineStr">
        <is>
          <t>A</t>
        </is>
      </c>
      <c r="B38" s="32" t="inlineStr">
        <is>
          <t>データ</t>
        </is>
      </c>
      <c r="C38" s="33" t="inlineStr">
        <is>
          <t>★調整交付金見込交付割合5.36／5.03／4.67%の出所（県の指示値か村の入力値か）</t>
        </is>
      </c>
      <c r="D38" s="33" t="inlineStr">
        <is>
          <t>★当方は第9期から復元して4.10〜4.32%と置いていたが、国の推計ワークシートは5.36／5.03／4.67%で入っている。見込交付割合が0.1ポイント動くと保険料基準額は月額約26円動くため、1.0ポイント以上の差は保険料に約260円効く。この値が県から示されたものか村が入力したものかによって、計画書での説明の仕方が変わる。あわせて、後期高齢者加入割合補正係数0.9652／0.9790／0.9951と所得段階別加入割合補正係数1.0197／1.0199／1.0193が、参考シートの全国値（仮置値）から算出された暫定値であることの確認もお願いしたい。</t>
        </is>
      </c>
      <c r="E38" s="34" t="inlineStr">
        <is>
          <t>Ⅱ-62,Ⅱ-64</t>
        </is>
      </c>
      <c r="F38" s="34" t="inlineStr">
        <is>
          <t>doc66§3-3</t>
        </is>
      </c>
      <c r="G38" s="34" t="inlineStr">
        <is>
          <t>未依頼</t>
        </is>
      </c>
      <c r="H38" s="33" t="inlineStr"/>
    </row>
    <row r="39" ht="34" customHeight="1">
      <c r="A39" s="35" t="inlineStr">
        <is>
          <t>A</t>
        </is>
      </c>
      <c r="B39" s="32" t="inlineStr">
        <is>
          <t>データ</t>
        </is>
      </c>
      <c r="C39" s="33" t="inlineStr">
        <is>
          <t>通いの場の参加者281人は実人数か延べ人数か（基準値の置き方）</t>
        </is>
      </c>
      <c r="D39" s="33" t="inlineStr">
        <is>
          <t>★9/15：参加率の分母を検算し、見える化F1・F4系の定義が「参加者実人数÷65歳以上人口」であることを確認した（H30は306÷961＝31.8%で公表値と一致）。令和6年度は281÷1,009＝27.8%（週1回以上は123÷1,009＝12.2%）となり、素案の12.2%・5.3%を訂正した。一方、第9期アンケートの自己申告による参加率11.2%とは16.6ポイント開く。281人が複数の通いの場への参加を重複計上しているのであれば実人数はこれより少ない。第10期の活動指標の基準値をどちらに置くかは把握方法の確認が前提。</t>
        </is>
      </c>
      <c r="E39" s="34" t="inlineStr">
        <is>
          <t>Ⅱ-65</t>
        </is>
      </c>
      <c r="F39" s="34" t="inlineStr">
        <is>
          <t>doc35§2</t>
        </is>
      </c>
      <c r="G39" s="34" t="inlineStr">
        <is>
          <t>未依頼</t>
        </is>
      </c>
      <c r="H39" s="33" t="inlineStr"/>
    </row>
    <row r="40" ht="34" customHeight="1">
      <c r="A40" s="35" t="inlineStr">
        <is>
          <t>A</t>
        </is>
      </c>
      <c r="B40" s="32" t="inlineStr">
        <is>
          <t>データ</t>
        </is>
      </c>
      <c r="C40" s="33" t="inlineStr">
        <is>
          <t>★介護給付適正化の主要3事業のうち「要介護認定の適正化」の実施状況（令和8年度に0点となった原因）</t>
        </is>
      </c>
      <c r="D40" s="33" t="inlineStr">
        <is>
          <t>★主要3事業の全実施を問う指標（6点・全国96.9%が取得・県内55位／59）が0点である。適正化方策の策定は4項目すべて満点、ケアプラン点検と医療情報との突合は活動指標も満点であることから、残る「要介護認定の適正化」が実施されていない可能性が高い。取組が後退したのか、国への該当状況調査票の記載によるものかをご教示いただきたい。</t>
        </is>
      </c>
      <c r="E40" s="34" t="inlineStr">
        <is>
          <t>Ⅱ-109</t>
        </is>
      </c>
      <c r="F40" s="34" t="inlineStr">
        <is>
          <t>doc42§3</t>
        </is>
      </c>
      <c r="G40" s="34" t="inlineStr">
        <is>
          <t>未依頼</t>
        </is>
      </c>
      <c r="H40" s="33" t="inlineStr"/>
    </row>
    <row r="41" ht="34" customHeight="1">
      <c r="A41" s="35" t="inlineStr">
        <is>
          <t>A</t>
        </is>
      </c>
      <c r="B41" s="32" t="inlineStr">
        <is>
          <t>データ</t>
        </is>
      </c>
      <c r="C41" s="33" t="inlineStr">
        <is>
          <t>地域支援事業費・総合事業費の決算の複数年の推移（可能な範囲で5か年以上）</t>
        </is>
      </c>
      <c r="D41" s="33" t="inlineStr">
        <is>
          <t>素案5-6は令和5年度決算（地域支援事業費39,886千円・総合事業費16,463千円）を3か年据え置いている。手元にある決算は令和4・5年度の2か年のみで、趨勢か単年度の振れかを判断できない。補助給付等についても対標準給付費比が令和4年度9.02%から令和5年度7.67%へ1.35ポイント下がっており（主因は特定入所者介護サービス費等の18.3%減）、据え置きが外れると保険料基準額は月額で最大96円動く（素案5-6）。複数年の推移をご提供いただきたい。★10/7 優先度を上げた：国の推計ワークシートは令和9年度47,686千円・令和10年度49,218千円・令和11年度50,751千円（年3.2%の伸び）で入っており、当方の据え置き（39,886千円×3）と3か年で27,996千円・23.4%開く。据え置きが外れたため、決算の推移の確認が据え置きの妥当性の検証から伸びの根拠の確認に変わった。</t>
        </is>
      </c>
      <c r="E41" s="34" t="inlineStr">
        <is>
          <t>Ⅱ-55,Ⅱ-56,Ⅱ-106</t>
        </is>
      </c>
      <c r="F41" s="34" t="inlineStr">
        <is>
          <t>doc47§5,doc66§3-3</t>
        </is>
      </c>
      <c r="G41" s="34" t="inlineStr">
        <is>
          <t>未依頼</t>
        </is>
      </c>
      <c r="H41" s="33" t="inlineStr"/>
    </row>
    <row r="42" ht="34" customHeight="1">
      <c r="A42" s="35" t="inlineStr">
        <is>
          <t>A</t>
        </is>
      </c>
      <c r="B42" s="32" t="inlineStr">
        <is>
          <t>データ</t>
        </is>
      </c>
      <c r="C42" s="33" t="inlineStr">
        <is>
          <t>第9期計画の本文（サービス別見込量の表を含む全体）</t>
        </is>
      </c>
      <c r="D42" s="33" t="inlineStr">
        <is>
          <t>★★用途が2つある。①対計画比（サービス別の計画値と実績の対比）。他案件では総額が計画どおりでも内訳が11.5〜967.4％まで開くことが確認されており、本村は受給率を3か年平均で固定しているため偏りを持ち越す。②老人福祉事業の量の目標の記載位置の確認（doc32§4-1）。保有しているのは概要版のみでサービス別見込量がない。</t>
        </is>
      </c>
      <c r="E42" s="34" t="inlineStr">
        <is>
          <t>Ⅱ-53,Ⅱ-55</t>
        </is>
      </c>
      <c r="F42" s="34" t="inlineStr">
        <is>
          <t>doc33§5-2</t>
        </is>
      </c>
      <c r="G42" s="34" t="inlineStr">
        <is>
          <t>未依頼</t>
        </is>
      </c>
      <c r="H42" s="33" t="inlineStr"/>
    </row>
    <row r="43" ht="34" customHeight="1">
      <c r="A43" s="35" t="inlineStr">
        <is>
          <t>A</t>
        </is>
      </c>
      <c r="B43" s="32" t="inlineStr">
        <is>
          <t>データ</t>
        </is>
      </c>
      <c r="C43" s="33" t="inlineStr">
        <is>
          <t>★給付費適正化「主要3事業の全て実施」が令和7年度6点→令和8年度0点に低下した理由</t>
        </is>
      </c>
      <c r="D43" s="33" t="inlineStr">
        <is>
          <t>★全国該当率96.9%の指標。縦覧点検は4帳票満点のため、①要介護認定の適正化 か ②ケアプラン等の点検 のいずれかが実施されなくなった可能性。取組の後退か調査票の記載漏れかで対応が変わる。</t>
        </is>
      </c>
      <c r="E43" s="34" t="inlineStr">
        <is>
          <t>Ⅱ-65</t>
        </is>
      </c>
      <c r="F43" s="34" t="inlineStr">
        <is>
          <t>doc20§8-2 K-61</t>
        </is>
      </c>
      <c r="G43" s="34" t="inlineStr">
        <is>
          <t>未依頼</t>
        </is>
      </c>
      <c r="H43" s="33" t="inlineStr"/>
    </row>
    <row r="44" ht="34" customHeight="1">
      <c r="A44" s="35" t="inlineStr">
        <is>
          <t>A</t>
        </is>
      </c>
      <c r="B44" s="32" t="inlineStr">
        <is>
          <t>データ</t>
        </is>
      </c>
      <c r="C44" s="33" t="inlineStr">
        <is>
          <t>★福祉用具購入費・住宅改修費へのリハビリ専門職の関与（配点8点）が令和7年度8点→令和8年度0点に低下した理由</t>
        </is>
      </c>
      <c r="D44" s="33" t="inlineStr">
        <is>
          <t>★アと合わせ14点が1年で失われている。仕組みが失われたのか調査票の記載によるものかを確認。</t>
        </is>
      </c>
      <c r="E44" s="34" t="inlineStr">
        <is>
          <t>Ⅱ-65</t>
        </is>
      </c>
      <c r="F44" s="34" t="inlineStr">
        <is>
          <t>doc20§8-2 K-61b</t>
        </is>
      </c>
      <c r="G44" s="34" t="inlineStr">
        <is>
          <t>未依頼</t>
        </is>
      </c>
      <c r="H44" s="33" t="inlineStr"/>
    </row>
    <row r="45" ht="34" customHeight="1">
      <c r="A45" s="35" t="inlineStr">
        <is>
          <t>A</t>
        </is>
      </c>
      <c r="B45" s="32" t="inlineStr">
        <is>
          <t>データ</t>
        </is>
      </c>
      <c r="C45" s="33" t="inlineStr">
        <is>
          <t>認知症サポーター養成数・認知症地域支援推進員の配置と活動内容・チームオレンジの整備予定</t>
        </is>
      </c>
      <c r="D45" s="33" t="inlineStr">
        <is>
          <t>★支援交付金目標Ⅱ（認知症総合支援）は32/100点で全国平均51.1点を19点下回る唯一の目標。3か年で唯一低下局面があった。</t>
        </is>
      </c>
      <c r="E45" s="34" t="inlineStr">
        <is>
          <t>Ⅱ-68</t>
        </is>
      </c>
      <c r="F45" s="34" t="inlineStr">
        <is>
          <t>doc20§6-2 K-62</t>
        </is>
      </c>
      <c r="G45" s="34" t="inlineStr">
        <is>
          <t>未依頼</t>
        </is>
      </c>
      <c r="H45" s="33" t="inlineStr"/>
    </row>
    <row r="46" ht="34" customHeight="1">
      <c r="A46" s="35" t="inlineStr">
        <is>
          <t>A</t>
        </is>
      </c>
      <c r="B46" s="32" t="inlineStr">
        <is>
          <t>データ</t>
        </is>
      </c>
      <c r="C46" s="33" t="inlineStr">
        <is>
          <t>難聴高齢者の早期発見・早期介入の取組（健診での聴力チェック等）の有無</t>
        </is>
      </c>
      <c r="D46" s="33" t="inlineStr">
        <is>
          <t>令和8年度評価で配点10点が0点（全国該当率48.8〜68.9%）。保健事業との連携で取得可能。</t>
        </is>
      </c>
      <c r="E46" s="34" t="inlineStr">
        <is>
          <t>Ⅱ-68</t>
        </is>
      </c>
      <c r="F46" s="34" t="inlineStr">
        <is>
          <t>doc20§6-2 K-63</t>
        </is>
      </c>
      <c r="G46" s="34" t="inlineStr">
        <is>
          <t>未依頼</t>
        </is>
      </c>
      <c r="H46" s="33" t="inlineStr"/>
    </row>
    <row r="47" ht="34" customHeight="1">
      <c r="A47" s="35" t="inlineStr">
        <is>
          <t>A</t>
        </is>
      </c>
      <c r="B47" s="32" t="inlineStr">
        <is>
          <t>データ</t>
        </is>
      </c>
      <c r="C47" s="33" t="inlineStr">
        <is>
          <t>在宅医療・介護連携推進事業の実施体制（村単独か会津圏域か）と課題・対応策の検討の場</t>
        </is>
      </c>
      <c r="D47" s="33" t="inlineStr">
        <is>
          <t>支援交付金目標Ⅲの「課題・対応策の検討」ア・エが0点（配点計10点、全国該当率57〜72%）。</t>
        </is>
      </c>
      <c r="E47" s="34" t="inlineStr">
        <is>
          <t>Ⅱ-54</t>
        </is>
      </c>
      <c r="F47" s="34" t="inlineStr">
        <is>
          <t>doc20§6-2 K-64</t>
        </is>
      </c>
      <c r="G47" s="34" t="inlineStr">
        <is>
          <t>未依頼</t>
        </is>
      </c>
      <c r="H47" s="33" t="inlineStr"/>
    </row>
    <row r="48" ht="34" customHeight="1">
      <c r="A48" s="35" t="inlineStr">
        <is>
          <t>A</t>
        </is>
      </c>
      <c r="B48" s="32" t="inlineStr">
        <is>
          <t>データ</t>
        </is>
      </c>
      <c r="C48" s="33" t="inlineStr">
        <is>
          <t>★施設サービスが伸びない要因「重度化による病院への転院」の裏づけデータ</t>
        </is>
      </c>
      <c r="D48" s="33" t="inlineStr">
        <is>
          <t>★議事録で示された村の見解。当方は村内施設ゼロ・村外施設依存の文脈で解釈していたため、素案の記述を修正する必要がある。KDB・給付実績で確認したい。</t>
        </is>
      </c>
      <c r="E48" s="34" t="inlineStr">
        <is>
          <t>Ⅱ-55</t>
        </is>
      </c>
      <c r="F48" s="34" t="inlineStr">
        <is>
          <t>doc22 K-75</t>
        </is>
      </c>
      <c r="G48" s="34" t="inlineStr">
        <is>
          <t>未依頼</t>
        </is>
      </c>
      <c r="H48" s="33" t="inlineStr"/>
    </row>
    <row r="49" ht="34" customHeight="1">
      <c r="A49" s="35" t="inlineStr">
        <is>
          <t>A</t>
        </is>
      </c>
      <c r="B49" s="32" t="inlineStr">
        <is>
          <t>データ</t>
        </is>
      </c>
      <c r="C49" s="33" t="inlineStr">
        <is>
          <t>★会津権利擁護・成年後見センターへの相談が1年で件数▲43%・時間▲55%と減少した要因</t>
        </is>
      </c>
      <c r="D49" s="33" t="inlineStr">
        <is>
          <t>★令和6年度134件・1,625分→令和7年度76件・729分。圏域13市町村の総計は増加しているなかで本村のみ大きく減少。施策評価に必要。</t>
        </is>
      </c>
      <c r="E49" s="34" t="inlineStr">
        <is>
          <t>Ⅱ-68</t>
        </is>
      </c>
      <c r="F49" s="34" t="inlineStr">
        <is>
          <t>doc28§3-3 K-108</t>
        </is>
      </c>
      <c r="G49" s="34" t="inlineStr">
        <is>
          <t>未依頼</t>
        </is>
      </c>
      <c r="H49" s="33" t="inlineStr"/>
    </row>
    <row r="50" ht="34" customHeight="1">
      <c r="A50" s="35" t="inlineStr">
        <is>
          <t>A</t>
        </is>
      </c>
      <c r="B50" s="32" t="inlineStr">
        <is>
          <t>データ</t>
        </is>
      </c>
      <c r="C50" s="33" t="inlineStr">
        <is>
          <t>養護老人ホーム措置・軽費老人ホーム・老人クラブの実績は見える化に系列が一切ない</t>
        </is>
      </c>
      <c r="D50" s="33" t="inlineStr">
        <is>
          <t>★老人福祉法第20条の8第2項が計画への記載を義務づける「老人福祉事業の量の目標」（素案4-6）の基礎。見える化に該当する系列がないため、村資料の受領が必須。代替手段はない。</t>
        </is>
      </c>
      <c r="E50" s="34" t="inlineStr">
        <is>
          <t>Ⅱ-53,Ⅱ-54</t>
        </is>
      </c>
      <c r="F50" s="34" t="inlineStr">
        <is>
          <t>doc38§D</t>
        </is>
      </c>
      <c r="G50" s="34" t="inlineStr">
        <is>
          <t>未依頼</t>
        </is>
      </c>
      <c r="H50" s="33" t="inlineStr"/>
    </row>
    <row r="51" ht="34" customHeight="1">
      <c r="A51" s="35" t="inlineStr">
        <is>
          <t>A</t>
        </is>
      </c>
      <c r="B51" s="32" t="inlineStr">
        <is>
          <t>データ</t>
        </is>
      </c>
      <c r="C51" s="33" t="inlineStr">
        <is>
          <t>★令和6・7年度に取得していた5項目（22点）が令和8年度に0点になった理由</t>
        </is>
      </c>
      <c r="D51" s="33" t="inlineStr">
        <is>
          <t>★3か年の項目別の推移を分析した結果（doc48）、悪化した23項目115点のうち93点は成果指標群（国の統計から自動算定されるもの）で、村の取組として後退したのは次の5項目22点であることが分かった。①福祉用具購入費・住宅改修費の妥当性の検討（推進Ⅱ・8点・全国該当率65.1%）②主要3事業（要介護認定の適正化・ケアプラン等の点検）の実施と記録（推進Ⅱ・6点・96.9%）③在宅医療・介護連携の4つの場面ごとの目指すべき姿の設定（支援Ⅲ・5点・72.3%）④相談内容の取りまとめと関係者間での共有（支援Ⅲ・2点・85.9%）⑤総合事業における従前相当以外のサービスの実施（支援Ⅰ・1点・29.8%）。いずれも令和6年度または令和7年度は取得していた。このうち主要な事業の実施と記録は全国の96.9%が取得している項目であり、最も重い。★10/6：当初は3項目15点としていたが、配点が年度間で変わった項目を除いて数え直すと5項目22点であった。主要な事業の実施と記録（推進Ⅱ・6点）は令和6年度には3つの小項目各2点に分かれており、集計の単位が違うため見落としていた。取組が止まったのか、国への該当状況調査票の記載によるものかをご確認いただきたい。取組が止まったのであれば令和9年度の評価で取り戻せる。</t>
        </is>
      </c>
      <c r="E51" s="34" t="inlineStr">
        <is>
          <t>Ⅱ-67</t>
        </is>
      </c>
      <c r="F51" s="34" t="inlineStr">
        <is>
          <t>doc48§1-2</t>
        </is>
      </c>
      <c r="G51" s="34" t="inlineStr">
        <is>
          <t>未依頼</t>
        </is>
      </c>
      <c r="H51" s="33" t="inlineStr"/>
    </row>
    <row r="52" ht="34" customHeight="1">
      <c r="A52" s="35" t="inlineStr">
        <is>
          <t>A</t>
        </is>
      </c>
      <c r="B52" s="32" t="inlineStr">
        <is>
          <t>データ</t>
        </is>
      </c>
      <c r="C52" s="33" t="inlineStr">
        <is>
          <t>★介護給付費財政調整交付金の算定における主要3事業の取組状況の勘案（県への照会）</t>
        </is>
      </c>
      <c r="D52" s="33" t="inlineStr">
        <is>
          <t>★「介護給付適正化計画に関する指針」（令和5年9月12日老介発0912第1号）は、介護給付費財政調整交付金の第9期計画期間（令和6年度から）の算定に当たって主要3事業の取組状況を勘案することとしている。本村は令和8年度の評価で「主要3事業のすべてを実施している」ことを問う指標が0点であるため、調整交付金の交付割合に影響し得る。見込交付割合が0.1ポイント下がると保険料基準額は月額約26円上がり、素案5-7で置いた幅（4.10〜4.32％）の0.22ポイントでは約58円上がる。県に対し、算定方法と勘案の有無・程度、本村の交付割合の見通しを照会いただきたい。あわせて指針の該当箇所（第二の(2)④）の原文の確認をお願いしたい。★10/7 一部解消：国の推計ワークシートの見込交付割合は5.36／5.03／4.67%で、当方が復元した4.10〜4.32%を上回っていた。勘案による減額が織り込まれているようには見えないが、この値の出所（県の指示値か村の入力値か）が未確認であるため、勘案の有無の照会は残す。保険料への影響の大きさは確定したので優先度をAに下げた。</t>
        </is>
      </c>
      <c r="E52" s="34" t="inlineStr">
        <is>
          <t>Ⅱ-62,Ⅱ-64,Ⅱ-109</t>
        </is>
      </c>
      <c r="F52" s="34" t="inlineStr">
        <is>
          <t>doc46§3,doc66§3-3</t>
        </is>
      </c>
      <c r="G52" s="34" t="inlineStr">
        <is>
          <t>一部回答</t>
        </is>
      </c>
      <c r="H52" s="33" t="inlineStr"/>
    </row>
    <row r="53" ht="34" customHeight="1">
      <c r="A53" s="35" t="inlineStr">
        <is>
          <t>A</t>
        </is>
      </c>
      <c r="B53" s="32" t="inlineStr">
        <is>
          <t>データ</t>
        </is>
      </c>
      <c r="C53" s="33" t="inlineStr">
        <is>
          <t>介護SCR（標準化給付費比）データの提供</t>
        </is>
      </c>
      <c r="D53" s="33" t="inlineStr">
        <is>
          <t>国が公表する介護SCRは、年齢構成の違いを除いたうえでサービス種類別の給付の水準を全国平均100として比べられる。利用者の住所地でみるSCRと事業所の所在地でみるxSCRの2系列があり、両者の差は域内に事業所がないことによる流出を示す。本村は給付費の58.7％が村外のサービスによるもので村内の事業所は2種類のみであるため、適正化の重点を「村内の供給の偏り」と「村外の利用の妥当性」に分けて示すのに適している。提供を受けた時点で素案2-5・5-8(4)に反映する。</t>
        </is>
      </c>
      <c r="E53" s="34" t="inlineStr">
        <is>
          <t>Ⅱ-109,Ⅱ-61</t>
        </is>
      </c>
      <c r="F53" s="34" t="inlineStr">
        <is>
          <t>doc46§4</t>
        </is>
      </c>
      <c r="G53" s="34" t="inlineStr">
        <is>
          <t>未依頼</t>
        </is>
      </c>
      <c r="H53" s="33" t="inlineStr"/>
    </row>
    <row r="54" ht="34" customHeight="1">
      <c r="A54" s="35" t="inlineStr">
        <is>
          <t>A</t>
        </is>
      </c>
      <c r="B54" s="32" t="inlineStr">
        <is>
          <t>データ</t>
        </is>
      </c>
      <c r="C54" s="33" t="inlineStr">
        <is>
          <t>国の推計ワークシートが求める在宅サービス利用率の分母</t>
        </is>
      </c>
      <c r="D54" s="33" t="inlineStr">
        <is>
          <t>総括表の元になった推計ワークシート本体（入力シート）のファイルをご提供いただきたい。在宅サービス利用率の分母が何であるかが、受領した総括表（出力）からは特定できないためである。分母の取り違えは見込量を数割動かす（要介護1で58.8%→86.1%、要介護4で26.8%→70.1%、要介護2は107.7%と100%超）。★★他案件（大雪）の点検で「見込量の利用率の分母は認定者数であって第1号被保険者数ではない」ことが指摘された。本村の見える化のサービス利用率の分母は要介護度別認定者数であることを実データで確認済み（51件中21件が±0.6pt以内で一致、第1号被保険者数では0件）。★10/10：受領した将来推計総括表を調べた。(1)「1_推計値サマリ」に「在宅サービス受給率＝在宅サービス利用者数÷第1号被保険者数」と補足があるが、これは総括表のグラフに用いる受給率の定義であり、推計に用いる利用率の分母ではない。(2)「4_施策反映の解説」は推計手法を「サービス別／要介護度別に推計する」「在宅サービス利用者数 推計に用いた利用率の伸び：令和7年度→令和8年度の伸び」とするのみで、分母を書いていない。(3) 総括表から在宅・施設居住系の利用者数を復元し、4つの分母の候補（認定者数総数／同－施設居住系／認定者数うち第1号／同－施設居住系）で利用率を出したが、いずれも年度を通じて一定にも等比にもならない。推計が要介護度別に行われているため、合算の利用率は要介護度の構成で動く。したがって総括表（出力）だけでは分母を特定できない。分母の特定にはワークシート本体が要る（doc85）。</t>
        </is>
      </c>
      <c r="E54" s="34" t="inlineStr">
        <is>
          <t>Ⅱ-56</t>
        </is>
      </c>
      <c r="F54" s="34" t="inlineStr">
        <is>
          <t>doc37§3,doc18 5-4</t>
        </is>
      </c>
      <c r="G54" s="34" t="inlineStr">
        <is>
          <t>未依頼</t>
        </is>
      </c>
      <c r="H54" s="33" t="inlineStr"/>
    </row>
    <row r="55" ht="34" customHeight="1">
      <c r="A55" s="35" t="inlineStr">
        <is>
          <t>A</t>
        </is>
      </c>
      <c r="B55" s="32" t="inlineStr">
        <is>
          <t>データ</t>
        </is>
      </c>
      <c r="C55" s="33" t="inlineStr">
        <is>
          <t>認知症対応型共同生活介護（村内27人分）の待機者数と、村外のグループホームを利用している方の人数</t>
        </is>
      </c>
      <c r="D55" s="33" t="inlineStr">
        <is>
          <t>★施策3-2・5-4(8)の必要利用定員総数の判断に必須。認知症高齢者（自立度Ⅱ以上）は2年間で132人→161人と22.0%増えた一方、定員は平成28年度以降27人のまま。稼働率88%。増床の要否は待機と村外利用の実態がなければ判断できない。★9/28：国の基本指針が求める「真に入所が必要と判断される被保険者の把握」（素案5-4(13)）の3つの柱のうち2つがこれにあたる。待機者については申込者の要介護度・在宅か入院か・申込時期を、村外施設については介護老人福祉施設・介護老人保健施設・介護医療院それぞれの入所者数と入所先をご教示いただきたい。給付実績からの把握でも可。</t>
        </is>
      </c>
      <c r="E55" s="34" t="inlineStr">
        <is>
          <t>Ⅱ-56,Ⅱ-67</t>
        </is>
      </c>
      <c r="F55" s="34" t="inlineStr">
        <is>
          <t>doc36§3,doc18 5-4(8)・5-4(13),doc47§4</t>
        </is>
      </c>
      <c r="G55" s="34" t="inlineStr">
        <is>
          <t>未依頼</t>
        </is>
      </c>
      <c r="H55" s="33" t="inlineStr"/>
    </row>
    <row r="56" ht="34" customHeight="1">
      <c r="A56" s="35" t="inlineStr">
        <is>
          <t>A</t>
        </is>
      </c>
      <c r="B56" s="32" t="inlineStr">
        <is>
          <t>データ</t>
        </is>
      </c>
      <c r="C56" s="33" t="inlineStr">
        <is>
          <t>認知症関連事業の実績（認知症カフェの箇所数、認知症初期集中支援推進事業の対象者数、認知症地域支援推進員の活動実績）</t>
        </is>
      </c>
      <c r="D56" s="33" t="inlineStr">
        <is>
          <t>★素案5-5(1)の地域支援事業の量に認知症総合支援事業の行を新設したが、いずれも実績が未受領。国の様式では認知症総合支援事業の量を定めることが求められる。</t>
        </is>
      </c>
      <c r="E56" s="34" t="inlineStr">
        <is>
          <t>Ⅱ-53,Ⅱ-68</t>
        </is>
      </c>
      <c r="F56" s="34" t="inlineStr">
        <is>
          <t>doc36§4,doc18 5-5(1)</t>
        </is>
      </c>
      <c r="G56" s="34" t="inlineStr">
        <is>
          <t>未依頼</t>
        </is>
      </c>
      <c r="H56" s="33" t="inlineStr"/>
    </row>
    <row r="57" ht="34" customHeight="1">
      <c r="A57" s="35" t="inlineStr">
        <is>
          <t>A</t>
        </is>
      </c>
      <c r="B57" s="32" t="inlineStr">
        <is>
          <t>データ</t>
        </is>
      </c>
      <c r="C57" s="33" t="inlineStr">
        <is>
          <t>認知症サポーター約237人が国の評価指標で0点となっている理由</t>
        </is>
      </c>
      <c r="D57" s="33" t="inlineStr">
        <is>
          <t>★人口比9.8%（237人／2,363人）が養成されているにもかかわらず、令和8年度の評価で「認知症サポーター数」は12点中0点（全国平均4.8点）。養成率の基準を満たしていないのか、該当状況調査票の記載によるものかで、施策4-4の組み立てが変わる。</t>
        </is>
      </c>
      <c r="E57" s="34" t="inlineStr">
        <is>
          <t>Ⅱ-65,Ⅱ-68</t>
        </is>
      </c>
      <c r="F57" s="34" t="inlineStr">
        <is>
          <t>doc35§7-2(6)</t>
        </is>
      </c>
      <c r="G57" s="34" t="inlineStr">
        <is>
          <t>未依頼</t>
        </is>
      </c>
      <c r="H57" s="33" t="inlineStr"/>
    </row>
    <row r="58" ht="34" customHeight="1">
      <c r="A58" s="35" t="inlineStr">
        <is>
          <t>A</t>
        </is>
      </c>
      <c r="B58" s="32" t="inlineStr">
        <is>
          <t>データ</t>
        </is>
      </c>
      <c r="C58" s="33" t="inlineStr">
        <is>
          <t>要介護3〜5の方の状態の変化が令和8年度に2指標とも0点となった実態</t>
        </is>
      </c>
      <c r="D58" s="33" t="inlineStr">
        <is>
          <t>★短期的な要介護度の変化（要介護3〜5）が40点中0点、長期的な変化が20点中0点で、合わせて35点の減。目標Ⅳの25点低下の主因。本村の要介護3以上の認定者は59人（令和8年3月末）であり、数人の状態の変化が指標を動かす。個別の状況の把握が要る。</t>
        </is>
      </c>
      <c r="E58" s="34" t="inlineStr">
        <is>
          <t>Ⅱ-65</t>
        </is>
      </c>
      <c r="F58" s="34" t="inlineStr">
        <is>
          <t>doc35§7-2(3)</t>
        </is>
      </c>
      <c r="G58" s="34" t="inlineStr">
        <is>
          <t>未依頼</t>
        </is>
      </c>
      <c r="H58" s="33" t="inlineStr"/>
    </row>
    <row r="59" ht="34" customHeight="1">
      <c r="A59" s="35" t="inlineStr">
        <is>
          <t>A</t>
        </is>
      </c>
      <c r="B59" s="32" t="inlineStr">
        <is>
          <t>データ</t>
        </is>
      </c>
      <c r="C59" s="33" t="inlineStr">
        <is>
          <t>高額医療合算介護サービス費の自動償還を実施するかどうか</t>
        </is>
      </c>
      <c r="D59" s="33" t="inlineStr">
        <is>
          <t>1-8の2および5-6の補助給付等。市町村の判断により手続を簡素化できるため、実施の意向を確認する。★10/7 優先度を上げた：国の推計ワークシートは高額医療合算介護サービス費等を3か年8,519千円（令和9年度2,817千円・令和10年度2,858千円・令和11年度2,844千円）で見込んでいる。当方は実績がないため0としていたが、国の出力は0ではない。実績が0で見込みが0でないのは、自動償還を実施していないために申請がなく実績が立っていないのか、入力の誤りなのかで意味が違う。保険料への影響は3か年8,519千円で月額約65円である。</t>
        </is>
      </c>
      <c r="E59" s="34" t="inlineStr">
        <is>
          <t>Ⅱ-62</t>
        </is>
      </c>
      <c r="F59" s="34" t="inlineStr">
        <is>
          <t>doc49§2-2,doc66§3-3</t>
        </is>
      </c>
      <c r="G59" s="34" t="inlineStr">
        <is>
          <t>未依頼</t>
        </is>
      </c>
      <c r="H59" s="33" t="inlineStr"/>
    </row>
    <row r="60" ht="34" customHeight="1">
      <c r="A60" s="35" t="inlineStr">
        <is>
          <t>A</t>
        </is>
      </c>
      <c r="B60" s="32" t="inlineStr">
        <is>
          <t>データ</t>
        </is>
      </c>
      <c r="C60" s="33" t="inlineStr">
        <is>
          <t>★障がい福祉と介護保険で数を揃える3つの対象（第2号被保険者・65歳到達者・適用除外施設入所者）</t>
        </is>
      </c>
      <c r="D60" s="33" t="inlineStr">
        <is>
          <t>★10/10 起票：両計画が同じ方を別々に数えることを防ぐため、次の3つを同じ名簿で確かめたい。本村の規模では1人の移行が両計画の見込量を動かすため、率ではなく個票による突合が要る。①第2号被保険者の認定者（本計画は各年度2人から3人の見込み・5-3）のうち、障がい福祉サービスの受給者または障害支援区分の認定者と重なる方がいるか。若年性認知症の方が含まれるか（素案4-7(2)は本村の該当者の状況を把握できていないとしている）。②令和9年度から令和11年度までに65歳に達する障がい福祉サービス利用者の一覧。到達の年月、現に利用しているサービスと量、介護保険に相当するサービスの有無、受入れの可否、障がい福祉として続けるサービス、共生型サービスの利用の可否、本人の意向。障がい福祉計画は個別積上げ方式を採っており、同計画の第1層（確定・高確度案件）に「令和9〜11年度の65歳到達者」が挙がっているため、同じ一覧を用いることができる。③介護保険の適用除外となる施設の入所者。指定障害者支援施設に生活介護および施設入所支援の支給決定を受けて入所している方は介護保険の被保険者とならない。障がい福祉計画は施設入所支援の利用者を扱っているため、同一の名簿で確かめたい。該当者がいる場合、本計画の第1号被保険者数が減り、保険料の分母が動く。★個人情報の取扱い：氏名は不要である。匿名の整理番号・生年月・区分・利用しているサービス・月の利用量で足りる（doc16 §5-2）。計画書には人数のみを載せる。★当方の扱い：ご回答がない場合、第2号被保険者は現在の見込み（各年度2人から3人）を据え置き、65歳到達による移行は0として算定し、適用除外の該当者はないものとして第1号被保険者数を置く。いずれも資9と5-12にその旨を明記する。</t>
        </is>
      </c>
      <c r="E60" s="34" t="inlineStr">
        <is>
          <t>Ⅱ-72,Ⅱ-56,Ⅱ-62</t>
        </is>
      </c>
      <c r="F60" s="34" t="inlineStr">
        <is>
          <t>素案資9,素案5-1,素案5-3,障がい福祉計画素案 第5章2</t>
        </is>
      </c>
      <c r="G60" s="34" t="inlineStr">
        <is>
          <t>未依頼</t>
        </is>
      </c>
      <c r="H60" s="33" t="inlineStr"/>
    </row>
    <row r="61" ht="34" customHeight="1">
      <c r="A61" s="35" t="inlineStr">
        <is>
          <t>A</t>
        </is>
      </c>
      <c r="B61" s="32" t="inlineStr">
        <is>
          <t>データ</t>
        </is>
      </c>
      <c r="C61" s="33" t="inlineStr">
        <is>
          <t>★法が定めることを求めている2つの量が空欄である（老人福祉事業の量19事業・地域支援事業の量10事業）</t>
        </is>
      </c>
      <c r="D61" s="33" t="inlineStr">
        <is>
          <t>★10/12 起票：次の2つは、法が計画に定めることを求めている事項でありながら、令和9年度から令和11年度までの量が空欄のままである。仮定を置いて進めることができない。①老人福祉法第20条の8第2項の「確保すべき老人福祉事業の量の目標」（素案4-6）。20事業のうち19事業が空欄である（養護老人ホーム措置・軽費老人ホーム・生活支援ハウス、緊急通報システム・除雪支援・移動支援・寝具洗濯・訪問理美容・家族介護者リフレッシュ・介護用品の支給ほか村単独17事業）。確保の方策（該当施策）は記載済みである。②介護保険法第117条第2項第2号の地域支援事業の量の見込み（素案5-5）。量の表19事業のうち10事業、事業費の表12区分のうち7区分が空欄である（訪問型・通所型サービス（従前相当）、介護予防ケアマネジメント、総合相談支援、認知症初期集中支援推進事業、認知症カフェ、認知症サポーター養成講座ほか。包括的支援事業（社会保障充実分）の4つの内訳は決算の内訳が未受領のため実績も置けない）。いずれも令和5年度から令和7年度までの実績をご提供いただければ、本計画で量を立てられる。★当方の扱い：ご回答がない場合、空欄のまま計画書に載せることになる。法が定めることを求めている事項であるため、空欄のままでは計画として成り立たない。素案5-12に空欄であることと確定の条件を明記している。</t>
        </is>
      </c>
      <c r="E61" s="34" t="inlineStr">
        <is>
          <t>Ⅱ-53,Ⅱ-54,Ⅱ-110</t>
        </is>
      </c>
      <c r="F61" s="34" t="inlineStr">
        <is>
          <t>素案4-6,素案5-5,素案5-12,doc32§4-1</t>
        </is>
      </c>
      <c r="G61" s="34" t="inlineStr">
        <is>
          <t>未依頼</t>
        </is>
      </c>
      <c r="H61" s="33" t="inlineStr"/>
    </row>
    <row r="62" ht="34" customHeight="1">
      <c r="A62" s="35" t="inlineStr">
        <is>
          <t>A</t>
        </is>
      </c>
      <c r="B62" s="32" t="inlineStr">
        <is>
          <t>データ</t>
        </is>
      </c>
      <c r="C62" s="33" t="inlineStr">
        <is>
          <t>★共生型サービスの事業所の名寄せ（障がい福祉と介護保険で同一の事業所か）</t>
        </is>
      </c>
      <c r="D62" s="33" t="inlineStr">
        <is>
          <t>★10/12 起票：村内の事業所を事業所番号で突き合わせ、同一の事業所が両計画に二重に現れていないかを確かめたい。障がい福祉計画は村内に居宅介護1か所・重度訪問介護1か所・生活介護1か所（生活介護は基準該当）としており、本計画は訪問介護1か所・通所介護2か所としている（素案2-5）。社会福祉協議会が両方を担っている場合、両計画の事業所数を足すと実態の倍になる。本計画の施策3-1は「共生型サービスについて協議した事業所数 0か所→村内3か所」を指標に置いているが、すでに実質的な共生型の提供がある場合、現状値0は実態と合わない。★10/13 追記：障がい福祉計画の担当から、施策3-1の目標値「村内3か所」が何を数えたものかの照会を受けた（申し送り§4⑤）。村内の介護サービス事業所7か所のうち共生型サービスの対象となる種類を提供している訪問介護1・通所介護2の3か所を数えたものである旨を回答し、施策3-1の注記と資9に明記した。障がい福祉の3か所とは別に数えている。また同担当の調べでは、北塩原村社会福祉協議会が障がい者居宅介護・生活介護を既に実施しており生活介護は基準該当障害福祉サービスとして提供されているとの外部レビューがあるが、同担当は原典を持たず未確認としている。事実であれば協議の相手は3か所より少なくなるため、事業所番号による名寄せの結果により目標値を見直す。★当方の扱い：ご回答がない場合、施策3-1の現状値は0のまま据え置き、指標の見直しが要ることを5-12に明記する。</t>
        </is>
      </c>
      <c r="E62" s="34" t="inlineStr">
        <is>
          <t>Ⅱ-72,Ⅱ-54</t>
        </is>
      </c>
      <c r="F62" s="34" t="inlineStr">
        <is>
          <t>素案 施策3-1,素案2-5,障がい福祉計画の整合Ｋ-5</t>
        </is>
      </c>
      <c r="G62" s="34" t="inlineStr">
        <is>
          <t>未依頼</t>
        </is>
      </c>
      <c r="H62" s="33" t="inlineStr"/>
    </row>
    <row r="63" ht="34" customHeight="1">
      <c r="A63" s="35" t="inlineStr">
        <is>
          <t>A</t>
        </is>
      </c>
      <c r="B63" s="32" t="inlineStr">
        <is>
          <t>データ</t>
        </is>
      </c>
      <c r="C63" s="33" t="inlineStr">
        <is>
          <t>★本村の介護報酬の地域区分（級地）と、令和9年度の改定における見直しの有無</t>
        </is>
      </c>
      <c r="D63" s="33" t="inlineStr">
        <is>
          <t>介護報酬の1単位あたりの単価は地域区分（級地）により定められている。本計画の単価は本村の給付費の実績から算出しているため現行の地域区分が織り込まれているが、級地そのものを素案に書いていなかったため、見直しがあったときにどこが動くかを追えなかった。次の2点をご教示いただきたい。①本村に適用されている地域区分（級地）と、その根拠となる告示。②令和9年度の介護報酬改定において地域区分の見直しが本村に及ぶかの県からの情報。★10/14 起票：令和9年度改定に向けた検討の論点を整理したところ、地域区分が素案に0件であることが分かった。地域区分は国家公務員の地域手当に準拠して定めることを原則としており、社会保障審議会介護給付費分科会で見直しの論点に挙げられている。級地が変わると、単価の趨勢（5-4(10)の年1.30%）や改定率とは別に単価が動く。素案5-4(10)に地域区分が単価の前提であることを書き、5-12に確定の条件を掲げた。★当方の扱い：ご回答がない場合、現行の地域区分が給付費の実績に織り込まれている前提のまま算定し、5-12に確定の条件として掲げてお示しする。</t>
        </is>
      </c>
      <c r="E63" s="34" t="inlineStr">
        <is>
          <t>Ⅱ-113,Ⅱ-63</t>
        </is>
      </c>
      <c r="F63" s="34" t="inlineStr">
        <is>
          <t>素案5-4(10),5-12,5-7</t>
        </is>
      </c>
      <c r="G63" s="34" t="inlineStr">
        <is>
          <t>未依頼</t>
        </is>
      </c>
      <c r="H63" s="33" t="inlineStr"/>
    </row>
    <row r="64" ht="34" customHeight="1">
      <c r="A64" s="35" t="inlineStr">
        <is>
          <t>A</t>
        </is>
      </c>
      <c r="B64" s="32" t="inlineStr">
        <is>
          <t>体制</t>
        </is>
      </c>
      <c r="C64" s="33" t="inlineStr">
        <is>
          <t>契約締結日・契約書の取り交わし状況</t>
        </is>
      </c>
      <c r="D64" s="33" t="inlineStr">
        <is>
          <t>業務開始日の確定。</t>
        </is>
      </c>
      <c r="E64" s="34" t="inlineStr">
        <is>
          <t>０-02</t>
        </is>
      </c>
      <c r="F64" s="34" t="inlineStr">
        <is>
          <t>―</t>
        </is>
      </c>
      <c r="G64" s="34" t="inlineStr">
        <is>
          <t>未依頼</t>
        </is>
      </c>
      <c r="H64" s="33" t="inlineStr"/>
    </row>
    <row r="65" ht="34" customHeight="1">
      <c r="A65" s="35" t="inlineStr">
        <is>
          <t>A</t>
        </is>
      </c>
      <c r="B65" s="32" t="inlineStr">
        <is>
          <t>体制</t>
        </is>
      </c>
      <c r="C65" s="33" t="inlineStr">
        <is>
          <t>★従事者名簿・誓約書・持出簿・廃棄記録簿の様式と、誓約書に書く条例の名称</t>
        </is>
      </c>
      <c r="D65" s="33" t="inlineStr">
        <is>
          <t>★10/9 起票：個人情報取扱管理ルール（doc16）§3・§4が求めている4つの様式を作成した（doc74）。次の3点をご確認いただきたい。①村指定の様式があるか。あればそれに従う（doc16 §10-2）。②誓約書に書く条例の名称と条番号。当方は「北塩原村個人情報保護条例」と置いているが、令和5年4月の個人情報保護法の改正により地方公共団体の条例が整理されているため、現に効力を有する名称を確かめたい。確認前に取得する場合は「個人情報の保護に関する法律及び北塩原村の定める規程」として取得し、確定後に差し替える。③従事者研修（doc16 §9 #4）で扱うべき村条例の内容。★調査票の回収期限は令和8年10月16日（金）である。回収が始まると調査票の原本と管理番号対応表を取り扱うため、その前に従事者を確定し誓約書を取得する必要がある。様式そのものは当方で用意できたため、村にお願いするのは上記3点である。</t>
        </is>
      </c>
      <c r="E65" s="34" t="inlineStr">
        <is>
          <t>Ⅴ-97,０-02</t>
        </is>
      </c>
      <c r="F65" s="34" t="inlineStr">
        <is>
          <t>doc74</t>
        </is>
      </c>
      <c r="G65" s="34" t="inlineStr">
        <is>
          <t>未依頼</t>
        </is>
      </c>
      <c r="H65" s="33" t="inlineStr"/>
    </row>
    <row r="66" ht="34" customHeight="1">
      <c r="A66" s="35" t="inlineStr">
        <is>
          <t>A</t>
        </is>
      </c>
      <c r="B66" s="32" t="inlineStr">
        <is>
          <t>体制</t>
        </is>
      </c>
      <c r="C66" s="33" t="inlineStr">
        <is>
          <t>★見える化システムのアカウント（障がい福祉計画分の継続利用可否）と秘密保持契約の要否</t>
        </is>
      </c>
      <c r="D66" s="33" t="inlineStr">
        <is>
          <t>★すでに19,591レコードを受領して分析に着手している。遡って手続きが必要な場合はその整理も要する。</t>
        </is>
      </c>
      <c r="E66" s="34" t="inlineStr">
        <is>
          <t>０-06</t>
        </is>
      </c>
      <c r="F66" s="34" t="inlineStr">
        <is>
          <t>doc19 追-12</t>
        </is>
      </c>
      <c r="G66" s="34" t="inlineStr">
        <is>
          <t>未依頼</t>
        </is>
      </c>
      <c r="H66" s="33" t="inlineStr"/>
    </row>
    <row r="67" ht="34" customHeight="1">
      <c r="A67" s="35" t="inlineStr">
        <is>
          <t>A</t>
        </is>
      </c>
      <c r="B67" s="32" t="inlineStr">
        <is>
          <t>体制</t>
        </is>
      </c>
      <c r="C67" s="33" t="inlineStr">
        <is>
          <t>★調査票の受渡し記録の様式（村が100件程度ごとに随時送付する運用に対応）</t>
        </is>
      </c>
      <c r="D67" s="33" t="inlineStr">
        <is>
          <t>★個人情報を含む調査票の授受が複数回に分かれるため、日付・数量・受渡者・受領者の記録が必要。doc16に追記する。</t>
        </is>
      </c>
      <c r="E67" s="34" t="inlineStr">
        <is>
          <t>Ⅰ-94</t>
        </is>
      </c>
      <c r="F67" s="34" t="inlineStr">
        <is>
          <t>doc22 K-78</t>
        </is>
      </c>
      <c r="G67" s="34" t="inlineStr">
        <is>
          <t>未依頼</t>
        </is>
      </c>
      <c r="H67" s="33" t="inlineStr"/>
    </row>
    <row r="68" ht="34" customHeight="1">
      <c r="A68" s="35" t="inlineStr">
        <is>
          <t>A</t>
        </is>
      </c>
      <c r="B68" s="32" t="inlineStr">
        <is>
          <t>体制</t>
        </is>
      </c>
      <c r="C68" s="33" t="inlineStr">
        <is>
          <t>自由記述の匿名化の方針（削除・置換の範囲）</t>
        </is>
      </c>
      <c r="D68" s="33" t="inlineStr">
        <is>
          <t>★人口2,300人規模では記述内容から個人が推定され得る。固有名詞・事業所名・具体的な住所の扱いを決め、doc16の個人情報取扱管理ルールに追記する。★9/25：案Bの採用により自由記述の全文を電子媒体に収録することとなったため、匿名化の対象は紙の「分類と主要意見」（資料2）と電子媒体の全文の双方に及ぶ。電子媒体に回しても匿名化は免除されない。</t>
        </is>
      </c>
      <c r="E68" s="34" t="inlineStr">
        <is>
          <t>Ⅰ-44</t>
        </is>
      </c>
      <c r="F68" s="34" t="inlineStr">
        <is>
          <t>doc24§12 K-89</t>
        </is>
      </c>
      <c r="G68" s="34" t="inlineStr">
        <is>
          <t>未依頼</t>
        </is>
      </c>
      <c r="H68" s="33" t="inlineStr"/>
    </row>
    <row r="69" ht="34" customHeight="1">
      <c r="A69" s="35" t="inlineStr">
        <is>
          <t>A</t>
        </is>
      </c>
      <c r="B69" s="32" t="inlineStr">
        <is>
          <t>体制</t>
        </is>
      </c>
      <c r="C69" s="33" t="inlineStr">
        <is>
          <t>第2回策定委員会の資料の事前送付の可否と時期</t>
        </is>
      </c>
      <c r="D69" s="33" t="inlineStr">
        <is>
          <t>素案（完成度7割・約90頁）は別冊として事前送付する前提で資料を設計している。</t>
        </is>
      </c>
      <c r="E69" s="34" t="inlineStr">
        <is>
          <t>Ⅱ-83</t>
        </is>
      </c>
      <c r="F69" s="34" t="inlineStr">
        <is>
          <t>doc26§10 K-97</t>
        </is>
      </c>
      <c r="G69" s="34" t="inlineStr">
        <is>
          <t>未依頼</t>
        </is>
      </c>
      <c r="H69" s="33" t="inlineStr"/>
    </row>
    <row r="70" ht="34" customHeight="1">
      <c r="A70" s="35" t="inlineStr">
        <is>
          <t>A</t>
        </is>
      </c>
      <c r="B70" s="32" t="inlineStr">
        <is>
          <t>体制</t>
        </is>
      </c>
      <c r="C70" s="33" t="inlineStr">
        <is>
          <t>★見える化の「将来推計」メニューで在宅サービス利用率の分母を確認する</t>
        </is>
      </c>
      <c r="D70" s="33" t="inlineStr">
        <is>
          <t>★★見込量が数割変わる論点（要介護1で58.8%→86.1%、要介護2で107.7%と100%超）。★10/5：【当方では確かめられないことが分かった。】 受領した見える化の出力738冊に将来推計メニューの出力が含まれていない（A〜W・δ系列のみ）。当方はシステムに接続しておらずファイルの提供を受けて作業しているため、設定画面を開くことができない。将来推計メニューの出力をご提供いただくか、国の推計ワークシート（推計ワークシートの入手）の受領を待つ。ワークシートが求める分母は別に起票しており、そちらが確定すれば本件も決まる。★10/10：【当方でできることは尽きた。解決済とする。】 10/7に受領した将来推計総括表を調べたが、総括表に記されているのは「在宅サービス受給率＝在宅サービス利用者数÷第1号被保険者数」というグラフ用の受給率の定義のみで、推計に用いる利用率の分母は書かれていない。総括表から利用者数を復元して4つの分母の候補で利用率を出しても、推計がサービス別・要介護度別に行われているため合算の利用率は要介護度の構成で動き、分母を特定できない（doc85）。残るのは推計ワークシート本体の受領であり、確認事項「国の推計ワークシートが求める在宅サービス利用率の分母」（優先度A）が引き継ぐ。</t>
        </is>
      </c>
      <c r="E70" s="34" t="inlineStr">
        <is>
          <t>Ⅱ-56</t>
        </is>
      </c>
      <c r="F70" s="34" t="inlineStr">
        <is>
          <t>doc38§C-1,doc85</t>
        </is>
      </c>
      <c r="G70" s="34" t="inlineStr">
        <is>
          <t>解決済</t>
        </is>
      </c>
      <c r="H70" s="33" t="inlineStr"/>
    </row>
    <row r="71" ht="34" customHeight="1">
      <c r="A71" s="35" t="inlineStr">
        <is>
          <t>A</t>
        </is>
      </c>
      <c r="B71" s="32" t="inlineStr">
        <is>
          <t>体制</t>
        </is>
      </c>
      <c r="C71" s="33" t="inlineStr">
        <is>
          <t>★【社内】校了版（令和8年9月9日）の調査票Wordの提供（コードブックの作り直しに必要）</t>
        </is>
      </c>
      <c r="D71" s="33" t="inlineStr">
        <is>
          <t>★10/10 起票：発送が完了し集計分析に着手したため、入力データの論理チェックを作った（doc25 §7）。論理チェックは設問の番号・選択肢・分岐をコードブック（data/集計_コードブック.json）から引くが、現在のコードブックは令和8年9月4日版の調査票から作られている。実際に配られたのは9月9日の校了版である。版が違うと、鳴るべきものが鳴らず、鳴らなくてよいものが鳴る。具体的には①在宅調査の設問番号が全体に＋1（問0→問1）、②在宅 問10（旧問9）のサービスが12→9で記号もA〜I、③在宅 問8（旧問7・傷病）に「15.なし」「16.わからない」が追加、④ニーズ 問4(15) の削除、⑤ニーズ 問7(5)(8)(10) の選択肢の順序の入れ替えである（doc34 §4）。このため shukei_check.py は版を確かめ、食い違っていれば止まる仕組みとした（--暫定 で続行可）。★あわせて、9月4日版から作ったコードブックには読み取りの不備が7件残っている。C01 ZB_問8 が2回定義されている／C02 ニーズ問3(10)・在宅A問5・問8・問14・在宅B問7 の選択肢が拾えていない／C03 ニーズ問7(10) の列が13で選択肢が12。いずれも作り直しで同時に解消する。★お願いしたいのは、校了版の調査票Word（ニーズ・在宅の2点）の提供のみである。調査票は他メンバーの担当であり、当方では作成しない。受領後、当方でコードブックを作り直し（scripts/shukei_codebook.py の BUILT_FROM を校了版に改める）、派生変数 S01・S02 の参照設問も校了版の番号に直す。所要は半日である。★入力が始まってからでは、鳴らなかった件が「誤りがない」のか「版違いで鳴らなかった」のか区別できなくなる。入力の開始前に作り直すのが望ましい。</t>
        </is>
      </c>
      <c r="E71" s="34" t="inlineStr">
        <is>
          <t>Ⅰ-104,Ⅰ-35,Ⅰ-36</t>
        </is>
      </c>
      <c r="F71" s="34" t="inlineStr">
        <is>
          <t>doc25§7,doc34§4</t>
        </is>
      </c>
      <c r="G71" s="34" t="inlineStr">
        <is>
          <t>未依頼</t>
        </is>
      </c>
      <c r="H71" s="33" t="inlineStr"/>
    </row>
    <row r="72" ht="34" customHeight="1">
      <c r="A72" s="35" t="inlineStr">
        <is>
          <t>A</t>
        </is>
      </c>
      <c r="B72" s="32" t="inlineStr">
        <is>
          <t>分析</t>
        </is>
      </c>
      <c r="C72" s="33" t="inlineStr">
        <is>
          <t>在宅介護実態調査の集計設計（要介護度3区分×介護者勤務形態3区分のセル数）</t>
        </is>
      </c>
      <c r="D72" s="33" t="inlineStr">
        <is>
          <t>★対象が118人（仕様書の想定150人）であることは村の了解を得て決着。残るのは集計設計の判断で、回収は70〜80件程度の見込み。要介護度3区分×介護者勤務形態3区分のクロス（X-16・X-17）は9セルで1セル平均8件前後になる。要介護度を2区分に束ねるか、比率を付さず実数で示すかを当方で決める。</t>
        </is>
      </c>
      <c r="E72" s="34" t="inlineStr">
        <is>
          <t>Ⅰ-45</t>
        </is>
      </c>
      <c r="F72" s="34" t="inlineStr">
        <is>
          <t>doc34§5-2</t>
        </is>
      </c>
      <c r="G72" s="34" t="inlineStr">
        <is>
          <t>未依頼</t>
        </is>
      </c>
      <c r="H72" s="33" t="inlineStr"/>
    </row>
    <row r="73" ht="34" customHeight="1">
      <c r="A73" s="35" t="inlineStr">
        <is>
          <t>A</t>
        </is>
      </c>
      <c r="B73" s="32" t="inlineStr">
        <is>
          <t>分析</t>
        </is>
      </c>
      <c r="C73" s="33" t="inlineStr">
        <is>
          <t>ICF分析は標準設問のみで完結することの確認</t>
        </is>
      </c>
      <c r="D73" s="33" t="inlineStr">
        <is>
          <t>★ICFの5領域（健康状態・心身機能・活動・参加・環境因子）はすべて標準の必須＋オプション項目で埋まる。分析のための独自設問の追加は不要。推奨対応は問7(7)の採用の1件のみ。</t>
        </is>
      </c>
      <c r="E73" s="34" t="inlineStr">
        <is>
          <t>Ⅰ-95</t>
        </is>
      </c>
      <c r="F73" s="34" t="inlineStr">
        <is>
          <t>doc23§3-4</t>
        </is>
      </c>
      <c r="G73" s="34" t="inlineStr">
        <is>
          <t>未依頼</t>
        </is>
      </c>
      <c r="H73" s="33" t="inlineStr"/>
    </row>
    <row r="74" ht="34" customHeight="1">
      <c r="A74" s="35" t="inlineStr">
        <is>
          <t>A</t>
        </is>
      </c>
      <c r="B74" s="32" t="inlineStr">
        <is>
          <t>分析</t>
        </is>
      </c>
      <c r="C74" s="33" t="inlineStr">
        <is>
          <t>★時系列比較（第8期・第9期との対比）の対象とする設問の範囲</t>
        </is>
      </c>
      <c r="D74" s="33" t="inlineStr">
        <is>
          <t>★令和4年8月版と令和7年8月版で設問文・選択肢が変わった設問は単純比較できない。doc05の逐条突合に基づき比較可能な設問のみを対象とするが、どこまで遡るかは村の判断。</t>
        </is>
      </c>
      <c r="E74" s="34" t="inlineStr">
        <is>
          <t>Ⅰ-42</t>
        </is>
      </c>
      <c r="F74" s="34" t="inlineStr">
        <is>
          <t>doc24§12 K-86</t>
        </is>
      </c>
      <c r="G74" s="34" t="inlineStr">
        <is>
          <t>未依頼</t>
        </is>
      </c>
      <c r="H74" s="33" t="inlineStr"/>
    </row>
    <row r="75" ht="34" customHeight="1">
      <c r="A75" s="35" t="inlineStr">
        <is>
          <t>A</t>
        </is>
      </c>
      <c r="B75" s="32" t="inlineStr">
        <is>
          <t>分析</t>
        </is>
      </c>
      <c r="C75" s="33" t="inlineStr">
        <is>
          <t>★リスク判定10種の該当基準（見える化システムの算出方法との突合）</t>
        </is>
      </c>
      <c r="D75" s="33" t="inlineStr">
        <is>
          <t>★手引きに該当基準の明記があるのはBMI 18.5以下のみ。他9種は基本チェックリストに準じた案を置いているが、独自基準では全国・県と比較できない。手引きは算出方法が将来更新され得るとも記載しており、第9期の基準の流用も不可。</t>
        </is>
      </c>
      <c r="E75" s="34" t="inlineStr">
        <is>
          <t>Ⅰ-46</t>
        </is>
      </c>
      <c r="F75" s="34" t="inlineStr">
        <is>
          <t>doc25§4-2 K-91</t>
        </is>
      </c>
      <c r="G75" s="34" t="inlineStr">
        <is>
          <t>未依頼</t>
        </is>
      </c>
      <c r="H75" s="33" t="inlineStr"/>
    </row>
    <row r="76" ht="34" customHeight="1">
      <c r="A76" s="35" t="inlineStr">
        <is>
          <t>A</t>
        </is>
      </c>
      <c r="B76" s="32" t="inlineStr">
        <is>
          <t>判断</t>
        </is>
      </c>
      <c r="C76" s="33" t="inlineStr">
        <is>
          <t>保険料の所得段階を区分する合計所得金額の基準額（82.65万円）に係る条例改正の予定</t>
        </is>
      </c>
      <c r="D76" s="33" t="inlineStr">
        <is>
          <t>5-7の所得段階の設定。政令改正済みで第1段階から第3段階の区分に用いる額が変わるため、村の条例改正の手続と時期を確認する。</t>
        </is>
      </c>
      <c r="E76" s="34" t="inlineStr">
        <is>
          <t>Ⅱ-63</t>
        </is>
      </c>
      <c r="F76" s="34" t="inlineStr">
        <is>
          <t>doc49§2-2</t>
        </is>
      </c>
      <c r="G76" s="34" t="inlineStr">
        <is>
          <t>未依頼</t>
        </is>
      </c>
      <c r="H76" s="33" t="inlineStr"/>
    </row>
    <row r="77" ht="34" customHeight="1">
      <c r="A77" s="35" t="inlineStr">
        <is>
          <t>A</t>
        </is>
      </c>
      <c r="B77" s="32" t="inlineStr">
        <is>
          <t>判断</t>
        </is>
      </c>
      <c r="C77" s="33" t="inlineStr">
        <is>
          <t>算定上の保険料月額を条例上の基準額に置き換える方法（第9期の扱い）</t>
        </is>
      </c>
      <c r="D77" s="33" t="inlineStr">
        <is>
          <t>5-7。第9期の条例基準額6,700円が算定上の月額からどのように定められたかを確認し、第10期も同じ扱いとする。</t>
        </is>
      </c>
      <c r="E77" s="34" t="inlineStr">
        <is>
          <t>Ⅱ-63</t>
        </is>
      </c>
      <c r="F77" s="34" t="inlineStr">
        <is>
          <t>doc49§2-2</t>
        </is>
      </c>
      <c r="G77" s="34" t="inlineStr">
        <is>
          <t>未依頼</t>
        </is>
      </c>
      <c r="H77" s="33" t="inlineStr"/>
    </row>
    <row r="78" ht="34" customHeight="1">
      <c r="A78" s="35" t="inlineStr">
        <is>
          <t>A</t>
        </is>
      </c>
      <c r="B78" s="32" t="inlineStr">
        <is>
          <t>取組</t>
        </is>
      </c>
      <c r="C78" s="33" t="inlineStr">
        <is>
          <t>難聴高齢者の早期発見・早期介入の取組の実施可否（普及啓発・早期発見）</t>
        </is>
      </c>
      <c r="D78" s="33" t="inlineStr">
        <is>
          <t>★合わせて10点（全国68.9%・48.8%、県内48位・46位）。★9/25：素案の施策4-4に3つの取組（広報・健診案内・通いの場での周知／健診と通いの場での聞こえの確認／耳鼻咽喉科への受診勧奨と受診状況の把握）として反映し、指標表を普及啓発5点・早期発見5点・受診状況10点に分けた。実施の可否と現在の取組状況をご教示いただきたい。受診状況の把握と受診率50%以上は全国でも14.6%・4.8%と取得が少ないため第10期中の検討事項としている。</t>
        </is>
      </c>
      <c r="E78" s="34" t="inlineStr">
        <is>
          <t>Ⅱ-67,Ⅱ-65</t>
        </is>
      </c>
      <c r="F78" s="34" t="inlineStr">
        <is>
          <t>doc42§3</t>
        </is>
      </c>
      <c r="G78" s="34" t="inlineStr">
        <is>
          <t>未依頼</t>
        </is>
      </c>
      <c r="H78" s="33" t="inlineStr"/>
    </row>
    <row r="79" ht="34" customHeight="1">
      <c r="A79" s="35" t="inlineStr">
        <is>
          <t>A</t>
        </is>
      </c>
      <c r="B79" s="32" t="inlineStr">
        <is>
          <t>取組</t>
        </is>
      </c>
      <c r="C79" s="33" t="inlineStr">
        <is>
          <t>成年後見制度利用支援事業の要綱の対象範囲（市町村長申立・生活保護受給者への限定を外す改正の可否）</t>
        </is>
      </c>
      <c r="D79" s="33" t="inlineStr">
        <is>
          <t>★4点（全国78.1%・県内46位）。申立費用助成・報酬助成はいずれも整備済（doc28§3）であり、対象の限定を外す要綱改正のみで取得できる。新たな予算を要しない。★9/25：素案の施策4-7に取組として反映し、指標表に1行を追加した。現在の要綱が対象を市町村長申立てや生活保護受給者に限定しているかをご確認いただき、改正の可否をご判断いただきたい。</t>
        </is>
      </c>
      <c r="E79" s="34" t="inlineStr">
        <is>
          <t>Ⅱ-69,Ⅱ-67</t>
        </is>
      </c>
      <c r="F79" s="34" t="inlineStr">
        <is>
          <t>doc42§3-3</t>
        </is>
      </c>
      <c r="G79" s="34" t="inlineStr">
        <is>
          <t>未依頼</t>
        </is>
      </c>
      <c r="H79" s="33" t="inlineStr"/>
    </row>
    <row r="80" ht="34" customHeight="1">
      <c r="A80" s="35" t="inlineStr">
        <is>
          <t>A</t>
        </is>
      </c>
      <c r="B80" s="32" t="inlineStr">
        <is>
          <t>取組</t>
        </is>
      </c>
      <c r="C80" s="33" t="inlineStr">
        <is>
          <t>計画の進捗管理（目標Ⅰの3項目）が令和7年度0点から令和8年度48点満点になった根拠</t>
        </is>
      </c>
      <c r="D80" s="33" t="inlineStr">
        <is>
          <t>★事業計画の進捗状況・施策の実施状況の把握・改善・評価結果の活用がいずれも満点となり全項目で全国平均を上回った。一方、第9期計画の本体には評価の方法・時期・報告先がなく、計画値と実績値の乖離は本業務で初めて整理した。何をもって該当としたのかを確認し、第10期の第6章に引き継ぐ。</t>
        </is>
      </c>
      <c r="E80" s="34" t="inlineStr">
        <is>
          <t>Ⅱ-70,Ⅱ-71</t>
        </is>
      </c>
      <c r="F80" s="34" t="inlineStr">
        <is>
          <t>doc35§7-2(3)</t>
        </is>
      </c>
      <c r="G80" s="34" t="inlineStr">
        <is>
          <t>未依頼</t>
        </is>
      </c>
      <c r="H80" s="33" t="inlineStr"/>
    </row>
    <row r="81" ht="34" customHeight="1">
      <c r="A81" s="35" t="inlineStr">
        <is>
          <t>A</t>
        </is>
      </c>
      <c r="B81" s="32" t="inlineStr">
        <is>
          <t>委員会</t>
        </is>
      </c>
      <c r="C81" s="33" t="inlineStr">
        <is>
          <t>策定委員会の委員改選手続きの所要期間と第1回開催希望時期・開催形式</t>
        </is>
      </c>
      <c r="D81" s="33" t="inlineStr">
        <is>
          <t>★現委員の任期は令和8年9月30日満了。第1回を11月に開くには10月中の委嘱が必要。</t>
        </is>
      </c>
      <c r="E81" s="34" t="inlineStr">
        <is>
          <t>Ⅱ-80,Ⅱ-81</t>
        </is>
      </c>
      <c r="F81" s="34" t="inlineStr">
        <is>
          <t>doc01-6,doc19 追-15</t>
        </is>
      </c>
      <c r="G81" s="34" t="inlineStr">
        <is>
          <t>未依頼</t>
        </is>
      </c>
      <c r="H81" s="33" t="inlineStr"/>
    </row>
    <row r="82" ht="34" customHeight="1">
      <c r="A82" s="35" t="inlineStr">
        <is>
          <t>A</t>
        </is>
      </c>
      <c r="B82" s="32" t="inlineStr">
        <is>
          <t>成果品</t>
        </is>
      </c>
      <c r="C82" s="33" t="inlineStr">
        <is>
          <t>パブリックコメント（30日間）の実施時期・実施主体と庁内手続き日程</t>
        </is>
      </c>
      <c r="D82" s="33" t="inlineStr">
        <is>
          <t>★30日間必要。第2回策定委員会が1月にずれると第3回（2月）までに終わらず工程が破綻する。年末年始も挟む。</t>
        </is>
      </c>
      <c r="E82" s="34" t="inlineStr">
        <is>
          <t>Ⅱ-76,Ⅱ-77</t>
        </is>
      </c>
      <c r="F82" s="34" t="inlineStr">
        <is>
          <t>doc01-7,doc19 指-3</t>
        </is>
      </c>
      <c r="G82" s="34" t="inlineStr">
        <is>
          <t>未依頼</t>
        </is>
      </c>
      <c r="H82" s="33" t="inlineStr"/>
    </row>
    <row r="83" ht="34" customHeight="1">
      <c r="A83" s="35" t="inlineStr">
        <is>
          <t>A</t>
        </is>
      </c>
      <c r="B83" s="32" t="inlineStr">
        <is>
          <t>成果品</t>
        </is>
      </c>
      <c r="C83" s="33" t="inlineStr">
        <is>
          <t>★概要版（A3両面程度）が仕様の範囲内か追加対応か</t>
        </is>
      </c>
      <c r="D83" s="33" t="inlineStr">
        <is>
          <t>★議事録で作成が合意（理念・体系図・推移データ）。第9期はA4 2ページ。仕様書に記載がなく成果品一覧にもない。★10/10：同じ問いを3件に分けて起票していたため本項目に集約した（「概要版の要否」優先度Cと「概要版の位置づけ」優先度Bを取り消した）。★10/10：骨子を作った（doc82）。第9期概要版の構成（表面＝基本的な考え方・基本理念・基本目標・数値、裏面＝施策体系図）を踏襲し、A3両面に25の要素を割り付けた。要素ごとに素案のどの節・どの図から引くかを決めており、面積の積み上げでは表面73パーセント・裏面76パーセントで収まる見込みである。★骨子の段階で村のご判断を要するのは次の5点である。・仕様の範囲内か追加対応か（本項目の本来の問い）。・基本理念を第9期から継承するか（素案3-1も村との協議事項としている）。・配布の範囲と部数。議会全員協議会で用いる想定だが、村民への配布を行うかが未定である。・所管課と問い合わせ先の表記。氏名・直通番号は載せない（doc16 §5-3）。・施策体系図を概要版のために横長に作り直すか。計画書の図3-1はA4に合わせた縦長であり、A3の幅を活かせない。縦長のまま幅を広げると裏面の高さの74パーセントを占めて他が入らないため、骨子では幅125mmに縮めている。★作成の時期について。概要版には保険料の基準額を載せるため、基金の取崩しの3案のうちいずれを採るかが決まってからでないと作れない。議会全員協議会（令和9年2月末頃）の時点では条例案が定まっている必要がある。第3回策定委員会（令和9年1月下旬〜2月上旬）のご決定を受けて作成する工程となる。★当方の扱い：ご回答がない場合も骨子は固めておき、保険料の欄を枠のまま残す。</t>
        </is>
      </c>
      <c r="E83" s="34" t="inlineStr">
        <is>
          <t>Ⅳ-92</t>
        </is>
      </c>
      <c r="F83" s="34" t="inlineStr">
        <is>
          <t>doc22 K-79,doc82</t>
        </is>
      </c>
      <c r="G83" s="34" t="inlineStr">
        <is>
          <t>未依頼</t>
        </is>
      </c>
      <c r="H83" s="33" t="inlineStr"/>
    </row>
    <row r="84" ht="34" customHeight="1">
      <c r="A84" s="35" t="inlineStr">
        <is>
          <t>A</t>
        </is>
      </c>
      <c r="B84" s="32" t="inlineStr">
        <is>
          <t>成果品</t>
        </is>
      </c>
      <c r="C84" s="33" t="inlineStr">
        <is>
          <t>★計画書の分量を仕様書の目安100頁に収めるための削減案（A〜M）の採否</t>
        </is>
      </c>
      <c r="D84" s="33" t="inlineStr">
        <is>
          <t>★計画書は本文123頁＋前付4頁＝127頁で、仕様書5①の目安100頁を27頁上回る（10/14に実測）。第5章が第9期の12頁から36頁へ増えたことによる。増えたのは当方が算定の過程を示すために加えた「方法」「検証」「不確かさ」の記述であり、介護保険法第117条第2項が求める事項ではない。6つの案（A 算定の方法の説明／B 推計の不確かさ／C 見込量の自己点検／D 施策の見込量への反映／E 保険料の算定の構造と感応度／F 交付金の指標群の明細）をすべて行うと9頁減る。移し先は計画書とは別に渡す「算定の根拠」の綴りを想定している。★10/9：案を総当たりで試算した。案G（用語の解説の絞り込み。本文に一度も現れない8語を落とす）は0頁で、頁のためには行う意味がない。一方、10月6日に加えた図2点（2-5 医療と介護の連携の加算、5-8 給付適正化の取組別得点）を資料編に移すと2頁減る（案H）。★10/8：レビューの指摘により、第136回社会保障審議会介護保険部会（令和8年9月18日）の資料にもとづく記載を5か所に加えたため、本文が110頁から115頁へ5頁増えた（1-8の5 引き続き検討することとされた9事項／5-8(5) 帳票を活用した点検の充実と新たな点検手法／6-4⑦ 外れ値と点検の実施率の管理指標／2-5 介護経営DBの制度の概要／5-12(2) 据え置いた項目8件の追加。ただし5-12は計画書の頁数に算入していない）。あわせて削減案を2つ加えた。案J（1-8の3・1-8の5を資料編へ移す。2頁）と案K（2-5の介護経営DBの制度の概要を資料編へ移す。1頁）である。★10/9：5-7に基金の取崩しの3案（国の算定ベース）を加えたため本文が1頁増え116頁になった。あわせて案L（5-7の12パターン（当方の算定ベース）を別冊へ移す。1頁）を加えた。節の中に前提の異なる2つの案の組（国の算定ベースの3案と、当方の算定ベースの12のパターン）が並んでいるためである。これ以上は介護保険法第117条第2項が求める事項か前付（表紙・本書の見方・目次の4頁）に手を入れることになるため、当方からは勧めない。★10/10：村より「10頁程度の超過は許容する」とのご判断をいただいた。★10/10：障がい福祉計画との整合のため1-4・施策3-1・施策4-1・資9を加え、本文が116頁から118頁になった（計画間の整合は双方に無い状態であり、法定記載事項ではないが第2回策定委員会の前に要る。doc81）。到達できる最小はA〜Lの109頁となり、村が許容する110頁に対する余裕は3頁から1頁に減った。これ以上の加筆は、削減案の組み合わせでは許容に収まらなくなる。★10/10：docx を PDF に変換して紙面を実測した（doc83・doc84）。推定は送りによる空白を小さく見るため0〜3頁少なく出ることが分かったので、以下の頁数は組み合わせごとに実際に組んで数えた値である。何も行わない場合は124頁（本文120頁＋前付4頁）。A〜Eのみ118頁、＋F・Hで115頁、＋Jで112頁、A〜Lをすべて行うと110頁で許容ちょうどである。あわせて案M（資8 図表番号一覧を図表データ管理台帳へ移す。同じ内容を納品する電子媒体 04_図表データ の11_図表データ管理台帳.xlsx として別に納めており重複している）を加えた。A〜Mをすべて行うと109頁となり、許容110頁に1頁の余裕が生じる。なお游ゴシックが当方の環境に無く IPAゴシックで組んだ紙面であるため、村のWordでは±1〜2頁動き得る。110頁ちょうどの組み合わせ（A〜L）は余裕がないため、案Mまで行うことを当方からは勧めたい。案Mを行う場合は資9（関連計画との対照）を資8に繰り上げる。許容の範囲（110頁）に収めるには案A〜Mのうちいくつかを行う必要がある。どの案を行うかは村のご判断をいただきたい。案Hについては、2図とも資料編に移しても交付金の評価の裏づけとしては足りる。どれを削るかは村の判断であり、残す場合は目安を超えることのご了解をいただきたい。法定記載事項は削る候補にしていない（doc59）。★10/14：令和9年度改定の論点を反映して5-4・5-12・施策3-1・施策4-1・施策4-6・1-8に書き足したため、測り直した。推定はどの組み合わせでも動かなかったが、実測は6つとも1〜2頁増えていた（頁の境目は寡婦行の処理により推定と実測で違う）。何も行わない場合は127頁、A〜Eのみ119頁、＋F・Hで116頁、＋Jで113頁、A〜Lで111頁、A〜Mをすべて行って110頁である。許容110頁ちょうどとなり、余裕は1頁から0頁になった。これ以上の加筆は、削減案を1つ増やすか許容頁数のご判断をいただかないと収まらない。測った時点の素案の内容のハッシュを記録し、素案が変われば測り直す形に改めた。</t>
        </is>
      </c>
      <c r="E84" s="34" t="inlineStr">
        <is>
          <t>Ⅱ-113,Ⅱ-75</t>
        </is>
      </c>
      <c r="F84" s="34" t="inlineStr">
        <is>
          <t>doc59</t>
        </is>
      </c>
      <c r="G84" s="34" t="inlineStr">
        <is>
          <t>未依頼</t>
        </is>
      </c>
      <c r="H84" s="33" t="inlineStr"/>
    </row>
    <row r="85" ht="34" customHeight="1">
      <c r="A85" s="35" t="inlineStr">
        <is>
          <t>A</t>
        </is>
      </c>
      <c r="B85" s="32" t="inlineStr">
        <is>
          <t>方針</t>
        </is>
      </c>
      <c r="C85" s="33" t="inlineStr">
        <is>
          <t>★特定地域居宅サービス等事業・介護情報利活用事業が0で入っていることの扱い</t>
        </is>
      </c>
      <c r="D85" s="33" t="inlineStr">
        <is>
          <t>★村の申し送りは「新サービスとなる特定地域居宅サービス等事業なども検討できていないため、ゼロ」としている。特定地域居宅サービス等事業は令和8年法律第51号により令和9年4月1日に創設され、本村は中山間・人口減少地域の指定基準に該当する見込みである（28サービスのうち12種類に実績がない本村への対応手段になる）。介護情報利活用事業も地域支援事業の新設項目である。第10期の計画期間中に取り組む意向があるかによって、素案5-5・施策3-1の書きぶりと地域支援事業費の見込みが変わる。中山間・人口減少地域の指定の意向（別項目）と一体でご判断いただきたい。</t>
        </is>
      </c>
      <c r="E85" s="34" t="inlineStr">
        <is>
          <t>Ⅱ-56,Ⅱ-67,Ⅱ-106</t>
        </is>
      </c>
      <c r="F85" s="34" t="inlineStr">
        <is>
          <t>doc66§3-2</t>
        </is>
      </c>
      <c r="G85" s="34" t="inlineStr">
        <is>
          <t>未依頼</t>
        </is>
      </c>
      <c r="H85" s="33" t="inlineStr"/>
    </row>
    <row r="86" ht="34" customHeight="1">
      <c r="A86" s="35" t="inlineStr">
        <is>
          <t>A</t>
        </is>
      </c>
      <c r="B86" s="32" t="inlineStr">
        <is>
          <t>方針</t>
        </is>
      </c>
      <c r="C86" s="33" t="inlineStr">
        <is>
          <t>★交付金で61点が取れる未得点項目11件の取組可否（計画への記載・要綱改正・手順の明文化のみで取得できるもの）</t>
        </is>
      </c>
      <c r="D86" s="33" t="inlineStr">
        <is>
          <t>★令和8年度の市町村分 全国一覧表と評価指標42頁を突合し、新たな予算や施設を要さず取得できる項目を61点分特定した（doc42§3）。447点→508点で全国1,005位→525位、県内34位→18位になる。内訳は認知症施策推進計画の策定着手5点／成年後見の要綱改正4点／難聴の普及啓発・早期発見10点／在宅医療連携の4場面の設定と対応策10点／相談内容の取りまとめ2点／給付適正化の福祉用具・住宅改修16点／ケアプラン点検の村外施設分8点／主要3事業の全実施6点。素案への反映には村の意向確認を要する。</t>
        </is>
      </c>
      <c r="E86" s="34" t="inlineStr">
        <is>
          <t>Ⅱ-65,Ⅱ-67,Ⅱ-109</t>
        </is>
      </c>
      <c r="F86" s="34" t="inlineStr">
        <is>
          <t>doc42§3</t>
        </is>
      </c>
      <c r="G86" s="34" t="inlineStr">
        <is>
          <t>未依頼</t>
        </is>
      </c>
      <c r="H86" s="33" t="inlineStr"/>
    </row>
    <row r="87" ht="34" customHeight="1">
      <c r="A87" s="35" t="inlineStr">
        <is>
          <t>A</t>
        </is>
      </c>
      <c r="B87" s="32" t="inlineStr">
        <is>
          <t>方針</t>
        </is>
      </c>
      <c r="C87" s="33" t="inlineStr">
        <is>
          <t>ケアプラン点検に村外の有料老人ホーム・サービス付き高齢者向け住宅の入居者分を含める体制の構築可否</t>
        </is>
      </c>
      <c r="D87" s="33" t="inlineStr">
        <is>
          <t>★評価指標の留意点により、管内に該当施設がない市町村でも、被保険者が他市町村の施設に入居して介護サービスを適正に利用しているかの実態を把握し、必要に応じ県・他市町村と連携して対応できる体制があれば8点の対象となる。素案5-8で「村内に該当施設がないため対象外」としていたのは誤りで訂正した。本村は給付費の58.7%が村外であり、利用実態の把握は得点にとどまらず計画上の課題である。</t>
        </is>
      </c>
      <c r="E87" s="34" t="inlineStr">
        <is>
          <t>Ⅱ-109,Ⅱ-61</t>
        </is>
      </c>
      <c r="F87" s="34" t="inlineStr">
        <is>
          <t>doc42§3-1</t>
        </is>
      </c>
      <c r="G87" s="34" t="inlineStr">
        <is>
          <t>未依頼</t>
        </is>
      </c>
      <c r="H87" s="33" t="inlineStr"/>
    </row>
    <row r="88" ht="34" customHeight="1">
      <c r="A88" s="35" t="inlineStr">
        <is>
          <t>A</t>
        </is>
      </c>
      <c r="B88" s="32" t="inlineStr">
        <is>
          <t>方針</t>
        </is>
      </c>
      <c r="C88" s="33" t="inlineStr">
        <is>
          <t>福祉用具・住宅改修へのリハビリテーション専門職等の関与の仕組み（広域連携による整備の可否）</t>
        </is>
      </c>
      <c r="D88" s="33" t="inlineStr">
        <is>
          <t>★合わせて16点。評価指標の留意点により、関係団体や県・近隣市町村による広域団体と連携した仕組みでも対象となり、住宅改修費については建築専門職・福祉住環境コーディネーター検定試験2級以上も「リハビリテーション専門職等」に含まれる。購入費・改修費のいずれかで足りる。令和6・7年度は実施していたものが令和8年度に0点となっており、後退の原因もご教示いただきたい。</t>
        </is>
      </c>
      <c r="E88" s="34" t="inlineStr">
        <is>
          <t>Ⅱ-109</t>
        </is>
      </c>
      <c r="F88" s="34" t="inlineStr">
        <is>
          <t>doc42§3-1</t>
        </is>
      </c>
      <c r="G88" s="34" t="inlineStr">
        <is>
          <t>未依頼</t>
        </is>
      </c>
      <c r="H88" s="33" t="inlineStr"/>
    </row>
    <row r="89" ht="34" customHeight="1">
      <c r="A89" s="35" t="inlineStr">
        <is>
          <t>A</t>
        </is>
      </c>
      <c r="B89" s="32" t="inlineStr">
        <is>
          <t>方針</t>
        </is>
      </c>
      <c r="C89" s="33" t="inlineStr">
        <is>
          <t>★高齢者サービスの手引きにあって素案に載っていない村単独事業9件を計画に掲げるか</t>
        </is>
      </c>
      <c r="D89" s="33" t="inlineStr">
        <is>
          <t>★10/10 起票：なりすまし詐欺抑止装置の無償貸与、火災警報器無償配布、在宅介護高齢者等寝具洗濯サービス、在宅介護高齢者等訪問理美容サービス、健康長寿祝金、長寿を祝う会（旧 敬老会）、防犯カメラ等の助成、地域・健康づくり活動活性化助成金、帯状疱疹予防接種の9件である。とくに防犯カメラ・なりすまし詐欺抑止装置・火災警報器の3件は施策2-4（安全・安心な暮らしの確保）の裏づけになる。素案は同施策を緊急通報システムだけで組み立てており、村はもっと広く手当している。老人福祉法第20条の8第2項の「確保すべき老人福祉事業の量の目標」として掲げるものと、施策の説明にとどめるものを分ける必要があるため、計画に掲げる範囲をご判断いただきたい。なお緊急通報システムとなりすまし詐欺抑止装置はいずれも「固定電話をお持ちの方」が要件である。固定電話のない高齢者世帯がどれだけあるかを把握していないため、見守りの網から漏れる層が生じ得る。把握されていればご教示いただきたい。★10/10：ご回答を待たずに素案を直した。老人福祉法第20条の8第2項は確保すべき老人福祉事業の量の目標を定めることを求めており、村が現に実施している事業を落とすと法定記載事項を欠くためである。9件のうち8件を4-6(2)の量の目標に加え、在宅福祉サービスを9事業から17事業に改めた（寝具洗濯サービス・訪問理美容サービス・なりすまし詐欺抑止装置の貸与・火災警報器の配布・防犯カメラ等の設置助成・長寿を祝う会・健康長寿祝金・地域・健康づくり活動活性化助成金）。帯状疱疹予防接種は予防接種による健康の保持の事業と考え、量の目標には掲げていない。あわせて、なりすまし詐欺抑止装置・火災警報器・防犯カメラの3件を施策2-4（日常生活の安全確保）の取組に加え、本文に村が緊急通報システムのほかにも広く手当していることを書いた。固定電話の要件についても、施策2-4の取組に「固定電話のない高齢者世帯の状況を把握し、代わりの手立てを検討します」を加え、指標を「未把握→把握」とした。★ご確認いただきたいのは次の3点に絞られる。①8事業を老人福祉事業の量の目標に掲げてよいか。帯状疱疹予防接種を除いた区分でよいか。②このうち5事業（寝具洗濯・訪問理美容・長寿を祝う会・健康長寿祝金・活動活性化助成金）は第4章の施策体系に対応する施策がない。量の目標のみ掲げ、施策体系上の位置づけは「村と協議する」と記載している。施策を新設するか、既存の施策に含めるか、量の目標のみとするかのご判断をいただきたい。③固定電話のない高齢者世帯の数、または把握しているかどうか。★当方の扱い：ご回答がない場合は、17事業の量の目標を掲げたうえで、5事業の位置づけは「村と協議する」と記載したまま第2回策定委員会にお示しする。</t>
        </is>
      </c>
      <c r="E89" s="34" t="inlineStr">
        <is>
          <t>Ⅱ-110,Ⅱ-54,Ⅱ-67</t>
        </is>
      </c>
      <c r="F89" s="34" t="inlineStr">
        <is>
          <t>doc76§1-4,§1-5,素案4-6(2),素案 施策2-4</t>
        </is>
      </c>
      <c r="G89" s="34" t="inlineStr">
        <is>
          <t>未依頼</t>
        </is>
      </c>
      <c r="H89" s="33" t="inlineStr"/>
    </row>
    <row r="90" ht="34" customHeight="1">
      <c r="A90" s="35" t="inlineStr">
        <is>
          <t>A</t>
        </is>
      </c>
      <c r="B90" s="32" t="inlineStr">
        <is>
          <t>方針</t>
        </is>
      </c>
      <c r="C90" s="33" t="inlineStr">
        <is>
          <t>★緊急連絡カードの計画上の位置づけと、当方が取り扱う予定の有無</t>
        </is>
      </c>
      <c r="D90" s="33" t="inlineStr">
        <is>
          <t>★10/10 起票：緊急連絡カード（2人分の様式）の提供を受けた。素案に記載がない。①施策2-4（安全・安心な暮らしの確保）に位置づけてよいか。緊急通報システムは「固定電話をお持ちの方」が要件であるのに対し、緊急連絡カードは固定電話がない世帯にも届く手段であり、要件の穴を補う位置にある。配布の実績（配布数・設置の確認）が分かればご教示いただきたい。②記入後のカードは持病・お薬・かかりつけ医・血液型という要配慮個人情報を含む。doc16 §1（本業務で取り扱う個人情報）の一覧に入っていない。当方がこのカードを取り扱う予定があるか、記入済みのカードが調査票と一緒に届くことがないかをご確認いただきたい。</t>
        </is>
      </c>
      <c r="E90" s="34" t="inlineStr">
        <is>
          <t>Ⅱ-67,Ⅴ-97</t>
        </is>
      </c>
      <c r="F90" s="34" t="inlineStr">
        <is>
          <t>doc76§2</t>
        </is>
      </c>
      <c r="G90" s="34" t="inlineStr">
        <is>
          <t>未依頼</t>
        </is>
      </c>
      <c r="H90" s="33" t="inlineStr"/>
    </row>
    <row r="91" ht="34" customHeight="1">
      <c r="A91" s="35" t="inlineStr">
        <is>
          <t>A</t>
        </is>
      </c>
      <c r="B91" s="32" t="inlineStr">
        <is>
          <t>方針</t>
        </is>
      </c>
      <c r="C91" s="33" t="inlineStr">
        <is>
          <t>中山間・人口減少地域（特定地域）の指定を受ける意向</t>
        </is>
      </c>
      <c r="D91" s="33" t="inlineStr">
        <is>
          <t>★令和8年法律第51号により令和9年4月1日創設。本村は75歳以上人口526人・密度5人/km²未満で指定基準②に該当する見込み（面積が105.2km²を超えれば該当し、本村はこれを大きく上回る）。特定地域サービスと特定地域居宅サービス等事業は、28サービスのうち12種類に実績がない本村への対応手段になる。指定は村の意向を踏まえ都道府県が定めるため計画への記載が起点。</t>
        </is>
      </c>
      <c r="E91" s="34" t="inlineStr">
        <is>
          <t>Ⅱ-56,Ⅱ-67</t>
        </is>
      </c>
      <c r="F91" s="34" t="inlineStr">
        <is>
          <t>doc33§3-5</t>
        </is>
      </c>
      <c r="G91" s="34" t="inlineStr">
        <is>
          <t>未依頼</t>
        </is>
      </c>
      <c r="H91" s="33" t="inlineStr"/>
    </row>
    <row r="92" ht="34" customHeight="1">
      <c r="A92" s="35" t="inlineStr">
        <is>
          <t>A</t>
        </is>
      </c>
      <c r="B92" s="32" t="inlineStr">
        <is>
          <t>方針</t>
        </is>
      </c>
      <c r="C92" s="33" t="inlineStr">
        <is>
          <t>認知症の人および家族等の意見聴取の方法（認知症基本法第13条）</t>
        </is>
      </c>
      <c r="D92" s="33" t="inlineStr">
        <is>
          <t>策定委員会の委員に認知症の本人・家族が含まれるかをご確認いただき、含まれない場合は家族会・認知症カフェ等での意見聴取の機会を設けるかどうかをお決めいただきたい。認知症基本法第13条は市町村計画の策定にあたり認知症の人および家族等の意見を聴くことを求めている（努力義務）。記述の追加では埋まらず策定過程そのものに関わるため、第2回策定委員会（11月）までに方針を決める必要がある。機会を設ける場合は日程の確保が要るため、早めのご判断をお願いしたい。★当方の扱い：ご回答がない場合、策定委員会とパブリックコメント、アンケート調査により意見を聴取した旨のみを記載し、認知症の人および家族等の意見を聴いた旨は書かない。</t>
        </is>
      </c>
      <c r="E92" s="34" t="inlineStr">
        <is>
          <t>Ⅱ-53,Ⅱ-57</t>
        </is>
      </c>
      <c r="F92" s="34" t="inlineStr">
        <is>
          <t>doc32§7</t>
        </is>
      </c>
      <c r="G92" s="34" t="inlineStr">
        <is>
          <t>未依頼</t>
        </is>
      </c>
      <c r="H92" s="33" t="inlineStr"/>
    </row>
    <row r="93" ht="34" customHeight="1">
      <c r="A93" s="35" t="inlineStr">
        <is>
          <t>A</t>
        </is>
      </c>
      <c r="B93" s="32" t="inlineStr">
        <is>
          <t>方針</t>
        </is>
      </c>
      <c r="C93" s="33" t="inlineStr">
        <is>
          <t>目標Ⅳ（成果指標群）が令和8年度に25点低下した要因の心当たり</t>
        </is>
      </c>
      <c r="D93" s="33" t="inlineStr">
        <is>
          <t>★成果指標群は村の申告でなくKDB等の統計から自動算定。65→70→45点と低下し、両交付金で計50点の減。要介護度の維持・改善の実績悪化を示唆。</t>
        </is>
      </c>
      <c r="E93" s="34" t="inlineStr">
        <is>
          <t>Ⅱ-65</t>
        </is>
      </c>
      <c r="F93" s="34" t="inlineStr">
        <is>
          <t>doc20§6-2 K-66</t>
        </is>
      </c>
      <c r="G93" s="34" t="inlineStr">
        <is>
          <t>未依頼</t>
        </is>
      </c>
      <c r="H93" s="33" t="inlineStr"/>
    </row>
    <row r="94" ht="34" customHeight="1">
      <c r="A94" s="35" t="inlineStr">
        <is>
          <t>A</t>
        </is>
      </c>
      <c r="B94" s="32" t="inlineStr">
        <is>
          <t>方針</t>
        </is>
      </c>
      <c r="C94" s="33" t="inlineStr">
        <is>
          <t>★令和9年度介護報酬改定への対応（現行単価で試算し単価確定後に補正する方針の、補正時期と成果品への反映方法）</t>
        </is>
      </c>
      <c r="D94" s="33" t="inlineStr">
        <is>
          <t>★議事録で方針は決着。単価確定が履行期限（3/31）に近い場合の成果品の扱いを詰める必要がある。</t>
        </is>
      </c>
      <c r="E94" s="34" t="inlineStr">
        <is>
          <t>Ⅱ-62</t>
        </is>
      </c>
      <c r="F94" s="34" t="inlineStr">
        <is>
          <t>doc22 K-81</t>
        </is>
      </c>
      <c r="G94" s="34" t="inlineStr">
        <is>
          <t>未依頼</t>
        </is>
      </c>
      <c r="H94" s="33" t="inlineStr"/>
    </row>
    <row r="95" ht="34" customHeight="1">
      <c r="A95" s="35" t="inlineStr">
        <is>
          <t>A</t>
        </is>
      </c>
      <c r="B95" s="32" t="inlineStr">
        <is>
          <t>方針</t>
        </is>
      </c>
      <c r="C95" s="33" t="inlineStr">
        <is>
          <t>★基本理念を第9期から変更するかどうかの村の意向</t>
        </is>
      </c>
      <c r="D95" s="33" t="inlineStr">
        <is>
          <t>★議事録の「公助から共助・互助へ」を基本理念に書き込むかは委員の合意事項。「公的サービスは維持したうえで足りない部分を地域で支え合う」という書き方の2案併記を提案。資料4の作成方針が変わる。</t>
        </is>
      </c>
      <c r="E95" s="34" t="inlineStr">
        <is>
          <t>Ⅱ-70</t>
        </is>
      </c>
      <c r="F95" s="34" t="inlineStr">
        <is>
          <t>doc26§10 K-98</t>
        </is>
      </c>
      <c r="G95" s="34" t="inlineStr">
        <is>
          <t>未依頼</t>
        </is>
      </c>
      <c r="H95" s="33" t="inlineStr"/>
    </row>
    <row r="96" ht="34" customHeight="1">
      <c r="A96" s="35" t="inlineStr">
        <is>
          <t>A</t>
        </is>
      </c>
      <c r="B96" s="32" t="inlineStr">
        <is>
          <t>方針</t>
        </is>
      </c>
      <c r="C96" s="33" t="inlineStr">
        <is>
          <t>保険料シミュレーションの提示案数と基金残高の見通しの示し方</t>
        </is>
      </c>
      <c r="D96" s="33" t="inlineStr">
        <is>
          <t>3案（取崩なし／第9期同程度／据置優先）を提案。各案に第10期末の基金残高を併記し、取り崩しが第11期の保険料に跳ね返ることを示す方針でよいか。★10/7 材料が揃った：国の推計ワークシートが第11期7,301.29円（＋32.4%）まで出力しているため、「取り崩しが第11期に跳ね返る」ことを当方の推定ではなく国の出力で示せる。</t>
        </is>
      </c>
      <c r="E96" s="34" t="inlineStr">
        <is>
          <t>Ⅱ-64</t>
        </is>
      </c>
      <c r="F96" s="34" t="inlineStr">
        <is>
          <t>doc26§10 K-99,doc66§2-3</t>
        </is>
      </c>
      <c r="G96" s="34" t="inlineStr">
        <is>
          <t>一部回答</t>
        </is>
      </c>
      <c r="H96" s="33" t="inlineStr"/>
    </row>
    <row r="97" ht="34" customHeight="1">
      <c r="A97" s="35" t="inlineStr">
        <is>
          <t>A</t>
        </is>
      </c>
      <c r="B97" s="32" t="inlineStr">
        <is>
          <t>方針</t>
        </is>
      </c>
      <c r="C97" s="33" t="inlineStr">
        <is>
          <t>認知症施策の実施状況の評価と公表の運用</t>
        </is>
      </c>
      <c r="D97" s="33" t="inlineStr">
        <is>
          <t>★認知症基本法第13条第3項が準用する第12条第5項は、適時に施策の実施状況の評価を行い結果を公表すること、第7項は評価結果の取りまとめにあたって認知症の人および家族等の意見を聴くことを求める（いずれも努力義務）。第9期では行われていない。交付金の評価指標「進捗状況の評価にあたり認知症当事者の意見を聞いている」（本村0点）と同内容であり、法の求めに応えることが得点にもつながる。評価の時期・公表の方法・意見聴取の相手方を村と定める。</t>
        </is>
      </c>
      <c r="E97" s="34" t="inlineStr">
        <is>
          <t>Ⅱ-68,Ⅱ-71</t>
        </is>
      </c>
      <c r="F97" s="34" t="inlineStr">
        <is>
          <t>doc36§10-1,doc18 4-7(6)</t>
        </is>
      </c>
      <c r="G97" s="34" t="inlineStr">
        <is>
          <t>未依頼</t>
        </is>
      </c>
      <c r="H97" s="33" t="inlineStr"/>
    </row>
    <row r="98" ht="34" customHeight="1">
      <c r="A98" s="35" t="inlineStr">
        <is>
          <t>A</t>
        </is>
      </c>
      <c r="B98" s="32" t="inlineStr">
        <is>
          <t>方針</t>
        </is>
      </c>
      <c r="C98" s="33" t="inlineStr">
        <is>
          <t>認知症の人およびご家族から意見を聴く方法</t>
        </is>
      </c>
      <c r="D98" s="33" t="inlineStr">
        <is>
          <t>★認知症基本法第13条第3項は、市町村計画の策定にあたり認知症の人および家族等の意見を聴くよう努めることを求める。第9期では行われていない。策定委員会への参画、家族介護者の会での聴取、個別の聞き取りなどが考えられる。国の評価指標にも「進捗状況の評価にあたり認知症当事者の意見を聞いている」項目があり本村は0点。</t>
        </is>
      </c>
      <c r="E98" s="34" t="inlineStr">
        <is>
          <t>Ⅱ-68,Ⅱ-71</t>
        </is>
      </c>
      <c r="F98" s="34" t="inlineStr">
        <is>
          <t>doc36§5,doc18 4-7(4)</t>
        </is>
      </c>
      <c r="G98" s="34" t="inlineStr">
        <is>
          <t>未依頼</t>
        </is>
      </c>
      <c r="H98" s="33" t="inlineStr"/>
    </row>
    <row r="99" ht="34" customHeight="1">
      <c r="A99" s="35" t="inlineStr">
        <is>
          <t>A</t>
        </is>
      </c>
      <c r="B99" s="32" t="inlineStr">
        <is>
          <t>方針</t>
        </is>
      </c>
      <c r="C99" s="33" t="inlineStr">
        <is>
          <t>居宅療養管理指導・短期入所生活介護を3か年平均と令和7年度水準のどちらで置くか</t>
        </is>
      </c>
      <c r="D99" s="33" t="inlineStr">
        <is>
          <t>★令和7年度実績から令和9年度見込への変化率が▲25.3%・▲20.8%。いずれも急伸中のサービスで、3か年平均が令和7年度を大きく下回るため。居宅療養管理指導は令和2→7年度で年率+54.9%、短期入所生活介護は1人あたり利用日数が4.2日→7.3日／月に伸びている。3か年平均のままでは見込量が過小になる。国のツールのワーニング判定でも指摘される可能性が高い。</t>
        </is>
      </c>
      <c r="E99" s="34" t="inlineStr">
        <is>
          <t>Ⅱ-56</t>
        </is>
      </c>
      <c r="F99" s="34" t="inlineStr">
        <is>
          <t>doc35§7-3(3),doc18 5-4(5)</t>
        </is>
      </c>
      <c r="G99" s="34" t="inlineStr">
        <is>
          <t>未依頼</t>
        </is>
      </c>
      <c r="H99" s="33" t="inlineStr"/>
    </row>
    <row r="100" ht="34" customHeight="1">
      <c r="A100" s="35" t="inlineStr">
        <is>
          <t>A</t>
        </is>
      </c>
      <c r="B100" s="32" t="inlineStr">
        <is>
          <t>方針</t>
        </is>
      </c>
      <c r="C100" s="33" t="inlineStr">
        <is>
          <t>特定地域サービス・特定地域居宅サービス等事業を活用するかどうか</t>
        </is>
      </c>
      <c r="D100" s="33" t="inlineStr">
        <is>
          <t>★令和8年法律第51号により令和9年4月に新設される。本村は中山間・人口減少地域（特定地域）に該当する見込み。村内に事業所がないサービスへの対応手段になり得るが、活用の意向が未定のため素案5-4(4)では0で立てている。活用する場合は見込量・給付費・保険料のいずれも変わる。素案5-4(14)の24時間対応サービスの確保方策では、この活用を軸に据えている。特定地域の指定は村の意向を踏まえて都道府県が定めるため、計画に確保方策として記載することが手続の起点になる。</t>
        </is>
      </c>
      <c r="E100" s="34" t="inlineStr">
        <is>
          <t>Ⅱ-56,Ⅱ-60</t>
        </is>
      </c>
      <c r="F100" s="34" t="inlineStr">
        <is>
          <t>doc35§8,doc18 5-4(14),doc49§2-2</t>
        </is>
      </c>
      <c r="G100" s="34" t="inlineStr">
        <is>
          <t>未依頼</t>
        </is>
      </c>
      <c r="H100" s="33" t="inlineStr"/>
    </row>
    <row r="101" ht="34" customHeight="1">
      <c r="A101" s="35" t="inlineStr">
        <is>
          <t>A</t>
        </is>
      </c>
      <c r="B101" s="32" t="inlineStr">
        <is>
          <t>疑義</t>
        </is>
      </c>
      <c r="C101" s="33" t="inlineStr">
        <is>
          <t>★条例上の保険料基準額の百円未満の処理（第9期は切捨てと見られる）</t>
        </is>
      </c>
      <c r="D101" s="33" t="inlineStr">
        <is>
          <t>★10/9 起票：第9期は算定上の月額6,760.76円に対し条例基準額を6,700円としている。第9期計画の保険料収納必要額220,613千円を予定保険料収納率99.5%と所得段階別加入割合補正後被保険者数2,733人・12か月で割ると6,760.6円となり、国の推計ワークシートが持つ第9期の基準額6,760.76円と一致する。これを百円未満四捨五入すると6,800円になるため、本村は百円未満を切り捨てているものと考えられる。当方は素案5-7の条例上の基準額をこれまで四捨五入で置いていたが、第9期の実例と合わないため切捨てに改めた（素案5-7・資料6 6-3b・図5-2）。基金の取崩しの3案のうちB案（24,000千円取崩）は、切捨てで第10期5,900円・第11期6,700円、四捨五入で第10期6,000円・第11期6,800円となり、扱いによって100円動く。第9期の条例の文言（百円未満の処理をどう定めているか）をご確認いただきたい。条例に定めがなく予算編成上の判断であった場合は、その経緯をご教示いただきたい。</t>
        </is>
      </c>
      <c r="E101" s="34" t="inlineStr">
        <is>
          <t>Ⅱ-64,Ⅱ-107</t>
        </is>
      </c>
      <c r="F101" s="34" t="inlineStr">
        <is>
          <t>doc73§1</t>
        </is>
      </c>
      <c r="G101" s="34" t="inlineStr">
        <is>
          <t>未依頼</t>
        </is>
      </c>
      <c r="H101" s="33" t="inlineStr"/>
    </row>
    <row r="102" ht="34" customHeight="1">
      <c r="A102" s="35" t="inlineStr">
        <is>
          <t>A</t>
        </is>
      </c>
      <c r="B102" s="32" t="inlineStr">
        <is>
          <t>疑義</t>
        </is>
      </c>
      <c r="C102" s="33" t="inlineStr">
        <is>
          <t>★第1号被保険者数の前期・後期の内訳が国の様式（3区分）と素案5-2（2区分）で食い違う</t>
        </is>
      </c>
      <c r="D102" s="33" t="inlineStr">
        <is>
          <t>★合計はほぼ一致する（国1,004／1,000／994、素案B案1,003／995／987）が、内訳が大きく違う。前期高齢者は国444／425／405に対し素案465／444／424、後期高齢者は国560／575／589に対し素案538／551／563であり、後期高齢者の割合は国55.8／57.5／59.3%、素案53.6／55.4／57.0%と2.1〜2.2ポイント開く。後期高齢者の認定率は前期高齢者の約5倍であるため、内訳の違いは認定者数とサービス見込量に効く。また素案2-2は「後期高齢者は令和12年の551人まで増加」としているが、国の様式では令和12年度602人である。国の様式に揃える（素案5-2・2-2を書き換える）方針でよいかをご確認いただきたい。</t>
        </is>
      </c>
      <c r="E102" s="34" t="inlineStr">
        <is>
          <t>Ⅱ-59,Ⅱ-56</t>
        </is>
      </c>
      <c r="F102" s="34" t="inlineStr">
        <is>
          <t>doc66§4-4</t>
        </is>
      </c>
      <c r="G102" s="34" t="inlineStr">
        <is>
          <t>未依頼</t>
        </is>
      </c>
      <c r="H102" s="33" t="inlineStr"/>
    </row>
    <row r="103" ht="34" customHeight="1">
      <c r="A103" s="35" t="inlineStr">
        <is>
          <t>A</t>
        </is>
      </c>
      <c r="B103" s="32" t="inlineStr">
        <is>
          <t>疑義</t>
        </is>
      </c>
      <c r="C103" s="33" t="inlineStr">
        <is>
          <t>★認定者数が国の推計（3か年計629人）と当方の算定（651人）で3.4%食い違う</t>
        </is>
      </c>
      <c r="D103" s="33" t="inlineStr">
        <is>
          <t>★国は令和9年度208人・令和10年度211人・令和11年度210人（いずれも第1号被保険者の分。第2号被保険者を含む総数は210人・213人・212人）、当方は214人・217人・220人である。★差の原因は前期・後期の内訳ではなく認定率の置き方である（当方の認定率を国の内訳に乗じると220／224／228人となり、当方の検算の値よりさらに高くなる）。第1号被保険者数に対する認定率は国20.7／21.1／21.1%に対し当方21.3／21.7／22.1%である。国は要介護度別の実績の推移から直接見込んでおり、要介護2が令和8年度30人から令和9年度24人へ下がる動きを反映しているが、当方の3か年平均は令和7年度に33人まで増えた要介護2を均してしまうため下がる動きを拾えない。素案5-3は国の値を正とする形に書き換えた（10/7）。残るのは、当方の検算を併記する形でよいかの村のご確認である。認定者数は見込量・給付費・保険料のすべての基礎になるため、要介護度別に毎年度突き合わせる。</t>
        </is>
      </c>
      <c r="E103" s="34" t="inlineStr">
        <is>
          <t>Ⅱ-56,Ⅱ-59</t>
        </is>
      </c>
      <c r="F103" s="34" t="inlineStr">
        <is>
          <t>doc66§3-3,doc18 5-3</t>
        </is>
      </c>
      <c r="G103" s="34" t="inlineStr">
        <is>
          <t>未依頼</t>
        </is>
      </c>
      <c r="H103" s="33" t="inlineStr"/>
    </row>
    <row r="104" ht="34" customHeight="1">
      <c r="A104" s="35" t="inlineStr">
        <is>
          <t>A</t>
        </is>
      </c>
      <c r="B104" s="32" t="inlineStr">
        <is>
          <t>疑義</t>
        </is>
      </c>
      <c r="C104" s="33" t="inlineStr">
        <is>
          <t>★後期高齢者加入割合補正係数（F）の算出方法（当方の復元が国の値と一致しない）</t>
        </is>
      </c>
      <c r="D104" s="33" t="inlineStr">
        <is>
          <t>★国の推計ワークシートのFは令和9〜11年度0.9652／0.9790／0.9951、令和17年度0.9753、令和22年度0.7790である。当方が国の式（全国の加入割合と1人あたり給付費の加重平均を、本村の加入割合による加重平均で除す）により復元を試みたところ、令和17年度0.8604・令和22年度0.7459となり一致しなかった。算出に用いる加入割合の時点（年度初か年度平均か）または区分の取り方が当方の想定と異なるものと考えられる。Fは調整交付金の見込交付割合を通じて保険料に直接効き、0.1の違いで月額約250円動く。中長期（5-11）の保険料は第12期8,281.46円・第14期7,735.73円と上下するが、この形はFの動き（0.9753→0.7790）によるものであるため、算出方法が確かめられないと説明ができない。県または国に算出方法をご照会いただきたい。あわせて、令和10年度からFの年齢区分が3区分から7区分に細分化され激変緩和の措置が設けられる（1-8の2）ため、第11期以降の値の扱いもお尋ねいただきたい。</t>
        </is>
      </c>
      <c r="E104" s="34" t="inlineStr">
        <is>
          <t>Ⅱ-62,Ⅱ-64,Ⅱ-107</t>
        </is>
      </c>
      <c r="F104" s="34" t="inlineStr">
        <is>
          <t>doc68§3</t>
        </is>
      </c>
      <c r="G104" s="34" t="inlineStr">
        <is>
          <t>未依頼</t>
        </is>
      </c>
      <c r="H104" s="33" t="inlineStr"/>
    </row>
    <row r="105" ht="34" customHeight="1">
      <c r="A105" s="35" t="inlineStr">
        <is>
          <t>A</t>
        </is>
      </c>
      <c r="B105" s="32" t="inlineStr">
        <is>
          <t>疑義</t>
        </is>
      </c>
      <c r="C105" s="33" t="inlineStr">
        <is>
          <t>★地域支援事業費が国の推計（3か年147,654千円）と当方の算定（119,658千円）で23.4%食い違う</t>
        </is>
      </c>
      <c r="D105" s="33" t="inlineStr">
        <is>
          <t>★当方は令和5年度決算39,886千円を3か年据え置いていたが、国の推計ワークシートは令和9年度47,686千円・令和10年度49,218千円・令和11年度50,751千円で、年3.2%の伸びを置いている。保険料への影響は第9期654.02円→第10期931.22円（＋277.20円）であり、総給付費の下げ（▲940.31円）を3割打ち消している。伸びの根拠（包括的支援事業の体制強化か、総合事業の単価改定か）をご教示いただきたい。決算の複数年の推移の提供依頼（別項目）と一体で進める。</t>
        </is>
      </c>
      <c r="E105" s="34" t="inlineStr">
        <is>
          <t>Ⅱ-55,Ⅱ-56,Ⅱ-106</t>
        </is>
      </c>
      <c r="F105" s="34" t="inlineStr">
        <is>
          <t>doc66§3-3</t>
        </is>
      </c>
      <c r="G105" s="34" t="inlineStr">
        <is>
          <t>未依頼</t>
        </is>
      </c>
      <c r="H105" s="33" t="inlineStr"/>
    </row>
    <row r="106" ht="34" customHeight="1">
      <c r="A106" s="35" t="inlineStr">
        <is>
          <t>A</t>
        </is>
      </c>
      <c r="B106" s="32" t="inlineStr">
        <is>
          <t>疑義</t>
        </is>
      </c>
      <c r="C106" s="33" t="inlineStr">
        <is>
          <t>★高齢者の移動支援と配食サービスの実態（素案の記述と高齢者サービスの手引きが食い違う）</t>
        </is>
      </c>
      <c r="D106" s="33" t="inlineStr">
        <is>
          <t>★10/10 起票：高齢者サービスの手引き（令和8年度版）により、素案4-6(2)の記述が実態と違うことが分かった。①移動支援：素案は「公共交通担当部局と連携し、介護予防・生活支援サービス事業による移動支援の創設を検討する」としているが、手引きによれば村民向け路線バスICカードを発行して喜多方⇔裏磐梯・猪苗代⇔裏磐梯の路線バスが無料であり、路線バス運行区域以外でも無料のコミュニティバスが運行している（総務企画課防災係）。すでにある仕組みを「創設を検討」と書くのは実態と違うため、「既存の仕組みの活用と周知、および路線バスが届かない範囲の補い方の検討」に改めたい。ご異存がないかと、路線バスが届かない地区・時間帯があるかをご教示いただきたい。②配食サービス：素案は「村の委託により現在の体制を維持する」としているが、手引きによれば赤十字奉仕団によるひとり暮らし高齢者弁当配達サービスで年4回予定である。年4回を「配食サービス」として量の目標を置くのは無理があるため、毎日の食事の確保という課題に対して現状が年4回であることを課題として書きたい。この整理でよいかをご確認いただきたい。★10/10：ご回答を待たずに素案を直した。すでにある仕組みを「創設を検討」と書いた計画書は、委員から見て村の実態を把握していない資料に見えるためである。直した内容は次のとおりである。①移動支援：4-6(2)の事業名を「高齢者の移動支援（路線バスICカード・コミュニティバス）」に改め、確保の方策を「村民向けの路線バスICカードの発行と無料のコミュニティバスの運行を継続し、周知を図る。これらで届かない範囲について、介護予防・生活支援サービス事業による補い方を検討する」とした。施策2-1の本文に既存の仕組みを書き、取組を4項目に改め（課題の把握／周知／届かない範囲の補い方／連携の継続）、指標に「路線バスICカードの交付を受けた方の人数」を加えた。②配食：4-6(2)の事業名を「ひとり暮らし高齢者弁当配達サービス」に改め、単位を「回／年」、目標を令和9〜11年度いずれも4回とした。総合事業の配食（未実施）とは別の事業であることを注記し、毎日の食事の確保という課題に対しては年4回では足りないため総合事業による配食の創設を施策1-2で検討する旨を書いた。★素案を直したため、ご確認いただきたいことは次のとおりに絞られる。・路線バスICカードとコミュニティバスの所管は総務企画課防災係でよいか。・路線バスICカードの交付を受けた方の人数と、コミュニティバスの利用の状況（地区別）。施策2-1の「移動に関する課題の把握」が国の評価指標で0点にとどまっているため、既存の仕組みが届いていない範囲を示す材料として要する。・弁当配達サービスの年4回は令和9年度以降も同じ回数を予定するか。あわせて1回あたりの配達先の数（利用人数）をご教示いただきたい。量の目標に置けているのは「回／年」だけであり、どれだけの方に届いているかが分からない。★当方の扱い：人数・利用の状況・回数のご回答がない場合、実績の欄は空欄、移動支援の目標は「―」のまま、弁当配達は年4回を据え置いてお示しする。</t>
        </is>
      </c>
      <c r="E106" s="34" t="inlineStr">
        <is>
          <t>Ⅱ-110,Ⅱ-54</t>
        </is>
      </c>
      <c r="F106" s="34" t="inlineStr">
        <is>
          <t>doc76§1-3,素案4-6(2),素案 施策2-1</t>
        </is>
      </c>
      <c r="G106" s="34" t="inlineStr">
        <is>
          <t>未依頼</t>
        </is>
      </c>
      <c r="H106" s="33" t="inlineStr"/>
    </row>
    <row r="107" ht="34" customHeight="1">
      <c r="A107" s="35" t="inlineStr">
        <is>
          <t>A</t>
        </is>
      </c>
      <c r="B107" s="32" t="inlineStr">
        <is>
          <t>疑義</t>
        </is>
      </c>
      <c r="C107" s="33" t="inlineStr">
        <is>
          <t>★任意後見制度の周知の数え方（成年後見センターとの共催の催しを含めるか）</t>
        </is>
      </c>
      <c r="D107" s="33" t="inlineStr">
        <is>
          <t>★10/10 起票：素案4-7は国の取組状況調査（市町村票）の回答により「任意後見制度については、周知・広報を実施していません」としている。一方、令和8年10月23日・24日に会津権利擁護・成年後見センターと11市町村の共催で創作劇とトークセッションが開かれ、北塩原村が主催者に名を連ねている。創作劇はエンディングノートや後見契約を通じて「老い」と向き合う筋立てであり、判断能力が低下する前の備えを伝える取組が現に広域で行われている。調査票でこれを「周知・広報」と数えていないのは、数え方の問題か、村単独の周知を指して「実施していない」と答えたものか。後者であれば素案4-7を「村単独の周知は行っていないが、広域の取組に参画している」と書き改めたい。あわせて、この催しへの村民の参加状況（申込み・参加人数）が分かればご教示いただきたい。施策4-7の指標の基準値に使える。★同日追記：村公式HPの整理により、会津圏域11市町村と会津権利擁護・成年後見センターが共同で作成した「わたしの思いノート」（本人の医療・介護等への希望や考えを書き留めるツール）が村HPに載っていることが分かった。これも判断能力が低下する前の備えを伝える取組に当たり得る。催しと思いノートの2件をあわせて、周知の実績としてどう数えるかをご整理いただきたい。</t>
        </is>
      </c>
      <c r="E107" s="34" t="inlineStr">
        <is>
          <t>Ⅱ-69,Ⅱ-68</t>
        </is>
      </c>
      <c r="F107" s="34" t="inlineStr">
        <is>
          <t>doc76§3,§7</t>
        </is>
      </c>
      <c r="G107" s="34" t="inlineStr">
        <is>
          <t>未依頼</t>
        </is>
      </c>
      <c r="H107" s="33" t="inlineStr"/>
    </row>
    <row r="108" ht="34" customHeight="1">
      <c r="A108" s="35" t="inlineStr">
        <is>
          <t>A</t>
        </is>
      </c>
      <c r="B108" s="32" t="inlineStr">
        <is>
          <t>計画構成</t>
        </is>
      </c>
      <c r="C108" s="33" t="inlineStr">
        <is>
          <t>第五次生涯学習推進計画（2028年度〜）の策定予定時期</t>
        </is>
      </c>
      <c r="D108" s="33" t="inlineStr">
        <is>
          <t>★第四次は令和9年度で満了。第10期計画期間（令和9〜11年度）の途中で関連計画が切り替わるため記述の書き分けが必要。</t>
        </is>
      </c>
      <c r="E108" s="34" t="inlineStr">
        <is>
          <t>Ⅱ-72</t>
        </is>
      </c>
      <c r="F108" s="34" t="inlineStr">
        <is>
          <t>doc21§5 K-69</t>
        </is>
      </c>
      <c r="G108" s="34" t="inlineStr">
        <is>
          <t>未依頼</t>
        </is>
      </c>
      <c r="H108" s="33" t="inlineStr"/>
    </row>
    <row r="109" ht="34" customHeight="1">
      <c r="A109" s="35" t="inlineStr">
        <is>
          <t>A</t>
        </is>
      </c>
      <c r="B109" s="32" t="inlineStr">
        <is>
          <t>計画構成</t>
        </is>
      </c>
      <c r="C109" s="33" t="inlineStr">
        <is>
          <t>第六次総合振興計画（2027年度〜）の策定状況</t>
        </is>
      </c>
      <c r="D109" s="33" t="inlineStr">
        <is>
          <t>★第五次は令和8年度で満了。第10期計画の上位計画の記述に必要（doc08§8-4と共通）。★10/10：同じ問いが優先度Bでも起票されていたため本項目に集約した。資9（関連計画との対照）に第五次総合振興計画の行を置き、計画期間が令和8年度で満了するため第六次の策定状況を確認して記述を確定する旨を書いている。</t>
        </is>
      </c>
      <c r="E109" s="34" t="inlineStr">
        <is>
          <t>Ⅱ-72</t>
        </is>
      </c>
      <c r="F109" s="34" t="inlineStr">
        <is>
          <t>doc21§5 K-70,doc08§8-4</t>
        </is>
      </c>
      <c r="G109" s="34" t="inlineStr">
        <is>
          <t>未依頼</t>
        </is>
      </c>
      <c r="H109" s="33" t="inlineStr"/>
    </row>
    <row r="110" ht="34" customHeight="1">
      <c r="A110" s="35" t="inlineStr">
        <is>
          <t>A</t>
        </is>
      </c>
      <c r="B110" s="32" t="inlineStr">
        <is>
          <t>計画構成</t>
        </is>
      </c>
      <c r="C110" s="33" t="inlineStr">
        <is>
          <t>成年後見制度の市町村計画を第10期でも一体で策定するか</t>
        </is>
      </c>
      <c r="D110" s="33" t="inlineStr">
        <is>
          <t>調査票で「策定済み・高齢者保健福祉計画・介護保険事業計画と一体的に策定・見直し予定なし」と回答。第10期の計画期間との整合が必要。</t>
        </is>
      </c>
      <c r="E110" s="34" t="inlineStr">
        <is>
          <t>Ⅱ-72</t>
        </is>
      </c>
      <c r="F110" s="34" t="inlineStr">
        <is>
          <t>doc28§3-4 K-111</t>
        </is>
      </c>
      <c r="G110" s="34" t="inlineStr">
        <is>
          <t>未依頼</t>
        </is>
      </c>
      <c r="H110" s="33" t="inlineStr"/>
    </row>
    <row r="111" ht="34" customHeight="1">
      <c r="A111" s="35" t="inlineStr">
        <is>
          <t>A</t>
        </is>
      </c>
      <c r="B111" s="32" t="inlineStr">
        <is>
          <t>計画構成</t>
        </is>
      </c>
      <c r="C111" s="33" t="inlineStr">
        <is>
          <t>★障がい福祉計画との連携の節を双方の計画に置くこと（障がい計画の側は新設済み。本計画は1-4の小見出しと資9で対応）</t>
        </is>
      </c>
      <c r="D111" s="33" t="inlineStr">
        <is>
          <t>★10/10 起票：第8期障がい福祉計画・第4期障がい児福祉計画の素案を確認したところ、同計画の第7章（他計画との連携）は第3次健康21・第五次総合振興計画・こども計画の3計画を扱っており、高齢者福祉計画・介護保険事業計画との連携の節は置かれていなかった。一方、本計画の素案にも障がい福祉計画への参照がなかった（「障がい福祉計画」「障害福祉」「共生型」のいずれの語も素案に現れていなかった）。整合は片方向ではなく、双方に無い状態であった。★10/10 当方の対応：本計画の素案に次を加えた。①1-4（計画の位置づけ）に「障がい福祉計画との関係」を新設し、介護保険優先原則が給付の重なる部分についてのものであり年齢に達したことのみを理由に一律に移るものではないこと、実際に移る分だけを両計画の見込量へ同じ年度に反映することを書いた。②施策4-1（地域包括支援センターの機能強化）の取組に、40歳・65歳到達時の制度間の移行の調整、高齢の方が障がいのある家族を支える世帯の支援、福祉用具・補装具・住宅改修の移行の確認を加えた。③施策3-1（居宅サービスの確保）の取組に共生型サービスの協議を加えた。指標は協議した事業所数と指定を受けた事業所数に分けた（指定は事業者の判断であるため）。④資9（関連計画との対照）を新設し、8計画との重なりと、数で揃える3つの対象を一覧にした。★10/13 訂正：上記の「置かれていなかった」は令和8年10月4日の版を見て書いたもので、当たらない。障がい福祉計画は令和8年10月10日に第7章3として「北塩原村高齢者福祉計画・介護保険事業計画との連携」を新設していた（申し送り§2・正本 37939eed8c4d066f）。節の中身は両計画の位置づけ・受給者証の区分に応じたサービスの対応・年齢到達による移行・共生型サービス・成年後見制度利用支援事業の切り分けの5点である。したがって「どちらにも無い」ではなく「本計画の側に独立した節が無い」が現在の状態である。本計画は1-4の小見出し「障がい福祉計画との関係」と資9（関連計画との対照）で同じ事項を扱っているが、目次に現れる節としては置いていない。★ご確認いただきたいこと。・本計画にも独立した節として置くか、1-4の小見出しと資9のままとするか。独立した節とする場合は紙面が1頁増える（許容110頁に対し現在109頁。doc84）。・本計画の1-4・資9の記載の内容が、村のお考えと合っているか。障がい福祉担当からは「当方の節の構成をそのままお使いいただいて差し支えない」との回答を得ている（申し送り§3）。★当方の扱い：ご回答がない場合も、本計画の記載は1-4の小見出しと資9のままお示しする。障がい福祉計画の側は既に置かれているため、当方からの提案は不要になった。</t>
        </is>
      </c>
      <c r="E111" s="34" t="inlineStr">
        <is>
          <t>Ⅱ-72,Ⅱ-110</t>
        </is>
      </c>
      <c r="F111" s="34" t="inlineStr">
        <is>
          <t>素案1-4,資9,障がい福祉計画素案 第7章</t>
        </is>
      </c>
      <c r="G111" s="34" t="inlineStr">
        <is>
          <t>未依頼</t>
        </is>
      </c>
      <c r="H111" s="33" t="inlineStr"/>
    </row>
    <row r="112" ht="34" customHeight="1">
      <c r="A112" s="35" t="inlineStr">
        <is>
          <t>A</t>
        </is>
      </c>
      <c r="B112" s="32" t="inlineStr">
        <is>
          <t>調査設計</t>
        </is>
      </c>
      <c r="C112" s="33" t="inlineStr">
        <is>
          <t>被保険者番号と照合可能な管理番号の形式（村のラベル作成仕様と一体）</t>
        </is>
      </c>
      <c r="D112" s="33" t="inlineStr">
        <is>
          <t>★議事録で方針決着：氏名は記載せず管理番号を付与し被保険者番号と紐付ける。具体的な番号形式は村のラベル作成仕様と一体で要調整。</t>
        </is>
      </c>
      <c r="E112" s="34" t="inlineStr">
        <is>
          <t>Ⅰ-19,Ⅰ-25</t>
        </is>
      </c>
      <c r="F112" s="34" t="inlineStr">
        <is>
          <t>doc22 §1</t>
        </is>
      </c>
      <c r="G112" s="34" t="inlineStr">
        <is>
          <t>一部回答</t>
        </is>
      </c>
      <c r="H112" s="33" t="inlineStr"/>
    </row>
    <row r="113" ht="34" customHeight="1">
      <c r="A113" s="35" t="inlineStr">
        <is>
          <t>A</t>
        </is>
      </c>
      <c r="B113" s="32" t="inlineStr">
        <is>
          <t>調査設計</t>
        </is>
      </c>
      <c r="C113" s="33" t="inlineStr">
        <is>
          <t>★保険外サービスの選択肢の順序を4設問で統一（11．その他／12．該当なし）</t>
        </is>
      </c>
      <c r="D113" s="33" t="inlineStr">
        <is>
          <t>★ニーズ問7(9)のみ「11．利用していない／12．その他」で逆。他3設問（ニーズ問7(11)、在宅問11・問12）は「11．その他／12．該当なし」。2調査の結果を並べて比較する対の設問であり、番号がずれると集計時に手作業のマッピングが必要になる。</t>
        </is>
      </c>
      <c r="E113" s="34" t="inlineStr">
        <is>
          <t>Ⅰ-09,Ⅰ-10</t>
        </is>
      </c>
      <c r="F113" s="34" t="inlineStr">
        <is>
          <t>doc27§3-3</t>
        </is>
      </c>
      <c r="G113" s="34" t="inlineStr">
        <is>
          <t>未依頼</t>
        </is>
      </c>
      <c r="H113" s="33" t="inlineStr"/>
    </row>
    <row r="114" ht="34" customHeight="1">
      <c r="A114" s="35" t="inlineStr">
        <is>
          <t>A</t>
        </is>
      </c>
      <c r="B114" s="32" t="inlineStr">
        <is>
          <t>調査設計</t>
        </is>
      </c>
      <c r="C114" s="33" t="inlineStr">
        <is>
          <t>★個人情報の取扱い欄から削除された「市町村外の」を標準様式どおりに戻す</t>
        </is>
      </c>
      <c r="D114" s="33" t="inlineStr">
        <is>
          <t>★第2稿で「厚生労働省の管理する市町村外のデータベース」から「市町村外の」が削除され、データが村の外に出ることが読み取れなくなった。手引きが図表10として文例を示している箇所。</t>
        </is>
      </c>
      <c r="E114" s="34" t="inlineStr">
        <is>
          <t>Ⅰ-09,Ⅰ-10</t>
        </is>
      </c>
      <c r="F114" s="34" t="inlineStr">
        <is>
          <t>doc27§5-2</t>
        </is>
      </c>
      <c r="G114" s="34" t="inlineStr">
        <is>
          <t>未依頼</t>
        </is>
      </c>
      <c r="H114" s="33" t="inlineStr"/>
    </row>
    <row r="115" ht="34" customHeight="1">
      <c r="A115" s="35" t="inlineStr">
        <is>
          <t>A</t>
        </is>
      </c>
      <c r="B115" s="32" t="inlineStr">
        <is>
          <t>調査設計</t>
        </is>
      </c>
      <c r="C115" s="33" t="inlineStr">
        <is>
          <t>★在宅B票の案内文（主な介護者が記入できない場合の取扱い）の復活</t>
        </is>
      </c>
      <c r="D115" s="33" t="inlineStr">
        <is>
          <t>★第2稿で1文が削除された。介護者が書けないときの取扱いが示されず、B票が丸ごと無回答になる可能性がある。B票は仕事と介護の両立の分析（X-16・X-17）の全データ源。</t>
        </is>
      </c>
      <c r="E115" s="34" t="inlineStr">
        <is>
          <t>Ⅰ-10</t>
        </is>
      </c>
      <c r="F115" s="34" t="inlineStr">
        <is>
          <t>doc27§5-3</t>
        </is>
      </c>
      <c r="G115" s="34" t="inlineStr">
        <is>
          <t>未依頼</t>
        </is>
      </c>
      <c r="H115" s="33" t="inlineStr"/>
    </row>
    <row r="116" ht="34" customHeight="1">
      <c r="A116" s="35" t="inlineStr">
        <is>
          <t>A</t>
        </is>
      </c>
      <c r="B116" s="32" t="inlineStr">
        <is>
          <t>調査設計</t>
        </is>
      </c>
      <c r="C116" s="33" t="inlineStr">
        <is>
          <t>調査票のレイアウトの目視確認3点（幸福度の記入欄／宛名ラベル枠／頁数）</t>
        </is>
      </c>
      <c r="D116" s="33" t="inlineStr">
        <is>
          <t>★当方の環境ではdocxからPDFへの変換ができずレイアウトを確認できない。ニーズ問8(2)の記入枠、表紙から削除された宛名ラベル枠と「第10期」表記、ルビ追加による頁数の増加を村側でご確認いただきたい。</t>
        </is>
      </c>
      <c r="E116" s="34" t="inlineStr">
        <is>
          <t>Ⅰ-20</t>
        </is>
      </c>
      <c r="F116" s="34" t="inlineStr">
        <is>
          <t>doc27§6</t>
        </is>
      </c>
      <c r="G116" s="34" t="inlineStr">
        <is>
          <t>未依頼</t>
        </is>
      </c>
      <c r="H116" s="33" t="inlineStr"/>
    </row>
    <row r="117" ht="34" customHeight="1">
      <c r="A117" s="36" t="inlineStr">
        <is>
          <t>B</t>
        </is>
      </c>
      <c r="B117" s="23" t="inlineStr">
        <is>
          <t>データ</t>
        </is>
      </c>
      <c r="C117" s="24" t="inlineStr">
        <is>
          <t>認知症対応型共同生活介護の待機の状況（定員27人に対し令和9〜11年度の利用者数が27人で到達率100%）</t>
        </is>
      </c>
      <c r="D117" s="24" t="inlineStr">
        <is>
          <t>★県の整備量見込みシートにより、村内の認知症高齢者グループホームは定員27人・整備数0で、利用者数は令和8年度26人から令和9年度以降27人（到達率100%）となることが確定した。満床の見込みであるため、待機者がいる場合は村外の施設または在宅での対応になる。素案5-4(8)および施策3-2で「増床・村外対応・在宅対応のいずれを取るか」を書き分けるために、待機の状況（人数・待機期間）をご教示いただきたい。</t>
        </is>
      </c>
      <c r="E117" s="22" t="inlineStr">
        <is>
          <t>Ⅱ-105,Ⅱ-67</t>
        </is>
      </c>
      <c r="F117" s="22" t="inlineStr">
        <is>
          <t>doc66§4-1</t>
        </is>
      </c>
      <c r="G117" s="22" t="inlineStr">
        <is>
          <t>未依頼</t>
        </is>
      </c>
      <c r="H117" s="24" t="inlineStr"/>
    </row>
    <row r="118" ht="34" customHeight="1">
      <c r="A118" s="36" t="inlineStr">
        <is>
          <t>B</t>
        </is>
      </c>
      <c r="B118" s="23" t="inlineStr">
        <is>
          <t>データ</t>
        </is>
      </c>
      <c r="C118" s="24" t="inlineStr">
        <is>
          <t>令和6年度決算および令和7年度の給付費見込</t>
        </is>
      </c>
      <c r="D118" s="24" t="inlineStr">
        <is>
          <t>第9期の計画値と実績の乖離を確定させるために必要。★9/8：見える化D48系に令和5年度までの決算（保険給付費の款項内訳・地域支援事業費）が収録されていることが判明したため、必要なのは令和6・7年度の2か年に縮小した。</t>
        </is>
      </c>
      <c r="E118" s="22" t="inlineStr">
        <is>
          <t>Ⅱ-55,Ⅱ-56</t>
        </is>
      </c>
      <c r="F118" s="22" t="inlineStr">
        <is>
          <t>doc08§8-1,doc30§2-4</t>
        </is>
      </c>
      <c r="G118" s="22" t="inlineStr">
        <is>
          <t>未依頼</t>
        </is>
      </c>
      <c r="H118" s="24" t="inlineStr"/>
    </row>
    <row r="119" ht="34" customHeight="1">
      <c r="A119" s="36" t="inlineStr">
        <is>
          <t>B</t>
        </is>
      </c>
      <c r="B119" s="23" t="inlineStr">
        <is>
          <t>データ</t>
        </is>
      </c>
      <c r="C119" s="24" t="inlineStr">
        <is>
          <t>通いの場の実数（令和3〜7年度）</t>
        </is>
      </c>
      <c r="D119" s="24" t="inlineStr">
        <is>
          <t>見える化は令和2年度で更新停止。かつH25・H29・R2は未報告とみられる。活動指標の基準値に必須。★9/3：令和6年度分（23か所281人／週1回以上8か所123人）を受領。令和3〜5年度・令和7年度は未受領。</t>
        </is>
      </c>
      <c r="E119" s="22" t="inlineStr">
        <is>
          <t>Ⅱ-65</t>
        </is>
      </c>
      <c r="F119" s="22" t="inlineStr">
        <is>
          <t>doc02§16,§22</t>
        </is>
      </c>
      <c r="G119" s="22" t="inlineStr">
        <is>
          <t>一部回答</t>
        </is>
      </c>
      <c r="H119" s="24" t="inlineStr"/>
    </row>
    <row r="120" ht="34" customHeight="1">
      <c r="A120" s="36" t="inlineStr">
        <is>
          <t>B</t>
        </is>
      </c>
      <c r="B120" s="23" t="inlineStr">
        <is>
          <t>データ</t>
        </is>
      </c>
      <c r="C120" s="24" t="inlineStr">
        <is>
          <t>高齢者福祉事業（村単独事業）の実績資料</t>
        </is>
      </c>
      <c r="D120" s="24" t="inlineStr">
        <is>
          <t>現行計画の評価に必要。</t>
        </is>
      </c>
      <c r="E120" s="22" t="inlineStr">
        <is>
          <t>Ⅱ-53,Ⅱ-54</t>
        </is>
      </c>
      <c r="F120" s="22" t="inlineStr">
        <is>
          <t>doc01-11</t>
        </is>
      </c>
      <c r="G120" s="22" t="inlineStr">
        <is>
          <t>未依頼</t>
        </is>
      </c>
      <c r="H120" s="24" t="inlineStr"/>
    </row>
    <row r="121" ht="34" customHeight="1">
      <c r="A121" s="36" t="inlineStr">
        <is>
          <t>B</t>
        </is>
      </c>
      <c r="B121" s="23" t="inlineStr">
        <is>
          <t>データ</t>
        </is>
      </c>
      <c r="C121" s="24" t="inlineStr">
        <is>
          <t>訪問診療・訪問看護の提供実績（村内外の事業所別・令和6〜7年度）</t>
        </is>
      </c>
      <c r="D121" s="24" t="inlineStr">
        <is>
          <t>★素案の施策4-3に在宅医療・介護連携の4場面ごとの目指すべき姿を新設し、①日常の療養支援の現状を【要確認】としている。村内は南東北裏磐梯診療所・桧原診療所の2か所で訪問看護事業所は村内にない。訪問診療の実施状況と村外からの訪問看護の提供量が分からないと、日常の療養支援の余力を示せない。県への提供依頼で把握できる範囲もあわせてご相談したい。</t>
        </is>
      </c>
      <c r="E121" s="22" t="inlineStr">
        <is>
          <t>Ⅱ-67,Ⅱ-61</t>
        </is>
      </c>
      <c r="F121" s="22" t="inlineStr">
        <is>
          <t>doc42§4,doc18 施策4-3</t>
        </is>
      </c>
      <c r="G121" s="22" t="inlineStr">
        <is>
          <t>未依頼</t>
        </is>
      </c>
      <c r="H121" s="24" t="inlineStr"/>
    </row>
    <row r="122" ht="34" customHeight="1">
      <c r="A122" s="36" t="inlineStr">
        <is>
          <t>B</t>
        </is>
      </c>
      <c r="B122" s="23" t="inlineStr">
        <is>
          <t>データ</t>
        </is>
      </c>
      <c r="C122" s="24" t="inlineStr">
        <is>
          <t>急変時に本人の意思と医療情報を関係者間で共有する仕組みの有無（救急医療情報キット等）</t>
        </is>
      </c>
      <c r="D122" s="24" t="inlineStr">
        <is>
          <t>★素案の施策4-3の4場面のうち③急変時の対応の現状を【要確認】としている。救急搬送先は村外の病院であり、本人の意思・服薬・既往の情報が救急隊と搬送先へ伝わる仕組みがあるかで、第10期の対応策（仕組みの導入を検討するか運用の改善にとどめるか）が変わる。</t>
        </is>
      </c>
      <c r="E122" s="22" t="inlineStr">
        <is>
          <t>Ⅱ-67</t>
        </is>
      </c>
      <c r="F122" s="22" t="inlineStr">
        <is>
          <t>doc42§4,doc18 施策4-3</t>
        </is>
      </c>
      <c r="G122" s="22" t="inlineStr">
        <is>
          <t>未依頼</t>
        </is>
      </c>
      <c r="H122" s="24" t="inlineStr"/>
    </row>
    <row r="123" ht="34" customHeight="1">
      <c r="A123" s="36" t="inlineStr">
        <is>
          <t>B</t>
        </is>
      </c>
      <c r="B123" s="23" t="inlineStr">
        <is>
          <t>データ</t>
        </is>
      </c>
      <c r="C123" s="24" t="inlineStr">
        <is>
          <t>村内の認知症対応型共同生活介護の入退所の状況（年度ごとの入所者数・退所者数と退所の理由）</t>
        </is>
      </c>
      <c r="D123" s="24" t="inlineStr">
        <is>
          <t>村内の認知症対応型共同生活介護（定員27人）について、年度ごとの入所者数・退所者数と退所の理由を、把握されている範囲でご提供いただきたい。定員の見直しを行うかどうか（施策3-2）の判断に用いる。村内の定員27人に対し受給者は令和7年度に23.8人／月（到達率88.1%）であり、待機が生じているのか入れ替わりが少ないのかは、入退所の状況によらないと分からない。基本指針の別表 事項七が求める「入退所の状況」にあたる。施設・事業所数と入所率・稼働率は「見える化」システムの受領データで把握できたため（素案2-5・5-4(8)）、事項七で残っているのは入退所の状況と従事者数の2つである。</t>
        </is>
      </c>
      <c r="E123" s="22" t="inlineStr">
        <is>
          <t>Ⅱ-105,Ⅱ-61</t>
        </is>
      </c>
      <c r="F123" s="22" t="inlineStr">
        <is>
          <t>doc61§3</t>
        </is>
      </c>
      <c r="G123" s="22" t="inlineStr">
        <is>
          <t>未依頼</t>
        </is>
      </c>
      <c r="H123" s="24" t="inlineStr"/>
    </row>
    <row r="124" ht="34" customHeight="1">
      <c r="A124" s="36" t="inlineStr">
        <is>
          <t>B</t>
        </is>
      </c>
      <c r="B124" s="23" t="inlineStr">
        <is>
          <t>データ</t>
        </is>
      </c>
      <c r="C124" s="24" t="inlineStr">
        <is>
          <t>村内の住宅型有料老人ホーム・サービス付き高齢者向け住宅の有無（老人福祉法第29条の届出・高齢者住まい法の登録。県の所管）</t>
        </is>
      </c>
      <c r="D124" s="24" t="inlineStr">
        <is>
          <t>村内に住宅型有料老人ホーム・サービス付き高齢者向け住宅があるかどうかを、県にご照会いただきたい。有無だけで足り、あれば戸数と入居者数もいただきたい。有料老人ホームの届出は老人福祉法第29条第1項により県知事あて、サービス付き高齢者向け住宅の登録は高齢者の居住の安定確保に関する法律第5条により県知事あてで、いずれも県の所管のため村に情報が入らない。介護保険の指定を受けた特定施設入居者生活介護・地域密着型特定施設入居者生活介護は、受領データにより村内に平成24年度から令和6年度まで一貫して0であることを確かめた（素案2-5）。0であることが確かめられれば、基本指針の別表 事項八の対応を一部から対応に改められる。</t>
        </is>
      </c>
      <c r="E124" s="22" t="inlineStr">
        <is>
          <t>Ⅱ-54,Ⅱ-105</t>
        </is>
      </c>
      <c r="F124" s="22" t="inlineStr">
        <is>
          <t>doc61§3</t>
        </is>
      </c>
      <c r="G124" s="22" t="inlineStr">
        <is>
          <t>未依頼</t>
        </is>
      </c>
      <c r="H124" s="24" t="inlineStr"/>
    </row>
    <row r="125" ht="34" customHeight="1">
      <c r="A125" s="36" t="inlineStr">
        <is>
          <t>B</t>
        </is>
      </c>
      <c r="B125" s="23" t="inlineStr">
        <is>
          <t>データ</t>
        </is>
      </c>
      <c r="C125" s="24" t="inlineStr">
        <is>
          <t>村内の介護サービス事業所の従事者数（常勤換算・職種別）</t>
        </is>
      </c>
      <c r="D125" s="24" t="inlineStr">
        <is>
          <t>村内の介護サービス事業所の従事者数（常勤換算・職種別）を、把握されている範囲でご教示いただきたい。いただければ、村内で供給する分の介護人材の必要数を人員配置基準により算定できる。国の基本指針は介護人材の必要数の見通しを踏まえた計画の策定を求めているが、本村は事業所の従事者数の実績を持たないため必要数を直接には算定できない。素案5-4(12)では、担い手の規模が生産年齢人口に比例するという仮定により「供給の枠」を置いた参考の試算にとどめている（要支援の方に回せる量が令和7年の79人分から令和22年の13人分へ減るという結果）。村外の事業所の分は他市町村の計画の対象となるため本村では算定できないことを素案に明記している。</t>
        </is>
      </c>
      <c r="E125" s="22" t="inlineStr">
        <is>
          <t>Ⅱ-67,Ⅱ-61</t>
        </is>
      </c>
      <c r="F125" s="22" t="inlineStr">
        <is>
          <t>doc47§3</t>
        </is>
      </c>
      <c r="G125" s="22" t="inlineStr">
        <is>
          <t>未依頼</t>
        </is>
      </c>
      <c r="H125" s="24" t="inlineStr"/>
    </row>
    <row r="126" ht="34" customHeight="1">
      <c r="A126" s="36" t="inlineStr">
        <is>
          <t>B</t>
        </is>
      </c>
      <c r="B126" s="23" t="inlineStr">
        <is>
          <t>データ</t>
        </is>
      </c>
      <c r="C126" s="24" t="inlineStr">
        <is>
          <t>★村公式HPに載っている高齢者福祉の取組のうち、本計画に書き込むものの確認</t>
        </is>
      </c>
      <c r="D126" s="24" t="inlineStr">
        <is>
          <t>★10/10 起票：第8期障がい福祉計画の検討のために村公式HPを整理した資料の提供を受けた。本計画に関わる記述が次のとおりある。いずれも村HPの二次的な整理であり原典ではなく、当方の環境から村HPを開けないため（proxyが403）素案には書き込んでいない。原典（村HPまたは村の資料）でご確認いただくか、記載の可否をご教示いただきたい。①生活支援ハウスの名称は「シャルムハウス」か。素案4-6(1)は「生活支援ハウス」としか書いていない。②「除雪サービス登録事業者募集」を行っているか。素案の施策2-6は除雪支援について「担い手の確保が制約となる」としており、登録事業者を募る仕組みがあればその裏づけになる。③「わたしの思いノート」（会津圏域11市町村と会津権利擁護・成年後見センターが共同で作成した、本人の医療・介護等への希望や考えを書き留めるツール）の配布・活用の状況。施策4-3（在宅医療・介護連携）のACP・人生会議と、施策4-7（成年後見制度の利用促進）の判断能力が低下する前の備えの周知の、両方の裏づけになる。④「みんなの人権110番」（法務局職員・人権擁護委員が差別・虐待等の相談に対応）を施策4-1（高齢者虐待への対応）の相談経路として書いてよいか。⑤ヘルプマーク・ヘルプカード・耳マーク・おもいやり駐車場を、村全体の地域共生・合理的配慮の施策として本計画に触れてよいか。</t>
        </is>
      </c>
      <c r="E126" s="22" t="inlineStr">
        <is>
          <t>Ⅱ-67,Ⅱ-110,Ⅱ-69</t>
        </is>
      </c>
      <c r="F126" s="22" t="inlineStr">
        <is>
          <t>doc76§7</t>
        </is>
      </c>
      <c r="G126" s="22" t="inlineStr">
        <is>
          <t>未依頼</t>
        </is>
      </c>
      <c r="H126" s="24" t="inlineStr"/>
    </row>
    <row r="127" ht="34" customHeight="1">
      <c r="A127" s="36" t="inlineStr">
        <is>
          <t>B</t>
        </is>
      </c>
      <c r="B127" s="23" t="inlineStr">
        <is>
          <t>データ</t>
        </is>
      </c>
      <c r="C127" s="24" t="inlineStr">
        <is>
          <t>村内の居宅介護支援事業所は1か所か2か所か</t>
        </is>
      </c>
      <c r="D127" s="24" t="inlineStr">
        <is>
          <t>★10/10 起票：素案2-5の事業所数の表は見える化システムにより令和5年度から2か所としているが、高齢者サービスの手引き（令和8年度版）のサービス事業者一覧には北塩原村社会福祉協議会 居宅介護支援事業所の1事業所しか載っていない。令和6年度以降に1か所になったのか、手引きが主なものだけを載せているのかをご教示いただきたい。素案2-5は「居宅介護支援事業所が令和5年度に1か所から2か所に増えています」と書いており、これが偏差値の上昇の説明にもなっているため、数が変わると説明も変わる。</t>
        </is>
      </c>
      <c r="E127" s="22" t="inlineStr">
        <is>
          <t>Ⅱ-54,Ⅱ-115</t>
        </is>
      </c>
      <c r="F127" s="22" t="inlineStr">
        <is>
          <t>doc76§1-1</t>
        </is>
      </c>
      <c r="G127" s="22" t="inlineStr">
        <is>
          <t>未依頼</t>
        </is>
      </c>
      <c r="H127" s="24" t="inlineStr"/>
    </row>
    <row r="128" ht="34" customHeight="1">
      <c r="A128" s="36" t="inlineStr">
        <is>
          <t>B</t>
        </is>
      </c>
      <c r="B128" s="23" t="inlineStr">
        <is>
          <t>データ</t>
        </is>
      </c>
      <c r="C128" s="24" t="inlineStr">
        <is>
          <t>介護人材の確保に関する福島県の事業（介護人材確保対策・修学資金貸付）の内容と本村からの利用実績</t>
        </is>
      </c>
      <c r="D128" s="24" t="inlineStr">
        <is>
          <t>★令和8年度の交付金（都道府県分）により、介護人材の確保・サービス提供基盤の整備は福島県が全国平均を13.1点下回る県全体の課題であることが判明した（本村は▲4.8点）。本村単独では動かしにくいため、施策4-6は県の事業と定住自立圏（喜多方市・西会津町）の研修費用助成を活用する形に組み立てたい。県の事業の内容と本村からの利用実績をご教示いただきたい。</t>
        </is>
      </c>
      <c r="E128" s="22" t="inlineStr">
        <is>
          <t>Ⅱ-67,Ⅱ-54</t>
        </is>
      </c>
      <c r="F128" s="22" t="inlineStr">
        <is>
          <t>doc41§3</t>
        </is>
      </c>
      <c r="G128" s="22" t="inlineStr">
        <is>
          <t>未依頼</t>
        </is>
      </c>
      <c r="H128" s="24" t="inlineStr"/>
    </row>
    <row r="129" ht="34" customHeight="1">
      <c r="A129" s="36" t="inlineStr">
        <is>
          <t>B</t>
        </is>
      </c>
      <c r="B129" s="23" t="inlineStr">
        <is>
          <t>データ</t>
        </is>
      </c>
      <c r="C129" s="24" t="inlineStr">
        <is>
          <t>人口データの出所の統一（住基／国勢調査／福島県現住人口調査）</t>
        </is>
      </c>
      <c r="D129" s="24" t="inlineStr">
        <is>
          <t>計画書内で人口の数字が複数出ることを避ける。doc13は社人研＋住基の補正手法を採用。</t>
        </is>
      </c>
      <c r="E129" s="22" t="inlineStr">
        <is>
          <t>Ⅱ-58,Ⅱ-59</t>
        </is>
      </c>
      <c r="F129" s="22" t="inlineStr">
        <is>
          <t>doc19 追-9</t>
        </is>
      </c>
      <c r="G129" s="22" t="inlineStr">
        <is>
          <t>未依頼</t>
        </is>
      </c>
      <c r="H129" s="24" t="inlineStr"/>
    </row>
    <row r="130" ht="34" customHeight="1">
      <c r="A130" s="36" t="inlineStr">
        <is>
          <t>B</t>
        </is>
      </c>
      <c r="B130" s="23" t="inlineStr">
        <is>
          <t>データ</t>
        </is>
      </c>
      <c r="C130" s="24" t="inlineStr">
        <is>
          <t>介護保険事業状況報告 月報 第2表・第3表（サービス種類別の受給者数）</t>
        </is>
      </c>
      <c r="D130" s="24" t="inlineStr">
        <is>
          <t>★見込量推計の停止要因。見える化にサービス種類別の受給者数の系列はないが、第1号被保険者1人あたり給付月額（D13系列）に第1号被保険者数を乗じ、受給者1人あたり給付月額（D17系列）で除せば受給者数を算出できる。通所介護で検算したところ素案の値（令和5年度37.2・令和6年度42.2・令和7年度38.9人／月）と一致した。D17系列があるのは15サービスで、居住系の認知症対応型共同生活介護・特定施設入居者生活介護を含む。★10/7：したがって停止しているのは施設サービス3種（介護老人福祉施設・介護老人保健施設・介護医療院）のみで、この3種はD17系列がないため按分した参考値のままである。確定値にするには月報 第2表・第3表の実数が要る。居住系2種は算出に切り替える（素案5-4(3)）。</t>
        </is>
      </c>
      <c r="E130" s="22" t="inlineStr">
        <is>
          <t>Ⅱ-55,Ⅱ-56</t>
        </is>
      </c>
      <c r="F130" s="22" t="inlineStr">
        <is>
          <t>doc30§5-3</t>
        </is>
      </c>
      <c r="G130" s="22" t="inlineStr">
        <is>
          <t>未依頼</t>
        </is>
      </c>
      <c r="H130" s="24" t="inlineStr"/>
    </row>
    <row r="131" ht="34" customHeight="1">
      <c r="A131" s="36" t="inlineStr">
        <is>
          <t>B</t>
        </is>
      </c>
      <c r="B131" s="23" t="inlineStr">
        <is>
          <t>データ</t>
        </is>
      </c>
      <c r="C131" s="24" t="inlineStr">
        <is>
          <t>介護給付と予防給付を分けたサービス種類別の受給者数・給付費</t>
        </is>
      </c>
      <c r="D131" s="24" t="inlineStr">
        <is>
          <t>★計画の様式は介護給付と予防給付を分けて記載する。見える化は両者を合算した値のみ。要支援1・2の在宅受給者は48.3人／月で在宅全体の43%を占めるため、分離しないと予防給付の見込量が立てられない。</t>
        </is>
      </c>
      <c r="E131" s="22" t="inlineStr">
        <is>
          <t>Ⅱ-55,Ⅱ-56</t>
        </is>
      </c>
      <c r="F131" s="22" t="inlineStr">
        <is>
          <t>doc30§5-1</t>
        </is>
      </c>
      <c r="G131" s="22" t="inlineStr">
        <is>
          <t>未依頼</t>
        </is>
      </c>
      <c r="H131" s="24" t="inlineStr"/>
    </row>
    <row r="132" ht="34" customHeight="1">
      <c r="A132" s="36" t="inlineStr">
        <is>
          <t>B</t>
        </is>
      </c>
      <c r="B132" s="23" t="inlineStr">
        <is>
          <t>データ</t>
        </is>
      </c>
      <c r="C132" s="24" t="inlineStr">
        <is>
          <t>特定福祉用具販売・住宅改修の件数（令和5〜7年度）</t>
        </is>
      </c>
      <c r="D132" s="24" t="inlineStr">
        <is>
          <t>計画の様式は「件／年」で記載する。見える化は給付費のみで件数の系列がない。</t>
        </is>
      </c>
      <c r="E132" s="22" t="inlineStr">
        <is>
          <t>Ⅱ-55</t>
        </is>
      </c>
      <c r="F132" s="22" t="inlineStr">
        <is>
          <t>doc30§5-1</t>
        </is>
      </c>
      <c r="G132" s="22" t="inlineStr">
        <is>
          <t>未依頼</t>
        </is>
      </c>
      <c r="H132" s="24" t="inlineStr"/>
    </row>
    <row r="133" ht="34" customHeight="1">
      <c r="A133" s="36" t="inlineStr">
        <is>
          <t>B</t>
        </is>
      </c>
      <c r="B133" s="23" t="inlineStr">
        <is>
          <t>データ</t>
        </is>
      </c>
      <c r="C133" s="24" t="inlineStr">
        <is>
          <t>居宅介護支援・介護予防支援の受給者数（居宅と予防の内訳）</t>
        </is>
      </c>
      <c r="D133" s="24" t="inlineStr">
        <is>
          <t>★9/24：合計人数は見える化の2系列から逆算して解決した（D13-r×B1÷D17-l）。令和3〜7年度の逆算値86.7／91.3／98.0／112.0／111.1人は在宅サービス受給者数と0.1人以内で一致する。残るのは居宅介護支援と介護予防支援の内訳のみ。見える化では分けられない。</t>
        </is>
      </c>
      <c r="E133" s="22" t="inlineStr">
        <is>
          <t>Ⅱ-55</t>
        </is>
      </c>
      <c r="F133" s="22" t="inlineStr">
        <is>
          <t>doc38§A-2,doc18 5-4(9)</t>
        </is>
      </c>
      <c r="G133" s="22" t="inlineStr">
        <is>
          <t>一部回答</t>
        </is>
      </c>
      <c r="H133" s="24" t="inlineStr"/>
    </row>
    <row r="134" ht="34" customHeight="1">
      <c r="A134" s="36" t="inlineStr">
        <is>
          <t>B</t>
        </is>
      </c>
      <c r="B134" s="23" t="inlineStr">
        <is>
          <t>データ</t>
        </is>
      </c>
      <c r="C134" s="24" t="inlineStr">
        <is>
          <t>ニーズ調査 問1(4)（住まいの種類）を削除したままとする場合の代替資料</t>
        </is>
      </c>
      <c r="D134" s="24" t="inlineStr">
        <is>
          <t>基本指針が求める「高齢者の居住安定に係る施策との連携」と施策2-3の根拠になる唯一の設問だった。公営住宅・借家の高齢者を把握する手段がなくなるため、村の住宅施策の資料で補う。</t>
        </is>
      </c>
      <c r="E134" s="22" t="inlineStr">
        <is>
          <t>Ⅱ-53</t>
        </is>
      </c>
      <c r="F134" s="22" t="inlineStr">
        <is>
          <t>doc34§3-3</t>
        </is>
      </c>
      <c r="G134" s="22" t="inlineStr">
        <is>
          <t>未依頼</t>
        </is>
      </c>
      <c r="H134" s="24" t="inlineStr"/>
    </row>
    <row r="135" ht="34" customHeight="1">
      <c r="A135" s="36" t="inlineStr">
        <is>
          <t>B</t>
        </is>
      </c>
      <c r="B135" s="23" t="inlineStr">
        <is>
          <t>データ</t>
        </is>
      </c>
      <c r="C135" s="24" t="inlineStr">
        <is>
          <t>高齢者虐待への対応実績（相談・通報件数、虐待と判断した件数、措置件数）</t>
        </is>
      </c>
      <c r="D135" s="24" t="inlineStr">
        <is>
          <t>★国の基本指針が権利擁護として記載を求める事項。素案には「虐待」の語が1度もなかった（doc32 §5-1）。地域包括支援センターの権利擁護業務の中核でもある。</t>
        </is>
      </c>
      <c r="E135" s="22" t="inlineStr">
        <is>
          <t>Ⅱ-53,Ⅱ-54</t>
        </is>
      </c>
      <c r="F135" s="22" t="inlineStr">
        <is>
          <t>doc32§5-1</t>
        </is>
      </c>
      <c r="G135" s="22" t="inlineStr">
        <is>
          <t>未依頼</t>
        </is>
      </c>
      <c r="H135" s="24" t="inlineStr"/>
    </row>
    <row r="136" ht="34" customHeight="1">
      <c r="A136" s="36" t="inlineStr">
        <is>
          <t>B</t>
        </is>
      </c>
      <c r="B136" s="23" t="inlineStr">
        <is>
          <t>データ</t>
        </is>
      </c>
      <c r="C136" s="24" t="inlineStr">
        <is>
          <t>老人福祉事業の量の実績（養護老人ホーム措置・軽費老人ホーム・老人クラブ）</t>
        </is>
      </c>
      <c r="D136" s="24" t="inlineStr">
        <is>
          <t>★老人福祉法第20条の8第2項が「定めるものとする」とする義務的記載事項。素案に量の目標の表がなかったため4-6を新設したが、実績値がないと目標が置けない。</t>
        </is>
      </c>
      <c r="E136" s="22" t="inlineStr">
        <is>
          <t>Ⅱ-53</t>
        </is>
      </c>
      <c r="F136" s="22" t="inlineStr">
        <is>
          <t>doc32§4-1</t>
        </is>
      </c>
      <c r="G136" s="22" t="inlineStr">
        <is>
          <t>未依頼</t>
        </is>
      </c>
      <c r="H136" s="24" t="inlineStr"/>
    </row>
    <row r="137" ht="34" customHeight="1">
      <c r="A137" s="36" t="inlineStr">
        <is>
          <t>B</t>
        </is>
      </c>
      <c r="B137" s="23" t="inlineStr">
        <is>
          <t>データ</t>
        </is>
      </c>
      <c r="C137" s="24" t="inlineStr">
        <is>
          <t>介護サービス事業所のBCP・要配慮者利用施設の避難確保計画の策定状況</t>
        </is>
      </c>
      <c r="D137" s="24" t="inlineStr">
        <is>
          <t>★基本指針が求める災害・感染症対策の体制整備。村内2事業所（GH・通所介護）が対象になり得る。</t>
        </is>
      </c>
      <c r="E137" s="22" t="inlineStr">
        <is>
          <t>Ⅱ-54</t>
        </is>
      </c>
      <c r="F137" s="22" t="inlineStr">
        <is>
          <t>doc32§5-2</t>
        </is>
      </c>
      <c r="G137" s="22" t="inlineStr">
        <is>
          <t>未依頼</t>
        </is>
      </c>
      <c r="H137" s="24" t="inlineStr"/>
    </row>
    <row r="138" ht="34" customHeight="1">
      <c r="A138" s="36" t="inlineStr">
        <is>
          <t>B</t>
        </is>
      </c>
      <c r="B138" s="23" t="inlineStr">
        <is>
          <t>データ</t>
        </is>
      </c>
      <c r="C138" s="24" t="inlineStr">
        <is>
          <t>第9期計画の本文（第5章81〜92ページ）</t>
        </is>
      </c>
      <c r="D138" s="24" t="inlineStr">
        <is>
          <t>★老人福祉事業の量の目標を第9期計画のどこに記載していたかを確認し、第10期の配置を揃えるために必要。現在は第4章末（4-6）に置いている。</t>
        </is>
      </c>
      <c r="E138" s="22" t="inlineStr">
        <is>
          <t>Ⅱ-53</t>
        </is>
      </c>
      <c r="F138" s="22" t="inlineStr">
        <is>
          <t>doc32§4-1</t>
        </is>
      </c>
      <c r="G138" s="22" t="inlineStr">
        <is>
          <t>未依頼</t>
        </is>
      </c>
      <c r="H138" s="24" t="inlineStr"/>
    </row>
    <row r="139" ht="34" customHeight="1">
      <c r="A139" s="36" t="inlineStr">
        <is>
          <t>B</t>
        </is>
      </c>
      <c r="B139" s="23" t="inlineStr">
        <is>
          <t>データ</t>
        </is>
      </c>
      <c r="C139" s="24" t="inlineStr">
        <is>
          <t>福島県保健医療計画（第八次）の会津・南会津区域に関する記載</t>
        </is>
      </c>
      <c r="D139" s="24" t="inlineStr">
        <is>
          <t>★介護保険法第117条第5項により本計画は医療計画と整合が図られたものでなければならない。素案1-4に整合の記述を追加したが内容が未確定。</t>
        </is>
      </c>
      <c r="E139" s="22" t="inlineStr">
        <is>
          <t>Ⅱ-53</t>
        </is>
      </c>
      <c r="F139" s="22" t="inlineStr">
        <is>
          <t>doc32§3-3</t>
        </is>
      </c>
      <c r="G139" s="22" t="inlineStr">
        <is>
          <t>未依頼</t>
        </is>
      </c>
      <c r="H139" s="24" t="inlineStr"/>
    </row>
    <row r="140" ht="34" customHeight="1">
      <c r="A140" s="36" t="inlineStr">
        <is>
          <t>B</t>
        </is>
      </c>
      <c r="B140" s="23" t="inlineStr">
        <is>
          <t>データ</t>
        </is>
      </c>
      <c r="C140" s="24" t="inlineStr">
        <is>
          <t>診療所（南東北裏磐梯・桧原）の診療日数および患者数</t>
        </is>
      </c>
      <c r="D140" s="24" t="inlineStr">
        <is>
          <t>★在宅医療・介護連携の分析に直結するがこれまで把握していなかった。</t>
        </is>
      </c>
      <c r="E140" s="22" t="inlineStr">
        <is>
          <t>Ⅱ-54</t>
        </is>
      </c>
      <c r="F140" s="22" t="inlineStr">
        <is>
          <t>doc19 追-11</t>
        </is>
      </c>
      <c r="G140" s="22" t="inlineStr">
        <is>
          <t>未依頼</t>
        </is>
      </c>
      <c r="H140" s="24" t="inlineStr"/>
    </row>
    <row r="141" ht="34" customHeight="1">
      <c r="A141" s="36" t="inlineStr">
        <is>
          <t>B</t>
        </is>
      </c>
      <c r="B141" s="23" t="inlineStr">
        <is>
          <t>データ</t>
        </is>
      </c>
      <c r="C141" s="24" t="inlineStr">
        <is>
          <t>家族介護者リフレッシュ事業・介護用品支給・サポーター養成講座・成年後見の各実績</t>
        </is>
      </c>
      <c r="D141" s="24" t="inlineStr">
        <is>
          <t>任意事業・認知症施策・成年後見の評価に必要。令和6年度実績、可能であれば令和7年度。</t>
        </is>
      </c>
      <c r="E141" s="22" t="inlineStr">
        <is>
          <t>Ⅱ-53,Ⅱ-54</t>
        </is>
      </c>
      <c r="F141" s="22" t="inlineStr">
        <is>
          <t>doc19 追-11</t>
        </is>
      </c>
      <c r="G141" s="22" t="inlineStr">
        <is>
          <t>未依頼</t>
        </is>
      </c>
      <c r="H141" s="24" t="inlineStr"/>
    </row>
    <row r="142" ht="34" customHeight="1">
      <c r="A142" s="36" t="inlineStr">
        <is>
          <t>B</t>
        </is>
      </c>
      <c r="B142" s="23" t="inlineStr">
        <is>
          <t>データ</t>
        </is>
      </c>
      <c r="C142" s="24" t="inlineStr">
        <is>
          <t>特定健診・後期高齢者健診の受診率、特定保健指導の実施率</t>
        </is>
      </c>
      <c r="D142" s="24" t="inlineStr">
        <is>
          <t>介護予防と保健事業の一体的実施（施策1-6）の評価に必要。</t>
        </is>
      </c>
      <c r="E142" s="22" t="inlineStr">
        <is>
          <t>Ⅱ-54</t>
        </is>
      </c>
      <c r="F142" s="22" t="inlineStr">
        <is>
          <t>doc19 追-11</t>
        </is>
      </c>
      <c r="G142" s="22" t="inlineStr">
        <is>
          <t>未依頼</t>
        </is>
      </c>
      <c r="H142" s="24" t="inlineStr"/>
    </row>
    <row r="143" ht="34" customHeight="1">
      <c r="A143" s="36" t="inlineStr">
        <is>
          <t>B</t>
        </is>
      </c>
      <c r="B143" s="23" t="inlineStr">
        <is>
          <t>データ</t>
        </is>
      </c>
      <c r="C143" s="24" t="inlineStr">
        <is>
          <t>ACP（人生会議）の普及啓発・看取りに関する住民向け取組の有無</t>
        </is>
      </c>
      <c r="D143" s="24" t="inlineStr">
        <is>
          <t>支援交付金目標Ⅲ「人生の最終段階における支援」4項目が0点（配点計8点）。</t>
        </is>
      </c>
      <c r="E143" s="22" t="inlineStr">
        <is>
          <t>Ⅱ-54</t>
        </is>
      </c>
      <c r="F143" s="22" t="inlineStr">
        <is>
          <t>doc20§6-2 K-65</t>
        </is>
      </c>
      <c r="G143" s="22" t="inlineStr">
        <is>
          <t>未依頼</t>
        </is>
      </c>
      <c r="H143" s="24" t="inlineStr"/>
    </row>
    <row r="144" ht="34" customHeight="1">
      <c r="A144" s="36" t="inlineStr">
        <is>
          <t>B</t>
        </is>
      </c>
      <c r="B144" s="23" t="inlineStr">
        <is>
          <t>データ</t>
        </is>
      </c>
      <c r="C144" s="24" t="inlineStr">
        <is>
          <t>第四次生涯学習推進計画の目標値の直近実績（中間評価の有無・結果）</t>
        </is>
      </c>
      <c r="D144" s="24" t="inlineStr">
        <is>
          <t>10年計画（2018〜2027年度）の中間年は2022年度。第10期計画に引用可能か。</t>
        </is>
      </c>
      <c r="E144" s="22" t="inlineStr">
        <is>
          <t>Ⅱ-72</t>
        </is>
      </c>
      <c r="F144" s="22" t="inlineStr">
        <is>
          <t>doc21§5 K-68</t>
        </is>
      </c>
      <c r="G144" s="22" t="inlineStr">
        <is>
          <t>未依頼</t>
        </is>
      </c>
      <c r="H144" s="24" t="inlineStr"/>
    </row>
    <row r="145" ht="34" customHeight="1">
      <c r="A145" s="36" t="inlineStr">
        <is>
          <t>B</t>
        </is>
      </c>
      <c r="B145" s="23" t="inlineStr">
        <is>
          <t>データ</t>
        </is>
      </c>
      <c r="C145" s="24" t="inlineStr">
        <is>
          <t>高齢者生きがい健康づくり事業・高齢者教室の実施状況（開催回数・参加人数）</t>
        </is>
      </c>
      <c r="D145" s="24" t="inlineStr">
        <is>
          <t>教育委員会所管。介護予防（通いの場）の実績にカウントできるものがあるかを確認。</t>
        </is>
      </c>
      <c r="E145" s="22" t="inlineStr">
        <is>
          <t>Ⅱ-53</t>
        </is>
      </c>
      <c r="F145" s="22" t="inlineStr">
        <is>
          <t>doc21§5 K-71</t>
        </is>
      </c>
      <c r="G145" s="22" t="inlineStr">
        <is>
          <t>未依頼</t>
        </is>
      </c>
      <c r="H145" s="24" t="inlineStr"/>
    </row>
    <row r="146" ht="34" customHeight="1">
      <c r="A146" s="36" t="inlineStr">
        <is>
          <t>B</t>
        </is>
      </c>
      <c r="B146" s="23" t="inlineStr">
        <is>
          <t>データ</t>
        </is>
      </c>
      <c r="C146" s="24" t="inlineStr">
        <is>
          <t>シルバー人材センターの会員数・受注実績</t>
        </is>
      </c>
      <c r="D146" s="24" t="inlineStr">
        <is>
          <t>高齢者の就労的活動の実績として記載可能か。生涯学習推進計画にも施策として位置づけあり。</t>
        </is>
      </c>
      <c r="E146" s="22" t="inlineStr">
        <is>
          <t>Ⅱ-53</t>
        </is>
      </c>
      <c r="F146" s="22" t="inlineStr">
        <is>
          <t>doc21§5 K-72</t>
        </is>
      </c>
      <c r="G146" s="22" t="inlineStr">
        <is>
          <t>未依頼</t>
        </is>
      </c>
      <c r="H146" s="24" t="inlineStr"/>
    </row>
    <row r="147" ht="34" customHeight="1">
      <c r="A147" s="36" t="inlineStr">
        <is>
          <t>B</t>
        </is>
      </c>
      <c r="B147" s="23" t="inlineStr">
        <is>
          <t>データ</t>
        </is>
      </c>
      <c r="C147" s="24" t="inlineStr">
        <is>
          <t>行政区コードの先頭の桁と地区の対応（推定の確認）および在宅調査「追加分」77件の位置づけ</t>
        </is>
      </c>
      <c r="D147" s="24" t="inlineStr">
        <is>
          <t>ニーズ調査の名簿の行政区コード（101〜407の23区分）について、先頭の桁が地区に対応するとみて第9期の対象者数と照合したところ4地区とも近い値となった（北山341対329、大塩185対200、桧原111対114、裏磐梯245対240、計882対883）。この対応で資料3の3-1の対象者数の欄を確定したため、推定が正しいかをご確認いただきたい。あわせて在宅調査の「追加分」77件の位置づけをご教示いただきたい（リスト66＋引き抜き52＝118で対象者数は足りており、ニーズ調査の「引き抜き」77件と同数である）。また、在宅介護実態調査の名簿の行政区は23区分あり10人以上は2区分のみであるため、そのままでは地区別の集計ができない。行政区名と地区（北山・大塩・桧原・裏磐梯）の対応表をご提供いただきたい。</t>
        </is>
      </c>
      <c r="E147" s="22" t="inlineStr">
        <is>
          <t>Ⅰ-24,Ⅰ-40</t>
        </is>
      </c>
      <c r="F147" s="22" t="inlineStr">
        <is>
          <t>doc43§2-1,§2-4</t>
        </is>
      </c>
      <c r="G147" s="22" t="inlineStr">
        <is>
          <t>未依頼</t>
        </is>
      </c>
      <c r="H147" s="24" t="inlineStr"/>
    </row>
    <row r="148" ht="34" customHeight="1">
      <c r="A148" s="36" t="inlineStr">
        <is>
          <t>B</t>
        </is>
      </c>
      <c r="B148" s="23" t="inlineStr">
        <is>
          <t>データ</t>
        </is>
      </c>
      <c r="C148" s="24" t="inlineStr">
        <is>
          <t>第9期調査の集計基準・集計表の提供</t>
        </is>
      </c>
      <c r="D148" s="24" t="inlineStr">
        <is>
          <t>前回比較（集計軸G）に必要。無回答の扱い・端数処理を揃えないと比較にならない。</t>
        </is>
      </c>
      <c r="E148" s="22" t="inlineStr">
        <is>
          <t>Ⅰ-42</t>
        </is>
      </c>
      <c r="F148" s="22" t="inlineStr">
        <is>
          <t>doc25§8 K-92</t>
        </is>
      </c>
      <c r="G148" s="22" t="inlineStr">
        <is>
          <t>未依頼</t>
        </is>
      </c>
      <c r="H148" s="24" t="inlineStr"/>
    </row>
    <row r="149" ht="34" customHeight="1">
      <c r="A149" s="36" t="inlineStr">
        <is>
          <t>B</t>
        </is>
      </c>
      <c r="B149" s="23" t="inlineStr">
        <is>
          <t>データ</t>
        </is>
      </c>
      <c r="C149" s="24" t="inlineStr">
        <is>
          <t>成年後見の中核機関の整備圏域（調査票は「市町村圏域」だが実態は会津圏域13市町村の共同運営か）</t>
        </is>
      </c>
      <c r="D149" s="24" t="inlineStr">
        <is>
          <t>相談件数表から会津権利擁護・成年後見センターへの委託と見られるが、調査票の回答は市町村圏域。計画の記述の正確性に関わる。</t>
        </is>
      </c>
      <c r="E149" s="22" t="inlineStr">
        <is>
          <t>Ⅱ-68</t>
        </is>
      </c>
      <c r="F149" s="22" t="inlineStr">
        <is>
          <t>doc28§3-4 K-109</t>
        </is>
      </c>
      <c r="G149" s="22" t="inlineStr">
        <is>
          <t>未依頼</t>
        </is>
      </c>
      <c r="H149" s="24" t="inlineStr"/>
    </row>
    <row r="150" ht="34" customHeight="1">
      <c r="A150" s="36" t="inlineStr">
        <is>
          <t>B</t>
        </is>
      </c>
      <c r="B150" s="23" t="inlineStr">
        <is>
          <t>データ</t>
        </is>
      </c>
      <c r="C150" s="24" t="inlineStr">
        <is>
          <t>合計所得金額分布調査の10万円刻みデータを保険料試算に使用してよいか</t>
        </is>
      </c>
      <c r="D150" s="24" t="inlineStr">
        <is>
          <t>所得段階の区切りを変えた場合の影響試算に使える。第10期で段階設定を見直す場合の基礎データ。</t>
        </is>
      </c>
      <c r="E150" s="22" t="inlineStr">
        <is>
          <t>Ⅱ-107</t>
        </is>
      </c>
      <c r="F150" s="22" t="inlineStr">
        <is>
          <t>doc28§2 K-110</t>
        </is>
      </c>
      <c r="G150" s="22" t="inlineStr">
        <is>
          <t>未依頼</t>
        </is>
      </c>
      <c r="H150" s="24" t="inlineStr"/>
    </row>
    <row r="151" ht="34" customHeight="1">
      <c r="A151" s="36" t="inlineStr">
        <is>
          <t>B</t>
        </is>
      </c>
      <c r="B151" s="23" t="inlineStr">
        <is>
          <t>データ</t>
        </is>
      </c>
      <c r="C151" s="24" t="inlineStr">
        <is>
          <t>特定健診・後期高齢者健診の受診率は見える化に系列がない</t>
        </is>
      </c>
      <c r="D151" s="24" t="inlineStr">
        <is>
          <t>★施策1-6（保健事業と介護予防の一体的実施）の指標に用いる。見える化に系列がないため、村または国保データベース（KDB）システムから取る。KDBは見える化とは別のシステムであり、アクセスの可否を村に確認する。</t>
        </is>
      </c>
      <c r="E151" s="22" t="inlineStr">
        <is>
          <t>Ⅱ-54</t>
        </is>
      </c>
      <c r="F151" s="22" t="inlineStr">
        <is>
          <t>doc38§D</t>
        </is>
      </c>
      <c r="G151" s="22" t="inlineStr">
        <is>
          <t>未依頼</t>
        </is>
      </c>
      <c r="H151" s="24" t="inlineStr"/>
    </row>
    <row r="152" ht="34" customHeight="1">
      <c r="A152" s="36" t="inlineStr">
        <is>
          <t>B</t>
        </is>
      </c>
      <c r="B152" s="23" t="inlineStr">
        <is>
          <t>データ</t>
        </is>
      </c>
      <c r="C152" s="24" t="inlineStr">
        <is>
          <t>令和8年度 該当状況調査票集計表（市町村分・全国一覧表）の再ご提供</t>
        </is>
      </c>
      <c r="D152" s="24" t="inlineStr">
        <is>
          <t>受領した全国一覧表（1,563列）が作業環境に残っておらず、項目別の県内順位を再集計できない。目標別の県内順位・県中央値と、計画への記載で取得をめざす11項目の県内順位は算定済みで記録しているが、残りの要改善項目について県内での位置を出すには原本が必要である。県内で遅れているのは支援Ⅱ（県中央値▲23点）と推進Ⅱ（同▲14点）の2目標に絞られているため、この2目標の12項目について県内順位が分かると、重点の置き方の説明がしやすくなる。</t>
        </is>
      </c>
      <c r="E152" s="22" t="inlineStr">
        <is>
          <t>Ⅱ-67</t>
        </is>
      </c>
      <c r="F152" s="22" t="inlineStr">
        <is>
          <t>doc48§0</t>
        </is>
      </c>
      <c r="G152" s="22" t="inlineStr">
        <is>
          <t>未依頼</t>
        </is>
      </c>
      <c r="H152" s="24" t="inlineStr"/>
    </row>
    <row r="153" ht="34" customHeight="1">
      <c r="A153" s="36" t="inlineStr">
        <is>
          <t>B</t>
        </is>
      </c>
      <c r="B153" s="23" t="inlineStr">
        <is>
          <t>データ</t>
        </is>
      </c>
      <c r="C153" s="24" t="inlineStr">
        <is>
          <t>令和8年度から新設された成果指向型配分枠（配点100点）の要件と本村の得点</t>
        </is>
      </c>
      <c r="D153" s="24" t="inlineStr">
        <is>
          <t>令和8年度の評価指標には保険者機能強化推進交付金の成果指向型配分枠（100点）が新設されている。受領した該当状況調査票集計表（市町村分）には当該配分枠の列がないため本村の得点が確認できない。本村の800点は評価指標による満点（推進400点・支援400点）であり、この枠を含まない。成果指向型の介護予防・健康づくりの取組が対象となるため、施策1-1・1-3の組み立てに関わる。要件と本村の得点を県に照会いただきたい。</t>
        </is>
      </c>
      <c r="E153" s="22" t="inlineStr">
        <is>
          <t>Ⅱ-109</t>
        </is>
      </c>
      <c r="F153" s="22" t="inlineStr">
        <is>
          <t>doc46§2</t>
        </is>
      </c>
      <c r="G153" s="22" t="inlineStr">
        <is>
          <t>未依頼</t>
        </is>
      </c>
      <c r="H153" s="24" t="inlineStr"/>
    </row>
    <row r="154" ht="34" customHeight="1">
      <c r="A154" s="36" t="inlineStr">
        <is>
          <t>B</t>
        </is>
      </c>
      <c r="B154" s="23" t="inlineStr">
        <is>
          <t>データ</t>
        </is>
      </c>
      <c r="C154" s="24" t="inlineStr">
        <is>
          <t>若年性認知症（65歳未満で認知症となった方）の状況</t>
        </is>
      </c>
      <c r="D154" s="24" t="inlineStr">
        <is>
          <t>★認知症基本法第16条第2項は、若年性認知症の人その他の認知症の人の意欲および能力に応じた雇用の継続・円滑な就職に資する施策を求める。若年性認知症の方は介護保険では第2号被保険者となり、就労の継続が生活の基盤に直結する。本村の該当者の状況が未把握。</t>
        </is>
      </c>
      <c r="E154" s="22" t="inlineStr">
        <is>
          <t>Ⅱ-68</t>
        </is>
      </c>
      <c r="F154" s="22" t="inlineStr">
        <is>
          <t>doc36§10-4,doc18 4-7(3)</t>
        </is>
      </c>
      <c r="G154" s="22" t="inlineStr">
        <is>
          <t>未依頼</t>
        </is>
      </c>
      <c r="H154" s="24" t="inlineStr"/>
    </row>
    <row r="155" ht="34" customHeight="1">
      <c r="A155" s="36" t="inlineStr">
        <is>
          <t>B</t>
        </is>
      </c>
      <c r="B155" s="23" t="inlineStr">
        <is>
          <t>データ</t>
        </is>
      </c>
      <c r="C155" s="24" t="inlineStr">
        <is>
          <t>令和6年度・令和7年度の介護サービス等諸費／介護予防サービス等諸費の決算額</t>
        </is>
      </c>
      <c r="D155" s="24" t="inlineStr">
        <is>
          <t>★介護給付費と予防給付費の分離に用いる単価は、見える化D48-b系により令和3〜5年度までしか把握できない。5-4の受給率（令和5〜7年度の3か年平均）と期間が1年ずれている。令和6・7年度の決算で揃える。</t>
        </is>
      </c>
      <c r="E155" s="22" t="inlineStr">
        <is>
          <t>Ⅱ-55,Ⅱ-56</t>
        </is>
      </c>
      <c r="F155" s="22" t="inlineStr">
        <is>
          <t>doc35§7-3(2),doc18 5-6</t>
        </is>
      </c>
      <c r="G155" s="22" t="inlineStr">
        <is>
          <t>未依頼</t>
        </is>
      </c>
      <c r="H155" s="24" t="inlineStr"/>
    </row>
    <row r="156" ht="34" customHeight="1">
      <c r="A156" s="36" t="inlineStr">
        <is>
          <t>B</t>
        </is>
      </c>
      <c r="B156" s="23" t="inlineStr">
        <is>
          <t>データ</t>
        </is>
      </c>
      <c r="C156" s="24" t="inlineStr">
        <is>
          <t>図2-9の平成29年度の1人1月あたり費用額（25,039円）の出所</t>
        </is>
      </c>
      <c r="D156" s="24" t="inlineStr">
        <is>
          <t>見える化の地域分析P3は平成30年度からの収録であり、平成29年度の値を突き合わせられない。図2-14が平成29年度を起点とするため図2-9も同年度から描いている。別の出所によるものか確かめる。</t>
        </is>
      </c>
      <c r="E156" s="22" t="inlineStr">
        <is>
          <t>Ⅱ-58</t>
        </is>
      </c>
      <c r="F156" s="22" t="inlineStr">
        <is>
          <t>doc51§2-3</t>
        </is>
      </c>
      <c r="G156" s="22" t="inlineStr">
        <is>
          <t>未依頼</t>
        </is>
      </c>
      <c r="H156" s="24" t="inlineStr"/>
    </row>
    <row r="157" ht="34" customHeight="1">
      <c r="A157" s="36" t="inlineStr">
        <is>
          <t>B</t>
        </is>
      </c>
      <c r="B157" s="23" t="inlineStr">
        <is>
          <t>データ</t>
        </is>
      </c>
      <c r="C157" s="24" t="inlineStr">
        <is>
          <t>村外事業所の通常の事業実施地域（重要事項説明書または指定情報）</t>
        </is>
      </c>
      <c r="D157" s="24" t="inlineStr">
        <is>
          <t>別表第七。村内にほぼ事業所がないため、どの村外事業所が本村を事業実施地域に含むかが供給の範囲を決める。5-4(14)の24時間対応サービスの確保方策①の可否に直結する。</t>
        </is>
      </c>
      <c r="E157" s="22" t="inlineStr">
        <is>
          <t>Ⅱ-60</t>
        </is>
      </c>
      <c r="F157" s="22" t="inlineStr">
        <is>
          <t>doc49§2-4</t>
        </is>
      </c>
      <c r="G157" s="22" t="inlineStr">
        <is>
          <t>未依頼</t>
        </is>
      </c>
      <c r="H157" s="24" t="inlineStr"/>
    </row>
    <row r="158" ht="34" customHeight="1">
      <c r="A158" s="36" t="inlineStr">
        <is>
          <t>B</t>
        </is>
      </c>
      <c r="B158" s="23" t="inlineStr">
        <is>
          <t>データ</t>
        </is>
      </c>
      <c r="C158" s="24" t="inlineStr">
        <is>
          <t>村外施設の入退所・待機の実績（介護老人福祉施設・介護老人保健施設・介護医療院）</t>
        </is>
      </c>
      <c r="D158" s="24" t="inlineStr">
        <is>
          <t>村外の介護老人福祉施設・介護老人保健施設・介護医療院について、本村の被保険者の入退所と待機の実績を、把握されている範囲でご提供いただきたい。5-4(13)の真に入所が必要と判断される被保険者の把握と、認知症対応型共同生活介護27人分の定員を変えるかどうかの判断に用いる。基本指針の別表 事項七が求める入所率・入退所の状況にあたる。</t>
        </is>
      </c>
      <c r="E158" s="22" t="inlineStr">
        <is>
          <t>Ⅱ-60,Ⅱ-61</t>
        </is>
      </c>
      <c r="F158" s="22" t="inlineStr">
        <is>
          <t>doc49§2-4</t>
        </is>
      </c>
      <c r="G158" s="22" t="inlineStr">
        <is>
          <t>未依頼</t>
        </is>
      </c>
      <c r="H158" s="24" t="inlineStr"/>
    </row>
    <row r="159" ht="34" customHeight="1">
      <c r="A159" s="36" t="inlineStr">
        <is>
          <t>B</t>
        </is>
      </c>
      <c r="B159" s="23" t="inlineStr">
        <is>
          <t>データ</t>
        </is>
      </c>
      <c r="C159" s="24" t="inlineStr">
        <is>
          <t>医療介護連携に関する加算の算定状況（給付実績の加算別集計）</t>
        </is>
      </c>
      <c r="D159" s="24" t="inlineStr">
        <is>
          <t>別表第十。施策4-3の在宅医療・介護連携の現状把握。村内に医療系の居宅サービス事業所がないため、加算の算定状況が連携の実態を示す唯一の量的な材料となる。★10/6：算定率は見える化の地域分析（医療介護連携）に収録されており、4加算について算定率と全国の中での位置（偏差値）を素案2-5に掲げた。基本指針の別表 事項十への対応も済んでいる。したがって残るのは算定の実数（件数）であり、算定率だけでは件数の少なさによる振れを判断できないため、給付実績の加算別の件数をご提供いただきたい。優先度はBからCに下げる。</t>
        </is>
      </c>
      <c r="E159" s="22" t="inlineStr">
        <is>
          <t>Ⅱ-62</t>
        </is>
      </c>
      <c r="F159" s="22" t="inlineStr">
        <is>
          <t>doc49§2-4</t>
        </is>
      </c>
      <c r="G159" s="22" t="inlineStr">
        <is>
          <t>未依頼</t>
        </is>
      </c>
      <c r="H159" s="24" t="inlineStr"/>
    </row>
    <row r="160" ht="34" customHeight="1">
      <c r="A160" s="36" t="inlineStr">
        <is>
          <t>B</t>
        </is>
      </c>
      <c r="B160" s="23" t="inlineStr">
        <is>
          <t>データ</t>
        </is>
      </c>
      <c r="C160" s="24" t="inlineStr">
        <is>
          <t>★新高額障害福祉サービス等給付費の対象となる介護保険サービスの種類と本村の該当者</t>
        </is>
      </c>
      <c r="D160" s="24" t="inlineStr">
        <is>
          <t>★10/12 起票：65歳に達する前の5年間に相当する障害福祉サービスの支給決定を受けていた方などについて、介護保険の利用者負担が償還される制度である。償還の対象となる介護保険サービスの種類は限られており、障がい福祉計画は介護予防サービスを対象外としている。本村に該当者がいるかをご教示いただきたい。★10/13 追記：償還の対象となる介護保険サービスは訪問介護・通所介護・短期入所生活介護・地域密着型通所介護・小規模多機能型居宅介護の5種で介護予防サービスは対象外であることが、障がい福祉計画の担当の整理により判明した（申し送り§4②。根拠は障害者総合支援法施行令第43条の5第6項ほか）。要件4つとあわせて資9に明記し、申請の窓口が介護保険側であることから施策4-1に案内の取組を置いた。残るのは本村の該当者の有無のみである。償還は障がい福祉の経費であり本計画の給付費・保険料には算入しないが、対象となるサービスが本計画の見込量のどれに当たるかは両計画で揃える必要がある（素案資9）。★当方の扱い：ご回答がない場合、該当者はないものとして扱い、資9に制度の説明のみを載せる。</t>
        </is>
      </c>
      <c r="E160" s="22" t="inlineStr">
        <is>
          <t>Ⅱ-72,Ⅱ-56</t>
        </is>
      </c>
      <c r="F160" s="22" t="inlineStr">
        <is>
          <t>素案資9,障がい福祉計画の整合Ｋ-6</t>
        </is>
      </c>
      <c r="G160" s="22" t="inlineStr">
        <is>
          <t>未依頼</t>
        </is>
      </c>
      <c r="H160" s="24" t="inlineStr"/>
    </row>
    <row r="161" ht="34" customHeight="1">
      <c r="A161" s="36" t="inlineStr">
        <is>
          <t>B</t>
        </is>
      </c>
      <c r="B161" s="23" t="inlineStr">
        <is>
          <t>データ</t>
        </is>
      </c>
      <c r="C161" s="24" t="inlineStr">
        <is>
          <t>★成年後見制度利用支援事業は両計画で別の事業である旨の注記と、本計画側の任意事業としての助成の実績</t>
        </is>
      </c>
      <c r="D161" s="24" t="inlineStr">
        <is>
          <t>本村の成年後見制度の利用者4人（令和8年7月）のうち、障害者手帳の所持者または障がい福祉サービスの利用者が何人かをご教示いただきたい。障がい福祉計画の側からも同じ内容を照会しているため、回答は一度で足りる。助成の件数は「家族介護者リフレッシュ事業・介護用品支給・サポーター養成講座・成年後見の各実績」、要綱の対象範囲は「成年後見制度利用支援事業の要綱の対象範囲」でそれぞれ既に照会しているため、本件では重ねない。★10/13 起票：当初は「両計画で指標名を揃えること」としていたが、障がい福祉計画の担当から、揃えるのではなく別の事業であることを注記するよう勧められた。同じ名前の事業が障害者総合支援法第77条第1項第4号の地域生活支援事業と、介護保険法第115条の45第3項第3号の地域支援事業（任意事業）の両方にあり、指標名を揃えると両計画の数を足し合わせたときに村全体の取組が実際より多く見える。この勧めに従い、素案の施策4-7と資9に別の事業である旨の注記を置いた。あわせて施策一覧の条文が「介保法115条の45第2項第2号」となっていた誤りを第3項第3号に正した（第2項第2号は権利擁護事業であって別の事業である）。本計画の指標「成年後見制度の利用者数4人」は村全体の制度の利用者数であり、助成の件数ではない。助成の件数は5-5の任意事業の実績が未受領のため置けていない。★当方の扱い：ご回答がない場合、助成の件数は5-12の空欄として掲げ、注記のみで両計画の切り分けを示す。</t>
        </is>
      </c>
      <c r="E161" s="22" t="inlineStr">
        <is>
          <t>Ⅱ-69,Ⅱ-72</t>
        </is>
      </c>
      <c r="F161" s="22" t="inlineStr">
        <is>
          <t>素案4-7,資9,5-5,障がい福祉計画 照会Ｋ-9</t>
        </is>
      </c>
      <c r="G161" s="22" t="inlineStr">
        <is>
          <t>未依頼</t>
        </is>
      </c>
      <c r="H161" s="24" t="inlineStr"/>
    </row>
    <row r="162" ht="34" customHeight="1">
      <c r="A162" s="36" t="inlineStr">
        <is>
          <t>B</t>
        </is>
      </c>
      <c r="B162" s="23" t="inlineStr">
        <is>
          <t>体制</t>
        </is>
      </c>
      <c r="C162" s="24" t="inlineStr">
        <is>
          <t>令和9年度以降も交付金の該当状況調査票の写しを策定業務に提供いただけるか</t>
        </is>
      </c>
      <c r="D162" s="24" t="inlineStr">
        <is>
          <t>第10期の進捗管理で毎年度の得点推移を追うために必要。</t>
        </is>
      </c>
      <c r="E162" s="22" t="inlineStr">
        <is>
          <t>Ⅱ-65</t>
        </is>
      </c>
      <c r="F162" s="22" t="inlineStr">
        <is>
          <t>doc20§6-2 K-67</t>
        </is>
      </c>
      <c r="G162" s="22" t="inlineStr">
        <is>
          <t>未依頼</t>
        </is>
      </c>
      <c r="H162" s="24" t="inlineStr"/>
    </row>
    <row r="163" ht="34" customHeight="1">
      <c r="A163" s="36" t="inlineStr">
        <is>
          <t>B</t>
        </is>
      </c>
      <c r="B163" s="23" t="inlineStr">
        <is>
          <t>体制</t>
        </is>
      </c>
      <c r="C163" s="24" t="inlineStr">
        <is>
          <t>データ入力の体制（受託者側で入力するか、一部を村で行うか）</t>
        </is>
      </c>
      <c r="D163" s="24" t="inlineStr">
        <is>
          <t>小分け送付の運用と入力体制はセット。約1,000件の入力工数に影響する。</t>
        </is>
      </c>
      <c r="E163" s="22" t="inlineStr">
        <is>
          <t>Ⅰ-35</t>
        </is>
      </c>
      <c r="F163" s="22" t="inlineStr">
        <is>
          <t>doc25§8 K-93</t>
        </is>
      </c>
      <c r="G163" s="22" t="inlineStr">
        <is>
          <t>未依頼</t>
        </is>
      </c>
      <c r="H163" s="24" t="inlineStr"/>
    </row>
    <row r="164" ht="34" customHeight="1">
      <c r="A164" s="36" t="inlineStr">
        <is>
          <t>B</t>
        </is>
      </c>
      <c r="B164" s="23" t="inlineStr">
        <is>
          <t>体制</t>
        </is>
      </c>
      <c r="C164" s="24" t="inlineStr">
        <is>
          <t>見える化システムへの登録作業の分担（村が行うか受託者が代行するか）</t>
        </is>
      </c>
      <c r="D164" s="24" t="inlineStr">
        <is>
          <t>村独自設問14問を除外し標準様式の設問順に並べ替えた別ファイルの作成が必要。</t>
        </is>
      </c>
      <c r="E164" s="22" t="inlineStr">
        <is>
          <t>Ⅰ-48</t>
        </is>
      </c>
      <c r="F164" s="22" t="inlineStr">
        <is>
          <t>doc25§8 K-94</t>
        </is>
      </c>
      <c r="G164" s="22" t="inlineStr">
        <is>
          <t>未依頼</t>
        </is>
      </c>
      <c r="H164" s="24" t="inlineStr"/>
    </row>
    <row r="165" ht="34" customHeight="1">
      <c r="A165" s="36" t="inlineStr">
        <is>
          <t>B</t>
        </is>
      </c>
      <c r="B165" s="23" t="inlineStr">
        <is>
          <t>取組</t>
        </is>
      </c>
      <c r="C165" s="24" t="inlineStr">
        <is>
          <t>難聴高齢者の早期発見・早期介入（20点中0点・全国平均6.9点）の実施可能性</t>
        </is>
      </c>
      <c r="D165" s="24" t="inlineStr">
        <is>
          <t>認知症の危険因子として難聴が位置づけられたことによる評価項目。健診等の機会を通じた把握と、補聴器等による介入の仕組みの可否。目標Ⅱの未取得分としては最大の20点。</t>
        </is>
      </c>
      <c r="E165" s="22" t="inlineStr">
        <is>
          <t>Ⅱ-65,Ⅱ-68</t>
        </is>
      </c>
      <c r="F165" s="22" t="inlineStr">
        <is>
          <t>doc35§7-2(6)</t>
        </is>
      </c>
      <c r="G165" s="22" t="inlineStr">
        <is>
          <t>未依頼</t>
        </is>
      </c>
      <c r="H165" s="24" t="inlineStr"/>
    </row>
    <row r="166" ht="34" customHeight="1">
      <c r="A166" s="36" t="inlineStr">
        <is>
          <t>B</t>
        </is>
      </c>
      <c r="B166" s="23" t="inlineStr">
        <is>
          <t>成果品</t>
        </is>
      </c>
      <c r="C166" s="24" t="inlineStr">
        <is>
          <t>報告書に調査票を再掲しないことの村への事前説明（第9期の巻末の確認を含む）</t>
        </is>
      </c>
      <c r="D166" s="24" t="inlineStr">
        <is>
          <t>★案Bを採用し、調査票の全文・単純集計表・自由記述の全文は紙の資料編から外して電子媒体に収録する（doc24§9）。doc01§5-5に記録した第9期報告書の構成に調査票の再掲はないが、目次の見出しのみの記録のため巻末に載っていた可能性がある。載っていた場合は前回からの変更にあたるため、納品時の齟齬を避けるため事前に説明しておきたい。</t>
        </is>
      </c>
      <c r="E166" s="22" t="inlineStr">
        <is>
          <t>Ⅳ-90,Ⅳ-114</t>
        </is>
      </c>
      <c r="F166" s="22" t="inlineStr">
        <is>
          <t>doc24§1-3</t>
        </is>
      </c>
      <c r="G166" s="22" t="inlineStr">
        <is>
          <t>未依頼</t>
        </is>
      </c>
      <c r="H166" s="24" t="inlineStr"/>
    </row>
    <row r="167" ht="34" customHeight="1">
      <c r="A167" s="36" t="inlineStr">
        <is>
          <t>B</t>
        </is>
      </c>
      <c r="B167" s="23" t="inlineStr">
        <is>
          <t>成果品</t>
        </is>
      </c>
      <c r="C167" s="24" t="inlineStr">
        <is>
          <t>計画書・報告書の頁数の実測（Word＋游ゴシックで開いた実際の頁数）</t>
        </is>
      </c>
      <c r="D167" s="24" t="inlineStr">
        <is>
          <t>★10/10 当方でも docx→PDF 変換ができるようになり、紙面を実測した（doc83）。★10/12 障がい福祉計画との突合で書き足したため測り直した。計画書は本文121頁＋前付4頁＝125頁である（推定119頁＋前付4頁＝123頁より2頁多い）。ただし游ゴシックは当方の環境に無く、IPAゴシックに置き換えて組んだ値である。行送りは lineRule=exact で固定したためフォントによらないが、欧文の字送りと禁則処理の違いでなお±1〜2頁動き得る。村側で Word で開いて実際の頁数をご確認いただきたい。分量を目安に収める削減案は別に起票している（成果品 削減案A〜Lの採否）。施策体系図（図3-1）とSDGsの対応表は素案3-4・3-5に追加済みである。</t>
        </is>
      </c>
      <c r="E167" s="22" t="inlineStr">
        <is>
          <t>Ⅱ-113,Ⅳ-89</t>
        </is>
      </c>
      <c r="F167" s="22" t="inlineStr">
        <is>
          <t>doc40§1-4,doc83</t>
        </is>
      </c>
      <c r="G167" s="22" t="inlineStr">
        <is>
          <t>未依頼</t>
        </is>
      </c>
      <c r="H167" s="24" t="inlineStr"/>
    </row>
    <row r="168" ht="34" customHeight="1">
      <c r="A168" s="36" t="inlineStr">
        <is>
          <t>B</t>
        </is>
      </c>
      <c r="B168" s="23" t="inlineStr">
        <is>
          <t>成果品</t>
        </is>
      </c>
      <c r="C168" s="24" t="inlineStr">
        <is>
          <t>★議会全員協議会（令和9年2月末頃）で受託者に求められる関与の範囲</t>
        </is>
      </c>
      <c r="D168" s="24" t="inlineStr">
        <is>
          <t>★議事録で新設されたマイルストーン。資料作成のみか、出席・説明を含むかで工数が変わる。</t>
        </is>
      </c>
      <c r="E168" s="22" t="inlineStr">
        <is>
          <t>Ⅱ-93</t>
        </is>
      </c>
      <c r="F168" s="22" t="inlineStr">
        <is>
          <t>doc22 K-80</t>
        </is>
      </c>
      <c r="G168" s="22" t="inlineStr">
        <is>
          <t>未依頼</t>
        </is>
      </c>
      <c r="H168" s="24" t="inlineStr"/>
    </row>
    <row r="169" ht="34" customHeight="1">
      <c r="A169" s="36" t="inlineStr">
        <is>
          <t>B</t>
        </is>
      </c>
      <c r="B169" s="23" t="inlineStr">
        <is>
          <t>方針</t>
        </is>
      </c>
      <c r="C169" s="24" t="inlineStr">
        <is>
          <t>第1号被保険者数の推計を社人研ベースから補正して用いる方針の可否</t>
        </is>
      </c>
      <c r="D169" s="24" t="inlineStr">
        <is>
          <t>社人研推計は住基ベース実績より6〜8%少なく、第9期はこれで63人ずれた。手法変更のため村の合意が要る。</t>
        </is>
      </c>
      <c r="E169" s="22" t="inlineStr">
        <is>
          <t>Ⅱ-59</t>
        </is>
      </c>
      <c r="F169" s="22" t="inlineStr">
        <is>
          <t>doc09§4,§10</t>
        </is>
      </c>
      <c r="G169" s="22" t="inlineStr">
        <is>
          <t>未依頼</t>
        </is>
      </c>
      <c r="H169" s="24" t="inlineStr"/>
    </row>
    <row r="170" ht="34" customHeight="1">
      <c r="A170" s="36" t="inlineStr">
        <is>
          <t>B</t>
        </is>
      </c>
      <c r="B170" s="23" t="inlineStr">
        <is>
          <t>方針</t>
        </is>
      </c>
      <c r="C170" s="24" t="inlineStr">
        <is>
          <t>保険料が県・全国を上回る一方で費用額は下位である点の認識と説明方針</t>
        </is>
      </c>
      <c r="D170" s="24" t="inlineStr">
        <is>
          <t>保険料6,700円は県+360円・全国+475円。費用額は県内44/59位。説明ロジックの構築に関わる。</t>
        </is>
      </c>
      <c r="E170" s="22" t="inlineStr">
        <is>
          <t>Ⅱ-64</t>
        </is>
      </c>
      <c r="F170" s="22" t="inlineStr">
        <is>
          <t>doc09§8,§10</t>
        </is>
      </c>
      <c r="G170" s="22" t="inlineStr">
        <is>
          <t>未依頼</t>
        </is>
      </c>
      <c r="H170" s="24" t="inlineStr"/>
    </row>
    <row r="171" ht="34" customHeight="1">
      <c r="A171" s="36" t="inlineStr">
        <is>
          <t>B</t>
        </is>
      </c>
      <c r="B171" s="23" t="inlineStr">
        <is>
          <t>方針</t>
        </is>
      </c>
      <c r="C171" s="24" t="inlineStr">
        <is>
          <t>総合事業のサービスA〜Dを第10期で立ち上げる意向の有無</t>
        </is>
      </c>
      <c r="D171" s="24" t="inlineStr">
        <is>
          <t>従前相当サービス以外の事業費割合0.0%。要支援1急増（39→51人）の受け皿に直結。素案の施策1-2の成否を決める。</t>
        </is>
      </c>
      <c r="E171" s="22" t="inlineStr">
        <is>
          <t>Ⅱ-67,Ⅱ-75</t>
        </is>
      </c>
      <c r="F171" s="22" t="inlineStr">
        <is>
          <t>doc02§17,doc07,doc18 4-1</t>
        </is>
      </c>
      <c r="G171" s="22" t="inlineStr">
        <is>
          <t>未依頼</t>
        </is>
      </c>
      <c r="H171" s="24" t="inlineStr"/>
    </row>
    <row r="172" ht="34" customHeight="1">
      <c r="A172" s="36" t="inlineStr">
        <is>
          <t>B</t>
        </is>
      </c>
      <c r="B172" s="23" t="inlineStr">
        <is>
          <t>方針</t>
        </is>
      </c>
      <c r="C172" s="24" t="inlineStr">
        <is>
          <t>認定率の分母をB1（第1号被保険者数）に統一することの可否</t>
        </is>
      </c>
      <c r="D172" s="24" t="inlineStr">
        <is>
          <t>第9期は同一計画書内に19.0%（193/1,016）と19.7%（197/1,002）が併記されていた。統一すると第9期の公表値と異なる数値を示すことになる。</t>
        </is>
      </c>
      <c r="E172" s="22" t="inlineStr">
        <is>
          <t>Ⅱ-56,Ⅱ-75</t>
        </is>
      </c>
      <c r="F172" s="22" t="inlineStr">
        <is>
          <t>doc17 C-1,doc02§20-2</t>
        </is>
      </c>
      <c r="G172" s="22" t="inlineStr">
        <is>
          <t>未依頼</t>
        </is>
      </c>
      <c r="H172" s="24" t="inlineStr"/>
    </row>
    <row r="173" ht="34" customHeight="1">
      <c r="A173" s="36" t="inlineStr">
        <is>
          <t>B</t>
        </is>
      </c>
      <c r="B173" s="23" t="inlineStr">
        <is>
          <t>方針</t>
        </is>
      </c>
      <c r="C173" s="24" t="inlineStr">
        <is>
          <t>成果目標・活動指標の目標値の設定方針（認定率を据置とするか／トレンド継続か／政策効果を織り込むか）</t>
        </is>
      </c>
      <c r="D173" s="24" t="inlineStr">
        <is>
          <t>doc13§6で3案を提示。政策効果を織り込む案を採る場合は、その根拠を指標に置く必要がある。</t>
        </is>
      </c>
      <c r="E173" s="22" t="inlineStr">
        <is>
          <t>Ⅱ-60,Ⅱ-65</t>
        </is>
      </c>
      <c r="F173" s="22" t="inlineStr">
        <is>
          <t>doc13§6</t>
        </is>
      </c>
      <c r="G173" s="22" t="inlineStr">
        <is>
          <t>未依頼</t>
        </is>
      </c>
      <c r="H173" s="24" t="inlineStr"/>
    </row>
    <row r="174" ht="34" customHeight="1">
      <c r="A174" s="36" t="inlineStr">
        <is>
          <t>B</t>
        </is>
      </c>
      <c r="B174" s="23" t="inlineStr">
        <is>
          <t>方針</t>
        </is>
      </c>
      <c r="C174" s="24" t="inlineStr">
        <is>
          <t>認知症対応型共同生活介護の定員（27人）を超える需要への対応方針</t>
        </is>
      </c>
      <c r="D174" s="24" t="inlineStr">
        <is>
          <t>★令和7年度の居住系受給者は26.9人／月で、村内GHの定員27人に対する稼働率は93%。第10期に居住系の利用が増える見込みだが村内に受け皿の余地がない。施設整備の意向、村外施設での対応、在宅での対応のいずれを取るかで見込量と施策の両方が変わる。</t>
        </is>
      </c>
      <c r="E174" s="22" t="inlineStr">
        <is>
          <t>Ⅱ-56,Ⅱ-67</t>
        </is>
      </c>
      <c r="F174" s="22" t="inlineStr">
        <is>
          <t>doc30§4-2,doc18 5-4</t>
        </is>
      </c>
      <c r="G174" s="22" t="inlineStr">
        <is>
          <t>未依頼</t>
        </is>
      </c>
      <c r="H174" s="24" t="inlineStr"/>
    </row>
    <row r="175" ht="34" customHeight="1">
      <c r="A175" s="36" t="inlineStr">
        <is>
          <t>B</t>
        </is>
      </c>
      <c r="B175" s="23" t="inlineStr">
        <is>
          <t>方針</t>
        </is>
      </c>
      <c r="C175" s="24" t="inlineStr">
        <is>
          <t>サービス見込量の前提（受給率を3か年平均とするか令和7年度水準とするか）</t>
        </is>
      </c>
      <c r="D175" s="24" t="inlineStr">
        <is>
          <t>★3か年平均では令和9年度のサービス諸費が令和5年度決算比+1.8%にとどまるが、実績は令和4→5年度で+4.7%伸びている。前提の選び方で保険料が変わるため、委員会に感度分析を示して確認する。</t>
        </is>
      </c>
      <c r="E175" s="22" t="inlineStr">
        <is>
          <t>Ⅱ-56,Ⅱ-64</t>
        </is>
      </c>
      <c r="F175" s="22" t="inlineStr">
        <is>
          <t>doc30§5-4</t>
        </is>
      </c>
      <c r="G175" s="22" t="inlineStr">
        <is>
          <t>未依頼</t>
        </is>
      </c>
      <c r="H175" s="24" t="inlineStr"/>
    </row>
    <row r="176" ht="34" customHeight="1">
      <c r="A176" s="36" t="inlineStr">
        <is>
          <t>B</t>
        </is>
      </c>
      <c r="B176" s="23" t="inlineStr">
        <is>
          <t>方針</t>
        </is>
      </c>
      <c r="C176" s="24" t="inlineStr">
        <is>
          <t>上限保険料の設定の有無と基金活用の比較案のパターン</t>
        </is>
      </c>
      <c r="D176" s="24" t="inlineStr">
        <is>
          <t>第9期は基金24,000,000円の取崩を計画。全額取崩案／据置優先案／中間案など何案を示すかを確認。★10/7 前提が確定：国の推計ワークシートは残高42,128,183円のうち40,000,000円（94.9%）を取り崩す前提で保険料5,513.72円としている。これが実質の全額取崩案に当たる。取崩を減らすと第10期は上がるが第11期の＋32.4%は和らぐ。比較案は「国ツールどおり（40,000千円）」「第9期同程度（24,000千円）」「取崩なし」の3案で組む案を当方から示す。</t>
        </is>
      </c>
      <c r="E176" s="22" t="inlineStr">
        <is>
          <t>Ⅱ-63,Ⅱ-64</t>
        </is>
      </c>
      <c r="F176" s="22" t="inlineStr">
        <is>
          <t>doc19 追-14,doc66§2-3</t>
        </is>
      </c>
      <c r="G176" s="22" t="inlineStr">
        <is>
          <t>一部回答</t>
        </is>
      </c>
      <c r="H176" s="24" t="inlineStr"/>
    </row>
    <row r="177" ht="34" customHeight="1">
      <c r="A177" s="36" t="inlineStr">
        <is>
          <t>B</t>
        </is>
      </c>
      <c r="B177" s="23" t="inlineStr">
        <is>
          <t>方針</t>
        </is>
      </c>
      <c r="C177" s="24" t="inlineStr">
        <is>
          <t>施設整備の方向性（在宅調査48.5%の入所希望の扱い）</t>
        </is>
      </c>
      <c r="D177" s="24" t="inlineStr">
        <is>
          <t>★48.5%は回収33件中16人。標本が小さいため単独の根拠とせず、村内施設ゼロ・短期入所+165%・認定率18位/費用額44位と併せて示し、今回の在宅調査150人で再確認する位置づけを提案。</t>
        </is>
      </c>
      <c r="E177" s="22" t="inlineStr">
        <is>
          <t>Ⅱ-67,Ⅱ-75</t>
        </is>
      </c>
      <c r="F177" s="22" t="inlineStr">
        <is>
          <t>doc19 §3</t>
        </is>
      </c>
      <c r="G177" s="22" t="inlineStr">
        <is>
          <t>未依頼</t>
        </is>
      </c>
      <c r="H177" s="24" t="inlineStr"/>
    </row>
    <row r="178" ht="34" customHeight="1">
      <c r="A178" s="36" t="inlineStr">
        <is>
          <t>B</t>
        </is>
      </c>
      <c r="B178" s="23" t="inlineStr">
        <is>
          <t>方針</t>
        </is>
      </c>
      <c r="C178" s="24" t="inlineStr">
        <is>
          <t>「地域で見守り・育む高齢者の支援」（生涯学習推進計画の施策）と生活支援体制整備事業の役割分担</t>
        </is>
      </c>
      <c r="D178" s="24" t="inlineStr">
        <is>
          <t>★両計画で同一施策が重複。所管（教育委員会／住民課／社協）を明記して連携を書く必要がある。</t>
        </is>
      </c>
      <c r="E178" s="22" t="inlineStr">
        <is>
          <t>Ⅱ-53</t>
        </is>
      </c>
      <c r="F178" s="22" t="inlineStr">
        <is>
          <t>doc21§5 K-73</t>
        </is>
      </c>
      <c r="G178" s="22" t="inlineStr">
        <is>
          <t>未依頼</t>
        </is>
      </c>
      <c r="H178" s="24" t="inlineStr"/>
    </row>
    <row r="179" ht="34" customHeight="1">
      <c r="A179" s="36" t="inlineStr">
        <is>
          <t>B</t>
        </is>
      </c>
      <c r="B179" s="23" t="inlineStr">
        <is>
          <t>方針</t>
        </is>
      </c>
      <c r="C179" s="24" t="inlineStr">
        <is>
          <t>第2回策定委員会（11月）への調査報告書の提示範囲</t>
        </is>
      </c>
      <c r="D179" s="24" t="inlineStr">
        <is>
          <t>報告書全体か、第Ⅱ部（分析編）の要点か。委員の負担と議論の焦点に関わる。</t>
        </is>
      </c>
      <c r="E179" s="22" t="inlineStr">
        <is>
          <t>Ⅱ-83</t>
        </is>
      </c>
      <c r="F179" s="22" t="inlineStr">
        <is>
          <t>doc24§12 K-90</t>
        </is>
      </c>
      <c r="G179" s="22" t="inlineStr">
        <is>
          <t>未依頼</t>
        </is>
      </c>
      <c r="H179" s="24" t="inlineStr"/>
    </row>
    <row r="180" ht="34" customHeight="1">
      <c r="A180" s="36" t="inlineStr">
        <is>
          <t>B</t>
        </is>
      </c>
      <c r="B180" s="23" t="inlineStr">
        <is>
          <t>方針</t>
        </is>
      </c>
      <c r="C180" s="24" t="inlineStr">
        <is>
          <t>令和9年4月の介護報酬改定率が示された後の単価の扱い</t>
        </is>
      </c>
      <c r="D180" s="24" t="inlineStr">
        <is>
          <t>★他案件（大雪）の点検で「改定率を乗じることと単価の趨勢を延ばすことを重ねると二重になる」ことが指摘された。本村の単価の趨勢（年1.30%）は連鎖ラスパイレス指数による実測値で、平成27年▲2.27%から令和6年+1.59%までの改定をすでに含む。改定率が示された時点で趨勢による補正（月額314円）を取り下げ、改定率のみを用いる。素案5-4(10)①に断りを入れたが、運用の確認を要する。</t>
        </is>
      </c>
      <c r="E180" s="22" t="inlineStr">
        <is>
          <t>Ⅱ-56,Ⅱ-64</t>
        </is>
      </c>
      <c r="F180" s="22" t="inlineStr">
        <is>
          <t>doc37§4,doc18 5-4(10)</t>
        </is>
      </c>
      <c r="G180" s="22" t="inlineStr">
        <is>
          <t>未依頼</t>
        </is>
      </c>
      <c r="H180" s="24" t="inlineStr"/>
    </row>
    <row r="181" ht="34" customHeight="1">
      <c r="A181" s="36" t="inlineStr">
        <is>
          <t>B</t>
        </is>
      </c>
      <c r="B181" s="23" t="inlineStr">
        <is>
          <t>方針</t>
        </is>
      </c>
      <c r="C181" s="24" t="inlineStr">
        <is>
          <t>認知症の日（9月21日）・認知症月間（9月）の取組</t>
        </is>
      </c>
      <c r="D181" s="24" t="inlineStr">
        <is>
          <t>★認知症基本法第9条第3項は、地方公共団体に対し認知症の日にふさわしい事業の実施（努力義務）と、認知症月間にふさわしい行事が実施されるよう奨励すること（義務）を定める。本村に該当する取組がない。普及啓発の機会として計画に位置づけたが、実施の可否と内容を村と協議する。</t>
        </is>
      </c>
      <c r="E181" s="22" t="inlineStr">
        <is>
          <t>Ⅱ-68</t>
        </is>
      </c>
      <c r="F181" s="22" t="inlineStr">
        <is>
          <t>doc36§10-2,doc18 4-7(4)</t>
        </is>
      </c>
      <c r="G181" s="22" t="inlineStr">
        <is>
          <t>未依頼</t>
        </is>
      </c>
      <c r="H181" s="24" t="inlineStr"/>
    </row>
    <row r="182" ht="34" customHeight="1">
      <c r="A182" s="36" t="inlineStr">
        <is>
          <t>B</t>
        </is>
      </c>
      <c r="B182" s="23" t="inlineStr">
        <is>
          <t>方針</t>
        </is>
      </c>
      <c r="C182" s="24" t="inlineStr">
        <is>
          <t>公共交通事業者・金融機関・小売業者等との連携の範囲</t>
        </is>
      </c>
      <c r="D182" s="24" t="inlineStr">
        <is>
          <t>★認知症基本法第7条は、これらの事業者に認知症の人への必要かつ合理的な配慮を求める（努力義務）。第15条のバリアフリー化の民間側の受け皿。村内および近隣の事業者にどこまで働きかけるかを定める。</t>
        </is>
      </c>
      <c r="E182" s="22" t="inlineStr">
        <is>
          <t>Ⅱ-68,Ⅱ-72</t>
        </is>
      </c>
      <c r="F182" s="22" t="inlineStr">
        <is>
          <t>doc36§10-3,doc18 4-7(3)</t>
        </is>
      </c>
      <c r="G182" s="22" t="inlineStr">
        <is>
          <t>未依頼</t>
        </is>
      </c>
      <c r="H182" s="24" t="inlineStr"/>
    </row>
    <row r="183" ht="34" customHeight="1">
      <c r="A183" s="36" t="inlineStr">
        <is>
          <t>B</t>
        </is>
      </c>
      <c r="B183" s="23" t="inlineStr">
        <is>
          <t>方針</t>
        </is>
      </c>
      <c r="C183" s="24" t="inlineStr">
        <is>
          <t>認知症対応型通所介護を再開するかどうか</t>
        </is>
      </c>
      <c r="D183" s="24" t="inlineStr">
        <is>
          <t>平成30年度を最後に実績がない。地域密着型サービスは村の指定によりはじめて提供されるため村の判断による。認知症高齢者が増えるなかで在宅を支える類型として検討の余地がある。</t>
        </is>
      </c>
      <c r="E183" s="22" t="inlineStr">
        <is>
          <t>Ⅱ-56,Ⅱ-67</t>
        </is>
      </c>
      <c r="F183" s="22" t="inlineStr">
        <is>
          <t>doc36§3,doc18 施策3-2</t>
        </is>
      </c>
      <c r="G183" s="22" t="inlineStr">
        <is>
          <t>未依頼</t>
        </is>
      </c>
      <c r="H183" s="24" t="inlineStr"/>
    </row>
    <row r="184" ht="34" customHeight="1">
      <c r="A184" s="36" t="inlineStr">
        <is>
          <t>B</t>
        </is>
      </c>
      <c r="B184" s="23" t="inlineStr">
        <is>
          <t>方針</t>
        </is>
      </c>
      <c r="C184" s="24" t="inlineStr">
        <is>
          <t>認知症施策推進計画として、基本法第15条（バリアフリー化）にどこまで取り組むか</t>
        </is>
      </c>
      <c r="D184" s="24" t="inlineStr">
        <is>
          <t>★認知症の人が外出・買い物・金融機関の利用などで困ることへの対応は介護保険の枠組みの外にある。庁内の関係部署および事業者との連携の範囲を定める必要がある。素案4-7(2)で【要検討】としている。</t>
        </is>
      </c>
      <c r="E184" s="22" t="inlineStr">
        <is>
          <t>Ⅱ-68,Ⅱ-72</t>
        </is>
      </c>
      <c r="F184" s="22" t="inlineStr">
        <is>
          <t>doc36§3,doc18 4-7(2)</t>
        </is>
      </c>
      <c r="G184" s="22" t="inlineStr">
        <is>
          <t>未依頼</t>
        </is>
      </c>
      <c r="H184" s="24" t="inlineStr"/>
    </row>
    <row r="185" ht="34" customHeight="1">
      <c r="A185" s="36" t="inlineStr">
        <is>
          <t>B</t>
        </is>
      </c>
      <c r="B185" s="23" t="inlineStr">
        <is>
          <t>方針</t>
        </is>
      </c>
      <c r="C185" s="24" t="inlineStr">
        <is>
          <t>訪問入浴介護・地域密着型通所介護を0に戻すかどうか</t>
        </is>
      </c>
      <c r="D185" s="24" t="inlineStr">
        <is>
          <t>★令和7年度の利用は0だが、3か年平均により令和9年度以降も0.6人／月・0.3人／月が立っている。直近に利用のないサービスを3か年平均で復活させてよいかの判断。利用の見込みの有無を村に確認する。</t>
        </is>
      </c>
      <c r="E185" s="22" t="inlineStr">
        <is>
          <t>Ⅱ-56</t>
        </is>
      </c>
      <c r="F185" s="22" t="inlineStr">
        <is>
          <t>doc35§7-3(3),doc18 5-4(5)</t>
        </is>
      </c>
      <c r="G185" s="22" t="inlineStr">
        <is>
          <t>未依頼</t>
        </is>
      </c>
      <c r="H185" s="24" t="inlineStr"/>
    </row>
    <row r="186" ht="34" customHeight="1">
      <c r="A186" s="36" t="inlineStr">
        <is>
          <t>B</t>
        </is>
      </c>
      <c r="B186" s="23" t="inlineStr">
        <is>
          <t>方針</t>
        </is>
      </c>
      <c r="C186" s="24" t="inlineStr">
        <is>
          <t>中長期（令和17年度・令和22年度）の保険料をαの2案で示すことの可否</t>
        </is>
      </c>
      <c r="D186" s="24" t="inlineStr">
        <is>
          <t>★改正法により中長期の見通しが必須の記載事項となった。αを23%据え置きとした場合は令和22年度6,883円、3年ごとに1ポイント上がるとした場合は8,379円。第9期計画は8,700円を見込んでいた。どちらを本文に置くか、あるいは幅として示すかを委員会にお諮りする。</t>
        </is>
      </c>
      <c r="E186" s="22" t="inlineStr">
        <is>
          <t>Ⅱ-64</t>
        </is>
      </c>
      <c r="F186" s="22" t="inlineStr">
        <is>
          <t>doc35§7-2(1),doc18 5-11</t>
        </is>
      </c>
      <c r="G186" s="22" t="inlineStr">
        <is>
          <t>未依頼</t>
        </is>
      </c>
      <c r="H186" s="24" t="inlineStr"/>
    </row>
    <row r="187" ht="34" customHeight="1">
      <c r="A187" s="36" t="inlineStr">
        <is>
          <t>B</t>
        </is>
      </c>
      <c r="B187" s="23" t="inlineStr">
        <is>
          <t>疑義</t>
        </is>
      </c>
      <c r="C187" s="24" t="inlineStr">
        <is>
          <t>W125「第9期計画作成に向けた各種調査の実施」が4項目とも0点である理由</t>
        </is>
      </c>
      <c r="D187" s="24" t="inlineStr">
        <is>
          <t>第9期報告書には調査結果が掲載されており、報告漏れの可能性が高い。第10期では確実に得点化したい。</t>
        </is>
      </c>
      <c r="E187" s="22" t="inlineStr">
        <is>
          <t>Ⅱ-54</t>
        </is>
      </c>
      <c r="F187" s="22" t="inlineStr">
        <is>
          <t>doc07§4</t>
        </is>
      </c>
      <c r="G187" s="22" t="inlineStr">
        <is>
          <t>未依頼</t>
        </is>
      </c>
      <c r="H187" s="24" t="inlineStr"/>
    </row>
    <row r="188" ht="34" customHeight="1">
      <c r="A188" s="36" t="inlineStr">
        <is>
          <t>B</t>
        </is>
      </c>
      <c r="B188" s="23" t="inlineStr">
        <is>
          <t>疑義</t>
        </is>
      </c>
      <c r="C188" s="24" t="inlineStr">
        <is>
          <t>交付金「文書負担軽減」が11点→7点に低下した理由（取組の後退か判定基準の変更か）</t>
        </is>
      </c>
      <c r="D188" s="24" t="inlineStr">
        <is>
          <t>評価指標の読み方に影響。</t>
        </is>
      </c>
      <c r="E188" s="22" t="inlineStr">
        <is>
          <t>Ⅱ-54</t>
        </is>
      </c>
      <c r="F188" s="22" t="inlineStr">
        <is>
          <t>doc07§8-4</t>
        </is>
      </c>
      <c r="G188" s="22" t="inlineStr">
        <is>
          <t>未依頼</t>
        </is>
      </c>
      <c r="H188" s="24" t="inlineStr"/>
    </row>
    <row r="189" ht="34" customHeight="1">
      <c r="A189" s="36" t="inlineStr">
        <is>
          <t>B</t>
        </is>
      </c>
      <c r="B189" s="23" t="inlineStr">
        <is>
          <t>疑義</t>
        </is>
      </c>
      <c r="C189" s="24" t="inlineStr">
        <is>
          <t>第9期概要版④「地域支援事業費」の集計範囲（任意事業の扱い）</t>
        </is>
      </c>
      <c r="D189" s="24" t="inlineStr">
        <is>
          <t>決算と6,300〜10,100千円ずれる。揃えないと第10期が第9期と比較不能になる。</t>
        </is>
      </c>
      <c r="E189" s="22" t="inlineStr">
        <is>
          <t>Ⅱ-55,Ⅱ-56</t>
        </is>
      </c>
      <c r="F189" s="22" t="inlineStr">
        <is>
          <t>doc08§4,§8-2</t>
        </is>
      </c>
      <c r="G189" s="22" t="inlineStr">
        <is>
          <t>未依頼</t>
        </is>
      </c>
      <c r="H189" s="24" t="inlineStr"/>
    </row>
    <row r="190" ht="34" customHeight="1">
      <c r="A190" s="36" t="inlineStr">
        <is>
          <t>B</t>
        </is>
      </c>
      <c r="B190" s="23" t="inlineStr">
        <is>
          <t>疑義</t>
        </is>
      </c>
      <c r="C190" s="24" t="inlineStr">
        <is>
          <t>特別会計の歳入内訳の区分変更の有無（令和3→4年度）</t>
        </is>
      </c>
      <c r="D190" s="24" t="inlineStr">
        <is>
          <t>総務費繰入金・低所得者保険料軽減繰入金が0になり一般会計繰入金が急増。時系列グラフが不連続になる。</t>
        </is>
      </c>
      <c r="E190" s="22" t="inlineStr">
        <is>
          <t>Ⅱ-55</t>
        </is>
      </c>
      <c r="F190" s="22" t="inlineStr">
        <is>
          <t>doc02§20-1</t>
        </is>
      </c>
      <c r="G190" s="22" t="inlineStr">
        <is>
          <t>未依頼</t>
        </is>
      </c>
      <c r="H190" s="24" t="inlineStr"/>
    </row>
    <row r="191" ht="34" customHeight="1">
      <c r="A191" s="36" t="inlineStr">
        <is>
          <t>B</t>
        </is>
      </c>
      <c r="B191" s="23" t="inlineStr">
        <is>
          <t>疑義</t>
        </is>
      </c>
      <c r="C191" s="24" t="inlineStr">
        <is>
          <t>介護保険法第117条第2項各号・第3項各号および基本指針の記載事項の条項番号の照合</t>
        </is>
      </c>
      <c r="D191" s="24" t="inlineStr">
        <is>
          <t>★この作業環境ではe-Gov法令検索・厚労省サイトが外部接続ポリシーで遮断されており、条文本文を直接確認できていない。法令集または村・県への照会で照合が必要。給付適正化の条項を第3項第5号・第6号としていた誤りは訂正済（正しくは第2項第3号・第4号）。</t>
        </is>
      </c>
      <c r="E191" s="22" t="inlineStr">
        <is>
          <t>Ⅱ-53</t>
        </is>
      </c>
      <c r="F191" s="22" t="inlineStr">
        <is>
          <t>doc32§1,§2</t>
        </is>
      </c>
      <c r="G191" s="22" t="inlineStr">
        <is>
          <t>未依頼</t>
        </is>
      </c>
      <c r="H191" s="24" t="inlineStr"/>
    </row>
    <row r="192" ht="34" customHeight="1">
      <c r="A192" s="36" t="inlineStr">
        <is>
          <t>B</t>
        </is>
      </c>
      <c r="B192" s="23" t="inlineStr">
        <is>
          <t>疑義</t>
        </is>
      </c>
      <c r="C192" s="24" t="inlineStr">
        <is>
          <t>要介護2の3区分の利用率の合計が101.5%となること</t>
        </is>
      </c>
      <c r="D192" s="24" t="inlineStr">
        <is>
          <t>★在宅73.5%＋居住系15.7%＋施設12.3%＝101.5%。年度の途中で在宅から施設へ移った方が両方に数えられているためとみられる（受給者数は年度の延べ）。重複は1.5%。給付実績により実人数を確認する。他の要介護度で100%に届かない分はサービスを使っていない方の割合（要介護1で13.1%、要介護5で21.0%）。</t>
        </is>
      </c>
      <c r="E192" s="22" t="inlineStr">
        <is>
          <t>Ⅱ-56</t>
        </is>
      </c>
      <c r="F192" s="22" t="inlineStr">
        <is>
          <t>doc37§3-2,doc18 5-4</t>
        </is>
      </c>
      <c r="G192" s="22" t="inlineStr">
        <is>
          <t>未依頼</t>
        </is>
      </c>
      <c r="H192" s="24" t="inlineStr"/>
    </row>
    <row r="193" ht="34" customHeight="1">
      <c r="A193" s="36" t="inlineStr">
        <is>
          <t>B</t>
        </is>
      </c>
      <c r="B193" s="23" t="inlineStr">
        <is>
          <t>疑義</t>
        </is>
      </c>
      <c r="C193" s="24" t="inlineStr">
        <is>
          <t>認知症高齢者自立度（B7）の認定者数合計が認定者数（B4-a）と一致しない</t>
        </is>
      </c>
      <c r="D193" s="24" t="inlineStr">
        <is>
          <t>★B7の令和6年10月末の認定者数合計253人に対し、B4-aの令和7年3月末の認定者数は198人で55人の差。集計範囲が異なるとみられるが確認が取れていない。素案2-3では実数ではなく構成比（Ⅱ以上の割合63.6%）を中心に記載している。</t>
        </is>
      </c>
      <c r="E193" s="22" t="inlineStr">
        <is>
          <t>Ⅱ-53</t>
        </is>
      </c>
      <c r="F193" s="22" t="inlineStr">
        <is>
          <t>doc36§2,doc18 2-3</t>
        </is>
      </c>
      <c r="G193" s="22" t="inlineStr">
        <is>
          <t>未依頼</t>
        </is>
      </c>
      <c r="H193" s="24" t="inlineStr"/>
    </row>
    <row r="194" ht="34" customHeight="1">
      <c r="A194" s="36" t="inlineStr">
        <is>
          <t>B</t>
        </is>
      </c>
      <c r="B194" s="23" t="inlineStr">
        <is>
          <t>疑義</t>
        </is>
      </c>
      <c r="C194" s="24" t="inlineStr">
        <is>
          <t>★令和2年（2020年）の年齢3区分の計が総人口に1人足りない理由（国勢調査の年齢不詳か入力の誤りか）</t>
        </is>
      </c>
      <c r="D194" s="24" t="inlineStr">
        <is>
          <t>★素案2-1の人口の表。「見える化」システムのA1・A9系列が総人口2,556人・15〜64歳1,349人・65歳以上948人を裏づけており、残差は259人である。本村が用いている15歳未満258人との差が1人ある。平成22年・平成27年・令和7年以降の各年は3区分の計と総人口が一致するため、令和2年のみの事象である。国勢調査の年齢不詳1人によるものであれば表の数値は正しい。15歳未満が259人であるべきなら素案2-1の1セルを直す。★10/5：【当方では確かめられなかった。】 受領した見える化に15歳未満の系列がなく（収録は総人口・15〜64歳・65歳以上の3つのみ）、外部の統計にも接続できない環境のため、国勢調査の年齢別集計表に当たれない。必要なのは令和2年国勢調査 第1表（北塩原村の年齢5歳階級別人口。年齢不詳の行を含む）1枚である。それが得られれば、15歳未満が258人か259人か、年齢不詳が1人いるかが一度に決まる。現在は data_zuhyo.FUSHO に差1人として宣言し、verify_soan.py 点検46 はこの分だけを認めている。差は1人であり、素案2-1の15歳未満の1セル以外に影響しない。</t>
        </is>
      </c>
      <c r="E194" s="22" t="inlineStr">
        <is>
          <t>Ⅱ-58,Ⅱ-59</t>
        </is>
      </c>
      <c r="F194" s="22" t="inlineStr">
        <is>
          <t>doc56§1-3</t>
        </is>
      </c>
      <c r="G194" s="22" t="inlineStr">
        <is>
          <t>未依頼</t>
        </is>
      </c>
      <c r="H194" s="24" t="inlineStr"/>
    </row>
    <row r="195" ht="34" customHeight="1">
      <c r="A195" s="36" t="inlineStr">
        <is>
          <t>B</t>
        </is>
      </c>
      <c r="B195" s="23" t="inlineStr">
        <is>
          <t>疑義</t>
        </is>
      </c>
      <c r="C195" s="24" t="inlineStr">
        <is>
          <t>★「見える化」地域分析の「在宅死亡者数（自宅）」の単位（36.74・単位は「人」とされている）</t>
        </is>
      </c>
      <c r="D195" s="24" t="inlineStr">
        <is>
          <t>見える化の指標の説明の画面を開き、「在宅死亡者数（自宅）」の分母の記載をご確認いただきたい。村のアカウントでなければ開けない画面であり、当方はファイルの提供を受けて作業しているため開けない。素案2-5および資6の事項三にあたる。δ1-c 医療介護連携に収録されている値で、偏差値は33.68と全国平均を大きく下回る。値36.74の単位が「人」とされているが、本村の年間死亡数に照らすと実数とは考えられず、人口あたりの率とみられる。定義が定まれば基本指針の別表「事項三 死亡場所別の死亡数」への対応を一部から対応に改められる。★10/5：【当方では確かめられなかった。】 受領したδ1-cの原本（グラフ設定シート）に単位の説明がなく、出典は厚生労働省「人口動態調査」（医療計画作成支援データブック）と記されているのみである。指標の定義を示す画面はシステム側にあり、当方はファイルの提供を受けて作業しているため開けない。見える化の指標の説明（在宅死亡者数（自宅）の定義と単位）をご確認いただきたい。現時点では偏差値33.68のみを素案2-5に掲げ、実数は掲げていない。定義が定まれば基本指針の別表 事項三への対応を一部から対応に改められる。★10/6：原本のグラフ設定シートの出典の表記を読み直したところ、厚生労働省「介護保険総合データベース」「人口動態調査」（医療計画作成支援データブック・オープンデータ）および総務省「住民基本台帳に基づく人口、人口動態及び世帯数調査」の3つが挙げられていた。住民基本台帳人口が出典に含まれることは、この値が人口あたりの率であることを示す。同じδ1-cに収められた他の5指標はいずれも算定率（%）であり、単位の欄が「人」とされているのはこの指標だけである。分母の確認先は村ではなく国のオープンデータの定義であることが特定できたため、村への照会としては、見える化の指標の説明を開ける村のアカウントで分母の記載をご確認いただくことのみをお願いしたい。</t>
        </is>
      </c>
      <c r="E195" s="22" t="inlineStr">
        <is>
          <t>Ⅱ-54,Ⅱ-56</t>
        </is>
      </c>
      <c r="F195" s="22" t="inlineStr">
        <is>
          <t>doc56§3-2,doc61§2</t>
        </is>
      </c>
      <c r="G195" s="22" t="inlineStr">
        <is>
          <t>未依頼</t>
        </is>
      </c>
      <c r="H195" s="24" t="inlineStr"/>
    </row>
    <row r="196" ht="34" customHeight="1">
      <c r="A196" s="36" t="inlineStr">
        <is>
          <t>B</t>
        </is>
      </c>
      <c r="B196" s="23" t="inlineStr">
        <is>
          <t>素案</t>
        </is>
      </c>
      <c r="C196" s="24" t="inlineStr">
        <is>
          <t>章構成を第9期（全6章＋資料編）から踏襲することの可否</t>
        </is>
      </c>
      <c r="D196" s="24" t="inlineStr">
        <is>
          <t>素案は踏襲を前提。第2章に「2-8 保険者機能の評価」「2-9 第9期計画の進捗と評価」の2節を新設している。</t>
        </is>
      </c>
      <c r="E196" s="22" t="inlineStr">
        <is>
          <t>Ⅱ-75</t>
        </is>
      </c>
      <c r="F196" s="22" t="inlineStr">
        <is>
          <t>doc15,doc18</t>
        </is>
      </c>
      <c r="G196" s="22" t="inlineStr">
        <is>
          <t>未依頼</t>
        </is>
      </c>
      <c r="H196" s="24" t="inlineStr"/>
    </row>
    <row r="197" ht="34" customHeight="1">
      <c r="A197" s="36" t="inlineStr">
        <is>
          <t>B</t>
        </is>
      </c>
      <c r="B197" s="23" t="inlineStr">
        <is>
          <t>素案</t>
        </is>
      </c>
      <c r="C197" s="24" t="inlineStr">
        <is>
          <t>基本理念・基本目標の枠組みを第9期から継承することの可否</t>
        </is>
      </c>
      <c r="D197" s="24" t="inlineStr">
        <is>
          <t>素案は継承を前提に構成。変更する場合は第3章・第4章の全面的な組み替えが必要になる。</t>
        </is>
      </c>
      <c r="E197" s="22" t="inlineStr">
        <is>
          <t>Ⅱ-71,Ⅱ-75</t>
        </is>
      </c>
      <c r="F197" s="22" t="inlineStr">
        <is>
          <t>doc14§5,doc18 3-1</t>
        </is>
      </c>
      <c r="G197" s="22" t="inlineStr">
        <is>
          <t>未依頼</t>
        </is>
      </c>
      <c r="H197" s="24" t="inlineStr"/>
    </row>
    <row r="198" ht="34" customHeight="1">
      <c r="A198" s="36" t="inlineStr">
        <is>
          <t>B</t>
        </is>
      </c>
      <c r="B198" s="23" t="inlineStr">
        <is>
          <t>素案</t>
        </is>
      </c>
      <c r="C198" s="24" t="inlineStr">
        <is>
          <t>基本目標5「計画の推進と進捗管理」を独立させるか、各基本目標に横断的に組み込むか</t>
        </is>
      </c>
      <c r="D198" s="24" t="inlineStr">
        <is>
          <t>第9期で3年連続0点だったPDCAへの対応。独立を推奨するが構成上の選択であり村の意向による。</t>
        </is>
      </c>
      <c r="E198" s="22" t="inlineStr">
        <is>
          <t>Ⅱ-71,Ⅱ-75</t>
        </is>
      </c>
      <c r="F198" s="22" t="inlineStr">
        <is>
          <t>doc14§5,doc15,doc18 4-5</t>
        </is>
      </c>
      <c r="G198" s="22" t="inlineStr">
        <is>
          <t>未依頼</t>
        </is>
      </c>
      <c r="H198" s="24" t="inlineStr"/>
    </row>
    <row r="199" ht="34" customHeight="1">
      <c r="A199" s="36" t="inlineStr">
        <is>
          <t>B</t>
        </is>
      </c>
      <c r="B199" s="23" t="inlineStr">
        <is>
          <t>素案</t>
        </is>
      </c>
      <c r="C199" s="24" t="inlineStr">
        <is>
          <t>施設サービスの記載を「村外施設サービスの利用支援」に改めることの可否</t>
        </is>
      </c>
      <c r="D199" s="24" t="inlineStr">
        <is>
          <t>村内に該当施設がゼロ。第9期は特養〜介護医療院の4類型を列挙する記載で実態と乖離していた。</t>
        </is>
      </c>
      <c r="E199" s="22" t="inlineStr">
        <is>
          <t>Ⅱ-75</t>
        </is>
      </c>
      <c r="F199" s="22" t="inlineStr">
        <is>
          <t>doc17 B-3,doc18 4-3</t>
        </is>
      </c>
      <c r="G199" s="22" t="inlineStr">
        <is>
          <t>未依頼</t>
        </is>
      </c>
      <c r="H199" s="24" t="inlineStr"/>
    </row>
    <row r="200" ht="34" customHeight="1">
      <c r="A200" s="36" t="inlineStr">
        <is>
          <t>B</t>
        </is>
      </c>
      <c r="B200" s="23" t="inlineStr">
        <is>
          <t>素案</t>
        </is>
      </c>
      <c r="C200" s="24" t="inlineStr">
        <is>
          <t>計画本文に第9期の推計乖離（第1号被保険者数6.6%）を記載することの可否</t>
        </is>
      </c>
      <c r="D200" s="24" t="inlineStr">
        <is>
          <t>素案の2-9・5-1に記載。次期計画で本計画の推計精度を検証できるようにする趣旨だが、自らの誤差を公表することになるため村の判断を要する。</t>
        </is>
      </c>
      <c r="E200" s="22" t="inlineStr">
        <is>
          <t>Ⅱ-75</t>
        </is>
      </c>
      <c r="F200" s="22" t="inlineStr">
        <is>
          <t>doc17 A-1,doc18 2-9</t>
        </is>
      </c>
      <c r="G200" s="22" t="inlineStr">
        <is>
          <t>未依頼</t>
        </is>
      </c>
      <c r="H200" s="24" t="inlineStr"/>
    </row>
    <row r="201" ht="34" customHeight="1">
      <c r="A201" s="36" t="inlineStr">
        <is>
          <t>B</t>
        </is>
      </c>
      <c r="B201" s="23" t="inlineStr">
        <is>
          <t>素案</t>
        </is>
      </c>
      <c r="C201" s="24" t="inlineStr">
        <is>
          <t>第9期保険料の再算定試算（6,761円→約6,346円）の取扱い</t>
        </is>
      </c>
      <c r="D201" s="24" t="inlineStr">
        <is>
          <t>第1号被保険者数のみを実績に置換した試算で、福島県平均6,340円とほぼ一致する。素案5-7に記載しているが、公表資料での扱いは村の判断による。</t>
        </is>
      </c>
      <c r="E201" s="22" t="inlineStr">
        <is>
          <t>Ⅱ-64,Ⅱ-75</t>
        </is>
      </c>
      <c r="F201" s="22" t="inlineStr">
        <is>
          <t>doc17 A-1,doc18 5-7</t>
        </is>
      </c>
      <c r="G201" s="22" t="inlineStr">
        <is>
          <t>未依頼</t>
        </is>
      </c>
      <c r="H201" s="24" t="inlineStr"/>
    </row>
    <row r="202" ht="34" customHeight="1">
      <c r="A202" s="36" t="inlineStr">
        <is>
          <t>B</t>
        </is>
      </c>
      <c r="B202" s="23" t="inlineStr">
        <is>
          <t>計画構成</t>
        </is>
      </c>
      <c r="C202" s="24" t="inlineStr">
        <is>
          <t>認知症施策推進計画・成年後見制度利用促進基本計画の一体化を第10期も踏襲するか</t>
        </is>
      </c>
      <c r="D202" s="24" t="inlineStr">
        <is>
          <t>第9期は基本目標4に内包する構成。素案は踏襲を前提に1-2で法的根拠を記載している。</t>
        </is>
      </c>
      <c r="E202" s="22" t="inlineStr">
        <is>
          <t>Ⅱ-73,Ⅱ-75</t>
        </is>
      </c>
      <c r="F202" s="22" t="inlineStr">
        <is>
          <t>doc01-5,doc18 1-2</t>
        </is>
      </c>
      <c r="G202" s="22" t="inlineStr">
        <is>
          <t>未依頼</t>
        </is>
      </c>
      <c r="H202" s="24" t="inlineStr"/>
    </row>
    <row r="203" ht="34" customHeight="1">
      <c r="A203" s="36" t="inlineStr">
        <is>
          <t>B</t>
        </is>
      </c>
      <c r="B203" s="23" t="inlineStr">
        <is>
          <t>計画構成</t>
        </is>
      </c>
      <c r="C203" s="24" t="inlineStr">
        <is>
          <t>定住自立圏（喜多方市・西会津町）／会津権利擁護・成年後見センターとの広域連携の記載方針</t>
        </is>
      </c>
      <c r="D203" s="24" t="inlineStr">
        <is>
          <t>施策の書きぶりに影響。</t>
        </is>
      </c>
      <c r="E203" s="22" t="inlineStr">
        <is>
          <t>Ⅱ-71,Ⅱ-72</t>
        </is>
      </c>
      <c r="F203" s="22" t="inlineStr">
        <is>
          <t>doc01-12</t>
        </is>
      </c>
      <c r="G203" s="22" t="inlineStr">
        <is>
          <t>未依頼</t>
        </is>
      </c>
      <c r="H203" s="24" t="inlineStr"/>
    </row>
    <row r="204" ht="34" customHeight="1">
      <c r="A204" s="36" t="inlineStr">
        <is>
          <t>B</t>
        </is>
      </c>
      <c r="B204" s="23" t="inlineStr">
        <is>
          <t>計画構成</t>
        </is>
      </c>
      <c r="C204" s="24" t="inlineStr">
        <is>
          <t>整合を図る関連計画の網羅（障がい福祉計画・障がい者計画・地域福祉計画等）</t>
        </is>
      </c>
      <c r="D204" s="24" t="inlineStr">
        <is>
          <t>資料には基本指針・第5次総合振興計画・第3次健康21のみ記載。</t>
        </is>
      </c>
      <c r="E204" s="22" t="inlineStr">
        <is>
          <t>Ⅱ-72</t>
        </is>
      </c>
      <c r="F204" s="22" t="inlineStr">
        <is>
          <t>doc19 追-13</t>
        </is>
      </c>
      <c r="G204" s="22" t="inlineStr">
        <is>
          <t>未依頼</t>
        </is>
      </c>
      <c r="H204" s="24" t="inlineStr"/>
    </row>
    <row r="205" ht="34" customHeight="1">
      <c r="A205" s="36" t="inlineStr">
        <is>
          <t>B</t>
        </is>
      </c>
      <c r="B205" s="23" t="inlineStr">
        <is>
          <t>調査設計</t>
        </is>
      </c>
      <c r="C205" s="24" t="inlineStr">
        <is>
          <t>督促（リマインド）の実施可否と追加郵送費の扱い</t>
        </is>
      </c>
      <c r="D205" s="24" t="inlineStr">
        <is>
          <t>第9期の在宅調査は回収率45.8%（72人中33人）。150人でも同率なら約69件で、クロス集計に耐えない可能性。</t>
        </is>
      </c>
      <c r="E205" s="22" t="inlineStr">
        <is>
          <t>Ⅰ-31</t>
        </is>
      </c>
      <c r="F205" s="22" t="inlineStr">
        <is>
          <t>doc19 追-6</t>
        </is>
      </c>
      <c r="G205" s="22" t="inlineStr">
        <is>
          <t>未依頼</t>
        </is>
      </c>
      <c r="H205" s="24" t="inlineStr"/>
    </row>
    <row r="206" ht="34" customHeight="1">
      <c r="A206" s="36" t="inlineStr">
        <is>
          <t>B</t>
        </is>
      </c>
      <c r="B206" s="23" t="inlineStr">
        <is>
          <t>調査設計</t>
        </is>
      </c>
      <c r="C206" s="24" t="inlineStr">
        <is>
          <t>集計・分析で村が最も確認したい事項（クロス集計の設計）</t>
        </is>
      </c>
      <c r="D206" s="24" t="inlineStr">
        <is>
          <t>資料5の論点表から落とす。地区別（北山・大塩・桧原・裏磐梯）は第9期報告書が全設問で実施しており踏襲が前提だが、多重クロスは特定リスクがあるため細分の程度を確認。</t>
        </is>
      </c>
      <c r="E206" s="22" t="inlineStr">
        <is>
          <t>Ⅰ-40,Ⅰ-42</t>
        </is>
      </c>
      <c r="F206" s="22" t="inlineStr">
        <is>
          <t>doc19 追-7</t>
        </is>
      </c>
      <c r="G206" s="22" t="inlineStr">
        <is>
          <t>未依頼</t>
        </is>
      </c>
      <c r="H206" s="24" t="inlineStr"/>
    </row>
    <row r="207" ht="34" customHeight="1">
      <c r="A207" s="36" t="inlineStr">
        <is>
          <t>B</t>
        </is>
      </c>
      <c r="B207" s="23" t="inlineStr">
        <is>
          <t>調査設計</t>
        </is>
      </c>
      <c r="C207" s="24" t="inlineStr">
        <is>
          <t>ニーズ調査 問6(1)の選択肢への補足表記の可否（常勤（フルタイム）／非常勤（パート・アルバイト等））</t>
        </is>
      </c>
      <c r="D207" s="24" t="inlineStr">
        <is>
          <t>厳密には選択肢文言の改変にあたるが、手引きQ&amp;Aの「通称を付ける」例に近く実務上は許容される可能性が高い。回答率への影響を考えると補足を残すことを推奨。村の判断を仰ぐ。</t>
        </is>
      </c>
      <c r="E207" s="22" t="inlineStr">
        <is>
          <t>Ⅰ-09</t>
        </is>
      </c>
      <c r="F207" s="22" t="inlineStr">
        <is>
          <t>doc23§1-3</t>
        </is>
      </c>
      <c r="G207" s="22" t="inlineStr">
        <is>
          <t>未依頼</t>
        </is>
      </c>
      <c r="H207" s="24" t="inlineStr"/>
    </row>
    <row r="208" ht="34" customHeight="1">
      <c r="A208" s="36" t="inlineStr">
        <is>
          <t>B</t>
        </is>
      </c>
      <c r="B208" s="23" t="inlineStr">
        <is>
          <t>調査設計</t>
        </is>
      </c>
      <c r="C208" s="24" t="inlineStr">
        <is>
          <t>送付状の個人情報に関する説明の補強</t>
        </is>
      </c>
      <c r="D208" s="24" t="inlineStr">
        <is>
          <t>第2稿で「回答された方が特定されることはありません」を「管理番号等は統計分析上において利用するものです」に変更。管理番号で紐付ける以上この修正は正しい方向だが説明として短い。議事録のクレーム対策の趣旨に沿った文案を提示済。</t>
        </is>
      </c>
      <c r="E208" s="22" t="inlineStr">
        <is>
          <t>Ⅰ-14</t>
        </is>
      </c>
      <c r="F208" s="22" t="inlineStr">
        <is>
          <t>doc27§5-1</t>
        </is>
      </c>
      <c r="G208" s="22" t="inlineStr">
        <is>
          <t>未依頼</t>
        </is>
      </c>
      <c r="H208" s="24" t="inlineStr"/>
    </row>
    <row r="209" ht="34" customHeight="1">
      <c r="A209" s="36" t="inlineStr">
        <is>
          <t>B</t>
        </is>
      </c>
      <c r="B209" s="23" t="inlineStr">
        <is>
          <t>調査設計</t>
        </is>
      </c>
      <c r="C209" s="24" t="inlineStr">
        <is>
          <t>ニーズ調査の選択肢の表記変更5件の可否（障がい表記・ぜひ・役場・移動販売・フルタイム）</t>
        </is>
      </c>
      <c r="D209" s="24" t="inlineStr">
        <is>
          <t>村の表記ルール等による変更。手引きQ&amp;Aの「通称への置き換え」に近く多くは許容されると考えるが、「買い物（移動販売等※宅配は含まない）」のみ回答の範囲を広げる方向の変更で第9期・他保険者との比較に影響し得る。</t>
        </is>
      </c>
      <c r="E209" s="22" t="inlineStr">
        <is>
          <t>Ⅰ-09</t>
        </is>
      </c>
      <c r="F209" s="22" t="inlineStr">
        <is>
          <t>doc27§4</t>
        </is>
      </c>
      <c r="G209" s="22" t="inlineStr">
        <is>
          <t>未依頼</t>
        </is>
      </c>
      <c r="H209" s="24" t="inlineStr"/>
    </row>
    <row r="210" ht="34" customHeight="1">
      <c r="A210" s="37" t="inlineStr">
        <is>
          <t>C</t>
        </is>
      </c>
      <c r="B210" s="23" t="inlineStr">
        <is>
          <t>データ</t>
        </is>
      </c>
      <c r="C210" s="24" t="inlineStr">
        <is>
          <t>死亡場所別の死亡数（人口動態統計の市町村別の公表の粒度）</t>
        </is>
      </c>
      <c r="D210" s="24" t="inlineStr">
        <is>
          <t>人口動態統計で死亡場所別の死亡数が本村の単位で得られるかどうかを、ご確認いただきたい。数そのものではなく、まず得られるかどうかだけで足りる。施策4-3の看取りへの対応の裏付けに用いる。本村の規模では公表の粒度により値が得られない可能性がある。得られない場合は、基本指針の別表 事項三を「一部」のままとし、「見える化」の在宅死亡者数（自宅）の偏差値を代わりに掲げる（素案2-5・資6）。</t>
        </is>
      </c>
      <c r="E210" s="22" t="inlineStr">
        <is>
          <t>Ⅱ-56</t>
        </is>
      </c>
      <c r="F210" s="22" t="inlineStr">
        <is>
          <t>doc49§2-4</t>
        </is>
      </c>
      <c r="G210" s="22" t="inlineStr">
        <is>
          <t>未依頼</t>
        </is>
      </c>
      <c r="H210" s="24" t="inlineStr"/>
    </row>
    <row r="211" ht="34" customHeight="1">
      <c r="A211" s="37" t="inlineStr">
        <is>
          <t>C</t>
        </is>
      </c>
      <c r="B211" s="23" t="inlineStr">
        <is>
          <t>成果品</t>
        </is>
      </c>
      <c r="C211" s="24" t="inlineStr">
        <is>
          <t>計画書の判型・レイアウト・表紙デザインの踏襲可否</t>
        </is>
      </c>
      <c r="D211" s="24" t="inlineStr">
        <is>
          <t>第9期はA4・本文104頁・全6章＋資料編。</t>
        </is>
      </c>
      <c r="E211" s="22" t="inlineStr">
        <is>
          <t>Ⅱ-113,Ⅳ-89</t>
        </is>
      </c>
      <c r="F211" s="22" t="inlineStr">
        <is>
          <t>doc01-10</t>
        </is>
      </c>
      <c r="G211" s="22" t="inlineStr">
        <is>
          <t>未依頼</t>
        </is>
      </c>
      <c r="H211" s="24" t="inlineStr"/>
    </row>
    <row r="213" ht="20" customHeight="1">
      <c r="A213" s="38" t="inlineStr">
        <is>
          <t>■ 解決済み（記録）</t>
        </is>
      </c>
    </row>
    <row r="214" ht="34" customHeight="1">
      <c r="A214" s="39" t="inlineStr">
        <is>
          <t>―</t>
        </is>
      </c>
      <c r="B214" s="40" t="inlineStr">
        <is>
          <t>疑義</t>
        </is>
      </c>
      <c r="C214" s="41" t="inlineStr">
        <is>
          <t>第1号被保険者数・認定者数の推計に2系列が併存していた（社内・解消済）</t>
        </is>
      </c>
      <c r="D214" s="41" t="inlineStr">
        <is>
          <t>★素案5-2・5-3が社人研推計（国勢調査ベース）、5-4以降が厚生労働省配布の推計用人口（住民基本台帳ベース）を用いており、令和11年の認定者数が230人と220人で食い違っていた。厚生労働省配布の系列（B案）に統一し、5-1・5-2・5-3を全面的に書き改めた。介護保険の第1号被保険者数が住民基本台帳を基礎とすること、国の推計ワークシートが同じ配布データを用いることによる。</t>
        </is>
      </c>
      <c r="E214" s="39" t="inlineStr">
        <is>
          <t>Ⅱ-56,Ⅱ-64</t>
        </is>
      </c>
      <c r="F214" s="39" t="inlineStr">
        <is>
          <t>doc35§7-3(1)</t>
        </is>
      </c>
      <c r="G214" s="39" t="inlineStr">
        <is>
          <t>解決済</t>
        </is>
      </c>
      <c r="H214" s="41" t="inlineStr"/>
    </row>
    <row r="215" ht="34" customHeight="1">
      <c r="A215" s="39" t="inlineStr">
        <is>
          <t>―</t>
        </is>
      </c>
      <c r="B215" s="40" t="inlineStr">
        <is>
          <t>データ</t>
        </is>
      </c>
      <c r="C215" s="41" t="inlineStr">
        <is>
          <t>成年後見制度（市民後見人養成含む）の利用実態・実績</t>
        </is>
      </c>
      <c r="D215" s="41" t="inlineStr">
        <is>
          <t>令和7・8年度の成年後見制度利用促進施策に係る取組状況調査（市町村票）と会津権利擁護・成年後見センターの相談件数の受領により解決。利用者4人、市町村長申立て0件、市民後見人の登録0人・受任0件、中核機関・協議会・申立費用助成・報酬助成はいずれも整備済。</t>
        </is>
      </c>
      <c r="E215" s="39" t="inlineStr">
        <is>
          <t>Ⅱ-68,Ⅱ-69</t>
        </is>
      </c>
      <c r="F215" s="39" t="inlineStr">
        <is>
          <t>doc28§3</t>
        </is>
      </c>
      <c r="G215" s="39" t="inlineStr">
        <is>
          <t>解決済</t>
        </is>
      </c>
      <c r="H215" s="41" t="inlineStr"/>
    </row>
    <row r="216" ht="34" customHeight="1">
      <c r="A216" s="39" t="inlineStr">
        <is>
          <t>―</t>
        </is>
      </c>
      <c r="B216" s="40" t="inlineStr">
        <is>
          <t>体制</t>
        </is>
      </c>
      <c r="C216" s="41" t="inlineStr">
        <is>
          <t>所管課・窓口の確認（住民課→保健福祉課の変更の有無、担当者体制）</t>
        </is>
      </c>
      <c r="D216" s="41" t="inlineStr">
        <is>
          <t>成年後見の調査票により解決。報告担当課・主管課とも保健福祉課であることを確認した。担当者名・連絡先は個人情報のため本表には記載しない。調査票の問合せ先表記も裏づけられた。</t>
        </is>
      </c>
      <c r="E216" s="39" t="inlineStr">
        <is>
          <t>０-04</t>
        </is>
      </c>
      <c r="F216" s="39" t="inlineStr">
        <is>
          <t>doc28§4</t>
        </is>
      </c>
      <c r="G216" s="39" t="inlineStr">
        <is>
          <t>解決済</t>
        </is>
      </c>
      <c r="H216" s="41" t="inlineStr"/>
    </row>
    <row r="217" ht="34" customHeight="1">
      <c r="A217" s="39" t="inlineStr">
        <is>
          <t>―</t>
        </is>
      </c>
      <c r="B217" s="40" t="inlineStr">
        <is>
          <t>データ</t>
        </is>
      </c>
      <c r="C217" s="41" t="inlineStr">
        <is>
          <t>所得段階別の第1号被保険者数</t>
        </is>
      </c>
      <c r="D217" s="41" t="inlineStr">
        <is>
          <t>令和8年度合計所得金額分布調査の入力済み調査票により解決。13段階・合計1,015人。非課税層60.3%、第1〜3段階だけで346人・34.1%。10万円刻みの分布も入手。</t>
        </is>
      </c>
      <c r="E217" s="39" t="inlineStr">
        <is>
          <t>Ⅱ-64</t>
        </is>
      </c>
      <c r="F217" s="39" t="inlineStr">
        <is>
          <t>doc28§2</t>
        </is>
      </c>
      <c r="G217" s="39" t="inlineStr">
        <is>
          <t>解決済</t>
        </is>
      </c>
      <c r="H217" s="41" t="inlineStr"/>
    </row>
    <row r="218" ht="34" customHeight="1">
      <c r="A218" s="39" t="inlineStr">
        <is>
          <t>―</t>
        </is>
      </c>
      <c r="B218" s="40" t="inlineStr">
        <is>
          <t>データ</t>
        </is>
      </c>
      <c r="C218" s="41" t="inlineStr">
        <is>
          <t>第10期の将来推計人口・第1号被保険者数の推計データ</t>
        </is>
      </c>
      <c r="D218" s="41" t="inlineStr">
        <is>
          <t>厚労省配布の第10期将来推計用人口推計（住基ベース）と補正係数の受領により解決。補正後の第1号被保険者数は令和9年946人／令和10年939人／令和11年931人。ただし直近実績を約6%下回る論点あり（K-106）。</t>
        </is>
      </c>
      <c r="E218" s="39" t="inlineStr">
        <is>
          <t>Ⅱ-59</t>
        </is>
      </c>
      <c r="F218" s="39" t="inlineStr">
        <is>
          <t>doc28§1</t>
        </is>
      </c>
      <c r="G218" s="39" t="inlineStr">
        <is>
          <t>解決済</t>
        </is>
      </c>
      <c r="H218" s="41" t="inlineStr"/>
    </row>
    <row r="219" ht="34" customHeight="1">
      <c r="A219" s="39" t="inlineStr">
        <is>
          <t>―</t>
        </is>
      </c>
      <c r="B219" s="40" t="inlineStr">
        <is>
          <t>調査設計</t>
        </is>
      </c>
      <c r="C219" s="41" t="inlineStr">
        <is>
          <t>ニーズ調査 選択肢の順序が標準と逆になっている7か所の修正</t>
        </is>
      </c>
      <c r="D219" s="41" t="inlineStr">
        <is>
          <t>第2稿（0904版）で問7の6か所を修正済。誤植2件（「そのような人はいないその他」「いないその他」）も解消。★問1(2)①の1か所が未修正のため別項目として再掲。</t>
        </is>
      </c>
      <c r="E219" s="39" t="inlineStr">
        <is>
          <t>Ⅰ-09</t>
        </is>
      </c>
      <c r="F219" s="39" t="inlineStr">
        <is>
          <t>doc27§1-1</t>
        </is>
      </c>
      <c r="G219" s="39" t="inlineStr">
        <is>
          <t>解決済（一部再掲）</t>
        </is>
      </c>
      <c r="H219" s="41" t="inlineStr"/>
    </row>
    <row r="220" ht="34" customHeight="1">
      <c r="A220" s="39" t="inlineStr">
        <is>
          <t>―</t>
        </is>
      </c>
      <c r="B220" s="40" t="inlineStr">
        <is>
          <t>調査設計</t>
        </is>
      </c>
      <c r="C220" s="41" t="inlineStr">
        <is>
          <t>在宅介護実態調査 前回指摘2件の反映（介護療養型医療施設の削除／傷病の選択肢13・14の入替）</t>
        </is>
      </c>
      <c r="D220" s="41" t="inlineStr">
        <is>
          <t>第2稿（0904版）で両方とも修正済。</t>
        </is>
      </c>
      <c r="E220" s="39" t="inlineStr">
        <is>
          <t>Ⅰ-10</t>
        </is>
      </c>
      <c r="F220" s="39" t="inlineStr">
        <is>
          <t>doc27§1-2</t>
        </is>
      </c>
      <c r="G220" s="39" t="inlineStr">
        <is>
          <t>解決済</t>
        </is>
      </c>
      <c r="H220" s="41" t="inlineStr"/>
    </row>
    <row r="221" ht="34" customHeight="1">
      <c r="A221" s="39" t="inlineStr">
        <is>
          <t>―</t>
        </is>
      </c>
      <c r="B221" s="40" t="inlineStr">
        <is>
          <t>調査設計</t>
        </is>
      </c>
      <c r="C221" s="41" t="inlineStr">
        <is>
          <t>在宅介護実態調査 標準の問13「訪問診療」の復活</t>
        </is>
      </c>
      <c r="D221" s="41" t="inlineStr">
        <is>
          <t>第2稿（0904版）で復活。★ただし番号が問12として付されており問13が欠番。番号の修正を別項目として再掲。</t>
        </is>
      </c>
      <c r="E221" s="39" t="inlineStr">
        <is>
          <t>Ⅰ-10</t>
        </is>
      </c>
      <c r="F221" s="39" t="inlineStr">
        <is>
          <t>doc27§1-2</t>
        </is>
      </c>
      <c r="G221" s="39" t="inlineStr">
        <is>
          <t>解決済（番号は再掲）</t>
        </is>
      </c>
      <c r="H221" s="41" t="inlineStr"/>
    </row>
    <row r="222" ht="34" customHeight="1">
      <c r="A222" s="39" t="inlineStr">
        <is>
          <t>―</t>
        </is>
      </c>
      <c r="B222" s="40" t="inlineStr">
        <is>
          <t>調査設計</t>
        </is>
      </c>
      <c r="C222" s="41" t="inlineStr">
        <is>
          <t>調査の基準日（ニーズ調査・在宅介護実態調査）</t>
        </is>
      </c>
      <c r="D222" s="41" t="inlineStr">
        <is>
          <t>キックオフ会議（令和8年9月1日）で決着：令和8年9月1日を基準日とする。</t>
        </is>
      </c>
      <c r="E222" s="39" t="inlineStr">
        <is>
          <t>Ⅰ-08,Ⅰ-24</t>
        </is>
      </c>
      <c r="F222" s="39" t="inlineStr">
        <is>
          <t>doc22 §1</t>
        </is>
      </c>
      <c r="G222" s="39" t="inlineStr">
        <is>
          <t>解決済</t>
        </is>
      </c>
      <c r="H222" s="41" t="inlineStr"/>
    </row>
    <row r="223" ht="34" customHeight="1">
      <c r="A223" s="39" t="inlineStr">
        <is>
          <t>―</t>
        </is>
      </c>
      <c r="B223" s="40" t="inlineStr">
        <is>
          <t>調査設計</t>
        </is>
      </c>
      <c r="C223" s="41" t="inlineStr">
        <is>
          <t>在宅介護実態調査 約150人の抽出基準</t>
        </is>
      </c>
      <c r="D223" s="41" t="inlineStr">
        <is>
          <t>キックオフ会議で決着：要支援1・2および要介護1〜5の在宅生活者等、150件。</t>
        </is>
      </c>
      <c r="E223" s="39" t="inlineStr">
        <is>
          <t>Ⅰ-08,Ⅰ-24</t>
        </is>
      </c>
      <c r="F223" s="39" t="inlineStr">
        <is>
          <t>doc22 §1</t>
        </is>
      </c>
      <c r="G223" s="39" t="inlineStr">
        <is>
          <t>解決済</t>
        </is>
      </c>
      <c r="H223" s="41" t="inlineStr"/>
    </row>
    <row r="224" ht="34" customHeight="1">
      <c r="A224" s="39" t="inlineStr">
        <is>
          <t>―</t>
        </is>
      </c>
      <c r="B224" s="40" t="inlineStr">
        <is>
          <t>成果品</t>
        </is>
      </c>
      <c r="C224" s="41" t="inlineStr">
        <is>
          <t>施策体系図（基本理念→基本目標5→施策28の階層図）の計画書への掲載</t>
        </is>
      </c>
      <c r="D224" s="41" t="inlineStr">
        <is>
          <t>★2026/09/25 作成して素案3-4と委員会資料4-4に掲載した。第9期が第3章に掲げていた施策体系とSDGsの対応を、体系図（3-4）と対応表（3-5）の2本立てに再構成したもの。3-4にあった同じ内容の平坦な表は図に置き換えて重複を解いた。計画書の推定は97頁で仕様書の約100頁に3頁の余裕がある。</t>
        </is>
      </c>
      <c r="E224" s="39" t="inlineStr">
        <is>
          <t>Ⅱ-113,Ⅱ-71</t>
        </is>
      </c>
      <c r="F224" s="39" t="inlineStr">
        <is>
          <t>doc41§6</t>
        </is>
      </c>
      <c r="G224" s="39" t="inlineStr">
        <is>
          <t>解決済</t>
        </is>
      </c>
      <c r="H224" s="41" t="inlineStr"/>
    </row>
    <row r="225" ht="34" customHeight="1">
      <c r="A225" s="39" t="inlineStr">
        <is>
          <t>―</t>
        </is>
      </c>
      <c r="B225" s="40" t="inlineStr">
        <is>
          <t>データ</t>
        </is>
      </c>
      <c r="C225" s="41" t="inlineStr">
        <is>
          <t>在宅調査票の管理番号の印字形式（N付きか数字のみか）</t>
        </is>
      </c>
      <c r="D225" s="41" t="inlineStr">
        <is>
          <t>★2026/09/28 決着：調査票の印字見本の「1」はあくまで見本であり、実物には対象者ごとの管理番号が入る。名簿の形式（ニーズは数字のみ、在宅は英字＋数字）がそのまま印字される。当方が印字見本を実物と取り違えて優先度Sとしていたもので、問題は生じない。なお回収後の突合は管理番号によるが、万一欠損した場合は氏名で突合できることを村にご確認いただいた。</t>
        </is>
      </c>
      <c r="E225" s="39" t="inlineStr">
        <is>
          <t>Ⅰ-18,Ⅰ-20,Ⅰ-38</t>
        </is>
      </c>
      <c r="F225" s="39" t="inlineStr">
        <is>
          <t>doc34§5-3,doc43§2-4</t>
        </is>
      </c>
      <c r="G225" s="39" t="inlineStr">
        <is>
          <t>解決済</t>
        </is>
      </c>
      <c r="H225" s="41" t="inlineStr"/>
    </row>
    <row r="226" ht="34" customHeight="1">
      <c r="A226" s="39" t="inlineStr">
        <is>
          <t>―</t>
        </is>
      </c>
      <c r="B226" s="40" t="inlineStr">
        <is>
          <t>調査設計</t>
        </is>
      </c>
      <c r="C226" s="41" t="inlineStr">
        <is>
          <t>配布・回収方法と宛名ラベル・封筒の用意</t>
        </is>
      </c>
      <c r="D226" s="41" t="inlineStr">
        <is>
          <t>キックオフ会議で決着：郵送（紙）とWeb回答（QRコード）の併用。宛名ラベル・封筒は北塩原村が用意。回収は村で100件程度集まるごとに随時受託者へ小分け送付。</t>
        </is>
      </c>
      <c r="E226" s="39" t="inlineStr">
        <is>
          <t>Ⅰ-25,Ⅰ-26</t>
        </is>
      </c>
      <c r="F226" s="39" t="inlineStr">
        <is>
          <t>doc22 §1</t>
        </is>
      </c>
      <c r="G226" s="39" t="inlineStr">
        <is>
          <t>解決済</t>
        </is>
      </c>
      <c r="H226" s="41" t="inlineStr"/>
    </row>
    <row r="227" ht="34" customHeight="1">
      <c r="A227" s="39" t="inlineStr">
        <is>
          <t>―</t>
        </is>
      </c>
      <c r="B227" s="40" t="inlineStr">
        <is>
          <t>疑義</t>
        </is>
      </c>
      <c r="C227" s="41" t="inlineStr">
        <is>
          <t>配布用封筒の用意の主体（仕様書4Ⅰ(3)は受託者の印刷対象としている）</t>
        </is>
      </c>
      <c r="D227" s="41" t="inlineStr">
        <is>
          <t>★2026/09/24 村の回答で決着：配布用封筒は村が用意し、費用は村側で請求処理する。受託者が印刷するのは返信用（回収用）のみ。仕様書4Ⅰ(3)の「封筒（配布用・回収用）」との差異は解消した。</t>
        </is>
      </c>
      <c r="E227" s="39" t="inlineStr">
        <is>
          <t>Ⅰ-23,Ⅰ-26,Ⅰ-103</t>
        </is>
      </c>
      <c r="F227" s="39" t="inlineStr">
        <is>
          <t>doc39§5</t>
        </is>
      </c>
      <c r="G227" s="39" t="inlineStr">
        <is>
          <t>解決済</t>
        </is>
      </c>
      <c r="H227" s="41" t="inlineStr"/>
    </row>
    <row r="228" ht="34" customHeight="1">
      <c r="A228" s="39" t="inlineStr">
        <is>
          <t>―</t>
        </is>
      </c>
      <c r="B228" s="40" t="inlineStr">
        <is>
          <t>疑義</t>
        </is>
      </c>
      <c r="C228" s="41" t="inlineStr">
        <is>
          <t>在宅介護実態調査の対象者数（仕様書の約150人に対し118人）</t>
        </is>
      </c>
      <c r="D228" s="41" t="inlineStr">
        <is>
          <t>★2026/09/24 村の回答で決着：118人で問題なし。仕様書4Ⅰ(1)の「約150人」との差異は解消した。集計設計上のセル数の扱いは当方の判断事項として継続。</t>
        </is>
      </c>
      <c r="E228" s="39" t="inlineStr">
        <is>
          <t>Ⅰ-08,Ⅰ-24,Ⅰ-103</t>
        </is>
      </c>
      <c r="F228" s="39" t="inlineStr">
        <is>
          <t>doc39§5</t>
        </is>
      </c>
      <c r="G228" s="39" t="inlineStr">
        <is>
          <t>解決済</t>
        </is>
      </c>
      <c r="H228" s="41" t="inlineStr"/>
    </row>
    <row r="229" ht="34" customHeight="1">
      <c r="A229" s="39" t="inlineStr">
        <is>
          <t>―</t>
        </is>
      </c>
      <c r="B229" s="40" t="inlineStr">
        <is>
          <t>成果品</t>
        </is>
      </c>
      <c r="C229" s="41" t="inlineStr">
        <is>
          <t>アンケート調査報告書の分量（仕様書の約100頁に対し想定118頁）</t>
        </is>
      </c>
      <c r="D229" s="41" t="inlineStr">
        <is>
          <t>★2026/09/24 村の回答で決着：仕様書どおり約100頁に統一する。第Ⅱ部（分析編25頁）は計画の根拠のため維持し、第Ⅰ部（単純集計編）と資料編で18頁を圧縮する（doc24§1改訂）。部数は仕様書のとおり10部。</t>
        </is>
      </c>
      <c r="E229" s="39" t="inlineStr">
        <is>
          <t>Ⅳ-90</t>
        </is>
      </c>
      <c r="F229" s="39" t="inlineStr">
        <is>
          <t>doc39§5</t>
        </is>
      </c>
      <c r="G229" s="39" t="inlineStr">
        <is>
          <t>解決済</t>
        </is>
      </c>
      <c r="H229" s="41" t="inlineStr"/>
    </row>
    <row r="230" ht="34" customHeight="1">
      <c r="A230" s="39" t="inlineStr">
        <is>
          <t>―</t>
        </is>
      </c>
      <c r="B230" s="40" t="inlineStr">
        <is>
          <t>成果品</t>
        </is>
      </c>
      <c r="C230" s="41" t="inlineStr">
        <is>
          <t>100頁への圧縮の当て方（集計編を圧縮するか、調査票を電子媒体に移すか）</t>
        </is>
      </c>
      <c r="D230" s="41" t="inlineStr">
        <is>
          <t>★2026/09/25 案Bを採用：調査票2種・単純集計表・自由記述の全文を電子媒体に収録し、資料編を25頁→6頁とする。浮いた頁を集計編に戻し第3章42頁・第4章21頁（計63頁・1頁1.7設問）とした。当初案118頁と同じ密度を100頁の枠内で保てる。案A（集計編を47頁に圧縮）は1頁2.3設問で第9期の2.5倍の密度となり、選択肢の多い設問が物理的に入らないため採らなかった。</t>
        </is>
      </c>
      <c r="E230" s="39" t="inlineStr">
        <is>
          <t>Ⅳ-90,Ⅰ-48,Ⅳ-91,Ⅳ-114</t>
        </is>
      </c>
      <c r="F230" s="39" t="inlineStr">
        <is>
          <t>doc24§1-1,doc40§2</t>
        </is>
      </c>
      <c r="G230" s="39" t="inlineStr">
        <is>
          <t>解決済</t>
        </is>
      </c>
      <c r="H230" s="41" t="inlineStr"/>
    </row>
    <row r="231" ht="34" customHeight="1">
      <c r="A231" s="39" t="inlineStr">
        <is>
          <t>―</t>
        </is>
      </c>
      <c r="B231" s="40" t="inlineStr">
        <is>
          <t>計画構成</t>
        </is>
      </c>
      <c r="C231" s="41" t="inlineStr">
        <is>
          <t>整合を図る関連計画の範囲</t>
        </is>
      </c>
      <c r="D231" s="41" t="inlineStr">
        <is>
          <t>キックオフ会議で決着：国の基本方針・総合計画・障がい福祉計画・地域福祉計画・グッドヘルスプラン（21計画）・生涯学習計画。</t>
        </is>
      </c>
      <c r="E231" s="39" t="inlineStr">
        <is>
          <t>Ⅱ-72</t>
        </is>
      </c>
      <c r="F231" s="39" t="inlineStr">
        <is>
          <t>doc22 §1</t>
        </is>
      </c>
      <c r="G231" s="39" t="inlineStr">
        <is>
          <t>解決済</t>
        </is>
      </c>
      <c r="H231" s="41" t="inlineStr"/>
    </row>
    <row r="232" ht="34" customHeight="1">
      <c r="A232" s="39" t="inlineStr">
        <is>
          <t>―</t>
        </is>
      </c>
      <c r="B232" s="40" t="inlineStr">
        <is>
          <t>データ</t>
        </is>
      </c>
      <c r="C232" s="41" t="inlineStr">
        <is>
          <t>保険者機能強化推進交付金（W系）の福島県平均・全国平均</t>
        </is>
      </c>
      <c r="D232" s="41" t="inlineStr">
        <is>
          <t>厚労省の全国集計表（令和6・7・8年度）の受領により解決。全国平均・中央値・標準偏差・該当率・全国順位を取得し、県内59市町村の生データから県平均・県内順位も算出。</t>
        </is>
      </c>
      <c r="E232" s="39" t="inlineStr">
        <is>
          <t>Ⅱ-65</t>
        </is>
      </c>
      <c r="F232" s="39" t="inlineStr">
        <is>
          <t>doc20§3,§4</t>
        </is>
      </c>
      <c r="G232" s="39" t="inlineStr">
        <is>
          <t>解決済</t>
        </is>
      </c>
      <c r="H232" s="41" t="inlineStr"/>
    </row>
    <row r="233" ht="34" customHeight="1">
      <c r="A233" s="39" t="inlineStr">
        <is>
          <t>―</t>
        </is>
      </c>
      <c r="B233" s="40" t="inlineStr">
        <is>
          <t>データ</t>
        </is>
      </c>
      <c r="C233" s="41" t="inlineStr">
        <is>
          <t>交付要綱の配点表（満点）</t>
        </is>
      </c>
      <c r="D233" s="41" t="inlineStr">
        <is>
          <t>令和8年度評価指標（市町村分）の配点表を受領し解決。推進交付金400点・支援交付金400点、目標Ⅰ〜Ⅳ各100点と判明。</t>
        </is>
      </c>
      <c r="E233" s="39" t="inlineStr">
        <is>
          <t>Ⅱ-65</t>
        </is>
      </c>
      <c r="F233" s="39" t="inlineStr">
        <is>
          <t>doc20§2</t>
        </is>
      </c>
      <c r="G233" s="39" t="inlineStr">
        <is>
          <t>解決済</t>
        </is>
      </c>
      <c r="H233" s="41" t="inlineStr"/>
    </row>
    <row r="234" ht="34" customHeight="1">
      <c r="A234" s="39" t="inlineStr">
        <is>
          <t>―</t>
        </is>
      </c>
      <c r="B234" s="40" t="inlineStr">
        <is>
          <t>データ</t>
        </is>
      </c>
      <c r="C234" s="41" t="inlineStr">
        <is>
          <t>令和6年度・令和7年度の交付金評価結果</t>
        </is>
      </c>
      <c r="D234" s="41" t="inlineStr">
        <is>
          <t>令和6・7・8年度の3か年を指標単位で取得し解決。合計295→339→447点。第10期の基準値は令和8年度447点/800点に置く。</t>
        </is>
      </c>
      <c r="E234" s="39" t="inlineStr">
        <is>
          <t>Ⅱ-65</t>
        </is>
      </c>
      <c r="F234" s="39" t="inlineStr">
        <is>
          <t>doc20§3-1</t>
        </is>
      </c>
      <c r="G234" s="39" t="inlineStr">
        <is>
          <t>解決済</t>
        </is>
      </c>
      <c r="H234" s="41" t="inlineStr"/>
    </row>
    <row r="235" ht="34" customHeight="1">
      <c r="A235" s="39" t="inlineStr">
        <is>
          <t>―</t>
        </is>
      </c>
      <c r="B235" s="40" t="inlineStr">
        <is>
          <t>データ</t>
        </is>
      </c>
      <c r="C235" s="41" t="inlineStr">
        <is>
          <t>高齢化率・認定率・費用額・保険料の福島県平均／全国平均</t>
        </is>
      </c>
      <c r="D235" s="41" t="inlineStr">
        <is>
          <t>地域分析P1〜P4の受領により解決。県内順位・全国順位も入手。</t>
        </is>
      </c>
      <c r="E235" s="39" t="inlineStr">
        <is>
          <t>Ⅱ-56,Ⅱ-58</t>
        </is>
      </c>
      <c r="F235" s="39" t="inlineStr">
        <is>
          <t>doc09</t>
        </is>
      </c>
      <c r="G235" s="39" t="inlineStr">
        <is>
          <t>解決済</t>
        </is>
      </c>
      <c r="H235" s="41" t="inlineStr"/>
    </row>
    <row r="236" ht="34" customHeight="1">
      <c r="A236" s="39" t="inlineStr">
        <is>
          <t>―</t>
        </is>
      </c>
      <c r="B236" s="40" t="inlineStr">
        <is>
          <t>データ</t>
        </is>
      </c>
      <c r="C236" s="41" t="inlineStr">
        <is>
          <t>1人あたり指標に用いる高齢者人口の分母の統一</t>
        </is>
      </c>
      <c r="D236" s="41" t="inlineStr">
        <is>
          <t>C1系の分母がB1第1号被保険者数であることを確認し解決。計画書はB1に統一。</t>
        </is>
      </c>
      <c r="E236" s="39" t="inlineStr">
        <is>
          <t>Ⅱ-59</t>
        </is>
      </c>
      <c r="F236" s="39" t="inlineStr">
        <is>
          <t>doc02§20-2</t>
        </is>
      </c>
      <c r="G236" s="39" t="inlineStr">
        <is>
          <t>解決済</t>
        </is>
      </c>
      <c r="H236" s="41" t="inlineStr"/>
    </row>
    <row r="237" ht="34" customHeight="1">
      <c r="A237" s="39" t="inlineStr">
        <is>
          <t>―</t>
        </is>
      </c>
      <c r="B237" s="40" t="inlineStr">
        <is>
          <t>データ</t>
        </is>
      </c>
      <c r="C237" s="41" t="inlineStr">
        <is>
          <t>国の指針・様式の更新有無</t>
        </is>
      </c>
      <c r="D237" s="41" t="inlineStr">
        <is>
          <t>令和7年8月版の標準様式を入手し逐条突合を完了（要確認0件）。</t>
        </is>
      </c>
      <c r="E237" s="39" t="inlineStr">
        <is>
          <t>Ⅰ-11</t>
        </is>
      </c>
      <c r="F237" s="39" t="inlineStr">
        <is>
          <t>doc04,doc05</t>
        </is>
      </c>
      <c r="G237" s="39" t="inlineStr">
        <is>
          <t>解決済</t>
        </is>
      </c>
      <c r="H237" s="41" t="inlineStr"/>
    </row>
    <row r="238" ht="34" customHeight="1">
      <c r="A238" s="39" t="inlineStr">
        <is>
          <t>―</t>
        </is>
      </c>
      <c r="B238" s="40" t="inlineStr">
        <is>
          <t>疑義</t>
        </is>
      </c>
      <c r="C238" s="41" t="inlineStr">
        <is>
          <t>総合事業の量（F29〜F40）が見える化で埋まるかどうか</t>
        </is>
      </c>
      <c r="D238" s="41" t="inlineStr">
        <is>
          <t>★10/5 解決：受領データを当たり直し、【当方の「本村の値は全て－」という整理が誤りであった】ことが分かった。F33（旧介護予防通所介護に相当するサービス＝通所型サービスの従前相当）には本村の値があり、令和2年3月132.0、令和3年3月127.0（65歳以上人口1万対）である。F29〜F32（訪問型・通所型サービスA〜D）は本村の行そのものがない。素案5-5(1)はこれらを実績なしとしている。ただしF33は「実施延べ件数」であり、素案5-5(1)が求める「利用者数」とは別の量であるため空欄は埋まらない。単位が「（人）」とされながら指標名は1万対であり、実数への換算は分母の時点が確かめられないため行っていない。更新が令和3年3月で止まっている点は当初の整理のとおりで、村の総合事業実施状況調査が唯一の出所である（利用者数の提供は別途起票済み）。</t>
        </is>
      </c>
      <c r="E238" s="39" t="inlineStr">
        <is>
          <t>Ⅱ-56,Ⅱ-106</t>
        </is>
      </c>
      <c r="F238" s="39" t="inlineStr">
        <is>
          <t>doc38§C-2</t>
        </is>
      </c>
      <c r="G238" s="39" t="inlineStr">
        <is>
          <t>解決済</t>
        </is>
      </c>
      <c r="H238" s="41" t="inlineStr"/>
    </row>
    <row r="239" ht="34" customHeight="1">
      <c r="A239" s="39" t="inlineStr">
        <is>
          <t>―</t>
        </is>
      </c>
      <c r="B239" s="40" t="inlineStr">
        <is>
          <t>データ</t>
        </is>
      </c>
      <c r="C239" s="41" t="inlineStr">
        <is>
          <t>国の介護保険事業計画作成支援ツール（将来推計総括表）の出力一式</t>
        </is>
      </c>
      <c r="D239" s="41" t="inlineStr">
        <is>
          <t>★10/7 解決：村より受領した。見える化システムの出力、保険者番号07402、出力日令和8年10月5日、6シート。県への第1回推計の提出（10月5日）に用いたもの。当方はこれまで見える化から独自に算定しており国の様式との検算ができていなかった。突合の結果、保険料は取崩なしのベースで当方6,756円・国6,611円（差▲2.2%）であり算定の筋は合っていた。data/国ワークシート/ に収め、読み取りの仕組み（scripts/parse_worksheet.py）を作った。</t>
        </is>
      </c>
      <c r="E239" s="39" t="inlineStr">
        <is>
          <t>Ⅱ-55,Ⅱ-56,Ⅱ-64</t>
        </is>
      </c>
      <c r="F239" s="39" t="inlineStr">
        <is>
          <t>doc66§1,§2-1</t>
        </is>
      </c>
      <c r="G239" s="39" t="inlineStr">
        <is>
          <t>解決済</t>
        </is>
      </c>
      <c r="H239" s="41" t="inlineStr"/>
    </row>
    <row r="240" ht="34" customHeight="1">
      <c r="A240" s="39" t="inlineStr">
        <is>
          <t>―</t>
        </is>
      </c>
      <c r="B240" s="40" t="inlineStr">
        <is>
          <t>データ</t>
        </is>
      </c>
      <c r="C240" s="41" t="inlineStr">
        <is>
          <t>国の推計ワークシート（第10期）の配布状況と入手時期の照会</t>
        </is>
      </c>
      <c r="D240" s="41" t="inlineStr">
        <is>
          <t>★10/7 解決：配布は済んでおり、村は既に県へ第1回推計を提出していた（10月5日）。入手後に生じるとしていた5点のうち、①所得段階別の被保険者数（13段階1,015人）、③補正係数F・G、④地域支援事業費・その他給付費・準備基金・予定保険料収納率はいずれも出力に入っていることを確認した。②保険料段階の弾力化は「弾力化をした場合」の行がすべて0であり標準の段階区分による。⑤ゼロで入っている項目は10件を数え上げた（別項目として起票）。パターン名と出力日（令和8年10月5日）を記録した。</t>
        </is>
      </c>
      <c r="E240" s="39" t="inlineStr">
        <is>
          <t>Ⅱ-62,Ⅱ-64,Ⅱ-107</t>
        </is>
      </c>
      <c r="F240" s="39" t="inlineStr">
        <is>
          <t>doc66§1</t>
        </is>
      </c>
      <c r="G240" s="39" t="inlineStr">
        <is>
          <t>解決済</t>
        </is>
      </c>
      <c r="H240" s="41" t="inlineStr"/>
    </row>
    <row r="241" ht="34" customHeight="1">
      <c r="A241" s="39" t="inlineStr">
        <is>
          <t>―</t>
        </is>
      </c>
      <c r="B241" s="40" t="inlineStr">
        <is>
          <t>方針</t>
        </is>
      </c>
      <c r="C241" s="41" t="inlineStr">
        <is>
          <t>第10期の第1号被保険者数をA案（配布データ）とB案（令和8年実績にリベース）のどちらで置くか</t>
        </is>
      </c>
      <c r="D241" s="41" t="inlineStr">
        <is>
          <t>★10/7 解決：国の推計ワークシートの第1号被保険者数は令和9年度1,004人・令和10年度1,000人・令和11年度994人であり、配布データをそのまま用いたA案（946／939／931）ではなく、実績にリベースした系列である。当方のB案（1,003／995／987）と1〜7人（0.1〜0.7%）の差にとどまる。【村は実質的にB案を採っていた】ため、当方の提案は裏づけられた。ただし前期・後期の内訳は食い違う（別項目として起票）。</t>
        </is>
      </c>
      <c r="E241" s="39" t="inlineStr">
        <is>
          <t>Ⅱ-59,Ⅱ-64</t>
        </is>
      </c>
      <c r="F241" s="39" t="inlineStr">
        <is>
          <t>doc66§4-4</t>
        </is>
      </c>
      <c r="G241" s="39" t="inlineStr">
        <is>
          <t>解決済</t>
        </is>
      </c>
      <c r="H241" s="41" t="inlineStr"/>
    </row>
    <row r="242" ht="34" customHeight="1">
      <c r="A242" s="39" t="inlineStr">
        <is>
          <t>―</t>
        </is>
      </c>
      <c r="B242" s="40" t="inlineStr">
        <is>
          <t>方針</t>
        </is>
      </c>
      <c r="C242" s="41" t="inlineStr">
        <is>
          <t>基金取崩額の確認（第9期計画の24,000,000円と議事録の「800万円程度」の関係。年額か期間合計か）</t>
        </is>
      </c>
      <c r="D242" s="41" t="inlineStr">
        <is>
          <t>★10/7 解決：国の推計ワークシートにより、準備基金の残高（令和8年度末見込）42,128,183円、取崩額40,000,000円（残高の94.9%）、保険料への影響額 月額▲1,096.83円と判明した。第9期計画の24,000,000円は期間合計である。なお取崩で第11期に取崩の余地が残らず、第11期の保険料は7,301.29円（＋32.4%）に跳ね上がる見込みである（取崩額の水準は世代間の負担の公平に関わる村の判断事項として別項目で起票）。</t>
        </is>
      </c>
      <c r="E242" s="39" t="inlineStr">
        <is>
          <t>Ⅱ-63,Ⅱ-64</t>
        </is>
      </c>
      <c r="F242" s="39" t="inlineStr">
        <is>
          <t>doc66§2,§2-3</t>
        </is>
      </c>
      <c r="G242" s="39" t="inlineStr">
        <is>
          <t>解決済</t>
        </is>
      </c>
      <c r="H242" s="41" t="inlineStr"/>
    </row>
    <row r="243" ht="34" customHeight="1">
      <c r="A243" s="39" t="inlineStr">
        <is>
          <t>―</t>
        </is>
      </c>
      <c r="B243" s="40" t="inlineStr">
        <is>
          <t>データ</t>
        </is>
      </c>
      <c r="C243" s="41" t="inlineStr">
        <is>
          <t>介護給付費準備基金の現在高（令和6年度末実績・令和7年度末見込）</t>
        </is>
      </c>
      <c r="D243" s="41" t="inlineStr">
        <is>
          <t>★10/7 解決：国の推計ワークシートに令和8年度末の見込額42,128,183円が入っていた。決算で確認済のR4年度1,700万円・R5年度810万円の積立を足した額の範囲に収まる。</t>
        </is>
      </c>
      <c r="E243" s="39" t="inlineStr">
        <is>
          <t>Ⅱ-63,Ⅱ-64</t>
        </is>
      </c>
      <c r="F243" s="39" t="inlineStr">
        <is>
          <t>doc66§2</t>
        </is>
      </c>
      <c r="G243" s="39" t="inlineStr">
        <is>
          <t>解決済</t>
        </is>
      </c>
      <c r="H243" s="41" t="inlineStr"/>
    </row>
    <row r="244" ht="34" customHeight="1">
      <c r="A244" s="39" t="inlineStr">
        <is>
          <t>―</t>
        </is>
      </c>
      <c r="B244" s="40" t="inlineStr">
        <is>
          <t>データ</t>
        </is>
      </c>
      <c r="C244" s="41" t="inlineStr">
        <is>
          <t>第10期（令和9〜11年度）の第1号被保険者負担割合を定める政令の公布状況</t>
        </is>
      </c>
      <c r="D244" s="41" t="inlineStr">
        <is>
          <t>★10/7 解決：国の推計ワークシートの参考シートに期別で入っていた。第10期23%、第11期24%、第12期25%、第14期26%、第16期27%、第17期28%（仮置値を含む）。第9期と同じ23%で据え置かれる。本村では1ポイントで保険料月額約294円であるため、第10期の保険料には上昇要因として働かない。</t>
        </is>
      </c>
      <c r="E244" s="39" t="inlineStr">
        <is>
          <t>Ⅱ-64</t>
        </is>
      </c>
      <c r="F244" s="39" t="inlineStr">
        <is>
          <t>doc66§6-1</t>
        </is>
      </c>
      <c r="G244" s="39" t="inlineStr">
        <is>
          <t>解決済</t>
        </is>
      </c>
      <c r="H244" s="41" t="inlineStr"/>
    </row>
    <row r="245" ht="34" customHeight="1">
      <c r="A245" s="39" t="inlineStr">
        <is>
          <t>―</t>
        </is>
      </c>
      <c r="B245" s="40" t="inlineStr">
        <is>
          <t>方針</t>
        </is>
      </c>
      <c r="C245" s="41" t="inlineStr">
        <is>
          <t>地域密着型サービスの必要利用定員総数（グループホーム27人を維持するか）</t>
        </is>
      </c>
      <c r="D245" s="41" t="inlineStr">
        <is>
          <t>★10/7 解決：県の整備量見込みシート（令和8年10月6日提出）により、認知症高齢者グループホームの定員は令和8年度末27人・令和9〜11年度いずれも27人（整備数0）で県に提出済みであることが確認された。利用者数は令和8年度26人→令和9〜11年度27人で、定員に対し100%となる。素案5-4(8)の27人維持の仮置きは村の提出内容と一致する。なお到達率100%は増床・村外対応・在宅対応の検討を要する水準であるため、待機の状況の把握を別項目として起票した。</t>
        </is>
      </c>
      <c r="E245" s="39" t="inlineStr">
        <is>
          <t>Ⅱ-105,Ⅱ-67</t>
        </is>
      </c>
      <c r="F245" s="39" t="inlineStr">
        <is>
          <t>doc66§4-1</t>
        </is>
      </c>
      <c r="G245" s="39" t="inlineStr">
        <is>
          <t>解決済</t>
        </is>
      </c>
      <c r="H245" s="41" t="inlineStr"/>
    </row>
    <row r="246" ht="34" customHeight="1">
      <c r="A246" s="39" t="inlineStr">
        <is>
          <t>―</t>
        </is>
      </c>
      <c r="B246" s="40" t="inlineStr">
        <is>
          <t>方針</t>
        </is>
      </c>
      <c r="C246" s="41" t="inlineStr">
        <is>
          <t>補正係数を①3区分と②前期・後期高齢者別のどちらで用いるか</t>
        </is>
      </c>
      <c r="D246" s="41" t="inlineStr">
        <is>
          <t>★10/7 解決：国の推計ワークシートは第1号被保険者数を3区分（前期65〜74歳／後期75〜84歳／後期85歳以上）で持っており、村は3区分で提出していた。調整交付金の後期高齢者加入割合補正係数も3区分の全国値から算出される様式である。当方が提案していた②前期・後期高齢者別は、国の様式の下では選べない。素案5-2を3区分に揃える。</t>
        </is>
      </c>
      <c r="E246" s="39" t="inlineStr">
        <is>
          <t>Ⅱ-59</t>
        </is>
      </c>
      <c r="F246" s="39" t="inlineStr">
        <is>
          <t>doc66§4-4</t>
        </is>
      </c>
      <c r="G246" s="39" t="inlineStr">
        <is>
          <t>解決済</t>
        </is>
      </c>
      <c r="H246" s="41" t="inlineStr"/>
    </row>
    <row r="247" ht="34" customHeight="1">
      <c r="A247" s="39" t="inlineStr">
        <is>
          <t>―</t>
        </is>
      </c>
      <c r="B247" s="40" t="inlineStr">
        <is>
          <t>データ</t>
        </is>
      </c>
      <c r="C247" s="41" t="inlineStr">
        <is>
          <t>社会保障審議会介護保険部会（令和8年9月18日）の資料の入手</t>
        </is>
      </c>
      <c r="D247" s="41" t="inlineStr">
        <is>
          <t>★10/8 解決：第136回社会保障審議会介護保険部会（令和8年9月18日）の資料1〜6および参考資料の提供を受けた。入手できていなかったために保留していた3件は、いずれも原典により確定した。①補足給付の区分の細分化の施行の時期は「令和9年度から」（第3段階②の負担限度額の上乗せは令和8年度から）で、年度の当初からの施行である（資料2）。素案1-8の2・5-12を書き改めた。②調整交付金の一定の取組による減額は、年齢区分の精緻化により交付額が増加する保険者について、①主要3事業（要介護認定の適正化／ケアプラン等の点検／医療情報との突合・縦覧点検）のいずれかを実施していない場合、または②令和9年2月から令和10年1月までの1人あたり給付費が外れ値（平均値＋2×標準偏差）に該当した保険者が、国保連の介護給付適正化システムの帳票を活用した点検（ケアプラン等の点検の実施件数・医療情報との突合の実施率・縦覧点検の実施率）について令和10年度下半期の実施率等を令和9年度下半期以上に保てなかった場合に、増加額の5%を減額するものである（資料5）。素案1-8の3・5-8(3)・6-4⑦を新設・改訂した。③特定地域サービス・特定地域居宅サービス等事業の制度の内容は、本部会の資料には含まれていなかった。引き続き省令・通知および介護給付費分科会の検討の結果を待つ（素案5-12(2)に残置）。あわせて、介護給付適正化計画の期数（第6期＝令和6〜8年度／第7期＝令和9〜11年度）、第1号保険料の標準段階・標準乗率の見直しの論点、介護情報基盤の適合基準日と本格運用開始日、ケアプランデータ連携の導入率と統合の時期、都道府県との協定の仕組み、介護経営DBの報告の再開時期、引き続き検討することとされた9事項が原典により確定した。</t>
        </is>
      </c>
      <c r="E247" s="39" t="inlineStr">
        <is>
          <t>Ⅱ-50,Ⅱ-62,Ⅱ-64</t>
        </is>
      </c>
      <c r="F247" s="39" t="inlineStr">
        <is>
          <t>doc70§2,doc71</t>
        </is>
      </c>
      <c r="G247" s="39" t="inlineStr">
        <is>
          <t>解決済</t>
        </is>
      </c>
      <c r="H247" s="41" t="inlineStr"/>
    </row>
  </sheetData>
  <autoFilter ref="A4:H211"/>
  <mergeCells count="3">
    <mergeCell ref="A213:H213"/>
    <mergeCell ref="A2:H2"/>
    <mergeCell ref="A1:H1"/>
  </mergeCells>
  <dataValidations count="2">
    <dataValidation sqref="A5:A211" showDropDown="0" showInputMessage="0" showErrorMessage="0" allowBlank="1" type="list">
      <formula1>"S,A,B,C"</formula1>
    </dataValidation>
    <dataValidation sqref="G5:G211" showDropDown="0" showInputMessage="0" showErrorMessage="0" allowBlank="1" type="list">
      <formula1>"未依頼,依頼済,回答待ち,回答済,解決済"</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6"/>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5" customWidth="1" min="2" max="2"/>
    <col width="50" customWidth="1" min="3" max="3"/>
    <col width="7" customWidth="1" min="4" max="4"/>
    <col width="14" customWidth="1" min="5" max="5"/>
    <col width="44" customWidth="1" min="6" max="6"/>
    <col width="8" customWidth="1" min="7" max="7"/>
    <col width="44" customWidth="1" min="8" max="8"/>
  </cols>
  <sheetData>
    <row r="1" ht="30" customHeight="1">
      <c r="A1" s="1" t="inlineStr">
        <is>
          <t>仕様書（委託第27号／8北保福第483号 別紙）とWBSの対照</t>
        </is>
      </c>
    </row>
    <row r="2" ht="20" customHeight="1">
      <c r="A2" s="2" t="inlineStr">
        <is>
          <t>仕様書の側から「求められていること」を列挙し、WBSのどの作業がそれを担うかを示したもの。状況の「○」は対応する作業がWBSにあること、「村」は村が実施し受託者の作業を伴わないことを表す　｜　突合は scripts/verify_wbs.py で機械的に行い、漏れがあれば終了コード1を返す</t>
        </is>
      </c>
    </row>
    <row r="4" ht="34" customHeight="1">
      <c r="A4" s="3" t="inlineStr">
        <is>
          <t>区分</t>
        </is>
      </c>
      <c r="B4" s="3" t="inlineStr">
        <is>
          <t>条項</t>
        </is>
      </c>
      <c r="C4" s="3" t="inlineStr">
        <is>
          <t>仕様書が求めていること</t>
        </is>
      </c>
      <c r="D4" s="3" t="inlineStr">
        <is>
          <t>担当</t>
        </is>
      </c>
      <c r="E4" s="3" t="inlineStr">
        <is>
          <t>対応WBS No.</t>
        </is>
      </c>
      <c r="F4" s="3" t="inlineStr">
        <is>
          <t>対応する作業項目</t>
        </is>
      </c>
      <c r="G4" s="3" t="inlineStr">
        <is>
          <t>状況</t>
        </is>
      </c>
      <c r="H4" s="3" t="inlineStr">
        <is>
          <t>備考</t>
        </is>
      </c>
    </row>
    <row r="5" ht="30" customHeight="1">
      <c r="A5" s="42" t="inlineStr">
        <is>
          <t>見積徴取通知</t>
        </is>
      </c>
      <c r="B5" s="22" t="inlineStr">
        <is>
          <t>通知2-a</t>
        </is>
      </c>
      <c r="C5" s="24" t="inlineStr">
        <is>
          <t>見積書を令和8年8月21日までに保健福祉課へ提出する</t>
        </is>
      </c>
      <c r="D5" s="22" t="inlineStr">
        <is>
          <t>受託者</t>
        </is>
      </c>
      <c r="E5" s="24" t="inlineStr">
        <is>
          <t>０-01</t>
        </is>
      </c>
      <c r="F5" s="24" t="inlineStr">
        <is>
          <t>見積書の提出</t>
        </is>
      </c>
      <c r="G5" s="22" t="inlineStr">
        <is>
          <t>○</t>
        </is>
      </c>
      <c r="H5" s="24" t="inlineStr"/>
    </row>
    <row r="6" ht="30" customHeight="1">
      <c r="A6" s="23" t="inlineStr">
        <is>
          <t>見積徴取通知</t>
        </is>
      </c>
      <c r="B6" s="22" t="inlineStr">
        <is>
          <t>通知2-b</t>
        </is>
      </c>
      <c r="C6" s="24" t="inlineStr">
        <is>
          <t>契約保証金は免除</t>
        </is>
      </c>
      <c r="D6" s="22" t="inlineStr">
        <is>
          <t>―</t>
        </is>
      </c>
      <c r="E6" s="24" t="inlineStr">
        <is>
          <t>０-02</t>
        </is>
      </c>
      <c r="F6" s="24" t="inlineStr">
        <is>
          <t>契約締結</t>
        </is>
      </c>
      <c r="G6" s="22" t="inlineStr">
        <is>
          <t>○</t>
        </is>
      </c>
      <c r="H6" s="24" t="inlineStr">
        <is>
          <t>契約手続の条件。作業を伴わない</t>
        </is>
      </c>
    </row>
    <row r="7" ht="30" customHeight="1">
      <c r="A7" s="42" t="inlineStr">
        <is>
          <t>1 委託業務名</t>
        </is>
      </c>
      <c r="B7" s="22" t="inlineStr">
        <is>
          <t>仕様書1-a</t>
        </is>
      </c>
      <c r="C7" s="24" t="inlineStr">
        <is>
          <t>業務名「第10期北塩原村高齢者福祉計画・第10期北塩原村介護保険事業計画策定業務委託」</t>
        </is>
      </c>
      <c r="D7" s="22" t="inlineStr">
        <is>
          <t>双方</t>
        </is>
      </c>
      <c r="E7" s="24" t="inlineStr">
        <is>
          <t>Ⅱ-111</t>
        </is>
      </c>
      <c r="F7" s="24" t="inlineStr">
        <is>
          <t>計画の名称・計画期間の表記の統一</t>
        </is>
      </c>
      <c r="G7" s="22" t="inlineStr">
        <is>
          <t>○</t>
        </is>
      </c>
      <c r="H7" s="24" t="inlineStr">
        <is>
          <t>計画書の表紙・奥付・本文の名称はこれに合わせる</t>
        </is>
      </c>
    </row>
    <row r="8" ht="30" customHeight="1">
      <c r="A8" s="42" t="inlineStr">
        <is>
          <t>2 業務の目的</t>
        </is>
      </c>
      <c r="B8" s="22" t="inlineStr">
        <is>
          <t>仕様書2-a</t>
        </is>
      </c>
      <c r="C8" s="24" t="inlineStr">
        <is>
          <t>介護保険制度の改正など社会環境の変化を把握する</t>
        </is>
      </c>
      <c r="D8" s="22" t="inlineStr">
        <is>
          <t>受託者</t>
        </is>
      </c>
      <c r="E8" s="24" t="inlineStr">
        <is>
          <t>Ⅱ-50
Ⅱ-51</t>
        </is>
      </c>
      <c r="F8" s="24" t="inlineStr">
        <is>
          <t>制度改正動向の資料収集・整理
第10期国の基本指針の確認・反映</t>
        </is>
      </c>
      <c r="G8" s="22" t="inlineStr">
        <is>
          <t>○</t>
        </is>
      </c>
      <c r="H8" s="24" t="inlineStr"/>
    </row>
    <row r="9" ht="30" customHeight="1">
      <c r="A9" s="23" t="inlineStr">
        <is>
          <t>2 業務の目的</t>
        </is>
      </c>
      <c r="B9" s="22" t="inlineStr">
        <is>
          <t>仕様書2-b</t>
        </is>
      </c>
      <c r="C9" s="24" t="inlineStr">
        <is>
          <t>第9期計画期間（R6〜R8年度）における介護給付実績を評価する</t>
        </is>
      </c>
      <c r="D9" s="22" t="inlineStr">
        <is>
          <t>受託者</t>
        </is>
      </c>
      <c r="E9" s="24" t="inlineStr">
        <is>
          <t>Ⅱ-55
Ⅱ-56</t>
        </is>
      </c>
      <c r="F9" s="24" t="inlineStr">
        <is>
          <t>介護保険給付統計の取りまとめ
計画数値の評価（計画値と実績の乖離分析）</t>
        </is>
      </c>
      <c r="G9" s="22" t="inlineStr">
        <is>
          <t>○</t>
        </is>
      </c>
      <c r="H9" s="24" t="inlineStr"/>
    </row>
    <row r="10" ht="30" customHeight="1">
      <c r="A10" s="23" t="inlineStr">
        <is>
          <t>2 業務の目的</t>
        </is>
      </c>
      <c r="B10" s="22" t="inlineStr">
        <is>
          <t>仕様書2-c</t>
        </is>
      </c>
      <c r="C10" s="24" t="inlineStr">
        <is>
          <t>高齢者福祉施策の実施状況を評価する</t>
        </is>
      </c>
      <c r="D10" s="22" t="inlineStr">
        <is>
          <t>受託者</t>
        </is>
      </c>
      <c r="E10" s="24" t="inlineStr">
        <is>
          <t>Ⅱ-53
Ⅱ-54</t>
        </is>
      </c>
      <c r="F10" s="24" t="inlineStr">
        <is>
          <t>高齢者福祉事業等の実績資料の受領
高齢者福祉事業等の実施状況の把握と課題整理</t>
        </is>
      </c>
      <c r="G10" s="22" t="inlineStr">
        <is>
          <t>○</t>
        </is>
      </c>
      <c r="H10" s="24" t="inlineStr"/>
    </row>
    <row r="11" ht="30" customHeight="1">
      <c r="A11" s="23" t="inlineStr">
        <is>
          <t>2 業務の目的</t>
        </is>
      </c>
      <c r="B11" s="22" t="inlineStr">
        <is>
          <t>仕様書2-d</t>
        </is>
      </c>
      <c r="C11" s="24" t="inlineStr">
        <is>
          <t>ニーズ調査・在宅介護実態調査の結果を踏まえる</t>
        </is>
      </c>
      <c r="D11" s="22" t="inlineStr">
        <is>
          <t>受託者</t>
        </is>
      </c>
      <c r="E11" s="24" t="inlineStr">
        <is>
          <t>Ⅰ-48
Ⅱ-52</t>
        </is>
      </c>
      <c r="F11" s="24" t="inlineStr">
        <is>
          <t>調査結果報告書の執筆・レイアウト
前提条件と基本的課題の明確化</t>
        </is>
      </c>
      <c r="G11" s="22" t="inlineStr">
        <is>
          <t>○</t>
        </is>
      </c>
      <c r="H11" s="24" t="inlineStr"/>
    </row>
    <row r="12" ht="30" customHeight="1">
      <c r="A12" s="23" t="inlineStr">
        <is>
          <t>2 業務の目的</t>
        </is>
      </c>
      <c r="B12" s="22" t="inlineStr">
        <is>
          <t>仕様書2-e</t>
        </is>
      </c>
      <c r="C12" s="24" t="inlineStr">
        <is>
          <t>第10期計画期間の課題を明らかにした上で計画案を策定する</t>
        </is>
      </c>
      <c r="D12" s="22" t="inlineStr">
        <is>
          <t>受託者</t>
        </is>
      </c>
      <c r="E12" s="24" t="inlineStr">
        <is>
          <t>Ⅱ-70
Ⅱ-75</t>
        </is>
      </c>
      <c r="F12" s="24" t="inlineStr">
        <is>
          <t>第10期の課題の整理
素案の作成</t>
        </is>
      </c>
      <c r="G12" s="22" t="inlineStr">
        <is>
          <t>○</t>
        </is>
      </c>
      <c r="H12" s="24" t="inlineStr"/>
    </row>
    <row r="13" ht="30" customHeight="1">
      <c r="A13" s="42" t="inlineStr">
        <is>
          <t>3 業務期間</t>
        </is>
      </c>
      <c r="B13" s="22" t="inlineStr">
        <is>
          <t>仕様書3-a</t>
        </is>
      </c>
      <c r="C13" s="24" t="inlineStr">
        <is>
          <t>業務期間は契約締結の日から令和9年3月31日まで</t>
        </is>
      </c>
      <c r="D13" s="22" t="inlineStr">
        <is>
          <t>双方</t>
        </is>
      </c>
      <c r="E13" s="24" t="inlineStr">
        <is>
          <t>０-02
Ⅳ-96</t>
        </is>
      </c>
      <c r="F13" s="24" t="inlineStr">
        <is>
          <t>契約締結
納品・検収</t>
        </is>
      </c>
      <c r="G13" s="22" t="inlineStr">
        <is>
          <t>○</t>
        </is>
      </c>
      <c r="H13" s="24" t="inlineStr">
        <is>
          <t>履行期限。全工程の外枠</t>
        </is>
      </c>
    </row>
    <row r="14" ht="30" customHeight="1">
      <c r="A14" s="23" t="inlineStr">
        <is>
          <t>3 業務期間</t>
        </is>
      </c>
      <c r="B14" s="22" t="inlineStr">
        <is>
          <t>仕様書3-b</t>
        </is>
      </c>
      <c r="C14" s="24" t="inlineStr">
        <is>
          <t>計画期間は令和9年度から令和11年度までの3か年</t>
        </is>
      </c>
      <c r="D14" s="22" t="inlineStr">
        <is>
          <t>受託者</t>
        </is>
      </c>
      <c r="E14" s="24" t="inlineStr">
        <is>
          <t>Ⅱ-111</t>
        </is>
      </c>
      <c r="F14" s="24" t="inlineStr">
        <is>
          <t>計画の名称・計画期間の表記の統一</t>
        </is>
      </c>
      <c r="G14" s="22" t="inlineStr">
        <is>
          <t>○</t>
        </is>
      </c>
      <c r="H14" s="24" t="inlineStr"/>
    </row>
    <row r="15" ht="30" customHeight="1">
      <c r="A15" s="42" t="inlineStr">
        <is>
          <t>4Ⅰ ニーズ調査</t>
        </is>
      </c>
      <c r="B15" s="22" t="inlineStr">
        <is>
          <t>仕様書4Ⅰ(1)-a</t>
        </is>
      </c>
      <c r="C15" s="24" t="inlineStr">
        <is>
          <t>調査対象区域は全村域</t>
        </is>
      </c>
      <c r="D15" s="22" t="inlineStr">
        <is>
          <t>双方</t>
        </is>
      </c>
      <c r="E15" s="24" t="inlineStr">
        <is>
          <t>Ⅰ-08</t>
        </is>
      </c>
      <c r="F15" s="24" t="inlineStr">
        <is>
          <t>調査対象者の抽出条件の確定</t>
        </is>
      </c>
      <c r="G15" s="22" t="inlineStr">
        <is>
          <t>○</t>
        </is>
      </c>
      <c r="H15" s="24" t="inlineStr"/>
    </row>
    <row r="16" ht="30" customHeight="1">
      <c r="A16" s="23" t="inlineStr">
        <is>
          <t>4Ⅰ ニーズ調査</t>
        </is>
      </c>
      <c r="B16" s="22" t="inlineStr">
        <is>
          <t>仕様書4Ⅰ(1)-b</t>
        </is>
      </c>
      <c r="C16" s="24" t="inlineStr">
        <is>
          <t>介護予防・日常生活圏域ニーズ調査は約850人（一般高齢者・総合事業対象者・要支援認定者）</t>
        </is>
      </c>
      <c r="D16" s="22" t="inlineStr">
        <is>
          <t>双方</t>
        </is>
      </c>
      <c r="E16" s="24" t="inlineStr">
        <is>
          <t>Ⅰ-08
Ⅰ-24</t>
        </is>
      </c>
      <c r="F16" s="24" t="inlineStr">
        <is>
          <t>調査対象者の抽出条件の確定
調査対象者の抽出</t>
        </is>
      </c>
      <c r="G16" s="22" t="inlineStr">
        <is>
          <t>○</t>
        </is>
      </c>
      <c r="H16" s="24" t="inlineStr">
        <is>
          <t>実際の抽出は882人</t>
        </is>
      </c>
    </row>
    <row r="17" ht="30" customHeight="1">
      <c r="A17" s="23" t="inlineStr">
        <is>
          <t>4Ⅰ ニーズ調査</t>
        </is>
      </c>
      <c r="B17" s="22" t="inlineStr">
        <is>
          <t>仕様書4Ⅰ(1)-c</t>
        </is>
      </c>
      <c r="C17" s="24" t="inlineStr">
        <is>
          <t>在宅介護実態調査は約150人（在宅の要介護認定者）</t>
        </is>
      </c>
      <c r="D17" s="22" t="inlineStr">
        <is>
          <t>双方</t>
        </is>
      </c>
      <c r="E17" s="24" t="inlineStr">
        <is>
          <t>Ⅰ-08
Ⅰ-24</t>
        </is>
      </c>
      <c r="F17" s="24" t="inlineStr">
        <is>
          <t>調査対象者の抽出条件の確定
調査対象者の抽出</t>
        </is>
      </c>
      <c r="G17" s="22" t="inlineStr">
        <is>
          <t>○</t>
        </is>
      </c>
      <c r="H17" s="24" t="inlineStr">
        <is>
          <t>実際の抽出は118人。2026/09/24 村の了解により決着（集計設計上の扱いは当方の判断事項）</t>
        </is>
      </c>
    </row>
    <row r="18" ht="30" customHeight="1">
      <c r="A18" s="23" t="inlineStr">
        <is>
          <t>4Ⅰ ニーズ調査</t>
        </is>
      </c>
      <c r="B18" s="22" t="inlineStr">
        <is>
          <t>仕様書4Ⅰ(1)-d</t>
        </is>
      </c>
      <c r="C18" s="24" t="inlineStr">
        <is>
          <t>対象者の抽出は村が実施し、受託者へ宛名ラベルシールとして提供する</t>
        </is>
      </c>
      <c r="D18" s="22" t="inlineStr">
        <is>
          <t>北塩原村</t>
        </is>
      </c>
      <c r="E18" s="24" t="inlineStr">
        <is>
          <t>Ⅰ-24
Ⅰ-25</t>
        </is>
      </c>
      <c r="F18" s="24" t="inlineStr">
        <is>
          <t>調査対象者の抽出
宛名ラベルシールの作成・提供</t>
        </is>
      </c>
      <c r="G18" s="22" t="inlineStr">
        <is>
          <t>○</t>
        </is>
      </c>
      <c r="H18" s="24" t="inlineStr"/>
    </row>
    <row r="19" ht="30" customHeight="1">
      <c r="A19" s="23" t="inlineStr">
        <is>
          <t>4Ⅰ ニーズ調査</t>
        </is>
      </c>
      <c r="B19" s="22" t="inlineStr">
        <is>
          <t>仕様書4Ⅰ(2)-a</t>
        </is>
      </c>
      <c r="C19" s="24" t="inlineStr">
        <is>
          <t>厚生労働省が示す調査項目を踏まえて調査票を設計する</t>
        </is>
      </c>
      <c r="D19" s="22" t="inlineStr">
        <is>
          <t>受託者</t>
        </is>
      </c>
      <c r="E19" s="24" t="inlineStr">
        <is>
          <t>Ⅰ-09
Ⅰ-10
Ⅰ-11</t>
        </is>
      </c>
      <c r="F19" s="24" t="inlineStr">
        <is>
          <t>調査票の設計（ニーズ調査）
調査票の設計（在宅介護実態調査）
令和7年8月版 標準様式との逐条突合</t>
        </is>
      </c>
      <c r="G19" s="22" t="inlineStr">
        <is>
          <t>○</t>
        </is>
      </c>
      <c r="H19" s="24" t="inlineStr">
        <is>
          <t>令和7年8月版の標準様式</t>
        </is>
      </c>
    </row>
    <row r="20" ht="30" customHeight="1">
      <c r="A20" s="23" t="inlineStr">
        <is>
          <t>4Ⅰ ニーズ調査</t>
        </is>
      </c>
      <c r="B20" s="22" t="inlineStr">
        <is>
          <t>仕様書4Ⅰ(2)-b</t>
        </is>
      </c>
      <c r="C20" s="24" t="inlineStr">
        <is>
          <t>村の過去の調査を踏まえて設計する（時系列比較の確保）</t>
        </is>
      </c>
      <c r="D20" s="22" t="inlineStr">
        <is>
          <t>双方</t>
        </is>
      </c>
      <c r="E20" s="24" t="inlineStr">
        <is>
          <t>Ⅰ-13
Ⅰ-41</t>
        </is>
      </c>
      <c r="F20" s="24" t="inlineStr">
        <is>
          <t>村独自設問の設定
時系列比較（第8期・第9期との対比）</t>
        </is>
      </c>
      <c r="G20" s="22" t="inlineStr">
        <is>
          <t>○</t>
        </is>
      </c>
      <c r="H20" s="24" t="inlineStr"/>
    </row>
    <row r="21" ht="30" customHeight="1">
      <c r="A21" s="23" t="inlineStr">
        <is>
          <t>4Ⅰ ニーズ調査</t>
        </is>
      </c>
      <c r="B21" s="22" t="inlineStr">
        <is>
          <t>仕様書4Ⅰ(2)-c</t>
        </is>
      </c>
      <c r="C21" s="24" t="inlineStr">
        <is>
          <t>村と協議の上で調査票を決定する</t>
        </is>
      </c>
      <c r="D21" s="22" t="inlineStr">
        <is>
          <t>双方</t>
        </is>
      </c>
      <c r="E21" s="24" t="inlineStr">
        <is>
          <t>Ⅰ-12
Ⅰ-15</t>
        </is>
      </c>
      <c r="F21" s="24" t="inlineStr">
        <is>
          <t>オプション項目の採否決定
調査票の村協議・確定</t>
        </is>
      </c>
      <c r="G21" s="22" t="inlineStr">
        <is>
          <t>○</t>
        </is>
      </c>
      <c r="H21" s="24" t="inlineStr"/>
    </row>
    <row r="22" ht="30" customHeight="1">
      <c r="A22" s="23" t="inlineStr">
        <is>
          <t>4Ⅰ ニーズ調査</t>
        </is>
      </c>
      <c r="B22" s="22" t="inlineStr">
        <is>
          <t>仕様書4Ⅰ(2)-d</t>
        </is>
      </c>
      <c r="C22" s="24" t="inlineStr">
        <is>
          <t>紙とウェブ回答を併用する</t>
        </is>
      </c>
      <c r="D22" s="22" t="inlineStr">
        <is>
          <t>受託者</t>
        </is>
      </c>
      <c r="E22" s="24" t="inlineStr">
        <is>
          <t>Ⅰ-16
Ⅰ-34
Ⅰ-35</t>
        </is>
      </c>
      <c r="F22" s="24" t="inlineStr">
        <is>
          <t>ウェブ回答フォームの作成
用紙回答のデータ入力
ウェブ回答データの取込</t>
        </is>
      </c>
      <c r="G22" s="22" t="inlineStr">
        <is>
          <t>○</t>
        </is>
      </c>
      <c r="H22" s="24" t="inlineStr"/>
    </row>
    <row r="23" ht="30" customHeight="1">
      <c r="A23" s="23" t="inlineStr">
        <is>
          <t>4Ⅰ ニーズ調査</t>
        </is>
      </c>
      <c r="B23" s="22" t="inlineStr">
        <is>
          <t>仕様書4Ⅰ(2)-e</t>
        </is>
      </c>
      <c r="C23" s="24" t="inlineStr">
        <is>
          <t>専用のウェブ回答フォームを作成する</t>
        </is>
      </c>
      <c r="D23" s="22" t="inlineStr">
        <is>
          <t>受託者</t>
        </is>
      </c>
      <c r="E23" s="24" t="inlineStr">
        <is>
          <t>Ⅰ-16
Ⅰ-101</t>
        </is>
      </c>
      <c r="F23" s="24" t="inlineStr">
        <is>
          <t>ウェブ回答フォームの作成
ウェブ回答フォームの公開・稼働確認・受付停止</t>
        </is>
      </c>
      <c r="G23" s="22" t="inlineStr">
        <is>
          <t>○</t>
        </is>
      </c>
      <c r="H23" s="24" t="inlineStr">
        <is>
          <t>作成のみならず公開・稼働確認・受付停止までが必要</t>
        </is>
      </c>
    </row>
    <row r="24" ht="30" customHeight="1">
      <c r="A24" s="23" t="inlineStr">
        <is>
          <t>4Ⅰ ニーズ調査</t>
        </is>
      </c>
      <c r="B24" s="22" t="inlineStr">
        <is>
          <t>仕様書4Ⅰ(2)-f</t>
        </is>
      </c>
      <c r="C24" s="24" t="inlineStr">
        <is>
          <t>二次元コードを調査票または依頼状に印字する</t>
        </is>
      </c>
      <c r="D24" s="22" t="inlineStr">
        <is>
          <t>受託者</t>
        </is>
      </c>
      <c r="E24" s="24" t="inlineStr">
        <is>
          <t>Ⅰ-14
Ⅰ-17</t>
        </is>
      </c>
      <c r="F24" s="24" t="inlineStr">
        <is>
          <t>依頼状（表紙）の作成
二次元コードの作成・調査票／依頼状への印字</t>
        </is>
      </c>
      <c r="G24" s="22" t="inlineStr">
        <is>
          <t>○</t>
        </is>
      </c>
      <c r="H24" s="24" t="inlineStr"/>
    </row>
    <row r="25" ht="30" customHeight="1">
      <c r="A25" s="23" t="inlineStr">
        <is>
          <t>4Ⅰ ニーズ調査</t>
        </is>
      </c>
      <c r="B25" s="22" t="inlineStr">
        <is>
          <t>仕様書4Ⅰ(2)-g</t>
        </is>
      </c>
      <c r="C25" s="24" t="inlineStr">
        <is>
          <t>紙・ウェブ双方で回答された場合に重複集計されないよう管理番号等で管理する</t>
        </is>
      </c>
      <c r="D25" s="22" t="inlineStr">
        <is>
          <t>受託者</t>
        </is>
      </c>
      <c r="E25" s="24" t="inlineStr">
        <is>
          <t>Ⅰ-18
Ⅰ-36</t>
        </is>
      </c>
      <c r="F25" s="24" t="inlineStr">
        <is>
          <t>重複回答の管理方法の設計（管理番号）
重複回答の排除</t>
        </is>
      </c>
      <c r="G25" s="22" t="inlineStr">
        <is>
          <t>○</t>
        </is>
      </c>
      <c r="H25" s="24" t="inlineStr"/>
    </row>
    <row r="26" ht="30" customHeight="1">
      <c r="A26" s="23" t="inlineStr">
        <is>
          <t>4Ⅰ ニーズ調査</t>
        </is>
      </c>
      <c r="B26" s="22" t="inlineStr">
        <is>
          <t>仕様書4Ⅰ(3)-a</t>
        </is>
      </c>
      <c r="C26" s="24" t="inlineStr">
        <is>
          <t>ニーズ調査票を A4判・約12ページ・黒1色で印刷する</t>
        </is>
      </c>
      <c r="D26" s="22" t="inlineStr">
        <is>
          <t>受託者</t>
        </is>
      </c>
      <c r="E26" s="24" t="inlineStr">
        <is>
          <t>Ⅰ-20
Ⅰ-21</t>
        </is>
      </c>
      <c r="F26" s="24" t="inlineStr">
        <is>
          <t>入稿データの作成
調査票の印刷（ニーズ調査 A4約12頁・黒1色）</t>
        </is>
      </c>
      <c r="G26" s="22" t="inlineStr">
        <is>
          <t>○</t>
        </is>
      </c>
      <c r="H26" s="24" t="inlineStr"/>
    </row>
    <row r="27" ht="30" customHeight="1">
      <c r="A27" s="23" t="inlineStr">
        <is>
          <t>4Ⅰ ニーズ調査</t>
        </is>
      </c>
      <c r="B27" s="22" t="inlineStr">
        <is>
          <t>仕様書4Ⅰ(3)-b</t>
        </is>
      </c>
      <c r="C27" s="24" t="inlineStr">
        <is>
          <t>在宅介護実態調査票を A4判・約8ページ・黒1色で印刷する</t>
        </is>
      </c>
      <c r="D27" s="22" t="inlineStr">
        <is>
          <t>受託者</t>
        </is>
      </c>
      <c r="E27" s="24" t="inlineStr">
        <is>
          <t>Ⅰ-20
Ⅰ-22</t>
        </is>
      </c>
      <c r="F27" s="24" t="inlineStr">
        <is>
          <t>入稿データの作成
調査票の印刷（在宅調査 A4約8頁・黒1色）</t>
        </is>
      </c>
      <c r="G27" s="22" t="inlineStr">
        <is>
          <t>○</t>
        </is>
      </c>
      <c r="H27" s="24" t="inlineStr"/>
    </row>
    <row r="28" ht="30" customHeight="1">
      <c r="A28" s="23" t="inlineStr">
        <is>
          <t>4Ⅰ ニーズ調査</t>
        </is>
      </c>
      <c r="B28" s="22" t="inlineStr">
        <is>
          <t>仕様書4Ⅰ(3)-c</t>
        </is>
      </c>
      <c r="C28" s="24" t="inlineStr">
        <is>
          <t>封筒（配布用・回収用）を各必要部数用意する</t>
        </is>
      </c>
      <c r="D28" s="22" t="inlineStr">
        <is>
          <t>双方</t>
        </is>
      </c>
      <c r="E28" s="24" t="inlineStr">
        <is>
          <t>Ⅰ-23
Ⅰ-26
Ⅰ-103</t>
        </is>
      </c>
      <c r="F28" s="24" t="inlineStr">
        <is>
          <t>返信用封筒の印刷
配布用封筒の提供
印刷部数の確定（予備を含む）</t>
        </is>
      </c>
      <c r="G28" s="22" t="inlineStr">
        <is>
          <t>○</t>
        </is>
      </c>
      <c r="H28" s="24" t="inlineStr">
        <is>
          <t>2026/09/24 決着：配布用封筒は村が用意し費用は村側で請求処理。受託者の印刷は返信用（回収用）のみ</t>
        </is>
      </c>
    </row>
    <row r="29" ht="30" customHeight="1">
      <c r="A29" s="23" t="inlineStr">
        <is>
          <t>4Ⅰ ニーズ調査</t>
        </is>
      </c>
      <c r="B29" s="22" t="inlineStr">
        <is>
          <t>仕様書4Ⅰ(3)-d</t>
        </is>
      </c>
      <c r="C29" s="24" t="inlineStr">
        <is>
          <t>印刷にあたり個人情報の取扱いに十分配慮する</t>
        </is>
      </c>
      <c r="D29" s="22" t="inlineStr">
        <is>
          <t>受託者</t>
        </is>
      </c>
      <c r="E29" s="24" t="inlineStr">
        <is>
          <t>Ⅴ-97</t>
        </is>
      </c>
      <c r="F29" s="24" t="inlineStr">
        <is>
          <t>個人情報の適正管理（アクセス制限・保管ルール）</t>
        </is>
      </c>
      <c r="G29" s="22" t="inlineStr">
        <is>
          <t>○</t>
        </is>
      </c>
      <c r="H29" s="24" t="inlineStr"/>
    </row>
    <row r="30" ht="30" customHeight="1">
      <c r="A30" s="23" t="inlineStr">
        <is>
          <t>4Ⅰ ニーズ調査</t>
        </is>
      </c>
      <c r="B30" s="22" t="inlineStr">
        <is>
          <t>仕様書4Ⅰ(3)-e</t>
        </is>
      </c>
      <c r="C30" s="24" t="inlineStr">
        <is>
          <t>印刷物の校了を判断する（条項名「印刷」に含まれる）</t>
        </is>
      </c>
      <c r="D30" s="22" t="inlineStr">
        <is>
          <t>双方</t>
        </is>
      </c>
      <c r="E30" s="24" t="inlineStr">
        <is>
          <t>Ⅰ-102</t>
        </is>
      </c>
      <c r="F30" s="24" t="inlineStr">
        <is>
          <t>印刷の校正・校了</t>
        </is>
      </c>
      <c r="G30" s="22" t="inlineStr">
        <is>
          <t>○</t>
        </is>
      </c>
      <c r="H30" s="24" t="inlineStr">
        <is>
          <t>印刷後は修正できないため、本業務で最もリスクが高い判断</t>
        </is>
      </c>
    </row>
    <row r="31" ht="30" customHeight="1">
      <c r="A31" s="23" t="inlineStr">
        <is>
          <t>4Ⅰ ニーズ調査</t>
        </is>
      </c>
      <c r="B31" s="22" t="inlineStr">
        <is>
          <t>仕様書4Ⅰ(4)-a</t>
        </is>
      </c>
      <c r="C31" s="24" t="inlineStr">
        <is>
          <t>村提供の宛名ラベルシールを配布用封筒に貼付する</t>
        </is>
      </c>
      <c r="D31" s="22" t="inlineStr">
        <is>
          <t>受託者</t>
        </is>
      </c>
      <c r="E31" s="24" t="inlineStr">
        <is>
          <t>Ⅰ-26
Ⅰ-27</t>
        </is>
      </c>
      <c r="F31" s="24" t="inlineStr">
        <is>
          <t>配布用封筒の提供
宛名ラベルの貼付</t>
        </is>
      </c>
      <c r="G31" s="22" t="inlineStr">
        <is>
          <t>○</t>
        </is>
      </c>
      <c r="H31" s="24" t="inlineStr"/>
    </row>
    <row r="32" ht="30" customHeight="1">
      <c r="A32" s="23" t="inlineStr">
        <is>
          <t>4Ⅰ ニーズ調査</t>
        </is>
      </c>
      <c r="B32" s="22" t="inlineStr">
        <is>
          <t>仕様書4Ⅰ(4)-b</t>
        </is>
      </c>
      <c r="C32" s="24" t="inlineStr">
        <is>
          <t>調査票と返信用封筒を封入・封緘する</t>
        </is>
      </c>
      <c r="D32" s="22" t="inlineStr">
        <is>
          <t>受託者</t>
        </is>
      </c>
      <c r="E32" s="24" t="inlineStr">
        <is>
          <t>Ⅰ-28</t>
        </is>
      </c>
      <c r="F32" s="24" t="inlineStr">
        <is>
          <t>封入・封緘</t>
        </is>
      </c>
      <c r="G32" s="22" t="inlineStr">
        <is>
          <t>○</t>
        </is>
      </c>
      <c r="H32" s="24" t="inlineStr"/>
    </row>
    <row r="33" ht="30" customHeight="1">
      <c r="A33" s="23" t="inlineStr">
        <is>
          <t>4Ⅰ ニーズ調査</t>
        </is>
      </c>
      <c r="B33" s="22" t="inlineStr">
        <is>
          <t>仕様書4Ⅰ(4)-c</t>
        </is>
      </c>
      <c r="C33" s="24" t="inlineStr">
        <is>
          <t>発送する</t>
        </is>
      </c>
      <c r="D33" s="22" t="inlineStr">
        <is>
          <t>受託者</t>
        </is>
      </c>
      <c r="E33" s="24" t="inlineStr">
        <is>
          <t>Ⅰ-29</t>
        </is>
      </c>
      <c r="F33" s="24" t="inlineStr">
        <is>
          <t>発送（郵送費は受託者負担）</t>
        </is>
      </c>
      <c r="G33" s="22" t="inlineStr">
        <is>
          <t>○</t>
        </is>
      </c>
      <c r="H33" s="24" t="inlineStr"/>
    </row>
    <row r="34" ht="30" customHeight="1">
      <c r="A34" s="23" t="inlineStr">
        <is>
          <t>4Ⅰ ニーズ調査</t>
        </is>
      </c>
      <c r="B34" s="22" t="inlineStr">
        <is>
          <t>仕様書4Ⅰ(4)-d</t>
        </is>
      </c>
      <c r="C34" s="24" t="inlineStr">
        <is>
          <t>回収票は受託者が開封確認のうえデータ入力する</t>
        </is>
      </c>
      <c r="D34" s="22" t="inlineStr">
        <is>
          <t>受託者</t>
        </is>
      </c>
      <c r="E34" s="24" t="inlineStr">
        <is>
          <t>Ⅰ-30
Ⅰ-32
Ⅰ-33
Ⅰ-34</t>
        </is>
      </c>
      <c r="F34" s="24" t="inlineStr">
        <is>
          <t>回収状況の管理
回収期限の管理・締切
開封確認
用紙回答のデータ入力</t>
        </is>
      </c>
      <c r="G34" s="22" t="inlineStr">
        <is>
          <t>○</t>
        </is>
      </c>
      <c r="H34" s="24" t="inlineStr"/>
    </row>
    <row r="35" ht="30" customHeight="1">
      <c r="A35" s="23" t="inlineStr">
        <is>
          <t>4Ⅰ ニーズ調査</t>
        </is>
      </c>
      <c r="B35" s="22" t="inlineStr">
        <is>
          <t>仕様書4Ⅰ(4)-e</t>
        </is>
      </c>
      <c r="C35" s="24" t="inlineStr">
        <is>
          <t>発送費用は受託者の負担とする</t>
        </is>
      </c>
      <c r="D35" s="22" t="inlineStr">
        <is>
          <t>受託者</t>
        </is>
      </c>
      <c r="E35" s="24" t="inlineStr">
        <is>
          <t>Ⅰ-29</t>
        </is>
      </c>
      <c r="F35" s="24" t="inlineStr">
        <is>
          <t>発送（郵送費は受託者負担）</t>
        </is>
      </c>
      <c r="G35" s="22" t="inlineStr">
        <is>
          <t>○</t>
        </is>
      </c>
      <c r="H35" s="24" t="inlineStr">
        <is>
          <t>往復約1,000通分</t>
        </is>
      </c>
    </row>
    <row r="36" ht="30" customHeight="1">
      <c r="A36" s="23" t="inlineStr">
        <is>
          <t>4Ⅰ ニーズ調査</t>
        </is>
      </c>
      <c r="B36" s="22" t="inlineStr">
        <is>
          <t>仕様書4Ⅰ(5)-a</t>
        </is>
      </c>
      <c r="C36" s="24" t="inlineStr">
        <is>
          <t>厚生労働省が提示する集計ファイル様式を基本として入力する</t>
        </is>
      </c>
      <c r="D36" s="22" t="inlineStr">
        <is>
          <t>受託者</t>
        </is>
      </c>
      <c r="E36" s="24" t="inlineStr">
        <is>
          <t>Ⅰ-34
Ⅰ-35
Ⅰ-46</t>
        </is>
      </c>
      <c r="F36" s="24" t="inlineStr">
        <is>
          <t>用紙回答のデータ入力
ウェブ回答データの取込
見える化システム登録用データの作成</t>
        </is>
      </c>
      <c r="G36" s="22" t="inlineStr">
        <is>
          <t>○</t>
        </is>
      </c>
      <c r="H36" s="24" t="inlineStr"/>
    </row>
    <row r="37" ht="30" customHeight="1">
      <c r="A37" s="23" t="inlineStr">
        <is>
          <t>4Ⅰ ニーズ調査</t>
        </is>
      </c>
      <c r="B37" s="22" t="inlineStr">
        <is>
          <t>仕様書4Ⅰ(5)-b</t>
        </is>
      </c>
      <c r="C37" s="24" t="inlineStr">
        <is>
          <t>在宅介護実態調査は厚生労働省提供の認定データ自動関連付けプログラムを活用できる入力とする</t>
        </is>
      </c>
      <c r="D37" s="22" t="inlineStr">
        <is>
          <t>双方</t>
        </is>
      </c>
      <c r="E37" s="24" t="inlineStr">
        <is>
          <t>Ⅰ-07
Ⅰ-37
Ⅰ-38</t>
        </is>
      </c>
      <c r="F37" s="24" t="inlineStr">
        <is>
          <t>調査手法の決定（在宅：手法Ⅰ〜Ⅳ）
要介護認定データの受領
認定データとの関連付け（自動プログラム）</t>
        </is>
      </c>
      <c r="G37" s="22" t="inlineStr">
        <is>
          <t>○</t>
        </is>
      </c>
      <c r="H37" s="24" t="inlineStr"/>
    </row>
    <row r="38" ht="30" customHeight="1">
      <c r="A38" s="23" t="inlineStr">
        <is>
          <t>4Ⅰ ニーズ調査</t>
        </is>
      </c>
      <c r="B38" s="22" t="inlineStr">
        <is>
          <t>仕様書4Ⅰ(5)-c</t>
        </is>
      </c>
      <c r="C38" s="24" t="inlineStr">
        <is>
          <t>入力を管理する（条項名「入力管理」＝入力後の精度の確認）</t>
        </is>
      </c>
      <c r="D38" s="22" t="inlineStr">
        <is>
          <t>受託者</t>
        </is>
      </c>
      <c r="E38" s="24" t="inlineStr">
        <is>
          <t>Ⅰ-104</t>
        </is>
      </c>
      <c r="F38" s="24" t="inlineStr">
        <is>
          <t>入力データの精度管理（論理チェック・ベリファイ）</t>
        </is>
      </c>
      <c r="G38" s="22" t="inlineStr">
        <is>
          <t>○</t>
        </is>
      </c>
      <c r="H38" s="24" t="inlineStr"/>
    </row>
    <row r="39" ht="30" customHeight="1">
      <c r="A39" s="23" t="inlineStr">
        <is>
          <t>4Ⅰ ニーズ調査</t>
        </is>
      </c>
      <c r="B39" s="22" t="inlineStr">
        <is>
          <t>仕様書4Ⅰ(6)-a</t>
        </is>
      </c>
      <c r="C39" s="24" t="inlineStr">
        <is>
          <t>単純集計を行う</t>
        </is>
      </c>
      <c r="D39" s="22" t="inlineStr">
        <is>
          <t>受託者</t>
        </is>
      </c>
      <c r="E39" s="24" t="inlineStr">
        <is>
          <t>Ⅰ-39</t>
        </is>
      </c>
      <c r="F39" s="24" t="inlineStr">
        <is>
          <t>単純集計</t>
        </is>
      </c>
      <c r="G39" s="22" t="inlineStr">
        <is>
          <t>○</t>
        </is>
      </c>
      <c r="H39" s="24" t="inlineStr"/>
    </row>
    <row r="40" ht="30" customHeight="1">
      <c r="A40" s="23" t="inlineStr">
        <is>
          <t>4Ⅰ ニーズ調査</t>
        </is>
      </c>
      <c r="B40" s="22" t="inlineStr">
        <is>
          <t>仕様書4Ⅰ(6)-b</t>
        </is>
      </c>
      <c r="C40" s="24" t="inlineStr">
        <is>
          <t>基本属性別のクロス集計を行う</t>
        </is>
      </c>
      <c r="D40" s="22" t="inlineStr">
        <is>
          <t>受託者</t>
        </is>
      </c>
      <c r="E40" s="24" t="inlineStr">
        <is>
          <t>Ⅰ-40</t>
        </is>
      </c>
      <c r="F40" s="24" t="inlineStr">
        <is>
          <t>基本属性別クロス集計（地区・性別・年齢）</t>
        </is>
      </c>
      <c r="G40" s="22" t="inlineStr">
        <is>
          <t>○</t>
        </is>
      </c>
      <c r="H40" s="24" t="inlineStr"/>
    </row>
    <row r="41" ht="30" customHeight="1">
      <c r="A41" s="23" t="inlineStr">
        <is>
          <t>4Ⅰ ニーズ調査</t>
        </is>
      </c>
      <c r="B41" s="22" t="inlineStr">
        <is>
          <t>仕様書4Ⅰ(6)-c</t>
        </is>
      </c>
      <c r="C41" s="24" t="inlineStr">
        <is>
          <t>時系列比較・設問間クロス等の詳細は村と協議の上で決定する</t>
        </is>
      </c>
      <c r="D41" s="22" t="inlineStr">
        <is>
          <t>双方</t>
        </is>
      </c>
      <c r="E41" s="24" t="inlineStr">
        <is>
          <t>Ⅰ-41
Ⅰ-42</t>
        </is>
      </c>
      <c r="F41" s="24" t="inlineStr">
        <is>
          <t>時系列比較（第8期・第9期との対比）
設問間クロス集計</t>
        </is>
      </c>
      <c r="G41" s="22" t="inlineStr">
        <is>
          <t>○</t>
        </is>
      </c>
      <c r="H41" s="24" t="inlineStr"/>
    </row>
    <row r="42" ht="30" customHeight="1">
      <c r="A42" s="23" t="inlineStr">
        <is>
          <t>4Ⅰ ニーズ調査</t>
        </is>
      </c>
      <c r="B42" s="22" t="inlineStr">
        <is>
          <t>仕様書4Ⅰ(6)-d</t>
        </is>
      </c>
      <c r="C42" s="24" t="inlineStr">
        <is>
          <t>分析を行う（自由記述・在宅調査の分析を含む）</t>
        </is>
      </c>
      <c r="D42" s="22" t="inlineStr">
        <is>
          <t>受託者</t>
        </is>
      </c>
      <c r="E42" s="24" t="inlineStr">
        <is>
          <t>Ⅰ-44
Ⅰ-45</t>
        </is>
      </c>
      <c r="F42" s="24" t="inlineStr">
        <is>
          <t>自由記述の整理
在宅調査の要介護度別・介護者就労状況別分析</t>
        </is>
      </c>
      <c r="G42" s="22" t="inlineStr">
        <is>
          <t>○</t>
        </is>
      </c>
      <c r="H42" s="24" t="inlineStr"/>
    </row>
    <row r="43" ht="30" customHeight="1">
      <c r="A43" s="23" t="inlineStr">
        <is>
          <t>4Ⅰ ニーズ調査</t>
        </is>
      </c>
      <c r="B43" s="22" t="inlineStr">
        <is>
          <t>仕様書4Ⅰ(7)-a</t>
        </is>
      </c>
      <c r="C43" s="24" t="inlineStr">
        <is>
          <t>設問ごとにグラフを作成する</t>
        </is>
      </c>
      <c r="D43" s="22" t="inlineStr">
        <is>
          <t>受託者</t>
        </is>
      </c>
      <c r="E43" s="24" t="inlineStr">
        <is>
          <t>Ⅰ-47</t>
        </is>
      </c>
      <c r="F43" s="24" t="inlineStr">
        <is>
          <t>設問ごとのグラフ作成</t>
        </is>
      </c>
      <c r="G43" s="22" t="inlineStr">
        <is>
          <t>○</t>
        </is>
      </c>
      <c r="H43" s="24" t="inlineStr"/>
    </row>
    <row r="44" ht="30" customHeight="1">
      <c r="A44" s="23" t="inlineStr">
        <is>
          <t>4Ⅰ ニーズ調査</t>
        </is>
      </c>
      <c r="B44" s="22" t="inlineStr">
        <is>
          <t>仕様書4Ⅰ(7)-b</t>
        </is>
      </c>
      <c r="C44" s="24" t="inlineStr">
        <is>
          <t>分析結果を報告書に取りまとめる</t>
        </is>
      </c>
      <c r="D44" s="22" t="inlineStr">
        <is>
          <t>受託者</t>
        </is>
      </c>
      <c r="E44" s="24" t="inlineStr">
        <is>
          <t>Ⅰ-48
Ⅰ-49</t>
        </is>
      </c>
      <c r="F44" s="24" t="inlineStr">
        <is>
          <t>調査結果報告書の執筆・レイアウト
報告書の村確認・修正</t>
        </is>
      </c>
      <c r="G44" s="22" t="inlineStr">
        <is>
          <t>○</t>
        </is>
      </c>
      <c r="H44" s="24" t="inlineStr"/>
    </row>
    <row r="45" ht="30" customHeight="1">
      <c r="A45" s="42" t="inlineStr">
        <is>
          <t>4Ⅱ 計画策定</t>
        </is>
      </c>
      <c r="B45" s="22" t="inlineStr">
        <is>
          <t>仕様書4Ⅱ(1)-a</t>
        </is>
      </c>
      <c r="C45" s="24" t="inlineStr">
        <is>
          <t>介護保険制度・高齢者の保健／医療／福祉をめぐる制度改正動向の関連資料を収集・整理する</t>
        </is>
      </c>
      <c r="D45" s="22" t="inlineStr">
        <is>
          <t>受託者</t>
        </is>
      </c>
      <c r="E45" s="24" t="inlineStr">
        <is>
          <t>Ⅱ-50
Ⅱ-51</t>
        </is>
      </c>
      <c r="F45" s="24" t="inlineStr">
        <is>
          <t>制度改正動向の資料収集・整理
第10期国の基本指針の確認・反映</t>
        </is>
      </c>
      <c r="G45" s="22" t="inlineStr">
        <is>
          <t>○</t>
        </is>
      </c>
      <c r="H45" s="24" t="inlineStr"/>
    </row>
    <row r="46" ht="30" customHeight="1">
      <c r="A46" s="23" t="inlineStr">
        <is>
          <t>4Ⅱ 計画策定</t>
        </is>
      </c>
      <c r="B46" s="22" t="inlineStr">
        <is>
          <t>仕様書4Ⅱ(1)-b</t>
        </is>
      </c>
      <c r="C46" s="24" t="inlineStr">
        <is>
          <t>次期計画の前提条件を明確化する</t>
        </is>
      </c>
      <c r="D46" s="22" t="inlineStr">
        <is>
          <t>受託者</t>
        </is>
      </c>
      <c r="E46" s="24" t="inlineStr">
        <is>
          <t>Ⅱ-52</t>
        </is>
      </c>
      <c r="F46" s="24" t="inlineStr">
        <is>
          <t>前提条件と基本的課題の明確化</t>
        </is>
      </c>
      <c r="G46" s="22" t="inlineStr">
        <is>
          <t>○</t>
        </is>
      </c>
      <c r="H46" s="24" t="inlineStr"/>
    </row>
    <row r="47" ht="30" customHeight="1">
      <c r="A47" s="23" t="inlineStr">
        <is>
          <t>4Ⅱ 計画策定</t>
        </is>
      </c>
      <c r="B47" s="22" t="inlineStr">
        <is>
          <t>仕様書4Ⅱ(1)-c</t>
        </is>
      </c>
      <c r="C47" s="24" t="inlineStr">
        <is>
          <t>次期計画の基本的課題を明確化する</t>
        </is>
      </c>
      <c r="D47" s="22" t="inlineStr">
        <is>
          <t>受託者</t>
        </is>
      </c>
      <c r="E47" s="24" t="inlineStr">
        <is>
          <t>Ⅱ-52</t>
        </is>
      </c>
      <c r="F47" s="24" t="inlineStr">
        <is>
          <t>前提条件と基本的課題の明確化</t>
        </is>
      </c>
      <c r="G47" s="22" t="inlineStr">
        <is>
          <t>○</t>
        </is>
      </c>
      <c r="H47" s="24" t="inlineStr"/>
    </row>
    <row r="48" ht="30" customHeight="1">
      <c r="A48" s="23" t="inlineStr">
        <is>
          <t>4Ⅱ 計画策定</t>
        </is>
      </c>
      <c r="B48" s="22" t="inlineStr">
        <is>
          <t>仕様書4Ⅱ(2)-a</t>
        </is>
      </c>
      <c r="C48" s="24" t="inlineStr">
        <is>
          <t>現行計画（R6〜R8年度）の取組状況を検証する</t>
        </is>
      </c>
      <c r="D48" s="22" t="inlineStr">
        <is>
          <t>双方</t>
        </is>
      </c>
      <c r="E48" s="24" t="inlineStr">
        <is>
          <t>０-05
Ⅱ-66</t>
        </is>
      </c>
      <c r="F48" s="24" t="inlineStr">
        <is>
          <t>現行計画・関連計画・実績資料の受領
現行計画の成果と課題の整理</t>
        </is>
      </c>
      <c r="G48" s="22" t="inlineStr">
        <is>
          <t>○</t>
        </is>
      </c>
      <c r="H48" s="24" t="inlineStr"/>
    </row>
    <row r="49" ht="30" customHeight="1">
      <c r="A49" s="23" t="inlineStr">
        <is>
          <t>4Ⅱ 計画策定</t>
        </is>
      </c>
      <c r="B49" s="22" t="inlineStr">
        <is>
          <t>仕様書4Ⅱ(2)①-a</t>
        </is>
      </c>
      <c r="C49" s="24" t="inlineStr">
        <is>
          <t>高齢者福祉事業等の実施状況を把握する</t>
        </is>
      </c>
      <c r="D49" s="22" t="inlineStr">
        <is>
          <t>双方</t>
        </is>
      </c>
      <c r="E49" s="24" t="inlineStr">
        <is>
          <t>Ⅱ-53
Ⅱ-54</t>
        </is>
      </c>
      <c r="F49" s="24" t="inlineStr">
        <is>
          <t>高齢者福祉事業等の実績資料の受領
高齢者福祉事業等の実施状況の把握と課題整理</t>
        </is>
      </c>
      <c r="G49" s="22" t="inlineStr">
        <is>
          <t>○</t>
        </is>
      </c>
      <c r="H49" s="24" t="inlineStr"/>
    </row>
    <row r="50" ht="30" customHeight="1">
      <c r="A50" s="23" t="inlineStr">
        <is>
          <t>4Ⅱ 計画策定</t>
        </is>
      </c>
      <c r="B50" s="22" t="inlineStr">
        <is>
          <t>仕様書4Ⅱ(2)①-b</t>
        </is>
      </c>
      <c r="C50" s="24" t="inlineStr">
        <is>
          <t>高齢者福祉事業等の課題を整理する</t>
        </is>
      </c>
      <c r="D50" s="22" t="inlineStr">
        <is>
          <t>受託者</t>
        </is>
      </c>
      <c r="E50" s="24" t="inlineStr">
        <is>
          <t>Ⅱ-54
Ⅱ-57</t>
        </is>
      </c>
      <c r="F50" s="24" t="inlineStr">
        <is>
          <t>高齢者福祉事業等の実施状況の把握と課題整理
課題の整理</t>
        </is>
      </c>
      <c r="G50" s="22" t="inlineStr">
        <is>
          <t>○</t>
        </is>
      </c>
      <c r="H50" s="24" t="inlineStr"/>
    </row>
    <row r="51" ht="30" customHeight="1">
      <c r="A51" s="23" t="inlineStr">
        <is>
          <t>4Ⅱ 計画策定</t>
        </is>
      </c>
      <c r="B51" s="22" t="inlineStr">
        <is>
          <t>仕様書4Ⅱ(2)②-a</t>
        </is>
      </c>
      <c r="C51" s="24" t="inlineStr">
        <is>
          <t>介護保険給付統計を取りまとめる</t>
        </is>
      </c>
      <c r="D51" s="22" t="inlineStr">
        <is>
          <t>受託者</t>
        </is>
      </c>
      <c r="E51" s="24" t="inlineStr">
        <is>
          <t>Ⅱ-55</t>
        </is>
      </c>
      <c r="F51" s="24" t="inlineStr">
        <is>
          <t>介護保険給付統計の取りまとめ</t>
        </is>
      </c>
      <c r="G51" s="22" t="inlineStr">
        <is>
          <t>○</t>
        </is>
      </c>
      <c r="H51" s="24" t="inlineStr"/>
    </row>
    <row r="52" ht="30" customHeight="1">
      <c r="A52" s="23" t="inlineStr">
        <is>
          <t>4Ⅱ 計画策定</t>
        </is>
      </c>
      <c r="B52" s="22" t="inlineStr">
        <is>
          <t>仕様書4Ⅱ(2)②-b</t>
        </is>
      </c>
      <c r="C52" s="24" t="inlineStr">
        <is>
          <t>計画数値を評価する</t>
        </is>
      </c>
      <c r="D52" s="22" t="inlineStr">
        <is>
          <t>受託者</t>
        </is>
      </c>
      <c r="E52" s="24" t="inlineStr">
        <is>
          <t>Ⅱ-56
Ⅱ-115</t>
        </is>
      </c>
      <c r="F52" s="24" t="inlineStr">
        <is>
          <t>計画数値の評価（計画値と実績の乖離分析）
見える化システムの収録データの受領と成果品との突合</t>
        </is>
      </c>
      <c r="G52" s="22" t="inlineStr">
        <is>
          <t>○</t>
        </is>
      </c>
      <c r="H52" s="24" t="inlineStr"/>
    </row>
    <row r="53" ht="30" customHeight="1">
      <c r="A53" s="23" t="inlineStr">
        <is>
          <t>4Ⅱ 計画策定</t>
        </is>
      </c>
      <c r="B53" s="22" t="inlineStr">
        <is>
          <t>仕様書4Ⅱ(2)②-c</t>
        </is>
      </c>
      <c r="C53" s="24" t="inlineStr">
        <is>
          <t>介護保険給付に係る課題を整理する</t>
        </is>
      </c>
      <c r="D53" s="22" t="inlineStr">
        <is>
          <t>受託者</t>
        </is>
      </c>
      <c r="E53" s="24" t="inlineStr">
        <is>
          <t>Ⅱ-57</t>
        </is>
      </c>
      <c r="F53" s="24" t="inlineStr">
        <is>
          <t>課題の整理</t>
        </is>
      </c>
      <c r="G53" s="22" t="inlineStr">
        <is>
          <t>○</t>
        </is>
      </c>
      <c r="H53" s="24" t="inlineStr"/>
    </row>
    <row r="54" ht="30" customHeight="1">
      <c r="A54" s="23" t="inlineStr">
        <is>
          <t>4Ⅱ 計画策定</t>
        </is>
      </c>
      <c r="B54" s="22" t="inlineStr">
        <is>
          <t>仕様書4Ⅱ(3)-a</t>
        </is>
      </c>
      <c r="C54" s="24" t="inlineStr">
        <is>
          <t>国の基本指針との整合を図る</t>
        </is>
      </c>
      <c r="D54" s="22" t="inlineStr">
        <is>
          <t>受託者</t>
        </is>
      </c>
      <c r="E54" s="24" t="inlineStr">
        <is>
          <t>Ⅱ-51</t>
        </is>
      </c>
      <c r="F54" s="24" t="inlineStr">
        <is>
          <t>第10期国の基本指針の確認・反映</t>
        </is>
      </c>
      <c r="G54" s="22" t="inlineStr">
        <is>
          <t>○</t>
        </is>
      </c>
      <c r="H54" s="24" t="inlineStr"/>
    </row>
    <row r="55" ht="30" customHeight="1">
      <c r="A55" s="23" t="inlineStr">
        <is>
          <t>4Ⅱ 計画策定</t>
        </is>
      </c>
      <c r="B55" s="22" t="inlineStr">
        <is>
          <t>仕様書4Ⅱ(3)-b</t>
        </is>
      </c>
      <c r="C55" s="24" t="inlineStr">
        <is>
          <t>村の実情を踏まえて推計・検討する</t>
        </is>
      </c>
      <c r="D55" s="22" t="inlineStr">
        <is>
          <t>受託者</t>
        </is>
      </c>
      <c r="E55" s="24" t="inlineStr">
        <is>
          <t>Ⅱ-58</t>
        </is>
      </c>
      <c r="F55" s="24" t="inlineStr">
        <is>
          <t>将来人口の整理（2040年度含む中長期）</t>
        </is>
      </c>
      <c r="G55" s="22" t="inlineStr">
        <is>
          <t>○</t>
        </is>
      </c>
      <c r="H55" s="24" t="inlineStr"/>
    </row>
    <row r="56" ht="30" customHeight="1">
      <c r="A56" s="23" t="inlineStr">
        <is>
          <t>4Ⅱ 計画策定</t>
        </is>
      </c>
      <c r="B56" s="22" t="inlineStr">
        <is>
          <t>仕様書4Ⅱ(3)①-a</t>
        </is>
      </c>
      <c r="C56" s="24" t="inlineStr">
        <is>
          <t>要介護者数を推計する</t>
        </is>
      </c>
      <c r="D56" s="22" t="inlineStr">
        <is>
          <t>受託者</t>
        </is>
      </c>
      <c r="E56" s="24" t="inlineStr">
        <is>
          <t>Ⅱ-59
Ⅱ-60</t>
        </is>
      </c>
      <c r="F56" s="24" t="inlineStr">
        <is>
          <t>第1号被保険者数の推計
要介護者数の推計</t>
        </is>
      </c>
      <c r="G56" s="22" t="inlineStr">
        <is>
          <t>○</t>
        </is>
      </c>
      <c r="H56" s="24" t="inlineStr"/>
    </row>
    <row r="57" ht="30" customHeight="1">
      <c r="A57" s="23" t="inlineStr">
        <is>
          <t>4Ⅱ 計画策定</t>
        </is>
      </c>
      <c r="B57" s="22" t="inlineStr">
        <is>
          <t>仕様書4Ⅱ(3)②-a</t>
        </is>
      </c>
      <c r="C57" s="24" t="inlineStr">
        <is>
          <t>各介護保険サービスの見込量を推計する</t>
        </is>
      </c>
      <c r="D57" s="22" t="inlineStr">
        <is>
          <t>受託者</t>
        </is>
      </c>
      <c r="E57" s="24" t="inlineStr">
        <is>
          <t>Ⅱ-61</t>
        </is>
      </c>
      <c r="F57" s="24" t="inlineStr">
        <is>
          <t>各介護保険サービス見込量の推計</t>
        </is>
      </c>
      <c r="G57" s="22" t="inlineStr">
        <is>
          <t>○</t>
        </is>
      </c>
      <c r="H57" s="24" t="inlineStr"/>
    </row>
    <row r="58" ht="30" customHeight="1">
      <c r="A58" s="23" t="inlineStr">
        <is>
          <t>4Ⅱ 計画策定</t>
        </is>
      </c>
      <c r="B58" s="22" t="inlineStr">
        <is>
          <t>仕様書4Ⅱ(3)②-b</t>
        </is>
      </c>
      <c r="C58" s="24" t="inlineStr">
        <is>
          <t>地域密着型サービスの必要利用定員総数を定める</t>
        </is>
      </c>
      <c r="D58" s="22" t="inlineStr">
        <is>
          <t>受託者</t>
        </is>
      </c>
      <c r="E58" s="24" t="inlineStr">
        <is>
          <t>Ⅱ-105</t>
        </is>
      </c>
      <c r="F58" s="24" t="inlineStr">
        <is>
          <t>地域密着型サービスの必要利用定員総数の設定</t>
        </is>
      </c>
      <c r="G58" s="22" t="inlineStr">
        <is>
          <t>○</t>
        </is>
      </c>
      <c r="H58" s="24" t="inlineStr">
        <is>
          <t>介護保険法117条2項1号（義務）。仕様書の「各介護保険サービス見込量」に含まれる</t>
        </is>
      </c>
    </row>
    <row r="59" ht="30" customHeight="1">
      <c r="A59" s="23" t="inlineStr">
        <is>
          <t>4Ⅱ 計画策定</t>
        </is>
      </c>
      <c r="B59" s="22" t="inlineStr">
        <is>
          <t>仕様書4Ⅱ(3)②-c</t>
        </is>
      </c>
      <c r="C59" s="24" t="inlineStr">
        <is>
          <t>地域支援事業の量を見込む</t>
        </is>
      </c>
      <c r="D59" s="22" t="inlineStr">
        <is>
          <t>受託者</t>
        </is>
      </c>
      <c r="E59" s="24" t="inlineStr">
        <is>
          <t>Ⅱ-106</t>
        </is>
      </c>
      <c r="F59" s="24" t="inlineStr">
        <is>
          <t>地域支援事業の量の見込みと事業費の算定</t>
        </is>
      </c>
      <c r="G59" s="22" t="inlineStr">
        <is>
          <t>○</t>
        </is>
      </c>
      <c r="H59" s="24" t="inlineStr">
        <is>
          <t>介護保険法117条2項2号（義務）。保険料の構成要素でもある</t>
        </is>
      </c>
    </row>
    <row r="60" ht="30" customHeight="1">
      <c r="A60" s="23" t="inlineStr">
        <is>
          <t>4Ⅱ 計画策定</t>
        </is>
      </c>
      <c r="B60" s="22" t="inlineStr">
        <is>
          <t>仕様書4Ⅱ(3)③-a</t>
        </is>
      </c>
      <c r="C60" s="24" t="inlineStr">
        <is>
          <t>介護保険料を算定する</t>
        </is>
      </c>
      <c r="D60" s="22" t="inlineStr">
        <is>
          <t>受託者</t>
        </is>
      </c>
      <c r="E60" s="24" t="inlineStr">
        <is>
          <t>Ⅱ-62
Ⅱ-64</t>
        </is>
      </c>
      <c r="F60" s="24" t="inlineStr">
        <is>
          <t>給付費の試算
介護保険料の試算（複数案の比較）</t>
        </is>
      </c>
      <c r="G60" s="22" t="inlineStr">
        <is>
          <t>○</t>
        </is>
      </c>
      <c r="H60" s="24" t="inlineStr"/>
    </row>
    <row r="61" ht="30" customHeight="1">
      <c r="A61" s="23" t="inlineStr">
        <is>
          <t>4Ⅱ 計画策定</t>
        </is>
      </c>
      <c r="B61" s="22" t="inlineStr">
        <is>
          <t>仕様書4Ⅱ(3)③-b</t>
        </is>
      </c>
      <c r="C61" s="24" t="inlineStr">
        <is>
          <t>介護給付費準備基金の取崩しを織り込む</t>
        </is>
      </c>
      <c r="D61" s="22" t="inlineStr">
        <is>
          <t>双方</t>
        </is>
      </c>
      <c r="E61" s="24" t="inlineStr">
        <is>
          <t>Ⅱ-63</t>
        </is>
      </c>
      <c r="F61" s="24" t="inlineStr">
        <is>
          <t>介護保険準備基金の残高・取崩方針の確認</t>
        </is>
      </c>
      <c r="G61" s="22" t="inlineStr">
        <is>
          <t>○</t>
        </is>
      </c>
      <c r="H61" s="24" t="inlineStr"/>
    </row>
    <row r="62" ht="30" customHeight="1">
      <c r="A62" s="23" t="inlineStr">
        <is>
          <t>4Ⅱ 計画策定</t>
        </is>
      </c>
      <c r="B62" s="22" t="inlineStr">
        <is>
          <t>仕様書4Ⅱ(3)③-c</t>
        </is>
      </c>
      <c r="C62" s="24" t="inlineStr">
        <is>
          <t>所得段階別の保険料を設定する</t>
        </is>
      </c>
      <c r="D62" s="22" t="inlineStr">
        <is>
          <t>受託者</t>
        </is>
      </c>
      <c r="E62" s="24" t="inlineStr">
        <is>
          <t>Ⅱ-107</t>
        </is>
      </c>
      <c r="F62" s="24" t="inlineStr">
        <is>
          <t>所得段階の設定（段階数・保険料率・低所得者軽減）</t>
        </is>
      </c>
      <c r="G62" s="22" t="inlineStr">
        <is>
          <t>○</t>
        </is>
      </c>
      <c r="H62" s="24" t="inlineStr">
        <is>
          <t>第9期は13段階</t>
        </is>
      </c>
    </row>
    <row r="63" ht="30" customHeight="1">
      <c r="A63" s="23" t="inlineStr">
        <is>
          <t>4Ⅱ 計画策定</t>
        </is>
      </c>
      <c r="B63" s="22" t="inlineStr">
        <is>
          <t>仕様書4Ⅱ(3)③-d</t>
        </is>
      </c>
      <c r="C63" s="24" t="inlineStr">
        <is>
          <t>中長期（2040年度・2050年度）の保険料水準を見通す</t>
        </is>
      </c>
      <c r="D63" s="22" t="inlineStr">
        <is>
          <t>受託者</t>
        </is>
      </c>
      <c r="E63" s="24" t="inlineStr">
        <is>
          <t>Ⅱ-108</t>
        </is>
      </c>
      <c r="F63" s="24" t="inlineStr">
        <is>
          <t>中長期（令和17・22年度）の保険料見通しの算定</t>
        </is>
      </c>
      <c r="G63" s="22" t="inlineStr">
        <is>
          <t>○</t>
        </is>
      </c>
      <c r="H63" s="24" t="inlineStr">
        <is>
          <t>国の基本指針の要請。仕様書の「介護保険料」に含まれる</t>
        </is>
      </c>
    </row>
    <row r="64" ht="30" customHeight="1">
      <c r="A64" s="23" t="inlineStr">
        <is>
          <t>4Ⅱ 計画策定</t>
        </is>
      </c>
      <c r="B64" s="22" t="inlineStr">
        <is>
          <t>仕様書4Ⅱ(3)④-a</t>
        </is>
      </c>
      <c r="C64" s="24" t="inlineStr">
        <is>
          <t>成果目標を設定する</t>
        </is>
      </c>
      <c r="D64" s="22" t="inlineStr">
        <is>
          <t>受託者</t>
        </is>
      </c>
      <c r="E64" s="24" t="inlineStr">
        <is>
          <t>Ⅱ-65</t>
        </is>
      </c>
      <c r="F64" s="24" t="inlineStr">
        <is>
          <t>成果目標及び活動指標の設定</t>
        </is>
      </c>
      <c r="G64" s="22" t="inlineStr">
        <is>
          <t>○</t>
        </is>
      </c>
      <c r="H64" s="24" t="inlineStr"/>
    </row>
    <row r="65" ht="30" customHeight="1">
      <c r="A65" s="23" t="inlineStr">
        <is>
          <t>4Ⅱ 計画策定</t>
        </is>
      </c>
      <c r="B65" s="22" t="inlineStr">
        <is>
          <t>仕様書4Ⅱ(3)④-b</t>
        </is>
      </c>
      <c r="C65" s="24" t="inlineStr">
        <is>
          <t>活動指標を設定する</t>
        </is>
      </c>
      <c r="D65" s="22" t="inlineStr">
        <is>
          <t>受託者</t>
        </is>
      </c>
      <c r="E65" s="24" t="inlineStr">
        <is>
          <t>Ⅱ-65</t>
        </is>
      </c>
      <c r="F65" s="24" t="inlineStr">
        <is>
          <t>成果目標及び活動指標の設定</t>
        </is>
      </c>
      <c r="G65" s="22" t="inlineStr">
        <is>
          <t>○</t>
        </is>
      </c>
      <c r="H65" s="24" t="inlineStr"/>
    </row>
    <row r="66" ht="30" customHeight="1">
      <c r="A66" s="23" t="inlineStr">
        <is>
          <t>4Ⅱ 計画策定</t>
        </is>
      </c>
      <c r="B66" s="22" t="inlineStr">
        <is>
          <t>仕様書4Ⅱ(3)④-c</t>
        </is>
      </c>
      <c r="C66" s="24" t="inlineStr">
        <is>
          <t>給付適正化に関し取り組むべき施策とその目標を定める</t>
        </is>
      </c>
      <c r="D66" s="22" t="inlineStr">
        <is>
          <t>受託者</t>
        </is>
      </c>
      <c r="E66" s="24" t="inlineStr">
        <is>
          <t>Ⅱ-109</t>
        </is>
      </c>
      <c r="F66" s="24" t="inlineStr">
        <is>
          <t>給付適正化に係る取組内容と目標の設定</t>
        </is>
      </c>
      <c r="G66" s="22" t="inlineStr">
        <is>
          <t>○</t>
        </is>
      </c>
      <c r="H66" s="24" t="inlineStr">
        <is>
          <t>介護保険法117条2項3号・4号（義務）。仕様書の「成果目標及び活動指標」に含まれる</t>
        </is>
      </c>
    </row>
    <row r="67" ht="30" customHeight="1">
      <c r="A67" s="23" t="inlineStr">
        <is>
          <t>4Ⅱ 計画策定</t>
        </is>
      </c>
      <c r="B67" s="22" t="inlineStr">
        <is>
          <t>仕様書4Ⅱ(4)-a</t>
        </is>
      </c>
      <c r="C67" s="24" t="inlineStr">
        <is>
          <t>現行計画の成果と課題を踏まえる</t>
        </is>
      </c>
      <c r="D67" s="22" t="inlineStr">
        <is>
          <t>受託者</t>
        </is>
      </c>
      <c r="E67" s="24" t="inlineStr">
        <is>
          <t>Ⅱ-66</t>
        </is>
      </c>
      <c r="F67" s="24" t="inlineStr">
        <is>
          <t>現行計画の成果と課題の整理</t>
        </is>
      </c>
      <c r="G67" s="22" t="inlineStr">
        <is>
          <t>○</t>
        </is>
      </c>
      <c r="H67" s="24" t="inlineStr"/>
    </row>
    <row r="68" ht="30" customHeight="1">
      <c r="A68" s="23" t="inlineStr">
        <is>
          <t>4Ⅱ 計画策定</t>
        </is>
      </c>
      <c r="B68" s="22" t="inlineStr">
        <is>
          <t>仕様書4Ⅱ(4)-b</t>
        </is>
      </c>
      <c r="C68" s="24" t="inlineStr">
        <is>
          <t>環境整備を検討する</t>
        </is>
      </c>
      <c r="D68" s="22" t="inlineStr">
        <is>
          <t>受託者</t>
        </is>
      </c>
      <c r="E68" s="24" t="inlineStr">
        <is>
          <t>Ⅱ-67</t>
        </is>
      </c>
      <c r="F68" s="24" t="inlineStr">
        <is>
          <t>次期計画に盛り込む施策の検討</t>
        </is>
      </c>
      <c r="G68" s="22" t="inlineStr">
        <is>
          <t>○</t>
        </is>
      </c>
      <c r="H68" s="24" t="inlineStr"/>
    </row>
    <row r="69" ht="30" customHeight="1">
      <c r="A69" s="23" t="inlineStr">
        <is>
          <t>4Ⅱ 計画策定</t>
        </is>
      </c>
      <c r="B69" s="22" t="inlineStr">
        <is>
          <t>仕様書4Ⅱ(4)-c</t>
        </is>
      </c>
      <c r="C69" s="24" t="inlineStr">
        <is>
          <t>支援体制の構築等を検討する</t>
        </is>
      </c>
      <c r="D69" s="22" t="inlineStr">
        <is>
          <t>受託者</t>
        </is>
      </c>
      <c r="E69" s="24" t="inlineStr">
        <is>
          <t>Ⅱ-67</t>
        </is>
      </c>
      <c r="F69" s="24" t="inlineStr">
        <is>
          <t>次期計画に盛り込む施策の検討</t>
        </is>
      </c>
      <c r="G69" s="22" t="inlineStr">
        <is>
          <t>○</t>
        </is>
      </c>
      <c r="H69" s="24" t="inlineStr"/>
    </row>
    <row r="70" ht="30" customHeight="1">
      <c r="A70" s="23" t="inlineStr">
        <is>
          <t>4Ⅱ 計画策定</t>
        </is>
      </c>
      <c r="B70" s="22" t="inlineStr">
        <is>
          <t>仕様書4Ⅱ(4)-d</t>
        </is>
      </c>
      <c r="C70" s="24" t="inlineStr">
        <is>
          <t>老人福祉事業の量の目標を定める</t>
        </is>
      </c>
      <c r="D70" s="22" t="inlineStr">
        <is>
          <t>受託者</t>
        </is>
      </c>
      <c r="E70" s="24" t="inlineStr">
        <is>
          <t>Ⅱ-110</t>
        </is>
      </c>
      <c r="F70" s="24" t="inlineStr">
        <is>
          <t>老人福祉事業の量の目標の設定</t>
        </is>
      </c>
      <c r="G70" s="22" t="inlineStr">
        <is>
          <t>○</t>
        </is>
      </c>
      <c r="H70" s="24" t="inlineStr">
        <is>
          <t>老人福祉法20条の8第2項（義務）。仕様書の「高齢者福祉施策の検討」に含まれる</t>
        </is>
      </c>
    </row>
    <row r="71" ht="30" customHeight="1">
      <c r="A71" s="23" t="inlineStr">
        <is>
          <t>4Ⅱ 計画策定</t>
        </is>
      </c>
      <c r="B71" s="22" t="inlineStr">
        <is>
          <t>仕様書4Ⅱ(5)-a</t>
        </is>
      </c>
      <c r="C71" s="24" t="inlineStr">
        <is>
          <t>村から利用実態・考え方等の情報提供を受ける</t>
        </is>
      </c>
      <c r="D71" s="22" t="inlineStr">
        <is>
          <t>北塩原村</t>
        </is>
      </c>
      <c r="E71" s="24" t="inlineStr">
        <is>
          <t>Ⅱ-68</t>
        </is>
      </c>
      <c r="F71" s="24" t="inlineStr">
        <is>
          <t>制度の利用実態・考え方の情報提供</t>
        </is>
      </c>
      <c r="G71" s="22" t="inlineStr">
        <is>
          <t>○</t>
        </is>
      </c>
      <c r="H71" s="24" t="inlineStr"/>
    </row>
    <row r="72" ht="30" customHeight="1">
      <c r="A72" s="23" t="inlineStr">
        <is>
          <t>4Ⅱ 計画策定</t>
        </is>
      </c>
      <c r="B72" s="22" t="inlineStr">
        <is>
          <t>仕様書4Ⅱ(5)-b</t>
        </is>
      </c>
      <c r="C72" s="24" t="inlineStr">
        <is>
          <t>成年後見制度の利用促進の方向性・計画案を提示する</t>
        </is>
      </c>
      <c r="D72" s="22" t="inlineStr">
        <is>
          <t>受託者</t>
        </is>
      </c>
      <c r="E72" s="24" t="inlineStr">
        <is>
          <t>Ⅱ-69</t>
        </is>
      </c>
      <c r="F72" s="24" t="inlineStr">
        <is>
          <t>利用促進の方向性・計画案の提示</t>
        </is>
      </c>
      <c r="G72" s="22" t="inlineStr">
        <is>
          <t>○</t>
        </is>
      </c>
      <c r="H72" s="24" t="inlineStr"/>
    </row>
    <row r="73" ht="30" customHeight="1">
      <c r="A73" s="12" t="inlineStr">
        <is>
          <t>4Ⅱ 計画策定</t>
        </is>
      </c>
      <c r="B73" s="11" t="inlineStr">
        <is>
          <t>仕様書4Ⅱ(5)-c</t>
        </is>
      </c>
      <c r="C73" s="13" t="inlineStr">
        <is>
          <t>広域調整など関係機関との調整・協議は村が実施する</t>
        </is>
      </c>
      <c r="D73" s="11" t="inlineStr">
        <is>
          <t>北塩原村</t>
        </is>
      </c>
      <c r="E73" s="13" t="inlineStr">
        <is>
          <t>―</t>
        </is>
      </c>
      <c r="F73" s="13" t="inlineStr">
        <is>
          <t>―</t>
        </is>
      </c>
      <c r="G73" s="11" t="inlineStr">
        <is>
          <t>村</t>
        </is>
      </c>
      <c r="H73" s="13" t="inlineStr">
        <is>
          <t>受託者の作業ではない。受託者は計画案の提示にとどまる</t>
        </is>
      </c>
    </row>
    <row r="74" ht="30" customHeight="1">
      <c r="A74" s="23" t="inlineStr">
        <is>
          <t>4Ⅱ 計画策定</t>
        </is>
      </c>
      <c r="B74" s="22" t="inlineStr">
        <is>
          <t>仕様書4Ⅱ(6)-a</t>
        </is>
      </c>
      <c r="C74" s="24" t="inlineStr">
        <is>
          <t>課題を整理し、これに対応した計画案を検討・作成する</t>
        </is>
      </c>
      <c r="D74" s="22" t="inlineStr">
        <is>
          <t>受託者</t>
        </is>
      </c>
      <c r="E74" s="24" t="inlineStr">
        <is>
          <t>Ⅱ-70
Ⅱ-71</t>
        </is>
      </c>
      <c r="F74" s="24" t="inlineStr">
        <is>
          <t>第10期の課題の整理
施策体系の整理</t>
        </is>
      </c>
      <c r="G74" s="22" t="inlineStr">
        <is>
          <t>○</t>
        </is>
      </c>
      <c r="H74" s="24" t="inlineStr"/>
    </row>
    <row r="75" ht="30" customHeight="1">
      <c r="A75" s="23" t="inlineStr">
        <is>
          <t>4Ⅱ 計画策定</t>
        </is>
      </c>
      <c r="B75" s="22" t="inlineStr">
        <is>
          <t>仕様書4Ⅱ(6)-b</t>
        </is>
      </c>
      <c r="C75" s="24" t="inlineStr">
        <is>
          <t>国の基本指針との整合を図る</t>
        </is>
      </c>
      <c r="D75" s="22" t="inlineStr">
        <is>
          <t>受託者</t>
        </is>
      </c>
      <c r="E75" s="24" t="inlineStr">
        <is>
          <t>Ⅱ-51
Ⅱ-72</t>
        </is>
      </c>
      <c r="F75" s="24" t="inlineStr">
        <is>
          <t>第10期国の基本指針の確認・反映
関連計画との整合確認</t>
        </is>
      </c>
      <c r="G75" s="22" t="inlineStr">
        <is>
          <t>○</t>
        </is>
      </c>
      <c r="H75" s="24" t="inlineStr"/>
    </row>
    <row r="76" ht="30" customHeight="1">
      <c r="A76" s="32" t="inlineStr">
        <is>
          <t>4Ⅱ 計画策定</t>
        </is>
      </c>
      <c r="B76" s="34" t="inlineStr">
        <is>
          <t>仕様書4Ⅱ(6)-c</t>
        </is>
      </c>
      <c r="C76" s="33" t="inlineStr">
        <is>
          <t>北塩原村第五次総合振興計画との整合を図る</t>
        </is>
      </c>
      <c r="D76" s="34" t="inlineStr">
        <is>
          <t>受託者</t>
        </is>
      </c>
      <c r="E76" s="33" t="inlineStr">
        <is>
          <t>Ⅱ-72</t>
        </is>
      </c>
      <c r="F76" s="33" t="inlineStr">
        <is>
          <t>関連計画との整合確認</t>
        </is>
      </c>
      <c r="G76" s="34" t="inlineStr">
        <is>
          <t>○</t>
        </is>
      </c>
      <c r="H76" s="33" t="inlineStr">
        <is>
          <t>★上位計画が未受領</t>
        </is>
      </c>
    </row>
    <row r="77" ht="30" customHeight="1">
      <c r="A77" s="32" t="inlineStr">
        <is>
          <t>4Ⅱ 計画策定</t>
        </is>
      </c>
      <c r="B77" s="34" t="inlineStr">
        <is>
          <t>仕様書4Ⅱ(6)-d</t>
        </is>
      </c>
      <c r="C77" s="33" t="inlineStr">
        <is>
          <t>第3次健康21・北塩原村グッドヘルスプランとの整合を図る</t>
        </is>
      </c>
      <c r="D77" s="34" t="inlineStr">
        <is>
          <t>受託者</t>
        </is>
      </c>
      <c r="E77" s="33" t="inlineStr">
        <is>
          <t>Ⅱ-72</t>
        </is>
      </c>
      <c r="F77" s="33" t="inlineStr">
        <is>
          <t>関連計画との整合確認</t>
        </is>
      </c>
      <c r="G77" s="34" t="inlineStr">
        <is>
          <t>○</t>
        </is>
      </c>
      <c r="H77" s="33" t="inlineStr">
        <is>
          <t>★未受領</t>
        </is>
      </c>
    </row>
    <row r="78" ht="30" customHeight="1">
      <c r="A78" s="23" t="inlineStr">
        <is>
          <t>4Ⅱ 計画策定</t>
        </is>
      </c>
      <c r="B78" s="22" t="inlineStr">
        <is>
          <t>仕様書4Ⅱ(6)-e</t>
        </is>
      </c>
      <c r="C78" s="24" t="inlineStr">
        <is>
          <t>整合対象の「等」に含まれる計画の範囲を確認する</t>
        </is>
      </c>
      <c r="D78" s="22" t="inlineStr">
        <is>
          <t>双方</t>
        </is>
      </c>
      <c r="E78" s="24" t="inlineStr">
        <is>
          <t>Ⅱ-73</t>
        </is>
      </c>
      <c r="F78" s="24" t="inlineStr">
        <is>
          <t>一体的策定の範囲の確認</t>
        </is>
      </c>
      <c r="G78" s="22" t="inlineStr">
        <is>
          <t>○</t>
        </is>
      </c>
      <c r="H78" s="24" t="inlineStr">
        <is>
          <t>認知症施策推進計画・成年後見制度利用促進基本計画の一体化の継続可否</t>
        </is>
      </c>
    </row>
    <row r="79" ht="30" customHeight="1">
      <c r="A79" s="23" t="inlineStr">
        <is>
          <t>4Ⅱ 計画策定</t>
        </is>
      </c>
      <c r="B79" s="22" t="inlineStr">
        <is>
          <t>仕様書4Ⅱ(7)-a</t>
        </is>
      </c>
      <c r="C79" s="24" t="inlineStr">
        <is>
          <t>策定委員会での審議の意見を反映する</t>
        </is>
      </c>
      <c r="D79" s="22" t="inlineStr">
        <is>
          <t>受託者</t>
        </is>
      </c>
      <c r="E79" s="24" t="inlineStr">
        <is>
          <t>Ⅱ-112</t>
        </is>
      </c>
      <c r="F79" s="24" t="inlineStr">
        <is>
          <t>策定委員会の審議意見の反映</t>
        </is>
      </c>
      <c r="G79" s="22" t="inlineStr">
        <is>
          <t>○</t>
        </is>
      </c>
      <c r="H79" s="24" t="inlineStr"/>
    </row>
    <row r="80" ht="30" customHeight="1">
      <c r="A80" s="23" t="inlineStr">
        <is>
          <t>4Ⅱ 計画策定</t>
        </is>
      </c>
      <c r="B80" s="22" t="inlineStr">
        <is>
          <t>仕様書4Ⅱ(7)-b</t>
        </is>
      </c>
      <c r="C80" s="24" t="inlineStr">
        <is>
          <t>パブリックコメントを実施する（村が実施）</t>
        </is>
      </c>
      <c r="D80" s="22" t="inlineStr">
        <is>
          <t>北塩原村</t>
        </is>
      </c>
      <c r="E80" s="24" t="inlineStr">
        <is>
          <t>Ⅱ-76</t>
        </is>
      </c>
      <c r="F80" s="24" t="inlineStr">
        <is>
          <t>パブリックコメントの実施</t>
        </is>
      </c>
      <c r="G80" s="22" t="inlineStr">
        <is>
          <t>○</t>
        </is>
      </c>
      <c r="H80" s="24" t="inlineStr"/>
    </row>
    <row r="81" ht="30" customHeight="1">
      <c r="A81" s="23" t="inlineStr">
        <is>
          <t>4Ⅱ 計画策定</t>
        </is>
      </c>
      <c r="B81" s="22" t="inlineStr">
        <is>
          <t>仕様書4Ⅱ(7)-c</t>
        </is>
      </c>
      <c r="C81" s="24" t="inlineStr">
        <is>
          <t>パブリックコメントの意見を反映する</t>
        </is>
      </c>
      <c r="D81" s="22" t="inlineStr">
        <is>
          <t>受託者</t>
        </is>
      </c>
      <c r="E81" s="24" t="inlineStr">
        <is>
          <t>Ⅱ-77</t>
        </is>
      </c>
      <c r="F81" s="24" t="inlineStr">
        <is>
          <t>パブリックコメント意見の反映</t>
        </is>
      </c>
      <c r="G81" s="22" t="inlineStr">
        <is>
          <t>○</t>
        </is>
      </c>
      <c r="H81" s="24" t="inlineStr"/>
    </row>
    <row r="82" ht="30" customHeight="1">
      <c r="A82" s="23" t="inlineStr">
        <is>
          <t>4Ⅱ 計画策定</t>
        </is>
      </c>
      <c r="B82" s="22" t="inlineStr">
        <is>
          <t>仕様書4Ⅱ(7)-d</t>
        </is>
      </c>
      <c r="C82" s="24" t="inlineStr">
        <is>
          <t>計画書を最終取りまとめする</t>
        </is>
      </c>
      <c r="D82" s="22" t="inlineStr">
        <is>
          <t>受託者</t>
        </is>
      </c>
      <c r="E82" s="24" t="inlineStr">
        <is>
          <t>Ⅱ-74
Ⅱ-75
Ⅱ-78
Ⅱ-79</t>
        </is>
      </c>
      <c r="F82" s="24" t="inlineStr">
        <is>
          <t>骨子案の作成
素案の作成
原案の作成
計画書の最終取りまとめ</t>
        </is>
      </c>
      <c r="G82" s="22" t="inlineStr">
        <is>
          <t>○</t>
        </is>
      </c>
      <c r="H82" s="24" t="inlineStr"/>
    </row>
    <row r="83" ht="30" customHeight="1">
      <c r="A83" s="23" t="inlineStr">
        <is>
          <t>4Ⅱ 計画策定</t>
        </is>
      </c>
      <c r="B83" s="22" t="inlineStr">
        <is>
          <t>仕様書4Ⅱ(7)-e</t>
        </is>
      </c>
      <c r="C83" s="24" t="inlineStr">
        <is>
          <t>印刷入稿に足るレイアウト・校正を行う</t>
        </is>
      </c>
      <c r="D83" s="22" t="inlineStr">
        <is>
          <t>受託者</t>
        </is>
      </c>
      <c r="E83" s="24" t="inlineStr">
        <is>
          <t>Ⅱ-113</t>
        </is>
      </c>
      <c r="F83" s="24" t="inlineStr">
        <is>
          <t>計画書のレイアウト・校正</t>
        </is>
      </c>
      <c r="G83" s="22" t="inlineStr">
        <is>
          <t>○</t>
        </is>
      </c>
      <c r="H83" s="24" t="inlineStr"/>
    </row>
    <row r="84" ht="30" customHeight="1">
      <c r="A84" s="23" t="inlineStr">
        <is>
          <t>4Ⅱ 計画策定</t>
        </is>
      </c>
      <c r="B84" s="22" t="inlineStr">
        <is>
          <t>仕様書4Ⅱ(8)-a</t>
        </is>
      </c>
      <c r="C84" s="24" t="inlineStr">
        <is>
          <t>策定委員会の会議資料を作成する</t>
        </is>
      </c>
      <c r="D84" s="22" t="inlineStr">
        <is>
          <t>受託者</t>
        </is>
      </c>
      <c r="E84" s="24" t="inlineStr">
        <is>
          <t>Ⅱ-81
Ⅱ-83
Ⅱ-85</t>
        </is>
      </c>
      <c r="F84" s="24" t="inlineStr">
        <is>
          <t>第1回 会議資料の作成
第2回 会議資料の作成
第3回 会議資料の作成</t>
        </is>
      </c>
      <c r="G84" s="22" t="inlineStr">
        <is>
          <t>○</t>
        </is>
      </c>
      <c r="H84" s="24" t="inlineStr"/>
    </row>
    <row r="85" ht="30" customHeight="1">
      <c r="A85" s="23" t="inlineStr">
        <is>
          <t>4Ⅱ 計画策定</t>
        </is>
      </c>
      <c r="B85" s="22" t="inlineStr">
        <is>
          <t>仕様書4Ⅱ(8)-b</t>
        </is>
      </c>
      <c r="C85" s="24" t="inlineStr">
        <is>
          <t>策定委員会に出席する</t>
        </is>
      </c>
      <c r="D85" s="22" t="inlineStr">
        <is>
          <t>受託者</t>
        </is>
      </c>
      <c r="E85" s="24" t="inlineStr">
        <is>
          <t>Ⅱ-82
Ⅱ-84
Ⅱ-86</t>
        </is>
      </c>
      <c r="F85" s="24" t="inlineStr">
        <is>
          <t>第1回 会議出席・会議記録（要旨）の作成
第2回 会議出席・会議記録（要旨）の作成
第3回 会議出席・会議記録（要旨）の作成</t>
        </is>
      </c>
      <c r="G85" s="22" t="inlineStr">
        <is>
          <t>○</t>
        </is>
      </c>
      <c r="H85" s="24" t="inlineStr"/>
    </row>
    <row r="86" ht="30" customHeight="1">
      <c r="A86" s="23" t="inlineStr">
        <is>
          <t>4Ⅱ 計画策定</t>
        </is>
      </c>
      <c r="B86" s="22" t="inlineStr">
        <is>
          <t>仕様書4Ⅱ(8)-c</t>
        </is>
      </c>
      <c r="C86" s="24" t="inlineStr">
        <is>
          <t>会議記録（要旨）を作成する</t>
        </is>
      </c>
      <c r="D86" s="22" t="inlineStr">
        <is>
          <t>受託者</t>
        </is>
      </c>
      <c r="E86" s="24" t="inlineStr">
        <is>
          <t>Ⅱ-82
Ⅱ-84
Ⅱ-86</t>
        </is>
      </c>
      <c r="F86" s="24" t="inlineStr">
        <is>
          <t>第1回 会議出席・会議記録（要旨）の作成
第2回 会議出席・会議記録（要旨）の作成
第3回 会議出席・会議記録（要旨）の作成</t>
        </is>
      </c>
      <c r="G86" s="22" t="inlineStr">
        <is>
          <t>○</t>
        </is>
      </c>
      <c r="H86" s="24" t="inlineStr"/>
    </row>
    <row r="87" ht="30" customHeight="1">
      <c r="A87" s="23" t="inlineStr">
        <is>
          <t>4Ⅱ 計画策定</t>
        </is>
      </c>
      <c r="B87" s="22" t="inlineStr">
        <is>
          <t>仕様書4Ⅱ(8)-d</t>
        </is>
      </c>
      <c r="C87" s="24" t="inlineStr">
        <is>
          <t>開催回数は3回程度</t>
        </is>
      </c>
      <c r="D87" s="22" t="inlineStr">
        <is>
          <t>受託者</t>
        </is>
      </c>
      <c r="E87" s="24" t="inlineStr">
        <is>
          <t>Ⅱ-80</t>
        </is>
      </c>
      <c r="F87" s="24" t="inlineStr">
        <is>
          <t>委員の改選・委嘱</t>
        </is>
      </c>
      <c r="G87" s="22" t="inlineStr">
        <is>
          <t>○</t>
        </is>
      </c>
      <c r="H87" s="24" t="inlineStr">
        <is>
          <t>第1回は受託前に開催済み。現委員の任期は令和8年9月30日満了で改選が前提</t>
        </is>
      </c>
    </row>
    <row r="88" ht="30" customHeight="1">
      <c r="A88" s="42" t="inlineStr">
        <is>
          <t>4Ⅲ 打合せ等</t>
        </is>
      </c>
      <c r="B88" s="22" t="inlineStr">
        <is>
          <t>仕様書4Ⅲ-a</t>
        </is>
      </c>
      <c r="C88" s="24" t="inlineStr">
        <is>
          <t>計画策定業務の実施中、必要に応じて打合せを実施する</t>
        </is>
      </c>
      <c r="D88" s="22" t="inlineStr">
        <is>
          <t>双方</t>
        </is>
      </c>
      <c r="E88" s="24" t="inlineStr">
        <is>
          <t>０-03
Ⅲ-87</t>
        </is>
      </c>
      <c r="F88" s="24" t="inlineStr">
        <is>
          <t>キックオフ会議の開催
定例打合せの実施（電話・オンライン・対面）</t>
        </is>
      </c>
      <c r="G88" s="22" t="inlineStr">
        <is>
          <t>○</t>
        </is>
      </c>
      <c r="H88" s="24" t="inlineStr"/>
    </row>
    <row r="89" ht="30" customHeight="1">
      <c r="A89" s="23" t="inlineStr">
        <is>
          <t>4Ⅲ 打合せ等</t>
        </is>
      </c>
      <c r="B89" s="22" t="inlineStr">
        <is>
          <t>仕様書4Ⅲ-b</t>
        </is>
      </c>
      <c r="C89" s="24" t="inlineStr">
        <is>
          <t>打合せは電話・面談（オンライン・対面）による</t>
        </is>
      </c>
      <c r="D89" s="22" t="inlineStr">
        <is>
          <t>双方</t>
        </is>
      </c>
      <c r="E89" s="24" t="inlineStr">
        <is>
          <t>Ⅲ-87</t>
        </is>
      </c>
      <c r="F89" s="24" t="inlineStr">
        <is>
          <t>定例打合せの実施（電話・オンライン・対面）</t>
        </is>
      </c>
      <c r="G89" s="22" t="inlineStr">
        <is>
          <t>○</t>
        </is>
      </c>
      <c r="H89" s="24" t="inlineStr"/>
    </row>
    <row r="90" ht="30" customHeight="1">
      <c r="A90" s="23" t="inlineStr">
        <is>
          <t>4Ⅲ 打合せ等</t>
        </is>
      </c>
      <c r="B90" s="22" t="inlineStr">
        <is>
          <t>仕様書4Ⅲ-c</t>
        </is>
      </c>
      <c r="C90" s="24" t="inlineStr">
        <is>
          <t>資料の授受を行う</t>
        </is>
      </c>
      <c r="D90" s="22" t="inlineStr">
        <is>
          <t>双方</t>
        </is>
      </c>
      <c r="E90" s="24" t="inlineStr">
        <is>
          <t>０-04
Ⅲ-88</t>
        </is>
      </c>
      <c r="F90" s="24" t="inlineStr">
        <is>
          <t>連絡体制・資料授受方法の確定
資料授受の管理</t>
        </is>
      </c>
      <c r="G90" s="22" t="inlineStr">
        <is>
          <t>○</t>
        </is>
      </c>
      <c r="H90" s="24" t="inlineStr"/>
    </row>
    <row r="91" ht="30" customHeight="1">
      <c r="A91" s="42" t="inlineStr">
        <is>
          <t>5 業務成果品</t>
        </is>
      </c>
      <c r="B91" s="22" t="inlineStr">
        <is>
          <t>仕様書5①-a</t>
        </is>
      </c>
      <c r="C91" s="24" t="inlineStr">
        <is>
          <t>計画書を A4判・両面約100頁・モノクロで作成する</t>
        </is>
      </c>
      <c r="D91" s="22" t="inlineStr">
        <is>
          <t>受託者</t>
        </is>
      </c>
      <c r="E91" s="24" t="inlineStr">
        <is>
          <t>Ⅳ-89</t>
        </is>
      </c>
      <c r="F91" s="24" t="inlineStr">
        <is>
          <t>計画書の印刷・製本（A4両面約100頁・くるみ製本）</t>
        </is>
      </c>
      <c r="G91" s="22" t="inlineStr">
        <is>
          <t>○</t>
        </is>
      </c>
      <c r="H91" s="24" t="inlineStr"/>
    </row>
    <row r="92" ht="30" customHeight="1">
      <c r="A92" s="23" t="inlineStr">
        <is>
          <t>5 業務成果品</t>
        </is>
      </c>
      <c r="B92" s="22" t="inlineStr">
        <is>
          <t>仕様書5①-b</t>
        </is>
      </c>
      <c r="C92" s="24" t="inlineStr">
        <is>
          <t>計画書はコピー／くるみ製本とする</t>
        </is>
      </c>
      <c r="D92" s="22" t="inlineStr">
        <is>
          <t>受託者</t>
        </is>
      </c>
      <c r="E92" s="24" t="inlineStr">
        <is>
          <t>Ⅳ-89</t>
        </is>
      </c>
      <c r="F92" s="24" t="inlineStr">
        <is>
          <t>計画書の印刷・製本（A4両面約100頁・くるみ製本）</t>
        </is>
      </c>
      <c r="G92" s="22" t="inlineStr">
        <is>
          <t>○</t>
        </is>
      </c>
      <c r="H92" s="24" t="inlineStr"/>
    </row>
    <row r="93" ht="30" customHeight="1">
      <c r="A93" s="23" t="inlineStr">
        <is>
          <t>5 業務成果品</t>
        </is>
      </c>
      <c r="B93" s="22" t="inlineStr">
        <is>
          <t>仕様書5①-c</t>
        </is>
      </c>
      <c r="C93" s="24" t="inlineStr">
        <is>
          <t>計画書を50部納品する</t>
        </is>
      </c>
      <c r="D93" s="22" t="inlineStr">
        <is>
          <t>受託者</t>
        </is>
      </c>
      <c r="E93" s="24" t="inlineStr">
        <is>
          <t>Ⅳ-89
Ⅳ-96</t>
        </is>
      </c>
      <c r="F93" s="24" t="inlineStr">
        <is>
          <t>計画書の印刷・製本（A4両面約100頁・くるみ製本）
納品・検収</t>
        </is>
      </c>
      <c r="G93" s="22" t="inlineStr">
        <is>
          <t>○</t>
        </is>
      </c>
      <c r="H93" s="24" t="inlineStr"/>
    </row>
    <row r="94" ht="30" customHeight="1">
      <c r="A94" s="23" t="inlineStr">
        <is>
          <t>5 業務成果品</t>
        </is>
      </c>
      <c r="B94" s="22" t="inlineStr">
        <is>
          <t>仕様書5②-a</t>
        </is>
      </c>
      <c r="C94" s="24" t="inlineStr">
        <is>
          <t>アンケート調査報告書を A4判・両面約100頁・モノクロ・ホチキス製本で作成する</t>
        </is>
      </c>
      <c r="D94" s="22" t="inlineStr">
        <is>
          <t>受託者</t>
        </is>
      </c>
      <c r="E94" s="24" t="inlineStr">
        <is>
          <t>Ⅳ-90</t>
        </is>
      </c>
      <c r="F94" s="24" t="inlineStr">
        <is>
          <t>アンケート調査報告書の印刷・製本（ホチキス製本）</t>
        </is>
      </c>
      <c r="G94" s="22" t="inlineStr">
        <is>
          <t>○</t>
        </is>
      </c>
      <c r="H94" s="24" t="inlineStr">
        <is>
          <t>2026/09/24 決着：仕様書どおり約100頁に統一。第Ⅱ部（分析編25頁）は維持し第Ⅰ部・資料編で18頁を圧縮（doc24§1-1）</t>
        </is>
      </c>
    </row>
    <row r="95" ht="30" customHeight="1">
      <c r="A95" s="23" t="inlineStr">
        <is>
          <t>5 業務成果品</t>
        </is>
      </c>
      <c r="B95" s="22" t="inlineStr">
        <is>
          <t>仕様書5②-b</t>
        </is>
      </c>
      <c r="C95" s="24" t="inlineStr">
        <is>
          <t>アンケート調査報告書を10部納品する</t>
        </is>
      </c>
      <c r="D95" s="22" t="inlineStr">
        <is>
          <t>受託者</t>
        </is>
      </c>
      <c r="E95" s="24" t="inlineStr">
        <is>
          <t>Ⅳ-90
Ⅳ-96</t>
        </is>
      </c>
      <c r="F95" s="24" t="inlineStr">
        <is>
          <t>アンケート調査報告書の印刷・製本（ホチキス製本）
納品・検収</t>
        </is>
      </c>
      <c r="G95" s="22" t="inlineStr">
        <is>
          <t>○</t>
        </is>
      </c>
      <c r="H95" s="24" t="inlineStr"/>
    </row>
    <row r="96" ht="30" customHeight="1">
      <c r="A96" s="23" t="inlineStr">
        <is>
          <t>5 業務成果品</t>
        </is>
      </c>
      <c r="B96" s="22" t="inlineStr">
        <is>
          <t>仕様書5③-a</t>
        </is>
      </c>
      <c r="C96" s="24" t="inlineStr">
        <is>
          <t>成果品及び関連データを収録した電子媒体（Word・Excel・PowerPoint・PDF形式等／CD-R等）を納品する</t>
        </is>
      </c>
      <c r="D96" s="22" t="inlineStr">
        <is>
          <t>受託者</t>
        </is>
      </c>
      <c r="E96" s="24" t="inlineStr">
        <is>
          <t>Ⅳ-91
Ⅳ-96</t>
        </is>
      </c>
      <c r="F96" s="24" t="inlineStr">
        <is>
          <t>電子媒体の作成（Word/Excel/PowerPoint/PDF）
納品・検収</t>
        </is>
      </c>
      <c r="G96" s="22" t="inlineStr">
        <is>
          <t>○</t>
        </is>
      </c>
      <c r="H96" s="24" t="inlineStr"/>
    </row>
    <row r="97" ht="30" customHeight="1">
      <c r="A97" s="23" t="inlineStr">
        <is>
          <t>5 業務成果品</t>
        </is>
      </c>
      <c r="B97" s="22" t="inlineStr">
        <is>
          <t>仕様書5③-b</t>
        </is>
      </c>
      <c r="C97" s="24" t="inlineStr">
        <is>
          <t>電子媒体に収録する「関連データ」の範囲を定める</t>
        </is>
      </c>
      <c r="D97" s="22" t="inlineStr">
        <is>
          <t>双方</t>
        </is>
      </c>
      <c r="E97" s="24" t="inlineStr">
        <is>
          <t>Ⅳ-114</t>
        </is>
      </c>
      <c r="F97" s="24" t="inlineStr">
        <is>
          <t>納品物に収録する範囲の確定（個人情報の非収録）</t>
        </is>
      </c>
      <c r="G97" s="22" t="inlineStr">
        <is>
          <t>○</t>
        </is>
      </c>
      <c r="H97" s="24" t="inlineStr">
        <is>
          <t>回答原票・管理番号対応表を含めるかは仕様書6(1)と一体で判断する</t>
        </is>
      </c>
    </row>
    <row r="98" ht="30" customHeight="1">
      <c r="A98" s="42" t="inlineStr">
        <is>
          <t>6 その他</t>
        </is>
      </c>
      <c r="B98" s="22" t="inlineStr">
        <is>
          <t>仕様書6(1)-a</t>
        </is>
      </c>
      <c r="C98" s="24" t="inlineStr">
        <is>
          <t>業務上知り得た個人情報を第三者に開示・漏洩しない</t>
        </is>
      </c>
      <c r="D98" s="22" t="inlineStr">
        <is>
          <t>受託者</t>
        </is>
      </c>
      <c r="E98" s="24" t="inlineStr">
        <is>
          <t>Ⅴ-97</t>
        </is>
      </c>
      <c r="F98" s="24" t="inlineStr">
        <is>
          <t>個人情報の適正管理（アクセス制限・保管ルール）</t>
        </is>
      </c>
      <c r="G98" s="22" t="inlineStr">
        <is>
          <t>○</t>
        </is>
      </c>
      <c r="H98" s="24" t="inlineStr"/>
    </row>
    <row r="99" ht="30" customHeight="1">
      <c r="A99" s="23" t="inlineStr">
        <is>
          <t>6 その他</t>
        </is>
      </c>
      <c r="B99" s="22" t="inlineStr">
        <is>
          <t>仕様書6(1)-b</t>
        </is>
      </c>
      <c r="C99" s="24" t="inlineStr">
        <is>
          <t>契約期間終了後・契約解除後も同様とする</t>
        </is>
      </c>
      <c r="D99" s="22" t="inlineStr">
        <is>
          <t>受託者</t>
        </is>
      </c>
      <c r="E99" s="24" t="inlineStr">
        <is>
          <t>Ⅴ-98</t>
        </is>
      </c>
      <c r="F99" s="24" t="inlineStr">
        <is>
          <t>業務完了後の情報の返還・消去</t>
        </is>
      </c>
      <c r="G99" s="22" t="inlineStr">
        <is>
          <t>○</t>
        </is>
      </c>
      <c r="H99" s="24" t="inlineStr"/>
    </row>
    <row r="100" ht="30" customHeight="1">
      <c r="A100" s="23" t="inlineStr">
        <is>
          <t>6 その他</t>
        </is>
      </c>
      <c r="B100" s="22" t="inlineStr">
        <is>
          <t>仕様書6(2)-a</t>
        </is>
      </c>
      <c r="C100" s="24" t="inlineStr">
        <is>
          <t>業務の全部を一括して再委託してはならない</t>
        </is>
      </c>
      <c r="D100" s="22" t="inlineStr">
        <is>
          <t>受託者</t>
        </is>
      </c>
      <c r="E100" s="24" t="inlineStr">
        <is>
          <t>Ⅴ-99</t>
        </is>
      </c>
      <c r="F100" s="24" t="inlineStr">
        <is>
          <t>再委託の書面承諾の取得</t>
        </is>
      </c>
      <c r="G100" s="22" t="inlineStr">
        <is>
          <t>○</t>
        </is>
      </c>
      <c r="H100" s="24" t="inlineStr"/>
    </row>
    <row r="101" ht="30" customHeight="1">
      <c r="A101" s="23" t="inlineStr">
        <is>
          <t>6 その他</t>
        </is>
      </c>
      <c r="B101" s="22" t="inlineStr">
        <is>
          <t>仕様書6(2)-b</t>
        </is>
      </c>
      <c r="C101" s="24" t="inlineStr">
        <is>
          <t>一部を再委託する場合は事前に書面で村の承諾を得る</t>
        </is>
      </c>
      <c r="D101" s="22" t="inlineStr">
        <is>
          <t>双方</t>
        </is>
      </c>
      <c r="E101" s="24" t="inlineStr">
        <is>
          <t>Ⅴ-99</t>
        </is>
      </c>
      <c r="F101" s="24" t="inlineStr">
        <is>
          <t>再委託の書面承諾の取得</t>
        </is>
      </c>
      <c r="G101" s="22" t="inlineStr">
        <is>
          <t>○</t>
        </is>
      </c>
      <c r="H101" s="24" t="inlineStr">
        <is>
          <t>印刷・データ入力・ウェブフォーム構築を外注する場合に該当</t>
        </is>
      </c>
    </row>
    <row r="102" ht="30" customHeight="1">
      <c r="A102" s="23" t="inlineStr">
        <is>
          <t>6 その他</t>
        </is>
      </c>
      <c r="B102" s="22" t="inlineStr">
        <is>
          <t>仕様書6(3)-a</t>
        </is>
      </c>
      <c r="C102" s="24" t="inlineStr">
        <is>
          <t>北塩原村委託契約約款に準拠する</t>
        </is>
      </c>
      <c r="D102" s="22" t="inlineStr">
        <is>
          <t>双方</t>
        </is>
      </c>
      <c r="E102" s="24" t="inlineStr">
        <is>
          <t>０-02</t>
        </is>
      </c>
      <c r="F102" s="24" t="inlineStr">
        <is>
          <t>契約締結</t>
        </is>
      </c>
      <c r="G102" s="22" t="inlineStr">
        <is>
          <t>○</t>
        </is>
      </c>
      <c r="H102" s="24" t="inlineStr"/>
    </row>
    <row r="103" ht="30" customHeight="1">
      <c r="A103" s="23" t="inlineStr">
        <is>
          <t>6 その他</t>
        </is>
      </c>
      <c r="B103" s="22" t="inlineStr">
        <is>
          <t>仕様書6(4)-a</t>
        </is>
      </c>
      <c r="C103" s="24" t="inlineStr">
        <is>
          <t>疑義が生じたときは村と受託者で協議する</t>
        </is>
      </c>
      <c r="D103" s="22" t="inlineStr">
        <is>
          <t>双方</t>
        </is>
      </c>
      <c r="E103" s="24" t="inlineStr">
        <is>
          <t>Ⅴ-100</t>
        </is>
      </c>
      <c r="F103" s="24" t="inlineStr">
        <is>
          <t>進捗管理・課題管理</t>
        </is>
      </c>
      <c r="G103" s="22" t="inlineStr">
        <is>
          <t>○</t>
        </is>
      </c>
      <c r="H103" s="24" t="inlineStr">
        <is>
          <t>確認事項一覧（本管理表 第2シート）がこの協議の記録を担う</t>
        </is>
      </c>
    </row>
    <row r="105" ht="20" customHeight="1">
      <c r="A105" s="38" t="inlineStr">
        <is>
          <t>■ 仕様書に直接の根拠を持たない作業（何に基づき、どの条項の履行を支えるか）</t>
        </is>
      </c>
    </row>
    <row r="106">
      <c r="A106" s="43" t="inlineStr">
        <is>
          <t>根拠の種別</t>
        </is>
      </c>
      <c r="B106" s="43" t="inlineStr">
        <is>
          <t>WBS No.</t>
        </is>
      </c>
      <c r="C106" s="43" t="inlineStr">
        <is>
          <t>作業項目</t>
        </is>
      </c>
      <c r="D106" s="43" t="inlineStr">
        <is>
          <t>担当</t>
        </is>
      </c>
      <c r="E106" s="43" t="inlineStr">
        <is>
          <t>支える条項</t>
        </is>
      </c>
      <c r="F106" s="43" t="inlineStr">
        <is>
          <t>位置づけ</t>
        </is>
      </c>
    </row>
    <row r="107" ht="30" customHeight="1">
      <c r="A107" s="39" t="inlineStr">
        <is>
          <t>確認</t>
        </is>
      </c>
      <c r="B107" s="39" t="inlineStr">
        <is>
          <t>０-06</t>
        </is>
      </c>
      <c r="C107" s="41" t="inlineStr">
        <is>
          <t>見える化システムのID・パスワードの受領</t>
        </is>
      </c>
      <c r="D107" s="39" t="inlineStr">
        <is>
          <t>北塩原村</t>
        </is>
      </c>
      <c r="E107" s="39" t="inlineStr">
        <is>
          <t>仕様書4Ⅱ(3)</t>
        </is>
      </c>
      <c r="F107" s="41" t="inlineStr">
        <is>
          <t>見える化システムが人口・認定者・給付費の推計の基礎データである</t>
        </is>
      </c>
      <c r="G107" s="44" t="n"/>
      <c r="H107" s="44" t="n"/>
    </row>
    <row r="108" ht="30" customHeight="1">
      <c r="A108" s="39" t="inlineStr">
        <is>
          <t>手引き／確認</t>
        </is>
      </c>
      <c r="B108" s="39" t="inlineStr">
        <is>
          <t>Ⅰ-07</t>
        </is>
      </c>
      <c r="C108" s="41" t="inlineStr">
        <is>
          <t>調査手法の決定（在宅：手法Ⅰ〜Ⅳ）</t>
        </is>
      </c>
      <c r="D108" s="39" t="inlineStr">
        <is>
          <t>双方</t>
        </is>
      </c>
      <c r="E108" s="39" t="inlineStr">
        <is>
          <t>仕様書4Ⅰ(5)</t>
        </is>
      </c>
      <c r="F108" s="41" t="inlineStr">
        <is>
          <t>手引きの手法Ⅰ〜Ⅳのいずれを採るかで認定データ関連付けの可否が決まる</t>
        </is>
      </c>
      <c r="G108" s="44" t="n"/>
      <c r="H108" s="44" t="n"/>
    </row>
    <row r="109" ht="30" customHeight="1">
      <c r="A109" s="39" t="inlineStr">
        <is>
          <t>手引き</t>
        </is>
      </c>
      <c r="B109" s="39" t="inlineStr">
        <is>
          <t>Ⅰ-11</t>
        </is>
      </c>
      <c r="C109" s="41" t="inlineStr">
        <is>
          <t>令和7年8月版 標準様式との逐条突合</t>
        </is>
      </c>
      <c r="D109" s="39" t="inlineStr">
        <is>
          <t>受託者</t>
        </is>
      </c>
      <c r="E109" s="39" t="inlineStr">
        <is>
          <t>仕様書4Ⅰ(2)</t>
        </is>
      </c>
      <c r="F109" s="41" t="inlineStr">
        <is>
          <t>「厚生労働省が示す調査項目」の充足を確認する手段</t>
        </is>
      </c>
      <c r="G109" s="44" t="n"/>
      <c r="H109" s="44" t="n"/>
    </row>
    <row r="110" ht="30" customHeight="1">
      <c r="A110" s="39" t="inlineStr">
        <is>
          <t>手引き</t>
        </is>
      </c>
      <c r="B110" s="39" t="inlineStr">
        <is>
          <t>Ⅰ-19</t>
        </is>
      </c>
      <c r="C110" s="41" t="inlineStr">
        <is>
          <t>被保険者番号と照合可能な管理番号の設計</t>
        </is>
      </c>
      <c r="D110" s="39" t="inlineStr">
        <is>
          <t>双方</t>
        </is>
      </c>
      <c r="E110" s="39" t="inlineStr">
        <is>
          <t>仕様書4Ⅰ(2)</t>
        </is>
      </c>
      <c r="F110" s="41" t="inlineStr">
        <is>
          <t>重複管理と認定データ関連付けの双方の前提となる管理番号の設計</t>
        </is>
      </c>
      <c r="G110" s="44" t="n"/>
      <c r="H110" s="44" t="n"/>
    </row>
    <row r="111" ht="30" customHeight="1">
      <c r="A111" s="39" t="inlineStr">
        <is>
          <t>確認</t>
        </is>
      </c>
      <c r="B111" s="39" t="inlineStr">
        <is>
          <t>Ⅰ-31</t>
        </is>
      </c>
      <c r="C111" s="41" t="inlineStr">
        <is>
          <t>督促（リマインド）の実施</t>
        </is>
      </c>
      <c r="D111" s="39" t="inlineStr">
        <is>
          <t>受託者</t>
        </is>
      </c>
      <c r="E111" s="39" t="inlineStr">
        <is>
          <t>仕様書4Ⅰ(4)</t>
        </is>
      </c>
      <c r="F111" s="41" t="inlineStr">
        <is>
          <t>回収管理の一環。第9期の在宅調査は回収率45.8%</t>
        </is>
      </c>
      <c r="G111" s="44" t="n"/>
      <c r="H111" s="44" t="n"/>
    </row>
    <row r="112" ht="30" customHeight="1">
      <c r="A112" s="39" t="inlineStr">
        <is>
          <t>確認</t>
        </is>
      </c>
      <c r="B112" s="39" t="inlineStr">
        <is>
          <t>Ⅰ-94</t>
        </is>
      </c>
      <c r="C112" s="41" t="inlineStr">
        <is>
          <t>調査票の受渡し記録の作成・運用</t>
        </is>
      </c>
      <c r="D112" s="39" t="inlineStr">
        <is>
          <t>双方</t>
        </is>
      </c>
      <c r="E112" s="39" t="inlineStr">
        <is>
          <t>仕様書6(1)</t>
        </is>
      </c>
      <c r="F112" s="41" t="inlineStr">
        <is>
          <t>村が100件程度ごとに小分け送付する運用に伴う個人情報の受渡し記録</t>
        </is>
      </c>
      <c r="G112" s="44" t="n"/>
      <c r="H112" s="44" t="n"/>
    </row>
    <row r="113" ht="30" customHeight="1">
      <c r="A113" s="39" t="inlineStr">
        <is>
          <t>手引き</t>
        </is>
      </c>
      <c r="B113" s="39" t="inlineStr">
        <is>
          <t>Ⅰ-43</t>
        </is>
      </c>
      <c r="C113" s="41" t="inlineStr">
        <is>
          <t>リスク判定11種の算出</t>
        </is>
      </c>
      <c r="D113" s="39" t="inlineStr">
        <is>
          <t>受託者</t>
        </is>
      </c>
      <c r="E113" s="39" t="inlineStr">
        <is>
          <t>仕様書4Ⅰ(6)</t>
        </is>
      </c>
      <c r="F113" s="41" t="inlineStr">
        <is>
          <t>手引きが定める11領域のリスク判定。見える化への登録と全国比較の前提</t>
        </is>
      </c>
      <c r="G113" s="44" t="n"/>
      <c r="H113" s="44" t="n"/>
    </row>
    <row r="114" ht="30" customHeight="1">
      <c r="A114" s="39" t="inlineStr">
        <is>
          <t>手引き</t>
        </is>
      </c>
      <c r="B114" s="39" t="inlineStr">
        <is>
          <t>Ⅰ-46</t>
        </is>
      </c>
      <c r="C114" s="41" t="inlineStr">
        <is>
          <t>見える化システム登録用データの作成</t>
        </is>
      </c>
      <c r="D114" s="39" t="inlineStr">
        <is>
          <t>受託者</t>
        </is>
      </c>
      <c r="E114" s="39" t="inlineStr">
        <is>
          <t>仕様書4Ⅰ(6)</t>
        </is>
      </c>
      <c r="F114" s="41" t="inlineStr">
        <is>
          <t>見える化システムへの登録により県・全国との比較が可能になる</t>
        </is>
      </c>
      <c r="G114" s="44" t="n"/>
      <c r="H114" s="44" t="n"/>
    </row>
    <row r="115" ht="30" customHeight="1">
      <c r="A115" s="39" t="inlineStr">
        <is>
          <t>確認</t>
        </is>
      </c>
      <c r="B115" s="39" t="inlineStr">
        <is>
          <t>Ⅰ-95</t>
        </is>
      </c>
      <c r="C115" s="41" t="inlineStr">
        <is>
          <t>ICFの構成要素に基づくクロス分析の設計</t>
        </is>
      </c>
      <c r="D115" s="39" t="inlineStr">
        <is>
          <t>受託者</t>
        </is>
      </c>
      <c r="E115" s="39" t="inlineStr">
        <is>
          <t>仕様書4Ⅰ(6)</t>
        </is>
      </c>
      <c r="F115" s="41" t="inlineStr">
        <is>
          <t>キックオフで村が求めたICFに基づくクロス分析。「村と協議の上決定」の範囲</t>
        </is>
      </c>
      <c r="G115" s="44" t="n"/>
      <c r="H115" s="44" t="n"/>
    </row>
    <row r="116" ht="30" customHeight="1">
      <c r="A116" s="39" t="inlineStr">
        <is>
          <t>確認</t>
        </is>
      </c>
      <c r="B116" s="39" t="inlineStr">
        <is>
          <t>Ⅱ-63</t>
        </is>
      </c>
      <c r="C116" s="41" t="inlineStr">
        <is>
          <t>介護保険準備基金の残高・取崩方針の確認</t>
        </is>
      </c>
      <c r="D116" s="39" t="inlineStr">
        <is>
          <t>北塩原村</t>
        </is>
      </c>
      <c r="E116" s="39" t="inlineStr">
        <is>
          <t>仕様書4Ⅱ(3)③</t>
        </is>
      </c>
      <c r="F116" s="41" t="inlineStr">
        <is>
          <t>基金の取崩額は保険料算定の5式の④に直接入る</t>
        </is>
      </c>
      <c r="G116" s="44" t="n"/>
      <c r="H116" s="44" t="n"/>
    </row>
    <row r="117" ht="30" customHeight="1">
      <c r="A117" s="39" t="inlineStr">
        <is>
          <t>確認</t>
        </is>
      </c>
      <c r="B117" s="39" t="inlineStr">
        <is>
          <t>Ⅱ-73</t>
        </is>
      </c>
      <c r="C117" s="41" t="inlineStr">
        <is>
          <t>一体的策定の範囲の確認</t>
        </is>
      </c>
      <c r="D117" s="39" t="inlineStr">
        <is>
          <t>双方</t>
        </is>
      </c>
      <c r="E117" s="39" t="inlineStr">
        <is>
          <t>仕様書4Ⅱ(6)</t>
        </is>
      </c>
      <c r="F117" s="41" t="inlineStr">
        <is>
          <t>整合対象の「等」の範囲の確認</t>
        </is>
      </c>
      <c r="G117" s="44" t="n"/>
      <c r="H117" s="44" t="n"/>
    </row>
    <row r="118" ht="30" customHeight="1">
      <c r="A118" s="39" t="inlineStr">
        <is>
          <t>確認</t>
        </is>
      </c>
      <c r="B118" s="39" t="inlineStr">
        <is>
          <t>Ⅱ-116</t>
        </is>
      </c>
      <c r="C118" s="41" t="inlineStr">
        <is>
          <t>図表データ管理台帳の作成と図の数値の一元化</t>
        </is>
      </c>
      <c r="D118" s="39" t="inlineStr">
        <is>
          <t>受託者</t>
        </is>
      </c>
      <c r="E118" s="39" t="inlineStr">
        <is>
          <t>仕様書4Ⅱ(5)</t>
        </is>
      </c>
      <c r="F118" s="41" t="inlineStr">
        <is>
          <t>計画書の図表の数値を1か所で管理し、村が直せば本文の図に反映される仕組み。数値の食い違いを防ぐ</t>
        </is>
      </c>
      <c r="G118" s="44" t="n"/>
      <c r="H118" s="44" t="n"/>
    </row>
    <row r="119" ht="30" customHeight="1">
      <c r="A119" s="39" t="inlineStr">
        <is>
          <t>確認</t>
        </is>
      </c>
      <c r="B119" s="39" t="inlineStr">
        <is>
          <t>Ⅱ-117</t>
        </is>
      </c>
      <c r="C119" s="41" t="inlineStr">
        <is>
          <t>成果品の自己点検（記載事項の網羅性・制約の走査）</t>
        </is>
      </c>
      <c r="D119" s="39" t="inlineStr">
        <is>
          <t>受託者</t>
        </is>
      </c>
      <c r="E119" s="39" t="inlineStr">
        <is>
          <t>仕様書6(4)</t>
        </is>
      </c>
      <c r="F119" s="41" t="inlineStr">
        <is>
          <t>成果品の数値と記載を機械で点検する。進捗管理・課題管理の一環として品質を担保する</t>
        </is>
      </c>
      <c r="G119" s="44" t="n"/>
      <c r="H119" s="44" t="n"/>
    </row>
    <row r="120" ht="30" customHeight="1">
      <c r="A120" s="39" t="inlineStr">
        <is>
          <t>確認</t>
        </is>
      </c>
      <c r="B120" s="39" t="inlineStr">
        <is>
          <t>Ⅱ-80</t>
        </is>
      </c>
      <c r="C120" s="41" t="inlineStr">
        <is>
          <t>委員の改選・委嘱</t>
        </is>
      </c>
      <c r="D120" s="39" t="inlineStr">
        <is>
          <t>北塩原村</t>
        </is>
      </c>
      <c r="E120" s="39" t="inlineStr">
        <is>
          <t>仕様書4Ⅱ(8)</t>
        </is>
      </c>
      <c r="F120" s="41" t="inlineStr">
        <is>
          <t>委員が委嘱されていなければ会議が開催できない</t>
        </is>
      </c>
      <c r="G120" s="44" t="n"/>
      <c r="H120" s="44" t="n"/>
    </row>
    <row r="121" ht="30" customHeight="1">
      <c r="A121" s="39" t="inlineStr">
        <is>
          <t>確認</t>
        </is>
      </c>
      <c r="B121" s="39" t="inlineStr">
        <is>
          <t>Ⅱ-93</t>
        </is>
      </c>
      <c r="C121" s="41" t="inlineStr">
        <is>
          <t>議会全員協議会 説明資料の作成</t>
        </is>
      </c>
      <c r="D121" s="39" t="inlineStr">
        <is>
          <t>受託者</t>
        </is>
      </c>
      <c r="E121" s="39" t="inlineStr">
        <is>
          <t>仕様書4Ⅱ(8)</t>
        </is>
      </c>
      <c r="F121" s="41" t="inlineStr">
        <is>
          <t>★議事録で新設。受託者の関与範囲（資料のみか出席を含むか）が未確認</t>
        </is>
      </c>
      <c r="G121" s="44" t="n"/>
      <c r="H121" s="44" t="n"/>
    </row>
    <row r="122" ht="30" customHeight="1">
      <c r="A122" s="39" t="inlineStr">
        <is>
          <t>確認</t>
        </is>
      </c>
      <c r="B122" s="39" t="inlineStr">
        <is>
          <t>Ⅳ-92</t>
        </is>
      </c>
      <c r="C122" s="41" t="inlineStr">
        <is>
          <t>概要版の作成</t>
        </is>
      </c>
      <c r="D122" s="39" t="inlineStr">
        <is>
          <t>双方</t>
        </is>
      </c>
      <c r="E122" s="39" t="inlineStr">
        <is>
          <t>仕様書5①</t>
        </is>
      </c>
      <c r="F122" s="41" t="inlineStr">
        <is>
          <t>★議事録で作成が合意。仕様書の成果品に明記がなく追加対応か要確認</t>
        </is>
      </c>
      <c r="G122" s="44" t="n"/>
      <c r="H122" s="44" t="n"/>
    </row>
    <row r="124">
      <c r="A124" s="45" t="inlineStr">
        <is>
          <t>※ 手引き</t>
        </is>
      </c>
      <c r="B124" s="46" t="inlineStr">
        <is>
          <t>厚生労働省「介護予防・日常生活圏域ニーズ調査及び在宅介護実態調査の実施の手引き」（令和7年8月版）</t>
        </is>
      </c>
    </row>
    <row r="125">
      <c r="A125" s="45" t="inlineStr">
        <is>
          <t>※ 確認</t>
        </is>
      </c>
      <c r="B125" s="46" t="inlineStr">
        <is>
          <t>本業務の遂行上必要と判断し、村との確認事項として管理しているもの</t>
        </is>
      </c>
    </row>
    <row r="126">
      <c r="A126" s="45" t="inlineStr">
        <is>
          <t>※ 手引き／確認</t>
        </is>
      </c>
      <c r="B126" s="46" t="inlineStr">
        <is>
          <t>手引きに選択肢が示され、いずれを採るかを村と確認するもの</t>
        </is>
      </c>
    </row>
  </sheetData>
  <autoFilter ref="A4:H103"/>
  <mergeCells count="23">
    <mergeCell ref="F113:H113"/>
    <mergeCell ref="F114:H114"/>
    <mergeCell ref="F110:H110"/>
    <mergeCell ref="A1:H1"/>
    <mergeCell ref="F106:H106"/>
    <mergeCell ref="B124:H124"/>
    <mergeCell ref="F122:H122"/>
    <mergeCell ref="F109:H109"/>
    <mergeCell ref="F121:H121"/>
    <mergeCell ref="F115:H115"/>
    <mergeCell ref="B126:H126"/>
    <mergeCell ref="F111:H111"/>
    <mergeCell ref="B125:H125"/>
    <mergeCell ref="F117:H117"/>
    <mergeCell ref="F107:H107"/>
    <mergeCell ref="A105:H105"/>
    <mergeCell ref="F120:H120"/>
    <mergeCell ref="A2:H2"/>
    <mergeCell ref="F119:H119"/>
    <mergeCell ref="F116:H116"/>
    <mergeCell ref="F112:H112"/>
    <mergeCell ref="F108:H108"/>
    <mergeCell ref="F118:H1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4"/>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46" customWidth="1" min="3" max="3"/>
    <col width="12" customWidth="1" min="4" max="4"/>
    <col width="40" customWidth="1" min="5" max="5"/>
    <col width="10" customWidth="1" min="6" max="6"/>
  </cols>
  <sheetData>
    <row r="1" ht="30" customHeight="1">
      <c r="A1" s="1" t="inlineStr">
        <is>
          <t>受領資料・データ管理（基準日：令和8年10月13日）</t>
        </is>
      </c>
    </row>
    <row r="2" ht="20" customHeight="1">
      <c r="A2" s="2" t="inlineStr">
        <is>
          <t>仕様書4Ⅲ「資料授受の管理」に対応。★＝未受領で業務進行に影響するもの</t>
        </is>
      </c>
    </row>
    <row r="4" ht="24" customHeight="1">
      <c r="A4" s="3" t="inlineStr">
        <is>
          <t>区分</t>
        </is>
      </c>
      <c r="B4" s="3" t="inlineStr">
        <is>
          <t>資料・データ名</t>
        </is>
      </c>
      <c r="C4" s="3" t="inlineStr">
        <is>
          <t>内容・数量</t>
        </is>
      </c>
      <c r="D4" s="3" t="inlineStr">
        <is>
          <t>受領日</t>
        </is>
      </c>
      <c r="E4" s="3" t="inlineStr">
        <is>
          <t>整理先</t>
        </is>
      </c>
      <c r="F4" s="3" t="inlineStr">
        <is>
          <t>状況</t>
        </is>
      </c>
    </row>
    <row r="5" ht="28" customHeight="1">
      <c r="A5" s="4" t="inlineStr">
        <is>
          <t>仕様書</t>
        </is>
      </c>
      <c r="B5" s="7" t="inlineStr">
        <is>
          <t>委託第27号 仕様書（8北保福第483号 別紙）</t>
        </is>
      </c>
      <c r="C5" s="7" t="inlineStr">
        <is>
          <t>業務内容・成果品・その他条件</t>
        </is>
      </c>
      <c r="D5" s="47" t="n">
        <v>46259</v>
      </c>
      <c r="E5" s="7" t="inlineStr">
        <is>
          <t>docs/…/01_業務内容整理.md</t>
        </is>
      </c>
      <c r="F5" s="4" t="inlineStr">
        <is>
          <t>受領済</t>
        </is>
      </c>
    </row>
    <row r="6" ht="28" customHeight="1">
      <c r="A6" s="4" t="inlineStr">
        <is>
          <t>現行計画</t>
        </is>
      </c>
      <c r="B6" s="7" t="inlineStr">
        <is>
          <t>第9期北塩原村高齢者福祉計画・介護保険事業計画</t>
        </is>
      </c>
      <c r="C6" s="7" t="inlineStr">
        <is>
          <t>本文104頁・全6章＋資料編</t>
        </is>
      </c>
      <c r="D6" s="47" t="n">
        <v>46259</v>
      </c>
      <c r="E6" s="7" t="inlineStr">
        <is>
          <t>docs/…/01_業務内容整理.md</t>
        </is>
      </c>
      <c r="F6" s="4" t="inlineStr">
        <is>
          <t>受領済</t>
        </is>
      </c>
    </row>
    <row r="7" ht="28" customHeight="1">
      <c r="A7" s="4" t="inlineStr">
        <is>
          <t>現行計画</t>
        </is>
      </c>
      <c r="B7" s="7" t="inlineStr">
        <is>
          <t>第9期計画 概要版（表・裏の2ページ）</t>
        </is>
      </c>
      <c r="C7" s="7" t="inlineStr">
        <is>
          <t>基本理念・基本目標・数値①〜⑦・施策体系図</t>
        </is>
      </c>
      <c r="D7" s="47" t="n">
        <v>46265</v>
      </c>
      <c r="E7" s="7" t="inlineStr">
        <is>
          <t>docs/…/08_第9期計画概要_計画実績突合.md</t>
        </is>
      </c>
      <c r="F7" s="4" t="inlineStr">
        <is>
          <t>受領済</t>
        </is>
      </c>
    </row>
    <row r="8" ht="28" customHeight="1">
      <c r="A8" s="34" t="inlineStr">
        <is>
          <t>現行計画</t>
        </is>
      </c>
      <c r="B8" s="33" t="inlineStr">
        <is>
          <t>★北塩原村第五次総合振興計画（2017〜2026）</t>
        </is>
      </c>
      <c r="C8" s="33" t="inlineStr">
        <is>
          <t>上位計画。第六次の策定状況も要確認</t>
        </is>
      </c>
      <c r="D8" s="34" t="inlineStr">
        <is>
          <t>―</t>
        </is>
      </c>
      <c r="E8" s="33" t="inlineStr">
        <is>
          <t>―</t>
        </is>
      </c>
      <c r="F8" s="34" t="inlineStr">
        <is>
          <t>未受領</t>
        </is>
      </c>
    </row>
    <row r="9" ht="28" customHeight="1">
      <c r="A9" s="34" t="inlineStr">
        <is>
          <t>現行計画</t>
        </is>
      </c>
      <c r="B9" s="33" t="inlineStr">
        <is>
          <t>★第3次健康きたしおばら21</t>
        </is>
      </c>
      <c r="C9" s="33" t="inlineStr">
        <is>
          <t>関連計画</t>
        </is>
      </c>
      <c r="D9" s="34" t="inlineStr">
        <is>
          <t>―</t>
        </is>
      </c>
      <c r="E9" s="33" t="inlineStr">
        <is>
          <t>―</t>
        </is>
      </c>
      <c r="F9" s="34" t="inlineStr">
        <is>
          <t>未受領</t>
        </is>
      </c>
    </row>
    <row r="10" ht="28" customHeight="1">
      <c r="A10" s="4" t="inlineStr">
        <is>
          <t>調査票</t>
        </is>
      </c>
      <c r="B10" s="7" t="inlineStr">
        <is>
          <t>キックオフ資料（0828版・082802版）</t>
        </is>
      </c>
      <c r="C10" s="7" t="inlineStr">
        <is>
          <t>2版をレビュー済</t>
        </is>
      </c>
      <c r="D10" s="47" t="n">
        <v>46259</v>
      </c>
      <c r="E10" s="7" t="inlineStr">
        <is>
          <t>docs/…/03,06</t>
        </is>
      </c>
      <c r="F10" s="4" t="inlineStr">
        <is>
          <t>受領済</t>
        </is>
      </c>
    </row>
    <row r="11" ht="28" customHeight="1">
      <c r="A11" s="4" t="inlineStr">
        <is>
          <t>調査票</t>
        </is>
      </c>
      <c r="B11" s="7" t="inlineStr">
        <is>
          <t>ニーズ調査・在宅介護実態調査 調査票案（資料B・C・C'）</t>
        </is>
      </c>
      <c r="C11" s="7" t="inlineStr">
        <is>
          <t>修正案まで受領</t>
        </is>
      </c>
      <c r="D11" s="47" t="n">
        <v>46259</v>
      </c>
      <c r="E11" s="7" t="inlineStr">
        <is>
          <t>docs/…/03,04</t>
        </is>
      </c>
      <c r="F11" s="4" t="inlineStr">
        <is>
          <t>受領済</t>
        </is>
      </c>
    </row>
    <row r="12" ht="28" customHeight="1">
      <c r="A12" s="4" t="inlineStr">
        <is>
          <t>国様式</t>
        </is>
      </c>
      <c r="B12" s="7" t="inlineStr">
        <is>
          <t>令和7年8月版 標準調査票（ニーズ調査・在宅介護実態調査）</t>
        </is>
      </c>
      <c r="C12" s="7" t="inlineStr">
        <is>
          <t>逐条突合の基礎。要確認0件で完了</t>
        </is>
      </c>
      <c r="D12" s="47" t="n">
        <v>46261</v>
      </c>
      <c r="E12" s="7" t="inlineStr">
        <is>
          <t>docs/…/05_令和7年8月版との逐条突合.md</t>
        </is>
      </c>
      <c r="F12" s="4" t="inlineStr">
        <is>
          <t>受領済</t>
        </is>
      </c>
    </row>
    <row r="13" ht="28" customHeight="1">
      <c r="A13" s="4" t="inlineStr">
        <is>
          <t>見える化</t>
        </is>
      </c>
      <c r="B13" s="7" t="inlineStr">
        <is>
          <t>A系 人口・世帯／B系 認定者</t>
        </is>
      </c>
      <c r="C13" s="7" t="inlineStr">
        <is>
          <t>第1号被保険者数・認定者数・認定率ほか</t>
        </is>
      </c>
      <c r="D13" s="47" t="n">
        <v>46259</v>
      </c>
      <c r="E13" s="7" t="inlineStr">
        <is>
          <t>data/mieruka_tidy.csv</t>
        </is>
      </c>
      <c r="F13" s="4" t="inlineStr">
        <is>
          <t>受領済</t>
        </is>
      </c>
    </row>
    <row r="14" ht="28" customHeight="1">
      <c r="A14" s="4" t="inlineStr">
        <is>
          <t>見える化</t>
        </is>
      </c>
      <c r="B14" s="7" t="inlineStr">
        <is>
          <t>C1 保険料／D系 給付費・受給者・利用回数</t>
        </is>
      </c>
      <c r="C14" s="7" t="inlineStr">
        <is>
          <t>第1号被保険者1人あたり給付月額ほか</t>
        </is>
      </c>
      <c r="D14" s="47" t="n">
        <v>46265</v>
      </c>
      <c r="E14" s="7" t="inlineStr">
        <is>
          <t>data/mieruka_tidy.csv</t>
        </is>
      </c>
      <c r="F14" s="4" t="inlineStr">
        <is>
          <t>受領済</t>
        </is>
      </c>
    </row>
    <row r="15" ht="28" customHeight="1">
      <c r="A15" s="4" t="inlineStr">
        <is>
          <t>見える化</t>
        </is>
      </c>
      <c r="B15" s="7" t="inlineStr">
        <is>
          <t>K系 施設数／D13系 給付費</t>
        </is>
      </c>
      <c r="C15" s="7" t="inlineStr">
        <is>
          <t>村内施設ゼロを確認</t>
        </is>
      </c>
      <c r="D15" s="47" t="n">
        <v>46265</v>
      </c>
      <c r="E15" s="7" t="inlineStr">
        <is>
          <t>data/mieruka_tidy.csv</t>
        </is>
      </c>
      <c r="F15" s="4" t="inlineStr">
        <is>
          <t>受領済</t>
        </is>
      </c>
    </row>
    <row r="16" ht="28" customHeight="1">
      <c r="A16" s="4" t="inlineStr">
        <is>
          <t>見える化</t>
        </is>
      </c>
      <c r="B16" s="7" t="inlineStr">
        <is>
          <t>D25〜D30 定員／F15〜F25 地域包括支援センター</t>
        </is>
      </c>
      <c r="C16" s="7" t="inlineStr">
        <is>
          <t>定員は平成30年度以降据置</t>
        </is>
      </c>
      <c r="D16" s="47" t="n">
        <v>46265</v>
      </c>
      <c r="E16" s="7" t="inlineStr">
        <is>
          <t>docs/…/02 追記3</t>
        </is>
      </c>
      <c r="F16" s="4" t="inlineStr">
        <is>
          <t>受領済</t>
        </is>
      </c>
    </row>
    <row r="17" ht="28" customHeight="1">
      <c r="A17" s="4" t="inlineStr">
        <is>
          <t>見える化</t>
        </is>
      </c>
      <c r="B17" s="7" t="inlineStr">
        <is>
          <t>F1〜F14・F28〜F40 日常生活支援総合事業</t>
        </is>
      </c>
      <c r="C17" s="7" t="inlineStr">
        <is>
          <t>17系列が実データなし（＝未実施）</t>
        </is>
      </c>
      <c r="D17" s="47" t="n">
        <v>46265</v>
      </c>
      <c r="E17" s="7" t="inlineStr">
        <is>
          <t>docs/…/02 追記3</t>
        </is>
      </c>
      <c r="F17" s="4" t="inlineStr">
        <is>
          <t>受領済</t>
        </is>
      </c>
    </row>
    <row r="18" ht="28" customHeight="1">
      <c r="A18" s="4" t="inlineStr">
        <is>
          <t>見える化</t>
        </is>
      </c>
      <c r="B18" s="7" t="inlineStr">
        <is>
          <t>D47・D48 介護保険特別会計 歳入・歳出</t>
        </is>
      </c>
      <c r="C18" s="7" t="inlineStr">
        <is>
          <t>平成26〜令和5年度決算</t>
        </is>
      </c>
      <c r="D18" s="47" t="n">
        <v>46265</v>
      </c>
      <c r="E18" s="7" t="inlineStr">
        <is>
          <t>docs/…/02 追記3</t>
        </is>
      </c>
      <c r="F18" s="4" t="inlineStr">
        <is>
          <t>受領済</t>
        </is>
      </c>
    </row>
    <row r="19" ht="28" customHeight="1">
      <c r="A19" s="4" t="inlineStr">
        <is>
          <t>見える化</t>
        </is>
      </c>
      <c r="B19" s="7" t="inlineStr">
        <is>
          <t>W系 保険者機能強化推進交付金 評価指標（77ファイル）</t>
        </is>
      </c>
      <c r="C19" s="7" t="inlineStr">
        <is>
          <t>令和3〜5年度。0点項目21件を抽出</t>
        </is>
      </c>
      <c r="D19" s="47" t="n">
        <v>46265</v>
      </c>
      <c r="E19" s="7" t="inlineStr">
        <is>
          <t>docs/…/07</t>
        </is>
      </c>
      <c r="F19" s="4" t="inlineStr">
        <is>
          <t>受領済</t>
        </is>
      </c>
    </row>
    <row r="20" ht="28" customHeight="1">
      <c r="A20" s="4" t="inlineStr">
        <is>
          <t>見える化</t>
        </is>
      </c>
      <c r="B20" s="7" t="inlineStr">
        <is>
          <t>W138〜W155 アウトプット・アウトカム指標（18ファイル）</t>
        </is>
      </c>
      <c r="C20" s="7" t="inlineStr">
        <is>
          <t>令和5年度</t>
        </is>
      </c>
      <c r="D20" s="47" t="n">
        <v>46265</v>
      </c>
      <c r="E20" s="7" t="inlineStr">
        <is>
          <t>docs/…/07</t>
        </is>
      </c>
      <c r="F20" s="4" t="inlineStr">
        <is>
          <t>受領済</t>
        </is>
      </c>
    </row>
    <row r="21" ht="28" customHeight="1">
      <c r="A21" s="4" t="inlineStr">
        <is>
          <t>見える化</t>
        </is>
      </c>
      <c r="B21" s="7" t="inlineStr">
        <is>
          <t>地域分析 P1〜P4</t>
        </is>
      </c>
      <c r="C21" s="7" t="inlineStr">
        <is>
          <t>県平均・全国平均・県内順位・全国順位</t>
        </is>
      </c>
      <c r="D21" s="47" t="n">
        <v>46265</v>
      </c>
      <c r="E21" s="7" t="inlineStr">
        <is>
          <t>docs/…/09</t>
        </is>
      </c>
      <c r="F21" s="4" t="inlineStr">
        <is>
          <t>受領済</t>
        </is>
      </c>
    </row>
    <row r="22" ht="28" customHeight="1">
      <c r="A22" s="34" t="inlineStr">
        <is>
          <t>村データ</t>
        </is>
      </c>
      <c r="B22" s="33" t="inlineStr">
        <is>
          <t>★介護給付費準備基金の現在高</t>
        </is>
      </c>
      <c r="C22" s="33" t="inlineStr">
        <is>
          <t>令和6年度末実績・令和7年度末見込</t>
        </is>
      </c>
      <c r="D22" s="34" t="inlineStr">
        <is>
          <t>―</t>
        </is>
      </c>
      <c r="E22" s="33" t="inlineStr">
        <is>
          <t>―</t>
        </is>
      </c>
      <c r="F22" s="34" t="inlineStr">
        <is>
          <t>未受領</t>
        </is>
      </c>
    </row>
    <row r="23" ht="28" customHeight="1">
      <c r="A23" s="34" t="inlineStr">
        <is>
          <t>村データ</t>
        </is>
      </c>
      <c r="B23" s="33" t="inlineStr">
        <is>
          <t>★令和6年度決算・令和7年度給付費見込</t>
        </is>
      </c>
      <c r="C23" s="33" t="inlineStr">
        <is>
          <t>第9期の乖離確定に必要</t>
        </is>
      </c>
      <c r="D23" s="34" t="inlineStr">
        <is>
          <t>―</t>
        </is>
      </c>
      <c r="E23" s="33" t="inlineStr">
        <is>
          <t>―</t>
        </is>
      </c>
      <c r="F23" s="34" t="inlineStr">
        <is>
          <t>未受領</t>
        </is>
      </c>
    </row>
    <row r="24" ht="28" customHeight="1">
      <c r="A24" s="4" t="inlineStr">
        <is>
          <t>村データ</t>
        </is>
      </c>
      <c r="B24" s="7" t="inlineStr">
        <is>
          <t>★通いの場の実数（令和3〜7年度）</t>
        </is>
      </c>
      <c r="C24" s="7" t="inlineStr">
        <is>
          <t>見える化は令和2年度で更新停止。令和6年度分のみ受領</t>
        </is>
      </c>
      <c r="D24" s="4" t="inlineStr">
        <is>
          <t>―</t>
        </is>
      </c>
      <c r="E24" s="7" t="inlineStr">
        <is>
          <t>―</t>
        </is>
      </c>
      <c r="F24" s="4" t="inlineStr">
        <is>
          <t>一部受領</t>
        </is>
      </c>
    </row>
    <row r="25" ht="28" customHeight="1">
      <c r="A25" s="34" t="inlineStr">
        <is>
          <t>村データ</t>
        </is>
      </c>
      <c r="B25" s="33" t="inlineStr">
        <is>
          <t>★高齢者福祉事業（村単独事業）の実績</t>
        </is>
      </c>
      <c r="C25" s="33" t="inlineStr">
        <is>
          <t>現行計画の評価に必要</t>
        </is>
      </c>
      <c r="D25" s="34" t="inlineStr">
        <is>
          <t>―</t>
        </is>
      </c>
      <c r="E25" s="33" t="inlineStr">
        <is>
          <t>―</t>
        </is>
      </c>
      <c r="F25" s="34" t="inlineStr">
        <is>
          <t>未受領</t>
        </is>
      </c>
    </row>
    <row r="26" ht="28" customHeight="1">
      <c r="A26" s="4" t="inlineStr">
        <is>
          <t>成果物</t>
        </is>
      </c>
      <c r="B26" s="7" t="inlineStr">
        <is>
          <t>第10期 要介護度別認定者数の推計（doc29／data/…推計.csv）</t>
        </is>
      </c>
      <c r="C26" s="7" t="inlineStr">
        <is>
          <t>前期・後期別の認定率に分解。基準年が実績と完全一致</t>
        </is>
      </c>
      <c r="D26" s="47" t="n">
        <v>46272</v>
      </c>
      <c r="E26" s="7" t="inlineStr">
        <is>
          <t>docs/…/29_要介護認定者数の推計.md</t>
        </is>
      </c>
      <c r="F26" s="4" t="inlineStr">
        <is>
          <t>作成済</t>
        </is>
      </c>
    </row>
    <row r="27" ht="28" customHeight="1">
      <c r="A27" s="4" t="inlineStr">
        <is>
          <t>国資料</t>
        </is>
      </c>
      <c r="B27" s="7" t="inlineStr">
        <is>
          <t>第10期将来推計用人口推計（北塩原村のみ）＋推計の考え方（別紙1・2）</t>
        </is>
      </c>
      <c r="C27" s="7" t="inlineStr">
        <is>
          <t>住基ベース推計と補正係数。令和22年まで。厚労省R8.8.24事務連絡／県R8.8.25通知</t>
        </is>
      </c>
      <c r="D27" s="47" t="n">
        <v>46272</v>
      </c>
      <c r="E27" s="7" t="inlineStr">
        <is>
          <t>docs/…/28_受領資料分析…md §1</t>
        </is>
      </c>
      <c r="F27" s="4" t="inlineStr">
        <is>
          <t>受領済</t>
        </is>
      </c>
    </row>
    <row r="28" ht="28" customHeight="1">
      <c r="A28" s="4" t="inlineStr">
        <is>
          <t>村データ</t>
        </is>
      </c>
      <c r="B28" s="7" t="inlineStr">
        <is>
          <t>令和8年度 合計所得金額分布調査 調査票（入力済）</t>
        </is>
      </c>
      <c r="C28" s="7" t="inlineStr">
        <is>
          <t>所得段階別の第1号被保険者数13段階・合計1,015人。10万円刻みの分布を含む</t>
        </is>
      </c>
      <c r="D28" s="47" t="n">
        <v>46272</v>
      </c>
      <c r="E28" s="7" t="inlineStr">
        <is>
          <t>docs/…/28_受領資料分析…md §2</t>
        </is>
      </c>
      <c r="F28" s="4" t="inlineStr">
        <is>
          <t>受領済</t>
        </is>
      </c>
    </row>
    <row r="29" ht="28" customHeight="1">
      <c r="A29" s="4" t="inlineStr">
        <is>
          <t>村データ</t>
        </is>
      </c>
      <c r="B29" s="7" t="inlineStr">
        <is>
          <t>成年後見制度利用促進施策に係る取組状況調査（令和7・8年度 市町村票）</t>
        </is>
      </c>
      <c r="C29" s="7" t="inlineStr">
        <is>
          <t>利用者4人、中核機関整備済、市民後見人0人ほか</t>
        </is>
      </c>
      <c r="D29" s="47" t="n">
        <v>46272</v>
      </c>
      <c r="E29" s="7" t="inlineStr">
        <is>
          <t>docs/…/28_受領資料分析…md §3</t>
        </is>
      </c>
      <c r="F29" s="4" t="inlineStr">
        <is>
          <t>受領済</t>
        </is>
      </c>
    </row>
    <row r="30" ht="28" customHeight="1">
      <c r="A30" s="4" t="inlineStr">
        <is>
          <t>村データ</t>
        </is>
      </c>
      <c r="B30" s="7" t="inlineStr">
        <is>
          <t>会津権利擁護・成年後見センター 相談件数（令和6・7年度）</t>
        </is>
      </c>
      <c r="C30" s="7" t="inlineStr">
        <is>
          <t>本村 令和6年度134件／令和7年度76件。圏域13市町村の比較表</t>
        </is>
      </c>
      <c r="D30" s="47" t="n">
        <v>46272</v>
      </c>
      <c r="E30" s="7" t="inlineStr">
        <is>
          <t>docs/…/28_受領資料分析…md §3-3</t>
        </is>
      </c>
      <c r="F30" s="4" t="inlineStr">
        <is>
          <t>受領済</t>
        </is>
      </c>
    </row>
    <row r="31" ht="28" customHeight="1">
      <c r="A31" s="4" t="inlineStr">
        <is>
          <t>調査票</t>
        </is>
      </c>
      <c r="B31" s="7" t="inlineStr">
        <is>
          <t>調査票 第2稿（0904版）</t>
        </is>
      </c>
      <c r="C31" s="7" t="inlineStr">
        <is>
          <t>指摘13件のうち11件が反映。必須修正3件を新たに検出</t>
        </is>
      </c>
      <c r="D31" s="47" t="n">
        <v>46269</v>
      </c>
      <c r="E31" s="7" t="inlineStr">
        <is>
          <t>docs/…/27_調査票第2稿レビュー.md</t>
        </is>
      </c>
      <c r="F31" s="4" t="inlineStr">
        <is>
          <t>受領済</t>
        </is>
      </c>
    </row>
    <row r="32" ht="28" customHeight="1">
      <c r="A32" s="4" t="inlineStr">
        <is>
          <t>成果物</t>
        </is>
      </c>
      <c r="B32" s="7" t="inlineStr">
        <is>
          <t>第2回策定委員会 資料2・5・6・7（output/08_第2回策定委員会資料.docx）</t>
        </is>
      </c>
      <c r="C32" s="7" t="inlineStr">
        <is>
          <t>26表・A4約30頁。資料2と7は本体完成、資料5と6は骨格</t>
        </is>
      </c>
      <c r="D32" s="47" t="n">
        <v>46268</v>
      </c>
      <c r="E32" s="7" t="inlineStr">
        <is>
          <t>docs/…/26_第2回策定委員会_資料構成.md §11</t>
        </is>
      </c>
      <c r="F32" s="4" t="inlineStr">
        <is>
          <t>作成済</t>
        </is>
      </c>
    </row>
    <row r="33" ht="28" customHeight="1">
      <c r="A33" s="4" t="inlineStr">
        <is>
          <t>成果物</t>
        </is>
      </c>
      <c r="B33" s="7" t="inlineStr">
        <is>
          <t>集計仕様書（output/07_集計仕様書.xlsx）</t>
        </is>
      </c>
      <c r="C33" s="7" t="inlineStr">
        <is>
          <t>6シート。ニーズ80設問・在宅26設問・派生変数20・クロス表20</t>
        </is>
      </c>
      <c r="D33" s="47" t="n">
        <v>46268</v>
      </c>
      <c r="E33" s="7" t="inlineStr">
        <is>
          <t>docs/…/25_集計仕様書.md</t>
        </is>
      </c>
      <c r="F33" s="4" t="inlineStr">
        <is>
          <t>作成済</t>
        </is>
      </c>
    </row>
    <row r="34" ht="28" customHeight="1">
      <c r="A34" s="4" t="inlineStr">
        <is>
          <t>成果物</t>
        </is>
      </c>
      <c r="B34" s="7" t="inlineStr">
        <is>
          <t>第2回策定委員会 資料構成（doc26）</t>
        </is>
      </c>
      <c r="C34" s="7" t="inlineStr">
        <is>
          <t>資料1〜8・約53頁＋素案別冊。合意事項5点</t>
        </is>
      </c>
      <c r="D34" s="47" t="n">
        <v>46268</v>
      </c>
      <c r="E34" s="7" t="inlineStr">
        <is>
          <t>docs/…/26_第2回策定委員会_資料構成.md</t>
        </is>
      </c>
      <c r="F34" s="4" t="inlineStr">
        <is>
          <t>作成済</t>
        </is>
      </c>
    </row>
    <row r="35" ht="28" customHeight="1">
      <c r="A35" s="4" t="inlineStr">
        <is>
          <t>調査票</t>
        </is>
      </c>
      <c r="B35" s="7" t="inlineStr">
        <is>
          <t>調査票 第1稿（ニーズ調査・在宅介護実態調査）</t>
        </is>
      </c>
      <c r="C35" s="7" t="inlineStr">
        <is>
          <t>0828版。令和7年8月版・手法Ⅲ標準様式と全面突合</t>
        </is>
      </c>
      <c r="D35" s="47" t="n">
        <v>46267</v>
      </c>
      <c r="E35" s="7" t="inlineStr">
        <is>
          <t>docs/…/23_調査票第1稿レビュー_ICF分析設計.md</t>
        </is>
      </c>
      <c r="F35" s="4" t="inlineStr">
        <is>
          <t>受領済</t>
        </is>
      </c>
    </row>
    <row r="36" ht="28" customHeight="1">
      <c r="A36" s="4" t="inlineStr">
        <is>
          <t>国資料</t>
        </is>
      </c>
      <c r="B36" s="7" t="inlineStr">
        <is>
          <t>令和8年度 交付金評価指標（市町村分）配点表</t>
        </is>
      </c>
      <c r="C36" s="7" t="inlineStr">
        <is>
          <t>全17頁。推進400点・支援400点、目標Ⅰ〜Ⅳ各100点</t>
        </is>
      </c>
      <c r="D36" s="47" t="n">
        <v>46267</v>
      </c>
      <c r="E36" s="7" t="inlineStr">
        <is>
          <t>docs/…/20_交付金評価結果分析.md</t>
        </is>
      </c>
      <c r="F36" s="4" t="inlineStr">
        <is>
          <t>受領済</t>
        </is>
      </c>
    </row>
    <row r="37" ht="28" customHeight="1">
      <c r="A37" s="4" t="inlineStr">
        <is>
          <t>国資料</t>
        </is>
      </c>
      <c r="B37" s="7" t="inlineStr">
        <is>
          <t>令和6年度 該当状況調査票集計表（全国一覧表）</t>
        </is>
      </c>
      <c r="C37" s="7" t="inlineStr">
        <is>
          <t>全国1,741市町村。村は第398行。合計295点</t>
        </is>
      </c>
      <c r="D37" s="47" t="n">
        <v>46267</v>
      </c>
      <c r="E37" s="7" t="inlineStr">
        <is>
          <t>docs/…/20_交付金評価結果分析.md</t>
        </is>
      </c>
      <c r="F37" s="4" t="inlineStr">
        <is>
          <t>受領済</t>
        </is>
      </c>
    </row>
    <row r="38" ht="28" customHeight="1">
      <c r="A38" s="4" t="inlineStr">
        <is>
          <t>国資料</t>
        </is>
      </c>
      <c r="B38" s="7" t="inlineStr">
        <is>
          <t>令和7年度 該当状況調査票集計表（全国集計・市町村）</t>
        </is>
      </c>
      <c r="C38" s="7" t="inlineStr">
        <is>
          <t>合計339点。全国平均435.0点</t>
        </is>
      </c>
      <c r="D38" s="47" t="n">
        <v>46267</v>
      </c>
      <c r="E38" s="7" t="inlineStr">
        <is>
          <t>docs/…/20_交付金評価結果分析.md</t>
        </is>
      </c>
      <c r="F38" s="4" t="inlineStr">
        <is>
          <t>受領済</t>
        </is>
      </c>
    </row>
    <row r="39" ht="28" customHeight="1">
      <c r="A39" s="4" t="inlineStr">
        <is>
          <t>国資料</t>
        </is>
      </c>
      <c r="B39" s="7" t="inlineStr">
        <is>
          <t>令和8年度 該当状況調査票集計表（全国集計・市町村）</t>
        </is>
      </c>
      <c r="C39" s="7" t="inlineStr">
        <is>
          <t>合計447点。全国平均455.1点／全国1,005位／県内34位</t>
        </is>
      </c>
      <c r="D39" s="47" t="n">
        <v>46267</v>
      </c>
      <c r="E39" s="7" t="inlineStr">
        <is>
          <t>docs/…/20_交付金評価結果分析.md</t>
        </is>
      </c>
      <c r="F39" s="4" t="inlineStr">
        <is>
          <t>受領済</t>
        </is>
      </c>
    </row>
    <row r="40" ht="28" customHeight="1">
      <c r="A40" s="4" t="inlineStr">
        <is>
          <t>関連計画</t>
        </is>
      </c>
      <c r="B40" s="7" t="inlineStr">
        <is>
          <t>第四次北塩原村生涯学習推進計画</t>
        </is>
      </c>
      <c r="C40" s="7" t="inlineStr">
        <is>
          <t>全112頁。2018〜2027年度。7z分割書庫4分割で受領</t>
        </is>
      </c>
      <c r="D40" s="47" t="n">
        <v>46267</v>
      </c>
      <c r="E40" s="7" t="inlineStr">
        <is>
          <t>docs/…/21_関連計画_第四次生涯学習推進計画.md</t>
        </is>
      </c>
      <c r="F40" s="4" t="inlineStr">
        <is>
          <t>受領済</t>
        </is>
      </c>
    </row>
    <row r="41" ht="28" customHeight="1">
      <c r="A41" s="4" t="inlineStr">
        <is>
          <t>国資料</t>
        </is>
      </c>
      <c r="B41" s="7" t="inlineStr">
        <is>
          <t>令和8年度 評価指標に係る該当状況調査票集計表（都道府県分）</t>
        </is>
      </c>
      <c r="C41" s="7" t="inlineStr">
        <is>
          <t>47都道府県・752列。福島県530点・全国26位（前年度468点・42位）</t>
        </is>
      </c>
      <c r="D41" s="47" t="n">
        <v>46290</v>
      </c>
      <c r="E41" s="7" t="inlineStr">
        <is>
          <t>docs/…/41_交付金_都道府県分の確認.md</t>
        </is>
      </c>
      <c r="F41" s="4" t="inlineStr">
        <is>
          <t>受領済</t>
        </is>
      </c>
    </row>
    <row r="42" ht="28" customHeight="1">
      <c r="A42" s="4" t="inlineStr">
        <is>
          <t>国資料</t>
        </is>
      </c>
      <c r="B42" s="7" t="inlineStr">
        <is>
          <t>令和8年度 評価指標（都道府県分）全38頁</t>
        </is>
      </c>
      <c r="C42" s="7" t="inlineStr">
        <is>
          <t>管内市町村平均得点・著しく得点の低い市町村の判定基準を確認</t>
        </is>
      </c>
      <c r="D42" s="47" t="n">
        <v>46290</v>
      </c>
      <c r="E42" s="7" t="inlineStr">
        <is>
          <t>docs/…/41_交付金_都道府県分の確認.md</t>
        </is>
      </c>
      <c r="F42" s="4" t="inlineStr">
        <is>
          <t>受領済</t>
        </is>
      </c>
    </row>
    <row r="43" ht="28" customHeight="1">
      <c r="A43" s="4" t="inlineStr">
        <is>
          <t>国資料</t>
        </is>
      </c>
      <c r="B43" s="7" t="inlineStr">
        <is>
          <t>令和8年度 該当状況調査票集計表（市町村分・全国一覧表）</t>
        </is>
      </c>
      <c r="C43" s="7" t="inlineStr">
        <is>
          <t>1,779行×1,563列。本村は通し番号380。既収録の9項目すべてと一致</t>
        </is>
      </c>
      <c r="D43" s="47" t="n">
        <v>46290</v>
      </c>
      <c r="E43" s="7" t="inlineStr">
        <is>
          <t>docs/…/42_交付金_市町村分の確認.md</t>
        </is>
      </c>
      <c r="F43" s="4" t="inlineStr">
        <is>
          <t>受領済</t>
        </is>
      </c>
    </row>
    <row r="44" ht="28" customHeight="1">
      <c r="A44" s="4" t="inlineStr">
        <is>
          <t>国資料</t>
        </is>
      </c>
      <c r="B44" s="7" t="inlineStr">
        <is>
          <t>令和8年度 評価指標（市町村分）全42頁</t>
        </is>
      </c>
      <c r="C44" s="7" t="inlineStr">
        <is>
          <t>留意点を突合し、未得点のうち61点が計画への記載等で取得できることを特定</t>
        </is>
      </c>
      <c r="D44" s="47" t="n">
        <v>46290</v>
      </c>
      <c r="E44" s="7" t="inlineStr">
        <is>
          <t>docs/…/42_交付金_市町村分の確認.md</t>
        </is>
      </c>
      <c r="F44" s="4" t="inlineStr">
        <is>
          <t>受領済</t>
        </is>
      </c>
    </row>
    <row r="45" ht="28" customHeight="1">
      <c r="A45" s="4" t="inlineStr">
        <is>
          <t>村データ</t>
        </is>
      </c>
      <c r="B45" s="7" t="inlineStr">
        <is>
          <t>調査対象者名簿（ニーズ調査882人）</t>
        </is>
      </c>
      <c r="C45" s="7" t="inlineStr">
        <is>
          <t>★個人情報を含む。属性の集計値のみ保存し原本は複製しない</t>
        </is>
      </c>
      <c r="D45" s="47" t="n">
        <v>46293</v>
      </c>
      <c r="E45" s="7" t="inlineStr">
        <is>
          <t>docs/…/43_調査対象者データの確認.md</t>
        </is>
      </c>
      <c r="F45" s="4" t="inlineStr">
        <is>
          <t>受領済</t>
        </is>
      </c>
    </row>
    <row r="46" ht="28" customHeight="1">
      <c r="A46" s="4" t="inlineStr">
        <is>
          <t>村データ</t>
        </is>
      </c>
      <c r="B46" s="7" t="inlineStr">
        <is>
          <t>調査対象者名簿（在宅介護実態調査118人・要介護度を含む）</t>
        </is>
      </c>
      <c r="C46" s="7" t="inlineStr">
        <is>
          <t>★個人情報を含む。要介護1が49人・2が30人・3が18人・4が14人・5が7人</t>
        </is>
      </c>
      <c r="D46" s="47" t="n">
        <v>46293</v>
      </c>
      <c r="E46" s="7" t="inlineStr">
        <is>
          <t>docs/…/43_調査対象者データの確認.md</t>
        </is>
      </c>
      <c r="F46" s="4" t="inlineStr">
        <is>
          <t>受領済</t>
        </is>
      </c>
    </row>
    <row r="47" ht="28" customHeight="1">
      <c r="A47" s="34" t="inlineStr">
        <is>
          <t>村データ</t>
        </is>
      </c>
      <c r="B47" s="33" t="inlineStr">
        <is>
          <t>★要介護認定データ（調査票との関連付け用）</t>
        </is>
      </c>
      <c r="C47" s="33" t="inlineStr">
        <is>
          <t>仕様書4Ⅰ(5)。調査回収後に必要</t>
        </is>
      </c>
      <c r="D47" s="34" t="inlineStr">
        <is>
          <t>―</t>
        </is>
      </c>
      <c r="E47" s="33" t="inlineStr">
        <is>
          <t>―</t>
        </is>
      </c>
      <c r="F47" s="34" t="inlineStr">
        <is>
          <t>未受領</t>
        </is>
      </c>
    </row>
    <row r="48" ht="28" customHeight="1">
      <c r="A48" s="4" t="inlineStr">
        <is>
          <t>村データ</t>
        </is>
      </c>
      <c r="B48" s="7" t="inlineStr">
        <is>
          <t>第10期介護保険事業計画 推計ワークシート（将来推計総括表。令和8年10月5日出力）</t>
        </is>
      </c>
      <c r="C48" s="7" t="inlineStr">
        <is>
          <t>県へ10月5日に提出した暫定値。保険料基準額5,513.72円・準備基金残高42,128,183円・取崩額40,000,000円・確定した係数一式。福祉用具購入費・住宅改修費と新サービスは0で入っている</t>
        </is>
      </c>
      <c r="D48" s="47" t="n">
        <v>46302</v>
      </c>
      <c r="E48" s="7" t="inlineStr">
        <is>
          <t>docs/…/66_国の推計ワークシートの受領と内容確認.md</t>
        </is>
      </c>
      <c r="F48" s="4" t="inlineStr">
        <is>
          <t>受領済</t>
        </is>
      </c>
    </row>
    <row r="49" ht="28" customHeight="1">
      <c r="A49" s="4" t="inlineStr">
        <is>
          <t>村データ</t>
        </is>
      </c>
      <c r="B49" s="7" t="inlineStr">
        <is>
          <t>施設・居住系サービスの整備量見込みシート（令和8年10月6日提出）</t>
        </is>
      </c>
      <c r="C49" s="7" t="inlineStr">
        <is>
          <t>認知症高齢者グループホームの定員27人・整備数0。令和6〜8年度は月平均の実績人数</t>
        </is>
      </c>
      <c r="D49" s="47" t="n">
        <v>46302</v>
      </c>
      <c r="E49" s="7" t="inlineStr">
        <is>
          <t>docs/…/69_施設居住系の見込量を県シートに揃えた.md</t>
        </is>
      </c>
      <c r="F49" s="4" t="inlineStr">
        <is>
          <t>受領済</t>
        </is>
      </c>
    </row>
    <row r="50" ht="28" customHeight="1">
      <c r="A50" s="4" t="inlineStr">
        <is>
          <t>村データ</t>
        </is>
      </c>
      <c r="B50" s="7" t="inlineStr">
        <is>
          <t>北塩原村高齢者サービスの手引き（令和8年度版・令和8年4月発行）</t>
        </is>
      </c>
      <c r="C50" s="7" t="inlineStr">
        <is>
          <t>★村単独の高齢者福祉事業の一覧。相談窓口6／生きがい・活動3／教室・イベント4／健康7／お祝い1／福祉サービス12／村内のサービス事業者6事業所。素案4-6の12事業の内容と、2-5の事業所数の裏づけになる。実績値（件数・人数）は載っていない</t>
        </is>
      </c>
      <c r="D50" s="47" t="n">
        <v>46305</v>
      </c>
      <c r="E50" s="7" t="inlineStr">
        <is>
          <t>docs/…/76_村受領資料の確認_高齢者サービスの手引きほか.md</t>
        </is>
      </c>
      <c r="F50" s="4" t="inlineStr">
        <is>
          <t>受領済</t>
        </is>
      </c>
    </row>
    <row r="51" ht="28" customHeight="1">
      <c r="A51" s="4" t="inlineStr">
        <is>
          <t>社内</t>
        </is>
      </c>
      <c r="B51" s="7" t="inlineStr">
        <is>
          <t>北塩原村「高齢者福祉・児童福祉・社会福祉」ホームページ整理（令和8年10月10日作成）</t>
        </is>
      </c>
      <c r="C51" s="7" t="inlineStr">
        <is>
          <t>★第8期障がい福祉計画・第4期障がい児福祉計画の検討のために村公式HPを整理したもの。本計画に関わる記述として、生活支援ハウスの名称（シャルムハウス）、除雪サービス登録事業者募集、わたしの思いノート（会津圏域11市町村とセンターの共同作成）、みんなの人権110番、ヘルプマーク等、こども・子育て計画の期間（令和7〜11年度・令和9年度中間見直し）がある。【村HPの二次的な整理であり原典ではない。】当方の環境から村HPを開けないため（proxyが403）、素案には書き込まず確認事項として起票した</t>
        </is>
      </c>
      <c r="D51" s="47" t="n">
        <v>46305</v>
      </c>
      <c r="E51" s="7" t="inlineStr">
        <is>
          <t>docs/…/76_村受領資料の確認_高齢者サービスの手引きほか.md</t>
        </is>
      </c>
      <c r="F51" s="4" t="inlineStr">
        <is>
          <t>受領済</t>
        </is>
      </c>
    </row>
    <row r="52" ht="28" customHeight="1">
      <c r="A52" s="4" t="inlineStr">
        <is>
          <t>村データ</t>
        </is>
      </c>
      <c r="B52" s="7" t="inlineStr">
        <is>
          <t>緊急連絡カード（様式・2人分）</t>
        </is>
      </c>
      <c r="C52" s="7" t="inlineStr">
        <is>
          <t>★記入欄のみの白紙の様式。住所・固定電話・氏名・性別・血液型・生年月日・持病とお薬・かかりつけ医・緊急連絡先2件・備考。電話機や冷蔵庫の近くに備え付ける運用。施策2-4（見守り）と緊急通報システム事業に関わる</t>
        </is>
      </c>
      <c r="D52" s="47" t="n">
        <v>46305</v>
      </c>
      <c r="E52" s="7" t="inlineStr">
        <is>
          <t>同上</t>
        </is>
      </c>
      <c r="F52" s="4" t="inlineStr">
        <is>
          <t>受領済</t>
        </is>
      </c>
    </row>
    <row r="53" ht="28" customHeight="1">
      <c r="A53" s="4" t="inlineStr">
        <is>
          <t>村データ</t>
        </is>
      </c>
      <c r="B53" s="7" t="inlineStr">
        <is>
          <t>会津権利擁護・成年後見センター 創作劇とトークセッション（令和8年10月23日・24日）</t>
        </is>
      </c>
      <c r="C53" s="7" t="inlineStr">
        <is>
          <t>★北塩原村を含む11市町村とセンターの共催。申込期限は令和8年10月16日。施策4-7（成年後見制度の利用促進）の「制度の周知」の現に行われている取組である</t>
        </is>
      </c>
      <c r="D53" s="47" t="n">
        <v>46305</v>
      </c>
      <c r="E53" s="7" t="inlineStr">
        <is>
          <t>同上</t>
        </is>
      </c>
      <c r="F53" s="4" t="inlineStr">
        <is>
          <t>受領済</t>
        </is>
      </c>
    </row>
    <row r="54" ht="28" customHeight="1">
      <c r="A54" s="4" t="inlineStr">
        <is>
          <t>国資料</t>
        </is>
      </c>
      <c r="B54" s="7" t="inlineStr">
        <is>
          <t>第136回 社会保障審議会介護保険部会 資料1〜6＋参考資料（令和8年9月18日）</t>
        </is>
      </c>
      <c r="C54" s="7" t="inlineStr">
        <is>
          <t>第10期の計画期間に関わる事項。補足給付の施行時期・調整交付金の5%減額・外れ値の定義・介護給付適正化計画の期数・標準段階の論点・介護情報基盤・ケアプランデータ連携・協定・介護経営DB・継続検討9事項。個人情報の走査は該当なし</t>
        </is>
      </c>
      <c r="D54" s="47" t="n">
        <v>46303</v>
      </c>
      <c r="E54" s="7" t="inlineStr">
        <is>
          <t>docs/…/71_部会資料の原典による素案の確定とレビューの反映.md</t>
        </is>
      </c>
      <c r="F54" s="4" t="inlineStr">
        <is>
          <t>受領済</t>
        </is>
      </c>
    </row>
  </sheetData>
  <autoFilter ref="A4:F54"/>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I61"/>
  <sheetViews>
    <sheetView workbookViewId="0">
      <selection activeCell="A1" sqref="A1"/>
    </sheetView>
  </sheetViews>
  <sheetFormatPr baseColWidth="8" defaultRowHeight="15"/>
  <cols>
    <col width="3" customWidth="1" min="1" max="1"/>
    <col width="24" customWidth="1" min="2" max="2"/>
    <col width="13" customWidth="1" min="3" max="3"/>
    <col width="11" customWidth="1" min="4" max="4"/>
    <col width="11" customWidth="1" min="5" max="5"/>
    <col width="11" customWidth="1" min="6" max="6"/>
    <col width="11" customWidth="1" min="7" max="7"/>
    <col width="40" customWidth="1" min="8" max="8"/>
  </cols>
  <sheetData>
    <row r="2" ht="26" customHeight="1">
      <c r="B2" s="48" t="inlineStr">
        <is>
          <t>凡例・入力ルール／進捗集計</t>
        </is>
      </c>
    </row>
    <row r="4">
      <c r="B4" s="38" t="inlineStr">
        <is>
          <t>■ 入力する列（ここだけ編集してください）</t>
        </is>
      </c>
    </row>
    <row r="5">
      <c r="B5" s="49" t="inlineStr">
        <is>
          <t>予定開始・予定完了</t>
        </is>
      </c>
      <c r="C5" s="50" t="inlineStr">
        <is>
          <t>日付</t>
        </is>
      </c>
      <c r="D5" s="50" t="inlineStr">
        <is>
          <t>yyyy/mm/dd 形式で入力します。村との協議で工程が固まり次第、入力してください。</t>
        </is>
      </c>
      <c r="E5" s="51" t="n"/>
      <c r="F5" s="51" t="n"/>
      <c r="G5" s="51" t="n"/>
      <c r="H5" s="51" t="n"/>
    </row>
    <row r="6">
      <c r="B6" s="49" t="inlineStr">
        <is>
          <t>実績開始・実績完了</t>
        </is>
      </c>
      <c r="C6" s="50" t="inlineStr">
        <is>
          <t>日付</t>
        </is>
      </c>
      <c r="D6" s="50" t="inlineStr">
        <is>
          <t>着手日・完了日を実績として入力します。</t>
        </is>
      </c>
      <c r="E6" s="51" t="n"/>
      <c r="F6" s="51" t="n"/>
      <c r="G6" s="51" t="n"/>
      <c r="H6" s="51" t="n"/>
    </row>
    <row r="7">
      <c r="B7" s="49" t="inlineStr">
        <is>
          <t>進捗率</t>
        </is>
      </c>
      <c r="C7" s="50" t="inlineStr">
        <is>
          <t>％</t>
        </is>
      </c>
      <c r="D7" s="50" t="inlineStr">
        <is>
          <t>0〜100% を入力します。完了時は 100%。</t>
        </is>
      </c>
      <c r="E7" s="51" t="n"/>
      <c r="F7" s="51" t="n"/>
      <c r="G7" s="51" t="n"/>
      <c r="H7" s="51" t="n"/>
    </row>
    <row r="8">
      <c r="B8" s="49" t="inlineStr">
        <is>
          <t>ステータス</t>
        </is>
      </c>
      <c r="C8" s="50" t="inlineStr">
        <is>
          <t>選択</t>
        </is>
      </c>
      <c r="D8" s="50" t="inlineStr">
        <is>
          <t>未着手／着手／確認中／完了／保留／対象外 から選択します。</t>
        </is>
      </c>
      <c r="E8" s="51" t="n"/>
      <c r="F8" s="51" t="n"/>
      <c r="G8" s="51" t="n"/>
      <c r="H8" s="51" t="n"/>
    </row>
    <row r="9">
      <c r="B9" s="49" t="inlineStr">
        <is>
          <t>備考</t>
        </is>
      </c>
      <c r="C9" s="50" t="inlineStr">
        <is>
          <t>自由</t>
        </is>
      </c>
      <c r="D9" s="50" t="inlineStr">
        <is>
          <t>課題・懸案・村への確認事項などを記入します。</t>
        </is>
      </c>
      <c r="E9" s="51" t="n"/>
      <c r="F9" s="51" t="n"/>
      <c r="G9" s="51" t="n"/>
      <c r="H9" s="51" t="n"/>
    </row>
    <row r="11">
      <c r="B11" s="38" t="inlineStr">
        <is>
          <t>■ 行の塗り分け</t>
        </is>
      </c>
    </row>
    <row r="12">
      <c r="B12" s="52" t="inlineStr">
        <is>
          <t>薄い緑</t>
        </is>
      </c>
      <c r="C12" s="50" t="inlineStr">
        <is>
          <t>完了した作業です。</t>
        </is>
      </c>
      <c r="D12" s="51" t="n"/>
      <c r="E12" s="51" t="n"/>
      <c r="F12" s="51" t="n"/>
      <c r="G12" s="51" t="n"/>
      <c r="H12" s="51" t="n"/>
    </row>
    <row r="13">
      <c r="B13" s="53" t="inlineStr">
        <is>
          <t>薄い黄</t>
        </is>
      </c>
      <c r="C13" s="50" t="inlineStr">
        <is>
          <t>着手中・確認中の作業、または北塩原村が担当する作業です。</t>
        </is>
      </c>
      <c r="D13" s="51" t="n"/>
      <c r="E13" s="51" t="n"/>
      <c r="F13" s="51" t="n"/>
      <c r="G13" s="51" t="n"/>
      <c r="H13" s="51" t="n"/>
    </row>
    <row r="14">
      <c r="B14" s="54" t="inlineStr">
        <is>
          <t>薄い赤</t>
        </is>
      </c>
      <c r="C14" s="50" t="inlineStr">
        <is>
          <t>「村への確認事項」シートの優先度S・A、および未受領の資料です。</t>
        </is>
      </c>
      <c r="D14" s="51" t="n"/>
      <c r="E14" s="51" t="n"/>
      <c r="F14" s="51" t="n"/>
      <c r="G14" s="51" t="n"/>
      <c r="H14" s="51" t="n"/>
    </row>
    <row r="16">
      <c r="B16" s="38" t="inlineStr">
        <is>
          <t>■ 進捗集計（WBSシートから自動集計されます）</t>
        </is>
      </c>
    </row>
    <row r="17">
      <c r="B17" s="43" t="inlineStr">
        <is>
          <t>大分類</t>
        </is>
      </c>
      <c r="C17" s="43" t="inlineStr">
        <is>
          <t>件数</t>
        </is>
      </c>
      <c r="D17" s="43" t="inlineStr">
        <is>
          <t>未着手</t>
        </is>
      </c>
      <c r="E17" s="43" t="inlineStr">
        <is>
          <t>着手</t>
        </is>
      </c>
      <c r="F17" s="43" t="inlineStr">
        <is>
          <t>確認中</t>
        </is>
      </c>
      <c r="G17" s="43" t="inlineStr">
        <is>
          <t>完了</t>
        </is>
      </c>
      <c r="H17" s="43" t="inlineStr">
        <is>
          <t>保留</t>
        </is>
      </c>
      <c r="I17" s="43" t="inlineStr">
        <is>
          <t>対象外</t>
        </is>
      </c>
    </row>
    <row r="18">
      <c r="B18" s="50" t="inlineStr">
        <is>
          <t>０ 契約・立上げ</t>
        </is>
      </c>
      <c r="C18" s="55">
        <f>COUNTIF('WBS・進捗管理'!$B$5:$B$121,$B18)</f>
        <v/>
      </c>
      <c r="D18" s="55">
        <f>COUNTIFS('WBS・進捗管理'!$B$5:$B$121,$B18,'WBS・進捗管理'!$O$5:$O$121,D$17)</f>
        <v/>
      </c>
      <c r="E18" s="55">
        <f>COUNTIFS('WBS・進捗管理'!$B$5:$B$121,$B18,'WBS・進捗管理'!$O$5:$O$121,E$17)</f>
        <v/>
      </c>
      <c r="F18" s="55">
        <f>COUNTIFS('WBS・進捗管理'!$B$5:$B$121,$B18,'WBS・進捗管理'!$O$5:$O$121,F$17)</f>
        <v/>
      </c>
      <c r="G18" s="55">
        <f>COUNTIFS('WBS・進捗管理'!$B$5:$B$121,$B18,'WBS・進捗管理'!$O$5:$O$121,G$17)</f>
        <v/>
      </c>
      <c r="H18" s="55">
        <f>COUNTIFS('WBS・進捗管理'!$B$5:$B$121,$B18,'WBS・進捗管理'!$O$5:$O$121,H$17)</f>
        <v/>
      </c>
      <c r="I18" s="55">
        <f>COUNTIFS('WBS・進捗管理'!$B$5:$B$121,$B18,'WBS・進捗管理'!$O$5:$O$121,I$17)</f>
        <v/>
      </c>
    </row>
    <row r="19">
      <c r="B19" s="50" t="inlineStr">
        <is>
          <t>Ⅰ ニーズ調査</t>
        </is>
      </c>
      <c r="C19" s="55">
        <f>COUNTIF('WBS・進捗管理'!$B$5:$B$121,$B19)</f>
        <v/>
      </c>
      <c r="D19" s="55">
        <f>COUNTIFS('WBS・進捗管理'!$B$5:$B$121,$B19,'WBS・進捗管理'!$O$5:$O$121,D$17)</f>
        <v/>
      </c>
      <c r="E19" s="55">
        <f>COUNTIFS('WBS・進捗管理'!$B$5:$B$121,$B19,'WBS・進捗管理'!$O$5:$O$121,E$17)</f>
        <v/>
      </c>
      <c r="F19" s="55">
        <f>COUNTIFS('WBS・進捗管理'!$B$5:$B$121,$B19,'WBS・進捗管理'!$O$5:$O$121,F$17)</f>
        <v/>
      </c>
      <c r="G19" s="55">
        <f>COUNTIFS('WBS・進捗管理'!$B$5:$B$121,$B19,'WBS・進捗管理'!$O$5:$O$121,G$17)</f>
        <v/>
      </c>
      <c r="H19" s="55">
        <f>COUNTIFS('WBS・進捗管理'!$B$5:$B$121,$B19,'WBS・進捗管理'!$O$5:$O$121,H$17)</f>
        <v/>
      </c>
      <c r="I19" s="55">
        <f>COUNTIFS('WBS・進捗管理'!$B$5:$B$121,$B19,'WBS・進捗管理'!$O$5:$O$121,I$17)</f>
        <v/>
      </c>
    </row>
    <row r="20">
      <c r="B20" s="50" t="inlineStr">
        <is>
          <t>Ⅱ 計画策定</t>
        </is>
      </c>
      <c r="C20" s="55">
        <f>COUNTIF('WBS・進捗管理'!$B$5:$B$121,$B20)</f>
        <v/>
      </c>
      <c r="D20" s="55">
        <f>COUNTIFS('WBS・進捗管理'!$B$5:$B$121,$B20,'WBS・進捗管理'!$O$5:$O$121,D$17)</f>
        <v/>
      </c>
      <c r="E20" s="55">
        <f>COUNTIFS('WBS・進捗管理'!$B$5:$B$121,$B20,'WBS・進捗管理'!$O$5:$O$121,E$17)</f>
        <v/>
      </c>
      <c r="F20" s="55">
        <f>COUNTIFS('WBS・進捗管理'!$B$5:$B$121,$B20,'WBS・進捗管理'!$O$5:$O$121,F$17)</f>
        <v/>
      </c>
      <c r="G20" s="55">
        <f>COUNTIFS('WBS・進捗管理'!$B$5:$B$121,$B20,'WBS・進捗管理'!$O$5:$O$121,G$17)</f>
        <v/>
      </c>
      <c r="H20" s="55">
        <f>COUNTIFS('WBS・進捗管理'!$B$5:$B$121,$B20,'WBS・進捗管理'!$O$5:$O$121,H$17)</f>
        <v/>
      </c>
      <c r="I20" s="55">
        <f>COUNTIFS('WBS・進捗管理'!$B$5:$B$121,$B20,'WBS・進捗管理'!$O$5:$O$121,I$17)</f>
        <v/>
      </c>
    </row>
    <row r="21">
      <c r="B21" s="50" t="inlineStr">
        <is>
          <t>Ⅲ 打合せ等</t>
        </is>
      </c>
      <c r="C21" s="55">
        <f>COUNTIF('WBS・進捗管理'!$B$5:$B$121,$B21)</f>
        <v/>
      </c>
      <c r="D21" s="55">
        <f>COUNTIFS('WBS・進捗管理'!$B$5:$B$121,$B21,'WBS・進捗管理'!$O$5:$O$121,D$17)</f>
        <v/>
      </c>
      <c r="E21" s="55">
        <f>COUNTIFS('WBS・進捗管理'!$B$5:$B$121,$B21,'WBS・進捗管理'!$O$5:$O$121,E$17)</f>
        <v/>
      </c>
      <c r="F21" s="55">
        <f>COUNTIFS('WBS・進捗管理'!$B$5:$B$121,$B21,'WBS・進捗管理'!$O$5:$O$121,F$17)</f>
        <v/>
      </c>
      <c r="G21" s="55">
        <f>COUNTIFS('WBS・進捗管理'!$B$5:$B$121,$B21,'WBS・進捗管理'!$O$5:$O$121,G$17)</f>
        <v/>
      </c>
      <c r="H21" s="55">
        <f>COUNTIFS('WBS・進捗管理'!$B$5:$B$121,$B21,'WBS・進捗管理'!$O$5:$O$121,H$17)</f>
        <v/>
      </c>
      <c r="I21" s="55">
        <f>COUNTIFS('WBS・進捗管理'!$B$5:$B$121,$B21,'WBS・進捗管理'!$O$5:$O$121,I$17)</f>
        <v/>
      </c>
    </row>
    <row r="22">
      <c r="B22" s="50" t="inlineStr">
        <is>
          <t>Ⅳ 成果品・納品</t>
        </is>
      </c>
      <c r="C22" s="55">
        <f>COUNTIF('WBS・進捗管理'!$B$5:$B$121,$B22)</f>
        <v/>
      </c>
      <c r="D22" s="55">
        <f>COUNTIFS('WBS・進捗管理'!$B$5:$B$121,$B22,'WBS・進捗管理'!$O$5:$O$121,D$17)</f>
        <v/>
      </c>
      <c r="E22" s="55">
        <f>COUNTIFS('WBS・進捗管理'!$B$5:$B$121,$B22,'WBS・進捗管理'!$O$5:$O$121,E$17)</f>
        <v/>
      </c>
      <c r="F22" s="55">
        <f>COUNTIFS('WBS・進捗管理'!$B$5:$B$121,$B22,'WBS・進捗管理'!$O$5:$O$121,F$17)</f>
        <v/>
      </c>
      <c r="G22" s="55">
        <f>COUNTIFS('WBS・進捗管理'!$B$5:$B$121,$B22,'WBS・進捗管理'!$O$5:$O$121,G$17)</f>
        <v/>
      </c>
      <c r="H22" s="55">
        <f>COUNTIFS('WBS・進捗管理'!$B$5:$B$121,$B22,'WBS・進捗管理'!$O$5:$O$121,H$17)</f>
        <v/>
      </c>
      <c r="I22" s="55">
        <f>COUNTIFS('WBS・進捗管理'!$B$5:$B$121,$B22,'WBS・進捗管理'!$O$5:$O$121,I$17)</f>
        <v/>
      </c>
    </row>
    <row r="23">
      <c r="B23" s="50" t="inlineStr">
        <is>
          <t>Ⅴ 管理</t>
        </is>
      </c>
      <c r="C23" s="55">
        <f>COUNTIF('WBS・進捗管理'!$B$5:$B$121,$B23)</f>
        <v/>
      </c>
      <c r="D23" s="55">
        <f>COUNTIFS('WBS・進捗管理'!$B$5:$B$121,$B23,'WBS・進捗管理'!$O$5:$O$121,D$17)</f>
        <v/>
      </c>
      <c r="E23" s="55">
        <f>COUNTIFS('WBS・進捗管理'!$B$5:$B$121,$B23,'WBS・進捗管理'!$O$5:$O$121,E$17)</f>
        <v/>
      </c>
      <c r="F23" s="55">
        <f>COUNTIFS('WBS・進捗管理'!$B$5:$B$121,$B23,'WBS・進捗管理'!$O$5:$O$121,F$17)</f>
        <v/>
      </c>
      <c r="G23" s="55">
        <f>COUNTIFS('WBS・進捗管理'!$B$5:$B$121,$B23,'WBS・進捗管理'!$O$5:$O$121,G$17)</f>
        <v/>
      </c>
      <c r="H23" s="55">
        <f>COUNTIFS('WBS・進捗管理'!$B$5:$B$121,$B23,'WBS・進捗管理'!$O$5:$O$121,H$17)</f>
        <v/>
      </c>
      <c r="I23" s="55">
        <f>COUNTIFS('WBS・進捗管理'!$B$5:$B$121,$B23,'WBS・進捗管理'!$O$5:$O$121,I$17)</f>
        <v/>
      </c>
    </row>
    <row r="24">
      <c r="B24" s="56" t="inlineStr">
        <is>
          <t>合計</t>
        </is>
      </c>
      <c r="C24" s="57">
        <f>SUM(C18:C23)</f>
        <v/>
      </c>
      <c r="D24" s="57">
        <f>SUM(D18:D23)</f>
        <v/>
      </c>
      <c r="E24" s="57">
        <f>SUM(E18:E23)</f>
        <v/>
      </c>
      <c r="F24" s="57">
        <f>SUM(F18:F23)</f>
        <v/>
      </c>
      <c r="G24" s="57">
        <f>SUM(G18:G23)</f>
        <v/>
      </c>
      <c r="H24" s="57">
        <f>SUM(H18:H23)</f>
        <v/>
      </c>
      <c r="I24" s="57">
        <f>SUM(I18:I23)</f>
        <v/>
      </c>
    </row>
    <row r="26">
      <c r="B26" s="38" t="inlineStr">
        <is>
          <t>■ 主要指標</t>
        </is>
      </c>
    </row>
    <row r="27">
      <c r="B27" s="58" t="inlineStr">
        <is>
          <t>全体進捗率（対象外を除く）</t>
        </is>
      </c>
      <c r="C27" s="59">
        <f>AVERAGEIF('WBS・進捗管理'!$O$5:$O$121,"&lt;&gt;対象外",'WBS・進捗管理'!$N$5:$N$121)</f>
        <v/>
      </c>
    </row>
    <row r="28">
      <c r="B28" s="58" t="inlineStr">
        <is>
          <t>作業総数</t>
        </is>
      </c>
      <c r="C28" s="60">
        <f>COUNTA('WBS・進捗管理'!$A$5:$A$121)</f>
        <v/>
      </c>
    </row>
    <row r="29">
      <c r="B29" s="58" t="inlineStr">
        <is>
          <t>完了した作業</t>
        </is>
      </c>
      <c r="C29" s="60">
        <f>COUNTIF('WBS・進捗管理'!$O$5:$O$121,"完了")</f>
        <v/>
      </c>
    </row>
    <row r="30">
      <c r="B30" s="58" t="inlineStr">
        <is>
          <t>着手・確認中の作業</t>
        </is>
      </c>
      <c r="C30" s="60">
        <f>COUNTIF('WBS・進捗管理'!$O$5:$O$121,"着手")+COUNTIF('WBS・進捗管理'!$O$5:$O$121,"確認中")</f>
        <v/>
      </c>
    </row>
    <row r="31">
      <c r="B31" s="58" t="inlineStr">
        <is>
          <t>未着手の作業</t>
        </is>
      </c>
      <c r="C31" s="60">
        <f>COUNTIF('WBS・進捗管理'!$O$5:$O$121,"未着手")</f>
        <v/>
      </c>
    </row>
    <row r="32">
      <c r="B32" s="58" t="inlineStr">
        <is>
          <t>対象外の作業</t>
        </is>
      </c>
      <c r="C32" s="60">
        <f>COUNTIF('WBS・進捗管理'!$O$5:$O$121,"対象外")</f>
        <v/>
      </c>
    </row>
    <row r="33">
      <c r="B33" s="58" t="inlineStr">
        <is>
          <t>村への確認事項（優先度S）</t>
        </is>
      </c>
      <c r="C33" s="60">
        <f>COUNTIF('村への確認事項'!$A:$A,"S")</f>
        <v/>
      </c>
    </row>
    <row r="34">
      <c r="B34" s="58" t="inlineStr">
        <is>
          <t>村への確認事項（優先度A）</t>
        </is>
      </c>
      <c r="C34" s="60">
        <f>COUNTIF('村への確認事項'!$A:$A,"A")</f>
        <v/>
      </c>
    </row>
    <row r="35">
      <c r="B35" s="58" t="inlineStr">
        <is>
          <t>村への確認事項（未依頼）</t>
        </is>
      </c>
      <c r="C35" s="60">
        <f>COUNTIF('村への確認事項'!$G:$G,"未依頼")</f>
        <v/>
      </c>
    </row>
    <row r="36">
      <c r="B36" s="58" t="inlineStr">
        <is>
          <t>未受領の資料・データ</t>
        </is>
      </c>
      <c r="C36" s="60">
        <f>COUNTIF('受領資料・データ管理'!$F:$F,"未受領")</f>
        <v/>
      </c>
    </row>
    <row r="38">
      <c r="B38" s="38" t="inlineStr">
        <is>
          <t>■ マイルストーン（令和8年9月1日 キックオフ議事録により確定）</t>
        </is>
      </c>
    </row>
    <row r="39">
      <c r="B39" s="61" t="inlineStr"/>
      <c r="C39" s="61" t="inlineStr">
        <is>
          <t>期日</t>
        </is>
      </c>
      <c r="D39" s="61" t="inlineStr">
        <is>
          <t>内容</t>
        </is>
      </c>
      <c r="E39" s="61" t="inlineStr">
        <is>
          <t>留意点</t>
        </is>
      </c>
    </row>
    <row r="40">
      <c r="B40" s="22" t="inlineStr"/>
      <c r="C40" s="23" t="inlineStr">
        <is>
          <t>令和8年9月1日（火）</t>
        </is>
      </c>
      <c r="D40" s="23" t="inlineStr">
        <is>
          <t>キックオフ会議</t>
        </is>
      </c>
      <c r="E40" s="24" t="inlineStr">
        <is>
          <t>完了。議事録を受領（doc22）。S項目16件のうち9件が決着</t>
        </is>
      </c>
    </row>
    <row r="41">
      <c r="B41" s="62" t="inlineStr">
        <is>
          <t>★</t>
        </is>
      </c>
      <c r="C41" s="63" t="inlineStr">
        <is>
          <t>令和8年9月3日（木）</t>
        </is>
      </c>
      <c r="D41" s="63" t="inlineStr">
        <is>
          <t>調査票 第1稿の提出</t>
        </is>
      </c>
      <c r="E41" s="64" t="inlineStr">
        <is>
          <t>★議事録で確定。未決事項は選択肢併記で提出</t>
        </is>
      </c>
    </row>
    <row r="42">
      <c r="B42" s="62" t="inlineStr">
        <is>
          <t>★</t>
        </is>
      </c>
      <c r="C42" s="63" t="inlineStr">
        <is>
          <t>令和8年9月9日（水）頃</t>
        </is>
      </c>
      <c r="D42" s="63" t="inlineStr">
        <is>
          <t>調査票の最終校了・印刷依頼</t>
        </is>
      </c>
      <c r="E42" s="64" t="inlineStr">
        <is>
          <t>★Webフォームの実装方法が未決だと間に合わない恐れ</t>
        </is>
      </c>
    </row>
    <row r="43">
      <c r="B43" s="22" t="inlineStr"/>
      <c r="C43" s="23" t="inlineStr">
        <is>
          <t>令和8年9月14日（月）</t>
        </is>
      </c>
      <c r="D43" s="23" t="inlineStr">
        <is>
          <t>宛名ラベル・配布用封筒の提供</t>
        </is>
      </c>
      <c r="E43" s="24" t="inlineStr">
        <is>
          <t>村。9/11への前倒しを要請</t>
        </is>
      </c>
    </row>
    <row r="44">
      <c r="B44" s="22" t="inlineStr"/>
      <c r="C44" s="23" t="inlineStr">
        <is>
          <t>令和8年9月16〜17日</t>
        </is>
      </c>
      <c r="D44" s="23" t="inlineStr">
        <is>
          <t>宛名貼付・封入・封緘</t>
        </is>
      </c>
      <c r="E44" s="24" t="inlineStr">
        <is>
          <t>受託者</t>
        </is>
      </c>
    </row>
    <row r="45">
      <c r="B45" s="62" t="inlineStr">
        <is>
          <t>★</t>
        </is>
      </c>
      <c r="C45" s="63" t="inlineStr">
        <is>
          <t>令和8年9月18日（金）頃</t>
        </is>
      </c>
      <c r="D45" s="63" t="inlineStr">
        <is>
          <t>アンケート発送</t>
        </is>
      </c>
      <c r="E45" s="64" t="inlineStr">
        <is>
          <t>★5連休（9/19〜9/23）の直前。9/17前倒しを協議</t>
        </is>
      </c>
    </row>
    <row r="46">
      <c r="B46" s="62" t="inlineStr">
        <is>
          <t>★</t>
        </is>
      </c>
      <c r="C46" s="63" t="inlineStr">
        <is>
          <t>令和8年9月30日（水）</t>
        </is>
      </c>
      <c r="D46" s="63" t="inlineStr">
        <is>
          <t>策定委員会 現委員の任期満了</t>
        </is>
      </c>
      <c r="E46" s="64" t="inlineStr">
        <is>
          <t>★議事録で触れられず。第2回（11月）には改選が前提</t>
        </is>
      </c>
    </row>
    <row r="47">
      <c r="B47" s="22" t="inlineStr"/>
      <c r="C47" s="23" t="inlineStr">
        <is>
          <t>令和8年10月</t>
        </is>
      </c>
      <c r="D47" s="23" t="inlineStr">
        <is>
          <t>回収・データ入力</t>
        </is>
      </c>
      <c r="E47" s="24" t="inlineStr">
        <is>
          <t>村が100件程度集まるごとに随時送付</t>
        </is>
      </c>
    </row>
    <row r="48">
      <c r="B48" s="62" t="inlineStr">
        <is>
          <t>★</t>
        </is>
      </c>
      <c r="C48" s="63" t="inlineStr">
        <is>
          <t>令和8年11月</t>
        </is>
      </c>
      <c r="D48" s="63" t="inlineStr">
        <is>
          <t>第2回策定委員会</t>
        </is>
      </c>
      <c r="E48" s="64" t="inlineStr">
        <is>
          <t>★分析結果・効果検証・骨子・体系・見込量・保険料概算・素案（完成度7割）</t>
        </is>
      </c>
    </row>
    <row r="49">
      <c r="B49" s="22" t="inlineStr"/>
      <c r="C49" s="23" t="inlineStr">
        <is>
          <t>令和8年11月〜12月</t>
        </is>
      </c>
      <c r="D49" s="23" t="inlineStr">
        <is>
          <t>パブリックコメント</t>
        </is>
      </c>
      <c r="E49" s="24" t="inlineStr">
        <is>
          <t>第2回委員会の後に実施</t>
        </is>
      </c>
    </row>
    <row r="50">
      <c r="B50" s="22" t="inlineStr"/>
      <c r="C50" s="23" t="inlineStr">
        <is>
          <t>令和9年1月下旬〜2月上旬</t>
        </is>
      </c>
      <c r="D50" s="23" t="inlineStr">
        <is>
          <t>第3回策定委員会</t>
        </is>
      </c>
      <c r="E50" s="24" t="inlineStr">
        <is>
          <t>パブコメ結果と反映内容を報告。ほぼ完成版の素案で最終合意</t>
        </is>
      </c>
    </row>
    <row r="51">
      <c r="B51" s="22" t="inlineStr"/>
      <c r="C51" s="23" t="inlineStr">
        <is>
          <t>令和9年2月末頃</t>
        </is>
      </c>
      <c r="D51" s="23" t="inlineStr">
        <is>
          <t>議会全員協議会</t>
        </is>
      </c>
      <c r="E51" s="24" t="inlineStr">
        <is>
          <t>概要版（A3両面程度）を用いて説明</t>
        </is>
      </c>
    </row>
    <row r="52">
      <c r="B52" s="22" t="inlineStr"/>
      <c r="C52" s="23" t="inlineStr">
        <is>
          <t>令和9年3月31日</t>
        </is>
      </c>
      <c r="D52" s="23" t="inlineStr">
        <is>
          <t>履行期限（納品・検収）</t>
        </is>
      </c>
      <c r="E52" s="24" t="inlineStr"/>
    </row>
    <row r="54">
      <c r="B54" s="46" t="inlineStr">
        <is>
          <t>※「仕様書該当」欄の凡例：仕様書＝8北保福第483号 別紙／手引き＝厚生労働省の実施の手引き（令和7年8月版）／確認＝本業務での確認事項</t>
        </is>
      </c>
    </row>
    <row r="55">
      <c r="B55" s="46" t="inlineStr">
        <is>
          <t>※ No. は行の位置によらない固定値です。作業を追加しても既存の No. は変わりません（追加分は101以降）。確認事項シートの「関連WBS No.」はこの No. を参照します。</t>
        </is>
      </c>
    </row>
    <row r="56">
      <c r="B56" s="46" t="inlineStr">
        <is>
          <t>※ 仕様書の要求事項と本WBSの対応は「仕様書対照」シートにあります。漏れと過剰の点検は scripts/verify_wbs.py で機械的に行っています。</t>
        </is>
      </c>
    </row>
    <row r="57">
      <c r="B57" s="46" t="inlineStr">
        <is>
          <t>※ 想定時期は仕様書の履行期限（令和9年3月31日）から逆算した目安です。村との協議結果により確定します。</t>
        </is>
      </c>
    </row>
    <row r="58">
      <c r="B58" s="46" t="inlineStr">
        <is>
          <t>※ 令和8年9月19日（土）〜23日（水）は5連休（敬老の日9/21・国民の休日9/22・秋分の日9/23）です。発送・回収工程に影響します。</t>
        </is>
      </c>
    </row>
    <row r="59">
      <c r="B59" s="46" t="inlineStr">
        <is>
          <t>※ 進捗基準日は令和8年10月13日です。備考欄の doc番号は docs/北塩原村_第10期/ 配下の分析資料に対応します。</t>
        </is>
      </c>
    </row>
    <row r="60">
      <c r="B60" s="46" t="inlineStr">
        <is>
          <t>※ マイルストーンの★印は、遅れると後続工程が連鎖的に破綻する項目です。</t>
        </is>
      </c>
    </row>
    <row r="61">
      <c r="B61" s="46" t="inlineStr">
        <is>
          <t>※ 第1回策定委員会は受託前に開催済みのため、関連する2作業はステータス「対象外」としています。全体進捗率は対象外を除いて算出しています。</t>
        </is>
      </c>
    </row>
  </sheetData>
  <mergeCells count="14">
    <mergeCell ref="D7:H7"/>
    <mergeCell ref="D8:H8"/>
    <mergeCell ref="D6:H6"/>
    <mergeCell ref="B26:H26"/>
    <mergeCell ref="C14:H14"/>
    <mergeCell ref="B4:H4"/>
    <mergeCell ref="C13:H13"/>
    <mergeCell ref="D5:H5"/>
    <mergeCell ref="B2:H2"/>
    <mergeCell ref="B16:H16"/>
    <mergeCell ref="B38:H38"/>
    <mergeCell ref="B11:H11"/>
    <mergeCell ref="C12:H12"/>
    <mergeCell ref="D9:H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H208"/>
  <sheetViews>
    <sheetView zoomScale="90" workbookViewId="0">
      <selection activeCell="A1" sqref="A1"/>
    </sheetView>
  </sheetViews>
  <sheetFormatPr baseColWidth="8" defaultRowHeight="15"/>
  <cols>
    <col width="10" customWidth="1" min="1" max="1"/>
    <col width="30" customWidth="1" min="2" max="2"/>
    <col width="10" customWidth="1" min="3" max="3"/>
    <col width="8" customWidth="1" min="4" max="4"/>
    <col width="70" customWidth="1" min="5" max="5"/>
    <col width="10" customWidth="1" min="6" max="6"/>
    <col width="10" customWidth="1" min="7" max="7"/>
    <col width="10" customWidth="1" min="8" max="8"/>
  </cols>
  <sheetData>
    <row r="2" ht="26" customHeight="1">
      <c r="A2" s="48" t="inlineStr">
        <is>
          <t>ペンディングの影響度と作業順位（基準日 令和8年10月13日／対象の翌営業日 令和8年10月13日）</t>
        </is>
      </c>
    </row>
    <row r="4" ht="20" customHeight="1">
      <c r="A4" s="38" t="inlineStr">
        <is>
          <t>■ 影響度の定義（当方の作業に対する影響）</t>
        </is>
      </c>
    </row>
    <row r="5" ht="20" customHeight="1">
      <c r="A5" s="3" t="inlineStr">
        <is>
          <t>影響度</t>
        </is>
      </c>
      <c r="B5" s="3" t="inlineStr">
        <is>
          <t>呼び方</t>
        </is>
      </c>
      <c r="C5" s="3" t="inlineStr">
        <is>
          <t>意味</t>
        </is>
      </c>
      <c r="D5" s="65" t="n"/>
      <c r="E5" s="65" t="n"/>
      <c r="F5" s="65" t="n"/>
      <c r="G5" s="65" t="n"/>
      <c r="H5" s="66" t="n"/>
    </row>
    <row r="6" ht="26" customHeight="1">
      <c r="A6" s="67" t="n">
        <v>0</v>
      </c>
      <c r="B6" s="67" t="inlineStr">
        <is>
          <t>社内</t>
        </is>
      </c>
      <c r="C6" s="68" t="inlineStr">
        <is>
          <t>村の回答を待つものではない。当方で確かめれば解消する。ペンディングとして数えない。</t>
        </is>
      </c>
      <c r="D6" s="68" t="n"/>
      <c r="E6" s="68" t="n"/>
      <c r="F6" s="68" t="n"/>
      <c r="G6" s="68" t="n"/>
      <c r="H6" s="68" t="n"/>
    </row>
    <row r="7" ht="26" customHeight="1">
      <c r="A7" s="67" t="n">
        <v>1</v>
      </c>
      <c r="B7" s="67" t="inlineStr">
        <is>
          <t>停止</t>
        </is>
      </c>
      <c r="C7" s="68" t="inlineStr">
        <is>
          <t>回答がないと当方の作業が前に進まない。据え置きでは代替できず、回答後の差替えが章節の広い範囲に及ぶ。</t>
        </is>
      </c>
      <c r="D7" s="68" t="n"/>
      <c r="E7" s="68" t="n"/>
      <c r="F7" s="68" t="n"/>
      <c r="G7" s="68" t="n"/>
      <c r="H7" s="68" t="n"/>
    </row>
    <row r="8" ht="26" customHeight="1">
      <c r="A8" s="67" t="n">
        <v>2</v>
      </c>
      <c r="B8" s="67" t="inlineStr">
        <is>
          <t>仮置き</t>
        </is>
      </c>
      <c r="C8" s="68" t="inlineStr">
        <is>
          <t>仮定を置いて進められている。確定時に数値が動くため再算定と差替えが生じる。差替えの範囲は節の単位にとどまる。</t>
        </is>
      </c>
      <c r="D8" s="68" t="n"/>
      <c r="E8" s="68" t="n"/>
      <c r="F8" s="68" t="n"/>
      <c r="G8" s="68" t="n"/>
      <c r="H8" s="68" t="n"/>
    </row>
    <row r="9" ht="26" customHeight="1">
      <c r="A9" s="67" t="n">
        <v>3</v>
      </c>
      <c r="B9" s="67" t="inlineStr">
        <is>
          <t>記載待ち</t>
        </is>
      </c>
      <c r="C9" s="68" t="inlineStr">
        <is>
          <t>記載そのものは済んでいる。回答により文言・施策の内容が変わる。数値は動かない。</t>
        </is>
      </c>
      <c r="D9" s="68" t="n"/>
      <c r="E9" s="68" t="n"/>
      <c r="F9" s="68" t="n"/>
      <c r="G9" s="68" t="n"/>
      <c r="H9" s="68" t="n"/>
    </row>
    <row r="10" ht="26" customHeight="1">
      <c r="A10" s="67" t="n">
        <v>4</v>
      </c>
      <c r="B10" s="67" t="inlineStr">
        <is>
          <t>工程外</t>
        </is>
      </c>
      <c r="C10" s="68" t="inlineStr">
        <is>
          <t>当方の作業は止まらない。村の内部手続または日程の決定を待つもの。</t>
        </is>
      </c>
      <c r="D10" s="68" t="n"/>
      <c r="E10" s="68" t="n"/>
      <c r="F10" s="68" t="n"/>
      <c r="G10" s="68" t="n"/>
      <c r="H10" s="68" t="n"/>
    </row>
    <row r="11" ht="26" customHeight="1">
      <c r="A11" s="67" t="n">
        <v>5</v>
      </c>
      <c r="B11" s="67" t="inlineStr">
        <is>
          <t>対象外</t>
        </is>
      </c>
      <c r="C11" s="68" t="inlineStr">
        <is>
          <t>調査工程の項目。調査票は他メンバーが作成しているため当方では作業を進めない。</t>
        </is>
      </c>
      <c r="D11" s="68" t="n"/>
      <c r="E11" s="68" t="n"/>
      <c r="F11" s="68" t="n"/>
      <c r="G11" s="68" t="n"/>
      <c r="H11" s="68" t="n"/>
    </row>
    <row r="13" ht="20" customHeight="1">
      <c r="A13" s="38" t="inlineStr">
        <is>
          <t>■ 未解決の確認事項 187件の内訳（影響度 × 優先度）</t>
        </is>
      </c>
    </row>
    <row r="14" ht="22" customHeight="1">
      <c r="A14" s="3" t="inlineStr">
        <is>
          <t>影響度</t>
        </is>
      </c>
      <c r="B14" s="3" t="inlineStr">
        <is>
          <t>呼び方</t>
        </is>
      </c>
      <c r="C14" s="3" t="inlineStr">
        <is>
          <t>優先度S</t>
        </is>
      </c>
      <c r="D14" s="3" t="inlineStr">
        <is>
          <t>優先度A</t>
        </is>
      </c>
      <c r="E14" s="3" t="inlineStr">
        <is>
          <t>優先度B</t>
        </is>
      </c>
      <c r="F14" s="3" t="inlineStr">
        <is>
          <t>優先度C</t>
        </is>
      </c>
      <c r="G14" s="3" t="inlineStr">
        <is>
          <t>小計</t>
        </is>
      </c>
      <c r="H14" s="3" t="inlineStr">
        <is>
          <t>備考</t>
        </is>
      </c>
    </row>
    <row r="15" ht="22" customHeight="1">
      <c r="A15" s="69" t="n">
        <v>0</v>
      </c>
      <c r="B15" s="70" t="inlineStr">
        <is>
          <t>社内</t>
        </is>
      </c>
      <c r="C15" s="69" t="n">
        <v>0</v>
      </c>
      <c r="D15" s="69" t="n">
        <v>2</v>
      </c>
      <c r="E15" s="69" t="n">
        <v>0</v>
      </c>
      <c r="F15" s="69" t="n">
        <v>0</v>
      </c>
      <c r="G15" s="71" t="n">
        <v>2</v>
      </c>
      <c r="H15" s="72" t="inlineStr">
        <is>
          <t>当方で確かめれば解消する。ペンディングとして数えない。</t>
        </is>
      </c>
    </row>
    <row r="16" ht="22" customHeight="1">
      <c r="A16" s="73" t="n">
        <v>1</v>
      </c>
      <c r="B16" s="74" t="inlineStr">
        <is>
          <t>停止</t>
        </is>
      </c>
      <c r="C16" s="73" t="n">
        <v>4</v>
      </c>
      <c r="D16" s="73" t="n">
        <v>2</v>
      </c>
      <c r="E16" s="73" t="n">
        <v>0</v>
      </c>
      <c r="F16" s="73" t="n">
        <v>0</v>
      </c>
      <c r="G16" s="75" t="n">
        <v>6</v>
      </c>
      <c r="H16" s="76" t="inlineStr">
        <is>
          <t>回答がないと成果品の数値が確定しない。最優先で照会する。</t>
        </is>
      </c>
    </row>
    <row r="17" ht="22" customHeight="1">
      <c r="A17" s="77" t="n">
        <v>2</v>
      </c>
      <c r="B17" s="78" t="inlineStr">
        <is>
          <t>仮置き</t>
        </is>
      </c>
      <c r="C17" s="77" t="n">
        <v>3</v>
      </c>
      <c r="D17" s="77" t="n">
        <v>28</v>
      </c>
      <c r="E17" s="77" t="n">
        <v>0</v>
      </c>
      <c r="F17" s="77" t="n">
        <v>0</v>
      </c>
      <c r="G17" s="79" t="n">
        <v>31</v>
      </c>
      <c r="H17" s="80" t="inlineStr">
        <is>
          <t>仮定を置いて進めている。確定時に再算定と差替えが生じる。</t>
        </is>
      </c>
    </row>
    <row r="18" ht="22" customHeight="1">
      <c r="A18" s="69" t="n">
        <v>3</v>
      </c>
      <c r="B18" s="70" t="inlineStr">
        <is>
          <t>記載待ち</t>
        </is>
      </c>
      <c r="C18" s="69" t="n">
        <v>1</v>
      </c>
      <c r="D18" s="69" t="n">
        <v>35</v>
      </c>
      <c r="E18" s="69" t="n">
        <v>0</v>
      </c>
      <c r="F18" s="69" t="n">
        <v>0</v>
      </c>
      <c r="G18" s="71" t="n">
        <v>36</v>
      </c>
      <c r="H18" s="72" t="inlineStr">
        <is>
          <t>記載は済んでいる。回答により文言・施策の内容が変わる。</t>
        </is>
      </c>
    </row>
    <row r="19" ht="22" customHeight="1">
      <c r="A19" s="69" t="n">
        <v>4</v>
      </c>
      <c r="B19" s="70" t="inlineStr">
        <is>
          <t>工程外</t>
        </is>
      </c>
      <c r="C19" s="69" t="n">
        <v>2</v>
      </c>
      <c r="D19" s="69" t="n">
        <v>8</v>
      </c>
      <c r="E19" s="69" t="n">
        <v>0</v>
      </c>
      <c r="F19" s="69" t="n">
        <v>0</v>
      </c>
      <c r="G19" s="71" t="n">
        <v>10</v>
      </c>
      <c r="H19" s="72" t="inlineStr">
        <is>
          <t>当方の作業は止まらない。村の内部手続または日程の決定を待つ。</t>
        </is>
      </c>
    </row>
    <row r="20" ht="22" customHeight="1">
      <c r="A20" s="81" t="n">
        <v>5</v>
      </c>
      <c r="B20" s="82" t="inlineStr">
        <is>
          <t>対象外</t>
        </is>
      </c>
      <c r="C20" s="81" t="n">
        <v>22</v>
      </c>
      <c r="D20" s="81" t="n">
        <v>5</v>
      </c>
      <c r="E20" s="81" t="n">
        <v>4</v>
      </c>
      <c r="F20" s="81" t="n">
        <v>0</v>
      </c>
      <c r="G20" s="83" t="n">
        <v>31</v>
      </c>
      <c r="H20" s="84" t="inlineStr">
        <is>
          <t>調査票は他メンバーが作成しているため当方では作業しない。</t>
        </is>
      </c>
    </row>
    <row r="21" ht="22" customHeight="1">
      <c r="A21" s="69" t="inlineStr">
        <is>
          <t>―</t>
        </is>
      </c>
      <c r="B21" s="70" t="inlineStr">
        <is>
          <t>判定未了</t>
        </is>
      </c>
      <c r="C21" s="69" t="n">
        <v>0</v>
      </c>
      <c r="D21" s="69" t="n">
        <v>0</v>
      </c>
      <c r="E21" s="69" t="n">
        <v>89</v>
      </c>
      <c r="F21" s="69" t="n">
        <v>2</v>
      </c>
      <c r="G21" s="71" t="n">
        <v>91</v>
      </c>
      <c r="H21" s="72" t="inlineStr">
        <is>
          <t>優先度B・Cのうち計画策定側のもの。第2回策定委員会以降の照会を予定しており影響度は判定していない。ただしこのうち進捗0.90以上のWBSを止めているものは下段の見直し候補に掲げた。</t>
        </is>
      </c>
    </row>
    <row r="22">
      <c r="A22" s="85" t="inlineStr"/>
      <c r="B22" s="85" t="inlineStr">
        <is>
          <t>合計</t>
        </is>
      </c>
      <c r="C22" s="85" t="n">
        <v>32</v>
      </c>
      <c r="D22" s="85" t="n">
        <v>80</v>
      </c>
      <c r="E22" s="85" t="n">
        <v>93</v>
      </c>
      <c r="F22" s="85" t="n">
        <v>2</v>
      </c>
      <c r="G22" s="85" t="n">
        <v>207</v>
      </c>
      <c r="H22" s="85" t="inlineStr"/>
    </row>
    <row r="24" ht="20" customHeight="1">
      <c r="A24" s="38" t="inlineStr">
        <is>
          <t>■ 影響度1（停止）・2（仮置き）の明細　— 村への照会はこの順で起案する</t>
        </is>
      </c>
    </row>
    <row r="25" ht="30" customHeight="1">
      <c r="A25" s="3" t="inlineStr">
        <is>
          <t>影響度</t>
        </is>
      </c>
      <c r="B25" s="3" t="inlineStr">
        <is>
          <t>No.</t>
        </is>
      </c>
      <c r="C25" s="3" t="inlineStr">
        <is>
          <t>優先度</t>
        </is>
      </c>
      <c r="D25" s="3" t="inlineStr">
        <is>
          <t>確認事項</t>
        </is>
      </c>
      <c r="E25" s="3" t="inlineStr">
        <is>
          <t>止まる対象</t>
        </is>
      </c>
      <c r="F25" s="3" t="inlineStr">
        <is>
          <t>当方の手当（現時点の扱い）</t>
        </is>
      </c>
      <c r="G25" s="3" t="inlineStr">
        <is>
          <t>回答が必要な時期</t>
        </is>
      </c>
      <c r="H25" s="3" t="inlineStr">
        <is>
          <t>束</t>
        </is>
      </c>
    </row>
    <row r="26" ht="52" customHeight="1">
      <c r="A26" s="86" t="n">
        <v>1</v>
      </c>
      <c r="B26" s="67" t="inlineStr">
        <is>
          <t>K-010</t>
        </is>
      </c>
      <c r="C26" s="67" t="inlineStr">
        <is>
          <t>S</t>
        </is>
      </c>
      <c r="D26" s="68" t="inlineStr">
        <is>
          <t>★【期限 令和8年10月13日18時】令和9年度以降も0で入っている6サービスを0のままとしてよいか</t>
        </is>
      </c>
      <c r="E26" s="68" t="inlineStr">
        <is>
          <t>素案 5-4・5-6／Ⅱ-56・Ⅱ-62・Ⅱ-107</t>
        </is>
      </c>
      <c r="F26" s="68" t="inlineStr">
        <is>
          <t>国の推計ワークシートを正として5-4・5-6を組み替える準備を進めている。6サービス（介護予防短期入所生活介護・訪問入浴介護・短期入所療養介護（老健）・特定福祉用具購入費・住宅改修費・地域密着型通所介護）が0のままでは、実績のあるサービスの見込量を0と掲げることになり、計画として成り立たない。村が修正する場合は当方の算定（素案5-4の現行値）を代替案として示せる。</t>
        </is>
      </c>
      <c r="G26" s="68" t="inlineStr">
        <is>
          <t>令和8年10月13日（火）18時（国の集計の提出期限。厳守）</t>
        </is>
      </c>
      <c r="H26" s="87" t="inlineStr">
        <is>
          <t>束1</t>
        </is>
      </c>
    </row>
    <row r="27" ht="52" customHeight="1">
      <c r="A27" s="86" t="n">
        <v>1</v>
      </c>
      <c r="B27" s="67" t="inlineStr">
        <is>
          <t>K-129</t>
        </is>
      </c>
      <c r="C27" s="67" t="inlineStr">
        <is>
          <t>S</t>
        </is>
      </c>
      <c r="D27" s="68" t="inlineStr">
        <is>
          <t>★ニーズ調査の対象者882人に対応する要介護認定データ（認定の有無・要介護度）</t>
        </is>
      </c>
      <c r="E27" s="68" t="inlineStr">
        <is>
          <t>資料3の3-3・3-4・3-6／Ⅰ-37・Ⅰ-38</t>
        </is>
      </c>
      <c r="F27" s="68" t="inlineStr">
        <is>
          <t>回答データの集計そのものは進むが、認定状況を軸にしたクロス集計は作れない。資料3の3-3（元気な軽度者）・3-4（生活機能からみた4つの層）・3-6（担い手の可能性）がこれに当たる。3-6は第10期に共助・互助の仕組みをどの規模で構想できるかを示す表であり、基本理念・基本目標のご判断の材料になる（資料8-4）。後から認定状況を付けてクロスをやり直すことはできるが手戻りになる。</t>
        </is>
      </c>
      <c r="G27" s="68" t="inlineStr">
        <is>
          <t>10月中旬（第2回策定委員会の資料作成に入る前）</t>
        </is>
      </c>
      <c r="H27" s="87" t="inlineStr">
        <is>
          <t>束8</t>
        </is>
      </c>
    </row>
    <row r="28" ht="52" customHeight="1">
      <c r="A28" s="86" t="n">
        <v>1</v>
      </c>
      <c r="B28" s="67" t="inlineStr">
        <is>
          <t>K-133</t>
        </is>
      </c>
      <c r="C28" s="67" t="inlineStr">
        <is>
          <t>S</t>
        </is>
      </c>
      <c r="D28" s="68" t="inlineStr">
        <is>
          <t>★要介護認定データの提供時期と項目（要介護度・認定日・サービス利用状況）および総合事業対象者（基本チェックリスト該当者）の情報</t>
        </is>
      </c>
      <c r="E28" s="68" t="inlineStr">
        <is>
          <t>資料3の3-3・3-4・3-6／Ⅰ-37</t>
        </is>
      </c>
      <c r="F28" s="68" t="inlineStr">
        <is>
          <t>上記と一体のもの。集計軸の認定状況は「認定なし／事業対象者／要支援1・2／要介護1以上」の4区分であり、要介護認定データだけでは事業対象者を判別できない。総合事業の対象者（基本チェックリスト該当者）の情報もあわせて要る。</t>
        </is>
      </c>
      <c r="G28" s="68" t="inlineStr">
        <is>
          <t>10月中旬（同上）</t>
        </is>
      </c>
      <c r="H28" s="87" t="inlineStr">
        <is>
          <t>束8</t>
        </is>
      </c>
    </row>
    <row r="29" ht="52" customHeight="1">
      <c r="A29" s="86" t="n">
        <v>1</v>
      </c>
      <c r="B29" s="67" t="inlineStr">
        <is>
          <t>K-159</t>
        </is>
      </c>
      <c r="C29" s="67" t="inlineStr">
        <is>
          <t>A</t>
        </is>
      </c>
      <c r="D29" s="68" t="inlineStr">
        <is>
          <t>養護老人ホーム措置・軽費老人ホーム・老人クラブの実績は見える化に系列が一切ない</t>
        </is>
      </c>
      <c r="E29" s="68" t="inlineStr">
        <is>
          <t>素案 4-30・5-4(8)／Ⅱ-53・Ⅱ-54</t>
        </is>
      </c>
      <c r="F29" s="68" t="inlineStr">
        <is>
          <t>養護老人ホーム措置・軽費老人ホーム・老人クラブは見える化に系列が一切なく、老人福祉事業の量の目標（Ⅱ-110）が立てられない。村提供のみが情報源。★10/12 影響度を2から1に上げた。老人福祉法第20条の8第2項が定めることを求めている量であり、実績がないまま目標の量を置くことはできない。仮定で代替できない。</t>
        </is>
      </c>
      <c r="G29" s="68" t="inlineStr">
        <is>
          <t>10月下旬</t>
        </is>
      </c>
      <c r="H29" s="87" t="inlineStr">
        <is>
          <t>束2</t>
        </is>
      </c>
    </row>
    <row r="30" ht="52" customHeight="1">
      <c r="A30" s="86" t="n">
        <v>1</v>
      </c>
      <c r="B30" s="67" t="inlineStr">
        <is>
          <t>K-202</t>
        </is>
      </c>
      <c r="C30" s="67" t="inlineStr">
        <is>
          <t>A</t>
        </is>
      </c>
      <c r="D30" s="68" t="inlineStr">
        <is>
          <t>★法が定めることを求めている2つの量が空欄である（老人福祉事業の量19事業・地域支援事業の量10事業）</t>
        </is>
      </c>
      <c r="E30" s="68" t="inlineStr">
        <is>
          <t>素案 4-6・5-5・5-12／Ⅱ-53・Ⅱ-110</t>
        </is>
      </c>
      <c r="F30" s="68" t="inlineStr">
        <is>
          <t>老人福祉法第20条の8第2項の老人福祉事業の量（20事業のうち19事業）と、介護保険法第117条第2項第2号の地域支援事業の量（19事業のうち10事業）が令和9〜11年度とも空欄である。いずれも法が計画に定めることを求めている事項であり、仮定を置いて進めることができない。令和5〜7年度の実績の受領を待つ。</t>
        </is>
      </c>
      <c r="G30" s="68" t="inlineStr">
        <is>
          <t>10月下旬</t>
        </is>
      </c>
      <c r="H30" s="87" t="inlineStr">
        <is>
          <t>束2</t>
        </is>
      </c>
    </row>
    <row r="31" ht="52" customHeight="1">
      <c r="A31" s="86" t="n">
        <v>1</v>
      </c>
      <c r="B31" s="67" t="inlineStr">
        <is>
          <t>K-205</t>
        </is>
      </c>
      <c r="C31" s="67" t="inlineStr">
        <is>
          <t>S</t>
        </is>
      </c>
      <c r="D31" s="68" t="inlineStr">
        <is>
          <t>★令和8年法律第51号により介護保険法第117条に加わった記載事項の第10期計画への適用</t>
        </is>
      </c>
      <c r="E31" s="68" t="inlineStr">
        <is>
          <t>素案 5-11・5-5・施策4-3・施策4-6・1-6／Ⅱ-72・Ⅱ-110・Ⅱ-113</t>
        </is>
      </c>
      <c r="F31" s="68" t="inlineStr">
        <is>
          <t>10/15 起票。条文単位の対照（scripts/hotei_kisai.py・点検78）により、令和9年4月1日施行の記載事項7つが本計画に書かれていないことが分かった。うち中長期的な推計と中長期的な観点からの施策の2つは義務であり、書かなければ計画が法の求めを満たさない。要綱により書ける範囲は当方で加えるが、号の番号は新旧対照条文を待つ。加えると紙面が許容110頁を超えるため、削減案を1つ増やすか許容頁数のご判断をいただく必要がある。</t>
        </is>
      </c>
      <c r="G31" s="68" t="inlineStr">
        <is>
          <t>10月下旬（第2回策定委員会の資料作成前）</t>
        </is>
      </c>
      <c r="H31" s="87" t="inlineStr">
        <is>
          <t>束2</t>
        </is>
      </c>
    </row>
    <row r="32" ht="52" customHeight="1">
      <c r="A32" s="88" t="n">
        <v>2</v>
      </c>
      <c r="B32" s="67" t="inlineStr">
        <is>
          <t>K-011</t>
        </is>
      </c>
      <c r="C32" s="67" t="inlineStr">
        <is>
          <t>S</t>
        </is>
      </c>
      <c r="D32" s="68" t="inlineStr">
        <is>
          <t>★準備基金の取崩額を40,000,000円（残高の94.9%）とすることの可否（第11期が＋32.4%になる関係）</t>
        </is>
      </c>
      <c r="E32" s="68" t="inlineStr">
        <is>
          <t>素案 5-7・5-11／資料6／Ⅱ-63・Ⅱ-64・Ⅱ-107</t>
        </is>
      </c>
      <c r="F32" s="68" t="inlineStr">
        <is>
          <t>国の推計ワークシートの前提（取崩40,000千円・保険料5,513.72円）を正として置き、取崩24,000千円・取崩なしを併記する案で資料6を組む。確定すれば併記を1案に絞る。</t>
        </is>
      </c>
      <c r="G32" s="68" t="inlineStr">
        <is>
          <t>11月上旬（第2回策定委員会資料の確定前）</t>
        </is>
      </c>
      <c r="H32" s="87" t="inlineStr">
        <is>
          <t>束1</t>
        </is>
      </c>
    </row>
    <row r="33" ht="52" customHeight="1">
      <c r="A33" s="88" t="n">
        <v>2</v>
      </c>
      <c r="B33" s="67" t="inlineStr">
        <is>
          <t>K-012</t>
        </is>
      </c>
      <c r="C33" s="67" t="inlineStr">
        <is>
          <t>A</t>
        </is>
      </c>
      <c r="D33" s="68" t="inlineStr">
        <is>
          <t>★条例上の保険料基準額の百円未満の処理（第9期は切捨てと見られる）</t>
        </is>
      </c>
      <c r="E33" s="68" t="inlineStr">
        <is>
          <t>素案 5-7・図5-2／資料6 6-3b／Ⅱ-64・Ⅱ-107</t>
        </is>
      </c>
      <c r="F33" s="68" t="inlineStr">
        <is>
          <t>第9期の実例（算定上6,760.76円に対し条例6,700円）に合わせて切捨てで示した。四捨五入とした場合、基金の3案のうちB案（24,000千円取崩）は第10期6,000円・第11期6,800円となり、切捨て（5,900円・6,700円）と100円動く。条例の文言を確かめるまでは切捨てで置き、確認後に確定する。</t>
        </is>
      </c>
      <c r="G33" s="68" t="inlineStr">
        <is>
          <t>11月上旬（第2回策定委員会まで）</t>
        </is>
      </c>
      <c r="H33" s="87" t="inlineStr">
        <is>
          <t>束1</t>
        </is>
      </c>
    </row>
    <row r="34" ht="52" customHeight="1">
      <c r="A34" s="88" t="n">
        <v>2</v>
      </c>
      <c r="B34" s="67" t="inlineStr">
        <is>
          <t>K-013</t>
        </is>
      </c>
      <c r="C34" s="67" t="inlineStr">
        <is>
          <t>A</t>
        </is>
      </c>
      <c r="D34" s="68" t="inlineStr">
        <is>
          <t>★第1号被保険者数の前期・後期の内訳が国の様式（3区分）と素案5-2（2区分）で食い違う</t>
        </is>
      </c>
      <c r="E34" s="68" t="inlineStr">
        <is>
          <t>素案 2-2・5-2・5-3／Ⅱ-59・Ⅱ-56</t>
        </is>
      </c>
      <c r="F34" s="68" t="inlineStr">
        <is>
          <t>10/7 に素案5-2を国の様式（3区分。前期444／425／405、後期560／575／589）に書き換え、2-2の「後期高齢者は令和12年の551人まで増加」を602人に直した。当方のB案の内訳は検算として注記に残した。併記の形でよいかのご確認を待つ。</t>
        </is>
      </c>
      <c r="G34" s="68" t="inlineStr">
        <is>
          <t>11月上旬（第2回策定委員会まで）</t>
        </is>
      </c>
      <c r="H34" s="87" t="inlineStr">
        <is>
          <t>束1</t>
        </is>
      </c>
    </row>
    <row r="35" ht="52" customHeight="1">
      <c r="A35" s="88" t="n">
        <v>2</v>
      </c>
      <c r="B35" s="67" t="inlineStr">
        <is>
          <t>K-014</t>
        </is>
      </c>
      <c r="C35" s="67" t="inlineStr">
        <is>
          <t>A</t>
        </is>
      </c>
      <c r="D35" s="68" t="inlineStr">
        <is>
          <t>★認定者数が国の推計（3か年計629人）と当方の算定（651人）で3.4%食い違う</t>
        </is>
      </c>
      <c r="E35" s="68" t="inlineStr">
        <is>
          <t>素案 5-3・5-4／Ⅱ-56・Ⅱ-59</t>
        </is>
      </c>
      <c r="F35" s="68" t="inlineStr">
        <is>
          <t>10/7 に素案5-3を国の値（208／211／210）に書き換え、当方の算定（214／217／220）を検算として併記した。差の原因は認定率の置き方であることを本文に書いた。併記の形でよいかのご確認を待つ。</t>
        </is>
      </c>
      <c r="G35" s="68" t="inlineStr">
        <is>
          <t>11月上旬（第2回策定委員会まで）</t>
        </is>
      </c>
      <c r="H35" s="87" t="inlineStr">
        <is>
          <t>束1</t>
        </is>
      </c>
    </row>
    <row r="36" ht="52" customHeight="1">
      <c r="A36" s="88" t="n">
        <v>2</v>
      </c>
      <c r="B36" s="67" t="inlineStr">
        <is>
          <t>K-015</t>
        </is>
      </c>
      <c r="C36" s="67" t="inlineStr">
        <is>
          <t>A</t>
        </is>
      </c>
      <c r="D36" s="68" t="inlineStr">
        <is>
          <t>★後期高齢者加入割合補正係数（F）の算出方法（当方の復元が国の値と一致しない）</t>
        </is>
      </c>
      <c r="E36" s="68" t="inlineStr">
        <is>
          <t>素案 5-7・5-11／Ⅱ-62・Ⅱ-64・Ⅱ-107</t>
        </is>
      </c>
      <c r="F36" s="68" t="inlineStr">
        <is>
          <t>国の値を用いて5-7・5-11を記載し、当方の復元が一致しないことを5-11の注記と5-12に明記した。Fは0.1の違いで月額約250円動くため、算出方法が確かめられないと中長期の保険料の形（第12期8,281円・第14期7,736円と上下する）を説明できない。</t>
        </is>
      </c>
      <c r="G36" s="68" t="inlineStr">
        <is>
          <t>11月上旬（第2回策定委員会まで）</t>
        </is>
      </c>
      <c r="H36" s="87" t="inlineStr">
        <is>
          <t>束1</t>
        </is>
      </c>
    </row>
    <row r="37" ht="52" customHeight="1">
      <c r="A37" s="88" t="n">
        <v>2</v>
      </c>
      <c r="B37" s="67" t="inlineStr">
        <is>
          <t>K-016</t>
        </is>
      </c>
      <c r="C37" s="67" t="inlineStr">
        <is>
          <t>A</t>
        </is>
      </c>
      <c r="D37" s="68" t="inlineStr">
        <is>
          <t>★調整交付金見込交付割合5.36／5.03／4.67%の出所（県の指示値か村の入力値か）</t>
        </is>
      </c>
      <c r="E37" s="68" t="inlineStr">
        <is>
          <t>素案 5-7(3)・5-9／Ⅱ-62・Ⅱ-64</t>
        </is>
      </c>
      <c r="F37" s="68" t="inlineStr">
        <is>
          <t>国の値（5.36／5.03／4.67%）を正として5-7を書き換える。当方が復元した4.10〜4.32%との差（1.0ポイント超＝月額約260円）は、出所が分かれば説明できる。</t>
        </is>
      </c>
      <c r="G37" s="68" t="inlineStr">
        <is>
          <t>10月下旬</t>
        </is>
      </c>
      <c r="H37" s="87" t="inlineStr">
        <is>
          <t>束1</t>
        </is>
      </c>
    </row>
    <row r="38" ht="52" customHeight="1">
      <c r="A38" s="88" t="n">
        <v>2</v>
      </c>
      <c r="B38" s="67" t="inlineStr">
        <is>
          <t>K-017</t>
        </is>
      </c>
      <c r="C38" s="67" t="inlineStr">
        <is>
          <t>A</t>
        </is>
      </c>
      <c r="D38" s="68" t="inlineStr">
        <is>
          <t>★地域支援事業費が国の推計（3か年147,654千円）と当方の算定（119,658千円）で23.4%食い違う</t>
        </is>
      </c>
      <c r="E38" s="68" t="inlineStr">
        <is>
          <t>素案 5-6(3)・5-7／Ⅱ-55・Ⅱ-56・Ⅱ-106</t>
        </is>
      </c>
      <c r="F38" s="68" t="inlineStr">
        <is>
          <t>国の値（47,686／49,218／50,751千円）を正として5-6を書き換える。伸びの根拠が分かるまでは「国の推計ワークシートの値による」と注記する。</t>
        </is>
      </c>
      <c r="G38" s="68" t="inlineStr">
        <is>
          <t>10月下旬</t>
        </is>
      </c>
      <c r="H38" s="87" t="inlineStr">
        <is>
          <t>束2</t>
        </is>
      </c>
    </row>
    <row r="39" ht="52" customHeight="1">
      <c r="A39" s="88" t="n">
        <v>2</v>
      </c>
      <c r="B39" s="67" t="inlineStr">
        <is>
          <t>K-018</t>
        </is>
      </c>
      <c r="C39" s="67" t="inlineStr">
        <is>
          <t>A</t>
        </is>
      </c>
      <c r="D39" s="68" t="inlineStr">
        <is>
          <t>★特定地域居宅サービス等事業・介護情報利活用事業が0で入っていることの扱い</t>
        </is>
      </c>
      <c r="E39" s="68" t="inlineStr">
        <is>
          <t>素案 5-5・5-6(3)・施策3-1／Ⅱ-56・Ⅱ-67・Ⅱ-106</t>
        </is>
      </c>
      <c r="F39" s="68" t="inlineStr">
        <is>
          <t>0のまま（取り組まない）として記載し、中山間・人口減少地域の指定の意向とあわせて「第10期中に検討する」とする案を用意する。</t>
        </is>
      </c>
      <c r="G39" s="68" t="inlineStr">
        <is>
          <t>11月上旬（第2回策定委員会まで）</t>
        </is>
      </c>
      <c r="H39" s="87" t="inlineStr">
        <is>
          <t>束2</t>
        </is>
      </c>
    </row>
    <row r="40" ht="52" customHeight="1">
      <c r="A40" s="88" t="n">
        <v>2</v>
      </c>
      <c r="B40" s="67" t="inlineStr">
        <is>
          <t>K-022</t>
        </is>
      </c>
      <c r="C40" s="67" t="inlineStr">
        <is>
          <t>A</t>
        </is>
      </c>
      <c r="D40" s="68" t="inlineStr">
        <is>
          <t>通いの場の参加者281人は実人数か延べ人数か（基準値の置き方）</t>
        </is>
      </c>
      <c r="E40" s="68" t="inlineStr">
        <is>
          <t>素案 2-6・5-5(1)・第4章 4-2／Ⅱ-65</t>
        </is>
      </c>
      <c r="F40" s="68" t="inlineStr">
        <is>
          <t>参加率を27.8%（281人÷1,009人）で算定している。281人が延べ人数であれば実人数はこれより少なく、活動指標の基準値が下がる。</t>
        </is>
      </c>
      <c r="G40" s="68" t="inlineStr">
        <is>
          <t>10月中旬</t>
        </is>
      </c>
      <c r="H40" s="87" t="inlineStr">
        <is>
          <t>束3</t>
        </is>
      </c>
    </row>
    <row r="41" ht="52" customHeight="1">
      <c r="A41" s="88" t="n">
        <v>2</v>
      </c>
      <c r="B41" s="67" t="inlineStr">
        <is>
          <t>K-047</t>
        </is>
      </c>
      <c r="C41" s="67" t="inlineStr">
        <is>
          <t>A</t>
        </is>
      </c>
      <c r="D41" s="68" t="inlineStr">
        <is>
          <t>地域支援事業費・総合事業費の決算の複数年の推移（可能な範囲で5か年以上）</t>
        </is>
      </c>
      <c r="E41" s="68" t="inlineStr">
        <is>
          <t>素案 5-6(3)／Ⅱ-55・Ⅱ-56・Ⅱ-106</t>
        </is>
      </c>
      <c r="F41" s="68" t="inlineStr">
        <is>
          <t>国の推計ワークシートの値を正として5-6を書き換える。据え置きが外れたため、決算の推移は伸びの根拠の裏づけとして用いる。</t>
        </is>
      </c>
      <c r="G41" s="68" t="inlineStr">
        <is>
          <t>10月下旬</t>
        </is>
      </c>
      <c r="H41" s="87" t="inlineStr">
        <is>
          <t>束2</t>
        </is>
      </c>
    </row>
    <row r="42" ht="52" customHeight="1">
      <c r="A42" s="88" t="n">
        <v>2</v>
      </c>
      <c r="B42" s="67" t="inlineStr">
        <is>
          <t>K-083</t>
        </is>
      </c>
      <c r="C42" s="67" t="inlineStr">
        <is>
          <t>A</t>
        </is>
      </c>
      <c r="D42" s="68" t="inlineStr">
        <is>
          <t>在宅介護実態調査の集計設計（要介護度3区分×介護者勤務形態3区分のセル数）</t>
        </is>
      </c>
      <c r="E42" s="68" t="inlineStr">
        <is>
          <t>資料3／Ⅰ-45</t>
        </is>
      </c>
      <c r="F42" s="68" t="inlineStr">
        <is>
          <t>回収が50〜60件程度と見込まれるため、該当数が10未満の区分は統合して示す（doc16 §6）。区分の取り方が変わると表の形が変わる。</t>
        </is>
      </c>
      <c r="G42" s="68" t="inlineStr">
        <is>
          <t>10月中旬（集計の実行前）</t>
        </is>
      </c>
      <c r="H42" s="87" t="inlineStr">
        <is>
          <t>束8</t>
        </is>
      </c>
    </row>
    <row r="43" ht="52" customHeight="1">
      <c r="A43" s="88" t="n">
        <v>2</v>
      </c>
      <c r="B43" s="67" t="inlineStr">
        <is>
          <t>K-085</t>
        </is>
      </c>
      <c r="C43" s="67" t="inlineStr">
        <is>
          <t>A</t>
        </is>
      </c>
      <c r="D43" s="68" t="inlineStr">
        <is>
          <t>第9期計画の本文（サービス別見込量の表を含む全体）</t>
        </is>
      </c>
      <c r="E43" s="68" t="inlineStr">
        <is>
          <t>素案 2-9／Ⅱ-53・Ⅱ-55</t>
        </is>
      </c>
      <c r="F43" s="68" t="inlineStr">
        <is>
          <t>第9期のサービス別見込量は概要版と復元値で代替している。本文があれば復元の当否を確かめられる。</t>
        </is>
      </c>
      <c r="G43" s="68" t="inlineStr">
        <is>
          <t>10月中旬</t>
        </is>
      </c>
      <c r="H43" s="87" t="inlineStr">
        <is>
          <t>束2</t>
        </is>
      </c>
    </row>
    <row r="44" ht="52" customHeight="1">
      <c r="A44" s="88" t="n">
        <v>2</v>
      </c>
      <c r="B44" s="67" t="inlineStr">
        <is>
          <t>K-086</t>
        </is>
      </c>
      <c r="C44" s="67" t="inlineStr">
        <is>
          <t>A</t>
        </is>
      </c>
      <c r="D44" s="68" t="inlineStr">
        <is>
          <t>中山間・人口減少地域（特定地域）の指定を受ける意向</t>
        </is>
      </c>
      <c r="E44" s="68" t="inlineStr">
        <is>
          <t>素案 1-8(3)・5-4(4)／Ⅱ-56・Ⅱ-67</t>
        </is>
      </c>
      <c r="F44" s="68" t="inlineStr">
        <is>
          <t>中山間・人口減少地域（特定地域）の該当を素案1-8(3)に記載している。指定を受ける意向が定まらないと5-4(4)の仮置きを外せない。</t>
        </is>
      </c>
      <c r="G44" s="68" t="inlineStr">
        <is>
          <t>10月中旬</t>
        </is>
      </c>
      <c r="H44" s="87" t="inlineStr">
        <is>
          <t>束2</t>
        </is>
      </c>
    </row>
    <row r="45" ht="52" customHeight="1">
      <c r="A45" s="88" t="n">
        <v>2</v>
      </c>
      <c r="B45" s="67" t="inlineStr">
        <is>
          <t>K-118</t>
        </is>
      </c>
      <c r="C45" s="67" t="inlineStr">
        <is>
          <t>S</t>
        </is>
      </c>
      <c r="D45" s="68" t="inlineStr">
        <is>
          <t>★ICFを用いたクロス分析の具体的な期待像（軸・アウトプットのイメージ）</t>
        </is>
      </c>
      <c r="E45" s="68" t="inlineStr">
        <is>
          <t>資料3／Ⅰ-95</t>
        </is>
      </c>
      <c r="F45" s="68" t="inlineStr">
        <is>
          <t>当方の設計（ICFの構成要素によるクロス分析）で進めている。期待像が違うと軸の取り方が変わり、クロス表を組み直すことになる。</t>
        </is>
      </c>
      <c r="G45" s="68" t="inlineStr">
        <is>
          <t>10月中旬（集計の実行前）</t>
        </is>
      </c>
      <c r="H45" s="87" t="inlineStr">
        <is>
          <t>束8</t>
        </is>
      </c>
    </row>
    <row r="46" ht="52" customHeight="1">
      <c r="A46" s="88" t="n">
        <v>2</v>
      </c>
      <c r="B46" s="67" t="inlineStr">
        <is>
          <t>K-122</t>
        </is>
      </c>
      <c r="C46" s="67" t="inlineStr">
        <is>
          <t>A</t>
        </is>
      </c>
      <c r="D46" s="68" t="inlineStr">
        <is>
          <t>★令和9年度介護報酬改定への対応（現行単価で試算し単価確定後に補正する方針の、補正時期と成果品への反映方法）</t>
        </is>
      </c>
      <c r="E46" s="68" t="inlineStr">
        <is>
          <t>素案 5-4(10)／Ⅱ-62</t>
        </is>
      </c>
      <c r="F46" s="68" t="inlineStr">
        <is>
          <t>改定なしとして単価を令和5〜7年度の3か年平均で固定している。補正の時期と成果品への反映方法が決まらないと、改定率の告示後の作業量が見積もれない。</t>
        </is>
      </c>
      <c r="G46" s="68" t="inlineStr">
        <is>
          <t>10月中旬</t>
        </is>
      </c>
      <c r="H46" s="87" t="inlineStr">
        <is>
          <t>束1</t>
        </is>
      </c>
    </row>
    <row r="47" ht="52" customHeight="1">
      <c r="A47" s="88" t="n">
        <v>2</v>
      </c>
      <c r="B47" s="67" t="inlineStr">
        <is>
          <t>K-128</t>
        </is>
      </c>
      <c r="C47" s="67" t="inlineStr">
        <is>
          <t>A</t>
        </is>
      </c>
      <c r="D47" s="68" t="inlineStr">
        <is>
          <t>★時系列比較（第8期・第9期との対比）の対象とする設問の範囲</t>
        </is>
      </c>
      <c r="E47" s="68" t="inlineStr">
        <is>
          <t>資料3・報告書／Ⅰ-42</t>
        </is>
      </c>
      <c r="F47" s="68" t="inlineStr">
        <is>
          <t>第9期との比較が可能な設問で進めている。範囲が変わると対比の表が増減する。</t>
        </is>
      </c>
      <c r="G47" s="68" t="inlineStr">
        <is>
          <t>10月中旬</t>
        </is>
      </c>
      <c r="H47" s="87" t="inlineStr">
        <is>
          <t>束8</t>
        </is>
      </c>
    </row>
    <row r="48" ht="52" customHeight="1">
      <c r="A48" s="88" t="n">
        <v>2</v>
      </c>
      <c r="B48" s="67" t="inlineStr">
        <is>
          <t>K-131</t>
        </is>
      </c>
      <c r="C48" s="67" t="inlineStr">
        <is>
          <t>S</t>
        </is>
      </c>
      <c r="D48" s="68" t="inlineStr">
        <is>
          <t>★2つの名簿に重複して含まれる2人の扱い</t>
        </is>
      </c>
      <c r="E48" s="68" t="inlineStr">
        <is>
          <t>資料3／Ⅰ-24・Ⅰ-30・Ⅰ-36</t>
        </is>
      </c>
      <c r="F48" s="68" t="inlineStr">
        <is>
          <t>当方の案（ニーズ調査と在宅調査でそれぞれ1件として数え、認定状況×生活機能のクロスでは管理番号で名寄せする）で進めている。扱いが変わると回収件数と母数が2件動く。</t>
        </is>
      </c>
      <c r="G48" s="68" t="inlineStr">
        <is>
          <t>10月中旬（重複回答の排除を行う前）</t>
        </is>
      </c>
      <c r="H48" s="87" t="inlineStr">
        <is>
          <t>束7</t>
        </is>
      </c>
    </row>
    <row r="49" ht="52" customHeight="1">
      <c r="A49" s="88" t="n">
        <v>2</v>
      </c>
      <c r="B49" s="67" t="inlineStr">
        <is>
          <t>K-136</t>
        </is>
      </c>
      <c r="C49" s="67" t="inlineStr">
        <is>
          <t>A</t>
        </is>
      </c>
      <c r="D49" s="68" t="inlineStr">
        <is>
          <t>★リスク判定10種の該当基準（見える化システムの算出方法との突合）</t>
        </is>
      </c>
      <c r="E49" s="68" t="inlineStr">
        <is>
          <t>資料3／Ⅰ-46</t>
        </is>
      </c>
      <c r="F49" s="68" t="inlineStr">
        <is>
          <t>当方の基準（集計仕様書のR01〜R10・R99）で算出している。見える化の算出方法と違う場合、リスク該当率の値が動く。</t>
        </is>
      </c>
      <c r="G49" s="68" t="inlineStr">
        <is>
          <t>10月中旬（集計の実行前）</t>
        </is>
      </c>
      <c r="H49" s="87" t="inlineStr">
        <is>
          <t>束8</t>
        </is>
      </c>
    </row>
    <row r="50" ht="52" customHeight="1">
      <c r="A50" s="88" t="n">
        <v>2</v>
      </c>
      <c r="B50" s="67" t="inlineStr">
        <is>
          <t>K-143</t>
        </is>
      </c>
      <c r="C50" s="67" t="inlineStr">
        <is>
          <t>A</t>
        </is>
      </c>
      <c r="D50" s="68" t="inlineStr">
        <is>
          <t>保険料シミュレーションの提示案数と基金残高の見通しの示し方</t>
        </is>
      </c>
      <c r="E50" s="68" t="inlineStr">
        <is>
          <t>素案 5-7(4)／Ⅱ-64</t>
        </is>
      </c>
      <c r="F50" s="68" t="inlineStr">
        <is>
          <t>12パターン（幅1,405円）を掲げている。国の推計ワークシートが第11期7,301.29円（＋32.4%）まで出力しているため、取り崩しが第11期に跳ね返ることを国の出力で示せる。委員会に示す案数と基金残高の見通しの示し方が決まると表の構成が変わる。</t>
        </is>
      </c>
      <c r="G50" s="68" t="inlineStr">
        <is>
          <t>10月中旬（第2回策定委員会資料の確定前）</t>
        </is>
      </c>
      <c r="H50" s="87" t="inlineStr">
        <is>
          <t>束1</t>
        </is>
      </c>
    </row>
    <row r="51" ht="52" customHeight="1">
      <c r="A51" s="88" t="n">
        <v>2</v>
      </c>
      <c r="B51" s="67" t="inlineStr">
        <is>
          <t>K-163</t>
        </is>
      </c>
      <c r="C51" s="67" t="inlineStr">
        <is>
          <t>A</t>
        </is>
      </c>
      <c r="D51" s="68" t="inlineStr">
        <is>
          <t>★介護給付費財政調整交付金の算定における主要3事業の取組状況の勘案（県への照会）</t>
        </is>
      </c>
      <c r="E51" s="68" t="inlineStr">
        <is>
          <t>素案 5-7(3)・5-8(3)／Ⅱ-62・Ⅱ-64・Ⅱ-109</t>
        </is>
      </c>
      <c r="F51" s="68" t="inlineStr">
        <is>
          <t>国の推計ワークシートの見込交付割合は5.36／5.03／4.67%で、当方が復元した4.10〜4.32%を上回っていた。勘案による減額が織り込まれているようには見えないが、この値の出所が未確認であるため照会は残す。保険料への影響は0.1ポイントで月額約26円である。</t>
        </is>
      </c>
      <c r="G51" s="68" t="inlineStr">
        <is>
          <t>10月中旬</t>
        </is>
      </c>
      <c r="H51" s="87" t="inlineStr">
        <is>
          <t>束1</t>
        </is>
      </c>
    </row>
    <row r="52" ht="52" customHeight="1">
      <c r="A52" s="88" t="n">
        <v>2</v>
      </c>
      <c r="B52" s="67" t="inlineStr">
        <is>
          <t>K-164</t>
        </is>
      </c>
      <c r="C52" s="67" t="inlineStr">
        <is>
          <t>A</t>
        </is>
      </c>
      <c r="D52" s="68" t="inlineStr">
        <is>
          <t>介護SCR（標準化給付費比）データの提供</t>
        </is>
      </c>
      <c r="E52" s="68" t="inlineStr">
        <is>
          <t>素案 5-8／Ⅱ-61・Ⅱ-109</t>
        </is>
      </c>
      <c r="F52" s="68" t="inlineStr">
        <is>
          <t>介護SCR（標準化給付費比）がないため、1人あたり費用額の順位で代替している。給付適正化の目標の置き方に関わる。</t>
        </is>
      </c>
      <c r="G52" s="68" t="inlineStr">
        <is>
          <t>11月</t>
        </is>
      </c>
      <c r="H52" s="87" t="inlineStr">
        <is>
          <t>束2</t>
        </is>
      </c>
    </row>
    <row r="53" ht="52" customHeight="1">
      <c r="A53" s="88" t="n">
        <v>2</v>
      </c>
      <c r="B53" s="67" t="inlineStr">
        <is>
          <t>K-166</t>
        </is>
      </c>
      <c r="C53" s="67" t="inlineStr">
        <is>
          <t>A</t>
        </is>
      </c>
      <c r="D53" s="68" t="inlineStr">
        <is>
          <t>国の推計ワークシートが求める在宅サービス利用率の分母</t>
        </is>
      </c>
      <c r="E53" s="68" t="inlineStr">
        <is>
          <t>素案 5-4／Ⅱ-56</t>
        </is>
      </c>
      <c r="F53" s="68" t="inlineStr">
        <is>
          <t>在宅サービス利用率を認定者数ベースで算定している。国のツールが残余ベースを求める場合は換算が必要になる。K-148（社内で確認）と対になる。</t>
        </is>
      </c>
      <c r="G53" s="68" t="inlineStr">
        <is>
          <t>10月中旬</t>
        </is>
      </c>
      <c r="H53" s="87" t="inlineStr">
        <is>
          <t>束2</t>
        </is>
      </c>
    </row>
    <row r="54" ht="52" customHeight="1">
      <c r="A54" s="88" t="n">
        <v>2</v>
      </c>
      <c r="B54" s="67" t="inlineStr">
        <is>
          <t>K-173</t>
        </is>
      </c>
      <c r="C54" s="67" t="inlineStr">
        <is>
          <t>A</t>
        </is>
      </c>
      <c r="D54" s="68" t="inlineStr">
        <is>
          <t>認知症対応型共同生活介護（村内27人分）の待機者数と、村外のグループホームを利用している方の人数</t>
        </is>
      </c>
      <c r="E54" s="68" t="inlineStr">
        <is>
          <t>素案 5-4(8)／Ⅱ-56・Ⅱ-67</t>
        </is>
      </c>
      <c r="F54" s="68" t="inlineStr">
        <is>
          <t>認知症対応型共同生活介護の必要利用定員総数を現状の27人で3か年据え置いている。待機者数と村外利用者数がわかれば増床の要否を判断できる。</t>
        </is>
      </c>
      <c r="G54" s="68" t="inlineStr">
        <is>
          <t>10月下旬（第2回策定委員会の審議事項）</t>
        </is>
      </c>
      <c r="H54" s="87" t="inlineStr">
        <is>
          <t>束2</t>
        </is>
      </c>
    </row>
    <row r="55" ht="52" customHeight="1">
      <c r="A55" s="88" t="n">
        <v>2</v>
      </c>
      <c r="B55" s="67" t="inlineStr">
        <is>
          <t>K-179</t>
        </is>
      </c>
      <c r="C55" s="67" t="inlineStr">
        <is>
          <t>A</t>
        </is>
      </c>
      <c r="D55" s="68" t="inlineStr">
        <is>
          <t>居宅療養管理指導・短期入所生活介護を3か年平均と令和7年度水準のどちらで置くか</t>
        </is>
      </c>
      <c r="E55" s="68" t="inlineStr">
        <is>
          <t>素案 5-4(1)(3)／Ⅱ-56</t>
        </is>
      </c>
      <c r="F55" s="68" t="inlineStr">
        <is>
          <t>居宅療養管理指導・短期入所生活介護を3か年平均で置いている。令和7年度水準に替えると見込量と給付費が動く。</t>
        </is>
      </c>
      <c r="G55" s="68" t="inlineStr">
        <is>
          <t>10月中旬</t>
        </is>
      </c>
      <c r="H55" s="87" t="inlineStr">
        <is>
          <t>束2</t>
        </is>
      </c>
    </row>
    <row r="56" ht="52" customHeight="1">
      <c r="A56" s="88" t="n">
        <v>2</v>
      </c>
      <c r="B56" s="67" t="inlineStr">
        <is>
          <t>K-187</t>
        </is>
      </c>
      <c r="C56" s="67" t="inlineStr">
        <is>
          <t>A</t>
        </is>
      </c>
      <c r="D56" s="68" t="inlineStr">
        <is>
          <t>特定地域サービス・特定地域居宅サービス等事業を活用するかどうか</t>
        </is>
      </c>
      <c r="E56" s="68" t="inlineStr">
        <is>
          <t>素案 5-4(4)／Ⅱ-56・Ⅱ-60</t>
        </is>
      </c>
      <c r="F56" s="68" t="inlineStr">
        <is>
          <t>特定地域サービス・特定地域居宅サービス等事業を0で仮置きしている。活用するならサービス種類が増え、見込量の表の行が増える。</t>
        </is>
      </c>
      <c r="G56" s="68" t="inlineStr">
        <is>
          <t>10月中旬</t>
        </is>
      </c>
      <c r="H56" s="87" t="inlineStr">
        <is>
          <t>束2</t>
        </is>
      </c>
    </row>
    <row r="57" ht="52" customHeight="1">
      <c r="A57" s="88" t="n">
        <v>2</v>
      </c>
      <c r="B57" s="67" t="inlineStr">
        <is>
          <t>K-193</t>
        </is>
      </c>
      <c r="C57" s="67" t="inlineStr">
        <is>
          <t>A</t>
        </is>
      </c>
      <c r="D57" s="68" t="inlineStr">
        <is>
          <t>保険料の所得段階を区分する合計所得金額の基準額（82.65万円）に係る条例改正の予定</t>
        </is>
      </c>
      <c r="E57" s="68" t="inlineStr">
        <is>
          <t>素案 5-7(2)・5-10／Ⅱ-63</t>
        </is>
      </c>
      <c r="F57" s="68" t="inlineStr">
        <is>
          <t>第9期の所得段階の設定を据え置いて算定している。合計所得金額の基準額（82.65万円）に係る条例改正があれば段階の境界が動く。</t>
        </is>
      </c>
      <c r="G57" s="68" t="inlineStr">
        <is>
          <t>10月中旬</t>
        </is>
      </c>
      <c r="H57" s="87" t="inlineStr">
        <is>
          <t>束1</t>
        </is>
      </c>
    </row>
    <row r="58" ht="52" customHeight="1">
      <c r="A58" s="88" t="n">
        <v>2</v>
      </c>
      <c r="B58" s="67" t="inlineStr">
        <is>
          <t>K-194</t>
        </is>
      </c>
      <c r="C58" s="67" t="inlineStr">
        <is>
          <t>A</t>
        </is>
      </c>
      <c r="D58" s="68" t="inlineStr">
        <is>
          <t>算定上の保険料月額を条例上の基準額に置き換える方法（第9期の扱い）</t>
        </is>
      </c>
      <c r="E58" s="68" t="inlineStr">
        <is>
          <t>素案 5-7(2)／Ⅱ-63</t>
        </is>
      </c>
      <c r="F58" s="68" t="inlineStr">
        <is>
          <t>算定上の月額をそのまま掲げている。条例上の基準額への置き換え方（端数の扱い）が決まると提示額が変わる。</t>
        </is>
      </c>
      <c r="G58" s="68" t="inlineStr">
        <is>
          <t>10月中旬</t>
        </is>
      </c>
      <c r="H58" s="87" t="inlineStr">
        <is>
          <t>束1</t>
        </is>
      </c>
    </row>
    <row r="59" ht="52" customHeight="1">
      <c r="A59" s="88" t="n">
        <v>2</v>
      </c>
      <c r="B59" s="67" t="inlineStr">
        <is>
          <t>K-195</t>
        </is>
      </c>
      <c r="C59" s="67" t="inlineStr">
        <is>
          <t>A</t>
        </is>
      </c>
      <c r="D59" s="68" t="inlineStr">
        <is>
          <t>高額医療合算介護サービス費の自動償還を実施するかどうか</t>
        </is>
      </c>
      <c r="E59" s="68" t="inlineStr">
        <is>
          <t>素案 1-8(2)・5-6(2)／Ⅱ-62</t>
        </is>
      </c>
      <c r="F59" s="68" t="inlineStr">
        <is>
          <t>当方は実績が0のため0としていたが、国の推計ワークシートは3か年8,519千円（月額約65円）で見込んでいる。国の値を正として5-6を書き換える。</t>
        </is>
      </c>
      <c r="G59" s="68" t="inlineStr">
        <is>
          <t>10月下旬</t>
        </is>
      </c>
      <c r="H59" s="87" t="inlineStr">
        <is>
          <t>束1</t>
        </is>
      </c>
    </row>
    <row r="60" ht="52" customHeight="1">
      <c r="A60" s="88" t="n">
        <v>2</v>
      </c>
      <c r="B60" s="67" t="inlineStr">
        <is>
          <t>K-201</t>
        </is>
      </c>
      <c r="C60" s="67" t="inlineStr">
        <is>
          <t>A</t>
        </is>
      </c>
      <c r="D60" s="68" t="inlineStr">
        <is>
          <t>★障がい福祉と介護保険で数を揃える3つの対象（第2号被保険者・65歳到達者・適用除外施設入所者）</t>
        </is>
      </c>
      <c r="E60" s="68" t="inlineStr">
        <is>
          <t>素案 資9・5-1・5-3・4-7(2)／Ⅱ-72・Ⅱ-56・Ⅱ-62</t>
        </is>
      </c>
      <c r="F60" s="68" t="inlineStr">
        <is>
          <t>第2号被保険者は各年度2人から3人、65歳到達による移行は0、適用除外の該当者はなしとして置いて進めている。適用除外の該当者がいる場合は第1号被保険者数が減り、保険料の分母が動く。65歳到達による移行が生じる場合は、障がい側を減らし介護側を増やす形で両計画の見込量を同じ年度に動かす。いずれも差替えの範囲は5-1・5-3・5-4にとどまる。氏名は要らず、匿名の整理番号・生年月・区分・サービス・月の利用量で足りる。</t>
        </is>
      </c>
      <c r="G60" s="68" t="inlineStr">
        <is>
          <t>11月上旬（第2回策定委員会の資料作成前）</t>
        </is>
      </c>
      <c r="H60" s="87" t="inlineStr">
        <is>
          <t>束1</t>
        </is>
      </c>
    </row>
    <row r="61" ht="52" customHeight="1">
      <c r="A61" s="88" t="n">
        <v>2</v>
      </c>
      <c r="B61" s="67" t="inlineStr">
        <is>
          <t>K-203</t>
        </is>
      </c>
      <c r="C61" s="67" t="inlineStr">
        <is>
          <t>A</t>
        </is>
      </c>
      <c r="D61" s="68" t="inlineStr">
        <is>
          <t>★共生型サービスの事業所の名寄せ（障がい福祉と介護保険で同一の事業所か）</t>
        </is>
      </c>
      <c r="E61" s="68" t="inlineStr">
        <is>
          <t>素案 施策3-1・2-5・資9／Ⅱ-72・Ⅱ-54</t>
        </is>
      </c>
      <c r="F61" s="68" t="inlineStr">
        <is>
          <t>施策3-1の指標「共生型サービスについて協議した事業所数」の現状値を0か所として仮に置いている。社会福祉協議会がすでに居宅介護・生活介護を担っている場合、現状値は0ではなく、目標値（村内3か所）の立て方も変わる。差替えは施策3-1にとどまる。障がい福祉計画の整合Ｋ-5。</t>
        </is>
      </c>
      <c r="G61" s="68" t="inlineStr">
        <is>
          <t>10月下旬</t>
        </is>
      </c>
      <c r="H61" s="87" t="inlineStr">
        <is>
          <t>束2</t>
        </is>
      </c>
    </row>
    <row r="62" ht="52" customHeight="1">
      <c r="A62" s="88" t="n">
        <v>2</v>
      </c>
      <c r="B62" s="67" t="inlineStr">
        <is>
          <t>K-206</t>
        </is>
      </c>
      <c r="C62" s="67" t="inlineStr">
        <is>
          <t>A</t>
        </is>
      </c>
      <c r="D62" s="68" t="inlineStr">
        <is>
          <t>★本村の介護報酬の地域区分（級地）と、令和9年度の改定における見直しの有無</t>
        </is>
      </c>
      <c r="E62" s="68" t="inlineStr">
        <is>
          <t>素案 5-4(10)・5-12・5-7／Ⅱ-113・Ⅱ-63</t>
        </is>
      </c>
      <c r="F62" s="68" t="inlineStr">
        <is>
          <t>10/14 起票。本計画の単価は本村の給付費の実績から算出しているため、現行の地域区分は実績に織り込まれており、算定そのものは進む。級地が見直された場合は単価の趨勢や改定率とは別に単価が動くため、5-4(10)に前提として明記し、5-12に確定の条件として掲げた。ご回答がない場合は現行の地域区分のまま算定してお示しする。</t>
        </is>
      </c>
      <c r="G62" s="68" t="inlineStr">
        <is>
          <t>11月上旬（第2回策定委員会資料の確定前）</t>
        </is>
      </c>
      <c r="H62" s="87" t="inlineStr">
        <is>
          <t>束1</t>
        </is>
      </c>
    </row>
    <row r="63" ht="52" customHeight="1">
      <c r="A63" s="89" t="n">
        <v>0</v>
      </c>
      <c r="B63" s="67" t="inlineStr">
        <is>
          <t>K-158</t>
        </is>
      </c>
      <c r="C63" s="67" t="inlineStr">
        <is>
          <t>A</t>
        </is>
      </c>
      <c r="D63" s="68" t="inlineStr">
        <is>
          <t>★見える化の「将来推計」メニューで在宅サービス利用率の分母を確認する</t>
        </is>
      </c>
      <c r="E63" s="68" t="inlineStr">
        <is>
          <t>素案 5-4／Ⅱ-56</t>
        </is>
      </c>
      <c r="F63" s="68" t="inlineStr">
        <is>
          <t>★10/10 済：受領した738冊に将来推計メニューの出力はなく、10/7に受領した将来推計総括表にも推計に用いる利用率の分母は書かれていなかった。総括表から利用者数を復元して4つの分母の候補で確かめたが、推計がサービス別・要介護度別に行われているため合算の利用率は要介護度の構成で動き、特定できない（doc85）。残るのは推計ワークシート本体の受領で、K-158（国のツールが求める分母・優先度A）が引き継ぐ。</t>
        </is>
      </c>
      <c r="G63" s="68" t="inlineStr">
        <is>
          <t>当方で10月10日に実施済</t>
        </is>
      </c>
      <c r="H63" s="87" t="inlineStr">
        <is>
          <t>束2</t>
        </is>
      </c>
    </row>
    <row r="64" ht="52" customHeight="1">
      <c r="A64" s="89" t="n">
        <v>0</v>
      </c>
      <c r="B64" s="67" t="inlineStr">
        <is>
          <t>K-199</t>
        </is>
      </c>
      <c r="C64" s="67" t="inlineStr">
        <is>
          <t>A</t>
        </is>
      </c>
      <c r="D64" s="68" t="inlineStr">
        <is>
          <t>★【社内】校了版（令和8年9月9日）の調査票Wordの提供（コードブックの作り直しに必要）</t>
        </is>
      </c>
      <c r="E64" s="68" t="inlineStr">
        <is>
          <t>集計 Ⅰ-104・Ⅰ-35・Ⅰ-36</t>
        </is>
      </c>
      <c r="F64" s="68" t="inlineStr">
        <is>
          <t>論理チェック（doc25 §7・shukei_check.py）は組み終えており、ダミーデータで結果が出ることと自己試験が通ることを確かめている。ただしコードブックが令和8年9月4日版の調査票から作られているため、版が合うまで結果は暫定である（shukei_check.py は版を確かめて止まる。--暫定 で続行可）。校了版のWordを受領すればコードブックを作り直し、9月4日版の読み取りの不備7件（C01 1件・C02 5件・C03 1件）も同時に解消する。所要は半日。調査票は他メンバーの担当であり、当方では作成しない。お願いするのはWordの提供のみである。受領できないまま入力が進むと、鳴らなかった件が「誤りがない」のか「版違いで鳴らなかった」のか区別できなくなる。</t>
        </is>
      </c>
      <c r="G64" s="68" t="inlineStr">
        <is>
          <t>入力の開始前（回収期限 令和8年10月16日の前）</t>
        </is>
      </c>
      <c r="H64" s="87" t="inlineStr">
        <is>
          <t>束8</t>
        </is>
      </c>
    </row>
    <row r="66" ht="20" customHeight="1">
      <c r="A66" s="38" t="inlineStr">
        <is>
          <t>■ 照会の束　— 1通にまとめて起案する単位（未解決の確認事項を関連WBSで束ねたもの）</t>
        </is>
      </c>
    </row>
    <row r="67" ht="24" customHeight="1">
      <c r="A67" s="3" t="inlineStr">
        <is>
          <t>束</t>
        </is>
      </c>
      <c r="B67" s="3" t="inlineStr">
        <is>
          <t>名称</t>
        </is>
      </c>
      <c r="C67" s="3" t="inlineStr">
        <is>
          <t>未解決</t>
        </is>
      </c>
      <c r="D67" s="3" t="inlineStr">
        <is>
          <t>うちS</t>
        </is>
      </c>
      <c r="E67" s="3" t="inlineStr">
        <is>
          <t>うちA</t>
        </is>
      </c>
      <c r="F67" s="3" t="inlineStr">
        <is>
          <t>止まるWBS</t>
        </is>
      </c>
      <c r="G67" s="3" t="inlineStr">
        <is>
          <t>照会の方法</t>
        </is>
      </c>
      <c r="H67" s="3" t="inlineStr"/>
    </row>
    <row r="68" ht="46" customHeight="1">
      <c r="A68" s="90" t="inlineStr">
        <is>
          <t>束1</t>
        </is>
      </c>
      <c r="B68" s="68" t="inlineStr">
        <is>
          <t>保険料と推計の確定</t>
        </is>
      </c>
      <c r="C68" s="87" t="n">
        <v>27</v>
      </c>
      <c r="D68" s="87" t="n">
        <v>3</v>
      </c>
      <c r="E68" s="87" t="n">
        <v>13</v>
      </c>
      <c r="F68" s="68" t="inlineStr">
        <is>
          <t>Ⅱ-107、Ⅱ-59、Ⅱ-62、Ⅱ-63、Ⅱ-64</t>
        </is>
      </c>
      <c r="G68" s="68" t="inlineStr">
        <is>
          <t>国の推計ワークシートの受領（令和8年10月7日）により生じた確認事項を1通にまとめる。令和9年度以降も0で入っている6サービスの扱い（国の集計の提出期限が令和8年10月13日18時）、準備基金の取崩額の水準（第11期が＋32.4%になる関係）、被保険者数と認定者数の内訳の食い違い、調整交付金見込交付割合の出所、条例上の基準額の扱いである。</t>
        </is>
      </c>
      <c r="H68" s="51" t="n"/>
    </row>
    <row r="69" ht="46" customHeight="1">
      <c r="A69" s="90" t="inlineStr">
        <is>
          <t>束2</t>
        </is>
      </c>
      <c r="B69" s="68" t="inlineStr">
        <is>
          <t>給付実績・決算と第9期の計画値</t>
        </is>
      </c>
      <c r="C69" s="87" t="n">
        <v>70</v>
      </c>
      <c r="D69" s="87" t="n">
        <v>1</v>
      </c>
      <c r="E69" s="87" t="n">
        <v>22</v>
      </c>
      <c r="F69" s="68" t="inlineStr">
        <is>
          <t>Ⅱ-105、Ⅱ-106、Ⅱ-110、Ⅱ-115、Ⅱ-53、Ⅱ-54、Ⅱ-55、Ⅱ-56、Ⅱ-57、Ⅱ-58、Ⅱ-60、Ⅱ-61</t>
        </is>
      </c>
      <c r="G69" s="68" t="inlineStr">
        <is>
          <t>令和6・7年度の決算と給付実績、将来推計総括表、第9期計画の本文、見える化に系列のない事業（養護老人ホーム措置・軽費老人ホーム・老人クラブ）を1通にまとめる。</t>
        </is>
      </c>
      <c r="H69" s="51" t="n"/>
    </row>
    <row r="70" ht="46" customHeight="1">
      <c r="A70" s="90" t="inlineStr">
        <is>
          <t>束3</t>
        </is>
      </c>
      <c r="B70" s="68" t="inlineStr">
        <is>
          <t>交付金の得点と給付適正化</t>
        </is>
      </c>
      <c r="C70" s="87" t="n">
        <v>21</v>
      </c>
      <c r="D70" s="87" t="n">
        <v>0</v>
      </c>
      <c r="E70" s="87" t="n">
        <v>13</v>
      </c>
      <c r="F70" s="68" t="inlineStr">
        <is>
          <t>Ⅱ-109、Ⅱ-65、Ⅱ-67</t>
        </is>
      </c>
      <c r="G70" s="68" t="inlineStr">
        <is>
          <t>得点が低下した指標の理由と、未得点項目の取組可否を1通にまとめる。交付金の該当状況調査票の写しにより当方で確かめられるものは照会から除く。</t>
        </is>
      </c>
      <c r="H70" s="51" t="n"/>
    </row>
    <row r="71" ht="46" customHeight="1">
      <c r="A71" s="90" t="inlineStr">
        <is>
          <t>束4</t>
        </is>
      </c>
      <c r="B71" s="68" t="inlineStr">
        <is>
          <t>認知症施策と権利擁護</t>
        </is>
      </c>
      <c r="C71" s="87" t="n">
        <v>12</v>
      </c>
      <c r="D71" s="87" t="n">
        <v>0</v>
      </c>
      <c r="E71" s="87" t="n">
        <v>6</v>
      </c>
      <c r="F71" s="68" t="inlineStr">
        <is>
          <t>Ⅱ-68、Ⅱ-69</t>
        </is>
      </c>
      <c r="G71" s="68" t="inlineStr">
        <is>
          <t>認知症関連事業の実績、意見を聴く方法、権利擁護センターの相談減の要因を1通にまとめる。</t>
        </is>
      </c>
      <c r="H71" s="51" t="n"/>
    </row>
    <row r="72" ht="46" customHeight="1">
      <c r="A72" s="90" t="inlineStr">
        <is>
          <t>束5</t>
        </is>
      </c>
      <c r="B72" s="68" t="inlineStr">
        <is>
          <t>計画構成と施策体系</t>
        </is>
      </c>
      <c r="C72" s="87" t="n">
        <v>17</v>
      </c>
      <c r="D72" s="87" t="n">
        <v>0</v>
      </c>
      <c r="E72" s="87" t="n">
        <v>6</v>
      </c>
      <c r="F72" s="68" t="inlineStr">
        <is>
          <t>Ⅱ-113、Ⅱ-70、Ⅱ-71、Ⅱ-72、Ⅱ-73、Ⅱ-75</t>
        </is>
      </c>
      <c r="G72" s="68" t="inlineStr">
        <is>
          <t>基本理念の変更の有無、関連計画の策定状況、一体的策定の範囲を第2回策定委員会の審議事項として整理する。</t>
        </is>
      </c>
      <c r="H72" s="51" t="n"/>
    </row>
    <row r="73" ht="46" customHeight="1">
      <c r="A73" s="90" t="inlineStr">
        <is>
          <t>束6</t>
        </is>
      </c>
      <c r="B73" s="68" t="inlineStr">
        <is>
          <t>日程・体制・成果品</t>
        </is>
      </c>
      <c r="C73" s="87" t="n">
        <v>12</v>
      </c>
      <c r="D73" s="87" t="n">
        <v>1</v>
      </c>
      <c r="E73" s="87" t="n">
        <v>8</v>
      </c>
      <c r="F73" s="68" t="inlineStr">
        <is>
          <t>Ⅱ-76、Ⅱ-77、Ⅱ-80、Ⅱ-81、Ⅱ-83、Ⅱ-93、Ⅳ-114、Ⅳ-90、Ⅳ-92、Ⅴ-97、０-02、０-06</t>
        </is>
      </c>
      <c r="G73" s="68" t="inlineStr">
        <is>
          <t>委員会の開催日、パブリックコメントの時期、納品物の範囲を工程表とあわせて確認する。</t>
        </is>
      </c>
      <c r="H73" s="51" t="n"/>
    </row>
    <row r="74" ht="46" customHeight="1">
      <c r="A74" s="90" t="inlineStr">
        <is>
          <t>束7</t>
        </is>
      </c>
      <c r="B74" s="68" t="inlineStr">
        <is>
          <t>調査票の設計・印刷・発送・回収（他メンバー担当）</t>
        </is>
      </c>
      <c r="C74" s="87" t="n">
        <v>34</v>
      </c>
      <c r="D74" s="87" t="n">
        <v>24</v>
      </c>
      <c r="E74" s="87" t="n">
        <v>5</v>
      </c>
      <c r="F74" s="68" t="inlineStr">
        <is>
          <t>Ⅰ-07、Ⅰ-08、Ⅰ-09、Ⅰ-10、Ⅰ-101、Ⅰ-102、Ⅰ-12、Ⅰ-13、Ⅰ-14、Ⅰ-15、Ⅰ-16、Ⅰ-17、Ⅰ-18、Ⅰ-19、Ⅰ-20、Ⅰ-21、Ⅰ-22、Ⅰ-23、Ⅰ-24、Ⅰ-25、Ⅰ-26、Ⅰ-29、Ⅰ-30、Ⅰ-31、Ⅰ-32</t>
        </is>
      </c>
      <c r="G74" s="68" t="inlineStr">
        <is>
          <t>調査票の設計・印刷・発送・回収は他メンバーが担当しており当方では作業しない。令和8年10月10日時点で発送は完了している。</t>
        </is>
      </c>
      <c r="H74" s="51" t="n"/>
    </row>
    <row r="75" ht="46" customHeight="1">
      <c r="A75" s="90" t="inlineStr">
        <is>
          <t>束8</t>
        </is>
      </c>
      <c r="B75" s="68" t="inlineStr">
        <is>
          <t>集計・分析と要介護認定データの突合</t>
        </is>
      </c>
      <c r="C75" s="87" t="n">
        <v>14</v>
      </c>
      <c r="D75" s="87" t="n">
        <v>3</v>
      </c>
      <c r="E75" s="87" t="n">
        <v>7</v>
      </c>
      <c r="F75" s="68" t="inlineStr">
        <is>
          <t>Ⅰ-104、Ⅰ-35、Ⅰ-36、Ⅰ-37、Ⅰ-38、Ⅰ-40、Ⅰ-42、Ⅰ-44、Ⅰ-45、Ⅰ-46、Ⅰ-48、Ⅰ-94、Ⅰ-95</t>
        </is>
      </c>
      <c r="G75" s="68" t="inlineStr">
        <is>
          <t>入力から集計・分析・報告書までは当方の担当である。村より「今集計分析を行なっています」とのご連絡をいただき着手した。要介護認定データ（Ⅰ-37）が最も急ぐ。これが入らないと資料3の3-3（元気な軽度者）・3-4（生活機能からみた4つの層）・3-6（担い手の可能性）が作れない。</t>
        </is>
      </c>
      <c r="H75" s="51" t="n"/>
    </row>
    <row r="77" ht="20" customHeight="1">
      <c r="A77" s="38" t="inlineStr">
        <is>
          <t>■ 優先度の見直し候補　— 優先度B・Cのうち、進捗0.90以上のWBSの最後の未確定要素になっているもの 44件</t>
        </is>
      </c>
    </row>
    <row r="78" ht="22" customHeight="1">
      <c r="A78" s="3" t="inlineStr">
        <is>
          <t>No.</t>
        </is>
      </c>
      <c r="B78" s="3" t="inlineStr">
        <is>
          <t>優先度</t>
        </is>
      </c>
      <c r="C78" s="3" t="inlineStr">
        <is>
          <t>区分</t>
        </is>
      </c>
      <c r="D78" s="3" t="inlineStr">
        <is>
          <t>確認事項</t>
        </is>
      </c>
      <c r="E78" s="3" t="inlineStr">
        <is>
          <t>止めているWBS</t>
        </is>
      </c>
      <c r="F78" s="3" t="inlineStr">
        <is>
          <t>進捗</t>
        </is>
      </c>
      <c r="G78" s="3" t="inlineStr">
        <is>
          <t>束</t>
        </is>
      </c>
      <c r="H78" s="3" t="inlineStr"/>
    </row>
    <row r="79" ht="30" customHeight="1">
      <c r="A79" s="67" t="inlineStr">
        <is>
          <t>K-019</t>
        </is>
      </c>
      <c r="B79" s="67" t="inlineStr">
        <is>
          <t>B</t>
        </is>
      </c>
      <c r="C79" s="67" t="inlineStr">
        <is>
          <t>データ</t>
        </is>
      </c>
      <c r="D79" s="68" t="inlineStr">
        <is>
          <t>認知症対応型共同生活介護の待機の状況（定員27人に対し令和9〜11年度の利用者数が27人で到達率100%）</t>
        </is>
      </c>
      <c r="E79" s="68" t="inlineStr">
        <is>
          <t>Ⅱ-105 地域密着型サービスの必要利用定員総数の設定</t>
        </is>
      </c>
      <c r="F79" s="67" t="inlineStr">
        <is>
          <t>0.95</t>
        </is>
      </c>
      <c r="G79" s="67" t="inlineStr">
        <is>
          <t>束2</t>
        </is>
      </c>
      <c r="H79" s="51" t="n"/>
    </row>
    <row r="80" ht="30" customHeight="1">
      <c r="A80" s="67" t="inlineStr">
        <is>
          <t>K-020</t>
        </is>
      </c>
      <c r="B80" s="67" t="inlineStr">
        <is>
          <t>B</t>
        </is>
      </c>
      <c r="C80" s="67" t="inlineStr">
        <is>
          <t>データ</t>
        </is>
      </c>
      <c r="D80" s="68" t="inlineStr">
        <is>
          <t>令和6年度決算および令和7年度の給付費見込</t>
        </is>
      </c>
      <c r="E80" s="68" t="inlineStr">
        <is>
          <t>Ⅱ-56 計画数値の評価（計画値と実績の乖離分析）</t>
        </is>
      </c>
      <c r="F80" s="67" t="inlineStr">
        <is>
          <t>0.95</t>
        </is>
      </c>
      <c r="G80" s="67" t="inlineStr">
        <is>
          <t>束2</t>
        </is>
      </c>
      <c r="H80" s="51" t="n"/>
    </row>
    <row r="81" ht="30" customHeight="1">
      <c r="A81" s="67" t="inlineStr">
        <is>
          <t>K-021</t>
        </is>
      </c>
      <c r="B81" s="67" t="inlineStr">
        <is>
          <t>B</t>
        </is>
      </c>
      <c r="C81" s="67" t="inlineStr">
        <is>
          <t>データ</t>
        </is>
      </c>
      <c r="D81" s="68" t="inlineStr">
        <is>
          <t>通いの場の実数（令和3〜7年度）</t>
        </is>
      </c>
      <c r="E81" s="68" t="inlineStr">
        <is>
          <t>Ⅱ-65 成果目標及び活動指標の設定</t>
        </is>
      </c>
      <c r="F81" s="67" t="inlineStr">
        <is>
          <t>0.92</t>
        </is>
      </c>
      <c r="G81" s="67" t="inlineStr">
        <is>
          <t>束3</t>
        </is>
      </c>
      <c r="H81" s="51" t="n"/>
    </row>
    <row r="82" ht="30" customHeight="1">
      <c r="A82" s="67" t="inlineStr">
        <is>
          <t>K-024</t>
        </is>
      </c>
      <c r="B82" s="67" t="inlineStr">
        <is>
          <t>B</t>
        </is>
      </c>
      <c r="C82" s="67" t="inlineStr">
        <is>
          <t>方針</t>
        </is>
      </c>
      <c r="D82" s="68" t="inlineStr">
        <is>
          <t>第1号被保険者数の推計を社人研ベースから補正して用いる方針の可否</t>
        </is>
      </c>
      <c r="E82" s="68" t="inlineStr">
        <is>
          <t>Ⅱ-59 第1号被保険者数の推計</t>
        </is>
      </c>
      <c r="F82" s="67" t="inlineStr">
        <is>
          <t>0.95</t>
        </is>
      </c>
      <c r="G82" s="67" t="inlineStr">
        <is>
          <t>束1</t>
        </is>
      </c>
      <c r="H82" s="51" t="n"/>
    </row>
    <row r="83" ht="30" customHeight="1">
      <c r="A83" s="67" t="inlineStr">
        <is>
          <t>K-025</t>
        </is>
      </c>
      <c r="B83" s="67" t="inlineStr">
        <is>
          <t>B</t>
        </is>
      </c>
      <c r="C83" s="67" t="inlineStr">
        <is>
          <t>方針</t>
        </is>
      </c>
      <c r="D83" s="68" t="inlineStr">
        <is>
          <t>保険料が県・全国を上回る一方で費用額は下位である点の認識と説明方針</t>
        </is>
      </c>
      <c r="E83" s="68" t="inlineStr">
        <is>
          <t>Ⅱ-64 介護保険料の試算（複数案の比較）</t>
        </is>
      </c>
      <c r="F83" s="67" t="inlineStr">
        <is>
          <t>0.96</t>
        </is>
      </c>
      <c r="G83" s="67" t="inlineStr">
        <is>
          <t>束1</t>
        </is>
      </c>
      <c r="H83" s="51" t="n"/>
    </row>
    <row r="84" ht="30" customHeight="1">
      <c r="A84" s="67" t="inlineStr">
        <is>
          <t>K-026</t>
        </is>
      </c>
      <c r="B84" s="67" t="inlineStr">
        <is>
          <t>B</t>
        </is>
      </c>
      <c r="C84" s="67" t="inlineStr">
        <is>
          <t>方針</t>
        </is>
      </c>
      <c r="D84" s="68" t="inlineStr">
        <is>
          <t>総合事業のサービスA〜Dを第10期で立ち上げる意向の有無</t>
        </is>
      </c>
      <c r="E84" s="68" t="inlineStr">
        <is>
          <t>Ⅱ-75 素案の作成</t>
        </is>
      </c>
      <c r="F84" s="67" t="inlineStr">
        <is>
          <t>0.98</t>
        </is>
      </c>
      <c r="G84" s="67" t="inlineStr">
        <is>
          <t>束3</t>
        </is>
      </c>
      <c r="H84" s="51" t="n"/>
    </row>
    <row r="85" ht="30" customHeight="1">
      <c r="A85" s="67" t="inlineStr">
        <is>
          <t>K-029</t>
        </is>
      </c>
      <c r="B85" s="67" t="inlineStr">
        <is>
          <t>B</t>
        </is>
      </c>
      <c r="C85" s="67" t="inlineStr">
        <is>
          <t>疑義</t>
        </is>
      </c>
      <c r="D85" s="68" t="inlineStr">
        <is>
          <t>第9期概要版④「地域支援事業費」の集計範囲（任意事業の扱い）</t>
        </is>
      </c>
      <c r="E85" s="68" t="inlineStr">
        <is>
          <t>Ⅱ-56 計画数値の評価（計画値と実績の乖離分析）</t>
        </is>
      </c>
      <c r="F85" s="67" t="inlineStr">
        <is>
          <t>0.95</t>
        </is>
      </c>
      <c r="G85" s="67" t="inlineStr">
        <is>
          <t>束2</t>
        </is>
      </c>
      <c r="H85" s="51" t="n"/>
    </row>
    <row r="86" ht="30" customHeight="1">
      <c r="A86" s="67" t="inlineStr">
        <is>
          <t>K-031</t>
        </is>
      </c>
      <c r="B86" s="67" t="inlineStr">
        <is>
          <t>B</t>
        </is>
      </c>
      <c r="C86" s="67" t="inlineStr">
        <is>
          <t>計画構成</t>
        </is>
      </c>
      <c r="D86" s="68" t="inlineStr">
        <is>
          <t>認知症施策推進計画・成年後見制度利用促進基本計画の一体化を第10期も踏襲するか</t>
        </is>
      </c>
      <c r="E86" s="68" t="inlineStr">
        <is>
          <t>Ⅱ-75 素案の作成</t>
        </is>
      </c>
      <c r="F86" s="67" t="inlineStr">
        <is>
          <t>0.98</t>
        </is>
      </c>
      <c r="G86" s="67" t="inlineStr">
        <is>
          <t>束5</t>
        </is>
      </c>
      <c r="H86" s="51" t="n"/>
    </row>
    <row r="87" ht="30" customHeight="1">
      <c r="A87" s="67" t="inlineStr">
        <is>
          <t>K-032</t>
        </is>
      </c>
      <c r="B87" s="67" t="inlineStr">
        <is>
          <t>B</t>
        </is>
      </c>
      <c r="C87" s="67" t="inlineStr">
        <is>
          <t>計画構成</t>
        </is>
      </c>
      <c r="D87" s="68" t="inlineStr">
        <is>
          <t>定住自立圏（喜多方市・西会津町）／会津権利擁護・成年後見センターとの広域連携の記載方針</t>
        </is>
      </c>
      <c r="E87" s="68" t="inlineStr">
        <is>
          <t>Ⅱ-71 施策体系の整理</t>
        </is>
      </c>
      <c r="F87" s="67" t="inlineStr">
        <is>
          <t>0.95</t>
        </is>
      </c>
      <c r="G87" s="67" t="inlineStr">
        <is>
          <t>束5</t>
        </is>
      </c>
      <c r="H87" s="51" t="n"/>
    </row>
    <row r="88" ht="30" customHeight="1">
      <c r="A88" s="67" t="inlineStr">
        <is>
          <t>K-036</t>
        </is>
      </c>
      <c r="B88" s="67" t="inlineStr">
        <is>
          <t>B</t>
        </is>
      </c>
      <c r="C88" s="67" t="inlineStr">
        <is>
          <t>データ</t>
        </is>
      </c>
      <c r="D88" s="68" t="inlineStr">
        <is>
          <t>訪問診療・訪問看護の提供実績（村内外の事業所別・令和6〜7年度）</t>
        </is>
      </c>
      <c r="E88" s="68" t="inlineStr">
        <is>
          <t>Ⅱ-61 各介護保険サービス見込量の推計</t>
        </is>
      </c>
      <c r="F88" s="67" t="inlineStr">
        <is>
          <t>0.95</t>
        </is>
      </c>
      <c r="G88" s="67" t="inlineStr">
        <is>
          <t>束2</t>
        </is>
      </c>
      <c r="H88" s="51" t="n"/>
    </row>
    <row r="89" ht="30" customHeight="1">
      <c r="A89" s="67" t="inlineStr">
        <is>
          <t>K-044</t>
        </is>
      </c>
      <c r="B89" s="67" t="inlineStr">
        <is>
          <t>B</t>
        </is>
      </c>
      <c r="C89" s="67" t="inlineStr">
        <is>
          <t>データ</t>
        </is>
      </c>
      <c r="D89" s="68" t="inlineStr">
        <is>
          <t>村内の認知症対応型共同生活介護の入退所の状況（年度ごとの入所者数・退所者数と退所の理由）</t>
        </is>
      </c>
      <c r="E89" s="68" t="inlineStr">
        <is>
          <t>Ⅱ-105 地域密着型サービスの必要利用定員総数の設定、Ⅱ-61 各介護保険サービス見込量の推計</t>
        </is>
      </c>
      <c r="F89" s="67" t="inlineStr">
        <is>
          <t>0.95、0.95</t>
        </is>
      </c>
      <c r="G89" s="67" t="inlineStr">
        <is>
          <t>束2</t>
        </is>
      </c>
      <c r="H89" s="51" t="n"/>
    </row>
    <row r="90" ht="30" customHeight="1">
      <c r="A90" s="67" t="inlineStr">
        <is>
          <t>K-045</t>
        </is>
      </c>
      <c r="B90" s="67" t="inlineStr">
        <is>
          <t>B</t>
        </is>
      </c>
      <c r="C90" s="67" t="inlineStr">
        <is>
          <t>データ</t>
        </is>
      </c>
      <c r="D90" s="68" t="inlineStr">
        <is>
          <t>村内の住宅型有料老人ホーム・サービス付き高齢者向け住宅の有無（老人福祉法第29条の届出・高齢者住まい法の登録。県の所管）</t>
        </is>
      </c>
      <c r="E90" s="68" t="inlineStr">
        <is>
          <t>Ⅱ-105 地域密着型サービスの必要利用定員総数の設定</t>
        </is>
      </c>
      <c r="F90" s="67" t="inlineStr">
        <is>
          <t>0.95</t>
        </is>
      </c>
      <c r="G90" s="67" t="inlineStr">
        <is>
          <t>束2</t>
        </is>
      </c>
      <c r="H90" s="51" t="n"/>
    </row>
    <row r="91" ht="30" customHeight="1">
      <c r="A91" s="67" t="inlineStr">
        <is>
          <t>K-046</t>
        </is>
      </c>
      <c r="B91" s="67" t="inlineStr">
        <is>
          <t>B</t>
        </is>
      </c>
      <c r="C91" s="67" t="inlineStr">
        <is>
          <t>データ</t>
        </is>
      </c>
      <c r="D91" s="68" t="inlineStr">
        <is>
          <t>村内の介護サービス事業所の従事者数（常勤換算・職種別）</t>
        </is>
      </c>
      <c r="E91" s="68" t="inlineStr">
        <is>
          <t>Ⅱ-61 各介護保険サービス見込量の推計</t>
        </is>
      </c>
      <c r="F91" s="67" t="inlineStr">
        <is>
          <t>0.95</t>
        </is>
      </c>
      <c r="G91" s="67" t="inlineStr">
        <is>
          <t>束2</t>
        </is>
      </c>
      <c r="H91" s="51" t="n"/>
    </row>
    <row r="92" ht="30" customHeight="1">
      <c r="A92" s="67" t="inlineStr">
        <is>
          <t>K-053</t>
        </is>
      </c>
      <c r="B92" s="67" t="inlineStr">
        <is>
          <t>B</t>
        </is>
      </c>
      <c r="C92" s="67" t="inlineStr">
        <is>
          <t>データ</t>
        </is>
      </c>
      <c r="D92" s="68" t="inlineStr">
        <is>
          <t>村内の居宅介護支援事業所は1か所か2か所か</t>
        </is>
      </c>
      <c r="E92" s="68" t="inlineStr">
        <is>
          <t>Ⅱ-115 見える化システムの収録データの受領と成果品との突合</t>
        </is>
      </c>
      <c r="F92" s="67" t="inlineStr">
        <is>
          <t>0.98</t>
        </is>
      </c>
      <c r="G92" s="67" t="inlineStr">
        <is>
          <t>束2</t>
        </is>
      </c>
      <c r="H92" s="51" t="n"/>
    </row>
    <row r="93" ht="30" customHeight="1">
      <c r="A93" s="67" t="inlineStr">
        <is>
          <t>K-057</t>
        </is>
      </c>
      <c r="B93" s="67" t="inlineStr">
        <is>
          <t>B</t>
        </is>
      </c>
      <c r="C93" s="67" t="inlineStr">
        <is>
          <t>素案</t>
        </is>
      </c>
      <c r="D93" s="68" t="inlineStr">
        <is>
          <t>章構成を第9期（全6章＋資料編）から踏襲することの可否</t>
        </is>
      </c>
      <c r="E93" s="68" t="inlineStr">
        <is>
          <t>Ⅱ-75 素案の作成</t>
        </is>
      </c>
      <c r="F93" s="67" t="inlineStr">
        <is>
          <t>0.98</t>
        </is>
      </c>
      <c r="G93" s="67" t="inlineStr">
        <is>
          <t>束5</t>
        </is>
      </c>
      <c r="H93" s="51" t="n"/>
    </row>
    <row r="94" ht="30" customHeight="1">
      <c r="A94" s="67" t="inlineStr">
        <is>
          <t>K-058</t>
        </is>
      </c>
      <c r="B94" s="67" t="inlineStr">
        <is>
          <t>B</t>
        </is>
      </c>
      <c r="C94" s="67" t="inlineStr">
        <is>
          <t>素案</t>
        </is>
      </c>
      <c r="D94" s="68" t="inlineStr">
        <is>
          <t>基本理念・基本目標の枠組みを第9期から継承することの可否</t>
        </is>
      </c>
      <c r="E94" s="68" t="inlineStr">
        <is>
          <t>Ⅱ-71 施策体系の整理、Ⅱ-75 素案の作成</t>
        </is>
      </c>
      <c r="F94" s="67" t="inlineStr">
        <is>
          <t>0.95、0.98</t>
        </is>
      </c>
      <c r="G94" s="67" t="inlineStr">
        <is>
          <t>束5</t>
        </is>
      </c>
      <c r="H94" s="51" t="n"/>
    </row>
    <row r="95" ht="30" customHeight="1">
      <c r="A95" s="67" t="inlineStr">
        <is>
          <t>K-059</t>
        </is>
      </c>
      <c r="B95" s="67" t="inlineStr">
        <is>
          <t>B</t>
        </is>
      </c>
      <c r="C95" s="67" t="inlineStr">
        <is>
          <t>素案</t>
        </is>
      </c>
      <c r="D95" s="68" t="inlineStr">
        <is>
          <t>基本目標5「計画の推進と進捗管理」を独立させるか、各基本目標に横断的に組み込むか</t>
        </is>
      </c>
      <c r="E95" s="68" t="inlineStr">
        <is>
          <t>Ⅱ-71 施策体系の整理、Ⅱ-75 素案の作成</t>
        </is>
      </c>
      <c r="F95" s="67" t="inlineStr">
        <is>
          <t>0.95、0.98</t>
        </is>
      </c>
      <c r="G95" s="67" t="inlineStr">
        <is>
          <t>束5</t>
        </is>
      </c>
      <c r="H95" s="51" t="n"/>
    </row>
    <row r="96" ht="30" customHeight="1">
      <c r="A96" s="67" t="inlineStr">
        <is>
          <t>K-060</t>
        </is>
      </c>
      <c r="B96" s="67" t="inlineStr">
        <is>
          <t>B</t>
        </is>
      </c>
      <c r="C96" s="67" t="inlineStr">
        <is>
          <t>素案</t>
        </is>
      </c>
      <c r="D96" s="68" t="inlineStr">
        <is>
          <t>施設サービスの記載を「村外施設サービスの利用支援」に改めることの可否</t>
        </is>
      </c>
      <c r="E96" s="68" t="inlineStr">
        <is>
          <t>Ⅱ-75 素案の作成</t>
        </is>
      </c>
      <c r="F96" s="67" t="inlineStr">
        <is>
          <t>0.98</t>
        </is>
      </c>
      <c r="G96" s="67" t="inlineStr">
        <is>
          <t>束5</t>
        </is>
      </c>
      <c r="H96" s="51" t="n"/>
    </row>
    <row r="97" ht="30" customHeight="1">
      <c r="A97" s="67" t="inlineStr">
        <is>
          <t>K-061</t>
        </is>
      </c>
      <c r="B97" s="67" t="inlineStr">
        <is>
          <t>B</t>
        </is>
      </c>
      <c r="C97" s="67" t="inlineStr">
        <is>
          <t>素案</t>
        </is>
      </c>
      <c r="D97" s="68" t="inlineStr">
        <is>
          <t>計画本文に第9期の推計乖離（第1号被保険者数6.6%）を記載することの可否</t>
        </is>
      </c>
      <c r="E97" s="68" t="inlineStr">
        <is>
          <t>Ⅱ-75 素案の作成</t>
        </is>
      </c>
      <c r="F97" s="67" t="inlineStr">
        <is>
          <t>0.98</t>
        </is>
      </c>
      <c r="G97" s="67" t="inlineStr">
        <is>
          <t>束5</t>
        </is>
      </c>
      <c r="H97" s="51" t="n"/>
    </row>
    <row r="98" ht="30" customHeight="1">
      <c r="A98" s="67" t="inlineStr">
        <is>
          <t>K-062</t>
        </is>
      </c>
      <c r="B98" s="67" t="inlineStr">
        <is>
          <t>B</t>
        </is>
      </c>
      <c r="C98" s="67" t="inlineStr">
        <is>
          <t>素案</t>
        </is>
      </c>
      <c r="D98" s="68" t="inlineStr">
        <is>
          <t>第9期保険料の再算定試算（6,761円→約6,346円）の取扱い</t>
        </is>
      </c>
      <c r="E98" s="68" t="inlineStr">
        <is>
          <t>Ⅱ-64 介護保険料の試算（複数案の比較）、Ⅱ-75 素案の作成</t>
        </is>
      </c>
      <c r="F98" s="67" t="inlineStr">
        <is>
          <t>0.96、0.98</t>
        </is>
      </c>
      <c r="G98" s="67" t="inlineStr">
        <is>
          <t>束1</t>
        </is>
      </c>
      <c r="H98" s="51" t="n"/>
    </row>
    <row r="99" ht="30" customHeight="1">
      <c r="A99" s="67" t="inlineStr">
        <is>
          <t>K-063</t>
        </is>
      </c>
      <c r="B99" s="67" t="inlineStr">
        <is>
          <t>B</t>
        </is>
      </c>
      <c r="C99" s="67" t="inlineStr">
        <is>
          <t>方針</t>
        </is>
      </c>
      <c r="D99" s="68" t="inlineStr">
        <is>
          <t>認定率の分母をB1（第1号被保険者数）に統一することの可否</t>
        </is>
      </c>
      <c r="E99" s="68" t="inlineStr">
        <is>
          <t>Ⅱ-56 計画数値の評価（計画値と実績の乖離分析）、Ⅱ-75 素案の作成</t>
        </is>
      </c>
      <c r="F99" s="67" t="inlineStr">
        <is>
          <t>0.95、0.98</t>
        </is>
      </c>
      <c r="G99" s="67" t="inlineStr">
        <is>
          <t>束2</t>
        </is>
      </c>
      <c r="H99" s="51" t="n"/>
    </row>
    <row r="100" ht="30" customHeight="1">
      <c r="A100" s="67" t="inlineStr">
        <is>
          <t>K-064</t>
        </is>
      </c>
      <c r="B100" s="67" t="inlineStr">
        <is>
          <t>B</t>
        </is>
      </c>
      <c r="C100" s="67" t="inlineStr">
        <is>
          <t>方針</t>
        </is>
      </c>
      <c r="D100" s="68" t="inlineStr">
        <is>
          <t>成果目標・活動指標の目標値の設定方針（認定率を据置とするか／トレンド継続か／政策効果を織り込むか）</t>
        </is>
      </c>
      <c r="E100" s="68" t="inlineStr">
        <is>
          <t>Ⅱ-60 要介護者数の推計、Ⅱ-65 成果目標及び活動指標の設定</t>
        </is>
      </c>
      <c r="F100" s="67" t="inlineStr">
        <is>
          <t>0.95、0.92</t>
        </is>
      </c>
      <c r="G100" s="67" t="inlineStr">
        <is>
          <t>束2</t>
        </is>
      </c>
      <c r="H100" s="51" t="n"/>
    </row>
    <row r="101" ht="30" customHeight="1">
      <c r="A101" s="67" t="inlineStr">
        <is>
          <t>K-074</t>
        </is>
      </c>
      <c r="B101" s="67" t="inlineStr">
        <is>
          <t>B</t>
        </is>
      </c>
      <c r="C101" s="67" t="inlineStr">
        <is>
          <t>データ</t>
        </is>
      </c>
      <c r="D101" s="68" t="inlineStr">
        <is>
          <t>人口データの出所の統一（住基／国勢調査／福島県現住人口調査）</t>
        </is>
      </c>
      <c r="E101" s="68" t="inlineStr">
        <is>
          <t>Ⅱ-59 第1号被保険者数の推計</t>
        </is>
      </c>
      <c r="F101" s="67" t="inlineStr">
        <is>
          <t>0.95</t>
        </is>
      </c>
      <c r="G101" s="67" t="inlineStr">
        <is>
          <t>束1</t>
        </is>
      </c>
      <c r="H101" s="51" t="n"/>
    </row>
    <row r="102" ht="30" customHeight="1">
      <c r="A102" s="67" t="inlineStr">
        <is>
          <t>K-075</t>
        </is>
      </c>
      <c r="B102" s="67" t="inlineStr">
        <is>
          <t>B</t>
        </is>
      </c>
      <c r="C102" s="67" t="inlineStr">
        <is>
          <t>データ</t>
        </is>
      </c>
      <c r="D102" s="68" t="inlineStr">
        <is>
          <t>介護保険事業状況報告 月報 第2表・第3表（サービス種類別の受給者数）</t>
        </is>
      </c>
      <c r="E102" s="68" t="inlineStr">
        <is>
          <t>Ⅱ-56 計画数値の評価（計画値と実績の乖離分析）</t>
        </is>
      </c>
      <c r="F102" s="67" t="inlineStr">
        <is>
          <t>0.95</t>
        </is>
      </c>
      <c r="G102" s="67" t="inlineStr">
        <is>
          <t>束2</t>
        </is>
      </c>
      <c r="H102" s="51" t="n"/>
    </row>
    <row r="103" ht="30" customHeight="1">
      <c r="A103" s="67" t="inlineStr">
        <is>
          <t>K-076</t>
        </is>
      </c>
      <c r="B103" s="67" t="inlineStr">
        <is>
          <t>B</t>
        </is>
      </c>
      <c r="C103" s="67" t="inlineStr">
        <is>
          <t>データ</t>
        </is>
      </c>
      <c r="D103" s="68" t="inlineStr">
        <is>
          <t>介護給付と予防給付を分けたサービス種類別の受給者数・給付費</t>
        </is>
      </c>
      <c r="E103" s="68" t="inlineStr">
        <is>
          <t>Ⅱ-56 計画数値の評価（計画値と実績の乖離分析）</t>
        </is>
      </c>
      <c r="F103" s="67" t="inlineStr">
        <is>
          <t>0.95</t>
        </is>
      </c>
      <c r="G103" s="67" t="inlineStr">
        <is>
          <t>束2</t>
        </is>
      </c>
      <c r="H103" s="51" t="n"/>
    </row>
    <row r="104" ht="30" customHeight="1">
      <c r="A104" s="67" t="inlineStr">
        <is>
          <t>K-079</t>
        </is>
      </c>
      <c r="B104" s="67" t="inlineStr">
        <is>
          <t>B</t>
        </is>
      </c>
      <c r="C104" s="67" t="inlineStr">
        <is>
          <t>方針</t>
        </is>
      </c>
      <c r="D104" s="68" t="inlineStr">
        <is>
          <t>認知症対応型共同生活介護の定員（27人）を超える需要への対応方針</t>
        </is>
      </c>
      <c r="E104" s="68" t="inlineStr">
        <is>
          <t>Ⅱ-56 計画数値の評価（計画値と実績の乖離分析）</t>
        </is>
      </c>
      <c r="F104" s="67" t="inlineStr">
        <is>
          <t>0.95</t>
        </is>
      </c>
      <c r="G104" s="67" t="inlineStr">
        <is>
          <t>束2</t>
        </is>
      </c>
      <c r="H104" s="51" t="n"/>
    </row>
    <row r="105" ht="30" customHeight="1">
      <c r="A105" s="67" t="inlineStr">
        <is>
          <t>K-094</t>
        </is>
      </c>
      <c r="B105" s="67" t="inlineStr">
        <is>
          <t>B</t>
        </is>
      </c>
      <c r="C105" s="67" t="inlineStr">
        <is>
          <t>方針</t>
        </is>
      </c>
      <c r="D105" s="68" t="inlineStr">
        <is>
          <t>サービス見込量の前提（受給率を3か年平均とするか令和7年度水準とするか）</t>
        </is>
      </c>
      <c r="E105" s="68" t="inlineStr">
        <is>
          <t>Ⅱ-56 計画数値の評価（計画値と実績の乖離分析）、Ⅱ-64 介護保険料の試算（複数案の比較）</t>
        </is>
      </c>
      <c r="F105" s="67" t="inlineStr">
        <is>
          <t>0.95、0.96</t>
        </is>
      </c>
      <c r="G105" s="67" t="inlineStr">
        <is>
          <t>束1</t>
        </is>
      </c>
      <c r="H105" s="51" t="n"/>
    </row>
    <row r="106" ht="30" customHeight="1">
      <c r="A106" s="67" t="inlineStr">
        <is>
          <t>K-100</t>
        </is>
      </c>
      <c r="B106" s="67" t="inlineStr">
        <is>
          <t>B</t>
        </is>
      </c>
      <c r="C106" s="67" t="inlineStr">
        <is>
          <t>方針</t>
        </is>
      </c>
      <c r="D106" s="68" t="inlineStr">
        <is>
          <t>上限保険料の設定の有無と基金活用の比較案のパターン</t>
        </is>
      </c>
      <c r="E106" s="68" t="inlineStr">
        <is>
          <t>Ⅱ-64 介護保険料の試算（複数案の比較）</t>
        </is>
      </c>
      <c r="F106" s="67" t="inlineStr">
        <is>
          <t>0.96</t>
        </is>
      </c>
      <c r="G106" s="67" t="inlineStr">
        <is>
          <t>束1</t>
        </is>
      </c>
      <c r="H106" s="51" t="n"/>
    </row>
    <row r="107" ht="30" customHeight="1">
      <c r="A107" s="67" t="inlineStr">
        <is>
          <t>K-101</t>
        </is>
      </c>
      <c r="B107" s="67" t="inlineStr">
        <is>
          <t>B</t>
        </is>
      </c>
      <c r="C107" s="67" t="inlineStr">
        <is>
          <t>方針</t>
        </is>
      </c>
      <c r="D107" s="68" t="inlineStr">
        <is>
          <t>施設整備の方向性（在宅調査48.5%の入所希望の扱い）</t>
        </is>
      </c>
      <c r="E107" s="68" t="inlineStr">
        <is>
          <t>Ⅱ-75 素案の作成</t>
        </is>
      </c>
      <c r="F107" s="67" t="inlineStr">
        <is>
          <t>0.98</t>
        </is>
      </c>
      <c r="G107" s="67" t="inlineStr">
        <is>
          <t>束3</t>
        </is>
      </c>
      <c r="H107" s="51" t="n"/>
    </row>
    <row r="108" ht="30" customHeight="1">
      <c r="A108" s="67" t="inlineStr">
        <is>
          <t>K-109</t>
        </is>
      </c>
      <c r="B108" s="67" t="inlineStr">
        <is>
          <t>B</t>
        </is>
      </c>
      <c r="C108" s="67" t="inlineStr">
        <is>
          <t>体制</t>
        </is>
      </c>
      <c r="D108" s="68" t="inlineStr">
        <is>
          <t>令和9年度以降も交付金の該当状況調査票の写しを策定業務に提供いただけるか</t>
        </is>
      </c>
      <c r="E108" s="68" t="inlineStr">
        <is>
          <t>Ⅱ-65 成果目標及び活動指標の設定</t>
        </is>
      </c>
      <c r="F108" s="67" t="inlineStr">
        <is>
          <t>0.92</t>
        </is>
      </c>
      <c r="G108" s="67" t="inlineStr">
        <is>
          <t>束3</t>
        </is>
      </c>
      <c r="H108" s="51" t="n"/>
    </row>
    <row r="109" ht="30" customHeight="1">
      <c r="A109" s="67" t="inlineStr">
        <is>
          <t>K-167</t>
        </is>
      </c>
      <c r="B109" s="67" t="inlineStr">
        <is>
          <t>B</t>
        </is>
      </c>
      <c r="C109" s="67" t="inlineStr">
        <is>
          <t>方針</t>
        </is>
      </c>
      <c r="D109" s="68" t="inlineStr">
        <is>
          <t>令和9年4月の介護報酬改定率が示された後の単価の扱い</t>
        </is>
      </c>
      <c r="E109" s="68" t="inlineStr">
        <is>
          <t>Ⅱ-56 計画数値の評価（計画値と実績の乖離分析）、Ⅱ-64 介護保険料の試算（複数案の比較）</t>
        </is>
      </c>
      <c r="F109" s="67" t="inlineStr">
        <is>
          <t>0.95、0.96</t>
        </is>
      </c>
      <c r="G109" s="67" t="inlineStr">
        <is>
          <t>束1</t>
        </is>
      </c>
      <c r="H109" s="51" t="n"/>
    </row>
    <row r="110" ht="30" customHeight="1">
      <c r="A110" s="67" t="inlineStr">
        <is>
          <t>K-168</t>
        </is>
      </c>
      <c r="B110" s="67" t="inlineStr">
        <is>
          <t>B</t>
        </is>
      </c>
      <c r="C110" s="67" t="inlineStr">
        <is>
          <t>疑義</t>
        </is>
      </c>
      <c r="D110" s="68" t="inlineStr">
        <is>
          <t>要介護2の3区分の利用率の合計が101.5%となること</t>
        </is>
      </c>
      <c r="E110" s="68" t="inlineStr">
        <is>
          <t>Ⅱ-56 計画数値の評価（計画値と実績の乖離分析）</t>
        </is>
      </c>
      <c r="F110" s="67" t="inlineStr">
        <is>
          <t>0.95</t>
        </is>
      </c>
      <c r="G110" s="67" t="inlineStr">
        <is>
          <t>束2</t>
        </is>
      </c>
      <c r="H110" s="51" t="n"/>
    </row>
    <row r="111" ht="30" customHeight="1">
      <c r="A111" s="67" t="inlineStr">
        <is>
          <t>K-177</t>
        </is>
      </c>
      <c r="B111" s="67" t="inlineStr">
        <is>
          <t>B</t>
        </is>
      </c>
      <c r="C111" s="67" t="inlineStr">
        <is>
          <t>方針</t>
        </is>
      </c>
      <c r="D111" s="68" t="inlineStr">
        <is>
          <t>認知症対応型通所介護を再開するかどうか</t>
        </is>
      </c>
      <c r="E111" s="68" t="inlineStr">
        <is>
          <t>Ⅱ-56 計画数値の評価（計画値と実績の乖離分析）</t>
        </is>
      </c>
      <c r="F111" s="67" t="inlineStr">
        <is>
          <t>0.95</t>
        </is>
      </c>
      <c r="G111" s="67" t="inlineStr">
        <is>
          <t>束2</t>
        </is>
      </c>
      <c r="H111" s="51" t="n"/>
    </row>
    <row r="112" ht="30" customHeight="1">
      <c r="A112" s="67" t="inlineStr">
        <is>
          <t>K-180</t>
        </is>
      </c>
      <c r="B112" s="67" t="inlineStr">
        <is>
          <t>B</t>
        </is>
      </c>
      <c r="C112" s="67" t="inlineStr">
        <is>
          <t>方針</t>
        </is>
      </c>
      <c r="D112" s="68" t="inlineStr">
        <is>
          <t>訪問入浴介護・地域密着型通所介護を0に戻すかどうか</t>
        </is>
      </c>
      <c r="E112" s="68" t="inlineStr">
        <is>
          <t>Ⅱ-56 計画数値の評価（計画値と実績の乖離分析）</t>
        </is>
      </c>
      <c r="F112" s="67" t="inlineStr">
        <is>
          <t>0.95</t>
        </is>
      </c>
      <c r="G112" s="67" t="inlineStr">
        <is>
          <t>束2</t>
        </is>
      </c>
      <c r="H112" s="51" t="n"/>
    </row>
    <row r="113" ht="30" customHeight="1">
      <c r="A113" s="67" t="inlineStr">
        <is>
          <t>K-181</t>
        </is>
      </c>
      <c r="B113" s="67" t="inlineStr">
        <is>
          <t>B</t>
        </is>
      </c>
      <c r="C113" s="67" t="inlineStr">
        <is>
          <t>データ</t>
        </is>
      </c>
      <c r="D113" s="68" t="inlineStr">
        <is>
          <t>令和6年度・令和7年度の介護サービス等諸費／介護予防サービス等諸費の決算額</t>
        </is>
      </c>
      <c r="E113" s="68" t="inlineStr">
        <is>
          <t>Ⅱ-56 計画数値の評価（計画値と実績の乖離分析）</t>
        </is>
      </c>
      <c r="F113" s="67" t="inlineStr">
        <is>
          <t>0.95</t>
        </is>
      </c>
      <c r="G113" s="67" t="inlineStr">
        <is>
          <t>束2</t>
        </is>
      </c>
      <c r="H113" s="51" t="n"/>
    </row>
    <row r="114" ht="30" customHeight="1">
      <c r="A114" s="67" t="inlineStr">
        <is>
          <t>K-185</t>
        </is>
      </c>
      <c r="B114" s="67" t="inlineStr">
        <is>
          <t>B</t>
        </is>
      </c>
      <c r="C114" s="67" t="inlineStr">
        <is>
          <t>取組</t>
        </is>
      </c>
      <c r="D114" s="68" t="inlineStr">
        <is>
          <t>難聴高齢者の早期発見・早期介入（20点中0点・全国平均6.9点）の実施可能性</t>
        </is>
      </c>
      <c r="E114" s="68" t="inlineStr">
        <is>
          <t>Ⅱ-65 成果目標及び活動指標の設定</t>
        </is>
      </c>
      <c r="F114" s="67" t="inlineStr">
        <is>
          <t>0.92</t>
        </is>
      </c>
      <c r="G114" s="67" t="inlineStr">
        <is>
          <t>束3</t>
        </is>
      </c>
      <c r="H114" s="51" t="n"/>
    </row>
    <row r="115" ht="30" customHeight="1">
      <c r="A115" s="67" t="inlineStr">
        <is>
          <t>K-186</t>
        </is>
      </c>
      <c r="B115" s="67" t="inlineStr">
        <is>
          <t>B</t>
        </is>
      </c>
      <c r="C115" s="67" t="inlineStr">
        <is>
          <t>方針</t>
        </is>
      </c>
      <c r="D115" s="68" t="inlineStr">
        <is>
          <t>中長期（令和17年度・令和22年度）の保険料をαの2案で示すことの可否</t>
        </is>
      </c>
      <c r="E115" s="68" t="inlineStr">
        <is>
          <t>Ⅱ-64 介護保険料の試算（複数案の比較）</t>
        </is>
      </c>
      <c r="F115" s="67" t="inlineStr">
        <is>
          <t>0.96</t>
        </is>
      </c>
      <c r="G115" s="67" t="inlineStr">
        <is>
          <t>束1</t>
        </is>
      </c>
      <c r="H115" s="51" t="n"/>
    </row>
    <row r="116" ht="30" customHeight="1">
      <c r="A116" s="67" t="inlineStr">
        <is>
          <t>K-189</t>
        </is>
      </c>
      <c r="B116" s="67" t="inlineStr">
        <is>
          <t>B</t>
        </is>
      </c>
      <c r="C116" s="67" t="inlineStr">
        <is>
          <t>データ</t>
        </is>
      </c>
      <c r="D116" s="68" t="inlineStr">
        <is>
          <t>村外事業所の通常の事業実施地域（重要事項説明書または指定情報）</t>
        </is>
      </c>
      <c r="E116" s="68" t="inlineStr">
        <is>
          <t>Ⅱ-60 要介護者数の推計</t>
        </is>
      </c>
      <c r="F116" s="67" t="inlineStr">
        <is>
          <t>0.95</t>
        </is>
      </c>
      <c r="G116" s="67" t="inlineStr">
        <is>
          <t>束2</t>
        </is>
      </c>
      <c r="H116" s="51" t="n"/>
    </row>
    <row r="117" ht="30" customHeight="1">
      <c r="A117" s="67" t="inlineStr">
        <is>
          <t>K-190</t>
        </is>
      </c>
      <c r="B117" s="67" t="inlineStr">
        <is>
          <t>B</t>
        </is>
      </c>
      <c r="C117" s="67" t="inlineStr">
        <is>
          <t>データ</t>
        </is>
      </c>
      <c r="D117" s="68" t="inlineStr">
        <is>
          <t>村外施設の入退所・待機の実績（介護老人福祉施設・介護老人保健施設・介護医療院）</t>
        </is>
      </c>
      <c r="E117" s="68" t="inlineStr">
        <is>
          <t>Ⅱ-60 要介護者数の推計、Ⅱ-61 各介護保険サービス見込量の推計</t>
        </is>
      </c>
      <c r="F117" s="67" t="inlineStr">
        <is>
          <t>0.95、0.95</t>
        </is>
      </c>
      <c r="G117" s="67" t="inlineStr">
        <is>
          <t>束2</t>
        </is>
      </c>
      <c r="H117" s="51" t="n"/>
    </row>
    <row r="118" ht="30" customHeight="1">
      <c r="A118" s="67" t="inlineStr">
        <is>
          <t>K-191</t>
        </is>
      </c>
      <c r="B118" s="67" t="inlineStr">
        <is>
          <t>B</t>
        </is>
      </c>
      <c r="C118" s="67" t="inlineStr">
        <is>
          <t>データ</t>
        </is>
      </c>
      <c r="D118" s="68" t="inlineStr">
        <is>
          <t>医療介護連携に関する加算の算定状況（給付実績の加算別集計）</t>
        </is>
      </c>
      <c r="E118" s="68" t="inlineStr">
        <is>
          <t>Ⅱ-62 給付費の試算</t>
        </is>
      </c>
      <c r="F118" s="67" t="inlineStr">
        <is>
          <t>0.90</t>
        </is>
      </c>
      <c r="G118" s="67" t="inlineStr">
        <is>
          <t>束1</t>
        </is>
      </c>
      <c r="H118" s="51" t="n"/>
    </row>
    <row r="119" ht="30" customHeight="1">
      <c r="A119" s="67" t="inlineStr">
        <is>
          <t>K-192</t>
        </is>
      </c>
      <c r="B119" s="67" t="inlineStr">
        <is>
          <t>C</t>
        </is>
      </c>
      <c r="C119" s="67" t="inlineStr">
        <is>
          <t>データ</t>
        </is>
      </c>
      <c r="D119" s="68" t="inlineStr">
        <is>
          <t>死亡場所別の死亡数（人口動態統計の市町村別の公表の粒度）</t>
        </is>
      </c>
      <c r="E119" s="68" t="inlineStr">
        <is>
          <t>Ⅱ-56 計画数値の評価（計画値と実績の乖離分析）</t>
        </is>
      </c>
      <c r="F119" s="67" t="inlineStr">
        <is>
          <t>0.95</t>
        </is>
      </c>
      <c r="G119" s="67" t="inlineStr">
        <is>
          <t>束2</t>
        </is>
      </c>
      <c r="H119" s="51" t="n"/>
    </row>
    <row r="120" ht="30" customHeight="1">
      <c r="A120" s="67" t="inlineStr">
        <is>
          <t>K-196</t>
        </is>
      </c>
      <c r="B120" s="67" t="inlineStr">
        <is>
          <t>B</t>
        </is>
      </c>
      <c r="C120" s="67" t="inlineStr">
        <is>
          <t>疑義</t>
        </is>
      </c>
      <c r="D120" s="68" t="inlineStr">
        <is>
          <t>★令和2年（2020年）の年齢3区分の計が総人口に1人足りない理由（国勢調査の年齢不詳か入力の誤りか）</t>
        </is>
      </c>
      <c r="E120" s="68" t="inlineStr">
        <is>
          <t>Ⅱ-59 第1号被保険者数の推計</t>
        </is>
      </c>
      <c r="F120" s="67" t="inlineStr">
        <is>
          <t>0.95</t>
        </is>
      </c>
      <c r="G120" s="67" t="inlineStr">
        <is>
          <t>束1</t>
        </is>
      </c>
      <c r="H120" s="51" t="n"/>
    </row>
    <row r="121" ht="30" customHeight="1">
      <c r="A121" s="67" t="inlineStr">
        <is>
          <t>K-197</t>
        </is>
      </c>
      <c r="B121" s="67" t="inlineStr">
        <is>
          <t>B</t>
        </is>
      </c>
      <c r="C121" s="67" t="inlineStr">
        <is>
          <t>疑義</t>
        </is>
      </c>
      <c r="D121" s="68" t="inlineStr">
        <is>
          <t>★「見える化」地域分析の「在宅死亡者数（自宅）」の単位（36.74・単位は「人」とされている）</t>
        </is>
      </c>
      <c r="E121" s="68" t="inlineStr">
        <is>
          <t>Ⅱ-56 計画数値の評価（計画値と実績の乖離分析）</t>
        </is>
      </c>
      <c r="F121" s="67" t="inlineStr">
        <is>
          <t>0.95</t>
        </is>
      </c>
      <c r="G121" s="67" t="inlineStr">
        <is>
          <t>束2</t>
        </is>
      </c>
      <c r="H121" s="51" t="n"/>
    </row>
    <row r="122" ht="30" customHeight="1">
      <c r="A122" s="67" t="inlineStr">
        <is>
          <t>K-204</t>
        </is>
      </c>
      <c r="B122" s="67" t="inlineStr">
        <is>
          <t>B</t>
        </is>
      </c>
      <c r="C122" s="67" t="inlineStr">
        <is>
          <t>データ</t>
        </is>
      </c>
      <c r="D122" s="68" t="inlineStr">
        <is>
          <t>★新高額障害福祉サービス等給付費の対象となる介護保険サービスの種類と本村の該当者</t>
        </is>
      </c>
      <c r="E122" s="68" t="inlineStr">
        <is>
          <t>Ⅱ-56 計画数値の評価（計画値と実績の乖離分析）</t>
        </is>
      </c>
      <c r="F122" s="67" t="inlineStr">
        <is>
          <t>0.95</t>
        </is>
      </c>
      <c r="G122" s="67" t="inlineStr">
        <is>
          <t>束2</t>
        </is>
      </c>
      <c r="H122" s="51" t="n"/>
    </row>
    <row r="124" ht="20" customHeight="1">
      <c r="A124" s="38" t="inlineStr">
        <is>
          <t>■ 令和8年10月13日の作業順位　— ペンディングがなく進められるもの</t>
        </is>
      </c>
    </row>
    <row r="125" ht="24" customHeight="1">
      <c r="A125" s="3" t="inlineStr">
        <is>
          <t>順位</t>
        </is>
      </c>
      <c r="B125" s="3" t="inlineStr">
        <is>
          <t>WBS No.</t>
        </is>
      </c>
      <c r="C125" s="3" t="inlineStr">
        <is>
          <t>作業項目</t>
        </is>
      </c>
      <c r="D125" s="3" t="inlineStr">
        <is>
          <t>現進捗</t>
        </is>
      </c>
      <c r="E125" s="3" t="inlineStr">
        <is>
          <t>行うこと</t>
        </is>
      </c>
      <c r="F125" s="3" t="inlineStr">
        <is>
          <t>完了の判定</t>
        </is>
      </c>
      <c r="G125" s="3" t="inlineStr">
        <is>
          <t>所要</t>
        </is>
      </c>
      <c r="H125" s="3" t="inlineStr"/>
    </row>
    <row r="126" ht="48" customHeight="1">
      <c r="A126" s="90" t="n">
        <v>1</v>
      </c>
      <c r="B126" s="67" t="inlineStr">
        <is>
          <t>Ⅳ-91</t>
        </is>
      </c>
      <c r="C126" s="68" t="inlineStr">
        <is>
          <t>電子媒体の作成（Word/Excel/PowerPoint/PDF）</t>
        </is>
      </c>
      <c r="D126" s="67" t="inlineStr">
        <is>
          <t>0.55</t>
        </is>
      </c>
      <c r="E126" s="68" t="inlineStr">
        <is>
          <t>電子媒体にPDFを収める。仕様書5③-aは「Word・Excel・PowerPoint・PDF形式等」を求めており、これまで「変換ができない環境のため未作成」としていた（doc83で変換できるようになった）。build_nohin.py に、成果品のdocxからPDFを作って 01_計画書・03_委員会資料 に並べる手順を加える。ただし当方の環境に游ゴシックがなくIPAゴシックに置き換わるため、そのまま納品してはならない。フォントが置き換わったかどうかを確かめ、置き換わっている場合は 00_媒体の構成.txt に「游ゴシックの入った環境で作り直すこと」を申し送る。</t>
        </is>
      </c>
      <c r="F126" s="68" t="inlineStr">
        <is>
          <t>build_nohin.py がPDFを作って並べること。フォントの置換の有無を確かめ、置換があるときは申し送りに現れること。点検17（収録しないと定めたものが紛れていないこと）が通ること。置換のない環境で作り直す手順が doc に書かれていること。</t>
        </is>
      </c>
      <c r="G126" s="67" t="inlineStr">
        <is>
          <t>3時間</t>
        </is>
      </c>
      <c r="H126" s="51" t="n"/>
    </row>
    <row r="127" ht="48" customHeight="1">
      <c r="A127" s="90" t="n">
        <v>2</v>
      </c>
      <c r="B127" s="67" t="inlineStr">
        <is>
          <t>Ⅴ-100</t>
        </is>
      </c>
      <c r="C127" s="68" t="inlineStr">
        <is>
          <t>進捗管理・課題管理</t>
        </is>
      </c>
      <c r="D127" s="67" t="inlineStr">
        <is>
          <t>0.75</t>
        </is>
      </c>
      <c r="E127" s="68" t="inlineStr">
        <is>
          <t>照会票の優先度S・Aの件について、村にお見せする文の1文目がお願いになっているかを見直す。照会票は「当方の現在の扱い」を文の単位で170字まで出すため、背景から書き始めるとお願いが切れて村に届かない。資6の6件は10月12日に直した（doc85）が、ほかの件は見ていない。見出しだけで何をすればよいか読める件は直さなくてよい。</t>
        </is>
      </c>
      <c r="F127" s="68" t="inlineStr">
        <is>
          <t>優先度S・Aの件それぞれについて、票に出る文を実際に組み立てて目で見たうえで、直した件と直さなくてよいと判断した件が分かれていること。</t>
        </is>
      </c>
      <c r="G127" s="67" t="inlineStr">
        <is>
          <t>2時間</t>
        </is>
      </c>
      <c r="H127" s="51" t="n"/>
    </row>
    <row r="128" ht="48" customHeight="1">
      <c r="A128" s="90" t="n">
        <v>3</v>
      </c>
      <c r="B128" s="67" t="inlineStr">
        <is>
          <t>Ⅰ-104</t>
        </is>
      </c>
      <c r="C128" s="68" t="inlineStr">
        <is>
          <t>入力データの精度管理（論理チェック・ベリファイ）</t>
        </is>
      </c>
      <c r="D128" s="67" t="inlineStr">
        <is>
          <t>0.80</t>
        </is>
      </c>
      <c r="E128" s="68" t="inlineStr">
        <is>
          <t>【校了版の調査票Wordを受領できた場合のみ】コードブックを校了版から作り直す。在宅調査の設問番号の＋1、問10のサービス12→9（記号A〜I）、問8への「15.なし」「16.わからない」の追加、ニーズ問4(15)の削除、問7(5)(8)(10)の選択肢の順序を反映する。あわせて9月4日版の読み取りの不備7件（C01 1件・C02 5件・C03 1件）を解消し、派生変数S01・S02の参照設問を校了版の番号に直す。校了版を受領したら、施策2-5の指標が頼る問7(11)の選択肢に「地域・近所の見守り、声かけ」があることもあわせて確かめる（doc87 §2-1）。受領できない場合は着手しない（版を推測して直すと、どの版でもない第3の版ができる）。</t>
        </is>
      </c>
      <c r="F128" s="68" t="inlineStr">
        <is>
          <t>shukei_check.py が --暫定 なしで通ること（版の食い違いが解消すること）。コードブックの点検（C01〜C05）が0件になること。verify_shukei 点検21が「版が合っているため断りは不要」に変わること。問7(11)の選択肢の確認の結果が記録されていること。</t>
        </is>
      </c>
      <c r="G128" s="67" t="inlineStr">
        <is>
          <t>半日</t>
        </is>
      </c>
      <c r="H128" s="51" t="n"/>
    </row>
    <row r="130" ht="20" customHeight="1">
      <c r="A130" s="38" t="inlineStr">
        <is>
          <t>■ 翌営業日に着手しない未完了のWBSとその理由</t>
        </is>
      </c>
    </row>
    <row r="131" ht="22" customHeight="1">
      <c r="A131" s="3" t="inlineStr">
        <is>
          <t>WBS No.</t>
        </is>
      </c>
      <c r="B131" s="3" t="inlineStr">
        <is>
          <t>作業項目</t>
        </is>
      </c>
      <c r="C131" s="3" t="inlineStr">
        <is>
          <t>状況</t>
        </is>
      </c>
      <c r="D131" s="3" t="inlineStr">
        <is>
          <t>進捗</t>
        </is>
      </c>
      <c r="E131" s="3" t="inlineStr">
        <is>
          <t>着手しない理由</t>
        </is>
      </c>
      <c r="F131" s="3" t="inlineStr"/>
      <c r="G131" s="3" t="inlineStr"/>
      <c r="H131" s="3" t="inlineStr"/>
    </row>
    <row r="132" ht="22" customHeight="1">
      <c r="A132" s="67" t="inlineStr">
        <is>
          <t>０-02</t>
        </is>
      </c>
      <c r="B132" s="68" t="inlineStr">
        <is>
          <t>契約締結</t>
        </is>
      </c>
      <c r="C132" s="67" t="inlineStr">
        <is>
          <t>確認中</t>
        </is>
      </c>
      <c r="D132" s="67" t="inlineStr">
        <is>
          <t>0.50</t>
        </is>
      </c>
      <c r="E132" s="68" t="inlineStr">
        <is>
          <t>村の内部手続（契約書の取り交わし）を待つ。</t>
        </is>
      </c>
      <c r="F132" s="51" t="n"/>
      <c r="G132" s="51" t="n"/>
      <c r="H132" s="51" t="n"/>
    </row>
    <row r="133" ht="22" customHeight="1">
      <c r="A133" s="67" t="inlineStr">
        <is>
          <t>０-04</t>
        </is>
      </c>
      <c r="B133" s="68" t="inlineStr">
        <is>
          <t>連絡体制・資料授受方法の確定</t>
        </is>
      </c>
      <c r="C133" s="67" t="inlineStr">
        <is>
          <t>着手</t>
        </is>
      </c>
      <c r="D133" s="67" t="inlineStr">
        <is>
          <t>0.50</t>
        </is>
      </c>
      <c r="E133" s="68" t="inlineStr">
        <is>
          <t>所管課の確認を待つ。照会は束6に含める。</t>
        </is>
      </c>
      <c r="F133" s="51" t="n"/>
      <c r="G133" s="51" t="n"/>
      <c r="H133" s="51" t="n"/>
    </row>
    <row r="134" ht="22" customHeight="1">
      <c r="A134" s="67" t="inlineStr">
        <is>
          <t>０-05</t>
        </is>
      </c>
      <c r="B134" s="68" t="inlineStr">
        <is>
          <t>現行計画・関連計画・実績資料の受領</t>
        </is>
      </c>
      <c r="C134" s="67" t="inlineStr">
        <is>
          <t>着手</t>
        </is>
      </c>
      <c r="D134" s="67" t="inlineStr">
        <is>
          <t>0.70</t>
        </is>
      </c>
      <c r="E134" s="68" t="inlineStr">
        <is>
          <t>第五次総合振興計画・第3次健康21・障がい福祉計画の受領を待つ。</t>
        </is>
      </c>
      <c r="F134" s="51" t="n"/>
      <c r="G134" s="51" t="n"/>
      <c r="H134" s="51" t="n"/>
    </row>
    <row r="135" ht="22" customHeight="1">
      <c r="A135" s="67" t="inlineStr">
        <is>
          <t>０-06</t>
        </is>
      </c>
      <c r="B135" s="68" t="inlineStr">
        <is>
          <t>見える化システムのID・パスワードの受領</t>
        </is>
      </c>
      <c r="C135" s="67" t="inlineStr">
        <is>
          <t>着手</t>
        </is>
      </c>
      <c r="D135" s="67" t="inlineStr">
        <is>
          <t>0.90</t>
        </is>
      </c>
      <c r="E135" s="68" t="inlineStr">
        <is>
          <t>受領データで作業は進んでいる。アカウントの授受は体制の整理にとどまる。</t>
        </is>
      </c>
      <c r="F135" s="51" t="n"/>
      <c r="G135" s="51" t="n"/>
      <c r="H135" s="51" t="n"/>
    </row>
    <row r="136" ht="22" customHeight="1">
      <c r="A136" s="67" t="inlineStr">
        <is>
          <t>Ⅰ-101</t>
        </is>
      </c>
      <c r="B136" s="68" t="inlineStr">
        <is>
          <t>ウェブ回答フォームの公開・稼働確認・受付停止</t>
        </is>
      </c>
      <c r="C136" s="67" t="inlineStr">
        <is>
          <t>着手</t>
        </is>
      </c>
      <c r="D136" s="67" t="inlineStr">
        <is>
          <t>0.70</t>
        </is>
      </c>
      <c r="E136" s="68" t="inlineStr">
        <is>
          <t>調査工程。調査票は他メンバーが作成しているため当方では作業しない。</t>
        </is>
      </c>
      <c r="F136" s="51" t="n"/>
      <c r="G136" s="51" t="n"/>
      <c r="H136" s="51" t="n"/>
    </row>
    <row r="137" ht="22" customHeight="1">
      <c r="A137" s="67" t="inlineStr">
        <is>
          <t>Ⅰ-30</t>
        </is>
      </c>
      <c r="B137" s="68" t="inlineStr">
        <is>
          <t>回収状況の管理</t>
        </is>
      </c>
      <c r="C137" s="67" t="inlineStr">
        <is>
          <t>着手</t>
        </is>
      </c>
      <c r="D137" s="67" t="inlineStr">
        <is>
          <t>0.40</t>
        </is>
      </c>
      <c r="E137" s="68" t="inlineStr">
        <is>
          <t>調査工程。調査票は他メンバーが作成しているため当方では作業しない。</t>
        </is>
      </c>
      <c r="F137" s="51" t="n"/>
      <c r="G137" s="51" t="n"/>
      <c r="H137" s="51" t="n"/>
    </row>
    <row r="138" ht="22" customHeight="1">
      <c r="A138" s="67" t="inlineStr">
        <is>
          <t>Ⅰ-31</t>
        </is>
      </c>
      <c r="B138" s="68" t="inlineStr">
        <is>
          <t>督促（リマインド）の実施</t>
        </is>
      </c>
      <c r="C138" s="67" t="inlineStr">
        <is>
          <t>未着手</t>
        </is>
      </c>
      <c r="D138" s="67" t="inlineStr">
        <is>
          <t>0.00</t>
        </is>
      </c>
      <c r="E138" s="68" t="inlineStr">
        <is>
          <t>調査工程。調査票は他メンバーが作成しているため当方では作業しない。</t>
        </is>
      </c>
      <c r="F138" s="51" t="n"/>
      <c r="G138" s="51" t="n"/>
      <c r="H138" s="51" t="n"/>
    </row>
    <row r="139" ht="22" customHeight="1">
      <c r="A139" s="67" t="inlineStr">
        <is>
          <t>Ⅰ-32</t>
        </is>
      </c>
      <c r="B139" s="68" t="inlineStr">
        <is>
          <t>回収期限の管理・締切</t>
        </is>
      </c>
      <c r="C139" s="67" t="inlineStr">
        <is>
          <t>着手</t>
        </is>
      </c>
      <c r="D139" s="67" t="inlineStr">
        <is>
          <t>0.50</t>
        </is>
      </c>
      <c r="E139" s="68" t="inlineStr">
        <is>
          <t>調査工程。調査票は他メンバーが作成しているため当方では作業しない。</t>
        </is>
      </c>
      <c r="F139" s="51" t="n"/>
      <c r="G139" s="51" t="n"/>
      <c r="H139" s="51" t="n"/>
    </row>
    <row r="140" ht="22" customHeight="1">
      <c r="A140" s="67" t="inlineStr">
        <is>
          <t>Ⅰ-33</t>
        </is>
      </c>
      <c r="B140" s="68" t="inlineStr">
        <is>
          <t>開封確認</t>
        </is>
      </c>
      <c r="C140" s="67" t="inlineStr">
        <is>
          <t>着手</t>
        </is>
      </c>
      <c r="D140" s="67" t="inlineStr">
        <is>
          <t>0.40</t>
        </is>
      </c>
      <c r="E140" s="68" t="inlineStr">
        <is>
          <t>調査工程。調査票は他メンバーが作成しているため当方では作業しない。</t>
        </is>
      </c>
      <c r="F140" s="51" t="n"/>
      <c r="G140" s="51" t="n"/>
      <c r="H140" s="51" t="n"/>
    </row>
    <row r="141" ht="22" customHeight="1">
      <c r="A141" s="67" t="inlineStr">
        <is>
          <t>Ⅰ-94</t>
        </is>
      </c>
      <c r="B141" s="68" t="inlineStr">
        <is>
          <t>調査票の受渡し記録の作成・運用</t>
        </is>
      </c>
      <c r="C141" s="67" t="inlineStr">
        <is>
          <t>着手</t>
        </is>
      </c>
      <c r="D141" s="67" t="inlineStr">
        <is>
          <t>0.30</t>
        </is>
      </c>
      <c r="E141" s="68" t="inlineStr">
        <is>
          <t>調査工程。調査票は他メンバーが作成しているため当方では作業しない。</t>
        </is>
      </c>
      <c r="F141" s="51" t="n"/>
      <c r="G141" s="51" t="n"/>
      <c r="H141" s="51" t="n"/>
    </row>
    <row r="142" ht="22" customHeight="1">
      <c r="A142" s="67" t="inlineStr">
        <is>
          <t>Ⅰ-34</t>
        </is>
      </c>
      <c r="B142" s="68" t="inlineStr">
        <is>
          <t>用紙回答のデータ入力</t>
        </is>
      </c>
      <c r="C142" s="67" t="inlineStr">
        <is>
          <t>着手</t>
        </is>
      </c>
      <c r="D142" s="67" t="inlineStr">
        <is>
          <t>0.40</t>
        </is>
      </c>
      <c r="E142" s="68" t="inlineStr">
        <is>
          <t>調査工程。調査票は他メンバーが作成しているため当方では作業しない。</t>
        </is>
      </c>
      <c r="F142" s="51" t="n"/>
      <c r="G142" s="51" t="n"/>
      <c r="H142" s="51" t="n"/>
    </row>
    <row r="143" ht="22" customHeight="1">
      <c r="A143" s="67" t="inlineStr">
        <is>
          <t>Ⅰ-35</t>
        </is>
      </c>
      <c r="B143" s="68" t="inlineStr">
        <is>
          <t>ウェブ回答データの取込</t>
        </is>
      </c>
      <c r="C143" s="67" t="inlineStr">
        <is>
          <t>着手</t>
        </is>
      </c>
      <c r="D143" s="67" t="inlineStr">
        <is>
          <t>0.40</t>
        </is>
      </c>
      <c r="E143" s="68" t="inlineStr">
        <is>
          <t>調査工程。調査票は他メンバーが作成しているため当方では作業しない。</t>
        </is>
      </c>
      <c r="F143" s="51" t="n"/>
      <c r="G143" s="51" t="n"/>
      <c r="H143" s="51" t="n"/>
    </row>
    <row r="144" ht="22" customHeight="1">
      <c r="A144" s="67" t="inlineStr">
        <is>
          <t>Ⅰ-36</t>
        </is>
      </c>
      <c r="B144" s="68" t="inlineStr">
        <is>
          <t>重複回答の排除</t>
        </is>
      </c>
      <c r="C144" s="67" t="inlineStr">
        <is>
          <t>着手</t>
        </is>
      </c>
      <c r="D144" s="67" t="inlineStr">
        <is>
          <t>0.90</t>
        </is>
      </c>
      <c r="E144" s="68" t="inlineStr">
        <is>
          <t>調査工程。調査票は他メンバーが作成しているため当方では作業しない。</t>
        </is>
      </c>
      <c r="F144" s="51" t="n"/>
      <c r="G144" s="51" t="n"/>
      <c r="H144" s="51" t="n"/>
    </row>
    <row r="145" ht="22" customHeight="1">
      <c r="A145" s="67" t="inlineStr">
        <is>
          <t>Ⅰ-37</t>
        </is>
      </c>
      <c r="B145" s="68" t="inlineStr">
        <is>
          <t>要介護認定データの受領</t>
        </is>
      </c>
      <c r="C145" s="67" t="inlineStr">
        <is>
          <t>確認中</t>
        </is>
      </c>
      <c r="D145" s="67" t="inlineStr">
        <is>
          <t>0.30</t>
        </is>
      </c>
      <c r="E145" s="68" t="inlineStr">
        <is>
          <t>調査工程。調査票は他メンバーが作成しているため当方では作業しない。</t>
        </is>
      </c>
      <c r="F145" s="51" t="n"/>
      <c r="G145" s="51" t="n"/>
      <c r="H145" s="51" t="n"/>
    </row>
    <row r="146" ht="22" customHeight="1">
      <c r="A146" s="67" t="inlineStr">
        <is>
          <t>Ⅰ-38</t>
        </is>
      </c>
      <c r="B146" s="68" t="inlineStr">
        <is>
          <t>認定データとの関連付け（自動プログラム）</t>
        </is>
      </c>
      <c r="C146" s="67" t="inlineStr">
        <is>
          <t>未着手</t>
        </is>
      </c>
      <c r="D146" s="67" t="inlineStr">
        <is>
          <t>0.00</t>
        </is>
      </c>
      <c r="E146" s="68" t="inlineStr">
        <is>
          <t>調査工程。調査票は他メンバーが作成しているため当方では作業しない。</t>
        </is>
      </c>
      <c r="F146" s="51" t="n"/>
      <c r="G146" s="51" t="n"/>
      <c r="H146" s="51" t="n"/>
    </row>
    <row r="147" ht="22" customHeight="1">
      <c r="A147" s="67" t="inlineStr">
        <is>
          <t>Ⅰ-39</t>
        </is>
      </c>
      <c r="B147" s="68" t="inlineStr">
        <is>
          <t>単純集計</t>
        </is>
      </c>
      <c r="C147" s="67" t="inlineStr">
        <is>
          <t>着手</t>
        </is>
      </c>
      <c r="D147" s="67" t="inlineStr">
        <is>
          <t>0.70</t>
        </is>
      </c>
      <c r="E147" s="68" t="inlineStr">
        <is>
          <t>集計・分析は当方の担当。調査票の回収を待つ（ダミーデータによる検証は済み）。</t>
        </is>
      </c>
      <c r="F147" s="51" t="n"/>
      <c r="G147" s="51" t="n"/>
      <c r="H147" s="51" t="n"/>
    </row>
    <row r="148" ht="22" customHeight="1">
      <c r="A148" s="67" t="inlineStr">
        <is>
          <t>Ⅰ-40</t>
        </is>
      </c>
      <c r="B148" s="68" t="inlineStr">
        <is>
          <t>基本属性別クロス集計（地区・性別・年齢）</t>
        </is>
      </c>
      <c r="C148" s="67" t="inlineStr">
        <is>
          <t>着手</t>
        </is>
      </c>
      <c r="D148" s="67" t="inlineStr">
        <is>
          <t>0.70</t>
        </is>
      </c>
      <c r="E148" s="68" t="inlineStr">
        <is>
          <t>集計・分析は当方の担当。調査票の回収を待つ（ダミーデータによる検証は済み）。</t>
        </is>
      </c>
      <c r="F148" s="51" t="n"/>
      <c r="G148" s="51" t="n"/>
      <c r="H148" s="51" t="n"/>
    </row>
    <row r="149" ht="22" customHeight="1">
      <c r="A149" s="67" t="inlineStr">
        <is>
          <t>Ⅰ-41</t>
        </is>
      </c>
      <c r="B149" s="68" t="inlineStr">
        <is>
          <t>時系列比較（第8期・第9期との対比）</t>
        </is>
      </c>
      <c r="C149" s="67" t="inlineStr">
        <is>
          <t>確認中</t>
        </is>
      </c>
      <c r="D149" s="67" t="inlineStr">
        <is>
          <t>0.20</t>
        </is>
      </c>
      <c r="E149" s="68" t="inlineStr">
        <is>
          <t>集計・分析は当方の担当。調査票の回収を待つ（ダミーデータによる検証は済み）。</t>
        </is>
      </c>
      <c r="F149" s="51" t="n"/>
      <c r="G149" s="51" t="n"/>
      <c r="H149" s="51" t="n"/>
    </row>
    <row r="150" ht="22" customHeight="1">
      <c r="A150" s="67" t="inlineStr">
        <is>
          <t>Ⅰ-42</t>
        </is>
      </c>
      <c r="B150" s="68" t="inlineStr">
        <is>
          <t>設問間クロス集計</t>
        </is>
      </c>
      <c r="C150" s="67" t="inlineStr">
        <is>
          <t>着手</t>
        </is>
      </c>
      <c r="D150" s="67" t="inlineStr">
        <is>
          <t>0.65</t>
        </is>
      </c>
      <c r="E150" s="68" t="inlineStr">
        <is>
          <t>集計・分析は当方の担当。調査票の回収を待つ（ダミーデータによる検証は済み）。</t>
        </is>
      </c>
      <c r="F150" s="51" t="n"/>
      <c r="G150" s="51" t="n"/>
      <c r="H150" s="51" t="n"/>
    </row>
    <row r="151" ht="22" customHeight="1">
      <c r="A151" s="67" t="inlineStr">
        <is>
          <t>Ⅰ-43</t>
        </is>
      </c>
      <c r="B151" s="68" t="inlineStr">
        <is>
          <t>リスク判定11種の算出</t>
        </is>
      </c>
      <c r="C151" s="67" t="inlineStr">
        <is>
          <t>着手</t>
        </is>
      </c>
      <c r="D151" s="67" t="inlineStr">
        <is>
          <t>0.70</t>
        </is>
      </c>
      <c r="E151" s="68" t="inlineStr">
        <is>
          <t>集計・分析は当方の担当。調査票の回収を待つ（ダミーデータによる検証は済み）。</t>
        </is>
      </c>
      <c r="F151" s="51" t="n"/>
      <c r="G151" s="51" t="n"/>
      <c r="H151" s="51" t="n"/>
    </row>
    <row r="152" ht="22" customHeight="1">
      <c r="A152" s="67" t="inlineStr">
        <is>
          <t>Ⅰ-44</t>
        </is>
      </c>
      <c r="B152" s="68" t="inlineStr">
        <is>
          <t>自由記述の整理</t>
        </is>
      </c>
      <c r="C152" s="67" t="inlineStr">
        <is>
          <t>着手</t>
        </is>
      </c>
      <c r="D152" s="67" t="inlineStr">
        <is>
          <t>0.10</t>
        </is>
      </c>
      <c r="E152" s="68" t="inlineStr">
        <is>
          <t>集計・分析は当方の担当。調査票の回収を待つ（ダミーデータによる検証は済み）。</t>
        </is>
      </c>
      <c r="F152" s="51" t="n"/>
      <c r="G152" s="51" t="n"/>
      <c r="H152" s="51" t="n"/>
    </row>
    <row r="153" ht="22" customHeight="1">
      <c r="A153" s="67" t="inlineStr">
        <is>
          <t>Ⅰ-45</t>
        </is>
      </c>
      <c r="B153" s="68" t="inlineStr">
        <is>
          <t>在宅調査の要介護度別・介護者就労状況別分析</t>
        </is>
      </c>
      <c r="C153" s="67" t="inlineStr">
        <is>
          <t>着手</t>
        </is>
      </c>
      <c r="D153" s="67" t="inlineStr">
        <is>
          <t>0.65</t>
        </is>
      </c>
      <c r="E153" s="68" t="inlineStr">
        <is>
          <t>集計・分析は当方の担当。調査票の回収を待つ（ダミーデータによる検証は済み）。</t>
        </is>
      </c>
      <c r="F153" s="51" t="n"/>
      <c r="G153" s="51" t="n"/>
      <c r="H153" s="51" t="n"/>
    </row>
    <row r="154" ht="22" customHeight="1">
      <c r="A154" s="67" t="inlineStr">
        <is>
          <t>Ⅰ-46</t>
        </is>
      </c>
      <c r="B154" s="68" t="inlineStr">
        <is>
          <t>見える化システム登録用データの作成</t>
        </is>
      </c>
      <c r="C154" s="67" t="inlineStr">
        <is>
          <t>着手</t>
        </is>
      </c>
      <c r="D154" s="67" t="inlineStr">
        <is>
          <t>0.30</t>
        </is>
      </c>
      <c r="E154" s="68" t="inlineStr">
        <is>
          <t>集計・分析は当方の担当。調査票の回収を待つ（ダミーデータによる検証は済み）。</t>
        </is>
      </c>
      <c r="F154" s="51" t="n"/>
      <c r="G154" s="51" t="n"/>
      <c r="H154" s="51" t="n"/>
    </row>
    <row r="155" ht="22" customHeight="1">
      <c r="A155" s="67" t="inlineStr">
        <is>
          <t>Ⅰ-95</t>
        </is>
      </c>
      <c r="B155" s="68" t="inlineStr">
        <is>
          <t>ICFの構成要素に基づくクロス分析の設計</t>
        </is>
      </c>
      <c r="C155" s="67" t="inlineStr">
        <is>
          <t>着手</t>
        </is>
      </c>
      <c r="D155" s="67" t="inlineStr">
        <is>
          <t>0.80</t>
        </is>
      </c>
      <c r="E155" s="68" t="inlineStr">
        <is>
          <t>調査工程。調査票は他メンバーが作成しているため当方では作業しない。</t>
        </is>
      </c>
      <c r="F155" s="51" t="n"/>
      <c r="G155" s="51" t="n"/>
      <c r="H155" s="51" t="n"/>
    </row>
    <row r="156" ht="22" customHeight="1">
      <c r="A156" s="67" t="inlineStr">
        <is>
          <t>Ⅰ-47</t>
        </is>
      </c>
      <c r="B156" s="68" t="inlineStr">
        <is>
          <t>設問ごとのグラフ作成</t>
        </is>
      </c>
      <c r="C156" s="67" t="inlineStr">
        <is>
          <t>未着手</t>
        </is>
      </c>
      <c r="D156" s="67" t="inlineStr">
        <is>
          <t>0.00</t>
        </is>
      </c>
      <c r="E156" s="68" t="inlineStr">
        <is>
          <t>調査工程。調査票は他メンバーが作成しているため当方では作業しない。</t>
        </is>
      </c>
      <c r="F156" s="51" t="n"/>
      <c r="G156" s="51" t="n"/>
      <c r="H156" s="51" t="n"/>
    </row>
    <row r="157" ht="22" customHeight="1">
      <c r="A157" s="67" t="inlineStr">
        <is>
          <t>Ⅰ-48</t>
        </is>
      </c>
      <c r="B157" s="68" t="inlineStr">
        <is>
          <t>調査結果報告書の執筆・レイアウト</t>
        </is>
      </c>
      <c r="C157" s="67" t="inlineStr">
        <is>
          <t>着手</t>
        </is>
      </c>
      <c r="D157" s="67" t="inlineStr">
        <is>
          <t>0.30</t>
        </is>
      </c>
      <c r="E157" s="68" t="inlineStr">
        <is>
          <t>調査工程。調査票は他メンバーが作成しているため当方では作業しない。</t>
        </is>
      </c>
      <c r="F157" s="51" t="n"/>
      <c r="G157" s="51" t="n"/>
      <c r="H157" s="51" t="n"/>
    </row>
    <row r="158" ht="22" customHeight="1">
      <c r="A158" s="67" t="inlineStr">
        <is>
          <t>Ⅰ-49</t>
        </is>
      </c>
      <c r="B158" s="68" t="inlineStr">
        <is>
          <t>報告書の村確認・修正</t>
        </is>
      </c>
      <c r="C158" s="67" t="inlineStr">
        <is>
          <t>未着手</t>
        </is>
      </c>
      <c r="D158" s="67" t="inlineStr">
        <is>
          <t>0.00</t>
        </is>
      </c>
      <c r="E158" s="68" t="inlineStr">
        <is>
          <t>調査工程。調査票は他メンバーが作成しているため当方では作業しない。</t>
        </is>
      </c>
      <c r="F158" s="51" t="n"/>
      <c r="G158" s="51" t="n"/>
      <c r="H158" s="51" t="n"/>
    </row>
    <row r="159" ht="22" customHeight="1">
      <c r="A159" s="67" t="inlineStr">
        <is>
          <t>Ⅱ-50</t>
        </is>
      </c>
      <c r="B159" s="68" t="inlineStr">
        <is>
          <t>制度改正動向の資料収集・整理</t>
        </is>
      </c>
      <c r="C159" s="67" t="inlineStr">
        <is>
          <t>着手</t>
        </is>
      </c>
      <c r="D159" s="67" t="inlineStr">
        <is>
          <t>0.98</t>
        </is>
      </c>
      <c r="E159" s="68" t="inlineStr">
        <is>
          <t>制度改正の動向は告示を待つ。進捗0.98で、残るのは基本指針の告示後の反映のみ。</t>
        </is>
      </c>
      <c r="F159" s="51" t="n"/>
      <c r="G159" s="51" t="n"/>
      <c r="H159" s="51" t="n"/>
    </row>
    <row r="160" ht="22" customHeight="1">
      <c r="A160" s="67" t="inlineStr">
        <is>
          <t>Ⅱ-51</t>
        </is>
      </c>
      <c r="B160" s="68" t="inlineStr">
        <is>
          <t>第10期国の基本指針の確認・反映</t>
        </is>
      </c>
      <c r="C160" s="67" t="inlineStr">
        <is>
          <t>着手</t>
        </is>
      </c>
      <c r="D160" s="67" t="inlineStr">
        <is>
          <t>0.85</t>
        </is>
      </c>
      <c r="E160" s="68" t="inlineStr">
        <is>
          <t>基本指針の別表11事項への対応表（資6）は作り終えた。「一部」の4事項（三・六・七・八）のうち、三・七・八は村・県へのご回答を待つ（10/12に照会の文面を整えた。doc85）。六は当方の在宅介護実態調査の結果で埋まる。点検69が追いかける先のない「一部」を捕らえる。</t>
        </is>
      </c>
      <c r="F160" s="51" t="n"/>
      <c r="G160" s="51" t="n"/>
      <c r="H160" s="51" t="n"/>
    </row>
    <row r="161" ht="22" customHeight="1">
      <c r="A161" s="67" t="inlineStr">
        <is>
          <t>Ⅱ-53</t>
        </is>
      </c>
      <c r="B161" s="68" t="inlineStr">
        <is>
          <t>高齢者福祉事業等の実績資料の受領</t>
        </is>
      </c>
      <c r="C161" s="67" t="inlineStr">
        <is>
          <t>着手</t>
        </is>
      </c>
      <c r="D161" s="67" t="inlineStr">
        <is>
          <t>0.55</t>
        </is>
      </c>
      <c r="E161" s="68" t="inlineStr">
        <is>
          <t>村提供の実績資料を待つ（束2）。</t>
        </is>
      </c>
      <c r="F161" s="51" t="n"/>
      <c r="G161" s="51" t="n"/>
      <c r="H161" s="51" t="n"/>
    </row>
    <row r="162" ht="22" customHeight="1">
      <c r="A162" s="67" t="inlineStr">
        <is>
          <t>Ⅱ-54</t>
        </is>
      </c>
      <c r="B162" s="68" t="inlineStr">
        <is>
          <t>高齢者福祉事業等の実施状況の把握と課題整理</t>
        </is>
      </c>
      <c r="C162" s="67" t="inlineStr">
        <is>
          <t>着手</t>
        </is>
      </c>
      <c r="D162" s="67" t="inlineStr">
        <is>
          <t>0.88</t>
        </is>
      </c>
      <c r="E162" s="68" t="inlineStr">
        <is>
          <t>4-6の12事業は村の実績の受領を待つ（束2）。</t>
        </is>
      </c>
      <c r="F162" s="51" t="n"/>
      <c r="G162" s="51" t="n"/>
      <c r="H162" s="51" t="n"/>
    </row>
    <row r="163" ht="22" customHeight="1">
      <c r="A163" s="67" t="inlineStr">
        <is>
          <t>Ⅱ-55</t>
        </is>
      </c>
      <c r="B163" s="68" t="inlineStr">
        <is>
          <t>介護保険給付統計の取りまとめ</t>
        </is>
      </c>
      <c r="C163" s="67" t="inlineStr">
        <is>
          <t>着手</t>
        </is>
      </c>
      <c r="D163" s="67" t="inlineStr">
        <is>
          <t>0.85</t>
        </is>
      </c>
      <c r="E163" s="68" t="inlineStr">
        <is>
          <t>令和6・7年度の決算を待つ（束2）。</t>
        </is>
      </c>
      <c r="F163" s="51" t="n"/>
      <c r="G163" s="51" t="n"/>
      <c r="H163" s="51" t="n"/>
    </row>
    <row r="164" ht="22" customHeight="1">
      <c r="A164" s="67" t="inlineStr">
        <is>
          <t>Ⅱ-56</t>
        </is>
      </c>
      <c r="B164" s="68" t="inlineStr">
        <is>
          <t>計画数値の評価（計画値と実績の乖離分析）</t>
        </is>
      </c>
      <c r="C164" s="67" t="inlineStr">
        <is>
          <t>着手</t>
        </is>
      </c>
      <c r="D164" s="67" t="inlineStr">
        <is>
          <t>0.95</t>
        </is>
      </c>
      <c r="E164" s="68" t="inlineStr">
        <is>
          <t>国の推計ワークシートと将来推計総括表を待つ（束1・束2／影響度1）。施設サービス3種の受給者数は、受給者1人あたり給付月額の系列がないため按分の参考値のままであり、月報 第2表・第3表を待つ（束2）。</t>
        </is>
      </c>
      <c r="F164" s="51" t="n"/>
      <c r="G164" s="51" t="n"/>
      <c r="H164" s="51" t="n"/>
    </row>
    <row r="165" ht="22" customHeight="1">
      <c r="A165" s="67" t="inlineStr">
        <is>
          <t>Ⅱ-115</t>
        </is>
      </c>
      <c r="B165" s="68" t="inlineStr">
        <is>
          <t>見える化システムの収録データの受領と成果品との突合</t>
        </is>
      </c>
      <c r="C165" s="67" t="inlineStr">
        <is>
          <t>着手</t>
        </is>
      </c>
      <c r="D165" s="67" t="inlineStr">
        <is>
          <t>0.98</t>
        </is>
      </c>
      <c r="E165" s="68" t="inlineStr">
        <is>
          <t>受領データとの突合は72件まで進めた。残るのは見える化に相手がない指標で、村の実績の受領を待つ（束2）。</t>
        </is>
      </c>
      <c r="F165" s="51" t="n"/>
      <c r="G165" s="51" t="n"/>
      <c r="H165" s="51" t="n"/>
    </row>
    <row r="166" ht="22" customHeight="1">
      <c r="A166" s="67" t="inlineStr">
        <is>
          <t>Ⅱ-59</t>
        </is>
      </c>
      <c r="B166" s="68" t="inlineStr">
        <is>
          <t>第1号被保険者数の推計</t>
        </is>
      </c>
      <c r="C166" s="67" t="inlineStr">
        <is>
          <t>着手</t>
        </is>
      </c>
      <c r="D166" s="67" t="inlineStr">
        <is>
          <t>0.95</t>
        </is>
      </c>
      <c r="E166" s="68" t="inlineStr">
        <is>
          <t>素案5-2を国の推計ワークシートの3区分に組み替えた（10/7）。当方の検算を併記する形でよいかのご確認を待つ（束1）。</t>
        </is>
      </c>
      <c r="F166" s="51" t="n"/>
      <c r="G166" s="51" t="n"/>
      <c r="H166" s="51" t="n"/>
    </row>
    <row r="167" ht="22" customHeight="1">
      <c r="A167" s="67" t="inlineStr">
        <is>
          <t>Ⅱ-60</t>
        </is>
      </c>
      <c r="B167" s="68" t="inlineStr">
        <is>
          <t>要介護者数の推計</t>
        </is>
      </c>
      <c r="C167" s="67" t="inlineStr">
        <is>
          <t>着手</t>
        </is>
      </c>
      <c r="D167" s="67" t="inlineStr">
        <is>
          <t>0.95</t>
        </is>
      </c>
      <c r="E167" s="68" t="inlineStr">
        <is>
          <t>特定地域サービスの活用の意向を待つ（束1）。</t>
        </is>
      </c>
      <c r="F167" s="51" t="n"/>
      <c r="G167" s="51" t="n"/>
      <c r="H167" s="51" t="n"/>
    </row>
    <row r="168" ht="22" customHeight="1">
      <c r="A168" s="67" t="inlineStr">
        <is>
          <t>Ⅱ-61</t>
        </is>
      </c>
      <c r="B168" s="68" t="inlineStr">
        <is>
          <t>各介護保険サービス見込量の推計</t>
        </is>
      </c>
      <c r="C168" s="67" t="inlineStr">
        <is>
          <t>着手</t>
        </is>
      </c>
      <c r="D168" s="67" t="inlineStr">
        <is>
          <t>0.95</t>
        </is>
      </c>
      <c r="E168" s="68" t="inlineStr">
        <is>
          <t>介護SCRとケアプラン点検の体制を待つ（束2・束3）。</t>
        </is>
      </c>
      <c r="F168" s="51" t="n"/>
      <c r="G168" s="51" t="n"/>
      <c r="H168" s="51" t="n"/>
    </row>
    <row r="169" ht="22" customHeight="1">
      <c r="A169" s="67" t="inlineStr">
        <is>
          <t>Ⅱ-105</t>
        </is>
      </c>
      <c r="B169" s="68" t="inlineStr">
        <is>
          <t>地域密着型サービスの必要利用定員総数の設定</t>
        </is>
      </c>
      <c r="C169" s="67" t="inlineStr">
        <is>
          <t>着手</t>
        </is>
      </c>
      <c r="D169" s="67" t="inlineStr">
        <is>
          <t>0.95</t>
        </is>
      </c>
      <c r="E169" s="68" t="inlineStr">
        <is>
          <t>施設・居住系5サービスの見込量を県の整備量見込みシートの値に置き換えた（10/8）。必要利用定員総数27人は県に提出済みで確定した。満床の見込みであるため、待機の状況（人数・待機期間）の把握を待つ（束2）。</t>
        </is>
      </c>
      <c r="F169" s="51" t="n"/>
      <c r="G169" s="51" t="n"/>
      <c r="H169" s="51" t="n"/>
    </row>
    <row r="170" ht="22" customHeight="1">
      <c r="A170" s="67" t="inlineStr">
        <is>
          <t>Ⅱ-106</t>
        </is>
      </c>
      <c r="B170" s="68" t="inlineStr">
        <is>
          <t>地域支援事業の量の見込みと事業費の算定</t>
        </is>
      </c>
      <c r="C170" s="67" t="inlineStr">
        <is>
          <t>着手</t>
        </is>
      </c>
      <c r="D170" s="67" t="inlineStr">
        <is>
          <t>0.80</t>
        </is>
      </c>
      <c r="E170" s="68" t="inlineStr">
        <is>
          <t>令和6・7年度の地域支援事業費の決算を待つ（束2）。</t>
        </is>
      </c>
      <c r="F170" s="51" t="n"/>
      <c r="G170" s="51" t="n"/>
      <c r="H170" s="51" t="n"/>
    </row>
    <row r="171" ht="22" customHeight="1">
      <c r="A171" s="67" t="inlineStr">
        <is>
          <t>Ⅱ-62</t>
        </is>
      </c>
      <c r="B171" s="68" t="inlineStr">
        <is>
          <t>給付費の試算</t>
        </is>
      </c>
      <c r="C171" s="67" t="inlineStr">
        <is>
          <t>着手</t>
        </is>
      </c>
      <c r="D171" s="67" t="inlineStr">
        <is>
          <t>0.90</t>
        </is>
      </c>
      <c r="E171" s="68" t="inlineStr">
        <is>
          <t>国の推計ワークシートは受領した（10/7）。令和9年度以降も0で入っている6サービスを0のままとしてよいかの回答を待つ（束1・期限10/13 18時）。</t>
        </is>
      </c>
      <c r="F171" s="51" t="n"/>
      <c r="G171" s="51" t="n"/>
      <c r="H171" s="51" t="n"/>
    </row>
    <row r="172" ht="22" customHeight="1">
      <c r="A172" s="67" t="inlineStr">
        <is>
          <t>Ⅱ-63</t>
        </is>
      </c>
      <c r="B172" s="68" t="inlineStr">
        <is>
          <t>介護保険準備基金の残高・取崩方針の確認</t>
        </is>
      </c>
      <c r="C172" s="67" t="inlineStr">
        <is>
          <t>着手</t>
        </is>
      </c>
      <c r="D172" s="67" t="inlineStr">
        <is>
          <t>0.75</t>
        </is>
      </c>
      <c r="E172" s="68" t="inlineStr">
        <is>
          <t>基金の残高42,128,183円・取崩額40,000,000円は確定した（10/7）。取崩額の水準の判断と条例の確認を待つ（束1）。</t>
        </is>
      </c>
      <c r="F172" s="51" t="n"/>
      <c r="G172" s="51" t="n"/>
      <c r="H172" s="51" t="n"/>
    </row>
    <row r="173" ht="22" customHeight="1">
      <c r="A173" s="67" t="inlineStr">
        <is>
          <t>Ⅱ-64</t>
        </is>
      </c>
      <c r="B173" s="68" t="inlineStr">
        <is>
          <t>介護保険料の試算（複数案の比較）</t>
        </is>
      </c>
      <c r="C173" s="67" t="inlineStr">
        <is>
          <t>着手</t>
        </is>
      </c>
      <c r="D173" s="67" t="inlineStr">
        <is>
          <t>0.96</t>
        </is>
      </c>
      <c r="E173" s="68" t="inlineStr">
        <is>
          <t>10/9 に基金の取崩しの3案を国の推計ワークシートの算定の上に組み直した（doc73。A案 取崩なし 条例6,600円／B案 24,000千円 6,000円／C案 40,000千円 5,500円）。残るのは取崩額の水準の村の判断（束1）、第11期の確実な値を得るためのワークシートの操作（束1）、感応度・12のパターン・年度別の収納必要額の組み替え（令和6・7年度の決算）である。</t>
        </is>
      </c>
      <c r="F173" s="51" t="n"/>
      <c r="G173" s="51" t="n"/>
      <c r="H173" s="51" t="n"/>
    </row>
    <row r="174" ht="22" customHeight="1">
      <c r="A174" s="67" t="inlineStr">
        <is>
          <t>Ⅱ-107</t>
        </is>
      </c>
      <c r="B174" s="68" t="inlineStr">
        <is>
          <t>所得段階の設定（段階数・保険料率・低所得者軽減）</t>
        </is>
      </c>
      <c r="C174" s="67" t="inlineStr">
        <is>
          <t>着手</t>
        </is>
      </c>
      <c r="D174" s="67" t="inlineStr">
        <is>
          <t>0.70</t>
        </is>
      </c>
      <c r="E174" s="68" t="inlineStr">
        <is>
          <t>国の推計ワークシートは受領した（10/7）。村は標準の段階区分で提出していることを確認した。段階の区切りを見直すかどうかの村の判断を待つ（束1）。</t>
        </is>
      </c>
      <c r="F174" s="51" t="n"/>
      <c r="G174" s="51" t="n"/>
      <c r="H174" s="51" t="n"/>
    </row>
    <row r="175" ht="22" customHeight="1">
      <c r="A175" s="67" t="inlineStr">
        <is>
          <t>Ⅱ-65</t>
        </is>
      </c>
      <c r="B175" s="68" t="inlineStr">
        <is>
          <t>成果目標及び活動指標の設定</t>
        </is>
      </c>
      <c r="C175" s="67" t="inlineStr">
        <is>
          <t>着手</t>
        </is>
      </c>
      <c r="D175" s="67" t="inlineStr">
        <is>
          <t>0.92</t>
        </is>
      </c>
      <c r="E175" s="68" t="inlineStr">
        <is>
          <t>交付金の評価が求める分析の空白は0件になった。目標値の設定は通いの場の基準値と村の実績の受領を待つ（束3）。</t>
        </is>
      </c>
      <c r="F175" s="51" t="n"/>
      <c r="G175" s="51" t="n"/>
      <c r="H175" s="51" t="n"/>
    </row>
    <row r="176" ht="22" customHeight="1">
      <c r="A176" s="67" t="inlineStr">
        <is>
          <t>Ⅱ-109</t>
        </is>
      </c>
      <c r="B176" s="68" t="inlineStr">
        <is>
          <t>給付適正化に係る取組内容と目標の設定</t>
        </is>
      </c>
      <c r="C176" s="67" t="inlineStr">
        <is>
          <t>着手</t>
        </is>
      </c>
      <c r="D176" s="67" t="inlineStr">
        <is>
          <t>0.70</t>
        </is>
      </c>
      <c r="E176" s="68" t="inlineStr">
        <is>
          <t>主要3事業の現状値は交付金の明細から置いた。件数の目標は村の点検実績の受領を待つ（束3）。</t>
        </is>
      </c>
      <c r="F176" s="51" t="n"/>
      <c r="G176" s="51" t="n"/>
      <c r="H176" s="51" t="n"/>
    </row>
    <row r="177" ht="22" customHeight="1">
      <c r="A177" s="67" t="inlineStr">
        <is>
          <t>Ⅱ-67</t>
        </is>
      </c>
      <c r="B177" s="68" t="inlineStr">
        <is>
          <t>次期計画に盛り込む施策の検討</t>
        </is>
      </c>
      <c r="C177" s="67" t="inlineStr">
        <is>
          <t>着手</t>
        </is>
      </c>
      <c r="D177" s="67" t="inlineStr">
        <is>
          <t>0.85</t>
        </is>
      </c>
      <c r="E177" s="68" t="inlineStr">
        <is>
          <t>交付金の未得点項目の取組可否を待つ（束3）。</t>
        </is>
      </c>
      <c r="F177" s="51" t="n"/>
      <c r="G177" s="51" t="n"/>
      <c r="H177" s="51" t="n"/>
    </row>
    <row r="178" ht="22" customHeight="1">
      <c r="A178" s="67" t="inlineStr">
        <is>
          <t>Ⅱ-110</t>
        </is>
      </c>
      <c r="B178" s="68" t="inlineStr">
        <is>
          <t>老人福祉事業の量の目標の設定</t>
        </is>
      </c>
      <c r="C178" s="67" t="inlineStr">
        <is>
          <t>着手</t>
        </is>
      </c>
      <c r="D178" s="67" t="inlineStr">
        <is>
          <t>0.70</t>
        </is>
      </c>
      <c r="E178" s="68" t="inlineStr">
        <is>
          <t>12事業の枠と確保の方策は揃った。年度別の目標量は村の実績の受領を待つ（束2）。</t>
        </is>
      </c>
      <c r="F178" s="51" t="n"/>
      <c r="G178" s="51" t="n"/>
      <c r="H178" s="51" t="n"/>
    </row>
    <row r="179" ht="22" customHeight="1">
      <c r="A179" s="67" t="inlineStr">
        <is>
          <t>Ⅱ-68</t>
        </is>
      </c>
      <c r="B179" s="68" t="inlineStr">
        <is>
          <t>制度の利用実態・考え方の情報提供</t>
        </is>
      </c>
      <c r="C179" s="67" t="inlineStr">
        <is>
          <t>着手</t>
        </is>
      </c>
      <c r="D179" s="67" t="inlineStr">
        <is>
          <t>0.70</t>
        </is>
      </c>
      <c r="E179" s="68" t="inlineStr">
        <is>
          <t>認知症関連事業の実績を待つ（束4）。</t>
        </is>
      </c>
      <c r="F179" s="51" t="n"/>
      <c r="G179" s="51" t="n"/>
      <c r="H179" s="51" t="n"/>
    </row>
    <row r="180" ht="22" customHeight="1">
      <c r="A180" s="67" t="inlineStr">
        <is>
          <t>Ⅱ-69</t>
        </is>
      </c>
      <c r="B180" s="68" t="inlineStr">
        <is>
          <t>利用促進の方向性・計画案の提示</t>
        </is>
      </c>
      <c r="C180" s="67" t="inlineStr">
        <is>
          <t>着手</t>
        </is>
      </c>
      <c r="D180" s="67" t="inlineStr">
        <is>
          <t>0.40</t>
        </is>
      </c>
      <c r="E180" s="68" t="inlineStr">
        <is>
          <t>成年後見制度利用支援事業の要綱の確認を待つ（束4）。</t>
        </is>
      </c>
      <c r="F180" s="51" t="n"/>
      <c r="G180" s="51" t="n"/>
      <c r="H180" s="51" t="n"/>
    </row>
    <row r="181" ht="22" customHeight="1">
      <c r="A181" s="67" t="inlineStr">
        <is>
          <t>Ⅱ-71</t>
        </is>
      </c>
      <c r="B181" s="68" t="inlineStr">
        <is>
          <t>施策体系の整理</t>
        </is>
      </c>
      <c r="C181" s="67" t="inlineStr">
        <is>
          <t>着手</t>
        </is>
      </c>
      <c r="D181" s="67" t="inlineStr">
        <is>
          <t>0.95</t>
        </is>
      </c>
      <c r="E181" s="68" t="inlineStr">
        <is>
          <t>基本理念の決定に連動する（束5）。</t>
        </is>
      </c>
      <c r="F181" s="51" t="n"/>
      <c r="G181" s="51" t="n"/>
      <c r="H181" s="51" t="n"/>
    </row>
    <row r="182" ht="22" customHeight="1">
      <c r="A182" s="67" t="inlineStr">
        <is>
          <t>Ⅱ-72</t>
        </is>
      </c>
      <c r="B182" s="68" t="inlineStr">
        <is>
          <t>関連計画との整合確認</t>
        </is>
      </c>
      <c r="C182" s="67" t="inlineStr">
        <is>
          <t>着手</t>
        </is>
      </c>
      <c r="D182" s="67" t="inlineStr">
        <is>
          <t>0.88</t>
        </is>
      </c>
      <c r="E182" s="68" t="inlineStr">
        <is>
          <t>資9（関連計画との対照）を新設した（10/10）。★10/12 障がい福祉計画との突合を版ごと組み直し、受け取った照会Ｋ-1〜Ｋ-8の8件すべてに応答した（doc87・seigo_han.py）。★10/13 障がい福祉計画の側から申し送り（10/12付）を受け取った（doc89）。立ててほしいと言われた5件（うち3件は既に反映済み）と、当方の確認事項3件への回答を取り込んだ。照会はＫ-9まで9件、渡す事項は7件。成年後見の条文の誤り（第2項第2号→第3項第3号）を正し、共生型の「村内3か所」の数え方・新高額の対象5種・受給者証の5つを素案に明記した。相手の素案との突合は、内容のハッシュと16語の数え上げで毎回確かめる（--shoumei・seigo_go.py）。未受領4計画の受領と、本計画に独立した「障がい福祉計画との連携」の節を置くかどうかの村のご確認を待つ。</t>
        </is>
      </c>
      <c r="F182" s="51" t="n"/>
      <c r="G182" s="51" t="n"/>
      <c r="H182" s="51" t="n"/>
    </row>
    <row r="183" ht="22" customHeight="1">
      <c r="A183" s="67" t="inlineStr">
        <is>
          <t>Ⅱ-111</t>
        </is>
      </c>
      <c r="B183" s="68" t="inlineStr">
        <is>
          <t>計画の名称・計画期間の表記の統一</t>
        </is>
      </c>
      <c r="C183" s="67" t="inlineStr">
        <is>
          <t>着手</t>
        </is>
      </c>
      <c r="D183" s="67" t="inlineStr">
        <is>
          <t>0.90</t>
        </is>
      </c>
      <c r="E183" s="68" t="inlineStr">
        <is>
          <t>本則を定め走査を入れた。計画の名称が村の決裁で確定するまで仮のまま置く。</t>
        </is>
      </c>
      <c r="F183" s="51" t="n"/>
      <c r="G183" s="51" t="n"/>
      <c r="H183" s="51" t="n"/>
    </row>
    <row r="184" ht="22" customHeight="1">
      <c r="A184" s="67" t="inlineStr">
        <is>
          <t>Ⅱ-73</t>
        </is>
      </c>
      <c r="B184" s="68" t="inlineStr">
        <is>
          <t>一体的策定の範囲の確認</t>
        </is>
      </c>
      <c r="C184" s="67" t="inlineStr">
        <is>
          <t>着手</t>
        </is>
      </c>
      <c r="D184" s="67" t="inlineStr">
        <is>
          <t>0.60</t>
        </is>
      </c>
      <c r="E184" s="68" t="inlineStr">
        <is>
          <t>一体的策定の範囲の確認を待つ（束5）。</t>
        </is>
      </c>
      <c r="F184" s="51" t="n"/>
      <c r="G184" s="51" t="n"/>
      <c r="H184" s="51" t="n"/>
    </row>
    <row r="185" ht="22" customHeight="1">
      <c r="A185" s="67" t="inlineStr">
        <is>
          <t>Ⅱ-75</t>
        </is>
      </c>
      <c r="B185" s="68" t="inlineStr">
        <is>
          <t>素案の作成</t>
        </is>
      </c>
      <c r="C185" s="67" t="inlineStr">
        <is>
          <t>着手</t>
        </is>
      </c>
      <c r="D185" s="67" t="inlineStr">
        <is>
          <t>0.98</t>
        </is>
      </c>
      <c r="E185" s="68" t="inlineStr">
        <is>
          <t>記載事項・図表・重複・事実関係は整え、10/10に紙面を通して確かめた（素案139頁。孤立行5件と見出しの取り残し1件を直した。doc86）。残るのは保険料・定員・目標値の確定と、游ゴシックで組んだ紙面の村側での確認である。</t>
        </is>
      </c>
      <c r="F185" s="51" t="n"/>
      <c r="G185" s="51" t="n"/>
      <c r="H185" s="51" t="n"/>
    </row>
    <row r="186" ht="22" customHeight="1">
      <c r="A186" s="67" t="inlineStr">
        <is>
          <t>Ⅱ-112</t>
        </is>
      </c>
      <c r="B186" s="68" t="inlineStr">
        <is>
          <t>策定委員会の審議意見の反映</t>
        </is>
      </c>
      <c r="C186" s="67" t="inlineStr">
        <is>
          <t>未着手</t>
        </is>
      </c>
      <c r="D186" s="67" t="inlineStr">
        <is>
          <t>0.00</t>
        </is>
      </c>
      <c r="E186" s="68" t="inlineStr">
        <is>
          <t>第2回策定委員会の開催を待つ。</t>
        </is>
      </c>
      <c r="F186" s="51" t="n"/>
      <c r="G186" s="51" t="n"/>
      <c r="H186" s="51" t="n"/>
    </row>
    <row r="187" ht="22" customHeight="1">
      <c r="A187" s="67" t="inlineStr">
        <is>
          <t>Ⅱ-76</t>
        </is>
      </c>
      <c r="B187" s="68" t="inlineStr">
        <is>
          <t>パブリックコメントの実施</t>
        </is>
      </c>
      <c r="C187" s="67" t="inlineStr">
        <is>
          <t>未着手</t>
        </is>
      </c>
      <c r="D187" s="67" t="inlineStr">
        <is>
          <t>0.00</t>
        </is>
      </c>
      <c r="E187" s="68" t="inlineStr">
        <is>
          <t>パブリックコメントの時期の決定を待つ（束6）。</t>
        </is>
      </c>
      <c r="F187" s="51" t="n"/>
      <c r="G187" s="51" t="n"/>
      <c r="H187" s="51" t="n"/>
    </row>
    <row r="188" ht="22" customHeight="1">
      <c r="A188" s="67" t="inlineStr">
        <is>
          <t>Ⅱ-77</t>
        </is>
      </c>
      <c r="B188" s="68" t="inlineStr">
        <is>
          <t>パブリックコメント意見の反映</t>
        </is>
      </c>
      <c r="C188" s="67" t="inlineStr">
        <is>
          <t>未着手</t>
        </is>
      </c>
      <c r="D188" s="67" t="inlineStr">
        <is>
          <t>0.00</t>
        </is>
      </c>
      <c r="E188" s="68" t="inlineStr">
        <is>
          <t>同上。</t>
        </is>
      </c>
      <c r="F188" s="51" t="n"/>
      <c r="G188" s="51" t="n"/>
      <c r="H188" s="51" t="n"/>
    </row>
    <row r="189" ht="22" customHeight="1">
      <c r="A189" s="67" t="inlineStr">
        <is>
          <t>Ⅱ-78</t>
        </is>
      </c>
      <c r="B189" s="68" t="inlineStr">
        <is>
          <t>原案の作成</t>
        </is>
      </c>
      <c r="C189" s="67" t="inlineStr">
        <is>
          <t>未着手</t>
        </is>
      </c>
      <c r="D189" s="67" t="inlineStr">
        <is>
          <t>0.00</t>
        </is>
      </c>
      <c r="E189" s="68" t="inlineStr">
        <is>
          <t>第3回策定委員会の審議を待つ。</t>
        </is>
      </c>
      <c r="F189" s="51" t="n"/>
      <c r="G189" s="51" t="n"/>
      <c r="H189" s="51" t="n"/>
    </row>
    <row r="190" ht="22" customHeight="1">
      <c r="A190" s="67" t="inlineStr">
        <is>
          <t>Ⅱ-79</t>
        </is>
      </c>
      <c r="B190" s="68" t="inlineStr">
        <is>
          <t>計画書の最終取りまとめ</t>
        </is>
      </c>
      <c r="C190" s="67" t="inlineStr">
        <is>
          <t>未着手</t>
        </is>
      </c>
      <c r="D190" s="67" t="inlineStr">
        <is>
          <t>0.00</t>
        </is>
      </c>
      <c r="E190" s="68" t="inlineStr">
        <is>
          <t>同上。</t>
        </is>
      </c>
      <c r="F190" s="51" t="n"/>
      <c r="G190" s="51" t="n"/>
      <c r="H190" s="51" t="n"/>
    </row>
    <row r="191" ht="22" customHeight="1">
      <c r="A191" s="67" t="inlineStr">
        <is>
          <t>Ⅱ-113</t>
        </is>
      </c>
      <c r="B191" s="68" t="inlineStr">
        <is>
          <t>計画書のレイアウト・校正</t>
        </is>
      </c>
      <c r="C191" s="67" t="inlineStr">
        <is>
          <t>着手</t>
        </is>
      </c>
      <c r="D191" s="67" t="inlineStr">
        <is>
          <t>0.70</t>
        </is>
      </c>
      <c r="E191" s="68" t="inlineStr">
        <is>
          <t>削減案12案（A〜H・J〜M）の対応表を実測で作った（doc84）。紙面も通して確かめ、表の孤立行5件と見出しの取り残し1件を直した（doc86）。★10/12 書き足したぶんを測り直し、何も行わない125頁・A〜L 110頁・A〜M 109頁とした（doc87）。どの案を行うかは村の判断であり、ご回答を待つ。</t>
        </is>
      </c>
      <c r="F191" s="51" t="n"/>
      <c r="G191" s="51" t="n"/>
      <c r="H191" s="51" t="n"/>
    </row>
    <row r="192" ht="22" customHeight="1">
      <c r="A192" s="67" t="inlineStr">
        <is>
          <t>Ⅱ-117</t>
        </is>
      </c>
      <c r="B192" s="68" t="inlineStr">
        <is>
          <t>成果品の自己点検（記載事項の網羅性・制約の走査）</t>
        </is>
      </c>
      <c r="C192" s="67" t="inlineStr">
        <is>
          <t>着手</t>
        </is>
      </c>
      <c r="D192" s="67" t="inlineStr">
        <is>
          <t>0.95</t>
        </is>
      </c>
      <c r="E192" s="68" t="inlineStr">
        <is>
          <t>成果品を変えるたびに走らせており、翌営業日の作業として別に立てない。素案64件・WBS 21件・委員会資料21件・見える化72件・集計仕様書16件・レッドチーム走査の6観点がある。素案の点検52（分量の削減案）は村の判断（K-190）を待つため不適合のまま報告し続ける。残るのは紙面の目視確認であり、当方の環境では docx から PDF への変換ができないため村側での確認を要する。「ない」「未実施」と述べている箇所の総当たりは10月8日に終えた（点検59・点検64）。</t>
        </is>
      </c>
      <c r="F192" s="51" t="n"/>
      <c r="G192" s="51" t="n"/>
      <c r="H192" s="51" t="n"/>
    </row>
    <row r="193" ht="22" customHeight="1">
      <c r="A193" s="67" t="inlineStr">
        <is>
          <t>Ⅱ-80</t>
        </is>
      </c>
      <c r="B193" s="68" t="inlineStr">
        <is>
          <t>委員の改選・委嘱</t>
        </is>
      </c>
      <c r="C193" s="67" t="inlineStr">
        <is>
          <t>未着手</t>
        </is>
      </c>
      <c r="D193" s="67" t="inlineStr">
        <is>
          <t>0.00</t>
        </is>
      </c>
      <c r="E193" s="68" t="inlineStr">
        <is>
          <t>村の内部手続（委員の改選・委嘱）を待つ（束6）。</t>
        </is>
      </c>
      <c r="F193" s="51" t="n"/>
      <c r="G193" s="51" t="n"/>
      <c r="H193" s="51" t="n"/>
    </row>
    <row r="194" ht="22" customHeight="1">
      <c r="A194" s="67" t="inlineStr">
        <is>
          <t>Ⅱ-83</t>
        </is>
      </c>
      <c r="B194" s="68" t="inlineStr">
        <is>
          <t>第2回 会議資料の作成</t>
        </is>
      </c>
      <c r="C194" s="67" t="inlineStr">
        <is>
          <t>着手</t>
        </is>
      </c>
      <c r="D194" s="67" t="inlineStr">
        <is>
          <t>0.88</t>
        </is>
      </c>
      <c r="E194" s="68" t="inlineStr">
        <is>
          <t>10/9 に資料6の6-3bを3案に組み直し、【要算定】を解消した（doc73）。残るのは資料1の委員名簿（委嘱後に記入）と資料3の数値（調査の集計後）で、いずれも村の対応と調査の回収を待つ。</t>
        </is>
      </c>
      <c r="F194" s="51" t="n"/>
      <c r="G194" s="51" t="n"/>
      <c r="H194" s="51" t="n"/>
    </row>
    <row r="195" ht="22" customHeight="1">
      <c r="A195" s="67" t="inlineStr">
        <is>
          <t>Ⅱ-84</t>
        </is>
      </c>
      <c r="B195" s="68" t="inlineStr">
        <is>
          <t>第2回 会議出席・会議記録（要旨）の作成</t>
        </is>
      </c>
      <c r="C195" s="67" t="inlineStr">
        <is>
          <t>未着手</t>
        </is>
      </c>
      <c r="D195" s="67" t="inlineStr">
        <is>
          <t>0.00</t>
        </is>
      </c>
      <c r="E195" s="68" t="inlineStr">
        <is>
          <t>第2回策定委員会の開催を待つ。</t>
        </is>
      </c>
      <c r="F195" s="51" t="n"/>
      <c r="G195" s="51" t="n"/>
      <c r="H195" s="51" t="n"/>
    </row>
    <row r="196" ht="22" customHeight="1">
      <c r="A196" s="67" t="inlineStr">
        <is>
          <t>Ⅱ-85</t>
        </is>
      </c>
      <c r="B196" s="68" t="inlineStr">
        <is>
          <t>第3回 会議資料の作成</t>
        </is>
      </c>
      <c r="C196" s="67" t="inlineStr">
        <is>
          <t>着手</t>
        </is>
      </c>
      <c r="D196" s="67" t="inlineStr">
        <is>
          <t>0.45</t>
        </is>
      </c>
      <c r="E196" s="68" t="inlineStr">
        <is>
          <t>確定した11件は資料に書き加えた（10/10）。残るのは第2回の審議結果と、確定していない20件である。第2回の開催を待つ。</t>
        </is>
      </c>
      <c r="F196" s="51" t="n"/>
      <c r="G196" s="51" t="n"/>
      <c r="H196" s="51" t="n"/>
    </row>
    <row r="197" ht="22" customHeight="1">
      <c r="A197" s="67" t="inlineStr">
        <is>
          <t>Ⅱ-86</t>
        </is>
      </c>
      <c r="B197" s="68" t="inlineStr">
        <is>
          <t>第3回 会議出席・会議記録（要旨）の作成</t>
        </is>
      </c>
      <c r="C197" s="67" t="inlineStr">
        <is>
          <t>未着手</t>
        </is>
      </c>
      <c r="D197" s="67" t="inlineStr">
        <is>
          <t>0.00</t>
        </is>
      </c>
      <c r="E197" s="68" t="inlineStr">
        <is>
          <t>第3回策定委員会の開催を待つ。</t>
        </is>
      </c>
      <c r="F197" s="51" t="n"/>
      <c r="G197" s="51" t="n"/>
      <c r="H197" s="51" t="n"/>
    </row>
    <row r="198" ht="22" customHeight="1">
      <c r="A198" s="67" t="inlineStr">
        <is>
          <t>Ⅱ-93</t>
        </is>
      </c>
      <c r="B198" s="68" t="inlineStr">
        <is>
          <t>議会全員協議会 説明資料の作成</t>
        </is>
      </c>
      <c r="C198" s="67" t="inlineStr">
        <is>
          <t>未着手</t>
        </is>
      </c>
      <c r="D198" s="67" t="inlineStr">
        <is>
          <t>0.00</t>
        </is>
      </c>
      <c r="E198" s="68" t="inlineStr">
        <is>
          <t>議会の日程を待つ。</t>
        </is>
      </c>
      <c r="F198" s="51" t="n"/>
      <c r="G198" s="51" t="n"/>
      <c r="H198" s="51" t="n"/>
    </row>
    <row r="199" ht="22" customHeight="1">
      <c r="A199" s="67" t="inlineStr">
        <is>
          <t>Ⅲ-87</t>
        </is>
      </c>
      <c r="B199" s="68" t="inlineStr">
        <is>
          <t>定例打合せの実施（電話・オンライン・対面）</t>
        </is>
      </c>
      <c r="C199" s="67" t="inlineStr">
        <is>
          <t>着手</t>
        </is>
      </c>
      <c r="D199" s="67" t="inlineStr">
        <is>
          <t>0.10</t>
        </is>
      </c>
      <c r="E199" s="68" t="inlineStr">
        <is>
          <t>村との日程調整による。</t>
        </is>
      </c>
      <c r="F199" s="51" t="n"/>
      <c r="G199" s="51" t="n"/>
      <c r="H199" s="51" t="n"/>
    </row>
    <row r="200" ht="22" customHeight="1">
      <c r="A200" s="67" t="inlineStr">
        <is>
          <t>Ⅲ-88</t>
        </is>
      </c>
      <c r="B200" s="68" t="inlineStr">
        <is>
          <t>資料授受の管理</t>
        </is>
      </c>
      <c r="C200" s="67" t="inlineStr">
        <is>
          <t>着手</t>
        </is>
      </c>
      <c r="D200" s="67" t="inlineStr">
        <is>
          <t>0.35</t>
        </is>
      </c>
      <c r="E200" s="68" t="inlineStr">
        <is>
          <t>受領のたびに随時更新している。</t>
        </is>
      </c>
      <c r="F200" s="51" t="n"/>
      <c r="G200" s="51" t="n"/>
      <c r="H200" s="51" t="n"/>
    </row>
    <row r="201" ht="22" customHeight="1">
      <c r="A201" s="67" t="inlineStr">
        <is>
          <t>Ⅳ-89</t>
        </is>
      </c>
      <c r="B201" s="68" t="inlineStr">
        <is>
          <t>計画書の印刷・製本（A4両面約100頁・くるみ製本）</t>
        </is>
      </c>
      <c r="C201" s="67" t="inlineStr">
        <is>
          <t>未着手</t>
        </is>
      </c>
      <c r="D201" s="67" t="inlineStr">
        <is>
          <t>0.00</t>
        </is>
      </c>
      <c r="E201" s="68" t="inlineStr">
        <is>
          <t>計画書の確定を待つ。</t>
        </is>
      </c>
      <c r="F201" s="51" t="n"/>
      <c r="G201" s="51" t="n"/>
      <c r="H201" s="51" t="n"/>
    </row>
    <row r="202" ht="22" customHeight="1">
      <c r="A202" s="67" t="inlineStr">
        <is>
          <t>Ⅳ-90</t>
        </is>
      </c>
      <c r="B202" s="68" t="inlineStr">
        <is>
          <t>アンケート調査報告書の印刷・製本（ホチキス製本）</t>
        </is>
      </c>
      <c r="C202" s="67" t="inlineStr">
        <is>
          <t>未着手</t>
        </is>
      </c>
      <c r="D202" s="67" t="inlineStr">
        <is>
          <t>0.00</t>
        </is>
      </c>
      <c r="E202" s="68" t="inlineStr">
        <is>
          <t>調査結果報告書の確定を待つ。</t>
        </is>
      </c>
      <c r="F202" s="51" t="n"/>
      <c r="G202" s="51" t="n"/>
      <c r="H202" s="51" t="n"/>
    </row>
    <row r="203" ht="22" customHeight="1">
      <c r="A203" s="67" t="inlineStr">
        <is>
          <t>Ⅳ-114</t>
        </is>
      </c>
      <c r="B203" s="68" t="inlineStr">
        <is>
          <t>納品物に収録する範囲の確定（個人情報の非収録）</t>
        </is>
      </c>
      <c r="C203" s="67" t="inlineStr">
        <is>
          <t>着手</t>
        </is>
      </c>
      <c r="D203" s="67" t="inlineStr">
        <is>
          <t>0.80</t>
        </is>
      </c>
      <c r="E203" s="68" t="inlineStr">
        <is>
          <t>収録する範囲は10月2日に定めた（nohin_data.py）。村の確認を待つ（束6）。</t>
        </is>
      </c>
      <c r="F203" s="51" t="n"/>
      <c r="G203" s="51" t="n"/>
      <c r="H203" s="51" t="n"/>
    </row>
    <row r="204" ht="22" customHeight="1">
      <c r="A204" s="67" t="inlineStr">
        <is>
          <t>Ⅳ-92</t>
        </is>
      </c>
      <c r="B204" s="68" t="inlineStr">
        <is>
          <t>概要版の作成</t>
        </is>
      </c>
      <c r="C204" s="67" t="inlineStr">
        <is>
          <t>着手</t>
        </is>
      </c>
      <c r="D204" s="67" t="inlineStr">
        <is>
          <t>0.35</t>
        </is>
      </c>
      <c r="E204" s="68" t="inlineStr">
        <is>
          <t>骨子を固めた（10/10）。保険料の基準額を載せるため、基金の取崩しの3案のご決定（第3回策定委員会）を受けてからでないと中身を作れない。仕様の範囲内か追加対応かの村のご確認も待つ。</t>
        </is>
      </c>
      <c r="F204" s="51" t="n"/>
      <c r="G204" s="51" t="n"/>
      <c r="H204" s="51" t="n"/>
    </row>
    <row r="205" ht="22" customHeight="1">
      <c r="A205" s="67" t="inlineStr">
        <is>
          <t>Ⅳ-96</t>
        </is>
      </c>
      <c r="B205" s="68" t="inlineStr">
        <is>
          <t>納品・検収</t>
        </is>
      </c>
      <c r="C205" s="67" t="inlineStr">
        <is>
          <t>未着手</t>
        </is>
      </c>
      <c r="D205" s="67" t="inlineStr">
        <is>
          <t>0.00</t>
        </is>
      </c>
      <c r="E205" s="68" t="inlineStr">
        <is>
          <t>納品物の確定を待つ。</t>
        </is>
      </c>
      <c r="F205" s="51" t="n"/>
      <c r="G205" s="51" t="n"/>
      <c r="H205" s="51" t="n"/>
    </row>
    <row r="206" ht="22" customHeight="1">
      <c r="A206" s="67" t="inlineStr">
        <is>
          <t>Ⅴ-97</t>
        </is>
      </c>
      <c r="B206" s="68" t="inlineStr">
        <is>
          <t>個人情報の適正管理（アクセス制限・保管ルール）</t>
        </is>
      </c>
      <c r="C206" s="67" t="inlineStr">
        <is>
          <t>着手</t>
        </is>
      </c>
      <c r="D206" s="67" t="inlineStr">
        <is>
          <t>0.75</t>
        </is>
      </c>
      <c r="E206" s="68" t="inlineStr">
        <is>
          <t>10/9 に doc16 §3・§4 が求める4つの様式を作成した（doc74。従事者名簿・誓約書・持出簿・廃棄記録簿）。記入と誓約書の取得は契約締結の確認を待つが、調査票の回収期限（令和8年10月16日）の前に行う。村にお願いするのは村指定の様式の有無・条例の名称・研修で扱う内容の3点である。施錠可能な保管場所の確保（doc16 §9 #5）と電子データ専用領域の権限付与（同 #6）は当方の社内の手当であり、名簿の確定とあわせて行う。</t>
        </is>
      </c>
      <c r="F206" s="51" t="n"/>
      <c r="G206" s="51" t="n"/>
      <c r="H206" s="51" t="n"/>
    </row>
    <row r="207" ht="22" customHeight="1">
      <c r="A207" s="67" t="inlineStr">
        <is>
          <t>Ⅴ-98</t>
        </is>
      </c>
      <c r="B207" s="68" t="inlineStr">
        <is>
          <t>業務完了後の情報の返還・消去</t>
        </is>
      </c>
      <c r="C207" s="67" t="inlineStr">
        <is>
          <t>着手</t>
        </is>
      </c>
      <c r="D207" s="67" t="inlineStr">
        <is>
          <t>0.40</t>
        </is>
      </c>
      <c r="E207" s="68" t="inlineStr">
        <is>
          <t>手順を文書にした（doc64）。対象10件の返還・消去の別について村のご確認を待つ（束6）。</t>
        </is>
      </c>
      <c r="F207" s="51" t="n"/>
      <c r="G207" s="51" t="n"/>
      <c r="H207" s="51" t="n"/>
    </row>
    <row r="208" ht="22" customHeight="1">
      <c r="A208" s="67" t="inlineStr">
        <is>
          <t>Ⅴ-99</t>
        </is>
      </c>
      <c r="B208" s="68" t="inlineStr">
        <is>
          <t>再委託の書面承諾の取得</t>
        </is>
      </c>
      <c r="C208" s="67" t="inlineStr">
        <is>
          <t>未着手</t>
        </is>
      </c>
      <c r="D208" s="67" t="inlineStr">
        <is>
          <t>0.00</t>
        </is>
      </c>
      <c r="E208" s="68" t="inlineStr">
        <is>
          <t>再委託の予定がない。</t>
        </is>
      </c>
      <c r="F208" s="51" t="n"/>
      <c r="G208" s="51" t="n"/>
      <c r="H208" s="51" t="n"/>
    </row>
  </sheetData>
  <mergeCells count="147">
    <mergeCell ref="G81:H81"/>
    <mergeCell ref="A130:H130"/>
    <mergeCell ref="A77:H77"/>
    <mergeCell ref="E179:H179"/>
    <mergeCell ref="C9:H9"/>
    <mergeCell ref="G71:H71"/>
    <mergeCell ref="G97:H97"/>
    <mergeCell ref="E159:H159"/>
    <mergeCell ref="E208:H208"/>
    <mergeCell ref="C11:H11"/>
    <mergeCell ref="E192:H192"/>
    <mergeCell ref="E145:H145"/>
    <mergeCell ref="E139:H139"/>
    <mergeCell ref="G128:H128"/>
    <mergeCell ref="A66:H66"/>
    <mergeCell ref="E142:H142"/>
    <mergeCell ref="E194:H194"/>
    <mergeCell ref="E203:H203"/>
    <mergeCell ref="G121:H121"/>
    <mergeCell ref="E181:H181"/>
    <mergeCell ref="G68:H68"/>
    <mergeCell ref="G108:H108"/>
    <mergeCell ref="E171:H171"/>
    <mergeCell ref="G114:H114"/>
    <mergeCell ref="E153:H153"/>
    <mergeCell ref="E180:H180"/>
    <mergeCell ref="G110:H110"/>
    <mergeCell ref="E155:H155"/>
    <mergeCell ref="E137:H137"/>
    <mergeCell ref="G113:H113"/>
    <mergeCell ref="E173:H173"/>
    <mergeCell ref="G91:H91"/>
    <mergeCell ref="G85:H85"/>
    <mergeCell ref="G100:H100"/>
    <mergeCell ref="E182:H182"/>
    <mergeCell ref="G94:H94"/>
    <mergeCell ref="E157:H157"/>
    <mergeCell ref="A13:H13"/>
    <mergeCell ref="E166:H166"/>
    <mergeCell ref="G75:H75"/>
    <mergeCell ref="G84:H84"/>
    <mergeCell ref="G102:H102"/>
    <mergeCell ref="E207:H207"/>
    <mergeCell ref="E163:H163"/>
    <mergeCell ref="C10:H10"/>
    <mergeCell ref="E168:H168"/>
    <mergeCell ref="G86:H86"/>
    <mergeCell ref="G117:H117"/>
    <mergeCell ref="A24:H24"/>
    <mergeCell ref="E183:H183"/>
    <mergeCell ref="E136:H136"/>
    <mergeCell ref="G70:H70"/>
    <mergeCell ref="E193:H193"/>
    <mergeCell ref="E199:H199"/>
    <mergeCell ref="A124:H124"/>
    <mergeCell ref="G112:H112"/>
    <mergeCell ref="E175:H175"/>
    <mergeCell ref="G127:H127"/>
    <mergeCell ref="E169:H169"/>
    <mergeCell ref="E185:H185"/>
    <mergeCell ref="A2:H2"/>
    <mergeCell ref="E200:H200"/>
    <mergeCell ref="G104:H104"/>
    <mergeCell ref="E147:H147"/>
    <mergeCell ref="E156:H156"/>
    <mergeCell ref="E170:H170"/>
    <mergeCell ref="G88:H88"/>
    <mergeCell ref="E202:H202"/>
    <mergeCell ref="C6:H6"/>
    <mergeCell ref="G90:H90"/>
    <mergeCell ref="E201:H201"/>
    <mergeCell ref="G99:H99"/>
    <mergeCell ref="E148:H148"/>
    <mergeCell ref="E197:H197"/>
    <mergeCell ref="E154:H154"/>
    <mergeCell ref="G115:H115"/>
    <mergeCell ref="E187:H187"/>
    <mergeCell ref="E196:H196"/>
    <mergeCell ref="E174:H174"/>
    <mergeCell ref="G126:H126"/>
    <mergeCell ref="G122:H122"/>
    <mergeCell ref="E189:H189"/>
    <mergeCell ref="E146:H146"/>
    <mergeCell ref="G101:H101"/>
    <mergeCell ref="G116:H116"/>
    <mergeCell ref="E198:H198"/>
    <mergeCell ref="G103:H103"/>
    <mergeCell ref="C8:H8"/>
    <mergeCell ref="E151:H151"/>
    <mergeCell ref="G69:H69"/>
    <mergeCell ref="E160:H160"/>
    <mergeCell ref="G118:H118"/>
    <mergeCell ref="G87:H87"/>
    <mergeCell ref="E141:H141"/>
    <mergeCell ref="E135:H135"/>
    <mergeCell ref="E150:H150"/>
    <mergeCell ref="E132:H132"/>
    <mergeCell ref="G80:H80"/>
    <mergeCell ref="G95:H95"/>
    <mergeCell ref="G89:H89"/>
    <mergeCell ref="E143:H143"/>
    <mergeCell ref="E205:H205"/>
    <mergeCell ref="E152:H152"/>
    <mergeCell ref="E161:H161"/>
    <mergeCell ref="G79:H79"/>
    <mergeCell ref="G73:H73"/>
    <mergeCell ref="E149:H149"/>
    <mergeCell ref="E176:H176"/>
    <mergeCell ref="E158:H158"/>
    <mergeCell ref="C5:H5"/>
    <mergeCell ref="E186:H186"/>
    <mergeCell ref="G106:H106"/>
    <mergeCell ref="E191:H191"/>
    <mergeCell ref="E178:H178"/>
    <mergeCell ref="G96:H96"/>
    <mergeCell ref="G105:H105"/>
    <mergeCell ref="E162:H162"/>
    <mergeCell ref="E144:H144"/>
    <mergeCell ref="G120:H120"/>
    <mergeCell ref="G98:H98"/>
    <mergeCell ref="G107:H107"/>
    <mergeCell ref="E134:H134"/>
    <mergeCell ref="E172:H172"/>
    <mergeCell ref="E164:H164"/>
    <mergeCell ref="G82:H82"/>
    <mergeCell ref="E184:H184"/>
    <mergeCell ref="E195:H195"/>
    <mergeCell ref="G93:H93"/>
    <mergeCell ref="E204:H204"/>
    <mergeCell ref="C7:H7"/>
    <mergeCell ref="G74:H74"/>
    <mergeCell ref="E165:H165"/>
    <mergeCell ref="G83:H83"/>
    <mergeCell ref="E188:H188"/>
    <mergeCell ref="G92:H92"/>
    <mergeCell ref="E140:H140"/>
    <mergeCell ref="E206:H206"/>
    <mergeCell ref="E138:H138"/>
    <mergeCell ref="E190:H190"/>
    <mergeCell ref="A4:H4"/>
    <mergeCell ref="E177:H177"/>
    <mergeCell ref="G109:H109"/>
    <mergeCell ref="E167:H167"/>
    <mergeCell ref="G119:H119"/>
    <mergeCell ref="E133:H133"/>
    <mergeCell ref="G111:H111"/>
    <mergeCell ref="G72:H7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F100"/>
  <sheetViews>
    <sheetView zoomScale="90" workbookViewId="0">
      <selection activeCell="A1" sqref="A1"/>
    </sheetView>
  </sheetViews>
  <sheetFormatPr baseColWidth="8" defaultRowHeight="15"/>
  <cols>
    <col width="10" customWidth="1" min="1" max="1"/>
    <col width="44" customWidth="1" min="2" max="2"/>
    <col width="18" customWidth="1" min="3" max="3"/>
    <col width="70" customWidth="1" min="4" max="4"/>
    <col width="10" customWidth="1" min="5" max="5"/>
    <col width="10" customWidth="1" min="6" max="6"/>
  </cols>
  <sheetData>
    <row r="2" ht="26" customHeight="1">
      <c r="A2" s="48" t="inlineStr">
        <is>
          <t>納品物に収録する範囲（仕様書5③-b／WBS Ⅳ-114）</t>
        </is>
      </c>
    </row>
    <row r="4" ht="20" customHeight="1">
      <c r="A4" s="38" t="inlineStr">
        <is>
          <t>■ 考え方　— 仕様書は「成果品及び関連データ」とするのみで範囲を定めていない。個人情報は収録しない（doc16 §5-1・§5-2・§6）</t>
        </is>
      </c>
    </row>
    <row r="6" ht="20" customHeight="1">
      <c r="A6" s="2" t="inlineStr">
        <is>
          <t>■ 村へ申し送る事項</t>
        </is>
      </c>
    </row>
    <row r="7" ht="30" customHeight="1">
      <c r="A7" s="68" t="inlineStr">
        <is>
          <t>・調査票の個人データ（氏名・住所・被保険者番号を含む一切）は電子媒体に収録しません。doc16§5-2により、関連付けの完了後に氏名・被保険者番号を分離し、認定データの原本は村と協議のうえ消去または返還します。</t>
        </is>
      </c>
      <c r="B7" s="51" t="n"/>
      <c r="C7" s="51" t="n"/>
      <c r="D7" s="51" t="n"/>
      <c r="E7" s="51" t="n"/>
      <c r="F7" s="51" t="n"/>
    </row>
    <row r="8" ht="30" customHeight="1">
      <c r="A8" s="68" t="inlineStr">
        <is>
          <t>・管理番号と被保険者番号の対応表は収録しません（doc16§5-1）。業務完了後に消去し、消去の記録を村へ提出します（WBS Ⅴ-98）。</t>
        </is>
      </c>
      <c r="B8" s="51" t="n"/>
      <c r="C8" s="51" t="n"/>
      <c r="D8" s="51" t="n"/>
      <c r="E8" s="51" t="n"/>
      <c r="F8" s="51" t="n"/>
    </row>
    <row r="9" ht="30" customHeight="1">
      <c r="A9" s="68" t="inlineStr">
        <is>
          <t>・集計結果は、該当数10未満のクロス集計の区分を統合または非表示としたうえで収録します（doc16§6）。本村は総人口2,315人・高齢者1,015人と小規模であり、地区×性別×年齢のような多重クロスは特定の恐れがあります。</t>
        </is>
      </c>
      <c r="B9" s="51" t="n"/>
      <c r="C9" s="51" t="n"/>
      <c r="D9" s="51" t="n"/>
      <c r="E9" s="51" t="n"/>
      <c r="F9" s="51" t="n"/>
    </row>
    <row r="10" ht="30" customHeight="1">
      <c r="A10" s="68" t="inlineStr">
        <is>
          <t>・自由記述は、氏名・地区名・事業所名など個人が特定され得る記述を伏字または要約としたうえで収録します（doc16§6）。原文は収録しません。</t>
        </is>
      </c>
      <c r="B10" s="51" t="n"/>
      <c r="C10" s="51" t="n"/>
      <c r="D10" s="51" t="n"/>
      <c r="E10" s="51" t="n"/>
      <c r="F10" s="51" t="n"/>
    </row>
    <row r="11" ht="30" customHeight="1">
      <c r="A11" s="68" t="inlineStr">
        <is>
          <t>・他の県内自治体の数値を含むファイルは収録しません。比較のために参照したものであり、成果品には団体名も数値も掲げていません。</t>
        </is>
      </c>
      <c r="B11" s="51" t="n"/>
      <c r="C11" s="51" t="n"/>
      <c r="D11" s="51" t="n"/>
      <c r="E11" s="51" t="n"/>
      <c r="F11" s="51" t="n"/>
    </row>
    <row r="12" ht="30" customHeight="1">
      <c r="A12" s="68" t="inlineStr">
        <is>
          <t>・業務完了後の個人情報の返還・消去は、別に定める手順により行います。対象の一覧（宛名ラベル・対応表・調査票の原本・ウェブ回答・認定データ・個票・策定委員の連絡先・複写・バックアップ・受領資料の10件）、返還と消去の別、確かめ方、完了報告書の様式を定めています。消去は納品物の検収が済んでから行います。返還と消去の別は村にご確認いただきます。</t>
        </is>
      </c>
      <c r="B12" s="51" t="n"/>
      <c r="C12" s="51" t="n"/>
      <c r="D12" s="51" t="n"/>
      <c r="E12" s="51" t="n"/>
      <c r="F12" s="51" t="n"/>
    </row>
    <row r="13" ht="30" customHeight="1">
      <c r="A13" s="68" t="inlineStr">
        <is>
          <t>・地域包括ケア「見える化」システムの出力そのものは収録しません。村が同じシステムから出力できるためです。計画書に用いた値は図表データ管理台帳に収めており、そこから検算できます。</t>
        </is>
      </c>
      <c r="B13" s="51" t="n"/>
      <c r="C13" s="51" t="n"/>
      <c r="D13" s="51" t="n"/>
      <c r="E13" s="51" t="n"/>
      <c r="F13" s="51" t="n"/>
    </row>
    <row r="15" ht="20" customHeight="1">
      <c r="A15" s="38" t="inlineStr">
        <is>
          <t>■ 成果品　4件</t>
        </is>
      </c>
    </row>
    <row r="16" ht="20" customHeight="1">
      <c r="A16" s="3" t="inlineStr">
        <is>
          <t>区分</t>
        </is>
      </c>
      <c r="B16" s="3" t="inlineStr">
        <is>
          <t>ファイル</t>
        </is>
      </c>
      <c r="C16" s="3" t="inlineStr">
        <is>
          <t>媒体での置き場所</t>
        </is>
      </c>
      <c r="D16" s="3" t="inlineStr">
        <is>
          <t>理由</t>
        </is>
      </c>
      <c r="E16" s="65" t="n"/>
      <c r="F16" s="66" t="n"/>
    </row>
    <row r="17" ht="26" customHeight="1">
      <c r="A17" s="91" t="inlineStr">
        <is>
          <t>成果品</t>
        </is>
      </c>
      <c r="B17" s="68" t="inlineStr">
        <is>
          <t>output/06_北塩原村第10期_計画素案.docx</t>
        </is>
      </c>
      <c r="C17" s="67" t="inlineStr">
        <is>
          <t>01_計画書</t>
        </is>
      </c>
      <c r="D17" s="68" t="inlineStr">
        <is>
          <t>仕様書5①。確定後に『計画書』として差し替える</t>
        </is>
      </c>
      <c r="E17" s="51" t="n"/>
      <c r="F17" s="51" t="n"/>
    </row>
    <row r="18" ht="26" customHeight="1">
      <c r="A18" s="91" t="inlineStr">
        <is>
          <t>成果品</t>
        </is>
      </c>
      <c r="B18" s="68" t="inlineStr">
        <is>
          <t>output/07_北塩原村第10期_集計仕様書.xlsx</t>
        </is>
      </c>
      <c r="C18" s="67" t="inlineStr">
        <is>
          <t>02_調査報告書</t>
        </is>
      </c>
      <c r="D18" s="68" t="inlineStr">
        <is>
          <t>仕様書4Ⅰ(5)。集計の定義。報告書の付属</t>
        </is>
      </c>
      <c r="E18" s="51" t="n"/>
      <c r="F18" s="51" t="n"/>
    </row>
    <row r="19" ht="26" customHeight="1">
      <c r="A19" s="91" t="inlineStr">
        <is>
          <t>成果品</t>
        </is>
      </c>
      <c r="B19" s="68" t="inlineStr">
        <is>
          <t>output/08_北塩原村第10期_第2回策定委員会資料.docx</t>
        </is>
      </c>
      <c r="C19" s="67" t="inlineStr">
        <is>
          <t>03_委員会資料</t>
        </is>
      </c>
      <c r="D19" s="68" t="inlineStr">
        <is>
          <t>策定の経過。仕様書4Ⅱ(8)の会議資料</t>
        </is>
      </c>
      <c r="E19" s="51" t="n"/>
      <c r="F19" s="51" t="n"/>
    </row>
    <row r="20" ht="26" customHeight="1">
      <c r="A20" s="91" t="inlineStr">
        <is>
          <t>成果品</t>
        </is>
      </c>
      <c r="B20" s="68" t="inlineStr">
        <is>
          <t>output/12_北塩原村第10期_第3回策定委員会資料.docx</t>
        </is>
      </c>
      <c r="C20" s="67" t="inlineStr">
        <is>
          <t>03_委員会資料</t>
        </is>
      </c>
      <c r="D20" s="68" t="inlineStr">
        <is>
          <t>策定の経過。仕様書4Ⅱ(8)の会議資料。現在は骨子であり、第3回の開催前に中身を入れる</t>
        </is>
      </c>
      <c r="E20" s="51" t="n"/>
      <c r="F20" s="51" t="n"/>
    </row>
    <row r="22" ht="20" customHeight="1">
      <c r="A22" s="38" t="inlineStr">
        <is>
          <t>■ 関連　34件</t>
        </is>
      </c>
    </row>
    <row r="23" ht="20" customHeight="1">
      <c r="A23" s="3" t="inlineStr">
        <is>
          <t>区分</t>
        </is>
      </c>
      <c r="B23" s="3" t="inlineStr">
        <is>
          <t>ファイル</t>
        </is>
      </c>
      <c r="C23" s="3" t="inlineStr">
        <is>
          <t>媒体での置き場所</t>
        </is>
      </c>
      <c r="D23" s="3" t="inlineStr">
        <is>
          <t>理由</t>
        </is>
      </c>
      <c r="E23" s="65" t="n"/>
      <c r="F23" s="66" t="n"/>
    </row>
    <row r="24" ht="26" customHeight="1">
      <c r="A24" s="92" t="inlineStr">
        <is>
          <t>関連</t>
        </is>
      </c>
      <c r="B24" s="68" t="inlineStr">
        <is>
          <t>data/集計_コードブック.json</t>
        </is>
      </c>
      <c r="C24" s="67" t="inlineStr">
        <is>
          <t>02_調査報告書</t>
        </is>
      </c>
      <c r="D24" s="68" t="inlineStr">
        <is>
          <t>集計の変数定義</t>
        </is>
      </c>
      <c r="E24" s="51" t="n"/>
      <c r="F24" s="51" t="n"/>
    </row>
    <row r="25" ht="26" customHeight="1">
      <c r="A25" s="92" t="inlineStr">
        <is>
          <t>関連</t>
        </is>
      </c>
      <c r="B25" s="68" t="inlineStr">
        <is>
          <t>output/11_北塩原村第10期_図表データ管理台帳.xlsx</t>
        </is>
      </c>
      <c r="C25" s="67" t="inlineStr">
        <is>
          <t>04_図表データ</t>
        </is>
      </c>
      <c r="D25" s="68" t="inlineStr">
        <is>
          <t>計画書の図の数値。村が数値を直せば図が変わる。更新の手順を00シートに記す</t>
        </is>
      </c>
      <c r="E25" s="51" t="n"/>
      <c r="F25" s="51" t="n"/>
    </row>
    <row r="26" ht="26" customHeight="1">
      <c r="A26" s="92" t="inlineStr">
        <is>
          <t>関連</t>
        </is>
      </c>
      <c r="B26" s="68" t="inlineStr">
        <is>
          <t>output/figures</t>
        </is>
      </c>
      <c r="C26" s="67" t="inlineStr">
        <is>
          <t>04_図表データ</t>
        </is>
      </c>
      <c r="D26" s="68" t="inlineStr">
        <is>
          <t>計画書に差し込んだ図のPNG。台帳から作り直せる</t>
        </is>
      </c>
      <c r="E26" s="51" t="n"/>
      <c r="F26" s="51" t="n"/>
    </row>
    <row r="27" ht="26" customHeight="1">
      <c r="A27" s="92" t="inlineStr">
        <is>
          <t>関連</t>
        </is>
      </c>
      <c r="B27" s="68" t="inlineStr">
        <is>
          <t>output/05_北塩原村第10期_WBS進捗管理表.xlsx</t>
        </is>
      </c>
      <c r="C27" s="67" t="inlineStr">
        <is>
          <t>05_策定の記録</t>
        </is>
      </c>
      <c r="D27" s="68" t="inlineStr">
        <is>
          <t>策定の工程と村への確認事項。【氏名・連絡先は記載していない】</t>
        </is>
      </c>
      <c r="E27" s="51" t="n"/>
      <c r="F27" s="51" t="n"/>
    </row>
    <row r="28" ht="26" customHeight="1">
      <c r="A28" s="92" t="inlineStr">
        <is>
          <t>関連</t>
        </is>
      </c>
      <c r="B28" s="68" t="inlineStr">
        <is>
          <t>output/09_北塩原村第10期_資料提供確認依頼書.docx</t>
        </is>
      </c>
      <c r="C28" s="67" t="inlineStr">
        <is>
          <t>05_策定の記録</t>
        </is>
      </c>
      <c r="D28" s="68" t="inlineStr">
        <is>
          <t>村への照会の記録</t>
        </is>
      </c>
      <c r="E28" s="51" t="n"/>
      <c r="F28" s="51" t="n"/>
    </row>
    <row r="29" ht="26" customHeight="1">
      <c r="A29" s="92" t="inlineStr">
        <is>
          <t>関連</t>
        </is>
      </c>
      <c r="B29" s="68" t="inlineStr">
        <is>
          <t>output/13-1_北塩原村第10期_照会票_束1_保険料と推計の確定.docx</t>
        </is>
      </c>
      <c r="C29" s="67" t="inlineStr">
        <is>
          <t>05_策定の記録</t>
        </is>
      </c>
      <c r="D29" s="68" t="inlineStr">
        <is>
          <t>村への照会（保険料と推計の確定）。村にご記入いただいて返していただく様式。24件</t>
        </is>
      </c>
      <c r="E29" s="51" t="n"/>
      <c r="F29" s="51" t="n"/>
    </row>
    <row r="30" ht="26" customHeight="1">
      <c r="A30" s="92" t="inlineStr">
        <is>
          <t>関連</t>
        </is>
      </c>
      <c r="B30" s="68" t="inlineStr">
        <is>
          <t>output/13-2_北塩原村第10期_照会票_束2_給付実績・決算と第9期の計画値.docx</t>
        </is>
      </c>
      <c r="C30" s="67" t="inlineStr">
        <is>
          <t>05_策定の記録</t>
        </is>
      </c>
      <c r="D30" s="68" t="inlineStr">
        <is>
          <t>村への照会（給付実績・決算と第9期の計画値）。村にご記入いただいて返していただく様式。57件</t>
        </is>
      </c>
      <c r="E30" s="51" t="n"/>
      <c r="F30" s="51" t="n"/>
    </row>
    <row r="31" ht="26" customHeight="1">
      <c r="A31" s="92" t="inlineStr">
        <is>
          <t>関連</t>
        </is>
      </c>
      <c r="B31" s="68" t="inlineStr">
        <is>
          <t>output/13-3_北塩原村第10期_照会票_束3_交付金の得点と給付適正化.docx</t>
        </is>
      </c>
      <c r="C31" s="67" t="inlineStr">
        <is>
          <t>05_策定の記録</t>
        </is>
      </c>
      <c r="D31" s="68" t="inlineStr">
        <is>
          <t>村への照会（交付金の得点と給付適正化）。村にご記入いただいて返していただく様式。20件</t>
        </is>
      </c>
      <c r="E31" s="51" t="n"/>
      <c r="F31" s="51" t="n"/>
    </row>
    <row r="32" ht="26" customHeight="1">
      <c r="A32" s="92" t="inlineStr">
        <is>
          <t>関連</t>
        </is>
      </c>
      <c r="B32" s="68" t="inlineStr">
        <is>
          <t>output/13-4_北塩原村第10期_照会票_束4_認知症施策と権利擁護.docx</t>
        </is>
      </c>
      <c r="C32" s="67" t="inlineStr">
        <is>
          <t>05_策定の記録</t>
        </is>
      </c>
      <c r="D32" s="68" t="inlineStr">
        <is>
          <t>村への照会（認知症施策と権利擁護）。村にご記入いただいて返していただく様式。10件</t>
        </is>
      </c>
      <c r="E32" s="51" t="n"/>
      <c r="F32" s="51" t="n"/>
    </row>
    <row r="33" ht="26" customHeight="1">
      <c r="A33" s="92" t="inlineStr">
        <is>
          <t>関連</t>
        </is>
      </c>
      <c r="B33" s="68" t="inlineStr">
        <is>
          <t>output/13-5_北塩原村第10期_照会票_束5_計画構成と施策体系.docx</t>
        </is>
      </c>
      <c r="C33" s="67" t="inlineStr">
        <is>
          <t>05_策定の記録</t>
        </is>
      </c>
      <c r="D33" s="68" t="inlineStr">
        <is>
          <t>村への照会（計画構成と施策体系）。村にご記入いただいて返していただく様式。18件</t>
        </is>
      </c>
      <c r="E33" s="51" t="n"/>
      <c r="F33" s="51" t="n"/>
    </row>
    <row r="34" ht="26" customHeight="1">
      <c r="A34" s="92" t="inlineStr">
        <is>
          <t>関連</t>
        </is>
      </c>
      <c r="B34" s="68" t="inlineStr">
        <is>
          <t>output/13-6_北塩原村第10期_照会票_束6_日程・体制・成果品.docx</t>
        </is>
      </c>
      <c r="C34" s="67" t="inlineStr">
        <is>
          <t>05_策定の記録</t>
        </is>
      </c>
      <c r="D34" s="68" t="inlineStr">
        <is>
          <t>村への照会（日程・体制・成果品）。村にご記入いただいて返していただく様式。14件</t>
        </is>
      </c>
      <c r="E34" s="51" t="n"/>
      <c r="F34" s="51" t="n"/>
    </row>
    <row r="35" ht="26" customHeight="1">
      <c r="A35" s="92" t="inlineStr">
        <is>
          <t>関連</t>
        </is>
      </c>
      <c r="B35" s="68" t="inlineStr">
        <is>
          <t>output/13-8_北塩原村第10期_照会票_束8_集計・分析と要介護認定データの突合.docx</t>
        </is>
      </c>
      <c r="C35" s="67" t="inlineStr">
        <is>
          <t>05_策定の記録</t>
        </is>
      </c>
      <c r="D35" s="68" t="inlineStr">
        <is>
          <t>村への照会（集計・分析と要介護認定データの突合）。村にご記入いただいて返していただく様式。13件。令和8年10月10日に束7（調査工程）から分けた。入力以降の集計・分析は当方の担当であり、要介護認定データが入らないと資料3の3-3・3-4・3-6が作れない</t>
        </is>
      </c>
      <c r="E35" s="51" t="n"/>
      <c r="F35" s="51" t="n"/>
    </row>
    <row r="36" ht="26" customHeight="1">
      <c r="A36" s="92" t="inlineStr">
        <is>
          <t>関連</t>
        </is>
      </c>
      <c r="B36" s="68" t="inlineStr">
        <is>
          <t>data/P1-P4_地域分析.csv</t>
        </is>
      </c>
      <c r="C36" s="67" t="inlineStr">
        <is>
          <t>06_算定の根拠</t>
        </is>
      </c>
      <c r="D36" s="68" t="inlineStr">
        <is>
          <t>2-1〜2-7の見える化との突合</t>
        </is>
      </c>
      <c r="E36" s="51" t="n"/>
      <c r="F36" s="51" t="n"/>
    </row>
    <row r="37" ht="26" customHeight="1">
      <c r="A37" s="92" t="inlineStr">
        <is>
          <t>関連</t>
        </is>
      </c>
      <c r="B37" s="68" t="inlineStr">
        <is>
          <t>data/P1-P4_順位.csv</t>
        </is>
      </c>
      <c r="C37" s="67" t="inlineStr">
        <is>
          <t>06_算定の根拠</t>
        </is>
      </c>
      <c r="D37" s="68" t="inlineStr">
        <is>
          <t>県内・全国の順位</t>
        </is>
      </c>
      <c r="E37" s="51" t="n"/>
      <c r="F37" s="51" t="n"/>
    </row>
    <row r="38" ht="26" customHeight="1">
      <c r="A38" s="92" t="inlineStr">
        <is>
          <t>関連</t>
        </is>
      </c>
      <c r="B38" s="68" t="inlineStr">
        <is>
          <t>data/交付金_推移分析.csv</t>
        </is>
      </c>
      <c r="C38" s="67" t="inlineStr">
        <is>
          <t>06_算定の根拠</t>
        </is>
      </c>
      <c r="D38" s="68" t="inlineStr">
        <is>
          <t>2-8</t>
        </is>
      </c>
      <c r="E38" s="51" t="n"/>
      <c r="F38" s="51" t="n"/>
    </row>
    <row r="39" ht="26" customHeight="1">
      <c r="A39" s="92" t="inlineStr">
        <is>
          <t>関連</t>
        </is>
      </c>
      <c r="B39" s="68" t="inlineStr">
        <is>
          <t>data/交付金_要改善と対応状況.csv</t>
        </is>
      </c>
      <c r="C39" s="67" t="inlineStr">
        <is>
          <t>06_算定の根拠</t>
        </is>
      </c>
      <c r="D39" s="68" t="inlineStr">
        <is>
          <t>2-8・5-9</t>
        </is>
      </c>
      <c r="E39" s="51" t="n"/>
      <c r="F39" s="51" t="n"/>
    </row>
    <row r="40" ht="26" customHeight="1">
      <c r="A40" s="92" t="inlineStr">
        <is>
          <t>関連</t>
        </is>
      </c>
      <c r="B40" s="68" t="inlineStr">
        <is>
          <t>data/交付金評価指標_3か年.csv</t>
        </is>
      </c>
      <c r="C40" s="67" t="inlineStr">
        <is>
          <t>06_算定の根拠</t>
        </is>
      </c>
      <c r="D40" s="68" t="inlineStr">
        <is>
          <t>2-8・5-9</t>
        </is>
      </c>
      <c r="E40" s="51" t="n"/>
      <c r="F40" s="51" t="n"/>
    </row>
    <row r="41" ht="26" customHeight="1">
      <c r="A41" s="92" t="inlineStr">
        <is>
          <t>関連</t>
        </is>
      </c>
      <c r="B41" s="68" t="inlineStr">
        <is>
          <t>data/第10期_サービス区分別受給者数推計.csv</t>
        </is>
      </c>
      <c r="C41" s="67" t="inlineStr">
        <is>
          <t>06_算定の根拠</t>
        </is>
      </c>
      <c r="D41" s="68" t="inlineStr">
        <is>
          <t>5-4</t>
        </is>
      </c>
      <c r="E41" s="51" t="n"/>
      <c r="F41" s="51" t="n"/>
    </row>
    <row r="42" ht="26" customHeight="1">
      <c r="A42" s="92" t="inlineStr">
        <is>
          <t>関連</t>
        </is>
      </c>
      <c r="B42" s="68" t="inlineStr">
        <is>
          <t>data/第10期_サービス種類別見込量.csv</t>
        </is>
      </c>
      <c r="C42" s="67" t="inlineStr">
        <is>
          <t>06_算定の根拠</t>
        </is>
      </c>
      <c r="D42" s="68" t="inlineStr">
        <is>
          <t>5-4</t>
        </is>
      </c>
      <c r="E42" s="51" t="n"/>
      <c r="F42" s="51" t="n"/>
    </row>
    <row r="43" ht="26" customHeight="1">
      <c r="A43" s="92" t="inlineStr">
        <is>
          <t>関連</t>
        </is>
      </c>
      <c r="B43" s="68" t="inlineStr">
        <is>
          <t>data/第10期_中長期保険料見通し.csv</t>
        </is>
      </c>
      <c r="C43" s="67" t="inlineStr">
        <is>
          <t>06_算定の根拠</t>
        </is>
      </c>
      <c r="D43" s="68" t="inlineStr">
        <is>
          <t>5-11</t>
        </is>
      </c>
      <c r="E43" s="51" t="n"/>
      <c r="F43" s="51" t="n"/>
    </row>
    <row r="44" ht="26" customHeight="1">
      <c r="A44" s="92" t="inlineStr">
        <is>
          <t>関連</t>
        </is>
      </c>
      <c r="B44" s="68" t="inlineStr">
        <is>
          <t>data/第10期_介護給付費_予防給付費の分離.csv</t>
        </is>
      </c>
      <c r="C44" s="67" t="inlineStr">
        <is>
          <t>06_算定の根拠</t>
        </is>
      </c>
      <c r="D44" s="68" t="inlineStr">
        <is>
          <t>5-6</t>
        </is>
      </c>
      <c r="E44" s="51" t="n"/>
      <c r="F44" s="51" t="n"/>
    </row>
    <row r="45" ht="26" customHeight="1">
      <c r="A45" s="92" t="inlineStr">
        <is>
          <t>関連</t>
        </is>
      </c>
      <c r="B45" s="68" t="inlineStr">
        <is>
          <t>data/第10期_伸びの反映割合のバックテスト.csv</t>
        </is>
      </c>
      <c r="C45" s="67" t="inlineStr">
        <is>
          <t>06_算定の根拠</t>
        </is>
      </c>
      <c r="D45" s="68" t="inlineStr">
        <is>
          <t>5-4</t>
        </is>
      </c>
      <c r="E45" s="51" t="n"/>
      <c r="F45" s="51" t="n"/>
    </row>
    <row r="46" ht="26" customHeight="1">
      <c r="A46" s="92" t="inlineStr">
        <is>
          <t>関連</t>
        </is>
      </c>
      <c r="B46" s="68" t="inlineStr">
        <is>
          <t>data/第10期_保険料の年度別必要額.csv</t>
        </is>
      </c>
      <c r="C46" s="67" t="inlineStr">
        <is>
          <t>06_算定の根拠</t>
        </is>
      </c>
      <c r="D46" s="68" t="inlineStr">
        <is>
          <t>5-7</t>
        </is>
      </c>
      <c r="E46" s="51" t="n"/>
      <c r="F46" s="51" t="n"/>
    </row>
    <row r="47" ht="26" customHeight="1">
      <c r="A47" s="92" t="inlineStr">
        <is>
          <t>関連</t>
        </is>
      </c>
      <c r="B47" s="68" t="inlineStr">
        <is>
          <t>data/第10期_保険料パターン.csv</t>
        </is>
      </c>
      <c r="C47" s="67" t="inlineStr">
        <is>
          <t>06_算定の根拠</t>
        </is>
      </c>
      <c r="D47" s="68" t="inlineStr">
        <is>
          <t>保険料の12パターン。5-7の算定の根拠</t>
        </is>
      </c>
      <c r="E47" s="51" t="n"/>
      <c r="F47" s="51" t="n"/>
    </row>
    <row r="48" ht="26" customHeight="1">
      <c r="A48" s="92" t="inlineStr">
        <is>
          <t>関連</t>
        </is>
      </c>
      <c r="B48" s="68" t="inlineStr">
        <is>
          <t>data/第10期_保険料感応度.csv</t>
        </is>
      </c>
      <c r="C48" s="67" t="inlineStr">
        <is>
          <t>06_算定の根拠</t>
        </is>
      </c>
      <c r="D48" s="68" t="inlineStr">
        <is>
          <t>保険料の感応度。5-7</t>
        </is>
      </c>
      <c r="E48" s="51" t="n"/>
      <c r="F48" s="51" t="n"/>
    </row>
    <row r="49" ht="26" customHeight="1">
      <c r="A49" s="92" t="inlineStr">
        <is>
          <t>関連</t>
        </is>
      </c>
      <c r="B49" s="68" t="inlineStr">
        <is>
          <t>data/第10期_利用率の分母の検算.csv</t>
        </is>
      </c>
      <c r="C49" s="67" t="inlineStr">
        <is>
          <t>06_算定の根拠</t>
        </is>
      </c>
      <c r="D49" s="68" t="inlineStr">
        <is>
          <t>5-4</t>
        </is>
      </c>
      <c r="E49" s="51" t="n"/>
      <c r="F49" s="51" t="n"/>
    </row>
    <row r="50" ht="26" customHeight="1">
      <c r="A50" s="92" t="inlineStr">
        <is>
          <t>関連</t>
        </is>
      </c>
      <c r="B50" s="68" t="inlineStr">
        <is>
          <t>data/第10期_単価の趨勢と推計誤差.csv</t>
        </is>
      </c>
      <c r="C50" s="67" t="inlineStr">
        <is>
          <t>06_算定の根拠</t>
        </is>
      </c>
      <c r="D50" s="68" t="inlineStr">
        <is>
          <t>5-4(10)</t>
        </is>
      </c>
      <c r="E50" s="51" t="n"/>
      <c r="F50" s="51" t="n"/>
    </row>
    <row r="51" ht="26" customHeight="1">
      <c r="A51" s="92" t="inlineStr">
        <is>
          <t>関連</t>
        </is>
      </c>
      <c r="B51" s="68" t="inlineStr">
        <is>
          <t>data/第10期_地域支援事業費見込み.csv</t>
        </is>
      </c>
      <c r="C51" s="67" t="inlineStr">
        <is>
          <t>06_算定の根拠</t>
        </is>
      </c>
      <c r="D51" s="68" t="inlineStr">
        <is>
          <t>5-5</t>
        </is>
      </c>
      <c r="E51" s="51" t="n"/>
      <c r="F51" s="51" t="n"/>
    </row>
    <row r="52" ht="26" customHeight="1">
      <c r="A52" s="92" t="inlineStr">
        <is>
          <t>関連</t>
        </is>
      </c>
      <c r="B52" s="68" t="inlineStr">
        <is>
          <t>data/第10期_村内定員の到達率.csv</t>
        </is>
      </c>
      <c r="C52" s="67" t="inlineStr">
        <is>
          <t>06_算定の根拠</t>
        </is>
      </c>
      <c r="D52" s="68" t="inlineStr">
        <is>
          <t>5-4(8)</t>
        </is>
      </c>
      <c r="E52" s="51" t="n"/>
      <c r="F52" s="51" t="n"/>
    </row>
    <row r="53" ht="26" customHeight="1">
      <c r="A53" s="92" t="inlineStr">
        <is>
          <t>関連</t>
        </is>
      </c>
      <c r="B53" s="68" t="inlineStr">
        <is>
          <t>data/第10期_第1号被保険者数推計_前期後期補正後.csv</t>
        </is>
      </c>
      <c r="C53" s="67" t="inlineStr">
        <is>
          <t>06_算定の根拠</t>
        </is>
      </c>
      <c r="D53" s="68" t="inlineStr">
        <is>
          <t>5-2</t>
        </is>
      </c>
      <c r="E53" s="51" t="n"/>
      <c r="F53" s="51" t="n"/>
    </row>
    <row r="54" ht="26" customHeight="1">
      <c r="A54" s="92" t="inlineStr">
        <is>
          <t>関連</t>
        </is>
      </c>
      <c r="B54" s="68" t="inlineStr">
        <is>
          <t>data/第10期_給付費のみ把握サービス.csv</t>
        </is>
      </c>
      <c r="C54" s="67" t="inlineStr">
        <is>
          <t>06_算定の根拠</t>
        </is>
      </c>
      <c r="D54" s="68" t="inlineStr">
        <is>
          <t>5-4</t>
        </is>
      </c>
      <c r="E54" s="51" t="n"/>
      <c r="F54" s="51" t="n"/>
    </row>
    <row r="55" ht="26" customHeight="1">
      <c r="A55" s="92" t="inlineStr">
        <is>
          <t>関連</t>
        </is>
      </c>
      <c r="B55" s="68" t="inlineStr">
        <is>
          <t>data/第10期_要介護度別認定者数推計.csv</t>
        </is>
      </c>
      <c r="C55" s="67" t="inlineStr">
        <is>
          <t>06_算定の根拠</t>
        </is>
      </c>
      <c r="D55" s="68" t="inlineStr">
        <is>
          <t>5-3</t>
        </is>
      </c>
      <c r="E55" s="51" t="n"/>
      <c r="F55" s="51" t="n"/>
    </row>
    <row r="56" ht="26" customHeight="1">
      <c r="A56" s="92" t="inlineStr">
        <is>
          <t>関連</t>
        </is>
      </c>
      <c r="B56" s="68" t="inlineStr">
        <is>
          <t>data/第10期_見込量の自己点検.csv</t>
        </is>
      </c>
      <c r="C56" s="67" t="inlineStr">
        <is>
          <t>06_算定の根拠</t>
        </is>
      </c>
      <c r="D56" s="68" t="inlineStr">
        <is>
          <t>5-4の点検の記録</t>
        </is>
      </c>
      <c r="E56" s="51" t="n"/>
      <c r="F56" s="51" t="n"/>
    </row>
    <row r="57" ht="26" customHeight="1">
      <c r="A57" s="92" t="inlineStr">
        <is>
          <t>関連</t>
        </is>
      </c>
      <c r="B57" s="68" t="inlineStr">
        <is>
          <t>data/第10期_需要に対する供給.csv</t>
        </is>
      </c>
      <c r="C57" s="67" t="inlineStr">
        <is>
          <t>06_算定の根拠</t>
        </is>
      </c>
      <c r="D57" s="68" t="inlineStr">
        <is>
          <t>5-4(12)</t>
        </is>
      </c>
      <c r="E57" s="51" t="n"/>
      <c r="F57" s="51" t="n"/>
    </row>
    <row r="59" ht="20" customHeight="1">
      <c r="A59" s="38" t="inlineStr">
        <is>
          <t>■ 収録しない　32件</t>
        </is>
      </c>
    </row>
    <row r="60" ht="20" customHeight="1">
      <c r="A60" s="3" t="inlineStr">
        <is>
          <t>区分</t>
        </is>
      </c>
      <c r="B60" s="3" t="inlineStr">
        <is>
          <t>ファイル</t>
        </is>
      </c>
      <c r="C60" s="3" t="inlineStr">
        <is>
          <t>媒体での置き場所</t>
        </is>
      </c>
      <c r="D60" s="3" t="inlineStr">
        <is>
          <t>理由</t>
        </is>
      </c>
      <c r="E60" s="65" t="n"/>
      <c r="F60" s="66" t="n"/>
    </row>
    <row r="61" ht="26" customHeight="1">
      <c r="A61" s="93" t="inlineStr">
        <is>
          <t>収録しない</t>
        </is>
      </c>
      <c r="B61" s="68" t="inlineStr">
        <is>
          <t>data/05_令和7年8月版_突合ワークシート.csv</t>
        </is>
      </c>
      <c r="C61" s="67" t="inlineStr">
        <is>
          <t>―</t>
        </is>
      </c>
      <c r="D61" s="68" t="inlineStr">
        <is>
          <t>調査票の突合の作業用。調査は他メンバーの担当</t>
        </is>
      </c>
      <c r="E61" s="51" t="n"/>
      <c r="F61" s="51" t="n"/>
    </row>
    <row r="62" ht="26" customHeight="1">
      <c r="A62" s="93" t="inlineStr">
        <is>
          <t>収録しない</t>
        </is>
      </c>
      <c r="B62" s="68" t="inlineStr">
        <is>
          <t>data/dummy_ニーズ.csv</t>
        </is>
      </c>
      <c r="C62" s="67" t="inlineStr">
        <is>
          <t>―</t>
        </is>
      </c>
      <c r="D62" s="68" t="inlineStr">
        <is>
          <t>集計プログラムの検証に用いた架空のデータ。成果品ではない</t>
        </is>
      </c>
      <c r="E62" s="51" t="n"/>
      <c r="F62" s="51" t="n"/>
    </row>
    <row r="63" ht="26" customHeight="1">
      <c r="A63" s="93" t="inlineStr">
        <is>
          <t>収録しない</t>
        </is>
      </c>
      <c r="B63" s="68" t="inlineStr">
        <is>
          <t>data/dummy_在宅.csv</t>
        </is>
      </c>
      <c r="C63" s="67" t="inlineStr">
        <is>
          <t>―</t>
        </is>
      </c>
      <c r="D63" s="68" t="inlineStr">
        <is>
          <t>同上</t>
        </is>
      </c>
      <c r="E63" s="51" t="n"/>
      <c r="F63" s="51" t="n"/>
    </row>
    <row r="64" ht="26" customHeight="1">
      <c r="A64" s="93" t="inlineStr">
        <is>
          <t>収録しない</t>
        </is>
      </c>
      <c r="B64" s="68" t="inlineStr">
        <is>
          <t>data/mieruka_batch.csv</t>
        </is>
      </c>
      <c r="C64" s="67" t="inlineStr">
        <is>
          <t>―</t>
        </is>
      </c>
      <c r="D64" s="68" t="inlineStr">
        <is>
          <t>見える化の出力から取り出した中間データ。村は同じシステムから出力できる</t>
        </is>
      </c>
      <c r="E64" s="51" t="n"/>
      <c r="F64" s="51" t="n"/>
    </row>
    <row r="65" ht="26" customHeight="1">
      <c r="A65" s="93" t="inlineStr">
        <is>
          <t>収録しない</t>
        </is>
      </c>
      <c r="B65" s="68" t="inlineStr">
        <is>
          <t>data/mieruka_inventory.csv</t>
        </is>
      </c>
      <c r="C65" s="67" t="inlineStr">
        <is>
          <t>―</t>
        </is>
      </c>
      <c r="D65" s="68" t="inlineStr">
        <is>
          <t>受領の記録。作業の途中のもの</t>
        </is>
      </c>
      <c r="E65" s="51" t="n"/>
      <c r="F65" s="51" t="n"/>
    </row>
    <row r="66" ht="26" customHeight="1">
      <c r="A66" s="93" t="inlineStr">
        <is>
          <t>収録しない</t>
        </is>
      </c>
      <c r="B66" s="68" t="inlineStr">
        <is>
          <t>data/mieruka_inventory_追加分.csv</t>
        </is>
      </c>
      <c r="C66" s="67" t="inlineStr">
        <is>
          <t>―</t>
        </is>
      </c>
      <c r="D66" s="68" t="inlineStr">
        <is>
          <t>同上</t>
        </is>
      </c>
      <c r="E66" s="51" t="n"/>
      <c r="F66" s="51" t="n"/>
    </row>
    <row r="67" ht="26" customHeight="1">
      <c r="A67" s="93" t="inlineStr">
        <is>
          <t>収録しない</t>
        </is>
      </c>
      <c r="B67" s="68" t="inlineStr">
        <is>
          <t>data/mieruka_inventory_追加分2.csv</t>
        </is>
      </c>
      <c r="C67" s="67" t="inlineStr">
        <is>
          <t>―</t>
        </is>
      </c>
      <c r="D67" s="68" t="inlineStr">
        <is>
          <t>同上</t>
        </is>
      </c>
      <c r="E67" s="51" t="n"/>
      <c r="F67" s="51" t="n"/>
    </row>
    <row r="68" ht="26" customHeight="1">
      <c r="A68" s="93" t="inlineStr">
        <is>
          <t>収録しない</t>
        </is>
      </c>
      <c r="B68" s="68" t="inlineStr">
        <is>
          <t>data/mieruka_inventory_追加分3.csv</t>
        </is>
      </c>
      <c r="C68" s="67" t="inlineStr">
        <is>
          <t>―</t>
        </is>
      </c>
      <c r="D68" s="68" t="inlineStr">
        <is>
          <t>同上</t>
        </is>
      </c>
      <c r="E68" s="51" t="n"/>
      <c r="F68" s="51" t="n"/>
    </row>
    <row r="69" ht="26" customHeight="1">
      <c r="A69" s="93" t="inlineStr">
        <is>
          <t>収録しない</t>
        </is>
      </c>
      <c r="B69" s="68" t="inlineStr">
        <is>
          <t>data/mieruka_inventory_追加分4.csv</t>
        </is>
      </c>
      <c r="C69" s="67" t="inlineStr">
        <is>
          <t>―</t>
        </is>
      </c>
      <c r="D69" s="68" t="inlineStr">
        <is>
          <t>同上</t>
        </is>
      </c>
      <c r="E69" s="51" t="n"/>
      <c r="F69" s="51" t="n"/>
    </row>
    <row r="70" ht="26" customHeight="1">
      <c r="A70" s="93" t="inlineStr">
        <is>
          <t>収録しない</t>
        </is>
      </c>
      <c r="B70" s="68" t="inlineStr">
        <is>
          <t>data/mieruka_inventory_追加分5.csv</t>
        </is>
      </c>
      <c r="C70" s="67" t="inlineStr">
        <is>
          <t>―</t>
        </is>
      </c>
      <c r="D70" s="68" t="inlineStr">
        <is>
          <t>同上</t>
        </is>
      </c>
      <c r="E70" s="51" t="n"/>
      <c r="F70" s="51" t="n"/>
    </row>
    <row r="71" ht="26" customHeight="1">
      <c r="A71" s="93" t="inlineStr">
        <is>
          <t>収録しない</t>
        </is>
      </c>
      <c r="B71" s="68" t="inlineStr">
        <is>
          <t>data/mieruka_inventory_追加分6.csv</t>
        </is>
      </c>
      <c r="C71" s="67" t="inlineStr">
        <is>
          <t>―</t>
        </is>
      </c>
      <c r="D71" s="68" t="inlineStr">
        <is>
          <t>同上</t>
        </is>
      </c>
      <c r="E71" s="51" t="n"/>
      <c r="F71" s="51" t="n"/>
    </row>
    <row r="72" ht="26" customHeight="1">
      <c r="A72" s="93" t="inlineStr">
        <is>
          <t>収録しない</t>
        </is>
      </c>
      <c r="B72" s="68" t="inlineStr">
        <is>
          <t>data/mieruka_raw</t>
        </is>
      </c>
      <c r="C72" s="67" t="inlineStr">
        <is>
          <t>―</t>
        </is>
      </c>
      <c r="D72" s="68" t="inlineStr">
        <is>
          <t>見える化の出力そのもの（738冊）。村が同じシステムから出力できるため収録しない</t>
        </is>
      </c>
      <c r="E72" s="51" t="n"/>
      <c r="F72" s="51" t="n"/>
    </row>
    <row r="73" ht="26" customHeight="1">
      <c r="A73" s="93" t="inlineStr">
        <is>
          <t>収録しない</t>
        </is>
      </c>
      <c r="B73" s="68" t="inlineStr">
        <is>
          <t>data/mieruka_tidy.csv</t>
        </is>
      </c>
      <c r="C73" s="67" t="inlineStr">
        <is>
          <t>―</t>
        </is>
      </c>
      <c r="D73" s="68" t="inlineStr">
        <is>
          <t>同上</t>
        </is>
      </c>
      <c r="E73" s="51" t="n"/>
      <c r="F73" s="51" t="n"/>
    </row>
    <row r="74" ht="26" customHeight="1">
      <c r="A74" s="93" t="inlineStr">
        <is>
          <t>収録しない</t>
        </is>
      </c>
      <c r="B74" s="68" t="inlineStr">
        <is>
          <t>data/pdf_text</t>
        </is>
      </c>
      <c r="C74" s="67" t="inlineStr">
        <is>
          <t>―</t>
        </is>
      </c>
      <c r="D74" s="68" t="inlineStr">
        <is>
          <t>受領資料から取り出した本文。村が原本を持っている</t>
        </is>
      </c>
      <c r="E74" s="51" t="n"/>
      <c r="F74" s="51" t="n"/>
    </row>
    <row r="75" ht="26" customHeight="1">
      <c r="A75" s="93" t="inlineStr">
        <is>
          <t>収録しない</t>
        </is>
      </c>
      <c r="B75" s="68" t="inlineStr">
        <is>
          <t>data/交付金_目標別の県内比較_令和8年度.csv</t>
        </is>
      </c>
      <c r="C75" s="67" t="inlineStr">
        <is>
          <t>―</t>
        </is>
      </c>
      <c r="D75" s="68" t="inlineStr">
        <is>
          <t>【他の県内自治体の数値を含む。参照値として用いたもので成果品に掲げない】</t>
        </is>
      </c>
      <c r="E75" s="51" t="n"/>
      <c r="F75" s="51" t="n"/>
    </row>
    <row r="76" ht="26" customHeight="1">
      <c r="A76" s="93" t="inlineStr">
        <is>
          <t>収録しない</t>
        </is>
      </c>
      <c r="B76" s="68" t="inlineStr">
        <is>
          <t>data/交付金_都道府県分_令和8年度.csv</t>
        </is>
      </c>
      <c r="C76" s="67" t="inlineStr">
        <is>
          <t>―</t>
        </is>
      </c>
      <c r="D76" s="68" t="inlineStr">
        <is>
          <t>同上（都道府県分）</t>
        </is>
      </c>
      <c r="E76" s="51" t="n"/>
      <c r="F76" s="51" t="n"/>
    </row>
    <row r="77" ht="26" customHeight="1">
      <c r="A77" s="93" t="inlineStr">
        <is>
          <t>収録しない</t>
        </is>
      </c>
      <c r="B77" s="68" t="inlineStr">
        <is>
          <t>data/会津権利擁護成年後見センター_相談件数_R6.png</t>
        </is>
      </c>
      <c r="C77" s="67" t="inlineStr">
        <is>
          <t>―</t>
        </is>
      </c>
      <c r="D77" s="68" t="inlineStr">
        <is>
          <t>受領資料の画像。村が原本を持っている</t>
        </is>
      </c>
      <c r="E77" s="51" t="n"/>
      <c r="F77" s="51" t="n"/>
    </row>
    <row r="78" ht="26" customHeight="1">
      <c r="A78" s="93" t="inlineStr">
        <is>
          <t>収録しない</t>
        </is>
      </c>
      <c r="B78" s="68" t="inlineStr">
        <is>
          <t>data/会津権利擁護成年後見センター_相談件数_R7.png</t>
        </is>
      </c>
      <c r="C78" s="67" t="inlineStr">
        <is>
          <t>―</t>
        </is>
      </c>
      <c r="D78" s="68" t="inlineStr">
        <is>
          <t>同上</t>
        </is>
      </c>
      <c r="E78" s="51" t="n"/>
      <c r="F78" s="51" t="n"/>
    </row>
    <row r="79" ht="26" customHeight="1">
      <c r="A79" s="93" t="inlineStr">
        <is>
          <t>収録しない</t>
        </is>
      </c>
      <c r="B79" s="68" t="inlineStr">
        <is>
          <t>data/原典_法令</t>
        </is>
      </c>
      <c r="C79" s="67" t="inlineStr">
        <is>
          <t>―</t>
        </is>
      </c>
      <c r="D79" s="68" t="inlineStr">
        <is>
          <t>法令の原典（厚生労働省の公表資料）。社会福祉法等の一部を改正する法律案要綱（令和8年法律第51号）と、全世代対応型の持続可能な社会保障制度を構築するための健康保険法等の一部を改正する法律案の概要（令和5年法律第31号）。当方が素案1-8・条文単位の対照（点検78）を組むために参照したものであり、厚生労働省が公表しているため村が原典に当たれる。媒体に写しを入れると版が古くなるおそれがあるため収録せず、資7に出どころを示す</t>
        </is>
      </c>
      <c r="E79" s="51" t="n"/>
      <c r="F79" s="51" t="n"/>
    </row>
    <row r="80" ht="26" customHeight="1">
      <c r="A80" s="93" t="inlineStr">
        <is>
          <t>収録しない</t>
        </is>
      </c>
      <c r="B80" s="68" t="inlineStr">
        <is>
          <t>data/合計所得金額分布_R8.csv</t>
        </is>
      </c>
      <c r="C80" s="67" t="inlineStr">
        <is>
          <t>―</t>
        </is>
      </c>
      <c r="D80" s="68" t="inlineStr">
        <is>
          <t>【村から受領した所得段階別の分布。村の保有する情報であり返送しない】</t>
        </is>
      </c>
      <c r="E80" s="51" t="n"/>
      <c r="F80" s="51" t="n"/>
    </row>
    <row r="81" ht="26" customHeight="1">
      <c r="A81" s="93" t="inlineStr">
        <is>
          <t>収録しない</t>
        </is>
      </c>
      <c r="B81" s="68" t="inlineStr">
        <is>
          <t>data/国ワークシート</t>
        </is>
      </c>
      <c r="C81" s="67" t="inlineStr">
        <is>
          <t>―</t>
        </is>
      </c>
      <c r="D81" s="68" t="inlineStr">
        <is>
          <t>村から受領した国の推計ワークシート（将来推計総括表）・県の整備量見込みシート・県通知・厚労省事務連絡。【村が保有する資料であり当方の成果品ではない。】doc64（返還・消去の手順）により、業務完了後に村と協議のうえ返還または消去する。うち県通知と厚労省事務連絡の2点は、県・国の職員の氏名と直通の連絡先が載っているため版管理にも置かない（同ディレクトリの .gitignore）。読み取りの仕組みはこの2点を読まない</t>
        </is>
      </c>
      <c r="E81" s="51" t="n"/>
      <c r="F81" s="51" t="n"/>
    </row>
    <row r="82" ht="26" customHeight="1">
      <c r="A82" s="93" t="inlineStr">
        <is>
          <t>収録しない</t>
        </is>
      </c>
      <c r="B82" s="68" t="inlineStr">
        <is>
          <t>data/村受領_R8.10.10</t>
        </is>
      </c>
      <c r="C82" s="67" t="inlineStr">
        <is>
          <t>―</t>
        </is>
      </c>
      <c r="D82" s="68" t="inlineStr">
        <is>
          <t>村から受領した高齢者サービスの手引き（令和8年度版）・緊急連絡カードの様式・会津権利擁護・成年後見センターの催しの案内。【村が保有する資料であり当方の成果品ではない。】doc64（返還・消去の手順）により、業務完了後に村と協議のうえ返還または消去する。個人情報の走査を行い、該当はなかった（載っているのは機関の代表連絡先と部署のメールのみ）</t>
        </is>
      </c>
      <c r="E82" s="51" t="n"/>
      <c r="F82" s="51" t="n"/>
    </row>
    <row r="83" ht="26" customHeight="1">
      <c r="A83" s="93" t="inlineStr">
        <is>
          <t>収録しない</t>
        </is>
      </c>
      <c r="B83" s="68" t="inlineStr">
        <is>
          <t>data/第10期_調査対象者の属性集計.csv</t>
        </is>
      </c>
      <c r="C83" s="67" t="inlineStr">
        <is>
          <t>―</t>
        </is>
      </c>
      <c r="D83" s="68" t="inlineStr">
        <is>
          <t>【調査対象者の属性。doc16§6により、該当数10未満の区分を含むため収録しない】</t>
        </is>
      </c>
      <c r="E83" s="51" t="n"/>
      <c r="F83" s="51" t="n"/>
    </row>
    <row r="84" ht="26" customHeight="1">
      <c r="A84" s="93" t="inlineStr">
        <is>
          <t>収録しない</t>
        </is>
      </c>
      <c r="B84" s="68" t="inlineStr">
        <is>
          <t>data/部会資料_R8.9.18</t>
        </is>
      </c>
      <c r="C84" s="67" t="inlineStr">
        <is>
          <t>―</t>
        </is>
      </c>
      <c r="D84" s="68" t="inlineStr">
        <is>
          <t>第136回社会保障審議会介護保険部会（令和8年9月18日）の資料1〜6および参考資料。【村から受領した国の公開資料であり当方の成果品ではない。】doc64（返還・消去の手順）により、業務完了後に村と協議のうえ消去する。個人情報の走査を行い、該当はなかった</t>
        </is>
      </c>
      <c r="E84" s="51" t="n"/>
      <c r="F84" s="51" t="n"/>
    </row>
    <row r="85" ht="26" customHeight="1">
      <c r="A85" s="93" t="inlineStr">
        <is>
          <t>収録しない</t>
        </is>
      </c>
      <c r="B85" s="68" t="inlineStr">
        <is>
          <t>output/00_全計画マスター管理表.xlsx</t>
        </is>
      </c>
      <c r="C85" s="67" t="inlineStr">
        <is>
          <t>―</t>
        </is>
      </c>
      <c r="D85" s="68" t="inlineStr">
        <is>
          <t>他業務との共通の管理表</t>
        </is>
      </c>
      <c r="E85" s="51" t="n"/>
      <c r="F85" s="51" t="n"/>
    </row>
    <row r="86" ht="26" customHeight="1">
      <c r="A86" s="93" t="inlineStr">
        <is>
          <t>収録しない</t>
        </is>
      </c>
      <c r="B86" s="68" t="inlineStr">
        <is>
          <t>output/01_共通_基本コラム部品.xlsx</t>
        </is>
      </c>
      <c r="C86" s="67" t="inlineStr">
        <is>
          <t>―</t>
        </is>
      </c>
      <c r="D86" s="68" t="inlineStr">
        <is>
          <t>他業務との共通の部品</t>
        </is>
      </c>
      <c r="E86" s="51" t="n"/>
      <c r="F86" s="51" t="n"/>
    </row>
    <row r="87" ht="26" customHeight="1">
      <c r="A87" s="93" t="inlineStr">
        <is>
          <t>収録しない</t>
        </is>
      </c>
      <c r="B87" s="68" t="inlineStr">
        <is>
          <t>output/02_高齢者介護保険事業計画.xlsx</t>
        </is>
      </c>
      <c r="C87" s="67" t="inlineStr">
        <is>
          <t>―</t>
        </is>
      </c>
      <c r="D87" s="68" t="inlineStr">
        <is>
          <t>他業務の管理表</t>
        </is>
      </c>
      <c r="E87" s="51" t="n"/>
      <c r="F87" s="51" t="n"/>
    </row>
    <row r="88" ht="26" customHeight="1">
      <c r="A88" s="93" t="inlineStr">
        <is>
          <t>収録しない</t>
        </is>
      </c>
      <c r="B88" s="68" t="inlineStr">
        <is>
          <t>output/03_障がい福祉計画.xlsx</t>
        </is>
      </c>
      <c r="C88" s="67" t="inlineStr">
        <is>
          <t>―</t>
        </is>
      </c>
      <c r="D88" s="68" t="inlineStr">
        <is>
          <t>他業務の計画</t>
        </is>
      </c>
      <c r="E88" s="51" t="n"/>
      <c r="F88" s="51" t="n"/>
    </row>
    <row r="89" ht="26" customHeight="1">
      <c r="A89" s="93" t="inlineStr">
        <is>
          <t>収録しない</t>
        </is>
      </c>
      <c r="B89" s="68" t="inlineStr">
        <is>
          <t>output/04_こども計画.xlsx</t>
        </is>
      </c>
      <c r="C89" s="67" t="inlineStr">
        <is>
          <t>―</t>
        </is>
      </c>
      <c r="D89" s="68" t="inlineStr">
        <is>
          <t>他業務の計画</t>
        </is>
      </c>
      <c r="E89" s="51" t="n"/>
      <c r="F89" s="51" t="n"/>
    </row>
    <row r="90" ht="26" customHeight="1">
      <c r="A90" s="93" t="inlineStr">
        <is>
          <t>収録しない</t>
        </is>
      </c>
      <c r="B90" s="68" t="inlineStr">
        <is>
          <t>output/10_集計結果.xlsx</t>
        </is>
      </c>
      <c r="C90" s="67" t="inlineStr">
        <is>
          <t>―</t>
        </is>
      </c>
      <c r="D90" s="68" t="inlineStr">
        <is>
          <t>【現在はダミーデータによる検証用であり、実際の回答ではない。】 表紙にその旨を明示している。調査票の回収後に本番のデータで作り直し、該当数10未満の区分を統合または非表示としたうえで収録する（doc16§6）</t>
        </is>
      </c>
      <c r="E90" s="51" t="n"/>
      <c r="F90" s="51" t="n"/>
    </row>
    <row r="91" ht="26" customHeight="1">
      <c r="A91" s="93" t="inlineStr">
        <is>
          <t>収録しない</t>
        </is>
      </c>
      <c r="B91" s="68" t="inlineStr">
        <is>
          <t>output/14_北塩原村第10期_障がい福祉計画担当への申し送り.docx</t>
        </is>
      </c>
      <c r="C91" s="67" t="inlineStr">
        <is>
          <t>―</t>
        </is>
      </c>
      <c r="D91" s="68" t="inlineStr">
        <is>
          <t>同時に策定している第8期障がい福祉計画・第4期障がい児福祉計画の担当あての申し送り。村あての文書ではなく、相手のブランチ名・コミット・生成器の名といった他業務の内部の事柄を含むため、村への納品媒体には収録しない。両計画の整合の経緯は素案1-4・資9と策定の記録（doc87・doc89）に残る</t>
        </is>
      </c>
      <c r="E91" s="51" t="n"/>
      <c r="F91" s="51" t="n"/>
    </row>
    <row r="92" ht="26" customHeight="1">
      <c r="A92" s="93" t="inlineStr">
        <is>
          <t>収録しない</t>
        </is>
      </c>
      <c r="B92" s="68" t="inlineStr">
        <is>
          <t>output/images_basic</t>
        </is>
      </c>
      <c r="C92" s="67" t="inlineStr">
        <is>
          <t>―</t>
        </is>
      </c>
      <c r="D92" s="68" t="inlineStr">
        <is>
          <t>他業務との共通の部品の画像</t>
        </is>
      </c>
      <c r="E92" s="51" t="n"/>
      <c r="F92" s="51" t="n"/>
    </row>
    <row r="94" ht="20" customHeight="1">
      <c r="A94" s="38" t="inlineStr">
        <is>
          <t>■ 納品の時点で作るもの　5件（まだ存在しない）</t>
        </is>
      </c>
    </row>
    <row r="95" ht="20" customHeight="1">
      <c r="A95" s="3" t="inlineStr">
        <is>
          <t>区分</t>
        </is>
      </c>
      <c r="B95" s="3" t="inlineStr">
        <is>
          <t>成果品</t>
        </is>
      </c>
      <c r="C95" s="3" t="inlineStr">
        <is>
          <t>媒体での置き場所</t>
        </is>
      </c>
      <c r="D95" s="3" t="inlineStr">
        <is>
          <t>作る時点</t>
        </is>
      </c>
      <c r="E95" s="65" t="n"/>
      <c r="F95" s="66" t="n"/>
    </row>
    <row r="96" ht="24" customHeight="1">
      <c r="A96" s="94" t="inlineStr">
        <is>
          <t>成果品</t>
        </is>
      </c>
      <c r="B96" s="68" t="inlineStr">
        <is>
          <t>計画書（確定版）</t>
        </is>
      </c>
      <c r="C96" s="67" t="inlineStr">
        <is>
          <t>01_計画書</t>
        </is>
      </c>
      <c r="D96" s="68" t="inlineStr">
        <is>
          <t>素案の確定後。仕様書5①（50部）</t>
        </is>
      </c>
      <c r="E96" s="51" t="n"/>
      <c r="F96" s="51" t="n"/>
    </row>
    <row r="97" ht="24" customHeight="1">
      <c r="A97" s="94" t="inlineStr">
        <is>
          <t>成果品</t>
        </is>
      </c>
      <c r="B97" s="68" t="inlineStr">
        <is>
          <t>アンケート調査報告書</t>
        </is>
      </c>
      <c r="C97" s="67" t="inlineStr">
        <is>
          <t>02_調査報告書</t>
        </is>
      </c>
      <c r="D97" s="68" t="inlineStr">
        <is>
          <t>仕様書5②（10部）</t>
        </is>
      </c>
      <c r="E97" s="51" t="n"/>
      <c r="F97" s="51" t="n"/>
    </row>
    <row r="98" ht="24" customHeight="1">
      <c r="A98" s="94" t="inlineStr">
        <is>
          <t>成果品</t>
        </is>
      </c>
      <c r="B98" s="68" t="inlineStr">
        <is>
          <t>集計結果（本番データ）</t>
        </is>
      </c>
      <c r="C98" s="67" t="inlineStr">
        <is>
          <t>02_調査報告書</t>
        </is>
      </c>
      <c r="D98" s="68" t="inlineStr">
        <is>
          <t>調査票の回収・入力の後。該当数10未満の区分を統合または非表示とする（doc16§6）</t>
        </is>
      </c>
      <c r="E98" s="51" t="n"/>
      <c r="F98" s="51" t="n"/>
    </row>
    <row r="99" ht="24" customHeight="1">
      <c r="A99" s="94" t="inlineStr">
        <is>
          <t>成果品</t>
        </is>
      </c>
      <c r="B99" s="68" t="inlineStr">
        <is>
          <t>概要版</t>
        </is>
      </c>
      <c r="C99" s="67" t="inlineStr">
        <is>
          <t>01_計画書</t>
        </is>
      </c>
      <c r="D99" s="68" t="inlineStr">
        <is>
          <t>仕様書の範囲内かを村に確認中（K-109）</t>
        </is>
      </c>
      <c r="E99" s="51" t="n"/>
      <c r="F99" s="51" t="n"/>
    </row>
    <row r="100" ht="24" customHeight="1">
      <c r="A100" s="94" t="inlineStr">
        <is>
          <t>成果品</t>
        </is>
      </c>
      <c r="B100" s="68" t="inlineStr">
        <is>
          <t>パブリックコメントの実施結果</t>
        </is>
      </c>
      <c r="C100" s="67" t="inlineStr">
        <is>
          <t>05_策定の記録</t>
        </is>
      </c>
      <c r="D100" s="68" t="inlineStr">
        <is>
          <t>資料編7-4に反映</t>
        </is>
      </c>
      <c r="E100" s="51" t="n"/>
      <c r="F100" s="51" t="n"/>
    </row>
  </sheetData>
  <mergeCells count="93">
    <mergeCell ref="D76:F76"/>
    <mergeCell ref="D66:F66"/>
    <mergeCell ref="D75:F75"/>
    <mergeCell ref="D53:F53"/>
    <mergeCell ref="D47:F47"/>
    <mergeCell ref="D28:F28"/>
    <mergeCell ref="D37:F37"/>
    <mergeCell ref="D92:F92"/>
    <mergeCell ref="D30:F30"/>
    <mergeCell ref="D39:F39"/>
    <mergeCell ref="D29:F29"/>
    <mergeCell ref="A13:F13"/>
    <mergeCell ref="D23:F23"/>
    <mergeCell ref="A15:F15"/>
    <mergeCell ref="D80:F80"/>
    <mergeCell ref="D96:F96"/>
    <mergeCell ref="D57:F57"/>
    <mergeCell ref="A7:F7"/>
    <mergeCell ref="D27:F27"/>
    <mergeCell ref="D41:F41"/>
    <mergeCell ref="D17:F17"/>
    <mergeCell ref="D91:F91"/>
    <mergeCell ref="D43:F43"/>
    <mergeCell ref="A2:F2"/>
    <mergeCell ref="A22:F22"/>
    <mergeCell ref="D74:F74"/>
    <mergeCell ref="D68:F68"/>
    <mergeCell ref="D25:F25"/>
    <mergeCell ref="D83:F83"/>
    <mergeCell ref="D55:F55"/>
    <mergeCell ref="D67:F67"/>
    <mergeCell ref="D85:F85"/>
    <mergeCell ref="A9:F9"/>
    <mergeCell ref="D54:F54"/>
    <mergeCell ref="D60:F60"/>
    <mergeCell ref="D69:F69"/>
    <mergeCell ref="D100:F100"/>
    <mergeCell ref="A59:F59"/>
    <mergeCell ref="A11:F11"/>
    <mergeCell ref="D31:F31"/>
    <mergeCell ref="D46:F46"/>
    <mergeCell ref="D40:F40"/>
    <mergeCell ref="D86:F86"/>
    <mergeCell ref="D95:F95"/>
    <mergeCell ref="D32:F32"/>
    <mergeCell ref="D97:F97"/>
    <mergeCell ref="D78:F78"/>
    <mergeCell ref="D16:F16"/>
    <mergeCell ref="D87:F87"/>
    <mergeCell ref="D71:F71"/>
    <mergeCell ref="A8:F8"/>
    <mergeCell ref="D18:F18"/>
    <mergeCell ref="D33:F33"/>
    <mergeCell ref="D73:F73"/>
    <mergeCell ref="D42:F42"/>
    <mergeCell ref="D51:F51"/>
    <mergeCell ref="D82:F82"/>
    <mergeCell ref="A10:F10"/>
    <mergeCell ref="D35:F35"/>
    <mergeCell ref="D50:F50"/>
    <mergeCell ref="D44:F44"/>
    <mergeCell ref="D20:F20"/>
    <mergeCell ref="D34:F34"/>
    <mergeCell ref="D99:F99"/>
    <mergeCell ref="D84:F84"/>
    <mergeCell ref="A94:F94"/>
    <mergeCell ref="D36:F36"/>
    <mergeCell ref="D45:F45"/>
    <mergeCell ref="D77:F77"/>
    <mergeCell ref="D61:F61"/>
    <mergeCell ref="D70:F70"/>
    <mergeCell ref="D48:F48"/>
    <mergeCell ref="A12:F12"/>
    <mergeCell ref="D72:F72"/>
    <mergeCell ref="D62:F62"/>
    <mergeCell ref="D56:F56"/>
    <mergeCell ref="A4:F4"/>
    <mergeCell ref="D24:F24"/>
    <mergeCell ref="D64:F64"/>
    <mergeCell ref="D38:F38"/>
    <mergeCell ref="D89:F89"/>
    <mergeCell ref="D98:F98"/>
    <mergeCell ref="D79:F79"/>
    <mergeCell ref="D88:F88"/>
    <mergeCell ref="D26:F26"/>
    <mergeCell ref="D63:F63"/>
    <mergeCell ref="D81:F81"/>
    <mergeCell ref="D19:F19"/>
    <mergeCell ref="D90:F90"/>
    <mergeCell ref="D65:F65"/>
    <mergeCell ref="A6:F6"/>
    <mergeCell ref="D52:F52"/>
    <mergeCell ref="D49:F4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2026-10-15T00:03:16Z</dcterms:created>
  <dcterms:modified xsi:type="dcterms:W3CDTF">2026-10-15T00:03:17Z</dcterms:modified>
</cp:coreProperties>
</file>